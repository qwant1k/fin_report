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BCC Invest Halyk\Сверка\2025\09.2025\"/>
    </mc:Choice>
  </mc:AlternateContent>
  <xr:revisionPtr revIDLastSave="0" documentId="13_ncr:8001_{1D3EF4BA-20EE-41EB-9CF9-8831A94B0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2" sheetId="5" state="hidden" r:id="rId2"/>
    <sheet name="KASE (цены)" sheetId="2" r:id="rId3"/>
    <sheet name="Лист1" sheetId="6" r:id="rId4"/>
    <sheet name="купон расч." sheetId="3" r:id="rId5"/>
  </sheets>
  <definedNames>
    <definedName name="_xlnm._FilterDatabase" localSheetId="2" hidden="1">'KASE (цены)'!$A$3:$K$947</definedName>
    <definedName name="_xlnm._FilterDatabase" localSheetId="0" hidden="1">ДУ!$A$5:$M$32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B1" i="2"/>
  <c r="B59" i="1"/>
  <c r="B55" i="1"/>
  <c r="B58" i="1"/>
  <c r="G47" i="1" l="1"/>
  <c r="E47" i="1"/>
  <c r="F47" i="1"/>
  <c r="M43" i="1" l="1"/>
  <c r="B28" i="3" l="1"/>
  <c r="B19" i="3"/>
  <c r="B9" i="3"/>
  <c r="B27" i="3"/>
  <c r="B17" i="3"/>
  <c r="K32" i="1" l="1"/>
  <c r="B22" i="3"/>
  <c r="B21" i="3"/>
  <c r="B3" i="3"/>
  <c r="B4" i="3"/>
  <c r="B5" i="3"/>
  <c r="B6" i="3"/>
  <c r="B7" i="3"/>
  <c r="B8" i="3"/>
  <c r="B10" i="3"/>
  <c r="B11" i="3"/>
  <c r="B12" i="3"/>
  <c r="B13" i="3"/>
  <c r="B14" i="3"/>
  <c r="B15" i="3"/>
  <c r="B16" i="3"/>
  <c r="B18" i="3"/>
  <c r="B20" i="3"/>
  <c r="B23" i="3"/>
  <c r="B24" i="3"/>
  <c r="B25" i="3"/>
  <c r="B26" i="3"/>
  <c r="D30" i="3"/>
  <c r="B2" i="3" l="1"/>
  <c r="B30" i="3" s="1"/>
  <c r="H32" i="1" l="1"/>
  <c r="J31" i="1"/>
  <c r="J30" i="1"/>
  <c r="I31" i="1"/>
  <c r="I30" i="1"/>
  <c r="C31" i="1"/>
  <c r="C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L18" i="1" s="1"/>
  <c r="J17" i="1"/>
  <c r="I17" i="1"/>
  <c r="L17" i="1" s="1"/>
  <c r="J16" i="1"/>
  <c r="I16" i="1"/>
  <c r="L16" i="1" s="1"/>
  <c r="J15" i="1"/>
  <c r="I15" i="1"/>
  <c r="L15" i="1" s="1"/>
  <c r="J14" i="1"/>
  <c r="I14" i="1"/>
  <c r="L14" i="1" s="1"/>
  <c r="J13" i="1"/>
  <c r="I13" i="1"/>
  <c r="J12" i="1"/>
  <c r="I12" i="1"/>
  <c r="L12" i="1" s="1"/>
  <c r="J11" i="1"/>
  <c r="I11" i="1"/>
  <c r="L11" i="1" s="1"/>
  <c r="J10" i="1"/>
  <c r="I10" i="1"/>
  <c r="L10" i="1" s="1"/>
  <c r="J9" i="1"/>
  <c r="I9" i="1"/>
  <c r="L9" i="1" s="1"/>
  <c r="J8" i="1"/>
  <c r="I8" i="1"/>
  <c r="L8" i="1" s="1"/>
  <c r="J7" i="1"/>
  <c r="I7" i="1"/>
  <c r="L7" i="1" s="1"/>
  <c r="J6" i="1"/>
  <c r="I6" i="1"/>
  <c r="L6" i="1" s="1"/>
  <c r="C29" i="1"/>
  <c r="L29" i="1" l="1"/>
  <c r="C28" i="1"/>
  <c r="L28" i="1" s="1"/>
  <c r="C27" i="1"/>
  <c r="L27" i="1" s="1"/>
  <c r="B63" i="1" l="1"/>
  <c r="C26" i="1"/>
  <c r="L26" i="1" s="1"/>
  <c r="D25" i="1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1" i="5"/>
  <c r="B19" i="5"/>
  <c r="B23" i="5" s="1"/>
  <c r="D23" i="5"/>
  <c r="B21" i="5"/>
  <c r="B20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D24" i="1"/>
  <c r="D23" i="1" l="1"/>
  <c r="C23" i="1"/>
  <c r="C22" i="1"/>
  <c r="D22" i="1"/>
  <c r="C19" i="1" l="1"/>
  <c r="L19" i="1" s="1"/>
  <c r="C32" i="1" l="1"/>
  <c r="C33" i="3" l="1"/>
  <c r="C31" i="3"/>
  <c r="L21" i="1"/>
  <c r="L23" i="1"/>
  <c r="L31" i="1" l="1"/>
  <c r="L30" i="1"/>
  <c r="L24" i="1"/>
  <c r="L20" i="1"/>
  <c r="L13" i="1"/>
  <c r="L22" i="1"/>
  <c r="L25" i="1"/>
  <c r="L32" i="1" l="1"/>
  <c r="B49" i="1" s="1"/>
  <c r="M6" i="1" l="1"/>
  <c r="M31" i="1"/>
  <c r="M27" i="1"/>
  <c r="M22" i="1"/>
  <c r="M21" i="1"/>
  <c r="M23" i="1"/>
  <c r="M24" i="1"/>
  <c r="M17" i="1"/>
  <c r="M15" i="1"/>
  <c r="M18" i="1"/>
  <c r="M7" i="1"/>
  <c r="M11" i="1"/>
  <c r="M14" i="1"/>
  <c r="M8" i="1"/>
  <c r="M12" i="1"/>
  <c r="M13" i="1"/>
  <c r="M16" i="1"/>
  <c r="M28" i="1"/>
  <c r="M20" i="1"/>
  <c r="M25" i="1"/>
  <c r="M30" i="1"/>
  <c r="M19" i="1"/>
  <c r="M26" i="1"/>
  <c r="M9" i="1"/>
  <c r="M10" i="1"/>
  <c r="M29" i="1"/>
  <c r="M32" i="1" l="1"/>
</calcChain>
</file>

<file path=xl/sharedStrings.xml><?xml version="1.0" encoding="utf-8"?>
<sst xmlns="http://schemas.openxmlformats.org/spreadsheetml/2006/main" count="5674" uniqueCount="2594">
  <si>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</si>
  <si>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</si>
  <si>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</si>
  <si>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</si>
  <si>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</si>
  <si>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</si>
  <si>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</si>
  <si>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</si>
  <si>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</si>
  <si>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</si>
  <si>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</si>
  <si>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</si>
  <si>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</si>
  <si>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</si>
  <si>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</si>
  <si>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</si>
  <si>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№ п/п</t>
  </si>
  <si>
    <t>акции</t>
  </si>
  <si>
    <t>государственные ценные бумаги</t>
  </si>
  <si>
    <t>Чистая цена в %</t>
  </si>
  <si>
    <t>AIRA</t>
  </si>
  <si>
    <t>KZ1C00004050</t>
  </si>
  <si>
    <t>АО "Эйр Астана"</t>
  </si>
  <si>
    <t>AKZM</t>
  </si>
  <si>
    <t>KZ1C00001288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</si>
  <si>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</si>
  <si>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</si>
  <si>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</si>
  <si>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</si>
  <si>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</si>
  <si>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</si>
  <si>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BCCIrb</t>
  </si>
  <si>
    <t>KZPF00000231</t>
  </si>
  <si>
    <t>АО "Банк Развития Казахстана"</t>
  </si>
  <si>
    <t>BRKZe11</t>
  </si>
  <si>
    <t>XS2337670421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</si>
  <si>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</si>
  <si>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</si>
  <si>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</si>
  <si>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</si>
  <si>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</si>
  <si>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</si>
  <si>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</si>
  <si>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ТОО "Capital Leasing Group (Капитал Лизинг Груп)"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</si>
  <si>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</si>
  <si>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</si>
  <si>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</si>
  <si>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</si>
  <si>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</si>
  <si>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</si>
  <si>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</si>
  <si>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</si>
  <si>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</si>
  <si>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</si>
  <si>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</si>
  <si>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</si>
  <si>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</si>
  <si>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ТОО "BASS Gold"</t>
  </si>
  <si>
    <t>FPSTb4</t>
  </si>
  <si>
    <t>KZ2P00011141</t>
  </si>
  <si>
    <t>HCBNb10</t>
  </si>
  <si>
    <t>KZ2C00009918</t>
  </si>
  <si>
    <t>АО "Home Credit Bank"</t>
  </si>
  <si>
    <t>HCBNb11</t>
  </si>
  <si>
    <t>KZ2C00009926</t>
  </si>
  <si>
    <t>HCBNb14</t>
  </si>
  <si>
    <t>KZ2C00011351</t>
  </si>
  <si>
    <t>HCBNb15</t>
  </si>
  <si>
    <t>KZ2C00011401</t>
  </si>
  <si>
    <t>HFINhl</t>
  </si>
  <si>
    <t>KZPF00000538</t>
  </si>
  <si>
    <t>АО "Дочерняя организация Народного Банка Казахстана "Halyk Finance"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</si>
  <si>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</si>
  <si>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</si>
  <si>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</si>
  <si>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</si>
  <si>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</si>
  <si>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</si>
  <si>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</si>
  <si>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</si>
  <si>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</si>
  <si>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</si>
  <si>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</si>
  <si>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</si>
  <si>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</si>
  <si>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</si>
  <si>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</si>
  <si>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</si>
  <si>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</si>
  <si>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</si>
  <si>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</si>
  <si>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</si>
  <si>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</si>
  <si>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</si>
  <si>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</si>
  <si>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</si>
  <si>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</si>
  <si>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</si>
  <si>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</si>
  <si>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</si>
  <si>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</si>
  <si>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</si>
  <si>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</si>
  <si>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</si>
  <si>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</si>
  <si>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</si>
  <si>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</si>
  <si>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</si>
  <si>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</si>
  <si>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</si>
  <si>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</si>
  <si>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</si>
  <si>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</si>
  <si>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</si>
  <si>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</si>
  <si>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</si>
  <si>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</si>
  <si>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</si>
  <si>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</si>
  <si>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KZTGe1</t>
  </si>
  <si>
    <t>XS1682544157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</si>
  <si>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</si>
  <si>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</si>
  <si>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</si>
  <si>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</si>
  <si>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</si>
  <si>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</si>
  <si>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</si>
  <si>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</si>
  <si>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</si>
  <si>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</si>
  <si>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</si>
  <si>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</si>
  <si>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</si>
  <si>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</si>
  <si>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MFOKb19</t>
  </si>
  <si>
    <t>KZ2C00010825</t>
  </si>
  <si>
    <t>ТОО "Микрофинансовая организация "R-Finance"</t>
  </si>
  <si>
    <t>MFRFb13</t>
  </si>
  <si>
    <t>KZ2P00011398</t>
  </si>
  <si>
    <t>ТОО "МФО "Swiss Capital (Свисс Капитал)"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</si>
  <si>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</si>
  <si>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</si>
  <si>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</si>
  <si>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</si>
  <si>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</si>
  <si>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</si>
  <si>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</si>
  <si>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</si>
  <si>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</si>
  <si>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</si>
  <si>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</si>
  <si>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</si>
  <si>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</si>
  <si>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</si>
  <si>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</si>
  <si>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</si>
  <si>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</si>
  <si>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</si>
  <si>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</si>
  <si>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</si>
  <si>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</si>
  <si>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</si>
  <si>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</si>
  <si>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</si>
  <si>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</si>
  <si>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</si>
  <si>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</si>
  <si>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</si>
  <si>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</si>
  <si>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</si>
  <si>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</si>
  <si>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</si>
  <si>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</si>
  <si>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</si>
  <si>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</si>
  <si>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</si>
  <si>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</si>
  <si>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</si>
  <si>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</si>
  <si>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</si>
  <si>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</si>
  <si>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</si>
  <si>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</si>
  <si>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</si>
  <si>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</si>
  <si>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</si>
  <si>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</si>
  <si>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</si>
  <si>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</si>
  <si>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</si>
  <si>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</si>
  <si>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</si>
  <si>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</si>
  <si>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</si>
  <si>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</si>
  <si>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</si>
  <si>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</si>
  <si>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</si>
  <si>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</si>
  <si>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</si>
  <si>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</si>
  <si>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</si>
  <si>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</si>
  <si>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</si>
  <si>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</si>
  <si>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</si>
  <si>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</si>
  <si>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</si>
  <si>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</si>
  <si>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</si>
  <si>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</si>
  <si>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</si>
  <si>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</si>
  <si>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</si>
  <si>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</si>
  <si>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</si>
  <si>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</si>
  <si>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</si>
  <si>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</si>
  <si>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</si>
  <si>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</si>
  <si>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</si>
  <si>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</si>
  <si>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</si>
  <si>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</si>
  <si>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</si>
  <si>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</si>
  <si>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</si>
  <si>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</si>
  <si>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</si>
  <si>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</si>
  <si>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</si>
  <si>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</si>
  <si>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</si>
  <si>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</si>
  <si>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</si>
  <si>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</si>
  <si>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</si>
  <si>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</si>
  <si>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</si>
  <si>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</si>
  <si>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</si>
  <si>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</si>
  <si>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</si>
  <si>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</si>
  <si>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</si>
  <si>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</si>
  <si>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</si>
  <si>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</si>
  <si>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</si>
  <si>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NCOMb3</t>
  </si>
  <si>
    <t>KZ2P00009178</t>
  </si>
  <si>
    <t>ГУ "Национальный Банк Республики Казахстан"</t>
  </si>
  <si>
    <t>SKKZe1</t>
  </si>
  <si>
    <t>XS2399149694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</si>
  <si>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</si>
  <si>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</si>
  <si>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</si>
  <si>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</si>
  <si>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</si>
  <si>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</si>
  <si>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</si>
  <si>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</si>
  <si>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</si>
  <si>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</si>
  <si>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</si>
  <si>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</si>
  <si>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</si>
  <si>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</si>
  <si>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</si>
  <si>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</si>
  <si>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</si>
  <si>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</si>
  <si>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</si>
  <si>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</si>
  <si>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</si>
  <si>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</si>
  <si>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</si>
  <si>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</si>
  <si>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</si>
  <si>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</si>
  <si>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</si>
  <si>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</si>
  <si>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</si>
  <si>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</si>
  <si>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</si>
  <si>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</si>
  <si>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ТОО "МФО "Mogo Kazakhstan (Мого Казахстан)"</t>
  </si>
  <si>
    <t>MFTSb2</t>
  </si>
  <si>
    <t>KZ2P00010788</t>
  </si>
  <si>
    <t>ABK119_006</t>
  </si>
  <si>
    <t>KZMF00000069</t>
  </si>
  <si>
    <t>ABK131_021</t>
  </si>
  <si>
    <t>KZMF00000218</t>
  </si>
  <si>
    <t>ABK143_032</t>
  </si>
  <si>
    <t>KZMF00000325</t>
  </si>
  <si>
    <t>ABK143_033</t>
  </si>
  <si>
    <t>KZMF00000333</t>
  </si>
  <si>
    <t>ADLA</t>
  </si>
  <si>
    <t>KZ1C00000918</t>
  </si>
  <si>
    <t>AGKKb11</t>
  </si>
  <si>
    <t>KZ2C00006120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</si>
  <si>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</si>
  <si>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</si>
  <si>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</si>
  <si>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</si>
  <si>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</si>
  <si>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</si>
  <si>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</si>
  <si>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</si>
  <si>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</si>
  <si>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</si>
  <si>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</si>
  <si>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</si>
  <si>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AIK024_185</t>
  </si>
  <si>
    <t>KZMJ00001857</t>
  </si>
  <si>
    <t>AIK117_097</t>
  </si>
  <si>
    <t>KZMF00000978</t>
  </si>
  <si>
    <t>AKGR</t>
  </si>
  <si>
    <t>KZ1C00014141</t>
  </si>
  <si>
    <t>AKK024_179</t>
  </si>
  <si>
    <t>KZMJ00001790</t>
  </si>
  <si>
    <t>AKK119_005</t>
  </si>
  <si>
    <t>KZMF00000051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</si>
  <si>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</si>
  <si>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</si>
  <si>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</si>
  <si>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</si>
  <si>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</si>
  <si>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</si>
  <si>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</si>
  <si>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</si>
  <si>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</si>
  <si>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</si>
  <si>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AKMGb2</t>
  </si>
  <si>
    <t>KZ2C00005841</t>
  </si>
  <si>
    <t>AKRL</t>
  </si>
  <si>
    <t>KZ1C00001007</t>
  </si>
  <si>
    <t>ALBNb5</t>
  </si>
  <si>
    <t>KZ2C00006062</t>
  </si>
  <si>
    <t>ALK119_002</t>
  </si>
  <si>
    <t>KZAF00000022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</si>
  <si>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</si>
  <si>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</si>
  <si>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</si>
  <si>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</si>
  <si>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</si>
  <si>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</si>
  <si>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</si>
  <si>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</si>
  <si>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</si>
  <si>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</si>
  <si>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</si>
  <si>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</si>
  <si>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АО "АК Алтыналмас"</t>
  </si>
  <si>
    <t>ALTV</t>
  </si>
  <si>
    <t>KZ1C00001460</t>
  </si>
  <si>
    <t>AMAN</t>
  </si>
  <si>
    <t>KZ1C00000983</t>
  </si>
  <si>
    <t>AMGZp</t>
  </si>
  <si>
    <t>KZ0009093902</t>
  </si>
  <si>
    <t>AMIN</t>
  </si>
  <si>
    <t>KZ1C00000603</t>
  </si>
  <si>
    <t>AMXP</t>
  </si>
  <si>
    <t>KZ1C00001601</t>
  </si>
  <si>
    <t>ANSA</t>
  </si>
  <si>
    <t>KZ1C00001163</t>
  </si>
  <si>
    <t>ARCDpp1</t>
  </si>
  <si>
    <t>KZ2P00008493</t>
  </si>
  <si>
    <t>ARCDpp2</t>
  </si>
  <si>
    <t>KZ2P00009202</t>
  </si>
  <si>
    <t>ARCDpp3</t>
  </si>
  <si>
    <t>KZ2P00009665</t>
  </si>
  <si>
    <t>ARK116_103</t>
  </si>
  <si>
    <t>KZMF00001034</t>
  </si>
  <si>
    <t>ARK119_002</t>
  </si>
  <si>
    <t>KZMF00000028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</si>
  <si>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</si>
  <si>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</si>
  <si>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</si>
  <si>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</si>
  <si>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</si>
  <si>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</si>
  <si>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</si>
  <si>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</si>
  <si>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</si>
  <si>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</si>
  <si>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ASBN</t>
  </si>
  <si>
    <t>KZ000A0F4546</t>
  </si>
  <si>
    <t>ASBNd</t>
  </si>
  <si>
    <t>US34955X5077</t>
  </si>
  <si>
    <t>XS2610164944</t>
  </si>
  <si>
    <t>XS1937714753</t>
  </si>
  <si>
    <t>ASKQb1</t>
  </si>
  <si>
    <t>KZ2C00010155</t>
  </si>
  <si>
    <t>ASK022_013</t>
  </si>
  <si>
    <t>KZZJ00000136</t>
  </si>
  <si>
    <t>ASK024_012</t>
  </si>
  <si>
    <t>KZZJ00000128</t>
  </si>
  <si>
    <t>ASK119_001</t>
  </si>
  <si>
    <t>KZZF00000015</t>
  </si>
  <si>
    <t>ASLF</t>
  </si>
  <si>
    <t>KZ1C00001585</t>
  </si>
  <si>
    <t>ASPKpp1</t>
  </si>
  <si>
    <t>KZ2P00008998</t>
  </si>
  <si>
    <t>ASPKpp2</t>
  </si>
  <si>
    <t>KZ2P00011091</t>
  </si>
  <si>
    <t>ASTL</t>
  </si>
  <si>
    <t>KZ1C00000678</t>
  </si>
  <si>
    <t>ATEC</t>
  </si>
  <si>
    <t>KZ1C00001171</t>
  </si>
  <si>
    <t>ATFBb15</t>
  </si>
  <si>
    <t>KZ2C00003135</t>
  </si>
  <si>
    <t>ATFBb16</t>
  </si>
  <si>
    <t>KZ2C00004059</t>
  </si>
  <si>
    <t>ATK024_184</t>
  </si>
  <si>
    <t>KZMJ00001840</t>
  </si>
  <si>
    <t>ATK119_007</t>
  </si>
  <si>
    <t>KZMF00000077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</si>
  <si>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</si>
  <si>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</si>
  <si>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</si>
  <si>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</si>
  <si>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</si>
  <si>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</si>
  <si>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</si>
  <si>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</si>
  <si>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</si>
  <si>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</si>
  <si>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AVKGpp1</t>
  </si>
  <si>
    <t>KZ2P00008741</t>
  </si>
  <si>
    <t>AVKGpp2</t>
  </si>
  <si>
    <t>KZ2P00011075</t>
  </si>
  <si>
    <t>AZNO</t>
  </si>
  <si>
    <t>KZ000A1CTMD1</t>
  </si>
  <si>
    <t>AZNOp</t>
  </si>
  <si>
    <t>KZ1P00000269</t>
  </si>
  <si>
    <t>BAST</t>
  </si>
  <si>
    <t>KZ1C00001015</t>
  </si>
  <si>
    <t>BENK</t>
  </si>
  <si>
    <t>KZ1C00013663</t>
  </si>
  <si>
    <t>BERKb13</t>
  </si>
  <si>
    <t>KZ2C00009934</t>
  </si>
  <si>
    <t>BRBKb1</t>
  </si>
  <si>
    <t>KZ2P00009905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</si>
  <si>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</si>
  <si>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</si>
  <si>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</si>
  <si>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</si>
  <si>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</si>
  <si>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</si>
  <si>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</si>
  <si>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</si>
  <si>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</si>
  <si>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</si>
  <si>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</si>
  <si>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</si>
  <si>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</si>
  <si>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</si>
  <si>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</si>
  <si>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</si>
  <si>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</si>
  <si>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</si>
  <si>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</si>
  <si>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</si>
  <si>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</si>
  <si>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</si>
  <si>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</si>
  <si>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</si>
  <si>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</si>
  <si>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</si>
  <si>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BRKZb5</t>
  </si>
  <si>
    <t>KZ2C00003648</t>
  </si>
  <si>
    <t>BRKZb6</t>
  </si>
  <si>
    <t>KZ2C00003713</t>
  </si>
  <si>
    <t>BRKZe12</t>
  </si>
  <si>
    <t>XS2337670694</t>
  </si>
  <si>
    <t>BSGR</t>
  </si>
  <si>
    <t>KZ1C00001353</t>
  </si>
  <si>
    <t>BSUL</t>
  </si>
  <si>
    <t>KZ1C00000165</t>
  </si>
  <si>
    <t>BTDVb4</t>
  </si>
  <si>
    <t>KZ2C00006807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</si>
  <si>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</si>
  <si>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</si>
  <si>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</si>
  <si>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</si>
  <si>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</si>
  <si>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</si>
  <si>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</si>
  <si>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</si>
  <si>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BTRKb4</t>
  </si>
  <si>
    <t>KZ2C00007052</t>
  </si>
  <si>
    <t>BTRKb6</t>
  </si>
  <si>
    <t>KZ2C00007078</t>
  </si>
  <si>
    <t>BTTRb1</t>
  </si>
  <si>
    <t>KZ000A0T88N8</t>
  </si>
  <si>
    <t>CAHO</t>
  </si>
  <si>
    <t>KZ1C00000629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</si>
  <si>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</si>
  <si>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</si>
  <si>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</si>
  <si>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</si>
  <si>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</si>
  <si>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</si>
  <si>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</si>
  <si>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</si>
  <si>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CRMG</t>
  </si>
  <si>
    <t>KZ1C00001486</t>
  </si>
  <si>
    <t>CSECgm</t>
  </si>
  <si>
    <t>KZPF00000033</t>
  </si>
  <si>
    <t>DTJLb1</t>
  </si>
  <si>
    <t>KZ2C00000701</t>
  </si>
  <si>
    <t>DZK024_180</t>
  </si>
  <si>
    <t>KZMJ00001808</t>
  </si>
  <si>
    <t>DZK117_088</t>
  </si>
  <si>
    <t>KZMF00000887</t>
  </si>
  <si>
    <t>DZK119_016</t>
  </si>
  <si>
    <t>KZMF00000168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</si>
  <si>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</si>
  <si>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</si>
  <si>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</si>
  <si>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</si>
  <si>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</si>
  <si>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</si>
  <si>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</si>
  <si>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</si>
  <si>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</si>
  <si>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</si>
  <si>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</si>
  <si>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</si>
  <si>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</si>
  <si>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</si>
  <si>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EBRDe10</t>
  </si>
  <si>
    <t>XS2093242530</t>
  </si>
  <si>
    <t>EBRDe11</t>
  </si>
  <si>
    <t>XS2214305737</t>
  </si>
  <si>
    <t>EBRDe13</t>
  </si>
  <si>
    <t>XS2264979431</t>
  </si>
  <si>
    <t>EBRDe21</t>
  </si>
  <si>
    <t>XS2733527670</t>
  </si>
  <si>
    <t>EBRDe23</t>
  </si>
  <si>
    <t>XS2774403690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</si>
  <si>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</si>
  <si>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</si>
  <si>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</si>
  <si>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</si>
  <si>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</si>
  <si>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</si>
  <si>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</si>
  <si>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</si>
  <si>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EKTN</t>
  </si>
  <si>
    <t>KZ1C00000538</t>
  </si>
  <si>
    <t>EUBNb17</t>
  </si>
  <si>
    <t>KZ2C00004075</t>
  </si>
  <si>
    <t>EUBNb18</t>
  </si>
  <si>
    <t>KZ2C00005981</t>
  </si>
  <si>
    <t>EUCPb1</t>
  </si>
  <si>
    <t>KZ2C00010924</t>
  </si>
  <si>
    <t>EXCS</t>
  </si>
  <si>
    <t>KZ1C00005560</t>
  </si>
  <si>
    <t>EXCSp</t>
  </si>
  <si>
    <t>KZ1P00013585</t>
  </si>
  <si>
    <t>EXPA</t>
  </si>
  <si>
    <t>KZ1C00001478</t>
  </si>
  <si>
    <t>FAGRb1</t>
  </si>
  <si>
    <t>KZ2C00002962</t>
  </si>
  <si>
    <t>FAGRb2</t>
  </si>
  <si>
    <t>KZ2C00003465</t>
  </si>
  <si>
    <t>FATNb1</t>
  </si>
  <si>
    <t>KZ2P00003874</t>
  </si>
  <si>
    <t>FATNb2</t>
  </si>
  <si>
    <t>KZ2P00004286</t>
  </si>
  <si>
    <t>FATNb3</t>
  </si>
  <si>
    <t>KZ2P00004500</t>
  </si>
  <si>
    <t>FFIN</t>
  </si>
  <si>
    <t>KZ1C00001262</t>
  </si>
  <si>
    <t>FHJIds</t>
  </si>
  <si>
    <t>KZPF00000173</t>
  </si>
  <si>
    <t>FHJIhm</t>
  </si>
  <si>
    <t>KZPF00000124</t>
  </si>
  <si>
    <t>FRMPb3</t>
  </si>
  <si>
    <t>KZ2C00008068</t>
  </si>
  <si>
    <t>IDFRb2</t>
  </si>
  <si>
    <t>KZ2C00007011</t>
  </si>
  <si>
    <t>IDFRb3</t>
  </si>
  <si>
    <t>KZ2C00007391</t>
  </si>
  <si>
    <t>IDFRb5</t>
  </si>
  <si>
    <t>KZ2C00010338</t>
  </si>
  <si>
    <t>INBNb11</t>
  </si>
  <si>
    <t>KZ2C00008845</t>
  </si>
  <si>
    <t>INBNb12</t>
  </si>
  <si>
    <t>KZ2C00008852</t>
  </si>
  <si>
    <t>INBNb13</t>
  </si>
  <si>
    <t>KZ2C00009827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</si>
  <si>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</si>
  <si>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</si>
  <si>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</si>
  <si>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</si>
  <si>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</si>
  <si>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</si>
  <si>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</si>
  <si>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</si>
  <si>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JRES</t>
  </si>
  <si>
    <t>KZ1C00001510</t>
  </si>
  <si>
    <t>JTK116_101</t>
  </si>
  <si>
    <t>KZMF00001018</t>
  </si>
  <si>
    <t>KASE</t>
  </si>
  <si>
    <t>KZ1C00001213</t>
  </si>
  <si>
    <t>KATR</t>
  </si>
  <si>
    <t>KZ1C00000025</t>
  </si>
  <si>
    <t>KATRp</t>
  </si>
  <si>
    <t>KZ1P00000038</t>
  </si>
  <si>
    <t>KEGCb1</t>
  </si>
  <si>
    <t>KZ2C00003572</t>
  </si>
  <si>
    <t>KEGCb2</t>
  </si>
  <si>
    <t>KZ2C00003978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</si>
  <si>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</si>
  <si>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</si>
  <si>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</si>
  <si>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</si>
  <si>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</si>
  <si>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</si>
  <si>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</si>
  <si>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</si>
  <si>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</si>
  <si>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</si>
  <si>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</si>
  <si>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</si>
  <si>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KFUSb53</t>
  </si>
  <si>
    <t>KZ2C00009454</t>
  </si>
  <si>
    <t>KFUSb54</t>
  </si>
  <si>
    <t>KZ2C00009462</t>
  </si>
  <si>
    <t>KFUSb69</t>
  </si>
  <si>
    <t>KZ2C00010726</t>
  </si>
  <si>
    <t>KGK024_190</t>
  </si>
  <si>
    <t>KZMJ00001907</t>
  </si>
  <si>
    <t>KGK116_102</t>
  </si>
  <si>
    <t>KZMF00001026</t>
  </si>
  <si>
    <t>KGK119_004</t>
  </si>
  <si>
    <t>KZMF00000044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</si>
  <si>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</si>
  <si>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</si>
  <si>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</si>
  <si>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</si>
  <si>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</si>
  <si>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</si>
  <si>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</si>
  <si>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</si>
  <si>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</si>
  <si>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</si>
  <si>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KMGD</t>
  </si>
  <si>
    <t>KZ1C00001254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</si>
  <si>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</si>
  <si>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</si>
  <si>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</si>
  <si>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</si>
  <si>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</si>
  <si>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</si>
  <si>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</si>
  <si>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</si>
  <si>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</si>
  <si>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</si>
  <si>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</si>
  <si>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</si>
  <si>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</si>
  <si>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</si>
  <si>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</si>
  <si>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</si>
  <si>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KSK118_090</t>
  </si>
  <si>
    <t>KZMF00000903</t>
  </si>
  <si>
    <t>KSK119_003</t>
  </si>
  <si>
    <t>KZMF00000036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</si>
  <si>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</si>
  <si>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</si>
  <si>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</si>
  <si>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</si>
  <si>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</si>
  <si>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</si>
  <si>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</si>
  <si>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</si>
  <si>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</si>
  <si>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</si>
  <si>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KTGAb2</t>
  </si>
  <si>
    <t>KZ2C00003499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</si>
  <si>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</si>
  <si>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</si>
  <si>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</si>
  <si>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</si>
  <si>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</si>
  <si>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</si>
  <si>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</si>
  <si>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</si>
  <si>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</si>
  <si>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</si>
  <si>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</si>
  <si>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</si>
  <si>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</si>
  <si>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KZAZ</t>
  </si>
  <si>
    <t>KZ1C00001395</t>
  </si>
  <si>
    <t>KZHR</t>
  </si>
  <si>
    <t>KZ1C00001296</t>
  </si>
  <si>
    <t>KZHRb1</t>
  </si>
  <si>
    <t>KZ2C00007144</t>
  </si>
  <si>
    <t>KZIK</t>
  </si>
  <si>
    <t>KZ1C00000637</t>
  </si>
  <si>
    <t>KZIKb28</t>
  </si>
  <si>
    <t>KZ2C00004356</t>
  </si>
  <si>
    <t>KZIKb29</t>
  </si>
  <si>
    <t>KZ2C00004349</t>
  </si>
  <si>
    <t>KZIKb31</t>
  </si>
  <si>
    <t>KZ2C00006401</t>
  </si>
  <si>
    <t>KZIKb32</t>
  </si>
  <si>
    <t>KZ2C00007086</t>
  </si>
  <si>
    <t>KZIKb33</t>
  </si>
  <si>
    <t>KZ2C00007094</t>
  </si>
  <si>
    <t>KZIKb35</t>
  </si>
  <si>
    <t>KZ2C00007631</t>
  </si>
  <si>
    <t>KZIKb36</t>
  </si>
  <si>
    <t>KZ2C00007839</t>
  </si>
  <si>
    <t>KZWEb1</t>
  </si>
  <si>
    <t>KZ2P00010119</t>
  </si>
  <si>
    <t>KZ_10_2811</t>
  </si>
  <si>
    <t>XS1901718335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</si>
  <si>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</si>
  <si>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</si>
  <si>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</si>
  <si>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</si>
  <si>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</si>
  <si>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</si>
  <si>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</si>
  <si>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</si>
  <si>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</si>
  <si>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</si>
  <si>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</si>
  <si>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</si>
  <si>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LNPT</t>
  </si>
  <si>
    <t>KZ1C00000215</t>
  </si>
  <si>
    <t>LOGC</t>
  </si>
  <si>
    <t>KZ1C00000892</t>
  </si>
  <si>
    <t>LOGCb4</t>
  </si>
  <si>
    <t>KZ2C00008886</t>
  </si>
  <si>
    <t>LZGR</t>
  </si>
  <si>
    <t>KZ1C00001593</t>
  </si>
  <si>
    <t>MATN</t>
  </si>
  <si>
    <t>KZ1C00000868</t>
  </si>
  <si>
    <t>MFBLb2</t>
  </si>
  <si>
    <t>KZ2P00010010</t>
  </si>
  <si>
    <t>MFDFb2</t>
  </si>
  <si>
    <t>KZ2P00010465</t>
  </si>
  <si>
    <t>MFECb1</t>
  </si>
  <si>
    <t>KZ2P00010598</t>
  </si>
  <si>
    <t>MFKTb3</t>
  </si>
  <si>
    <t>KZ2P00009186</t>
  </si>
  <si>
    <t>MFKTb4</t>
  </si>
  <si>
    <t>KZ2P00010002</t>
  </si>
  <si>
    <t>MFNKb1</t>
  </si>
  <si>
    <t>KZ2P00007420</t>
  </si>
  <si>
    <t>MFRFb4</t>
  </si>
  <si>
    <t>KZ2P00008766</t>
  </si>
  <si>
    <t>MFSCb4</t>
  </si>
  <si>
    <t>KZ2P00011497</t>
  </si>
  <si>
    <t>MFUCb4</t>
  </si>
  <si>
    <t>KZ2P00009988</t>
  </si>
  <si>
    <t>MFUCb6</t>
  </si>
  <si>
    <t>KZ2P00011174</t>
  </si>
  <si>
    <t>MGK119_009</t>
  </si>
  <si>
    <t>KZMF00000093</t>
  </si>
  <si>
    <t>MGK131_023</t>
  </si>
  <si>
    <t>KZMF00000234</t>
  </si>
  <si>
    <t>MGK143_038</t>
  </si>
  <si>
    <t>KZMF00000382</t>
  </si>
  <si>
    <t>MGK143_039</t>
  </si>
  <si>
    <t>KZMF00000390</t>
  </si>
  <si>
    <t>MGK143_063</t>
  </si>
  <si>
    <t>KZMF00000630</t>
  </si>
  <si>
    <t>MMGZ</t>
  </si>
  <si>
    <t>KZ0009093696</t>
  </si>
  <si>
    <t>MMGZp</t>
  </si>
  <si>
    <t>KZ0009089736</t>
  </si>
  <si>
    <t>MNZH</t>
  </si>
  <si>
    <t>KZ1C00012020</t>
  </si>
  <si>
    <t>MOBIpp1</t>
  </si>
  <si>
    <t>KZ2P00009012</t>
  </si>
  <si>
    <t>MREK</t>
  </si>
  <si>
    <t>KZ1C00000413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</si>
  <si>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</si>
  <si>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</si>
  <si>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</si>
  <si>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</si>
  <si>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</si>
  <si>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</si>
  <si>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</si>
  <si>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</si>
  <si>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</si>
  <si>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</si>
  <si>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</si>
  <si>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</si>
  <si>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</si>
  <si>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</si>
  <si>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</si>
  <si>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</si>
  <si>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</si>
  <si>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</si>
  <si>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</si>
  <si>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</si>
  <si>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</si>
  <si>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</si>
  <si>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</si>
  <si>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</si>
  <si>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</si>
  <si>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</si>
  <si>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</si>
  <si>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</si>
  <si>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</si>
  <si>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</si>
  <si>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</si>
  <si>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</si>
  <si>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</si>
  <si>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</si>
  <si>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</si>
  <si>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</si>
  <si>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</si>
  <si>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</si>
  <si>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</si>
  <si>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</si>
  <si>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</si>
  <si>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</si>
  <si>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</si>
  <si>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</si>
  <si>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</si>
  <si>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</si>
  <si>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</si>
  <si>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</si>
  <si>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</si>
  <si>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</si>
  <si>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</si>
  <si>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</si>
  <si>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</si>
  <si>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</si>
  <si>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NCOMpp1</t>
  </si>
  <si>
    <t>KZ2P00008832</t>
  </si>
  <si>
    <t>NCOMpp2</t>
  </si>
  <si>
    <t>KZ2P00010747</t>
  </si>
  <si>
    <t>NRBN</t>
  </si>
  <si>
    <t>KZ000A1CTMU5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</si>
  <si>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</si>
  <si>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</si>
  <si>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</si>
  <si>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</si>
  <si>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</si>
  <si>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</si>
  <si>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</si>
  <si>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</si>
  <si>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</si>
  <si>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</si>
  <si>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</si>
  <si>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</si>
  <si>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</si>
  <si>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</si>
  <si>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</si>
  <si>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</si>
  <si>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</si>
  <si>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</si>
  <si>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</si>
  <si>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</si>
  <si>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OASIpp1</t>
  </si>
  <si>
    <t>KZ2P00010770</t>
  </si>
  <si>
    <t>ORNTpp1</t>
  </si>
  <si>
    <t>KZ2P00011448</t>
  </si>
  <si>
    <t>ORPTb1</t>
  </si>
  <si>
    <t>KZ2C00004539</t>
  </si>
  <si>
    <t>ORPTb2</t>
  </si>
  <si>
    <t>KZ2C00006187</t>
  </si>
  <si>
    <t>PDENb2</t>
  </si>
  <si>
    <t>KZ2C00003739</t>
  </si>
  <si>
    <t>PHYS</t>
  </si>
  <si>
    <t>KZ1C00001148</t>
  </si>
  <si>
    <t>PKDAb1</t>
  </si>
  <si>
    <t>KZ2D00007002</t>
  </si>
  <si>
    <t>PVK024_182</t>
  </si>
  <si>
    <t>KZMJ00001824</t>
  </si>
  <si>
    <t>PVK119_019</t>
  </si>
  <si>
    <t>KZMF00000192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</si>
  <si>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</si>
  <si>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</si>
  <si>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</si>
  <si>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</si>
  <si>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</si>
  <si>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</si>
  <si>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</si>
  <si>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</si>
  <si>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PZVA</t>
  </si>
  <si>
    <t>KZ1C00001577</t>
  </si>
  <si>
    <t>RAHT</t>
  </si>
  <si>
    <t>KZ000A1CTMZ4</t>
  </si>
  <si>
    <t>RETMb1</t>
  </si>
  <si>
    <t>KZ2C00009363</t>
  </si>
  <si>
    <t>RGBKb1</t>
  </si>
  <si>
    <t>KZ2P00007727</t>
  </si>
  <si>
    <t>RGBKb2</t>
  </si>
  <si>
    <t>KZ2P00009970</t>
  </si>
  <si>
    <t>RGBR</t>
  </si>
  <si>
    <t>KZ1C00000496</t>
  </si>
  <si>
    <t>RGBRp</t>
  </si>
  <si>
    <t>KZ1P00000509</t>
  </si>
  <si>
    <t>SABR</t>
  </si>
  <si>
    <t>KZ1C00005388</t>
  </si>
  <si>
    <t>SAPHpp1</t>
  </si>
  <si>
    <t>KZ2P00011133</t>
  </si>
  <si>
    <t>SAS_</t>
  </si>
  <si>
    <t>KZ1C00000827</t>
  </si>
  <si>
    <t>SATC</t>
  </si>
  <si>
    <t>KZ1C00000553</t>
  </si>
  <si>
    <t>SATCp</t>
  </si>
  <si>
    <t>KZ1P00000566</t>
  </si>
  <si>
    <t>SHK024_014</t>
  </si>
  <si>
    <t>KZSJ00000143</t>
  </si>
  <si>
    <t>SHK060_002</t>
  </si>
  <si>
    <t>KZSE00000023</t>
  </si>
  <si>
    <t>SHK119_001</t>
  </si>
  <si>
    <t>KZSF00000014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</si>
  <si>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</si>
  <si>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</si>
  <si>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</si>
  <si>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</si>
  <si>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</si>
  <si>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</si>
  <si>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</si>
  <si>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</si>
  <si>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</si>
  <si>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</si>
  <si>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SHZN</t>
  </si>
  <si>
    <t>KZ1C00000967</t>
  </si>
  <si>
    <t>SKENb3</t>
  </si>
  <si>
    <t>KZ2C00006500</t>
  </si>
  <si>
    <t>SKK024_186</t>
  </si>
  <si>
    <t>KZMJ00001865</t>
  </si>
  <si>
    <t>SKK119_015</t>
  </si>
  <si>
    <t>KZMF00000150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</si>
  <si>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</si>
  <si>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</si>
  <si>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</si>
  <si>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</si>
  <si>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</si>
  <si>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</si>
  <si>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</si>
  <si>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</si>
  <si>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</si>
  <si>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</si>
  <si>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SNRGb4</t>
  </si>
  <si>
    <t>KZ2C00004521</t>
  </si>
  <si>
    <t>SRBT</t>
  </si>
  <si>
    <t>KZ1C00000595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</si>
  <si>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</si>
  <si>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</si>
  <si>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</si>
  <si>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</si>
  <si>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</si>
  <si>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</si>
  <si>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</si>
  <si>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</si>
  <si>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</si>
  <si>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</si>
  <si>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</si>
  <si>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</si>
  <si>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TKK024_187</t>
  </si>
  <si>
    <t>KZMJ00001873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</si>
  <si>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</si>
  <si>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</si>
  <si>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</si>
  <si>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</si>
  <si>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</si>
  <si>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</si>
  <si>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</si>
  <si>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</si>
  <si>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</si>
  <si>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</si>
  <si>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</si>
  <si>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</si>
  <si>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</si>
  <si>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</si>
  <si>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</si>
  <si>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</si>
  <si>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</si>
  <si>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</si>
  <si>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</si>
  <si>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</si>
  <si>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</si>
  <si>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</si>
  <si>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</si>
  <si>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</si>
  <si>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</si>
  <si>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</si>
  <si>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</si>
  <si>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</si>
  <si>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TPIB</t>
  </si>
  <si>
    <t>KZ1C00007665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</si>
  <si>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</si>
  <si>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</si>
  <si>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</si>
  <si>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</si>
  <si>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</si>
  <si>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</si>
  <si>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</si>
  <si>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</si>
  <si>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</si>
  <si>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</si>
  <si>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</si>
  <si>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</si>
  <si>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</si>
  <si>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</si>
  <si>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</si>
  <si>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</si>
  <si>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</si>
  <si>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</si>
  <si>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</si>
  <si>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</si>
  <si>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</si>
  <si>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</si>
  <si>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</si>
  <si>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</si>
  <si>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ULBS</t>
  </si>
  <si>
    <t>KZ1C00001627</t>
  </si>
  <si>
    <t>UTK116_094</t>
  </si>
  <si>
    <t>KZMF00000945</t>
  </si>
  <si>
    <t>UTMK</t>
  </si>
  <si>
    <t>KZ000A1CTM59</t>
  </si>
  <si>
    <t>UTMKp</t>
  </si>
  <si>
    <t>KZ000A1CTM67</t>
  </si>
  <si>
    <t>VKK117_099</t>
  </si>
  <si>
    <t>KZMF00000994</t>
  </si>
  <si>
    <t>VKK118_093</t>
  </si>
  <si>
    <t>KZMF00000937</t>
  </si>
  <si>
    <t>VKK119_010</t>
  </si>
  <si>
    <t>KZMF00000101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</si>
  <si>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</si>
  <si>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</si>
  <si>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</si>
  <si>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</si>
  <si>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</si>
  <si>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</si>
  <si>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</si>
  <si>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</si>
  <si>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ZHMNe2</t>
  </si>
  <si>
    <t>USN97716AA72</t>
  </si>
  <si>
    <t>ZHMNe3</t>
  </si>
  <si>
    <t>USN64884AA29</t>
  </si>
  <si>
    <t>ZKK022_189</t>
  </si>
  <si>
    <t>KZMJ00001899</t>
  </si>
  <si>
    <t>ZKK024_181</t>
  </si>
  <si>
    <t>KZMJ00001816</t>
  </si>
  <si>
    <t>ZKK117_098</t>
  </si>
  <si>
    <t>KZMF00000986</t>
  </si>
  <si>
    <t>ZKK119_011</t>
  </si>
  <si>
    <t>KZMF00000119</t>
  </si>
  <si>
    <t>ZKK131_012</t>
  </si>
  <si>
    <t>KZMF00000127</t>
  </si>
  <si>
    <t>ZKK143_013</t>
  </si>
  <si>
    <t>KZMF00000135</t>
  </si>
  <si>
    <t>ZKK143_044</t>
  </si>
  <si>
    <t>KZMF00000440</t>
  </si>
  <si>
    <t>DZK022_191</t>
  </si>
  <si>
    <t>KZMJ00001915</t>
  </si>
  <si>
    <t>SHK022_015</t>
  </si>
  <si>
    <t>KZSJ00000150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</si>
  <si>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</si>
  <si>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</si>
  <si>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</si>
  <si>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</si>
  <si>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</si>
  <si>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</si>
  <si>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</si>
  <si>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</si>
  <si>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</si>
  <si>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</si>
  <si>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</si>
  <si>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MFACb2</t>
  </si>
  <si>
    <t>KZ2P00010226</t>
  </si>
  <si>
    <t>MFDFb1</t>
  </si>
  <si>
    <t>KZ2P00010457</t>
  </si>
  <si>
    <t>MFTFb3</t>
  </si>
  <si>
    <t>KZ2P00011596</t>
  </si>
  <si>
    <t>JSBNb2</t>
  </si>
  <si>
    <t>KZ2C00011658</t>
  </si>
  <si>
    <t>JSBNb3</t>
  </si>
  <si>
    <t>KZ2C00011740</t>
  </si>
  <si>
    <t>KFUSb68</t>
  </si>
  <si>
    <t>KSK024_192</t>
  </si>
  <si>
    <t>KZMJ00001923</t>
  </si>
  <si>
    <t>АО "Актюбинский завод металлоконструкций"</t>
  </si>
  <si>
    <t>HSBKb21</t>
  </si>
  <si>
    <t>KZ2C00011468</t>
  </si>
  <si>
    <t>ACARb1</t>
  </si>
  <si>
    <t>KZ2P00011364</t>
  </si>
  <si>
    <t>BRKZb14</t>
  </si>
  <si>
    <t>KZ2C00004273</t>
  </si>
  <si>
    <t>BTRKb9</t>
  </si>
  <si>
    <t>KZ2C00010304</t>
  </si>
  <si>
    <t>KFUSb9</t>
  </si>
  <si>
    <t>KZ2C00007318</t>
  </si>
  <si>
    <t>OM_01_2908</t>
  </si>
  <si>
    <t>XS1944412748</t>
  </si>
  <si>
    <t>AE_02_2909</t>
  </si>
  <si>
    <t>XS2057865979</t>
  </si>
  <si>
    <t>SA_02_2904</t>
  </si>
  <si>
    <t>XS1936302865</t>
  </si>
  <si>
    <t>XS2444205756</t>
  </si>
  <si>
    <t>US101_3302</t>
  </si>
  <si>
    <t>US91282CGM73</t>
  </si>
  <si>
    <t>SA_04_2610</t>
  </si>
  <si>
    <t>XS1508675417</t>
  </si>
  <si>
    <t>PE_02_2601</t>
  </si>
  <si>
    <t>US715638DE95</t>
  </si>
  <si>
    <t>KZ_14_2609</t>
  </si>
  <si>
    <t>XS2050933899</t>
  </si>
  <si>
    <t>CLSGb3</t>
  </si>
  <si>
    <t>KZ2P00010192</t>
  </si>
  <si>
    <t>CLSGb4</t>
  </si>
  <si>
    <t>KZ2P00011604</t>
  </si>
  <si>
    <t>KFUSb10</t>
  </si>
  <si>
    <t>KZ2C00007326</t>
  </si>
  <si>
    <t>KFUSb5</t>
  </si>
  <si>
    <t>KZ2C00007110</t>
  </si>
  <si>
    <t>KFUSb7</t>
  </si>
  <si>
    <t>KZ2C00007136</t>
  </si>
  <si>
    <t>MFCIb2</t>
  </si>
  <si>
    <t>KZ2P00011166</t>
  </si>
  <si>
    <t>EIB_e1</t>
  </si>
  <si>
    <t>US298785JT41</t>
  </si>
  <si>
    <t>EABRe6</t>
  </si>
  <si>
    <t>XS2315951041</t>
  </si>
  <si>
    <t>US_64_2510</t>
  </si>
  <si>
    <t>US9128285J52</t>
  </si>
  <si>
    <t>BKBTb1</t>
  </si>
  <si>
    <t>KZ2P00010317</t>
  </si>
  <si>
    <t>BTRKb5</t>
  </si>
  <si>
    <t>KZ2C00007060</t>
  </si>
  <si>
    <t>KEGCb3</t>
  </si>
  <si>
    <t>KZ2C00006658</t>
  </si>
  <si>
    <t>TCOMb1</t>
  </si>
  <si>
    <t>KZ2C00006344</t>
  </si>
  <si>
    <t>US107_3102</t>
  </si>
  <si>
    <t>US91282CBL46</t>
  </si>
  <si>
    <t>IBRDe2</t>
  </si>
  <si>
    <t>US459058KW25</t>
  </si>
  <si>
    <t>QA_03_2903</t>
  </si>
  <si>
    <t>XS1959337582</t>
  </si>
  <si>
    <t>US_07_4411</t>
  </si>
  <si>
    <t>US912810RJ97</t>
  </si>
  <si>
    <t>US135_2511</t>
  </si>
  <si>
    <t>US91282CJL63</t>
  </si>
  <si>
    <t>SA_03_2702</t>
  </si>
  <si>
    <t>XS2109766126</t>
  </si>
  <si>
    <t>PH_02_2802</t>
  </si>
  <si>
    <t>US718286CC97</t>
  </si>
  <si>
    <t>US_08_4105</t>
  </si>
  <si>
    <t>US912810SY55</t>
  </si>
  <si>
    <t>AT_01_2006</t>
  </si>
  <si>
    <t>AT0000A2HLC4</t>
  </si>
  <si>
    <t>BTRKb7</t>
  </si>
  <si>
    <t>KZ2C00007383</t>
  </si>
  <si>
    <t>KFUSb11</t>
  </si>
  <si>
    <t>KZ2C00007334</t>
  </si>
  <si>
    <t>US106_2812</t>
  </si>
  <si>
    <t>US91282CDP32</t>
  </si>
  <si>
    <t>EBRDe24</t>
  </si>
  <si>
    <t>US29874QEX88</t>
  </si>
  <si>
    <t>US_87_2509</t>
  </si>
  <si>
    <t>US9128285C00</t>
  </si>
  <si>
    <t>EBRDe26</t>
  </si>
  <si>
    <t>US29874QFA76</t>
  </si>
  <si>
    <t>US103_3102</t>
  </si>
  <si>
    <t>US912810FP85</t>
  </si>
  <si>
    <t>PE_01_2708</t>
  </si>
  <si>
    <t>US715638BU55</t>
  </si>
  <si>
    <t>BTRKb8</t>
  </si>
  <si>
    <t>KZ2C00008332</t>
  </si>
  <si>
    <t>KFUSb6</t>
  </si>
  <si>
    <t>KZ2C00007128</t>
  </si>
  <si>
    <t>KZTKb4</t>
  </si>
  <si>
    <t>KZ2C00005932</t>
  </si>
  <si>
    <t>MFRFb12</t>
  </si>
  <si>
    <t>KZ2P00011067</t>
  </si>
  <si>
    <t>AE_01_3004</t>
  </si>
  <si>
    <t>XS2125308168</t>
  </si>
  <si>
    <t>IBRDe3</t>
  </si>
  <si>
    <t>US459058KL69</t>
  </si>
  <si>
    <t>US_82_2603</t>
  </si>
  <si>
    <t>US91282CBT71</t>
  </si>
  <si>
    <t>US045167FW84</t>
  </si>
  <si>
    <t>US102_3308</t>
  </si>
  <si>
    <t>US91282CHT18</t>
  </si>
  <si>
    <t>BRKZe14</t>
  </si>
  <si>
    <t>XS2800066297</t>
  </si>
  <si>
    <t>BRKZe15</t>
  </si>
  <si>
    <t>XS2800066370</t>
  </si>
  <si>
    <t>CLSGb5</t>
  </si>
  <si>
    <t>KZ2P00011612</t>
  </si>
  <si>
    <t>KFUSb1</t>
  </si>
  <si>
    <t>KZ2C00006906</t>
  </si>
  <si>
    <t>KZIKb27</t>
  </si>
  <si>
    <t>KZ2C00003333</t>
  </si>
  <si>
    <t>MFECb2</t>
  </si>
  <si>
    <t>KZ2P00011380</t>
  </si>
  <si>
    <t>MFLPb1</t>
  </si>
  <si>
    <t>KZ2P00010283</t>
  </si>
  <si>
    <t>US134_2509</t>
  </si>
  <si>
    <t>US91282CJB81</t>
  </si>
  <si>
    <t>SA_01_2803</t>
  </si>
  <si>
    <t>XS1694217495</t>
  </si>
  <si>
    <t>US_04_2908</t>
  </si>
  <si>
    <t>US912810FJ26</t>
  </si>
  <si>
    <t>XS2294363416</t>
  </si>
  <si>
    <t>MFTSb1</t>
  </si>
  <si>
    <t>KZ2P00010580</t>
  </si>
  <si>
    <t>SKKZb11</t>
  </si>
  <si>
    <t>KZ2C00002319</t>
  </si>
  <si>
    <t>TCOMb2</t>
  </si>
  <si>
    <t>KZ2C00006880</t>
  </si>
  <si>
    <t>TR_02_2904</t>
  </si>
  <si>
    <t>US900123CT57</t>
  </si>
  <si>
    <t>US105_2612</t>
  </si>
  <si>
    <t>US912828YX25</t>
  </si>
  <si>
    <t>IDFRb4</t>
  </si>
  <si>
    <t>KZ2C00008217</t>
  </si>
  <si>
    <t>KZIKb30</t>
  </si>
  <si>
    <t>KZ2C00006393</t>
  </si>
  <si>
    <t>KZ_06_4410</t>
  </si>
  <si>
    <t>XS1120709826</t>
  </si>
  <si>
    <t>KZ_22_4507</t>
  </si>
  <si>
    <t>XS1263139856</t>
  </si>
  <si>
    <t>MFTFb1</t>
  </si>
  <si>
    <t>KZ2P00007776</t>
  </si>
  <si>
    <t>US_86_2512</t>
  </si>
  <si>
    <t>US91282CGA36</t>
  </si>
  <si>
    <t>QA_02_3004</t>
  </si>
  <si>
    <t>XS2155352664</t>
  </si>
  <si>
    <t>US_97_3205</t>
  </si>
  <si>
    <t>US91282CEP23</t>
  </si>
  <si>
    <t>PH_01_2901</t>
  </si>
  <si>
    <t>US718286CG02</t>
  </si>
  <si>
    <t>QA_01_2606</t>
  </si>
  <si>
    <t>XS1405782159</t>
  </si>
  <si>
    <t>BTRKb11</t>
  </si>
  <si>
    <t>KZ2C00011211</t>
  </si>
  <si>
    <t>MFRFb9</t>
  </si>
  <si>
    <t>KZ2P00010366</t>
  </si>
  <si>
    <t>QA_04_2804</t>
  </si>
  <si>
    <t>XS1807174393</t>
  </si>
  <si>
    <t>US_06_3011</t>
  </si>
  <si>
    <t>US91282CAV37</t>
  </si>
  <si>
    <t>IFC_e9</t>
  </si>
  <si>
    <t>US45950KDD90</t>
  </si>
  <si>
    <t>US_85_2606</t>
  </si>
  <si>
    <t>US91282CCJ80</t>
  </si>
  <si>
    <t>US_72_5211</t>
  </si>
  <si>
    <t>US912810TL26</t>
  </si>
  <si>
    <t>US_62_2601</t>
  </si>
  <si>
    <t>US91282CBH34</t>
  </si>
  <si>
    <t>FHJIpc</t>
  </si>
  <si>
    <t>KZPF00000140</t>
  </si>
  <si>
    <t>FHJIag</t>
  </si>
  <si>
    <t>KZPF00000132</t>
  </si>
  <si>
    <t>IE_FXBF</t>
  </si>
  <si>
    <t>IE00BG0C3K84</t>
  </si>
  <si>
    <t>AMD_KZ</t>
  </si>
  <si>
    <t>US0079031078</t>
  </si>
  <si>
    <t>Advanced Micro Devices, Inc.</t>
  </si>
  <si>
    <t>NKE_KZ</t>
  </si>
  <si>
    <t>US6541061031</t>
  </si>
  <si>
    <t>NIKE, Inc.</t>
  </si>
  <si>
    <t>BCCI_cc</t>
  </si>
  <si>
    <t>KZPF00000058</t>
  </si>
  <si>
    <t>US78463V1070</t>
  </si>
  <si>
    <t>SPDR Gold Trust</t>
  </si>
  <si>
    <t>C_KZ</t>
  </si>
  <si>
    <t>US1729674242</t>
  </si>
  <si>
    <t>Citigroup Inc.</t>
  </si>
  <si>
    <t>BOTZ_KZ</t>
  </si>
  <si>
    <t>US37954Y7159</t>
  </si>
  <si>
    <t>Mirae Asset Global Investments</t>
  </si>
  <si>
    <t>PYPL_KZ</t>
  </si>
  <si>
    <t>US70450Y1038</t>
  </si>
  <si>
    <t>PayPal Holdings Inc.</t>
  </si>
  <si>
    <t>MA_KZ</t>
  </si>
  <si>
    <t>US57636Q1040</t>
  </si>
  <si>
    <t>Mastercard, Inc.</t>
  </si>
  <si>
    <t>CRM_KZ</t>
  </si>
  <si>
    <t>US79466L3024</t>
  </si>
  <si>
    <t>SALESFORCE.COM Inc</t>
  </si>
  <si>
    <t>COP_KZ</t>
  </si>
  <si>
    <t>US20825C1045</t>
  </si>
  <si>
    <t>ConocoPhillips</t>
  </si>
  <si>
    <t>XOM_KZ</t>
  </si>
  <si>
    <t>US30231G1022</t>
  </si>
  <si>
    <t>Exxon Mobil Corporation</t>
  </si>
  <si>
    <t>TSLA_KZ</t>
  </si>
  <si>
    <t>US88160R1014</t>
  </si>
  <si>
    <t>Tesla, Inc.</t>
  </si>
  <si>
    <t>MSFT_KZ</t>
  </si>
  <si>
    <t>US5949181045</t>
  </si>
  <si>
    <t xml:space="preserve">Microsoft Corporation </t>
  </si>
  <si>
    <t>AIR_KZ</t>
  </si>
  <si>
    <t>NL0000235190</t>
  </si>
  <si>
    <t>Airbus</t>
  </si>
  <si>
    <t>GB_ALTN</t>
  </si>
  <si>
    <t>GB00BMH19X50</t>
  </si>
  <si>
    <t>AltynGold plc</t>
  </si>
  <si>
    <t>US78468R6633</t>
  </si>
  <si>
    <t xml:space="preserve">SPDR Series Trust </t>
  </si>
  <si>
    <t>AEP_KZ</t>
  </si>
  <si>
    <t>US0255371017</t>
  </si>
  <si>
    <t>American Electric Power Company, Inc.</t>
  </si>
  <si>
    <t>MTB_KZ</t>
  </si>
  <si>
    <t>US55261F1049</t>
  </si>
  <si>
    <t xml:space="preserve">M&amp;T Bank Corporation </t>
  </si>
  <si>
    <t>UBER_KZ</t>
  </si>
  <si>
    <t>US90353T1007</t>
  </si>
  <si>
    <t>Uber Technologies Inc.</t>
  </si>
  <si>
    <t>QCOM_KZ</t>
  </si>
  <si>
    <t>US7475251036</t>
  </si>
  <si>
    <t xml:space="preserve">QUALCOMM Inc. </t>
  </si>
  <si>
    <t>M_KZ</t>
  </si>
  <si>
    <t>US55616P1049</t>
  </si>
  <si>
    <t>Macy's</t>
  </si>
  <si>
    <t>BA_KZ</t>
  </si>
  <si>
    <t>US0970231058</t>
  </si>
  <si>
    <t>The Boeing Company</t>
  </si>
  <si>
    <t>BAC_KZ</t>
  </si>
  <si>
    <t>US0605051046</t>
  </si>
  <si>
    <t>Bank of America Corporation</t>
  </si>
  <si>
    <t>SBUX_KZ</t>
  </si>
  <si>
    <t>US8552441094</t>
  </si>
  <si>
    <t>Starbucks Corporation</t>
  </si>
  <si>
    <t>META_KZ</t>
  </si>
  <si>
    <t>US30303M1027</t>
  </si>
  <si>
    <t>Meta Platforms, Inc.</t>
  </si>
  <si>
    <t>XS2351373134</t>
  </si>
  <si>
    <t>FRHC_KZ</t>
  </si>
  <si>
    <t>US3563901046</t>
  </si>
  <si>
    <t>Freedom Holding Corp.</t>
  </si>
  <si>
    <t>QQQ_KZ</t>
  </si>
  <si>
    <t>US46090E1038</t>
  </si>
  <si>
    <t>Invesco Exchange-Traded Fund Trust</t>
  </si>
  <si>
    <t>HSBKd</t>
  </si>
  <si>
    <t>US46627J3023</t>
  </si>
  <si>
    <t>PRKRe1</t>
  </si>
  <si>
    <t>RU000A102BF7</t>
  </si>
  <si>
    <t>XLU_KZ</t>
  </si>
  <si>
    <t>US81369Y8865</t>
  </si>
  <si>
    <t xml:space="preserve">The Select Sector SPDR Trust  </t>
  </si>
  <si>
    <t>CAT_KZ</t>
  </si>
  <si>
    <t>US1491231015</t>
  </si>
  <si>
    <t>Caterpillar</t>
  </si>
  <si>
    <t>ABT_KZ</t>
  </si>
  <si>
    <t>US0028241000</t>
  </si>
  <si>
    <t>Abbott Lab.</t>
  </si>
  <si>
    <t>T_KZ</t>
  </si>
  <si>
    <t>US00206R1023</t>
  </si>
  <si>
    <t>AT&amp;T Inc.</t>
  </si>
  <si>
    <t>MRNA_KZ</t>
  </si>
  <si>
    <t>US60770K1079</t>
  </si>
  <si>
    <t>Moderna</t>
  </si>
  <si>
    <t>BIIB_KZ</t>
  </si>
  <si>
    <t>US09062X1037</t>
  </si>
  <si>
    <t>Biogen</t>
  </si>
  <si>
    <t>AAPL_KZ</t>
  </si>
  <si>
    <t>US0378331005</t>
  </si>
  <si>
    <t xml:space="preserve">Apple Inc. </t>
  </si>
  <si>
    <t>IFC_e1</t>
  </si>
  <si>
    <t>XS1831081408</t>
  </si>
  <si>
    <t>SA_05_2704</t>
  </si>
  <si>
    <t>XS1599284202</t>
  </si>
  <si>
    <t>US78462F1030</t>
  </si>
  <si>
    <t>State Street Global Advisors</t>
  </si>
  <si>
    <t>DIS_KZ</t>
  </si>
  <si>
    <t>US2546871060</t>
  </si>
  <si>
    <t>The Walt Disney Company</t>
  </si>
  <si>
    <t>URA_KZ</t>
  </si>
  <si>
    <t>US37954Y8710</t>
  </si>
  <si>
    <t>NEM_KZ</t>
  </si>
  <si>
    <t>US6516391066</t>
  </si>
  <si>
    <t>Newmont Corp.</t>
  </si>
  <si>
    <t>TXN_KZ</t>
  </si>
  <si>
    <t>US8825081040</t>
  </si>
  <si>
    <t xml:space="preserve">Texas Instruments Inc. </t>
  </si>
  <si>
    <t>MU_KZ</t>
  </si>
  <si>
    <t>US5951121038</t>
  </si>
  <si>
    <t>Micron Technology, Inc.</t>
  </si>
  <si>
    <t>FTNT_KZ</t>
  </si>
  <si>
    <t>US34959E1091</t>
  </si>
  <si>
    <t>Fortinet, Inc.</t>
  </si>
  <si>
    <t>INTC_KZ</t>
  </si>
  <si>
    <t>US4581401001</t>
  </si>
  <si>
    <t>Intel Corporation</t>
  </si>
  <si>
    <t>HK_01_2702</t>
  </si>
  <si>
    <t>XS1555404786</t>
  </si>
  <si>
    <t>US4642882249</t>
  </si>
  <si>
    <t>iShares Trust</t>
  </si>
  <si>
    <t>KZAPd</t>
  </si>
  <si>
    <t>US63253R2013</t>
  </si>
  <si>
    <t>LQD_KZ</t>
  </si>
  <si>
    <t>US4642872422</t>
  </si>
  <si>
    <t>BlackRock, Inc</t>
  </si>
  <si>
    <t>IBM_KZ</t>
  </si>
  <si>
    <t>US4592001014</t>
  </si>
  <si>
    <t>IBM corp.</t>
  </si>
  <si>
    <t>NFLX_KZ</t>
  </si>
  <si>
    <t>US64110L1061</t>
  </si>
  <si>
    <t>Netflix, Inc</t>
  </si>
  <si>
    <t>FLGB_KZ</t>
  </si>
  <si>
    <t>US35473P6786</t>
  </si>
  <si>
    <t>Franklin Templeton Investments, Inc.</t>
  </si>
  <si>
    <t>EWQ_KZ</t>
  </si>
  <si>
    <t>US4642867075</t>
  </si>
  <si>
    <t>iShares Inc.</t>
  </si>
  <si>
    <t>IGLB_KZ</t>
  </si>
  <si>
    <t>US4642895118</t>
  </si>
  <si>
    <t>XS2294363689</t>
  </si>
  <si>
    <t>MY_01_3104</t>
  </si>
  <si>
    <t>USY57542AA32</t>
  </si>
  <si>
    <t>OXY_KZ</t>
  </si>
  <si>
    <t>US6745991058</t>
  </si>
  <si>
    <t>Occidental Petroleum Corp.</t>
  </si>
  <si>
    <t>XLP_KZ</t>
  </si>
  <si>
    <t>US81369Y3080</t>
  </si>
  <si>
    <t>JPM_KZ</t>
  </si>
  <si>
    <t>US46625H1005</t>
  </si>
  <si>
    <t>JPMorgan Chase &amp; Co.</t>
  </si>
  <si>
    <t>AAL_KZ</t>
  </si>
  <si>
    <t>US02376R1023</t>
  </si>
  <si>
    <t>American Airlines</t>
  </si>
  <si>
    <t>GOOG_KZ</t>
  </si>
  <si>
    <t>US02079K1079</t>
  </si>
  <si>
    <t>ALPHABET INC.</t>
  </si>
  <si>
    <t>BITO_KZ</t>
  </si>
  <si>
    <t>US74347G4405</t>
  </si>
  <si>
    <t>ProShares Trust</t>
  </si>
  <si>
    <t>VZ_KZ</t>
  </si>
  <si>
    <t>US92343V1044</t>
  </si>
  <si>
    <t>Verizon Communications Inc.</t>
  </si>
  <si>
    <t>JNJ_KZ</t>
  </si>
  <si>
    <t>US4781601046</t>
  </si>
  <si>
    <t>Johnson &amp; Johnson</t>
  </si>
  <si>
    <t>KO_KZ</t>
  </si>
  <si>
    <t>US1912161007</t>
  </si>
  <si>
    <t>The Coca-Cola Company</t>
  </si>
  <si>
    <t>US46137V1420</t>
  </si>
  <si>
    <t>HYG_KZ</t>
  </si>
  <si>
    <t>US4642885135</t>
  </si>
  <si>
    <t>GDX_KZ</t>
  </si>
  <si>
    <t>US92189F1066</t>
  </si>
  <si>
    <t>VANECK ETF TRUST</t>
  </si>
  <si>
    <t>NVDA_KZ</t>
  </si>
  <si>
    <t>US67066G1040</t>
  </si>
  <si>
    <t>NVIDIA Corp.</t>
  </si>
  <si>
    <t>FCX_KZ</t>
  </si>
  <si>
    <t>US35671D8570</t>
  </si>
  <si>
    <t>Freeport-McMoRan Inc.</t>
  </si>
  <si>
    <t>AMZN_KZ</t>
  </si>
  <si>
    <t>US0231351067</t>
  </si>
  <si>
    <t>Amazon.com, Inc.</t>
  </si>
  <si>
    <t>PFE_KZ</t>
  </si>
  <si>
    <t>US7170811035</t>
  </si>
  <si>
    <t>Pfizer Inc.</t>
  </si>
  <si>
    <t>F_KZ</t>
  </si>
  <si>
    <t>US3453708600</t>
  </si>
  <si>
    <t>Ford Motor Company</t>
  </si>
  <si>
    <t>ABK024_183</t>
  </si>
  <si>
    <t>KZMJ00001832</t>
  </si>
  <si>
    <t>JSBNb1</t>
  </si>
  <si>
    <t>KZ2C00004133</t>
  </si>
  <si>
    <t>TKK022_194</t>
  </si>
  <si>
    <t>KZMJ00001949</t>
  </si>
  <si>
    <t>MFRFb11</t>
  </si>
  <si>
    <t>KZ2P00010937</t>
  </si>
  <si>
    <t>AKK116_104</t>
  </si>
  <si>
    <t>KZMF00001042</t>
  </si>
  <si>
    <t>ASK116_014</t>
  </si>
  <si>
    <t>KZZJ00000144</t>
  </si>
  <si>
    <t>ATK116_096</t>
  </si>
  <si>
    <t>KZMF00000960</t>
  </si>
  <si>
    <t>KSK116_195</t>
  </si>
  <si>
    <t>KZMJ00001956</t>
  </si>
  <si>
    <t>MGK116_089</t>
  </si>
  <si>
    <t>KZMF00000895</t>
  </si>
  <si>
    <t>PVK116_095</t>
  </si>
  <si>
    <t>KZMF00000952</t>
  </si>
  <si>
    <t>SHK116_007</t>
  </si>
  <si>
    <t>KZSF00000071</t>
  </si>
  <si>
    <t>AAFD</t>
  </si>
  <si>
    <t>KZ1C00008721</t>
  </si>
  <si>
    <t>ABK119_081</t>
  </si>
  <si>
    <t>KZMF00000812</t>
  </si>
  <si>
    <t>ADRP</t>
  </si>
  <si>
    <t>KZ1C00014562</t>
  </si>
  <si>
    <t>AGRC</t>
  </si>
  <si>
    <t>KZ1C00014513</t>
  </si>
  <si>
    <t>AIK024_167</t>
  </si>
  <si>
    <t>KZMJ00001675</t>
  </si>
  <si>
    <t>AKK024_177</t>
  </si>
  <si>
    <t>KZMJ00001774</t>
  </si>
  <si>
    <t>AKK119_076</t>
  </si>
  <si>
    <t>KZMF00000762</t>
  </si>
  <si>
    <t>ALK117_008</t>
  </si>
  <si>
    <t>KZAF00000089</t>
  </si>
  <si>
    <t>ALK119_007</t>
  </si>
  <si>
    <t>KZAF00000071</t>
  </si>
  <si>
    <t>ARK119_079</t>
  </si>
  <si>
    <t>KZMF00000796</t>
  </si>
  <si>
    <t>ASKQ</t>
  </si>
  <si>
    <t>KZ1C00014851</t>
  </si>
  <si>
    <t>ASKQp</t>
  </si>
  <si>
    <t>KZ1P00014989</t>
  </si>
  <si>
    <t>ATK119_072</t>
  </si>
  <si>
    <t>KZMF00000721</t>
  </si>
  <si>
    <t>BRKZb32</t>
  </si>
  <si>
    <t>KZ2C00009637</t>
  </si>
  <si>
    <t>CSEC</t>
  </si>
  <si>
    <t>KZ1C00009562</t>
  </si>
  <si>
    <t>DZK024_168</t>
  </si>
  <si>
    <t>KZMJ00001683</t>
  </si>
  <si>
    <t>DZK024_170</t>
  </si>
  <si>
    <t>KZMJ00001709</t>
  </si>
  <si>
    <t>DZK119_082</t>
  </si>
  <si>
    <t>KZMF00000820</t>
  </si>
  <si>
    <t>EBRDe19</t>
  </si>
  <si>
    <t>XS2655869530</t>
  </si>
  <si>
    <t>EBRDe20</t>
  </si>
  <si>
    <t>XS2708176610</t>
  </si>
  <si>
    <t>EBRDe22</t>
  </si>
  <si>
    <t>XS2754484439</t>
  </si>
  <si>
    <t>FHRP</t>
  </si>
  <si>
    <t>KZ1C00015171</t>
  </si>
  <si>
    <t>FINQpp1</t>
  </si>
  <si>
    <t>KZ2P00008477</t>
  </si>
  <si>
    <t>HKGMhg</t>
  </si>
  <si>
    <t>KZPF00000165</t>
  </si>
  <si>
    <t>ICD_e1</t>
  </si>
  <si>
    <t>XS2624614751</t>
  </si>
  <si>
    <t>IFC_e7</t>
  </si>
  <si>
    <t>XS2725046283</t>
  </si>
  <si>
    <t>IFC_e8</t>
  </si>
  <si>
    <t>XS2725047505</t>
  </si>
  <si>
    <t>JTK024_166</t>
  </si>
  <si>
    <t>KZMJ00001667</t>
  </si>
  <si>
    <t>KACMb1</t>
  </si>
  <si>
    <t>KZ2C00007805</t>
  </si>
  <si>
    <t>KEGCb4</t>
  </si>
  <si>
    <t>KZ2C00007797</t>
  </si>
  <si>
    <t>KFUSb55</t>
  </si>
  <si>
    <t>KZ2C00009470</t>
  </si>
  <si>
    <t>KGK117_087</t>
  </si>
  <si>
    <t>KZMF00000879</t>
  </si>
  <si>
    <t>KGK119_080</t>
  </si>
  <si>
    <t>KZMF00000804</t>
  </si>
  <si>
    <t>KOK024_172</t>
  </si>
  <si>
    <t>KZMJ00001725</t>
  </si>
  <si>
    <t>KSK024_159</t>
  </si>
  <si>
    <t>KZMJ00001592</t>
  </si>
  <si>
    <t>KSK119_075</t>
  </si>
  <si>
    <t>KZMF00000754</t>
  </si>
  <si>
    <t>MFOKb20</t>
  </si>
  <si>
    <t>KZ2C00010916</t>
  </si>
  <si>
    <t>MFRGb1</t>
  </si>
  <si>
    <t>KZ2P00008204</t>
  </si>
  <si>
    <t>MFUCb5</t>
  </si>
  <si>
    <t>KZ2P00010408</t>
  </si>
  <si>
    <t>MGK118_083</t>
  </si>
  <si>
    <t>KZMF00000838</t>
  </si>
  <si>
    <t>MGK119_077</t>
  </si>
  <si>
    <t>KZMF00000770</t>
  </si>
  <si>
    <t>MGK130_084</t>
  </si>
  <si>
    <t>KZMF00000846</t>
  </si>
  <si>
    <t>MGK132_085</t>
  </si>
  <si>
    <t>KZMF00000853</t>
  </si>
  <si>
    <t>MKBW</t>
  </si>
  <si>
    <t>KZ1C00014422</t>
  </si>
  <si>
    <t>NSK119_006</t>
  </si>
  <si>
    <t>KZZF00000064</t>
  </si>
  <si>
    <t>PVK024_175</t>
  </si>
  <si>
    <t>KZMJ00001758</t>
  </si>
  <si>
    <t>PVK119_078</t>
  </si>
  <si>
    <t>KZMF00000788</t>
  </si>
  <si>
    <t>SABRp</t>
  </si>
  <si>
    <t>KZ1P00014559</t>
  </si>
  <si>
    <t>SHK119_006</t>
  </si>
  <si>
    <t>KZSF00000063</t>
  </si>
  <si>
    <t>SKK024_165</t>
  </si>
  <si>
    <t>KZMJ00001659</t>
  </si>
  <si>
    <t>SKK024_178</t>
  </si>
  <si>
    <t>KZMJ00001782</t>
  </si>
  <si>
    <t>SKK119_073</t>
  </si>
  <si>
    <t>KZMF00000739</t>
  </si>
  <si>
    <t>TKK024_169</t>
  </si>
  <si>
    <t>KZMJ00001691</t>
  </si>
  <si>
    <t>TKK117_086</t>
  </si>
  <si>
    <t>KZMF00000861</t>
  </si>
  <si>
    <t>UTK024_164</t>
  </si>
  <si>
    <t>KZMJ00001642</t>
  </si>
  <si>
    <t>VKK119_074</t>
  </si>
  <si>
    <t>KZMF00000747</t>
  </si>
  <si>
    <t>ZHLT</t>
  </si>
  <si>
    <t>KZ1C00003821</t>
  </si>
  <si>
    <t>ZKK024_176</t>
  </si>
  <si>
    <t>KZMJ00001766</t>
  </si>
  <si>
    <t>ZKK119_071</t>
  </si>
  <si>
    <t>KZMF00000713</t>
  </si>
  <si>
    <t>Министерство Финансов Республики Казахстан MOM048_0052</t>
  </si>
  <si>
    <t>Министерство Финансов Республики Казахстан MUM084_0018</t>
  </si>
  <si>
    <t>Министерство Финансов Республики Казахстан MUM096_0012</t>
  </si>
  <si>
    <t>Министерство Финансов Республики Казахстан MUM108_0013</t>
  </si>
  <si>
    <t>Министерство Финансов Республики Казахстан MUM120_0017</t>
  </si>
  <si>
    <t>Министерство Финансов Республики Казахстан MUM120_0019</t>
  </si>
  <si>
    <t>Министерство Финансов Республики Казахстан MUM132_0007</t>
  </si>
  <si>
    <t>Министерство Финансов Республики Казахстан MUM156_0005</t>
  </si>
  <si>
    <t>Министерство Финансов Республики Казахстан MUM168_0003</t>
  </si>
  <si>
    <t>Министерство Финансов Республики Казахстан MUM180_0006</t>
  </si>
  <si>
    <t>Министерство Финансов Республики Казахстан MUM240_0002</t>
  </si>
  <si>
    <t>Министерство Финансов Республики Казахстан MUM240_0004</t>
  </si>
  <si>
    <t>Евразийский Банк Развития EABRb52</t>
  </si>
  <si>
    <t>KZ2D00011863</t>
  </si>
  <si>
    <t>EABRb52</t>
  </si>
  <si>
    <t>AIK022_200</t>
  </si>
  <si>
    <t>KZMJ00002004</t>
  </si>
  <si>
    <t>AKK022_201</t>
  </si>
  <si>
    <t>KZMJ00002012</t>
  </si>
  <si>
    <t>ALK115_013</t>
  </si>
  <si>
    <t>KZAJ00000135</t>
  </si>
  <si>
    <t>ATK022_197</t>
  </si>
  <si>
    <t>KZMJ00001972</t>
  </si>
  <si>
    <t>BERKb19</t>
  </si>
  <si>
    <t>KZ2C00011708</t>
  </si>
  <si>
    <t>BERKb20</t>
  </si>
  <si>
    <t>KZ2C00011831</t>
  </si>
  <si>
    <t>FINQpp2</t>
  </si>
  <si>
    <t>KZ2P00011471</t>
  </si>
  <si>
    <t>INBNb14</t>
  </si>
  <si>
    <t>KZ2C00009835</t>
  </si>
  <si>
    <t>KOK022_196</t>
  </si>
  <si>
    <t>KZMJ00001964</t>
  </si>
  <si>
    <t>PVK022_198</t>
  </si>
  <si>
    <t>KZMJ00001980</t>
  </si>
  <si>
    <t>SNSIpp1</t>
  </si>
  <si>
    <t>KZ2C00011849</t>
  </si>
  <si>
    <t>TERRb1</t>
  </si>
  <si>
    <t>KZ2P00011810</t>
  </si>
  <si>
    <t>FPSTb5</t>
  </si>
  <si>
    <t>KZ2P00011778</t>
  </si>
  <si>
    <t>KZ2C00011245</t>
  </si>
  <si>
    <t>BTRKb14</t>
  </si>
  <si>
    <t>MFLGb1</t>
  </si>
  <si>
    <t>KZ2P00011877</t>
  </si>
  <si>
    <t>KFUSb70</t>
  </si>
  <si>
    <t>KZ2C00010791</t>
  </si>
  <si>
    <t>INBNb16</t>
  </si>
  <si>
    <t>KZ2C00011880</t>
  </si>
  <si>
    <t>US108_2701</t>
  </si>
  <si>
    <t>US912828V491</t>
  </si>
  <si>
    <t>UTK022_202</t>
  </si>
  <si>
    <t>KZMJ00002020</t>
  </si>
  <si>
    <t>KZIKb34</t>
  </si>
  <si>
    <t>KZ2C00007409</t>
  </si>
  <si>
    <t>KZIKb38</t>
  </si>
  <si>
    <t>KZ2C00007649</t>
  </si>
  <si>
    <t>KZIKb37</t>
  </si>
  <si>
    <t>KZ2C00007854</t>
  </si>
  <si>
    <t>NCOMb4</t>
  </si>
  <si>
    <t>KZ2P00012172</t>
  </si>
  <si>
    <t>ABK114_193</t>
  </si>
  <si>
    <t>KZMJ00001931</t>
  </si>
  <si>
    <t>ALK022_012</t>
  </si>
  <si>
    <t>KZAJ00000127</t>
  </si>
  <si>
    <t>ATK114_199</t>
  </si>
  <si>
    <t>KZMJ00001998</t>
  </si>
  <si>
    <t>ARMAb1</t>
  </si>
  <si>
    <t>KZ2P00011786</t>
  </si>
  <si>
    <t>MFAFb7</t>
  </si>
  <si>
    <t>KZ2P00011513</t>
  </si>
  <si>
    <t>MFSLb3</t>
  </si>
  <si>
    <t>KZ2P00011729</t>
  </si>
  <si>
    <t>KFUSb71</t>
  </si>
  <si>
    <t>KZ2C00010809</t>
  </si>
  <si>
    <t>MFTFb4</t>
  </si>
  <si>
    <t>KZ2P00011976</t>
  </si>
  <si>
    <t>BRKZb38</t>
  </si>
  <si>
    <t>KZ2C00011583</t>
  </si>
  <si>
    <t>IDFRb7</t>
  </si>
  <si>
    <t>KZ2C00011542</t>
  </si>
  <si>
    <t>2) Кредиторская задолженность за октябрь 2024год</t>
  </si>
  <si>
    <t>JTK022_204</t>
  </si>
  <si>
    <t>KZMJ00002046</t>
  </si>
  <si>
    <t>KFUSb79</t>
  </si>
  <si>
    <t>KZ2C00012052</t>
  </si>
  <si>
    <t>LZGRb8</t>
  </si>
  <si>
    <t>KZ2C00012185</t>
  </si>
  <si>
    <t>JTK022_206</t>
  </si>
  <si>
    <t>KZMJ00002061</t>
  </si>
  <si>
    <t>MFLGb2</t>
  </si>
  <si>
    <t>KZ2P00012206</t>
  </si>
  <si>
    <t>MFSLb4</t>
  </si>
  <si>
    <t>KZ2P00012313</t>
  </si>
  <si>
    <t>MFSLb5</t>
  </si>
  <si>
    <t>KZ2P00012339</t>
  </si>
  <si>
    <t>MFSLb6</t>
  </si>
  <si>
    <t>KZ2P00012362</t>
  </si>
  <si>
    <t>KZ_23_3504</t>
  </si>
  <si>
    <t>XS2914770545</t>
  </si>
  <si>
    <t>MFOKb21</t>
  </si>
  <si>
    <t>KZ2C00011906</t>
  </si>
  <si>
    <t>MFOKb22</t>
  </si>
  <si>
    <t>KZ2C00011914</t>
  </si>
  <si>
    <t>TLT_KZ</t>
  </si>
  <si>
    <t>US4642874329</t>
  </si>
  <si>
    <t>MKM012_0159</t>
  </si>
  <si>
    <t>KZK100000365</t>
  </si>
  <si>
    <t>BRKZe16</t>
  </si>
  <si>
    <t>XS2917067204</t>
  </si>
  <si>
    <t>BRKZe17</t>
  </si>
  <si>
    <t>XS2917067386</t>
  </si>
  <si>
    <t>MFRFb14</t>
  </si>
  <si>
    <t>KZ2P00011687</t>
  </si>
  <si>
    <t>MFLGb3</t>
  </si>
  <si>
    <t>KZ2P00012214</t>
  </si>
  <si>
    <t>IBRDe5</t>
  </si>
  <si>
    <t>US459058LA95</t>
  </si>
  <si>
    <t>IBRDe6</t>
  </si>
  <si>
    <t>US459058LF82</t>
  </si>
  <si>
    <t>SKK113_203</t>
  </si>
  <si>
    <t>KZMJ00002038</t>
  </si>
  <si>
    <t>АО "Национальная атомная компания "Казатомпром"</t>
  </si>
  <si>
    <t>MFMOb8</t>
  </si>
  <si>
    <t>KZ2P00012545</t>
  </si>
  <si>
    <t>MFMOb9</t>
  </si>
  <si>
    <t>KZ2P00012552</t>
  </si>
  <si>
    <t>BIGDb1</t>
  </si>
  <si>
    <t>KZ2D00012457</t>
  </si>
  <si>
    <t>BI Development Ltd.</t>
  </si>
  <si>
    <t>BIGDb2</t>
  </si>
  <si>
    <t>KZ2D00012531</t>
  </si>
  <si>
    <t>MFMOb7</t>
  </si>
  <si>
    <t>KZ2P00012305</t>
  </si>
  <si>
    <t xml:space="preserve">Сверка </t>
  </si>
  <si>
    <t>US142_3105</t>
  </si>
  <si>
    <t>US91282CKU44</t>
  </si>
  <si>
    <t>US143_3405</t>
  </si>
  <si>
    <t>US91282CKQ32</t>
  </si>
  <si>
    <t>MFLGb4</t>
  </si>
  <si>
    <t>KZ2P00012230</t>
  </si>
  <si>
    <t>MFMOb10</t>
  </si>
  <si>
    <t>KZ2P00012651</t>
  </si>
  <si>
    <t>KSK022_209</t>
  </si>
  <si>
    <t>KZMJ00002095</t>
  </si>
  <si>
    <t>ABK022_210</t>
  </si>
  <si>
    <t>KZMJ00002103</t>
  </si>
  <si>
    <t>MFAFb6</t>
  </si>
  <si>
    <t>KZ2P00011505</t>
  </si>
  <si>
    <t>MFMCb2</t>
  </si>
  <si>
    <t>KZ2P00011968</t>
  </si>
  <si>
    <t>MFDGb1</t>
  </si>
  <si>
    <t>KZ2P00012677</t>
  </si>
  <si>
    <t>MFLGb5</t>
  </si>
  <si>
    <t>KZ2P00012719</t>
  </si>
  <si>
    <t>TSSPb5</t>
  </si>
  <si>
    <t>KZ2P00009087</t>
  </si>
  <si>
    <t>AIRAd</t>
  </si>
  <si>
    <t>US0090632078</t>
  </si>
  <si>
    <t>MFCFb1</t>
  </si>
  <si>
    <t>KZ2P00011950</t>
  </si>
  <si>
    <t>ТОО "Микрофинансовая организация "Азиатский Кредитный Фонд"</t>
  </si>
  <si>
    <t>BTRKb17</t>
  </si>
  <si>
    <t>АО "Национальный управляющий холдинг "Байтерек" BTRKb17</t>
  </si>
  <si>
    <t>KZ2C00012698</t>
  </si>
  <si>
    <t>MFBRb1</t>
  </si>
  <si>
    <t>KZ2C00012581</t>
  </si>
  <si>
    <t>TSSPb4</t>
  </si>
  <si>
    <t>KZ2P00009079</t>
  </si>
  <si>
    <t>MFLGb6</t>
  </si>
  <si>
    <t>KZ2P00012727</t>
  </si>
  <si>
    <t>HSBKb22</t>
  </si>
  <si>
    <t>KZ2C00012482</t>
  </si>
  <si>
    <t>US045167GD94</t>
  </si>
  <si>
    <t>EIB_e3</t>
  </si>
  <si>
    <t>US298785JW79</t>
  </si>
  <si>
    <t>Тенге</t>
  </si>
  <si>
    <t>AIK112_208</t>
  </si>
  <si>
    <t>KZMJ00002087</t>
  </si>
  <si>
    <t>KOK113_205</t>
  </si>
  <si>
    <t>KZMJ00002053</t>
  </si>
  <si>
    <t>ORBSb3</t>
  </si>
  <si>
    <t>KZ2P00012743</t>
  </si>
  <si>
    <t>TKK113_207</t>
  </si>
  <si>
    <t>KZMJ00002079</t>
  </si>
  <si>
    <t>ORCL_KZ</t>
  </si>
  <si>
    <t>US68389X1054</t>
  </si>
  <si>
    <t>ORACLE CORPORATION</t>
  </si>
  <si>
    <t>US141_2611</t>
  </si>
  <si>
    <t>US91282CJK80</t>
  </si>
  <si>
    <t>US149_2602</t>
  </si>
  <si>
    <t>US91282CKB62</t>
  </si>
  <si>
    <t>US150_2601</t>
  </si>
  <si>
    <t>US91282CJV46</t>
  </si>
  <si>
    <t>MFMOb11</t>
  </si>
  <si>
    <t>KZ2P00012925</t>
  </si>
  <si>
    <t>MFMOb12</t>
  </si>
  <si>
    <t>KZ2P00012933</t>
  </si>
  <si>
    <t>ALMSb1</t>
  </si>
  <si>
    <t>KZ2C00012953</t>
  </si>
  <si>
    <t>JSBNb4</t>
  </si>
  <si>
    <t>KZ2C00011757</t>
  </si>
  <si>
    <t>BRKZb41</t>
  </si>
  <si>
    <t>KZ2C00012813</t>
  </si>
  <si>
    <t>BTRKb18</t>
  </si>
  <si>
    <t>KZ2C00012987</t>
  </si>
  <si>
    <t>BSTD_KZe1</t>
  </si>
  <si>
    <t>KZX000002183</t>
  </si>
  <si>
    <t>MFLPb2</t>
  </si>
  <si>
    <t>KZ2P00012479</t>
  </si>
  <si>
    <t>MFSLb7</t>
  </si>
  <si>
    <t>KZ2P00012370</t>
  </si>
  <si>
    <t>NITCb1</t>
  </si>
  <si>
    <t>KZ2C00012904</t>
  </si>
  <si>
    <t>ценные бумаги международных финансовых организаций</t>
  </si>
  <si>
    <t>АО "Фонд национального благосостояния "Самрук-Қазына"</t>
  </si>
  <si>
    <t>MFLGb7</t>
  </si>
  <si>
    <t>KZ2P00012875</t>
  </si>
  <si>
    <t>XS2971950428</t>
  </si>
  <si>
    <t>Дата сверки:</t>
  </si>
  <si>
    <t>SCLBb1</t>
  </si>
  <si>
    <t>KZ2P00013113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</si>
  <si>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</si>
  <si>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</si>
  <si>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</si>
  <si>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</si>
  <si>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</si>
  <si>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</si>
  <si>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</si>
  <si>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</si>
  <si>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</si>
  <si>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</si>
  <si>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</si>
  <si>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</si>
  <si>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</si>
  <si>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</si>
  <si>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</si>
  <si>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</si>
  <si>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</si>
  <si>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</si>
  <si>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</si>
  <si>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</si>
  <si>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</si>
  <si>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</si>
  <si>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</si>
  <si>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</si>
  <si>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</si>
  <si>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</si>
  <si>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</si>
  <si>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</si>
  <si>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</si>
  <si>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</si>
  <si>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</si>
  <si>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</si>
  <si>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</si>
  <si>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</si>
  <si>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</si>
  <si>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</si>
  <si>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</si>
  <si>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</si>
  <si>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</si>
  <si>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</si>
  <si>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</si>
  <si>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MUM084_0020</t>
  </si>
  <si>
    <t>KZKD00001285</t>
  </si>
  <si>
    <t>MUM108_0015</t>
  </si>
  <si>
    <t>KZKD00001277</t>
  </si>
  <si>
    <t>FIVEb6</t>
  </si>
  <si>
    <t>KZ2C00013548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</si>
  <si>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</si>
  <si>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</si>
  <si>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</si>
  <si>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</si>
  <si>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</si>
  <si>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</si>
  <si>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</si>
  <si>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</si>
  <si>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Прочие активы (дебиторская задолженность, деньги в пути)</t>
  </si>
  <si>
    <t>Министерство Финансов Республики Казахстан MUM180_0009</t>
  </si>
  <si>
    <t>CCBNb37</t>
  </si>
  <si>
    <t>KZ2C00013472</t>
  </si>
  <si>
    <t>FPSTb6</t>
  </si>
  <si>
    <t>KZ2P00013592</t>
  </si>
  <si>
    <t>KFUSb90</t>
  </si>
  <si>
    <t>KZ2C00012383</t>
  </si>
  <si>
    <t>XS3015676425</t>
  </si>
  <si>
    <t>KZTCb3</t>
  </si>
  <si>
    <t>KZ2C00012961</t>
  </si>
  <si>
    <t>АО "Jusan Mobile"</t>
  </si>
  <si>
    <t>Министерство Финансов Республики Казахстан MUM180_0008</t>
  </si>
  <si>
    <t>GLD_KZ</t>
  </si>
  <si>
    <t>ICLN_KZ</t>
  </si>
  <si>
    <t>MFLGb9</t>
  </si>
  <si>
    <t>KZ2P00013584</t>
  </si>
  <si>
    <t>PHO_KZ</t>
  </si>
  <si>
    <t>BCCIwah</t>
  </si>
  <si>
    <t>KZPF00000900</t>
  </si>
  <si>
    <t>MUX072_0003</t>
  </si>
  <si>
    <t>KZKB00000040</t>
  </si>
  <si>
    <t>KFUSb91</t>
  </si>
  <si>
    <t>KZ2C00012391</t>
  </si>
  <si>
    <t>SPY_KZ</t>
  </si>
  <si>
    <t>EABRb53</t>
  </si>
  <si>
    <t>KZ2D00013620</t>
  </si>
  <si>
    <t>MFRFb16</t>
  </si>
  <si>
    <t>KZ2P00013063</t>
  </si>
  <si>
    <t>MFABb1</t>
  </si>
  <si>
    <t>KZ2P00010390</t>
  </si>
  <si>
    <t>MFOKb25</t>
  </si>
  <si>
    <t>KZ2C00013266</t>
  </si>
  <si>
    <t>MFOKb26</t>
  </si>
  <si>
    <t>KZ2C00013274</t>
  </si>
  <si>
    <t>MFMOb21</t>
  </si>
  <si>
    <t>KZ2P00013642</t>
  </si>
  <si>
    <t>BIL_KZ</t>
  </si>
  <si>
    <t>MFLGb13</t>
  </si>
  <si>
    <t>KZ2P00013501</t>
  </si>
  <si>
    <t>MFMOb22</t>
  </si>
  <si>
    <t>KZ2P00013659</t>
  </si>
  <si>
    <t>Министерство Финансов Республики Казахстан MOM060_0054</t>
  </si>
  <si>
    <t>BTRKb19</t>
  </si>
  <si>
    <t>KZ2C00012995</t>
  </si>
  <si>
    <t>BRKZe18</t>
  </si>
  <si>
    <t>XS3032932645</t>
  </si>
  <si>
    <t>KFUSb77</t>
  </si>
  <si>
    <t>KZ2C00012037</t>
  </si>
  <si>
    <t>BTRKb20</t>
  </si>
  <si>
    <t>KZ2C00012268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</si>
  <si>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</si>
  <si>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</si>
  <si>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</si>
  <si>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</si>
  <si>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</si>
  <si>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</si>
  <si>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</si>
  <si>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</si>
  <si>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</si>
  <si>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</si>
  <si>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</si>
  <si>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</si>
  <si>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</si>
  <si>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</si>
  <si>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</si>
  <si>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</si>
  <si>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</si>
  <si>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</si>
  <si>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</si>
  <si>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</si>
  <si>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</si>
  <si>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</si>
  <si>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</si>
  <si>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</si>
  <si>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</si>
  <si>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</si>
  <si>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</si>
  <si>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KZ2C00013878</t>
  </si>
  <si>
    <t>EBRDe29</t>
  </si>
  <si>
    <t>XS3059487721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</si>
  <si>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</si>
  <si>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</si>
  <si>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</si>
  <si>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</si>
  <si>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</si>
  <si>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</si>
  <si>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</si>
  <si>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</si>
  <si>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</si>
  <si>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</si>
  <si>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</si>
  <si>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</si>
  <si>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</si>
  <si>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</si>
  <si>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</si>
  <si>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</si>
  <si>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</si>
  <si>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</si>
  <si>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</si>
  <si>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</si>
  <si>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</si>
  <si>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</si>
  <si>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</si>
  <si>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</si>
  <si>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</si>
  <si>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</si>
  <si>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</si>
  <si>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</si>
  <si>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</si>
  <si>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</si>
  <si>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</si>
  <si>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</si>
  <si>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</si>
  <si>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</si>
  <si>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</si>
  <si>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</si>
  <si>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</si>
  <si>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</si>
  <si>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</si>
  <si>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</si>
  <si>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</si>
  <si>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</si>
  <si>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</si>
  <si>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</si>
  <si>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</si>
  <si>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</si>
  <si>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</si>
  <si>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</si>
  <si>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</si>
  <si>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</si>
  <si>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801 815 888,89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</si>
  <si>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</si>
  <si>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</si>
  <si>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</si>
  <si>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</si>
  <si>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</si>
  <si>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</si>
  <si>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</si>
  <si>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</si>
  <si>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</si>
  <si>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</si>
  <si>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Торговый код</t>
  </si>
  <si>
    <t>Краткое наименование эмитента</t>
  </si>
  <si>
    <t>Расчетная цена</t>
  </si>
  <si>
    <t>Расчетная грязная</t>
  </si>
  <si>
    <t>Единица измерения цены</t>
  </si>
  <si>
    <t>UZPAb1</t>
  </si>
  <si>
    <t>KZ2C00013811</t>
  </si>
  <si>
    <t>Частная компания BI Development Ltd.</t>
  </si>
  <si>
    <t>Министерство Финансов Республики Казахстан MUM192_0002</t>
  </si>
  <si>
    <t>MUM096_0015</t>
  </si>
  <si>
    <t>KZKD00001301</t>
  </si>
  <si>
    <t>IDCOpp2</t>
  </si>
  <si>
    <t>KZ2P00009889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</si>
  <si>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</si>
  <si>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</si>
  <si>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</si>
  <si>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</si>
  <si>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</si>
  <si>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</si>
  <si>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</si>
  <si>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</si>
  <si>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</si>
  <si>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</si>
  <si>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</si>
  <si>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</si>
  <si>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</si>
  <si>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</si>
  <si>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</si>
  <si>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</si>
  <si>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</si>
  <si>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</si>
  <si>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</si>
  <si>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</si>
  <si>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АО "Национальный управляющий холдинг "Байтерек"</t>
  </si>
  <si>
    <t>АО "Казахстанский электролизный завод"</t>
  </si>
  <si>
    <t>Акции</t>
  </si>
  <si>
    <t>АО "АзияАгроФуд"</t>
  </si>
  <si>
    <t>Облигации</t>
  </si>
  <si>
    <t>Акимат Актюбинской области</t>
  </si>
  <si>
    <t>ТОО "A-cars"</t>
  </si>
  <si>
    <t>АО "Айдала Мунай"</t>
  </si>
  <si>
    <t>АО "Aidarly Project (Айдарлы Проджект)"</t>
  </si>
  <si>
    <t>Эмират Абу-Даби</t>
  </si>
  <si>
    <t>АО "Аграрная кредитная корпорация"</t>
  </si>
  <si>
    <t>АО "Акбакай Голд Ресорсиз"</t>
  </si>
  <si>
    <t>Акимат области Абай</t>
  </si>
  <si>
    <t>АО "Акжал Голд Ресорсиз"</t>
  </si>
  <si>
    <t>Акимат Акмолинской области</t>
  </si>
  <si>
    <t>АО "АстанаГаз КМГ"</t>
  </si>
  <si>
    <t>АО "Ай Карааул"</t>
  </si>
  <si>
    <t>ТОО "АКВЕЙ"</t>
  </si>
  <si>
    <t>Акимат г. Алматы</t>
  </si>
  <si>
    <t>АО "АИФН "Алматы Логистик Центр"</t>
  </si>
  <si>
    <t>АО "Алма Телекоммуникейшнс Казахстан"</t>
  </si>
  <si>
    <t>АО "Алтай Ресорсиз"</t>
  </si>
  <si>
    <t>АО "СНПС - Актобемунайгаз"</t>
  </si>
  <si>
    <t>АО "СК "Amanat"</t>
  </si>
  <si>
    <t>АО "Аскер Мунай Эксплорэйшн"</t>
  </si>
  <si>
    <t>АО "Ушкую"</t>
  </si>
  <si>
    <t>ТОО "АРКАДА ИНДАСТРИ"</t>
  </si>
  <si>
    <t>Акимат Атырауской области</t>
  </si>
  <si>
    <t>ТОО "Арма-Сервис"</t>
  </si>
  <si>
    <t>АО "Аэропорт "Сары-Арка"</t>
  </si>
  <si>
    <t>АО "ForteBank"</t>
  </si>
  <si>
    <t>Депозитарные расписки</t>
  </si>
  <si>
    <t>Азиатский банк развития</t>
  </si>
  <si>
    <t>Акимат г. Астана</t>
  </si>
  <si>
    <t xml:space="preserve">АО "ALTYN SAMRUK QAZAQSTAN" </t>
  </si>
  <si>
    <t>АО "КСЖ "Freedom Life"</t>
  </si>
  <si>
    <t>ТОО "ASIA PARK" ("АЗИЯ ПАРК")</t>
  </si>
  <si>
    <t>АО "ASTEL" (АСТЕЛ)</t>
  </si>
  <si>
    <t>АО "AltynEx Company"</t>
  </si>
  <si>
    <t>Акимат Алматинской области</t>
  </si>
  <si>
    <t>АО "Дочернее предприятие "Актобе-Темир-ВС"</t>
  </si>
  <si>
    <t>Австрийская Республика</t>
  </si>
  <si>
    <t>ТОО "Авеста-Караганда"</t>
  </si>
  <si>
    <t>АО "Актюбинский завод нефтяного оборудования"</t>
  </si>
  <si>
    <t>АО "БАСТ"</t>
  </si>
  <si>
    <t>Паи ПИФ</t>
  </si>
  <si>
    <t>АО "Горнорудная компания "Бенкала"</t>
  </si>
  <si>
    <t>АО Bereke Bank (ДБ Lesha Bank LLC (Public))</t>
  </si>
  <si>
    <t>Бумаги ин. инвест. фондов. ETF</t>
  </si>
  <si>
    <t>ТОО "Black Biotechnology (Блэк Биотехнолоджи)"</t>
  </si>
  <si>
    <t>ТОО "BRBAPK"</t>
  </si>
  <si>
    <t>АО "3А-БэстГрупп"</t>
  </si>
  <si>
    <t>АО "Баян Сулу"</t>
  </si>
  <si>
    <t>АО "Казахстанская Жилищная Компания"</t>
  </si>
  <si>
    <t>АО "Батыс транзит"</t>
  </si>
  <si>
    <t>АО "CHINATOWN"</t>
  </si>
  <si>
    <t>АО "Кристалл Менеджмент"</t>
  </si>
  <si>
    <t>АО "Dosjan temir joly"</t>
  </si>
  <si>
    <t>Акимат Жамбылской области</t>
  </si>
  <si>
    <t>Европейский банк реконструкции и развития</t>
  </si>
  <si>
    <t>Европейский инвестиционный банк</t>
  </si>
  <si>
    <t>АО "ЭКОТОН+"</t>
  </si>
  <si>
    <t>АО "Евразийский банк"</t>
  </si>
  <si>
    <t>АО "Евразийский Капитал"</t>
  </si>
  <si>
    <t>АО "Товарная Биржа "Каспий"</t>
  </si>
  <si>
    <t>АО "Green Power Generation"</t>
  </si>
  <si>
    <t>ТОО "Компания Фаэтон"</t>
  </si>
  <si>
    <t>АО "ФИНАНСОВЫЙ ХОЛДИНГ "РЕСПУБЛИКА"</t>
  </si>
  <si>
    <t>ТОО "FinQ"</t>
  </si>
  <si>
    <t>АО "FIVE BROKERS' CAPITAL"</t>
  </si>
  <si>
    <t xml:space="preserve">АО "Фонд развития предпринимательства "Даму" </t>
  </si>
  <si>
    <t xml:space="preserve">АО "Дочерняя организация Народного Банка Казахстана "Halyk Finance" </t>
  </si>
  <si>
    <t>Правительство специального административного региона Гонконг Китайской Народной Республики</t>
  </si>
  <si>
    <t>Международный банк реконструкции и развития</t>
  </si>
  <si>
    <t>Исламская корпорация по развитию частного сектора</t>
  </si>
  <si>
    <t>ТОО "КА "ID Collect (АйДи Коллект)"</t>
  </si>
  <si>
    <t>АО "Фонд развития промышленности"</t>
  </si>
  <si>
    <t>FinEx Physically Backed Funds</t>
  </si>
  <si>
    <t>Международная финансовая корпорация</t>
  </si>
  <si>
    <t>АО "Банк "Bank RBK"</t>
  </si>
  <si>
    <t>ЧК JET Group Ltd.</t>
  </si>
  <si>
    <t>АО "Joint Resources"</t>
  </si>
  <si>
    <t>АО "Жилищный строительный сберегательный банк "Отбасы банк"</t>
  </si>
  <si>
    <t>JSBNb6</t>
  </si>
  <si>
    <t>KZ2C00013670</t>
  </si>
  <si>
    <t>Акимат области Жетісу</t>
  </si>
  <si>
    <t>АО "Qazaqstan Investment Corporation"</t>
  </si>
  <si>
    <t>АО "КазАгроФинанс"</t>
  </si>
  <si>
    <t>АО "Казахстанская фондовая биржа"</t>
  </si>
  <si>
    <t>АО "Атамекен-Агро"</t>
  </si>
  <si>
    <t>Акимат Карагандинской области</t>
  </si>
  <si>
    <t>АО "Kazakhmys Copper" (Казахмыс Коппер)</t>
  </si>
  <si>
    <t>АО "KM GOLD"</t>
  </si>
  <si>
    <t>Акимат Кызылординской области</t>
  </si>
  <si>
    <t>АО "КоЖаН"</t>
  </si>
  <si>
    <t>Акимат Костанайской области</t>
  </si>
  <si>
    <t>АО "Каспий нефть"</t>
  </si>
  <si>
    <t>АО "QAZAQGAZ AIMAQ"</t>
  </si>
  <si>
    <t>АО "КазАзот"</t>
  </si>
  <si>
    <t>АО "Каражыра"</t>
  </si>
  <si>
    <t>АО "Национальная компания "QazaqGaz"</t>
  </si>
  <si>
    <t>ТОО "KazWind Energy" ("КазВинд Энерджи")</t>
  </si>
  <si>
    <t>АО "KMK Мунай"</t>
  </si>
  <si>
    <t>АО "ЛОГИКОМ"</t>
  </si>
  <si>
    <t>АО "Лизинг Групп"</t>
  </si>
  <si>
    <t>АО "Матен Петролеум"</t>
  </si>
  <si>
    <t>ТОО "КТ"AgroBusiness KZ"</t>
  </si>
  <si>
    <t>ТОО "МФО "Арнур Кредит"</t>
  </si>
  <si>
    <t>ТОО "Микрофинансовая организация аФинанс"</t>
  </si>
  <si>
    <t>ТОО "Birinshi Lombard"</t>
  </si>
  <si>
    <t>АО "МФО "Береке"</t>
  </si>
  <si>
    <t>ТОО "МФО "Капиталинвест"</t>
  </si>
  <si>
    <t>ТОО "Микрофинансовая организация "ФинТехЛаб"</t>
  </si>
  <si>
    <t>ТОО "Микрофинансовая организация "Деньги говорят"</t>
  </si>
  <si>
    <t>ТОО "МФО ЭКО - Финанс"</t>
  </si>
  <si>
    <t>ТОО "МФО "Кредит Time"</t>
  </si>
  <si>
    <t>ТОО "Ломбард "GoldFinMarket"</t>
  </si>
  <si>
    <t>ТОО "Ломбард Прогресс"</t>
  </si>
  <si>
    <t>ТОО "МФО "MyCar Finance"</t>
  </si>
  <si>
    <t>ТОО "МФО "НИЕТ Кредит"</t>
  </si>
  <si>
    <t>ТОО "МФО "Rangeld Finance"</t>
  </si>
  <si>
    <t>ТОО "Сейф-Ломбард"</t>
  </si>
  <si>
    <t>ТОО "МФО "Тойота Файнаншл Сервисез Казахстан"</t>
  </si>
  <si>
    <t>ТОО "МФО "TAS FINANCE GROUP" (ТАС ФИНАНС ГРУПП)</t>
  </si>
  <si>
    <t>ТОО "МФО "ЮНИКРЕДО"</t>
  </si>
  <si>
    <t>Акимат Мангистауской области</t>
  </si>
  <si>
    <t>АО "Майкубен-Вест"</t>
  </si>
  <si>
    <t>АО "Мангистаумунайгаз"</t>
  </si>
  <si>
    <t>АО "Марганец Жайрема"</t>
  </si>
  <si>
    <t>ТОО "Freedom Mobile"</t>
  </si>
  <si>
    <t>АО "Мангистауская региональная электросетевая компания"</t>
  </si>
  <si>
    <t>Министерство финансов Федерации Малайзия</t>
  </si>
  <si>
    <t>ТОО "Fincraft Group"</t>
  </si>
  <si>
    <t>АО "Национальные информационные технологии"</t>
  </si>
  <si>
    <t>АО "Нурбанк"</t>
  </si>
  <si>
    <t>ТОО "Oasis Logistics"</t>
  </si>
  <si>
    <t>Султанат Оман</t>
  </si>
  <si>
    <t>ТОО "Orbis Leasing"</t>
  </si>
  <si>
    <t>ТОО "Orient Group KZ"</t>
  </si>
  <si>
    <t>АО "Оптово-розничное предприятие торговли"</t>
  </si>
  <si>
    <t>АО "ПАВЛОДАРЭНЕРГО"</t>
  </si>
  <si>
    <t>Министерство экономики и финансов Республики Перу</t>
  </si>
  <si>
    <t>АО "Phystech II"</t>
  </si>
  <si>
    <t>Республика Филиппины</t>
  </si>
  <si>
    <t>ПК "СПК "ДАМУ АГРО"</t>
  </si>
  <si>
    <t>АО "Национальная компания "Продовольственная контрактная корпорация"</t>
  </si>
  <si>
    <t>Акимат Павлодарской области</t>
  </si>
  <si>
    <t>АО "ПОЗИТИВ-А"</t>
  </si>
  <si>
    <t>Министерство финансов Государства Катар</t>
  </si>
  <si>
    <t>АО "ЛОТТЕ Рахат"</t>
  </si>
  <si>
    <t>АО "АИФН "RETAM"</t>
  </si>
  <si>
    <t>ТОО "RG Brands Kazakhstan"</t>
  </si>
  <si>
    <t>АО "RG Brands"</t>
  </si>
  <si>
    <t>АО "СК "Sinoasia B&amp;R (Синоазия БиЭндАр)"</t>
  </si>
  <si>
    <t>ТОО "Сапфир Инвест"</t>
  </si>
  <si>
    <t>АО "С.А.С."</t>
  </si>
  <si>
    <t>АО "Fincraft Resources"</t>
  </si>
  <si>
    <t xml:space="preserve">Министерства финансов Королевства Саудовской Аравии </t>
  </si>
  <si>
    <t>ТОО "Скулбас"</t>
  </si>
  <si>
    <t>Акимат города Шымкент</t>
  </si>
  <si>
    <t>АО "Шубарколь Премиум"</t>
  </si>
  <si>
    <t>АО "ШалкияЦинк ЛТД"</t>
  </si>
  <si>
    <t>АО "СевКазЭнерго"</t>
  </si>
  <si>
    <t>Акимат Северо-Казахстанской области</t>
  </si>
  <si>
    <t>АО "Компания по страхованию жизни "Standard Life"</t>
  </si>
  <si>
    <t>АО "Самрук-Энерго"</t>
  </si>
  <si>
    <t>АО "АИФН "SNS INVESTMENTS (СНС ИНВЕСТМЕНТС)"</t>
  </si>
  <si>
    <t>АО "Tin One Mining" (Тин Уан Майнинг)</t>
  </si>
  <si>
    <t>АО "Транстелеком"</t>
  </si>
  <si>
    <t>ТОО "Терра"</t>
  </si>
  <si>
    <t>ГУ "Аппарат акима Туркестанской области"</t>
  </si>
  <si>
    <t>АО "Национальная компания "Қазақстан темір жолы"</t>
  </si>
  <si>
    <t>АО "ForteLeasing" (ФортеЛизинг)</t>
  </si>
  <si>
    <t>АО "Tengri Partners Investment Banking (Kazakhstan)"</t>
  </si>
  <si>
    <t>Турецкая Республика</t>
  </si>
  <si>
    <t>ТОО "ТССП Групп"</t>
  </si>
  <si>
    <t>АО "ULMUS BESSHOKY (УЛМУС БЕСШОКЫ)"</t>
  </si>
  <si>
    <t>Министерство финансов США</t>
  </si>
  <si>
    <t>Акимат области Ұлытау</t>
  </si>
  <si>
    <t>АО "Усть-Каменогорский титано-магниевый комбинат"</t>
  </si>
  <si>
    <t>АО "Усть-Каменогорский завод промышленной арматуры"</t>
  </si>
  <si>
    <t>Акимат Восточно-Казахстанской области</t>
  </si>
  <si>
    <t>АО "Жалтырбулак"</t>
  </si>
  <si>
    <t>ТОО "Жаикмунай"</t>
  </si>
  <si>
    <t>Акимат Западно-Казахстанской области</t>
  </si>
  <si>
    <t>Министерство Финансов Республики Казахстан MUM096_0011</t>
  </si>
  <si>
    <t>АО "Alatau City Bank"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</si>
  <si>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</si>
  <si>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</si>
  <si>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</si>
  <si>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</si>
  <si>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</si>
  <si>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</si>
  <si>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</si>
  <si>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</si>
  <si>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</si>
  <si>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</si>
  <si>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</si>
  <si>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</si>
  <si>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</si>
  <si>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</si>
  <si>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</si>
  <si>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</si>
  <si>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</si>
  <si>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</si>
  <si>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</si>
  <si>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</si>
  <si>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</si>
  <si>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</si>
  <si>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</si>
  <si>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</si>
  <si>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</si>
  <si>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</si>
  <si>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</si>
  <si>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</si>
  <si>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</si>
  <si>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аис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</si>
  <si>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</si>
  <si>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</si>
  <si>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</si>
  <si>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</si>
  <si>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</si>
  <si>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</si>
  <si>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</si>
  <si>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</si>
  <si>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</si>
  <si>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</si>
  <si>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</si>
  <si>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</si>
  <si>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</si>
  <si>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</si>
  <si>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</si>
  <si>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</si>
  <si>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</si>
  <si>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</si>
  <si>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</si>
  <si>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</si>
  <si>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</si>
  <si>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</si>
  <si>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</si>
  <si>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</si>
  <si>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</si>
  <si>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</si>
  <si>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</si>
  <si>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</si>
  <si>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</si>
  <si>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</si>
  <si>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</si>
  <si>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</si>
  <si>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</si>
  <si>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</si>
  <si>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</si>
  <si>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</si>
  <si>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</si>
  <si>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</si>
  <si>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</si>
  <si>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MTC048_0001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</si>
  <si>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</si>
  <si>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</si>
  <si>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</si>
  <si>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</si>
  <si>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</si>
  <si>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</si>
  <si>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 xml:space="preserve"> 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</si>
  <si>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</si>
  <si>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</si>
  <si>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</si>
  <si>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</si>
  <si>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</si>
  <si>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</si>
  <si>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</si>
  <si>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</si>
  <si>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</si>
  <si>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</si>
  <si>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</si>
  <si>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</si>
  <si>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</si>
  <si>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</si>
  <si>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</si>
  <si>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</si>
  <si>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</si>
  <si>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</si>
  <si>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</si>
  <si>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</si>
  <si>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</si>
  <si>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</si>
  <si>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</si>
  <si>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</si>
  <si>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</si>
  <si>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</si>
  <si>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</si>
  <si>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</si>
  <si>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ASDBe15</t>
  </si>
  <si>
    <t>ASDBe17</t>
  </si>
  <si>
    <t>ASDBe18</t>
  </si>
  <si>
    <t>ASDBe19</t>
  </si>
  <si>
    <t>ASDBe2</t>
  </si>
  <si>
    <t>ASDBe20</t>
  </si>
  <si>
    <t>ASDBe6</t>
  </si>
  <si>
    <t>ASDBe7</t>
  </si>
  <si>
    <t>ASDBe8</t>
  </si>
  <si>
    <t>ASDBe9</t>
  </si>
  <si>
    <t>MFSLb11</t>
  </si>
  <si>
    <t>KZ2P00014491</t>
  </si>
  <si>
    <t>АО "KMF Банк"</t>
  </si>
  <si>
    <t>MFMOb32</t>
  </si>
  <si>
    <t>KZ2P00014590</t>
  </si>
  <si>
    <t>NTK028_2866</t>
  </si>
  <si>
    <t>KZW100014320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</si>
  <si>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</si>
  <si>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</si>
  <si>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</si>
  <si>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</si>
  <si>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</si>
  <si>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</si>
  <si>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</si>
  <si>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</si>
  <si>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Алгоритмы и параметры расчета ЦБ</t>
  </si>
  <si>
    <t>Доходность до погашения. % годовых</t>
  </si>
  <si>
    <t>Дней до погашения</t>
  </si>
  <si>
    <t>MFAFb10</t>
  </si>
  <si>
    <t>KZ2P00014996</t>
  </si>
  <si>
    <t>Дата оценки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</si>
  <si>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</si>
  <si>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</si>
  <si>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</si>
  <si>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</si>
  <si>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</si>
  <si>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</si>
  <si>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</si>
  <si>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</si>
  <si>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</si>
  <si>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</si>
  <si>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</si>
  <si>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</si>
  <si>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</si>
  <si>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</si>
  <si>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</si>
  <si>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</si>
  <si>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</si>
  <si>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</si>
  <si>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</si>
  <si>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</si>
  <si>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</si>
  <si>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</si>
  <si>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</si>
  <si>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</si>
  <si>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</si>
  <si>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</si>
  <si>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</si>
  <si>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</si>
  <si>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</si>
  <si>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</si>
  <si>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</si>
  <si>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</si>
  <si>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</si>
  <si>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</si>
  <si>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</si>
  <si>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</si>
  <si>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</si>
  <si>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</si>
  <si>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</si>
  <si>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</si>
  <si>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</si>
  <si>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</si>
  <si>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</si>
  <si>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</si>
  <si>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</si>
  <si>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</si>
  <si>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</si>
  <si>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</si>
  <si>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</si>
  <si>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</si>
  <si>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</si>
  <si>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</si>
  <si>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</si>
  <si>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</si>
  <si>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</si>
  <si>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</si>
  <si>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</si>
  <si>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–</t>
  </si>
  <si>
    <t>тенге</t>
  </si>
  <si>
    <t>usd</t>
  </si>
  <si>
    <t>чистая цена в %</t>
  </si>
  <si>
    <t>грязная цена в тенге</t>
  </si>
  <si>
    <t>JSBNb7</t>
  </si>
  <si>
    <t>KZ2C00013688</t>
  </si>
  <si>
    <t>JSBNb8</t>
  </si>
  <si>
    <t>KZ2C00013696</t>
  </si>
  <si>
    <t>ZKK180_259</t>
  </si>
  <si>
    <t>KZMJ00002590</t>
  </si>
  <si>
    <t>48 ( 0)</t>
  </si>
  <si>
    <t>1 368 ( 4)</t>
  </si>
  <si>
    <t>Расчетная цена на 11/09/2025</t>
  </si>
  <si>
    <r>
      <t>Расчетная грязная цена на</t>
    </r>
    <r>
      <rPr>
        <b/>
        <sz val="8"/>
        <color rgb="FFFF0000"/>
        <rFont val="Arial"/>
        <family val="2"/>
        <charset val="204"/>
      </rPr>
      <t xml:space="preserve"> 11/09/2025</t>
    </r>
  </si>
  <si>
    <t>KZKD00001095 </t>
  </si>
  <si>
    <t>825 ( 2)</t>
  </si>
  <si>
    <t>618 ( 2)</t>
  </si>
  <si>
    <t>1 646 ( 5)</t>
  </si>
  <si>
    <t>957 ( 3)</t>
  </si>
  <si>
    <t>189 ( 1)</t>
  </si>
  <si>
    <t>897 ( 2)</t>
  </si>
  <si>
    <t>928 ( 3)</t>
  </si>
  <si>
    <t>979 ( 3)</t>
  </si>
  <si>
    <t>7 778 ( 22)</t>
  </si>
  <si>
    <t>1 663 ( 5)</t>
  </si>
  <si>
    <t>8 323 ( 23)</t>
  </si>
  <si>
    <t>2 733 ( 8)</t>
  </si>
  <si>
    <t>3 448 ( 10)</t>
  </si>
  <si>
    <t>906 ( 3)</t>
  </si>
  <si>
    <t>344 ( 1)</t>
  </si>
  <si>
    <t>421 ( 1)</t>
  </si>
  <si>
    <t>160 ( 0)</t>
  </si>
  <si>
    <t>690 ( 2)</t>
  </si>
  <si>
    <t>605 ( 2)</t>
  </si>
  <si>
    <t>652 ( 2)</t>
  </si>
  <si>
    <t>699 ( 2)</t>
  </si>
  <si>
    <t>63 ( 0)</t>
  </si>
  <si>
    <t>225 ( 1)</t>
  </si>
  <si>
    <t>547 ( 2)</t>
  </si>
  <si>
    <t>694 ( 2)</t>
  </si>
  <si>
    <t>857 ( 2)</t>
  </si>
  <si>
    <t>400 ( 1)</t>
  </si>
  <si>
    <t>901 ( 3)</t>
  </si>
  <si>
    <t>920 ( 3)</t>
  </si>
  <si>
    <t>999 ( 3)</t>
  </si>
  <si>
    <t>38 ( 0)</t>
  </si>
  <si>
    <t>654 ( 2)</t>
  </si>
  <si>
    <t>917 ( 3)</t>
  </si>
  <si>
    <t>1 005 ( 3)</t>
  </si>
  <si>
    <t>687 ( 2)</t>
  </si>
  <si>
    <t>93 ( 0)</t>
  </si>
  <si>
    <t>308 ( 1)</t>
  </si>
  <si>
    <t>664 ( 2)</t>
  </si>
  <si>
    <t>43 ( 0)</t>
  </si>
  <si>
    <t>148 ( 0)</t>
  </si>
  <si>
    <t>246 ( 1)</t>
  </si>
  <si>
    <t>130 ( 0)</t>
  </si>
  <si>
    <t>283 ( 1)</t>
  </si>
  <si>
    <t>365 ( 1)</t>
  </si>
  <si>
    <t>1 406 ( 4)</t>
  </si>
  <si>
    <t>323 ( 1)</t>
  </si>
  <si>
    <t>787 ( 2)</t>
  </si>
  <si>
    <t>1 418 ( 4)</t>
  </si>
  <si>
    <t>358 ( 1)</t>
  </si>
  <si>
    <t>753 ( 2)</t>
  </si>
  <si>
    <t>1 147 ( 3)</t>
  </si>
  <si>
    <t>1 612 ( 4)</t>
  </si>
  <si>
    <t>1 922 ( 5)</t>
  </si>
  <si>
    <t>76 ( 0)</t>
  </si>
  <si>
    <t>379 ( 1)</t>
  </si>
  <si>
    <t>198 ( 1)</t>
  </si>
  <si>
    <t>347 ( 1)</t>
  </si>
  <si>
    <t>47 ( 0)</t>
  </si>
  <si>
    <t>1 172 ( 3)</t>
  </si>
  <si>
    <t>257 ( 1)</t>
  </si>
  <si>
    <t>1 603 ( 4)</t>
  </si>
  <si>
    <t>319 ( 1)</t>
  </si>
  <si>
    <t>588 ( 2)</t>
  </si>
  <si>
    <t>678 ( 2)</t>
  </si>
  <si>
    <t>1 247 ( 3)</t>
  </si>
  <si>
    <t>1 367 ( 4)</t>
  </si>
  <si>
    <t>648 ( 2)</t>
  </si>
  <si>
    <t>795 ( 2)</t>
  </si>
  <si>
    <t>884 ( 2)</t>
  </si>
  <si>
    <t>1 426 ( 4)</t>
  </si>
  <si>
    <t>1 699 ( 5)</t>
  </si>
  <si>
    <t>1 066 ( 3)</t>
  </si>
  <si>
    <t>1 189 ( 3)</t>
  </si>
  <si>
    <t>1 577 ( 4)</t>
  </si>
  <si>
    <t>1 818 ( 5)</t>
  </si>
  <si>
    <t>2 176 ( 6)</t>
  </si>
  <si>
    <t>2 268 ( 6)</t>
  </si>
  <si>
    <t>608 ( 2)</t>
  </si>
  <si>
    <t>1 252 ( 3)</t>
  </si>
  <si>
    <t>1 616 ( 4)</t>
  </si>
  <si>
    <t>931 ( 3)</t>
  </si>
  <si>
    <t>1 961 ( 5)</t>
  </si>
  <si>
    <t>2 335 ( 6)</t>
  </si>
  <si>
    <t>1 126 ( 3)</t>
  </si>
  <si>
    <t>1 397 ( 4)</t>
  </si>
  <si>
    <t>1 583 ( 4)</t>
  </si>
  <si>
    <t>2 041 ( 6)</t>
  </si>
  <si>
    <t>2 784 ( 8)</t>
  </si>
  <si>
    <t>292 ( 1)</t>
  </si>
  <si>
    <t>1 280 ( 4)</t>
  </si>
  <si>
    <t>2 408 ( 7)</t>
  </si>
  <si>
    <t>3 055 ( 8)</t>
  </si>
  <si>
    <t>535 ( 1)</t>
  </si>
  <si>
    <t>1 986 ( 6)</t>
  </si>
  <si>
    <t>3 392 ( 9)</t>
  </si>
  <si>
    <t>2 475 ( 7)</t>
  </si>
  <si>
    <t>2 862 ( 8)</t>
  </si>
  <si>
    <t>639 ( 2)</t>
  </si>
  <si>
    <t>2 039 ( 6)</t>
  </si>
  <si>
    <t>3 036 ( 8)</t>
  </si>
  <si>
    <t>4 571 ( 13)</t>
  </si>
  <si>
    <t>22 ( 0)</t>
  </si>
  <si>
    <t>65 ( 0)</t>
  </si>
  <si>
    <t>2 375 ( 7)</t>
  </si>
  <si>
    <t>3 419 ( 9)</t>
  </si>
  <si>
    <t>73 ( 0)</t>
  </si>
  <si>
    <t>337 ( 1)</t>
  </si>
  <si>
    <t>432 ( 1)</t>
  </si>
  <si>
    <t>556 ( 2)</t>
  </si>
  <si>
    <t>727 ( 2)</t>
  </si>
  <si>
    <t>763 ( 2)</t>
  </si>
  <si>
    <t>1 169 ( 3)</t>
  </si>
  <si>
    <t>1 412 ( 4)</t>
  </si>
  <si>
    <t>2 723 ( 8)</t>
  </si>
  <si>
    <t>2 742 ( 8)</t>
  </si>
  <si>
    <t>3 944 ( 11)</t>
  </si>
  <si>
    <t>4 097 ( 11)</t>
  </si>
  <si>
    <t>758 ( 2)</t>
  </si>
  <si>
    <t>937 ( 3)</t>
  </si>
  <si>
    <t>1 089 ( 3)</t>
  </si>
  <si>
    <t>3 919 ( 11)</t>
  </si>
  <si>
    <t>4 110 ( 11)</t>
  </si>
  <si>
    <t>2 383 ( 7)</t>
  </si>
  <si>
    <t>3 121 ( 9)</t>
  </si>
  <si>
    <t>3 378 ( 9)</t>
  </si>
  <si>
    <t>4 779 ( 13)</t>
  </si>
  <si>
    <t>4 994 ( 14)</t>
  </si>
  <si>
    <t>5 205 ( 14)</t>
  </si>
  <si>
    <t>6 855 ( 19)</t>
  </si>
  <si>
    <t>2 000 ( 6)</t>
  </si>
  <si>
    <t>250 ( 1)</t>
  </si>
  <si>
    <t>6 ( 0)</t>
  </si>
  <si>
    <t>196 ( 1)</t>
  </si>
  <si>
    <t>407 ( 1)</t>
  </si>
  <si>
    <t>KFUSb76</t>
  </si>
  <si>
    <t>KZ2C00012029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</si>
</sst>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.00\ _₸_-;\-* #,##0.00\ _₸_-;_-* &quot;-&quot;??\ _₸_-;_-@_-"/>
    <numFmt numFmtId="165" formatCode="0.0000"/>
    <numFmt numFmtId="166" formatCode="_-* #,##0.00\ _₽_-;\-* #,##0.00\ _₽_-;_-* &quot;-&quot;??\ _₽_-;_-@_-"/>
    <numFmt numFmtId="167" formatCode="_-* #,##0.00_р_._-;\-* #,##0.00_р_._-;_-* &quot;-&quot;??_р_._-;_-@_-"/>
    <numFmt numFmtId="168" formatCode="_-* #,##0.00[$€-1]_-;\-* #,##0.00[$€-1]_-;_-* &quot;-&quot;??[$€-1]_-"/>
    <numFmt numFmtId="169" formatCode="#,##0.0000"/>
    <numFmt numFmtId="170" formatCode="_-* #,##0.00_ _ _-;\-* #,##0.00_ _ _-;_-* &quot;-&quot;??_ _ _-;_-@_-"/>
    <numFmt numFmtId="171" formatCode="######0.0###################;\-######0.0###################"/>
    <numFmt numFmtId="172" formatCode="#"/>
    <numFmt numFmtId="173" formatCode="0.0000_ ;\-0.0000\ "/>
    <numFmt numFmtId="174" formatCode="_-* #,##0_р_._-;\-* #,##0_р_._-;_-* &quot;-&quot;_р_._-;_-@_-"/>
    <numFmt numFmtId="175" formatCode="_-* #,##0.00_K_Z_T_-;\-* #,##0.00_K_Z_T_-;_-* &quot;-&quot;??_K_Z_T_-;_-@_-"/>
    <numFmt numFmtId="176" formatCode="_-* #,##0.00[$€]_-;\-* #,##0.00[$€]_-;_-* &quot;-&quot;??[$€]_-;_-@_-"/>
    <numFmt numFmtId="177" formatCode="_-* #&quot;,&quot;##0\ _р_._-;\-* #&quot;,&quot;##0\ _р_._-;_-* &quot;-&quot;\ _р_._-;_-@_-"/>
    <numFmt numFmtId="178" formatCode="_-* #&quot;,&quot;##0.00\ _р_._-;\-* #&quot;,&quot;##0.00\ _р_._-;_-* &quot;-&quot;??\ _р_._-;_-@_-"/>
    <numFmt numFmtId="179" formatCode="* #,##0.00;* \-#,##0.00;* &quot;-&quot;??;@"/>
    <numFmt numFmtId="180" formatCode="#,##0.00##"/>
    <numFmt numFmtId="181" formatCode="#,##0.00_р_."/>
  </numFmts>
  <fonts count="68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rgb="FFFF0000"/>
      <name val="Arial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204"/>
      <scheme val="minor"/>
    </font>
    <font>
      <sz val="8"/>
      <color indexed="8"/>
      <name val="Microsoft Sans Serif"/>
      <family val="2"/>
    </font>
    <font>
      <sz val="11"/>
      <color rgb="FF9C5700"/>
      <name val="Calibri"/>
      <family val="2"/>
      <charset val="204"/>
      <scheme val="minor"/>
    </font>
    <font>
      <sz val="10"/>
      <name val="Arial"/>
      <family val="2"/>
    </font>
    <font>
      <sz val="11"/>
      <color indexed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ntiqua"/>
    </font>
    <font>
      <sz val="10"/>
      <name val="Courier"/>
      <family val="1"/>
      <charset val="204"/>
    </font>
    <font>
      <u/>
      <sz val="10"/>
      <color indexed="12"/>
      <name val="Arial Cyr"/>
      <charset val="204"/>
    </font>
    <font>
      <sz val="10"/>
      <color theme="1"/>
      <name val="Arial"/>
      <family val="2"/>
      <charset val="204"/>
    </font>
    <font>
      <sz val="10"/>
      <color theme="1"/>
      <name val="Arial Narrow"/>
      <family val="2"/>
      <charset val="204"/>
    </font>
    <font>
      <sz val="12"/>
      <color theme="1"/>
      <name val="Times New Roman"/>
      <family val="2"/>
      <charset val="204"/>
    </font>
    <font>
      <sz val="7"/>
      <color indexed="8"/>
      <name val="Arial"/>
      <family val="2"/>
      <charset val="204"/>
    </font>
    <font>
      <sz val="7"/>
      <color rgb="FF000000"/>
      <name val="Microsoft Sans Serif"/>
      <family val="2"/>
      <charset val="204"/>
    </font>
    <font>
      <sz val="8"/>
      <color rgb="FF6D6D6D"/>
      <name val="Tahoma"/>
      <family val="2"/>
      <charset val="204"/>
    </font>
    <font>
      <sz val="8"/>
      <color rgb="FF000000"/>
      <name val="Microsoft Sans Serif"/>
      <family val="2"/>
      <charset val="204"/>
    </font>
    <font>
      <sz val="6"/>
      <color rgb="FF000000"/>
      <name val="Microsoft Sans Serif"/>
      <family val="2"/>
      <charset val="204"/>
    </font>
    <font>
      <sz val="8"/>
      <color theme="1"/>
      <name val="Arial"/>
      <family val="2"/>
      <charset val="204"/>
    </font>
  </fonts>
  <fills count="6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10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39930">
    <xf numFmtId="0" fontId="0" fillId="0" borderId="0"/>
    <xf numFmtId="0" fontId="3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23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168" fontId="23" fillId="0" borderId="0" applyFont="0" applyFill="0" applyBorder="0" applyAlignment="0" applyProtection="0"/>
    <xf numFmtId="0" fontId="42" fillId="0" borderId="0">
      <alignment horizontal="left" vertical="top"/>
    </xf>
    <xf numFmtId="0" fontId="42" fillId="0" borderId="0">
      <alignment horizontal="right" vertical="top"/>
    </xf>
    <xf numFmtId="0" fontId="42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43" fillId="0" borderId="0">
      <alignment horizontal="left" vertical="top"/>
    </xf>
    <xf numFmtId="0" fontId="42" fillId="0" borderId="0">
      <alignment horizontal="left" vertical="top"/>
    </xf>
    <xf numFmtId="0" fontId="42" fillId="0" borderId="0">
      <alignment horizontal="right" vertical="top"/>
    </xf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2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23" applyNumberFormat="0" applyFill="0" applyAlignment="0" applyProtection="0"/>
    <xf numFmtId="0" fontId="34" fillId="53" borderId="24" applyNumberFormat="0" applyAlignment="0" applyProtection="0"/>
    <xf numFmtId="0" fontId="35" fillId="0" borderId="0" applyNumberFormat="0" applyFill="0" applyBorder="0" applyAlignment="0" applyProtection="0"/>
    <xf numFmtId="0" fontId="36" fillId="54" borderId="0" applyNumberFormat="0" applyBorder="0" applyAlignment="0" applyProtection="0"/>
    <xf numFmtId="0" fontId="23" fillId="0" borderId="0"/>
    <xf numFmtId="0" fontId="37" fillId="35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55" borderId="25" applyNumberFormat="0" applyFont="0" applyAlignment="0" applyProtection="0"/>
    <xf numFmtId="0" fontId="39" fillId="0" borderId="26" applyNumberFormat="0" applyFill="0" applyAlignment="0" applyProtection="0"/>
    <xf numFmtId="0" fontId="40" fillId="0" borderId="0" applyNumberFormat="0" applyFill="0" applyBorder="0" applyAlignment="0" applyProtection="0"/>
    <xf numFmtId="167" fontId="23" fillId="0" borderId="0" applyFont="0" applyFill="0" applyBorder="0" applyAlignment="0" applyProtection="0"/>
    <xf numFmtId="0" fontId="41" fillId="36" borderId="0" applyNumberFormat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19" fillId="8" borderId="15" applyNumberFormat="0" applyAlignment="0" applyProtection="0"/>
    <xf numFmtId="0" fontId="9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14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1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44" fillId="0" borderId="0"/>
    <xf numFmtId="0" fontId="6" fillId="0" borderId="0"/>
    <xf numFmtId="0" fontId="46" fillId="0" borderId="0"/>
    <xf numFmtId="0" fontId="6" fillId="0" borderId="0"/>
    <xf numFmtId="0" fontId="44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44" fillId="0" borderId="0"/>
    <xf numFmtId="0" fontId="6" fillId="0" borderId="0"/>
    <xf numFmtId="0" fontId="44" fillId="0" borderId="0"/>
    <xf numFmtId="0" fontId="6" fillId="0" borderId="0"/>
    <xf numFmtId="0" fontId="46" fillId="0" borderId="0"/>
    <xf numFmtId="0" fontId="6" fillId="0" borderId="0"/>
    <xf numFmtId="0" fontId="47" fillId="0" borderId="0"/>
    <xf numFmtId="0" fontId="44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7" fillId="0" borderId="0"/>
    <xf numFmtId="0" fontId="4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8" fillId="52" borderId="19" applyNumberFormat="0" applyAlignment="0" applyProtection="0"/>
    <xf numFmtId="0" fontId="29" fillId="52" borderId="18" applyNumberFormat="0" applyAlignment="0" applyProtection="0"/>
    <xf numFmtId="0" fontId="33" fillId="0" borderId="23" applyNumberFormat="0" applyFill="0" applyAlignment="0" applyProtection="0"/>
    <xf numFmtId="0" fontId="23" fillId="55" borderId="25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18" applyNumberFormat="0" applyAlignment="0" applyProtection="0"/>
    <xf numFmtId="0" fontId="29" fillId="52" borderId="18" applyNumberFormat="0" applyAlignment="0" applyProtection="0"/>
    <xf numFmtId="0" fontId="23" fillId="55" borderId="25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4" fillId="0" borderId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167" fontId="23" fillId="0" borderId="0" applyFont="0" applyFill="0" applyBorder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27" applyNumberFormat="0" applyAlignment="0" applyProtection="0"/>
    <xf numFmtId="0" fontId="29" fillId="52" borderId="27" applyNumberFormat="0" applyAlignment="0" applyProtection="0"/>
    <xf numFmtId="0" fontId="23" fillId="55" borderId="30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27" applyNumberFormat="0" applyAlignment="0" applyProtection="0"/>
    <xf numFmtId="0" fontId="28" fillId="52" borderId="28" applyNumberFormat="0" applyAlignment="0" applyProtection="0"/>
    <xf numFmtId="0" fontId="29" fillId="52" borderId="27" applyNumberFormat="0" applyAlignment="0" applyProtection="0"/>
    <xf numFmtId="0" fontId="33" fillId="0" borderId="29" applyNumberFormat="0" applyFill="0" applyAlignment="0" applyProtection="0"/>
    <xf numFmtId="0" fontId="23" fillId="55" borderId="30" applyNumberFormat="0" applyFont="0" applyAlignment="0" applyProtection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8" fillId="52" borderId="32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34" applyNumberFormat="0" applyFont="0" applyAlignment="0" applyProtection="0"/>
    <xf numFmtId="0" fontId="33" fillId="0" borderId="33" applyNumberFormat="0" applyFill="0" applyAlignment="0" applyProtection="0"/>
    <xf numFmtId="0" fontId="6" fillId="9" borderId="16" applyNumberFormat="0" applyFont="0" applyAlignment="0" applyProtection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31" applyNumberFormat="0" applyAlignment="0" applyProtection="0"/>
    <xf numFmtId="0" fontId="44" fillId="0" borderId="0"/>
    <xf numFmtId="0" fontId="44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44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31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8" fillId="52" borderId="32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23" fillId="55" borderId="34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33" fillId="0" borderId="33" applyNumberFormat="0" applyFill="0" applyAlignment="0" applyProtection="0"/>
    <xf numFmtId="0" fontId="23" fillId="55" borderId="34" applyNumberFormat="0" applyFont="0" applyAlignment="0" applyProtection="0"/>
    <xf numFmtId="0" fontId="27" fillId="39" borderId="31" applyNumberFormat="0" applyAlignment="0" applyProtection="0"/>
    <xf numFmtId="0" fontId="29" fillId="52" borderId="31" applyNumberFormat="0" applyAlignment="0" applyProtection="0"/>
    <xf numFmtId="0" fontId="23" fillId="55" borderId="34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50" fillId="5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8" fillId="0" borderId="14" applyNumberFormat="0" applyFill="0" applyAlignment="0" applyProtection="0"/>
    <xf numFmtId="0" fontId="19" fillId="8" borderId="15" applyNumberFormat="0" applyAlignment="0" applyProtection="0"/>
    <xf numFmtId="0" fontId="20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42" applyNumberFormat="0" applyFont="0" applyAlignment="0" applyProtection="0"/>
    <xf numFmtId="0" fontId="33" fillId="0" borderId="41" applyNumberFormat="0" applyFill="0" applyAlignment="0" applyProtection="0"/>
    <xf numFmtId="0" fontId="27" fillId="39" borderId="39" applyNumberFormat="0" applyAlignment="0" applyProtection="0"/>
    <xf numFmtId="43" fontId="6" fillId="0" borderId="0" applyFont="0" applyFill="0" applyBorder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8" fillId="52" borderId="36" applyNumberFormat="0" applyAlignment="0" applyProtection="0"/>
    <xf numFmtId="0" fontId="23" fillId="55" borderId="42" applyNumberFormat="0" applyFont="0" applyAlignment="0" applyProtection="0"/>
    <xf numFmtId="0" fontId="28" fillId="52" borderId="40" applyNumberFormat="0" applyAlignment="0" applyProtection="0"/>
    <xf numFmtId="0" fontId="23" fillId="55" borderId="38" applyNumberFormat="0" applyFont="0" applyAlignment="0" applyProtection="0"/>
    <xf numFmtId="0" fontId="33" fillId="0" borderId="37" applyNumberFormat="0" applyFill="0" applyAlignment="0" applyProtection="0"/>
    <xf numFmtId="0" fontId="27" fillId="39" borderId="35" applyNumberForma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43" fontId="6" fillId="0" borderId="0" applyFont="0" applyFill="0" applyBorder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9" fillId="52" borderId="35" applyNumberForma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8" fillId="52" borderId="36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23" fillId="55" borderId="38" applyNumberFormat="0" applyFont="0" applyAlignment="0" applyProtection="0"/>
    <xf numFmtId="43" fontId="6" fillId="0" borderId="0" applyFont="0" applyFill="0" applyBorder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33" fillId="0" borderId="37" applyNumberFormat="0" applyFill="0" applyAlignment="0" applyProtection="0"/>
    <xf numFmtId="0" fontId="23" fillId="55" borderId="38" applyNumberFormat="0" applyFont="0" applyAlignment="0" applyProtection="0"/>
    <xf numFmtId="0" fontId="27" fillId="39" borderId="35" applyNumberFormat="0" applyAlignment="0" applyProtection="0"/>
    <xf numFmtId="0" fontId="29" fillId="52" borderId="35" applyNumberFormat="0" applyAlignment="0" applyProtection="0"/>
    <xf numFmtId="0" fontId="23" fillId="55" borderId="38" applyNumberFormat="0" applyFont="0" applyAlignment="0" applyProtection="0"/>
    <xf numFmtId="0" fontId="33" fillId="0" borderId="41" applyNumberFormat="0" applyFill="0" applyAlignment="0" applyProtection="0"/>
    <xf numFmtId="0" fontId="27" fillId="39" borderId="39" applyNumberForma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9" fillId="52" borderId="39" applyNumberForma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8" fillId="52" borderId="40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33" fillId="0" borderId="41" applyNumberFormat="0" applyFill="0" applyAlignment="0" applyProtection="0"/>
    <xf numFmtId="0" fontId="23" fillId="55" borderId="42" applyNumberFormat="0" applyFont="0" applyAlignment="0" applyProtection="0"/>
    <xf numFmtId="0" fontId="27" fillId="39" borderId="39" applyNumberFormat="0" applyAlignment="0" applyProtection="0"/>
    <xf numFmtId="0" fontId="29" fillId="52" borderId="39" applyNumberFormat="0" applyAlignment="0" applyProtection="0"/>
    <xf numFmtId="0" fontId="23" fillId="55" borderId="42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8" fillId="52" borderId="44" applyNumberFormat="0" applyAlignment="0" applyProtection="0"/>
    <xf numFmtId="0" fontId="23" fillId="55" borderId="46" applyNumberFormat="0" applyFont="0" applyAlignment="0" applyProtection="0"/>
    <xf numFmtId="0" fontId="33" fillId="0" borderId="45" applyNumberFormat="0" applyFill="0" applyAlignment="0" applyProtection="0"/>
    <xf numFmtId="0" fontId="27" fillId="39" borderId="43" applyNumberForma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9" fillId="52" borderId="43" applyNumberForma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8" fillId="52" borderId="44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33" fillId="0" borderId="45" applyNumberFormat="0" applyFill="0" applyAlignment="0" applyProtection="0"/>
    <xf numFmtId="0" fontId="23" fillId="55" borderId="46" applyNumberFormat="0" applyFont="0" applyAlignment="0" applyProtection="0"/>
    <xf numFmtId="0" fontId="27" fillId="39" borderId="43" applyNumberFormat="0" applyAlignment="0" applyProtection="0"/>
    <xf numFmtId="0" fontId="29" fillId="52" borderId="43" applyNumberFormat="0" applyAlignment="0" applyProtection="0"/>
    <xf numFmtId="0" fontId="23" fillId="55" borderId="46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8" fillId="52" borderId="48" applyNumberFormat="0" applyAlignment="0" applyProtection="0"/>
    <xf numFmtId="0" fontId="23" fillId="55" borderId="50" applyNumberFormat="0" applyFont="0" applyAlignment="0" applyProtection="0"/>
    <xf numFmtId="0" fontId="33" fillId="0" borderId="49" applyNumberFormat="0" applyFill="0" applyAlignment="0" applyProtection="0"/>
    <xf numFmtId="0" fontId="27" fillId="39" borderId="47" applyNumberForma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9" fillId="52" borderId="47" applyNumberForma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8" fillId="52" borderId="48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33" fillId="0" borderId="49" applyNumberFormat="0" applyFill="0" applyAlignment="0" applyProtection="0"/>
    <xf numFmtId="0" fontId="23" fillId="55" borderId="50" applyNumberFormat="0" applyFont="0" applyAlignment="0" applyProtection="0"/>
    <xf numFmtId="0" fontId="27" fillId="39" borderId="47" applyNumberFormat="0" applyAlignment="0" applyProtection="0"/>
    <xf numFmtId="0" fontId="29" fillId="52" borderId="47" applyNumberFormat="0" applyAlignment="0" applyProtection="0"/>
    <xf numFmtId="0" fontId="23" fillId="55" borderId="50" applyNumberFormat="0" applyFon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7" fillId="39" borderId="59" applyNumberFormat="0" applyAlignment="0" applyProtection="0"/>
    <xf numFmtId="0" fontId="27" fillId="39" borderId="59" applyNumberFormat="0" applyAlignment="0" applyProtection="0"/>
    <xf numFmtId="0" fontId="28" fillId="52" borderId="56" applyNumberFormat="0" applyAlignment="0" applyProtection="0"/>
    <xf numFmtId="0" fontId="23" fillId="55" borderId="58" applyNumberFormat="0" applyFont="0" applyAlignment="0" applyProtection="0"/>
    <xf numFmtId="0" fontId="33" fillId="0" borderId="57" applyNumberFormat="0" applyFill="0" applyAlignment="0" applyProtection="0"/>
    <xf numFmtId="0" fontId="29" fillId="52" borderId="55" applyNumberFormat="0" applyAlignment="0" applyProtection="0"/>
    <xf numFmtId="0" fontId="28" fillId="52" borderId="56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3" fillId="55" borderId="66" applyNumberFormat="0" applyFont="0" applyAlignment="0" applyProtection="0"/>
    <xf numFmtId="0" fontId="33" fillId="0" borderId="65" applyNumberFormat="0" applyFill="0" applyAlignment="0" applyProtection="0"/>
    <xf numFmtId="0" fontId="29" fillId="52" borderId="59" applyNumberFormat="0" applyAlignment="0" applyProtection="0"/>
    <xf numFmtId="0" fontId="27" fillId="39" borderId="63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23" fillId="55" borderId="66" applyNumberFormat="0" applyFont="0" applyAlignment="0" applyProtection="0"/>
    <xf numFmtId="0" fontId="23" fillId="55" borderId="58" applyNumberFormat="0" applyFont="0" applyAlignment="0" applyProtection="0"/>
    <xf numFmtId="0" fontId="28" fillId="52" borderId="56" applyNumberFormat="0" applyAlignment="0" applyProtection="0"/>
    <xf numFmtId="0" fontId="23" fillId="55" borderId="58" applyNumberFormat="0" applyFont="0" applyAlignment="0" applyProtection="0"/>
    <xf numFmtId="0" fontId="33" fillId="0" borderId="61" applyNumberFormat="0" applyFill="0" applyAlignment="0" applyProtection="0"/>
    <xf numFmtId="0" fontId="33" fillId="0" borderId="61" applyNumberFormat="0" applyFill="0" applyAlignment="0" applyProtection="0"/>
    <xf numFmtId="0" fontId="27" fillId="39" borderId="55" applyNumberFormat="0" applyAlignment="0" applyProtection="0"/>
    <xf numFmtId="0" fontId="29" fillId="52" borderId="63" applyNumberFormat="0" applyAlignment="0" applyProtection="0"/>
    <xf numFmtId="0" fontId="28" fillId="52" borderId="60" applyNumberFormat="0" applyAlignment="0" applyProtection="0"/>
    <xf numFmtId="0" fontId="27" fillId="39" borderId="59" applyNumberFormat="0" applyAlignment="0" applyProtection="0"/>
    <xf numFmtId="0" fontId="28" fillId="52" borderId="64" applyNumberFormat="0" applyAlignment="0" applyProtection="0"/>
    <xf numFmtId="0" fontId="33" fillId="0" borderId="61" applyNumberFormat="0" applyFill="0" applyAlignment="0" applyProtection="0"/>
    <xf numFmtId="0" fontId="28" fillId="52" borderId="60" applyNumberFormat="0" applyAlignment="0" applyProtection="0"/>
    <xf numFmtId="0" fontId="28" fillId="52" borderId="64" applyNumberFormat="0" applyAlignment="0" applyProtection="0"/>
    <xf numFmtId="167" fontId="23" fillId="0" borderId="0" applyFont="0" applyFill="0" applyBorder="0" applyAlignment="0" applyProtection="0"/>
    <xf numFmtId="0" fontId="23" fillId="55" borderId="62" applyNumberFormat="0" applyFon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33" fillId="0" borderId="61" applyNumberFormat="0" applyFill="0" applyAlignment="0" applyProtection="0"/>
    <xf numFmtId="0" fontId="33" fillId="0" borderId="65" applyNumberFormat="0" applyFill="0" applyAlignment="0" applyProtection="0"/>
    <xf numFmtId="0" fontId="23" fillId="55" borderId="62" applyNumberFormat="0" applyFont="0" applyAlignment="0" applyProtection="0"/>
    <xf numFmtId="0" fontId="29" fillId="52" borderId="63" applyNumberFormat="0" applyAlignment="0" applyProtection="0"/>
    <xf numFmtId="0" fontId="27" fillId="39" borderId="63" applyNumberFormat="0" applyAlignment="0" applyProtection="0"/>
    <xf numFmtId="167" fontId="23" fillId="0" borderId="0" applyFont="0" applyFill="0" applyBorder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8" fillId="52" borderId="52" applyNumberFormat="0" applyAlignment="0" applyProtection="0"/>
    <xf numFmtId="0" fontId="33" fillId="0" borderId="57" applyNumberFormat="0" applyFill="0" applyAlignment="0" applyProtection="0"/>
    <xf numFmtId="0" fontId="27" fillId="39" borderId="55" applyNumberFormat="0" applyAlignment="0" applyProtection="0"/>
    <xf numFmtId="0" fontId="27" fillId="39" borderId="55" applyNumberFormat="0" applyAlignment="0" applyProtection="0"/>
    <xf numFmtId="0" fontId="23" fillId="55" borderId="54" applyNumberFormat="0" applyFont="0" applyAlignment="0" applyProtection="0"/>
    <xf numFmtId="0" fontId="33" fillId="0" borderId="53" applyNumberFormat="0" applyFill="0" applyAlignment="0" applyProtection="0"/>
    <xf numFmtId="0" fontId="23" fillId="55" borderId="62" applyNumberFormat="0" applyFont="0" applyAlignment="0" applyProtection="0"/>
    <xf numFmtId="0" fontId="27" fillId="39" borderId="51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63" applyNumberFormat="0" applyAlignment="0" applyProtection="0"/>
    <xf numFmtId="0" fontId="29" fillId="52" borderId="59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9" fillId="52" borderId="51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9" applyNumberFormat="0" applyAlignment="0" applyProtection="0"/>
    <xf numFmtId="0" fontId="27" fillId="39" borderId="51" applyNumberFormat="0" applyAlignment="0" applyProtection="0"/>
    <xf numFmtId="0" fontId="28" fillId="52" borderId="52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8" fillId="52" borderId="60" applyNumberFormat="0" applyAlignment="0" applyProtection="0"/>
    <xf numFmtId="0" fontId="33" fillId="0" borderId="65" applyNumberFormat="0" applyFill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23" fillId="55" borderId="54" applyNumberFormat="0" applyFont="0" applyAlignment="0" applyProtection="0"/>
    <xf numFmtId="0" fontId="28" fillId="52" borderId="64" applyNumberForma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33" fillId="0" borderId="53" applyNumberFormat="0" applyFill="0" applyAlignment="0" applyProtection="0"/>
    <xf numFmtId="0" fontId="23" fillId="55" borderId="54" applyNumberFormat="0" applyFont="0" applyAlignment="0" applyProtection="0"/>
    <xf numFmtId="0" fontId="27" fillId="39" borderId="51" applyNumberFormat="0" applyAlignment="0" applyProtection="0"/>
    <xf numFmtId="0" fontId="29" fillId="52" borderId="51" applyNumberFormat="0" applyAlignment="0" applyProtection="0"/>
    <xf numFmtId="0" fontId="23" fillId="55" borderId="54" applyNumberFormat="0" applyFont="0" applyAlignment="0" applyProtection="0"/>
    <xf numFmtId="0" fontId="29" fillId="52" borderId="63" applyNumberForma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63" applyNumberFormat="0" applyAlignment="0" applyProtection="0"/>
    <xf numFmtId="0" fontId="29" fillId="52" borderId="55" applyNumberFormat="0" applyAlignment="0" applyProtection="0"/>
    <xf numFmtId="0" fontId="23" fillId="55" borderId="66" applyNumberFormat="0" applyFont="0" applyAlignment="0" applyProtection="0"/>
    <xf numFmtId="0" fontId="29" fillId="52" borderId="63" applyNumberForma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8" fillId="52" borderId="56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167" fontId="23" fillId="0" borderId="0" applyFont="0" applyFill="0" applyBorder="0" applyAlignment="0" applyProtection="0"/>
    <xf numFmtId="0" fontId="28" fillId="52" borderId="64" applyNumberForma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33" fillId="0" borderId="57" applyNumberFormat="0" applyFill="0" applyAlignment="0" applyProtection="0"/>
    <xf numFmtId="0" fontId="23" fillId="55" borderId="58" applyNumberFormat="0" applyFont="0" applyAlignment="0" applyProtection="0"/>
    <xf numFmtId="0" fontId="27" fillId="39" borderId="55" applyNumberFormat="0" applyAlignment="0" applyProtection="0"/>
    <xf numFmtId="0" fontId="29" fillId="52" borderId="55" applyNumberFormat="0" applyAlignment="0" applyProtection="0"/>
    <xf numFmtId="0" fontId="23" fillId="55" borderId="58" applyNumberFormat="0" applyFont="0" applyAlignment="0" applyProtection="0"/>
    <xf numFmtId="0" fontId="27" fillId="39" borderId="59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8" fillId="52" borderId="60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33" fillId="0" borderId="61" applyNumberFormat="0" applyFill="0" applyAlignment="0" applyProtection="0"/>
    <xf numFmtId="0" fontId="23" fillId="55" borderId="62" applyNumberFormat="0" applyFont="0" applyAlignment="0" applyProtection="0"/>
    <xf numFmtId="0" fontId="27" fillId="39" borderId="59" applyNumberFormat="0" applyAlignment="0" applyProtection="0"/>
    <xf numFmtId="0" fontId="29" fillId="52" borderId="59" applyNumberFormat="0" applyAlignment="0" applyProtection="0"/>
    <xf numFmtId="0" fontId="23" fillId="55" borderId="62" applyNumberFormat="0" applyFont="0" applyAlignment="0" applyProtection="0"/>
    <xf numFmtId="0" fontId="27" fillId="39" borderId="63" applyNumberFormat="0" applyAlignment="0" applyProtection="0"/>
    <xf numFmtId="0" fontId="28" fillId="52" borderId="64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8" fillId="52" borderId="64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33" fillId="0" borderId="65" applyNumberFormat="0" applyFill="0" applyAlignment="0" applyProtection="0"/>
    <xf numFmtId="0" fontId="23" fillId="55" borderId="66" applyNumberFormat="0" applyFont="0" applyAlignment="0" applyProtection="0"/>
    <xf numFmtId="0" fontId="27" fillId="39" borderId="63" applyNumberFormat="0" applyAlignment="0" applyProtection="0"/>
    <xf numFmtId="0" fontId="29" fillId="52" borderId="63" applyNumberFormat="0" applyAlignment="0" applyProtection="0"/>
    <xf numFmtId="0" fontId="23" fillId="55" borderId="66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36" fillId="54" borderId="0" applyNumberFormat="0" applyBorder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4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44" fillId="0" borderId="0"/>
    <xf numFmtId="9" fontId="23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50" fillId="5" borderId="0" applyNumberFormat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6" fillId="0" borderId="0"/>
    <xf numFmtId="170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167" fontId="2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33" fillId="0" borderId="69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67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67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43" fontId="6" fillId="0" borderId="0" applyFont="0" applyFill="0" applyBorder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43" fontId="6" fillId="0" borderId="0" applyFont="0" applyFill="0" applyBorder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9" fillId="52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8" fillId="52" borderId="68" applyNumberFormat="0" applyAlignment="0" applyProtection="0"/>
    <xf numFmtId="0" fontId="28" fillId="52" borderId="68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3" fillId="55" borderId="70" applyNumberFormat="0" applyFon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33" fillId="0" borderId="69" applyNumberFormat="0" applyFill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9" fillId="52" borderId="67" applyNumberForma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8" fillId="52" borderId="68" applyNumberForma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8" fillId="52" borderId="68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33" fillId="0" borderId="69" applyNumberFormat="0" applyFill="0" applyAlignment="0" applyProtection="0"/>
    <xf numFmtId="0" fontId="23" fillId="55" borderId="70" applyNumberFormat="0" applyFont="0" applyAlignment="0" applyProtection="0"/>
    <xf numFmtId="0" fontId="27" fillId="39" borderId="67" applyNumberFormat="0" applyAlignment="0" applyProtection="0"/>
    <xf numFmtId="0" fontId="29" fillId="52" borderId="67" applyNumberFormat="0" applyAlignment="0" applyProtection="0"/>
    <xf numFmtId="0" fontId="23" fillId="55" borderId="70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167" fontId="23" fillId="0" borderId="0" applyFont="0" applyFill="0" applyBorder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43" fontId="6" fillId="0" borderId="0" applyFont="0" applyFill="0" applyBorder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43" fontId="6" fillId="0" borderId="0" applyFont="0" applyFill="0" applyBorder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8" fillId="52" borderId="72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8" fillId="52" borderId="72" applyNumberFormat="0" applyAlignment="0" applyProtection="0"/>
    <xf numFmtId="0" fontId="27" fillId="39" borderId="71" applyNumberFormat="0" applyAlignment="0" applyProtection="0"/>
    <xf numFmtId="0" fontId="27" fillId="39" borderId="71" applyNumberFormat="0" applyAlignment="0" applyProtection="0"/>
    <xf numFmtId="0" fontId="33" fillId="0" borderId="73" applyNumberFormat="0" applyFill="0" applyAlignment="0" applyProtection="0"/>
    <xf numFmtId="43" fontId="6" fillId="0" borderId="0" applyFont="0" applyFill="0" applyBorder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3" fillId="55" borderId="74" applyNumberFormat="0" applyFon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3" applyNumberFormat="0" applyFill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33" fillId="0" borderId="73" applyNumberFormat="0" applyFill="0" applyAlignment="0" applyProtection="0"/>
    <xf numFmtId="0" fontId="23" fillId="55" borderId="74" applyNumberFormat="0" applyFont="0" applyAlignment="0" applyProtection="0"/>
    <xf numFmtId="0" fontId="27" fillId="39" borderId="71" applyNumberFormat="0" applyAlignment="0" applyProtection="0"/>
    <xf numFmtId="0" fontId="29" fillId="52" borderId="71" applyNumberFormat="0" applyAlignment="0" applyProtection="0"/>
    <xf numFmtId="0" fontId="23" fillId="55" borderId="74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167" fontId="23" fillId="0" borderId="0" applyFont="0" applyFill="0" applyBorder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43" fontId="6" fillId="0" borderId="0" applyFont="0" applyFill="0" applyBorder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43" fontId="6" fillId="0" borderId="0" applyFont="0" applyFill="0" applyBorder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43" fontId="6" fillId="0" borderId="0" applyFont="0" applyFill="0" applyBorder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7" fillId="39" borderId="75" applyNumberForma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43" fontId="6" fillId="0" borderId="0" applyFont="0" applyFill="0" applyBorder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29" fillId="52" borderId="75" applyNumberFormat="0" applyAlignment="0" applyProtection="0"/>
    <xf numFmtId="0" fontId="27" fillId="39" borderId="75" applyNumberFormat="0" applyAlignment="0" applyProtection="0"/>
    <xf numFmtId="0" fontId="33" fillId="0" borderId="77" applyNumberFormat="0" applyFill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43" fontId="6" fillId="0" borderId="0" applyFont="0" applyFill="0" applyBorder="0" applyAlignment="0" applyProtection="0"/>
    <xf numFmtId="0" fontId="33" fillId="0" borderId="77" applyNumberFormat="0" applyFill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8" fillId="52" borderId="76" applyNumberFormat="0" applyAlignment="0" applyProtection="0"/>
    <xf numFmtId="0" fontId="28" fillId="52" borderId="76" applyNumberFormat="0" applyAlignment="0" applyProtection="0"/>
    <xf numFmtId="0" fontId="33" fillId="0" borderId="77" applyNumberFormat="0" applyFill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7" fillId="39" borderId="75" applyNumberForma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8" fillId="52" borderId="76" applyNumberFormat="0" applyAlignment="0" applyProtection="0"/>
    <xf numFmtId="0" fontId="29" fillId="52" borderId="75" applyNumberForma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3" fillId="55" borderId="78" applyNumberFormat="0" applyFont="0" applyAlignment="0" applyProtection="0"/>
    <xf numFmtId="0" fontId="29" fillId="52" borderId="75" applyNumberFormat="0" applyAlignment="0" applyProtection="0"/>
    <xf numFmtId="0" fontId="29" fillId="52" borderId="83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90" applyNumberFormat="0" applyFont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9" fillId="52" borderId="83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8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8" fillId="52" borderId="84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5" applyNumberFormat="0" applyFill="0" applyAlignment="0" applyProtection="0"/>
    <xf numFmtId="0" fontId="23" fillId="55" borderId="90" applyNumberFormat="0" applyFont="0" applyAlignment="0" applyProtection="0"/>
    <xf numFmtId="0" fontId="27" fillId="39" borderId="83" applyNumberFormat="0" applyAlignment="0" applyProtection="0"/>
    <xf numFmtId="0" fontId="23" fillId="55" borderId="90" applyNumberFormat="0" applyFon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8" fillId="52" borderId="92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87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3" fillId="55" borderId="94" applyNumberFormat="0" applyFont="0" applyAlignment="0" applyProtection="0"/>
    <xf numFmtId="0" fontId="27" fillId="39" borderId="83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9" fillId="52" borderId="91" applyNumberFormat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8" fillId="52" borderId="80" applyNumberFormat="0" applyAlignment="0" applyProtection="0"/>
    <xf numFmtId="0" fontId="29" fillId="52" borderId="83" applyNumberFormat="0" applyAlignment="0" applyProtection="0"/>
    <xf numFmtId="0" fontId="23" fillId="55" borderId="90" applyNumberFormat="0" applyFont="0" applyAlignment="0" applyProtection="0"/>
    <xf numFmtId="0" fontId="33" fillId="0" borderId="93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167" fontId="23" fillId="0" borderId="0" applyFont="0" applyFill="0" applyBorder="0" applyAlignment="0" applyProtection="0"/>
    <xf numFmtId="0" fontId="27" fillId="39" borderId="83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33" fillId="0" borderId="93" applyNumberFormat="0" applyFill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91" applyNumberForma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93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91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91" applyNumberFormat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9" fillId="52" borderId="87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90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9" fillId="52" borderId="91" applyNumberFormat="0" applyAlignment="0" applyProtection="0"/>
    <xf numFmtId="0" fontId="29" fillId="52" borderId="79" applyNumberFormat="0" applyAlignment="0" applyProtection="0"/>
    <xf numFmtId="0" fontId="23" fillId="55" borderId="94" applyNumberFormat="0" applyFont="0" applyAlignment="0" applyProtection="0"/>
    <xf numFmtId="0" fontId="29" fillId="52" borderId="87" applyNumberFormat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8" fillId="52" borderId="80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8" fillId="52" borderId="88" applyNumberFormat="0" applyAlignment="0" applyProtection="0"/>
    <xf numFmtId="0" fontId="28" fillId="52" borderId="88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9" fillId="52" borderId="83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3" fillId="55" borderId="82" applyNumberFormat="0" applyFont="0" applyAlignment="0" applyProtection="0"/>
    <xf numFmtId="0" fontId="23" fillId="55" borderId="94" applyNumberFormat="0" applyFon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33" fillId="0" borderId="89" applyNumberFormat="0" applyFill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90" applyNumberFormat="0" applyFon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7" fillId="39" borderId="91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33" fillId="0" borderId="9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28" fillId="52" borderId="92" applyNumberFormat="0" applyAlignment="0" applyProtection="0"/>
    <xf numFmtId="0" fontId="28" fillId="52" borderId="80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9" fillId="52" borderId="87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7" fillId="39" borderId="79" applyNumberFormat="0" applyAlignment="0" applyProtection="0"/>
    <xf numFmtId="0" fontId="28" fillId="52" borderId="88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33" fillId="0" borderId="89" applyNumberFormat="0" applyFill="0" applyAlignment="0" applyProtection="0"/>
    <xf numFmtId="0" fontId="28" fillId="52" borderId="84" applyNumberFormat="0" applyAlignment="0" applyProtection="0"/>
    <xf numFmtId="0" fontId="27" fillId="39" borderId="91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9" fillId="52" borderId="87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91" applyNumberFormat="0" applyAlignment="0" applyProtection="0"/>
    <xf numFmtId="0" fontId="33" fillId="0" borderId="89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6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4" applyNumberForma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43" fontId="6" fillId="0" borderId="0" applyFont="0" applyFill="0" applyBorder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3" fillId="55" borderId="82" applyNumberFormat="0" applyFont="0" applyAlignment="0" applyProtection="0"/>
    <xf numFmtId="43" fontId="6" fillId="0" borderId="0" applyFont="0" applyFill="0" applyBorder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83" applyNumberFormat="0" applyAlignment="0" applyProtection="0"/>
    <xf numFmtId="0" fontId="29" fillId="52" borderId="91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83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9" fillId="52" borderId="83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87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93" applyNumberFormat="0" applyFill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8" fillId="52" borderId="88" applyNumberForma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83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8" fillId="52" borderId="88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92" applyNumberFormat="0" applyAlignment="0" applyProtection="0"/>
    <xf numFmtId="0" fontId="27" fillId="39" borderId="79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8" fillId="52" borderId="84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93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87" applyNumberForma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87" applyNumberFormat="0" applyAlignment="0" applyProtection="0"/>
    <xf numFmtId="0" fontId="27" fillId="39" borderId="79" applyNumberFormat="0" applyAlignment="0" applyProtection="0"/>
    <xf numFmtId="0" fontId="28" fillId="52" borderId="92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33" fillId="0" borderId="81" applyNumberFormat="0" applyFill="0" applyAlignment="0" applyProtection="0"/>
    <xf numFmtId="0" fontId="23" fillId="55" borderId="86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27" fillId="39" borderId="83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5" applyNumberFormat="0" applyFill="0" applyAlignment="0" applyProtection="0"/>
    <xf numFmtId="0" fontId="28" fillId="52" borderId="80" applyNumberFormat="0" applyAlignment="0" applyProtection="0"/>
    <xf numFmtId="0" fontId="29" fillId="52" borderId="83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3" fillId="55" borderId="86" applyNumberFormat="0" applyFont="0" applyAlignment="0" applyProtection="0"/>
    <xf numFmtId="0" fontId="23" fillId="55" borderId="94" applyNumberFormat="0" applyFont="0" applyAlignment="0" applyProtection="0"/>
    <xf numFmtId="0" fontId="27" fillId="39" borderId="79" applyNumberFormat="0" applyAlignment="0" applyProtection="0"/>
    <xf numFmtId="0" fontId="33" fillId="0" borderId="89" applyNumberFormat="0" applyFill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83" applyNumberForma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0" applyNumberForma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5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83" applyNumberFormat="0" applyAlignment="0" applyProtection="0"/>
    <xf numFmtId="0" fontId="33" fillId="0" borderId="81" applyNumberFormat="0" applyFill="0" applyAlignment="0" applyProtection="0"/>
    <xf numFmtId="0" fontId="33" fillId="0" borderId="81" applyNumberFormat="0" applyFill="0" applyAlignment="0" applyProtection="0"/>
    <xf numFmtId="0" fontId="33" fillId="0" borderId="89" applyNumberFormat="0" applyFill="0" applyAlignment="0" applyProtection="0"/>
    <xf numFmtId="0" fontId="33" fillId="0" borderId="81" applyNumberFormat="0" applyFill="0" applyAlignment="0" applyProtection="0"/>
    <xf numFmtId="0" fontId="28" fillId="52" borderId="88" applyNumberFormat="0" applyAlignment="0" applyProtection="0"/>
    <xf numFmtId="0" fontId="27" fillId="39" borderId="83" applyNumberFormat="0" applyAlignment="0" applyProtection="0"/>
    <xf numFmtId="0" fontId="29" fillId="52" borderId="91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0" applyNumberForma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8" fillId="52" borderId="80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8" fillId="52" borderId="84" applyNumberFormat="0" applyAlignment="0" applyProtection="0"/>
    <xf numFmtId="0" fontId="29" fillId="52" borderId="79" applyNumberFormat="0" applyAlignment="0" applyProtection="0"/>
    <xf numFmtId="0" fontId="27" fillId="39" borderId="83" applyNumberFormat="0" applyAlignment="0" applyProtection="0"/>
    <xf numFmtId="0" fontId="23" fillId="55" borderId="82" applyNumberFormat="0" applyFont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28" fillId="52" borderId="80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5" applyNumberFormat="0" applyFill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8" fillId="52" borderId="80" applyNumberFormat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7" fillId="39" borderId="91" applyNumberFormat="0" applyAlignment="0" applyProtection="0"/>
    <xf numFmtId="0" fontId="28" fillId="52" borderId="80" applyNumberFormat="0" applyAlignment="0" applyProtection="0"/>
    <xf numFmtId="0" fontId="33" fillId="0" borderId="93" applyNumberFormat="0" applyFill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33" fillId="0" borderId="85" applyNumberFormat="0" applyFill="0" applyAlignment="0" applyProtection="0"/>
    <xf numFmtId="0" fontId="33" fillId="0" borderId="81" applyNumberFormat="0" applyFill="0" applyAlignment="0" applyProtection="0"/>
    <xf numFmtId="0" fontId="27" fillId="39" borderId="79" applyNumberFormat="0" applyAlignment="0" applyProtection="0"/>
    <xf numFmtId="0" fontId="23" fillId="55" borderId="94" applyNumberFormat="0" applyFont="0" applyAlignment="0" applyProtection="0"/>
    <xf numFmtId="0" fontId="23" fillId="55" borderId="82" applyNumberFormat="0" applyFont="0" applyAlignment="0" applyProtection="0"/>
    <xf numFmtId="0" fontId="27" fillId="39" borderId="87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33" fillId="0" borderId="89" applyNumberFormat="0" applyFill="0" applyAlignment="0" applyProtection="0"/>
    <xf numFmtId="0" fontId="23" fillId="55" borderId="94" applyNumberFormat="0" applyFont="0" applyAlignment="0" applyProtection="0"/>
    <xf numFmtId="43" fontId="6" fillId="0" borderId="0" applyFont="0" applyFill="0" applyBorder="0" applyAlignment="0" applyProtection="0"/>
    <xf numFmtId="0" fontId="33" fillId="0" borderId="89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3" fillId="55" borderId="86" applyNumberFormat="0" applyFon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33" fillId="0" borderId="81" applyNumberFormat="0" applyFill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9" fillId="52" borderId="91" applyNumberFormat="0" applyAlignment="0" applyProtection="0"/>
    <xf numFmtId="43" fontId="6" fillId="0" borderId="0" applyFont="0" applyFill="0" applyBorder="0" applyAlignment="0" applyProtection="0"/>
    <xf numFmtId="0" fontId="27" fillId="39" borderId="87" applyNumberFormat="0" applyAlignment="0" applyProtection="0"/>
    <xf numFmtId="0" fontId="29" fillId="52" borderId="79" applyNumberFormat="0" applyAlignment="0" applyProtection="0"/>
    <xf numFmtId="0" fontId="29" fillId="52" borderId="79" applyNumberFormat="0" applyAlignment="0" applyProtection="0"/>
    <xf numFmtId="0" fontId="27" fillId="39" borderId="91" applyNumberFormat="0" applyAlignment="0" applyProtection="0"/>
    <xf numFmtId="0" fontId="27" fillId="39" borderId="79" applyNumberForma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8" fillId="52" borderId="80" applyNumberFormat="0" applyAlignment="0" applyProtection="0"/>
    <xf numFmtId="0" fontId="27" fillId="39" borderId="79" applyNumberFormat="0" applyAlignment="0" applyProtection="0"/>
    <xf numFmtId="0" fontId="33" fillId="0" borderId="81" applyNumberFormat="0" applyFill="0" applyAlignment="0" applyProtection="0"/>
    <xf numFmtId="0" fontId="23" fillId="55" borderId="82" applyNumberFormat="0" applyFon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3" fillId="55" borderId="82" applyNumberFormat="0" applyFont="0" applyAlignment="0" applyProtection="0"/>
    <xf numFmtId="0" fontId="29" fillId="52" borderId="79" applyNumberFormat="0" applyAlignment="0" applyProtection="0"/>
    <xf numFmtId="0" fontId="27" fillId="39" borderId="79" applyNumberFormat="0" applyAlignment="0" applyProtection="0"/>
    <xf numFmtId="0" fontId="27" fillId="39" borderId="79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92" applyNumberFormat="0" applyAlignment="0" applyProtection="0"/>
    <xf numFmtId="0" fontId="29" fillId="52" borderId="87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8" fillId="52" borderId="88" applyNumberForma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27" fillId="39" borderId="87" applyNumberFormat="0" applyAlignment="0" applyProtection="0"/>
    <xf numFmtId="0" fontId="23" fillId="55" borderId="90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8" fillId="52" borderId="88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3" applyNumberFormat="0" applyAlignment="0" applyProtection="0"/>
    <xf numFmtId="0" fontId="28" fillId="52" borderId="88" applyNumberFormat="0" applyAlignment="0" applyProtection="0"/>
    <xf numFmtId="0" fontId="33" fillId="0" borderId="93" applyNumberFormat="0" applyFill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92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92" applyNumberFormat="0" applyAlignment="0" applyProtection="0"/>
    <xf numFmtId="0" fontId="29" fillId="52" borderId="87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9" fillId="52" borderId="91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9" fillId="52" borderId="91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94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91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8" fillId="52" borderId="84" applyNumberFormat="0" applyAlignment="0" applyProtection="0"/>
    <xf numFmtId="0" fontId="28" fillId="52" borderId="84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167" fontId="23" fillId="0" borderId="0" applyFont="0" applyFill="0" applyBorder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3" fillId="55" borderId="86" applyNumberFormat="0" applyFon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33" fillId="0" borderId="85" applyNumberFormat="0" applyFill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9" fillId="52" borderId="83" applyNumberForma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8" fillId="52" borderId="84" applyNumberForma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8" fillId="52" borderId="84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33" fillId="0" borderId="85" applyNumberFormat="0" applyFill="0" applyAlignment="0" applyProtection="0"/>
    <xf numFmtId="0" fontId="23" fillId="55" borderId="86" applyNumberFormat="0" applyFont="0" applyAlignment="0" applyProtection="0"/>
    <xf numFmtId="0" fontId="27" fillId="39" borderId="83" applyNumberFormat="0" applyAlignment="0" applyProtection="0"/>
    <xf numFmtId="0" fontId="29" fillId="52" borderId="83" applyNumberFormat="0" applyAlignment="0" applyProtection="0"/>
    <xf numFmtId="0" fontId="23" fillId="55" borderId="86" applyNumberFormat="0" applyFont="0" applyAlignment="0" applyProtection="0"/>
    <xf numFmtId="0" fontId="23" fillId="55" borderId="94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9" fillId="52" borderId="87" applyNumberFormat="0" applyAlignment="0" applyProtection="0"/>
    <xf numFmtId="0" fontId="28" fillId="52" borderId="92" applyNumberFormat="0" applyAlignment="0" applyProtection="0"/>
    <xf numFmtId="0" fontId="28" fillId="52" borderId="88" applyNumberForma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8" fillId="52" borderId="88" applyNumberFormat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8" fillId="52" borderId="92" applyNumberFormat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87" applyNumberFormat="0" applyAlignment="0" applyProtection="0"/>
    <xf numFmtId="0" fontId="28" fillId="52" borderId="92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91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8" fillId="52" borderId="88" applyNumberFormat="0" applyAlignment="0" applyProtection="0"/>
    <xf numFmtId="0" fontId="28" fillId="52" borderId="88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167" fontId="23" fillId="0" borderId="0" applyFont="0" applyFill="0" applyBorder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3" fillId="55" borderId="90" applyNumberFormat="0" applyFon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33" fillId="0" borderId="89" applyNumberFormat="0" applyFill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9" fillId="52" borderId="87" applyNumberForma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8" fillId="52" borderId="88" applyNumberForma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8" fillId="52" borderId="88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33" fillId="0" borderId="89" applyNumberFormat="0" applyFill="0" applyAlignment="0" applyProtection="0"/>
    <xf numFmtId="0" fontId="23" fillId="55" borderId="90" applyNumberFormat="0" applyFont="0" applyAlignment="0" applyProtection="0"/>
    <xf numFmtId="0" fontId="27" fillId="39" borderId="87" applyNumberFormat="0" applyAlignment="0" applyProtection="0"/>
    <xf numFmtId="0" fontId="29" fillId="52" borderId="87" applyNumberFormat="0" applyAlignment="0" applyProtection="0"/>
    <xf numFmtId="0" fontId="23" fillId="55" borderId="90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8" fillId="52" borderId="92" applyNumberFormat="0" applyAlignment="0" applyProtection="0"/>
    <xf numFmtId="0" fontId="28" fillId="52" borderId="92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3" fillId="55" borderId="94" applyNumberFormat="0" applyFon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33" fillId="0" borderId="93" applyNumberFormat="0" applyFill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9" fillId="52" borderId="91" applyNumberForma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8" fillId="52" borderId="92" applyNumberForma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8" fillId="52" borderId="92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33" fillId="0" borderId="93" applyNumberFormat="0" applyFill="0" applyAlignment="0" applyProtection="0"/>
    <xf numFmtId="0" fontId="23" fillId="55" borderId="94" applyNumberFormat="0" applyFont="0" applyAlignment="0" applyProtection="0"/>
    <xf numFmtId="0" fontId="27" fillId="39" borderId="91" applyNumberFormat="0" applyAlignment="0" applyProtection="0"/>
    <xf numFmtId="0" fontId="29" fillId="52" borderId="91" applyNumberFormat="0" applyAlignment="0" applyProtection="0"/>
    <xf numFmtId="0" fontId="23" fillId="55" borderId="94" applyNumberFormat="0" applyFont="0" applyAlignment="0" applyProtection="0"/>
    <xf numFmtId="43" fontId="4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4" fillId="0" borderId="0" applyNumberFormat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23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0" fillId="0" borderId="20" applyNumberFormat="0" applyFill="0" applyAlignment="0" applyProtection="0"/>
    <xf numFmtId="0" fontId="31" fillId="0" borderId="21" applyNumberFormat="0" applyFill="0" applyAlignment="0" applyProtection="0"/>
    <xf numFmtId="0" fontId="32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97" applyNumberFormat="0" applyFill="0" applyAlignment="0" applyProtection="0"/>
    <xf numFmtId="0" fontId="34" fillId="53" borderId="24" applyNumberFormat="0" applyAlignment="0" applyProtection="0"/>
    <xf numFmtId="0" fontId="35" fillId="0" borderId="0" applyNumberFormat="0" applyFill="0" applyBorder="0" applyAlignment="0" applyProtection="0"/>
    <xf numFmtId="0" fontId="36" fillId="54" borderId="0" applyNumberFormat="0" applyBorder="0" applyAlignment="0" applyProtection="0"/>
    <xf numFmtId="0" fontId="37" fillId="35" borderId="0" applyNumberFormat="0" applyBorder="0" applyAlignment="0" applyProtection="0"/>
    <xf numFmtId="0" fontId="38" fillId="0" borderId="0" applyNumberFormat="0" applyFill="0" applyBorder="0" applyAlignment="0" applyProtection="0"/>
    <xf numFmtId="0" fontId="23" fillId="55" borderId="98" applyNumberFormat="0" applyFont="0" applyAlignment="0" applyProtection="0"/>
    <xf numFmtId="0" fontId="39" fillId="0" borderId="26" applyNumberFormat="0" applyFill="0" applyAlignment="0" applyProtection="0"/>
    <xf numFmtId="0" fontId="4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6" fillId="54" borderId="0" applyNumberFormat="0" applyBorder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19" fillId="8" borderId="15" applyNumberFormat="0" applyAlignment="0" applyProtection="0"/>
    <xf numFmtId="0" fontId="9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14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9" borderId="16" applyNumberFormat="0" applyFont="0" applyAlignment="0" applyProtection="0"/>
    <xf numFmtId="0" fontId="1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44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50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44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44" fillId="0" borderId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54" fillId="0" borderId="0"/>
    <xf numFmtId="0" fontId="2" fillId="0" borderId="0">
      <alignment horizontal="right" vertical="top"/>
    </xf>
    <xf numFmtId="0" fontId="5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3" fillId="0" borderId="0"/>
    <xf numFmtId="0" fontId="54" fillId="0" borderId="0"/>
    <xf numFmtId="0" fontId="23" fillId="0" borderId="0"/>
    <xf numFmtId="0" fontId="59" fillId="0" borderId="0"/>
    <xf numFmtId="0" fontId="23" fillId="0" borderId="0"/>
    <xf numFmtId="0" fontId="3" fillId="0" borderId="0"/>
    <xf numFmtId="0" fontId="6" fillId="0" borderId="0"/>
    <xf numFmtId="0" fontId="57" fillId="0" borderId="0"/>
    <xf numFmtId="0" fontId="7" fillId="0" borderId="0"/>
    <xf numFmtId="0" fontId="60" fillId="0" borderId="0"/>
    <xf numFmtId="0" fontId="46" fillId="0" borderId="0"/>
    <xf numFmtId="0" fontId="7" fillId="0" borderId="0"/>
    <xf numFmtId="0" fontId="61" fillId="0" borderId="0"/>
    <xf numFmtId="0" fontId="44" fillId="0" borderId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9" fillId="0" borderId="0" applyFont="0" applyFill="0" applyBorder="0" applyAlignment="0" applyProtection="0"/>
    <xf numFmtId="177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4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9" fontId="55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6" fillId="29" borderId="0" applyNumberFormat="0" applyBorder="0" applyAlignment="0" applyProtection="0"/>
    <xf numFmtId="43" fontId="6" fillId="0" borderId="0" applyFont="0" applyFill="0" applyBorder="0" applyAlignment="0" applyProtection="0"/>
    <xf numFmtId="0" fontId="6" fillId="3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6" fillId="0" borderId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45" fillId="5" borderId="0" applyNumberFormat="0" applyBorder="0" applyAlignment="0" applyProtection="0"/>
    <xf numFmtId="0" fontId="6" fillId="9" borderId="16" applyNumberFormat="0" applyFont="0" applyAlignment="0" applyProtection="0"/>
    <xf numFmtId="0" fontId="44" fillId="0" borderId="0"/>
    <xf numFmtId="0" fontId="44" fillId="0" borderId="0"/>
    <xf numFmtId="0" fontId="6" fillId="13" borderId="0" applyNumberFormat="0" applyBorder="0" applyAlignment="0" applyProtection="0"/>
    <xf numFmtId="0" fontId="23" fillId="55" borderId="98" applyNumberFormat="0" applyFont="0" applyAlignment="0" applyProtection="0"/>
    <xf numFmtId="0" fontId="6" fillId="17" borderId="0" applyNumberFormat="0" applyBorder="0" applyAlignment="0" applyProtection="0"/>
    <xf numFmtId="0" fontId="23" fillId="55" borderId="98" applyNumberFormat="0" applyFont="0" applyAlignment="0" applyProtection="0"/>
    <xf numFmtId="9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44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15" fillId="6" borderId="12" applyNumberFormat="0" applyAlignment="0" applyProtection="0"/>
    <xf numFmtId="0" fontId="16" fillId="7" borderId="13" applyNumberFormat="0" applyAlignment="0" applyProtection="0"/>
    <xf numFmtId="0" fontId="17" fillId="7" borderId="12" applyNumberFormat="0" applyAlignment="0" applyProtection="0"/>
    <xf numFmtId="0" fontId="4" fillId="0" borderId="17" applyNumberFormat="0" applyFill="0" applyAlignment="0" applyProtection="0"/>
    <xf numFmtId="0" fontId="50" fillId="5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51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4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167" fontId="23" fillId="0" borderId="0" applyFont="0" applyFill="0" applyBorder="0" applyAlignment="0" applyProtection="0"/>
    <xf numFmtId="0" fontId="25" fillId="34" borderId="0" applyNumberFormat="0" applyBorder="0" applyAlignment="0" applyProtection="0"/>
    <xf numFmtId="0" fontId="6" fillId="31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27" borderId="0" applyNumberFormat="0" applyBorder="0" applyAlignment="0" applyProtection="0"/>
    <xf numFmtId="0" fontId="6" fillId="11" borderId="0" applyNumberFormat="0" applyBorder="0" applyAlignment="0" applyProtection="0"/>
    <xf numFmtId="0" fontId="6" fillId="28" borderId="0" applyNumberFormat="0" applyBorder="0" applyAlignment="0" applyProtection="0"/>
    <xf numFmtId="0" fontId="25" fillId="41" borderId="0" applyNumberFormat="0" applyBorder="0" applyAlignment="0" applyProtection="0"/>
    <xf numFmtId="0" fontId="6" fillId="24" borderId="0" applyNumberFormat="0" applyBorder="0" applyAlignment="0" applyProtection="0"/>
    <xf numFmtId="0" fontId="25" fillId="40" borderId="0" applyNumberFormat="0" applyBorder="0" applyAlignment="0" applyProtection="0"/>
    <xf numFmtId="0" fontId="6" fillId="19" borderId="0" applyNumberFormat="0" applyBorder="0" applyAlignment="0" applyProtection="0"/>
    <xf numFmtId="0" fontId="25" fillId="43" borderId="0" applyNumberFormat="0" applyBorder="0" applyAlignment="0" applyProtection="0"/>
    <xf numFmtId="0" fontId="6" fillId="23" borderId="0" applyNumberFormat="0" applyBorder="0" applyAlignment="0" applyProtection="0"/>
    <xf numFmtId="0" fontId="25" fillId="38" borderId="0" applyNumberFormat="0" applyBorder="0" applyAlignment="0" applyProtection="0"/>
    <xf numFmtId="0" fontId="25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167" fontId="23" fillId="0" borderId="0" applyFont="0" applyFill="0" applyBorder="0" applyAlignment="0" applyProtection="0"/>
    <xf numFmtId="0" fontId="6" fillId="1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9" borderId="16" applyNumberFormat="0" applyFont="0" applyAlignment="0" applyProtection="0"/>
    <xf numFmtId="0" fontId="44" fillId="0" borderId="0"/>
    <xf numFmtId="0" fontId="6" fillId="0" borderId="0"/>
    <xf numFmtId="0" fontId="27" fillId="39" borderId="95" applyNumberFormat="0" applyAlignment="0" applyProtection="0"/>
    <xf numFmtId="0" fontId="44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42" borderId="0" applyNumberFormat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5" fillId="39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9" fontId="6" fillId="0" borderId="0" applyFont="0" applyFill="0" applyBorder="0" applyAlignment="0" applyProtection="0"/>
    <xf numFmtId="0" fontId="25" fillId="37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0" fontId="25" fillId="35" borderId="0" applyNumberFormat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25" fillId="34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167" fontId="23" fillId="0" borderId="0" applyFont="0" applyFill="0" applyBorder="0" applyAlignment="0" applyProtection="0"/>
    <xf numFmtId="0" fontId="6" fillId="28" borderId="0" applyNumberFormat="0" applyBorder="0" applyAlignment="0" applyProtection="0"/>
    <xf numFmtId="0" fontId="6" fillId="24" borderId="0" applyNumberFormat="0" applyBorder="0" applyAlignment="0" applyProtection="0"/>
    <xf numFmtId="0" fontId="25" fillId="42" borderId="0" applyNumberFormat="0" applyBorder="0" applyAlignment="0" applyProtection="0"/>
    <xf numFmtId="0" fontId="6" fillId="15" borderId="0" applyNumberFormat="0" applyBorder="0" applyAlignment="0" applyProtection="0"/>
    <xf numFmtId="0" fontId="25" fillId="40" borderId="0" applyNumberFormat="0" applyBorder="0" applyAlignment="0" applyProtection="0"/>
    <xf numFmtId="0" fontId="29" fillId="52" borderId="95" applyNumberFormat="0" applyAlignment="0" applyProtection="0"/>
    <xf numFmtId="0" fontId="6" fillId="20" borderId="0" applyNumberFormat="0" applyBorder="0" applyAlignment="0" applyProtection="0"/>
    <xf numFmtId="0" fontId="25" fillId="38" borderId="0" applyNumberFormat="0" applyBorder="0" applyAlignment="0" applyProtection="0"/>
    <xf numFmtId="0" fontId="28" fillId="52" borderId="96" applyNumberFormat="0" applyAlignment="0" applyProtection="0"/>
    <xf numFmtId="0" fontId="6" fillId="12" borderId="0" applyNumberFormat="0" applyBorder="0" applyAlignment="0" applyProtection="0"/>
    <xf numFmtId="0" fontId="27" fillId="39" borderId="95" applyNumberFormat="0" applyAlignment="0" applyProtection="0"/>
    <xf numFmtId="0" fontId="25" fillId="36" borderId="0" applyNumberFormat="0" applyBorder="0" applyAlignment="0" applyProtection="0"/>
    <xf numFmtId="0" fontId="25" fillId="43" borderId="0" applyNumberFormat="0" applyBorder="0" applyAlignment="0" applyProtection="0"/>
    <xf numFmtId="0" fontId="6" fillId="2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37" borderId="0" applyNumberFormat="0" applyBorder="0" applyAlignment="0" applyProtection="0"/>
    <xf numFmtId="0" fontId="6" fillId="19" borderId="0" applyNumberFormat="0" applyBorder="0" applyAlignment="0" applyProtection="0"/>
    <xf numFmtId="0" fontId="25" fillId="41" borderId="0" applyNumberFormat="0" applyBorder="0" applyAlignment="0" applyProtection="0"/>
    <xf numFmtId="0" fontId="6" fillId="11" borderId="0" applyNumberFormat="0" applyBorder="0" applyAlignment="0" applyProtection="0"/>
    <xf numFmtId="0" fontId="25" fillId="39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16" borderId="0" applyNumberFormat="0" applyBorder="0" applyAlignment="0" applyProtection="0"/>
    <xf numFmtId="0" fontId="29" fillId="52" borderId="95" applyNumberFormat="0" applyAlignment="0" applyProtection="0"/>
    <xf numFmtId="0" fontId="25" fillId="37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31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5" fillId="35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5" fillId="40" borderId="0" applyNumberFormat="0" applyBorder="0" applyAlignment="0" applyProtection="0"/>
    <xf numFmtId="0" fontId="6" fillId="23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6" fillId="54" borderId="0" applyNumberFormat="0" applyBorder="0" applyAlignment="0" applyProtection="0"/>
    <xf numFmtId="0" fontId="23" fillId="0" borderId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9" borderId="16" applyNumberFormat="0" applyFont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9" fillId="52" borderId="95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28" borderId="0" applyNumberFormat="0" applyBorder="0" applyAlignment="0" applyProtection="0"/>
    <xf numFmtId="0" fontId="6" fillId="2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2" borderId="0" applyNumberFormat="0" applyBorder="0" applyAlignment="0" applyProtection="0"/>
    <xf numFmtId="167" fontId="23" fillId="0" borderId="0" applyFont="0" applyFill="0" applyBorder="0" applyAlignment="0" applyProtection="0"/>
    <xf numFmtId="0" fontId="6" fillId="16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1" borderId="0" applyNumberFormat="0" applyBorder="0" applyAlignment="0" applyProtection="0"/>
    <xf numFmtId="43" fontId="6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20" borderId="0" applyNumberFormat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167" fontId="23" fillId="0" borderId="0" applyFont="0" applyFill="0" applyBorder="0" applyAlignment="0" applyProtection="0"/>
    <xf numFmtId="0" fontId="28" fillId="52" borderId="96" applyNumberForma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6" fillId="11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32" borderId="0" applyNumberFormat="0" applyBorder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6" fillId="16" borderId="0" applyNumberFormat="0" applyBorder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167" fontId="23" fillId="0" borderId="0" applyFont="0" applyFill="0" applyBorder="0" applyAlignment="0" applyProtection="0"/>
    <xf numFmtId="0" fontId="29" fillId="52" borderId="95" applyNumberFormat="0" applyAlignment="0" applyProtection="0"/>
    <xf numFmtId="0" fontId="6" fillId="23" borderId="0" applyNumberFormat="0" applyBorder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6" fillId="28" borderId="0" applyNumberFormat="0" applyBorder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6" fillId="12" borderId="0" applyNumberFormat="0" applyBorder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6" fillId="15" borderId="0" applyNumberFormat="0" applyBorder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6" fillId="20" borderId="0" applyNumberFormat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6" fillId="27" borderId="0" applyNumberFormat="0" applyBorder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19" borderId="0" applyNumberFormat="0" applyBorder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24" borderId="0" applyNumberFormat="0" applyBorder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31" borderId="0" applyNumberFormat="0" applyBorder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8" fillId="52" borderId="96" applyNumberFormat="0" applyAlignment="0" applyProtection="0"/>
    <xf numFmtId="0" fontId="33" fillId="0" borderId="97" applyNumberFormat="0" applyFill="0" applyAlignment="0" applyProtection="0"/>
    <xf numFmtId="0" fontId="28" fillId="52" borderId="96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3" fillId="55" borderId="98" applyNumberFormat="0" applyFont="0" applyAlignment="0" applyProtection="0"/>
    <xf numFmtId="0" fontId="28" fillId="52" borderId="96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23" fillId="55" borderId="98" applyNumberFormat="0" applyFon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7" fillId="39" borderId="95" applyNumberFormat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0" fontId="33" fillId="0" borderId="97" applyNumberFormat="0" applyFill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3" fillId="55" borderId="98" applyNumberFormat="0" applyFont="0" applyAlignment="0" applyProtection="0"/>
    <xf numFmtId="0" fontId="29" fillId="52" borderId="95" applyNumberFormat="0" applyAlignment="0" applyProtection="0"/>
    <xf numFmtId="0" fontId="33" fillId="0" borderId="97" applyNumberFormat="0" applyFill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11" borderId="0" applyNumberFormat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6" fillId="32" borderId="0" applyNumberFormat="0" applyBorder="0" applyAlignment="0" applyProtection="0"/>
    <xf numFmtId="0" fontId="29" fillId="52" borderId="95" applyNumberFormat="0" applyAlignment="0" applyProtection="0"/>
    <xf numFmtId="0" fontId="6" fillId="16" borderId="0" applyNumberFormat="0" applyBorder="0" applyAlignment="0" applyProtection="0"/>
    <xf numFmtId="0" fontId="27" fillId="39" borderId="95" applyNumberFormat="0" applyAlignment="0" applyProtection="0"/>
    <xf numFmtId="167" fontId="23" fillId="0" borderId="0" applyFont="0" applyFill="0" applyBorder="0" applyAlignment="0" applyProtection="0"/>
    <xf numFmtId="0" fontId="6" fillId="23" borderId="0" applyNumberFormat="0" applyBorder="0" applyAlignment="0" applyProtection="0"/>
    <xf numFmtId="0" fontId="27" fillId="39" borderId="95" applyNumberFormat="0" applyAlignment="0" applyProtection="0"/>
    <xf numFmtId="0" fontId="6" fillId="28" borderId="0" applyNumberFormat="0" applyBorder="0" applyAlignment="0" applyProtection="0"/>
    <xf numFmtId="0" fontId="29" fillId="52" borderId="95" applyNumberFormat="0" applyAlignment="0" applyProtection="0"/>
    <xf numFmtId="0" fontId="6" fillId="1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5" borderId="0" applyNumberFormat="0" applyBorder="0" applyAlignment="0" applyProtection="0"/>
    <xf numFmtId="0" fontId="29" fillId="52" borderId="95" applyNumberFormat="0" applyAlignment="0" applyProtection="0"/>
    <xf numFmtId="0" fontId="6" fillId="20" borderId="0" applyNumberFormat="0" applyBorder="0" applyAlignment="0" applyProtection="0"/>
    <xf numFmtId="0" fontId="6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19" borderId="0" applyNumberFormat="0" applyBorder="0" applyAlignment="0" applyProtection="0"/>
    <xf numFmtId="0" fontId="6" fillId="24" borderId="0" applyNumberFormat="0" applyBorder="0" applyAlignment="0" applyProtection="0"/>
    <xf numFmtId="0" fontId="27" fillId="39" borderId="95" applyNumberFormat="0" applyAlignment="0" applyProtection="0"/>
    <xf numFmtId="0" fontId="6" fillId="3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43" fontId="6" fillId="0" borderId="0" applyFont="0" applyFill="0" applyBorder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0" fontId="27" fillId="39" borderId="95" applyNumberFormat="0" applyAlignment="0" applyProtection="0"/>
    <xf numFmtId="0" fontId="29" fillId="52" borderId="9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9" borderId="16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7" fontId="23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167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8" fillId="52" borderId="102" applyNumberFormat="0" applyAlignment="0" applyProtection="0"/>
    <xf numFmtId="0" fontId="33" fillId="0" borderId="103" applyNumberFormat="0" applyFill="0" applyAlignment="0" applyProtection="0"/>
    <xf numFmtId="0" fontId="28" fillId="52" borderId="102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3" fillId="55" borderId="104" applyNumberFormat="0" applyFont="0" applyAlignment="0" applyProtection="0"/>
    <xf numFmtId="0" fontId="28" fillId="52" borderId="102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23" fillId="55" borderId="104" applyNumberFormat="0" applyFon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7" fillId="39" borderId="101" applyNumberFormat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0" fontId="33" fillId="0" borderId="103" applyNumberFormat="0" applyFill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3" fillId="55" borderId="104" applyNumberFormat="0" applyFont="0" applyAlignment="0" applyProtection="0"/>
    <xf numFmtId="0" fontId="29" fillId="52" borderId="101" applyNumberFormat="0" applyAlignment="0" applyProtection="0"/>
    <xf numFmtId="0" fontId="33" fillId="0" borderId="103" applyNumberFormat="0" applyFill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43" fontId="6" fillId="0" borderId="0" applyFont="0" applyFill="0" applyBorder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0" fontId="27" fillId="39" borderId="101" applyNumberFormat="0" applyAlignment="0" applyProtection="0"/>
    <xf numFmtId="0" fontId="29" fillId="52" borderId="10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24" fillId="0" borderId="0"/>
    <xf numFmtId="0" fontId="54" fillId="0" borderId="0" applyNumberFormat="0" applyFont="0" applyFill="0" applyBorder="0" applyAlignment="0" applyProtection="0"/>
    <xf numFmtId="0" fontId="44" fillId="0" borderId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168" fontId="54" fillId="0" borderId="0" applyFont="0" applyFill="0" applyBorder="0" applyAlignment="0" applyProtection="0"/>
    <xf numFmtId="0" fontId="62" fillId="58" borderId="0">
      <alignment horizontal="center" vertical="center"/>
    </xf>
    <xf numFmtId="0" fontId="54" fillId="0" borderId="0" applyNumberFormat="0" applyFont="0" applyFill="0" applyBorder="0" applyAlignment="0" applyProtection="0"/>
    <xf numFmtId="0" fontId="64" fillId="57" borderId="0" applyNumberFormat="0" applyFont="0" applyFill="0" applyBorder="0" applyAlignment="0" applyProtection="0">
      <alignment horizontal="left" vertical="top" wrapText="1"/>
    </xf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5" xfId="0" applyFont="1" applyBorder="1" applyAlignment="1">
      <alignment wrapText="1"/>
    </xf>
    <xf numFmtId="0" fontId="5" fillId="0" borderId="5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6" xfId="0" applyBorder="1"/>
    <xf numFmtId="0" fontId="4" fillId="0" borderId="7" xfId="0" applyFont="1" applyBorder="1" applyAlignment="1">
      <alignment wrapText="1"/>
    </xf>
    <xf numFmtId="43" fontId="0" fillId="0" borderId="7" xfId="2" applyFont="1" applyBorder="1"/>
    <xf numFmtId="43" fontId="4" fillId="0" borderId="7" xfId="2" applyFont="1" applyBorder="1"/>
    <xf numFmtId="0" fontId="1" fillId="2" borderId="8" xfId="0" applyFont="1" applyFill="1" applyBorder="1" applyAlignment="1">
      <alignment horizontal="center" vertical="center" wrapText="1"/>
    </xf>
    <xf numFmtId="4" fontId="4" fillId="0" borderId="7" xfId="0" applyNumberFormat="1" applyFont="1" applyBorder="1"/>
    <xf numFmtId="43" fontId="6" fillId="0" borderId="7" xfId="2" applyFont="1" applyBorder="1"/>
    <xf numFmtId="4" fontId="6" fillId="0" borderId="0" xfId="148" applyNumberFormat="1"/>
    <xf numFmtId="43" fontId="0" fillId="0" borderId="0" xfId="2" applyFont="1"/>
    <xf numFmtId="164" fontId="0" fillId="0" borderId="0" xfId="0" applyNumberFormat="1"/>
    <xf numFmtId="43" fontId="0" fillId="0" borderId="6" xfId="2" applyFont="1" applyBorder="1"/>
    <xf numFmtId="14" fontId="0" fillId="0" borderId="0" xfId="0" applyNumberFormat="1"/>
    <xf numFmtId="0" fontId="52" fillId="0" borderId="0" xfId="0" applyFont="1"/>
    <xf numFmtId="4" fontId="1" fillId="0" borderId="99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3" fontId="2" fillId="0" borderId="4" xfId="2" applyFont="1" applyBorder="1" applyAlignment="1">
      <alignment horizontal="center" vertical="center"/>
    </xf>
    <xf numFmtId="169" fontId="49" fillId="56" borderId="100" xfId="23565" applyNumberFormat="1" applyFont="1" applyFill="1" applyBorder="1" applyAlignment="1">
      <alignment horizontal="right" vertical="top"/>
    </xf>
    <xf numFmtId="43" fontId="0" fillId="0" borderId="0" xfId="0" applyNumberFormat="1"/>
    <xf numFmtId="169" fontId="0" fillId="0" borderId="0" xfId="0" applyNumberFormat="1"/>
    <xf numFmtId="43" fontId="6" fillId="0" borderId="5" xfId="2" applyFont="1" applyBorder="1" applyAlignment="1">
      <alignment wrapText="1"/>
    </xf>
    <xf numFmtId="49" fontId="54" fillId="0" borderId="105" xfId="0" applyNumberFormat="1" applyFont="1" applyBorder="1" applyAlignment="1">
      <alignment horizontal="left" vertical="center" wrapText="1"/>
    </xf>
    <xf numFmtId="4" fontId="54" fillId="0" borderId="105" xfId="0" applyNumberFormat="1" applyFont="1" applyBorder="1" applyAlignment="1">
      <alignment horizontal="right" vertical="center" wrapText="1"/>
    </xf>
    <xf numFmtId="14" fontId="54" fillId="0" borderId="105" xfId="0" applyNumberFormat="1" applyFont="1" applyBorder="1" applyAlignment="1">
      <alignment horizontal="right" vertical="center" wrapText="1"/>
    </xf>
    <xf numFmtId="0" fontId="54" fillId="0" borderId="105" xfId="0" applyFont="1" applyBorder="1" applyAlignment="1">
      <alignment vertical="center"/>
    </xf>
    <xf numFmtId="0" fontId="0" fillId="0" borderId="105" xfId="0" applyBorder="1"/>
    <xf numFmtId="43" fontId="0" fillId="0" borderId="0" xfId="2" applyFont="1" applyBorder="1"/>
    <xf numFmtId="180" fontId="63" fillId="57" borderId="0" xfId="0" applyNumberFormat="1" applyFont="1" applyFill="1" applyAlignment="1">
      <alignment horizontal="right" vertical="top" wrapText="1"/>
    </xf>
    <xf numFmtId="43" fontId="0" fillId="0" borderId="105" xfId="2" applyFont="1" applyBorder="1"/>
    <xf numFmtId="0" fontId="44" fillId="0" borderId="107" xfId="39912" applyNumberFormat="1" applyFont="1" applyFill="1" applyBorder="1" applyAlignment="1"/>
    <xf numFmtId="4" fontId="44" fillId="0" borderId="0" xfId="39912" applyNumberFormat="1" applyFont="1" applyFill="1" applyBorder="1" applyAlignment="1"/>
    <xf numFmtId="0" fontId="44" fillId="0" borderId="107" xfId="39922" applyNumberFormat="1" applyFont="1" applyFill="1" applyBorder="1" applyAlignment="1"/>
    <xf numFmtId="0" fontId="44" fillId="0" borderId="105" xfId="39912" applyNumberFormat="1" applyFont="1" applyFill="1" applyBorder="1" applyAlignment="1"/>
    <xf numFmtId="171" fontId="44" fillId="0" borderId="105" xfId="39912" applyNumberFormat="1" applyFont="1" applyFill="1" applyBorder="1" applyAlignment="1"/>
    <xf numFmtId="172" fontId="44" fillId="0" borderId="105" xfId="39912" applyNumberFormat="1" applyFont="1" applyFill="1" applyBorder="1" applyAlignment="1"/>
    <xf numFmtId="0" fontId="44" fillId="0" borderId="105" xfId="39922" applyNumberFormat="1" applyFont="1" applyFill="1" applyBorder="1" applyAlignment="1"/>
    <xf numFmtId="171" fontId="44" fillId="0" borderId="105" xfId="39922" applyNumberFormat="1" applyFont="1" applyFill="1" applyBorder="1" applyAlignment="1"/>
    <xf numFmtId="169" fontId="54" fillId="0" borderId="105" xfId="0" applyNumberFormat="1" applyFont="1" applyBorder="1" applyAlignment="1">
      <alignment horizontal="right" vertical="center" wrapText="1"/>
    </xf>
    <xf numFmtId="0" fontId="44" fillId="0" borderId="107" xfId="5414" applyNumberFormat="1" applyFont="1" applyFill="1" applyBorder="1" applyAlignment="1"/>
    <xf numFmtId="0" fontId="44" fillId="0" borderId="105" xfId="5414" applyNumberFormat="1" applyFont="1" applyFill="1" applyBorder="1" applyAlignment="1"/>
    <xf numFmtId="171" fontId="44" fillId="0" borderId="105" xfId="5414" applyNumberFormat="1" applyFont="1" applyFill="1" applyBorder="1" applyAlignment="1"/>
    <xf numFmtId="4" fontId="44" fillId="0" borderId="0" xfId="5414" applyNumberFormat="1" applyFont="1" applyFill="1" applyBorder="1" applyAlignment="1"/>
    <xf numFmtId="172" fontId="44" fillId="0" borderId="105" xfId="5414" applyNumberFormat="1" applyFont="1" applyFill="1" applyBorder="1" applyAlignment="1"/>
    <xf numFmtId="169" fontId="44" fillId="0" borderId="0" xfId="5414" applyNumberFormat="1" applyFont="1" applyFill="1" applyBorder="1" applyAlignment="1"/>
    <xf numFmtId="173" fontId="44" fillId="0" borderId="0" xfId="5414" applyNumberFormat="1" applyFont="1" applyFill="1" applyBorder="1" applyAlignment="1"/>
    <xf numFmtId="3" fontId="44" fillId="0" borderId="0" xfId="5414" applyNumberFormat="1" applyFont="1" applyFill="1" applyBorder="1" applyAlignment="1"/>
    <xf numFmtId="181" fontId="54" fillId="0" borderId="105" xfId="0" applyNumberFormat="1" applyFont="1" applyBorder="1" applyAlignment="1">
      <alignment horizontal="right" vertical="center" wrapText="1"/>
    </xf>
    <xf numFmtId="181" fontId="1" fillId="0" borderId="1" xfId="0" applyNumberFormat="1" applyFont="1" applyBorder="1" applyAlignment="1">
      <alignment horizontal="center" vertical="center"/>
    </xf>
    <xf numFmtId="0" fontId="55" fillId="0" borderId="105" xfId="39912" applyNumberFormat="1" applyFont="1" applyFill="1" applyBorder="1" applyAlignment="1">
      <alignment horizontal="center" vertical="center" wrapText="1"/>
    </xf>
    <xf numFmtId="180" fontId="65" fillId="59" borderId="106" xfId="0" applyNumberFormat="1" applyFont="1" applyFill="1" applyBorder="1" applyAlignment="1">
      <alignment horizontal="right" vertical="top" wrapText="1"/>
    </xf>
    <xf numFmtId="0" fontId="44" fillId="0" borderId="107" xfId="39928" applyNumberFormat="1" applyFont="1" applyFill="1" applyBorder="1" applyAlignment="1"/>
    <xf numFmtId="0" fontId="44" fillId="0" borderId="105" xfId="39928" applyNumberFormat="1" applyFont="1" applyFill="1" applyBorder="1" applyAlignment="1"/>
    <xf numFmtId="171" fontId="44" fillId="0" borderId="105" xfId="39928" applyNumberFormat="1" applyFont="1" applyFill="1" applyBorder="1" applyAlignment="1"/>
    <xf numFmtId="14" fontId="6" fillId="0" borderId="5" xfId="2" applyNumberFormat="1" applyFont="1" applyBorder="1" applyAlignment="1">
      <alignment wrapText="1"/>
    </xf>
    <xf numFmtId="0" fontId="66" fillId="59" borderId="106" xfId="0" applyFont="1" applyFill="1" applyBorder="1" applyAlignment="1">
      <alignment horizontal="left" vertical="top" wrapText="1"/>
    </xf>
    <xf numFmtId="43" fontId="54" fillId="0" borderId="105" xfId="2" applyFont="1" applyBorder="1" applyAlignment="1">
      <alignment horizontal="right" vertical="center" wrapText="1"/>
    </xf>
    <xf numFmtId="0" fontId="44" fillId="0" borderId="107" xfId="39929" applyNumberFormat="1" applyFont="1" applyFill="1" applyBorder="1" applyAlignment="1"/>
    <xf numFmtId="0" fontId="44" fillId="0" borderId="105" xfId="39929" applyNumberFormat="1" applyFont="1" applyFill="1" applyBorder="1" applyAlignment="1"/>
    <xf numFmtId="171" fontId="44" fillId="0" borderId="105" xfId="39929" applyNumberFormat="1" applyFont="1" applyFill="1" applyBorder="1" applyAlignment="1"/>
    <xf numFmtId="14" fontId="52" fillId="0" borderId="0" xfId="0" applyNumberFormat="1" applyFont="1"/>
    <xf numFmtId="0" fontId="48" fillId="0" borderId="105" xfId="0" applyFont="1" applyBorder="1"/>
    <xf numFmtId="169" fontId="48" fillId="0" borderId="105" xfId="0" applyNumberFormat="1" applyFont="1" applyBorder="1"/>
    <xf numFmtId="173" fontId="48" fillId="0" borderId="105" xfId="0" applyNumberFormat="1" applyFont="1" applyBorder="1"/>
    <xf numFmtId="4" fontId="48" fillId="0" borderId="105" xfId="0" applyNumberFormat="1" applyFont="1" applyBorder="1"/>
    <xf numFmtId="3" fontId="48" fillId="0" borderId="105" xfId="0" applyNumberFormat="1" applyFont="1" applyBorder="1"/>
    <xf numFmtId="171" fontId="48" fillId="0" borderId="105" xfId="0" applyNumberFormat="1" applyFont="1" applyBorder="1"/>
    <xf numFmtId="172" fontId="48" fillId="0" borderId="105" xfId="0" applyNumberFormat="1" applyFont="1" applyBorder="1"/>
    <xf numFmtId="0" fontId="44" fillId="0" borderId="107" xfId="0" applyFont="1" applyBorder="1"/>
    <xf numFmtId="0" fontId="44" fillId="0" borderId="105" xfId="0" applyFont="1" applyBorder="1"/>
    <xf numFmtId="171" fontId="44" fillId="0" borderId="105" xfId="0" applyNumberFormat="1" applyFont="1" applyBorder="1"/>
    <xf numFmtId="4" fontId="44" fillId="0" borderId="105" xfId="0" applyNumberFormat="1" applyFont="1" applyBorder="1"/>
    <xf numFmtId="4" fontId="44" fillId="0" borderId="0" xfId="0" applyNumberFormat="1" applyFont="1"/>
    <xf numFmtId="172" fontId="44" fillId="0" borderId="105" xfId="0" applyNumberFormat="1" applyFont="1" applyBorder="1"/>
    <xf numFmtId="169" fontId="44" fillId="0" borderId="0" xfId="0" applyNumberFormat="1" applyFont="1"/>
    <xf numFmtId="173" fontId="44" fillId="0" borderId="0" xfId="0" applyNumberFormat="1" applyFont="1"/>
    <xf numFmtId="3" fontId="44" fillId="0" borderId="0" xfId="0" applyNumberFormat="1" applyFont="1"/>
    <xf numFmtId="4" fontId="44" fillId="0" borderId="105" xfId="39928" applyNumberFormat="1" applyFont="1" applyFill="1" applyBorder="1" applyAlignment="1"/>
    <xf numFmtId="0" fontId="20" fillId="0" borderId="0" xfId="0" applyFont="1"/>
    <xf numFmtId="4" fontId="44" fillId="0" borderId="105" xfId="39929" applyNumberFormat="1" applyFont="1" applyFill="1" applyBorder="1" applyAlignment="1"/>
    <xf numFmtId="169" fontId="44" fillId="0" borderId="0" xfId="39912" applyNumberFormat="1" applyFont="1" applyFill="1" applyBorder="1" applyAlignment="1"/>
    <xf numFmtId="173" fontId="44" fillId="0" borderId="0" xfId="39912" applyNumberFormat="1" applyFont="1" applyFill="1" applyBorder="1" applyAlignment="1"/>
    <xf numFmtId="3" fontId="44" fillId="0" borderId="0" xfId="39912" applyNumberFormat="1" applyFont="1" applyFill="1" applyBorder="1" applyAlignment="1"/>
    <xf numFmtId="0" fontId="52" fillId="0" borderId="105" xfId="0" applyFont="1" applyBorder="1"/>
    <xf numFmtId="43" fontId="67" fillId="0" borderId="4" xfId="2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/>
    </xf>
    <xf numFmtId="0" fontId="0" fillId="0" borderId="105" xfId="0" applyBorder="1" applyAlignment="1">
      <alignment horizontal="center"/>
    </xf>
  </cellXfs>
  <cellStyles count="39930">
    <cellStyle name="20% — акцент1" xfId="395" builtinId="30" customBuiltin="1"/>
    <cellStyle name="20% — акцент1 10" xfId="20529" xr:uid="{00000000-0005-0000-0000-000001000000}"/>
    <cellStyle name="20% — акцент1 11" xfId="7263" xr:uid="{00000000-0005-0000-0000-000002000000}"/>
    <cellStyle name="20% - Акцент1 2" xfId="7506" xr:uid="{00000000-0005-0000-0000-000003000000}"/>
    <cellStyle name="20% — акцент1 2" xfId="66" xr:uid="{00000000-0005-0000-0000-000004000000}"/>
    <cellStyle name="20% - Акцент1 2 10" xfId="7507" xr:uid="{00000000-0005-0000-0000-000005000000}"/>
    <cellStyle name="20% — акцент1 2 10" xfId="20733" xr:uid="{00000000-0005-0000-0000-000006000000}"/>
    <cellStyle name="20% - Акцент1 2 11" xfId="7508" xr:uid="{00000000-0005-0000-0000-000007000000}"/>
    <cellStyle name="20% — акцент1 2 11" xfId="20798" xr:uid="{00000000-0005-0000-0000-000008000000}"/>
    <cellStyle name="20% - Акцент1 2 12" xfId="7509" xr:uid="{00000000-0005-0000-0000-000009000000}"/>
    <cellStyle name="20% — акцент1 2 12" xfId="20863" xr:uid="{00000000-0005-0000-0000-00000A000000}"/>
    <cellStyle name="20% - Акцент1 2 13" xfId="7510" xr:uid="{00000000-0005-0000-0000-00000B000000}"/>
    <cellStyle name="20% — акцент1 2 13" xfId="20928" xr:uid="{00000000-0005-0000-0000-00000C000000}"/>
    <cellStyle name="20% - Акцент1 2 14" xfId="7511" xr:uid="{00000000-0005-0000-0000-00000D000000}"/>
    <cellStyle name="20% — акцент1 2 14" xfId="21685" xr:uid="{00000000-0005-0000-0000-00000E000000}"/>
    <cellStyle name="20% - Акцент1 2 15" xfId="7512" xr:uid="{00000000-0005-0000-0000-00000F000000}"/>
    <cellStyle name="20% — акцент1 2 15" xfId="22288" xr:uid="{00000000-0005-0000-0000-000010000000}"/>
    <cellStyle name="20% — акцент1 2 16" xfId="22319" xr:uid="{00000000-0005-0000-0000-000011000000}"/>
    <cellStyle name="20% — акцент1 2 17" xfId="22323" xr:uid="{00000000-0005-0000-0000-000012000000}"/>
    <cellStyle name="20% — акцент1 2 18" xfId="22345" xr:uid="{00000000-0005-0000-0000-000013000000}"/>
    <cellStyle name="20% — акцент1 2 19" xfId="22367" xr:uid="{00000000-0005-0000-0000-000014000000}"/>
    <cellStyle name="20% - Акцент1 2 2" xfId="7513" xr:uid="{00000000-0005-0000-0000-000015000000}"/>
    <cellStyle name="20% — акцент1 2 2" xfId="256" xr:uid="{00000000-0005-0000-0000-000016000000}"/>
    <cellStyle name="20% — акцент1 2 2 2" xfId="1162" xr:uid="{00000000-0005-0000-0000-000017000000}"/>
    <cellStyle name="20% — акцент1 2 2 2 2" xfId="5895" xr:uid="{00000000-0005-0000-0000-000018000000}"/>
    <cellStyle name="20% — акцент1 2 2 2 3" xfId="21119" xr:uid="{00000000-0005-0000-0000-000019000000}"/>
    <cellStyle name="20% — акцент1 2 2 3" xfId="5637" xr:uid="{00000000-0005-0000-0000-00001A000000}"/>
    <cellStyle name="20% — акцент1 2 2 4" xfId="7316" xr:uid="{00000000-0005-0000-0000-00001B000000}"/>
    <cellStyle name="20% — акцент1 2 20" xfId="22404" xr:uid="{00000000-0005-0000-0000-00001C000000}"/>
    <cellStyle name="20% — акцент1 2 21" xfId="22427" xr:uid="{00000000-0005-0000-0000-00001D000000}"/>
    <cellStyle name="20% — акцент1 2 22" xfId="22450" xr:uid="{00000000-0005-0000-0000-00001E000000}"/>
    <cellStyle name="20% — акцент1 2 23" xfId="22511" xr:uid="{00000000-0005-0000-0000-00001F000000}"/>
    <cellStyle name="20% — акцент1 2 24" xfId="22557" xr:uid="{00000000-0005-0000-0000-000020000000}"/>
    <cellStyle name="20% — акцент1 2 25" xfId="23118" xr:uid="{00000000-0005-0000-0000-000021000000}"/>
    <cellStyle name="20% — акцент1 2 26" xfId="23132" xr:uid="{00000000-0005-0000-0000-000022000000}"/>
    <cellStyle name="20% — акцент1 2 27" xfId="23166" xr:uid="{00000000-0005-0000-0000-000023000000}"/>
    <cellStyle name="20% — акцент1 2 28" xfId="23463" xr:uid="{00000000-0005-0000-0000-000024000000}"/>
    <cellStyle name="20% — акцент1 2 29" xfId="23535" xr:uid="{00000000-0005-0000-0000-000025000000}"/>
    <cellStyle name="20% - Акцент1 2 3" xfId="7514" xr:uid="{00000000-0005-0000-0000-000026000000}"/>
    <cellStyle name="20% — акцент1 2 3" xfId="1083" xr:uid="{00000000-0005-0000-0000-000027000000}"/>
    <cellStyle name="20% — акцент1 2 3 2" xfId="5763" xr:uid="{00000000-0005-0000-0000-000028000000}"/>
    <cellStyle name="20% — акцент1 2 3 3" xfId="14111" xr:uid="{00000000-0005-0000-0000-000029000000}"/>
    <cellStyle name="20% — акцент1 2 30" xfId="7201" xr:uid="{00000000-0005-0000-0000-00002A000000}"/>
    <cellStyle name="20% - Акцент1 2 4" xfId="7515" xr:uid="{00000000-0005-0000-0000-00002B000000}"/>
    <cellStyle name="20% — акцент1 2 4" xfId="5448" xr:uid="{00000000-0005-0000-0000-00002C000000}"/>
    <cellStyle name="20% — акцент1 2 4 2" xfId="6494" xr:uid="{00000000-0005-0000-0000-00002D000000}"/>
    <cellStyle name="20% — акцент1 2 4 3" xfId="20307" xr:uid="{00000000-0005-0000-0000-00002E000000}"/>
    <cellStyle name="20% - Акцент1 2 5" xfId="7516" xr:uid="{00000000-0005-0000-0000-00002F000000}"/>
    <cellStyle name="20% — акцент1 2 5" xfId="5486" xr:uid="{00000000-0005-0000-0000-000030000000}"/>
    <cellStyle name="20% — акцент1 2 5 2" xfId="6558" xr:uid="{00000000-0005-0000-0000-000031000000}"/>
    <cellStyle name="20% — акцент1 2 5 3" xfId="20336" xr:uid="{00000000-0005-0000-0000-000032000000}"/>
    <cellStyle name="20% - Акцент1 2 6" xfId="7517" xr:uid="{00000000-0005-0000-0000-000033000000}"/>
    <cellStyle name="20% — акцент1 2 6" xfId="5538" xr:uid="{00000000-0005-0000-0000-000034000000}"/>
    <cellStyle name="20% — акцент1 2 6 2" xfId="20349" xr:uid="{00000000-0005-0000-0000-000035000000}"/>
    <cellStyle name="20% - Акцент1 2 7" xfId="7518" xr:uid="{00000000-0005-0000-0000-000036000000}"/>
    <cellStyle name="20% — акцент1 2 7" xfId="20530" xr:uid="{00000000-0005-0000-0000-000037000000}"/>
    <cellStyle name="20% - Акцент1 2 8" xfId="7519" xr:uid="{00000000-0005-0000-0000-000038000000}"/>
    <cellStyle name="20% — акцент1 2 8" xfId="20583" xr:uid="{00000000-0005-0000-0000-000039000000}"/>
    <cellStyle name="20% - Акцент1 2 9" xfId="7520" xr:uid="{00000000-0005-0000-0000-00003A000000}"/>
    <cellStyle name="20% — акцент1 2 9" xfId="20668" xr:uid="{00000000-0005-0000-0000-00003B000000}"/>
    <cellStyle name="20% - Акцент1 3" xfId="7521" xr:uid="{00000000-0005-0000-0000-00003C000000}"/>
    <cellStyle name="20% — акцент1 3" xfId="6" xr:uid="{00000000-0005-0000-0000-00003D000000}"/>
    <cellStyle name="20% — акцент1 3 2" xfId="894" xr:uid="{00000000-0005-0000-0000-00003E000000}"/>
    <cellStyle name="20% — акцент1 3 2 2" xfId="6515" xr:uid="{00000000-0005-0000-0000-00003F000000}"/>
    <cellStyle name="20% — акцент1 3 2 2 2" xfId="14002" xr:uid="{00000000-0005-0000-0000-000040000000}"/>
    <cellStyle name="20% — акцент1 3 2 3" xfId="7522" xr:uid="{00000000-0005-0000-0000-000041000000}"/>
    <cellStyle name="20% — акцент1 3 3" xfId="5507" xr:uid="{00000000-0005-0000-0000-000042000000}"/>
    <cellStyle name="20% — акцент1 3 3 2" xfId="6579" xr:uid="{00000000-0005-0000-0000-000043000000}"/>
    <cellStyle name="20% — акцент1 3 3 3" xfId="23516" xr:uid="{00000000-0005-0000-0000-000044000000}"/>
    <cellStyle name="20% — акцент1 3 4" xfId="7424" xr:uid="{00000000-0005-0000-0000-000045000000}"/>
    <cellStyle name="20% — акцент1 4" xfId="846" xr:uid="{00000000-0005-0000-0000-000046000000}"/>
    <cellStyle name="20% — акцент1 4 2" xfId="1233" xr:uid="{00000000-0005-0000-0000-000047000000}"/>
    <cellStyle name="20% — акцент1 4 2 2" xfId="21226" xr:uid="{00000000-0005-0000-0000-000048000000}"/>
    <cellStyle name="20% — акцент1 4 3" xfId="7289" xr:uid="{00000000-0005-0000-0000-000049000000}"/>
    <cellStyle name="20% — акцент1 5" xfId="1674" xr:uid="{00000000-0005-0000-0000-00004A000000}"/>
    <cellStyle name="20% — акцент1 5 2" xfId="6430" xr:uid="{00000000-0005-0000-0000-00004B000000}"/>
    <cellStyle name="20% — акцент1 5 2 2" xfId="21666" xr:uid="{00000000-0005-0000-0000-00004C000000}"/>
    <cellStyle name="20% — акцент1 5 3" xfId="7523" xr:uid="{00000000-0005-0000-0000-00004D000000}"/>
    <cellStyle name="20% — акцент1 6" xfId="2306" xr:uid="{00000000-0005-0000-0000-00004E000000}"/>
    <cellStyle name="20% — акцент1 6 2" xfId="6451" xr:uid="{00000000-0005-0000-0000-00004F000000}"/>
    <cellStyle name="20% — акцент1 6 2 2" xfId="22391" xr:uid="{00000000-0005-0000-0000-000050000000}"/>
    <cellStyle name="20% — акцент1 6 3" xfId="20288" xr:uid="{00000000-0005-0000-0000-000051000000}"/>
    <cellStyle name="20% — акцент1 7" xfId="5426" xr:uid="{00000000-0005-0000-0000-000052000000}"/>
    <cellStyle name="20% — акцент1 7 2" xfId="6470" xr:uid="{00000000-0005-0000-0000-000053000000}"/>
    <cellStyle name="20% — акцент1 7 2 2" xfId="23443" xr:uid="{00000000-0005-0000-0000-000054000000}"/>
    <cellStyle name="20% — акцент1 7 3" xfId="20320" xr:uid="{00000000-0005-0000-0000-000055000000}"/>
    <cellStyle name="20% — акцент1 8" xfId="5463" xr:uid="{00000000-0005-0000-0000-000056000000}"/>
    <cellStyle name="20% — акцент1 8 2" xfId="6534" xr:uid="{00000000-0005-0000-0000-000057000000}"/>
    <cellStyle name="20% — акцент1 8 2 2" xfId="23490" xr:uid="{00000000-0005-0000-0000-000058000000}"/>
    <cellStyle name="20% — акцент1 8 3" xfId="20333" xr:uid="{00000000-0005-0000-0000-000059000000}"/>
    <cellStyle name="20% — акцент1 9" xfId="20513" xr:uid="{00000000-0005-0000-0000-00005A000000}"/>
    <cellStyle name="20% — акцент2" xfId="399" builtinId="34" customBuiltin="1"/>
    <cellStyle name="20% — акцент2 10" xfId="20604" xr:uid="{00000000-0005-0000-0000-00005C000000}"/>
    <cellStyle name="20% — акцент2 11" xfId="7266" xr:uid="{00000000-0005-0000-0000-00005D000000}"/>
    <cellStyle name="20% - Акцент2 2" xfId="7524" xr:uid="{00000000-0005-0000-0000-00005E000000}"/>
    <cellStyle name="20% — акцент2 2" xfId="67" xr:uid="{00000000-0005-0000-0000-00005F000000}"/>
    <cellStyle name="20% - Акцент2 2 10" xfId="7525" xr:uid="{00000000-0005-0000-0000-000060000000}"/>
    <cellStyle name="20% — акцент2 2 10" xfId="20734" xr:uid="{00000000-0005-0000-0000-000061000000}"/>
    <cellStyle name="20% - Акцент2 2 11" xfId="7526" xr:uid="{00000000-0005-0000-0000-000062000000}"/>
    <cellStyle name="20% — акцент2 2 11" xfId="20799" xr:uid="{00000000-0005-0000-0000-000063000000}"/>
    <cellStyle name="20% - Акцент2 2 12" xfId="7527" xr:uid="{00000000-0005-0000-0000-000064000000}"/>
    <cellStyle name="20% — акцент2 2 12" xfId="20864" xr:uid="{00000000-0005-0000-0000-000065000000}"/>
    <cellStyle name="20% - Акцент2 2 13" xfId="7528" xr:uid="{00000000-0005-0000-0000-000066000000}"/>
    <cellStyle name="20% — акцент2 2 13" xfId="20929" xr:uid="{00000000-0005-0000-0000-000067000000}"/>
    <cellStyle name="20% - Акцент2 2 14" xfId="7529" xr:uid="{00000000-0005-0000-0000-000068000000}"/>
    <cellStyle name="20% — акцент2 2 14" xfId="21686" xr:uid="{00000000-0005-0000-0000-000069000000}"/>
    <cellStyle name="20% - Акцент2 2 15" xfId="7530" xr:uid="{00000000-0005-0000-0000-00006A000000}"/>
    <cellStyle name="20% — акцент2 2 15" xfId="22289" xr:uid="{00000000-0005-0000-0000-00006B000000}"/>
    <cellStyle name="20% — акцент2 2 16" xfId="22318" xr:uid="{00000000-0005-0000-0000-00006C000000}"/>
    <cellStyle name="20% — акцент2 2 17" xfId="22324" xr:uid="{00000000-0005-0000-0000-00006D000000}"/>
    <cellStyle name="20% — акцент2 2 18" xfId="22346" xr:uid="{00000000-0005-0000-0000-00006E000000}"/>
    <cellStyle name="20% — акцент2 2 19" xfId="22368" xr:uid="{00000000-0005-0000-0000-00006F000000}"/>
    <cellStyle name="20% - Акцент2 2 2" xfId="7531" xr:uid="{00000000-0005-0000-0000-000070000000}"/>
    <cellStyle name="20% — акцент2 2 2" xfId="257" xr:uid="{00000000-0005-0000-0000-000071000000}"/>
    <cellStyle name="20% — акцент2 2 2 2" xfId="1163" xr:uid="{00000000-0005-0000-0000-000072000000}"/>
    <cellStyle name="20% — акцент2 2 2 2 2" xfId="5896" xr:uid="{00000000-0005-0000-0000-000073000000}"/>
    <cellStyle name="20% — акцент2 2 2 2 3" xfId="21120" xr:uid="{00000000-0005-0000-0000-000074000000}"/>
    <cellStyle name="20% — акцент2 2 2 3" xfId="5638" xr:uid="{00000000-0005-0000-0000-000075000000}"/>
    <cellStyle name="20% — акцент2 2 2 4" xfId="7317" xr:uid="{00000000-0005-0000-0000-000076000000}"/>
    <cellStyle name="20% — акцент2 2 20" xfId="22405" xr:uid="{00000000-0005-0000-0000-000077000000}"/>
    <cellStyle name="20% — акцент2 2 21" xfId="22428" xr:uid="{00000000-0005-0000-0000-000078000000}"/>
    <cellStyle name="20% — акцент2 2 22" xfId="22451" xr:uid="{00000000-0005-0000-0000-000079000000}"/>
    <cellStyle name="20% — акцент2 2 23" xfId="22512" xr:uid="{00000000-0005-0000-0000-00007A000000}"/>
    <cellStyle name="20% — акцент2 2 24" xfId="22695" xr:uid="{00000000-0005-0000-0000-00007B000000}"/>
    <cellStyle name="20% — акцент2 2 25" xfId="23119" xr:uid="{00000000-0005-0000-0000-00007C000000}"/>
    <cellStyle name="20% — акцент2 2 26" xfId="23147" xr:uid="{00000000-0005-0000-0000-00007D000000}"/>
    <cellStyle name="20% — акцент2 2 27" xfId="23167" xr:uid="{00000000-0005-0000-0000-00007E000000}"/>
    <cellStyle name="20% — акцент2 2 28" xfId="23464" xr:uid="{00000000-0005-0000-0000-00007F000000}"/>
    <cellStyle name="20% — акцент2 2 29" xfId="23536" xr:uid="{00000000-0005-0000-0000-000080000000}"/>
    <cellStyle name="20% - Акцент2 2 3" xfId="7532" xr:uid="{00000000-0005-0000-0000-000081000000}"/>
    <cellStyle name="20% — акцент2 2 3" xfId="1084" xr:uid="{00000000-0005-0000-0000-000082000000}"/>
    <cellStyle name="20% — акцент2 2 3 2" xfId="5764" xr:uid="{00000000-0005-0000-0000-000083000000}"/>
    <cellStyle name="20% — акцент2 2 3 3" xfId="14112" xr:uid="{00000000-0005-0000-0000-000084000000}"/>
    <cellStyle name="20% — акцент2 2 30" xfId="7202" xr:uid="{00000000-0005-0000-0000-000085000000}"/>
    <cellStyle name="20% - Акцент2 2 4" xfId="7533" xr:uid="{00000000-0005-0000-0000-000086000000}"/>
    <cellStyle name="20% — акцент2 2 4" xfId="5450" xr:uid="{00000000-0005-0000-0000-000087000000}"/>
    <cellStyle name="20% — акцент2 2 4 2" xfId="6497" xr:uid="{00000000-0005-0000-0000-000088000000}"/>
    <cellStyle name="20% — акцент2 2 4 3" xfId="20308" xr:uid="{00000000-0005-0000-0000-000089000000}"/>
    <cellStyle name="20% - Акцент2 2 5" xfId="7534" xr:uid="{00000000-0005-0000-0000-00008A000000}"/>
    <cellStyle name="20% — акцент2 2 5" xfId="5489" xr:uid="{00000000-0005-0000-0000-00008B000000}"/>
    <cellStyle name="20% — акцент2 2 5 2" xfId="6561" xr:uid="{00000000-0005-0000-0000-00008C000000}"/>
    <cellStyle name="20% — акцент2 2 5 3" xfId="20337" xr:uid="{00000000-0005-0000-0000-00008D000000}"/>
    <cellStyle name="20% - Акцент2 2 6" xfId="7535" xr:uid="{00000000-0005-0000-0000-00008E000000}"/>
    <cellStyle name="20% — акцент2 2 6" xfId="5539" xr:uid="{00000000-0005-0000-0000-00008F000000}"/>
    <cellStyle name="20% — акцент2 2 6 2" xfId="20335" xr:uid="{00000000-0005-0000-0000-000090000000}"/>
    <cellStyle name="20% - Акцент2 2 7" xfId="7536" xr:uid="{00000000-0005-0000-0000-000091000000}"/>
    <cellStyle name="20% — акцент2 2 7" xfId="20531" xr:uid="{00000000-0005-0000-0000-000092000000}"/>
    <cellStyle name="20% - Акцент2 2 8" xfId="7537" xr:uid="{00000000-0005-0000-0000-000093000000}"/>
    <cellStyle name="20% — акцент2 2 8" xfId="20549" xr:uid="{00000000-0005-0000-0000-000094000000}"/>
    <cellStyle name="20% - Акцент2 2 9" xfId="7538" xr:uid="{00000000-0005-0000-0000-000095000000}"/>
    <cellStyle name="20% — акцент2 2 9" xfId="20669" xr:uid="{00000000-0005-0000-0000-000096000000}"/>
    <cellStyle name="20% - Акцент2 3" xfId="7539" xr:uid="{00000000-0005-0000-0000-000097000000}"/>
    <cellStyle name="20% — акцент2 3" xfId="7" xr:uid="{00000000-0005-0000-0000-000098000000}"/>
    <cellStyle name="20% — акцент2 3 2" xfId="895" xr:uid="{00000000-0005-0000-0000-000099000000}"/>
    <cellStyle name="20% — акцент2 3 2 2" xfId="6518" xr:uid="{00000000-0005-0000-0000-00009A000000}"/>
    <cellStyle name="20% — акцент2 3 2 2 2" xfId="14003" xr:uid="{00000000-0005-0000-0000-00009B000000}"/>
    <cellStyle name="20% — акцент2 3 2 3" xfId="7540" xr:uid="{00000000-0005-0000-0000-00009C000000}"/>
    <cellStyle name="20% — акцент2 3 3" xfId="5510" xr:uid="{00000000-0005-0000-0000-00009D000000}"/>
    <cellStyle name="20% — акцент2 3 3 2" xfId="6582" xr:uid="{00000000-0005-0000-0000-00009E000000}"/>
    <cellStyle name="20% — акцент2 3 3 3" xfId="23519" xr:uid="{00000000-0005-0000-0000-00009F000000}"/>
    <cellStyle name="20% — акцент2 3 4" xfId="7425" xr:uid="{00000000-0005-0000-0000-0000A0000000}"/>
    <cellStyle name="20% — акцент2 4" xfId="847" xr:uid="{00000000-0005-0000-0000-0000A1000000}"/>
    <cellStyle name="20% — акцент2 4 2" xfId="1236" xr:uid="{00000000-0005-0000-0000-0000A2000000}"/>
    <cellStyle name="20% — акцент2 4 2 2" xfId="21229" xr:uid="{00000000-0005-0000-0000-0000A3000000}"/>
    <cellStyle name="20% — акцент2 4 3" xfId="7290" xr:uid="{00000000-0005-0000-0000-0000A4000000}"/>
    <cellStyle name="20% — акцент2 5" xfId="1677" xr:uid="{00000000-0005-0000-0000-0000A5000000}"/>
    <cellStyle name="20% — акцент2 5 2" xfId="6433" xr:uid="{00000000-0005-0000-0000-0000A6000000}"/>
    <cellStyle name="20% — акцент2 5 2 2" xfId="21669" xr:uid="{00000000-0005-0000-0000-0000A7000000}"/>
    <cellStyle name="20% — акцент2 5 3" xfId="7541" xr:uid="{00000000-0005-0000-0000-0000A8000000}"/>
    <cellStyle name="20% — акцент2 6" xfId="2309" xr:uid="{00000000-0005-0000-0000-0000A9000000}"/>
    <cellStyle name="20% — акцент2 6 2" xfId="6454" xr:uid="{00000000-0005-0000-0000-0000AA000000}"/>
    <cellStyle name="20% — акцент2 6 2 2" xfId="22393" xr:uid="{00000000-0005-0000-0000-0000AB000000}"/>
    <cellStyle name="20% — акцент2 6 3" xfId="20289" xr:uid="{00000000-0005-0000-0000-0000AC000000}"/>
    <cellStyle name="20% — акцент2 7" xfId="5429" xr:uid="{00000000-0005-0000-0000-0000AD000000}"/>
    <cellStyle name="20% — акцент2 7 2" xfId="6473" xr:uid="{00000000-0005-0000-0000-0000AE000000}"/>
    <cellStyle name="20% — акцент2 7 2 2" xfId="23445" xr:uid="{00000000-0005-0000-0000-0000AF000000}"/>
    <cellStyle name="20% — акцент2 7 3" xfId="20321" xr:uid="{00000000-0005-0000-0000-0000B0000000}"/>
    <cellStyle name="20% — акцент2 8" xfId="5466" xr:uid="{00000000-0005-0000-0000-0000B1000000}"/>
    <cellStyle name="20% — акцент2 8 2" xfId="6537" xr:uid="{00000000-0005-0000-0000-0000B2000000}"/>
    <cellStyle name="20% — акцент2 8 2 2" xfId="23492" xr:uid="{00000000-0005-0000-0000-0000B3000000}"/>
    <cellStyle name="20% — акцент2 8 3" xfId="20436" xr:uid="{00000000-0005-0000-0000-0000B4000000}"/>
    <cellStyle name="20% — акцент2 9" xfId="20514" xr:uid="{00000000-0005-0000-0000-0000B5000000}"/>
    <cellStyle name="20% — акцент3" xfId="403" builtinId="38" customBuiltin="1"/>
    <cellStyle name="20% — акцент3 10" xfId="20557" xr:uid="{00000000-0005-0000-0000-0000B7000000}"/>
    <cellStyle name="20% — акцент3 11" xfId="7269" xr:uid="{00000000-0005-0000-0000-0000B8000000}"/>
    <cellStyle name="20% - Акцент3 2" xfId="7542" xr:uid="{00000000-0005-0000-0000-0000B9000000}"/>
    <cellStyle name="20% — акцент3 2" xfId="68" xr:uid="{00000000-0005-0000-0000-0000BA000000}"/>
    <cellStyle name="20% - Акцент3 2 10" xfId="7543" xr:uid="{00000000-0005-0000-0000-0000BB000000}"/>
    <cellStyle name="20% — акцент3 2 10" xfId="20735" xr:uid="{00000000-0005-0000-0000-0000BC000000}"/>
    <cellStyle name="20% - Акцент3 2 11" xfId="7544" xr:uid="{00000000-0005-0000-0000-0000BD000000}"/>
    <cellStyle name="20% — акцент3 2 11" xfId="20800" xr:uid="{00000000-0005-0000-0000-0000BE000000}"/>
    <cellStyle name="20% - Акцент3 2 12" xfId="7545" xr:uid="{00000000-0005-0000-0000-0000BF000000}"/>
    <cellStyle name="20% — акцент3 2 12" xfId="20865" xr:uid="{00000000-0005-0000-0000-0000C0000000}"/>
    <cellStyle name="20% - Акцент3 2 13" xfId="7546" xr:uid="{00000000-0005-0000-0000-0000C1000000}"/>
    <cellStyle name="20% — акцент3 2 13" xfId="20930" xr:uid="{00000000-0005-0000-0000-0000C2000000}"/>
    <cellStyle name="20% - Акцент3 2 14" xfId="7547" xr:uid="{00000000-0005-0000-0000-0000C3000000}"/>
    <cellStyle name="20% — акцент3 2 14" xfId="21687" xr:uid="{00000000-0005-0000-0000-0000C4000000}"/>
    <cellStyle name="20% - Акцент3 2 15" xfId="7548" xr:uid="{00000000-0005-0000-0000-0000C5000000}"/>
    <cellStyle name="20% — акцент3 2 15" xfId="22290" xr:uid="{00000000-0005-0000-0000-0000C6000000}"/>
    <cellStyle name="20% — акцент3 2 16" xfId="22317" xr:uid="{00000000-0005-0000-0000-0000C7000000}"/>
    <cellStyle name="20% — акцент3 2 17" xfId="22325" xr:uid="{00000000-0005-0000-0000-0000C8000000}"/>
    <cellStyle name="20% — акцент3 2 18" xfId="22347" xr:uid="{00000000-0005-0000-0000-0000C9000000}"/>
    <cellStyle name="20% — акцент3 2 19" xfId="22369" xr:uid="{00000000-0005-0000-0000-0000CA000000}"/>
    <cellStyle name="20% - Акцент3 2 2" xfId="7549" xr:uid="{00000000-0005-0000-0000-0000CB000000}"/>
    <cellStyle name="20% — акцент3 2 2" xfId="258" xr:uid="{00000000-0005-0000-0000-0000CC000000}"/>
    <cellStyle name="20% — акцент3 2 2 2" xfId="1164" xr:uid="{00000000-0005-0000-0000-0000CD000000}"/>
    <cellStyle name="20% — акцент3 2 2 2 2" xfId="5897" xr:uid="{00000000-0005-0000-0000-0000CE000000}"/>
    <cellStyle name="20% — акцент3 2 2 2 3" xfId="21121" xr:uid="{00000000-0005-0000-0000-0000CF000000}"/>
    <cellStyle name="20% — акцент3 2 2 3" xfId="5639" xr:uid="{00000000-0005-0000-0000-0000D0000000}"/>
    <cellStyle name="20% — акцент3 2 2 4" xfId="7318" xr:uid="{00000000-0005-0000-0000-0000D1000000}"/>
    <cellStyle name="20% — акцент3 2 20" xfId="22406" xr:uid="{00000000-0005-0000-0000-0000D2000000}"/>
    <cellStyle name="20% — акцент3 2 21" xfId="22429" xr:uid="{00000000-0005-0000-0000-0000D3000000}"/>
    <cellStyle name="20% — акцент3 2 22" xfId="22452" xr:uid="{00000000-0005-0000-0000-0000D4000000}"/>
    <cellStyle name="20% — акцент3 2 23" xfId="22513" xr:uid="{00000000-0005-0000-0000-0000D5000000}"/>
    <cellStyle name="20% — акцент3 2 24" xfId="22766" xr:uid="{00000000-0005-0000-0000-0000D6000000}"/>
    <cellStyle name="20% — акцент3 2 25" xfId="23120" xr:uid="{00000000-0005-0000-0000-0000D7000000}"/>
    <cellStyle name="20% — акцент3 2 26" xfId="23153" xr:uid="{00000000-0005-0000-0000-0000D8000000}"/>
    <cellStyle name="20% — акцент3 2 27" xfId="23168" xr:uid="{00000000-0005-0000-0000-0000D9000000}"/>
    <cellStyle name="20% — акцент3 2 28" xfId="23465" xr:uid="{00000000-0005-0000-0000-0000DA000000}"/>
    <cellStyle name="20% — акцент3 2 29" xfId="23537" xr:uid="{00000000-0005-0000-0000-0000DB000000}"/>
    <cellStyle name="20% - Акцент3 2 3" xfId="7550" xr:uid="{00000000-0005-0000-0000-0000DC000000}"/>
    <cellStyle name="20% — акцент3 2 3" xfId="1085" xr:uid="{00000000-0005-0000-0000-0000DD000000}"/>
    <cellStyle name="20% — акцент3 2 3 2" xfId="5765" xr:uid="{00000000-0005-0000-0000-0000DE000000}"/>
    <cellStyle name="20% — акцент3 2 3 3" xfId="14113" xr:uid="{00000000-0005-0000-0000-0000DF000000}"/>
    <cellStyle name="20% — акцент3 2 30" xfId="7203" xr:uid="{00000000-0005-0000-0000-0000E0000000}"/>
    <cellStyle name="20% - Акцент3 2 4" xfId="7551" xr:uid="{00000000-0005-0000-0000-0000E1000000}"/>
    <cellStyle name="20% — акцент3 2 4" xfId="5452" xr:uid="{00000000-0005-0000-0000-0000E2000000}"/>
    <cellStyle name="20% — акцент3 2 4 2" xfId="6500" xr:uid="{00000000-0005-0000-0000-0000E3000000}"/>
    <cellStyle name="20% — акцент3 2 4 3" xfId="20309" xr:uid="{00000000-0005-0000-0000-0000E4000000}"/>
    <cellStyle name="20% - Акцент3 2 5" xfId="7552" xr:uid="{00000000-0005-0000-0000-0000E5000000}"/>
    <cellStyle name="20% — акцент3 2 5" xfId="5492" xr:uid="{00000000-0005-0000-0000-0000E6000000}"/>
    <cellStyle name="20% — акцент3 2 5 2" xfId="6564" xr:uid="{00000000-0005-0000-0000-0000E7000000}"/>
    <cellStyle name="20% — акцент3 2 5 3" xfId="20338" xr:uid="{00000000-0005-0000-0000-0000E8000000}"/>
    <cellStyle name="20% - Акцент3 2 6" xfId="7553" xr:uid="{00000000-0005-0000-0000-0000E9000000}"/>
    <cellStyle name="20% — акцент3 2 6" xfId="5540" xr:uid="{00000000-0005-0000-0000-0000EA000000}"/>
    <cellStyle name="20% — акцент3 2 6 2" xfId="20354" xr:uid="{00000000-0005-0000-0000-0000EB000000}"/>
    <cellStyle name="20% - Акцент3 2 7" xfId="7554" xr:uid="{00000000-0005-0000-0000-0000EC000000}"/>
    <cellStyle name="20% — акцент3 2 7" xfId="20532" xr:uid="{00000000-0005-0000-0000-0000ED000000}"/>
    <cellStyle name="20% - Акцент3 2 8" xfId="7555" xr:uid="{00000000-0005-0000-0000-0000EE000000}"/>
    <cellStyle name="20% — акцент3 2 8" xfId="20581" xr:uid="{00000000-0005-0000-0000-0000EF000000}"/>
    <cellStyle name="20% - Акцент3 2 9" xfId="7556" xr:uid="{00000000-0005-0000-0000-0000F0000000}"/>
    <cellStyle name="20% — акцент3 2 9" xfId="20670" xr:uid="{00000000-0005-0000-0000-0000F1000000}"/>
    <cellStyle name="20% - Акцент3 3" xfId="7557" xr:uid="{00000000-0005-0000-0000-0000F2000000}"/>
    <cellStyle name="20% — акцент3 3" xfId="8" xr:uid="{00000000-0005-0000-0000-0000F3000000}"/>
    <cellStyle name="20% — акцент3 3 2" xfId="896" xr:uid="{00000000-0005-0000-0000-0000F4000000}"/>
    <cellStyle name="20% — акцент3 3 2 2" xfId="6521" xr:uid="{00000000-0005-0000-0000-0000F5000000}"/>
    <cellStyle name="20% — акцент3 3 2 2 2" xfId="14004" xr:uid="{00000000-0005-0000-0000-0000F6000000}"/>
    <cellStyle name="20% — акцент3 3 2 3" xfId="7558" xr:uid="{00000000-0005-0000-0000-0000F7000000}"/>
    <cellStyle name="20% — акцент3 3 3" xfId="5513" xr:uid="{00000000-0005-0000-0000-0000F8000000}"/>
    <cellStyle name="20% — акцент3 3 3 2" xfId="6585" xr:uid="{00000000-0005-0000-0000-0000F9000000}"/>
    <cellStyle name="20% — акцент3 3 3 3" xfId="23522" xr:uid="{00000000-0005-0000-0000-0000FA000000}"/>
    <cellStyle name="20% — акцент3 3 4" xfId="7426" xr:uid="{00000000-0005-0000-0000-0000FB000000}"/>
    <cellStyle name="20% — акцент3 4" xfId="848" xr:uid="{00000000-0005-0000-0000-0000FC000000}"/>
    <cellStyle name="20% — акцент3 4 2" xfId="1239" xr:uid="{00000000-0005-0000-0000-0000FD000000}"/>
    <cellStyle name="20% — акцент3 4 2 2" xfId="21232" xr:uid="{00000000-0005-0000-0000-0000FE000000}"/>
    <cellStyle name="20% — акцент3 4 3" xfId="7291" xr:uid="{00000000-0005-0000-0000-0000FF000000}"/>
    <cellStyle name="20% — акцент3 5" xfId="1680" xr:uid="{00000000-0005-0000-0000-000000010000}"/>
    <cellStyle name="20% — акцент3 5 2" xfId="6436" xr:uid="{00000000-0005-0000-0000-000001010000}"/>
    <cellStyle name="20% — акцент3 5 2 2" xfId="21672" xr:uid="{00000000-0005-0000-0000-000002010000}"/>
    <cellStyle name="20% — акцент3 5 3" xfId="7559" xr:uid="{00000000-0005-0000-0000-000003010000}"/>
    <cellStyle name="20% — акцент3 6" xfId="2312" xr:uid="{00000000-0005-0000-0000-000004010000}"/>
    <cellStyle name="20% — акцент3 6 2" xfId="6457" xr:uid="{00000000-0005-0000-0000-000005010000}"/>
    <cellStyle name="20% — акцент3 6 2 2" xfId="22395" xr:uid="{00000000-0005-0000-0000-000006010000}"/>
    <cellStyle name="20% — акцент3 6 3" xfId="20290" xr:uid="{00000000-0005-0000-0000-000007010000}"/>
    <cellStyle name="20% — акцент3 7" xfId="5432" xr:uid="{00000000-0005-0000-0000-000008010000}"/>
    <cellStyle name="20% — акцент3 7 2" xfId="6476" xr:uid="{00000000-0005-0000-0000-000009010000}"/>
    <cellStyle name="20% — акцент3 7 2 2" xfId="23447" xr:uid="{00000000-0005-0000-0000-00000A010000}"/>
    <cellStyle name="20% — акцент3 7 3" xfId="20322" xr:uid="{00000000-0005-0000-0000-00000B010000}"/>
    <cellStyle name="20% — акцент3 8" xfId="5469" xr:uid="{00000000-0005-0000-0000-00000C010000}"/>
    <cellStyle name="20% — акцент3 8 2" xfId="6540" xr:uid="{00000000-0005-0000-0000-00000D010000}"/>
    <cellStyle name="20% — акцент3 8 2 2" xfId="23494" xr:uid="{00000000-0005-0000-0000-00000E010000}"/>
    <cellStyle name="20% — акцент3 8 3" xfId="20362" xr:uid="{00000000-0005-0000-0000-00000F010000}"/>
    <cellStyle name="20% — акцент3 9" xfId="20515" xr:uid="{00000000-0005-0000-0000-000010010000}"/>
    <cellStyle name="20% — акцент4" xfId="407" builtinId="42" customBuiltin="1"/>
    <cellStyle name="20% — акцент4 10" xfId="20592" xr:uid="{00000000-0005-0000-0000-000012010000}"/>
    <cellStyle name="20% — акцент4 11" xfId="7272" xr:uid="{00000000-0005-0000-0000-000013010000}"/>
    <cellStyle name="20% - Акцент4 2" xfId="7560" xr:uid="{00000000-0005-0000-0000-000014010000}"/>
    <cellStyle name="20% — акцент4 2" xfId="69" xr:uid="{00000000-0005-0000-0000-000015010000}"/>
    <cellStyle name="20% - Акцент4 2 10" xfId="7561" xr:uid="{00000000-0005-0000-0000-000016010000}"/>
    <cellStyle name="20% — акцент4 2 10" xfId="20736" xr:uid="{00000000-0005-0000-0000-000017010000}"/>
    <cellStyle name="20% - Акцент4 2 11" xfId="7562" xr:uid="{00000000-0005-0000-0000-000018010000}"/>
    <cellStyle name="20% — акцент4 2 11" xfId="20801" xr:uid="{00000000-0005-0000-0000-000019010000}"/>
    <cellStyle name="20% - Акцент4 2 12" xfId="7563" xr:uid="{00000000-0005-0000-0000-00001A010000}"/>
    <cellStyle name="20% — акцент4 2 12" xfId="20866" xr:uid="{00000000-0005-0000-0000-00001B010000}"/>
    <cellStyle name="20% - Акцент4 2 13" xfId="7564" xr:uid="{00000000-0005-0000-0000-00001C010000}"/>
    <cellStyle name="20% — акцент4 2 13" xfId="20931" xr:uid="{00000000-0005-0000-0000-00001D010000}"/>
    <cellStyle name="20% - Акцент4 2 14" xfId="7565" xr:uid="{00000000-0005-0000-0000-00001E010000}"/>
    <cellStyle name="20% — акцент4 2 14" xfId="21688" xr:uid="{00000000-0005-0000-0000-00001F010000}"/>
    <cellStyle name="20% - Акцент4 2 15" xfId="7566" xr:uid="{00000000-0005-0000-0000-000020010000}"/>
    <cellStyle name="20% — акцент4 2 15" xfId="22291" xr:uid="{00000000-0005-0000-0000-000021010000}"/>
    <cellStyle name="20% — акцент4 2 16" xfId="22316" xr:uid="{00000000-0005-0000-0000-000022010000}"/>
    <cellStyle name="20% — акцент4 2 17" xfId="22326" xr:uid="{00000000-0005-0000-0000-000023010000}"/>
    <cellStyle name="20% — акцент4 2 18" xfId="22348" xr:uid="{00000000-0005-0000-0000-000024010000}"/>
    <cellStyle name="20% — акцент4 2 19" xfId="22370" xr:uid="{00000000-0005-0000-0000-000025010000}"/>
    <cellStyle name="20% - Акцент4 2 2" xfId="7567" xr:uid="{00000000-0005-0000-0000-000026010000}"/>
    <cellStyle name="20% — акцент4 2 2" xfId="259" xr:uid="{00000000-0005-0000-0000-000027010000}"/>
    <cellStyle name="20% — акцент4 2 2 2" xfId="1165" xr:uid="{00000000-0005-0000-0000-000028010000}"/>
    <cellStyle name="20% — акцент4 2 2 2 2" xfId="5898" xr:uid="{00000000-0005-0000-0000-000029010000}"/>
    <cellStyle name="20% — акцент4 2 2 2 3" xfId="21122" xr:uid="{00000000-0005-0000-0000-00002A010000}"/>
    <cellStyle name="20% — акцент4 2 2 3" xfId="5640" xr:uid="{00000000-0005-0000-0000-00002B010000}"/>
    <cellStyle name="20% — акцент4 2 2 4" xfId="7319" xr:uid="{00000000-0005-0000-0000-00002C010000}"/>
    <cellStyle name="20% — акцент4 2 20" xfId="22407" xr:uid="{00000000-0005-0000-0000-00002D010000}"/>
    <cellStyle name="20% — акцент4 2 21" xfId="22430" xr:uid="{00000000-0005-0000-0000-00002E010000}"/>
    <cellStyle name="20% — акцент4 2 22" xfId="22453" xr:uid="{00000000-0005-0000-0000-00002F010000}"/>
    <cellStyle name="20% — акцент4 2 23" xfId="22514" xr:uid="{00000000-0005-0000-0000-000030010000}"/>
    <cellStyle name="20% — акцент4 2 24" xfId="22610" xr:uid="{00000000-0005-0000-0000-000031010000}"/>
    <cellStyle name="20% — акцент4 2 25" xfId="23121" xr:uid="{00000000-0005-0000-0000-000032010000}"/>
    <cellStyle name="20% — акцент4 2 26" xfId="23140" xr:uid="{00000000-0005-0000-0000-000033010000}"/>
    <cellStyle name="20% — акцент4 2 27" xfId="23169" xr:uid="{00000000-0005-0000-0000-000034010000}"/>
    <cellStyle name="20% — акцент4 2 28" xfId="23466" xr:uid="{00000000-0005-0000-0000-000035010000}"/>
    <cellStyle name="20% — акцент4 2 29" xfId="23538" xr:uid="{00000000-0005-0000-0000-000036010000}"/>
    <cellStyle name="20% - Акцент4 2 3" xfId="7568" xr:uid="{00000000-0005-0000-0000-000037010000}"/>
    <cellStyle name="20% — акцент4 2 3" xfId="1086" xr:uid="{00000000-0005-0000-0000-000038010000}"/>
    <cellStyle name="20% — акцент4 2 3 2" xfId="5766" xr:uid="{00000000-0005-0000-0000-000039010000}"/>
    <cellStyle name="20% — акцент4 2 3 3" xfId="14114" xr:uid="{00000000-0005-0000-0000-00003A010000}"/>
    <cellStyle name="20% — акцент4 2 30" xfId="7204" xr:uid="{00000000-0005-0000-0000-00003B010000}"/>
    <cellStyle name="20% - Акцент4 2 4" xfId="7569" xr:uid="{00000000-0005-0000-0000-00003C010000}"/>
    <cellStyle name="20% — акцент4 2 4" xfId="5454" xr:uid="{00000000-0005-0000-0000-00003D010000}"/>
    <cellStyle name="20% — акцент4 2 4 2" xfId="6503" xr:uid="{00000000-0005-0000-0000-00003E010000}"/>
    <cellStyle name="20% — акцент4 2 4 3" xfId="20310" xr:uid="{00000000-0005-0000-0000-00003F010000}"/>
    <cellStyle name="20% - Акцент4 2 5" xfId="7570" xr:uid="{00000000-0005-0000-0000-000040010000}"/>
    <cellStyle name="20% — акцент4 2 5" xfId="5495" xr:uid="{00000000-0005-0000-0000-000041010000}"/>
    <cellStyle name="20% — акцент4 2 5 2" xfId="6567" xr:uid="{00000000-0005-0000-0000-000042010000}"/>
    <cellStyle name="20% — акцент4 2 5 3" xfId="20339" xr:uid="{00000000-0005-0000-0000-000043010000}"/>
    <cellStyle name="20% - Акцент4 2 6" xfId="7571" xr:uid="{00000000-0005-0000-0000-000044010000}"/>
    <cellStyle name="20% — акцент4 2 6" xfId="5541" xr:uid="{00000000-0005-0000-0000-000045010000}"/>
    <cellStyle name="20% — акцент4 2 6 2" xfId="20356" xr:uid="{00000000-0005-0000-0000-000046010000}"/>
    <cellStyle name="20% - Акцент4 2 7" xfId="7572" xr:uid="{00000000-0005-0000-0000-000047010000}"/>
    <cellStyle name="20% — акцент4 2 7" xfId="20533" xr:uid="{00000000-0005-0000-0000-000048010000}"/>
    <cellStyle name="20% - Акцент4 2 8" xfId="7573" xr:uid="{00000000-0005-0000-0000-000049010000}"/>
    <cellStyle name="20% — акцент4 2 8" xfId="20609" xr:uid="{00000000-0005-0000-0000-00004A010000}"/>
    <cellStyle name="20% - Акцент4 2 9" xfId="7574" xr:uid="{00000000-0005-0000-0000-00004B010000}"/>
    <cellStyle name="20% — акцент4 2 9" xfId="20671" xr:uid="{00000000-0005-0000-0000-00004C010000}"/>
    <cellStyle name="20% - Акцент4 3" xfId="7575" xr:uid="{00000000-0005-0000-0000-00004D010000}"/>
    <cellStyle name="20% — акцент4 3" xfId="9" xr:uid="{00000000-0005-0000-0000-00004E010000}"/>
    <cellStyle name="20% — акцент4 3 2" xfId="897" xr:uid="{00000000-0005-0000-0000-00004F010000}"/>
    <cellStyle name="20% — акцент4 3 2 2" xfId="6524" xr:uid="{00000000-0005-0000-0000-000050010000}"/>
    <cellStyle name="20% — акцент4 3 2 2 2" xfId="14005" xr:uid="{00000000-0005-0000-0000-000051010000}"/>
    <cellStyle name="20% — акцент4 3 2 3" xfId="7576" xr:uid="{00000000-0005-0000-0000-000052010000}"/>
    <cellStyle name="20% — акцент4 3 3" xfId="5516" xr:uid="{00000000-0005-0000-0000-000053010000}"/>
    <cellStyle name="20% — акцент4 3 3 2" xfId="6588" xr:uid="{00000000-0005-0000-0000-000054010000}"/>
    <cellStyle name="20% — акцент4 3 3 3" xfId="23525" xr:uid="{00000000-0005-0000-0000-000055010000}"/>
    <cellStyle name="20% — акцент4 3 4" xfId="7427" xr:uid="{00000000-0005-0000-0000-000056010000}"/>
    <cellStyle name="20% — акцент4 4" xfId="849" xr:uid="{00000000-0005-0000-0000-000057010000}"/>
    <cellStyle name="20% — акцент4 4 2" xfId="1242" xr:uid="{00000000-0005-0000-0000-000058010000}"/>
    <cellStyle name="20% — акцент4 4 2 2" xfId="21235" xr:uid="{00000000-0005-0000-0000-000059010000}"/>
    <cellStyle name="20% — акцент4 4 3" xfId="7292" xr:uid="{00000000-0005-0000-0000-00005A010000}"/>
    <cellStyle name="20% — акцент4 5" xfId="1683" xr:uid="{00000000-0005-0000-0000-00005B010000}"/>
    <cellStyle name="20% — акцент4 5 2" xfId="6439" xr:uid="{00000000-0005-0000-0000-00005C010000}"/>
    <cellStyle name="20% — акцент4 5 2 2" xfId="21675" xr:uid="{00000000-0005-0000-0000-00005D010000}"/>
    <cellStyle name="20% — акцент4 5 3" xfId="7577" xr:uid="{00000000-0005-0000-0000-00005E010000}"/>
    <cellStyle name="20% — акцент4 6" xfId="2315" xr:uid="{00000000-0005-0000-0000-00005F010000}"/>
    <cellStyle name="20% — акцент4 6 2" xfId="6460" xr:uid="{00000000-0005-0000-0000-000060010000}"/>
    <cellStyle name="20% — акцент4 6 2 2" xfId="22397" xr:uid="{00000000-0005-0000-0000-000061010000}"/>
    <cellStyle name="20% — акцент4 6 3" xfId="20291" xr:uid="{00000000-0005-0000-0000-000062010000}"/>
    <cellStyle name="20% — акцент4 7" xfId="5435" xr:uid="{00000000-0005-0000-0000-000063010000}"/>
    <cellStyle name="20% — акцент4 7 2" xfId="6479" xr:uid="{00000000-0005-0000-0000-000064010000}"/>
    <cellStyle name="20% — акцент4 7 2 2" xfId="23449" xr:uid="{00000000-0005-0000-0000-000065010000}"/>
    <cellStyle name="20% — акцент4 7 3" xfId="20323" xr:uid="{00000000-0005-0000-0000-000066010000}"/>
    <cellStyle name="20% — акцент4 8" xfId="5472" xr:uid="{00000000-0005-0000-0000-000067010000}"/>
    <cellStyle name="20% — акцент4 8 2" xfId="6543" xr:uid="{00000000-0005-0000-0000-000068010000}"/>
    <cellStyle name="20% — акцент4 8 2 2" xfId="23496" xr:uid="{00000000-0005-0000-0000-000069010000}"/>
    <cellStyle name="20% — акцент4 8 3" xfId="20416" xr:uid="{00000000-0005-0000-0000-00006A010000}"/>
    <cellStyle name="20% — акцент4 9" xfId="20516" xr:uid="{00000000-0005-0000-0000-00006B010000}"/>
    <cellStyle name="20% — акцент5" xfId="411" builtinId="46" customBuiltin="1"/>
    <cellStyle name="20% — акцент5 10" xfId="20553" xr:uid="{00000000-0005-0000-0000-00006D010000}"/>
    <cellStyle name="20% — акцент5 11" xfId="7275" xr:uid="{00000000-0005-0000-0000-00006E010000}"/>
    <cellStyle name="20% - Акцент5 2" xfId="7578" xr:uid="{00000000-0005-0000-0000-00006F010000}"/>
    <cellStyle name="20% — акцент5 2" xfId="70" xr:uid="{00000000-0005-0000-0000-000070010000}"/>
    <cellStyle name="20% - Акцент5 2 10" xfId="7579" xr:uid="{00000000-0005-0000-0000-000071010000}"/>
    <cellStyle name="20% — акцент5 2 10" xfId="20737" xr:uid="{00000000-0005-0000-0000-000072010000}"/>
    <cellStyle name="20% - Акцент5 2 11" xfId="7580" xr:uid="{00000000-0005-0000-0000-000073010000}"/>
    <cellStyle name="20% — акцент5 2 11" xfId="20802" xr:uid="{00000000-0005-0000-0000-000074010000}"/>
    <cellStyle name="20% - Акцент5 2 12" xfId="7581" xr:uid="{00000000-0005-0000-0000-000075010000}"/>
    <cellStyle name="20% — акцент5 2 12" xfId="20867" xr:uid="{00000000-0005-0000-0000-000076010000}"/>
    <cellStyle name="20% - Акцент5 2 13" xfId="7582" xr:uid="{00000000-0005-0000-0000-000077010000}"/>
    <cellStyle name="20% — акцент5 2 13" xfId="20932" xr:uid="{00000000-0005-0000-0000-000078010000}"/>
    <cellStyle name="20% - Акцент5 2 14" xfId="7583" xr:uid="{00000000-0005-0000-0000-000079010000}"/>
    <cellStyle name="20% — акцент5 2 14" xfId="21689" xr:uid="{00000000-0005-0000-0000-00007A010000}"/>
    <cellStyle name="20% - Акцент5 2 15" xfId="7584" xr:uid="{00000000-0005-0000-0000-00007B010000}"/>
    <cellStyle name="20% — акцент5 2 15" xfId="22292" xr:uid="{00000000-0005-0000-0000-00007C010000}"/>
    <cellStyle name="20% — акцент5 2 16" xfId="22315" xr:uid="{00000000-0005-0000-0000-00007D010000}"/>
    <cellStyle name="20% — акцент5 2 17" xfId="22327" xr:uid="{00000000-0005-0000-0000-00007E010000}"/>
    <cellStyle name="20% — акцент5 2 18" xfId="22349" xr:uid="{00000000-0005-0000-0000-00007F010000}"/>
    <cellStyle name="20% — акцент5 2 19" xfId="22371" xr:uid="{00000000-0005-0000-0000-000080010000}"/>
    <cellStyle name="20% - Акцент5 2 2" xfId="7585" xr:uid="{00000000-0005-0000-0000-000081010000}"/>
    <cellStyle name="20% — акцент5 2 2" xfId="260" xr:uid="{00000000-0005-0000-0000-000082010000}"/>
    <cellStyle name="20% — акцент5 2 2 2" xfId="1166" xr:uid="{00000000-0005-0000-0000-000083010000}"/>
    <cellStyle name="20% — акцент5 2 2 2 2" xfId="5899" xr:uid="{00000000-0005-0000-0000-000084010000}"/>
    <cellStyle name="20% — акцент5 2 2 2 3" xfId="21123" xr:uid="{00000000-0005-0000-0000-000085010000}"/>
    <cellStyle name="20% — акцент5 2 2 3" xfId="5641" xr:uid="{00000000-0005-0000-0000-000086010000}"/>
    <cellStyle name="20% — акцент5 2 2 4" xfId="7320" xr:uid="{00000000-0005-0000-0000-000087010000}"/>
    <cellStyle name="20% — акцент5 2 20" xfId="22408" xr:uid="{00000000-0005-0000-0000-000088010000}"/>
    <cellStyle name="20% — акцент5 2 21" xfId="22431" xr:uid="{00000000-0005-0000-0000-000089010000}"/>
    <cellStyle name="20% — акцент5 2 22" xfId="22454" xr:uid="{00000000-0005-0000-0000-00008A010000}"/>
    <cellStyle name="20% — акцент5 2 23" xfId="22515" xr:uid="{00000000-0005-0000-0000-00008B010000}"/>
    <cellStyle name="20% — акцент5 2 24" xfId="22714" xr:uid="{00000000-0005-0000-0000-00008C010000}"/>
    <cellStyle name="20% — акцент5 2 25" xfId="23122" xr:uid="{00000000-0005-0000-0000-00008D010000}"/>
    <cellStyle name="20% — акцент5 2 26" xfId="23150" xr:uid="{00000000-0005-0000-0000-00008E010000}"/>
    <cellStyle name="20% — акцент5 2 27" xfId="23170" xr:uid="{00000000-0005-0000-0000-00008F010000}"/>
    <cellStyle name="20% — акцент5 2 28" xfId="23467" xr:uid="{00000000-0005-0000-0000-000090010000}"/>
    <cellStyle name="20% — акцент5 2 29" xfId="23539" xr:uid="{00000000-0005-0000-0000-000091010000}"/>
    <cellStyle name="20% - Акцент5 2 3" xfId="7586" xr:uid="{00000000-0005-0000-0000-000092010000}"/>
    <cellStyle name="20% — акцент5 2 3" xfId="1087" xr:uid="{00000000-0005-0000-0000-000093010000}"/>
    <cellStyle name="20% — акцент5 2 3 2" xfId="5767" xr:uid="{00000000-0005-0000-0000-000094010000}"/>
    <cellStyle name="20% — акцент5 2 3 3" xfId="14115" xr:uid="{00000000-0005-0000-0000-000095010000}"/>
    <cellStyle name="20% — акцент5 2 30" xfId="7205" xr:uid="{00000000-0005-0000-0000-000096010000}"/>
    <cellStyle name="20% - Акцент5 2 4" xfId="7587" xr:uid="{00000000-0005-0000-0000-000097010000}"/>
    <cellStyle name="20% — акцент5 2 4" xfId="5456" xr:uid="{00000000-0005-0000-0000-000098010000}"/>
    <cellStyle name="20% — акцент5 2 4 2" xfId="6506" xr:uid="{00000000-0005-0000-0000-000099010000}"/>
    <cellStyle name="20% — акцент5 2 4 3" xfId="20311" xr:uid="{00000000-0005-0000-0000-00009A010000}"/>
    <cellStyle name="20% - Акцент5 2 5" xfId="7588" xr:uid="{00000000-0005-0000-0000-00009B010000}"/>
    <cellStyle name="20% — акцент5 2 5" xfId="5498" xr:uid="{00000000-0005-0000-0000-00009C010000}"/>
    <cellStyle name="20% — акцент5 2 5 2" xfId="6570" xr:uid="{00000000-0005-0000-0000-00009D010000}"/>
    <cellStyle name="20% — акцент5 2 5 3" xfId="20340" xr:uid="{00000000-0005-0000-0000-00009E010000}"/>
    <cellStyle name="20% - Акцент5 2 6" xfId="7589" xr:uid="{00000000-0005-0000-0000-00009F010000}"/>
    <cellStyle name="20% — акцент5 2 6" xfId="5542" xr:uid="{00000000-0005-0000-0000-0000A0010000}"/>
    <cellStyle name="20% — акцент5 2 6 2" xfId="20348" xr:uid="{00000000-0005-0000-0000-0000A1010000}"/>
    <cellStyle name="20% - Акцент5 2 7" xfId="7590" xr:uid="{00000000-0005-0000-0000-0000A2010000}"/>
    <cellStyle name="20% — акцент5 2 7" xfId="20534" xr:uid="{00000000-0005-0000-0000-0000A3010000}"/>
    <cellStyle name="20% - Акцент5 2 8" xfId="7591" xr:uid="{00000000-0005-0000-0000-0000A4010000}"/>
    <cellStyle name="20% — акцент5 2 8" xfId="20559" xr:uid="{00000000-0005-0000-0000-0000A5010000}"/>
    <cellStyle name="20% - Акцент5 2 9" xfId="7592" xr:uid="{00000000-0005-0000-0000-0000A6010000}"/>
    <cellStyle name="20% — акцент5 2 9" xfId="20672" xr:uid="{00000000-0005-0000-0000-0000A7010000}"/>
    <cellStyle name="20% - Акцент5 3" xfId="7593" xr:uid="{00000000-0005-0000-0000-0000A8010000}"/>
    <cellStyle name="20% — акцент5 3" xfId="10" xr:uid="{00000000-0005-0000-0000-0000A9010000}"/>
    <cellStyle name="20% — акцент5 3 2" xfId="898" xr:uid="{00000000-0005-0000-0000-0000AA010000}"/>
    <cellStyle name="20% — акцент5 3 2 2" xfId="6527" xr:uid="{00000000-0005-0000-0000-0000AB010000}"/>
    <cellStyle name="20% — акцент5 3 2 2 2" xfId="14006" xr:uid="{00000000-0005-0000-0000-0000AC010000}"/>
    <cellStyle name="20% — акцент5 3 2 3" xfId="7594" xr:uid="{00000000-0005-0000-0000-0000AD010000}"/>
    <cellStyle name="20% — акцент5 3 3" xfId="5519" xr:uid="{00000000-0005-0000-0000-0000AE010000}"/>
    <cellStyle name="20% — акцент5 3 3 2" xfId="6591" xr:uid="{00000000-0005-0000-0000-0000AF010000}"/>
    <cellStyle name="20% — акцент5 3 3 3" xfId="23528" xr:uid="{00000000-0005-0000-0000-0000B0010000}"/>
    <cellStyle name="20% — акцент5 3 4" xfId="7428" xr:uid="{00000000-0005-0000-0000-0000B1010000}"/>
    <cellStyle name="20% — акцент5 4" xfId="850" xr:uid="{00000000-0005-0000-0000-0000B2010000}"/>
    <cellStyle name="20% — акцент5 4 2" xfId="1245" xr:uid="{00000000-0005-0000-0000-0000B3010000}"/>
    <cellStyle name="20% — акцент5 4 2 2" xfId="21238" xr:uid="{00000000-0005-0000-0000-0000B4010000}"/>
    <cellStyle name="20% — акцент5 4 3" xfId="7293" xr:uid="{00000000-0005-0000-0000-0000B5010000}"/>
    <cellStyle name="20% — акцент5 5" xfId="1686" xr:uid="{00000000-0005-0000-0000-0000B6010000}"/>
    <cellStyle name="20% — акцент5 5 2" xfId="6442" xr:uid="{00000000-0005-0000-0000-0000B7010000}"/>
    <cellStyle name="20% — акцент5 5 2 2" xfId="21678" xr:uid="{00000000-0005-0000-0000-0000B8010000}"/>
    <cellStyle name="20% — акцент5 5 3" xfId="7595" xr:uid="{00000000-0005-0000-0000-0000B9010000}"/>
    <cellStyle name="20% — акцент5 6" xfId="2318" xr:uid="{00000000-0005-0000-0000-0000BA010000}"/>
    <cellStyle name="20% — акцент5 6 2" xfId="6463" xr:uid="{00000000-0005-0000-0000-0000BB010000}"/>
    <cellStyle name="20% — акцент5 6 2 2" xfId="22399" xr:uid="{00000000-0005-0000-0000-0000BC010000}"/>
    <cellStyle name="20% — акцент5 6 3" xfId="20292" xr:uid="{00000000-0005-0000-0000-0000BD010000}"/>
    <cellStyle name="20% — акцент5 7" xfId="5438" xr:uid="{00000000-0005-0000-0000-0000BE010000}"/>
    <cellStyle name="20% — акцент5 7 2" xfId="6482" xr:uid="{00000000-0005-0000-0000-0000BF010000}"/>
    <cellStyle name="20% — акцент5 7 2 2" xfId="23451" xr:uid="{00000000-0005-0000-0000-0000C0010000}"/>
    <cellStyle name="20% — акцент5 7 3" xfId="20324" xr:uid="{00000000-0005-0000-0000-0000C1010000}"/>
    <cellStyle name="20% — акцент5 8" xfId="5475" xr:uid="{00000000-0005-0000-0000-0000C2010000}"/>
    <cellStyle name="20% — акцент5 8 2" xfId="6546" xr:uid="{00000000-0005-0000-0000-0000C3010000}"/>
    <cellStyle name="20% — акцент5 8 2 2" xfId="23498" xr:uid="{00000000-0005-0000-0000-0000C4010000}"/>
    <cellStyle name="20% — акцент5 8 3" xfId="20357" xr:uid="{00000000-0005-0000-0000-0000C5010000}"/>
    <cellStyle name="20% — акцент5 9" xfId="20517" xr:uid="{00000000-0005-0000-0000-0000C6010000}"/>
    <cellStyle name="20% — акцент6" xfId="415" builtinId="50" customBuiltin="1"/>
    <cellStyle name="20% — акцент6 10" xfId="20584" xr:uid="{00000000-0005-0000-0000-0000C8010000}"/>
    <cellStyle name="20% — акцент6 11" xfId="7278" xr:uid="{00000000-0005-0000-0000-0000C9010000}"/>
    <cellStyle name="20% - Акцент6 2" xfId="7596" xr:uid="{00000000-0005-0000-0000-0000CA010000}"/>
    <cellStyle name="20% — акцент6 2" xfId="71" xr:uid="{00000000-0005-0000-0000-0000CB010000}"/>
    <cellStyle name="20% - Акцент6 2 10" xfId="7597" xr:uid="{00000000-0005-0000-0000-0000CC010000}"/>
    <cellStyle name="20% — акцент6 2 10" xfId="20738" xr:uid="{00000000-0005-0000-0000-0000CD010000}"/>
    <cellStyle name="20% - Акцент6 2 11" xfId="7598" xr:uid="{00000000-0005-0000-0000-0000CE010000}"/>
    <cellStyle name="20% — акцент6 2 11" xfId="20803" xr:uid="{00000000-0005-0000-0000-0000CF010000}"/>
    <cellStyle name="20% - Акцент6 2 12" xfId="7599" xr:uid="{00000000-0005-0000-0000-0000D0010000}"/>
    <cellStyle name="20% — акцент6 2 12" xfId="20868" xr:uid="{00000000-0005-0000-0000-0000D1010000}"/>
    <cellStyle name="20% - Акцент6 2 13" xfId="7600" xr:uid="{00000000-0005-0000-0000-0000D2010000}"/>
    <cellStyle name="20% — акцент6 2 13" xfId="20933" xr:uid="{00000000-0005-0000-0000-0000D3010000}"/>
    <cellStyle name="20% - Акцент6 2 14" xfId="7601" xr:uid="{00000000-0005-0000-0000-0000D4010000}"/>
    <cellStyle name="20% — акцент6 2 14" xfId="21690" xr:uid="{00000000-0005-0000-0000-0000D5010000}"/>
    <cellStyle name="20% - Акцент6 2 15" xfId="7602" xr:uid="{00000000-0005-0000-0000-0000D6010000}"/>
    <cellStyle name="20% — акцент6 2 15" xfId="22293" xr:uid="{00000000-0005-0000-0000-0000D7010000}"/>
    <cellStyle name="20% — акцент6 2 16" xfId="22313" xr:uid="{00000000-0005-0000-0000-0000D8010000}"/>
    <cellStyle name="20% — акцент6 2 17" xfId="22328" xr:uid="{00000000-0005-0000-0000-0000D9010000}"/>
    <cellStyle name="20% — акцент6 2 18" xfId="22350" xr:uid="{00000000-0005-0000-0000-0000DA010000}"/>
    <cellStyle name="20% — акцент6 2 19" xfId="22372" xr:uid="{00000000-0005-0000-0000-0000DB010000}"/>
    <cellStyle name="20% - Акцент6 2 2" xfId="7603" xr:uid="{00000000-0005-0000-0000-0000DC010000}"/>
    <cellStyle name="20% — акцент6 2 2" xfId="261" xr:uid="{00000000-0005-0000-0000-0000DD010000}"/>
    <cellStyle name="20% — акцент6 2 2 2" xfId="1167" xr:uid="{00000000-0005-0000-0000-0000DE010000}"/>
    <cellStyle name="20% — акцент6 2 2 2 2" xfId="5900" xr:uid="{00000000-0005-0000-0000-0000DF010000}"/>
    <cellStyle name="20% — акцент6 2 2 2 3" xfId="21124" xr:uid="{00000000-0005-0000-0000-0000E0010000}"/>
    <cellStyle name="20% — акцент6 2 2 3" xfId="5642" xr:uid="{00000000-0005-0000-0000-0000E1010000}"/>
    <cellStyle name="20% — акцент6 2 2 4" xfId="7321" xr:uid="{00000000-0005-0000-0000-0000E2010000}"/>
    <cellStyle name="20% — акцент6 2 20" xfId="22409" xr:uid="{00000000-0005-0000-0000-0000E3010000}"/>
    <cellStyle name="20% — акцент6 2 21" xfId="22432" xr:uid="{00000000-0005-0000-0000-0000E4010000}"/>
    <cellStyle name="20% — акцент6 2 22" xfId="22455" xr:uid="{00000000-0005-0000-0000-0000E5010000}"/>
    <cellStyle name="20% — акцент6 2 23" xfId="22516" xr:uid="{00000000-0005-0000-0000-0000E6010000}"/>
    <cellStyle name="20% — акцент6 2 24" xfId="22790" xr:uid="{00000000-0005-0000-0000-0000E7010000}"/>
    <cellStyle name="20% — акцент6 2 25" xfId="23123" xr:uid="{00000000-0005-0000-0000-0000E8010000}"/>
    <cellStyle name="20% — акцент6 2 26" xfId="23156" xr:uid="{00000000-0005-0000-0000-0000E9010000}"/>
    <cellStyle name="20% — акцент6 2 27" xfId="23171" xr:uid="{00000000-0005-0000-0000-0000EA010000}"/>
    <cellStyle name="20% — акцент6 2 28" xfId="23468" xr:uid="{00000000-0005-0000-0000-0000EB010000}"/>
    <cellStyle name="20% — акцент6 2 29" xfId="23540" xr:uid="{00000000-0005-0000-0000-0000EC010000}"/>
    <cellStyle name="20% - Акцент6 2 3" xfId="7604" xr:uid="{00000000-0005-0000-0000-0000ED010000}"/>
    <cellStyle name="20% — акцент6 2 3" xfId="1088" xr:uid="{00000000-0005-0000-0000-0000EE010000}"/>
    <cellStyle name="20% — акцент6 2 3 2" xfId="5768" xr:uid="{00000000-0005-0000-0000-0000EF010000}"/>
    <cellStyle name="20% — акцент6 2 3 3" xfId="14116" xr:uid="{00000000-0005-0000-0000-0000F0010000}"/>
    <cellStyle name="20% — акцент6 2 30" xfId="7206" xr:uid="{00000000-0005-0000-0000-0000F1010000}"/>
    <cellStyle name="20% - Акцент6 2 4" xfId="7605" xr:uid="{00000000-0005-0000-0000-0000F2010000}"/>
    <cellStyle name="20% — акцент6 2 4" xfId="5458" xr:uid="{00000000-0005-0000-0000-0000F3010000}"/>
    <cellStyle name="20% — акцент6 2 4 2" xfId="6509" xr:uid="{00000000-0005-0000-0000-0000F4010000}"/>
    <cellStyle name="20% — акцент6 2 4 3" xfId="20312" xr:uid="{00000000-0005-0000-0000-0000F5010000}"/>
    <cellStyle name="20% - Акцент6 2 5" xfId="7606" xr:uid="{00000000-0005-0000-0000-0000F6010000}"/>
    <cellStyle name="20% — акцент6 2 5" xfId="5501" xr:uid="{00000000-0005-0000-0000-0000F7010000}"/>
    <cellStyle name="20% — акцент6 2 5 2" xfId="6573" xr:uid="{00000000-0005-0000-0000-0000F8010000}"/>
    <cellStyle name="20% — акцент6 2 5 3" xfId="20341" xr:uid="{00000000-0005-0000-0000-0000F9010000}"/>
    <cellStyle name="20% - Акцент6 2 6" xfId="7607" xr:uid="{00000000-0005-0000-0000-0000FA010000}"/>
    <cellStyle name="20% — акцент6 2 6" xfId="5543" xr:uid="{00000000-0005-0000-0000-0000FB010000}"/>
    <cellStyle name="20% — акцент6 2 6 2" xfId="20334" xr:uid="{00000000-0005-0000-0000-0000FC010000}"/>
    <cellStyle name="20% - Акцент6 2 7" xfId="7608" xr:uid="{00000000-0005-0000-0000-0000FD010000}"/>
    <cellStyle name="20% — акцент6 2 7" xfId="20535" xr:uid="{00000000-0005-0000-0000-0000FE010000}"/>
    <cellStyle name="20% - Акцент6 2 8" xfId="7609" xr:uid="{00000000-0005-0000-0000-0000FF010000}"/>
    <cellStyle name="20% — акцент6 2 8" xfId="20598" xr:uid="{00000000-0005-0000-0000-000000020000}"/>
    <cellStyle name="20% - Акцент6 2 9" xfId="7610" xr:uid="{00000000-0005-0000-0000-000001020000}"/>
    <cellStyle name="20% — акцент6 2 9" xfId="20673" xr:uid="{00000000-0005-0000-0000-000002020000}"/>
    <cellStyle name="20% - Акцент6 3" xfId="7611" xr:uid="{00000000-0005-0000-0000-000003020000}"/>
    <cellStyle name="20% — акцент6 3" xfId="11" xr:uid="{00000000-0005-0000-0000-000004020000}"/>
    <cellStyle name="20% — акцент6 3 2" xfId="899" xr:uid="{00000000-0005-0000-0000-000005020000}"/>
    <cellStyle name="20% — акцент6 3 2 2" xfId="6530" xr:uid="{00000000-0005-0000-0000-000006020000}"/>
    <cellStyle name="20% — акцент6 3 2 2 2" xfId="14007" xr:uid="{00000000-0005-0000-0000-000007020000}"/>
    <cellStyle name="20% — акцент6 3 2 3" xfId="7612" xr:uid="{00000000-0005-0000-0000-000008020000}"/>
    <cellStyle name="20% — акцент6 3 3" xfId="5522" xr:uid="{00000000-0005-0000-0000-000009020000}"/>
    <cellStyle name="20% — акцент6 3 3 2" xfId="6594" xr:uid="{00000000-0005-0000-0000-00000A020000}"/>
    <cellStyle name="20% — акцент6 3 3 3" xfId="23531" xr:uid="{00000000-0005-0000-0000-00000B020000}"/>
    <cellStyle name="20% — акцент6 3 4" xfId="7429" xr:uid="{00000000-0005-0000-0000-00000C020000}"/>
    <cellStyle name="20% — акцент6 4" xfId="851" xr:uid="{00000000-0005-0000-0000-00000D020000}"/>
    <cellStyle name="20% — акцент6 4 2" xfId="1248" xr:uid="{00000000-0005-0000-0000-00000E020000}"/>
    <cellStyle name="20% — акцент6 4 2 2" xfId="21241" xr:uid="{00000000-0005-0000-0000-00000F020000}"/>
    <cellStyle name="20% — акцент6 4 3" xfId="7294" xr:uid="{00000000-0005-0000-0000-000010020000}"/>
    <cellStyle name="20% — акцент6 5" xfId="1689" xr:uid="{00000000-0005-0000-0000-000011020000}"/>
    <cellStyle name="20% — акцент6 5 2" xfId="6445" xr:uid="{00000000-0005-0000-0000-000012020000}"/>
    <cellStyle name="20% — акцент6 5 2 2" xfId="21681" xr:uid="{00000000-0005-0000-0000-000013020000}"/>
    <cellStyle name="20% — акцент6 5 3" xfId="7613" xr:uid="{00000000-0005-0000-0000-000014020000}"/>
    <cellStyle name="20% — акцент6 6" xfId="2321" xr:uid="{00000000-0005-0000-0000-000015020000}"/>
    <cellStyle name="20% — акцент6 6 2" xfId="6466" xr:uid="{00000000-0005-0000-0000-000016020000}"/>
    <cellStyle name="20% — акцент6 6 2 2" xfId="22401" xr:uid="{00000000-0005-0000-0000-000017020000}"/>
    <cellStyle name="20% — акцент6 6 3" xfId="20293" xr:uid="{00000000-0005-0000-0000-000018020000}"/>
    <cellStyle name="20% — акцент6 7" xfId="5441" xr:uid="{00000000-0005-0000-0000-000019020000}"/>
    <cellStyle name="20% — акцент6 7 2" xfId="6485" xr:uid="{00000000-0005-0000-0000-00001A020000}"/>
    <cellStyle name="20% — акцент6 7 2 2" xfId="23453" xr:uid="{00000000-0005-0000-0000-00001B020000}"/>
    <cellStyle name="20% — акцент6 7 3" xfId="20325" xr:uid="{00000000-0005-0000-0000-00001C020000}"/>
    <cellStyle name="20% — акцент6 8" xfId="5478" xr:uid="{00000000-0005-0000-0000-00001D020000}"/>
    <cellStyle name="20% — акцент6 8 2" xfId="6549" xr:uid="{00000000-0005-0000-0000-00001E020000}"/>
    <cellStyle name="20% — акцент6 8 2 2" xfId="23500" xr:uid="{00000000-0005-0000-0000-00001F020000}"/>
    <cellStyle name="20% — акцент6 8 3" xfId="20402" xr:uid="{00000000-0005-0000-0000-000020020000}"/>
    <cellStyle name="20% — акцент6 9" xfId="20518" xr:uid="{00000000-0005-0000-0000-000021020000}"/>
    <cellStyle name="40% — акцент1" xfId="396" builtinId="31" customBuiltin="1"/>
    <cellStyle name="40% — акцент1 10" xfId="20550" xr:uid="{00000000-0005-0000-0000-000023020000}"/>
    <cellStyle name="40% — акцент1 11" xfId="7264" xr:uid="{00000000-0005-0000-0000-000024020000}"/>
    <cellStyle name="40% - Акцент1 2" xfId="7614" xr:uid="{00000000-0005-0000-0000-000025020000}"/>
    <cellStyle name="40% — акцент1 2" xfId="72" xr:uid="{00000000-0005-0000-0000-000026020000}"/>
    <cellStyle name="40% - Акцент1 2 10" xfId="7615" xr:uid="{00000000-0005-0000-0000-000027020000}"/>
    <cellStyle name="40% — акцент1 2 10" xfId="20739" xr:uid="{00000000-0005-0000-0000-000028020000}"/>
    <cellStyle name="40% - Акцент1 2 11" xfId="7616" xr:uid="{00000000-0005-0000-0000-000029020000}"/>
    <cellStyle name="40% — акцент1 2 11" xfId="20804" xr:uid="{00000000-0005-0000-0000-00002A020000}"/>
    <cellStyle name="40% - Акцент1 2 12" xfId="7617" xr:uid="{00000000-0005-0000-0000-00002B020000}"/>
    <cellStyle name="40% — акцент1 2 12" xfId="20869" xr:uid="{00000000-0005-0000-0000-00002C020000}"/>
    <cellStyle name="40% - Акцент1 2 13" xfId="7618" xr:uid="{00000000-0005-0000-0000-00002D020000}"/>
    <cellStyle name="40% — акцент1 2 13" xfId="20934" xr:uid="{00000000-0005-0000-0000-00002E020000}"/>
    <cellStyle name="40% - Акцент1 2 14" xfId="7619" xr:uid="{00000000-0005-0000-0000-00002F020000}"/>
    <cellStyle name="40% — акцент1 2 14" xfId="21691" xr:uid="{00000000-0005-0000-0000-000030020000}"/>
    <cellStyle name="40% - Акцент1 2 15" xfId="7620" xr:uid="{00000000-0005-0000-0000-000031020000}"/>
    <cellStyle name="40% — акцент1 2 15" xfId="22294" xr:uid="{00000000-0005-0000-0000-000032020000}"/>
    <cellStyle name="40% — акцент1 2 16" xfId="22309" xr:uid="{00000000-0005-0000-0000-000033020000}"/>
    <cellStyle name="40% — акцент1 2 17" xfId="22329" xr:uid="{00000000-0005-0000-0000-000034020000}"/>
    <cellStyle name="40% — акцент1 2 18" xfId="22351" xr:uid="{00000000-0005-0000-0000-000035020000}"/>
    <cellStyle name="40% — акцент1 2 19" xfId="22373" xr:uid="{00000000-0005-0000-0000-000036020000}"/>
    <cellStyle name="40% - Акцент1 2 2" xfId="7621" xr:uid="{00000000-0005-0000-0000-000037020000}"/>
    <cellStyle name="40% — акцент1 2 2" xfId="262" xr:uid="{00000000-0005-0000-0000-000038020000}"/>
    <cellStyle name="40% — акцент1 2 2 2" xfId="1168" xr:uid="{00000000-0005-0000-0000-000039020000}"/>
    <cellStyle name="40% — акцент1 2 2 2 2" xfId="5901" xr:uid="{00000000-0005-0000-0000-00003A020000}"/>
    <cellStyle name="40% — акцент1 2 2 2 3" xfId="21125" xr:uid="{00000000-0005-0000-0000-00003B020000}"/>
    <cellStyle name="40% — акцент1 2 2 3" xfId="5643" xr:uid="{00000000-0005-0000-0000-00003C020000}"/>
    <cellStyle name="40% — акцент1 2 2 4" xfId="7322" xr:uid="{00000000-0005-0000-0000-00003D020000}"/>
    <cellStyle name="40% — акцент1 2 20" xfId="22410" xr:uid="{00000000-0005-0000-0000-00003E020000}"/>
    <cellStyle name="40% — акцент1 2 21" xfId="22433" xr:uid="{00000000-0005-0000-0000-00003F020000}"/>
    <cellStyle name="40% — акцент1 2 22" xfId="22456" xr:uid="{00000000-0005-0000-0000-000040020000}"/>
    <cellStyle name="40% — акцент1 2 23" xfId="22517" xr:uid="{00000000-0005-0000-0000-000041020000}"/>
    <cellStyle name="40% — акцент1 2 24" xfId="22636" xr:uid="{00000000-0005-0000-0000-000042020000}"/>
    <cellStyle name="40% — акцент1 2 25" xfId="23124" xr:uid="{00000000-0005-0000-0000-000043020000}"/>
    <cellStyle name="40% — акцент1 2 26" xfId="23144" xr:uid="{00000000-0005-0000-0000-000044020000}"/>
    <cellStyle name="40% — акцент1 2 27" xfId="23172" xr:uid="{00000000-0005-0000-0000-000045020000}"/>
    <cellStyle name="40% — акцент1 2 28" xfId="23469" xr:uid="{00000000-0005-0000-0000-000046020000}"/>
    <cellStyle name="40% — акцент1 2 29" xfId="23541" xr:uid="{00000000-0005-0000-0000-000047020000}"/>
    <cellStyle name="40% - Акцент1 2 3" xfId="7622" xr:uid="{00000000-0005-0000-0000-000048020000}"/>
    <cellStyle name="40% — акцент1 2 3" xfId="1089" xr:uid="{00000000-0005-0000-0000-000049020000}"/>
    <cellStyle name="40% — акцент1 2 3 2" xfId="5769" xr:uid="{00000000-0005-0000-0000-00004A020000}"/>
    <cellStyle name="40% — акцент1 2 3 3" xfId="14117" xr:uid="{00000000-0005-0000-0000-00004B020000}"/>
    <cellStyle name="40% — акцент1 2 30" xfId="7207" xr:uid="{00000000-0005-0000-0000-00004C020000}"/>
    <cellStyle name="40% - Акцент1 2 4" xfId="7623" xr:uid="{00000000-0005-0000-0000-00004D020000}"/>
    <cellStyle name="40% — акцент1 2 4" xfId="5449" xr:uid="{00000000-0005-0000-0000-00004E020000}"/>
    <cellStyle name="40% — акцент1 2 4 2" xfId="6495" xr:uid="{00000000-0005-0000-0000-00004F020000}"/>
    <cellStyle name="40% — акцент1 2 4 3" xfId="20313" xr:uid="{00000000-0005-0000-0000-000050020000}"/>
    <cellStyle name="40% - Акцент1 2 5" xfId="7624" xr:uid="{00000000-0005-0000-0000-000051020000}"/>
    <cellStyle name="40% — акцент1 2 5" xfId="5487" xr:uid="{00000000-0005-0000-0000-000052020000}"/>
    <cellStyle name="40% — акцент1 2 5 2" xfId="6559" xr:uid="{00000000-0005-0000-0000-000053020000}"/>
    <cellStyle name="40% — акцент1 2 5 3" xfId="20342" xr:uid="{00000000-0005-0000-0000-000054020000}"/>
    <cellStyle name="40% - Акцент1 2 6" xfId="7625" xr:uid="{00000000-0005-0000-0000-000055020000}"/>
    <cellStyle name="40% — акцент1 2 6" xfId="5544" xr:uid="{00000000-0005-0000-0000-000056020000}"/>
    <cellStyle name="40% — акцент1 2 6 2" xfId="20365" xr:uid="{00000000-0005-0000-0000-000057020000}"/>
    <cellStyle name="40% - Акцент1 2 7" xfId="7626" xr:uid="{00000000-0005-0000-0000-000058020000}"/>
    <cellStyle name="40% — акцент1 2 7" xfId="20536" xr:uid="{00000000-0005-0000-0000-000059020000}"/>
    <cellStyle name="40% - Акцент1 2 8" xfId="7627" xr:uid="{00000000-0005-0000-0000-00005A020000}"/>
    <cellStyle name="40% — акцент1 2 8" xfId="20555" xr:uid="{00000000-0005-0000-0000-00005B020000}"/>
    <cellStyle name="40% - Акцент1 2 9" xfId="7628" xr:uid="{00000000-0005-0000-0000-00005C020000}"/>
    <cellStyle name="40% — акцент1 2 9" xfId="20674" xr:uid="{00000000-0005-0000-0000-00005D020000}"/>
    <cellStyle name="40% - Акцент1 3" xfId="7629" xr:uid="{00000000-0005-0000-0000-00005E020000}"/>
    <cellStyle name="40% — акцент1 3" xfId="12" xr:uid="{00000000-0005-0000-0000-00005F020000}"/>
    <cellStyle name="40% — акцент1 3 2" xfId="900" xr:uid="{00000000-0005-0000-0000-000060020000}"/>
    <cellStyle name="40% — акцент1 3 2 2" xfId="6516" xr:uid="{00000000-0005-0000-0000-000061020000}"/>
    <cellStyle name="40% — акцент1 3 2 2 2" xfId="14008" xr:uid="{00000000-0005-0000-0000-000062020000}"/>
    <cellStyle name="40% — акцент1 3 2 3" xfId="7630" xr:uid="{00000000-0005-0000-0000-000063020000}"/>
    <cellStyle name="40% — акцент1 3 3" xfId="5508" xr:uid="{00000000-0005-0000-0000-000064020000}"/>
    <cellStyle name="40% — акцент1 3 3 2" xfId="6580" xr:uid="{00000000-0005-0000-0000-000065020000}"/>
    <cellStyle name="40% — акцент1 3 3 3" xfId="23517" xr:uid="{00000000-0005-0000-0000-000066020000}"/>
    <cellStyle name="40% — акцент1 3 4" xfId="7430" xr:uid="{00000000-0005-0000-0000-000067020000}"/>
    <cellStyle name="40% — акцент1 4" xfId="852" xr:uid="{00000000-0005-0000-0000-000068020000}"/>
    <cellStyle name="40% — акцент1 4 2" xfId="1234" xr:uid="{00000000-0005-0000-0000-000069020000}"/>
    <cellStyle name="40% — акцент1 4 2 2" xfId="21227" xr:uid="{00000000-0005-0000-0000-00006A020000}"/>
    <cellStyle name="40% — акцент1 4 3" xfId="7295" xr:uid="{00000000-0005-0000-0000-00006B020000}"/>
    <cellStyle name="40% — акцент1 5" xfId="1675" xr:uid="{00000000-0005-0000-0000-00006C020000}"/>
    <cellStyle name="40% — акцент1 5 2" xfId="6431" xr:uid="{00000000-0005-0000-0000-00006D020000}"/>
    <cellStyle name="40% — акцент1 5 2 2" xfId="21667" xr:uid="{00000000-0005-0000-0000-00006E020000}"/>
    <cellStyle name="40% — акцент1 5 3" xfId="7631" xr:uid="{00000000-0005-0000-0000-00006F020000}"/>
    <cellStyle name="40% — акцент1 6" xfId="2307" xr:uid="{00000000-0005-0000-0000-000070020000}"/>
    <cellStyle name="40% — акцент1 6 2" xfId="6452" xr:uid="{00000000-0005-0000-0000-000071020000}"/>
    <cellStyle name="40% — акцент1 6 2 2" xfId="22392" xr:uid="{00000000-0005-0000-0000-000072020000}"/>
    <cellStyle name="40% — акцент1 6 3" xfId="20294" xr:uid="{00000000-0005-0000-0000-000073020000}"/>
    <cellStyle name="40% — акцент1 7" xfId="5427" xr:uid="{00000000-0005-0000-0000-000074020000}"/>
    <cellStyle name="40% — акцент1 7 2" xfId="6471" xr:uid="{00000000-0005-0000-0000-000075020000}"/>
    <cellStyle name="40% — акцент1 7 2 2" xfId="23444" xr:uid="{00000000-0005-0000-0000-000076020000}"/>
    <cellStyle name="40% — акцент1 7 3" xfId="20326" xr:uid="{00000000-0005-0000-0000-000077020000}"/>
    <cellStyle name="40% — акцент1 8" xfId="5464" xr:uid="{00000000-0005-0000-0000-000078020000}"/>
    <cellStyle name="40% — акцент1 8 2" xfId="6535" xr:uid="{00000000-0005-0000-0000-000079020000}"/>
    <cellStyle name="40% — акцент1 8 2 2" xfId="23491" xr:uid="{00000000-0005-0000-0000-00007A020000}"/>
    <cellStyle name="40% — акцент1 8 3" xfId="20353" xr:uid="{00000000-0005-0000-0000-00007B020000}"/>
    <cellStyle name="40% — акцент1 9" xfId="20519" xr:uid="{00000000-0005-0000-0000-00007C020000}"/>
    <cellStyle name="40% — акцент2" xfId="400" builtinId="35" customBuiltin="1"/>
    <cellStyle name="40% — акцент2 10" xfId="20582" xr:uid="{00000000-0005-0000-0000-00007E020000}"/>
    <cellStyle name="40% — акцент2 11" xfId="7267" xr:uid="{00000000-0005-0000-0000-00007F020000}"/>
    <cellStyle name="40% - Акцент2 2" xfId="7632" xr:uid="{00000000-0005-0000-0000-000080020000}"/>
    <cellStyle name="40% — акцент2 2" xfId="73" xr:uid="{00000000-0005-0000-0000-000081020000}"/>
    <cellStyle name="40% - Акцент2 2 10" xfId="7633" xr:uid="{00000000-0005-0000-0000-000082020000}"/>
    <cellStyle name="40% — акцент2 2 10" xfId="20740" xr:uid="{00000000-0005-0000-0000-000083020000}"/>
    <cellStyle name="40% - Акцент2 2 11" xfId="7634" xr:uid="{00000000-0005-0000-0000-000084020000}"/>
    <cellStyle name="40% — акцент2 2 11" xfId="20805" xr:uid="{00000000-0005-0000-0000-000085020000}"/>
    <cellStyle name="40% - Акцент2 2 12" xfId="7635" xr:uid="{00000000-0005-0000-0000-000086020000}"/>
    <cellStyle name="40% — акцент2 2 12" xfId="20870" xr:uid="{00000000-0005-0000-0000-000087020000}"/>
    <cellStyle name="40% - Акцент2 2 13" xfId="7636" xr:uid="{00000000-0005-0000-0000-000088020000}"/>
    <cellStyle name="40% — акцент2 2 13" xfId="20935" xr:uid="{00000000-0005-0000-0000-000089020000}"/>
    <cellStyle name="40% - Акцент2 2 14" xfId="7637" xr:uid="{00000000-0005-0000-0000-00008A020000}"/>
    <cellStyle name="40% — акцент2 2 14" xfId="21692" xr:uid="{00000000-0005-0000-0000-00008B020000}"/>
    <cellStyle name="40% - Акцент2 2 15" xfId="7638" xr:uid="{00000000-0005-0000-0000-00008C020000}"/>
    <cellStyle name="40% — акцент2 2 15" xfId="22295" xr:uid="{00000000-0005-0000-0000-00008D020000}"/>
    <cellStyle name="40% — акцент2 2 16" xfId="22306" xr:uid="{00000000-0005-0000-0000-00008E020000}"/>
    <cellStyle name="40% — акцент2 2 17" xfId="22330" xr:uid="{00000000-0005-0000-0000-00008F020000}"/>
    <cellStyle name="40% — акцент2 2 18" xfId="22352" xr:uid="{00000000-0005-0000-0000-000090020000}"/>
    <cellStyle name="40% — акцент2 2 19" xfId="22374" xr:uid="{00000000-0005-0000-0000-000091020000}"/>
    <cellStyle name="40% - Акцент2 2 2" xfId="7639" xr:uid="{00000000-0005-0000-0000-000092020000}"/>
    <cellStyle name="40% — акцент2 2 2" xfId="263" xr:uid="{00000000-0005-0000-0000-000093020000}"/>
    <cellStyle name="40% — акцент2 2 2 2" xfId="1169" xr:uid="{00000000-0005-0000-0000-000094020000}"/>
    <cellStyle name="40% — акцент2 2 2 2 2" xfId="5902" xr:uid="{00000000-0005-0000-0000-000095020000}"/>
    <cellStyle name="40% — акцент2 2 2 2 3" xfId="21126" xr:uid="{00000000-0005-0000-0000-000096020000}"/>
    <cellStyle name="40% — акцент2 2 2 3" xfId="5644" xr:uid="{00000000-0005-0000-0000-000097020000}"/>
    <cellStyle name="40% — акцент2 2 2 4" xfId="7323" xr:uid="{00000000-0005-0000-0000-000098020000}"/>
    <cellStyle name="40% — акцент2 2 20" xfId="22411" xr:uid="{00000000-0005-0000-0000-000099020000}"/>
    <cellStyle name="40% — акцент2 2 21" xfId="22434" xr:uid="{00000000-0005-0000-0000-00009A020000}"/>
    <cellStyle name="40% — акцент2 2 22" xfId="22457" xr:uid="{00000000-0005-0000-0000-00009B020000}"/>
    <cellStyle name="40% — акцент2 2 23" xfId="22518" xr:uid="{00000000-0005-0000-0000-00009C020000}"/>
    <cellStyle name="40% — акцент2 2 24" xfId="22584" xr:uid="{00000000-0005-0000-0000-00009D020000}"/>
    <cellStyle name="40% — акцент2 2 25" xfId="23125" xr:uid="{00000000-0005-0000-0000-00009E020000}"/>
    <cellStyle name="40% — акцент2 2 26" xfId="23137" xr:uid="{00000000-0005-0000-0000-00009F020000}"/>
    <cellStyle name="40% — акцент2 2 27" xfId="23173" xr:uid="{00000000-0005-0000-0000-0000A0020000}"/>
    <cellStyle name="40% — акцент2 2 28" xfId="23470" xr:uid="{00000000-0005-0000-0000-0000A1020000}"/>
    <cellStyle name="40% — акцент2 2 29" xfId="23542" xr:uid="{00000000-0005-0000-0000-0000A2020000}"/>
    <cellStyle name="40% - Акцент2 2 3" xfId="7640" xr:uid="{00000000-0005-0000-0000-0000A3020000}"/>
    <cellStyle name="40% — акцент2 2 3" xfId="1090" xr:uid="{00000000-0005-0000-0000-0000A4020000}"/>
    <cellStyle name="40% — акцент2 2 3 2" xfId="5770" xr:uid="{00000000-0005-0000-0000-0000A5020000}"/>
    <cellStyle name="40% — акцент2 2 3 3" xfId="14118" xr:uid="{00000000-0005-0000-0000-0000A6020000}"/>
    <cellStyle name="40% — акцент2 2 30" xfId="7208" xr:uid="{00000000-0005-0000-0000-0000A7020000}"/>
    <cellStyle name="40% - Акцент2 2 4" xfId="7641" xr:uid="{00000000-0005-0000-0000-0000A8020000}"/>
    <cellStyle name="40% — акцент2 2 4" xfId="5451" xr:uid="{00000000-0005-0000-0000-0000A9020000}"/>
    <cellStyle name="40% — акцент2 2 4 2" xfId="6498" xr:uid="{00000000-0005-0000-0000-0000AA020000}"/>
    <cellStyle name="40% — акцент2 2 4 3" xfId="20314" xr:uid="{00000000-0005-0000-0000-0000AB020000}"/>
    <cellStyle name="40% - Акцент2 2 5" xfId="7642" xr:uid="{00000000-0005-0000-0000-0000AC020000}"/>
    <cellStyle name="40% — акцент2 2 5" xfId="5490" xr:uid="{00000000-0005-0000-0000-0000AD020000}"/>
    <cellStyle name="40% — акцент2 2 5 2" xfId="6562" xr:uid="{00000000-0005-0000-0000-0000AE020000}"/>
    <cellStyle name="40% — акцент2 2 5 3" xfId="20343" xr:uid="{00000000-0005-0000-0000-0000AF020000}"/>
    <cellStyle name="40% - Акцент2 2 6" xfId="7643" xr:uid="{00000000-0005-0000-0000-0000B0020000}"/>
    <cellStyle name="40% — акцент2 2 6" xfId="5545" xr:uid="{00000000-0005-0000-0000-0000B1020000}"/>
    <cellStyle name="40% — акцент2 2 6 2" xfId="20360" xr:uid="{00000000-0005-0000-0000-0000B2020000}"/>
    <cellStyle name="40% - Акцент2 2 7" xfId="7644" xr:uid="{00000000-0005-0000-0000-0000B3020000}"/>
    <cellStyle name="40% — акцент2 2 7" xfId="20537" xr:uid="{00000000-0005-0000-0000-0000B4020000}"/>
    <cellStyle name="40% - Акцент2 2 8" xfId="7645" xr:uid="{00000000-0005-0000-0000-0000B5020000}"/>
    <cellStyle name="40% — акцент2 2 8" xfId="20590" xr:uid="{00000000-0005-0000-0000-0000B6020000}"/>
    <cellStyle name="40% - Акцент2 2 9" xfId="7646" xr:uid="{00000000-0005-0000-0000-0000B7020000}"/>
    <cellStyle name="40% — акцент2 2 9" xfId="20675" xr:uid="{00000000-0005-0000-0000-0000B8020000}"/>
    <cellStyle name="40% - Акцент2 3" xfId="7647" xr:uid="{00000000-0005-0000-0000-0000B9020000}"/>
    <cellStyle name="40% — акцент2 3" xfId="13" xr:uid="{00000000-0005-0000-0000-0000BA020000}"/>
    <cellStyle name="40% — акцент2 3 2" xfId="901" xr:uid="{00000000-0005-0000-0000-0000BB020000}"/>
    <cellStyle name="40% — акцент2 3 2 2" xfId="6519" xr:uid="{00000000-0005-0000-0000-0000BC020000}"/>
    <cellStyle name="40% — акцент2 3 2 2 2" xfId="14009" xr:uid="{00000000-0005-0000-0000-0000BD020000}"/>
    <cellStyle name="40% — акцент2 3 2 3" xfId="7648" xr:uid="{00000000-0005-0000-0000-0000BE020000}"/>
    <cellStyle name="40% — акцент2 3 3" xfId="5511" xr:uid="{00000000-0005-0000-0000-0000BF020000}"/>
    <cellStyle name="40% — акцент2 3 3 2" xfId="6583" xr:uid="{00000000-0005-0000-0000-0000C0020000}"/>
    <cellStyle name="40% — акцент2 3 3 3" xfId="23520" xr:uid="{00000000-0005-0000-0000-0000C1020000}"/>
    <cellStyle name="40% — акцент2 3 4" xfId="7431" xr:uid="{00000000-0005-0000-0000-0000C2020000}"/>
    <cellStyle name="40% — акцент2 4" xfId="853" xr:uid="{00000000-0005-0000-0000-0000C3020000}"/>
    <cellStyle name="40% — акцент2 4 2" xfId="1237" xr:uid="{00000000-0005-0000-0000-0000C4020000}"/>
    <cellStyle name="40% — акцент2 4 2 2" xfId="21230" xr:uid="{00000000-0005-0000-0000-0000C5020000}"/>
    <cellStyle name="40% — акцент2 4 3" xfId="7296" xr:uid="{00000000-0005-0000-0000-0000C6020000}"/>
    <cellStyle name="40% — акцент2 5" xfId="1678" xr:uid="{00000000-0005-0000-0000-0000C7020000}"/>
    <cellStyle name="40% — акцент2 5 2" xfId="6434" xr:uid="{00000000-0005-0000-0000-0000C8020000}"/>
    <cellStyle name="40% — акцент2 5 2 2" xfId="21670" xr:uid="{00000000-0005-0000-0000-0000C9020000}"/>
    <cellStyle name="40% — акцент2 5 3" xfId="7649" xr:uid="{00000000-0005-0000-0000-0000CA020000}"/>
    <cellStyle name="40% — акцент2 6" xfId="2310" xr:uid="{00000000-0005-0000-0000-0000CB020000}"/>
    <cellStyle name="40% — акцент2 6 2" xfId="6455" xr:uid="{00000000-0005-0000-0000-0000CC020000}"/>
    <cellStyle name="40% — акцент2 6 2 2" xfId="22394" xr:uid="{00000000-0005-0000-0000-0000CD020000}"/>
    <cellStyle name="40% — акцент2 6 3" xfId="20295" xr:uid="{00000000-0005-0000-0000-0000CE020000}"/>
    <cellStyle name="40% — акцент2 7" xfId="5430" xr:uid="{00000000-0005-0000-0000-0000CF020000}"/>
    <cellStyle name="40% — акцент2 7 2" xfId="6474" xr:uid="{00000000-0005-0000-0000-0000D0020000}"/>
    <cellStyle name="40% — акцент2 7 2 2" xfId="23446" xr:uid="{00000000-0005-0000-0000-0000D1020000}"/>
    <cellStyle name="40% — акцент2 7 3" xfId="20327" xr:uid="{00000000-0005-0000-0000-0000D2020000}"/>
    <cellStyle name="40% — акцент2 8" xfId="5467" xr:uid="{00000000-0005-0000-0000-0000D3020000}"/>
    <cellStyle name="40% — акцент2 8 2" xfId="6538" xr:uid="{00000000-0005-0000-0000-0000D4020000}"/>
    <cellStyle name="40% — акцент2 8 2 2" xfId="23493" xr:uid="{00000000-0005-0000-0000-0000D5020000}"/>
    <cellStyle name="40% — акцент2 8 3" xfId="20351" xr:uid="{00000000-0005-0000-0000-0000D6020000}"/>
    <cellStyle name="40% — акцент2 9" xfId="20520" xr:uid="{00000000-0005-0000-0000-0000D7020000}"/>
    <cellStyle name="40% — акцент3" xfId="404" builtinId="39" customBuiltin="1"/>
    <cellStyle name="40% — акцент3 10" xfId="20548" xr:uid="{00000000-0005-0000-0000-0000D9020000}"/>
    <cellStyle name="40% — акцент3 11" xfId="7270" xr:uid="{00000000-0005-0000-0000-0000DA020000}"/>
    <cellStyle name="40% - Акцент3 2" xfId="7650" xr:uid="{00000000-0005-0000-0000-0000DB020000}"/>
    <cellStyle name="40% — акцент3 2" xfId="74" xr:uid="{00000000-0005-0000-0000-0000DC020000}"/>
    <cellStyle name="40% - Акцент3 2 10" xfId="7651" xr:uid="{00000000-0005-0000-0000-0000DD020000}"/>
    <cellStyle name="40% — акцент3 2 10" xfId="20741" xr:uid="{00000000-0005-0000-0000-0000DE020000}"/>
    <cellStyle name="40% - Акцент3 2 11" xfId="7652" xr:uid="{00000000-0005-0000-0000-0000DF020000}"/>
    <cellStyle name="40% — акцент3 2 11" xfId="20806" xr:uid="{00000000-0005-0000-0000-0000E0020000}"/>
    <cellStyle name="40% - Акцент3 2 12" xfId="7653" xr:uid="{00000000-0005-0000-0000-0000E1020000}"/>
    <cellStyle name="40% — акцент3 2 12" xfId="20871" xr:uid="{00000000-0005-0000-0000-0000E2020000}"/>
    <cellStyle name="40% - Акцент3 2 13" xfId="7654" xr:uid="{00000000-0005-0000-0000-0000E3020000}"/>
    <cellStyle name="40% — акцент3 2 13" xfId="20936" xr:uid="{00000000-0005-0000-0000-0000E4020000}"/>
    <cellStyle name="40% - Акцент3 2 14" xfId="7655" xr:uid="{00000000-0005-0000-0000-0000E5020000}"/>
    <cellStyle name="40% — акцент3 2 14" xfId="21693" xr:uid="{00000000-0005-0000-0000-0000E6020000}"/>
    <cellStyle name="40% - Акцент3 2 15" xfId="7656" xr:uid="{00000000-0005-0000-0000-0000E7020000}"/>
    <cellStyle name="40% — акцент3 2 15" xfId="22296" xr:uid="{00000000-0005-0000-0000-0000E8020000}"/>
    <cellStyle name="40% — акцент3 2 16" xfId="22320" xr:uid="{00000000-0005-0000-0000-0000E9020000}"/>
    <cellStyle name="40% — акцент3 2 17" xfId="22331" xr:uid="{00000000-0005-0000-0000-0000EA020000}"/>
    <cellStyle name="40% — акцент3 2 18" xfId="22353" xr:uid="{00000000-0005-0000-0000-0000EB020000}"/>
    <cellStyle name="40% — акцент3 2 19" xfId="22375" xr:uid="{00000000-0005-0000-0000-0000EC020000}"/>
    <cellStyle name="40% - Акцент3 2 2" xfId="7657" xr:uid="{00000000-0005-0000-0000-0000ED020000}"/>
    <cellStyle name="40% — акцент3 2 2" xfId="264" xr:uid="{00000000-0005-0000-0000-0000EE020000}"/>
    <cellStyle name="40% — акцент3 2 2 2" xfId="1170" xr:uid="{00000000-0005-0000-0000-0000EF020000}"/>
    <cellStyle name="40% — акцент3 2 2 2 2" xfId="5903" xr:uid="{00000000-0005-0000-0000-0000F0020000}"/>
    <cellStyle name="40% — акцент3 2 2 2 3" xfId="21127" xr:uid="{00000000-0005-0000-0000-0000F1020000}"/>
    <cellStyle name="40% — акцент3 2 2 3" xfId="5645" xr:uid="{00000000-0005-0000-0000-0000F2020000}"/>
    <cellStyle name="40% — акцент3 2 2 4" xfId="7324" xr:uid="{00000000-0005-0000-0000-0000F3020000}"/>
    <cellStyle name="40% — акцент3 2 20" xfId="22412" xr:uid="{00000000-0005-0000-0000-0000F4020000}"/>
    <cellStyle name="40% — акцент3 2 21" xfId="22435" xr:uid="{00000000-0005-0000-0000-0000F5020000}"/>
    <cellStyle name="40% — акцент3 2 22" xfId="22458" xr:uid="{00000000-0005-0000-0000-0000F6020000}"/>
    <cellStyle name="40% — акцент3 2 23" xfId="22519" xr:uid="{00000000-0005-0000-0000-0000F7020000}"/>
    <cellStyle name="40% — акцент3 2 24" xfId="22706" xr:uid="{00000000-0005-0000-0000-0000F8020000}"/>
    <cellStyle name="40% — акцент3 2 25" xfId="23126" xr:uid="{00000000-0005-0000-0000-0000F9020000}"/>
    <cellStyle name="40% — акцент3 2 26" xfId="23149" xr:uid="{00000000-0005-0000-0000-0000FA020000}"/>
    <cellStyle name="40% — акцент3 2 27" xfId="23174" xr:uid="{00000000-0005-0000-0000-0000FB020000}"/>
    <cellStyle name="40% — акцент3 2 28" xfId="23471" xr:uid="{00000000-0005-0000-0000-0000FC020000}"/>
    <cellStyle name="40% — акцент3 2 29" xfId="23543" xr:uid="{00000000-0005-0000-0000-0000FD020000}"/>
    <cellStyle name="40% - Акцент3 2 3" xfId="7658" xr:uid="{00000000-0005-0000-0000-0000FE020000}"/>
    <cellStyle name="40% — акцент3 2 3" xfId="1091" xr:uid="{00000000-0005-0000-0000-0000FF020000}"/>
    <cellStyle name="40% — акцент3 2 3 2" xfId="5771" xr:uid="{00000000-0005-0000-0000-000000030000}"/>
    <cellStyle name="40% — акцент3 2 3 3" xfId="14119" xr:uid="{00000000-0005-0000-0000-000001030000}"/>
    <cellStyle name="40% — акцент3 2 30" xfId="7209" xr:uid="{00000000-0005-0000-0000-000002030000}"/>
    <cellStyle name="40% - Акцент3 2 4" xfId="7659" xr:uid="{00000000-0005-0000-0000-000003030000}"/>
    <cellStyle name="40% — акцент3 2 4" xfId="5453" xr:uid="{00000000-0005-0000-0000-000004030000}"/>
    <cellStyle name="40% — акцент3 2 4 2" xfId="6501" xr:uid="{00000000-0005-0000-0000-000005030000}"/>
    <cellStyle name="40% — акцент3 2 4 3" xfId="20315" xr:uid="{00000000-0005-0000-0000-000006030000}"/>
    <cellStyle name="40% - Акцент3 2 5" xfId="7660" xr:uid="{00000000-0005-0000-0000-000007030000}"/>
    <cellStyle name="40% — акцент3 2 5" xfId="5493" xr:uid="{00000000-0005-0000-0000-000008030000}"/>
    <cellStyle name="40% — акцент3 2 5 2" xfId="6565" xr:uid="{00000000-0005-0000-0000-000009030000}"/>
    <cellStyle name="40% — акцент3 2 5 3" xfId="20344" xr:uid="{00000000-0005-0000-0000-00000A030000}"/>
    <cellStyle name="40% - Акцент3 2 6" xfId="7661" xr:uid="{00000000-0005-0000-0000-00000B030000}"/>
    <cellStyle name="40% — акцент3 2 6" xfId="5546" xr:uid="{00000000-0005-0000-0000-00000C030000}"/>
    <cellStyle name="40% — акцент3 2 6 2" xfId="20359" xr:uid="{00000000-0005-0000-0000-00000D030000}"/>
    <cellStyle name="40% - Акцент3 2 7" xfId="7662" xr:uid="{00000000-0005-0000-0000-00000E030000}"/>
    <cellStyle name="40% — акцент3 2 7" xfId="20538" xr:uid="{00000000-0005-0000-0000-00000F030000}"/>
    <cellStyle name="40% - Акцент3 2 8" xfId="7663" xr:uid="{00000000-0005-0000-0000-000010030000}"/>
    <cellStyle name="40% — акцент3 2 8" xfId="20552" xr:uid="{00000000-0005-0000-0000-000011030000}"/>
    <cellStyle name="40% - Акцент3 2 9" xfId="7664" xr:uid="{00000000-0005-0000-0000-000012030000}"/>
    <cellStyle name="40% — акцент3 2 9" xfId="20676" xr:uid="{00000000-0005-0000-0000-000013030000}"/>
    <cellStyle name="40% - Акцент3 3" xfId="7665" xr:uid="{00000000-0005-0000-0000-000014030000}"/>
    <cellStyle name="40% — акцент3 3" xfId="14" xr:uid="{00000000-0005-0000-0000-000015030000}"/>
    <cellStyle name="40% — акцент3 3 2" xfId="902" xr:uid="{00000000-0005-0000-0000-000016030000}"/>
    <cellStyle name="40% — акцент3 3 2 2" xfId="6522" xr:uid="{00000000-0005-0000-0000-000017030000}"/>
    <cellStyle name="40% — акцент3 3 2 2 2" xfId="14010" xr:uid="{00000000-0005-0000-0000-000018030000}"/>
    <cellStyle name="40% — акцент3 3 2 3" xfId="7666" xr:uid="{00000000-0005-0000-0000-000019030000}"/>
    <cellStyle name="40% — акцент3 3 3" xfId="5514" xr:uid="{00000000-0005-0000-0000-00001A030000}"/>
    <cellStyle name="40% — акцент3 3 3 2" xfId="6586" xr:uid="{00000000-0005-0000-0000-00001B030000}"/>
    <cellStyle name="40% — акцент3 3 3 3" xfId="23523" xr:uid="{00000000-0005-0000-0000-00001C030000}"/>
    <cellStyle name="40% — акцент3 3 4" xfId="7432" xr:uid="{00000000-0005-0000-0000-00001D030000}"/>
    <cellStyle name="40% — акцент3 4" xfId="854" xr:uid="{00000000-0005-0000-0000-00001E030000}"/>
    <cellStyle name="40% — акцент3 4 2" xfId="1240" xr:uid="{00000000-0005-0000-0000-00001F030000}"/>
    <cellStyle name="40% — акцент3 4 2 2" xfId="21233" xr:uid="{00000000-0005-0000-0000-000020030000}"/>
    <cellStyle name="40% — акцент3 4 3" xfId="7297" xr:uid="{00000000-0005-0000-0000-000021030000}"/>
    <cellStyle name="40% — акцент3 5" xfId="1681" xr:uid="{00000000-0005-0000-0000-000022030000}"/>
    <cellStyle name="40% — акцент3 5 2" xfId="6437" xr:uid="{00000000-0005-0000-0000-000023030000}"/>
    <cellStyle name="40% — акцент3 5 2 2" xfId="21673" xr:uid="{00000000-0005-0000-0000-000024030000}"/>
    <cellStyle name="40% — акцент3 5 3" xfId="7667" xr:uid="{00000000-0005-0000-0000-000025030000}"/>
    <cellStyle name="40% — акцент3 6" xfId="2313" xr:uid="{00000000-0005-0000-0000-000026030000}"/>
    <cellStyle name="40% — акцент3 6 2" xfId="6458" xr:uid="{00000000-0005-0000-0000-000027030000}"/>
    <cellStyle name="40% — акцент3 6 2 2" xfId="22396" xr:uid="{00000000-0005-0000-0000-000028030000}"/>
    <cellStyle name="40% — акцент3 6 3" xfId="20296" xr:uid="{00000000-0005-0000-0000-000029030000}"/>
    <cellStyle name="40% — акцент3 7" xfId="5433" xr:uid="{00000000-0005-0000-0000-00002A030000}"/>
    <cellStyle name="40% — акцент3 7 2" xfId="6477" xr:uid="{00000000-0005-0000-0000-00002B030000}"/>
    <cellStyle name="40% — акцент3 7 2 2" xfId="23448" xr:uid="{00000000-0005-0000-0000-00002C030000}"/>
    <cellStyle name="40% — акцент3 7 3" xfId="20328" xr:uid="{00000000-0005-0000-0000-00002D030000}"/>
    <cellStyle name="40% — акцент3 8" xfId="5470" xr:uid="{00000000-0005-0000-0000-00002E030000}"/>
    <cellStyle name="40% — акцент3 8 2" xfId="6541" xr:uid="{00000000-0005-0000-0000-00002F030000}"/>
    <cellStyle name="40% — акцент3 8 2 2" xfId="23495" xr:uid="{00000000-0005-0000-0000-000030030000}"/>
    <cellStyle name="40% — акцент3 8 3" xfId="20394" xr:uid="{00000000-0005-0000-0000-000031030000}"/>
    <cellStyle name="40% — акцент3 9" xfId="20521" xr:uid="{00000000-0005-0000-0000-000032030000}"/>
    <cellStyle name="40% — акцент4" xfId="408" builtinId="43" customBuiltin="1"/>
    <cellStyle name="40% — акцент4 10" xfId="20580" xr:uid="{00000000-0005-0000-0000-000034030000}"/>
    <cellStyle name="40% — акцент4 11" xfId="7273" xr:uid="{00000000-0005-0000-0000-000035030000}"/>
    <cellStyle name="40% - Акцент4 2" xfId="7668" xr:uid="{00000000-0005-0000-0000-000036030000}"/>
    <cellStyle name="40% — акцент4 2" xfId="75" xr:uid="{00000000-0005-0000-0000-000037030000}"/>
    <cellStyle name="40% - Акцент4 2 10" xfId="7669" xr:uid="{00000000-0005-0000-0000-000038030000}"/>
    <cellStyle name="40% — акцент4 2 10" xfId="20742" xr:uid="{00000000-0005-0000-0000-000039030000}"/>
    <cellStyle name="40% - Акцент4 2 11" xfId="7670" xr:uid="{00000000-0005-0000-0000-00003A030000}"/>
    <cellStyle name="40% — акцент4 2 11" xfId="20807" xr:uid="{00000000-0005-0000-0000-00003B030000}"/>
    <cellStyle name="40% - Акцент4 2 12" xfId="7671" xr:uid="{00000000-0005-0000-0000-00003C030000}"/>
    <cellStyle name="40% — акцент4 2 12" xfId="20872" xr:uid="{00000000-0005-0000-0000-00003D030000}"/>
    <cellStyle name="40% - Акцент4 2 13" xfId="7672" xr:uid="{00000000-0005-0000-0000-00003E030000}"/>
    <cellStyle name="40% — акцент4 2 13" xfId="20937" xr:uid="{00000000-0005-0000-0000-00003F030000}"/>
    <cellStyle name="40% - Акцент4 2 14" xfId="7673" xr:uid="{00000000-0005-0000-0000-000040030000}"/>
    <cellStyle name="40% — акцент4 2 14" xfId="21694" xr:uid="{00000000-0005-0000-0000-000041030000}"/>
    <cellStyle name="40% - Акцент4 2 15" xfId="7674" xr:uid="{00000000-0005-0000-0000-000042030000}"/>
    <cellStyle name="40% — акцент4 2 15" xfId="22297" xr:uid="{00000000-0005-0000-0000-000043030000}"/>
    <cellStyle name="40% — акцент4 2 16" xfId="22301" xr:uid="{00000000-0005-0000-0000-000044030000}"/>
    <cellStyle name="40% — акцент4 2 17" xfId="22332" xr:uid="{00000000-0005-0000-0000-000045030000}"/>
    <cellStyle name="40% — акцент4 2 18" xfId="22354" xr:uid="{00000000-0005-0000-0000-000046030000}"/>
    <cellStyle name="40% — акцент4 2 19" xfId="22376" xr:uid="{00000000-0005-0000-0000-000047030000}"/>
    <cellStyle name="40% - Акцент4 2 2" xfId="7675" xr:uid="{00000000-0005-0000-0000-000048030000}"/>
    <cellStyle name="40% — акцент4 2 2" xfId="265" xr:uid="{00000000-0005-0000-0000-000049030000}"/>
    <cellStyle name="40% — акцент4 2 2 2" xfId="1171" xr:uid="{00000000-0005-0000-0000-00004A030000}"/>
    <cellStyle name="40% — акцент4 2 2 2 2" xfId="5904" xr:uid="{00000000-0005-0000-0000-00004B030000}"/>
    <cellStyle name="40% — акцент4 2 2 2 3" xfId="21128" xr:uid="{00000000-0005-0000-0000-00004C030000}"/>
    <cellStyle name="40% — акцент4 2 2 3" xfId="5646" xr:uid="{00000000-0005-0000-0000-00004D030000}"/>
    <cellStyle name="40% — акцент4 2 2 4" xfId="7325" xr:uid="{00000000-0005-0000-0000-00004E030000}"/>
    <cellStyle name="40% — акцент4 2 20" xfId="22413" xr:uid="{00000000-0005-0000-0000-00004F030000}"/>
    <cellStyle name="40% — акцент4 2 21" xfId="22436" xr:uid="{00000000-0005-0000-0000-000050030000}"/>
    <cellStyle name="40% — акцент4 2 22" xfId="22459" xr:uid="{00000000-0005-0000-0000-000051030000}"/>
    <cellStyle name="40% — акцент4 2 23" xfId="22520" xr:uid="{00000000-0005-0000-0000-000052030000}"/>
    <cellStyle name="40% — акцент4 2 24" xfId="22781" xr:uid="{00000000-0005-0000-0000-000053030000}"/>
    <cellStyle name="40% — акцент4 2 25" xfId="23127" xr:uid="{00000000-0005-0000-0000-000054030000}"/>
    <cellStyle name="40% — акцент4 2 26" xfId="23154" xr:uid="{00000000-0005-0000-0000-000055030000}"/>
    <cellStyle name="40% — акцент4 2 27" xfId="23175" xr:uid="{00000000-0005-0000-0000-000056030000}"/>
    <cellStyle name="40% — акцент4 2 28" xfId="23472" xr:uid="{00000000-0005-0000-0000-000057030000}"/>
    <cellStyle name="40% — акцент4 2 29" xfId="23544" xr:uid="{00000000-0005-0000-0000-000058030000}"/>
    <cellStyle name="40% - Акцент4 2 3" xfId="7676" xr:uid="{00000000-0005-0000-0000-000059030000}"/>
    <cellStyle name="40% — акцент4 2 3" xfId="1092" xr:uid="{00000000-0005-0000-0000-00005A030000}"/>
    <cellStyle name="40% — акцент4 2 3 2" xfId="5772" xr:uid="{00000000-0005-0000-0000-00005B030000}"/>
    <cellStyle name="40% — акцент4 2 3 3" xfId="14120" xr:uid="{00000000-0005-0000-0000-00005C030000}"/>
    <cellStyle name="40% — акцент4 2 30" xfId="7210" xr:uid="{00000000-0005-0000-0000-00005D030000}"/>
    <cellStyle name="40% - Акцент4 2 4" xfId="7677" xr:uid="{00000000-0005-0000-0000-00005E030000}"/>
    <cellStyle name="40% — акцент4 2 4" xfId="5455" xr:uid="{00000000-0005-0000-0000-00005F030000}"/>
    <cellStyle name="40% — акцент4 2 4 2" xfId="6504" xr:uid="{00000000-0005-0000-0000-000060030000}"/>
    <cellStyle name="40% — акцент4 2 4 3" xfId="20316" xr:uid="{00000000-0005-0000-0000-000061030000}"/>
    <cellStyle name="40% - Акцент4 2 5" xfId="7678" xr:uid="{00000000-0005-0000-0000-000062030000}"/>
    <cellStyle name="40% — акцент4 2 5" xfId="5496" xr:uid="{00000000-0005-0000-0000-000063030000}"/>
    <cellStyle name="40% — акцент4 2 5 2" xfId="6568" xr:uid="{00000000-0005-0000-0000-000064030000}"/>
    <cellStyle name="40% — акцент4 2 5 3" xfId="20345" xr:uid="{00000000-0005-0000-0000-000065030000}"/>
    <cellStyle name="40% - Акцент4 2 6" xfId="7679" xr:uid="{00000000-0005-0000-0000-000066030000}"/>
    <cellStyle name="40% — акцент4 2 6" xfId="5547" xr:uid="{00000000-0005-0000-0000-000067030000}"/>
    <cellStyle name="40% — акцент4 2 6 2" xfId="20352" xr:uid="{00000000-0005-0000-0000-000068030000}"/>
    <cellStyle name="40% - Акцент4 2 7" xfId="7680" xr:uid="{00000000-0005-0000-0000-000069030000}"/>
    <cellStyle name="40% — акцент4 2 7" xfId="20539" xr:uid="{00000000-0005-0000-0000-00006A030000}"/>
    <cellStyle name="40% - Акцент4 2 8" xfId="7681" xr:uid="{00000000-0005-0000-0000-00006B030000}"/>
    <cellStyle name="40% — акцент4 2 8" xfId="20547" xr:uid="{00000000-0005-0000-0000-00006C030000}"/>
    <cellStyle name="40% - Акцент4 2 9" xfId="7682" xr:uid="{00000000-0005-0000-0000-00006D030000}"/>
    <cellStyle name="40% — акцент4 2 9" xfId="20677" xr:uid="{00000000-0005-0000-0000-00006E030000}"/>
    <cellStyle name="40% - Акцент4 3" xfId="7683" xr:uid="{00000000-0005-0000-0000-00006F030000}"/>
    <cellStyle name="40% — акцент4 3" xfId="15" xr:uid="{00000000-0005-0000-0000-000070030000}"/>
    <cellStyle name="40% — акцент4 3 2" xfId="903" xr:uid="{00000000-0005-0000-0000-000071030000}"/>
    <cellStyle name="40% — акцент4 3 2 2" xfId="6525" xr:uid="{00000000-0005-0000-0000-000072030000}"/>
    <cellStyle name="40% — акцент4 3 2 2 2" xfId="14011" xr:uid="{00000000-0005-0000-0000-000073030000}"/>
    <cellStyle name="40% — акцент4 3 2 3" xfId="7684" xr:uid="{00000000-0005-0000-0000-000074030000}"/>
    <cellStyle name="40% — акцент4 3 3" xfId="5517" xr:uid="{00000000-0005-0000-0000-000075030000}"/>
    <cellStyle name="40% — акцент4 3 3 2" xfId="6589" xr:uid="{00000000-0005-0000-0000-000076030000}"/>
    <cellStyle name="40% — акцент4 3 3 3" xfId="23526" xr:uid="{00000000-0005-0000-0000-000077030000}"/>
    <cellStyle name="40% — акцент4 3 4" xfId="7433" xr:uid="{00000000-0005-0000-0000-000078030000}"/>
    <cellStyle name="40% — акцент4 4" xfId="855" xr:uid="{00000000-0005-0000-0000-000079030000}"/>
    <cellStyle name="40% — акцент4 4 2" xfId="1243" xr:uid="{00000000-0005-0000-0000-00007A030000}"/>
    <cellStyle name="40% — акцент4 4 2 2" xfId="21236" xr:uid="{00000000-0005-0000-0000-00007B030000}"/>
    <cellStyle name="40% — акцент4 4 3" xfId="7298" xr:uid="{00000000-0005-0000-0000-00007C030000}"/>
    <cellStyle name="40% — акцент4 5" xfId="1684" xr:uid="{00000000-0005-0000-0000-00007D030000}"/>
    <cellStyle name="40% — акцент4 5 2" xfId="6440" xr:uid="{00000000-0005-0000-0000-00007E030000}"/>
    <cellStyle name="40% — акцент4 5 2 2" xfId="21676" xr:uid="{00000000-0005-0000-0000-00007F030000}"/>
    <cellStyle name="40% — акцент4 5 3" xfId="7685" xr:uid="{00000000-0005-0000-0000-000080030000}"/>
    <cellStyle name="40% — акцент4 6" xfId="2316" xr:uid="{00000000-0005-0000-0000-000081030000}"/>
    <cellStyle name="40% — акцент4 6 2" xfId="6461" xr:uid="{00000000-0005-0000-0000-000082030000}"/>
    <cellStyle name="40% — акцент4 6 2 2" xfId="22398" xr:uid="{00000000-0005-0000-0000-000083030000}"/>
    <cellStyle name="40% — акцент4 6 3" xfId="20297" xr:uid="{00000000-0005-0000-0000-000084030000}"/>
    <cellStyle name="40% — акцент4 7" xfId="5436" xr:uid="{00000000-0005-0000-0000-000085030000}"/>
    <cellStyle name="40% — акцент4 7 2" xfId="6480" xr:uid="{00000000-0005-0000-0000-000086030000}"/>
    <cellStyle name="40% — акцент4 7 2 2" xfId="23450" xr:uid="{00000000-0005-0000-0000-000087030000}"/>
    <cellStyle name="40% — акцент4 7 3" xfId="20329" xr:uid="{00000000-0005-0000-0000-000088030000}"/>
    <cellStyle name="40% — акцент4 8" xfId="5473" xr:uid="{00000000-0005-0000-0000-000089030000}"/>
    <cellStyle name="40% — акцент4 8 2" xfId="6544" xr:uid="{00000000-0005-0000-0000-00008A030000}"/>
    <cellStyle name="40% — акцент4 8 2 2" xfId="23497" xr:uid="{00000000-0005-0000-0000-00008B030000}"/>
    <cellStyle name="40% — акцент4 8 3" xfId="20363" xr:uid="{00000000-0005-0000-0000-00008C030000}"/>
    <cellStyle name="40% — акцент4 9" xfId="20522" xr:uid="{00000000-0005-0000-0000-00008D030000}"/>
    <cellStyle name="40% — акцент5" xfId="412" builtinId="47" customBuiltin="1"/>
    <cellStyle name="40% — акцент5 10" xfId="20608" xr:uid="{00000000-0005-0000-0000-00008F030000}"/>
    <cellStyle name="40% — акцент5 11" xfId="7276" xr:uid="{00000000-0005-0000-0000-000090030000}"/>
    <cellStyle name="40% - Акцент5 2" xfId="7686" xr:uid="{00000000-0005-0000-0000-000091030000}"/>
    <cellStyle name="40% — акцент5 2" xfId="76" xr:uid="{00000000-0005-0000-0000-000092030000}"/>
    <cellStyle name="40% - Акцент5 2 10" xfId="7687" xr:uid="{00000000-0005-0000-0000-000093030000}"/>
    <cellStyle name="40% — акцент5 2 10" xfId="20743" xr:uid="{00000000-0005-0000-0000-000094030000}"/>
    <cellStyle name="40% - Акцент5 2 11" xfId="7688" xr:uid="{00000000-0005-0000-0000-000095030000}"/>
    <cellStyle name="40% — акцент5 2 11" xfId="20808" xr:uid="{00000000-0005-0000-0000-000096030000}"/>
    <cellStyle name="40% - Акцент5 2 12" xfId="7689" xr:uid="{00000000-0005-0000-0000-000097030000}"/>
    <cellStyle name="40% — акцент5 2 12" xfId="20873" xr:uid="{00000000-0005-0000-0000-000098030000}"/>
    <cellStyle name="40% - Акцент5 2 13" xfId="7690" xr:uid="{00000000-0005-0000-0000-000099030000}"/>
    <cellStyle name="40% — акцент5 2 13" xfId="20938" xr:uid="{00000000-0005-0000-0000-00009A030000}"/>
    <cellStyle name="40% - Акцент5 2 14" xfId="7691" xr:uid="{00000000-0005-0000-0000-00009B030000}"/>
    <cellStyle name="40% — акцент5 2 14" xfId="21695" xr:uid="{00000000-0005-0000-0000-00009C030000}"/>
    <cellStyle name="40% - Акцент5 2 15" xfId="7692" xr:uid="{00000000-0005-0000-0000-00009D030000}"/>
    <cellStyle name="40% — акцент5 2 15" xfId="22298" xr:uid="{00000000-0005-0000-0000-00009E030000}"/>
    <cellStyle name="40% — акцент5 2 16" xfId="22300" xr:uid="{00000000-0005-0000-0000-00009F030000}"/>
    <cellStyle name="40% — акцент5 2 17" xfId="22333" xr:uid="{00000000-0005-0000-0000-0000A0030000}"/>
    <cellStyle name="40% — акцент5 2 18" xfId="22355" xr:uid="{00000000-0005-0000-0000-0000A1030000}"/>
    <cellStyle name="40% — акцент5 2 19" xfId="22377" xr:uid="{00000000-0005-0000-0000-0000A2030000}"/>
    <cellStyle name="40% - Акцент5 2 2" xfId="7693" xr:uid="{00000000-0005-0000-0000-0000A3030000}"/>
    <cellStyle name="40% — акцент5 2 2" xfId="266" xr:uid="{00000000-0005-0000-0000-0000A4030000}"/>
    <cellStyle name="40% — акцент5 2 2 2" xfId="1172" xr:uid="{00000000-0005-0000-0000-0000A5030000}"/>
    <cellStyle name="40% — акцент5 2 2 2 2" xfId="5905" xr:uid="{00000000-0005-0000-0000-0000A6030000}"/>
    <cellStyle name="40% — акцент5 2 2 2 3" xfId="21129" xr:uid="{00000000-0005-0000-0000-0000A7030000}"/>
    <cellStyle name="40% — акцент5 2 2 3" xfId="5647" xr:uid="{00000000-0005-0000-0000-0000A8030000}"/>
    <cellStyle name="40% — акцент5 2 2 4" xfId="7326" xr:uid="{00000000-0005-0000-0000-0000A9030000}"/>
    <cellStyle name="40% — акцент5 2 20" xfId="22414" xr:uid="{00000000-0005-0000-0000-0000AA030000}"/>
    <cellStyle name="40% — акцент5 2 21" xfId="22437" xr:uid="{00000000-0005-0000-0000-0000AB030000}"/>
    <cellStyle name="40% — акцент5 2 22" xfId="22460" xr:uid="{00000000-0005-0000-0000-0000AC030000}"/>
    <cellStyle name="40% — акцент5 2 23" xfId="22521" xr:uid="{00000000-0005-0000-0000-0000AD030000}"/>
    <cellStyle name="40% — акцент5 2 24" xfId="22625" xr:uid="{00000000-0005-0000-0000-0000AE030000}"/>
    <cellStyle name="40% — акцент5 2 25" xfId="23128" xr:uid="{00000000-0005-0000-0000-0000AF030000}"/>
    <cellStyle name="40% — акцент5 2 26" xfId="23142" xr:uid="{00000000-0005-0000-0000-0000B0030000}"/>
    <cellStyle name="40% — акцент5 2 27" xfId="23176" xr:uid="{00000000-0005-0000-0000-0000B1030000}"/>
    <cellStyle name="40% — акцент5 2 28" xfId="23473" xr:uid="{00000000-0005-0000-0000-0000B2030000}"/>
    <cellStyle name="40% — акцент5 2 29" xfId="23545" xr:uid="{00000000-0005-0000-0000-0000B3030000}"/>
    <cellStyle name="40% - Акцент5 2 3" xfId="7694" xr:uid="{00000000-0005-0000-0000-0000B4030000}"/>
    <cellStyle name="40% — акцент5 2 3" xfId="1093" xr:uid="{00000000-0005-0000-0000-0000B5030000}"/>
    <cellStyle name="40% — акцент5 2 3 2" xfId="5773" xr:uid="{00000000-0005-0000-0000-0000B6030000}"/>
    <cellStyle name="40% — акцент5 2 3 3" xfId="14121" xr:uid="{00000000-0005-0000-0000-0000B7030000}"/>
    <cellStyle name="40% — акцент5 2 30" xfId="7211" xr:uid="{00000000-0005-0000-0000-0000B8030000}"/>
    <cellStyle name="40% - Акцент5 2 4" xfId="7695" xr:uid="{00000000-0005-0000-0000-0000B9030000}"/>
    <cellStyle name="40% — акцент5 2 4" xfId="5457" xr:uid="{00000000-0005-0000-0000-0000BA030000}"/>
    <cellStyle name="40% — акцент5 2 4 2" xfId="6507" xr:uid="{00000000-0005-0000-0000-0000BB030000}"/>
    <cellStyle name="40% — акцент5 2 4 3" xfId="20317" xr:uid="{00000000-0005-0000-0000-0000BC030000}"/>
    <cellStyle name="40% - Акцент5 2 5" xfId="7696" xr:uid="{00000000-0005-0000-0000-0000BD030000}"/>
    <cellStyle name="40% — акцент5 2 5" xfId="5499" xr:uid="{00000000-0005-0000-0000-0000BE030000}"/>
    <cellStyle name="40% — акцент5 2 5 2" xfId="6571" xr:uid="{00000000-0005-0000-0000-0000BF030000}"/>
    <cellStyle name="40% — акцент5 2 5 3" xfId="20346" xr:uid="{00000000-0005-0000-0000-0000C0030000}"/>
    <cellStyle name="40% - Акцент5 2 6" xfId="7697" xr:uid="{00000000-0005-0000-0000-0000C1030000}"/>
    <cellStyle name="40% — акцент5 2 6" xfId="5548" xr:uid="{00000000-0005-0000-0000-0000C2030000}"/>
    <cellStyle name="40% — акцент5 2 6 2" xfId="20350" xr:uid="{00000000-0005-0000-0000-0000C3030000}"/>
    <cellStyle name="40% - Акцент5 2 7" xfId="7698" xr:uid="{00000000-0005-0000-0000-0000C4030000}"/>
    <cellStyle name="40% — акцент5 2 7" xfId="20540" xr:uid="{00000000-0005-0000-0000-0000C5030000}"/>
    <cellStyle name="40% - Акцент5 2 8" xfId="7699" xr:uid="{00000000-0005-0000-0000-0000C6030000}"/>
    <cellStyle name="40% — акцент5 2 8" xfId="20546" xr:uid="{00000000-0005-0000-0000-0000C7030000}"/>
    <cellStyle name="40% - Акцент5 2 9" xfId="7700" xr:uid="{00000000-0005-0000-0000-0000C8030000}"/>
    <cellStyle name="40% — акцент5 2 9" xfId="20678" xr:uid="{00000000-0005-0000-0000-0000C9030000}"/>
    <cellStyle name="40% - Акцент5 3" xfId="7701" xr:uid="{00000000-0005-0000-0000-0000CA030000}"/>
    <cellStyle name="40% — акцент5 3" xfId="16" xr:uid="{00000000-0005-0000-0000-0000CB030000}"/>
    <cellStyle name="40% — акцент5 3 2" xfId="904" xr:uid="{00000000-0005-0000-0000-0000CC030000}"/>
    <cellStyle name="40% — акцент5 3 2 2" xfId="6528" xr:uid="{00000000-0005-0000-0000-0000CD030000}"/>
    <cellStyle name="40% — акцент5 3 2 2 2" xfId="14012" xr:uid="{00000000-0005-0000-0000-0000CE030000}"/>
    <cellStyle name="40% — акцент5 3 2 3" xfId="7702" xr:uid="{00000000-0005-0000-0000-0000CF030000}"/>
    <cellStyle name="40% — акцент5 3 3" xfId="5520" xr:uid="{00000000-0005-0000-0000-0000D0030000}"/>
    <cellStyle name="40% — акцент5 3 3 2" xfId="6592" xr:uid="{00000000-0005-0000-0000-0000D1030000}"/>
    <cellStyle name="40% — акцент5 3 3 3" xfId="23529" xr:uid="{00000000-0005-0000-0000-0000D2030000}"/>
    <cellStyle name="40% — акцент5 3 4" xfId="7434" xr:uid="{00000000-0005-0000-0000-0000D3030000}"/>
    <cellStyle name="40% — акцент5 4" xfId="856" xr:uid="{00000000-0005-0000-0000-0000D4030000}"/>
    <cellStyle name="40% — акцент5 4 2" xfId="1246" xr:uid="{00000000-0005-0000-0000-0000D5030000}"/>
    <cellStyle name="40% — акцент5 4 2 2" xfId="21239" xr:uid="{00000000-0005-0000-0000-0000D6030000}"/>
    <cellStyle name="40% — акцент5 4 3" xfId="7299" xr:uid="{00000000-0005-0000-0000-0000D7030000}"/>
    <cellStyle name="40% — акцент5 5" xfId="1687" xr:uid="{00000000-0005-0000-0000-0000D8030000}"/>
    <cellStyle name="40% — акцент5 5 2" xfId="6443" xr:uid="{00000000-0005-0000-0000-0000D9030000}"/>
    <cellStyle name="40% — акцент5 5 2 2" xfId="21679" xr:uid="{00000000-0005-0000-0000-0000DA030000}"/>
    <cellStyle name="40% — акцент5 5 3" xfId="7703" xr:uid="{00000000-0005-0000-0000-0000DB030000}"/>
    <cellStyle name="40% — акцент5 6" xfId="2319" xr:uid="{00000000-0005-0000-0000-0000DC030000}"/>
    <cellStyle name="40% — акцент5 6 2" xfId="6464" xr:uid="{00000000-0005-0000-0000-0000DD030000}"/>
    <cellStyle name="40% — акцент5 6 2 2" xfId="22400" xr:uid="{00000000-0005-0000-0000-0000DE030000}"/>
    <cellStyle name="40% — акцент5 6 3" xfId="20298" xr:uid="{00000000-0005-0000-0000-0000DF030000}"/>
    <cellStyle name="40% — акцент5 7" xfId="5439" xr:uid="{00000000-0005-0000-0000-0000E0030000}"/>
    <cellStyle name="40% — акцент5 7 2" xfId="6483" xr:uid="{00000000-0005-0000-0000-0000E1030000}"/>
    <cellStyle name="40% — акцент5 7 2 2" xfId="23452" xr:uid="{00000000-0005-0000-0000-0000E2030000}"/>
    <cellStyle name="40% — акцент5 7 3" xfId="20330" xr:uid="{00000000-0005-0000-0000-0000E3030000}"/>
    <cellStyle name="40% — акцент5 8" xfId="5476" xr:uid="{00000000-0005-0000-0000-0000E4030000}"/>
    <cellStyle name="40% — акцент5 8 2" xfId="6547" xr:uid="{00000000-0005-0000-0000-0000E5030000}"/>
    <cellStyle name="40% — акцент5 8 2 2" xfId="23499" xr:uid="{00000000-0005-0000-0000-0000E6030000}"/>
    <cellStyle name="40% — акцент5 8 3" xfId="20358" xr:uid="{00000000-0005-0000-0000-0000E7030000}"/>
    <cellStyle name="40% — акцент5 9" xfId="20523" xr:uid="{00000000-0005-0000-0000-0000E8030000}"/>
    <cellStyle name="40% — акцент6" xfId="416" builtinId="51" customBuiltin="1"/>
    <cellStyle name="40% — акцент6 10" xfId="20558" xr:uid="{00000000-0005-0000-0000-0000EA030000}"/>
    <cellStyle name="40% — акцент6 11" xfId="7279" xr:uid="{00000000-0005-0000-0000-0000EB030000}"/>
    <cellStyle name="40% - Акцент6 2" xfId="7704" xr:uid="{00000000-0005-0000-0000-0000EC030000}"/>
    <cellStyle name="40% — акцент6 2" xfId="77" xr:uid="{00000000-0005-0000-0000-0000ED030000}"/>
    <cellStyle name="40% - Акцент6 2 10" xfId="7705" xr:uid="{00000000-0005-0000-0000-0000EE030000}"/>
    <cellStyle name="40% — акцент6 2 10" xfId="20744" xr:uid="{00000000-0005-0000-0000-0000EF030000}"/>
    <cellStyle name="40% - Акцент6 2 11" xfId="7706" xr:uid="{00000000-0005-0000-0000-0000F0030000}"/>
    <cellStyle name="40% — акцент6 2 11" xfId="20809" xr:uid="{00000000-0005-0000-0000-0000F1030000}"/>
    <cellStyle name="40% - Акцент6 2 12" xfId="7707" xr:uid="{00000000-0005-0000-0000-0000F2030000}"/>
    <cellStyle name="40% — акцент6 2 12" xfId="20874" xr:uid="{00000000-0005-0000-0000-0000F3030000}"/>
    <cellStyle name="40% - Акцент6 2 13" xfId="7708" xr:uid="{00000000-0005-0000-0000-0000F4030000}"/>
    <cellStyle name="40% — акцент6 2 13" xfId="20939" xr:uid="{00000000-0005-0000-0000-0000F5030000}"/>
    <cellStyle name="40% - Акцент6 2 14" xfId="7709" xr:uid="{00000000-0005-0000-0000-0000F6030000}"/>
    <cellStyle name="40% — акцент6 2 14" xfId="21696" xr:uid="{00000000-0005-0000-0000-0000F7030000}"/>
    <cellStyle name="40% - Акцент6 2 15" xfId="7710" xr:uid="{00000000-0005-0000-0000-0000F8030000}"/>
    <cellStyle name="40% — акцент6 2 15" xfId="22299" xr:uid="{00000000-0005-0000-0000-0000F9030000}"/>
    <cellStyle name="40% — акцент6 2 16" xfId="22304" xr:uid="{00000000-0005-0000-0000-0000FA030000}"/>
    <cellStyle name="40% — акцент6 2 17" xfId="22334" xr:uid="{00000000-0005-0000-0000-0000FB030000}"/>
    <cellStyle name="40% — акцент6 2 18" xfId="22356" xr:uid="{00000000-0005-0000-0000-0000FC030000}"/>
    <cellStyle name="40% — акцент6 2 19" xfId="22378" xr:uid="{00000000-0005-0000-0000-0000FD030000}"/>
    <cellStyle name="40% - Акцент6 2 2" xfId="7711" xr:uid="{00000000-0005-0000-0000-0000FE030000}"/>
    <cellStyle name="40% — акцент6 2 2" xfId="267" xr:uid="{00000000-0005-0000-0000-0000FF030000}"/>
    <cellStyle name="40% — акцент6 2 2 2" xfId="1173" xr:uid="{00000000-0005-0000-0000-000000040000}"/>
    <cellStyle name="40% — акцент6 2 2 2 2" xfId="5906" xr:uid="{00000000-0005-0000-0000-000001040000}"/>
    <cellStyle name="40% — акцент6 2 2 2 3" xfId="21130" xr:uid="{00000000-0005-0000-0000-000002040000}"/>
    <cellStyle name="40% — акцент6 2 2 3" xfId="5648" xr:uid="{00000000-0005-0000-0000-000003040000}"/>
    <cellStyle name="40% — акцент6 2 2 4" xfId="7327" xr:uid="{00000000-0005-0000-0000-000004040000}"/>
    <cellStyle name="40% — акцент6 2 20" xfId="22415" xr:uid="{00000000-0005-0000-0000-000005040000}"/>
    <cellStyle name="40% — акцент6 2 21" xfId="22438" xr:uid="{00000000-0005-0000-0000-000006040000}"/>
    <cellStyle name="40% — акцент6 2 22" xfId="22461" xr:uid="{00000000-0005-0000-0000-000007040000}"/>
    <cellStyle name="40% — акцент6 2 23" xfId="22522" xr:uid="{00000000-0005-0000-0000-000008040000}"/>
    <cellStyle name="40% — акцент6 2 24" xfId="22573" xr:uid="{00000000-0005-0000-0000-000009040000}"/>
    <cellStyle name="40% — акцент6 2 25" xfId="23129" xr:uid="{00000000-0005-0000-0000-00000A040000}"/>
    <cellStyle name="40% — акцент6 2 26" xfId="23135" xr:uid="{00000000-0005-0000-0000-00000B040000}"/>
    <cellStyle name="40% — акцент6 2 27" xfId="23177" xr:uid="{00000000-0005-0000-0000-00000C040000}"/>
    <cellStyle name="40% — акцент6 2 28" xfId="23474" xr:uid="{00000000-0005-0000-0000-00000D040000}"/>
    <cellStyle name="40% — акцент6 2 29" xfId="23546" xr:uid="{00000000-0005-0000-0000-00000E040000}"/>
    <cellStyle name="40% - Акцент6 2 3" xfId="7712" xr:uid="{00000000-0005-0000-0000-00000F040000}"/>
    <cellStyle name="40% — акцент6 2 3" xfId="1094" xr:uid="{00000000-0005-0000-0000-000010040000}"/>
    <cellStyle name="40% — акцент6 2 3 2" xfId="5774" xr:uid="{00000000-0005-0000-0000-000011040000}"/>
    <cellStyle name="40% — акцент6 2 3 3" xfId="14122" xr:uid="{00000000-0005-0000-0000-000012040000}"/>
    <cellStyle name="40% — акцент6 2 30" xfId="7212" xr:uid="{00000000-0005-0000-0000-000013040000}"/>
    <cellStyle name="40% - Акцент6 2 4" xfId="7713" xr:uid="{00000000-0005-0000-0000-000014040000}"/>
    <cellStyle name="40% — акцент6 2 4" xfId="5459" xr:uid="{00000000-0005-0000-0000-000015040000}"/>
    <cellStyle name="40% — акцент6 2 4 2" xfId="6510" xr:uid="{00000000-0005-0000-0000-000016040000}"/>
    <cellStyle name="40% — акцент6 2 4 3" xfId="20318" xr:uid="{00000000-0005-0000-0000-000017040000}"/>
    <cellStyle name="40% - Акцент6 2 5" xfId="7714" xr:uid="{00000000-0005-0000-0000-000018040000}"/>
    <cellStyle name="40% — акцент6 2 5" xfId="5502" xr:uid="{00000000-0005-0000-0000-000019040000}"/>
    <cellStyle name="40% — акцент6 2 5 2" xfId="6574" xr:uid="{00000000-0005-0000-0000-00001A040000}"/>
    <cellStyle name="40% — акцент6 2 5 3" xfId="20347" xr:uid="{00000000-0005-0000-0000-00001B040000}"/>
    <cellStyle name="40% - Акцент6 2 6" xfId="7715" xr:uid="{00000000-0005-0000-0000-00001C040000}"/>
    <cellStyle name="40% — акцент6 2 6" xfId="5549" xr:uid="{00000000-0005-0000-0000-00001D040000}"/>
    <cellStyle name="40% — акцент6 2 6 2" xfId="20361" xr:uid="{00000000-0005-0000-0000-00001E040000}"/>
    <cellStyle name="40% - Акцент6 2 7" xfId="7716" xr:uid="{00000000-0005-0000-0000-00001F040000}"/>
    <cellStyle name="40% — акцент6 2 7" xfId="20541" xr:uid="{00000000-0005-0000-0000-000020040000}"/>
    <cellStyle name="40% - Акцент6 2 8" xfId="7717" xr:uid="{00000000-0005-0000-0000-000021040000}"/>
    <cellStyle name="40% — акцент6 2 8" xfId="20566" xr:uid="{00000000-0005-0000-0000-000022040000}"/>
    <cellStyle name="40% - Акцент6 2 9" xfId="7718" xr:uid="{00000000-0005-0000-0000-000023040000}"/>
    <cellStyle name="40% — акцент6 2 9" xfId="20679" xr:uid="{00000000-0005-0000-0000-000024040000}"/>
    <cellStyle name="40% - Акцент6 3" xfId="7719" xr:uid="{00000000-0005-0000-0000-000025040000}"/>
    <cellStyle name="40% — акцент6 3" xfId="17" xr:uid="{00000000-0005-0000-0000-000026040000}"/>
    <cellStyle name="40% — акцент6 3 2" xfId="905" xr:uid="{00000000-0005-0000-0000-000027040000}"/>
    <cellStyle name="40% — акцент6 3 2 2" xfId="6531" xr:uid="{00000000-0005-0000-0000-000028040000}"/>
    <cellStyle name="40% — акцент6 3 2 2 2" xfId="14013" xr:uid="{00000000-0005-0000-0000-000029040000}"/>
    <cellStyle name="40% — акцент6 3 2 3" xfId="7720" xr:uid="{00000000-0005-0000-0000-00002A040000}"/>
    <cellStyle name="40% — акцент6 3 3" xfId="5523" xr:uid="{00000000-0005-0000-0000-00002B040000}"/>
    <cellStyle name="40% — акцент6 3 3 2" xfId="6595" xr:uid="{00000000-0005-0000-0000-00002C040000}"/>
    <cellStyle name="40% — акцент6 3 3 3" xfId="23532" xr:uid="{00000000-0005-0000-0000-00002D040000}"/>
    <cellStyle name="40% — акцент6 3 4" xfId="7435" xr:uid="{00000000-0005-0000-0000-00002E040000}"/>
    <cellStyle name="40% — акцент6 4" xfId="857" xr:uid="{00000000-0005-0000-0000-00002F040000}"/>
    <cellStyle name="40% — акцент6 4 2" xfId="1249" xr:uid="{00000000-0005-0000-0000-000030040000}"/>
    <cellStyle name="40% — акцент6 4 2 2" xfId="21242" xr:uid="{00000000-0005-0000-0000-000031040000}"/>
    <cellStyle name="40% — акцент6 4 3" xfId="7300" xr:uid="{00000000-0005-0000-0000-000032040000}"/>
    <cellStyle name="40% — акцент6 5" xfId="1690" xr:uid="{00000000-0005-0000-0000-000033040000}"/>
    <cellStyle name="40% — акцент6 5 2" xfId="6446" xr:uid="{00000000-0005-0000-0000-000034040000}"/>
    <cellStyle name="40% — акцент6 5 2 2" xfId="21682" xr:uid="{00000000-0005-0000-0000-000035040000}"/>
    <cellStyle name="40% — акцент6 5 3" xfId="7721" xr:uid="{00000000-0005-0000-0000-000036040000}"/>
    <cellStyle name="40% — акцент6 6" xfId="2322" xr:uid="{00000000-0005-0000-0000-000037040000}"/>
    <cellStyle name="40% — акцент6 6 2" xfId="6467" xr:uid="{00000000-0005-0000-0000-000038040000}"/>
    <cellStyle name="40% — акцент6 6 2 2" xfId="22402" xr:uid="{00000000-0005-0000-0000-000039040000}"/>
    <cellStyle name="40% — акцент6 6 3" xfId="20299" xr:uid="{00000000-0005-0000-0000-00003A040000}"/>
    <cellStyle name="40% — акцент6 7" xfId="5442" xr:uid="{00000000-0005-0000-0000-00003B040000}"/>
    <cellStyle name="40% — акцент6 7 2" xfId="6486" xr:uid="{00000000-0005-0000-0000-00003C040000}"/>
    <cellStyle name="40% — акцент6 7 2 2" xfId="23454" xr:uid="{00000000-0005-0000-0000-00003D040000}"/>
    <cellStyle name="40% — акцент6 7 3" xfId="20331" xr:uid="{00000000-0005-0000-0000-00003E040000}"/>
    <cellStyle name="40% — акцент6 8" xfId="5479" xr:uid="{00000000-0005-0000-0000-00003F040000}"/>
    <cellStyle name="40% — акцент6 8 2" xfId="6550" xr:uid="{00000000-0005-0000-0000-000040040000}"/>
    <cellStyle name="40% — акцент6 8 2 2" xfId="23501" xr:uid="{00000000-0005-0000-0000-000041040000}"/>
    <cellStyle name="40% — акцент6 8 3" xfId="20355" xr:uid="{00000000-0005-0000-0000-000042040000}"/>
    <cellStyle name="40% — акцент6 9" xfId="20524" xr:uid="{00000000-0005-0000-0000-000043040000}"/>
    <cellStyle name="60% — акцент1" xfId="397" builtinId="32" customBuiltin="1"/>
    <cellStyle name="60% — акцент1 10" xfId="20300" xr:uid="{00000000-0005-0000-0000-000045040000}"/>
    <cellStyle name="60% — акцент1 11" xfId="7265" xr:uid="{00000000-0005-0000-0000-000046040000}"/>
    <cellStyle name="60% - Акцент1 2" xfId="7722" xr:uid="{00000000-0005-0000-0000-000047040000}"/>
    <cellStyle name="60% — акцент1 2" xfId="78" xr:uid="{00000000-0005-0000-0000-000048040000}"/>
    <cellStyle name="60% — акцент1 2 2" xfId="1049" xr:uid="{00000000-0005-0000-0000-000049040000}"/>
    <cellStyle name="60% — акцент1 2 2 2" xfId="6496" xr:uid="{00000000-0005-0000-0000-00004A040000}"/>
    <cellStyle name="60% — акцент1 2 2 2 2" xfId="14093" xr:uid="{00000000-0005-0000-0000-00004B040000}"/>
    <cellStyle name="60% — акцент1 2 2 3" xfId="7328" xr:uid="{00000000-0005-0000-0000-00004C040000}"/>
    <cellStyle name="60% — акцент1 2 3" xfId="5488" xr:uid="{00000000-0005-0000-0000-00004D040000}"/>
    <cellStyle name="60% — акцент1 2 3 2" xfId="6560" xr:uid="{00000000-0005-0000-0000-00004E040000}"/>
    <cellStyle name="60% — акцент1 2 3 2 2" xfId="23507" xr:uid="{00000000-0005-0000-0000-00004F040000}"/>
    <cellStyle name="60% — акцент1 2 3 3" xfId="13980" xr:uid="{00000000-0005-0000-0000-000050040000}"/>
    <cellStyle name="60% — акцент1 2 4" xfId="7213" xr:uid="{00000000-0005-0000-0000-000051040000}"/>
    <cellStyle name="60% — акцент1 3" xfId="18" xr:uid="{00000000-0005-0000-0000-000052040000}"/>
    <cellStyle name="60% — акцент1 3 2" xfId="906" xr:uid="{00000000-0005-0000-0000-000053040000}"/>
    <cellStyle name="60% — акцент1 3 2 2" xfId="6517" xr:uid="{00000000-0005-0000-0000-000054040000}"/>
    <cellStyle name="60% — акцент1 3 2 2 2" xfId="14014" xr:uid="{00000000-0005-0000-0000-000055040000}"/>
    <cellStyle name="60% — акцент1 3 2 3" xfId="7723" xr:uid="{00000000-0005-0000-0000-000056040000}"/>
    <cellStyle name="60% — акцент1 3 3" xfId="5509" xr:uid="{00000000-0005-0000-0000-000057040000}"/>
    <cellStyle name="60% — акцент1 3 3 2" xfId="6581" xr:uid="{00000000-0005-0000-0000-000058040000}"/>
    <cellStyle name="60% — акцент1 3 3 3" xfId="23518" xr:uid="{00000000-0005-0000-0000-000059040000}"/>
    <cellStyle name="60% — акцент1 3 4" xfId="7436" xr:uid="{00000000-0005-0000-0000-00005A040000}"/>
    <cellStyle name="60% — акцент1 4" xfId="858" xr:uid="{00000000-0005-0000-0000-00005B040000}"/>
    <cellStyle name="60% — акцент1 4 2" xfId="1235" xr:uid="{00000000-0005-0000-0000-00005C040000}"/>
    <cellStyle name="60% — акцент1 4 2 2" xfId="21228" xr:uid="{00000000-0005-0000-0000-00005D040000}"/>
    <cellStyle name="60% — акцент1 4 3" xfId="7301" xr:uid="{00000000-0005-0000-0000-00005E040000}"/>
    <cellStyle name="60% — акцент1 5" xfId="1676" xr:uid="{00000000-0005-0000-0000-00005F040000}"/>
    <cellStyle name="60% — акцент1 5 2" xfId="6432" xr:uid="{00000000-0005-0000-0000-000060040000}"/>
    <cellStyle name="60% — акцент1 5 2 2" xfId="21668" xr:uid="{00000000-0005-0000-0000-000061040000}"/>
    <cellStyle name="60% — акцент1 5 3" xfId="7724" xr:uid="{00000000-0005-0000-0000-000062040000}"/>
    <cellStyle name="60% — акцент1 6" xfId="2308" xr:uid="{00000000-0005-0000-0000-000063040000}"/>
    <cellStyle name="60% — акцент1 6 2" xfId="6453" xr:uid="{00000000-0005-0000-0000-000064040000}"/>
    <cellStyle name="60% — акцент1 6 3" xfId="7725" xr:uid="{00000000-0005-0000-0000-000065040000}"/>
    <cellStyle name="60% — акцент1 7" xfId="5428" xr:uid="{00000000-0005-0000-0000-000066040000}"/>
    <cellStyle name="60% — акцент1 7 2" xfId="6472" xr:uid="{00000000-0005-0000-0000-000067040000}"/>
    <cellStyle name="60% — акцент1 7 3" xfId="7726" xr:uid="{00000000-0005-0000-0000-000068040000}"/>
    <cellStyle name="60% — акцент1 8" xfId="5465" xr:uid="{00000000-0005-0000-0000-000069040000}"/>
    <cellStyle name="60% — акцент1 8 2" xfId="6536" xr:uid="{00000000-0005-0000-0000-00006A040000}"/>
    <cellStyle name="60% — акцент1 8 3" xfId="13968" xr:uid="{00000000-0005-0000-0000-00006B040000}"/>
    <cellStyle name="60% — акцент1 9" xfId="13994" xr:uid="{00000000-0005-0000-0000-00006C040000}"/>
    <cellStyle name="60% — акцент2" xfId="401" builtinId="36" customBuiltin="1"/>
    <cellStyle name="60% — акцент2 10" xfId="20301" xr:uid="{00000000-0005-0000-0000-00006E040000}"/>
    <cellStyle name="60% — акцент2 11" xfId="7268" xr:uid="{00000000-0005-0000-0000-00006F040000}"/>
    <cellStyle name="60% - Акцент2 2" xfId="7727" xr:uid="{00000000-0005-0000-0000-000070040000}"/>
    <cellStyle name="60% — акцент2 2" xfId="79" xr:uid="{00000000-0005-0000-0000-000071040000}"/>
    <cellStyle name="60% — акцент2 2 2" xfId="1050" xr:uid="{00000000-0005-0000-0000-000072040000}"/>
    <cellStyle name="60% — акцент2 2 2 2" xfId="6499" xr:uid="{00000000-0005-0000-0000-000073040000}"/>
    <cellStyle name="60% — акцент2 2 2 2 2" xfId="14094" xr:uid="{00000000-0005-0000-0000-000074040000}"/>
    <cellStyle name="60% — акцент2 2 2 3" xfId="7329" xr:uid="{00000000-0005-0000-0000-000075040000}"/>
    <cellStyle name="60% — акцент2 2 3" xfId="5491" xr:uid="{00000000-0005-0000-0000-000076040000}"/>
    <cellStyle name="60% — акцент2 2 3 2" xfId="6563" xr:uid="{00000000-0005-0000-0000-000077040000}"/>
    <cellStyle name="60% — акцент2 2 3 2 2" xfId="23508" xr:uid="{00000000-0005-0000-0000-000078040000}"/>
    <cellStyle name="60% — акцент2 2 3 3" xfId="13981" xr:uid="{00000000-0005-0000-0000-000079040000}"/>
    <cellStyle name="60% — акцент2 2 4" xfId="7214" xr:uid="{00000000-0005-0000-0000-00007A040000}"/>
    <cellStyle name="60% — акцент2 3" xfId="19" xr:uid="{00000000-0005-0000-0000-00007B040000}"/>
    <cellStyle name="60% — акцент2 3 2" xfId="907" xr:uid="{00000000-0005-0000-0000-00007C040000}"/>
    <cellStyle name="60% — акцент2 3 2 2" xfId="6520" xr:uid="{00000000-0005-0000-0000-00007D040000}"/>
    <cellStyle name="60% — акцент2 3 2 2 2" xfId="14015" xr:uid="{00000000-0005-0000-0000-00007E040000}"/>
    <cellStyle name="60% — акцент2 3 2 3" xfId="7728" xr:uid="{00000000-0005-0000-0000-00007F040000}"/>
    <cellStyle name="60% — акцент2 3 3" xfId="5512" xr:uid="{00000000-0005-0000-0000-000080040000}"/>
    <cellStyle name="60% — акцент2 3 3 2" xfId="6584" xr:uid="{00000000-0005-0000-0000-000081040000}"/>
    <cellStyle name="60% — акцент2 3 3 3" xfId="23521" xr:uid="{00000000-0005-0000-0000-000082040000}"/>
    <cellStyle name="60% — акцент2 3 4" xfId="7437" xr:uid="{00000000-0005-0000-0000-000083040000}"/>
    <cellStyle name="60% — акцент2 4" xfId="859" xr:uid="{00000000-0005-0000-0000-000084040000}"/>
    <cellStyle name="60% — акцент2 4 2" xfId="1238" xr:uid="{00000000-0005-0000-0000-000085040000}"/>
    <cellStyle name="60% — акцент2 4 2 2" xfId="21231" xr:uid="{00000000-0005-0000-0000-000086040000}"/>
    <cellStyle name="60% — акцент2 4 3" xfId="7302" xr:uid="{00000000-0005-0000-0000-000087040000}"/>
    <cellStyle name="60% — акцент2 5" xfId="1679" xr:uid="{00000000-0005-0000-0000-000088040000}"/>
    <cellStyle name="60% — акцент2 5 2" xfId="6435" xr:uid="{00000000-0005-0000-0000-000089040000}"/>
    <cellStyle name="60% — акцент2 5 2 2" xfId="21671" xr:uid="{00000000-0005-0000-0000-00008A040000}"/>
    <cellStyle name="60% — акцент2 5 3" xfId="7729" xr:uid="{00000000-0005-0000-0000-00008B040000}"/>
    <cellStyle name="60% — акцент2 6" xfId="2311" xr:uid="{00000000-0005-0000-0000-00008C040000}"/>
    <cellStyle name="60% — акцент2 6 2" xfId="6456" xr:uid="{00000000-0005-0000-0000-00008D040000}"/>
    <cellStyle name="60% — акцент2 6 3" xfId="7730" xr:uid="{00000000-0005-0000-0000-00008E040000}"/>
    <cellStyle name="60% — акцент2 7" xfId="5431" xr:uid="{00000000-0005-0000-0000-00008F040000}"/>
    <cellStyle name="60% — акцент2 7 2" xfId="6475" xr:uid="{00000000-0005-0000-0000-000090040000}"/>
    <cellStyle name="60% — акцент2 7 3" xfId="7731" xr:uid="{00000000-0005-0000-0000-000091040000}"/>
    <cellStyle name="60% — акцент2 8" xfId="5468" xr:uid="{00000000-0005-0000-0000-000092040000}"/>
    <cellStyle name="60% — акцент2 8 2" xfId="6539" xr:uid="{00000000-0005-0000-0000-000093040000}"/>
    <cellStyle name="60% — акцент2 8 3" xfId="13969" xr:uid="{00000000-0005-0000-0000-000094040000}"/>
    <cellStyle name="60% — акцент2 9" xfId="13996" xr:uid="{00000000-0005-0000-0000-000095040000}"/>
    <cellStyle name="60% — акцент3" xfId="405" builtinId="40" customBuiltin="1"/>
    <cellStyle name="60% — акцент3 10" xfId="20302" xr:uid="{00000000-0005-0000-0000-000097040000}"/>
    <cellStyle name="60% — акцент3 11" xfId="7271" xr:uid="{00000000-0005-0000-0000-000098040000}"/>
    <cellStyle name="60% - Акцент3 2" xfId="7732" xr:uid="{00000000-0005-0000-0000-000099040000}"/>
    <cellStyle name="60% — акцент3 2" xfId="80" xr:uid="{00000000-0005-0000-0000-00009A040000}"/>
    <cellStyle name="60% — акцент3 2 2" xfId="1051" xr:uid="{00000000-0005-0000-0000-00009B040000}"/>
    <cellStyle name="60% — акцент3 2 2 2" xfId="6502" xr:uid="{00000000-0005-0000-0000-00009C040000}"/>
    <cellStyle name="60% — акцент3 2 2 2 2" xfId="14095" xr:uid="{00000000-0005-0000-0000-00009D040000}"/>
    <cellStyle name="60% — акцент3 2 2 3" xfId="7330" xr:uid="{00000000-0005-0000-0000-00009E040000}"/>
    <cellStyle name="60% — акцент3 2 3" xfId="5494" xr:uid="{00000000-0005-0000-0000-00009F040000}"/>
    <cellStyle name="60% — акцент3 2 3 2" xfId="6566" xr:uid="{00000000-0005-0000-0000-0000A0040000}"/>
    <cellStyle name="60% — акцент3 2 3 2 2" xfId="23509" xr:uid="{00000000-0005-0000-0000-0000A1040000}"/>
    <cellStyle name="60% — акцент3 2 3 3" xfId="13982" xr:uid="{00000000-0005-0000-0000-0000A2040000}"/>
    <cellStyle name="60% — акцент3 2 4" xfId="7215" xr:uid="{00000000-0005-0000-0000-0000A3040000}"/>
    <cellStyle name="60% — акцент3 3" xfId="20" xr:uid="{00000000-0005-0000-0000-0000A4040000}"/>
    <cellStyle name="60% — акцент3 3 2" xfId="908" xr:uid="{00000000-0005-0000-0000-0000A5040000}"/>
    <cellStyle name="60% — акцент3 3 2 2" xfId="6523" xr:uid="{00000000-0005-0000-0000-0000A6040000}"/>
    <cellStyle name="60% — акцент3 3 2 2 2" xfId="14016" xr:uid="{00000000-0005-0000-0000-0000A7040000}"/>
    <cellStyle name="60% — акцент3 3 2 3" xfId="7733" xr:uid="{00000000-0005-0000-0000-0000A8040000}"/>
    <cellStyle name="60% — акцент3 3 3" xfId="5515" xr:uid="{00000000-0005-0000-0000-0000A9040000}"/>
    <cellStyle name="60% — акцент3 3 3 2" xfId="6587" xr:uid="{00000000-0005-0000-0000-0000AA040000}"/>
    <cellStyle name="60% — акцент3 3 3 3" xfId="23524" xr:uid="{00000000-0005-0000-0000-0000AB040000}"/>
    <cellStyle name="60% — акцент3 3 4" xfId="7438" xr:uid="{00000000-0005-0000-0000-0000AC040000}"/>
    <cellStyle name="60% — акцент3 4" xfId="860" xr:uid="{00000000-0005-0000-0000-0000AD040000}"/>
    <cellStyle name="60% — акцент3 4 2" xfId="1241" xr:uid="{00000000-0005-0000-0000-0000AE040000}"/>
    <cellStyle name="60% — акцент3 4 2 2" xfId="21234" xr:uid="{00000000-0005-0000-0000-0000AF040000}"/>
    <cellStyle name="60% — акцент3 4 3" xfId="7303" xr:uid="{00000000-0005-0000-0000-0000B0040000}"/>
    <cellStyle name="60% — акцент3 5" xfId="1682" xr:uid="{00000000-0005-0000-0000-0000B1040000}"/>
    <cellStyle name="60% — акцент3 5 2" xfId="6438" xr:uid="{00000000-0005-0000-0000-0000B2040000}"/>
    <cellStyle name="60% — акцент3 5 2 2" xfId="21674" xr:uid="{00000000-0005-0000-0000-0000B3040000}"/>
    <cellStyle name="60% — акцент3 5 3" xfId="7734" xr:uid="{00000000-0005-0000-0000-0000B4040000}"/>
    <cellStyle name="60% — акцент3 6" xfId="2314" xr:uid="{00000000-0005-0000-0000-0000B5040000}"/>
    <cellStyle name="60% — акцент3 6 2" xfId="6459" xr:uid="{00000000-0005-0000-0000-0000B6040000}"/>
    <cellStyle name="60% — акцент3 6 3" xfId="7735" xr:uid="{00000000-0005-0000-0000-0000B7040000}"/>
    <cellStyle name="60% — акцент3 7" xfId="5434" xr:uid="{00000000-0005-0000-0000-0000B8040000}"/>
    <cellStyle name="60% — акцент3 7 2" xfId="6478" xr:uid="{00000000-0005-0000-0000-0000B9040000}"/>
    <cellStyle name="60% — акцент3 7 3" xfId="7736" xr:uid="{00000000-0005-0000-0000-0000BA040000}"/>
    <cellStyle name="60% — акцент3 8" xfId="5471" xr:uid="{00000000-0005-0000-0000-0000BB040000}"/>
    <cellStyle name="60% — акцент3 8 2" xfId="6542" xr:uid="{00000000-0005-0000-0000-0000BC040000}"/>
    <cellStyle name="60% — акцент3 8 3" xfId="13970" xr:uid="{00000000-0005-0000-0000-0000BD040000}"/>
    <cellStyle name="60% — акцент3 9" xfId="13974" xr:uid="{00000000-0005-0000-0000-0000BE040000}"/>
    <cellStyle name="60% — акцент4" xfId="409" builtinId="44" customBuiltin="1"/>
    <cellStyle name="60% — акцент4 10" xfId="20303" xr:uid="{00000000-0005-0000-0000-0000C0040000}"/>
    <cellStyle name="60% — акцент4 11" xfId="7274" xr:uid="{00000000-0005-0000-0000-0000C1040000}"/>
    <cellStyle name="60% - Акцент4 2" xfId="7737" xr:uid="{00000000-0005-0000-0000-0000C2040000}"/>
    <cellStyle name="60% — акцент4 2" xfId="81" xr:uid="{00000000-0005-0000-0000-0000C3040000}"/>
    <cellStyle name="60% — акцент4 2 2" xfId="1052" xr:uid="{00000000-0005-0000-0000-0000C4040000}"/>
    <cellStyle name="60% — акцент4 2 2 2" xfId="6505" xr:uid="{00000000-0005-0000-0000-0000C5040000}"/>
    <cellStyle name="60% — акцент4 2 2 2 2" xfId="14096" xr:uid="{00000000-0005-0000-0000-0000C6040000}"/>
    <cellStyle name="60% — акцент4 2 2 3" xfId="7331" xr:uid="{00000000-0005-0000-0000-0000C7040000}"/>
    <cellStyle name="60% — акцент4 2 3" xfId="5497" xr:uid="{00000000-0005-0000-0000-0000C8040000}"/>
    <cellStyle name="60% — акцент4 2 3 2" xfId="6569" xr:uid="{00000000-0005-0000-0000-0000C9040000}"/>
    <cellStyle name="60% — акцент4 2 3 2 2" xfId="23510" xr:uid="{00000000-0005-0000-0000-0000CA040000}"/>
    <cellStyle name="60% — акцент4 2 3 3" xfId="13983" xr:uid="{00000000-0005-0000-0000-0000CB040000}"/>
    <cellStyle name="60% — акцент4 2 4" xfId="7216" xr:uid="{00000000-0005-0000-0000-0000CC040000}"/>
    <cellStyle name="60% — акцент4 3" xfId="21" xr:uid="{00000000-0005-0000-0000-0000CD040000}"/>
    <cellStyle name="60% — акцент4 3 2" xfId="909" xr:uid="{00000000-0005-0000-0000-0000CE040000}"/>
    <cellStyle name="60% — акцент4 3 2 2" xfId="6526" xr:uid="{00000000-0005-0000-0000-0000CF040000}"/>
    <cellStyle name="60% — акцент4 3 2 2 2" xfId="14017" xr:uid="{00000000-0005-0000-0000-0000D0040000}"/>
    <cellStyle name="60% — акцент4 3 2 3" xfId="7738" xr:uid="{00000000-0005-0000-0000-0000D1040000}"/>
    <cellStyle name="60% — акцент4 3 3" xfId="5518" xr:uid="{00000000-0005-0000-0000-0000D2040000}"/>
    <cellStyle name="60% — акцент4 3 3 2" xfId="6590" xr:uid="{00000000-0005-0000-0000-0000D3040000}"/>
    <cellStyle name="60% — акцент4 3 3 3" xfId="23527" xr:uid="{00000000-0005-0000-0000-0000D4040000}"/>
    <cellStyle name="60% — акцент4 3 4" xfId="7439" xr:uid="{00000000-0005-0000-0000-0000D5040000}"/>
    <cellStyle name="60% — акцент4 4" xfId="861" xr:uid="{00000000-0005-0000-0000-0000D6040000}"/>
    <cellStyle name="60% — акцент4 4 2" xfId="1244" xr:uid="{00000000-0005-0000-0000-0000D7040000}"/>
    <cellStyle name="60% — акцент4 4 2 2" xfId="21237" xr:uid="{00000000-0005-0000-0000-0000D8040000}"/>
    <cellStyle name="60% — акцент4 4 3" xfId="7304" xr:uid="{00000000-0005-0000-0000-0000D9040000}"/>
    <cellStyle name="60% — акцент4 5" xfId="1685" xr:uid="{00000000-0005-0000-0000-0000DA040000}"/>
    <cellStyle name="60% — акцент4 5 2" xfId="6441" xr:uid="{00000000-0005-0000-0000-0000DB040000}"/>
    <cellStyle name="60% — акцент4 5 2 2" xfId="21677" xr:uid="{00000000-0005-0000-0000-0000DC040000}"/>
    <cellStyle name="60% — акцент4 5 3" xfId="7739" xr:uid="{00000000-0005-0000-0000-0000DD040000}"/>
    <cellStyle name="60% — акцент4 6" xfId="2317" xr:uid="{00000000-0005-0000-0000-0000DE040000}"/>
    <cellStyle name="60% — акцент4 6 2" xfId="6462" xr:uid="{00000000-0005-0000-0000-0000DF040000}"/>
    <cellStyle name="60% — акцент4 6 3" xfId="7740" xr:uid="{00000000-0005-0000-0000-0000E0040000}"/>
    <cellStyle name="60% — акцент4 7" xfId="5437" xr:uid="{00000000-0005-0000-0000-0000E1040000}"/>
    <cellStyle name="60% — акцент4 7 2" xfId="6481" xr:uid="{00000000-0005-0000-0000-0000E2040000}"/>
    <cellStyle name="60% — акцент4 7 3" xfId="7741" xr:uid="{00000000-0005-0000-0000-0000E3040000}"/>
    <cellStyle name="60% — акцент4 8" xfId="5474" xr:uid="{00000000-0005-0000-0000-0000E4040000}"/>
    <cellStyle name="60% — акцент4 8 2" xfId="6545" xr:uid="{00000000-0005-0000-0000-0000E5040000}"/>
    <cellStyle name="60% — акцент4 8 3" xfId="13971" xr:uid="{00000000-0005-0000-0000-0000E6040000}"/>
    <cellStyle name="60% — акцент4 9" xfId="13978" xr:uid="{00000000-0005-0000-0000-0000E7040000}"/>
    <cellStyle name="60% — акцент5" xfId="413" builtinId="48" customBuiltin="1"/>
    <cellStyle name="60% — акцент5 10" xfId="20304" xr:uid="{00000000-0005-0000-0000-0000E9040000}"/>
    <cellStyle name="60% — акцент5 11" xfId="7277" xr:uid="{00000000-0005-0000-0000-0000EA040000}"/>
    <cellStyle name="60% - Акцент5 2" xfId="7742" xr:uid="{00000000-0005-0000-0000-0000EB040000}"/>
    <cellStyle name="60% — акцент5 2" xfId="82" xr:uid="{00000000-0005-0000-0000-0000EC040000}"/>
    <cellStyle name="60% — акцент5 2 2" xfId="1053" xr:uid="{00000000-0005-0000-0000-0000ED040000}"/>
    <cellStyle name="60% — акцент5 2 2 2" xfId="6508" xr:uid="{00000000-0005-0000-0000-0000EE040000}"/>
    <cellStyle name="60% — акцент5 2 2 2 2" xfId="14097" xr:uid="{00000000-0005-0000-0000-0000EF040000}"/>
    <cellStyle name="60% — акцент5 2 2 3" xfId="7332" xr:uid="{00000000-0005-0000-0000-0000F0040000}"/>
    <cellStyle name="60% — акцент5 2 3" xfId="5500" xr:uid="{00000000-0005-0000-0000-0000F1040000}"/>
    <cellStyle name="60% — акцент5 2 3 2" xfId="6572" xr:uid="{00000000-0005-0000-0000-0000F2040000}"/>
    <cellStyle name="60% — акцент5 2 3 2 2" xfId="23511" xr:uid="{00000000-0005-0000-0000-0000F3040000}"/>
    <cellStyle name="60% — акцент5 2 3 3" xfId="13984" xr:uid="{00000000-0005-0000-0000-0000F4040000}"/>
    <cellStyle name="60% — акцент5 2 4" xfId="7217" xr:uid="{00000000-0005-0000-0000-0000F5040000}"/>
    <cellStyle name="60% — акцент5 3" xfId="22" xr:uid="{00000000-0005-0000-0000-0000F6040000}"/>
    <cellStyle name="60% — акцент5 3 2" xfId="910" xr:uid="{00000000-0005-0000-0000-0000F7040000}"/>
    <cellStyle name="60% — акцент5 3 2 2" xfId="6529" xr:uid="{00000000-0005-0000-0000-0000F8040000}"/>
    <cellStyle name="60% — акцент5 3 2 2 2" xfId="14018" xr:uid="{00000000-0005-0000-0000-0000F9040000}"/>
    <cellStyle name="60% — акцент5 3 2 3" xfId="7743" xr:uid="{00000000-0005-0000-0000-0000FA040000}"/>
    <cellStyle name="60% — акцент5 3 3" xfId="5521" xr:uid="{00000000-0005-0000-0000-0000FB040000}"/>
    <cellStyle name="60% — акцент5 3 3 2" xfId="6593" xr:uid="{00000000-0005-0000-0000-0000FC040000}"/>
    <cellStyle name="60% — акцент5 3 3 3" xfId="23530" xr:uid="{00000000-0005-0000-0000-0000FD040000}"/>
    <cellStyle name="60% — акцент5 3 4" xfId="7440" xr:uid="{00000000-0005-0000-0000-0000FE040000}"/>
    <cellStyle name="60% — акцент5 4" xfId="862" xr:uid="{00000000-0005-0000-0000-0000FF040000}"/>
    <cellStyle name="60% — акцент5 4 2" xfId="1247" xr:uid="{00000000-0005-0000-0000-000000050000}"/>
    <cellStyle name="60% — акцент5 4 2 2" xfId="21240" xr:uid="{00000000-0005-0000-0000-000001050000}"/>
    <cellStyle name="60% — акцент5 4 3" xfId="7305" xr:uid="{00000000-0005-0000-0000-000002050000}"/>
    <cellStyle name="60% — акцент5 5" xfId="1688" xr:uid="{00000000-0005-0000-0000-000003050000}"/>
    <cellStyle name="60% — акцент5 5 2" xfId="6444" xr:uid="{00000000-0005-0000-0000-000004050000}"/>
    <cellStyle name="60% — акцент5 5 2 2" xfId="21680" xr:uid="{00000000-0005-0000-0000-000005050000}"/>
    <cellStyle name="60% — акцент5 5 3" xfId="7744" xr:uid="{00000000-0005-0000-0000-000006050000}"/>
    <cellStyle name="60% — акцент5 6" xfId="2320" xr:uid="{00000000-0005-0000-0000-000007050000}"/>
    <cellStyle name="60% — акцент5 6 2" xfId="6465" xr:uid="{00000000-0005-0000-0000-000008050000}"/>
    <cellStyle name="60% — акцент5 6 3" xfId="7745" xr:uid="{00000000-0005-0000-0000-000009050000}"/>
    <cellStyle name="60% — акцент5 7" xfId="5440" xr:uid="{00000000-0005-0000-0000-00000A050000}"/>
    <cellStyle name="60% — акцент5 7 2" xfId="6484" xr:uid="{00000000-0005-0000-0000-00000B050000}"/>
    <cellStyle name="60% — акцент5 7 3" xfId="7746" xr:uid="{00000000-0005-0000-0000-00000C050000}"/>
    <cellStyle name="60% — акцент5 8" xfId="5477" xr:uid="{00000000-0005-0000-0000-00000D050000}"/>
    <cellStyle name="60% — акцент5 8 2" xfId="6548" xr:uid="{00000000-0005-0000-0000-00000E050000}"/>
    <cellStyle name="60% — акцент5 8 3" xfId="13972" xr:uid="{00000000-0005-0000-0000-00000F050000}"/>
    <cellStyle name="60% — акцент5 9" xfId="13965" xr:uid="{00000000-0005-0000-0000-000010050000}"/>
    <cellStyle name="60% — акцент6" xfId="417" builtinId="52" customBuiltin="1"/>
    <cellStyle name="60% — акцент6 10" xfId="20305" xr:uid="{00000000-0005-0000-0000-000012050000}"/>
    <cellStyle name="60% — акцент6 11" xfId="7280" xr:uid="{00000000-0005-0000-0000-000013050000}"/>
    <cellStyle name="60% - Акцент6 2" xfId="7747" xr:uid="{00000000-0005-0000-0000-000014050000}"/>
    <cellStyle name="60% — акцент6 2" xfId="83" xr:uid="{00000000-0005-0000-0000-000015050000}"/>
    <cellStyle name="60% — акцент6 2 2" xfId="1054" xr:uid="{00000000-0005-0000-0000-000016050000}"/>
    <cellStyle name="60% — акцент6 2 2 2" xfId="6511" xr:uid="{00000000-0005-0000-0000-000017050000}"/>
    <cellStyle name="60% — акцент6 2 2 2 2" xfId="14098" xr:uid="{00000000-0005-0000-0000-000018050000}"/>
    <cellStyle name="60% — акцент6 2 2 3" xfId="7333" xr:uid="{00000000-0005-0000-0000-000019050000}"/>
    <cellStyle name="60% — акцент6 2 3" xfId="5503" xr:uid="{00000000-0005-0000-0000-00001A050000}"/>
    <cellStyle name="60% — акцент6 2 3 2" xfId="6575" xr:uid="{00000000-0005-0000-0000-00001B050000}"/>
    <cellStyle name="60% — акцент6 2 3 2 2" xfId="23512" xr:uid="{00000000-0005-0000-0000-00001C050000}"/>
    <cellStyle name="60% — акцент6 2 3 3" xfId="13985" xr:uid="{00000000-0005-0000-0000-00001D050000}"/>
    <cellStyle name="60% — акцент6 2 4" xfId="7218" xr:uid="{00000000-0005-0000-0000-00001E050000}"/>
    <cellStyle name="60% — акцент6 3" xfId="23" xr:uid="{00000000-0005-0000-0000-00001F050000}"/>
    <cellStyle name="60% — акцент6 3 2" xfId="911" xr:uid="{00000000-0005-0000-0000-000020050000}"/>
    <cellStyle name="60% — акцент6 3 2 2" xfId="6532" xr:uid="{00000000-0005-0000-0000-000021050000}"/>
    <cellStyle name="60% — акцент6 3 2 2 2" xfId="14019" xr:uid="{00000000-0005-0000-0000-000022050000}"/>
    <cellStyle name="60% — акцент6 3 2 3" xfId="7748" xr:uid="{00000000-0005-0000-0000-000023050000}"/>
    <cellStyle name="60% — акцент6 3 3" xfId="5524" xr:uid="{00000000-0005-0000-0000-000024050000}"/>
    <cellStyle name="60% — акцент6 3 3 2" xfId="6596" xr:uid="{00000000-0005-0000-0000-000025050000}"/>
    <cellStyle name="60% — акцент6 3 3 3" xfId="23533" xr:uid="{00000000-0005-0000-0000-000026050000}"/>
    <cellStyle name="60% — акцент6 3 4" xfId="7441" xr:uid="{00000000-0005-0000-0000-000027050000}"/>
    <cellStyle name="60% — акцент6 4" xfId="863" xr:uid="{00000000-0005-0000-0000-000028050000}"/>
    <cellStyle name="60% — акцент6 4 2" xfId="1250" xr:uid="{00000000-0005-0000-0000-000029050000}"/>
    <cellStyle name="60% — акцент6 4 2 2" xfId="21243" xr:uid="{00000000-0005-0000-0000-00002A050000}"/>
    <cellStyle name="60% — акцент6 4 3" xfId="7306" xr:uid="{00000000-0005-0000-0000-00002B050000}"/>
    <cellStyle name="60% — акцент6 5" xfId="1691" xr:uid="{00000000-0005-0000-0000-00002C050000}"/>
    <cellStyle name="60% — акцент6 5 2" xfId="6447" xr:uid="{00000000-0005-0000-0000-00002D050000}"/>
    <cellStyle name="60% — акцент6 5 2 2" xfId="21683" xr:uid="{00000000-0005-0000-0000-00002E050000}"/>
    <cellStyle name="60% — акцент6 5 3" xfId="7749" xr:uid="{00000000-0005-0000-0000-00002F050000}"/>
    <cellStyle name="60% — акцент6 6" xfId="2323" xr:uid="{00000000-0005-0000-0000-000030050000}"/>
    <cellStyle name="60% — акцент6 6 2" xfId="6468" xr:uid="{00000000-0005-0000-0000-000031050000}"/>
    <cellStyle name="60% — акцент6 6 3" xfId="7750" xr:uid="{00000000-0005-0000-0000-000032050000}"/>
    <cellStyle name="60% — акцент6 7" xfId="5443" xr:uid="{00000000-0005-0000-0000-000033050000}"/>
    <cellStyle name="60% — акцент6 7 2" xfId="6487" xr:uid="{00000000-0005-0000-0000-000034050000}"/>
    <cellStyle name="60% — акцент6 7 3" xfId="7751" xr:uid="{00000000-0005-0000-0000-000035050000}"/>
    <cellStyle name="60% — акцент6 8" xfId="5480" xr:uid="{00000000-0005-0000-0000-000036050000}"/>
    <cellStyle name="60% — акцент6 8 2" xfId="6551" xr:uid="{00000000-0005-0000-0000-000037050000}"/>
    <cellStyle name="60% — акцент6 8 3" xfId="13973" xr:uid="{00000000-0005-0000-0000-000038050000}"/>
    <cellStyle name="60% — акцент6 9" xfId="13967" xr:uid="{00000000-0005-0000-0000-000039050000}"/>
    <cellStyle name="Euro" xfId="24" xr:uid="{00000000-0005-0000-0000-00003A050000}"/>
    <cellStyle name="Euro 2" xfId="7753" xr:uid="{00000000-0005-0000-0000-00003B050000}"/>
    <cellStyle name="Euro 2 2" xfId="7754" xr:uid="{00000000-0005-0000-0000-00003C050000}"/>
    <cellStyle name="Euro 2 3" xfId="7755" xr:uid="{00000000-0005-0000-0000-00003D050000}"/>
    <cellStyle name="Euro 3" xfId="7756" xr:uid="{00000000-0005-0000-0000-00003E050000}"/>
    <cellStyle name="Euro 4" xfId="7757" xr:uid="{00000000-0005-0000-0000-00003F050000}"/>
    <cellStyle name="Euro 5" xfId="7752" xr:uid="{00000000-0005-0000-0000-000040050000}"/>
    <cellStyle name="Euro 6" xfId="39923" xr:uid="{DC6B51D5-DDCF-4FD0-9966-5D22764BEA0A}"/>
    <cellStyle name="Normal 10" xfId="1066" xr:uid="{00000000-0005-0000-0000-000041050000}"/>
    <cellStyle name="Normal 3" xfId="1067" xr:uid="{00000000-0005-0000-0000-000042050000}"/>
    <cellStyle name="Normal_Sheet1" xfId="7758" xr:uid="{00000000-0005-0000-0000-000043050000}"/>
    <cellStyle name="S0" xfId="25" xr:uid="{00000000-0005-0000-0000-000044050000}"/>
    <cellStyle name="S10" xfId="26" xr:uid="{00000000-0005-0000-0000-000045050000}"/>
    <cellStyle name="S12" xfId="27" xr:uid="{00000000-0005-0000-0000-000046050000}"/>
    <cellStyle name="S13" xfId="28" xr:uid="{00000000-0005-0000-0000-000047050000}"/>
    <cellStyle name="S2" xfId="29" xr:uid="{00000000-0005-0000-0000-000048050000}"/>
    <cellStyle name="S27" xfId="39924" xr:uid="{B77732DF-6FA1-49CC-B2B4-B6B98BEA950B}"/>
    <cellStyle name="S5" xfId="30" xr:uid="{00000000-0005-0000-0000-000049050000}"/>
    <cellStyle name="S6" xfId="7759" xr:uid="{00000000-0005-0000-0000-00004A050000}"/>
    <cellStyle name="S8" xfId="31" xr:uid="{00000000-0005-0000-0000-00004B050000}"/>
    <cellStyle name="S9" xfId="32" xr:uid="{00000000-0005-0000-0000-00004C050000}"/>
    <cellStyle name="Акцент1" xfId="394" builtinId="29" customBuiltin="1"/>
    <cellStyle name="Акцент1 2" xfId="84" xr:uid="{00000000-0005-0000-0000-00004E050000}"/>
    <cellStyle name="Акцент1 2 2" xfId="7334" xr:uid="{00000000-0005-0000-0000-00004F050000}"/>
    <cellStyle name="Акцент1 2 3" xfId="7219" xr:uid="{00000000-0005-0000-0000-000050050000}"/>
    <cellStyle name="Акцент1 3" xfId="33" xr:uid="{00000000-0005-0000-0000-000051050000}"/>
    <cellStyle name="Акцент2" xfId="398" builtinId="33" customBuiltin="1"/>
    <cellStyle name="Акцент2 2" xfId="85" xr:uid="{00000000-0005-0000-0000-000053050000}"/>
    <cellStyle name="Акцент2 2 2" xfId="7335" xr:uid="{00000000-0005-0000-0000-000054050000}"/>
    <cellStyle name="Акцент2 2 3" xfId="7220" xr:uid="{00000000-0005-0000-0000-000055050000}"/>
    <cellStyle name="Акцент2 3" xfId="34" xr:uid="{00000000-0005-0000-0000-000056050000}"/>
    <cellStyle name="Акцент3" xfId="402" builtinId="37" customBuiltin="1"/>
    <cellStyle name="Акцент3 2" xfId="86" xr:uid="{00000000-0005-0000-0000-000058050000}"/>
    <cellStyle name="Акцент3 2 2" xfId="7336" xr:uid="{00000000-0005-0000-0000-000059050000}"/>
    <cellStyle name="Акцент3 2 3" xfId="7221" xr:uid="{00000000-0005-0000-0000-00005A050000}"/>
    <cellStyle name="Акцент3 3" xfId="35" xr:uid="{00000000-0005-0000-0000-00005B050000}"/>
    <cellStyle name="Акцент4" xfId="406" builtinId="41" customBuiltin="1"/>
    <cellStyle name="Акцент4 2" xfId="87" xr:uid="{00000000-0005-0000-0000-00005D050000}"/>
    <cellStyle name="Акцент4 2 2" xfId="7337" xr:uid="{00000000-0005-0000-0000-00005E050000}"/>
    <cellStyle name="Акцент4 2 3" xfId="7222" xr:uid="{00000000-0005-0000-0000-00005F050000}"/>
    <cellStyle name="Акцент4 3" xfId="36" xr:uid="{00000000-0005-0000-0000-000060050000}"/>
    <cellStyle name="Акцент5" xfId="410" builtinId="45" customBuiltin="1"/>
    <cellStyle name="Акцент5 2" xfId="88" xr:uid="{00000000-0005-0000-0000-000062050000}"/>
    <cellStyle name="Акцент5 2 2" xfId="7338" xr:uid="{00000000-0005-0000-0000-000063050000}"/>
    <cellStyle name="Акцент5 2 3" xfId="7223" xr:uid="{00000000-0005-0000-0000-000064050000}"/>
    <cellStyle name="Акцент5 3" xfId="37" xr:uid="{00000000-0005-0000-0000-000065050000}"/>
    <cellStyle name="Акцент6" xfId="414" builtinId="49" customBuiltin="1"/>
    <cellStyle name="Акцент6 2" xfId="89" xr:uid="{00000000-0005-0000-0000-000067050000}"/>
    <cellStyle name="Акцент6 2 2" xfId="7339" xr:uid="{00000000-0005-0000-0000-000068050000}"/>
    <cellStyle name="Акцент6 2 3" xfId="7224" xr:uid="{00000000-0005-0000-0000-000069050000}"/>
    <cellStyle name="Акцент6 3" xfId="38" xr:uid="{00000000-0005-0000-0000-00006A050000}"/>
    <cellStyle name="Ввод " xfId="385" builtinId="20" customBuiltin="1"/>
    <cellStyle name="Ввод  10" xfId="3755" xr:uid="{00000000-0005-0000-0000-00006C050000}"/>
    <cellStyle name="Ввод  11" xfId="3858" xr:uid="{00000000-0005-0000-0000-00006D050000}"/>
    <cellStyle name="Ввод  2" xfId="90" xr:uid="{00000000-0005-0000-0000-00006E050000}"/>
    <cellStyle name="Ввод  2 10" xfId="13986" xr:uid="{00000000-0005-0000-0000-00006F050000}"/>
    <cellStyle name="Ввод  2 11" xfId="7252" xr:uid="{00000000-0005-0000-0000-000070050000}"/>
    <cellStyle name="Ввод  2 11 2" xfId="24828" xr:uid="{2DDF14B2-9190-46CC-B375-A913EAB55E5E}"/>
    <cellStyle name="Ввод  2 2" xfId="161" xr:uid="{00000000-0005-0000-0000-000071050000}"/>
    <cellStyle name="Ввод  2 2 10" xfId="3733" xr:uid="{00000000-0005-0000-0000-000072050000}"/>
    <cellStyle name="Ввод  2 2 2" xfId="222" xr:uid="{00000000-0005-0000-0000-000073050000}"/>
    <cellStyle name="Ввод  2 2 2 10" xfId="690" xr:uid="{00000000-0005-0000-0000-000074050000}"/>
    <cellStyle name="Ввод  2 2 2 10 2" xfId="1520" xr:uid="{00000000-0005-0000-0000-000075050000}"/>
    <cellStyle name="Ввод  2 2 2 10 2 2" xfId="21513" xr:uid="{00000000-0005-0000-0000-000076050000}"/>
    <cellStyle name="Ввод  2 2 2 10 2 2 2" xfId="38155" xr:uid="{9777602B-8575-4773-8CE3-14F0D93B5BCC}"/>
    <cellStyle name="Ввод  2 2 2 10 2 3" xfId="6276" xr:uid="{00000000-0005-0000-0000-000077050000}"/>
    <cellStyle name="Ввод  2 2 2 10 2 4" xfId="24063" xr:uid="{3D009320-1C2B-4894-9141-E2707FF50A92}"/>
    <cellStyle name="Ввод  2 2 2 10 3" xfId="1879" xr:uid="{00000000-0005-0000-0000-000078050000}"/>
    <cellStyle name="Ввод  2 2 2 10 3 2" xfId="22135" xr:uid="{00000000-0005-0000-0000-000079050000}"/>
    <cellStyle name="Ввод  2 2 2 10 3 2 2" xfId="38745" xr:uid="{86F33DE8-5861-4069-9CC4-5341EA50A2C7}"/>
    <cellStyle name="Ввод  2 2 2 10 3 3" xfId="7045" xr:uid="{00000000-0005-0000-0000-00007A050000}"/>
    <cellStyle name="Ввод  2 2 2 10 3 4" xfId="24672" xr:uid="{D38FB963-08CB-466E-827B-630BE5D6C3BC}"/>
    <cellStyle name="Ввод  2 2 2 10 4" xfId="2361" xr:uid="{00000000-0005-0000-0000-00007B050000}"/>
    <cellStyle name="Ввод  2 2 2 10 4 2" xfId="22926" xr:uid="{00000000-0005-0000-0000-00007C050000}"/>
    <cellStyle name="Ввод  2 2 2 10 4 3" xfId="39392" xr:uid="{25822509-C62E-4E23-9694-0A4F445686C2}"/>
    <cellStyle name="Ввод  2 2 2 10 5" xfId="3583" xr:uid="{00000000-0005-0000-0000-00007D050000}"/>
    <cellStyle name="Ввод  2 2 2 10 5 2" xfId="23364" xr:uid="{00000000-0005-0000-0000-00007E050000}"/>
    <cellStyle name="Ввод  2 2 2 10 5 3" xfId="39791" xr:uid="{F39C9B7F-D4F5-4B17-83B2-1F7A88C9BA90}"/>
    <cellStyle name="Ввод  2 2 2 10 6" xfId="4249" xr:uid="{00000000-0005-0000-0000-00007F050000}"/>
    <cellStyle name="Ввод  2 2 2 10 6 2" xfId="20889" xr:uid="{00000000-0005-0000-0000-000080050000}"/>
    <cellStyle name="Ввод  2 2 2 10 6 3" xfId="37679" xr:uid="{17E63478-841E-4E28-A1EA-1935173776FC}"/>
    <cellStyle name="Ввод  2 2 2 10 7" xfId="4771" xr:uid="{00000000-0005-0000-0000-000081050000}"/>
    <cellStyle name="Ввод  2 2 2 10 8" xfId="5252" xr:uid="{00000000-0005-0000-0000-000082050000}"/>
    <cellStyle name="Ввод  2 2 2 11" xfId="943" xr:uid="{00000000-0005-0000-0000-000083050000}"/>
    <cellStyle name="Ввод  2 2 2 11 2" xfId="2248" xr:uid="{00000000-0005-0000-0000-000084050000}"/>
    <cellStyle name="Ввод  2 2 2 11 2 2" xfId="21789" xr:uid="{00000000-0005-0000-0000-000085050000}"/>
    <cellStyle name="Ввод  2 2 2 11 2 2 2" xfId="38399" xr:uid="{91AE1255-F1B4-467F-A1B6-3B6B7D5EC5DB}"/>
    <cellStyle name="Ввод  2 2 2 11 2 3" xfId="5861" xr:uid="{00000000-0005-0000-0000-000086050000}"/>
    <cellStyle name="Ввод  2 2 2 11 2 4" xfId="23717" xr:uid="{E5C89C69-3656-426B-8D9D-AE647A959576}"/>
    <cellStyle name="Ввод  2 2 2 11 3" xfId="2722" xr:uid="{00000000-0005-0000-0000-000087050000}"/>
    <cellStyle name="Ввод  2 2 2 11 3 2" xfId="22925" xr:uid="{00000000-0005-0000-0000-000088050000}"/>
    <cellStyle name="Ввод  2 2 2 11 3 2 2" xfId="39391" xr:uid="{82960F62-A956-470F-A29B-0A5072671482}"/>
    <cellStyle name="Ввод  2 2 2 11 3 3" xfId="6705" xr:uid="{00000000-0005-0000-0000-000089050000}"/>
    <cellStyle name="Ввод  2 2 2 11 3 4" xfId="24332" xr:uid="{818C2C76-C531-4FD2-B9B9-CB3E5D32DE07}"/>
    <cellStyle name="Ввод  2 2 2 11 4" xfId="3581" xr:uid="{00000000-0005-0000-0000-00008A050000}"/>
    <cellStyle name="Ввод  2 2 2 11 4 2" xfId="23208" xr:uid="{00000000-0005-0000-0000-00008B050000}"/>
    <cellStyle name="Ввод  2 2 2 11 4 3" xfId="39635" xr:uid="{6776A26E-2396-4E01-973B-EC8DB70F8F88}"/>
    <cellStyle name="Ввод  2 2 2 11 5" xfId="3715" xr:uid="{00000000-0005-0000-0000-00008C050000}"/>
    <cellStyle name="Ввод  2 2 2 11 5 2" xfId="21085" xr:uid="{00000000-0005-0000-0000-00008D050000}"/>
    <cellStyle name="Ввод  2 2 2 11 5 3" xfId="37809" xr:uid="{3B94DC42-954D-4F18-A7F1-D29157BDD0AE}"/>
    <cellStyle name="Ввод  2 2 2 11 6" xfId="3306" xr:uid="{00000000-0005-0000-0000-00008E050000}"/>
    <cellStyle name="Ввод  2 2 2 11 7" xfId="3180" xr:uid="{00000000-0005-0000-0000-00008F050000}"/>
    <cellStyle name="Ввод  2 2 2 12" xfId="1782" xr:uid="{00000000-0005-0000-0000-000090050000}"/>
    <cellStyle name="Ввод  2 2 2 12 2" xfId="20954" xr:uid="{00000000-0005-0000-0000-000091050000}"/>
    <cellStyle name="Ввод  2 2 2 12 2 2" xfId="37731" xr:uid="{428751FC-E93E-4C77-867A-45ABD500CAB6}"/>
    <cellStyle name="Ввод  2 2 2 12 3" xfId="5687" xr:uid="{00000000-0005-0000-0000-000092050000}"/>
    <cellStyle name="Ввод  2 2 2 12 4" xfId="23636" xr:uid="{246E4E41-4718-45BA-8328-5D1EDAE8FE01}"/>
    <cellStyle name="Ввод  2 2 2 13" xfId="2403" xr:uid="{00000000-0005-0000-0000-000093050000}"/>
    <cellStyle name="Ввод  2 2 2 13 2" xfId="21711" xr:uid="{00000000-0005-0000-0000-000094050000}"/>
    <cellStyle name="Ввод  2 2 2 13 2 2" xfId="38321" xr:uid="{CF1A7B5C-06CB-433C-A7A5-8688B2F9C10F}"/>
    <cellStyle name="Ввод  2 2 2 13 3" xfId="6629" xr:uid="{00000000-0005-0000-0000-000095050000}"/>
    <cellStyle name="Ввод  2 2 2 13 4" xfId="24256" xr:uid="{3D9A1A33-F015-4A6F-BF9D-A202FBDCC955}"/>
    <cellStyle name="Ввод  2 2 2 14" xfId="3071" xr:uid="{00000000-0005-0000-0000-000096050000}"/>
    <cellStyle name="Ввод  2 2 2 14 2" xfId="22565" xr:uid="{00000000-0005-0000-0000-000097050000}"/>
    <cellStyle name="Ввод  2 2 2 14 3" xfId="39043" xr:uid="{795A3848-6929-4D6C-9E4D-6E55AA9A6A8F}"/>
    <cellStyle name="Ввод  2 2 2 15" xfId="3545" xr:uid="{00000000-0005-0000-0000-000098050000}"/>
    <cellStyle name="Ввод  2 2 2 15 2" xfId="23134" xr:uid="{00000000-0005-0000-0000-000099050000}"/>
    <cellStyle name="Ввод  2 2 2 15 3" xfId="39586" xr:uid="{070B9229-0AD2-4A5D-A34B-81464CD3AB80}"/>
    <cellStyle name="Ввод  2 2 2 16" xfId="3828" xr:uid="{00000000-0005-0000-0000-00009A050000}"/>
    <cellStyle name="Ввод  2 2 2 16 2" xfId="7479" xr:uid="{00000000-0005-0000-0000-00009B050000}"/>
    <cellStyle name="Ввод  2 2 2 16 3" xfId="24881" xr:uid="{FD784659-2F97-418E-BF7F-33F688FAD45C}"/>
    <cellStyle name="Ввод  2 2 2 17" xfId="4422" xr:uid="{00000000-0005-0000-0000-00009C050000}"/>
    <cellStyle name="Ввод  2 2 2 2" xfId="312" xr:uid="{00000000-0005-0000-0000-00009D050000}"/>
    <cellStyle name="Ввод  2 2 2 2 2" xfId="1015" xr:uid="{00000000-0005-0000-0000-00009E050000}"/>
    <cellStyle name="Ввод  2 2 2 2 2 2" xfId="21166" xr:uid="{00000000-0005-0000-0000-00009F050000}"/>
    <cellStyle name="Ввод  2 2 2 2 2 2 2" xfId="37848" xr:uid="{79862C08-37E5-40E4-944F-D461678AF069}"/>
    <cellStyle name="Ввод  2 2 2 2 2 3" xfId="5943" xr:uid="{00000000-0005-0000-0000-0000A0050000}"/>
    <cellStyle name="Ввод  2 2 2 2 2 4" xfId="23756" xr:uid="{773B12C8-DBC4-4FCB-9DF2-990CA8F92733}"/>
    <cellStyle name="Ввод  2 2 2 2 3" xfId="2156" xr:uid="{00000000-0005-0000-0000-0000A1050000}"/>
    <cellStyle name="Ввод  2 2 2 2 3 2" xfId="21828" xr:uid="{00000000-0005-0000-0000-0000A2050000}"/>
    <cellStyle name="Ввод  2 2 2 2 3 2 2" xfId="38438" xr:uid="{9A8802EE-E8CA-4426-B6D1-8BCF1A5AC05E}"/>
    <cellStyle name="Ввод  2 2 2 2 3 3" xfId="6742" xr:uid="{00000000-0005-0000-0000-0000A3050000}"/>
    <cellStyle name="Ввод  2 2 2 2 3 4" xfId="24369" xr:uid="{777F56E4-5112-4940-A099-1F98D34A15AC}"/>
    <cellStyle name="Ввод  2 2 2 2 4" xfId="2616" xr:uid="{00000000-0005-0000-0000-0000A4050000}"/>
    <cellStyle name="Ввод  2 2 2 2 4 2" xfId="22675" xr:uid="{00000000-0005-0000-0000-0000A5050000}"/>
    <cellStyle name="Ввод  2 2 2 2 4 3" xfId="39147" xr:uid="{B7920222-C3D7-4091-97F3-AAAC98612465}"/>
    <cellStyle name="Ввод  2 2 2 2 5" xfId="3034" xr:uid="{00000000-0005-0000-0000-0000A6050000}"/>
    <cellStyle name="Ввод  2 2 2 2 5 2" xfId="23225" xr:uid="{00000000-0005-0000-0000-0000A7050000}"/>
    <cellStyle name="Ввод  2 2 2 2 5 3" xfId="39652" xr:uid="{0570374F-C852-4A74-9329-603ABBE1600E}"/>
    <cellStyle name="Ввод  2 2 2 2 6" xfId="3922" xr:uid="{00000000-0005-0000-0000-0000A8050000}"/>
    <cellStyle name="Ввод  2 2 2 2 6 2" xfId="14061" xr:uid="{00000000-0005-0000-0000-0000A9050000}"/>
    <cellStyle name="Ввод  2 2 2 2 6 3" xfId="31100" xr:uid="{1B262AAB-3F7B-4280-A2BF-485817777F03}"/>
    <cellStyle name="Ввод  2 2 2 2 7" xfId="4455" xr:uid="{00000000-0005-0000-0000-0000AA050000}"/>
    <cellStyle name="Ввод  2 2 2 2 8" xfId="4949" xr:uid="{00000000-0005-0000-0000-0000AB050000}"/>
    <cellStyle name="Ввод  2 2 2 3" xfId="443" xr:uid="{00000000-0005-0000-0000-0000AC050000}"/>
    <cellStyle name="Ввод  2 2 2 3 2" xfId="1275" xr:uid="{00000000-0005-0000-0000-0000AD050000}"/>
    <cellStyle name="Ввод  2 2 2 3 2 2" xfId="21268" xr:uid="{00000000-0005-0000-0000-0000AE050000}"/>
    <cellStyle name="Ввод  2 2 2 3 2 2 2" xfId="37910" xr:uid="{FB3AECB2-178A-4E31-B0BA-82695B8C015C}"/>
    <cellStyle name="Ввод  2 2 2 3 2 3" xfId="6031" xr:uid="{00000000-0005-0000-0000-0000AF050000}"/>
    <cellStyle name="Ввод  2 2 2 3 2 4" xfId="23818" xr:uid="{0599FE82-6A48-4339-A6CB-8FFCC45156B6}"/>
    <cellStyle name="Ввод  2 2 2 3 3" xfId="2204" xr:uid="{00000000-0005-0000-0000-0000B0050000}"/>
    <cellStyle name="Ввод  2 2 2 3 3 2" xfId="21890" xr:uid="{00000000-0005-0000-0000-0000B1050000}"/>
    <cellStyle name="Ввод  2 2 2 3 3 2 2" xfId="38500" xr:uid="{64011288-8A5D-452B-9868-B33B6A4D5861}"/>
    <cellStyle name="Ввод  2 2 2 3 3 3" xfId="6801" xr:uid="{00000000-0005-0000-0000-0000B2050000}"/>
    <cellStyle name="Ввод  2 2 2 3 3 4" xfId="24428" xr:uid="{6BDF58CA-8DD8-44D0-B1C3-16927C045503}"/>
    <cellStyle name="Ввод  2 2 2 3 4" xfId="2550" xr:uid="{00000000-0005-0000-0000-0000B3050000}"/>
    <cellStyle name="Ввод  2 2 2 3 4 2" xfId="22877" xr:uid="{00000000-0005-0000-0000-0000B4050000}"/>
    <cellStyle name="Ввод  2 2 2 3 4 3" xfId="39343" xr:uid="{364CD87E-BB36-4816-8B92-D61AB84032BB}"/>
    <cellStyle name="Ввод  2 2 2 3 5" xfId="3521" xr:uid="{00000000-0005-0000-0000-0000B5050000}"/>
    <cellStyle name="Ввод  2 2 2 3 5 2" xfId="23254" xr:uid="{00000000-0005-0000-0000-0000B6050000}"/>
    <cellStyle name="Ввод  2 2 2 3 5 3" xfId="39681" xr:uid="{E9496601-A153-4A9D-A91A-C314F313A020}"/>
    <cellStyle name="Ввод  2 2 2 3 6" xfId="4004" xr:uid="{00000000-0005-0000-0000-0000B7050000}"/>
    <cellStyle name="Ввод  2 2 2 3 6 2" xfId="20405" xr:uid="{00000000-0005-0000-0000-0000B8050000}"/>
    <cellStyle name="Ввод  2 2 2 3 6 3" xfId="37320" xr:uid="{2E8A7726-8B59-4E3C-9B2C-F3FC93AE5123}"/>
    <cellStyle name="Ввод  2 2 2 3 7" xfId="4526" xr:uid="{00000000-0005-0000-0000-0000B9050000}"/>
    <cellStyle name="Ввод  2 2 2 3 8" xfId="5008" xr:uid="{00000000-0005-0000-0000-0000BA050000}"/>
    <cellStyle name="Ввод  2 2 2 4" xfId="489" xr:uid="{00000000-0005-0000-0000-0000BB050000}"/>
    <cellStyle name="Ввод  2 2 2 4 2" xfId="1321" xr:uid="{00000000-0005-0000-0000-0000BC050000}"/>
    <cellStyle name="Ввод  2 2 2 4 2 2" xfId="21314" xr:uid="{00000000-0005-0000-0000-0000BD050000}"/>
    <cellStyle name="Ввод  2 2 2 4 2 2 2" xfId="37956" xr:uid="{B9339B0E-8E5C-4D5E-B7BC-D30C49BBEA02}"/>
    <cellStyle name="Ввод  2 2 2 4 2 3" xfId="6077" xr:uid="{00000000-0005-0000-0000-0000BE050000}"/>
    <cellStyle name="Ввод  2 2 2 4 2 4" xfId="23864" xr:uid="{6834660A-06AD-4723-8C1A-A9B02AAF6BB0}"/>
    <cellStyle name="Ввод  2 2 2 4 3" xfId="2162" xr:uid="{00000000-0005-0000-0000-0000BF050000}"/>
    <cellStyle name="Ввод  2 2 2 4 3 2" xfId="21936" xr:uid="{00000000-0005-0000-0000-0000C0050000}"/>
    <cellStyle name="Ввод  2 2 2 4 3 2 2" xfId="38546" xr:uid="{F74B477A-4159-434D-B29D-5D291040EF94}"/>
    <cellStyle name="Ввод  2 2 2 4 3 3" xfId="6846" xr:uid="{00000000-0005-0000-0000-0000C1050000}"/>
    <cellStyle name="Ввод  2 2 2 4 3 4" xfId="24473" xr:uid="{BFFE76DA-B0A5-453C-BE4E-AE4B940DD485}"/>
    <cellStyle name="Ввод  2 2 2 4 4" xfId="2805" xr:uid="{00000000-0005-0000-0000-0000C2050000}"/>
    <cellStyle name="Ввод  2 2 2 4 4 2" xfId="22818" xr:uid="{00000000-0005-0000-0000-0000C3050000}"/>
    <cellStyle name="Ввод  2 2 2 4 4 3" xfId="39284" xr:uid="{B15F7CB1-0755-4FA9-B87E-DF68623196B8}"/>
    <cellStyle name="Ввод  2 2 2 4 5" xfId="3486" xr:uid="{00000000-0005-0000-0000-0000C4050000}"/>
    <cellStyle name="Ввод  2 2 2 4 5 2" xfId="23277" xr:uid="{00000000-0005-0000-0000-0000C5050000}"/>
    <cellStyle name="Ввод  2 2 2 4 5 3" xfId="39704" xr:uid="{F7F2AD4B-10E5-4ED5-8DAD-419F4A947ADB}"/>
    <cellStyle name="Ввод  2 2 2 4 6" xfId="4049" xr:uid="{00000000-0005-0000-0000-0000C6050000}"/>
    <cellStyle name="Ввод  2 2 2 4 6 2" xfId="20475" xr:uid="{00000000-0005-0000-0000-0000C7050000}"/>
    <cellStyle name="Ввод  2 2 2 4 6 3" xfId="37367" xr:uid="{0F1FA904-588B-4CDE-92CA-D5BD94F5A8F7}"/>
    <cellStyle name="Ввод  2 2 2 4 7" xfId="4571" xr:uid="{00000000-0005-0000-0000-0000C8050000}"/>
    <cellStyle name="Ввод  2 2 2 4 8" xfId="5053" xr:uid="{00000000-0005-0000-0000-0000C9050000}"/>
    <cellStyle name="Ввод  2 2 2 5" xfId="541" xr:uid="{00000000-0005-0000-0000-0000CA050000}"/>
    <cellStyle name="Ввод  2 2 2 5 2" xfId="1373" xr:uid="{00000000-0005-0000-0000-0000CB050000}"/>
    <cellStyle name="Ввод  2 2 2 5 2 2" xfId="21366" xr:uid="{00000000-0005-0000-0000-0000CC050000}"/>
    <cellStyle name="Ввод  2 2 2 5 2 2 2" xfId="38008" xr:uid="{04837150-6D03-40E5-96AC-A900626F5157}"/>
    <cellStyle name="Ввод  2 2 2 5 2 3" xfId="6129" xr:uid="{00000000-0005-0000-0000-0000CD050000}"/>
    <cellStyle name="Ввод  2 2 2 5 2 4" xfId="23916" xr:uid="{1700852F-4269-4A1C-A6AC-84F91D12C41E}"/>
    <cellStyle name="Ввод  2 2 2 5 3" xfId="2191" xr:uid="{00000000-0005-0000-0000-0000CE050000}"/>
    <cellStyle name="Ввод  2 2 2 5 3 2" xfId="21988" xr:uid="{00000000-0005-0000-0000-0000CF050000}"/>
    <cellStyle name="Ввод  2 2 2 5 3 2 2" xfId="38598" xr:uid="{EDFDB03F-D8E0-485C-86A2-BD8C1985F263}"/>
    <cellStyle name="Ввод  2 2 2 5 3 3" xfId="6898" xr:uid="{00000000-0005-0000-0000-0000D0050000}"/>
    <cellStyle name="Ввод  2 2 2 5 3 4" xfId="24525" xr:uid="{6A5FD0C2-D25C-48A5-8D49-A164A5CCFC37}"/>
    <cellStyle name="Ввод  2 2 2 5 4" xfId="2466" xr:uid="{00000000-0005-0000-0000-0000D1050000}"/>
    <cellStyle name="Ввод  2 2 2 5 4 2" xfId="22777" xr:uid="{00000000-0005-0000-0000-0000D2050000}"/>
    <cellStyle name="Ввод  2 2 2 5 4 3" xfId="39245" xr:uid="{C4575D62-3A3A-4ED8-B1B1-D3D302CC974F}"/>
    <cellStyle name="Ввод  2 2 2 5 5" xfId="3350" xr:uid="{00000000-0005-0000-0000-0000D3050000}"/>
    <cellStyle name="Ввод  2 2 2 5 5 2" xfId="23301" xr:uid="{00000000-0005-0000-0000-0000D4050000}"/>
    <cellStyle name="Ввод  2 2 2 5 5 3" xfId="39728" xr:uid="{ECC5B4C2-9C6E-473D-93C8-B0826A241D88}"/>
    <cellStyle name="Ввод  2 2 2 5 6" xfId="4101" xr:uid="{00000000-0005-0000-0000-0000D5050000}"/>
    <cellStyle name="Ввод  2 2 2 5 6 2" xfId="20585" xr:uid="{00000000-0005-0000-0000-0000D6050000}"/>
    <cellStyle name="Ввод  2 2 2 5 6 3" xfId="37433" xr:uid="{A211598D-9BDC-4E92-9803-CC7C4BEBAABA}"/>
    <cellStyle name="Ввод  2 2 2 5 7" xfId="4623" xr:uid="{00000000-0005-0000-0000-0000D7050000}"/>
    <cellStyle name="Ввод  2 2 2 5 8" xfId="5105" xr:uid="{00000000-0005-0000-0000-0000D8050000}"/>
    <cellStyle name="Ввод  2 2 2 6" xfId="593" xr:uid="{00000000-0005-0000-0000-0000D9050000}"/>
    <cellStyle name="Ввод  2 2 2 6 2" xfId="1425" xr:uid="{00000000-0005-0000-0000-0000DA050000}"/>
    <cellStyle name="Ввод  2 2 2 6 2 2" xfId="21418" xr:uid="{00000000-0005-0000-0000-0000DB050000}"/>
    <cellStyle name="Ввод  2 2 2 6 2 2 2" xfId="38060" xr:uid="{4575C8A2-FE1C-4FC2-AB6E-8B2F23E7F7EE}"/>
    <cellStyle name="Ввод  2 2 2 6 2 3" xfId="6181" xr:uid="{00000000-0005-0000-0000-0000DC050000}"/>
    <cellStyle name="Ввод  2 2 2 6 2 4" xfId="23968" xr:uid="{0930A3C9-1EB9-44C2-B5EC-45323D0FB98A}"/>
    <cellStyle name="Ввод  2 2 2 6 3" xfId="2119" xr:uid="{00000000-0005-0000-0000-0000DD050000}"/>
    <cellStyle name="Ввод  2 2 2 6 3 2" xfId="22040" xr:uid="{00000000-0005-0000-0000-0000DE050000}"/>
    <cellStyle name="Ввод  2 2 2 6 3 2 2" xfId="38650" xr:uid="{1907F260-35DF-4E88-865D-BF793638EB3B}"/>
    <cellStyle name="Ввод  2 2 2 6 3 3" xfId="6950" xr:uid="{00000000-0005-0000-0000-0000DF050000}"/>
    <cellStyle name="Ввод  2 2 2 6 3 4" xfId="24577" xr:uid="{0258D8FA-0D01-4161-A70A-E199DC29CB08}"/>
    <cellStyle name="Ввод  2 2 2 6 4" xfId="2896" xr:uid="{00000000-0005-0000-0000-0000E0050000}"/>
    <cellStyle name="Ввод  2 2 2 6 4 2" xfId="22791" xr:uid="{00000000-0005-0000-0000-0000E1050000}"/>
    <cellStyle name="Ввод  2 2 2 6 4 3" xfId="39257" xr:uid="{5EA92DFC-863B-4F54-BDD5-4D176FF43267}"/>
    <cellStyle name="Ввод  2 2 2 6 5" xfId="3212" xr:uid="{00000000-0005-0000-0000-0000E2050000}"/>
    <cellStyle name="Ввод  2 2 2 6 5 2" xfId="23325" xr:uid="{00000000-0005-0000-0000-0000E3050000}"/>
    <cellStyle name="Ввод  2 2 2 6 5 3" xfId="39752" xr:uid="{74FE4312-4651-4CDA-9744-19B43BBB2665}"/>
    <cellStyle name="Ввод  2 2 2 6 6" xfId="4153" xr:uid="{00000000-0005-0000-0000-0000E4050000}"/>
    <cellStyle name="Ввод  2 2 2 6 6 2" xfId="20629" xr:uid="{00000000-0005-0000-0000-0000E5050000}"/>
    <cellStyle name="Ввод  2 2 2 6 6 3" xfId="37471" xr:uid="{992BCCED-E6B5-4D85-BEAA-2ED546AAA778}"/>
    <cellStyle name="Ввод  2 2 2 6 7" xfId="4675" xr:uid="{00000000-0005-0000-0000-0000E6050000}"/>
    <cellStyle name="Ввод  2 2 2 6 8" xfId="5157" xr:uid="{00000000-0005-0000-0000-0000E7050000}"/>
    <cellStyle name="Ввод  2 2 2 7" xfId="692" xr:uid="{00000000-0005-0000-0000-0000E8050000}"/>
    <cellStyle name="Ввод  2 2 2 7 2" xfId="1522" xr:uid="{00000000-0005-0000-0000-0000E9050000}"/>
    <cellStyle name="Ввод  2 2 2 7 2 2" xfId="21515" xr:uid="{00000000-0005-0000-0000-0000EA050000}"/>
    <cellStyle name="Ввод  2 2 2 7 2 2 2" xfId="38157" xr:uid="{FE67328B-82EB-4FAD-BA12-81158687540E}"/>
    <cellStyle name="Ввод  2 2 2 7 2 3" xfId="6278" xr:uid="{00000000-0005-0000-0000-0000EB050000}"/>
    <cellStyle name="Ввод  2 2 2 7 2 4" xfId="24065" xr:uid="{638D5A8A-832B-4FE8-8DDD-F19B3DE40E58}"/>
    <cellStyle name="Ввод  2 2 2 7 3" xfId="1721" xr:uid="{00000000-0005-0000-0000-0000EC050000}"/>
    <cellStyle name="Ввод  2 2 2 7 3 2" xfId="22137" xr:uid="{00000000-0005-0000-0000-0000ED050000}"/>
    <cellStyle name="Ввод  2 2 2 7 3 2 2" xfId="38747" xr:uid="{D4D20871-E02C-421C-B0E6-28D94F30367A}"/>
    <cellStyle name="Ввод  2 2 2 7 3 3" xfId="7047" xr:uid="{00000000-0005-0000-0000-0000EE050000}"/>
    <cellStyle name="Ввод  2 2 2 7 3 4" xfId="24674" xr:uid="{2AEB8FC7-106E-44A9-AB91-B25EF7040133}"/>
    <cellStyle name="Ввод  2 2 2 7 4" xfId="2390" xr:uid="{00000000-0005-0000-0000-0000EF050000}"/>
    <cellStyle name="Ввод  2 2 2 7 4 2" xfId="22859" xr:uid="{00000000-0005-0000-0000-0000F0050000}"/>
    <cellStyle name="Ввод  2 2 2 7 4 3" xfId="39325" xr:uid="{88AD0F01-CFDD-4218-8557-36F39C1A461C}"/>
    <cellStyle name="Ввод  2 2 2 7 5" xfId="3496" xr:uid="{00000000-0005-0000-0000-0000F1050000}"/>
    <cellStyle name="Ввод  2 2 2 7 5 2" xfId="23366" xr:uid="{00000000-0005-0000-0000-0000F2050000}"/>
    <cellStyle name="Ввод  2 2 2 7 5 3" xfId="39793" xr:uid="{58CF32B1-B60C-476C-83E3-E35217341940}"/>
    <cellStyle name="Ввод  2 2 2 7 6" xfId="4251" xr:uid="{00000000-0005-0000-0000-0000F3050000}"/>
    <cellStyle name="Ввод  2 2 2 7 6 2" xfId="20694" xr:uid="{00000000-0005-0000-0000-0000F4050000}"/>
    <cellStyle name="Ввод  2 2 2 7 6 3" xfId="37523" xr:uid="{D17BBF50-7F33-43CC-96F8-FA46E87E5D01}"/>
    <cellStyle name="Ввод  2 2 2 7 7" xfId="4773" xr:uid="{00000000-0005-0000-0000-0000F5050000}"/>
    <cellStyle name="Ввод  2 2 2 7 8" xfId="5254" xr:uid="{00000000-0005-0000-0000-0000F6050000}"/>
    <cellStyle name="Ввод  2 2 2 8" xfId="735" xr:uid="{00000000-0005-0000-0000-0000F7050000}"/>
    <cellStyle name="Ввод  2 2 2 8 2" xfId="1565" xr:uid="{00000000-0005-0000-0000-0000F8050000}"/>
    <cellStyle name="Ввод  2 2 2 8 2 2" xfId="21558" xr:uid="{00000000-0005-0000-0000-0000F9050000}"/>
    <cellStyle name="Ввод  2 2 2 8 2 2 2" xfId="38200" xr:uid="{AAF02801-6620-4A67-A719-19E8230F065C}"/>
    <cellStyle name="Ввод  2 2 2 8 2 3" xfId="6321" xr:uid="{00000000-0005-0000-0000-0000FA050000}"/>
    <cellStyle name="Ввод  2 2 2 8 2 4" xfId="24108" xr:uid="{48F26D52-0220-48B8-870B-81B2C6DCBFC4}"/>
    <cellStyle name="Ввод  2 2 2 8 3" xfId="1871" xr:uid="{00000000-0005-0000-0000-0000FB050000}"/>
    <cellStyle name="Ввод  2 2 2 8 3 2" xfId="22180" xr:uid="{00000000-0005-0000-0000-0000FC050000}"/>
    <cellStyle name="Ввод  2 2 2 8 3 2 2" xfId="38790" xr:uid="{459DFF27-C65F-41D6-AE61-589ECABDC6F4}"/>
    <cellStyle name="Ввод  2 2 2 8 3 3" xfId="7090" xr:uid="{00000000-0005-0000-0000-0000FD050000}"/>
    <cellStyle name="Ввод  2 2 2 8 3 4" xfId="24717" xr:uid="{57B8CE49-0B0E-4749-AD62-3F18C0597D81}"/>
    <cellStyle name="Ввод  2 2 2 8 4" xfId="2344" xr:uid="{00000000-0005-0000-0000-0000FE050000}"/>
    <cellStyle name="Ввод  2 2 2 8 4 2" xfId="23096" xr:uid="{00000000-0005-0000-0000-0000FF050000}"/>
    <cellStyle name="Ввод  2 2 2 8 4 3" xfId="39562" xr:uid="{58066019-C1B1-49A5-9CF3-575889E5CAD2}"/>
    <cellStyle name="Ввод  2 2 2 8 5" xfId="3470" xr:uid="{00000000-0005-0000-0000-000000060000}"/>
    <cellStyle name="Ввод  2 2 2 8 5 2" xfId="23387" xr:uid="{00000000-0005-0000-0000-000001060000}"/>
    <cellStyle name="Ввод  2 2 2 8 5 3" xfId="39814" xr:uid="{C3670D34-E0C4-48EE-A062-79B2ACEFF5E3}"/>
    <cellStyle name="Ввод  2 2 2 8 6" xfId="4294" xr:uid="{00000000-0005-0000-0000-000002060000}"/>
    <cellStyle name="Ввод  2 2 2 8 6 2" xfId="20759" xr:uid="{00000000-0005-0000-0000-000003060000}"/>
    <cellStyle name="Ввод  2 2 2 8 6 3" xfId="37575" xr:uid="{4C3A0B09-BF6C-405E-8AA4-263B95BA9BA1}"/>
    <cellStyle name="Ввод  2 2 2 8 7" xfId="4816" xr:uid="{00000000-0005-0000-0000-000004060000}"/>
    <cellStyle name="Ввод  2 2 2 8 8" xfId="5297" xr:uid="{00000000-0005-0000-0000-000005060000}"/>
    <cellStyle name="Ввод  2 2 2 9" xfId="634" xr:uid="{00000000-0005-0000-0000-000006060000}"/>
    <cellStyle name="Ввод  2 2 2 9 2" xfId="1466" xr:uid="{00000000-0005-0000-0000-000007060000}"/>
    <cellStyle name="Ввод  2 2 2 9 2 2" xfId="21459" xr:uid="{00000000-0005-0000-0000-000008060000}"/>
    <cellStyle name="Ввод  2 2 2 9 2 2 2" xfId="38101" xr:uid="{8A976EDA-AF44-482B-BA48-32174ED85938}"/>
    <cellStyle name="Ввод  2 2 2 9 2 3" xfId="6222" xr:uid="{00000000-0005-0000-0000-000009060000}"/>
    <cellStyle name="Ввод  2 2 2 9 2 4" xfId="24009" xr:uid="{477C2D48-5ACA-46A0-9970-E7CEE3FD570C}"/>
    <cellStyle name="Ввод  2 2 2 9 3" xfId="2277" xr:uid="{00000000-0005-0000-0000-00000A060000}"/>
    <cellStyle name="Ввод  2 2 2 9 3 2" xfId="22081" xr:uid="{00000000-0005-0000-0000-00000B060000}"/>
    <cellStyle name="Ввод  2 2 2 9 3 2 2" xfId="38691" xr:uid="{A64445E8-6358-4683-8D35-8D0EC852ADC3}"/>
    <cellStyle name="Ввод  2 2 2 9 3 3" xfId="6991" xr:uid="{00000000-0005-0000-0000-00000C060000}"/>
    <cellStyle name="Ввод  2 2 2 9 3 4" xfId="24618" xr:uid="{EB0C8C80-E341-48E4-A8F5-4D995351F433}"/>
    <cellStyle name="Ввод  2 2 2 9 4" xfId="2901" xr:uid="{00000000-0005-0000-0000-00000D060000}"/>
    <cellStyle name="Ввод  2 2 2 9 4 2" xfId="23016" xr:uid="{00000000-0005-0000-0000-00000E060000}"/>
    <cellStyle name="Ввод  2 2 2 9 4 3" xfId="39482" xr:uid="{403AB127-A5E4-4569-99B7-261E679BBDD6}"/>
    <cellStyle name="Ввод  2 2 2 9 5" xfId="3654" xr:uid="{00000000-0005-0000-0000-00000F060000}"/>
    <cellStyle name="Ввод  2 2 2 9 5 2" xfId="23346" xr:uid="{00000000-0005-0000-0000-000010060000}"/>
    <cellStyle name="Ввод  2 2 2 9 5 3" xfId="39773" xr:uid="{7DE80494-CFF7-42EB-8162-C403E15D3619}"/>
    <cellStyle name="Ввод  2 2 2 9 6" xfId="4194" xr:uid="{00000000-0005-0000-0000-000011060000}"/>
    <cellStyle name="Ввод  2 2 2 9 6 2" xfId="20824" xr:uid="{00000000-0005-0000-0000-000012060000}"/>
    <cellStyle name="Ввод  2 2 2 9 6 3" xfId="37627" xr:uid="{50F5F615-1A11-4DD8-99A2-5D3FF5CB2CD5}"/>
    <cellStyle name="Ввод  2 2 2 9 7" xfId="4716" xr:uid="{00000000-0005-0000-0000-000013060000}"/>
    <cellStyle name="Ввод  2 2 2 9 8" xfId="5198" xr:uid="{00000000-0005-0000-0000-000014060000}"/>
    <cellStyle name="Ввод  2 2 3" xfId="362" xr:uid="{00000000-0005-0000-0000-000015060000}"/>
    <cellStyle name="Ввод  2 2 3 10" xfId="984" xr:uid="{00000000-0005-0000-0000-000016060000}"/>
    <cellStyle name="Ввод  2 2 3 10 2" xfId="2198" xr:uid="{00000000-0005-0000-0000-000017060000}"/>
    <cellStyle name="Ввод  2 2 3 10 2 2" xfId="21851" xr:uid="{00000000-0005-0000-0000-000018060000}"/>
    <cellStyle name="Ввод  2 2 3 10 2 2 2" xfId="38461" xr:uid="{A4A8A70B-3484-491A-9C05-25BA3D40D99B}"/>
    <cellStyle name="Ввод  2 2 3 10 2 3" xfId="5991" xr:uid="{00000000-0005-0000-0000-000019060000}"/>
    <cellStyle name="Ввод  2 2 3 10 2 4" xfId="23779" xr:uid="{929074EC-00D9-4EB0-841E-FF345C220A9B}"/>
    <cellStyle name="Ввод  2 2 3 10 3" xfId="2640" xr:uid="{00000000-0005-0000-0000-00001A060000}"/>
    <cellStyle name="Ввод  2 2 3 10 3 2" xfId="22857" xr:uid="{00000000-0005-0000-0000-00001B060000}"/>
    <cellStyle name="Ввод  2 2 3 10 3 2 2" xfId="39323" xr:uid="{000308BC-9D4D-4189-A2D5-185B6FCDF6C9}"/>
    <cellStyle name="Ввод  2 2 3 10 3 3" xfId="6765" xr:uid="{00000000-0005-0000-0000-00001C060000}"/>
    <cellStyle name="Ввод  2 2 3 10 3 4" xfId="24392" xr:uid="{15D57E67-00B9-419F-BED0-D3F6F8D7C46D}"/>
    <cellStyle name="Ввод  2 2 3 10 4" xfId="3493" xr:uid="{00000000-0005-0000-0000-00001D060000}"/>
    <cellStyle name="Ввод  2 2 3 10 4 2" xfId="23236" xr:uid="{00000000-0005-0000-0000-00001E060000}"/>
    <cellStyle name="Ввод  2 2 3 10 4 3" xfId="39663" xr:uid="{1F26C561-8AD7-4E5E-9ABC-A5DECE5326CC}"/>
    <cellStyle name="Ввод  2 2 3 10 5" xfId="3955" xr:uid="{00000000-0005-0000-0000-00001F060000}"/>
    <cellStyle name="Ввод  2 2 3 10 5 2" xfId="21210" xr:uid="{00000000-0005-0000-0000-000020060000}"/>
    <cellStyle name="Ввод  2 2 3 10 5 3" xfId="37871" xr:uid="{6BDD29D0-2D15-4827-A240-D103CCDD1709}"/>
    <cellStyle name="Ввод  2 2 3 10 6" xfId="4483" xr:uid="{00000000-0005-0000-0000-000021060000}"/>
    <cellStyle name="Ввод  2 2 3 10 7" xfId="4972" xr:uid="{00000000-0005-0000-0000-000022060000}"/>
    <cellStyle name="Ввод  2 2 3 11" xfId="1771" xr:uid="{00000000-0005-0000-0000-000023060000}"/>
    <cellStyle name="Ввод  2 2 3 11 2" xfId="20977" xr:uid="{00000000-0005-0000-0000-000024060000}"/>
    <cellStyle name="Ввод  2 2 3 11 2 2" xfId="37754" xr:uid="{EDE41BEF-29A6-47AB-B5C2-E353039AA228}"/>
    <cellStyle name="Ввод  2 2 3 11 3" xfId="5735" xr:uid="{00000000-0005-0000-0000-000025060000}"/>
    <cellStyle name="Ввод  2 2 3 11 4" xfId="23659" xr:uid="{4278FD23-77BF-471E-B412-E11E019CE455}"/>
    <cellStyle name="Ввод  2 2 3 12" xfId="2615" xr:uid="{00000000-0005-0000-0000-000026060000}"/>
    <cellStyle name="Ввод  2 2 3 12 2" xfId="21734" xr:uid="{00000000-0005-0000-0000-000027060000}"/>
    <cellStyle name="Ввод  2 2 3 12 2 2" xfId="38344" xr:uid="{D4CF2E7D-6CA5-485D-8AD3-50E498D0C3E0}"/>
    <cellStyle name="Ввод  2 2 3 12 3" xfId="6652" xr:uid="{00000000-0005-0000-0000-000028060000}"/>
    <cellStyle name="Ввод  2 2 3 12 4" xfId="24279" xr:uid="{4F843252-0FE0-4CEE-BE17-20C53EF75DB8}"/>
    <cellStyle name="Ввод  2 2 3 13" xfId="3166" xr:uid="{00000000-0005-0000-0000-000029060000}"/>
    <cellStyle name="Ввод  2 2 3 13 2" xfId="22765" xr:uid="{00000000-0005-0000-0000-00002A060000}"/>
    <cellStyle name="Ввод  2 2 3 13 3" xfId="39234" xr:uid="{9CD52A6D-7959-4688-93BF-B5FC8B18268F}"/>
    <cellStyle name="Ввод  2 2 3 14" xfId="3003" xr:uid="{00000000-0005-0000-0000-00002B060000}"/>
    <cellStyle name="Ввод  2 2 3 14 2" xfId="23182" xr:uid="{00000000-0005-0000-0000-00002C060000}"/>
    <cellStyle name="Ввод  2 2 3 14 3" xfId="39609" xr:uid="{D9E0468F-53E1-450B-9526-1CC0D0AFAE88}"/>
    <cellStyle name="Ввод  2 2 3 15" xfId="3574" xr:uid="{00000000-0005-0000-0000-00002D060000}"/>
    <cellStyle name="Ввод  2 2 3 15 2" xfId="14030" xr:uid="{00000000-0005-0000-0000-00002E060000}"/>
    <cellStyle name="Ввод  2 2 3 15 3" xfId="31069" xr:uid="{F7E02245-5AC1-47E8-A11A-20EE2352EDE3}"/>
    <cellStyle name="Ввод  2 2 3 16" xfId="3907" xr:uid="{00000000-0005-0000-0000-00002F060000}"/>
    <cellStyle name="Ввод  2 2 3 2" xfId="467" xr:uid="{00000000-0005-0000-0000-000030060000}"/>
    <cellStyle name="Ввод  2 2 3 2 2" xfId="1299" xr:uid="{00000000-0005-0000-0000-000031060000}"/>
    <cellStyle name="Ввод  2 2 3 2 2 2" xfId="21292" xr:uid="{00000000-0005-0000-0000-000032060000}"/>
    <cellStyle name="Ввод  2 2 3 2 2 2 2" xfId="37934" xr:uid="{1B46F2B7-1090-4FAB-B9A7-B6FBE75F2F68}"/>
    <cellStyle name="Ввод  2 2 3 2 2 3" xfId="6055" xr:uid="{00000000-0005-0000-0000-000033060000}"/>
    <cellStyle name="Ввод  2 2 3 2 2 4" xfId="23842" xr:uid="{2D7D6ED1-D53E-463D-BDCA-4004226DBA24}"/>
    <cellStyle name="Ввод  2 2 3 2 3" xfId="2123" xr:uid="{00000000-0005-0000-0000-000034060000}"/>
    <cellStyle name="Ввод  2 2 3 2 3 2" xfId="21914" xr:uid="{00000000-0005-0000-0000-000035060000}"/>
    <cellStyle name="Ввод  2 2 3 2 3 2 2" xfId="38524" xr:uid="{18E2064A-DF22-401B-8DC9-1E7166540B6C}"/>
    <cellStyle name="Ввод  2 2 3 2 3 3" xfId="6824" xr:uid="{00000000-0005-0000-0000-000036060000}"/>
    <cellStyle name="Ввод  2 2 3 2 3 4" xfId="24451" xr:uid="{FEA387A8-EACC-4A15-94C6-3DE542028D41}"/>
    <cellStyle name="Ввод  2 2 3 2 4" xfId="2365" xr:uid="{00000000-0005-0000-0000-000037060000}"/>
    <cellStyle name="Ввод  2 2 3 2 4 2" xfId="22845" xr:uid="{00000000-0005-0000-0000-000038060000}"/>
    <cellStyle name="Ввод  2 2 3 2 4 3" xfId="39311" xr:uid="{F8E05CF6-94A9-4A5E-999E-A0D201676A4F}"/>
    <cellStyle name="Ввод  2 2 3 2 5" xfId="3448" xr:uid="{00000000-0005-0000-0000-000039060000}"/>
    <cellStyle name="Ввод  2 2 3 2 5 2" xfId="23266" xr:uid="{00000000-0005-0000-0000-00003A060000}"/>
    <cellStyle name="Ввод  2 2 3 2 5 3" xfId="39693" xr:uid="{D8FE1A5B-145B-4493-81DB-56FBDF4B0806}"/>
    <cellStyle name="Ввод  2 2 3 2 6" xfId="4027" xr:uid="{00000000-0005-0000-0000-00003B060000}"/>
    <cellStyle name="Ввод  2 2 3 2 6 2" xfId="20451" xr:uid="{00000000-0005-0000-0000-00003C060000}"/>
    <cellStyle name="Ввод  2 2 3 2 6 3" xfId="37343" xr:uid="{D41239AC-6E2B-4441-81EA-DD24D9A29704}"/>
    <cellStyle name="Ввод  2 2 3 2 7" xfId="4549" xr:uid="{00000000-0005-0000-0000-00003D060000}"/>
    <cellStyle name="Ввод  2 2 3 2 8" xfId="5031" xr:uid="{00000000-0005-0000-0000-00003E060000}"/>
    <cellStyle name="Ввод  2 2 3 3" xfId="512" xr:uid="{00000000-0005-0000-0000-00003F060000}"/>
    <cellStyle name="Ввод  2 2 3 3 2" xfId="1344" xr:uid="{00000000-0005-0000-0000-000040060000}"/>
    <cellStyle name="Ввод  2 2 3 3 2 2" xfId="21337" xr:uid="{00000000-0005-0000-0000-000041060000}"/>
    <cellStyle name="Ввод  2 2 3 3 2 2 2" xfId="37979" xr:uid="{4B4FC630-4152-4F18-BBB7-43099697154C}"/>
    <cellStyle name="Ввод  2 2 3 3 2 3" xfId="6100" xr:uid="{00000000-0005-0000-0000-000042060000}"/>
    <cellStyle name="Ввод  2 2 3 3 2 4" xfId="23887" xr:uid="{F16FA88C-A68B-4491-BD7F-16329B443A1F}"/>
    <cellStyle name="Ввод  2 2 3 3 3" xfId="1789" xr:uid="{00000000-0005-0000-0000-000043060000}"/>
    <cellStyle name="Ввод  2 2 3 3 3 2" xfId="21959" xr:uid="{00000000-0005-0000-0000-000044060000}"/>
    <cellStyle name="Ввод  2 2 3 3 3 2 2" xfId="38569" xr:uid="{0E0E87CF-26D7-46EF-B6CA-6D3DD6A0981C}"/>
    <cellStyle name="Ввод  2 2 3 3 3 3" xfId="6869" xr:uid="{00000000-0005-0000-0000-000045060000}"/>
    <cellStyle name="Ввод  2 2 3 3 3 4" xfId="24496" xr:uid="{55FE13B4-6702-438E-9DEF-ADBB1FE40BF8}"/>
    <cellStyle name="Ввод  2 2 3 3 4" xfId="2625" xr:uid="{00000000-0005-0000-0000-000046060000}"/>
    <cellStyle name="Ввод  2 2 3 3 4 2" xfId="22889" xr:uid="{00000000-0005-0000-0000-000047060000}"/>
    <cellStyle name="Ввод  2 2 3 3 4 3" xfId="39355" xr:uid="{B62354FB-4246-4B77-B99E-C1D80780536D}"/>
    <cellStyle name="Ввод  2 2 3 3 5" xfId="3533" xr:uid="{00000000-0005-0000-0000-000048060000}"/>
    <cellStyle name="Ввод  2 2 3 3 5 2" xfId="23288" xr:uid="{00000000-0005-0000-0000-000049060000}"/>
    <cellStyle name="Ввод  2 2 3 3 5 3" xfId="39715" xr:uid="{4A6FED48-A243-4EF5-AD24-5DA43D7A9709}"/>
    <cellStyle name="Ввод  2 2 3 3 6" xfId="4072" xr:uid="{00000000-0005-0000-0000-00004A060000}"/>
    <cellStyle name="Ввод  2 2 3 3 6 2" xfId="20498" xr:uid="{00000000-0005-0000-0000-00004B060000}"/>
    <cellStyle name="Ввод  2 2 3 3 6 3" xfId="37390" xr:uid="{1CDC2F9F-4AF1-4358-BD61-008CAC53A0C8}"/>
    <cellStyle name="Ввод  2 2 3 3 7" xfId="4594" xr:uid="{00000000-0005-0000-0000-00004C060000}"/>
    <cellStyle name="Ввод  2 2 3 3 8" xfId="5076" xr:uid="{00000000-0005-0000-0000-00004D060000}"/>
    <cellStyle name="Ввод  2 2 3 4" xfId="564" xr:uid="{00000000-0005-0000-0000-00004E060000}"/>
    <cellStyle name="Ввод  2 2 3 4 2" xfId="1396" xr:uid="{00000000-0005-0000-0000-00004F060000}"/>
    <cellStyle name="Ввод  2 2 3 4 2 2" xfId="21389" xr:uid="{00000000-0005-0000-0000-000050060000}"/>
    <cellStyle name="Ввод  2 2 3 4 2 2 2" xfId="38031" xr:uid="{E126DC0A-CBC5-4200-85C0-DE1B5594E670}"/>
    <cellStyle name="Ввод  2 2 3 4 2 3" xfId="6152" xr:uid="{00000000-0005-0000-0000-000051060000}"/>
    <cellStyle name="Ввод  2 2 3 4 2 4" xfId="23939" xr:uid="{9FDF837E-C249-4920-A7F2-9003B717DF99}"/>
    <cellStyle name="Ввод  2 2 3 4 3" xfId="1902" xr:uid="{00000000-0005-0000-0000-000052060000}"/>
    <cellStyle name="Ввод  2 2 3 4 3 2" xfId="22011" xr:uid="{00000000-0005-0000-0000-000053060000}"/>
    <cellStyle name="Ввод  2 2 3 4 3 2 2" xfId="38621" xr:uid="{341CBD0A-546F-4375-879D-859271C49AD7}"/>
    <cellStyle name="Ввод  2 2 3 4 3 3" xfId="6921" xr:uid="{00000000-0005-0000-0000-000054060000}"/>
    <cellStyle name="Ввод  2 2 3 4 3 4" xfId="24548" xr:uid="{E32A63AF-2F64-45B4-A12F-3C6BDEDA1D0E}"/>
    <cellStyle name="Ввод  2 2 3 4 4" xfId="2526" xr:uid="{00000000-0005-0000-0000-000055060000}"/>
    <cellStyle name="Ввод  2 2 3 4 4 2" xfId="22921" xr:uid="{00000000-0005-0000-0000-000056060000}"/>
    <cellStyle name="Ввод  2 2 3 4 4 3" xfId="39387" xr:uid="{211BF3C6-0726-4192-B38D-BCE9A971A85D}"/>
    <cellStyle name="Ввод  2 2 3 4 5" xfId="3577" xr:uid="{00000000-0005-0000-0000-000057060000}"/>
    <cellStyle name="Ввод  2 2 3 4 5 2" xfId="23312" xr:uid="{00000000-0005-0000-0000-000058060000}"/>
    <cellStyle name="Ввод  2 2 3 4 5 3" xfId="39739" xr:uid="{34B34AE9-D1B4-48F1-9D43-BA1F86C7B49A}"/>
    <cellStyle name="Ввод  2 2 3 4 6" xfId="4124" xr:uid="{00000000-0005-0000-0000-000059060000}"/>
    <cellStyle name="Ввод  2 2 3 4 6 2" xfId="20614" xr:uid="{00000000-0005-0000-0000-00005A060000}"/>
    <cellStyle name="Ввод  2 2 3 4 6 3" xfId="37456" xr:uid="{34C952F4-7825-4E59-8929-E690029721F0}"/>
    <cellStyle name="Ввод  2 2 3 4 7" xfId="4646" xr:uid="{00000000-0005-0000-0000-00005B060000}"/>
    <cellStyle name="Ввод  2 2 3 4 8" xfId="5128" xr:uid="{00000000-0005-0000-0000-00005C060000}"/>
    <cellStyle name="Ввод  2 2 3 5" xfId="616" xr:uid="{00000000-0005-0000-0000-00005D060000}"/>
    <cellStyle name="Ввод  2 2 3 5 2" xfId="1448" xr:uid="{00000000-0005-0000-0000-00005E060000}"/>
    <cellStyle name="Ввод  2 2 3 5 2 2" xfId="21441" xr:uid="{00000000-0005-0000-0000-00005F060000}"/>
    <cellStyle name="Ввод  2 2 3 5 2 2 2" xfId="38083" xr:uid="{5008B8CC-5DAC-458E-AC7D-D12A661BB553}"/>
    <cellStyle name="Ввод  2 2 3 5 2 3" xfId="6204" xr:uid="{00000000-0005-0000-0000-000060060000}"/>
    <cellStyle name="Ввод  2 2 3 5 2 4" xfId="23991" xr:uid="{D195A623-C608-4D06-B043-49CB632AAD59}"/>
    <cellStyle name="Ввод  2 2 3 5 3" xfId="2117" xr:uid="{00000000-0005-0000-0000-000061060000}"/>
    <cellStyle name="Ввод  2 2 3 5 3 2" xfId="22063" xr:uid="{00000000-0005-0000-0000-000062060000}"/>
    <cellStyle name="Ввод  2 2 3 5 3 2 2" xfId="38673" xr:uid="{ED16AE3B-B6F6-4235-9E51-4C9A44926E23}"/>
    <cellStyle name="Ввод  2 2 3 5 3 3" xfId="6973" xr:uid="{00000000-0005-0000-0000-000063060000}"/>
    <cellStyle name="Ввод  2 2 3 5 3 4" xfId="24600" xr:uid="{098CC33E-F914-4018-8B0C-637CAD4FC1B5}"/>
    <cellStyle name="Ввод  2 2 3 5 4" xfId="2894" xr:uid="{00000000-0005-0000-0000-000064060000}"/>
    <cellStyle name="Ввод  2 2 3 5 4 2" xfId="22800" xr:uid="{00000000-0005-0000-0000-000065060000}"/>
    <cellStyle name="Ввод  2 2 3 5 4 3" xfId="39266" xr:uid="{53F823A9-6453-485F-B660-8CEE4FBD0E17}"/>
    <cellStyle name="Ввод  2 2 3 5 5" xfId="3225" xr:uid="{00000000-0005-0000-0000-000066060000}"/>
    <cellStyle name="Ввод  2 2 3 5 5 2" xfId="23336" xr:uid="{00000000-0005-0000-0000-000067060000}"/>
    <cellStyle name="Ввод  2 2 3 5 5 3" xfId="39763" xr:uid="{C127900E-F2AB-45D3-8D1E-7D8D4D907C19}"/>
    <cellStyle name="Ввод  2 2 3 5 6" xfId="4176" xr:uid="{00000000-0005-0000-0000-000068060000}"/>
    <cellStyle name="Ввод  2 2 3 5 6 2" xfId="20652" xr:uid="{00000000-0005-0000-0000-000069060000}"/>
    <cellStyle name="Ввод  2 2 3 5 6 3" xfId="37494" xr:uid="{8093F8E3-195B-4023-A851-97954225DFBE}"/>
    <cellStyle name="Ввод  2 2 3 5 7" xfId="4698" xr:uid="{00000000-0005-0000-0000-00006A060000}"/>
    <cellStyle name="Ввод  2 2 3 5 8" xfId="5180" xr:uid="{00000000-0005-0000-0000-00006B060000}"/>
    <cellStyle name="Ввод  2 2 3 6" xfId="719" xr:uid="{00000000-0005-0000-0000-00006C060000}"/>
    <cellStyle name="Ввод  2 2 3 6 2" xfId="1549" xr:uid="{00000000-0005-0000-0000-00006D060000}"/>
    <cellStyle name="Ввод  2 2 3 6 2 2" xfId="21542" xr:uid="{00000000-0005-0000-0000-00006E060000}"/>
    <cellStyle name="Ввод  2 2 3 6 2 2 2" xfId="38184" xr:uid="{488C4413-059A-4C18-9440-16D8C5014B33}"/>
    <cellStyle name="Ввод  2 2 3 6 2 3" xfId="6305" xr:uid="{00000000-0005-0000-0000-00006F060000}"/>
    <cellStyle name="Ввод  2 2 3 6 2 4" xfId="24092" xr:uid="{137D390F-3BD5-4E41-AA14-C61ADDAA277C}"/>
    <cellStyle name="Ввод  2 2 3 6 3" xfId="2012" xr:uid="{00000000-0005-0000-0000-000070060000}"/>
    <cellStyle name="Ввод  2 2 3 6 3 2" xfId="22164" xr:uid="{00000000-0005-0000-0000-000071060000}"/>
    <cellStyle name="Ввод  2 2 3 6 3 2 2" xfId="38774" xr:uid="{B51ED9C9-CCB9-4F71-872C-6CD43ACA45D5}"/>
    <cellStyle name="Ввод  2 2 3 6 3 3" xfId="7074" xr:uid="{00000000-0005-0000-0000-000072060000}"/>
    <cellStyle name="Ввод  2 2 3 6 3 4" xfId="24701" xr:uid="{7E363CC8-7A34-4A5E-8F6E-8985EF58F0BD}"/>
    <cellStyle name="Ввод  2 2 3 6 4" xfId="2930" xr:uid="{00000000-0005-0000-0000-000073060000}"/>
    <cellStyle name="Ввод  2 2 3 6 4 2" xfId="22495" xr:uid="{00000000-0005-0000-0000-000074060000}"/>
    <cellStyle name="Ввод  2 2 3 6 4 3" xfId="38987" xr:uid="{B3945F3B-5327-4ACC-A6B1-9A268DBD5B70}"/>
    <cellStyle name="Ввод  2 2 3 6 5" xfId="2977" xr:uid="{00000000-0005-0000-0000-000075060000}"/>
    <cellStyle name="Ввод  2 2 3 6 5 2" xfId="23378" xr:uid="{00000000-0005-0000-0000-000076060000}"/>
    <cellStyle name="Ввод  2 2 3 6 5 3" xfId="39805" xr:uid="{C38E495E-D121-4213-883B-E1CABBFE3ED4}"/>
    <cellStyle name="Ввод  2 2 3 6 6" xfId="4278" xr:uid="{00000000-0005-0000-0000-000077060000}"/>
    <cellStyle name="Ввод  2 2 3 6 6 2" xfId="20717" xr:uid="{00000000-0005-0000-0000-000078060000}"/>
    <cellStyle name="Ввод  2 2 3 6 6 3" xfId="37546" xr:uid="{AE2FE719-E0D4-44BC-8578-6850B3CD2B79}"/>
    <cellStyle name="Ввод  2 2 3 6 7" xfId="4800" xr:uid="{00000000-0005-0000-0000-000079060000}"/>
    <cellStyle name="Ввод  2 2 3 6 8" xfId="5281" xr:uid="{00000000-0005-0000-0000-00007A060000}"/>
    <cellStyle name="Ввод  2 2 3 7" xfId="763" xr:uid="{00000000-0005-0000-0000-00007B060000}"/>
    <cellStyle name="Ввод  2 2 3 7 2" xfId="1592" xr:uid="{00000000-0005-0000-0000-00007C060000}"/>
    <cellStyle name="Ввод  2 2 3 7 2 2" xfId="21585" xr:uid="{00000000-0005-0000-0000-00007D060000}"/>
    <cellStyle name="Ввод  2 2 3 7 2 2 2" xfId="38227" xr:uid="{B9886706-CEC6-4055-9279-704D6949481F}"/>
    <cellStyle name="Ввод  2 2 3 7 2 3" xfId="6348" xr:uid="{00000000-0005-0000-0000-00007E060000}"/>
    <cellStyle name="Ввод  2 2 3 7 2 4" xfId="24135" xr:uid="{8A380F44-56B0-4310-821A-4F5F8325E92A}"/>
    <cellStyle name="Ввод  2 2 3 7 3" xfId="2008" xr:uid="{00000000-0005-0000-0000-00007F060000}"/>
    <cellStyle name="Ввод  2 2 3 7 3 2" xfId="22207" xr:uid="{00000000-0005-0000-0000-000080060000}"/>
    <cellStyle name="Ввод  2 2 3 7 3 2 2" xfId="38817" xr:uid="{0153EF2B-A5E8-4EB2-8089-4EAA34CFB36B}"/>
    <cellStyle name="Ввод  2 2 3 7 3 3" xfId="7117" xr:uid="{00000000-0005-0000-0000-000081060000}"/>
    <cellStyle name="Ввод  2 2 3 7 3 4" xfId="24744" xr:uid="{73CF5E81-9A8E-4B79-A0E8-AF775A64FA2D}"/>
    <cellStyle name="Ввод  2 2 3 7 4" xfId="2451" xr:uid="{00000000-0005-0000-0000-000082060000}"/>
    <cellStyle name="Ввод  2 2 3 7 4 2" xfId="22481" xr:uid="{00000000-0005-0000-0000-000083060000}"/>
    <cellStyle name="Ввод  2 2 3 7 4 3" xfId="38973" xr:uid="{4CEBB90D-0FDE-4ACA-A954-F9743869B84C}"/>
    <cellStyle name="Ввод  2 2 3 7 5" xfId="3870" xr:uid="{00000000-0005-0000-0000-000084060000}"/>
    <cellStyle name="Ввод  2 2 3 7 5 2" xfId="23400" xr:uid="{00000000-0005-0000-0000-000085060000}"/>
    <cellStyle name="Ввод  2 2 3 7 5 3" xfId="39827" xr:uid="{B692165C-F90E-4203-9C1F-0B3B7EF455CD}"/>
    <cellStyle name="Ввод  2 2 3 7 6" xfId="4321" xr:uid="{00000000-0005-0000-0000-000086060000}"/>
    <cellStyle name="Ввод  2 2 3 7 6 2" xfId="20782" xr:uid="{00000000-0005-0000-0000-000087060000}"/>
    <cellStyle name="Ввод  2 2 3 7 6 3" xfId="37598" xr:uid="{BFD73CBE-FC49-47B0-8072-DFBCE24A0A69}"/>
    <cellStyle name="Ввод  2 2 3 7 7" xfId="4843" xr:uid="{00000000-0005-0000-0000-000088060000}"/>
    <cellStyle name="Ввод  2 2 3 7 8" xfId="5324" xr:uid="{00000000-0005-0000-0000-000089060000}"/>
    <cellStyle name="Ввод  2 2 3 8" xfId="795" xr:uid="{00000000-0005-0000-0000-00008A060000}"/>
    <cellStyle name="Ввод  2 2 3 8 2" xfId="1624" xr:uid="{00000000-0005-0000-0000-00008B060000}"/>
    <cellStyle name="Ввод  2 2 3 8 2 2" xfId="21617" xr:uid="{00000000-0005-0000-0000-00008C060000}"/>
    <cellStyle name="Ввод  2 2 3 8 2 2 2" xfId="38259" xr:uid="{59A333F1-1675-43E8-907C-699A27899A7C}"/>
    <cellStyle name="Ввод  2 2 3 8 2 3" xfId="6380" xr:uid="{00000000-0005-0000-0000-00008D060000}"/>
    <cellStyle name="Ввод  2 2 3 8 2 4" xfId="24167" xr:uid="{FA1D1C3D-D409-4DF2-ABF8-9604413B8CA4}"/>
    <cellStyle name="Ввод  2 2 3 8 3" xfId="2013" xr:uid="{00000000-0005-0000-0000-00008E060000}"/>
    <cellStyle name="Ввод  2 2 3 8 3 2" xfId="22239" xr:uid="{00000000-0005-0000-0000-00008F060000}"/>
    <cellStyle name="Ввод  2 2 3 8 3 2 2" xfId="38849" xr:uid="{B18F6967-9145-413A-A5D4-BC0C44BE30E0}"/>
    <cellStyle name="Ввод  2 2 3 8 3 3" xfId="7149" xr:uid="{00000000-0005-0000-0000-000090060000}"/>
    <cellStyle name="Ввод  2 2 3 8 3 4" xfId="24776" xr:uid="{77B9BBA1-33A0-454E-B693-3287563A4210}"/>
    <cellStyle name="Ввод  2 2 3 8 4" xfId="2642" xr:uid="{00000000-0005-0000-0000-000091060000}"/>
    <cellStyle name="Ввод  2 2 3 8 4 2" xfId="22477" xr:uid="{00000000-0005-0000-0000-000092060000}"/>
    <cellStyle name="Ввод  2 2 3 8 4 3" xfId="38969" xr:uid="{934A0B69-3699-4316-B157-9C744B60B5D9}"/>
    <cellStyle name="Ввод  2 2 3 8 5" xfId="3382" xr:uid="{00000000-0005-0000-0000-000093060000}"/>
    <cellStyle name="Ввод  2 2 3 8 5 2" xfId="23416" xr:uid="{00000000-0005-0000-0000-000094060000}"/>
    <cellStyle name="Ввод  2 2 3 8 5 3" xfId="39843" xr:uid="{B9D6F9EE-B97A-4ABF-B48E-F6BDE3727F7A}"/>
    <cellStyle name="Ввод  2 2 3 8 6" xfId="4353" xr:uid="{00000000-0005-0000-0000-000095060000}"/>
    <cellStyle name="Ввод  2 2 3 8 6 2" xfId="20847" xr:uid="{00000000-0005-0000-0000-000096060000}"/>
    <cellStyle name="Ввод  2 2 3 8 6 3" xfId="37650" xr:uid="{10D3B515-DCE9-4672-BA09-29493E3317E5}"/>
    <cellStyle name="Ввод  2 2 3 8 7" xfId="4875" xr:uid="{00000000-0005-0000-0000-000097060000}"/>
    <cellStyle name="Ввод  2 2 3 8 8" xfId="5356" xr:uid="{00000000-0005-0000-0000-000098060000}"/>
    <cellStyle name="Ввод  2 2 3 9" xfId="827" xr:uid="{00000000-0005-0000-0000-000099060000}"/>
    <cellStyle name="Ввод  2 2 3 9 2" xfId="1656" xr:uid="{00000000-0005-0000-0000-00009A060000}"/>
    <cellStyle name="Ввод  2 2 3 9 2 2" xfId="21649" xr:uid="{00000000-0005-0000-0000-00009B060000}"/>
    <cellStyle name="Ввод  2 2 3 9 2 2 2" xfId="38291" xr:uid="{B1E8C231-9374-4E69-BA5D-6A5A45B536BA}"/>
    <cellStyle name="Ввод  2 2 3 9 2 3" xfId="6412" xr:uid="{00000000-0005-0000-0000-00009C060000}"/>
    <cellStyle name="Ввод  2 2 3 9 2 4" xfId="24199" xr:uid="{EDD0BF63-AE5C-4322-8238-57FF21A40C6E}"/>
    <cellStyle name="Ввод  2 2 3 9 3" xfId="2001" xr:uid="{00000000-0005-0000-0000-00009D060000}"/>
    <cellStyle name="Ввод  2 2 3 9 3 2" xfId="22271" xr:uid="{00000000-0005-0000-0000-00009E060000}"/>
    <cellStyle name="Ввод  2 2 3 9 3 2 2" xfId="38881" xr:uid="{1DE3F84C-B74C-41B8-8699-515DF632F80A}"/>
    <cellStyle name="Ввод  2 2 3 9 3 3" xfId="7181" xr:uid="{00000000-0005-0000-0000-00009F060000}"/>
    <cellStyle name="Ввод  2 2 3 9 3 4" xfId="24808" xr:uid="{0BBA3619-427D-4F79-91E6-B446FC81FAC0}"/>
    <cellStyle name="Ввод  2 2 3 9 4" xfId="2372" xr:uid="{00000000-0005-0000-0000-0000A0060000}"/>
    <cellStyle name="Ввод  2 2 3 9 4 2" xfId="22473" xr:uid="{00000000-0005-0000-0000-0000A1060000}"/>
    <cellStyle name="Ввод  2 2 3 9 4 3" xfId="38965" xr:uid="{1B183310-A366-4674-A8A5-09C8BBD1EE6D}"/>
    <cellStyle name="Ввод  2 2 3 9 5" xfId="3847" xr:uid="{00000000-0005-0000-0000-0000A2060000}"/>
    <cellStyle name="Ввод  2 2 3 9 5 2" xfId="23432" xr:uid="{00000000-0005-0000-0000-0000A3060000}"/>
    <cellStyle name="Ввод  2 2 3 9 5 3" xfId="39859" xr:uid="{F899B06E-1C63-466D-8B85-022FE0BB6BF7}"/>
    <cellStyle name="Ввод  2 2 3 9 6" xfId="4385" xr:uid="{00000000-0005-0000-0000-0000A4060000}"/>
    <cellStyle name="Ввод  2 2 3 9 6 2" xfId="20912" xr:uid="{00000000-0005-0000-0000-0000A5060000}"/>
    <cellStyle name="Ввод  2 2 3 9 6 3" xfId="37702" xr:uid="{40CDD20B-4685-46A9-BBE5-BAF34E10B1F3}"/>
    <cellStyle name="Ввод  2 2 3 9 7" xfId="4907" xr:uid="{00000000-0005-0000-0000-0000A6060000}"/>
    <cellStyle name="Ввод  2 2 3 9 8" xfId="5388" xr:uid="{00000000-0005-0000-0000-0000A7060000}"/>
    <cellStyle name="Ввод  2 2 4" xfId="875" xr:uid="{00000000-0005-0000-0000-0000A8060000}"/>
    <cellStyle name="Ввод  2 2 4 2" xfId="2124" xr:uid="{00000000-0005-0000-0000-0000A9060000}"/>
    <cellStyle name="Ввод  2 2 4 2 2" xfId="21761" xr:uid="{00000000-0005-0000-0000-0000AA060000}"/>
    <cellStyle name="Ввод  2 2 4 2 2 2" xfId="38371" xr:uid="{1C30A0C1-CB23-4EAF-AFB8-F3DFF963CB1C}"/>
    <cellStyle name="Ввод  2 2 4 2 3" xfId="5808" xr:uid="{00000000-0005-0000-0000-0000AB060000}"/>
    <cellStyle name="Ввод  2 2 4 2 4" xfId="23689" xr:uid="{51337676-8153-498D-9FA6-09BC01E7A064}"/>
    <cellStyle name="Ввод  2 2 4 3" xfId="2367" xr:uid="{00000000-0005-0000-0000-0000AC060000}"/>
    <cellStyle name="Ввод  2 2 4 3 2" xfId="22701" xr:uid="{00000000-0005-0000-0000-0000AD060000}"/>
    <cellStyle name="Ввод  2 2 4 3 2 2" xfId="39172" xr:uid="{39FDECCA-B67F-4FC5-9BBD-908AEE7F1C21}"/>
    <cellStyle name="Ввод  2 2 4 3 3" xfId="6677" xr:uid="{00000000-0005-0000-0000-0000AE060000}"/>
    <cellStyle name="Ввод  2 2 4 3 4" xfId="24304" xr:uid="{A6A63ED9-DBC7-4535-9F8F-672A3B4ED932}"/>
    <cellStyle name="Ввод  2 2 4 4" xfId="3421" xr:uid="{00000000-0005-0000-0000-0000AF060000}"/>
    <cellStyle name="Ввод  2 2 4 4 2" xfId="23196" xr:uid="{00000000-0005-0000-0000-0000B0060000}"/>
    <cellStyle name="Ввод  2 2 4 4 3" xfId="39623" xr:uid="{01D192AC-BB35-47B0-AE0B-AE986F2D468F}"/>
    <cellStyle name="Ввод  2 2 4 5" xfId="3348" xr:uid="{00000000-0005-0000-0000-0000B1060000}"/>
    <cellStyle name="Ввод  2 2 4 5 2" xfId="21032" xr:uid="{00000000-0005-0000-0000-0000B2060000}"/>
    <cellStyle name="Ввод  2 2 4 5 3" xfId="37781" xr:uid="{5A443D10-1F8C-464A-8660-2D9EE5254BC0}"/>
    <cellStyle name="Ввод  2 2 4 6" xfId="3389" xr:uid="{00000000-0005-0000-0000-0000B3060000}"/>
    <cellStyle name="Ввод  2 2 4 7" xfId="3444" xr:uid="{00000000-0005-0000-0000-0000B4060000}"/>
    <cellStyle name="Ввод  2 2 5" xfId="2046" xr:uid="{00000000-0005-0000-0000-0000B5060000}"/>
    <cellStyle name="Ввод  2 2 5 2" xfId="22582" xr:uid="{00000000-0005-0000-0000-0000B6060000}"/>
    <cellStyle name="Ввод  2 2 5 2 2" xfId="39059" xr:uid="{E1A25626-C606-4C17-A34B-28FED9381A9D}"/>
    <cellStyle name="Ввод  2 2 5 3" xfId="5585" xr:uid="{00000000-0005-0000-0000-0000B7060000}"/>
    <cellStyle name="Ввод  2 2 5 4" xfId="23603" xr:uid="{AD354F1C-1380-4798-9F78-FABB1C7DBFF7}"/>
    <cellStyle name="Ввод  2 2 6" xfId="2774" xr:uid="{00000000-0005-0000-0000-0000B8060000}"/>
    <cellStyle name="Ввод  2 2 6 2" xfId="6597" xr:uid="{00000000-0005-0000-0000-0000B9060000}"/>
    <cellStyle name="Ввод  2 2 6 3" xfId="24224" xr:uid="{30785FB7-1205-42D4-8F16-F851682B3DDB}"/>
    <cellStyle name="Ввод  2 2 7" xfId="3118" xr:uid="{00000000-0005-0000-0000-0000BA060000}"/>
    <cellStyle name="Ввод  2 2 7 2" xfId="7381" xr:uid="{00000000-0005-0000-0000-0000BB060000}"/>
    <cellStyle name="Ввод  2 2 7 3" xfId="24850" xr:uid="{B5A91BB7-5B57-4642-934C-34A109EF9D5A}"/>
    <cellStyle name="Ввод  2 2 8" xfId="3009" xr:uid="{00000000-0005-0000-0000-0000BC060000}"/>
    <cellStyle name="Ввод  2 2 9" xfId="3308" xr:uid="{00000000-0005-0000-0000-0000BD060000}"/>
    <cellStyle name="Ввод  2 3" xfId="180" xr:uid="{00000000-0005-0000-0000-0000BE060000}"/>
    <cellStyle name="Ввод  2 3 10" xfId="3282" xr:uid="{00000000-0005-0000-0000-0000BF060000}"/>
    <cellStyle name="Ввод  2 3 2" xfId="227" xr:uid="{00000000-0005-0000-0000-0000C0060000}"/>
    <cellStyle name="Ввод  2 3 2 10" xfId="810" xr:uid="{00000000-0005-0000-0000-0000C1060000}"/>
    <cellStyle name="Ввод  2 3 2 10 2" xfId="1639" xr:uid="{00000000-0005-0000-0000-0000C2060000}"/>
    <cellStyle name="Ввод  2 3 2 10 2 2" xfId="21632" xr:uid="{00000000-0005-0000-0000-0000C3060000}"/>
    <cellStyle name="Ввод  2 3 2 10 2 2 2" xfId="38274" xr:uid="{22F2BA4C-5756-414C-A5FD-AEC7B5496075}"/>
    <cellStyle name="Ввод  2 3 2 10 2 3" xfId="6395" xr:uid="{00000000-0005-0000-0000-0000C4060000}"/>
    <cellStyle name="Ввод  2 3 2 10 2 4" xfId="24182" xr:uid="{316F42D8-400F-4C06-924B-89895C1D4B99}"/>
    <cellStyle name="Ввод  2 3 2 10 3" xfId="2292" xr:uid="{00000000-0005-0000-0000-0000C5060000}"/>
    <cellStyle name="Ввод  2 3 2 10 3 2" xfId="22254" xr:uid="{00000000-0005-0000-0000-0000C6060000}"/>
    <cellStyle name="Ввод  2 3 2 10 3 2 2" xfId="38864" xr:uid="{0FDB7C9E-CDFD-4976-8E01-AC5E1AB564D2}"/>
    <cellStyle name="Ввод  2 3 2 10 3 3" xfId="7164" xr:uid="{00000000-0005-0000-0000-0000C7060000}"/>
    <cellStyle name="Ввод  2 3 2 10 3 4" xfId="24791" xr:uid="{F46CAB42-C391-41C3-BBA2-537B3595666B}"/>
    <cellStyle name="Ввод  2 3 2 10 4" xfId="2335" xr:uid="{00000000-0005-0000-0000-0000C8060000}"/>
    <cellStyle name="Ввод  2 3 2 10 4 2" xfId="22593" xr:uid="{00000000-0005-0000-0000-0000C9060000}"/>
    <cellStyle name="Ввод  2 3 2 10 4 3" xfId="39069" xr:uid="{C82FFA5E-58AF-4C77-B597-9DC691652C86}"/>
    <cellStyle name="Ввод  2 3 2 10 5" xfId="3458" xr:uid="{00000000-0005-0000-0000-0000CA060000}"/>
    <cellStyle name="Ввод  2 3 2 10 5 2" xfId="23424" xr:uid="{00000000-0005-0000-0000-0000CB060000}"/>
    <cellStyle name="Ввод  2 3 2 10 5 3" xfId="39851" xr:uid="{3D4E614D-F6D4-4607-A179-A985009AA3F2}"/>
    <cellStyle name="Ввод  2 3 2 10 6" xfId="4368" xr:uid="{00000000-0005-0000-0000-0000CC060000}"/>
    <cellStyle name="Ввод  2 3 2 10 6 2" xfId="20895" xr:uid="{00000000-0005-0000-0000-0000CD060000}"/>
    <cellStyle name="Ввод  2 3 2 10 6 3" xfId="37685" xr:uid="{9697828E-8AB3-43B9-8E83-4C889AF8D777}"/>
    <cellStyle name="Ввод  2 3 2 10 7" xfId="4890" xr:uid="{00000000-0005-0000-0000-0000CE060000}"/>
    <cellStyle name="Ввод  2 3 2 10 8" xfId="5371" xr:uid="{00000000-0005-0000-0000-0000CF060000}"/>
    <cellStyle name="Ввод  2 3 2 11" xfId="948" xr:uid="{00000000-0005-0000-0000-0000D0060000}"/>
    <cellStyle name="Ввод  2 3 2 11 2" xfId="2076" xr:uid="{00000000-0005-0000-0000-0000D1060000}"/>
    <cellStyle name="Ввод  2 3 2 11 2 2" xfId="21794" xr:uid="{00000000-0005-0000-0000-0000D2060000}"/>
    <cellStyle name="Ввод  2 3 2 11 2 2 2" xfId="38404" xr:uid="{8031C942-25C5-41FB-820E-724722B9D1FF}"/>
    <cellStyle name="Ввод  2 3 2 11 2 3" xfId="5866" xr:uid="{00000000-0005-0000-0000-0000D3060000}"/>
    <cellStyle name="Ввод  2 3 2 11 2 4" xfId="23722" xr:uid="{76F80DB2-7AC8-474A-BBE0-6C9A4F39E28B}"/>
    <cellStyle name="Ввод  2 3 2 11 3" xfId="2863" xr:uid="{00000000-0005-0000-0000-0000D4060000}"/>
    <cellStyle name="Ввод  2 3 2 11 3 2" xfId="22722" xr:uid="{00000000-0005-0000-0000-0000D5060000}"/>
    <cellStyle name="Ввод  2 3 2 11 3 2 2" xfId="39191" xr:uid="{44FACB3F-1B8C-4D2C-AD4E-675D580E3324}"/>
    <cellStyle name="Ввод  2 3 2 11 3 3" xfId="6710" xr:uid="{00000000-0005-0000-0000-0000D6060000}"/>
    <cellStyle name="Ввод  2 3 2 11 3 4" xfId="24337" xr:uid="{1E5C2837-AEC3-44B8-8489-152A229DE35D}"/>
    <cellStyle name="Ввод  2 3 2 11 4" xfId="3691" xr:uid="{00000000-0005-0000-0000-0000D7060000}"/>
    <cellStyle name="Ввод  2 3 2 11 4 2" xfId="23210" xr:uid="{00000000-0005-0000-0000-0000D8060000}"/>
    <cellStyle name="Ввод  2 3 2 11 4 3" xfId="39637" xr:uid="{FA38BC95-C998-4B92-9B8B-3B6652A6F609}"/>
    <cellStyle name="Ввод  2 3 2 11 5" xfId="3793" xr:uid="{00000000-0005-0000-0000-0000D9060000}"/>
    <cellStyle name="Ввод  2 3 2 11 5 2" xfId="21090" xr:uid="{00000000-0005-0000-0000-0000DA060000}"/>
    <cellStyle name="Ввод  2 3 2 11 5 3" xfId="37814" xr:uid="{90C4F1F3-BF13-4DFD-AEAD-30F36010D482}"/>
    <cellStyle name="Ввод  2 3 2 11 6" xfId="4414" xr:uid="{00000000-0005-0000-0000-0000DB060000}"/>
    <cellStyle name="Ввод  2 3 2 11 7" xfId="4928" xr:uid="{00000000-0005-0000-0000-0000DC060000}"/>
    <cellStyle name="Ввод  2 3 2 12" xfId="1775" xr:uid="{00000000-0005-0000-0000-0000DD060000}"/>
    <cellStyle name="Ввод  2 3 2 12 2" xfId="20960" xr:uid="{00000000-0005-0000-0000-0000DE060000}"/>
    <cellStyle name="Ввод  2 3 2 12 2 2" xfId="37737" xr:uid="{7130CAA9-E85A-4F03-9180-F484731A9569}"/>
    <cellStyle name="Ввод  2 3 2 12 3" xfId="5703" xr:uid="{00000000-0005-0000-0000-0000DF060000}"/>
    <cellStyle name="Ввод  2 3 2 12 4" xfId="23642" xr:uid="{34DAD652-00D4-41D1-9C5C-6CA71164155F}"/>
    <cellStyle name="Ввод  2 3 2 13" xfId="2414" xr:uid="{00000000-0005-0000-0000-0000E0060000}"/>
    <cellStyle name="Ввод  2 3 2 13 2" xfId="21717" xr:uid="{00000000-0005-0000-0000-0000E1060000}"/>
    <cellStyle name="Ввод  2 3 2 13 2 2" xfId="38327" xr:uid="{4DF65CB6-0BB9-4C34-AA80-D1BCA7EBF2C1}"/>
    <cellStyle name="Ввод  2 3 2 13 3" xfId="6635" xr:uid="{00000000-0005-0000-0000-0000E2060000}"/>
    <cellStyle name="Ввод  2 3 2 13 4" xfId="24262" xr:uid="{0944A1A1-B209-4B25-9BD1-B6CFB138208F}"/>
    <cellStyle name="Ввод  2 3 2 14" xfId="3006" xr:uid="{00000000-0005-0000-0000-0000E3060000}"/>
    <cellStyle name="Ввод  2 3 2 14 2" xfId="22546" xr:uid="{00000000-0005-0000-0000-0000E4060000}"/>
    <cellStyle name="Ввод  2 3 2 14 3" xfId="39025" xr:uid="{00924A1B-FE94-40E2-80FC-D933D0B370B0}"/>
    <cellStyle name="Ввод  2 3 2 15" xfId="3770" xr:uid="{00000000-0005-0000-0000-0000E5060000}"/>
    <cellStyle name="Ввод  2 3 2 15 2" xfId="23131" xr:uid="{00000000-0005-0000-0000-0000E6060000}"/>
    <cellStyle name="Ввод  2 3 2 15 3" xfId="39584" xr:uid="{CFE8B730-616E-480F-A65B-D212BE3B950F}"/>
    <cellStyle name="Ввод  2 3 2 16" xfId="3221" xr:uid="{00000000-0005-0000-0000-0000E7060000}"/>
    <cellStyle name="Ввод  2 3 2 16 2" xfId="7484" xr:uid="{00000000-0005-0000-0000-0000E8060000}"/>
    <cellStyle name="Ввод  2 3 2 16 3" xfId="24886" xr:uid="{827AB8CB-AAF9-4547-9FF6-72E053339661}"/>
    <cellStyle name="Ввод  2 3 2 17" xfId="3332" xr:uid="{00000000-0005-0000-0000-0000E9060000}"/>
    <cellStyle name="Ввод  2 3 2 2" xfId="328" xr:uid="{00000000-0005-0000-0000-0000EA060000}"/>
    <cellStyle name="Ввод  2 3 2 2 2" xfId="1020" xr:uid="{00000000-0005-0000-0000-0000EB060000}"/>
    <cellStyle name="Ввод  2 3 2 2 2 2" xfId="21179" xr:uid="{00000000-0005-0000-0000-0000EC060000}"/>
    <cellStyle name="Ввод  2 3 2 2 2 2 2" xfId="37854" xr:uid="{E911F789-A4BE-4581-BC07-C95BE183A596}"/>
    <cellStyle name="Ввод  2 3 2 2 2 3" xfId="5959" xr:uid="{00000000-0005-0000-0000-0000ED060000}"/>
    <cellStyle name="Ввод  2 3 2 2 2 4" xfId="23762" xr:uid="{261C5573-61A6-47DA-9643-C0CBA1EF2A37}"/>
    <cellStyle name="Ввод  2 3 2 2 3" xfId="2202" xr:uid="{00000000-0005-0000-0000-0000EE060000}"/>
    <cellStyle name="Ввод  2 3 2 2 3 2" xfId="21834" xr:uid="{00000000-0005-0000-0000-0000EF060000}"/>
    <cellStyle name="Ввод  2 3 2 2 3 2 2" xfId="38444" xr:uid="{61EF5F60-3C67-4E88-AA27-D2EC13F83014}"/>
    <cellStyle name="Ввод  2 3 2 2 3 3" xfId="6748" xr:uid="{00000000-0005-0000-0000-0000F0060000}"/>
    <cellStyle name="Ввод  2 3 2 2 3 4" xfId="24375" xr:uid="{80477E80-47B5-496D-9309-BDAD55DF27E1}"/>
    <cellStyle name="Ввод  2 3 2 2 4" xfId="2542" xr:uid="{00000000-0005-0000-0000-0000F1060000}"/>
    <cellStyle name="Ввод  2 3 2 2 4 2" xfId="22775" xr:uid="{00000000-0005-0000-0000-0000F2060000}"/>
    <cellStyle name="Ввод  2 3 2 2 4 3" xfId="39243" xr:uid="{419243CA-310F-4F53-A934-E3E97C40DCBB}"/>
    <cellStyle name="Ввод  2 3 2 2 5" xfId="3337" xr:uid="{00000000-0005-0000-0000-0000F3060000}"/>
    <cellStyle name="Ввод  2 3 2 2 5 2" xfId="23228" xr:uid="{00000000-0005-0000-0000-0000F4060000}"/>
    <cellStyle name="Ввод  2 3 2 2 5 3" xfId="39655" xr:uid="{670E145A-0415-4E9F-837B-06F53D569EE2}"/>
    <cellStyle name="Ввод  2 3 2 2 6" xfId="3932" xr:uid="{00000000-0005-0000-0000-0000F5060000}"/>
    <cellStyle name="Ввод  2 3 2 2 6 2" xfId="14066" xr:uid="{00000000-0005-0000-0000-0000F6060000}"/>
    <cellStyle name="Ввод  2 3 2 2 6 3" xfId="31105" xr:uid="{360AC9C3-CF80-41E9-8B90-C45B46A3A447}"/>
    <cellStyle name="Ввод  2 3 2 2 7" xfId="4464" xr:uid="{00000000-0005-0000-0000-0000F7060000}"/>
    <cellStyle name="Ввод  2 3 2 2 8" xfId="4955" xr:uid="{00000000-0005-0000-0000-0000F8060000}"/>
    <cellStyle name="Ввод  2 3 2 3" xfId="449" xr:uid="{00000000-0005-0000-0000-0000F9060000}"/>
    <cellStyle name="Ввод  2 3 2 3 2" xfId="1281" xr:uid="{00000000-0005-0000-0000-0000FA060000}"/>
    <cellStyle name="Ввод  2 3 2 3 2 2" xfId="21274" xr:uid="{00000000-0005-0000-0000-0000FB060000}"/>
    <cellStyle name="Ввод  2 3 2 3 2 2 2" xfId="37916" xr:uid="{1FDC09D7-6295-4FFF-81B5-62F52B400327}"/>
    <cellStyle name="Ввод  2 3 2 3 2 3" xfId="6037" xr:uid="{00000000-0005-0000-0000-0000FC060000}"/>
    <cellStyle name="Ввод  2 3 2 3 2 4" xfId="23824" xr:uid="{D9C929D1-3AEA-4F66-B83F-AD9673135C48}"/>
    <cellStyle name="Ввод  2 3 2 3 3" xfId="1847" xr:uid="{00000000-0005-0000-0000-0000FD060000}"/>
    <cellStyle name="Ввод  2 3 2 3 3 2" xfId="21896" xr:uid="{00000000-0005-0000-0000-0000FE060000}"/>
    <cellStyle name="Ввод  2 3 2 3 3 2 2" xfId="38506" xr:uid="{60944034-9FC3-4D87-BDFE-B77B86762D7E}"/>
    <cellStyle name="Ввод  2 3 2 3 3 3" xfId="6807" xr:uid="{00000000-0005-0000-0000-0000FF060000}"/>
    <cellStyle name="Ввод  2 3 2 3 3 4" xfId="24434" xr:uid="{22F7C23E-7430-4351-80D9-D918B81F0631}"/>
    <cellStyle name="Ввод  2 3 2 3 4" xfId="2747" xr:uid="{00000000-0005-0000-0000-000000070000}"/>
    <cellStyle name="Ввод  2 3 2 3 4 2" xfId="22998" xr:uid="{00000000-0005-0000-0000-000001070000}"/>
    <cellStyle name="Ввод  2 3 2 3 4 3" xfId="39464" xr:uid="{917E5197-032F-46E5-9E89-96892E6F75EF}"/>
    <cellStyle name="Ввод  2 3 2 3 5" xfId="3635" xr:uid="{00000000-0005-0000-0000-000002070000}"/>
    <cellStyle name="Ввод  2 3 2 3 5 2" xfId="23257" xr:uid="{00000000-0005-0000-0000-000003070000}"/>
    <cellStyle name="Ввод  2 3 2 3 5 3" xfId="39684" xr:uid="{49016AFC-43A3-4F11-8A91-795D74495E00}"/>
    <cellStyle name="Ввод  2 3 2 3 6" xfId="4010" xr:uid="{00000000-0005-0000-0000-000004070000}"/>
    <cellStyle name="Ввод  2 3 2 3 6 2" xfId="20419" xr:uid="{00000000-0005-0000-0000-000005070000}"/>
    <cellStyle name="Ввод  2 3 2 3 6 3" xfId="37326" xr:uid="{720AB989-0BBE-4851-9343-A3F320783443}"/>
    <cellStyle name="Ввод  2 3 2 3 7" xfId="4532" xr:uid="{00000000-0005-0000-0000-000006070000}"/>
    <cellStyle name="Ввод  2 3 2 3 8" xfId="5014" xr:uid="{00000000-0005-0000-0000-000007070000}"/>
    <cellStyle name="Ввод  2 3 2 4" xfId="495" xr:uid="{00000000-0005-0000-0000-000008070000}"/>
    <cellStyle name="Ввод  2 3 2 4 2" xfId="1327" xr:uid="{00000000-0005-0000-0000-000009070000}"/>
    <cellStyle name="Ввод  2 3 2 4 2 2" xfId="21320" xr:uid="{00000000-0005-0000-0000-00000A070000}"/>
    <cellStyle name="Ввод  2 3 2 4 2 2 2" xfId="37962" xr:uid="{94D9AC66-3A03-41A0-A98A-4A850F16E225}"/>
    <cellStyle name="Ввод  2 3 2 4 2 3" xfId="6083" xr:uid="{00000000-0005-0000-0000-00000B070000}"/>
    <cellStyle name="Ввод  2 3 2 4 2 4" xfId="23870" xr:uid="{2DD959D4-D178-4B4D-8B9F-D4C5FCB8DE28}"/>
    <cellStyle name="Ввод  2 3 2 4 3" xfId="1964" xr:uid="{00000000-0005-0000-0000-00000C070000}"/>
    <cellStyle name="Ввод  2 3 2 4 3 2" xfId="21942" xr:uid="{00000000-0005-0000-0000-00000D070000}"/>
    <cellStyle name="Ввод  2 3 2 4 3 2 2" xfId="38552" xr:uid="{C26F4964-2BDF-4B51-BB26-C1A06951B1AA}"/>
    <cellStyle name="Ввод  2 3 2 4 3 3" xfId="6852" xr:uid="{00000000-0005-0000-0000-00000E070000}"/>
    <cellStyle name="Ввод  2 3 2 4 3 4" xfId="24479" xr:uid="{2CABAED4-8FA2-4892-83EF-16B13439E93C}"/>
    <cellStyle name="Ввод  2 3 2 4 4" xfId="2761" xr:uid="{00000000-0005-0000-0000-00000F070000}"/>
    <cellStyle name="Ввод  2 3 2 4 4 2" xfId="22959" xr:uid="{00000000-0005-0000-0000-000010070000}"/>
    <cellStyle name="Ввод  2 3 2 4 4 3" xfId="39425" xr:uid="{8F79D1A3-22DE-4BB9-8489-DB5D223E0BF7}"/>
    <cellStyle name="Ввод  2 3 2 4 5" xfId="3696" xr:uid="{00000000-0005-0000-0000-000011070000}"/>
    <cellStyle name="Ввод  2 3 2 4 5 2" xfId="23280" xr:uid="{00000000-0005-0000-0000-000012070000}"/>
    <cellStyle name="Ввод  2 3 2 4 5 3" xfId="39707" xr:uid="{54ACA4F1-13C5-4418-989A-045C245A9A59}"/>
    <cellStyle name="Ввод  2 3 2 4 6" xfId="4055" xr:uid="{00000000-0005-0000-0000-000013070000}"/>
    <cellStyle name="Ввод  2 3 2 4 6 2" xfId="20481" xr:uid="{00000000-0005-0000-0000-000014070000}"/>
    <cellStyle name="Ввод  2 3 2 4 6 3" xfId="37373" xr:uid="{86E7F8E9-D1B3-4A22-B6AE-B0B7A02C7C2C}"/>
    <cellStyle name="Ввод  2 3 2 4 7" xfId="4577" xr:uid="{00000000-0005-0000-0000-000015070000}"/>
    <cellStyle name="Ввод  2 3 2 4 8" xfId="5059" xr:uid="{00000000-0005-0000-0000-000016070000}"/>
    <cellStyle name="Ввод  2 3 2 5" xfId="547" xr:uid="{00000000-0005-0000-0000-000017070000}"/>
    <cellStyle name="Ввод  2 3 2 5 2" xfId="1379" xr:uid="{00000000-0005-0000-0000-000018070000}"/>
    <cellStyle name="Ввод  2 3 2 5 2 2" xfId="21372" xr:uid="{00000000-0005-0000-0000-000019070000}"/>
    <cellStyle name="Ввод  2 3 2 5 2 2 2" xfId="38014" xr:uid="{06BEFF40-C489-477A-A52D-82D22CEBABCC}"/>
    <cellStyle name="Ввод  2 3 2 5 2 3" xfId="6135" xr:uid="{00000000-0005-0000-0000-00001A070000}"/>
    <cellStyle name="Ввод  2 3 2 5 2 4" xfId="23922" xr:uid="{47ECA4B7-5642-4F31-932A-0C80C1D7F3F8}"/>
    <cellStyle name="Ввод  2 3 2 5 3" xfId="2029" xr:uid="{00000000-0005-0000-0000-00001B070000}"/>
    <cellStyle name="Ввод  2 3 2 5 3 2" xfId="21994" xr:uid="{00000000-0005-0000-0000-00001C070000}"/>
    <cellStyle name="Ввод  2 3 2 5 3 2 2" xfId="38604" xr:uid="{B115E7EC-13D8-4E3D-98C3-F8B6F050D08E}"/>
    <cellStyle name="Ввод  2 3 2 5 3 3" xfId="6904" xr:uid="{00000000-0005-0000-0000-00001D070000}"/>
    <cellStyle name="Ввод  2 3 2 5 3 4" xfId="24531" xr:uid="{1EDF8301-9DA6-447E-96F3-84549C556EEE}"/>
    <cellStyle name="Ввод  2 3 2 5 4" xfId="2817" xr:uid="{00000000-0005-0000-0000-00001E070000}"/>
    <cellStyle name="Ввод  2 3 2 5 4 2" xfId="22963" xr:uid="{00000000-0005-0000-0000-00001F070000}"/>
    <cellStyle name="Ввод  2 3 2 5 4 3" xfId="39429" xr:uid="{AD5C143B-B19B-4EE8-9153-2CC72E7AA8CC}"/>
    <cellStyle name="Ввод  2 3 2 5 5" xfId="3750" xr:uid="{00000000-0005-0000-0000-000020070000}"/>
    <cellStyle name="Ввод  2 3 2 5 5 2" xfId="23304" xr:uid="{00000000-0005-0000-0000-000021070000}"/>
    <cellStyle name="Ввод  2 3 2 5 5 3" xfId="39731" xr:uid="{9897A172-3E64-4BD2-B0D5-47D407AA3E5D}"/>
    <cellStyle name="Ввод  2 3 2 5 6" xfId="4107" xr:uid="{00000000-0005-0000-0000-000022070000}"/>
    <cellStyle name="Ввод  2 3 2 5 6 2" xfId="20593" xr:uid="{00000000-0005-0000-0000-000023070000}"/>
    <cellStyle name="Ввод  2 3 2 5 6 3" xfId="37439" xr:uid="{B4EF78A2-39AE-454B-BDB9-1E043A3164D5}"/>
    <cellStyle name="Ввод  2 3 2 5 7" xfId="4629" xr:uid="{00000000-0005-0000-0000-000024070000}"/>
    <cellStyle name="Ввод  2 3 2 5 8" xfId="5111" xr:uid="{00000000-0005-0000-0000-000025070000}"/>
    <cellStyle name="Ввод  2 3 2 6" xfId="599" xr:uid="{00000000-0005-0000-0000-000026070000}"/>
    <cellStyle name="Ввод  2 3 2 6 2" xfId="1431" xr:uid="{00000000-0005-0000-0000-000027070000}"/>
    <cellStyle name="Ввод  2 3 2 6 2 2" xfId="21424" xr:uid="{00000000-0005-0000-0000-000028070000}"/>
    <cellStyle name="Ввод  2 3 2 6 2 2 2" xfId="38066" xr:uid="{A151EC6E-5899-4DD6-A598-4CF9C1C17699}"/>
    <cellStyle name="Ввод  2 3 2 6 2 3" xfId="6187" xr:uid="{00000000-0005-0000-0000-000029070000}"/>
    <cellStyle name="Ввод  2 3 2 6 2 4" xfId="23974" xr:uid="{576F2C9E-C9A9-435A-A2A2-97AA6C3482C7}"/>
    <cellStyle name="Ввод  2 3 2 6 3" xfId="2228" xr:uid="{00000000-0005-0000-0000-00002A070000}"/>
    <cellStyle name="Ввод  2 3 2 6 3 2" xfId="22046" xr:uid="{00000000-0005-0000-0000-00002B070000}"/>
    <cellStyle name="Ввод  2 3 2 6 3 2 2" xfId="38656" xr:uid="{0A1FDF59-F3B1-447F-9151-3CCFABEC6A02}"/>
    <cellStyle name="Ввод  2 3 2 6 3 3" xfId="6956" xr:uid="{00000000-0005-0000-0000-00002C070000}"/>
    <cellStyle name="Ввод  2 3 2 6 3 4" xfId="24583" xr:uid="{86008E29-4BDE-412C-BF4B-0335BD0BCDFD}"/>
    <cellStyle name="Ввод  2 3 2 6 4" xfId="2696" xr:uid="{00000000-0005-0000-0000-00002D070000}"/>
    <cellStyle name="Ввод  2 3 2 6 4 2" xfId="22888" xr:uid="{00000000-0005-0000-0000-00002E070000}"/>
    <cellStyle name="Ввод  2 3 2 6 4 3" xfId="39354" xr:uid="{5FABCE62-1738-4764-9B62-8C6EEE238943}"/>
    <cellStyle name="Ввод  2 3 2 6 5" xfId="3532" xr:uid="{00000000-0005-0000-0000-00002F070000}"/>
    <cellStyle name="Ввод  2 3 2 6 5 2" xfId="23328" xr:uid="{00000000-0005-0000-0000-000030070000}"/>
    <cellStyle name="Ввод  2 3 2 6 5 3" xfId="39755" xr:uid="{3B18A4B3-C440-4E2B-93AA-AA7CDC488BDE}"/>
    <cellStyle name="Ввод  2 3 2 6 6" xfId="4159" xr:uid="{00000000-0005-0000-0000-000031070000}"/>
    <cellStyle name="Ввод  2 3 2 6 6 2" xfId="20635" xr:uid="{00000000-0005-0000-0000-000032070000}"/>
    <cellStyle name="Ввод  2 3 2 6 6 3" xfId="37477" xr:uid="{3625CECA-0868-439E-84E1-ED335B64525E}"/>
    <cellStyle name="Ввод  2 3 2 6 7" xfId="4681" xr:uid="{00000000-0005-0000-0000-000033070000}"/>
    <cellStyle name="Ввод  2 3 2 6 8" xfId="5163" xr:uid="{00000000-0005-0000-0000-000034070000}"/>
    <cellStyle name="Ввод  2 3 2 7" xfId="698" xr:uid="{00000000-0005-0000-0000-000035070000}"/>
    <cellStyle name="Ввод  2 3 2 7 2" xfId="1528" xr:uid="{00000000-0005-0000-0000-000036070000}"/>
    <cellStyle name="Ввод  2 3 2 7 2 2" xfId="21521" xr:uid="{00000000-0005-0000-0000-000037070000}"/>
    <cellStyle name="Ввод  2 3 2 7 2 2 2" xfId="38163" xr:uid="{9D7186A7-95D1-40CF-BCFE-EA03660C1194}"/>
    <cellStyle name="Ввод  2 3 2 7 2 3" xfId="6284" xr:uid="{00000000-0005-0000-0000-000038070000}"/>
    <cellStyle name="Ввод  2 3 2 7 2 4" xfId="24071" xr:uid="{773E9675-B1AE-47CA-A750-9719AA8346AF}"/>
    <cellStyle name="Ввод  2 3 2 7 3" xfId="1719" xr:uid="{00000000-0005-0000-0000-000039070000}"/>
    <cellStyle name="Ввод  2 3 2 7 3 2" xfId="22143" xr:uid="{00000000-0005-0000-0000-00003A070000}"/>
    <cellStyle name="Ввод  2 3 2 7 3 2 2" xfId="38753" xr:uid="{251DF9F5-2103-404E-9F8E-0CA808AC811B}"/>
    <cellStyle name="Ввод  2 3 2 7 3 3" xfId="7053" xr:uid="{00000000-0005-0000-0000-00003B070000}"/>
    <cellStyle name="Ввод  2 3 2 7 3 4" xfId="24680" xr:uid="{868F2502-75EB-4C99-A99C-51288AFF35D7}"/>
    <cellStyle name="Ввод  2 3 2 7 4" xfId="2388" xr:uid="{00000000-0005-0000-0000-00003C070000}"/>
    <cellStyle name="Ввод  2 3 2 7 4 2" xfId="22558" xr:uid="{00000000-0005-0000-0000-00003D070000}"/>
    <cellStyle name="Ввод  2 3 2 7 4 3" xfId="39036" xr:uid="{D1413268-7496-49D2-A0F9-47F10D457A98}"/>
    <cellStyle name="Ввод  2 3 2 7 5" xfId="3030" xr:uid="{00000000-0005-0000-0000-00003E070000}"/>
    <cellStyle name="Ввод  2 3 2 7 5 2" xfId="23369" xr:uid="{00000000-0005-0000-0000-00003F070000}"/>
    <cellStyle name="Ввод  2 3 2 7 5 3" xfId="39796" xr:uid="{086B05BE-F060-416A-953D-355147A0D1C1}"/>
    <cellStyle name="Ввод  2 3 2 7 6" xfId="4257" xr:uid="{00000000-0005-0000-0000-000040070000}"/>
    <cellStyle name="Ввод  2 3 2 7 6 2" xfId="20700" xr:uid="{00000000-0005-0000-0000-000041070000}"/>
    <cellStyle name="Ввод  2 3 2 7 6 3" xfId="37529" xr:uid="{424FFE12-7F93-434E-A226-389177C87503}"/>
    <cellStyle name="Ввод  2 3 2 7 7" xfId="4779" xr:uid="{00000000-0005-0000-0000-000042070000}"/>
    <cellStyle name="Ввод  2 3 2 7 8" xfId="5260" xr:uid="{00000000-0005-0000-0000-000043070000}"/>
    <cellStyle name="Ввод  2 3 2 8" xfId="744" xr:uid="{00000000-0005-0000-0000-000044070000}"/>
    <cellStyle name="Ввод  2 3 2 8 2" xfId="1574" xr:uid="{00000000-0005-0000-0000-000045070000}"/>
    <cellStyle name="Ввод  2 3 2 8 2 2" xfId="21567" xr:uid="{00000000-0005-0000-0000-000046070000}"/>
    <cellStyle name="Ввод  2 3 2 8 2 2 2" xfId="38209" xr:uid="{56E816E6-D6B0-44F9-8C9C-1AF754C171D4}"/>
    <cellStyle name="Ввод  2 3 2 8 2 3" xfId="6330" xr:uid="{00000000-0005-0000-0000-000047070000}"/>
    <cellStyle name="Ввод  2 3 2 8 2 4" xfId="24117" xr:uid="{5A66E241-CFE4-4A49-B7FC-62638B1A04EB}"/>
    <cellStyle name="Ввод  2 3 2 8 3" xfId="1744" xr:uid="{00000000-0005-0000-0000-000048070000}"/>
    <cellStyle name="Ввод  2 3 2 8 3 2" xfId="22189" xr:uid="{00000000-0005-0000-0000-000049070000}"/>
    <cellStyle name="Ввод  2 3 2 8 3 2 2" xfId="38799" xr:uid="{DD3E0E57-D3DD-46E4-9411-2C43D7E2CD61}"/>
    <cellStyle name="Ввод  2 3 2 8 3 3" xfId="7099" xr:uid="{00000000-0005-0000-0000-00004A070000}"/>
    <cellStyle name="Ввод  2 3 2 8 3 4" xfId="24726" xr:uid="{C14A909C-DBC3-4CB1-B4DF-EA0D86A4CCCC}"/>
    <cellStyle name="Ввод  2 3 2 8 4" xfId="2643" xr:uid="{00000000-0005-0000-0000-00004B070000}"/>
    <cellStyle name="Ввод  2 3 2 8 4 2" xfId="22526" xr:uid="{00000000-0005-0000-0000-00004C070000}"/>
    <cellStyle name="Ввод  2 3 2 8 4 3" xfId="39005" xr:uid="{F848F000-A7BA-4C04-8F4E-405548F35321}"/>
    <cellStyle name="Ввод  2 3 2 8 5" xfId="2967" xr:uid="{00000000-0005-0000-0000-00004D070000}"/>
    <cellStyle name="Ввод  2 3 2 8 5 2" xfId="23392" xr:uid="{00000000-0005-0000-0000-00004E070000}"/>
    <cellStyle name="Ввод  2 3 2 8 5 3" xfId="39819" xr:uid="{73E198A2-5C31-4BC7-BCB8-B3490F5AC0CB}"/>
    <cellStyle name="Ввод  2 3 2 8 6" xfId="4303" xr:uid="{00000000-0005-0000-0000-00004F070000}"/>
    <cellStyle name="Ввод  2 3 2 8 6 2" xfId="20765" xr:uid="{00000000-0005-0000-0000-000050070000}"/>
    <cellStyle name="Ввод  2 3 2 8 6 3" xfId="37581" xr:uid="{1B448FFB-3729-4598-9D03-F6130417A9F1}"/>
    <cellStyle name="Ввод  2 3 2 8 7" xfId="4825" xr:uid="{00000000-0005-0000-0000-000051070000}"/>
    <cellStyle name="Ввод  2 3 2 8 8" xfId="5306" xr:uid="{00000000-0005-0000-0000-000052070000}"/>
    <cellStyle name="Ввод  2 3 2 9" xfId="778" xr:uid="{00000000-0005-0000-0000-000053070000}"/>
    <cellStyle name="Ввод  2 3 2 9 2" xfId="1607" xr:uid="{00000000-0005-0000-0000-000054070000}"/>
    <cellStyle name="Ввод  2 3 2 9 2 2" xfId="21600" xr:uid="{00000000-0005-0000-0000-000055070000}"/>
    <cellStyle name="Ввод  2 3 2 9 2 2 2" xfId="38242" xr:uid="{CAE96DB1-52E4-46C5-98C2-80B2E3B8647C}"/>
    <cellStyle name="Ввод  2 3 2 9 2 3" xfId="6363" xr:uid="{00000000-0005-0000-0000-000056070000}"/>
    <cellStyle name="Ввод  2 3 2 9 2 4" xfId="24150" xr:uid="{36EC747D-A935-47CC-A605-3C487D03BD56}"/>
    <cellStyle name="Ввод  2 3 2 9 3" xfId="2287" xr:uid="{00000000-0005-0000-0000-000057070000}"/>
    <cellStyle name="Ввод  2 3 2 9 3 2" xfId="22222" xr:uid="{00000000-0005-0000-0000-000058070000}"/>
    <cellStyle name="Ввод  2 3 2 9 3 2 2" xfId="38832" xr:uid="{77FF7801-643A-4518-A1AE-05E19D70E9F7}"/>
    <cellStyle name="Ввод  2 3 2 9 3 3" xfId="7132" xr:uid="{00000000-0005-0000-0000-000059070000}"/>
    <cellStyle name="Ввод  2 3 2 9 3 4" xfId="24759" xr:uid="{187608A4-F3BC-4ADF-A9F7-8F280085E74D}"/>
    <cellStyle name="Ввод  2 3 2 9 4" xfId="2510" xr:uid="{00000000-0005-0000-0000-00005A070000}"/>
    <cellStyle name="Ввод  2 3 2 9 4 2" xfId="22597" xr:uid="{00000000-0005-0000-0000-00005B070000}"/>
    <cellStyle name="Ввод  2 3 2 9 4 3" xfId="39073" xr:uid="{2CAA16DD-CDAC-4CBA-9555-256081B9021E}"/>
    <cellStyle name="Ввод  2 3 2 9 5" xfId="3140" xr:uid="{00000000-0005-0000-0000-00005C070000}"/>
    <cellStyle name="Ввод  2 3 2 9 5 2" xfId="23408" xr:uid="{00000000-0005-0000-0000-00005D070000}"/>
    <cellStyle name="Ввод  2 3 2 9 5 3" xfId="39835" xr:uid="{70A7B530-FC3F-4EBA-9600-ECE8B78C7586}"/>
    <cellStyle name="Ввод  2 3 2 9 6" xfId="4336" xr:uid="{00000000-0005-0000-0000-00005E070000}"/>
    <cellStyle name="Ввод  2 3 2 9 6 2" xfId="20830" xr:uid="{00000000-0005-0000-0000-00005F070000}"/>
    <cellStyle name="Ввод  2 3 2 9 6 3" xfId="37633" xr:uid="{AB7CDA5F-6C7E-4600-9914-64E761DF5573}"/>
    <cellStyle name="Ввод  2 3 2 9 7" xfId="4858" xr:uid="{00000000-0005-0000-0000-000060070000}"/>
    <cellStyle name="Ввод  2 3 2 9 8" xfId="5339" xr:uid="{00000000-0005-0000-0000-000061070000}"/>
    <cellStyle name="Ввод  2 3 3" xfId="366" xr:uid="{00000000-0005-0000-0000-000062070000}"/>
    <cellStyle name="Ввод  2 3 3 10" xfId="989" xr:uid="{00000000-0005-0000-0000-000063070000}"/>
    <cellStyle name="Ввод  2 3 3 10 2" xfId="2048" xr:uid="{00000000-0005-0000-0000-000064070000}"/>
    <cellStyle name="Ввод  2 3 3 10 2 2" xfId="21855" xr:uid="{00000000-0005-0000-0000-000065070000}"/>
    <cellStyle name="Ввод  2 3 3 10 2 2 2" xfId="38465" xr:uid="{C1CA7AA7-D33D-416D-8FED-822C3A035A25}"/>
    <cellStyle name="Ввод  2 3 3 10 2 3" xfId="5995" xr:uid="{00000000-0005-0000-0000-000066070000}"/>
    <cellStyle name="Ввод  2 3 3 10 2 4" xfId="23783" xr:uid="{15D5B0A5-0A77-4E18-B72B-A71EBBB4DFBE}"/>
    <cellStyle name="Ввод  2 3 3 10 3" xfId="2838" xr:uid="{00000000-0005-0000-0000-000067070000}"/>
    <cellStyle name="Ввод  2 3 3 10 3 2" xfId="22967" xr:uid="{00000000-0005-0000-0000-000068070000}"/>
    <cellStyle name="Ввод  2 3 3 10 3 2 2" xfId="39433" xr:uid="{1573D52D-A424-4D2C-9F5E-380E1275E544}"/>
    <cellStyle name="Ввод  2 3 3 10 3 3" xfId="6769" xr:uid="{00000000-0005-0000-0000-000069070000}"/>
    <cellStyle name="Ввод  2 3 3 10 3 4" xfId="24396" xr:uid="{3EFBC5DE-4862-4EF7-931A-E6499BF2BFC3}"/>
    <cellStyle name="Ввод  2 3 3 10 4" xfId="3158" xr:uid="{00000000-0005-0000-0000-00006A070000}"/>
    <cellStyle name="Ввод  2 3 3 10 4 2" xfId="23238" xr:uid="{00000000-0005-0000-0000-00006B070000}"/>
    <cellStyle name="Ввод  2 3 3 10 4 3" xfId="39665" xr:uid="{92CF90DC-9666-40D9-B217-3B9913CE3B80}"/>
    <cellStyle name="Ввод  2 3 3 10 5" xfId="3959" xr:uid="{00000000-0005-0000-0000-00006C070000}"/>
    <cellStyle name="Ввод  2 3 3 10 5 2" xfId="21214" xr:uid="{00000000-0005-0000-0000-00006D070000}"/>
    <cellStyle name="Ввод  2 3 3 10 5 3" xfId="37875" xr:uid="{CE1E0AE6-3FE1-479D-943F-DCF94D4E583C}"/>
    <cellStyle name="Ввод  2 3 3 10 6" xfId="4487" xr:uid="{00000000-0005-0000-0000-00006E070000}"/>
    <cellStyle name="Ввод  2 3 3 10 7" xfId="4976" xr:uid="{00000000-0005-0000-0000-00006F070000}"/>
    <cellStyle name="Ввод  2 3 3 11" xfId="1774" xr:uid="{00000000-0005-0000-0000-000070070000}"/>
    <cellStyle name="Ввод  2 3 3 11 2" xfId="20981" xr:uid="{00000000-0005-0000-0000-000071070000}"/>
    <cellStyle name="Ввод  2 3 3 11 2 2" xfId="37758" xr:uid="{C5E4F5F7-2EEF-4243-A04A-40C8EA5E9378}"/>
    <cellStyle name="Ввод  2 3 3 11 3" xfId="5739" xr:uid="{00000000-0005-0000-0000-000072070000}"/>
    <cellStyle name="Ввод  2 3 3 11 4" xfId="23663" xr:uid="{1420AFEF-3470-4455-B698-7DA02A871FF6}"/>
    <cellStyle name="Ввод  2 3 3 12" xfId="2409" xr:uid="{00000000-0005-0000-0000-000073070000}"/>
    <cellStyle name="Ввод  2 3 3 12 2" xfId="21738" xr:uid="{00000000-0005-0000-0000-000074070000}"/>
    <cellStyle name="Ввод  2 3 3 12 2 2" xfId="38348" xr:uid="{DB627F66-DCC6-4F5C-A3C7-197D13CBBD5C}"/>
    <cellStyle name="Ввод  2 3 3 12 3" xfId="6656" xr:uid="{00000000-0005-0000-0000-000075070000}"/>
    <cellStyle name="Ввод  2 3 3 12 4" xfId="24283" xr:uid="{0E01CC31-86BD-46D6-837A-57240D057247}"/>
    <cellStyle name="Ввод  2 3 3 13" xfId="3403" xr:uid="{00000000-0005-0000-0000-000076070000}"/>
    <cellStyle name="Ввод  2 3 3 13 2" xfId="22693" xr:uid="{00000000-0005-0000-0000-000077070000}"/>
    <cellStyle name="Ввод  2 3 3 13 3" xfId="39165" xr:uid="{949E8E8B-2410-41F8-BCA8-37274BB13555}"/>
    <cellStyle name="Ввод  2 3 3 14" xfId="3474" xr:uid="{00000000-0005-0000-0000-000078070000}"/>
    <cellStyle name="Ввод  2 3 3 14 2" xfId="23184" xr:uid="{00000000-0005-0000-0000-000079070000}"/>
    <cellStyle name="Ввод  2 3 3 14 3" xfId="39611" xr:uid="{CC256E96-A799-45DD-8198-397CDC6756FB}"/>
    <cellStyle name="Ввод  2 3 3 15" xfId="3040" xr:uid="{00000000-0005-0000-0000-00007A070000}"/>
    <cellStyle name="Ввод  2 3 3 15 2" xfId="14035" xr:uid="{00000000-0005-0000-0000-00007B070000}"/>
    <cellStyle name="Ввод  2 3 3 15 3" xfId="31074" xr:uid="{0344056D-FB3E-42F1-8872-E2D5284D74A1}"/>
    <cellStyle name="Ввод  2 3 3 16" xfId="3970" xr:uid="{00000000-0005-0000-0000-00007C070000}"/>
    <cellStyle name="Ввод  2 3 3 2" xfId="471" xr:uid="{00000000-0005-0000-0000-00007D070000}"/>
    <cellStyle name="Ввод  2 3 3 2 2" xfId="1303" xr:uid="{00000000-0005-0000-0000-00007E070000}"/>
    <cellStyle name="Ввод  2 3 3 2 2 2" xfId="21296" xr:uid="{00000000-0005-0000-0000-00007F070000}"/>
    <cellStyle name="Ввод  2 3 3 2 2 2 2" xfId="37938" xr:uid="{7436ADE6-952E-4C3B-B338-4F36D55DD2B9}"/>
    <cellStyle name="Ввод  2 3 3 2 2 3" xfId="6059" xr:uid="{00000000-0005-0000-0000-000080070000}"/>
    <cellStyle name="Ввод  2 3 3 2 2 4" xfId="23846" xr:uid="{DB930CCB-6C42-44D4-A9D9-9FEF88BD6543}"/>
    <cellStyle name="Ввод  2 3 3 2 3" xfId="1946" xr:uid="{00000000-0005-0000-0000-000081070000}"/>
    <cellStyle name="Ввод  2 3 3 2 3 2" xfId="21918" xr:uid="{00000000-0005-0000-0000-000082070000}"/>
    <cellStyle name="Ввод  2 3 3 2 3 2 2" xfId="38528" xr:uid="{3FF432EE-B461-4892-A56F-29CD0DCFFFCB}"/>
    <cellStyle name="Ввод  2 3 3 2 3 3" xfId="6828" xr:uid="{00000000-0005-0000-0000-000083070000}"/>
    <cellStyle name="Ввод  2 3 3 2 3 4" xfId="24455" xr:uid="{23844A70-4DA2-4DF5-8C00-055EC8EBA2DD}"/>
    <cellStyle name="Ввод  2 3 3 2 4" xfId="2757" xr:uid="{00000000-0005-0000-0000-000084070000}"/>
    <cellStyle name="Ввод  2 3 3 2 4 2" xfId="23023" xr:uid="{00000000-0005-0000-0000-000085070000}"/>
    <cellStyle name="Ввод  2 3 3 2 4 3" xfId="39489" xr:uid="{9F88C4C8-FD15-466E-B4FB-4DEA2B03A69A}"/>
    <cellStyle name="Ввод  2 3 3 2 5" xfId="3714" xr:uid="{00000000-0005-0000-0000-000086070000}"/>
    <cellStyle name="Ввод  2 3 3 2 5 2" xfId="23268" xr:uid="{00000000-0005-0000-0000-000087070000}"/>
    <cellStyle name="Ввод  2 3 3 2 5 3" xfId="39695" xr:uid="{EB692C20-9B47-4DAA-A526-007645017B6B}"/>
    <cellStyle name="Ввод  2 3 3 2 6" xfId="4031" xr:uid="{00000000-0005-0000-0000-000088070000}"/>
    <cellStyle name="Ввод  2 3 3 2 6 2" xfId="20455" xr:uid="{00000000-0005-0000-0000-000089070000}"/>
    <cellStyle name="Ввод  2 3 3 2 6 3" xfId="37347" xr:uid="{8DD2121D-6ABE-4FA8-86E4-950169B31288}"/>
    <cellStyle name="Ввод  2 3 3 2 7" xfId="4553" xr:uid="{00000000-0005-0000-0000-00008A070000}"/>
    <cellStyle name="Ввод  2 3 3 2 8" xfId="5035" xr:uid="{00000000-0005-0000-0000-00008B070000}"/>
    <cellStyle name="Ввод  2 3 3 3" xfId="516" xr:uid="{00000000-0005-0000-0000-00008C070000}"/>
    <cellStyle name="Ввод  2 3 3 3 2" xfId="1348" xr:uid="{00000000-0005-0000-0000-00008D070000}"/>
    <cellStyle name="Ввод  2 3 3 3 2 2" xfId="21341" xr:uid="{00000000-0005-0000-0000-00008E070000}"/>
    <cellStyle name="Ввод  2 3 3 3 2 2 2" xfId="37983" xr:uid="{8316CDCB-D9E9-4A7D-B3D7-BFA7943C2BB9}"/>
    <cellStyle name="Ввод  2 3 3 3 2 3" xfId="6104" xr:uid="{00000000-0005-0000-0000-00008F070000}"/>
    <cellStyle name="Ввод  2 3 3 3 2 4" xfId="23891" xr:uid="{3226D3F2-2E40-4221-B0DC-3F0227600110}"/>
    <cellStyle name="Ввод  2 3 3 3 3" xfId="2187" xr:uid="{00000000-0005-0000-0000-000090070000}"/>
    <cellStyle name="Ввод  2 3 3 3 3 2" xfId="21963" xr:uid="{00000000-0005-0000-0000-000091070000}"/>
    <cellStyle name="Ввод  2 3 3 3 3 2 2" xfId="38573" xr:uid="{7035881A-3B22-4AC1-AFEC-9B73C4087AB6}"/>
    <cellStyle name="Ввод  2 3 3 3 3 3" xfId="6873" xr:uid="{00000000-0005-0000-0000-000092070000}"/>
    <cellStyle name="Ввод  2 3 3 3 3 4" xfId="24500" xr:uid="{EAC5004C-6333-43EF-822F-5FCF9C68C763}"/>
    <cellStyle name="Ввод  2 3 3 3 4" xfId="2431" xr:uid="{00000000-0005-0000-0000-000093070000}"/>
    <cellStyle name="Ввод  2 3 3 3 4 2" xfId="22720" xr:uid="{00000000-0005-0000-0000-000094070000}"/>
    <cellStyle name="Ввод  2 3 3 3 4 3" xfId="39189" xr:uid="{C961C4DD-0C81-48DA-9D9C-46497A5C19F3}"/>
    <cellStyle name="Ввод  2 3 3 3 5" xfId="3683" xr:uid="{00000000-0005-0000-0000-000095070000}"/>
    <cellStyle name="Ввод  2 3 3 3 5 2" xfId="23290" xr:uid="{00000000-0005-0000-0000-000096070000}"/>
    <cellStyle name="Ввод  2 3 3 3 5 3" xfId="39717" xr:uid="{631832CD-BA79-429F-82B4-3D7B2058FF9D}"/>
    <cellStyle name="Ввод  2 3 3 3 6" xfId="4076" xr:uid="{00000000-0005-0000-0000-000097070000}"/>
    <cellStyle name="Ввод  2 3 3 3 6 2" xfId="20502" xr:uid="{00000000-0005-0000-0000-000098070000}"/>
    <cellStyle name="Ввод  2 3 3 3 6 3" xfId="37394" xr:uid="{39E10F73-C18B-429D-9CD1-BE897B38ABD0}"/>
    <cellStyle name="Ввод  2 3 3 3 7" xfId="4598" xr:uid="{00000000-0005-0000-0000-000099070000}"/>
    <cellStyle name="Ввод  2 3 3 3 8" xfId="5080" xr:uid="{00000000-0005-0000-0000-00009A070000}"/>
    <cellStyle name="Ввод  2 3 3 4" xfId="568" xr:uid="{00000000-0005-0000-0000-00009B070000}"/>
    <cellStyle name="Ввод  2 3 3 4 2" xfId="1400" xr:uid="{00000000-0005-0000-0000-00009C070000}"/>
    <cellStyle name="Ввод  2 3 3 4 2 2" xfId="21393" xr:uid="{00000000-0005-0000-0000-00009D070000}"/>
    <cellStyle name="Ввод  2 3 3 4 2 2 2" xfId="38035" xr:uid="{47AA2688-9C86-4038-9E0A-185481B5FB39}"/>
    <cellStyle name="Ввод  2 3 3 4 2 3" xfId="6156" xr:uid="{00000000-0005-0000-0000-00009E070000}"/>
    <cellStyle name="Ввод  2 3 3 4 2 4" xfId="23943" xr:uid="{711B20A0-A737-457A-B1FE-340EA026D684}"/>
    <cellStyle name="Ввод  2 3 3 4 3" xfId="2201" xr:uid="{00000000-0005-0000-0000-00009F070000}"/>
    <cellStyle name="Ввод  2 3 3 4 3 2" xfId="22015" xr:uid="{00000000-0005-0000-0000-0000A0070000}"/>
    <cellStyle name="Ввод  2 3 3 4 3 2 2" xfId="38625" xr:uid="{07B326F1-2D09-4C5B-98A3-28EA04A67D96}"/>
    <cellStyle name="Ввод  2 3 3 4 3 3" xfId="6925" xr:uid="{00000000-0005-0000-0000-0000A1070000}"/>
    <cellStyle name="Ввод  2 3 3 4 3 4" xfId="24552" xr:uid="{8D61CD7A-3F7A-47D1-BF1B-67700C35E2D3}"/>
    <cellStyle name="Ввод  2 3 3 4 4" xfId="2540" xr:uid="{00000000-0005-0000-0000-0000A2070000}"/>
    <cellStyle name="Ввод  2 3 3 4 4 2" xfId="22758" xr:uid="{00000000-0005-0000-0000-0000A3070000}"/>
    <cellStyle name="Ввод  2 3 3 4 4 3" xfId="39227" xr:uid="{A76558DC-0B25-4FB5-924D-87EC6D9ABC99}"/>
    <cellStyle name="Ввод  2 3 3 4 5" xfId="3335" xr:uid="{00000000-0005-0000-0000-0000A4070000}"/>
    <cellStyle name="Ввод  2 3 3 4 5 2" xfId="23314" xr:uid="{00000000-0005-0000-0000-0000A5070000}"/>
    <cellStyle name="Ввод  2 3 3 4 5 3" xfId="39741" xr:uid="{3F8EE709-204E-4A49-A170-00DFD6061A33}"/>
    <cellStyle name="Ввод  2 3 3 4 6" xfId="4128" xr:uid="{00000000-0005-0000-0000-0000A6070000}"/>
    <cellStyle name="Ввод  2 3 3 4 6 2" xfId="20618" xr:uid="{00000000-0005-0000-0000-0000A7070000}"/>
    <cellStyle name="Ввод  2 3 3 4 6 3" xfId="37460" xr:uid="{CE4C7295-BBEE-418E-8F0E-D587F1158B56}"/>
    <cellStyle name="Ввод  2 3 3 4 7" xfId="4650" xr:uid="{00000000-0005-0000-0000-0000A8070000}"/>
    <cellStyle name="Ввод  2 3 3 4 8" xfId="5132" xr:uid="{00000000-0005-0000-0000-0000A9070000}"/>
    <cellStyle name="Ввод  2 3 3 5" xfId="620" xr:uid="{00000000-0005-0000-0000-0000AA070000}"/>
    <cellStyle name="Ввод  2 3 3 5 2" xfId="1452" xr:uid="{00000000-0005-0000-0000-0000AB070000}"/>
    <cellStyle name="Ввод  2 3 3 5 2 2" xfId="21445" xr:uid="{00000000-0005-0000-0000-0000AC070000}"/>
    <cellStyle name="Ввод  2 3 3 5 2 2 2" xfId="38087" xr:uid="{B0DBEA84-4415-4CAB-BF73-660B0D70C3A2}"/>
    <cellStyle name="Ввод  2 3 3 5 2 3" xfId="6208" xr:uid="{00000000-0005-0000-0000-0000AD070000}"/>
    <cellStyle name="Ввод  2 3 3 5 2 4" xfId="23995" xr:uid="{170817EF-61B2-47E9-86B8-EA9E37516762}"/>
    <cellStyle name="Ввод  2 3 3 5 3" xfId="1851" xr:uid="{00000000-0005-0000-0000-0000AE070000}"/>
    <cellStyle name="Ввод  2 3 3 5 3 2" xfId="22067" xr:uid="{00000000-0005-0000-0000-0000AF070000}"/>
    <cellStyle name="Ввод  2 3 3 5 3 2 2" xfId="38677" xr:uid="{EAA6BCAF-B281-4F7C-8032-C3D06D1B9D59}"/>
    <cellStyle name="Ввод  2 3 3 5 3 3" xfId="6977" xr:uid="{00000000-0005-0000-0000-0000B0070000}"/>
    <cellStyle name="Ввод  2 3 3 5 3 4" xfId="24604" xr:uid="{09FEB423-4CFC-454B-AFEA-0F8C11E08F5A}"/>
    <cellStyle name="Ввод  2 3 3 5 4" xfId="2751" xr:uid="{00000000-0005-0000-0000-0000B1070000}"/>
    <cellStyle name="Ввод  2 3 3 5 4 2" xfId="23006" xr:uid="{00000000-0005-0000-0000-0000B2070000}"/>
    <cellStyle name="Ввод  2 3 3 5 4 3" xfId="39472" xr:uid="{F801DBEC-FAC4-4C5F-B8B2-EA9CAE00A1EF}"/>
    <cellStyle name="Ввод  2 3 3 5 5" xfId="3641" xr:uid="{00000000-0005-0000-0000-0000B3070000}"/>
    <cellStyle name="Ввод  2 3 3 5 5 2" xfId="23338" xr:uid="{00000000-0005-0000-0000-0000B4070000}"/>
    <cellStyle name="Ввод  2 3 3 5 5 3" xfId="39765" xr:uid="{5CCDCF35-C3C2-4C44-9F4D-3647CC928A6B}"/>
    <cellStyle name="Ввод  2 3 3 5 6" xfId="4180" xr:uid="{00000000-0005-0000-0000-0000B5070000}"/>
    <cellStyle name="Ввод  2 3 3 5 6 2" xfId="20656" xr:uid="{00000000-0005-0000-0000-0000B6070000}"/>
    <cellStyle name="Ввод  2 3 3 5 6 3" xfId="37498" xr:uid="{38651C88-C285-4341-8591-D6BD20EF0EF9}"/>
    <cellStyle name="Ввод  2 3 3 5 7" xfId="4702" xr:uid="{00000000-0005-0000-0000-0000B7070000}"/>
    <cellStyle name="Ввод  2 3 3 5 8" xfId="5184" xr:uid="{00000000-0005-0000-0000-0000B8070000}"/>
    <cellStyle name="Ввод  2 3 3 6" xfId="723" xr:uid="{00000000-0005-0000-0000-0000B9070000}"/>
    <cellStyle name="Ввод  2 3 3 6 2" xfId="1553" xr:uid="{00000000-0005-0000-0000-0000BA070000}"/>
    <cellStyle name="Ввод  2 3 3 6 2 2" xfId="21546" xr:uid="{00000000-0005-0000-0000-0000BB070000}"/>
    <cellStyle name="Ввод  2 3 3 6 2 2 2" xfId="38188" xr:uid="{CE43497B-6921-47CC-91AB-8F9C16E3D8F9}"/>
    <cellStyle name="Ввод  2 3 3 6 2 3" xfId="6309" xr:uid="{00000000-0005-0000-0000-0000BC070000}"/>
    <cellStyle name="Ввод  2 3 3 6 2 4" xfId="24096" xr:uid="{21854F0A-FC02-4CDC-9A91-0C00007004F5}"/>
    <cellStyle name="Ввод  2 3 3 6 3" xfId="2294" xr:uid="{00000000-0005-0000-0000-0000BD070000}"/>
    <cellStyle name="Ввод  2 3 3 6 3 2" xfId="22168" xr:uid="{00000000-0005-0000-0000-0000BE070000}"/>
    <cellStyle name="Ввод  2 3 3 6 3 2 2" xfId="38778" xr:uid="{9B0CD47D-F68E-4C9C-9FD5-DA5C0B5D1321}"/>
    <cellStyle name="Ввод  2 3 3 6 3 3" xfId="7078" xr:uid="{00000000-0005-0000-0000-0000BF070000}"/>
    <cellStyle name="Ввод  2 3 3 6 3 4" xfId="24705" xr:uid="{3AD02883-4289-48F6-A543-A145B3C920CB}"/>
    <cellStyle name="Ввод  2 3 3 6 4" xfId="2346" xr:uid="{00000000-0005-0000-0000-0000C0070000}"/>
    <cellStyle name="Ввод  2 3 3 6 4 2" xfId="22491" xr:uid="{00000000-0005-0000-0000-0000C1070000}"/>
    <cellStyle name="Ввод  2 3 3 6 4 3" xfId="38983" xr:uid="{2B6D1D1A-D26B-461A-A520-FD016181B10D}"/>
    <cellStyle name="Ввод  2 3 3 6 5" xfId="2973" xr:uid="{00000000-0005-0000-0000-0000C2070000}"/>
    <cellStyle name="Ввод  2 3 3 6 5 2" xfId="23380" xr:uid="{00000000-0005-0000-0000-0000C3070000}"/>
    <cellStyle name="Ввод  2 3 3 6 5 3" xfId="39807" xr:uid="{0683F11E-F102-45BA-9C9C-09B2FB8888E2}"/>
    <cellStyle name="Ввод  2 3 3 6 6" xfId="4282" xr:uid="{00000000-0005-0000-0000-0000C4070000}"/>
    <cellStyle name="Ввод  2 3 3 6 6 2" xfId="20721" xr:uid="{00000000-0005-0000-0000-0000C5070000}"/>
    <cellStyle name="Ввод  2 3 3 6 6 3" xfId="37550" xr:uid="{CCDDF697-67F0-447A-9F0A-11F8B12C7F85}"/>
    <cellStyle name="Ввод  2 3 3 6 7" xfId="4804" xr:uid="{00000000-0005-0000-0000-0000C6070000}"/>
    <cellStyle name="Ввод  2 3 3 6 8" xfId="5285" xr:uid="{00000000-0005-0000-0000-0000C7070000}"/>
    <cellStyle name="Ввод  2 3 3 7" xfId="767" xr:uid="{00000000-0005-0000-0000-0000C8070000}"/>
    <cellStyle name="Ввод  2 3 3 7 2" xfId="1596" xr:uid="{00000000-0005-0000-0000-0000C9070000}"/>
    <cellStyle name="Ввод  2 3 3 7 2 2" xfId="21589" xr:uid="{00000000-0005-0000-0000-0000CA070000}"/>
    <cellStyle name="Ввод  2 3 3 7 2 2 2" xfId="38231" xr:uid="{67C51210-168E-49FF-A505-F96F86A94BE9}"/>
    <cellStyle name="Ввод  2 3 3 7 2 3" xfId="6352" xr:uid="{00000000-0005-0000-0000-0000CB070000}"/>
    <cellStyle name="Ввод  2 3 3 7 2 4" xfId="24139" xr:uid="{EABBBB4B-57EC-42D4-B1EF-51D69CC8F899}"/>
    <cellStyle name="Ввод  2 3 3 7 3" xfId="1808" xr:uid="{00000000-0005-0000-0000-0000CC070000}"/>
    <cellStyle name="Ввод  2 3 3 7 3 2" xfId="22211" xr:uid="{00000000-0005-0000-0000-0000CD070000}"/>
    <cellStyle name="Ввод  2 3 3 7 3 2 2" xfId="38821" xr:uid="{34897598-A80E-43B2-86DB-05988A5AEDAD}"/>
    <cellStyle name="Ввод  2 3 3 7 3 3" xfId="7121" xr:uid="{00000000-0005-0000-0000-0000CE070000}"/>
    <cellStyle name="Ввод  2 3 3 7 3 4" xfId="24748" xr:uid="{147378E1-8238-4558-AA62-C2A096701719}"/>
    <cellStyle name="Ввод  2 3 3 7 4" xfId="2926" xr:uid="{00000000-0005-0000-0000-0000CF070000}"/>
    <cellStyle name="Ввод  2 3 3 7 4 2" xfId="22658" xr:uid="{00000000-0005-0000-0000-0000D0070000}"/>
    <cellStyle name="Ввод  2 3 3 7 4 3" xfId="39130" xr:uid="{35E1EBA4-648E-4157-9AB6-00774A9B4A39}"/>
    <cellStyle name="Ввод  2 3 3 7 5" xfId="3279" xr:uid="{00000000-0005-0000-0000-0000D1070000}"/>
    <cellStyle name="Ввод  2 3 3 7 5 2" xfId="23402" xr:uid="{00000000-0005-0000-0000-0000D2070000}"/>
    <cellStyle name="Ввод  2 3 3 7 5 3" xfId="39829" xr:uid="{C131C51F-B9BF-4B3B-A7CB-96314A018560}"/>
    <cellStyle name="Ввод  2 3 3 7 6" xfId="4325" xr:uid="{00000000-0005-0000-0000-0000D3070000}"/>
    <cellStyle name="Ввод  2 3 3 7 6 2" xfId="20786" xr:uid="{00000000-0005-0000-0000-0000D4070000}"/>
    <cellStyle name="Ввод  2 3 3 7 6 3" xfId="37602" xr:uid="{24E8DD53-4DFE-4979-9CDA-376C66221558}"/>
    <cellStyle name="Ввод  2 3 3 7 7" xfId="4847" xr:uid="{00000000-0005-0000-0000-0000D5070000}"/>
    <cellStyle name="Ввод  2 3 3 7 8" xfId="5328" xr:uid="{00000000-0005-0000-0000-0000D6070000}"/>
    <cellStyle name="Ввод  2 3 3 8" xfId="799" xr:uid="{00000000-0005-0000-0000-0000D7070000}"/>
    <cellStyle name="Ввод  2 3 3 8 2" xfId="1628" xr:uid="{00000000-0005-0000-0000-0000D8070000}"/>
    <cellStyle name="Ввод  2 3 3 8 2 2" xfId="21621" xr:uid="{00000000-0005-0000-0000-0000D9070000}"/>
    <cellStyle name="Ввод  2 3 3 8 2 2 2" xfId="38263" xr:uid="{6B178C56-A10C-4B45-90C3-B5C419DEFE50}"/>
    <cellStyle name="Ввод  2 3 3 8 2 3" xfId="6384" xr:uid="{00000000-0005-0000-0000-0000DA070000}"/>
    <cellStyle name="Ввод  2 3 3 8 2 4" xfId="24171" xr:uid="{95FFB9A2-4013-41E2-B3B8-E4A80B423907}"/>
    <cellStyle name="Ввод  2 3 3 8 3" xfId="1804" xr:uid="{00000000-0005-0000-0000-0000DB070000}"/>
    <cellStyle name="Ввод  2 3 3 8 3 2" xfId="22243" xr:uid="{00000000-0005-0000-0000-0000DC070000}"/>
    <cellStyle name="Ввод  2 3 3 8 3 2 2" xfId="38853" xr:uid="{39D6E6BC-5D44-4120-8423-A4D58B4C61C5}"/>
    <cellStyle name="Ввод  2 3 3 8 3 3" xfId="7153" xr:uid="{00000000-0005-0000-0000-0000DD070000}"/>
    <cellStyle name="Ввод  2 3 3 8 3 4" xfId="24780" xr:uid="{BB908B18-F5A5-4F4D-B445-BAB66266D3A8}"/>
    <cellStyle name="Ввод  2 3 3 8 4" xfId="2447" xr:uid="{00000000-0005-0000-0000-0000DE070000}"/>
    <cellStyle name="Ввод  2 3 3 8 4 2" xfId="22654" xr:uid="{00000000-0005-0000-0000-0000DF070000}"/>
    <cellStyle name="Ввод  2 3 3 8 4 3" xfId="39126" xr:uid="{1404098F-BB36-4737-A5EB-FCA67F91FD7A}"/>
    <cellStyle name="Ввод  2 3 3 8 5" xfId="3859" xr:uid="{00000000-0005-0000-0000-0000E0070000}"/>
    <cellStyle name="Ввод  2 3 3 8 5 2" xfId="23418" xr:uid="{00000000-0005-0000-0000-0000E1070000}"/>
    <cellStyle name="Ввод  2 3 3 8 5 3" xfId="39845" xr:uid="{A94C7D51-6E6E-4CB2-BD93-BED1DB12C3CB}"/>
    <cellStyle name="Ввод  2 3 3 8 6" xfId="4357" xr:uid="{00000000-0005-0000-0000-0000E2070000}"/>
    <cellStyle name="Ввод  2 3 3 8 6 2" xfId="20851" xr:uid="{00000000-0005-0000-0000-0000E3070000}"/>
    <cellStyle name="Ввод  2 3 3 8 6 3" xfId="37654" xr:uid="{E27D10DC-2BFE-4B03-B6E9-8FAC65A29110}"/>
    <cellStyle name="Ввод  2 3 3 8 7" xfId="4879" xr:uid="{00000000-0005-0000-0000-0000E4070000}"/>
    <cellStyle name="Ввод  2 3 3 8 8" xfId="5360" xr:uid="{00000000-0005-0000-0000-0000E5070000}"/>
    <cellStyle name="Ввод  2 3 3 9" xfId="831" xr:uid="{00000000-0005-0000-0000-0000E6070000}"/>
    <cellStyle name="Ввод  2 3 3 9 2" xfId="1660" xr:uid="{00000000-0005-0000-0000-0000E7070000}"/>
    <cellStyle name="Ввод  2 3 3 9 2 2" xfId="21653" xr:uid="{00000000-0005-0000-0000-0000E8070000}"/>
    <cellStyle name="Ввод  2 3 3 9 2 2 2" xfId="38295" xr:uid="{9AD61AA2-68C4-4642-89B2-7C69EC801018}"/>
    <cellStyle name="Ввод  2 3 3 9 2 3" xfId="6416" xr:uid="{00000000-0005-0000-0000-0000E9070000}"/>
    <cellStyle name="Ввод  2 3 3 9 2 4" xfId="24203" xr:uid="{AEE33FB5-DCDE-42A9-B1EE-9C6C0989E4C5}"/>
    <cellStyle name="Ввод  2 3 3 9 3" xfId="1800" xr:uid="{00000000-0005-0000-0000-0000EA070000}"/>
    <cellStyle name="Ввод  2 3 3 9 3 2" xfId="22275" xr:uid="{00000000-0005-0000-0000-0000EB070000}"/>
    <cellStyle name="Ввод  2 3 3 9 3 2 2" xfId="38885" xr:uid="{319E857F-BB1D-469E-B55C-C838371C34BC}"/>
    <cellStyle name="Ввод  2 3 3 9 3 3" xfId="7185" xr:uid="{00000000-0005-0000-0000-0000EC070000}"/>
    <cellStyle name="Ввод  2 3 3 9 3 4" xfId="24812" xr:uid="{11D6B5AE-33D2-4CD4-9BC2-BCD0DA4033B9}"/>
    <cellStyle name="Ввод  2 3 3 9 4" xfId="2647" xr:uid="{00000000-0005-0000-0000-0000ED070000}"/>
    <cellStyle name="Ввод  2 3 3 9 4 2" xfId="22650" xr:uid="{00000000-0005-0000-0000-0000EE070000}"/>
    <cellStyle name="Ввод  2 3 3 9 4 3" xfId="39122" xr:uid="{E021165F-F580-4A04-8F02-FE8D5188B745}"/>
    <cellStyle name="Ввод  2 3 3 9 5" xfId="3378" xr:uid="{00000000-0005-0000-0000-0000EF070000}"/>
    <cellStyle name="Ввод  2 3 3 9 5 2" xfId="23434" xr:uid="{00000000-0005-0000-0000-0000F0070000}"/>
    <cellStyle name="Ввод  2 3 3 9 5 3" xfId="39861" xr:uid="{E6FF59E8-B5E8-4441-B704-79C1FCB5BFA6}"/>
    <cellStyle name="Ввод  2 3 3 9 6" xfId="4389" xr:uid="{00000000-0005-0000-0000-0000F1070000}"/>
    <cellStyle name="Ввод  2 3 3 9 6 2" xfId="20916" xr:uid="{00000000-0005-0000-0000-0000F2070000}"/>
    <cellStyle name="Ввод  2 3 3 9 6 3" xfId="37706" xr:uid="{29273DF8-DA81-4915-99E5-0CA87538DFAE}"/>
    <cellStyle name="Ввод  2 3 3 9 7" xfId="4911" xr:uid="{00000000-0005-0000-0000-0000F3070000}"/>
    <cellStyle name="Ввод  2 3 3 9 8" xfId="5392" xr:uid="{00000000-0005-0000-0000-0000F4070000}"/>
    <cellStyle name="Ввод  2 3 4" xfId="880" xr:uid="{00000000-0005-0000-0000-0000F5070000}"/>
    <cellStyle name="Ввод  2 3 4 2" xfId="1943" xr:uid="{00000000-0005-0000-0000-0000F6070000}"/>
    <cellStyle name="Ввод  2 3 4 2 2" xfId="21766" xr:uid="{00000000-0005-0000-0000-0000F7070000}"/>
    <cellStyle name="Ввод  2 3 4 2 2 2" xfId="38376" xr:uid="{1C9EB659-209A-4B4E-A5C8-A861BAA3F851}"/>
    <cellStyle name="Ввод  2 3 4 2 3" xfId="5823" xr:uid="{00000000-0005-0000-0000-0000F8070000}"/>
    <cellStyle name="Ввод  2 3 4 2 4" xfId="23694" xr:uid="{30D84923-0058-40B4-A0FF-8D03BC402BCF}"/>
    <cellStyle name="Ввод  2 3 4 3" xfId="2728" xr:uid="{00000000-0005-0000-0000-0000F9070000}"/>
    <cellStyle name="Ввод  2 3 4 3 2" xfId="22540" xr:uid="{00000000-0005-0000-0000-0000FA070000}"/>
    <cellStyle name="Ввод  2 3 4 3 2 2" xfId="39019" xr:uid="{ACAD33DA-9AB0-4507-BF79-CB0E507397AB}"/>
    <cellStyle name="Ввод  2 3 4 3 3" xfId="6682" xr:uid="{00000000-0005-0000-0000-0000FB070000}"/>
    <cellStyle name="Ввод  2 3 4 3 4" xfId="24309" xr:uid="{8A3CE2AC-7CEA-41F5-90FE-BBCFB06B4AE5}"/>
    <cellStyle name="Ввод  2 3 4 4" xfId="2993" xr:uid="{00000000-0005-0000-0000-0000FC070000}"/>
    <cellStyle name="Ввод  2 3 4 4 2" xfId="23198" xr:uid="{00000000-0005-0000-0000-0000FD070000}"/>
    <cellStyle name="Ввод  2 3 4 4 3" xfId="39625" xr:uid="{147D6081-3FDA-4EDE-B420-ABB95BD4E4E7}"/>
    <cellStyle name="Ввод  2 3 4 5" xfId="3075" xr:uid="{00000000-0005-0000-0000-0000FE070000}"/>
    <cellStyle name="Ввод  2 3 4 5 2" xfId="21047" xr:uid="{00000000-0005-0000-0000-0000FF070000}"/>
    <cellStyle name="Ввод  2 3 4 5 3" xfId="37786" xr:uid="{D0678E3C-56B6-456D-8103-DB257AB4F4DE}"/>
    <cellStyle name="Ввод  2 3 4 6" xfId="4402" xr:uid="{00000000-0005-0000-0000-000000080000}"/>
    <cellStyle name="Ввод  2 3 4 7" xfId="4923" xr:uid="{00000000-0005-0000-0000-000001080000}"/>
    <cellStyle name="Ввод  2 3 5" xfId="2190" xr:uid="{00000000-0005-0000-0000-000002080000}"/>
    <cellStyle name="Ввод  2 3 5 2" xfId="22786" xr:uid="{00000000-0005-0000-0000-000003080000}"/>
    <cellStyle name="Ввод  2 3 5 2 2" xfId="39253" xr:uid="{3993C397-0CFD-4289-8884-033831E3C891}"/>
    <cellStyle name="Ввод  2 3 5 3" xfId="5600" xr:uid="{00000000-0005-0000-0000-000004080000}"/>
    <cellStyle name="Ввод  2 3 5 4" xfId="23608" xr:uid="{72549C19-D15E-4FE2-ACA7-B7BE3B008779}"/>
    <cellStyle name="Ввод  2 3 6" xfId="2495" xr:uid="{00000000-0005-0000-0000-000005080000}"/>
    <cellStyle name="Ввод  2 3 6 2" xfId="6602" xr:uid="{00000000-0005-0000-0000-000006080000}"/>
    <cellStyle name="Ввод  2 3 6 3" xfId="24229" xr:uid="{A4CD2039-03BD-4498-9422-719D8ABC6998}"/>
    <cellStyle name="Ввод  2 3 7" xfId="3437" xr:uid="{00000000-0005-0000-0000-000007080000}"/>
    <cellStyle name="Ввод  2 3 7 2" xfId="7395" xr:uid="{00000000-0005-0000-0000-000008080000}"/>
    <cellStyle name="Ввод  2 3 7 3" xfId="24855" xr:uid="{1D662485-CD01-47AF-BE4C-DA3D5EEB0E12}"/>
    <cellStyle name="Ввод  2 3 8" xfId="3632" xr:uid="{00000000-0005-0000-0000-000009080000}"/>
    <cellStyle name="Ввод  2 3 9" xfId="3046" xr:uid="{00000000-0005-0000-0000-00000A080000}"/>
    <cellStyle name="Ввод  2 4" xfId="190" xr:uid="{00000000-0005-0000-0000-00000B080000}"/>
    <cellStyle name="Ввод  2 4 10" xfId="3901" xr:uid="{00000000-0005-0000-0000-00000C080000}"/>
    <cellStyle name="Ввод  2 4 2" xfId="232" xr:uid="{00000000-0005-0000-0000-00000D080000}"/>
    <cellStyle name="Ввод  2 4 2 10" xfId="815" xr:uid="{00000000-0005-0000-0000-00000E080000}"/>
    <cellStyle name="Ввод  2 4 2 10 2" xfId="1644" xr:uid="{00000000-0005-0000-0000-00000F080000}"/>
    <cellStyle name="Ввод  2 4 2 10 2 2" xfId="21637" xr:uid="{00000000-0005-0000-0000-000010080000}"/>
    <cellStyle name="Ввод  2 4 2 10 2 2 2" xfId="38279" xr:uid="{A0E560CA-8764-43FD-8EC9-74C254C9F7CA}"/>
    <cellStyle name="Ввод  2 4 2 10 2 3" xfId="6400" xr:uid="{00000000-0005-0000-0000-000011080000}"/>
    <cellStyle name="Ввод  2 4 2 10 2 4" xfId="24187" xr:uid="{830F3DD5-3497-4B6A-B35A-69243AE0805E}"/>
    <cellStyle name="Ввод  2 4 2 10 3" xfId="1802" xr:uid="{00000000-0005-0000-0000-000012080000}"/>
    <cellStyle name="Ввод  2 4 2 10 3 2" xfId="22259" xr:uid="{00000000-0005-0000-0000-000013080000}"/>
    <cellStyle name="Ввод  2 4 2 10 3 2 2" xfId="38869" xr:uid="{F4EBA242-8732-473E-900B-3D08A6655C5D}"/>
    <cellStyle name="Ввод  2 4 2 10 3 3" xfId="7169" xr:uid="{00000000-0005-0000-0000-000014080000}"/>
    <cellStyle name="Ввод  2 4 2 10 3 4" xfId="24796" xr:uid="{C56E1D36-306E-4E6C-A2E4-618D115E3CB8}"/>
    <cellStyle name="Ввод  2 4 2 10 4" xfId="2531" xr:uid="{00000000-0005-0000-0000-000015080000}"/>
    <cellStyle name="Ввод  2 4 2 10 4 2" xfId="22652" xr:uid="{00000000-0005-0000-0000-000016080000}"/>
    <cellStyle name="Ввод  2 4 2 10 4 3" xfId="39124" xr:uid="{6F9C8619-EBD9-4BF2-A313-33888B680289}"/>
    <cellStyle name="Ввод  2 4 2 10 5" xfId="3012" xr:uid="{00000000-0005-0000-0000-000017080000}"/>
    <cellStyle name="Ввод  2 4 2 10 5 2" xfId="23426" xr:uid="{00000000-0005-0000-0000-000018080000}"/>
    <cellStyle name="Ввод  2 4 2 10 5 3" xfId="39853" xr:uid="{E6258BF2-427B-4CCF-A247-4B427C0F7820}"/>
    <cellStyle name="Ввод  2 4 2 10 6" xfId="4373" xr:uid="{00000000-0005-0000-0000-000019080000}"/>
    <cellStyle name="Ввод  2 4 2 10 6 2" xfId="20900" xr:uid="{00000000-0005-0000-0000-00001A080000}"/>
    <cellStyle name="Ввод  2 4 2 10 6 3" xfId="37690" xr:uid="{EE6D9061-D19D-4103-890F-CAEF86B83E02}"/>
    <cellStyle name="Ввод  2 4 2 10 7" xfId="4895" xr:uid="{00000000-0005-0000-0000-00001B080000}"/>
    <cellStyle name="Ввод  2 4 2 10 8" xfId="5376" xr:uid="{00000000-0005-0000-0000-00001C080000}"/>
    <cellStyle name="Ввод  2 4 2 11" xfId="953" xr:uid="{00000000-0005-0000-0000-00001D080000}"/>
    <cellStyle name="Ввод  2 4 2 11 2" xfId="1839" xr:uid="{00000000-0005-0000-0000-00001E080000}"/>
    <cellStyle name="Ввод  2 4 2 11 2 2" xfId="21799" xr:uid="{00000000-0005-0000-0000-00001F080000}"/>
    <cellStyle name="Ввод  2 4 2 11 2 2 2" xfId="38409" xr:uid="{B55D0CF3-9EEA-431D-B74F-ED0C168CA32B}"/>
    <cellStyle name="Ввод  2 4 2 11 2 3" xfId="5871" xr:uid="{00000000-0005-0000-0000-000020080000}"/>
    <cellStyle name="Ввод  2 4 2 11 2 4" xfId="23727" xr:uid="{0E49C01C-8AB4-4721-8665-1F6DFB82C5F2}"/>
    <cellStyle name="Ввод  2 4 2 11 3" xfId="2682" xr:uid="{00000000-0005-0000-0000-000021080000}"/>
    <cellStyle name="Ввод  2 4 2 11 3 2" xfId="23079" xr:uid="{00000000-0005-0000-0000-000022080000}"/>
    <cellStyle name="Ввод  2 4 2 11 3 2 2" xfId="39545" xr:uid="{85AB7558-7CC6-4978-BC92-BE2C0DE5DE28}"/>
    <cellStyle name="Ввод  2 4 2 11 3 3" xfId="6715" xr:uid="{00000000-0005-0000-0000-000023080000}"/>
    <cellStyle name="Ввод  2 4 2 11 3 4" xfId="24342" xr:uid="{9B213AA6-F2CB-49FE-90F1-C1D4986E55AA}"/>
    <cellStyle name="Ввод  2 4 2 11 4" xfId="3804" xr:uid="{00000000-0005-0000-0000-000024080000}"/>
    <cellStyle name="Ввод  2 4 2 11 4 2" xfId="23212" xr:uid="{00000000-0005-0000-0000-000025080000}"/>
    <cellStyle name="Ввод  2 4 2 11 4 3" xfId="39639" xr:uid="{9A5B79F3-618C-408E-983B-088E62D3C74E}"/>
    <cellStyle name="Ввод  2 4 2 11 5" xfId="3081" xr:uid="{00000000-0005-0000-0000-000026080000}"/>
    <cellStyle name="Ввод  2 4 2 11 5 2" xfId="21095" xr:uid="{00000000-0005-0000-0000-000027080000}"/>
    <cellStyle name="Ввод  2 4 2 11 5 3" xfId="37819" xr:uid="{5AE663A2-F110-492E-84BD-E3BC2113F4FF}"/>
    <cellStyle name="Ввод  2 4 2 11 6" xfId="3895" xr:uid="{00000000-0005-0000-0000-000028080000}"/>
    <cellStyle name="Ввод  2 4 2 11 7" xfId="4433" xr:uid="{00000000-0005-0000-0000-000029080000}"/>
    <cellStyle name="Ввод  2 4 2 12" xfId="1969" xr:uid="{00000000-0005-0000-0000-00002A080000}"/>
    <cellStyle name="Ввод  2 4 2 12 2" xfId="20965" xr:uid="{00000000-0005-0000-0000-00002B080000}"/>
    <cellStyle name="Ввод  2 4 2 12 2 2" xfId="37742" xr:uid="{4155DC48-91D5-44EF-AB6D-BA1F0298D101}"/>
    <cellStyle name="Ввод  2 4 2 12 3" xfId="5713" xr:uid="{00000000-0005-0000-0000-00002C080000}"/>
    <cellStyle name="Ввод  2 4 2 12 4" xfId="23647" xr:uid="{81182E8D-E834-4E25-BC12-58C15C8C5DAC}"/>
    <cellStyle name="Ввод  2 4 2 13" xfId="2617" xr:uid="{00000000-0005-0000-0000-00002D080000}"/>
    <cellStyle name="Ввод  2 4 2 13 2" xfId="21722" xr:uid="{00000000-0005-0000-0000-00002E080000}"/>
    <cellStyle name="Ввод  2 4 2 13 2 2" xfId="38332" xr:uid="{A7039507-03E0-40AF-AD7C-2899375F7CD1}"/>
    <cellStyle name="Ввод  2 4 2 13 3" xfId="6640" xr:uid="{00000000-0005-0000-0000-00002F080000}"/>
    <cellStyle name="Ввод  2 4 2 13 4" xfId="24267" xr:uid="{C3DAA468-118D-432E-A702-06093AD1F743}"/>
    <cellStyle name="Ввод  2 4 2 14" xfId="3201" xr:uid="{00000000-0005-0000-0000-000030080000}"/>
    <cellStyle name="Ввод  2 4 2 14 2" xfId="22585" xr:uid="{00000000-0005-0000-0000-000031080000}"/>
    <cellStyle name="Ввод  2 4 2 14 3" xfId="39061" xr:uid="{1D10F43A-4E74-4E89-B886-39D470A9CA96}"/>
    <cellStyle name="Ввод  2 4 2 15" xfId="3129" xr:uid="{00000000-0005-0000-0000-000032080000}"/>
    <cellStyle name="Ввод  2 4 2 15 2" xfId="23138" xr:uid="{00000000-0005-0000-0000-000033080000}"/>
    <cellStyle name="Ввод  2 4 2 15 3" xfId="39588" xr:uid="{2C4A4B83-FACB-4401-8AD4-1CCED143DBC4}"/>
    <cellStyle name="Ввод  2 4 2 16" xfId="3388" xr:uid="{00000000-0005-0000-0000-000034080000}"/>
    <cellStyle name="Ввод  2 4 2 16 2" xfId="7489" xr:uid="{00000000-0005-0000-0000-000035080000}"/>
    <cellStyle name="Ввод  2 4 2 16 3" xfId="24891" xr:uid="{FF1553F7-3F10-47C4-8223-C2C00BF46DD8}"/>
    <cellStyle name="Ввод  2 4 2 17" xfId="3088" xr:uid="{00000000-0005-0000-0000-000036080000}"/>
    <cellStyle name="Ввод  2 4 2 2" xfId="338" xr:uid="{00000000-0005-0000-0000-000037080000}"/>
    <cellStyle name="Ввод  2 4 2 2 2" xfId="1025" xr:uid="{00000000-0005-0000-0000-000038080000}"/>
    <cellStyle name="Ввод  2 4 2 2 2 2" xfId="21189" xr:uid="{00000000-0005-0000-0000-000039080000}"/>
    <cellStyle name="Ввод  2 4 2 2 2 2 2" xfId="37859" xr:uid="{AAE93185-A6DD-43D5-926B-824848DCADD6}"/>
    <cellStyle name="Ввод  2 4 2 2 2 3" xfId="5969" xr:uid="{00000000-0005-0000-0000-00003A080000}"/>
    <cellStyle name="Ввод  2 4 2 2 2 4" xfId="23767" xr:uid="{A9B17475-04C2-41FA-99B7-BDA55C90E176}"/>
    <cellStyle name="Ввод  2 4 2 2 3" xfId="2128" xr:uid="{00000000-0005-0000-0000-00003B080000}"/>
    <cellStyle name="Ввод  2 4 2 2 3 2" xfId="21839" xr:uid="{00000000-0005-0000-0000-00003C080000}"/>
    <cellStyle name="Ввод  2 4 2 2 3 2 2" xfId="38449" xr:uid="{9F0C62E6-1B2F-4707-A501-780A2859C6E5}"/>
    <cellStyle name="Ввод  2 4 2 2 3 3" xfId="6753" xr:uid="{00000000-0005-0000-0000-00003D080000}"/>
    <cellStyle name="Ввод  2 4 2 2 3 4" xfId="24380" xr:uid="{C1150979-F861-498D-8999-D9B7B8728B56}"/>
    <cellStyle name="Ввод  2 4 2 2 4" xfId="2488" xr:uid="{00000000-0005-0000-0000-00003E080000}"/>
    <cellStyle name="Ввод  2 4 2 2 4 2" xfId="22744" xr:uid="{00000000-0005-0000-0000-00003F080000}"/>
    <cellStyle name="Ввод  2 4 2 2 4 3" xfId="39213" xr:uid="{37B5691F-216A-4127-B0C2-08A444E57B5D}"/>
    <cellStyle name="Ввод  2 4 2 2 5" xfId="3364" xr:uid="{00000000-0005-0000-0000-000040080000}"/>
    <cellStyle name="Ввод  2 4 2 2 5 2" xfId="23230" xr:uid="{00000000-0005-0000-0000-000041080000}"/>
    <cellStyle name="Ввод  2 4 2 2 5 3" xfId="39657" xr:uid="{802F4A6E-0B63-43E1-A4CA-8F0405E35CA6}"/>
    <cellStyle name="Ввод  2 4 2 2 6" xfId="3940" xr:uid="{00000000-0005-0000-0000-000042080000}"/>
    <cellStyle name="Ввод  2 4 2 2 6 2" xfId="14071" xr:uid="{00000000-0005-0000-0000-000043080000}"/>
    <cellStyle name="Ввод  2 4 2 2 6 3" xfId="31110" xr:uid="{9F577861-7BA4-4C36-B135-2671D40F57DD}"/>
    <cellStyle name="Ввод  2 4 2 2 7" xfId="4470" xr:uid="{00000000-0005-0000-0000-000044080000}"/>
    <cellStyle name="Ввод  2 4 2 2 8" xfId="4960" xr:uid="{00000000-0005-0000-0000-000045080000}"/>
    <cellStyle name="Ввод  2 4 2 3" xfId="454" xr:uid="{00000000-0005-0000-0000-000046080000}"/>
    <cellStyle name="Ввод  2 4 2 3 2" xfId="1286" xr:uid="{00000000-0005-0000-0000-000047080000}"/>
    <cellStyle name="Ввод  2 4 2 3 2 2" xfId="21279" xr:uid="{00000000-0005-0000-0000-000048080000}"/>
    <cellStyle name="Ввод  2 4 2 3 2 2 2" xfId="37921" xr:uid="{7854E281-7843-47F0-A51A-3BAABBEBE587}"/>
    <cellStyle name="Ввод  2 4 2 3 2 3" xfId="6042" xr:uid="{00000000-0005-0000-0000-000049080000}"/>
    <cellStyle name="Ввод  2 4 2 3 2 4" xfId="23829" xr:uid="{56165C48-3D4B-4E08-895B-114C68A63024}"/>
    <cellStyle name="Ввод  2 4 2 3 3" xfId="2100" xr:uid="{00000000-0005-0000-0000-00004A080000}"/>
    <cellStyle name="Ввод  2 4 2 3 3 2" xfId="21901" xr:uid="{00000000-0005-0000-0000-00004B080000}"/>
    <cellStyle name="Ввод  2 4 2 3 3 2 2" xfId="38511" xr:uid="{EC95411F-44BB-4898-AE8E-5674A82852CD}"/>
    <cellStyle name="Ввод  2 4 2 3 3 3" xfId="6812" xr:uid="{00000000-0005-0000-0000-00004C080000}"/>
    <cellStyle name="Ввод  2 4 2 3 3 4" xfId="24439" xr:uid="{83D4564C-26CF-4D56-A8FA-FDA0F65D63FE}"/>
    <cellStyle name="Ввод  2 4 2 3 4" xfId="2793" xr:uid="{00000000-0005-0000-0000-00004D080000}"/>
    <cellStyle name="Ввод  2 4 2 3 4 2" xfId="22778" xr:uid="{00000000-0005-0000-0000-00004E080000}"/>
    <cellStyle name="Ввод  2 4 2 3 4 3" xfId="39246" xr:uid="{CC05AA1C-F905-4EE6-868D-4E063F34348E}"/>
    <cellStyle name="Ввод  2 4 2 3 5" xfId="3351" xr:uid="{00000000-0005-0000-0000-00004F080000}"/>
    <cellStyle name="Ввод  2 4 2 3 5 2" xfId="23259" xr:uid="{00000000-0005-0000-0000-000050080000}"/>
    <cellStyle name="Ввод  2 4 2 3 5 3" xfId="39686" xr:uid="{87C30EC8-59DF-4262-A1AC-42087EC740C4}"/>
    <cellStyle name="Ввод  2 4 2 3 6" xfId="4015" xr:uid="{00000000-0005-0000-0000-000051080000}"/>
    <cellStyle name="Ввод  2 4 2 3 6 2" xfId="20429" xr:uid="{00000000-0005-0000-0000-000052080000}"/>
    <cellStyle name="Ввод  2 4 2 3 6 3" xfId="37331" xr:uid="{EAA3351A-7CBE-4EC0-B7B3-2F94A9FB11DB}"/>
    <cellStyle name="Ввод  2 4 2 3 7" xfId="4537" xr:uid="{00000000-0005-0000-0000-000053080000}"/>
    <cellStyle name="Ввод  2 4 2 3 8" xfId="5019" xr:uid="{00000000-0005-0000-0000-000054080000}"/>
    <cellStyle name="Ввод  2 4 2 4" xfId="500" xr:uid="{00000000-0005-0000-0000-000055080000}"/>
    <cellStyle name="Ввод  2 4 2 4 2" xfId="1332" xr:uid="{00000000-0005-0000-0000-000056080000}"/>
    <cellStyle name="Ввод  2 4 2 4 2 2" xfId="21325" xr:uid="{00000000-0005-0000-0000-000057080000}"/>
    <cellStyle name="Ввод  2 4 2 4 2 2 2" xfId="37967" xr:uid="{E3BA6493-634A-41AD-A2AC-31D82F139254}"/>
    <cellStyle name="Ввод  2 4 2 4 2 3" xfId="6088" xr:uid="{00000000-0005-0000-0000-000058080000}"/>
    <cellStyle name="Ввод  2 4 2 4 2 4" xfId="23875" xr:uid="{2687EBEF-CA24-43DE-993A-6CB265701482}"/>
    <cellStyle name="Ввод  2 4 2 4 3" xfId="1917" xr:uid="{00000000-0005-0000-0000-000059080000}"/>
    <cellStyle name="Ввод  2 4 2 4 3 2" xfId="21947" xr:uid="{00000000-0005-0000-0000-00005A080000}"/>
    <cellStyle name="Ввод  2 4 2 4 3 2 2" xfId="38557" xr:uid="{94F08834-2A6C-444C-AA7F-C6FFAE8AA1BC}"/>
    <cellStyle name="Ввод  2 4 2 4 3 3" xfId="6857" xr:uid="{00000000-0005-0000-0000-00005B080000}"/>
    <cellStyle name="Ввод  2 4 2 4 3 4" xfId="24484" xr:uid="{EB07908F-BAFA-47AF-B4CB-857C49B5DA54}"/>
    <cellStyle name="Ввод  2 4 2 4 4" xfId="2569" xr:uid="{00000000-0005-0000-0000-00005C080000}"/>
    <cellStyle name="Ввод  2 4 2 4 4 2" xfId="22821" xr:uid="{00000000-0005-0000-0000-00005D080000}"/>
    <cellStyle name="Ввод  2 4 2 4 4 3" xfId="39287" xr:uid="{D96BB9A0-DD3C-430C-963C-EC5DFC47E517}"/>
    <cellStyle name="Ввод  2 4 2 4 5" xfId="3367" xr:uid="{00000000-0005-0000-0000-00005E080000}"/>
    <cellStyle name="Ввод  2 4 2 4 5 2" xfId="23282" xr:uid="{00000000-0005-0000-0000-00005F080000}"/>
    <cellStyle name="Ввод  2 4 2 4 5 3" xfId="39709" xr:uid="{C6371DAC-7D76-4890-9299-69A3C3BBE056}"/>
    <cellStyle name="Ввод  2 4 2 4 6" xfId="4060" xr:uid="{00000000-0005-0000-0000-000060080000}"/>
    <cellStyle name="Ввод  2 4 2 4 6 2" xfId="20486" xr:uid="{00000000-0005-0000-0000-000061080000}"/>
    <cellStyle name="Ввод  2 4 2 4 6 3" xfId="37378" xr:uid="{A853E477-0F7B-4191-B174-5C4345513E31}"/>
    <cellStyle name="Ввод  2 4 2 4 7" xfId="4582" xr:uid="{00000000-0005-0000-0000-000062080000}"/>
    <cellStyle name="Ввод  2 4 2 4 8" xfId="5064" xr:uid="{00000000-0005-0000-0000-000063080000}"/>
    <cellStyle name="Ввод  2 4 2 5" xfId="552" xr:uid="{00000000-0005-0000-0000-000064080000}"/>
    <cellStyle name="Ввод  2 4 2 5 2" xfId="1384" xr:uid="{00000000-0005-0000-0000-000065080000}"/>
    <cellStyle name="Ввод  2 4 2 5 2 2" xfId="21377" xr:uid="{00000000-0005-0000-0000-000066080000}"/>
    <cellStyle name="Ввод  2 4 2 5 2 2 2" xfId="38019" xr:uid="{3CD54137-DBA6-49E9-802C-816DF5CC1002}"/>
    <cellStyle name="Ввод  2 4 2 5 2 3" xfId="6140" xr:uid="{00000000-0005-0000-0000-000067080000}"/>
    <cellStyle name="Ввод  2 4 2 5 2 4" xfId="23927" xr:uid="{F3D289B7-2B7B-4D46-8F59-4A0B93CEE758}"/>
    <cellStyle name="Ввод  2 4 2 5 3" xfId="2164" xr:uid="{00000000-0005-0000-0000-000068080000}"/>
    <cellStyle name="Ввод  2 4 2 5 3 2" xfId="21999" xr:uid="{00000000-0005-0000-0000-000069080000}"/>
    <cellStyle name="Ввод  2 4 2 5 3 2 2" xfId="38609" xr:uid="{6013FB62-5CB1-41B9-A885-537BFB3A33ED}"/>
    <cellStyle name="Ввод  2 4 2 5 3 3" xfId="6909" xr:uid="{00000000-0005-0000-0000-00006A080000}"/>
    <cellStyle name="Ввод  2 4 2 5 3 4" xfId="24536" xr:uid="{D3226C70-6E92-4937-B042-37073DCF6C8C}"/>
    <cellStyle name="Ввод  2 4 2 5 4" xfId="2602" xr:uid="{00000000-0005-0000-0000-00006B080000}"/>
    <cellStyle name="Ввод  2 4 2 5 4 2" xfId="22860" xr:uid="{00000000-0005-0000-0000-00006C080000}"/>
    <cellStyle name="Ввод  2 4 2 5 4 3" xfId="39326" xr:uid="{1A871332-D5AD-4B3B-933D-C7916D223D1F}"/>
    <cellStyle name="Ввод  2 4 2 5 5" xfId="3497" xr:uid="{00000000-0005-0000-0000-00006D080000}"/>
    <cellStyle name="Ввод  2 4 2 5 5 2" xfId="23306" xr:uid="{00000000-0005-0000-0000-00006E080000}"/>
    <cellStyle name="Ввод  2 4 2 5 5 3" xfId="39733" xr:uid="{E692AD58-552D-4E50-9753-1059E1D05522}"/>
    <cellStyle name="Ввод  2 4 2 5 6" xfId="4112" xr:uid="{00000000-0005-0000-0000-00006F080000}"/>
    <cellStyle name="Ввод  2 4 2 5 6 2" xfId="20599" xr:uid="{00000000-0005-0000-0000-000070080000}"/>
    <cellStyle name="Ввод  2 4 2 5 6 3" xfId="37444" xr:uid="{37533D0E-DF55-4BF8-9C7A-49060AE70677}"/>
    <cellStyle name="Ввод  2 4 2 5 7" xfId="4634" xr:uid="{00000000-0005-0000-0000-000071080000}"/>
    <cellStyle name="Ввод  2 4 2 5 8" xfId="5116" xr:uid="{00000000-0005-0000-0000-000072080000}"/>
    <cellStyle name="Ввод  2 4 2 6" xfId="604" xr:uid="{00000000-0005-0000-0000-000073080000}"/>
    <cellStyle name="Ввод  2 4 2 6 2" xfId="1436" xr:uid="{00000000-0005-0000-0000-000074080000}"/>
    <cellStyle name="Ввод  2 4 2 6 2 2" xfId="21429" xr:uid="{00000000-0005-0000-0000-000075080000}"/>
    <cellStyle name="Ввод  2 4 2 6 2 2 2" xfId="38071" xr:uid="{20394F19-1449-4A01-A931-95F63505ED69}"/>
    <cellStyle name="Ввод  2 4 2 6 2 3" xfId="6192" xr:uid="{00000000-0005-0000-0000-000076080000}"/>
    <cellStyle name="Ввод  2 4 2 6 2 4" xfId="23979" xr:uid="{B31176BA-0DD7-4DB8-B150-F0010AC7BBAE}"/>
    <cellStyle name="Ввод  2 4 2 6 3" xfId="2047" xr:uid="{00000000-0005-0000-0000-000077080000}"/>
    <cellStyle name="Ввод  2 4 2 6 3 2" xfId="22051" xr:uid="{00000000-0005-0000-0000-000078080000}"/>
    <cellStyle name="Ввод  2 4 2 6 3 2 2" xfId="38661" xr:uid="{F87A4D3B-2B2F-402D-B2CD-87C4C10C1F39}"/>
    <cellStyle name="Ввод  2 4 2 6 3 3" xfId="6961" xr:uid="{00000000-0005-0000-0000-000079080000}"/>
    <cellStyle name="Ввод  2 4 2 6 3 4" xfId="24588" xr:uid="{3FBFF16E-EC18-40C5-B978-0817B681C7EA}"/>
    <cellStyle name="Ввод  2 4 2 6 4" xfId="2837" xr:uid="{00000000-0005-0000-0000-00007A080000}"/>
    <cellStyle name="Ввод  2 4 2 6 4 2" xfId="22977" xr:uid="{00000000-0005-0000-0000-00007B080000}"/>
    <cellStyle name="Ввод  2 4 2 6 4 3" xfId="39443" xr:uid="{46FFCFE7-690E-4069-989C-2A1DF4D86DE5}"/>
    <cellStyle name="Ввод  2 4 2 6 5" xfId="3156" xr:uid="{00000000-0005-0000-0000-00007C080000}"/>
    <cellStyle name="Ввод  2 4 2 6 5 2" xfId="23330" xr:uid="{00000000-0005-0000-0000-00007D080000}"/>
    <cellStyle name="Ввод  2 4 2 6 5 3" xfId="39757" xr:uid="{843665C8-4003-4C02-8131-2E661A5F26DF}"/>
    <cellStyle name="Ввод  2 4 2 6 6" xfId="4164" xr:uid="{00000000-0005-0000-0000-00007E080000}"/>
    <cellStyle name="Ввод  2 4 2 6 6 2" xfId="20640" xr:uid="{00000000-0005-0000-0000-00007F080000}"/>
    <cellStyle name="Ввод  2 4 2 6 6 3" xfId="37482" xr:uid="{F6E2798C-347C-4B48-BBE8-4E3B4329A3F8}"/>
    <cellStyle name="Ввод  2 4 2 6 7" xfId="4686" xr:uid="{00000000-0005-0000-0000-000080080000}"/>
    <cellStyle name="Ввод  2 4 2 6 8" xfId="5168" xr:uid="{00000000-0005-0000-0000-000081080000}"/>
    <cellStyle name="Ввод  2 4 2 7" xfId="704" xr:uid="{00000000-0005-0000-0000-000082080000}"/>
    <cellStyle name="Ввод  2 4 2 7 2" xfId="1534" xr:uid="{00000000-0005-0000-0000-000083080000}"/>
    <cellStyle name="Ввод  2 4 2 7 2 2" xfId="21527" xr:uid="{00000000-0005-0000-0000-000084080000}"/>
    <cellStyle name="Ввод  2 4 2 7 2 2 2" xfId="38169" xr:uid="{0B1AADE7-A955-45AB-87E6-7B7D55069B4F}"/>
    <cellStyle name="Ввод  2 4 2 7 2 3" xfId="6290" xr:uid="{00000000-0005-0000-0000-000085080000}"/>
    <cellStyle name="Ввод  2 4 2 7 2 4" xfId="24077" xr:uid="{6E35BBCD-4A00-4C2E-9AC4-77F4768EFC89}"/>
    <cellStyle name="Ввод  2 4 2 7 3" xfId="1713" xr:uid="{00000000-0005-0000-0000-000086080000}"/>
    <cellStyle name="Ввод  2 4 2 7 3 2" xfId="22149" xr:uid="{00000000-0005-0000-0000-000087080000}"/>
    <cellStyle name="Ввод  2 4 2 7 3 2 2" xfId="38759" xr:uid="{88461BB6-8E71-4049-94C5-F43A17E4D5F0}"/>
    <cellStyle name="Ввод  2 4 2 7 3 3" xfId="7059" xr:uid="{00000000-0005-0000-0000-000088080000}"/>
    <cellStyle name="Ввод  2 4 2 7 3 4" xfId="24686" xr:uid="{6275CDCD-BE59-479D-95F6-E00DFBC81511}"/>
    <cellStyle name="Ввод  2 4 2 7 4" xfId="2355" xr:uid="{00000000-0005-0000-0000-000089080000}"/>
    <cellStyle name="Ввод  2 4 2 7 4 2" xfId="22669" xr:uid="{00000000-0005-0000-0000-00008A080000}"/>
    <cellStyle name="Ввод  2 4 2 7 4 3" xfId="39141" xr:uid="{D28CC840-6DBD-4422-88B9-8975D1391762}"/>
    <cellStyle name="Ввод  2 4 2 7 5" xfId="3028" xr:uid="{00000000-0005-0000-0000-00008B080000}"/>
    <cellStyle name="Ввод  2 4 2 7 5 2" xfId="23372" xr:uid="{00000000-0005-0000-0000-00008C080000}"/>
    <cellStyle name="Ввод  2 4 2 7 5 3" xfId="39799" xr:uid="{D4FB37F1-3C6D-4C72-A230-3BDEB5D9F6EA}"/>
    <cellStyle name="Ввод  2 4 2 7 6" xfId="4263" xr:uid="{00000000-0005-0000-0000-00008D080000}"/>
    <cellStyle name="Ввод  2 4 2 7 6 2" xfId="20705" xr:uid="{00000000-0005-0000-0000-00008E080000}"/>
    <cellStyle name="Ввод  2 4 2 7 6 3" xfId="37534" xr:uid="{50E74FE5-52D8-4E06-8C97-5312B894CD72}"/>
    <cellStyle name="Ввод  2 4 2 7 7" xfId="4785" xr:uid="{00000000-0005-0000-0000-00008F080000}"/>
    <cellStyle name="Ввод  2 4 2 7 8" xfId="5266" xr:uid="{00000000-0005-0000-0000-000090080000}"/>
    <cellStyle name="Ввод  2 4 2 8" xfId="749" xr:uid="{00000000-0005-0000-0000-000091080000}"/>
    <cellStyle name="Ввод  2 4 2 8 2" xfId="1579" xr:uid="{00000000-0005-0000-0000-000092080000}"/>
    <cellStyle name="Ввод  2 4 2 8 2 2" xfId="21572" xr:uid="{00000000-0005-0000-0000-000093080000}"/>
    <cellStyle name="Ввод  2 4 2 8 2 2 2" xfId="38214" xr:uid="{B9B7C33A-961B-491D-9214-004F38A2E47D}"/>
    <cellStyle name="Ввод  2 4 2 8 2 3" xfId="6335" xr:uid="{00000000-0005-0000-0000-000094080000}"/>
    <cellStyle name="Ввод  2 4 2 8 2 4" xfId="24122" xr:uid="{98E2645A-9972-4F48-B567-5921D396C98C}"/>
    <cellStyle name="Ввод  2 4 2 8 3" xfId="1898" xr:uid="{00000000-0005-0000-0000-000095080000}"/>
    <cellStyle name="Ввод  2 4 2 8 3 2" xfId="22194" xr:uid="{00000000-0005-0000-0000-000096080000}"/>
    <cellStyle name="Ввод  2 4 2 8 3 2 2" xfId="38804" xr:uid="{B6295937-B8EA-48A7-8A90-4777A2E9BC76}"/>
    <cellStyle name="Ввод  2 4 2 8 3 3" xfId="7104" xr:uid="{00000000-0005-0000-0000-000097080000}"/>
    <cellStyle name="Ввод  2 4 2 8 3 4" xfId="24731" xr:uid="{44F2609E-C114-44DA-95E2-6A9A5A349700}"/>
    <cellStyle name="Ввод  2 4 2 8 4" xfId="2932" xr:uid="{00000000-0005-0000-0000-000098080000}"/>
    <cellStyle name="Ввод  2 4 2 8 4 2" xfId="22661" xr:uid="{00000000-0005-0000-0000-000099080000}"/>
    <cellStyle name="Ввод  2 4 2 8 4 3" xfId="39133" xr:uid="{0EBCD498-3CF6-43F3-B7EB-285F0F588BF8}"/>
    <cellStyle name="Ввод  2 4 2 8 5" xfId="3020" xr:uid="{00000000-0005-0000-0000-00009A080000}"/>
    <cellStyle name="Ввод  2 4 2 8 5 2" xfId="23394" xr:uid="{00000000-0005-0000-0000-00009B080000}"/>
    <cellStyle name="Ввод  2 4 2 8 5 3" xfId="39821" xr:uid="{58B05E63-7B13-4978-9AD9-6C633374C8A3}"/>
    <cellStyle name="Ввод  2 4 2 8 6" xfId="4308" xr:uid="{00000000-0005-0000-0000-00009C080000}"/>
    <cellStyle name="Ввод  2 4 2 8 6 2" xfId="20770" xr:uid="{00000000-0005-0000-0000-00009D080000}"/>
    <cellStyle name="Ввод  2 4 2 8 6 3" xfId="37586" xr:uid="{7313FB31-9335-4FF6-8C84-39BD0439455B}"/>
    <cellStyle name="Ввод  2 4 2 8 7" xfId="4830" xr:uid="{00000000-0005-0000-0000-00009E080000}"/>
    <cellStyle name="Ввод  2 4 2 8 8" xfId="5311" xr:uid="{00000000-0005-0000-0000-00009F080000}"/>
    <cellStyle name="Ввод  2 4 2 9" xfId="783" xr:uid="{00000000-0005-0000-0000-0000A0080000}"/>
    <cellStyle name="Ввод  2 4 2 9 2" xfId="1612" xr:uid="{00000000-0005-0000-0000-0000A1080000}"/>
    <cellStyle name="Ввод  2 4 2 9 2 2" xfId="21605" xr:uid="{00000000-0005-0000-0000-0000A2080000}"/>
    <cellStyle name="Ввод  2 4 2 9 2 2 2" xfId="38247" xr:uid="{AB9BCA9F-788F-4B55-8596-D59149B0A0BA}"/>
    <cellStyle name="Ввод  2 4 2 9 2 3" xfId="6368" xr:uid="{00000000-0005-0000-0000-0000A3080000}"/>
    <cellStyle name="Ввод  2 4 2 9 2 4" xfId="24155" xr:uid="{4DE31B24-D392-40AB-9164-A93D46DAE65B}"/>
    <cellStyle name="Ввод  2 4 2 9 3" xfId="1806" xr:uid="{00000000-0005-0000-0000-0000A4080000}"/>
    <cellStyle name="Ввод  2 4 2 9 3 2" xfId="22227" xr:uid="{00000000-0005-0000-0000-0000A5080000}"/>
    <cellStyle name="Ввод  2 4 2 9 3 2 2" xfId="38837" xr:uid="{C2CD609A-2A80-4A1D-9AF0-D3D0FB301DD9}"/>
    <cellStyle name="Ввод  2 4 2 9 3 3" xfId="7137" xr:uid="{00000000-0005-0000-0000-0000A6080000}"/>
    <cellStyle name="Ввод  2 4 2 9 3 4" xfId="24764" xr:uid="{1ADE8AA2-7560-4F5C-BFC9-19042A648A46}"/>
    <cellStyle name="Ввод  2 4 2 9 4" xfId="2338" xr:uid="{00000000-0005-0000-0000-0000A7080000}"/>
    <cellStyle name="Ввод  2 4 2 9 4 2" xfId="22656" xr:uid="{00000000-0005-0000-0000-0000A8080000}"/>
    <cellStyle name="Ввод  2 4 2 9 4 3" xfId="39128" xr:uid="{DC48463E-CA33-4D87-A35A-76386A17F381}"/>
    <cellStyle name="Ввод  2 4 2 9 5" xfId="3466" xr:uid="{00000000-0005-0000-0000-0000A9080000}"/>
    <cellStyle name="Ввод  2 4 2 9 5 2" xfId="23410" xr:uid="{00000000-0005-0000-0000-0000AA080000}"/>
    <cellStyle name="Ввод  2 4 2 9 5 3" xfId="39837" xr:uid="{26138065-C842-4A16-825A-812D2A4D29D5}"/>
    <cellStyle name="Ввод  2 4 2 9 6" xfId="4341" xr:uid="{00000000-0005-0000-0000-0000AB080000}"/>
    <cellStyle name="Ввод  2 4 2 9 6 2" xfId="20835" xr:uid="{00000000-0005-0000-0000-0000AC080000}"/>
    <cellStyle name="Ввод  2 4 2 9 6 3" xfId="37638" xr:uid="{8A706394-B173-4ACF-A88A-FA891BDCC961}"/>
    <cellStyle name="Ввод  2 4 2 9 7" xfId="4863" xr:uid="{00000000-0005-0000-0000-0000AD080000}"/>
    <cellStyle name="Ввод  2 4 2 9 8" xfId="5344" xr:uid="{00000000-0005-0000-0000-0000AE080000}"/>
    <cellStyle name="Ввод  2 4 3" xfId="370" xr:uid="{00000000-0005-0000-0000-0000AF080000}"/>
    <cellStyle name="Ввод  2 4 3 10" xfId="994" xr:uid="{00000000-0005-0000-0000-0000B0080000}"/>
    <cellStyle name="Ввод  2 4 3 10 2" xfId="1843" xr:uid="{00000000-0005-0000-0000-0000B1080000}"/>
    <cellStyle name="Ввод  2 4 3 10 2 2" xfId="21859" xr:uid="{00000000-0005-0000-0000-0000B2080000}"/>
    <cellStyle name="Ввод  2 4 3 10 2 2 2" xfId="38469" xr:uid="{D66ADD6D-D38B-45B0-87FA-F7D8D9C81A4A}"/>
    <cellStyle name="Ввод  2 4 3 10 2 3" xfId="5999" xr:uid="{00000000-0005-0000-0000-0000B3080000}"/>
    <cellStyle name="Ввод  2 4 3 10 2 4" xfId="23787" xr:uid="{5C54DAB9-74E5-4A44-A8A0-536B55EF8732}"/>
    <cellStyle name="Ввод  2 4 3 10 3" xfId="2685" xr:uid="{00000000-0005-0000-0000-0000B4080000}"/>
    <cellStyle name="Ввод  2 4 3 10 3 2" xfId="23082" xr:uid="{00000000-0005-0000-0000-0000B5080000}"/>
    <cellStyle name="Ввод  2 4 3 10 3 2 2" xfId="39548" xr:uid="{2FD3BB55-87CE-44A5-A84E-C57AEEAE4E61}"/>
    <cellStyle name="Ввод  2 4 3 10 3 3" xfId="6773" xr:uid="{00000000-0005-0000-0000-0000B6080000}"/>
    <cellStyle name="Ввод  2 4 3 10 3 4" xfId="24400" xr:uid="{6FEE212D-CEF2-4E1A-AE55-0C01AD5837F2}"/>
    <cellStyle name="Ввод  2 4 3 10 4" xfId="3807" xr:uid="{00000000-0005-0000-0000-0000B7080000}"/>
    <cellStyle name="Ввод  2 4 3 10 4 2" xfId="23240" xr:uid="{00000000-0005-0000-0000-0000B8080000}"/>
    <cellStyle name="Ввод  2 4 3 10 4 3" xfId="39667" xr:uid="{D4E8FDA6-1C2B-46A5-B2C2-55AD849053C3}"/>
    <cellStyle name="Ввод  2 4 3 10 5" xfId="3963" xr:uid="{00000000-0005-0000-0000-0000B9080000}"/>
    <cellStyle name="Ввод  2 4 3 10 5 2" xfId="21218" xr:uid="{00000000-0005-0000-0000-0000BA080000}"/>
    <cellStyle name="Ввод  2 4 3 10 5 3" xfId="37879" xr:uid="{52EDF84F-24C5-4F75-AE43-276D378679D4}"/>
    <cellStyle name="Ввод  2 4 3 10 6" xfId="4491" xr:uid="{00000000-0005-0000-0000-0000BB080000}"/>
    <cellStyle name="Ввод  2 4 3 10 7" xfId="4980" xr:uid="{00000000-0005-0000-0000-0000BC080000}"/>
    <cellStyle name="Ввод  2 4 3 11" xfId="1819" xr:uid="{00000000-0005-0000-0000-0000BD080000}"/>
    <cellStyle name="Ввод  2 4 3 11 2" xfId="20985" xr:uid="{00000000-0005-0000-0000-0000BE080000}"/>
    <cellStyle name="Ввод  2 4 3 11 2 2" xfId="37762" xr:uid="{B27B661B-EFD8-4815-94C3-A84C408BAECD}"/>
    <cellStyle name="Ввод  2 4 3 11 3" xfId="5743" xr:uid="{00000000-0005-0000-0000-0000BF080000}"/>
    <cellStyle name="Ввод  2 4 3 11 4" xfId="23667" xr:uid="{069C6EDF-C82B-4F26-AC93-686C4D308964}"/>
    <cellStyle name="Ввод  2 4 3 12" xfId="2412" xr:uid="{00000000-0005-0000-0000-0000C0080000}"/>
    <cellStyle name="Ввод  2 4 3 12 2" xfId="21742" xr:uid="{00000000-0005-0000-0000-0000C1080000}"/>
    <cellStyle name="Ввод  2 4 3 12 2 2" xfId="38352" xr:uid="{75CC39F7-6BCD-4470-BC0C-99EA1AA1EA15}"/>
    <cellStyle name="Ввод  2 4 3 12 3" xfId="6660" xr:uid="{00000000-0005-0000-0000-0000C2080000}"/>
    <cellStyle name="Ввод  2 4 3 12 4" xfId="24287" xr:uid="{3474A711-B043-4998-AA2B-8A818650FF4A}"/>
    <cellStyle name="Ввод  2 4 3 13" xfId="3208" xr:uid="{00000000-0005-0000-0000-0000C3080000}"/>
    <cellStyle name="Ввод  2 4 3 13 2" xfId="22789" xr:uid="{00000000-0005-0000-0000-0000C4080000}"/>
    <cellStyle name="Ввод  2 4 3 13 3" xfId="39256" xr:uid="{D0FD52AD-CDFE-43B8-B8A1-A5A9A7D173CD}"/>
    <cellStyle name="Ввод  2 4 3 14" xfId="3703" xr:uid="{00000000-0005-0000-0000-0000C5080000}"/>
    <cellStyle name="Ввод  2 4 3 14 2" xfId="23186" xr:uid="{00000000-0005-0000-0000-0000C6080000}"/>
    <cellStyle name="Ввод  2 4 3 14 3" xfId="39613" xr:uid="{72D74EAB-2813-4D31-8CCA-03DA4A1F870E}"/>
    <cellStyle name="Ввод  2 4 3 15" xfId="3219" xr:uid="{00000000-0005-0000-0000-0000C7080000}"/>
    <cellStyle name="Ввод  2 4 3 15 2" xfId="14040" xr:uid="{00000000-0005-0000-0000-0000C8080000}"/>
    <cellStyle name="Ввод  2 4 3 15 3" xfId="31079" xr:uid="{4A8CCDD8-EC30-49B0-9992-E6A9AF19B2D6}"/>
    <cellStyle name="Ввод  2 4 3 16" xfId="3163" xr:uid="{00000000-0005-0000-0000-0000C9080000}"/>
    <cellStyle name="Ввод  2 4 3 2" xfId="475" xr:uid="{00000000-0005-0000-0000-0000CA080000}"/>
    <cellStyle name="Ввод  2 4 3 2 2" xfId="1307" xr:uid="{00000000-0005-0000-0000-0000CB080000}"/>
    <cellStyle name="Ввод  2 4 3 2 2 2" xfId="21300" xr:uid="{00000000-0005-0000-0000-0000CC080000}"/>
    <cellStyle name="Ввод  2 4 3 2 2 2 2" xfId="37942" xr:uid="{6629A686-9271-4EBE-9C48-3E1774D43411}"/>
    <cellStyle name="Ввод  2 4 3 2 2 3" xfId="6063" xr:uid="{00000000-0005-0000-0000-0000CD080000}"/>
    <cellStyle name="Ввод  2 4 3 2 2 4" xfId="23850" xr:uid="{6D31B33A-A842-45FD-9812-5B9C7D88D336}"/>
    <cellStyle name="Ввод  2 4 3 2 3" xfId="2157" xr:uid="{00000000-0005-0000-0000-0000CE080000}"/>
    <cellStyle name="Ввод  2 4 3 2 3 2" xfId="21922" xr:uid="{00000000-0005-0000-0000-0000CF080000}"/>
    <cellStyle name="Ввод  2 4 3 2 3 2 2" xfId="38532" xr:uid="{6BE85F20-7A7A-4888-B5B7-6C920F42E227}"/>
    <cellStyle name="Ввод  2 4 3 2 3 3" xfId="6832" xr:uid="{00000000-0005-0000-0000-0000D0080000}"/>
    <cellStyle name="Ввод  2 4 3 2 3 4" xfId="24459" xr:uid="{D84DCA34-590C-4598-8068-AA2070CA0F89}"/>
    <cellStyle name="Ввод  2 4 3 2 4" xfId="2591" xr:uid="{00000000-0005-0000-0000-0000D1080000}"/>
    <cellStyle name="Ввод  2 4 3 2 4 2" xfId="22861" xr:uid="{00000000-0005-0000-0000-0000D2080000}"/>
    <cellStyle name="Ввод  2 4 3 2 4 3" xfId="39327" xr:uid="{CCCCAA91-E467-4141-9592-9563E3EDB219}"/>
    <cellStyle name="Ввод  2 4 3 2 5" xfId="3498" xr:uid="{00000000-0005-0000-0000-0000D3080000}"/>
    <cellStyle name="Ввод  2 4 3 2 5 2" xfId="23270" xr:uid="{00000000-0005-0000-0000-0000D4080000}"/>
    <cellStyle name="Ввод  2 4 3 2 5 3" xfId="39697" xr:uid="{46C87626-89B2-4534-9A75-C389A1DB6F87}"/>
    <cellStyle name="Ввод  2 4 3 2 6" xfId="4035" xr:uid="{00000000-0005-0000-0000-0000D5080000}"/>
    <cellStyle name="Ввод  2 4 3 2 6 2" xfId="20459" xr:uid="{00000000-0005-0000-0000-0000D6080000}"/>
    <cellStyle name="Ввод  2 4 3 2 6 3" xfId="37351" xr:uid="{FB196C8C-D83A-4713-8D85-DF101751F894}"/>
    <cellStyle name="Ввод  2 4 3 2 7" xfId="4557" xr:uid="{00000000-0005-0000-0000-0000D7080000}"/>
    <cellStyle name="Ввод  2 4 3 2 8" xfId="5039" xr:uid="{00000000-0005-0000-0000-0000D8080000}"/>
    <cellStyle name="Ввод  2 4 3 3" xfId="520" xr:uid="{00000000-0005-0000-0000-0000D9080000}"/>
    <cellStyle name="Ввод  2 4 3 3 2" xfId="1352" xr:uid="{00000000-0005-0000-0000-0000DA080000}"/>
    <cellStyle name="Ввод  2 4 3 3 2 2" xfId="21345" xr:uid="{00000000-0005-0000-0000-0000DB080000}"/>
    <cellStyle name="Ввод  2 4 3 3 2 2 2" xfId="37987" xr:uid="{8100A246-0E73-42EA-8B5E-73217575703B}"/>
    <cellStyle name="Ввод  2 4 3 3 2 3" xfId="6108" xr:uid="{00000000-0005-0000-0000-0000DC080000}"/>
    <cellStyle name="Ввод  2 4 3 3 2 4" xfId="23895" xr:uid="{4336F434-056E-4F29-AEDB-25ABF9E0B41B}"/>
    <cellStyle name="Ввод  2 4 3 3 3" xfId="2039" xr:uid="{00000000-0005-0000-0000-0000DD080000}"/>
    <cellStyle name="Ввод  2 4 3 3 3 2" xfId="21967" xr:uid="{00000000-0005-0000-0000-0000DE080000}"/>
    <cellStyle name="Ввод  2 4 3 3 3 2 2" xfId="38577" xr:uid="{6B5F68A2-CE25-4F2E-8C17-A125CC73A1CF}"/>
    <cellStyle name="Ввод  2 4 3 3 3 3" xfId="6877" xr:uid="{00000000-0005-0000-0000-0000DF080000}"/>
    <cellStyle name="Ввод  2 4 3 3 3 4" xfId="24504" xr:uid="{B69D9259-6F0C-40E7-9706-0ED72139A35B}"/>
    <cellStyle name="Ввод  2 4 3 3 4" xfId="2828" xr:uid="{00000000-0005-0000-0000-0000E0080000}"/>
    <cellStyle name="Ввод  2 4 3 3 4 2" xfId="22708" xr:uid="{00000000-0005-0000-0000-0000E1080000}"/>
    <cellStyle name="Ввод  2 4 3 3 4 3" xfId="39178" xr:uid="{472CFEA3-6F07-4F26-95A8-56BF38B340D3}"/>
    <cellStyle name="Ввод  2 4 3 3 5" xfId="3789" xr:uid="{00000000-0005-0000-0000-0000E2080000}"/>
    <cellStyle name="Ввод  2 4 3 3 5 2" xfId="23292" xr:uid="{00000000-0005-0000-0000-0000E3080000}"/>
    <cellStyle name="Ввод  2 4 3 3 5 3" xfId="39719" xr:uid="{08D6517E-83B4-4C20-BF1A-AB278AD446F0}"/>
    <cellStyle name="Ввод  2 4 3 3 6" xfId="4080" xr:uid="{00000000-0005-0000-0000-0000E4080000}"/>
    <cellStyle name="Ввод  2 4 3 3 6 2" xfId="20506" xr:uid="{00000000-0005-0000-0000-0000E5080000}"/>
    <cellStyle name="Ввод  2 4 3 3 6 3" xfId="37398" xr:uid="{00B7826A-950E-4AE1-840D-A6236BA8C34B}"/>
    <cellStyle name="Ввод  2 4 3 3 7" xfId="4602" xr:uid="{00000000-0005-0000-0000-0000E6080000}"/>
    <cellStyle name="Ввод  2 4 3 3 8" xfId="5084" xr:uid="{00000000-0005-0000-0000-0000E7080000}"/>
    <cellStyle name="Ввод  2 4 3 4" xfId="572" xr:uid="{00000000-0005-0000-0000-0000E8080000}"/>
    <cellStyle name="Ввод  2 4 3 4 2" xfId="1404" xr:uid="{00000000-0005-0000-0000-0000E9080000}"/>
    <cellStyle name="Ввод  2 4 3 4 2 2" xfId="21397" xr:uid="{00000000-0005-0000-0000-0000EA080000}"/>
    <cellStyle name="Ввод  2 4 3 4 2 2 2" xfId="38039" xr:uid="{F67B4347-9248-4E62-865E-C83C9B3133FE}"/>
    <cellStyle name="Ввод  2 4 3 4 2 3" xfId="6160" xr:uid="{00000000-0005-0000-0000-0000EB080000}"/>
    <cellStyle name="Ввод  2 4 3 4 2 4" xfId="23947" xr:uid="{80E9A712-CE60-41CD-AA09-0127B45DBC2C}"/>
    <cellStyle name="Ввод  2 4 3 4 3" xfId="2050" xr:uid="{00000000-0005-0000-0000-0000EC080000}"/>
    <cellStyle name="Ввод  2 4 3 4 3 2" xfId="22019" xr:uid="{00000000-0005-0000-0000-0000ED080000}"/>
    <cellStyle name="Ввод  2 4 3 4 3 2 2" xfId="38629" xr:uid="{CC56E94B-0F9A-4A40-A894-2CF6F33F305D}"/>
    <cellStyle name="Ввод  2 4 3 4 3 3" xfId="6929" xr:uid="{00000000-0005-0000-0000-0000EE080000}"/>
    <cellStyle name="Ввод  2 4 3 4 3 4" xfId="24556" xr:uid="{9C53B2E5-98AF-412B-9982-D047A0DA68C9}"/>
    <cellStyle name="Ввод  2 4 3 4 4" xfId="2840" xr:uid="{00000000-0005-0000-0000-0000EF080000}"/>
    <cellStyle name="Ввод  2 4 3 4 4 2" xfId="22966" xr:uid="{00000000-0005-0000-0000-0000F0080000}"/>
    <cellStyle name="Ввод  2 4 3 4 4 3" xfId="39432" xr:uid="{0F5FAFB1-6A11-442A-A2F0-C96DDC211444}"/>
    <cellStyle name="Ввод  2 4 3 4 5" xfId="3695" xr:uid="{00000000-0005-0000-0000-0000F1080000}"/>
    <cellStyle name="Ввод  2 4 3 4 5 2" xfId="23316" xr:uid="{00000000-0005-0000-0000-0000F2080000}"/>
    <cellStyle name="Ввод  2 4 3 4 5 3" xfId="39743" xr:uid="{F49C26F7-2CA3-49B2-BCED-8AFB2A9103CA}"/>
    <cellStyle name="Ввод  2 4 3 4 6" xfId="4132" xr:uid="{00000000-0005-0000-0000-0000F3080000}"/>
    <cellStyle name="Ввод  2 4 3 4 6 2" xfId="20622" xr:uid="{00000000-0005-0000-0000-0000F4080000}"/>
    <cellStyle name="Ввод  2 4 3 4 6 3" xfId="37464" xr:uid="{2FFB4C54-BC11-4ADF-993B-19EB3440EF0F}"/>
    <cellStyle name="Ввод  2 4 3 4 7" xfId="4654" xr:uid="{00000000-0005-0000-0000-0000F5080000}"/>
    <cellStyle name="Ввод  2 4 3 4 8" xfId="5136" xr:uid="{00000000-0005-0000-0000-0000F6080000}"/>
    <cellStyle name="Ввод  2 4 3 5" xfId="624" xr:uid="{00000000-0005-0000-0000-0000F7080000}"/>
    <cellStyle name="Ввод  2 4 3 5 2" xfId="1456" xr:uid="{00000000-0005-0000-0000-0000F8080000}"/>
    <cellStyle name="Ввод  2 4 3 5 2 2" xfId="21449" xr:uid="{00000000-0005-0000-0000-0000F9080000}"/>
    <cellStyle name="Ввод  2 4 3 5 2 2 2" xfId="38091" xr:uid="{4FDA3396-A6B2-4673-A511-A76714196BCF}"/>
    <cellStyle name="Ввод  2 4 3 5 2 3" xfId="6212" xr:uid="{00000000-0005-0000-0000-0000FA080000}"/>
    <cellStyle name="Ввод  2 4 3 5 2 4" xfId="23999" xr:uid="{FC79585F-EED9-4B3A-92C9-34897B19B53D}"/>
    <cellStyle name="Ввод  2 4 3 5 3" xfId="2138" xr:uid="{00000000-0005-0000-0000-0000FB080000}"/>
    <cellStyle name="Ввод  2 4 3 5 3 2" xfId="22071" xr:uid="{00000000-0005-0000-0000-0000FC080000}"/>
    <cellStyle name="Ввод  2 4 3 5 3 2 2" xfId="38681" xr:uid="{C8315D41-1A2B-4795-8019-82FD3774DDB0}"/>
    <cellStyle name="Ввод  2 4 3 5 3 3" xfId="6981" xr:uid="{00000000-0005-0000-0000-0000FD080000}"/>
    <cellStyle name="Ввод  2 4 3 5 3 4" xfId="24608" xr:uid="{053F6D83-5269-4E31-94B3-9B63CB06A3C9}"/>
    <cellStyle name="Ввод  2 4 3 5 4" xfId="2496" xr:uid="{00000000-0005-0000-0000-0000FE080000}"/>
    <cellStyle name="Ввод  2 4 3 5 4 2" xfId="22841" xr:uid="{00000000-0005-0000-0000-0000FF080000}"/>
    <cellStyle name="Ввод  2 4 3 5 4 3" xfId="39307" xr:uid="{9C7B75C4-0C9D-48BF-945E-25B1F04DAE7E}"/>
    <cellStyle name="Ввод  2 4 3 5 5" xfId="3441" xr:uid="{00000000-0005-0000-0000-000000090000}"/>
    <cellStyle name="Ввод  2 4 3 5 5 2" xfId="23340" xr:uid="{00000000-0005-0000-0000-000001090000}"/>
    <cellStyle name="Ввод  2 4 3 5 5 3" xfId="39767" xr:uid="{3EC6BFFF-A1A6-4052-BFBD-FFF4F97A4E97}"/>
    <cellStyle name="Ввод  2 4 3 5 6" xfId="4184" xr:uid="{00000000-0005-0000-0000-000002090000}"/>
    <cellStyle name="Ввод  2 4 3 5 6 2" xfId="20660" xr:uid="{00000000-0005-0000-0000-000003090000}"/>
    <cellStyle name="Ввод  2 4 3 5 6 3" xfId="37502" xr:uid="{701E62EE-4298-4695-BA4F-CEFF95A91D1E}"/>
    <cellStyle name="Ввод  2 4 3 5 7" xfId="4706" xr:uid="{00000000-0005-0000-0000-000004090000}"/>
    <cellStyle name="Ввод  2 4 3 5 8" xfId="5188" xr:uid="{00000000-0005-0000-0000-000005090000}"/>
    <cellStyle name="Ввод  2 4 3 6" xfId="727" xr:uid="{00000000-0005-0000-0000-000006090000}"/>
    <cellStyle name="Ввод  2 4 3 6 2" xfId="1557" xr:uid="{00000000-0005-0000-0000-000007090000}"/>
    <cellStyle name="Ввод  2 4 3 6 2 2" xfId="21550" xr:uid="{00000000-0005-0000-0000-000008090000}"/>
    <cellStyle name="Ввод  2 4 3 6 2 2 2" xfId="38192" xr:uid="{B2C28AC0-A442-4FAB-9B0F-EFB60EB4C186}"/>
    <cellStyle name="Ввод  2 4 3 6 2 3" xfId="6313" xr:uid="{00000000-0005-0000-0000-000009090000}"/>
    <cellStyle name="Ввод  2 4 3 6 2 4" xfId="24100" xr:uid="{946E2878-2524-4A8C-A528-32C5C0FD0B7A}"/>
    <cellStyle name="Ввод  2 4 3 6 3" xfId="1706" xr:uid="{00000000-0005-0000-0000-00000A090000}"/>
    <cellStyle name="Ввод  2 4 3 6 3 2" xfId="22172" xr:uid="{00000000-0005-0000-0000-00000B090000}"/>
    <cellStyle name="Ввод  2 4 3 6 3 2 2" xfId="38782" xr:uid="{19A83AAD-9406-4A29-BB80-8EE8D7E61A84}"/>
    <cellStyle name="Ввод  2 4 3 6 3 3" xfId="7082" xr:uid="{00000000-0005-0000-0000-00000C090000}"/>
    <cellStyle name="Ввод  2 4 3 6 3 4" xfId="24709" xr:uid="{F825AED0-2E5C-4938-B24C-A7B89AC11C97}"/>
    <cellStyle name="Ввод  2 4 3 6 4" xfId="2517" xr:uid="{00000000-0005-0000-0000-00000D090000}"/>
    <cellStyle name="Ввод  2 4 3 6 4 2" xfId="22487" xr:uid="{00000000-0005-0000-0000-00000E090000}"/>
    <cellStyle name="Ввод  2 4 3 6 4 3" xfId="38979" xr:uid="{4170C937-C363-4F07-A6C5-3BAA94C142E8}"/>
    <cellStyle name="Ввод  2 4 3 6 5" xfId="3871" xr:uid="{00000000-0005-0000-0000-00000F090000}"/>
    <cellStyle name="Ввод  2 4 3 6 5 2" xfId="23382" xr:uid="{00000000-0005-0000-0000-000010090000}"/>
    <cellStyle name="Ввод  2 4 3 6 5 3" xfId="39809" xr:uid="{A2620170-770E-4719-8423-1867DDDB2E4E}"/>
    <cellStyle name="Ввод  2 4 3 6 6" xfId="4286" xr:uid="{00000000-0005-0000-0000-000011090000}"/>
    <cellStyle name="Ввод  2 4 3 6 6 2" xfId="20725" xr:uid="{00000000-0005-0000-0000-000012090000}"/>
    <cellStyle name="Ввод  2 4 3 6 6 3" xfId="37554" xr:uid="{9F74304D-F00A-4A5A-9CB5-2EDF5AB7DDEF}"/>
    <cellStyle name="Ввод  2 4 3 6 7" xfId="4808" xr:uid="{00000000-0005-0000-0000-000013090000}"/>
    <cellStyle name="Ввод  2 4 3 6 8" xfId="5289" xr:uid="{00000000-0005-0000-0000-000014090000}"/>
    <cellStyle name="Ввод  2 4 3 7" xfId="771" xr:uid="{00000000-0005-0000-0000-000015090000}"/>
    <cellStyle name="Ввод  2 4 3 7 2" xfId="1600" xr:uid="{00000000-0005-0000-0000-000016090000}"/>
    <cellStyle name="Ввод  2 4 3 7 2 2" xfId="21593" xr:uid="{00000000-0005-0000-0000-000017090000}"/>
    <cellStyle name="Ввод  2 4 3 7 2 2 2" xfId="38235" xr:uid="{1CF1EC01-B8A6-4AC2-A96B-5C98BD4FFD89}"/>
    <cellStyle name="Ввод  2 4 3 7 2 3" xfId="6356" xr:uid="{00000000-0005-0000-0000-000018090000}"/>
    <cellStyle name="Ввод  2 4 3 7 2 4" xfId="24143" xr:uid="{D1809093-69EF-49CB-82FD-13E38E51BE72}"/>
    <cellStyle name="Ввод  2 4 3 7 3" xfId="2005" xr:uid="{00000000-0005-0000-0000-000019090000}"/>
    <cellStyle name="Ввод  2 4 3 7 3 2" xfId="22215" xr:uid="{00000000-0005-0000-0000-00001A090000}"/>
    <cellStyle name="Ввод  2 4 3 7 3 2 2" xfId="38825" xr:uid="{B9251B70-4DAC-48E7-9742-3C6043556A93}"/>
    <cellStyle name="Ввод  2 4 3 7 3 3" xfId="7125" xr:uid="{00000000-0005-0000-0000-00001B090000}"/>
    <cellStyle name="Ввод  2 4 3 7 3 4" xfId="24752" xr:uid="{847B39EB-C324-460F-A1F5-E97A168F750D}"/>
    <cellStyle name="Ввод  2 4 3 7 4" xfId="2599" xr:uid="{00000000-0005-0000-0000-00001C090000}"/>
    <cellStyle name="Ввод  2 4 3 7 4 2" xfId="22480" xr:uid="{00000000-0005-0000-0000-00001D090000}"/>
    <cellStyle name="Ввод  2 4 3 7 4 3" xfId="38972" xr:uid="{DBED4FB7-122C-4173-A51E-0D5E5AC5F551}"/>
    <cellStyle name="Ввод  2 4 3 7 5" xfId="2963" xr:uid="{00000000-0005-0000-0000-00001E090000}"/>
    <cellStyle name="Ввод  2 4 3 7 5 2" xfId="23404" xr:uid="{00000000-0005-0000-0000-00001F090000}"/>
    <cellStyle name="Ввод  2 4 3 7 5 3" xfId="39831" xr:uid="{5D955766-E53D-4148-BA43-A46698C67671}"/>
    <cellStyle name="Ввод  2 4 3 7 6" xfId="4329" xr:uid="{00000000-0005-0000-0000-000020090000}"/>
    <cellStyle name="Ввод  2 4 3 7 6 2" xfId="20790" xr:uid="{00000000-0005-0000-0000-000021090000}"/>
    <cellStyle name="Ввод  2 4 3 7 6 3" xfId="37606" xr:uid="{5416961C-2824-457D-ADE2-9BC62B764544}"/>
    <cellStyle name="Ввод  2 4 3 7 7" xfId="4851" xr:uid="{00000000-0005-0000-0000-000022090000}"/>
    <cellStyle name="Ввод  2 4 3 7 8" xfId="5332" xr:uid="{00000000-0005-0000-0000-000023090000}"/>
    <cellStyle name="Ввод  2 4 3 8" xfId="803" xr:uid="{00000000-0005-0000-0000-000024090000}"/>
    <cellStyle name="Ввод  2 4 3 8 2" xfId="1632" xr:uid="{00000000-0005-0000-0000-000025090000}"/>
    <cellStyle name="Ввод  2 4 3 8 2 2" xfId="21625" xr:uid="{00000000-0005-0000-0000-000026090000}"/>
    <cellStyle name="Ввод  2 4 3 8 2 2 2" xfId="38267" xr:uid="{1DEC375C-03C1-4135-A895-AACA03A44E13}"/>
    <cellStyle name="Ввод  2 4 3 8 2 3" xfId="6388" xr:uid="{00000000-0005-0000-0000-000027090000}"/>
    <cellStyle name="Ввод  2 4 3 8 2 4" xfId="24175" xr:uid="{3A8B9127-3AF8-460A-A0CE-7E4F74CA0E00}"/>
    <cellStyle name="Ввод  2 4 3 8 3" xfId="2010" xr:uid="{00000000-0005-0000-0000-000028090000}"/>
    <cellStyle name="Ввод  2 4 3 8 3 2" xfId="22247" xr:uid="{00000000-0005-0000-0000-000029090000}"/>
    <cellStyle name="Ввод  2 4 3 8 3 2 2" xfId="38857" xr:uid="{FB3DF773-F878-4702-B322-6EFB107A8581}"/>
    <cellStyle name="Ввод  2 4 3 8 3 3" xfId="7157" xr:uid="{00000000-0005-0000-0000-00002A090000}"/>
    <cellStyle name="Ввод  2 4 3 8 3 4" xfId="24784" xr:uid="{787032AD-610A-4F5D-91CD-05202915E5BE}"/>
    <cellStyle name="Ввод  2 4 3 8 4" xfId="2931" xr:uid="{00000000-0005-0000-0000-00002B090000}"/>
    <cellStyle name="Ввод  2 4 3 8 4 2" xfId="22476" xr:uid="{00000000-0005-0000-0000-00002C090000}"/>
    <cellStyle name="Ввод  2 4 3 8 4 3" xfId="38968" xr:uid="{C1A8D565-BC0A-4946-97F1-A4CE7C84E5BE}"/>
    <cellStyle name="Ввод  2 4 3 8 5" xfId="3275" xr:uid="{00000000-0005-0000-0000-00002D090000}"/>
    <cellStyle name="Ввод  2 4 3 8 5 2" xfId="23420" xr:uid="{00000000-0005-0000-0000-00002E090000}"/>
    <cellStyle name="Ввод  2 4 3 8 5 3" xfId="39847" xr:uid="{1A7F7A7F-ADAC-40B1-BD32-535D1372BBB5}"/>
    <cellStyle name="Ввод  2 4 3 8 6" xfId="4361" xr:uid="{00000000-0005-0000-0000-00002F090000}"/>
    <cellStyle name="Ввод  2 4 3 8 6 2" xfId="20855" xr:uid="{00000000-0005-0000-0000-000030090000}"/>
    <cellStyle name="Ввод  2 4 3 8 6 3" xfId="37658" xr:uid="{FE7CEE67-8666-47CC-B727-671801F521F1}"/>
    <cellStyle name="Ввод  2 4 3 8 7" xfId="4883" xr:uid="{00000000-0005-0000-0000-000031090000}"/>
    <cellStyle name="Ввод  2 4 3 8 8" xfId="5364" xr:uid="{00000000-0005-0000-0000-000032090000}"/>
    <cellStyle name="Ввод  2 4 3 9" xfId="835" xr:uid="{00000000-0005-0000-0000-000033090000}"/>
    <cellStyle name="Ввод  2 4 3 9 2" xfId="1664" xr:uid="{00000000-0005-0000-0000-000034090000}"/>
    <cellStyle name="Ввод  2 4 3 9 2 2" xfId="21657" xr:uid="{00000000-0005-0000-0000-000035090000}"/>
    <cellStyle name="Ввод  2 4 3 9 2 2 2" xfId="38299" xr:uid="{7DF1447F-F582-4B8E-AF80-DA7403614ED9}"/>
    <cellStyle name="Ввод  2 4 3 9 2 3" xfId="6420" xr:uid="{00000000-0005-0000-0000-000036090000}"/>
    <cellStyle name="Ввод  2 4 3 9 2 4" xfId="24207" xr:uid="{ADA28C1A-B066-47BC-A221-C46823D156E3}"/>
    <cellStyle name="Ввод  2 4 3 9 3" xfId="2325" xr:uid="{00000000-0005-0000-0000-000037090000}"/>
    <cellStyle name="Ввод  2 4 3 9 3 2" xfId="22279" xr:uid="{00000000-0005-0000-0000-000038090000}"/>
    <cellStyle name="Ввод  2 4 3 9 3 2 2" xfId="38889" xr:uid="{E7928C2D-440D-4EC5-9720-4D432D883AAF}"/>
    <cellStyle name="Ввод  2 4 3 9 3 3" xfId="7189" xr:uid="{00000000-0005-0000-0000-000039090000}"/>
    <cellStyle name="Ввод  2 4 3 9 3 4" xfId="24816" xr:uid="{2524A6DF-C009-4811-B4A3-4B689E2F9C6C}"/>
    <cellStyle name="Ввод  2 4 3 9 4" xfId="2443" xr:uid="{00000000-0005-0000-0000-00003A090000}"/>
    <cellStyle name="Ввод  2 4 3 9 4 2" xfId="22472" xr:uid="{00000000-0005-0000-0000-00003B090000}"/>
    <cellStyle name="Ввод  2 4 3 9 4 3" xfId="38964" xr:uid="{F99B4F99-ED38-43FF-A395-7F21B0EA11DB}"/>
    <cellStyle name="Ввод  2 4 3 9 5" xfId="3863" xr:uid="{00000000-0005-0000-0000-00003C090000}"/>
    <cellStyle name="Ввод  2 4 3 9 5 2" xfId="23436" xr:uid="{00000000-0005-0000-0000-00003D090000}"/>
    <cellStyle name="Ввод  2 4 3 9 5 3" xfId="39863" xr:uid="{0F091EC3-F58A-48D7-BDEC-BF16502DC98C}"/>
    <cellStyle name="Ввод  2 4 3 9 6" xfId="4393" xr:uid="{00000000-0005-0000-0000-00003E090000}"/>
    <cellStyle name="Ввод  2 4 3 9 6 2" xfId="20920" xr:uid="{00000000-0005-0000-0000-00003F090000}"/>
    <cellStyle name="Ввод  2 4 3 9 6 3" xfId="37710" xr:uid="{287E6196-1150-45D9-A2C7-16064AB5ABA5}"/>
    <cellStyle name="Ввод  2 4 3 9 7" xfId="4915" xr:uid="{00000000-0005-0000-0000-000040090000}"/>
    <cellStyle name="Ввод  2 4 3 9 8" xfId="5396" xr:uid="{00000000-0005-0000-0000-000041090000}"/>
    <cellStyle name="Ввод  2 4 4" xfId="885" xr:uid="{00000000-0005-0000-0000-000042090000}"/>
    <cellStyle name="Ввод  2 4 4 2" xfId="2146" xr:uid="{00000000-0005-0000-0000-000043090000}"/>
    <cellStyle name="Ввод  2 4 4 2 2" xfId="21771" xr:uid="{00000000-0005-0000-0000-000044090000}"/>
    <cellStyle name="Ввод  2 4 4 2 2 2" xfId="38381" xr:uid="{5B489DB5-6967-499C-88B4-38AB45E35478}"/>
    <cellStyle name="Ввод  2 4 4 2 3" xfId="5833" xr:uid="{00000000-0005-0000-0000-000045090000}"/>
    <cellStyle name="Ввод  2 4 4 2 4" xfId="23699" xr:uid="{117C0189-8DE3-407C-BF48-2CF2CC9CA5B7}"/>
    <cellStyle name="Ввод  2 4 4 3" xfId="2908" xr:uid="{00000000-0005-0000-0000-000046090000}"/>
    <cellStyle name="Ввод  2 4 4 3 2" xfId="22718" xr:uid="{00000000-0005-0000-0000-000047090000}"/>
    <cellStyle name="Ввод  2 4 4 3 2 2" xfId="39187" xr:uid="{BB319724-EF70-4EFD-9A1E-A8C799B8EF7F}"/>
    <cellStyle name="Ввод  2 4 4 3 3" xfId="6687" xr:uid="{00000000-0005-0000-0000-000048090000}"/>
    <cellStyle name="Ввод  2 4 4 3 4" xfId="24314" xr:uid="{42A74125-75B0-40F1-A82A-DB3B329E7BEB}"/>
    <cellStyle name="Ввод  2 4 4 4" xfId="3688" xr:uid="{00000000-0005-0000-0000-000049090000}"/>
    <cellStyle name="Ввод  2 4 4 4 2" xfId="23200" xr:uid="{00000000-0005-0000-0000-00004A090000}"/>
    <cellStyle name="Ввод  2 4 4 4 3" xfId="39627" xr:uid="{67AA28DA-045D-428F-92B4-32B78D1D9448}"/>
    <cellStyle name="Ввод  2 4 4 5" xfId="3284" xr:uid="{00000000-0005-0000-0000-00004B090000}"/>
    <cellStyle name="Ввод  2 4 4 5 2" xfId="21057" xr:uid="{00000000-0005-0000-0000-00004C090000}"/>
    <cellStyle name="Ввод  2 4 4 5 3" xfId="37791" xr:uid="{35ABD2E1-BDBF-4F0C-839F-578BE4A3AF85}"/>
    <cellStyle name="Ввод  2 4 4 6" xfId="3979" xr:uid="{00000000-0005-0000-0000-00004D090000}"/>
    <cellStyle name="Ввод  2 4 4 7" xfId="4504" xr:uid="{00000000-0005-0000-0000-00004E090000}"/>
    <cellStyle name="Ввод  2 4 5" xfId="1910" xr:uid="{00000000-0005-0000-0000-00004F090000}"/>
    <cellStyle name="Ввод  2 4 5 2" xfId="22946" xr:uid="{00000000-0005-0000-0000-000050090000}"/>
    <cellStyle name="Ввод  2 4 5 2 2" xfId="39412" xr:uid="{DF2C7BA3-0ABA-4394-83EB-AA073BFEAB52}"/>
    <cellStyle name="Ввод  2 4 5 3" xfId="5610" xr:uid="{00000000-0005-0000-0000-000051090000}"/>
    <cellStyle name="Ввод  2 4 5 4" xfId="23613" xr:uid="{D3D8DA30-D06B-4015-9436-3FADEEE0956F}"/>
    <cellStyle name="Ввод  2 4 6" xfId="2900" xr:uid="{00000000-0005-0000-0000-000052090000}"/>
    <cellStyle name="Ввод  2 4 6 2" xfId="6607" xr:uid="{00000000-0005-0000-0000-000053090000}"/>
    <cellStyle name="Ввод  2 4 6 3" xfId="24234" xr:uid="{3A1A477B-18F0-44C4-A7D0-C081936758C5}"/>
    <cellStyle name="Ввод  2 4 7" xfId="3653" xr:uid="{00000000-0005-0000-0000-000054090000}"/>
    <cellStyle name="Ввод  2 4 7 2" xfId="7405" xr:uid="{00000000-0005-0000-0000-000055090000}"/>
    <cellStyle name="Ввод  2 4 7 3" xfId="24860" xr:uid="{DBB6866C-3FAB-44EC-ADB8-5EB9E2998E85}"/>
    <cellStyle name="Ввод  2 4 8" xfId="3744" xr:uid="{00000000-0005-0000-0000-000056090000}"/>
    <cellStyle name="Ввод  2 4 9" xfId="3209" xr:uid="{00000000-0005-0000-0000-000057090000}"/>
    <cellStyle name="Ввод  2 5" xfId="202" xr:uid="{00000000-0005-0000-0000-000058090000}"/>
    <cellStyle name="Ввод  2 5 10" xfId="3418" xr:uid="{00000000-0005-0000-0000-000059090000}"/>
    <cellStyle name="Ввод  2 5 2" xfId="237" xr:uid="{00000000-0005-0000-0000-00005A090000}"/>
    <cellStyle name="Ввод  2 5 2 10" xfId="820" xr:uid="{00000000-0005-0000-0000-00005B090000}"/>
    <cellStyle name="Ввод  2 5 2 10 2" xfId="1649" xr:uid="{00000000-0005-0000-0000-00005C090000}"/>
    <cellStyle name="Ввод  2 5 2 10 2 2" xfId="21642" xr:uid="{00000000-0005-0000-0000-00005D090000}"/>
    <cellStyle name="Ввод  2 5 2 10 2 2 2" xfId="38284" xr:uid="{61F42308-586C-43FE-BB8C-23D71EBB58D8}"/>
    <cellStyle name="Ввод  2 5 2 10 2 3" xfId="6405" xr:uid="{00000000-0005-0000-0000-00005E090000}"/>
    <cellStyle name="Ввод  2 5 2 10 2 4" xfId="24192" xr:uid="{DB92145A-F394-453B-A296-BA8B0836343D}"/>
    <cellStyle name="Ввод  2 5 2 10 3" xfId="1860" xr:uid="{00000000-0005-0000-0000-00005F090000}"/>
    <cellStyle name="Ввод  2 5 2 10 3 2" xfId="22264" xr:uid="{00000000-0005-0000-0000-000060090000}"/>
    <cellStyle name="Ввод  2 5 2 10 3 2 2" xfId="38874" xr:uid="{F3D3322D-0F0C-432D-A5F9-3A46086335DB}"/>
    <cellStyle name="Ввод  2 5 2 10 3 3" xfId="7174" xr:uid="{00000000-0005-0000-0000-000061090000}"/>
    <cellStyle name="Ввод  2 5 2 10 3 4" xfId="24801" xr:uid="{592D9BBC-A3DF-4DFB-AC34-31B8BB7CE9E1}"/>
    <cellStyle name="Ввод  2 5 2 10 4" xfId="2943" xr:uid="{00000000-0005-0000-0000-000062090000}"/>
    <cellStyle name="Ввод  2 5 2 10 4 2" xfId="23111" xr:uid="{00000000-0005-0000-0000-000063090000}"/>
    <cellStyle name="Ввод  2 5 2 10 4 3" xfId="39577" xr:uid="{7A843CFC-D8AD-492B-B510-D2D4519AC500}"/>
    <cellStyle name="Ввод  2 5 2 10 5" xfId="3235" xr:uid="{00000000-0005-0000-0000-000064090000}"/>
    <cellStyle name="Ввод  2 5 2 10 5 2" xfId="23428" xr:uid="{00000000-0005-0000-0000-000065090000}"/>
    <cellStyle name="Ввод  2 5 2 10 5 3" xfId="39855" xr:uid="{08CF9BA6-C78F-4355-8268-FD42AD9E0981}"/>
    <cellStyle name="Ввод  2 5 2 10 6" xfId="4378" xr:uid="{00000000-0005-0000-0000-000066090000}"/>
    <cellStyle name="Ввод  2 5 2 10 6 2" xfId="20905" xr:uid="{00000000-0005-0000-0000-000067090000}"/>
    <cellStyle name="Ввод  2 5 2 10 6 3" xfId="37695" xr:uid="{7A9F4258-AD1C-468D-9E32-C08546FCA939}"/>
    <cellStyle name="Ввод  2 5 2 10 7" xfId="4900" xr:uid="{00000000-0005-0000-0000-000068090000}"/>
    <cellStyle name="Ввод  2 5 2 10 8" xfId="5381" xr:uid="{00000000-0005-0000-0000-000069090000}"/>
    <cellStyle name="Ввод  2 5 2 11" xfId="958" xr:uid="{00000000-0005-0000-0000-00006A090000}"/>
    <cellStyle name="Ввод  2 5 2 11 2" xfId="2236" xr:uid="{00000000-0005-0000-0000-00006B090000}"/>
    <cellStyle name="Ввод  2 5 2 11 2 2" xfId="21804" xr:uid="{00000000-0005-0000-0000-00006C090000}"/>
    <cellStyle name="Ввод  2 5 2 11 2 2 2" xfId="38414" xr:uid="{8FF030E5-8C0C-408C-B3E0-A46EA548DC38}"/>
    <cellStyle name="Ввод  2 5 2 11 2 3" xfId="5876" xr:uid="{00000000-0005-0000-0000-00006D090000}"/>
    <cellStyle name="Ввод  2 5 2 11 2 4" xfId="23732" xr:uid="{C2BBEF01-B412-4E5C-A9E6-A6B3468813FC}"/>
    <cellStyle name="Ввод  2 5 2 11 3" xfId="2433" xr:uid="{00000000-0005-0000-0000-00006E090000}"/>
    <cellStyle name="Ввод  2 5 2 11 3 2" xfId="22915" xr:uid="{00000000-0005-0000-0000-00006F090000}"/>
    <cellStyle name="Ввод  2 5 2 11 3 2 2" xfId="39381" xr:uid="{99F2B430-F14D-48B9-A41B-86A203BC4439}"/>
    <cellStyle name="Ввод  2 5 2 11 3 3" xfId="6720" xr:uid="{00000000-0005-0000-0000-000070090000}"/>
    <cellStyle name="Ввод  2 5 2 11 3 4" xfId="24347" xr:uid="{03B5186D-BB23-4B78-AAD5-13AC5BE89E50}"/>
    <cellStyle name="Ввод  2 5 2 11 4" xfId="3565" xr:uid="{00000000-0005-0000-0000-000071090000}"/>
    <cellStyle name="Ввод  2 5 2 11 4 2" xfId="23214" xr:uid="{00000000-0005-0000-0000-000072090000}"/>
    <cellStyle name="Ввод  2 5 2 11 4 3" xfId="39641" xr:uid="{994BF37F-62C0-44F2-A831-87B61C262121}"/>
    <cellStyle name="Ввод  2 5 2 11 5" xfId="3880" xr:uid="{00000000-0005-0000-0000-000073090000}"/>
    <cellStyle name="Ввод  2 5 2 11 5 2" xfId="21100" xr:uid="{00000000-0005-0000-0000-000074090000}"/>
    <cellStyle name="Ввод  2 5 2 11 5 3" xfId="37824" xr:uid="{2050C057-1E59-47F9-BA85-C931EC00C992}"/>
    <cellStyle name="Ввод  2 5 2 11 6" xfId="4401" xr:uid="{00000000-0005-0000-0000-000075090000}"/>
    <cellStyle name="Ввод  2 5 2 11 7" xfId="4922" xr:uid="{00000000-0005-0000-0000-000076090000}"/>
    <cellStyle name="Ввод  2 5 2 12" xfId="1989" xr:uid="{00000000-0005-0000-0000-000077090000}"/>
    <cellStyle name="Ввод  2 5 2 12 2" xfId="20970" xr:uid="{00000000-0005-0000-0000-000078090000}"/>
    <cellStyle name="Ввод  2 5 2 12 2 2" xfId="37747" xr:uid="{BA5405DF-1820-4E39-B214-5D41CE16BACB}"/>
    <cellStyle name="Ввод  2 5 2 12 3" xfId="5723" xr:uid="{00000000-0005-0000-0000-000079090000}"/>
    <cellStyle name="Ввод  2 5 2 12 4" xfId="23652" xr:uid="{80788C5B-A16D-4A58-B950-25AFF619D25F}"/>
    <cellStyle name="Ввод  2 5 2 13" xfId="2543" xr:uid="{00000000-0005-0000-0000-00007A090000}"/>
    <cellStyle name="Ввод  2 5 2 13 2" xfId="21727" xr:uid="{00000000-0005-0000-0000-00007B090000}"/>
    <cellStyle name="Ввод  2 5 2 13 2 2" xfId="38337" xr:uid="{676582E8-6B87-446D-84AE-00A4DE71102C}"/>
    <cellStyle name="Ввод  2 5 2 13 3" xfId="6645" xr:uid="{00000000-0005-0000-0000-00007C090000}"/>
    <cellStyle name="Ввод  2 5 2 13 4" xfId="24272" xr:uid="{A80FE1DA-D77C-4CAC-B337-BAE6419BBF40}"/>
    <cellStyle name="Ввод  2 5 2 14" xfId="3202" xr:uid="{00000000-0005-0000-0000-00007D090000}"/>
    <cellStyle name="Ввод  2 5 2 14 2" xfId="22787" xr:uid="{00000000-0005-0000-0000-00007E090000}"/>
    <cellStyle name="Ввод  2 5 2 14 3" xfId="39254" xr:uid="{B69C8DCC-9767-4D14-A6F6-84D9EB721D0D}"/>
    <cellStyle name="Ввод  2 5 2 15" xfId="3053" xr:uid="{00000000-0005-0000-0000-00007F090000}"/>
    <cellStyle name="Ввод  2 5 2 15 2" xfId="23155" xr:uid="{00000000-0005-0000-0000-000080090000}"/>
    <cellStyle name="Ввод  2 5 2 15 3" xfId="39596" xr:uid="{3ACD4A12-E4D0-40FA-A026-540C2A1DBAD7}"/>
    <cellStyle name="Ввод  2 5 2 16" xfId="3333" xr:uid="{00000000-0005-0000-0000-000081090000}"/>
    <cellStyle name="Ввод  2 5 2 16 2" xfId="7494" xr:uid="{00000000-0005-0000-0000-000082090000}"/>
    <cellStyle name="Ввод  2 5 2 16 3" xfId="24896" xr:uid="{E3471673-646B-4281-AD3C-C14D968B4B7D}"/>
    <cellStyle name="Ввод  2 5 2 17" xfId="3193" xr:uid="{00000000-0005-0000-0000-000083090000}"/>
    <cellStyle name="Ввод  2 5 2 2" xfId="350" xr:uid="{00000000-0005-0000-0000-000084090000}"/>
    <cellStyle name="Ввод  2 5 2 2 2" xfId="1030" xr:uid="{00000000-0005-0000-0000-000085090000}"/>
    <cellStyle name="Ввод  2 5 2 2 2 2" xfId="21198" xr:uid="{00000000-0005-0000-0000-000086090000}"/>
    <cellStyle name="Ввод  2 5 2 2 2 2 2" xfId="37864" xr:uid="{411006BD-6C1D-4023-95FD-D6242AD12A31}"/>
    <cellStyle name="Ввод  2 5 2 2 2 3" xfId="5979" xr:uid="{00000000-0005-0000-0000-000087090000}"/>
    <cellStyle name="Ввод  2 5 2 2 2 4" xfId="23772" xr:uid="{58086441-0F35-4822-89CB-8A4204AF3B6D}"/>
    <cellStyle name="Ввод  2 5 2 2 3" xfId="2283" xr:uid="{00000000-0005-0000-0000-000088090000}"/>
    <cellStyle name="Ввод  2 5 2 2 3 2" xfId="21844" xr:uid="{00000000-0005-0000-0000-000089090000}"/>
    <cellStyle name="Ввод  2 5 2 2 3 2 2" xfId="38454" xr:uid="{E63A53FC-D49E-492F-9429-9C0159C0728D}"/>
    <cellStyle name="Ввод  2 5 2 2 3 3" xfId="6758" xr:uid="{00000000-0005-0000-0000-00008A090000}"/>
    <cellStyle name="Ввод  2 5 2 2 3 4" xfId="24385" xr:uid="{AF55199C-7FAE-44FE-B62C-E1B9C3BDF451}"/>
    <cellStyle name="Ввод  2 5 2 2 4" xfId="2800" xr:uid="{00000000-0005-0000-0000-00008B090000}"/>
    <cellStyle name="Ввод  2 5 2 2 4 2" xfId="23009" xr:uid="{00000000-0005-0000-0000-00008C090000}"/>
    <cellStyle name="Ввод  2 5 2 2 4 3" xfId="39475" xr:uid="{A8F35113-7BE9-4775-A3BD-B0AF6C50E66E}"/>
    <cellStyle name="Ввод  2 5 2 2 5" xfId="3644" xr:uid="{00000000-0005-0000-0000-00008D090000}"/>
    <cellStyle name="Ввод  2 5 2 2 5 2" xfId="23232" xr:uid="{00000000-0005-0000-0000-00008E090000}"/>
    <cellStyle name="Ввод  2 5 2 2 5 3" xfId="39659" xr:uid="{84F95B05-67E7-4301-AB54-01B183AEDAE9}"/>
    <cellStyle name="Ввод  2 5 2 2 6" xfId="3946" xr:uid="{00000000-0005-0000-0000-00008F090000}"/>
    <cellStyle name="Ввод  2 5 2 2 6 2" xfId="14076" xr:uid="{00000000-0005-0000-0000-000090090000}"/>
    <cellStyle name="Ввод  2 5 2 2 6 3" xfId="31115" xr:uid="{353D5D83-273C-4196-A158-45924C7C1B42}"/>
    <cellStyle name="Ввод  2 5 2 2 7" xfId="4475" xr:uid="{00000000-0005-0000-0000-000091090000}"/>
    <cellStyle name="Ввод  2 5 2 2 8" xfId="4965" xr:uid="{00000000-0005-0000-0000-000092090000}"/>
    <cellStyle name="Ввод  2 5 2 3" xfId="459" xr:uid="{00000000-0005-0000-0000-000093090000}"/>
    <cellStyle name="Ввод  2 5 2 3 2" xfId="1291" xr:uid="{00000000-0005-0000-0000-000094090000}"/>
    <cellStyle name="Ввод  2 5 2 3 2 2" xfId="21284" xr:uid="{00000000-0005-0000-0000-000095090000}"/>
    <cellStyle name="Ввод  2 5 2 3 2 2 2" xfId="37926" xr:uid="{D92F2DD5-90CE-4777-8BB0-2F56E87FF818}"/>
    <cellStyle name="Ввод  2 5 2 3 2 3" xfId="6047" xr:uid="{00000000-0005-0000-0000-000096090000}"/>
    <cellStyle name="Ввод  2 5 2 3 2 4" xfId="23834" xr:uid="{4A8DB355-EF12-4F51-AD9B-FAEDCAF21CDA}"/>
    <cellStyle name="Ввод  2 5 2 3 3" xfId="2219" xr:uid="{00000000-0005-0000-0000-000097090000}"/>
    <cellStyle name="Ввод  2 5 2 3 3 2" xfId="21906" xr:uid="{00000000-0005-0000-0000-000098090000}"/>
    <cellStyle name="Ввод  2 5 2 3 3 2 2" xfId="38516" xr:uid="{90233497-77D8-4671-A8F7-4C7CB7A8D73A}"/>
    <cellStyle name="Ввод  2 5 2 3 3 3" xfId="6817" xr:uid="{00000000-0005-0000-0000-000099090000}"/>
    <cellStyle name="Ввод  2 5 2 3 3 4" xfId="24444" xr:uid="{E7FAF97C-2EE9-4623-831E-835F52A859BA}"/>
    <cellStyle name="Ввод  2 5 2 3 4" xfId="2704" xr:uid="{00000000-0005-0000-0000-00009A090000}"/>
    <cellStyle name="Ввод  2 5 2 3 4 2" xfId="22700" xr:uid="{00000000-0005-0000-0000-00009B090000}"/>
    <cellStyle name="Ввод  2 5 2 3 4 3" xfId="39171" xr:uid="{17457DDE-DD9C-4577-A875-F0C8628D5072}"/>
    <cellStyle name="Ввод  2 5 2 3 5" xfId="3822" xr:uid="{00000000-0005-0000-0000-00009C090000}"/>
    <cellStyle name="Ввод  2 5 2 3 5 2" xfId="23261" xr:uid="{00000000-0005-0000-0000-00009D090000}"/>
    <cellStyle name="Ввод  2 5 2 3 5 3" xfId="39688" xr:uid="{72A2A506-A0A1-4E31-87A8-67C19A489D37}"/>
    <cellStyle name="Ввод  2 5 2 3 6" xfId="4020" xr:uid="{00000000-0005-0000-0000-00009E090000}"/>
    <cellStyle name="Ввод  2 5 2 3 6 2" xfId="20439" xr:uid="{00000000-0005-0000-0000-00009F090000}"/>
    <cellStyle name="Ввод  2 5 2 3 6 3" xfId="37336" xr:uid="{B7C7E30F-94C0-472B-99EF-0870E0F6522E}"/>
    <cellStyle name="Ввод  2 5 2 3 7" xfId="4542" xr:uid="{00000000-0005-0000-0000-0000A0090000}"/>
    <cellStyle name="Ввод  2 5 2 3 8" xfId="5024" xr:uid="{00000000-0005-0000-0000-0000A1090000}"/>
    <cellStyle name="Ввод  2 5 2 4" xfId="505" xr:uid="{00000000-0005-0000-0000-0000A2090000}"/>
    <cellStyle name="Ввод  2 5 2 4 2" xfId="1337" xr:uid="{00000000-0005-0000-0000-0000A3090000}"/>
    <cellStyle name="Ввод  2 5 2 4 2 2" xfId="21330" xr:uid="{00000000-0005-0000-0000-0000A4090000}"/>
    <cellStyle name="Ввод  2 5 2 4 2 2 2" xfId="37972" xr:uid="{804D618D-892E-4D38-8142-ED62F7DEA088}"/>
    <cellStyle name="Ввод  2 5 2 4 2 3" xfId="6093" xr:uid="{00000000-0005-0000-0000-0000A5090000}"/>
    <cellStyle name="Ввод  2 5 2 4 2 4" xfId="23880" xr:uid="{504C8D97-75B8-485E-AB16-A1E9BC55B3ED}"/>
    <cellStyle name="Ввод  2 5 2 4 3" xfId="2107" xr:uid="{00000000-0005-0000-0000-0000A6090000}"/>
    <cellStyle name="Ввод  2 5 2 4 3 2" xfId="21952" xr:uid="{00000000-0005-0000-0000-0000A7090000}"/>
    <cellStyle name="Ввод  2 5 2 4 3 2 2" xfId="38562" xr:uid="{1B65E0DB-1221-4A3F-9D5D-97E626AC021E}"/>
    <cellStyle name="Ввод  2 5 2 4 3 3" xfId="6862" xr:uid="{00000000-0005-0000-0000-0000A8090000}"/>
    <cellStyle name="Ввод  2 5 2 4 3 4" xfId="24489" xr:uid="{0C32E2B6-3990-4AD3-871B-E04EF10012B4}"/>
    <cellStyle name="Ввод  2 5 2 4 4" xfId="2883" xr:uid="{00000000-0005-0000-0000-0000A9090000}"/>
    <cellStyle name="Ввод  2 5 2 4 4 2" xfId="22972" xr:uid="{00000000-0005-0000-0000-0000AA090000}"/>
    <cellStyle name="Ввод  2 5 2 4 4 3" xfId="39438" xr:uid="{B0E056DC-94F8-4DF4-9266-9AA032CE1BC7}"/>
    <cellStyle name="Ввод  2 5 2 4 5" xfId="3124" xr:uid="{00000000-0005-0000-0000-0000AB090000}"/>
    <cellStyle name="Ввод  2 5 2 4 5 2" xfId="23284" xr:uid="{00000000-0005-0000-0000-0000AC090000}"/>
    <cellStyle name="Ввод  2 5 2 4 5 3" xfId="39711" xr:uid="{83B4582F-1C5D-498A-8B5D-DE8439218169}"/>
    <cellStyle name="Ввод  2 5 2 4 6" xfId="4065" xr:uid="{00000000-0005-0000-0000-0000AD090000}"/>
    <cellStyle name="Ввод  2 5 2 4 6 2" xfId="20491" xr:uid="{00000000-0005-0000-0000-0000AE090000}"/>
    <cellStyle name="Ввод  2 5 2 4 6 3" xfId="37383" xr:uid="{5369A378-0E20-4098-B78A-B7D7E277C33F}"/>
    <cellStyle name="Ввод  2 5 2 4 7" xfId="4587" xr:uid="{00000000-0005-0000-0000-0000AF090000}"/>
    <cellStyle name="Ввод  2 5 2 4 8" xfId="5069" xr:uid="{00000000-0005-0000-0000-0000B0090000}"/>
    <cellStyle name="Ввод  2 5 2 5" xfId="557" xr:uid="{00000000-0005-0000-0000-0000B1090000}"/>
    <cellStyle name="Ввод  2 5 2 5 2" xfId="1389" xr:uid="{00000000-0005-0000-0000-0000B2090000}"/>
    <cellStyle name="Ввод  2 5 2 5 2 2" xfId="21382" xr:uid="{00000000-0005-0000-0000-0000B3090000}"/>
    <cellStyle name="Ввод  2 5 2 5 2 2 2" xfId="38024" xr:uid="{88A495E5-6C53-4613-BEB4-7AD04DC60E30}"/>
    <cellStyle name="Ввод  2 5 2 5 2 3" xfId="6145" xr:uid="{00000000-0005-0000-0000-0000B4090000}"/>
    <cellStyle name="Ввод  2 5 2 5 2 4" xfId="23932" xr:uid="{7B644396-E97B-43C3-BC0C-74EAF5EBEADD}"/>
    <cellStyle name="Ввод  2 5 2 5 3" xfId="2024" xr:uid="{00000000-0005-0000-0000-0000B5090000}"/>
    <cellStyle name="Ввод  2 5 2 5 3 2" xfId="22004" xr:uid="{00000000-0005-0000-0000-0000B6090000}"/>
    <cellStyle name="Ввод  2 5 2 5 3 2 2" xfId="38614" xr:uid="{0A2D708E-9443-412A-BD49-6E72D4505544}"/>
    <cellStyle name="Ввод  2 5 2 5 3 3" xfId="6914" xr:uid="{00000000-0005-0000-0000-0000B7090000}"/>
    <cellStyle name="Ввод  2 5 2 5 3 4" xfId="24541" xr:uid="{A85D1EBC-96AE-486E-BD68-36CC0DE231D5}"/>
    <cellStyle name="Ввод  2 5 2 5 4" xfId="2810" xr:uid="{00000000-0005-0000-0000-0000B8090000}"/>
    <cellStyle name="Ввод  2 5 2 5 4 2" xfId="22614" xr:uid="{00000000-0005-0000-0000-0000B9090000}"/>
    <cellStyle name="Ввод  2 5 2 5 4 3" xfId="39088" xr:uid="{4B856165-B968-4A3D-B313-DE5E73535087}"/>
    <cellStyle name="Ввод  2 5 2 5 5" xfId="3086" xr:uid="{00000000-0005-0000-0000-0000BA090000}"/>
    <cellStyle name="Ввод  2 5 2 5 5 2" xfId="23308" xr:uid="{00000000-0005-0000-0000-0000BB090000}"/>
    <cellStyle name="Ввод  2 5 2 5 5 3" xfId="39735" xr:uid="{62771B16-EFC7-4D07-8332-C6AD40F1072A}"/>
    <cellStyle name="Ввод  2 5 2 5 6" xfId="4117" xr:uid="{00000000-0005-0000-0000-0000BC090000}"/>
    <cellStyle name="Ввод  2 5 2 5 6 2" xfId="20605" xr:uid="{00000000-0005-0000-0000-0000BD090000}"/>
    <cellStyle name="Ввод  2 5 2 5 6 3" xfId="37449" xr:uid="{76054DC1-5C00-40A9-BA1F-DBAC126229A8}"/>
    <cellStyle name="Ввод  2 5 2 5 7" xfId="4639" xr:uid="{00000000-0005-0000-0000-0000BE090000}"/>
    <cellStyle name="Ввод  2 5 2 5 8" xfId="5121" xr:uid="{00000000-0005-0000-0000-0000BF090000}"/>
    <cellStyle name="Ввод  2 5 2 6" xfId="609" xr:uid="{00000000-0005-0000-0000-0000C0090000}"/>
    <cellStyle name="Ввод  2 5 2 6 2" xfId="1441" xr:uid="{00000000-0005-0000-0000-0000C1090000}"/>
    <cellStyle name="Ввод  2 5 2 6 2 2" xfId="21434" xr:uid="{00000000-0005-0000-0000-0000C2090000}"/>
    <cellStyle name="Ввод  2 5 2 6 2 2 2" xfId="38076" xr:uid="{125E6C07-33D4-4C8A-B2CA-E77C21A533F3}"/>
    <cellStyle name="Ввод  2 5 2 6 2 3" xfId="6197" xr:uid="{00000000-0005-0000-0000-0000C3090000}"/>
    <cellStyle name="Ввод  2 5 2 6 2 4" xfId="23984" xr:uid="{26020BEA-C5E3-4CBE-A5C5-A6F1F28EB1E7}"/>
    <cellStyle name="Ввод  2 5 2 6 3" xfId="1793" xr:uid="{00000000-0005-0000-0000-0000C4090000}"/>
    <cellStyle name="Ввод  2 5 2 6 3 2" xfId="22056" xr:uid="{00000000-0005-0000-0000-0000C5090000}"/>
    <cellStyle name="Ввод  2 5 2 6 3 2 2" xfId="38666" xr:uid="{BF7A3765-F5AF-4716-AA0C-36B87BD36737}"/>
    <cellStyle name="Ввод  2 5 2 6 3 3" xfId="6966" xr:uid="{00000000-0005-0000-0000-0000C6090000}"/>
    <cellStyle name="Ввод  2 5 2 6 3 4" xfId="24593" xr:uid="{98E93405-5F5C-4C47-8170-7EB359AB71FE}"/>
    <cellStyle name="Ввод  2 5 2 6 4" xfId="2628" xr:uid="{00000000-0005-0000-0000-0000C7090000}"/>
    <cellStyle name="Ввод  2 5 2 6 4 2" xfId="23061" xr:uid="{00000000-0005-0000-0000-0000C8090000}"/>
    <cellStyle name="Ввод  2 5 2 6 4 3" xfId="39527" xr:uid="{227E2647-9F2A-4B6A-8CA1-055ACD61589A}"/>
    <cellStyle name="Ввод  2 5 2 6 5" xfId="3782" xr:uid="{00000000-0005-0000-0000-0000C9090000}"/>
    <cellStyle name="Ввод  2 5 2 6 5 2" xfId="23332" xr:uid="{00000000-0005-0000-0000-0000CA090000}"/>
    <cellStyle name="Ввод  2 5 2 6 5 3" xfId="39759" xr:uid="{1A378F73-D448-41A5-BE7F-AE852E978235}"/>
    <cellStyle name="Ввод  2 5 2 6 6" xfId="4169" xr:uid="{00000000-0005-0000-0000-0000CB090000}"/>
    <cellStyle name="Ввод  2 5 2 6 6 2" xfId="20645" xr:uid="{00000000-0005-0000-0000-0000CC090000}"/>
    <cellStyle name="Ввод  2 5 2 6 6 3" xfId="37487" xr:uid="{FC45D955-62B1-48DA-BC06-FC810966D2F9}"/>
    <cellStyle name="Ввод  2 5 2 6 7" xfId="4691" xr:uid="{00000000-0005-0000-0000-0000CD090000}"/>
    <cellStyle name="Ввод  2 5 2 6 8" xfId="5173" xr:uid="{00000000-0005-0000-0000-0000CE090000}"/>
    <cellStyle name="Ввод  2 5 2 7" xfId="711" xr:uid="{00000000-0005-0000-0000-0000CF090000}"/>
    <cellStyle name="Ввод  2 5 2 7 2" xfId="1541" xr:uid="{00000000-0005-0000-0000-0000D0090000}"/>
    <cellStyle name="Ввод  2 5 2 7 2 2" xfId="21534" xr:uid="{00000000-0005-0000-0000-0000D1090000}"/>
    <cellStyle name="Ввод  2 5 2 7 2 2 2" xfId="38176" xr:uid="{09954D24-4B06-40CC-824D-89641F34B111}"/>
    <cellStyle name="Ввод  2 5 2 7 2 3" xfId="6297" xr:uid="{00000000-0005-0000-0000-0000D2090000}"/>
    <cellStyle name="Ввод  2 5 2 7 2 4" xfId="24084" xr:uid="{51312FA4-25AE-4072-BEB9-909D48556412}"/>
    <cellStyle name="Ввод  2 5 2 7 3" xfId="1750" xr:uid="{00000000-0005-0000-0000-0000D3090000}"/>
    <cellStyle name="Ввод  2 5 2 7 3 2" xfId="22156" xr:uid="{00000000-0005-0000-0000-0000D4090000}"/>
    <cellStyle name="Ввод  2 5 2 7 3 2 2" xfId="38766" xr:uid="{C60A85FC-C334-4133-89C3-A841B97BC612}"/>
    <cellStyle name="Ввод  2 5 2 7 3 3" xfId="7066" xr:uid="{00000000-0005-0000-0000-0000D5090000}"/>
    <cellStyle name="Ввод  2 5 2 7 3 4" xfId="24693" xr:uid="{74763105-CCA6-45BF-A567-B0475B2B2DC1}"/>
    <cellStyle name="Ввод  2 5 2 7 4" xfId="2348" xr:uid="{00000000-0005-0000-0000-0000D6090000}"/>
    <cellStyle name="Ввод  2 5 2 7 4 2" xfId="22531" xr:uid="{00000000-0005-0000-0000-0000D7090000}"/>
    <cellStyle name="Ввод  2 5 2 7 4 3" xfId="39010" xr:uid="{E3F295E1-FF6F-4F93-963C-2B1114955ABC}"/>
    <cellStyle name="Ввод  2 5 2 7 5" xfId="2981" xr:uid="{00000000-0005-0000-0000-0000D8090000}"/>
    <cellStyle name="Ввод  2 5 2 7 5 2" xfId="23374" xr:uid="{00000000-0005-0000-0000-0000D9090000}"/>
    <cellStyle name="Ввод  2 5 2 7 5 3" xfId="39801" xr:uid="{0EE4CF0E-9BD7-44D8-BDAD-6E796C6A18B2}"/>
    <cellStyle name="Ввод  2 5 2 7 6" xfId="4270" xr:uid="{00000000-0005-0000-0000-0000DA090000}"/>
    <cellStyle name="Ввод  2 5 2 7 6 2" xfId="20710" xr:uid="{00000000-0005-0000-0000-0000DB090000}"/>
    <cellStyle name="Ввод  2 5 2 7 6 3" xfId="37539" xr:uid="{3B85FCDE-1616-48B8-8D83-3FFB3C5922F9}"/>
    <cellStyle name="Ввод  2 5 2 7 7" xfId="4792" xr:uid="{00000000-0005-0000-0000-0000DC090000}"/>
    <cellStyle name="Ввод  2 5 2 7 8" xfId="5273" xr:uid="{00000000-0005-0000-0000-0000DD090000}"/>
    <cellStyle name="Ввод  2 5 2 8" xfId="756" xr:uid="{00000000-0005-0000-0000-0000DE090000}"/>
    <cellStyle name="Ввод  2 5 2 8 2" xfId="1585" xr:uid="{00000000-0005-0000-0000-0000DF090000}"/>
    <cellStyle name="Ввод  2 5 2 8 2 2" xfId="21578" xr:uid="{00000000-0005-0000-0000-0000E0090000}"/>
    <cellStyle name="Ввод  2 5 2 8 2 2 2" xfId="38220" xr:uid="{60FCDAE2-5B46-45F6-975C-A180E5D4F7A3}"/>
    <cellStyle name="Ввод  2 5 2 8 2 3" xfId="6341" xr:uid="{00000000-0005-0000-0000-0000E1090000}"/>
    <cellStyle name="Ввод  2 5 2 8 2 4" xfId="24128" xr:uid="{4629C41D-CF1C-49A9-9F35-C3DD4814EA2E}"/>
    <cellStyle name="Ввод  2 5 2 8 3" xfId="1868" xr:uid="{00000000-0005-0000-0000-0000E2090000}"/>
    <cellStyle name="Ввод  2 5 2 8 3 2" xfId="22200" xr:uid="{00000000-0005-0000-0000-0000E3090000}"/>
    <cellStyle name="Ввод  2 5 2 8 3 2 2" xfId="38810" xr:uid="{29704B73-E892-43CD-B7C7-C4A2A78B4AA5}"/>
    <cellStyle name="Ввод  2 5 2 8 3 3" xfId="7110" xr:uid="{00000000-0005-0000-0000-0000E4090000}"/>
    <cellStyle name="Ввод  2 5 2 8 3 4" xfId="24737" xr:uid="{EEA97378-606E-4C1E-A1E9-9FF5DEBC18DE}"/>
    <cellStyle name="Ввод  2 5 2 8 4" xfId="2341" xr:uid="{00000000-0005-0000-0000-0000E5090000}"/>
    <cellStyle name="Ввод  2 5 2 8 4 2" xfId="22524" xr:uid="{00000000-0005-0000-0000-0000E6090000}"/>
    <cellStyle name="Ввод  2 5 2 8 4 3" xfId="39003" xr:uid="{F0C6A2D7-F985-46B6-BD49-8F1C1BA6DD80}"/>
    <cellStyle name="Ввод  2 5 2 8 5" xfId="2965" xr:uid="{00000000-0005-0000-0000-0000E7090000}"/>
    <cellStyle name="Ввод  2 5 2 8 5 2" xfId="23396" xr:uid="{00000000-0005-0000-0000-0000E8090000}"/>
    <cellStyle name="Ввод  2 5 2 8 5 3" xfId="39823" xr:uid="{BBFF249F-E8CF-4D74-BBE0-3D80D1744FD5}"/>
    <cellStyle name="Ввод  2 5 2 8 6" xfId="4314" xr:uid="{00000000-0005-0000-0000-0000E9090000}"/>
    <cellStyle name="Ввод  2 5 2 8 6 2" xfId="20775" xr:uid="{00000000-0005-0000-0000-0000EA090000}"/>
    <cellStyle name="Ввод  2 5 2 8 6 3" xfId="37591" xr:uid="{25712112-9641-4B68-AF81-DD4AC40386C4}"/>
    <cellStyle name="Ввод  2 5 2 8 7" xfId="4836" xr:uid="{00000000-0005-0000-0000-0000EB090000}"/>
    <cellStyle name="Ввод  2 5 2 8 8" xfId="5317" xr:uid="{00000000-0005-0000-0000-0000EC090000}"/>
    <cellStyle name="Ввод  2 5 2 9" xfId="788" xr:uid="{00000000-0005-0000-0000-0000ED090000}"/>
    <cellStyle name="Ввод  2 5 2 9 2" xfId="1617" xr:uid="{00000000-0005-0000-0000-0000EE090000}"/>
    <cellStyle name="Ввод  2 5 2 9 2 2" xfId="21610" xr:uid="{00000000-0005-0000-0000-0000EF090000}"/>
    <cellStyle name="Ввод  2 5 2 9 2 2 2" xfId="38252" xr:uid="{AB108871-74E0-4E79-A018-5AA3E26211FF}"/>
    <cellStyle name="Ввод  2 5 2 9 2 3" xfId="6373" xr:uid="{00000000-0005-0000-0000-0000F0090000}"/>
    <cellStyle name="Ввод  2 5 2 9 2 4" xfId="24160" xr:uid="{EBDCEB14-6F3E-49A6-9011-60153B5056B1}"/>
    <cellStyle name="Ввод  2 5 2 9 3" xfId="1864" xr:uid="{00000000-0005-0000-0000-0000F1090000}"/>
    <cellStyle name="Ввод  2 5 2 9 3 2" xfId="22232" xr:uid="{00000000-0005-0000-0000-0000F2090000}"/>
    <cellStyle name="Ввод  2 5 2 9 3 2 2" xfId="38842" xr:uid="{7AA67F94-3759-41C9-AF86-C22BD7550DA8}"/>
    <cellStyle name="Ввод  2 5 2 9 3 3" xfId="7142" xr:uid="{00000000-0005-0000-0000-0000F3090000}"/>
    <cellStyle name="Ввод  2 5 2 9 3 4" xfId="24769" xr:uid="{31523C93-F74A-4508-B130-6F5BBD065C7A}"/>
    <cellStyle name="Ввод  2 5 2 9 4" xfId="2534" xr:uid="{00000000-0005-0000-0000-0000F4090000}"/>
    <cellStyle name="Ввод  2 5 2 9 4 2" xfId="23106" xr:uid="{00000000-0005-0000-0000-0000F5090000}"/>
    <cellStyle name="Ввод  2 5 2 9 4 3" xfId="39572" xr:uid="{83F91234-2EC0-487A-98E6-314EA591F5B2}"/>
    <cellStyle name="Ввод  2 5 2 9 5" xfId="3015" xr:uid="{00000000-0005-0000-0000-0000F6090000}"/>
    <cellStyle name="Ввод  2 5 2 9 5 2" xfId="23412" xr:uid="{00000000-0005-0000-0000-0000F7090000}"/>
    <cellStyle name="Ввод  2 5 2 9 5 3" xfId="39839" xr:uid="{8D941788-13BE-44A6-BD27-E4E36A234F00}"/>
    <cellStyle name="Ввод  2 5 2 9 6" xfId="4346" xr:uid="{00000000-0005-0000-0000-0000F8090000}"/>
    <cellStyle name="Ввод  2 5 2 9 6 2" xfId="20840" xr:uid="{00000000-0005-0000-0000-0000F9090000}"/>
    <cellStyle name="Ввод  2 5 2 9 6 3" xfId="37643" xr:uid="{218408BE-B742-4480-8747-FCE5F3319EBF}"/>
    <cellStyle name="Ввод  2 5 2 9 7" xfId="4868" xr:uid="{00000000-0005-0000-0000-0000FA090000}"/>
    <cellStyle name="Ввод  2 5 2 9 8" xfId="5349" xr:uid="{00000000-0005-0000-0000-0000FB090000}"/>
    <cellStyle name="Ввод  2 5 3" xfId="374" xr:uid="{00000000-0005-0000-0000-0000FC090000}"/>
    <cellStyle name="Ввод  2 5 3 10" xfId="999" xr:uid="{00000000-0005-0000-0000-0000FD090000}"/>
    <cellStyle name="Ввод  2 5 3 10 2" xfId="2260" xr:uid="{00000000-0005-0000-0000-0000FE090000}"/>
    <cellStyle name="Ввод  2 5 3 10 2 2" xfId="21863" xr:uid="{00000000-0005-0000-0000-0000FF090000}"/>
    <cellStyle name="Ввод  2 5 3 10 2 2 2" xfId="38473" xr:uid="{43D500DD-F931-41CC-86FF-01C6415FBF3C}"/>
    <cellStyle name="Ввод  2 5 3 10 2 3" xfId="6003" xr:uid="{00000000-0005-0000-0000-0000000A0000}"/>
    <cellStyle name="Ввод  2 5 3 10 2 4" xfId="23791" xr:uid="{F2215EE1-E6AA-4AD3-BD45-D86A775610A5}"/>
    <cellStyle name="Ввод  2 5 3 10 3" xfId="2485" xr:uid="{00000000-0005-0000-0000-0000010A0000}"/>
    <cellStyle name="Ввод  2 5 3 10 3 2" xfId="22951" xr:uid="{00000000-0005-0000-0000-0000020A0000}"/>
    <cellStyle name="Ввод  2 5 3 10 3 2 2" xfId="39417" xr:uid="{54BDE169-0708-43D7-9E51-2554F9F529EA}"/>
    <cellStyle name="Ввод  2 5 3 10 3 3" xfId="6777" xr:uid="{00000000-0005-0000-0000-0000030A0000}"/>
    <cellStyle name="Ввод  2 5 3 10 3 4" xfId="24404" xr:uid="{E3A4A3CA-9FE9-46C7-B60C-196468FC6FE5}"/>
    <cellStyle name="Ввод  2 5 3 10 4" xfId="3613" xr:uid="{00000000-0005-0000-0000-0000040A0000}"/>
    <cellStyle name="Ввод  2 5 3 10 4 2" xfId="23242" xr:uid="{00000000-0005-0000-0000-0000050A0000}"/>
    <cellStyle name="Ввод  2 5 3 10 4 3" xfId="39669" xr:uid="{1E53357E-2394-4AAF-9925-35F9D3929E9B}"/>
    <cellStyle name="Ввод  2 5 3 10 5" xfId="3967" xr:uid="{00000000-0005-0000-0000-0000060A0000}"/>
    <cellStyle name="Ввод  2 5 3 10 5 2" xfId="21222" xr:uid="{00000000-0005-0000-0000-0000070A0000}"/>
    <cellStyle name="Ввод  2 5 3 10 5 3" xfId="37883" xr:uid="{57C57EA2-AC6E-4E92-AE40-4E250659DF3F}"/>
    <cellStyle name="Ввод  2 5 3 10 6" xfId="4495" xr:uid="{00000000-0005-0000-0000-0000080A0000}"/>
    <cellStyle name="Ввод  2 5 3 10 7" xfId="4984" xr:uid="{00000000-0005-0000-0000-0000090A0000}"/>
    <cellStyle name="Ввод  2 5 3 11" xfId="1901" xr:uid="{00000000-0005-0000-0000-00000A0A0000}"/>
    <cellStyle name="Ввод  2 5 3 11 2" xfId="20989" xr:uid="{00000000-0005-0000-0000-00000B0A0000}"/>
    <cellStyle name="Ввод  2 5 3 11 2 2" xfId="37766" xr:uid="{F79510EB-F043-4B2F-854B-DCBA02EA66A2}"/>
    <cellStyle name="Ввод  2 5 3 11 3" xfId="5747" xr:uid="{00000000-0005-0000-0000-00000C0A0000}"/>
    <cellStyle name="Ввод  2 5 3 11 4" xfId="23671" xr:uid="{A33C7C6A-932C-4C3A-BD20-7053CB7EBC03}"/>
    <cellStyle name="Ввод  2 5 3 12" xfId="2461" xr:uid="{00000000-0005-0000-0000-00000D0A0000}"/>
    <cellStyle name="Ввод  2 5 3 12 2" xfId="21746" xr:uid="{00000000-0005-0000-0000-00000E0A0000}"/>
    <cellStyle name="Ввод  2 5 3 12 2 2" xfId="38356" xr:uid="{92CD2395-E0CA-40E7-A414-529C5BFA6194}"/>
    <cellStyle name="Ввод  2 5 3 12 3" xfId="6664" xr:uid="{00000000-0005-0000-0000-00000F0A0000}"/>
    <cellStyle name="Ввод  2 5 3 12 4" xfId="24291" xr:uid="{47C40CEF-5C3F-4115-86C3-7CB0D8971A36}"/>
    <cellStyle name="Ввод  2 5 3 13" xfId="3192" xr:uid="{00000000-0005-0000-0000-0000100A0000}"/>
    <cellStyle name="Ввод  2 5 3 13 2" xfId="22780" xr:uid="{00000000-0005-0000-0000-0000110A0000}"/>
    <cellStyle name="Ввод  2 5 3 13 3" xfId="39248" xr:uid="{BE3F905B-27FB-450D-B79C-FFA1D9EA2338}"/>
    <cellStyle name="Ввод  2 5 3 14" xfId="3104" xr:uid="{00000000-0005-0000-0000-0000120A0000}"/>
    <cellStyle name="Ввод  2 5 3 14 2" xfId="23188" xr:uid="{00000000-0005-0000-0000-0000130A0000}"/>
    <cellStyle name="Ввод  2 5 3 14 3" xfId="39615" xr:uid="{8F263D24-15FD-42E2-B118-63D42506A9A1}"/>
    <cellStyle name="Ввод  2 5 3 15" xfId="3874" xr:uid="{00000000-0005-0000-0000-0000140A0000}"/>
    <cellStyle name="Ввод  2 5 3 15 2" xfId="14045" xr:uid="{00000000-0005-0000-0000-0000150A0000}"/>
    <cellStyle name="Ввод  2 5 3 15 3" xfId="31084" xr:uid="{0D6D3B48-9A71-4B96-BC60-9BAF5DD5B2BA}"/>
    <cellStyle name="Ввод  2 5 3 16" xfId="4410" xr:uid="{00000000-0005-0000-0000-0000160A0000}"/>
    <cellStyle name="Ввод  2 5 3 2" xfId="479" xr:uid="{00000000-0005-0000-0000-0000170A0000}"/>
    <cellStyle name="Ввод  2 5 3 2 2" xfId="1311" xr:uid="{00000000-0005-0000-0000-0000180A0000}"/>
    <cellStyle name="Ввод  2 5 3 2 2 2" xfId="21304" xr:uid="{00000000-0005-0000-0000-0000190A0000}"/>
    <cellStyle name="Ввод  2 5 3 2 2 2 2" xfId="37946" xr:uid="{9B76F3D2-72EE-4DFE-A9D8-DF83FFA6EB8C}"/>
    <cellStyle name="Ввод  2 5 3 2 2 3" xfId="6067" xr:uid="{00000000-0005-0000-0000-00001A0A0000}"/>
    <cellStyle name="Ввод  2 5 3 2 2 4" xfId="23854" xr:uid="{AD85E9AA-6F72-4908-B60A-52D4925DD378}"/>
    <cellStyle name="Ввод  2 5 3 2 3" xfId="2027" xr:uid="{00000000-0005-0000-0000-00001B0A0000}"/>
    <cellStyle name="Ввод  2 5 3 2 3 2" xfId="21926" xr:uid="{00000000-0005-0000-0000-00001C0A0000}"/>
    <cellStyle name="Ввод  2 5 3 2 3 2 2" xfId="38536" xr:uid="{A23ED2C9-09A5-489A-B7E2-842086B872EC}"/>
    <cellStyle name="Ввод  2 5 3 2 3 3" xfId="6836" xr:uid="{00000000-0005-0000-0000-00001D0A0000}"/>
    <cellStyle name="Ввод  2 5 3 2 3 4" xfId="24463" xr:uid="{0446BFBA-BE3A-49B5-B0DC-83B1C180C5BB}"/>
    <cellStyle name="Ввод  2 5 3 2 4" xfId="2792" xr:uid="{00000000-0005-0000-0000-00001E0A0000}"/>
    <cellStyle name="Ввод  2 5 3 2 4 2" xfId="23026" xr:uid="{00000000-0005-0000-0000-00001F0A0000}"/>
    <cellStyle name="Ввод  2 5 3 2 4 3" xfId="39492" xr:uid="{AB2116B3-EEC0-4CA7-AE08-FD33FB66644C}"/>
    <cellStyle name="Ввод  2 5 3 2 5" xfId="3179" xr:uid="{00000000-0005-0000-0000-0000200A0000}"/>
    <cellStyle name="Ввод  2 5 3 2 5 2" xfId="23272" xr:uid="{00000000-0005-0000-0000-0000210A0000}"/>
    <cellStyle name="Ввод  2 5 3 2 5 3" xfId="39699" xr:uid="{17D6F1CE-0483-4309-B4B3-32EBCFEF51BB}"/>
    <cellStyle name="Ввод  2 5 3 2 6" xfId="4039" xr:uid="{00000000-0005-0000-0000-0000220A0000}"/>
    <cellStyle name="Ввод  2 5 3 2 6 2" xfId="20463" xr:uid="{00000000-0005-0000-0000-0000230A0000}"/>
    <cellStyle name="Ввод  2 5 3 2 6 3" xfId="37355" xr:uid="{67FE1440-5006-477B-9FAC-F3E6FD25083B}"/>
    <cellStyle name="Ввод  2 5 3 2 7" xfId="4561" xr:uid="{00000000-0005-0000-0000-0000240A0000}"/>
    <cellStyle name="Ввод  2 5 3 2 8" xfId="5043" xr:uid="{00000000-0005-0000-0000-0000250A0000}"/>
    <cellStyle name="Ввод  2 5 3 3" xfId="524" xr:uid="{00000000-0005-0000-0000-0000260A0000}"/>
    <cellStyle name="Ввод  2 5 3 3 2" xfId="1356" xr:uid="{00000000-0005-0000-0000-0000270A0000}"/>
    <cellStyle name="Ввод  2 5 3 3 2 2" xfId="21349" xr:uid="{00000000-0005-0000-0000-0000280A0000}"/>
    <cellStyle name="Ввод  2 5 3 3 2 2 2" xfId="37991" xr:uid="{D78E6E36-7773-43B0-81A1-EA96645420F2}"/>
    <cellStyle name="Ввод  2 5 3 3 2 3" xfId="6112" xr:uid="{00000000-0005-0000-0000-0000290A0000}"/>
    <cellStyle name="Ввод  2 5 3 3 2 4" xfId="23899" xr:uid="{219A7866-199F-4EA2-B6FF-B13E93BCE631}"/>
    <cellStyle name="Ввод  2 5 3 3 3" xfId="1833" xr:uid="{00000000-0005-0000-0000-00002A0A0000}"/>
    <cellStyle name="Ввод  2 5 3 3 3 2" xfId="21971" xr:uid="{00000000-0005-0000-0000-00002B0A0000}"/>
    <cellStyle name="Ввод  2 5 3 3 3 2 2" xfId="38581" xr:uid="{43326FCB-708B-49AD-B84A-F928391161BF}"/>
    <cellStyle name="Ввод  2 5 3 3 3 3" xfId="6881" xr:uid="{00000000-0005-0000-0000-00002C0A0000}"/>
    <cellStyle name="Ввод  2 5 3 3 3 4" xfId="24508" xr:uid="{3C29981F-D021-4CB6-A347-50858F964BDC}"/>
    <cellStyle name="Ввод  2 5 3 3 4" xfId="2678" xr:uid="{00000000-0005-0000-0000-00002D0A0000}"/>
    <cellStyle name="Ввод  2 5 3 3 4 2" xfId="22934" xr:uid="{00000000-0005-0000-0000-00002E0A0000}"/>
    <cellStyle name="Ввод  2 5 3 3 4 3" xfId="39400" xr:uid="{F2D89C40-1D52-43C2-98DC-AFD8C03E4F56}"/>
    <cellStyle name="Ввод  2 5 3 3 5" xfId="3593" xr:uid="{00000000-0005-0000-0000-00002F0A0000}"/>
    <cellStyle name="Ввод  2 5 3 3 5 2" xfId="23294" xr:uid="{00000000-0005-0000-0000-0000300A0000}"/>
    <cellStyle name="Ввод  2 5 3 3 5 3" xfId="39721" xr:uid="{17FAC74B-CD1D-43FF-B15E-22A6BC3ECCBA}"/>
    <cellStyle name="Ввод  2 5 3 3 6" xfId="4084" xr:uid="{00000000-0005-0000-0000-0000310A0000}"/>
    <cellStyle name="Ввод  2 5 3 3 6 2" xfId="20510" xr:uid="{00000000-0005-0000-0000-0000320A0000}"/>
    <cellStyle name="Ввод  2 5 3 3 6 3" xfId="37402" xr:uid="{E811ECC3-0237-437C-A62C-24D34B4C701F}"/>
    <cellStyle name="Ввод  2 5 3 3 7" xfId="4606" xr:uid="{00000000-0005-0000-0000-0000330A0000}"/>
    <cellStyle name="Ввод  2 5 3 3 8" xfId="5088" xr:uid="{00000000-0005-0000-0000-0000340A0000}"/>
    <cellStyle name="Ввод  2 5 3 4" xfId="576" xr:uid="{00000000-0005-0000-0000-0000350A0000}"/>
    <cellStyle name="Ввод  2 5 3 4 2" xfId="1408" xr:uid="{00000000-0005-0000-0000-0000360A0000}"/>
    <cellStyle name="Ввод  2 5 3 4 2 2" xfId="21401" xr:uid="{00000000-0005-0000-0000-0000370A0000}"/>
    <cellStyle name="Ввод  2 5 3 4 2 2 2" xfId="38043" xr:uid="{5E05D08B-519C-45E3-94FB-FA3A993D3913}"/>
    <cellStyle name="Ввод  2 5 3 4 2 3" xfId="6164" xr:uid="{00000000-0005-0000-0000-0000380A0000}"/>
    <cellStyle name="Ввод  2 5 3 4 2 4" xfId="23951" xr:uid="{58C9BFA2-F56E-46A5-AE2D-DCA2926944E8}"/>
    <cellStyle name="Ввод  2 5 3 4 3" xfId="2176" xr:uid="{00000000-0005-0000-0000-0000390A0000}"/>
    <cellStyle name="Ввод  2 5 3 4 3 2" xfId="22023" xr:uid="{00000000-0005-0000-0000-00003A0A0000}"/>
    <cellStyle name="Ввод  2 5 3 4 3 2 2" xfId="38633" xr:uid="{05BB40D8-9DB4-4246-9435-29B2A9FA7BE0}"/>
    <cellStyle name="Ввод  2 5 3 4 3 3" xfId="6933" xr:uid="{00000000-0005-0000-0000-00003B0A0000}"/>
    <cellStyle name="Ввод  2 5 3 4 3 4" xfId="24560" xr:uid="{EBFDAEC9-657B-443D-872C-E1C893BED3FC}"/>
    <cellStyle name="Ввод  2 5 3 4 4" xfId="2687" xr:uid="{00000000-0005-0000-0000-00003C0A0000}"/>
    <cellStyle name="Ввод  2 5 3 4 4 2" xfId="22816" xr:uid="{00000000-0005-0000-0000-00003D0A0000}"/>
    <cellStyle name="Ввод  2 5 3 4 4 3" xfId="39282" xr:uid="{1FBACEBB-7DDA-491F-A8CC-1857144B1587}"/>
    <cellStyle name="Ввод  2 5 3 4 5" xfId="3481" xr:uid="{00000000-0005-0000-0000-00003E0A0000}"/>
    <cellStyle name="Ввод  2 5 3 4 5 2" xfId="23318" xr:uid="{00000000-0005-0000-0000-00003F0A0000}"/>
    <cellStyle name="Ввод  2 5 3 4 5 3" xfId="39745" xr:uid="{825E7FC6-9147-4879-B0AB-904B294D9DA3}"/>
    <cellStyle name="Ввод  2 5 3 4 6" xfId="4136" xr:uid="{00000000-0005-0000-0000-0000400A0000}"/>
    <cellStyle name="Ввод  2 5 3 4 6 2" xfId="20626" xr:uid="{00000000-0005-0000-0000-0000410A0000}"/>
    <cellStyle name="Ввод  2 5 3 4 6 3" xfId="37468" xr:uid="{60FD4EF5-AD58-407B-B1F3-056CBD30B0DD}"/>
    <cellStyle name="Ввод  2 5 3 4 7" xfId="4658" xr:uid="{00000000-0005-0000-0000-0000420A0000}"/>
    <cellStyle name="Ввод  2 5 3 4 8" xfId="5140" xr:uid="{00000000-0005-0000-0000-0000430A0000}"/>
    <cellStyle name="Ввод  2 5 3 5" xfId="628" xr:uid="{00000000-0005-0000-0000-0000440A0000}"/>
    <cellStyle name="Ввод  2 5 3 5 2" xfId="1460" xr:uid="{00000000-0005-0000-0000-0000450A0000}"/>
    <cellStyle name="Ввод  2 5 3 5 2 2" xfId="21453" xr:uid="{00000000-0005-0000-0000-0000460A0000}"/>
    <cellStyle name="Ввод  2 5 3 5 2 2 2" xfId="38095" xr:uid="{F76D95B2-1C7D-491A-B912-FDAF12987268}"/>
    <cellStyle name="Ввод  2 5 3 5 2 3" xfId="6216" xr:uid="{00000000-0005-0000-0000-0000470A0000}"/>
    <cellStyle name="Ввод  2 5 3 5 2 4" xfId="24003" xr:uid="{FFAC098F-E1AF-4EA5-9773-CC4D95195FA6}"/>
    <cellStyle name="Ввод  2 5 3 5 3" xfId="1981" xr:uid="{00000000-0005-0000-0000-0000480A0000}"/>
    <cellStyle name="Ввод  2 5 3 5 3 2" xfId="22075" xr:uid="{00000000-0005-0000-0000-0000490A0000}"/>
    <cellStyle name="Ввод  2 5 3 5 3 2 2" xfId="38685" xr:uid="{F0BB7A35-AA40-444E-9A8F-F89AB34AF424}"/>
    <cellStyle name="Ввод  2 5 3 5 3 3" xfId="6985" xr:uid="{00000000-0005-0000-0000-00004A0A0000}"/>
    <cellStyle name="Ввод  2 5 3 5 3 4" xfId="24612" xr:uid="{FADD7B7A-A433-4F53-8C5B-D34A07642607}"/>
    <cellStyle name="Ввод  2 5 3 5 4" xfId="2771" xr:uid="{00000000-0005-0000-0000-00004B0A0000}"/>
    <cellStyle name="Ввод  2 5 3 5 4 2" xfId="22634" xr:uid="{00000000-0005-0000-0000-00004C0A0000}"/>
    <cellStyle name="Ввод  2 5 3 5 4 3" xfId="39107" xr:uid="{214AC5B1-71E0-4FB8-B9E6-DEA5F61E27C7}"/>
    <cellStyle name="Ввод  2 5 3 5 5" xfId="3116" xr:uid="{00000000-0005-0000-0000-00004D0A0000}"/>
    <cellStyle name="Ввод  2 5 3 5 5 2" xfId="23342" xr:uid="{00000000-0005-0000-0000-00004E0A0000}"/>
    <cellStyle name="Ввод  2 5 3 5 5 3" xfId="39769" xr:uid="{27814C06-033F-4270-85C7-594CCFAD1CF3}"/>
    <cellStyle name="Ввод  2 5 3 5 6" xfId="4188" xr:uid="{00000000-0005-0000-0000-00004F0A0000}"/>
    <cellStyle name="Ввод  2 5 3 5 6 2" xfId="20664" xr:uid="{00000000-0005-0000-0000-0000500A0000}"/>
    <cellStyle name="Ввод  2 5 3 5 6 3" xfId="37506" xr:uid="{8CB1B9D2-3534-4B32-9AF8-FAA31F4280E3}"/>
    <cellStyle name="Ввод  2 5 3 5 7" xfId="4710" xr:uid="{00000000-0005-0000-0000-0000510A0000}"/>
    <cellStyle name="Ввод  2 5 3 5 8" xfId="5192" xr:uid="{00000000-0005-0000-0000-0000520A0000}"/>
    <cellStyle name="Ввод  2 5 3 6" xfId="731" xr:uid="{00000000-0005-0000-0000-0000530A0000}"/>
    <cellStyle name="Ввод  2 5 3 6 2" xfId="1561" xr:uid="{00000000-0005-0000-0000-0000540A0000}"/>
    <cellStyle name="Ввод  2 5 3 6 2 2" xfId="21554" xr:uid="{00000000-0005-0000-0000-0000550A0000}"/>
    <cellStyle name="Ввод  2 5 3 6 2 2 2" xfId="38196" xr:uid="{70FF8DD0-1B35-4ADB-B31D-2BBFD86DA874}"/>
    <cellStyle name="Ввод  2 5 3 6 2 3" xfId="6317" xr:uid="{00000000-0005-0000-0000-0000560A0000}"/>
    <cellStyle name="Ввод  2 5 3 6 2 4" xfId="24104" xr:uid="{E9630246-FE69-4C23-A055-E8B9A6AD5512}"/>
    <cellStyle name="Ввод  2 5 3 6 3" xfId="1746" xr:uid="{00000000-0005-0000-0000-0000570A0000}"/>
    <cellStyle name="Ввод  2 5 3 6 3 2" xfId="22176" xr:uid="{00000000-0005-0000-0000-0000580A0000}"/>
    <cellStyle name="Ввод  2 5 3 6 3 2 2" xfId="38786" xr:uid="{2F81844E-5D06-487E-8C2C-7C42C6399EFA}"/>
    <cellStyle name="Ввод  2 5 3 6 3 3" xfId="7086" xr:uid="{00000000-0005-0000-0000-0000590A0000}"/>
    <cellStyle name="Ввод  2 5 3 6 3 4" xfId="24713" xr:uid="{7E03664F-0033-4E40-BA45-3C243D2F0C08}"/>
    <cellStyle name="Ввод  2 5 3 6 4" xfId="2924" xr:uid="{00000000-0005-0000-0000-00005A0A0000}"/>
    <cellStyle name="Ввод  2 5 3 6 4 2" xfId="22664" xr:uid="{00000000-0005-0000-0000-00005B0A0000}"/>
    <cellStyle name="Ввод  2 5 3 6 4 3" xfId="39136" xr:uid="{C7AC6AB5-6A23-49B0-AC12-9CF492CC0642}"/>
    <cellStyle name="Ввод  2 5 3 6 5" xfId="3023" xr:uid="{00000000-0005-0000-0000-00005C0A0000}"/>
    <cellStyle name="Ввод  2 5 3 6 5 2" xfId="23384" xr:uid="{00000000-0005-0000-0000-00005D0A0000}"/>
    <cellStyle name="Ввод  2 5 3 6 5 3" xfId="39811" xr:uid="{8B8B9E73-166C-46D9-80F9-344B510327EF}"/>
    <cellStyle name="Ввод  2 5 3 6 6" xfId="4290" xr:uid="{00000000-0005-0000-0000-00005E0A0000}"/>
    <cellStyle name="Ввод  2 5 3 6 6 2" xfId="20729" xr:uid="{00000000-0005-0000-0000-00005F0A0000}"/>
    <cellStyle name="Ввод  2 5 3 6 6 3" xfId="37558" xr:uid="{2088BA6C-8F97-4E78-B9E2-0A0AC8EB3A90}"/>
    <cellStyle name="Ввод  2 5 3 6 7" xfId="4812" xr:uid="{00000000-0005-0000-0000-0000600A0000}"/>
    <cellStyle name="Ввод  2 5 3 6 8" xfId="5293" xr:uid="{00000000-0005-0000-0000-0000610A0000}"/>
    <cellStyle name="Ввод  2 5 3 7" xfId="775" xr:uid="{00000000-0005-0000-0000-0000620A0000}"/>
    <cellStyle name="Ввод  2 5 3 7 2" xfId="1604" xr:uid="{00000000-0005-0000-0000-0000630A0000}"/>
    <cellStyle name="Ввод  2 5 3 7 2 2" xfId="21597" xr:uid="{00000000-0005-0000-0000-0000640A0000}"/>
    <cellStyle name="Ввод  2 5 3 7 2 2 2" xfId="38239" xr:uid="{737E7328-D7A3-46B9-A6B2-C373DBF01AAF}"/>
    <cellStyle name="Ввод  2 5 3 7 2 3" xfId="6360" xr:uid="{00000000-0005-0000-0000-0000650A0000}"/>
    <cellStyle name="Ввод  2 5 3 7 2 4" xfId="24147" xr:uid="{394A11AF-D683-41A9-88EB-7732022E70CB}"/>
    <cellStyle name="Ввод  2 5 3 7 3" xfId="1807" xr:uid="{00000000-0005-0000-0000-0000660A0000}"/>
    <cellStyle name="Ввод  2 5 3 7 3 2" xfId="22219" xr:uid="{00000000-0005-0000-0000-0000670A0000}"/>
    <cellStyle name="Ввод  2 5 3 7 3 2 2" xfId="38829" xr:uid="{35CAD23F-D2A9-4DD1-A758-47970E3BFF54}"/>
    <cellStyle name="Ввод  2 5 3 7 3 3" xfId="7129" xr:uid="{00000000-0005-0000-0000-0000680A0000}"/>
    <cellStyle name="Ввод  2 5 3 7 3 4" xfId="24756" xr:uid="{81B57A5D-2660-4018-9877-3662846F0CB1}"/>
    <cellStyle name="Ввод  2 5 3 7 4" xfId="2941" xr:uid="{00000000-0005-0000-0000-0000690A0000}"/>
    <cellStyle name="Ввод  2 5 3 7 4 2" xfId="22657" xr:uid="{00000000-0005-0000-0000-00006A0A0000}"/>
    <cellStyle name="Ввод  2 5 3 7 4 3" xfId="39129" xr:uid="{62D91E95-B9EB-40A3-B100-BBA89829D54A}"/>
    <cellStyle name="Ввод  2 5 3 7 5" xfId="3240" xr:uid="{00000000-0005-0000-0000-00006B0A0000}"/>
    <cellStyle name="Ввод  2 5 3 7 5 2" xfId="23406" xr:uid="{00000000-0005-0000-0000-00006C0A0000}"/>
    <cellStyle name="Ввод  2 5 3 7 5 3" xfId="39833" xr:uid="{FC8D3C7E-AA55-40DD-8730-22A6CC1DA9F4}"/>
    <cellStyle name="Ввод  2 5 3 7 6" xfId="4333" xr:uid="{00000000-0005-0000-0000-00006D0A0000}"/>
    <cellStyle name="Ввод  2 5 3 7 6 2" xfId="20794" xr:uid="{00000000-0005-0000-0000-00006E0A0000}"/>
    <cellStyle name="Ввод  2 5 3 7 6 3" xfId="37610" xr:uid="{1A8EE470-C6EE-4F3B-B82C-E15A3B697009}"/>
    <cellStyle name="Ввод  2 5 3 7 7" xfId="4855" xr:uid="{00000000-0005-0000-0000-00006F0A0000}"/>
    <cellStyle name="Ввод  2 5 3 7 8" xfId="5336" xr:uid="{00000000-0005-0000-0000-0000700A0000}"/>
    <cellStyle name="Ввод  2 5 3 8" xfId="807" xr:uid="{00000000-0005-0000-0000-0000710A0000}"/>
    <cellStyle name="Ввод  2 5 3 8 2" xfId="1636" xr:uid="{00000000-0005-0000-0000-0000720A0000}"/>
    <cellStyle name="Ввод  2 5 3 8 2 2" xfId="21629" xr:uid="{00000000-0005-0000-0000-0000730A0000}"/>
    <cellStyle name="Ввод  2 5 3 8 2 2 2" xfId="38271" xr:uid="{BBA439C1-A918-4E65-A9BD-CEFBB8C3FBBD}"/>
    <cellStyle name="Ввод  2 5 3 8 2 3" xfId="6392" xr:uid="{00000000-0005-0000-0000-0000740A0000}"/>
    <cellStyle name="Ввод  2 5 3 8 2 4" xfId="24179" xr:uid="{1B1E85AE-AEB1-4A34-BFAF-5CCBA53DAF33}"/>
    <cellStyle name="Ввод  2 5 3 8 3" xfId="1803" xr:uid="{00000000-0005-0000-0000-0000750A0000}"/>
    <cellStyle name="Ввод  2 5 3 8 3 2" xfId="22251" xr:uid="{00000000-0005-0000-0000-0000760A0000}"/>
    <cellStyle name="Ввод  2 5 3 8 3 2 2" xfId="38861" xr:uid="{B7217A01-9F1D-4E5F-8A50-6BAE62A51015}"/>
    <cellStyle name="Ввод  2 5 3 8 3 3" xfId="7161" xr:uid="{00000000-0005-0000-0000-0000770A0000}"/>
    <cellStyle name="Ввод  2 5 3 8 3 4" xfId="24788" xr:uid="{AC048EBE-A165-4918-A029-D700B8FB1E6F}"/>
    <cellStyle name="Ввод  2 5 3 8 4" xfId="2595" xr:uid="{00000000-0005-0000-0000-0000780A0000}"/>
    <cellStyle name="Ввод  2 5 3 8 4 2" xfId="22653" xr:uid="{00000000-0005-0000-0000-0000790A0000}"/>
    <cellStyle name="Ввод  2 5 3 8 4 3" xfId="39125" xr:uid="{E58FD005-FB42-4598-92C4-17164786892C}"/>
    <cellStyle name="Ввод  2 5 3 8 5" xfId="2959" xr:uid="{00000000-0005-0000-0000-00007A0A0000}"/>
    <cellStyle name="Ввод  2 5 3 8 5 2" xfId="23422" xr:uid="{00000000-0005-0000-0000-00007B0A0000}"/>
    <cellStyle name="Ввод  2 5 3 8 5 3" xfId="39849" xr:uid="{41707247-ED1E-46DA-88C6-466726328BA5}"/>
    <cellStyle name="Ввод  2 5 3 8 6" xfId="4365" xr:uid="{00000000-0005-0000-0000-00007C0A0000}"/>
    <cellStyle name="Ввод  2 5 3 8 6 2" xfId="20859" xr:uid="{00000000-0005-0000-0000-00007D0A0000}"/>
    <cellStyle name="Ввод  2 5 3 8 6 3" xfId="37662" xr:uid="{487B623E-74D8-40EF-ADA7-AD5060A2FBF5}"/>
    <cellStyle name="Ввод  2 5 3 8 7" xfId="4887" xr:uid="{00000000-0005-0000-0000-00007E0A0000}"/>
    <cellStyle name="Ввод  2 5 3 8 8" xfId="5368" xr:uid="{00000000-0005-0000-0000-00007F0A0000}"/>
    <cellStyle name="Ввод  2 5 3 9" xfId="839" xr:uid="{00000000-0005-0000-0000-0000800A0000}"/>
    <cellStyle name="Ввод  2 5 3 9 2" xfId="1668" xr:uid="{00000000-0005-0000-0000-0000810A0000}"/>
    <cellStyle name="Ввод  2 5 3 9 2 2" xfId="21661" xr:uid="{00000000-0005-0000-0000-0000820A0000}"/>
    <cellStyle name="Ввод  2 5 3 9 2 2 2" xfId="38303" xr:uid="{E333F52F-D3C6-4AF4-BEF4-AA82EDDB9E3D}"/>
    <cellStyle name="Ввод  2 5 3 9 2 3" xfId="6424" xr:uid="{00000000-0005-0000-0000-0000830A0000}"/>
    <cellStyle name="Ввод  2 5 3 9 2 4" xfId="24211" xr:uid="{0448FA34-2857-47E3-9133-B9820FF48D88}"/>
    <cellStyle name="Ввод  2 5 3 9 3" xfId="2329" xr:uid="{00000000-0005-0000-0000-0000840A0000}"/>
    <cellStyle name="Ввод  2 5 3 9 3 2" xfId="22283" xr:uid="{00000000-0005-0000-0000-0000850A0000}"/>
    <cellStyle name="Ввод  2 5 3 9 3 2 2" xfId="38893" xr:uid="{D821E9DF-FA98-4545-9713-035F17E870D8}"/>
    <cellStyle name="Ввод  2 5 3 9 3 3" xfId="7193" xr:uid="{00000000-0005-0000-0000-0000860A0000}"/>
    <cellStyle name="Ввод  2 5 3 9 3 4" xfId="24820" xr:uid="{03CFF4BF-2B32-4358-A32D-C158F8389FE4}"/>
    <cellStyle name="Ввод  2 5 3 9 4" xfId="2919" xr:uid="{00000000-0005-0000-0000-0000870A0000}"/>
    <cellStyle name="Ввод  2 5 3 9 4 2" xfId="22649" xr:uid="{00000000-0005-0000-0000-0000880A0000}"/>
    <cellStyle name="Ввод  2 5 3 9 4 3" xfId="39121" xr:uid="{1C70C672-2BEF-4E03-A5FC-C72C3679947D}"/>
    <cellStyle name="Ввод  2 5 3 9 5" xfId="3271" xr:uid="{00000000-0005-0000-0000-0000890A0000}"/>
    <cellStyle name="Ввод  2 5 3 9 5 2" xfId="23438" xr:uid="{00000000-0005-0000-0000-00008A0A0000}"/>
    <cellStyle name="Ввод  2 5 3 9 5 3" xfId="39865" xr:uid="{6CBAED30-E11D-43EB-90E5-6405BE732BC7}"/>
    <cellStyle name="Ввод  2 5 3 9 6" xfId="4397" xr:uid="{00000000-0005-0000-0000-00008B0A0000}"/>
    <cellStyle name="Ввод  2 5 3 9 6 2" xfId="20924" xr:uid="{00000000-0005-0000-0000-00008C0A0000}"/>
    <cellStyle name="Ввод  2 5 3 9 6 3" xfId="37714" xr:uid="{3613C017-4B23-4B07-85BD-99B069454C4D}"/>
    <cellStyle name="Ввод  2 5 3 9 7" xfId="4919" xr:uid="{00000000-0005-0000-0000-00008D0A0000}"/>
    <cellStyle name="Ввод  2 5 3 9 8" xfId="5400" xr:uid="{00000000-0005-0000-0000-00008E0A0000}"/>
    <cellStyle name="Ввод  2 5 4" xfId="890" xr:uid="{00000000-0005-0000-0000-00008F0A0000}"/>
    <cellStyle name="Ввод  2 5 4 2" xfId="2098" xr:uid="{00000000-0005-0000-0000-0000900A0000}"/>
    <cellStyle name="Ввод  2 5 4 2 2" xfId="21776" xr:uid="{00000000-0005-0000-0000-0000910A0000}"/>
    <cellStyle name="Ввод  2 5 4 2 2 2" xfId="38386" xr:uid="{929075DA-7784-4088-B945-818AC254E57B}"/>
    <cellStyle name="Ввод  2 5 4 2 3" xfId="5843" xr:uid="{00000000-0005-0000-0000-0000920A0000}"/>
    <cellStyle name="Ввод  2 5 4 2 4" xfId="23704" xr:uid="{E83D20F6-15C4-43D0-BBD8-82B9241151FD}"/>
    <cellStyle name="Ввод  2 5 4 3" xfId="2798" xr:uid="{00000000-0005-0000-0000-0000930A0000}"/>
    <cellStyle name="Ввод  2 5 4 3 2" xfId="22741" xr:uid="{00000000-0005-0000-0000-0000940A0000}"/>
    <cellStyle name="Ввод  2 5 4 3 2 2" xfId="39210" xr:uid="{8B0EE09E-A361-4400-8EDE-7DDB65A7CC51}"/>
    <cellStyle name="Ввод  2 5 4 3 3" xfId="6692" xr:uid="{00000000-0005-0000-0000-0000950A0000}"/>
    <cellStyle name="Ввод  2 5 4 3 4" xfId="24319" xr:uid="{995E2B3D-8A1B-40B5-B1DB-ABF62CFB3F6B}"/>
    <cellStyle name="Ввод  2 5 4 4" xfId="3259" xr:uid="{00000000-0005-0000-0000-0000960A0000}"/>
    <cellStyle name="Ввод  2 5 4 4 2" xfId="23202" xr:uid="{00000000-0005-0000-0000-0000970A0000}"/>
    <cellStyle name="Ввод  2 5 4 4 3" xfId="39629" xr:uid="{7318ADC3-32A1-4343-A980-E112B6B7F26F}"/>
    <cellStyle name="Ввод  2 5 4 5" xfId="3607" xr:uid="{00000000-0005-0000-0000-0000980A0000}"/>
    <cellStyle name="Ввод  2 5 4 5 2" xfId="21067" xr:uid="{00000000-0005-0000-0000-0000990A0000}"/>
    <cellStyle name="Ввод  2 5 4 5 3" xfId="37796" xr:uid="{6B51E811-76E9-4898-930A-3552B0A57AEA}"/>
    <cellStyle name="Ввод  2 5 4 6" xfId="3855" xr:uid="{00000000-0005-0000-0000-00009A0A0000}"/>
    <cellStyle name="Ввод  2 5 4 7" xfId="3527" xr:uid="{00000000-0005-0000-0000-00009B0A0000}"/>
    <cellStyle name="Ввод  2 5 5" xfId="2217" xr:uid="{00000000-0005-0000-0000-00009C0A0000}"/>
    <cellStyle name="Ввод  2 5 5 2" xfId="22836" xr:uid="{00000000-0005-0000-0000-00009D0A0000}"/>
    <cellStyle name="Ввод  2 5 5 2 2" xfId="39302" xr:uid="{80FC3B34-48A9-4BCC-97B3-B72677A5BF96}"/>
    <cellStyle name="Ввод  2 5 5 3" xfId="5620" xr:uid="{00000000-0005-0000-0000-00009E0A0000}"/>
    <cellStyle name="Ввод  2 5 5 4" xfId="23618" xr:uid="{D9868439-D1F8-4C90-B164-3408B4DF19B6}"/>
    <cellStyle name="Ввод  2 5 6" xfId="2633" xr:uid="{00000000-0005-0000-0000-00009F0A0000}"/>
    <cellStyle name="Ввод  2 5 6 2" xfId="6612" xr:uid="{00000000-0005-0000-0000-0000A00A0000}"/>
    <cellStyle name="Ввод  2 5 6 3" xfId="24239" xr:uid="{43639874-1CEE-4346-9DF7-47C3FDF25436}"/>
    <cellStyle name="Ввод  2 5 7" xfId="3505" xr:uid="{00000000-0005-0000-0000-0000A10A0000}"/>
    <cellStyle name="Ввод  2 5 7 2" xfId="7415" xr:uid="{00000000-0005-0000-0000-0000A20A0000}"/>
    <cellStyle name="Ввод  2 5 7 3" xfId="24865" xr:uid="{98AABD03-4AF9-45C8-A113-81DDD53D489C}"/>
    <cellStyle name="Ввод  2 5 8" xfId="3317" xr:uid="{00000000-0005-0000-0000-0000A30A0000}"/>
    <cellStyle name="Ввод  2 5 9" xfId="3582" xr:uid="{00000000-0005-0000-0000-0000A40A0000}"/>
    <cellStyle name="Ввод  2 6" xfId="919" xr:uid="{00000000-0005-0000-0000-0000A50A0000}"/>
    <cellStyle name="Ввод  2 6 2" xfId="961" xr:uid="{00000000-0005-0000-0000-0000A60A0000}"/>
    <cellStyle name="Ввод  2 6 2 2" xfId="1033" xr:uid="{00000000-0005-0000-0000-0000A70A0000}"/>
    <cellStyle name="Ввод  2 6 2 2 2" xfId="14079" xr:uid="{00000000-0005-0000-0000-0000A80A0000}"/>
    <cellStyle name="Ввод  2 6 2 2 3" xfId="31118" xr:uid="{42717103-0BE1-4E0C-9C59-10B42898386F}"/>
    <cellStyle name="Ввод  2 6 2 3" xfId="7497" xr:uid="{00000000-0005-0000-0000-0000A90A0000}"/>
    <cellStyle name="Ввод  2 6 2 4" xfId="24899" xr:uid="{A6A4B4F2-99EA-4F5F-B65C-3EFF288A8777}"/>
    <cellStyle name="Ввод  2 6 3" xfId="1002" xr:uid="{00000000-0005-0000-0000-0000AA0A0000}"/>
    <cellStyle name="Ввод  2 6 3 2" xfId="14048" xr:uid="{00000000-0005-0000-0000-0000AB0A0000}"/>
    <cellStyle name="Ввод  2 6 3 3" xfId="31087" xr:uid="{F1295739-103C-4A9A-A336-F547D4937CFD}"/>
    <cellStyle name="Ввод  2 6 4" xfId="7451" xr:uid="{00000000-0005-0000-0000-0000AC0A0000}"/>
    <cellStyle name="Ввод  2 6 5" xfId="24868" xr:uid="{86A20AF1-3561-4271-915E-86D0A3D09FF0}"/>
    <cellStyle name="Ввод  2 7" xfId="928" xr:uid="{00000000-0005-0000-0000-0000AD0A0000}"/>
    <cellStyle name="Ввод  2 7 2" xfId="964" xr:uid="{00000000-0005-0000-0000-0000AE0A0000}"/>
    <cellStyle name="Ввод  2 7 2 2" xfId="1036" xr:uid="{00000000-0005-0000-0000-0000AF0A0000}"/>
    <cellStyle name="Ввод  2 7 2 2 2" xfId="14082" xr:uid="{00000000-0005-0000-0000-0000B00A0000}"/>
    <cellStyle name="Ввод  2 7 2 2 3" xfId="31121" xr:uid="{EA83E7B2-903E-4509-9551-F7B6F5DB0192}"/>
    <cellStyle name="Ввод  2 7 2 3" xfId="7500" xr:uid="{00000000-0005-0000-0000-0000B10A0000}"/>
    <cellStyle name="Ввод  2 7 2 4" xfId="24902" xr:uid="{E507A9AC-24ED-430B-BD41-A8A1E2F6B639}"/>
    <cellStyle name="Ввод  2 7 3" xfId="1005" xr:uid="{00000000-0005-0000-0000-0000B20A0000}"/>
    <cellStyle name="Ввод  2 7 3 2" xfId="14051" xr:uid="{00000000-0005-0000-0000-0000B30A0000}"/>
    <cellStyle name="Ввод  2 7 3 3" xfId="31090" xr:uid="{009E6F6E-7353-4935-BC6F-78772ACF5832}"/>
    <cellStyle name="Ввод  2 7 4" xfId="7464" xr:uid="{00000000-0005-0000-0000-0000B40A0000}"/>
    <cellStyle name="Ввод  2 7 5" xfId="24871" xr:uid="{072B70AD-EE64-48AC-ABCD-65FDD0F0937A}"/>
    <cellStyle name="Ввод  2 8" xfId="1043" xr:uid="{00000000-0005-0000-0000-0000B50A0000}"/>
    <cellStyle name="Ввод  2 8 2" xfId="14088" xr:uid="{00000000-0005-0000-0000-0000B60A0000}"/>
    <cellStyle name="Ввод  2 8 2 2" xfId="31126" xr:uid="{6F58149A-3144-4CA1-87A0-C62E653987CD}"/>
    <cellStyle name="Ввод  2 8 3" xfId="7340" xr:uid="{00000000-0005-0000-0000-0000B70A0000}"/>
    <cellStyle name="Ввод  2 9" xfId="1060" xr:uid="{00000000-0005-0000-0000-0000B80A0000}"/>
    <cellStyle name="Ввод  2 9 2" xfId="14104" xr:uid="{00000000-0005-0000-0000-0000B90A0000}"/>
    <cellStyle name="Ввод  2 9 3" xfId="31131" xr:uid="{E3329447-540D-41C1-92D2-36431F444CED}"/>
    <cellStyle name="Ввод  3" xfId="131" xr:uid="{00000000-0005-0000-0000-0000BA0A0000}"/>
    <cellStyle name="Ввод  3 10" xfId="3114" xr:uid="{00000000-0005-0000-0000-0000BB0A0000}"/>
    <cellStyle name="Ввод  3 11" xfId="3115" xr:uid="{00000000-0005-0000-0000-0000BC0A0000}"/>
    <cellStyle name="Ввод  3 2" xfId="217" xr:uid="{00000000-0005-0000-0000-0000BD0A0000}"/>
    <cellStyle name="Ввод  3 2 10" xfId="670" xr:uid="{00000000-0005-0000-0000-0000BE0A0000}"/>
    <cellStyle name="Ввод  3 2 10 2" xfId="1501" xr:uid="{00000000-0005-0000-0000-0000BF0A0000}"/>
    <cellStyle name="Ввод  3 2 10 2 2" xfId="21494" xr:uid="{00000000-0005-0000-0000-0000C00A0000}"/>
    <cellStyle name="Ввод  3 2 10 2 2 2" xfId="38136" xr:uid="{AACED825-D2AB-4F86-8346-B7BA9BF23C65}"/>
    <cellStyle name="Ввод  3 2 10 2 3" xfId="6257" xr:uid="{00000000-0005-0000-0000-0000C10A0000}"/>
    <cellStyle name="Ввод  3 2 10 2 4" xfId="24044" xr:uid="{B351D84D-294B-4530-8736-BF82627F6FB7}"/>
    <cellStyle name="Ввод  3 2 10 3" xfId="2129" xr:uid="{00000000-0005-0000-0000-0000C20A0000}"/>
    <cellStyle name="Ввод  3 2 10 3 2" xfId="22116" xr:uid="{00000000-0005-0000-0000-0000C30A0000}"/>
    <cellStyle name="Ввод  3 2 10 3 2 2" xfId="38726" xr:uid="{B0FE8203-6A06-453F-8D78-0E467C31280E}"/>
    <cellStyle name="Ввод  3 2 10 3 3" xfId="7026" xr:uid="{00000000-0005-0000-0000-0000C40A0000}"/>
    <cellStyle name="Ввод  3 2 10 3 4" xfId="24653" xr:uid="{43AD7AA8-E494-4DD1-AC7E-AC589254C35A}"/>
    <cellStyle name="Ввод  3 2 10 4" xfId="2489" xr:uid="{00000000-0005-0000-0000-0000C50A0000}"/>
    <cellStyle name="Ввод  3 2 10 4 2" xfId="22833" xr:uid="{00000000-0005-0000-0000-0000C60A0000}"/>
    <cellStyle name="Ввод  3 2 10 4 3" xfId="39299" xr:uid="{3816A00A-2AB0-4A0F-9A05-5EDB71C6935E}"/>
    <cellStyle name="Ввод  3 2 10 5" xfId="3426" xr:uid="{00000000-0005-0000-0000-0000C70A0000}"/>
    <cellStyle name="Ввод  3 2 10 5 2" xfId="23356" xr:uid="{00000000-0005-0000-0000-0000C80A0000}"/>
    <cellStyle name="Ввод  3 2 10 5 3" xfId="39783" xr:uid="{0DC4B179-6A16-4723-B8C5-879F80D6DD29}"/>
    <cellStyle name="Ввод  3 2 10 6" xfId="4229" xr:uid="{00000000-0005-0000-0000-0000C90A0000}"/>
    <cellStyle name="Ввод  3 2 10 6 2" xfId="20884" xr:uid="{00000000-0005-0000-0000-0000CA0A0000}"/>
    <cellStyle name="Ввод  3 2 10 6 3" xfId="37674" xr:uid="{794E3E8C-8D68-4509-93FE-0342BE6370CA}"/>
    <cellStyle name="Ввод  3 2 10 7" xfId="4751" xr:uid="{00000000-0005-0000-0000-0000CB0A0000}"/>
    <cellStyle name="Ввод  3 2 10 8" xfId="5233" xr:uid="{00000000-0005-0000-0000-0000CC0A0000}"/>
    <cellStyle name="Ввод  3 2 11" xfId="938" xr:uid="{00000000-0005-0000-0000-0000CD0A0000}"/>
    <cellStyle name="Ввод  3 2 11 2" xfId="2118" xr:uid="{00000000-0005-0000-0000-0000CE0A0000}"/>
    <cellStyle name="Ввод  3 2 11 2 2" xfId="21784" xr:uid="{00000000-0005-0000-0000-0000CF0A0000}"/>
    <cellStyle name="Ввод  3 2 11 2 2 2" xfId="38394" xr:uid="{42FA6141-A313-43DA-B1A0-94D499938409}"/>
    <cellStyle name="Ввод  3 2 11 2 3" xfId="5856" xr:uid="{00000000-0005-0000-0000-0000D00A0000}"/>
    <cellStyle name="Ввод  3 2 11 2 4" xfId="23712" xr:uid="{9C040EFB-A4A0-45A8-A11B-1A0B8A3950D0}"/>
    <cellStyle name="Ввод  3 2 11 3" xfId="2895" xr:uid="{00000000-0005-0000-0000-0000D10A0000}"/>
    <cellStyle name="Ввод  3 2 11 3 2" xfId="22792" xr:uid="{00000000-0005-0000-0000-0000D20A0000}"/>
    <cellStyle name="Ввод  3 2 11 3 2 2" xfId="39258" xr:uid="{96403B47-F3D7-4D8B-9FAE-A8A9EB33C546}"/>
    <cellStyle name="Ввод  3 2 11 3 3" xfId="6700" xr:uid="{00000000-0005-0000-0000-0000D30A0000}"/>
    <cellStyle name="Ввод  3 2 11 3 4" xfId="24327" xr:uid="{CAFC2919-B7B3-4908-900A-EBB83BA8BB40}"/>
    <cellStyle name="Ввод  3 2 11 4" xfId="3213" xr:uid="{00000000-0005-0000-0000-0000D40A0000}"/>
    <cellStyle name="Ввод  3 2 11 4 2" xfId="23206" xr:uid="{00000000-0005-0000-0000-0000D50A0000}"/>
    <cellStyle name="Ввод  3 2 11 4 3" xfId="39633" xr:uid="{59891D2C-B773-4B29-870E-07799FA8D2DC}"/>
    <cellStyle name="Ввод  3 2 11 5" xfId="3270" xr:uid="{00000000-0005-0000-0000-0000D60A0000}"/>
    <cellStyle name="Ввод  3 2 11 5 2" xfId="21080" xr:uid="{00000000-0005-0000-0000-0000D70A0000}"/>
    <cellStyle name="Ввод  3 2 11 5 3" xfId="37804" xr:uid="{97E3D0AF-4E40-4E45-859E-2305BC0AF126}"/>
    <cellStyle name="Ввод  3 2 11 6" xfId="3076" xr:uid="{00000000-0005-0000-0000-0000D80A0000}"/>
    <cellStyle name="Ввод  3 2 11 7" xfId="4003" xr:uid="{00000000-0005-0000-0000-0000D90A0000}"/>
    <cellStyle name="Ввод  3 2 12" xfId="1835" xr:uid="{00000000-0005-0000-0000-0000DA0A0000}"/>
    <cellStyle name="Ввод  3 2 12 2" xfId="20949" xr:uid="{00000000-0005-0000-0000-0000DB0A0000}"/>
    <cellStyle name="Ввод  3 2 12 2 2" xfId="37726" xr:uid="{7C1BB471-182D-42CE-BC5E-6BE9053A18E8}"/>
    <cellStyle name="Ввод  3 2 12 3" xfId="5665" xr:uid="{00000000-0005-0000-0000-0000DC0A0000}"/>
    <cellStyle name="Ввод  3 2 12 4" xfId="23631" xr:uid="{888F7FF4-BA8A-4544-84F3-F515B0D1D396}"/>
    <cellStyle name="Ввод  3 2 13" xfId="2437" xr:uid="{00000000-0005-0000-0000-0000DD0A0000}"/>
    <cellStyle name="Ввод  3 2 13 2" xfId="21706" xr:uid="{00000000-0005-0000-0000-0000DE0A0000}"/>
    <cellStyle name="Ввод  3 2 13 2 2" xfId="38316" xr:uid="{0AA24948-E932-4B2D-966B-6604D5AACD69}"/>
    <cellStyle name="Ввод  3 2 13 3" xfId="6624" xr:uid="{00000000-0005-0000-0000-0000DF0A0000}"/>
    <cellStyle name="Ввод  3 2 13 4" xfId="24251" xr:uid="{6131DDD1-7FCF-4E42-AB9C-33E747C59376}"/>
    <cellStyle name="Ввод  3 2 14" xfId="3098" xr:uid="{00000000-0005-0000-0000-0000E00A0000}"/>
    <cellStyle name="Ввод  3 2 14 2" xfId="22619" xr:uid="{00000000-0005-0000-0000-0000E10A0000}"/>
    <cellStyle name="Ввод  3 2 14 3" xfId="39093" xr:uid="{00BE9106-50BA-4E55-811B-2FB0EAFFC5C4}"/>
    <cellStyle name="Ввод  3 2 15" xfId="3072" xr:uid="{00000000-0005-0000-0000-0000E20A0000}"/>
    <cellStyle name="Ввод  3 2 15 2" xfId="23141" xr:uid="{00000000-0005-0000-0000-0000E30A0000}"/>
    <cellStyle name="Ввод  3 2 15 3" xfId="39589" xr:uid="{CD459478-8F8E-4E8D-9630-D69EEC0AF04C}"/>
    <cellStyle name="Ввод  3 2 16" xfId="3729" xr:uid="{00000000-0005-0000-0000-0000E40A0000}"/>
    <cellStyle name="Ввод  3 2 16 2" xfId="7474" xr:uid="{00000000-0005-0000-0000-0000E50A0000}"/>
    <cellStyle name="Ввод  3 2 16 3" xfId="24876" xr:uid="{D1663968-4AB8-4B40-A3D7-27E1B3828D33}"/>
    <cellStyle name="Ввод  3 2 17" xfId="3008" xr:uid="{00000000-0005-0000-0000-0000E60A0000}"/>
    <cellStyle name="Ввод  3 2 2" xfId="288" xr:uid="{00000000-0005-0000-0000-0000E70A0000}"/>
    <cellStyle name="Ввод  3 2 2 2" xfId="1010" xr:uid="{00000000-0005-0000-0000-0000E80A0000}"/>
    <cellStyle name="Ввод  3 2 2 2 2" xfId="21144" xr:uid="{00000000-0005-0000-0000-0000E90A0000}"/>
    <cellStyle name="Ввод  3 2 2 2 2 2" xfId="37843" xr:uid="{459DF324-8B1E-456C-897F-312B8EBB036B}"/>
    <cellStyle name="Ввод  3 2 2 2 3" xfId="5921" xr:uid="{00000000-0005-0000-0000-0000EA0A0000}"/>
    <cellStyle name="Ввод  3 2 2 2 4" xfId="23751" xr:uid="{2A844B52-FC2F-4F2B-9E91-FC0B7C522E56}"/>
    <cellStyle name="Ввод  3 2 2 3" xfId="1760" xr:uid="{00000000-0005-0000-0000-0000EB0A0000}"/>
    <cellStyle name="Ввод  3 2 2 3 2" xfId="21823" xr:uid="{00000000-0005-0000-0000-0000EC0A0000}"/>
    <cellStyle name="Ввод  3 2 2 3 2 2" xfId="38433" xr:uid="{7C2305F7-0521-4DC4-9905-DF84D70EDFD5}"/>
    <cellStyle name="Ввод  3 2 2 3 3" xfId="6737" xr:uid="{00000000-0005-0000-0000-0000ED0A0000}"/>
    <cellStyle name="Ввод  3 2 2 3 4" xfId="24364" xr:uid="{9AE3C947-0887-441F-94E5-A08F4BED2C78}"/>
    <cellStyle name="Ввод  3 2 2 4" xfId="2419" xr:uid="{00000000-0005-0000-0000-0000EE0A0000}"/>
    <cellStyle name="Ввод  3 2 2 4 2" xfId="22909" xr:uid="{00000000-0005-0000-0000-0000EF0A0000}"/>
    <cellStyle name="Ввод  3 2 2 4 3" xfId="39375" xr:uid="{F4F47D7B-3569-426B-8472-3F18AC2C2E44}"/>
    <cellStyle name="Ввод  3 2 2 5" xfId="3558" xr:uid="{00000000-0005-0000-0000-0000F00A0000}"/>
    <cellStyle name="Ввод  3 2 2 5 2" xfId="23223" xr:uid="{00000000-0005-0000-0000-0000F10A0000}"/>
    <cellStyle name="Ввод  3 2 2 5 3" xfId="39650" xr:uid="{6FA73E0F-7D9B-4DCA-9EB6-21FE8DC574F9}"/>
    <cellStyle name="Ввод  3 2 2 6" xfId="3911" xr:uid="{00000000-0005-0000-0000-0000F20A0000}"/>
    <cellStyle name="Ввод  3 2 2 6 2" xfId="14056" xr:uid="{00000000-0005-0000-0000-0000F30A0000}"/>
    <cellStyle name="Ввод  3 2 2 6 3" xfId="31095" xr:uid="{9B7DFD37-5B70-48ED-A8D5-8AFF302FCC2B}"/>
    <cellStyle name="Ввод  3 2 2 7" xfId="4446" xr:uid="{00000000-0005-0000-0000-0000F40A0000}"/>
    <cellStyle name="Ввод  3 2 2 8" xfId="4944" xr:uid="{00000000-0005-0000-0000-0000F50A0000}"/>
    <cellStyle name="Ввод  3 2 3" xfId="437" xr:uid="{00000000-0005-0000-0000-0000F60A0000}"/>
    <cellStyle name="Ввод  3 2 3 2" xfId="1269" xr:uid="{00000000-0005-0000-0000-0000F70A0000}"/>
    <cellStyle name="Ввод  3 2 3 2 2" xfId="21262" xr:uid="{00000000-0005-0000-0000-0000F80A0000}"/>
    <cellStyle name="Ввод  3 2 3 2 2 2" xfId="37904" xr:uid="{794FFD8D-886D-4171-B965-7E856DBC96B9}"/>
    <cellStyle name="Ввод  3 2 3 2 3" xfId="6025" xr:uid="{00000000-0005-0000-0000-0000F90A0000}"/>
    <cellStyle name="Ввод  3 2 3 2 4" xfId="23812" xr:uid="{37CE8E83-E6C2-4AF3-B821-8DE7DC361C36}"/>
    <cellStyle name="Ввод  3 2 3 3" xfId="1834" xr:uid="{00000000-0005-0000-0000-0000FA0A0000}"/>
    <cellStyle name="Ввод  3 2 3 3 2" xfId="21884" xr:uid="{00000000-0005-0000-0000-0000FB0A0000}"/>
    <cellStyle name="Ввод  3 2 3 3 2 2" xfId="38494" xr:uid="{11D74D17-470D-494A-9EF5-2A1041DD118F}"/>
    <cellStyle name="Ввод  3 2 3 3 3" xfId="6796" xr:uid="{00000000-0005-0000-0000-0000FC0A0000}"/>
    <cellStyle name="Ввод  3 2 3 3 4" xfId="24423" xr:uid="{7E6697BB-1DA5-43B3-AB7F-E2DB2600C825}"/>
    <cellStyle name="Ввод  3 2 3 4" xfId="2679" xr:uid="{00000000-0005-0000-0000-0000FD0A0000}"/>
    <cellStyle name="Ввод  3 2 3 4 2" xfId="23077" xr:uid="{00000000-0005-0000-0000-0000FE0A0000}"/>
    <cellStyle name="Ввод  3 2 3 4 3" xfId="39543" xr:uid="{1509EC88-DDA9-4522-8440-1302AC499B3C}"/>
    <cellStyle name="Ввод  3 2 3 5" xfId="3802" xr:uid="{00000000-0005-0000-0000-0000FF0A0000}"/>
    <cellStyle name="Ввод  3 2 3 5 2" xfId="23251" xr:uid="{00000000-0005-0000-0000-0000000B0000}"/>
    <cellStyle name="Ввод  3 2 3 5 3" xfId="39678" xr:uid="{9BCFC2E6-31AA-45A1-8DDE-5671A499EF50}"/>
    <cellStyle name="Ввод  3 2 3 6" xfId="3998" xr:uid="{00000000-0005-0000-0000-0000010B0000}"/>
    <cellStyle name="Ввод  3 2 3 6 2" xfId="20389" xr:uid="{00000000-0005-0000-0000-0000020B0000}"/>
    <cellStyle name="Ввод  3 2 3 6 3" xfId="37315" xr:uid="{7A46D3F1-94C1-459A-AA10-7D6EC8A7F5A8}"/>
    <cellStyle name="Ввод  3 2 3 7" xfId="4521" xr:uid="{00000000-0005-0000-0000-0000030B0000}"/>
    <cellStyle name="Ввод  3 2 3 8" xfId="5003" xr:uid="{00000000-0005-0000-0000-0000040B0000}"/>
    <cellStyle name="Ввод  3 2 4" xfId="484" xr:uid="{00000000-0005-0000-0000-0000050B0000}"/>
    <cellStyle name="Ввод  3 2 4 2" xfId="1316" xr:uid="{00000000-0005-0000-0000-0000060B0000}"/>
    <cellStyle name="Ввод  3 2 4 2 2" xfId="21309" xr:uid="{00000000-0005-0000-0000-0000070B0000}"/>
    <cellStyle name="Ввод  3 2 4 2 2 2" xfId="37951" xr:uid="{F96F9350-8888-4E82-88C5-E5E8AE17C634}"/>
    <cellStyle name="Ввод  3 2 4 2 3" xfId="6072" xr:uid="{00000000-0005-0000-0000-0000080B0000}"/>
    <cellStyle name="Ввод  3 2 4 2 4" xfId="23859" xr:uid="{0E5323F3-CBE0-4418-985C-1BE89331A795}"/>
    <cellStyle name="Ввод  3 2 4 3" xfId="2169" xr:uid="{00000000-0005-0000-0000-0000090B0000}"/>
    <cellStyle name="Ввод  3 2 4 3 2" xfId="21931" xr:uid="{00000000-0005-0000-0000-00000A0B0000}"/>
    <cellStyle name="Ввод  3 2 4 3 2 2" xfId="38541" xr:uid="{67277B2F-B6AD-4C9D-BFB7-EF912CFD044E}"/>
    <cellStyle name="Ввод  3 2 4 3 3" xfId="6841" xr:uid="{00000000-0005-0000-0000-00000B0B0000}"/>
    <cellStyle name="Ввод  3 2 4 3 4" xfId="24468" xr:uid="{87ABA8F7-F5C9-42BB-9B95-B4F5364400B5}"/>
    <cellStyle name="Ввод  3 2 4 4" xfId="2665" xr:uid="{00000000-0005-0000-0000-00000C0B0000}"/>
    <cellStyle name="Ввод  3 2 4 4 2" xfId="22968" xr:uid="{00000000-0005-0000-0000-00000D0B0000}"/>
    <cellStyle name="Ввод  3 2 4 4 3" xfId="39434" xr:uid="{33445F63-46A9-4D5B-87C0-4134A178B3ED}"/>
    <cellStyle name="Ввод  3 2 4 5" xfId="3664" xr:uid="{00000000-0005-0000-0000-00000E0B0000}"/>
    <cellStyle name="Ввод  3 2 4 5 2" xfId="23275" xr:uid="{00000000-0005-0000-0000-00000F0B0000}"/>
    <cellStyle name="Ввод  3 2 4 5 3" xfId="39702" xr:uid="{34B34313-1984-46E0-A73F-073070FB909D}"/>
    <cellStyle name="Ввод  3 2 4 6" xfId="4044" xr:uid="{00000000-0005-0000-0000-0000100B0000}"/>
    <cellStyle name="Ввод  3 2 4 6 2" xfId="20470" xr:uid="{00000000-0005-0000-0000-0000110B0000}"/>
    <cellStyle name="Ввод  3 2 4 6 3" xfId="37362" xr:uid="{759D823B-7471-48DB-97D5-EDA1E9A6ACA7}"/>
    <cellStyle name="Ввод  3 2 4 7" xfId="4566" xr:uid="{00000000-0005-0000-0000-0000120B0000}"/>
    <cellStyle name="Ввод  3 2 4 8" xfId="5048" xr:uid="{00000000-0005-0000-0000-0000130B0000}"/>
    <cellStyle name="Ввод  3 2 5" xfId="536" xr:uid="{00000000-0005-0000-0000-0000140B0000}"/>
    <cellStyle name="Ввод  3 2 5 2" xfId="1368" xr:uid="{00000000-0005-0000-0000-0000150B0000}"/>
    <cellStyle name="Ввод  3 2 5 2 2" xfId="21361" xr:uid="{00000000-0005-0000-0000-0000160B0000}"/>
    <cellStyle name="Ввод  3 2 5 2 2 2" xfId="38003" xr:uid="{24919163-025C-481D-82DD-E06ABB9FED9E}"/>
    <cellStyle name="Ввод  3 2 5 2 3" xfId="6124" xr:uid="{00000000-0005-0000-0000-0000170B0000}"/>
    <cellStyle name="Ввод  3 2 5 2 4" xfId="23911" xr:uid="{56E4D1E9-E09B-44A0-87C6-112031E43C89}"/>
    <cellStyle name="Ввод  3 2 5 3" xfId="2200" xr:uid="{00000000-0005-0000-0000-0000180B0000}"/>
    <cellStyle name="Ввод  3 2 5 3 2" xfId="21983" xr:uid="{00000000-0005-0000-0000-0000190B0000}"/>
    <cellStyle name="Ввод  3 2 5 3 2 2" xfId="38593" xr:uid="{859A80BA-F158-4F0B-AA86-7375FB7C2061}"/>
    <cellStyle name="Ввод  3 2 5 3 3" xfId="6893" xr:uid="{00000000-0005-0000-0000-00001A0B0000}"/>
    <cellStyle name="Ввод  3 2 5 3 4" xfId="24520" xr:uid="{DFB9E57B-26B3-4DDB-B595-CC4209053853}"/>
    <cellStyle name="Ввод  3 2 5 4" xfId="2703" xr:uid="{00000000-0005-0000-0000-00001B0B0000}"/>
    <cellStyle name="Ввод  3 2 5 4 2" xfId="22997" xr:uid="{00000000-0005-0000-0000-00001C0B0000}"/>
    <cellStyle name="Ввод  3 2 5 4 3" xfId="39463" xr:uid="{98945EB4-4216-4539-A3A8-2DA387957FC1}"/>
    <cellStyle name="Ввод  3 2 5 5" xfId="3634" xr:uid="{00000000-0005-0000-0000-00001D0B0000}"/>
    <cellStyle name="Ввод  3 2 5 5 2" xfId="23299" xr:uid="{00000000-0005-0000-0000-00001E0B0000}"/>
    <cellStyle name="Ввод  3 2 5 5 3" xfId="39726" xr:uid="{EB867055-2C56-4550-B9D4-6FC9B808333E}"/>
    <cellStyle name="Ввод  3 2 5 6" xfId="4096" xr:uid="{00000000-0005-0000-0000-00001F0B0000}"/>
    <cellStyle name="Ввод  3 2 5 6 2" xfId="20575" xr:uid="{00000000-0005-0000-0000-0000200B0000}"/>
    <cellStyle name="Ввод  3 2 5 6 3" xfId="37428" xr:uid="{2A6B4BC4-5D39-4118-8310-4E593837702E}"/>
    <cellStyle name="Ввод  3 2 5 7" xfId="4618" xr:uid="{00000000-0005-0000-0000-0000210B0000}"/>
    <cellStyle name="Ввод  3 2 5 8" xfId="5100" xr:uid="{00000000-0005-0000-0000-0000220B0000}"/>
    <cellStyle name="Ввод  3 2 6" xfId="588" xr:uid="{00000000-0005-0000-0000-0000230B0000}"/>
    <cellStyle name="Ввод  3 2 6 2" xfId="1420" xr:uid="{00000000-0005-0000-0000-0000240B0000}"/>
    <cellStyle name="Ввод  3 2 6 2 2" xfId="21413" xr:uid="{00000000-0005-0000-0000-0000250B0000}"/>
    <cellStyle name="Ввод  3 2 6 2 2 2" xfId="38055" xr:uid="{79A7CEF3-58B4-45DF-B2BD-66D5EAC5F78E}"/>
    <cellStyle name="Ввод  3 2 6 2 3" xfId="6176" xr:uid="{00000000-0005-0000-0000-0000260B0000}"/>
    <cellStyle name="Ввод  3 2 6 2 4" xfId="23963" xr:uid="{56CDA5DA-8758-47CA-8C27-A846367CFAA2}"/>
    <cellStyle name="Ввод  3 2 6 3" xfId="2282" xr:uid="{00000000-0005-0000-0000-0000270B0000}"/>
    <cellStyle name="Ввод  3 2 6 3 2" xfId="22035" xr:uid="{00000000-0005-0000-0000-0000280B0000}"/>
    <cellStyle name="Ввод  3 2 6 3 2 2" xfId="38645" xr:uid="{4DCF31D3-3E22-4F5F-83DC-743C6890ABBF}"/>
    <cellStyle name="Ввод  3 2 6 3 3" xfId="6945" xr:uid="{00000000-0005-0000-0000-0000290B0000}"/>
    <cellStyle name="Ввод  3 2 6 3 4" xfId="24572" xr:uid="{8061587F-DAC8-490D-86D0-0F7261B8A512}"/>
    <cellStyle name="Ввод  3 2 6 4" xfId="2809" xr:uid="{00000000-0005-0000-0000-00002A0B0000}"/>
    <cellStyle name="Ввод  3 2 6 4 2" xfId="23008" xr:uid="{00000000-0005-0000-0000-00002B0B0000}"/>
    <cellStyle name="Ввод  3 2 6 4 3" xfId="39474" xr:uid="{04ABB90D-BA86-4331-8286-0F9CEC67F302}"/>
    <cellStyle name="Ввод  3 2 6 5" xfId="3643" xr:uid="{00000000-0005-0000-0000-00002C0B0000}"/>
    <cellStyle name="Ввод  3 2 6 5 2" xfId="23323" xr:uid="{00000000-0005-0000-0000-00002D0B0000}"/>
    <cellStyle name="Ввод  3 2 6 5 3" xfId="39750" xr:uid="{79BBDB95-B096-4146-BA3A-37785AE4044C}"/>
    <cellStyle name="Ввод  3 2 6 6" xfId="4148" xr:uid="{00000000-0005-0000-0000-00002E0B0000}"/>
    <cellStyle name="Ввод  3 2 6 6 2" xfId="20571" xr:uid="{00000000-0005-0000-0000-00002F0B0000}"/>
    <cellStyle name="Ввод  3 2 6 6 3" xfId="37424" xr:uid="{61AD6C60-846E-41C3-A835-378CD9DA140C}"/>
    <cellStyle name="Ввод  3 2 6 7" xfId="4670" xr:uid="{00000000-0005-0000-0000-0000300B0000}"/>
    <cellStyle name="Ввод  3 2 6 8" xfId="5152" xr:uid="{00000000-0005-0000-0000-0000310B0000}"/>
    <cellStyle name="Ввод  3 2 7" xfId="685" xr:uid="{00000000-0005-0000-0000-0000320B0000}"/>
    <cellStyle name="Ввод  3 2 7 2" xfId="1515" xr:uid="{00000000-0005-0000-0000-0000330B0000}"/>
    <cellStyle name="Ввод  3 2 7 2 2" xfId="21508" xr:uid="{00000000-0005-0000-0000-0000340B0000}"/>
    <cellStyle name="Ввод  3 2 7 2 2 2" xfId="38150" xr:uid="{55CB3F33-6A95-46B5-AE19-7BEFC0155559}"/>
    <cellStyle name="Ввод  3 2 7 2 3" xfId="6271" xr:uid="{00000000-0005-0000-0000-0000350B0000}"/>
    <cellStyle name="Ввод  3 2 7 2 4" xfId="24058" xr:uid="{66806695-C1FB-4BC8-B39F-8B5DB074C080}"/>
    <cellStyle name="Ввод  3 2 7 3" xfId="1755" xr:uid="{00000000-0005-0000-0000-0000360B0000}"/>
    <cellStyle name="Ввод  3 2 7 3 2" xfId="22130" xr:uid="{00000000-0005-0000-0000-0000370B0000}"/>
    <cellStyle name="Ввод  3 2 7 3 2 2" xfId="38740" xr:uid="{3884B579-AC3B-4100-AA19-4E6CF4D0DFA5}"/>
    <cellStyle name="Ввод  3 2 7 3 3" xfId="7040" xr:uid="{00000000-0005-0000-0000-0000380B0000}"/>
    <cellStyle name="Ввод  3 2 7 3 4" xfId="24667" xr:uid="{CD6162E6-7D6C-4B12-B91E-E75CC6F353F8}"/>
    <cellStyle name="Ввод  3 2 7 4" xfId="2525" xr:uid="{00000000-0005-0000-0000-0000390B0000}"/>
    <cellStyle name="Ввод  3 2 7 4 2" xfId="22793" xr:uid="{00000000-0005-0000-0000-00003A0B0000}"/>
    <cellStyle name="Ввод  3 2 7 4 3" xfId="39259" xr:uid="{0022B077-2494-40C8-AF90-C713BEEF899F}"/>
    <cellStyle name="Ввод  3 2 7 5" xfId="3215" xr:uid="{00000000-0005-0000-0000-00003B0B0000}"/>
    <cellStyle name="Ввод  3 2 7 5 2" xfId="23362" xr:uid="{00000000-0005-0000-0000-00003C0B0000}"/>
    <cellStyle name="Ввод  3 2 7 5 3" xfId="39789" xr:uid="{B4CF8DED-F079-418F-B89C-72C270F5DFC1}"/>
    <cellStyle name="Ввод  3 2 7 6" xfId="4244" xr:uid="{00000000-0005-0000-0000-00003D0B0000}"/>
    <cellStyle name="Ввод  3 2 7 6 2" xfId="20689" xr:uid="{00000000-0005-0000-0000-00003E0B0000}"/>
    <cellStyle name="Ввод  3 2 7 6 3" xfId="37518" xr:uid="{9EA8C2E5-D3C3-4282-BE6C-24F92717744B}"/>
    <cellStyle name="Ввод  3 2 7 7" xfId="4766" xr:uid="{00000000-0005-0000-0000-00003F0B0000}"/>
    <cellStyle name="Ввод  3 2 7 8" xfId="5247" xr:uid="{00000000-0005-0000-0000-0000400B0000}"/>
    <cellStyle name="Ввод  3 2 8" xfId="679" xr:uid="{00000000-0005-0000-0000-0000410B0000}"/>
    <cellStyle name="Ввод  3 2 8 2" xfId="1509" xr:uid="{00000000-0005-0000-0000-0000420B0000}"/>
    <cellStyle name="Ввод  3 2 8 2 2" xfId="21502" xr:uid="{00000000-0005-0000-0000-0000430B0000}"/>
    <cellStyle name="Ввод  3 2 8 2 2 2" xfId="38144" xr:uid="{337D1DBF-F01B-44E9-8668-7E110FDDD0CF}"/>
    <cellStyle name="Ввод  3 2 8 2 3" xfId="6265" xr:uid="{00000000-0005-0000-0000-0000440B0000}"/>
    <cellStyle name="Ввод  3 2 8 2 4" xfId="24052" xr:uid="{A849FEBD-42FF-490D-A508-4D72397CB930}"/>
    <cellStyle name="Ввод  3 2 8 3" xfId="1757" xr:uid="{00000000-0005-0000-0000-0000450B0000}"/>
    <cellStyle name="Ввод  3 2 8 3 2" xfId="22124" xr:uid="{00000000-0005-0000-0000-0000460B0000}"/>
    <cellStyle name="Ввод  3 2 8 3 2 2" xfId="38734" xr:uid="{75406C16-3FE8-439A-A0B7-8842DC94093A}"/>
    <cellStyle name="Ввод  3 2 8 3 3" xfId="7034" xr:uid="{00000000-0005-0000-0000-0000470B0000}"/>
    <cellStyle name="Ввод  3 2 8 3 4" xfId="24661" xr:uid="{1DC57749-676A-4796-B942-A037FC287900}"/>
    <cellStyle name="Ввод  3 2 8 4" xfId="2571" xr:uid="{00000000-0005-0000-0000-0000480B0000}"/>
    <cellStyle name="Ввод  3 2 8 4 2" xfId="23037" xr:uid="{00000000-0005-0000-0000-0000490B0000}"/>
    <cellStyle name="Ввод  3 2 8 4 3" xfId="39503" xr:uid="{F14EF7B9-6D2B-4591-8DCC-32DF4A993CF8}"/>
    <cellStyle name="Ввод  3 2 8 5" xfId="3734" xr:uid="{00000000-0005-0000-0000-00004A0B0000}"/>
    <cellStyle name="Ввод  3 2 8 5 2" xfId="23359" xr:uid="{00000000-0005-0000-0000-00004B0B0000}"/>
    <cellStyle name="Ввод  3 2 8 5 3" xfId="39786" xr:uid="{F0D4817C-5A06-4696-90E9-49C890C5CA2D}"/>
    <cellStyle name="Ввод  3 2 8 6" xfId="4238" xr:uid="{00000000-0005-0000-0000-00004C0B0000}"/>
    <cellStyle name="Ввод  3 2 8 6 2" xfId="20754" xr:uid="{00000000-0005-0000-0000-00004D0B0000}"/>
    <cellStyle name="Ввод  3 2 8 6 3" xfId="37570" xr:uid="{57A55FEA-6A0E-4D81-8A3B-C1CA63F57978}"/>
    <cellStyle name="Ввод  3 2 8 7" xfId="4760" xr:uid="{00000000-0005-0000-0000-00004E0B0000}"/>
    <cellStyle name="Ввод  3 2 8 8" xfId="5241" xr:uid="{00000000-0005-0000-0000-00004F0B0000}"/>
    <cellStyle name="Ввод  3 2 9" xfId="633" xr:uid="{00000000-0005-0000-0000-0000500B0000}"/>
    <cellStyle name="Ввод  3 2 9 2" xfId="1465" xr:uid="{00000000-0005-0000-0000-0000510B0000}"/>
    <cellStyle name="Ввод  3 2 9 2 2" xfId="21458" xr:uid="{00000000-0005-0000-0000-0000520B0000}"/>
    <cellStyle name="Ввод  3 2 9 2 2 2" xfId="38100" xr:uid="{0C49AEDB-5E99-49EE-B124-48BB52F385AF}"/>
    <cellStyle name="Ввод  3 2 9 2 3" xfId="6221" xr:uid="{00000000-0005-0000-0000-0000530B0000}"/>
    <cellStyle name="Ввод  3 2 9 2 4" xfId="24008" xr:uid="{39DBB0B2-989F-4B62-8ABA-8AA9DEBC3AB4}"/>
    <cellStyle name="Ввод  3 2 9 3" xfId="1913" xr:uid="{00000000-0005-0000-0000-0000540B0000}"/>
    <cellStyle name="Ввод  3 2 9 3 2" xfId="22080" xr:uid="{00000000-0005-0000-0000-0000550B0000}"/>
    <cellStyle name="Ввод  3 2 9 3 2 2" xfId="38690" xr:uid="{90E4FAFB-5828-4324-A67D-53A76640C8E7}"/>
    <cellStyle name="Ввод  3 2 9 3 3" xfId="6990" xr:uid="{00000000-0005-0000-0000-0000560B0000}"/>
    <cellStyle name="Ввод  3 2 9 3 4" xfId="24617" xr:uid="{06D2C463-F3DA-4705-B879-186CFD00AC4F}"/>
    <cellStyle name="Ввод  3 2 9 4" xfId="2577" xr:uid="{00000000-0005-0000-0000-0000570B0000}"/>
    <cellStyle name="Ввод  3 2 9 4 2" xfId="23041" xr:uid="{00000000-0005-0000-0000-0000580B0000}"/>
    <cellStyle name="Ввод  3 2 9 4 3" xfId="39507" xr:uid="{13FF8513-F3BA-4E4A-9F92-AE44FD2D8C26}"/>
    <cellStyle name="Ввод  3 2 9 5" xfId="3741" xr:uid="{00000000-0005-0000-0000-0000590B0000}"/>
    <cellStyle name="Ввод  3 2 9 5 2" xfId="23345" xr:uid="{00000000-0005-0000-0000-00005A0B0000}"/>
    <cellStyle name="Ввод  3 2 9 5 3" xfId="39772" xr:uid="{0622DB5C-81C8-4664-9A07-9150DD5F6273}"/>
    <cellStyle name="Ввод  3 2 9 6" xfId="4193" xr:uid="{00000000-0005-0000-0000-00005B0B0000}"/>
    <cellStyle name="Ввод  3 2 9 6 2" xfId="20819" xr:uid="{00000000-0005-0000-0000-00005C0B0000}"/>
    <cellStyle name="Ввод  3 2 9 6 3" xfId="37622" xr:uid="{EF35870D-0334-48C2-8FE7-A979094B82E7}"/>
    <cellStyle name="Ввод  3 2 9 7" xfId="4715" xr:uid="{00000000-0005-0000-0000-00005D0B0000}"/>
    <cellStyle name="Ввод  3 2 9 8" xfId="5197" xr:uid="{00000000-0005-0000-0000-00005E0B0000}"/>
    <cellStyle name="Ввод  3 3" xfId="358" xr:uid="{00000000-0005-0000-0000-00005F0B0000}"/>
    <cellStyle name="Ввод  3 3 10" xfId="979" xr:uid="{00000000-0005-0000-0000-0000600B0000}"/>
    <cellStyle name="Ввод  3 3 10 2" xfId="2000" xr:uid="{00000000-0005-0000-0000-0000610B0000}"/>
    <cellStyle name="Ввод  3 3 10 2 2" xfId="21847" xr:uid="{00000000-0005-0000-0000-0000620B0000}"/>
    <cellStyle name="Ввод  3 3 10 2 2 2" xfId="38457" xr:uid="{C4576BCD-6377-4E1E-93C4-D4B7EA8AC1CA}"/>
    <cellStyle name="Ввод  3 3 10 2 3" xfId="5987" xr:uid="{00000000-0005-0000-0000-0000630B0000}"/>
    <cellStyle name="Ввод  3 3 10 2 4" xfId="23775" xr:uid="{2E0784AF-EA42-4D35-9CD0-C494C3924579}"/>
    <cellStyle name="Ввод  3 3 10 3" xfId="2786" xr:uid="{00000000-0005-0000-0000-0000640B0000}"/>
    <cellStyle name="Ввод  3 3 10 3 2" xfId="22952" xr:uid="{00000000-0005-0000-0000-0000650B0000}"/>
    <cellStyle name="Ввод  3 3 10 3 2 2" xfId="39418" xr:uid="{2F5775C7-29C4-488C-9B94-2EDFB1D07728}"/>
    <cellStyle name="Ввод  3 3 10 3 3" xfId="6761" xr:uid="{00000000-0005-0000-0000-0000660B0000}"/>
    <cellStyle name="Ввод  3 3 10 3 4" xfId="24388" xr:uid="{CB0CEDA4-A983-4A2E-891F-77F3860F5395}"/>
    <cellStyle name="Ввод  3 3 10 4" xfId="3709" xr:uid="{00000000-0005-0000-0000-0000670B0000}"/>
    <cellStyle name="Ввод  3 3 10 4 2" xfId="23234" xr:uid="{00000000-0005-0000-0000-0000680B0000}"/>
    <cellStyle name="Ввод  3 3 10 4 3" xfId="39661" xr:uid="{B58EF618-1AFA-4705-BA49-D2E8B242788A}"/>
    <cellStyle name="Ввод  3 3 10 5" xfId="3951" xr:uid="{00000000-0005-0000-0000-0000690B0000}"/>
    <cellStyle name="Ввод  3 3 10 5 2" xfId="21206" xr:uid="{00000000-0005-0000-0000-00006A0B0000}"/>
    <cellStyle name="Ввод  3 3 10 5 3" xfId="37867" xr:uid="{562DAE23-D4C0-4CA3-BE5D-19AFBFB0B507}"/>
    <cellStyle name="Ввод  3 3 10 6" xfId="4479" xr:uid="{00000000-0005-0000-0000-00006B0B0000}"/>
    <cellStyle name="Ввод  3 3 10 7" xfId="4968" xr:uid="{00000000-0005-0000-0000-00006C0B0000}"/>
    <cellStyle name="Ввод  3 3 11" xfId="1973" xr:uid="{00000000-0005-0000-0000-00006D0B0000}"/>
    <cellStyle name="Ввод  3 3 11 2" xfId="20973" xr:uid="{00000000-0005-0000-0000-00006E0B0000}"/>
    <cellStyle name="Ввод  3 3 11 2 2" xfId="37750" xr:uid="{FE6C513E-A1F2-4F3F-8089-DD6C2207D58F}"/>
    <cellStyle name="Ввод  3 3 11 3" xfId="5731" xr:uid="{00000000-0005-0000-0000-00006F0B0000}"/>
    <cellStyle name="Ввод  3 3 11 4" xfId="23655" xr:uid="{3B2947E9-7A32-471A-A7DF-3F005EED2753}"/>
    <cellStyle name="Ввод  3 3 12" xfId="2621" xr:uid="{00000000-0005-0000-0000-0000700B0000}"/>
    <cellStyle name="Ввод  3 3 12 2" xfId="21730" xr:uid="{00000000-0005-0000-0000-0000710B0000}"/>
    <cellStyle name="Ввод  3 3 12 2 2" xfId="38340" xr:uid="{53B33E0D-1BBA-40E8-98BD-6A93BC0E3FBF}"/>
    <cellStyle name="Ввод  3 3 12 3" xfId="6648" xr:uid="{00000000-0005-0000-0000-0000720B0000}"/>
    <cellStyle name="Ввод  3 3 12 4" xfId="24275" xr:uid="{27B7E16B-91D1-4DA4-8B22-778C0783CA81}"/>
    <cellStyle name="Ввод  3 3 13" xfId="3172" xr:uid="{00000000-0005-0000-0000-0000730B0000}"/>
    <cellStyle name="Ввод  3 3 13 2" xfId="22767" xr:uid="{00000000-0005-0000-0000-0000740B0000}"/>
    <cellStyle name="Ввод  3 3 13 3" xfId="39235" xr:uid="{72FEF258-B504-4A25-BD90-505F1615F05B}"/>
    <cellStyle name="Ввод  3 3 14" xfId="3339" xr:uid="{00000000-0005-0000-0000-0000750B0000}"/>
    <cellStyle name="Ввод  3 3 14 2" xfId="23180" xr:uid="{00000000-0005-0000-0000-0000760B0000}"/>
    <cellStyle name="Ввод  3 3 14 3" xfId="39607" xr:uid="{A3744A25-70C4-49B3-9701-1B08B36F0CFA}"/>
    <cellStyle name="Ввод  3 3 15" xfId="3873" xr:uid="{00000000-0005-0000-0000-0000770B0000}"/>
    <cellStyle name="Ввод  3 3 15 2" xfId="7370" xr:uid="{00000000-0005-0000-0000-0000780B0000}"/>
    <cellStyle name="Ввод  3 3 15 3" xfId="24845" xr:uid="{CF645B23-B0EE-45C4-BB01-65C6CF1CF34A}"/>
    <cellStyle name="Ввод  3 3 16" xfId="4409" xr:uid="{00000000-0005-0000-0000-0000790B0000}"/>
    <cellStyle name="Ввод  3 3 2" xfId="463" xr:uid="{00000000-0005-0000-0000-00007A0B0000}"/>
    <cellStyle name="Ввод  3 3 2 2" xfId="1295" xr:uid="{00000000-0005-0000-0000-00007B0B0000}"/>
    <cellStyle name="Ввод  3 3 2 2 2" xfId="21288" xr:uid="{00000000-0005-0000-0000-00007C0B0000}"/>
    <cellStyle name="Ввод  3 3 2 2 2 2" xfId="37930" xr:uid="{D89CCD4A-BBE7-4C5F-95B1-7E67C1B64973}"/>
    <cellStyle name="Ввод  3 3 2 2 3" xfId="6051" xr:uid="{00000000-0005-0000-0000-00007D0B0000}"/>
    <cellStyle name="Ввод  3 3 2 2 4" xfId="23838" xr:uid="{31721341-F297-421E-A948-E50CD1A0F190}"/>
    <cellStyle name="Ввод  3 3 2 3" xfId="1727" xr:uid="{00000000-0005-0000-0000-00007E0B0000}"/>
    <cellStyle name="Ввод  3 3 2 3 2" xfId="21910" xr:uid="{00000000-0005-0000-0000-00007F0B0000}"/>
    <cellStyle name="Ввод  3 3 2 3 2 2" xfId="38520" xr:uid="{54001A5A-3F8D-4061-9E29-B85A7664AEC6}"/>
    <cellStyle name="Ввод  3 3 2 3 3" xfId="6820" xr:uid="{00000000-0005-0000-0000-0000800B0000}"/>
    <cellStyle name="Ввод  3 3 2 3 4" xfId="24447" xr:uid="{132D4A97-2E47-4835-B854-BAF1457C28CF}"/>
    <cellStyle name="Ввод  3 3 2 4" xfId="2855" xr:uid="{00000000-0005-0000-0000-0000810B0000}"/>
    <cellStyle name="Ввод  3 3 2 4 2" xfId="23012" xr:uid="{00000000-0005-0000-0000-0000820B0000}"/>
    <cellStyle name="Ввод  3 3 2 4 3" xfId="39478" xr:uid="{6CC787A9-BB49-4813-A4AE-687F97D6D14B}"/>
    <cellStyle name="Ввод  3 3 2 5" xfId="3648" xr:uid="{00000000-0005-0000-0000-0000830B0000}"/>
    <cellStyle name="Ввод  3 3 2 5 2" xfId="23264" xr:uid="{00000000-0005-0000-0000-0000840B0000}"/>
    <cellStyle name="Ввод  3 3 2 5 3" xfId="39691" xr:uid="{A5E58D7C-2F5E-449B-8E75-8C6CCA9CCD86}"/>
    <cellStyle name="Ввод  3 3 2 6" xfId="4023" xr:uid="{00000000-0005-0000-0000-0000850B0000}"/>
    <cellStyle name="Ввод  3 3 2 6 2" xfId="20447" xr:uid="{00000000-0005-0000-0000-0000860B0000}"/>
    <cellStyle name="Ввод  3 3 2 6 3" xfId="37339" xr:uid="{22F0C861-9939-4DE1-99F8-93FBF563CA33}"/>
    <cellStyle name="Ввод  3 3 2 7" xfId="4545" xr:uid="{00000000-0005-0000-0000-0000870B0000}"/>
    <cellStyle name="Ввод  3 3 2 8" xfId="5027" xr:uid="{00000000-0005-0000-0000-0000880B0000}"/>
    <cellStyle name="Ввод  3 3 3" xfId="508" xr:uid="{00000000-0005-0000-0000-0000890B0000}"/>
    <cellStyle name="Ввод  3 3 3 2" xfId="1340" xr:uid="{00000000-0005-0000-0000-00008A0B0000}"/>
    <cellStyle name="Ввод  3 3 3 2 2" xfId="21333" xr:uid="{00000000-0005-0000-0000-00008B0B0000}"/>
    <cellStyle name="Ввод  3 3 3 2 2 2" xfId="37975" xr:uid="{1ADC0061-78B3-4AC2-B5A9-0D2741D74559}"/>
    <cellStyle name="Ввод  3 3 3 2 3" xfId="6096" xr:uid="{00000000-0005-0000-0000-00008C0B0000}"/>
    <cellStyle name="Ввод  3 3 3 2 4" xfId="23883" xr:uid="{A1E5F828-7AA7-4AA4-803C-2450DD1C89EA}"/>
    <cellStyle name="Ввод  3 3 3 3" xfId="1982" xr:uid="{00000000-0005-0000-0000-00008D0B0000}"/>
    <cellStyle name="Ввод  3 3 3 3 2" xfId="21955" xr:uid="{00000000-0005-0000-0000-00008E0B0000}"/>
    <cellStyle name="Ввод  3 3 3 3 2 2" xfId="38565" xr:uid="{AC5B747E-559A-4030-A3C5-3EBC1C629589}"/>
    <cellStyle name="Ввод  3 3 3 3 3" xfId="6865" xr:uid="{00000000-0005-0000-0000-00008F0B0000}"/>
    <cellStyle name="Ввод  3 3 3 3 4" xfId="24492" xr:uid="{CEE55F1C-FA27-4694-A821-8F80B61BC722}"/>
    <cellStyle name="Ввод  3 3 3 4" xfId="2772" xr:uid="{00000000-0005-0000-0000-0000900B0000}"/>
    <cellStyle name="Ввод  3 3 3 4 2" xfId="23004" xr:uid="{00000000-0005-0000-0000-0000910B0000}"/>
    <cellStyle name="Ввод  3 3 3 4 3" xfId="39470" xr:uid="{0C62D8CF-7B6B-42F7-A1F5-B95139FFF9F2}"/>
    <cellStyle name="Ввод  3 3 3 5" xfId="3675" xr:uid="{00000000-0005-0000-0000-0000920B0000}"/>
    <cellStyle name="Ввод  3 3 3 5 2" xfId="23286" xr:uid="{00000000-0005-0000-0000-0000930B0000}"/>
    <cellStyle name="Ввод  3 3 3 5 3" xfId="39713" xr:uid="{E20A8937-CC5A-4571-8412-3B4F0E44F765}"/>
    <cellStyle name="Ввод  3 3 3 6" xfId="4068" xr:uid="{00000000-0005-0000-0000-0000940B0000}"/>
    <cellStyle name="Ввод  3 3 3 6 2" xfId="20494" xr:uid="{00000000-0005-0000-0000-0000950B0000}"/>
    <cellStyle name="Ввод  3 3 3 6 3" xfId="37386" xr:uid="{8CFE5445-C3AB-4579-975C-91194FC77754}"/>
    <cellStyle name="Ввод  3 3 3 7" xfId="4590" xr:uid="{00000000-0005-0000-0000-0000960B0000}"/>
    <cellStyle name="Ввод  3 3 3 8" xfId="5072" xr:uid="{00000000-0005-0000-0000-0000970B0000}"/>
    <cellStyle name="Ввод  3 3 4" xfId="560" xr:uid="{00000000-0005-0000-0000-0000980B0000}"/>
    <cellStyle name="Ввод  3 3 4 2" xfId="1392" xr:uid="{00000000-0005-0000-0000-0000990B0000}"/>
    <cellStyle name="Ввод  3 3 4 2 2" xfId="21385" xr:uid="{00000000-0005-0000-0000-00009A0B0000}"/>
    <cellStyle name="Ввод  3 3 4 2 2 2" xfId="38027" xr:uid="{42EC4A14-54BF-4256-BDE6-650DA991A307}"/>
    <cellStyle name="Ввод  3 3 4 2 3" xfId="6148" xr:uid="{00000000-0005-0000-0000-00009B0B0000}"/>
    <cellStyle name="Ввод  3 3 4 2 4" xfId="23935" xr:uid="{493E20CC-8092-4C20-AB91-270778EB08F3}"/>
    <cellStyle name="Ввод  3 3 4 3" xfId="1883" xr:uid="{00000000-0005-0000-0000-00009C0B0000}"/>
    <cellStyle name="Ввод  3 3 4 3 2" xfId="22007" xr:uid="{00000000-0005-0000-0000-00009D0B0000}"/>
    <cellStyle name="Ввод  3 3 4 3 2 2" xfId="38617" xr:uid="{A4871FD3-3157-4D17-A0D8-AB1F1625D5D2}"/>
    <cellStyle name="Ввод  3 3 4 3 3" xfId="6917" xr:uid="{00000000-0005-0000-0000-00009E0B0000}"/>
    <cellStyle name="Ввод  3 3 4 3 4" xfId="24544" xr:uid="{ADAA3451-90E5-45E8-AA64-A1F76103994A}"/>
    <cellStyle name="Ввод  3 3 4 4" xfId="2660" xr:uid="{00000000-0005-0000-0000-00009F0B0000}"/>
    <cellStyle name="Ввод  3 3 4 4 2" xfId="22503" xr:uid="{00000000-0005-0000-0000-0000A00B0000}"/>
    <cellStyle name="Ввод  3 3 4 4 3" xfId="38995" xr:uid="{55264AB2-F808-4D7F-91A9-FEE776241043}"/>
    <cellStyle name="Ввод  3 3 4 5" xfId="3720" xr:uid="{00000000-0005-0000-0000-0000A10B0000}"/>
    <cellStyle name="Ввод  3 3 4 5 2" xfId="23310" xr:uid="{00000000-0005-0000-0000-0000A20B0000}"/>
    <cellStyle name="Ввод  3 3 4 5 3" xfId="39737" xr:uid="{C8F335CA-357E-4816-A356-AE37970DA19C}"/>
    <cellStyle name="Ввод  3 3 4 6" xfId="4120" xr:uid="{00000000-0005-0000-0000-0000A30B0000}"/>
    <cellStyle name="Ввод  3 3 4 6 2" xfId="20610" xr:uid="{00000000-0005-0000-0000-0000A40B0000}"/>
    <cellStyle name="Ввод  3 3 4 6 3" xfId="37452" xr:uid="{3D196CD0-9A96-4ED7-A693-4BC14D52E1F1}"/>
    <cellStyle name="Ввод  3 3 4 7" xfId="4642" xr:uid="{00000000-0005-0000-0000-0000A50B0000}"/>
    <cellStyle name="Ввод  3 3 4 8" xfId="5124" xr:uid="{00000000-0005-0000-0000-0000A60B0000}"/>
    <cellStyle name="Ввод  3 3 5" xfId="612" xr:uid="{00000000-0005-0000-0000-0000A70B0000}"/>
    <cellStyle name="Ввод  3 3 5 2" xfId="1444" xr:uid="{00000000-0005-0000-0000-0000A80B0000}"/>
    <cellStyle name="Ввод  3 3 5 2 2" xfId="21437" xr:uid="{00000000-0005-0000-0000-0000A90B0000}"/>
    <cellStyle name="Ввод  3 3 5 2 2 2" xfId="38079" xr:uid="{A5D80867-4ADB-47AB-B364-49105E5F1A30}"/>
    <cellStyle name="Ввод  3 3 5 2 3" xfId="6200" xr:uid="{00000000-0005-0000-0000-0000AA0B0000}"/>
    <cellStyle name="Ввод  3 3 5 2 4" xfId="23987" xr:uid="{3CE932AF-2791-4ADC-9FCC-1ADD56A1DF26}"/>
    <cellStyle name="Ввод  3 3 5 3" xfId="2259" xr:uid="{00000000-0005-0000-0000-0000AB0B0000}"/>
    <cellStyle name="Ввод  3 3 5 3 2" xfId="22059" xr:uid="{00000000-0005-0000-0000-0000AC0B0000}"/>
    <cellStyle name="Ввод  3 3 5 3 2 2" xfId="38669" xr:uid="{C8C11B8B-1F5F-4FA9-A2F8-74E32A8114F7}"/>
    <cellStyle name="Ввод  3 3 5 3 3" xfId="6969" xr:uid="{00000000-0005-0000-0000-0000AD0B0000}"/>
    <cellStyle name="Ввод  3 3 5 3 4" xfId="24596" xr:uid="{F2402B8C-D5B4-4465-A79A-A45B850074EE}"/>
    <cellStyle name="Ввод  3 3 5 4" xfId="2484" xr:uid="{00000000-0005-0000-0000-0000AE0B0000}"/>
    <cellStyle name="Ввод  3 3 5 4 2" xfId="22950" xr:uid="{00000000-0005-0000-0000-0000AF0B0000}"/>
    <cellStyle name="Ввод  3 3 5 4 3" xfId="39416" xr:uid="{C1975C8E-971C-49DE-8B25-E25448DD69E9}"/>
    <cellStyle name="Ввод  3 3 5 5" xfId="3612" xr:uid="{00000000-0005-0000-0000-0000B00B0000}"/>
    <cellStyle name="Ввод  3 3 5 5 2" xfId="23334" xr:uid="{00000000-0005-0000-0000-0000B10B0000}"/>
    <cellStyle name="Ввод  3 3 5 5 3" xfId="39761" xr:uid="{61E7E719-38C5-44DD-A692-668DE0DE41D5}"/>
    <cellStyle name="Ввод  3 3 5 6" xfId="4172" xr:uid="{00000000-0005-0000-0000-0000B20B0000}"/>
    <cellStyle name="Ввод  3 3 5 6 2" xfId="20648" xr:uid="{00000000-0005-0000-0000-0000B30B0000}"/>
    <cellStyle name="Ввод  3 3 5 6 3" xfId="37490" xr:uid="{005071AD-0DAC-4AD6-9AF2-F6ABBAA48A43}"/>
    <cellStyle name="Ввод  3 3 5 7" xfId="4694" xr:uid="{00000000-0005-0000-0000-0000B40B0000}"/>
    <cellStyle name="Ввод  3 3 5 8" xfId="5176" xr:uid="{00000000-0005-0000-0000-0000B50B0000}"/>
    <cellStyle name="Ввод  3 3 6" xfId="715" xr:uid="{00000000-0005-0000-0000-0000B60B0000}"/>
    <cellStyle name="Ввод  3 3 6 2" xfId="1545" xr:uid="{00000000-0005-0000-0000-0000B70B0000}"/>
    <cellStyle name="Ввод  3 3 6 2 2" xfId="21538" xr:uid="{00000000-0005-0000-0000-0000B80B0000}"/>
    <cellStyle name="Ввод  3 3 6 2 2 2" xfId="38180" xr:uid="{DAD85B73-C3FB-4F44-AA5D-DE09C0FC3651}"/>
    <cellStyle name="Ввод  3 3 6 2 3" xfId="6301" xr:uid="{00000000-0005-0000-0000-0000B90B0000}"/>
    <cellStyle name="Ввод  3 3 6 2 4" xfId="24088" xr:uid="{39F7B731-5593-49ED-AA8F-3097CA84A5DC}"/>
    <cellStyle name="Ввод  3 3 6 3" xfId="1875" xr:uid="{00000000-0005-0000-0000-0000BA0B0000}"/>
    <cellStyle name="Ввод  3 3 6 3 2" xfId="22160" xr:uid="{00000000-0005-0000-0000-0000BB0B0000}"/>
    <cellStyle name="Ввод  3 3 6 3 2 2" xfId="38770" xr:uid="{CC96DF3E-DC9F-4F41-A447-A415CF3D705C}"/>
    <cellStyle name="Ввод  3 3 6 3 3" xfId="7070" xr:uid="{00000000-0005-0000-0000-0000BC0B0000}"/>
    <cellStyle name="Ввод  3 3 6 3 4" xfId="24697" xr:uid="{C780E008-2634-4CF8-A0DD-D24F9F6B5E52}"/>
    <cellStyle name="Ввод  3 3 6 4" xfId="2519" xr:uid="{00000000-0005-0000-0000-0000BD0B0000}"/>
    <cellStyle name="Ввод  3 3 6 4 2" xfId="22497" xr:uid="{00000000-0005-0000-0000-0000BE0B0000}"/>
    <cellStyle name="Ввод  3 3 6 4 3" xfId="38989" xr:uid="{EAC8F251-DD31-4FD3-971E-1B03C72E9B5E}"/>
    <cellStyle name="Ввод  3 3 6 5" xfId="3248" xr:uid="{00000000-0005-0000-0000-0000BF0B0000}"/>
    <cellStyle name="Ввод  3 3 6 5 2" xfId="23376" xr:uid="{00000000-0005-0000-0000-0000C00B0000}"/>
    <cellStyle name="Ввод  3 3 6 5 3" xfId="39803" xr:uid="{30460511-73E1-4558-948F-3200B20F3F08}"/>
    <cellStyle name="Ввод  3 3 6 6" xfId="4274" xr:uid="{00000000-0005-0000-0000-0000C10B0000}"/>
    <cellStyle name="Ввод  3 3 6 6 2" xfId="20713" xr:uid="{00000000-0005-0000-0000-0000C20B0000}"/>
    <cellStyle name="Ввод  3 3 6 6 3" xfId="37542" xr:uid="{06793706-14E6-474F-8CBE-5BA5C304FA7B}"/>
    <cellStyle name="Ввод  3 3 6 7" xfId="4796" xr:uid="{00000000-0005-0000-0000-0000C30B0000}"/>
    <cellStyle name="Ввод  3 3 6 8" xfId="5277" xr:uid="{00000000-0005-0000-0000-0000C40B0000}"/>
    <cellStyle name="Ввод  3 3 7" xfId="759" xr:uid="{00000000-0005-0000-0000-0000C50B0000}"/>
    <cellStyle name="Ввод  3 3 7 2" xfId="1588" xr:uid="{00000000-0005-0000-0000-0000C60B0000}"/>
    <cellStyle name="Ввод  3 3 7 2 2" xfId="21581" xr:uid="{00000000-0005-0000-0000-0000C70B0000}"/>
    <cellStyle name="Ввод  3 3 7 2 2 2" xfId="38223" xr:uid="{44B01B36-BF56-4406-B619-18F52EF4AF9F}"/>
    <cellStyle name="Ввод  3 3 7 2 3" xfId="6344" xr:uid="{00000000-0005-0000-0000-0000C80B0000}"/>
    <cellStyle name="Ввод  3 3 7 2 4" xfId="24131" xr:uid="{74A8AC1A-F0E9-4314-B484-96DB0BAF1FEF}"/>
    <cellStyle name="Ввод  3 3 7 3" xfId="1809" xr:uid="{00000000-0005-0000-0000-0000C90B0000}"/>
    <cellStyle name="Ввод  3 3 7 3 2" xfId="22203" xr:uid="{00000000-0005-0000-0000-0000CA0B0000}"/>
    <cellStyle name="Ввод  3 3 7 3 2 2" xfId="38813" xr:uid="{7466DFA5-1796-4B47-BA13-45C188340AD8}"/>
    <cellStyle name="Ввод  3 3 7 3 3" xfId="7113" xr:uid="{00000000-0005-0000-0000-0000CB0B0000}"/>
    <cellStyle name="Ввод  3 3 7 3 4" xfId="24740" xr:uid="{4233813D-D9B1-4339-8317-F599EB8EF3EA}"/>
    <cellStyle name="Ввод  3 3 7 4" xfId="2654" xr:uid="{00000000-0005-0000-0000-0000CC0B0000}"/>
    <cellStyle name="Ввод  3 3 7 4 2" xfId="23085" xr:uid="{00000000-0005-0000-0000-0000CD0B0000}"/>
    <cellStyle name="Ввод  3 3 7 4 3" xfId="39551" xr:uid="{CE0A5EEC-0346-4824-9C1F-6C90C5F8D64E}"/>
    <cellStyle name="Ввод  3 3 7 5" xfId="3459" xr:uid="{00000000-0005-0000-0000-0000CE0B0000}"/>
    <cellStyle name="Ввод  3 3 7 5 2" xfId="23398" xr:uid="{00000000-0005-0000-0000-0000CF0B0000}"/>
    <cellStyle name="Ввод  3 3 7 5 3" xfId="39825" xr:uid="{5EC6FC87-9162-4BEB-B75D-3B6AA34F65A5}"/>
    <cellStyle name="Ввод  3 3 7 6" xfId="4317" xr:uid="{00000000-0005-0000-0000-0000D00B0000}"/>
    <cellStyle name="Ввод  3 3 7 6 2" xfId="20778" xr:uid="{00000000-0005-0000-0000-0000D10B0000}"/>
    <cellStyle name="Ввод  3 3 7 6 3" xfId="37594" xr:uid="{7AD7FD92-1D2F-45F2-B964-CDF1FD13C51B}"/>
    <cellStyle name="Ввод  3 3 7 7" xfId="4839" xr:uid="{00000000-0005-0000-0000-0000D20B0000}"/>
    <cellStyle name="Ввод  3 3 7 8" xfId="5320" xr:uid="{00000000-0005-0000-0000-0000D30B0000}"/>
    <cellStyle name="Ввод  3 3 8" xfId="791" xr:uid="{00000000-0005-0000-0000-0000D40B0000}"/>
    <cellStyle name="Ввод  3 3 8 2" xfId="1620" xr:uid="{00000000-0005-0000-0000-0000D50B0000}"/>
    <cellStyle name="Ввод  3 3 8 2 2" xfId="21613" xr:uid="{00000000-0005-0000-0000-0000D60B0000}"/>
    <cellStyle name="Ввод  3 3 8 2 2 2" xfId="38255" xr:uid="{41605906-ABD9-4934-97DD-D7CCDFA046A9}"/>
    <cellStyle name="Ввод  3 3 8 2 3" xfId="6376" xr:uid="{00000000-0005-0000-0000-0000D70B0000}"/>
    <cellStyle name="Ввод  3 3 8 2 4" xfId="24163" xr:uid="{1BC42EF0-F7D0-4B37-B242-803027AF2621}"/>
    <cellStyle name="Ввод  3 3 8 3" xfId="1805" xr:uid="{00000000-0005-0000-0000-0000D80B0000}"/>
    <cellStyle name="Ввод  3 3 8 3 2" xfId="22235" xr:uid="{00000000-0005-0000-0000-0000D90B0000}"/>
    <cellStyle name="Ввод  3 3 8 3 2 2" xfId="38845" xr:uid="{06942052-3384-4159-B60B-D8FFBAE0773B}"/>
    <cellStyle name="Ввод  3 3 8 3 3" xfId="7145" xr:uid="{00000000-0005-0000-0000-0000DA0B0000}"/>
    <cellStyle name="Ввод  3 3 8 3 4" xfId="24772" xr:uid="{04D8AF8F-1D20-4203-807D-F9A57F649710}"/>
    <cellStyle name="Ввод  3 3 8 4" xfId="2376" xr:uid="{00000000-0005-0000-0000-0000DB0B0000}"/>
    <cellStyle name="Ввод  3 3 8 4 2" xfId="22655" xr:uid="{00000000-0005-0000-0000-0000DC0B0000}"/>
    <cellStyle name="Ввод  3 3 8 4 3" xfId="39127" xr:uid="{829A6C42-8041-4A5E-9014-0C13057ECCD1}"/>
    <cellStyle name="Ввод  3 3 8 5" xfId="3842" xr:uid="{00000000-0005-0000-0000-0000DD0B0000}"/>
    <cellStyle name="Ввод  3 3 8 5 2" xfId="23414" xr:uid="{00000000-0005-0000-0000-0000DE0B0000}"/>
    <cellStyle name="Ввод  3 3 8 5 3" xfId="39841" xr:uid="{04BFE298-76F9-4170-A076-BE1C37BA60EC}"/>
    <cellStyle name="Ввод  3 3 8 6" xfId="4349" xr:uid="{00000000-0005-0000-0000-0000DF0B0000}"/>
    <cellStyle name="Ввод  3 3 8 6 2" xfId="20843" xr:uid="{00000000-0005-0000-0000-0000E00B0000}"/>
    <cellStyle name="Ввод  3 3 8 6 3" xfId="37646" xr:uid="{5D711384-3DCA-4D19-96DF-C91636E844F7}"/>
    <cellStyle name="Ввод  3 3 8 7" xfId="4871" xr:uid="{00000000-0005-0000-0000-0000E10B0000}"/>
    <cellStyle name="Ввод  3 3 8 8" xfId="5352" xr:uid="{00000000-0005-0000-0000-0000E20B0000}"/>
    <cellStyle name="Ввод  3 3 9" xfId="823" xr:uid="{00000000-0005-0000-0000-0000E30B0000}"/>
    <cellStyle name="Ввод  3 3 9 2" xfId="1652" xr:uid="{00000000-0005-0000-0000-0000E40B0000}"/>
    <cellStyle name="Ввод  3 3 9 2 2" xfId="21645" xr:uid="{00000000-0005-0000-0000-0000E50B0000}"/>
    <cellStyle name="Ввод  3 3 9 2 2 2" xfId="38287" xr:uid="{54869DDA-9070-4CF4-B4BF-37933CD16992}"/>
    <cellStyle name="Ввод  3 3 9 2 3" xfId="6408" xr:uid="{00000000-0005-0000-0000-0000E60B0000}"/>
    <cellStyle name="Ввод  3 3 9 2 4" xfId="24195" xr:uid="{638D9383-E488-417A-83A8-34FF0EFAFFDD}"/>
    <cellStyle name="Ввод  3 3 9 3" xfId="1801" xr:uid="{00000000-0005-0000-0000-0000E70B0000}"/>
    <cellStyle name="Ввод  3 3 9 3 2" xfId="22267" xr:uid="{00000000-0005-0000-0000-0000E80B0000}"/>
    <cellStyle name="Ввод  3 3 9 3 2 2" xfId="38877" xr:uid="{87EB26F4-1FBE-4CA2-923F-0F4AA4157ACB}"/>
    <cellStyle name="Ввод  3 3 9 3 3" xfId="7177" xr:uid="{00000000-0005-0000-0000-0000E90B0000}"/>
    <cellStyle name="Ввод  3 3 9 3 4" xfId="24804" xr:uid="{FF7E83E6-6128-4F6D-B59E-0CD80CEDA7FA}"/>
    <cellStyle name="Ввод  3 3 9 4" xfId="2505" xr:uid="{00000000-0005-0000-0000-0000EA0B0000}"/>
    <cellStyle name="Ввод  3 3 9 4 2" xfId="22651" xr:uid="{00000000-0005-0000-0000-0000EB0B0000}"/>
    <cellStyle name="Ввод  3 3 9 4 3" xfId="39123" xr:uid="{5ECAB2F1-A288-4087-93D9-4D1DE667B64D}"/>
    <cellStyle name="Ввод  3 3 9 5" xfId="3135" xr:uid="{00000000-0005-0000-0000-0000EC0B0000}"/>
    <cellStyle name="Ввод  3 3 9 5 2" xfId="23430" xr:uid="{00000000-0005-0000-0000-0000ED0B0000}"/>
    <cellStyle name="Ввод  3 3 9 5 3" xfId="39857" xr:uid="{4DFCDF4D-DCD9-4F3F-BDF3-F5A9D666E3D9}"/>
    <cellStyle name="Ввод  3 3 9 6" xfId="4381" xr:uid="{00000000-0005-0000-0000-0000EE0B0000}"/>
    <cellStyle name="Ввод  3 3 9 6 2" xfId="20908" xr:uid="{00000000-0005-0000-0000-0000EF0B0000}"/>
    <cellStyle name="Ввод  3 3 9 6 3" xfId="37698" xr:uid="{84D2594F-3184-418D-8B1D-018409D5F702}"/>
    <cellStyle name="Ввод  3 3 9 7" xfId="4903" xr:uid="{00000000-0005-0000-0000-0000F00B0000}"/>
    <cellStyle name="Ввод  3 3 9 8" xfId="5384" xr:uid="{00000000-0005-0000-0000-0000F10B0000}"/>
    <cellStyle name="Ввод  3 4" xfId="1055" xr:uid="{00000000-0005-0000-0000-0000F20B0000}"/>
    <cellStyle name="Ввод  3 4 2" xfId="1106" xr:uid="{00000000-0005-0000-0000-0000F30B0000}"/>
    <cellStyle name="Ввод  3 4 2 2" xfId="21016" xr:uid="{00000000-0005-0000-0000-0000F40B0000}"/>
    <cellStyle name="Ввод  3 4 2 2 2" xfId="37776" xr:uid="{68130DB0-4B19-4B4B-8731-B70F3E5A2F96}"/>
    <cellStyle name="Ввод  3 4 2 3" xfId="5787" xr:uid="{00000000-0005-0000-0000-0000F50B0000}"/>
    <cellStyle name="Ввод  3 4 2 4" xfId="23684" xr:uid="{DFA50ACA-4B75-4CE4-8434-262A2C04233A}"/>
    <cellStyle name="Ввод  3 4 3" xfId="1836" xr:uid="{00000000-0005-0000-0000-0000F60B0000}"/>
    <cellStyle name="Ввод  3 4 3 2" xfId="21756" xr:uid="{00000000-0005-0000-0000-0000F70B0000}"/>
    <cellStyle name="Ввод  3 4 3 2 2" xfId="38366" xr:uid="{A62F14D5-0AC5-415B-A7F0-B42F40853E02}"/>
    <cellStyle name="Ввод  3 4 3 3" xfId="6672" xr:uid="{00000000-0005-0000-0000-0000F80B0000}"/>
    <cellStyle name="Ввод  3 4 3 4" xfId="24299" xr:uid="{65F59713-B3E3-409A-8E5A-92EBC0D86EEE}"/>
    <cellStyle name="Ввод  3 4 4" xfId="2486" xr:uid="{00000000-0005-0000-0000-0000F90B0000}"/>
    <cellStyle name="Ввод  3 4 4 2" xfId="22776" xr:uid="{00000000-0005-0000-0000-0000FA0B0000}"/>
    <cellStyle name="Ввод  3 4 4 3" xfId="39244" xr:uid="{7B83AC8D-741F-4151-9BE6-3F26094804E7}"/>
    <cellStyle name="Ввод  3 4 5" xfId="3187" xr:uid="{00000000-0005-0000-0000-0000FB0B0000}"/>
    <cellStyle name="Ввод  3 4 5 2" xfId="23194" xr:uid="{00000000-0005-0000-0000-0000FC0B0000}"/>
    <cellStyle name="Ввод  3 4 5 3" xfId="39621" xr:uid="{5E495FEC-0F85-40E2-ABA8-D5F9D0BFAD92}"/>
    <cellStyle name="Ввод  3 4 6" xfId="3207" xr:uid="{00000000-0005-0000-0000-0000FD0B0000}"/>
    <cellStyle name="Ввод  3 4 6 2" xfId="14099" xr:uid="{00000000-0005-0000-0000-0000FE0B0000}"/>
    <cellStyle name="Ввод  3 4 7" xfId="4420" xr:uid="{00000000-0005-0000-0000-0000FF0B0000}"/>
    <cellStyle name="Ввод  3 4 8" xfId="4931" xr:uid="{00000000-0005-0000-0000-0000000C0000}"/>
    <cellStyle name="Ввод  3 5" xfId="870" xr:uid="{00000000-0005-0000-0000-0000010C0000}"/>
    <cellStyle name="Ввод  3 5 2" xfId="22551" xr:uid="{00000000-0005-0000-0000-0000020C0000}"/>
    <cellStyle name="Ввод  3 5 2 2" xfId="39030" xr:uid="{48617BF4-329D-4328-9B7D-C0860CD151B3}"/>
    <cellStyle name="Ввод  3 5 3" xfId="5563" xr:uid="{00000000-0005-0000-0000-0000030C0000}"/>
    <cellStyle name="Ввод  3 5 4" xfId="23598" xr:uid="{9ABB1291-2B47-4EB6-A920-2210C3FCF66C}"/>
    <cellStyle name="Ввод  3 6" xfId="1855" xr:uid="{00000000-0005-0000-0000-0000040C0000}"/>
    <cellStyle name="Ввод  3 6 2" xfId="5527" xr:uid="{00000000-0005-0000-0000-0000050C0000}"/>
    <cellStyle name="Ввод  3 6 3" xfId="23589" xr:uid="{46564CE6-21DB-4D5F-B05B-04AA383A5327}"/>
    <cellStyle name="Ввод  3 7" xfId="2725" xr:uid="{00000000-0005-0000-0000-0000060C0000}"/>
    <cellStyle name="Ввод  3 7 2" xfId="7225" xr:uid="{00000000-0005-0000-0000-0000070C0000}"/>
    <cellStyle name="Ввод  3 7 3" xfId="24823" xr:uid="{4BF41BA4-05DF-4D82-A99F-B64E82CFB06B}"/>
    <cellStyle name="Ввод  3 8" xfId="3066" xr:uid="{00000000-0005-0000-0000-0000080C0000}"/>
    <cellStyle name="Ввод  3 9" xfId="3387" xr:uid="{00000000-0005-0000-0000-0000090C0000}"/>
    <cellStyle name="Ввод  4" xfId="39" xr:uid="{00000000-0005-0000-0000-00000A0C0000}"/>
    <cellStyle name="Ввод  4 10" xfId="657" xr:uid="{00000000-0005-0000-0000-00000B0C0000}"/>
    <cellStyle name="Ввод  4 10 2" xfId="1489" xr:uid="{00000000-0005-0000-0000-00000C0C0000}"/>
    <cellStyle name="Ввод  4 10 2 2" xfId="21482" xr:uid="{00000000-0005-0000-0000-00000D0C0000}"/>
    <cellStyle name="Ввод  4 10 2 2 2" xfId="38124" xr:uid="{199A67AE-D3AD-4C9B-8BC6-1F6F71B89A9A}"/>
    <cellStyle name="Ввод  4 10 2 3" xfId="6245" xr:uid="{00000000-0005-0000-0000-00000E0C0000}"/>
    <cellStyle name="Ввод  4 10 2 4" xfId="24032" xr:uid="{24BCE0A7-7936-4799-9A7E-4AF6C110F28F}"/>
    <cellStyle name="Ввод  4 10 3" xfId="2274" xr:uid="{00000000-0005-0000-0000-00000F0C0000}"/>
    <cellStyle name="Ввод  4 10 3 2" xfId="22104" xr:uid="{00000000-0005-0000-0000-0000100C0000}"/>
    <cellStyle name="Ввод  4 10 3 2 2" xfId="38714" xr:uid="{1A76B72E-C454-49E0-939D-1428B6E07DBE}"/>
    <cellStyle name="Ввод  4 10 3 3" xfId="7014" xr:uid="{00000000-0005-0000-0000-0000110C0000}"/>
    <cellStyle name="Ввод  4 10 3 4" xfId="24641" xr:uid="{BD36F40B-596F-4EAC-A317-CE8D062BF5E3}"/>
    <cellStyle name="Ввод  4 10 4" xfId="2897" xr:uid="{00000000-0005-0000-0000-0000120C0000}"/>
    <cellStyle name="Ввод  4 10 4 2" xfId="23014" xr:uid="{00000000-0005-0000-0000-0000130C0000}"/>
    <cellStyle name="Ввод  4 10 4 3" xfId="39480" xr:uid="{247E6C5B-E68D-4D30-94D7-26D91079BFAE}"/>
    <cellStyle name="Ввод  4 10 5" xfId="3650" xr:uid="{00000000-0005-0000-0000-0000140C0000}"/>
    <cellStyle name="Ввод  4 10 5 2" xfId="23354" xr:uid="{00000000-0005-0000-0000-0000150C0000}"/>
    <cellStyle name="Ввод  4 10 5 3" xfId="39781" xr:uid="{41B88C13-990D-406E-A961-6615EFC6261D}"/>
    <cellStyle name="Ввод  4 10 6" xfId="4217" xr:uid="{00000000-0005-0000-0000-0000160C0000}"/>
    <cellStyle name="Ввод  4 10 6 2" xfId="20875" xr:uid="{00000000-0005-0000-0000-0000170C0000}"/>
    <cellStyle name="Ввод  4 10 6 3" xfId="37665" xr:uid="{69D49349-C451-48AF-9CD0-C2512B8FEE5F}"/>
    <cellStyle name="Ввод  4 10 7" xfId="4739" xr:uid="{00000000-0005-0000-0000-0000180C0000}"/>
    <cellStyle name="Ввод  4 10 8" xfId="5221" xr:uid="{00000000-0005-0000-0000-0000190C0000}"/>
    <cellStyle name="Ввод  4 11" xfId="740" xr:uid="{00000000-0005-0000-0000-00001A0C0000}"/>
    <cellStyle name="Ввод  4 11 2" xfId="1570" xr:uid="{00000000-0005-0000-0000-00001B0C0000}"/>
    <cellStyle name="Ввод  4 11 2 2" xfId="22185" xr:uid="{00000000-0005-0000-0000-00001C0C0000}"/>
    <cellStyle name="Ввод  4 11 2 2 2" xfId="38795" xr:uid="{B349974A-A69A-4F67-889A-77E170756F15}"/>
    <cellStyle name="Ввод  4 11 2 3" xfId="6326" xr:uid="{00000000-0005-0000-0000-00001D0C0000}"/>
    <cellStyle name="Ввод  4 11 2 4" xfId="24113" xr:uid="{7DF68674-8D0F-4128-9BB2-D648DCA8786A}"/>
    <cellStyle name="Ввод  4 11 3" xfId="1870" xr:uid="{00000000-0005-0000-0000-00001E0C0000}"/>
    <cellStyle name="Ввод  4 11 3 2" xfId="23110" xr:uid="{00000000-0005-0000-0000-00001F0C0000}"/>
    <cellStyle name="Ввод  4 11 3 2 2" xfId="39576" xr:uid="{9F88DB75-5BE5-44AF-8E43-297214CEEFB2}"/>
    <cellStyle name="Ввод  4 11 3 3" xfId="7095" xr:uid="{00000000-0005-0000-0000-0000200C0000}"/>
    <cellStyle name="Ввод  4 11 3 4" xfId="24722" xr:uid="{B4BFB359-3774-4991-B0CC-AD1320298FFB}"/>
    <cellStyle name="Ввод  4 11 4" xfId="2382" xr:uid="{00000000-0005-0000-0000-0000210C0000}"/>
    <cellStyle name="Ввод  4 11 4 2" xfId="23389" xr:uid="{00000000-0005-0000-0000-0000220C0000}"/>
    <cellStyle name="Ввод  4 11 4 3" xfId="39816" xr:uid="{E7FCD766-5B7A-4EBF-8E44-A3C03D63CCDD}"/>
    <cellStyle name="Ввод  4 11 5" xfId="3846" xr:uid="{00000000-0005-0000-0000-0000230C0000}"/>
    <cellStyle name="Ввод  4 11 5 2" xfId="21563" xr:uid="{00000000-0005-0000-0000-0000240C0000}"/>
    <cellStyle name="Ввод  4 11 5 3" xfId="38205" xr:uid="{D635FBEE-F567-4F82-B9A1-D5C3C3B21F0D}"/>
    <cellStyle name="Ввод  4 11 6" xfId="4299" xr:uid="{00000000-0005-0000-0000-0000250C0000}"/>
    <cellStyle name="Ввод  4 11 7" xfId="4821" xr:uid="{00000000-0005-0000-0000-0000260C0000}"/>
    <cellStyle name="Ввод  4 11 8" xfId="5302" xr:uid="{00000000-0005-0000-0000-0000270C0000}"/>
    <cellStyle name="Ввод  4 12" xfId="864" xr:uid="{00000000-0005-0000-0000-0000280C0000}"/>
    <cellStyle name="Ввод  4 12 2" xfId="1960" xr:uid="{00000000-0005-0000-0000-0000290C0000}"/>
    <cellStyle name="Ввод  4 12 2 2" xfId="21751" xr:uid="{00000000-0005-0000-0000-00002A0C0000}"/>
    <cellStyle name="Ввод  4 12 2 2 2" xfId="38361" xr:uid="{93293303-2E26-477C-B4EC-74B399C01BC0}"/>
    <cellStyle name="Ввод  4 12 2 3" xfId="5754" xr:uid="{00000000-0005-0000-0000-00002B0C0000}"/>
    <cellStyle name="Ввод  4 12 2 4" xfId="23678" xr:uid="{F8BAACCE-103A-4051-9CEC-C77DA6E1741D}"/>
    <cellStyle name="Ввод  4 12 3" xfId="2400" xr:uid="{00000000-0005-0000-0000-00002C0C0000}"/>
    <cellStyle name="Ввод  4 12 3 2" xfId="22690" xr:uid="{00000000-0005-0000-0000-00002D0C0000}"/>
    <cellStyle name="Ввод  4 12 3 2 2" xfId="39162" xr:uid="{4512E97C-9EF5-4B5D-A808-EE1B334507D9}"/>
    <cellStyle name="Ввод  4 12 3 3" xfId="6667" xr:uid="{00000000-0005-0000-0000-00002E0C0000}"/>
    <cellStyle name="Ввод  4 12 3 4" xfId="24294" xr:uid="{0C86DC56-33A2-4105-B809-143BF41A3380}"/>
    <cellStyle name="Ввод  4 12 4" xfId="3396" xr:uid="{00000000-0005-0000-0000-00002F0C0000}"/>
    <cellStyle name="Ввод  4 12 4 2" xfId="23192" xr:uid="{00000000-0005-0000-0000-0000300C0000}"/>
    <cellStyle name="Ввод  4 12 4 3" xfId="39619" xr:uid="{B7DEBE7C-9564-4A25-B1A5-196E3E4A159C}"/>
    <cellStyle name="Ввод  4 12 5" xfId="3060" xr:uid="{00000000-0005-0000-0000-0000310C0000}"/>
    <cellStyle name="Ввод  4 12 5 2" xfId="20996" xr:uid="{00000000-0005-0000-0000-0000320C0000}"/>
    <cellStyle name="Ввод  4 12 5 3" xfId="37771" xr:uid="{01EEAE1A-59FF-4F54-9C45-888D94A879E9}"/>
    <cellStyle name="Ввод  4 12 6" xfId="3169" xr:uid="{00000000-0005-0000-0000-0000330C0000}"/>
    <cellStyle name="Ввод  4 12 7" xfId="3407" xr:uid="{00000000-0005-0000-0000-0000340C0000}"/>
    <cellStyle name="Ввод  4 13" xfId="1826" xr:uid="{00000000-0005-0000-0000-0000350C0000}"/>
    <cellStyle name="Ввод  4 13 2" xfId="20940" xr:uid="{00000000-0005-0000-0000-0000360C0000}"/>
    <cellStyle name="Ввод  4 13 2 2" xfId="37717" xr:uid="{CE9E3942-8149-4EA9-8945-37184732B905}"/>
    <cellStyle name="Ввод  4 13 3" xfId="5628" xr:uid="{00000000-0005-0000-0000-0000370C0000}"/>
    <cellStyle name="Ввод  4 13 4" xfId="23621" xr:uid="{13DCFF4B-CCD0-4C77-A74C-A490163C81A1}"/>
    <cellStyle name="Ввод  4 14" xfId="2614" xr:uid="{00000000-0005-0000-0000-0000380C0000}"/>
    <cellStyle name="Ввод  4 14 2" xfId="21697" xr:uid="{00000000-0005-0000-0000-0000390C0000}"/>
    <cellStyle name="Ввод  4 14 2 2" xfId="38307" xr:uid="{69336ACD-8B74-4DD1-AEA3-FF69CA7D2180}"/>
    <cellStyle name="Ввод  4 14 3" xfId="6615" xr:uid="{00000000-0005-0000-0000-00003A0C0000}"/>
    <cellStyle name="Ввод  4 14 4" xfId="24242" xr:uid="{87C49588-5C0A-4311-9A38-4ECFD7A45ACC}"/>
    <cellStyle name="Ввод  4 15" xfId="3774" xr:uid="{00000000-0005-0000-0000-00003B0C0000}"/>
    <cellStyle name="Ввод  4 15 2" xfId="23038" xr:uid="{00000000-0005-0000-0000-00003C0C0000}"/>
    <cellStyle name="Ввод  4 15 3" xfId="39504" xr:uid="{4A6A3118-BE2F-4192-86F1-015CF23061AC}"/>
    <cellStyle name="Ввод  4 16" xfId="3162" xr:uid="{00000000-0005-0000-0000-00003D0C0000}"/>
    <cellStyle name="Ввод  4 16 2" xfId="23162" xr:uid="{00000000-0005-0000-0000-00003E0C0000}"/>
    <cellStyle name="Ввод  4 16 3" xfId="39602" xr:uid="{CCD50453-A4AE-4DCD-9C8B-B08CC0EBFF68}"/>
    <cellStyle name="Ввод  4 17" xfId="3937" xr:uid="{00000000-0005-0000-0000-00003F0C0000}"/>
    <cellStyle name="Ввод  4 17 2" xfId="7307" xr:uid="{00000000-0005-0000-0000-0000400C0000}"/>
    <cellStyle name="Ввод  4 17 3" xfId="24840" xr:uid="{313C281E-4F7E-4628-B0A1-99260D7A3742}"/>
    <cellStyle name="Ввод  4 18" xfId="4469" xr:uid="{00000000-0005-0000-0000-0000410C0000}"/>
    <cellStyle name="Ввод  4 2" xfId="242" xr:uid="{00000000-0005-0000-0000-0000420C0000}"/>
    <cellStyle name="Ввод  4 2 2" xfId="974" xr:uid="{00000000-0005-0000-0000-0000430C0000}"/>
    <cellStyle name="Ввод  4 2 2 2" xfId="21105" xr:uid="{00000000-0005-0000-0000-0000440C0000}"/>
    <cellStyle name="Ввод  4 2 2 2 2" xfId="37829" xr:uid="{CECFFEB2-67C5-4028-8A67-5093E07E7B3D}"/>
    <cellStyle name="Ввод  4 2 2 3" xfId="5881" xr:uid="{00000000-0005-0000-0000-0000450C0000}"/>
    <cellStyle name="Ввод  4 2 2 4" xfId="23737" xr:uid="{E627A8DB-AD83-4256-9C96-A7991ED9DC62}"/>
    <cellStyle name="Ввод  4 2 3" xfId="2056" xr:uid="{00000000-0005-0000-0000-0000460C0000}"/>
    <cellStyle name="Ввод  4 2 3 2" xfId="21809" xr:uid="{00000000-0005-0000-0000-0000470C0000}"/>
    <cellStyle name="Ввод  4 2 3 2 2" xfId="38419" xr:uid="{654BCFA4-3C1E-4E1E-91AE-9E41707046E6}"/>
    <cellStyle name="Ввод  4 2 3 3" xfId="6723" xr:uid="{00000000-0005-0000-0000-0000480C0000}"/>
    <cellStyle name="Ввод  4 2 3 4" xfId="24350" xr:uid="{12E504E8-53CA-4278-B250-B5A99D77171C}"/>
    <cellStyle name="Ввод  4 2 4" xfId="2846" xr:uid="{00000000-0005-0000-0000-0000490C0000}"/>
    <cellStyle name="Ввод  4 2 4 2" xfId="23051" xr:uid="{00000000-0005-0000-0000-00004A0C0000}"/>
    <cellStyle name="Ввод  4 2 4 3" xfId="39517" xr:uid="{E2E8842E-7824-43AE-80F3-41D3EE1C154D}"/>
    <cellStyle name="Ввод  4 2 5" xfId="3763" xr:uid="{00000000-0005-0000-0000-00004B0C0000}"/>
    <cellStyle name="Ввод  4 2 5 2" xfId="23218" xr:uid="{00000000-0005-0000-0000-00004C0C0000}"/>
    <cellStyle name="Ввод  4 2 5 3" xfId="39645" xr:uid="{C5E54853-DB33-4E4E-8481-038983F26488}"/>
    <cellStyle name="Ввод  4 2 6" xfId="3883" xr:uid="{00000000-0005-0000-0000-00004D0C0000}"/>
    <cellStyle name="Ввод  4 2 6 2" xfId="14024" xr:uid="{00000000-0005-0000-0000-00004E0C0000}"/>
    <cellStyle name="Ввод  4 2 6 3" xfId="31063" xr:uid="{3DCA239B-DCF5-4E3A-B3C6-BFFF56C17FB5}"/>
    <cellStyle name="Ввод  4 2 7" xfId="3425" xr:uid="{00000000-0005-0000-0000-00004F0C0000}"/>
    <cellStyle name="Ввод  4 2 8" xfId="3818" xr:uid="{00000000-0005-0000-0000-0000500C0000}"/>
    <cellStyle name="Ввод  4 3" xfId="247" xr:uid="{00000000-0005-0000-0000-0000510C0000}"/>
    <cellStyle name="Ввод  4 3 2" xfId="1153" xr:uid="{00000000-0005-0000-0000-0000520C0000}"/>
    <cellStyle name="Ввод  4 3 2 2" xfId="21110" xr:uid="{00000000-0005-0000-0000-0000530C0000}"/>
    <cellStyle name="Ввод  4 3 2 2 2" xfId="37834" xr:uid="{07C5B01A-818C-4F98-A449-5BD8D6647E3B}"/>
    <cellStyle name="Ввод  4 3 2 3" xfId="5886" xr:uid="{00000000-0005-0000-0000-0000540C0000}"/>
    <cellStyle name="Ввод  4 3 2 4" xfId="23742" xr:uid="{4E4A1019-4D4A-4E42-A486-83557D570CCB}"/>
    <cellStyle name="Ввод  4 3 3" xfId="2189" xr:uid="{00000000-0005-0000-0000-0000550C0000}"/>
    <cellStyle name="Ввод  4 3 3 2" xfId="21814" xr:uid="{00000000-0005-0000-0000-0000560C0000}"/>
    <cellStyle name="Ввод  4 3 3 2 2" xfId="38424" xr:uid="{0AC77C1A-58C3-4A4D-93B1-1F2E0128FC32}"/>
    <cellStyle name="Ввод  4 3 3 3" xfId="6728" xr:uid="{00000000-0005-0000-0000-0000570C0000}"/>
    <cellStyle name="Ввод  4 3 3 4" xfId="24355" xr:uid="{7E1F3CCF-E545-413A-AC37-475B94F26D05}"/>
    <cellStyle name="Ввод  4 3 4" xfId="2636" xr:uid="{00000000-0005-0000-0000-0000580C0000}"/>
    <cellStyle name="Ввод  4 3 4 2" xfId="22868" xr:uid="{00000000-0005-0000-0000-0000590C0000}"/>
    <cellStyle name="Ввод  4 3 4 3" xfId="39334" xr:uid="{50966F16-2C2A-4F11-8F39-11235888C5E8}"/>
    <cellStyle name="Ввод  4 3 5" xfId="3509" xr:uid="{00000000-0005-0000-0000-00005A0C0000}"/>
    <cellStyle name="Ввод  4 3 5 2" xfId="23220" xr:uid="{00000000-0005-0000-0000-00005B0C0000}"/>
    <cellStyle name="Ввод  4 3 5 3" xfId="39647" xr:uid="{CFF85BE3-9649-400D-A1DC-505FCFCFDC90}"/>
    <cellStyle name="Ввод  4 3 6" xfId="3888" xr:uid="{00000000-0005-0000-0000-00005C0C0000}"/>
    <cellStyle name="Ввод  4 3 6 2" xfId="20366" xr:uid="{00000000-0005-0000-0000-00005D0C0000}"/>
    <cellStyle name="Ввод  4 3 6 3" xfId="37301" xr:uid="{1EFAB690-7990-433C-B530-3AB052A9877B}"/>
    <cellStyle name="Ввод  4 3 7" xfId="4426" xr:uid="{00000000-0005-0000-0000-00005E0C0000}"/>
    <cellStyle name="Ввод  4 3 8" xfId="4935" xr:uid="{00000000-0005-0000-0000-00005F0C0000}"/>
    <cellStyle name="Ввод  4 4" xfId="426" xr:uid="{00000000-0005-0000-0000-0000600C0000}"/>
    <cellStyle name="Ввод  4 4 2" xfId="1258" xr:uid="{00000000-0005-0000-0000-0000610C0000}"/>
    <cellStyle name="Ввод  4 4 2 2" xfId="21251" xr:uid="{00000000-0005-0000-0000-0000620C0000}"/>
    <cellStyle name="Ввод  4 4 2 2 2" xfId="37893" xr:uid="{055B9A81-676D-4ED8-9051-5F8D3A01E8A3}"/>
    <cellStyle name="Ввод  4 4 2 3" xfId="6014" xr:uid="{00000000-0005-0000-0000-0000630C0000}"/>
    <cellStyle name="Ввод  4 4 2 4" xfId="23801" xr:uid="{6972747A-B784-44AE-99C3-45BAB59FA43A}"/>
    <cellStyle name="Ввод  4 4 3" xfId="1849" xr:uid="{00000000-0005-0000-0000-0000640C0000}"/>
    <cellStyle name="Ввод  4 4 3 2" xfId="21873" xr:uid="{00000000-0005-0000-0000-0000650C0000}"/>
    <cellStyle name="Ввод  4 4 3 2 2" xfId="38483" xr:uid="{5D1DD67D-799D-45A1-A630-95C5E7091F5F}"/>
    <cellStyle name="Ввод  4 4 3 3" xfId="6785" xr:uid="{00000000-0005-0000-0000-0000660C0000}"/>
    <cellStyle name="Ввод  4 4 3 4" xfId="24412" xr:uid="{FAFD8FD1-D16F-46B9-9D72-9E23725DC9DE}"/>
    <cellStyle name="Ввод  4 4 4" xfId="2749" xr:uid="{00000000-0005-0000-0000-0000670C0000}"/>
    <cellStyle name="Ввод  4 4 4 2" xfId="23002" xr:uid="{00000000-0005-0000-0000-0000680C0000}"/>
    <cellStyle name="Ввод  4 4 4 3" xfId="39468" xr:uid="{5EF8F5EF-D06A-408C-A9B8-B947A34F4E0D}"/>
    <cellStyle name="Ввод  4 4 5" xfId="3638" xr:uid="{00000000-0005-0000-0000-0000690C0000}"/>
    <cellStyle name="Ввод  4 4 5 2" xfId="23248" xr:uid="{00000000-0005-0000-0000-00006A0C0000}"/>
    <cellStyle name="Ввод  4 4 5 3" xfId="39675" xr:uid="{6FF0475B-BC8D-48E3-BDBC-4666C3FD9123}"/>
    <cellStyle name="Ввод  4 4 6" xfId="3987" xr:uid="{00000000-0005-0000-0000-00006B0C0000}"/>
    <cellStyle name="Ввод  4 4 6 2" xfId="20376" xr:uid="{00000000-0005-0000-0000-00006C0C0000}"/>
    <cellStyle name="Ввод  4 4 6 3" xfId="37311" xr:uid="{1C6D8C75-EBEB-48B9-ADA5-9686E2D8024F}"/>
    <cellStyle name="Ввод  4 4 7" xfId="4510" xr:uid="{00000000-0005-0000-0000-00006D0C0000}"/>
    <cellStyle name="Ввод  4 4 8" xfId="4992" xr:uid="{00000000-0005-0000-0000-00006E0C0000}"/>
    <cellStyle name="Ввод  4 5" xfId="420" xr:uid="{00000000-0005-0000-0000-00006F0C0000}"/>
    <cellStyle name="Ввод  4 5 2" xfId="1253" xr:uid="{00000000-0005-0000-0000-0000700C0000}"/>
    <cellStyle name="Ввод  4 5 2 2" xfId="21246" xr:uid="{00000000-0005-0000-0000-0000710C0000}"/>
    <cellStyle name="Ввод  4 5 2 2 2" xfId="37888" xr:uid="{E1716499-884D-4D88-A113-DAD11384CCC1}"/>
    <cellStyle name="Ввод  4 5 2 3" xfId="6009" xr:uid="{00000000-0005-0000-0000-0000720C0000}"/>
    <cellStyle name="Ввод  4 5 2 4" xfId="23796" xr:uid="{32C89F0D-F46F-45D1-A865-BB6112B188C0}"/>
    <cellStyle name="Ввод  4 5 3" xfId="2207" xr:uid="{00000000-0005-0000-0000-0000730C0000}"/>
    <cellStyle name="Ввод  4 5 3 2" xfId="21868" xr:uid="{00000000-0005-0000-0000-0000740C0000}"/>
    <cellStyle name="Ввод  4 5 3 2 2" xfId="38478" xr:uid="{A868462A-1B9A-418E-8381-3C3033232377}"/>
    <cellStyle name="Ввод  4 5 3 3" xfId="6782" xr:uid="{00000000-0005-0000-0000-0000750C0000}"/>
    <cellStyle name="Ввод  4 5 3 4" xfId="24409" xr:uid="{4F1F117A-07B2-4DE7-BC0E-A93147B6F415}"/>
    <cellStyle name="Ввод  4 5 4" xfId="2556" xr:uid="{00000000-0005-0000-0000-0000760C0000}"/>
    <cellStyle name="Ввод  4 5 4 2" xfId="22880" xr:uid="{00000000-0005-0000-0000-0000770C0000}"/>
    <cellStyle name="Ввод  4 5 4 3" xfId="39346" xr:uid="{418EE253-2F31-4847-B4F8-EF3176A815A6}"/>
    <cellStyle name="Ввод  4 5 5" xfId="3525" xr:uid="{00000000-0005-0000-0000-0000780C0000}"/>
    <cellStyle name="Ввод  4 5 5 2" xfId="23244" xr:uid="{00000000-0005-0000-0000-0000790C0000}"/>
    <cellStyle name="Ввод  4 5 5 3" xfId="39671" xr:uid="{D4BE9238-71B0-42AB-ACF3-5E5D04CA1017}"/>
    <cellStyle name="Ввод  4 5 6" xfId="3983" xr:uid="{00000000-0005-0000-0000-00007A0C0000}"/>
    <cellStyle name="Ввод  4 5 6 2" xfId="20560" xr:uid="{00000000-0005-0000-0000-00007B0C0000}"/>
    <cellStyle name="Ввод  4 5 6 3" xfId="37414" xr:uid="{3DEA8F46-581D-4F7E-BB6D-13CB57731CB8}"/>
    <cellStyle name="Ввод  4 5 7" xfId="4507" xr:uid="{00000000-0005-0000-0000-00007C0C0000}"/>
    <cellStyle name="Ввод  4 5 8" xfId="4989" xr:uid="{00000000-0005-0000-0000-00007D0C0000}"/>
    <cellStyle name="Ввод  4 6" xfId="527" xr:uid="{00000000-0005-0000-0000-00007E0C0000}"/>
    <cellStyle name="Ввод  4 6 2" xfId="1359" xr:uid="{00000000-0005-0000-0000-00007F0C0000}"/>
    <cellStyle name="Ввод  4 6 2 2" xfId="21352" xr:uid="{00000000-0005-0000-0000-0000800C0000}"/>
    <cellStyle name="Ввод  4 6 2 2 2" xfId="37994" xr:uid="{319F2510-D953-43DF-9ECC-79B2CD67760A}"/>
    <cellStyle name="Ввод  4 6 2 3" xfId="6115" xr:uid="{00000000-0005-0000-0000-0000810C0000}"/>
    <cellStyle name="Ввод  4 6 2 4" xfId="23902" xr:uid="{5A34AA8C-CA8A-4906-8FEB-9869660000FC}"/>
    <cellStyle name="Ввод  4 6 3" xfId="2161" xr:uid="{00000000-0005-0000-0000-0000820C0000}"/>
    <cellStyle name="Ввод  4 6 3 2" xfId="21974" xr:uid="{00000000-0005-0000-0000-0000830C0000}"/>
    <cellStyle name="Ввод  4 6 3 2 2" xfId="38584" xr:uid="{F86B37D6-5F01-4AEB-8788-349B6B3865D9}"/>
    <cellStyle name="Ввод  4 6 3 3" xfId="6884" xr:uid="{00000000-0005-0000-0000-0000840C0000}"/>
    <cellStyle name="Ввод  4 6 3 4" xfId="24511" xr:uid="{6557067E-07BA-4B2B-85AE-E8FE7EBA9408}"/>
    <cellStyle name="Ввод  4 6 4" xfId="2898" xr:uid="{00000000-0005-0000-0000-0000850C0000}"/>
    <cellStyle name="Ввод  4 6 4 2" xfId="22838" xr:uid="{00000000-0005-0000-0000-0000860C0000}"/>
    <cellStyle name="Ввод  4 6 4 3" xfId="39304" xr:uid="{EDBB038C-CAEA-4E32-B00B-03C75C1546E5}"/>
    <cellStyle name="Ввод  4 6 5" xfId="3434" xr:uid="{00000000-0005-0000-0000-0000870C0000}"/>
    <cellStyle name="Ввод  4 6 5 2" xfId="23296" xr:uid="{00000000-0005-0000-0000-0000880C0000}"/>
    <cellStyle name="Ввод  4 6 5 3" xfId="39723" xr:uid="{940DE952-2F62-4DE3-8AA9-67D8EC2BF24B}"/>
    <cellStyle name="Ввод  4 6 6" xfId="4087" xr:uid="{00000000-0005-0000-0000-0000890C0000}"/>
    <cellStyle name="Ввод  4 6 6 2" xfId="20556" xr:uid="{00000000-0005-0000-0000-00008A0C0000}"/>
    <cellStyle name="Ввод  4 6 6 3" xfId="37413" xr:uid="{DBABC230-2DF1-41B2-B5D7-4CB6E88D6E8B}"/>
    <cellStyle name="Ввод  4 6 7" xfId="4609" xr:uid="{00000000-0005-0000-0000-00008B0C0000}"/>
    <cellStyle name="Ввод  4 6 8" xfId="5091" xr:uid="{00000000-0005-0000-0000-00008C0C0000}"/>
    <cellStyle name="Ввод  4 7" xfId="579" xr:uid="{00000000-0005-0000-0000-00008D0C0000}"/>
    <cellStyle name="Ввод  4 7 2" xfId="1411" xr:uid="{00000000-0005-0000-0000-00008E0C0000}"/>
    <cellStyle name="Ввод  4 7 2 2" xfId="21404" xr:uid="{00000000-0005-0000-0000-00008F0C0000}"/>
    <cellStyle name="Ввод  4 7 2 2 2" xfId="38046" xr:uid="{AD00F1F3-0924-43E6-8C82-623F60405B65}"/>
    <cellStyle name="Ввод  4 7 2 3" xfId="6167" xr:uid="{00000000-0005-0000-0000-0000900C0000}"/>
    <cellStyle name="Ввод  4 7 2 4" xfId="23954" xr:uid="{A656F0AF-B316-4939-BD0E-D3696F27834C}"/>
    <cellStyle name="Ввод  4 7 3" xfId="2095" xr:uid="{00000000-0005-0000-0000-0000910C0000}"/>
    <cellStyle name="Ввод  4 7 3 2" xfId="22026" xr:uid="{00000000-0005-0000-0000-0000920C0000}"/>
    <cellStyle name="Ввод  4 7 3 2 2" xfId="38636" xr:uid="{9A4B3519-65E9-4AFA-8026-33B50E6C266C}"/>
    <cellStyle name="Ввод  4 7 3 3" xfId="6936" xr:uid="{00000000-0005-0000-0000-0000930C0000}"/>
    <cellStyle name="Ввод  4 7 3 4" xfId="24563" xr:uid="{391CE5B1-3592-4C7A-9E10-C8980E502528}"/>
    <cellStyle name="Ввод  4 7 4" xfId="2789" xr:uid="{00000000-0005-0000-0000-0000940C0000}"/>
    <cellStyle name="Ввод  4 7 4 2" xfId="22738" xr:uid="{00000000-0005-0000-0000-0000950C0000}"/>
    <cellStyle name="Ввод  4 7 4 3" xfId="39207" xr:uid="{8860778A-C7D3-421A-BD3A-B6BC327B4194}"/>
    <cellStyle name="Ввод  4 7 5" xfId="3254" xr:uid="{00000000-0005-0000-0000-0000960C0000}"/>
    <cellStyle name="Ввод  4 7 5 2" xfId="23320" xr:uid="{00000000-0005-0000-0000-0000970C0000}"/>
    <cellStyle name="Ввод  4 7 5 3" xfId="39747" xr:uid="{438F8D1C-12C8-43C7-821A-F097B08F192B}"/>
    <cellStyle name="Ввод  4 7 6" xfId="4139" xr:uid="{00000000-0005-0000-0000-0000980C0000}"/>
    <cellStyle name="Ввод  4 7 6 2" xfId="20680" xr:uid="{00000000-0005-0000-0000-0000990C0000}"/>
    <cellStyle name="Ввод  4 7 6 3" xfId="37509" xr:uid="{1E71EF60-F208-4D13-BFD3-9EB6FA9220DF}"/>
    <cellStyle name="Ввод  4 7 7" xfId="4661" xr:uid="{00000000-0005-0000-0000-00009A0C0000}"/>
    <cellStyle name="Ввод  4 7 8" xfId="5143" xr:uid="{00000000-0005-0000-0000-00009B0C0000}"/>
    <cellStyle name="Ввод  4 8" xfId="672" xr:uid="{00000000-0005-0000-0000-00009C0C0000}"/>
    <cellStyle name="Ввод  4 8 2" xfId="1502" xr:uid="{00000000-0005-0000-0000-00009D0C0000}"/>
    <cellStyle name="Ввод  4 8 2 2" xfId="21495" xr:uid="{00000000-0005-0000-0000-00009E0C0000}"/>
    <cellStyle name="Ввод  4 8 2 2 2" xfId="38137" xr:uid="{5973BEC7-76CE-402E-BC70-F9E7B10CBA34}"/>
    <cellStyle name="Ввод  4 8 2 3" xfId="6258" xr:uid="{00000000-0005-0000-0000-00009F0C0000}"/>
    <cellStyle name="Ввод  4 8 2 4" xfId="24045" xr:uid="{7965AA4D-BF47-45A1-A5A5-6FBCEFDB3349}"/>
    <cellStyle name="Ввод  4 8 3" xfId="2066" xr:uid="{00000000-0005-0000-0000-0000A00C0000}"/>
    <cellStyle name="Ввод  4 8 3 2" xfId="22117" xr:uid="{00000000-0005-0000-0000-0000A10C0000}"/>
    <cellStyle name="Ввод  4 8 3 2 2" xfId="38727" xr:uid="{5A76E98D-C8E7-44F8-8B76-332B311DBAF8}"/>
    <cellStyle name="Ввод  4 8 3 3" xfId="7027" xr:uid="{00000000-0005-0000-0000-0000A20C0000}"/>
    <cellStyle name="Ввод  4 8 3 4" xfId="24654" xr:uid="{DAD25045-658D-4594-8959-A1A2902C45B5}"/>
    <cellStyle name="Ввод  4 8 4" xfId="2851" xr:uid="{00000000-0005-0000-0000-0000A30C0000}"/>
    <cellStyle name="Ввод  4 8 4 2" xfId="22726" xr:uid="{00000000-0005-0000-0000-0000A40C0000}"/>
    <cellStyle name="Ввод  4 8 4 3" xfId="39195" xr:uid="{B7A2169F-D846-41C7-BCCF-994DE029BE32}"/>
    <cellStyle name="Ввод  4 8 5" xfId="3808" xr:uid="{00000000-0005-0000-0000-0000A50C0000}"/>
    <cellStyle name="Ввод  4 8 5 2" xfId="23357" xr:uid="{00000000-0005-0000-0000-0000A60C0000}"/>
    <cellStyle name="Ввод  4 8 5 3" xfId="39784" xr:uid="{2E1F8999-198F-465D-B755-BA74F63F62CA}"/>
    <cellStyle name="Ввод  4 8 6" xfId="4231" xr:uid="{00000000-0005-0000-0000-0000A70C0000}"/>
    <cellStyle name="Ввод  4 8 6 2" xfId="20745" xr:uid="{00000000-0005-0000-0000-0000A80C0000}"/>
    <cellStyle name="Ввод  4 8 6 3" xfId="37561" xr:uid="{031B6D32-0441-448A-8049-679F8564EDAF}"/>
    <cellStyle name="Ввод  4 8 7" xfId="4753" xr:uid="{00000000-0005-0000-0000-0000A90C0000}"/>
    <cellStyle name="Ввод  4 8 8" xfId="5234" xr:uid="{00000000-0005-0000-0000-0000AA0C0000}"/>
    <cellStyle name="Ввод  4 9" xfId="654" xr:uid="{00000000-0005-0000-0000-0000AB0C0000}"/>
    <cellStyle name="Ввод  4 9 2" xfId="1486" xr:uid="{00000000-0005-0000-0000-0000AC0C0000}"/>
    <cellStyle name="Ввод  4 9 2 2" xfId="21479" xr:uid="{00000000-0005-0000-0000-0000AD0C0000}"/>
    <cellStyle name="Ввод  4 9 2 2 2" xfId="38121" xr:uid="{92EB405B-2D1D-45EE-8599-87406FE2BE30}"/>
    <cellStyle name="Ввод  4 9 2 3" xfId="6242" xr:uid="{00000000-0005-0000-0000-0000AE0C0000}"/>
    <cellStyle name="Ввод  4 9 2 4" xfId="24029" xr:uid="{9357D21A-7BFE-40CB-8B35-51ACF174EA70}"/>
    <cellStyle name="Ввод  4 9 3" xfId="1832" xr:uid="{00000000-0005-0000-0000-0000AF0C0000}"/>
    <cellStyle name="Ввод  4 9 3 2" xfId="22101" xr:uid="{00000000-0005-0000-0000-0000B00C0000}"/>
    <cellStyle name="Ввод  4 9 3 2 2" xfId="38711" xr:uid="{AF489F66-54A8-4897-8932-C960EA22B36C}"/>
    <cellStyle name="Ввод  4 9 3 3" xfId="7011" xr:uid="{00000000-0005-0000-0000-0000B10C0000}"/>
    <cellStyle name="Ввод  4 9 3 4" xfId="24638" xr:uid="{FDD38F3C-DAE6-4070-A3B4-0534CF08D068}"/>
    <cellStyle name="Ввод  4 9 4" xfId="2677" xr:uid="{00000000-0005-0000-0000-0000B20C0000}"/>
    <cellStyle name="Ввод  4 9 4 2" xfId="23076" xr:uid="{00000000-0005-0000-0000-0000B30C0000}"/>
    <cellStyle name="Ввод  4 9 4 3" xfId="39542" xr:uid="{AEBE5274-9343-4563-ABAD-F4A7FBA0999C}"/>
    <cellStyle name="Ввод  4 9 5" xfId="3801" xr:uid="{00000000-0005-0000-0000-0000B40C0000}"/>
    <cellStyle name="Ввод  4 9 5 2" xfId="23352" xr:uid="{00000000-0005-0000-0000-0000B50C0000}"/>
    <cellStyle name="Ввод  4 9 5 3" xfId="39779" xr:uid="{6C77790A-0689-4C99-8D1B-630B57ADEF7A}"/>
    <cellStyle name="Ввод  4 9 6" xfId="4214" xr:uid="{00000000-0005-0000-0000-0000B60C0000}"/>
    <cellStyle name="Ввод  4 9 6 2" xfId="20810" xr:uid="{00000000-0005-0000-0000-0000B70C0000}"/>
    <cellStyle name="Ввод  4 9 6 3" xfId="37613" xr:uid="{038083BC-B131-4C34-B503-68EA318534CF}"/>
    <cellStyle name="Ввод  4 9 7" xfId="4736" xr:uid="{00000000-0005-0000-0000-0000B80C0000}"/>
    <cellStyle name="Ввод  4 9 8" xfId="5218" xr:uid="{00000000-0005-0000-0000-0000B90C0000}"/>
    <cellStyle name="Ввод  5" xfId="211" xr:uid="{00000000-0005-0000-0000-0000BA0C0000}"/>
    <cellStyle name="Ввод  5 10" xfId="645" xr:uid="{00000000-0005-0000-0000-0000BB0C0000}"/>
    <cellStyle name="Ввод  5 10 2" xfId="1477" xr:uid="{00000000-0005-0000-0000-0000BC0C0000}"/>
    <cellStyle name="Ввод  5 10 2 2" xfId="22092" xr:uid="{00000000-0005-0000-0000-0000BD0C0000}"/>
    <cellStyle name="Ввод  5 10 2 2 2" xfId="38702" xr:uid="{5C36E029-C71C-4F18-A181-DB9B02A95C0A}"/>
    <cellStyle name="Ввод  5 10 2 3" xfId="6233" xr:uid="{00000000-0005-0000-0000-0000BE0C0000}"/>
    <cellStyle name="Ввод  5 10 2 4" xfId="24020" xr:uid="{6D8B3DD3-66A9-403A-9B37-1CE7F964F9A3}"/>
    <cellStyle name="Ввод  5 10 3" xfId="2220" xr:uid="{00000000-0005-0000-0000-0000BF0C0000}"/>
    <cellStyle name="Ввод  5 10 3 2" xfId="22899" xr:uid="{00000000-0005-0000-0000-0000C00C0000}"/>
    <cellStyle name="Ввод  5 10 3 2 2" xfId="39365" xr:uid="{CA4A31BB-2495-4A6E-90DC-AC2EA2672049}"/>
    <cellStyle name="Ввод  5 10 3 3" xfId="7002" xr:uid="{00000000-0005-0000-0000-0000C10C0000}"/>
    <cellStyle name="Ввод  5 10 3 4" xfId="24629" xr:uid="{D5F8CD2A-BDD2-43F3-B5DA-3026E866EED7}"/>
    <cellStyle name="Ввод  5 10 4" xfId="2691" xr:uid="{00000000-0005-0000-0000-0000C20C0000}"/>
    <cellStyle name="Ввод  5 10 4 2" xfId="23350" xr:uid="{00000000-0005-0000-0000-0000C30C0000}"/>
    <cellStyle name="Ввод  5 10 4 3" xfId="39777" xr:uid="{6CDDD629-38BB-4EC7-B098-464080C60A6A}"/>
    <cellStyle name="Ввод  5 10 5" xfId="3546" xr:uid="{00000000-0005-0000-0000-0000C40C0000}"/>
    <cellStyle name="Ввод  5 10 5 2" xfId="21470" xr:uid="{00000000-0005-0000-0000-0000C50C0000}"/>
    <cellStyle name="Ввод  5 10 5 3" xfId="38112" xr:uid="{647EC70B-1A6F-4997-BC20-21DC1E4D6333}"/>
    <cellStyle name="Ввод  5 10 6" xfId="4205" xr:uid="{00000000-0005-0000-0000-0000C60C0000}"/>
    <cellStyle name="Ввод  5 10 7" xfId="4727" xr:uid="{00000000-0005-0000-0000-0000C70C0000}"/>
    <cellStyle name="Ввод  5 10 8" xfId="5209" xr:uid="{00000000-0005-0000-0000-0000C80C0000}"/>
    <cellStyle name="Ввод  5 11" xfId="1146" xr:uid="{00000000-0005-0000-0000-0000C90C0000}"/>
    <cellStyle name="Ввод  5 11 2" xfId="1919" xr:uid="{00000000-0005-0000-0000-0000CA0C0000}"/>
    <cellStyle name="Ввод  5 11 2 2" xfId="21779" xr:uid="{00000000-0005-0000-0000-0000CB0C0000}"/>
    <cellStyle name="Ввод  5 11 2 2 2" xfId="38389" xr:uid="{E973F73E-026B-4C4E-9A84-7672498E6D6C}"/>
    <cellStyle name="Ввод  5 11 2 3" xfId="5851" xr:uid="{00000000-0005-0000-0000-0000CC0C0000}"/>
    <cellStyle name="Ввод  5 11 2 4" xfId="23707" xr:uid="{EB48C538-DA28-40DC-9CAA-6675BEB3CF64}"/>
    <cellStyle name="Ввод  5 11 3" xfId="2570" xr:uid="{00000000-0005-0000-0000-0000CD0C0000}"/>
    <cellStyle name="Ввод  5 11 3 2" xfId="23036" xr:uid="{00000000-0005-0000-0000-0000CE0C0000}"/>
    <cellStyle name="Ввод  5 11 3 2 2" xfId="39502" xr:uid="{7C00F201-7EAB-4F0F-B558-CFF7555090D7}"/>
    <cellStyle name="Ввод  5 11 3 3" xfId="6695" xr:uid="{00000000-0005-0000-0000-0000CF0C0000}"/>
    <cellStyle name="Ввод  5 11 3 4" xfId="24322" xr:uid="{4846D923-F0AC-4737-B44A-F11077DB252A}"/>
    <cellStyle name="Ввод  5 11 4" xfId="3732" xr:uid="{00000000-0005-0000-0000-0000D00C0000}"/>
    <cellStyle name="Ввод  5 11 4 2" xfId="23204" xr:uid="{00000000-0005-0000-0000-0000D10C0000}"/>
    <cellStyle name="Ввод  5 11 4 3" xfId="39631" xr:uid="{22C92E9C-7F45-4DDD-9ED3-05B2603E5104}"/>
    <cellStyle name="Ввод  5 11 5" xfId="3096" xr:uid="{00000000-0005-0000-0000-0000D20C0000}"/>
    <cellStyle name="Ввод  5 11 5 2" xfId="21075" xr:uid="{00000000-0005-0000-0000-0000D30C0000}"/>
    <cellStyle name="Ввод  5 11 5 3" xfId="37799" xr:uid="{BA2F8FCD-6C1E-40F6-AD97-0AD365AB5F69}"/>
    <cellStyle name="Ввод  5 11 6" xfId="3976" xr:uid="{00000000-0005-0000-0000-0000D40C0000}"/>
    <cellStyle name="Ввод  5 11 7" xfId="4502" xr:uid="{00000000-0005-0000-0000-0000D50C0000}"/>
    <cellStyle name="Ввод  5 12" xfId="1074" xr:uid="{00000000-0005-0000-0000-0000D60C0000}"/>
    <cellStyle name="Ввод  5 12 2" xfId="20948" xr:uid="{00000000-0005-0000-0000-0000D70C0000}"/>
    <cellStyle name="Ввод  5 12 2 2" xfId="37725" xr:uid="{3585BBD1-666B-4009-B924-66DB97929B5B}"/>
    <cellStyle name="Ввод  5 12 3" xfId="5659" xr:uid="{00000000-0005-0000-0000-0000D80C0000}"/>
    <cellStyle name="Ввод  5 12 4" xfId="23629" xr:uid="{D837CB17-3CB5-461E-9450-26CBB6622F86}"/>
    <cellStyle name="Ввод  5 13" xfId="1904" xr:uid="{00000000-0005-0000-0000-0000D90C0000}"/>
    <cellStyle name="Ввод  5 13 2" xfId="21705" xr:uid="{00000000-0005-0000-0000-0000DA0C0000}"/>
    <cellStyle name="Ввод  5 13 2 2" xfId="38315" xr:uid="{7281ECAD-DD9C-41EC-ADA4-78ADEAF8FB95}"/>
    <cellStyle name="Ввод  5 13 3" xfId="6623" xr:uid="{00000000-0005-0000-0000-0000DB0C0000}"/>
    <cellStyle name="Ввод  5 13 4" xfId="24250" xr:uid="{5380CEAF-C554-4C7B-9EFE-C23131A66EB9}"/>
    <cellStyle name="Ввод  5 14" xfId="2609" xr:uid="{00000000-0005-0000-0000-0000DC0C0000}"/>
    <cellStyle name="Ввод  5 14 2" xfId="22553" xr:uid="{00000000-0005-0000-0000-0000DD0C0000}"/>
    <cellStyle name="Ввод  5 14 3" xfId="39032" xr:uid="{498867E9-2B02-4DE1-8B42-2DFD68CACBD8}"/>
    <cellStyle name="Ввод  5 15" xfId="3044" xr:uid="{00000000-0005-0000-0000-0000DE0C0000}"/>
    <cellStyle name="Ввод  5 15 2" xfId="23178" xr:uid="{00000000-0005-0000-0000-0000DF0C0000}"/>
    <cellStyle name="Ввод  5 15 3" xfId="39605" xr:uid="{17180A1F-62B4-4DAA-8995-E67D49D07ADA}"/>
    <cellStyle name="Ввод  5 16" xfId="2999" xr:uid="{00000000-0005-0000-0000-0000E00C0000}"/>
    <cellStyle name="Ввод  5 16 2" xfId="20382" xr:uid="{00000000-0005-0000-0000-0000E10C0000}"/>
    <cellStyle name="Ввод  5 16 3" xfId="37314" xr:uid="{1FC7EEED-DC6C-418A-914B-41EA464611FC}"/>
    <cellStyle name="Ввод  5 17" xfId="3909" xr:uid="{00000000-0005-0000-0000-0000E20C0000}"/>
    <cellStyle name="Ввод  5 18" xfId="4444" xr:uid="{00000000-0005-0000-0000-0000E30C0000}"/>
    <cellStyle name="Ввод  5 2" xfId="279" xr:uid="{00000000-0005-0000-0000-0000E40C0000}"/>
    <cellStyle name="Ввод  5 2 2" xfId="1183" xr:uid="{00000000-0005-0000-0000-0000E50C0000}"/>
    <cellStyle name="Ввод  5 2 2 2" xfId="21139" xr:uid="{00000000-0005-0000-0000-0000E60C0000}"/>
    <cellStyle name="Ввод  5 2 2 2 2" xfId="37842" xr:uid="{3168E4C3-F05C-4D6A-8355-62470498D048}"/>
    <cellStyle name="Ввод  5 2 2 3" xfId="5916" xr:uid="{00000000-0005-0000-0000-0000E70C0000}"/>
    <cellStyle name="Ввод  5 2 2 4" xfId="23750" xr:uid="{6CF676BF-CC4E-420D-B6C6-90F88A73C474}"/>
    <cellStyle name="Ввод  5 2 3" xfId="1825" xr:uid="{00000000-0005-0000-0000-0000E80C0000}"/>
    <cellStyle name="Ввод  5 2 3 2" xfId="21822" xr:uid="{00000000-0005-0000-0000-0000E90C0000}"/>
    <cellStyle name="Ввод  5 2 3 2 2" xfId="38432" xr:uid="{2062E75F-72C1-4004-AFE7-EAB86807BA26}"/>
    <cellStyle name="Ввод  5 2 3 3" xfId="6736" xr:uid="{00000000-0005-0000-0000-0000EA0C0000}"/>
    <cellStyle name="Ввод  5 2 3 4" xfId="24363" xr:uid="{89CECB06-6E2B-4DDA-8424-1706D4A382AC}"/>
    <cellStyle name="Ввод  5 2 4" xfId="2676" xr:uid="{00000000-0005-0000-0000-0000EB0C0000}"/>
    <cellStyle name="Ввод  5 2 4 2" xfId="23075" xr:uid="{00000000-0005-0000-0000-0000EC0C0000}"/>
    <cellStyle name="Ввод  5 2 4 3" xfId="39541" xr:uid="{A04EC25F-7A72-48EC-9108-9848A3F29129}"/>
    <cellStyle name="Ввод  5 2 5" xfId="3799" xr:uid="{00000000-0005-0000-0000-0000ED0C0000}"/>
    <cellStyle name="Ввод  5 2 5 2" xfId="23222" xr:uid="{00000000-0005-0000-0000-0000EE0C0000}"/>
    <cellStyle name="Ввод  5 2 5 3" xfId="39649" xr:uid="{9F544CF6-8CC5-46AB-8E85-BE1B72FC12B1}"/>
    <cellStyle name="Ввод  5 2 6" xfId="3908" xr:uid="{00000000-0005-0000-0000-0000EF0C0000}"/>
    <cellStyle name="Ввод  5 2 6 2" xfId="20469" xr:uid="{00000000-0005-0000-0000-0000F00C0000}"/>
    <cellStyle name="Ввод  5 2 6 3" xfId="37361" xr:uid="{00E7F9F3-911B-434A-AE2B-7BBDEC85CD92}"/>
    <cellStyle name="Ввод  5 2 7" xfId="4443" xr:uid="{00000000-0005-0000-0000-0000F10C0000}"/>
    <cellStyle name="Ввод  5 2 8" xfId="4943" xr:uid="{00000000-0005-0000-0000-0000F20C0000}"/>
    <cellStyle name="Ввод  5 3" xfId="436" xr:uid="{00000000-0005-0000-0000-0000F30C0000}"/>
    <cellStyle name="Ввод  5 3 2" xfId="1268" xr:uid="{00000000-0005-0000-0000-0000F40C0000}"/>
    <cellStyle name="Ввод  5 3 2 2" xfId="21261" xr:uid="{00000000-0005-0000-0000-0000F50C0000}"/>
    <cellStyle name="Ввод  5 3 2 2 2" xfId="37903" xr:uid="{0367ADA4-5C69-495F-BE7A-C9EE5049F5E1}"/>
    <cellStyle name="Ввод  5 3 2 3" xfId="6024" xr:uid="{00000000-0005-0000-0000-0000F60C0000}"/>
    <cellStyle name="Ввод  5 3 2 4" xfId="23811" xr:uid="{FDD816ED-83AE-4F77-B681-859C77BB111A}"/>
    <cellStyle name="Ввод  5 3 3" xfId="2266" xr:uid="{00000000-0005-0000-0000-0000F70C0000}"/>
    <cellStyle name="Ввод  5 3 3 2" xfId="21883" xr:uid="{00000000-0005-0000-0000-0000F80C0000}"/>
    <cellStyle name="Ввод  5 3 3 2 2" xfId="38493" xr:uid="{1D30804B-C2A9-413C-93B0-E7BEBAF91EE1}"/>
    <cellStyle name="Ввод  5 3 3 3" xfId="6795" xr:uid="{00000000-0005-0000-0000-0000F90C0000}"/>
    <cellStyle name="Ввод  5 3 3 4" xfId="24422" xr:uid="{08F2A7AD-959D-40DE-9505-50933853D305}"/>
    <cellStyle name="Ввод  5 3 4" xfId="2707" xr:uid="{00000000-0005-0000-0000-0000FA0C0000}"/>
    <cellStyle name="Ввод  5 3 4 2" xfId="22704" xr:uid="{00000000-0005-0000-0000-0000FB0C0000}"/>
    <cellStyle name="Ввод  5 3 4 3" xfId="39175" xr:uid="{BFA70586-5C26-4520-A02F-DEFF1DF2F4D8}"/>
    <cellStyle name="Ввод  5 3 5" xfId="3825" xr:uid="{00000000-0005-0000-0000-0000FC0C0000}"/>
    <cellStyle name="Ввод  5 3 5 2" xfId="23250" xr:uid="{00000000-0005-0000-0000-0000FD0C0000}"/>
    <cellStyle name="Ввод  5 3 5 3" xfId="39677" xr:uid="{B8D4BE16-0A8F-4AC0-B66C-B536F2B5348B}"/>
    <cellStyle name="Ввод  5 3 6" xfId="3997" xr:uid="{00000000-0005-0000-0000-0000FE0C0000}"/>
    <cellStyle name="Ввод  5 3 6 2" xfId="20574" xr:uid="{00000000-0005-0000-0000-0000FF0C0000}"/>
    <cellStyle name="Ввод  5 3 6 3" xfId="37427" xr:uid="{2621F609-2BD5-4F67-B885-4C2F71250535}"/>
    <cellStyle name="Ввод  5 3 7" xfId="4520" xr:uid="{00000000-0005-0000-0000-0000000D0000}"/>
    <cellStyle name="Ввод  5 3 8" xfId="5002" xr:uid="{00000000-0005-0000-0000-0000010D0000}"/>
    <cellStyle name="Ввод  5 4" xfId="483" xr:uid="{00000000-0005-0000-0000-0000020D0000}"/>
    <cellStyle name="Ввод  5 4 2" xfId="1315" xr:uid="{00000000-0005-0000-0000-0000030D0000}"/>
    <cellStyle name="Ввод  5 4 2 2" xfId="21308" xr:uid="{00000000-0005-0000-0000-0000040D0000}"/>
    <cellStyle name="Ввод  5 4 2 2 2" xfId="37950" xr:uid="{E952193A-C75C-48AD-870F-211F05D351CA}"/>
    <cellStyle name="Ввод  5 4 2 3" xfId="6071" xr:uid="{00000000-0005-0000-0000-0000050D0000}"/>
    <cellStyle name="Ввод  5 4 2 4" xfId="23858" xr:uid="{3FD50BCE-2DAF-40B3-B587-19B52264141C}"/>
    <cellStyle name="Ввод  5 4 3" xfId="1884" xr:uid="{00000000-0005-0000-0000-0000060D0000}"/>
    <cellStyle name="Ввод  5 4 3 2" xfId="21930" xr:uid="{00000000-0005-0000-0000-0000070D0000}"/>
    <cellStyle name="Ввод  5 4 3 2 2" xfId="38540" xr:uid="{BD89F065-8593-4DA2-B268-2C10AE8B82DB}"/>
    <cellStyle name="Ввод  5 4 3 3" xfId="6840" xr:uid="{00000000-0005-0000-0000-0000080D0000}"/>
    <cellStyle name="Ввод  5 4 3 4" xfId="24467" xr:uid="{7986F27A-2020-4E86-8B12-521181BF6BCF}"/>
    <cellStyle name="Ввод  5 4 4" xfId="2668" xr:uid="{00000000-0005-0000-0000-0000090D0000}"/>
    <cellStyle name="Ввод  5 4 4 2" xfId="22504" xr:uid="{00000000-0005-0000-0000-00000A0D0000}"/>
    <cellStyle name="Ввод  5 4 4 3" xfId="38996" xr:uid="{6D5C8AB6-33F9-4CE4-B967-24055005CB26}"/>
    <cellStyle name="Ввод  5 4 5" xfId="3681" xr:uid="{00000000-0005-0000-0000-00000B0D0000}"/>
    <cellStyle name="Ввод  5 4 5 2" xfId="23274" xr:uid="{00000000-0005-0000-0000-00000C0D0000}"/>
    <cellStyle name="Ввод  5 4 5 3" xfId="39701" xr:uid="{E85BD468-10BD-4CE1-9081-21586EC6A1EB}"/>
    <cellStyle name="Ввод  5 4 6" xfId="4043" xr:uid="{00000000-0005-0000-0000-00000D0D0000}"/>
    <cellStyle name="Ввод  5 4 6 2" xfId="20542" xr:uid="{00000000-0005-0000-0000-00000E0D0000}"/>
    <cellStyle name="Ввод  5 4 6 3" xfId="37408" xr:uid="{9E827199-2E48-4A1A-8CC1-DAA08DA057AC}"/>
    <cellStyle name="Ввод  5 4 7" xfId="4565" xr:uid="{00000000-0005-0000-0000-00000F0D0000}"/>
    <cellStyle name="Ввод  5 4 8" xfId="5047" xr:uid="{00000000-0005-0000-0000-0000100D0000}"/>
    <cellStyle name="Ввод  5 5" xfId="535" xr:uid="{00000000-0005-0000-0000-0000110D0000}"/>
    <cellStyle name="Ввод  5 5 2" xfId="1367" xr:uid="{00000000-0005-0000-0000-0000120D0000}"/>
    <cellStyle name="Ввод  5 5 2 2" xfId="21360" xr:uid="{00000000-0005-0000-0000-0000130D0000}"/>
    <cellStyle name="Ввод  5 5 2 2 2" xfId="38002" xr:uid="{313C17EF-3DFF-46AB-A8E7-C2209CBDB017}"/>
    <cellStyle name="Ввод  5 5 2 3" xfId="6123" xr:uid="{00000000-0005-0000-0000-0000140D0000}"/>
    <cellStyle name="Ввод  5 5 2 4" xfId="23910" xr:uid="{A9E8387F-EF88-4531-BC76-40C30E608096}"/>
    <cellStyle name="Ввод  5 5 3" xfId="1928" xr:uid="{00000000-0005-0000-0000-0000150D0000}"/>
    <cellStyle name="Ввод  5 5 3 2" xfId="21982" xr:uid="{00000000-0005-0000-0000-0000160D0000}"/>
    <cellStyle name="Ввод  5 5 3 2 2" xfId="38592" xr:uid="{2080110E-AA98-4031-855A-8B960378E998}"/>
    <cellStyle name="Ввод  5 5 3 3" xfId="6892" xr:uid="{00000000-0005-0000-0000-0000170D0000}"/>
    <cellStyle name="Ввод  5 5 3 4" xfId="24519" xr:uid="{DE2CFA9A-1873-46EF-99F1-7115D98F012C}"/>
    <cellStyle name="Ввод  5 5 4" xfId="2734" xr:uid="{00000000-0005-0000-0000-0000180D0000}"/>
    <cellStyle name="Ввод  5 5 4 2" xfId="23028" xr:uid="{00000000-0005-0000-0000-0000190D0000}"/>
    <cellStyle name="Ввод  5 5 4 3" xfId="39494" xr:uid="{801D59FD-BF33-4EB1-A087-A63F8979D79F}"/>
    <cellStyle name="Ввод  5 5 5" xfId="3718" xr:uid="{00000000-0005-0000-0000-00001A0D0000}"/>
    <cellStyle name="Ввод  5 5 5 2" xfId="23298" xr:uid="{00000000-0005-0000-0000-00001B0D0000}"/>
    <cellStyle name="Ввод  5 5 5 3" xfId="39725" xr:uid="{304EB1A0-A80A-405A-AC53-56942F9BBCC6}"/>
    <cellStyle name="Ввод  5 5 6" xfId="4095" xr:uid="{00000000-0005-0000-0000-00001C0D0000}"/>
    <cellStyle name="Ввод  5 5 6 2" xfId="20688" xr:uid="{00000000-0005-0000-0000-00001D0D0000}"/>
    <cellStyle name="Ввод  5 5 6 3" xfId="37517" xr:uid="{DFF2D655-A9E2-4E91-8D24-D01989E3FCC7}"/>
    <cellStyle name="Ввод  5 5 7" xfId="4617" xr:uid="{00000000-0005-0000-0000-00001E0D0000}"/>
    <cellStyle name="Ввод  5 5 8" xfId="5099" xr:uid="{00000000-0005-0000-0000-00001F0D0000}"/>
    <cellStyle name="Ввод  5 6" xfId="587" xr:uid="{00000000-0005-0000-0000-0000200D0000}"/>
    <cellStyle name="Ввод  5 6 2" xfId="1419" xr:uid="{00000000-0005-0000-0000-0000210D0000}"/>
    <cellStyle name="Ввод  5 6 2 2" xfId="21412" xr:uid="{00000000-0005-0000-0000-0000220D0000}"/>
    <cellStyle name="Ввод  5 6 2 2 2" xfId="38054" xr:uid="{22CB477B-C80D-4914-9894-2159DC4ED413}"/>
    <cellStyle name="Ввод  5 6 2 3" xfId="6175" xr:uid="{00000000-0005-0000-0000-0000230D0000}"/>
    <cellStyle name="Ввод  5 6 2 4" xfId="23962" xr:uid="{D4CF0CE7-5CD3-403E-BF2B-73280842535C}"/>
    <cellStyle name="Ввод  5 6 3" xfId="1922" xr:uid="{00000000-0005-0000-0000-0000240D0000}"/>
    <cellStyle name="Ввод  5 6 3 2" xfId="22034" xr:uid="{00000000-0005-0000-0000-0000250D0000}"/>
    <cellStyle name="Ввод  5 6 3 2 2" xfId="38644" xr:uid="{84F1D489-B5BA-4A0E-8634-1430057620CB}"/>
    <cellStyle name="Ввод  5 6 3 3" xfId="6944" xr:uid="{00000000-0005-0000-0000-0000260D0000}"/>
    <cellStyle name="Ввод  5 6 3 4" xfId="24571" xr:uid="{A2B7C840-1D83-478F-87B4-436FC269DBD5}"/>
    <cellStyle name="Ввод  5 6 4" xfId="2568" xr:uid="{00000000-0005-0000-0000-0000270D0000}"/>
    <cellStyle name="Ввод  5 6 4 2" xfId="23035" xr:uid="{00000000-0005-0000-0000-0000280D0000}"/>
    <cellStyle name="Ввод  5 6 4 3" xfId="39501" xr:uid="{76122341-3277-48D8-9710-16D442746595}"/>
    <cellStyle name="Ввод  5 6 5" xfId="3731" xr:uid="{00000000-0005-0000-0000-0000290D0000}"/>
    <cellStyle name="Ввод  5 6 5 2" xfId="23322" xr:uid="{00000000-0005-0000-0000-00002A0D0000}"/>
    <cellStyle name="Ввод  5 6 5 3" xfId="39749" xr:uid="{48B456DB-0B02-4B6E-8489-97053392AA23}"/>
    <cellStyle name="Ввод  5 6 6" xfId="4147" xr:uid="{00000000-0005-0000-0000-00002B0D0000}"/>
    <cellStyle name="Ввод  5 6 6 2" xfId="20753" xr:uid="{00000000-0005-0000-0000-00002C0D0000}"/>
    <cellStyle name="Ввод  5 6 6 3" xfId="37569" xr:uid="{8D0A575F-C58C-45E6-8A45-341FEDF59FBF}"/>
    <cellStyle name="Ввод  5 6 7" xfId="4669" xr:uid="{00000000-0005-0000-0000-00002D0D0000}"/>
    <cellStyle name="Ввод  5 6 8" xfId="5151" xr:uid="{00000000-0005-0000-0000-00002E0D0000}"/>
    <cellStyle name="Ввод  5 7" xfId="684" xr:uid="{00000000-0005-0000-0000-00002F0D0000}"/>
    <cellStyle name="Ввод  5 7 2" xfId="1514" xr:uid="{00000000-0005-0000-0000-0000300D0000}"/>
    <cellStyle name="Ввод  5 7 2 2" xfId="21507" xr:uid="{00000000-0005-0000-0000-0000310D0000}"/>
    <cellStyle name="Ввод  5 7 2 2 2" xfId="38149" xr:uid="{E8AC1C7D-CB10-4EDC-B984-C7BF18F12B2E}"/>
    <cellStyle name="Ввод  5 7 2 3" xfId="6270" xr:uid="{00000000-0005-0000-0000-0000320D0000}"/>
    <cellStyle name="Ввод  5 7 2 4" xfId="24057" xr:uid="{8A21D343-5348-4DAB-930E-FD5727CA69FA}"/>
    <cellStyle name="Ввод  5 7 3" xfId="1881" xr:uid="{00000000-0005-0000-0000-0000330D0000}"/>
    <cellStyle name="Ввод  5 7 3 2" xfId="22129" xr:uid="{00000000-0005-0000-0000-0000340D0000}"/>
    <cellStyle name="Ввод  5 7 3 2 2" xfId="38739" xr:uid="{1AE21696-54B1-4E5A-A805-362CD22C2F53}"/>
    <cellStyle name="Ввод  5 7 3 3" xfId="7039" xr:uid="{00000000-0005-0000-0000-0000350D0000}"/>
    <cellStyle name="Ввод  5 7 3 4" xfId="24666" xr:uid="{3950D443-A25E-4169-9AC0-E1005C5F7A07}"/>
    <cellStyle name="Ввод  5 7 4" xfId="2363" xr:uid="{00000000-0005-0000-0000-0000360D0000}"/>
    <cellStyle name="Ввод  5 7 4 2" xfId="22844" xr:uid="{00000000-0005-0000-0000-0000370D0000}"/>
    <cellStyle name="Ввод  5 7 4 3" xfId="39310" xr:uid="{A3AA605D-E192-49CD-A355-80FE1B3D1FC7}"/>
    <cellStyle name="Ввод  5 7 5" xfId="3447" xr:uid="{00000000-0005-0000-0000-0000380D0000}"/>
    <cellStyle name="Ввод  5 7 5 2" xfId="23361" xr:uid="{00000000-0005-0000-0000-0000390D0000}"/>
    <cellStyle name="Ввод  5 7 5 3" xfId="39788" xr:uid="{683F4B3A-2559-4AEA-8B7A-C0EEF11ED1EB}"/>
    <cellStyle name="Ввод  5 7 6" xfId="4243" xr:uid="{00000000-0005-0000-0000-00003A0D0000}"/>
    <cellStyle name="Ввод  5 7 6 2" xfId="20818" xr:uid="{00000000-0005-0000-0000-00003B0D0000}"/>
    <cellStyle name="Ввод  5 7 6 3" xfId="37621" xr:uid="{0D9B596B-CAAE-42CD-BA9E-C73C05329702}"/>
    <cellStyle name="Ввод  5 7 7" xfId="4765" xr:uid="{00000000-0005-0000-0000-00003C0D0000}"/>
    <cellStyle name="Ввод  5 7 8" xfId="5246" xr:uid="{00000000-0005-0000-0000-00003D0D0000}"/>
    <cellStyle name="Ввод  5 8" xfId="680" xr:uid="{00000000-0005-0000-0000-00003E0D0000}"/>
    <cellStyle name="Ввод  5 8 2" xfId="1510" xr:uid="{00000000-0005-0000-0000-00003F0D0000}"/>
    <cellStyle name="Ввод  5 8 2 2" xfId="21503" xr:uid="{00000000-0005-0000-0000-0000400D0000}"/>
    <cellStyle name="Ввод  5 8 2 2 2" xfId="38145" xr:uid="{9461AE1B-2ECB-450B-AC71-4A799AE6FC4D}"/>
    <cellStyle name="Ввод  5 8 2 3" xfId="6266" xr:uid="{00000000-0005-0000-0000-0000410D0000}"/>
    <cellStyle name="Ввод  5 8 2 4" xfId="24053" xr:uid="{0F766235-FE4D-44F0-9862-C57BD77924CC}"/>
    <cellStyle name="Ввод  5 8 3" xfId="1725" xr:uid="{00000000-0005-0000-0000-0000420D0000}"/>
    <cellStyle name="Ввод  5 8 3 2" xfId="22125" xr:uid="{00000000-0005-0000-0000-0000430D0000}"/>
    <cellStyle name="Ввод  5 8 3 2 2" xfId="38735" xr:uid="{7758E89C-DD98-40DD-85AC-6D5BE9304675}"/>
    <cellStyle name="Ввод  5 8 3 3" xfId="7035" xr:uid="{00000000-0005-0000-0000-0000440D0000}"/>
    <cellStyle name="Ввод  5 8 3 4" xfId="24662" xr:uid="{231CA9E6-114C-449D-B175-2AB5712121C8}"/>
    <cellStyle name="Ввод  5 8 4" xfId="2822" xr:uid="{00000000-0005-0000-0000-0000450D0000}"/>
    <cellStyle name="Ввод  5 8 4 2" xfId="23011" xr:uid="{00000000-0005-0000-0000-0000460D0000}"/>
    <cellStyle name="Ввод  5 8 4 3" xfId="39477" xr:uid="{990B99A4-3FA2-4C42-BB32-A638C974D117}"/>
    <cellStyle name="Ввод  5 8 5" xfId="3647" xr:uid="{00000000-0005-0000-0000-0000470D0000}"/>
    <cellStyle name="Ввод  5 8 5 2" xfId="23360" xr:uid="{00000000-0005-0000-0000-0000480D0000}"/>
    <cellStyle name="Ввод  5 8 5 3" xfId="39787" xr:uid="{68184F93-097C-48F9-A229-52C99D31A82F}"/>
    <cellStyle name="Ввод  5 8 6" xfId="4239" xr:uid="{00000000-0005-0000-0000-0000490D0000}"/>
    <cellStyle name="Ввод  5 8 6 2" xfId="20883" xr:uid="{00000000-0005-0000-0000-00004A0D0000}"/>
    <cellStyle name="Ввод  5 8 6 3" xfId="37673" xr:uid="{2B16EFD0-12A8-4810-856C-4B7BB27A77CD}"/>
    <cellStyle name="Ввод  5 8 7" xfId="4761" xr:uid="{00000000-0005-0000-0000-00004B0D0000}"/>
    <cellStyle name="Ввод  5 8 8" xfId="5242" xr:uid="{00000000-0005-0000-0000-00004C0D0000}"/>
    <cellStyle name="Ввод  5 9" xfId="703" xr:uid="{00000000-0005-0000-0000-00004D0D0000}"/>
    <cellStyle name="Ввод  5 9 2" xfId="1533" xr:uid="{00000000-0005-0000-0000-00004E0D0000}"/>
    <cellStyle name="Ввод  5 9 2 2" xfId="22148" xr:uid="{00000000-0005-0000-0000-00004F0D0000}"/>
    <cellStyle name="Ввод  5 9 2 2 2" xfId="38758" xr:uid="{60E0A969-11EA-47B5-8B2F-16CA1EE014D7}"/>
    <cellStyle name="Ввод  5 9 2 3" xfId="6289" xr:uid="{00000000-0005-0000-0000-0000500D0000}"/>
    <cellStyle name="Ввод  5 9 2 4" xfId="24076" xr:uid="{983DE413-5012-47AA-B8DC-92A3770F128C}"/>
    <cellStyle name="Ввод  5 9 3" xfId="1714" xr:uid="{00000000-0005-0000-0000-0000510D0000}"/>
    <cellStyle name="Ввод  5 9 3 2" xfId="22501" xr:uid="{00000000-0005-0000-0000-0000520D0000}"/>
    <cellStyle name="Ввод  5 9 3 2 2" xfId="38993" xr:uid="{38EAFEBE-74F0-4DDD-B6EF-1EB7A7688009}"/>
    <cellStyle name="Ввод  5 9 3 3" xfId="7058" xr:uid="{00000000-0005-0000-0000-0000530D0000}"/>
    <cellStyle name="Ввод  5 9 3 4" xfId="24685" xr:uid="{87A36A7E-4134-4F13-B300-9FD49D61EEC5}"/>
    <cellStyle name="Ввод  5 9 4" xfId="2356" xr:uid="{00000000-0005-0000-0000-0000540D0000}"/>
    <cellStyle name="Ввод  5 9 4 2" xfId="23371" xr:uid="{00000000-0005-0000-0000-0000550D0000}"/>
    <cellStyle name="Ввод  5 9 4 3" xfId="39798" xr:uid="{11BB5442-FF9E-4735-ADFA-175618C767E1}"/>
    <cellStyle name="Ввод  5 9 5" xfId="3252" xr:uid="{00000000-0005-0000-0000-0000560D0000}"/>
    <cellStyle name="Ввод  5 9 5 2" xfId="21526" xr:uid="{00000000-0005-0000-0000-0000570D0000}"/>
    <cellStyle name="Ввод  5 9 5 3" xfId="38168" xr:uid="{EEFF06AF-D4E8-4702-A073-3A1C17F01603}"/>
    <cellStyle name="Ввод  5 9 6" xfId="4262" xr:uid="{00000000-0005-0000-0000-0000580D0000}"/>
    <cellStyle name="Ввод  5 9 7" xfId="4784" xr:uid="{00000000-0005-0000-0000-0000590D0000}"/>
    <cellStyle name="Ввод  5 9 8" xfId="5265" xr:uid="{00000000-0005-0000-0000-00005A0D0000}"/>
    <cellStyle name="Ввод  6" xfId="1818" xr:uid="{00000000-0005-0000-0000-00005B0D0000}"/>
    <cellStyle name="Ввод  6 2" xfId="22773" xr:uid="{00000000-0005-0000-0000-00005C0D0000}"/>
    <cellStyle name="Ввод  6 2 2" xfId="39241" xr:uid="{C857E9A4-8F9C-4ECE-BAF9-DD66AC72186B}"/>
    <cellStyle name="Ввод  6 3" xfId="5528" xr:uid="{00000000-0005-0000-0000-00005D0D0000}"/>
    <cellStyle name="Ввод  6 4" xfId="23590" xr:uid="{71E8B2EB-5AF1-4B86-A2DD-1BF58681A513}"/>
    <cellStyle name="Ввод  7" xfId="2544" xr:uid="{00000000-0005-0000-0000-00005E0D0000}"/>
    <cellStyle name="Ввод  7 2" xfId="5553" xr:uid="{00000000-0005-0000-0000-00005F0D0000}"/>
    <cellStyle name="Ввод  7 3" xfId="23597" xr:uid="{A7CBC9A4-31E0-4E11-9843-238A3C5D0515}"/>
    <cellStyle name="Ввод  8" xfId="3420" xr:uid="{00000000-0005-0000-0000-0000600D0000}"/>
    <cellStyle name="Ввод  9" xfId="3423" xr:uid="{00000000-0005-0000-0000-0000610D0000}"/>
    <cellStyle name="Вывод" xfId="386" builtinId="21" customBuiltin="1"/>
    <cellStyle name="Вывод 10" xfId="3280" xr:uid="{00000000-0005-0000-0000-0000630D0000}"/>
    <cellStyle name="Вывод 11" xfId="3949" xr:uid="{00000000-0005-0000-0000-0000640D0000}"/>
    <cellStyle name="Вывод 2" xfId="91" xr:uid="{00000000-0005-0000-0000-0000650D0000}"/>
    <cellStyle name="Вывод 2 2" xfId="162" xr:uid="{00000000-0005-0000-0000-0000660D0000}"/>
    <cellStyle name="Вывод 2 2 10" xfId="4418" xr:uid="{00000000-0005-0000-0000-0000670D0000}"/>
    <cellStyle name="Вывод 2 2 2" xfId="223" xr:uid="{00000000-0005-0000-0000-0000680D0000}"/>
    <cellStyle name="Вывод 2 2 2 10" xfId="714" xr:uid="{00000000-0005-0000-0000-0000690D0000}"/>
    <cellStyle name="Вывод 2 2 2 10 2" xfId="1544" xr:uid="{00000000-0005-0000-0000-00006A0D0000}"/>
    <cellStyle name="Вывод 2 2 2 10 2 2" xfId="21537" xr:uid="{00000000-0005-0000-0000-00006B0D0000}"/>
    <cellStyle name="Вывод 2 2 2 10 2 2 2" xfId="38179" xr:uid="{F0626054-354B-437C-8C8B-1219B65849A4}"/>
    <cellStyle name="Вывод 2 2 2 10 2 3" xfId="6300" xr:uid="{00000000-0005-0000-0000-00006C0D0000}"/>
    <cellStyle name="Вывод 2 2 2 10 2 4" xfId="24087" xr:uid="{F805685E-4416-42B9-A0C3-9B47C0E6D323}"/>
    <cellStyle name="Вывод 2 2 2 10 3" xfId="2015" xr:uid="{00000000-0005-0000-0000-00006D0D0000}"/>
    <cellStyle name="Вывод 2 2 2 10 3 2" xfId="22159" xr:uid="{00000000-0005-0000-0000-00006E0D0000}"/>
    <cellStyle name="Вывод 2 2 2 10 3 2 2" xfId="38769" xr:uid="{D5CE00F1-D851-4727-A72C-02C994971041}"/>
    <cellStyle name="Вывод 2 2 2 10 3 3" xfId="7069" xr:uid="{00000000-0005-0000-0000-00006F0D0000}"/>
    <cellStyle name="Вывод 2 2 2 10 3 4" xfId="24696" xr:uid="{C1593A21-98F0-412A-8A45-5C9A22ADC372}"/>
    <cellStyle name="Вывод 2 2 2 10 4" xfId="2658" xr:uid="{00000000-0005-0000-0000-0000700D0000}"/>
    <cellStyle name="Вывод 2 2 2 10 4 2" xfId="22530" xr:uid="{00000000-0005-0000-0000-0000710D0000}"/>
    <cellStyle name="Вывод 2 2 2 10 4 3" xfId="39009" xr:uid="{3476EBDB-59F0-4F58-A9CB-AA6CFAC64B34}"/>
    <cellStyle name="Вывод 2 2 2 10 5" xfId="2980" xr:uid="{00000000-0005-0000-0000-0000720D0000}"/>
    <cellStyle name="Вывод 2 2 2 10 5 2" xfId="20890" xr:uid="{00000000-0005-0000-0000-0000730D0000}"/>
    <cellStyle name="Вывод 2 2 2 10 5 3" xfId="37680" xr:uid="{E9FC2E60-1E34-4817-80F0-E45DA268D182}"/>
    <cellStyle name="Вывод 2 2 2 10 6" xfId="4273" xr:uid="{00000000-0005-0000-0000-0000740D0000}"/>
    <cellStyle name="Вывод 2 2 2 10 7" xfId="4795" xr:uid="{00000000-0005-0000-0000-0000750D0000}"/>
    <cellStyle name="Вывод 2 2 2 10 8" xfId="5276" xr:uid="{00000000-0005-0000-0000-0000760D0000}"/>
    <cellStyle name="Вывод 2 2 2 11" xfId="944" xr:uid="{00000000-0005-0000-0000-0000770D0000}"/>
    <cellStyle name="Вывод 2 2 2 11 2" xfId="2226" xr:uid="{00000000-0005-0000-0000-0000780D0000}"/>
    <cellStyle name="Вывод 2 2 2 11 2 2" xfId="21790" xr:uid="{00000000-0005-0000-0000-0000790D0000}"/>
    <cellStyle name="Вывод 2 2 2 11 2 2 2" xfId="38400" xr:uid="{33F78526-9445-4E26-BD87-5B1D7BF033E8}"/>
    <cellStyle name="Вывод 2 2 2 11 2 3" xfId="5862" xr:uid="{00000000-0005-0000-0000-00007A0D0000}"/>
    <cellStyle name="Вывод 2 2 2 11 2 4" xfId="23718" xr:uid="{E97D8A5F-2BAE-4581-ABE2-D718CB5C0D1C}"/>
    <cellStyle name="Вывод 2 2 2 11 3" xfId="2695" xr:uid="{00000000-0005-0000-0000-00007B0D0000}"/>
    <cellStyle name="Вывод 2 2 2 11 3 2" xfId="22891" xr:uid="{00000000-0005-0000-0000-00007C0D0000}"/>
    <cellStyle name="Вывод 2 2 2 11 3 2 2" xfId="39357" xr:uid="{7DFF24F7-51DC-4102-B5D4-5EC527C64CFB}"/>
    <cellStyle name="Вывод 2 2 2 11 3 3" xfId="6706" xr:uid="{00000000-0005-0000-0000-00007D0D0000}"/>
    <cellStyle name="Вывод 2 2 2 11 3 4" xfId="24333" xr:uid="{ED17F35D-FA4B-48A7-B66E-238D565E4608}"/>
    <cellStyle name="Вывод 2 2 2 11 4" xfId="3535" xr:uid="{00000000-0005-0000-0000-00007E0D0000}"/>
    <cellStyle name="Вывод 2 2 2 11 4 2" xfId="21086" xr:uid="{00000000-0005-0000-0000-00007F0D0000}"/>
    <cellStyle name="Вывод 2 2 2 11 4 3" xfId="37810" xr:uid="{7D2C406D-6EF7-4904-BD09-3166D0FEA76E}"/>
    <cellStyle name="Вывод 2 2 2 11 5" xfId="3294" xr:uid="{00000000-0005-0000-0000-0000800D0000}"/>
    <cellStyle name="Вывод 2 2 2 11 6" xfId="3896" xr:uid="{00000000-0005-0000-0000-0000810D0000}"/>
    <cellStyle name="Вывод 2 2 2 11 7" xfId="4434" xr:uid="{00000000-0005-0000-0000-0000820D0000}"/>
    <cellStyle name="Вывод 2 2 2 12" xfId="1766" xr:uid="{00000000-0005-0000-0000-0000830D0000}"/>
    <cellStyle name="Вывод 2 2 2 12 2" xfId="20955" xr:uid="{00000000-0005-0000-0000-0000840D0000}"/>
    <cellStyle name="Вывод 2 2 2 12 2 2" xfId="37732" xr:uid="{676F5294-C465-4668-93B1-6FDB6B1AAB02}"/>
    <cellStyle name="Вывод 2 2 2 12 3" xfId="5688" xr:uid="{00000000-0005-0000-0000-0000850D0000}"/>
    <cellStyle name="Вывод 2 2 2 12 4" xfId="23637" xr:uid="{829B7E30-BAF2-4F13-9353-52BA897B0F1E}"/>
    <cellStyle name="Вывод 2 2 2 13" xfId="2370" xr:uid="{00000000-0005-0000-0000-0000860D0000}"/>
    <cellStyle name="Вывод 2 2 2 13 2" xfId="21712" xr:uid="{00000000-0005-0000-0000-0000870D0000}"/>
    <cellStyle name="Вывод 2 2 2 13 2 2" xfId="38322" xr:uid="{603A4E0C-F52A-49AE-8B77-F3FE5F4C4AC1}"/>
    <cellStyle name="Вывод 2 2 2 13 3" xfId="6630" xr:uid="{00000000-0005-0000-0000-0000880D0000}"/>
    <cellStyle name="Вывод 2 2 2 13 4" xfId="24257" xr:uid="{66592260-DD8E-4293-9951-B711D17A8659}"/>
    <cellStyle name="Вывод 2 2 2 14" xfId="3043" xr:uid="{00000000-0005-0000-0000-0000890D0000}"/>
    <cellStyle name="Вывод 2 2 2 14 2" xfId="22552" xr:uid="{00000000-0005-0000-0000-00008A0D0000}"/>
    <cellStyle name="Вывод 2 2 2 14 3" xfId="39031" xr:uid="{2506A22B-6521-4CDB-82C3-67F2831C3048}"/>
    <cellStyle name="Вывод 2 2 2 15" xfId="3037" xr:uid="{00000000-0005-0000-0000-00008B0D0000}"/>
    <cellStyle name="Вывод 2 2 2 15 2" xfId="7480" xr:uid="{00000000-0005-0000-0000-00008C0D0000}"/>
    <cellStyle name="Вывод 2 2 2 15 3" xfId="24882" xr:uid="{35CD3E69-ED19-4BEC-9F54-D4432DD3F9F5}"/>
    <cellStyle name="Вывод 2 2 2 16" xfId="3906" xr:uid="{00000000-0005-0000-0000-00008D0D0000}"/>
    <cellStyle name="Вывод 2 2 2 17" xfId="4442" xr:uid="{00000000-0005-0000-0000-00008E0D0000}"/>
    <cellStyle name="Вывод 2 2 2 2" xfId="313" xr:uid="{00000000-0005-0000-0000-00008F0D0000}"/>
    <cellStyle name="Вывод 2 2 2 2 2" xfId="1016" xr:uid="{00000000-0005-0000-0000-0000900D0000}"/>
    <cellStyle name="Вывод 2 2 2 2 2 2" xfId="21167" xr:uid="{00000000-0005-0000-0000-0000910D0000}"/>
    <cellStyle name="Вывод 2 2 2 2 2 2 2" xfId="37849" xr:uid="{48DED704-6DE4-470A-B26B-F4F01EE16CB8}"/>
    <cellStyle name="Вывод 2 2 2 2 2 3" xfId="5944" xr:uid="{00000000-0005-0000-0000-0000920D0000}"/>
    <cellStyle name="Вывод 2 2 2 2 2 4" xfId="23757" xr:uid="{B7485E6D-C2A7-411A-BB85-90F39078052A}"/>
    <cellStyle name="Вывод 2 2 2 2 3" xfId="2174" xr:uid="{00000000-0005-0000-0000-0000930D0000}"/>
    <cellStyle name="Вывод 2 2 2 2 3 2" xfId="21829" xr:uid="{00000000-0005-0000-0000-0000940D0000}"/>
    <cellStyle name="Вывод 2 2 2 2 3 2 2" xfId="38439" xr:uid="{35A5C66F-B527-41F6-84C2-245545BA4A81}"/>
    <cellStyle name="Вывод 2 2 2 2 3 3" xfId="6743" xr:uid="{00000000-0005-0000-0000-0000950D0000}"/>
    <cellStyle name="Вывод 2 2 2 2 3 4" xfId="24370" xr:uid="{3574FF6E-1BA3-43F6-B6FE-67CD28E2C40B}"/>
    <cellStyle name="Вывод 2 2 2 2 4" xfId="2567" xr:uid="{00000000-0005-0000-0000-0000960D0000}"/>
    <cellStyle name="Вывод 2 2 2 2 4 2" xfId="22539" xr:uid="{00000000-0005-0000-0000-0000970D0000}"/>
    <cellStyle name="Вывод 2 2 2 2 4 3" xfId="39018" xr:uid="{CDD9DE87-B960-4239-BEAD-0D0E0725F13C}"/>
    <cellStyle name="Вывод 2 2 2 2 5" xfId="2990" xr:uid="{00000000-0005-0000-0000-0000980D0000}"/>
    <cellStyle name="Вывод 2 2 2 2 5 2" xfId="14062" xr:uid="{00000000-0005-0000-0000-0000990D0000}"/>
    <cellStyle name="Вывод 2 2 2 2 5 3" xfId="31101" xr:uid="{06107FCB-D456-4EAD-895C-97B15A9F31FA}"/>
    <cellStyle name="Вывод 2 2 2 2 6" xfId="3923" xr:uid="{00000000-0005-0000-0000-00009A0D0000}"/>
    <cellStyle name="Вывод 2 2 2 2 7" xfId="4456" xr:uid="{00000000-0005-0000-0000-00009B0D0000}"/>
    <cellStyle name="Вывод 2 2 2 2 8" xfId="4950" xr:uid="{00000000-0005-0000-0000-00009C0D0000}"/>
    <cellStyle name="Вывод 2 2 2 3" xfId="444" xr:uid="{00000000-0005-0000-0000-00009D0D0000}"/>
    <cellStyle name="Вывод 2 2 2 3 2" xfId="1276" xr:uid="{00000000-0005-0000-0000-00009E0D0000}"/>
    <cellStyle name="Вывод 2 2 2 3 2 2" xfId="21269" xr:uid="{00000000-0005-0000-0000-00009F0D0000}"/>
    <cellStyle name="Вывод 2 2 2 3 2 2 2" xfId="37911" xr:uid="{C7508276-4425-4ADC-AD1D-B2A3BFBC05F1}"/>
    <cellStyle name="Вывод 2 2 2 3 2 3" xfId="6032" xr:uid="{00000000-0005-0000-0000-0000A00D0000}"/>
    <cellStyle name="Вывод 2 2 2 3 2 4" xfId="23819" xr:uid="{68EADFDA-8BD2-4F14-99DF-B28075E7D6D3}"/>
    <cellStyle name="Вывод 2 2 2 3 3" xfId="2148" xr:uid="{00000000-0005-0000-0000-0000A10D0000}"/>
    <cellStyle name="Вывод 2 2 2 3 3 2" xfId="21891" xr:uid="{00000000-0005-0000-0000-0000A20D0000}"/>
    <cellStyle name="Вывод 2 2 2 3 3 2 2" xfId="38501" xr:uid="{CFDE390C-5B5B-4307-9BE8-5834709F6FF3}"/>
    <cellStyle name="Вывод 2 2 2 3 3 3" xfId="6802" xr:uid="{00000000-0005-0000-0000-0000A30D0000}"/>
    <cellStyle name="Вывод 2 2 2 3 3 4" xfId="24429" xr:uid="{335EC440-011B-46BC-AC5E-3FBB5490805E}"/>
    <cellStyle name="Вывод 2 2 2 3 4" xfId="2910" xr:uid="{00000000-0005-0000-0000-0000A40D0000}"/>
    <cellStyle name="Вывод 2 2 2 3 4 2" xfId="22849" xr:uid="{00000000-0005-0000-0000-0000A50D0000}"/>
    <cellStyle name="Вывод 2 2 2 3 4 3" xfId="39315" xr:uid="{BD55DB39-06F0-4493-AF18-6D4243D0DAD4}"/>
    <cellStyle name="Вывод 2 2 2 3 5" xfId="3451" xr:uid="{00000000-0005-0000-0000-0000A60D0000}"/>
    <cellStyle name="Вывод 2 2 2 3 5 2" xfId="20406" xr:uid="{00000000-0005-0000-0000-0000A70D0000}"/>
    <cellStyle name="Вывод 2 2 2 3 5 3" xfId="37321" xr:uid="{0878C174-EB61-470D-923D-0E4393B9CA65}"/>
    <cellStyle name="Вывод 2 2 2 3 6" xfId="4005" xr:uid="{00000000-0005-0000-0000-0000A80D0000}"/>
    <cellStyle name="Вывод 2 2 2 3 7" xfId="4527" xr:uid="{00000000-0005-0000-0000-0000A90D0000}"/>
    <cellStyle name="Вывод 2 2 2 3 8" xfId="5009" xr:uid="{00000000-0005-0000-0000-0000AA0D0000}"/>
    <cellStyle name="Вывод 2 2 2 4" xfId="490" xr:uid="{00000000-0005-0000-0000-0000AB0D0000}"/>
    <cellStyle name="Вывод 2 2 2 4 2" xfId="1322" xr:uid="{00000000-0005-0000-0000-0000AC0D0000}"/>
    <cellStyle name="Вывод 2 2 2 4 2 2" xfId="21315" xr:uid="{00000000-0005-0000-0000-0000AD0D0000}"/>
    <cellStyle name="Вывод 2 2 2 4 2 2 2" xfId="37957" xr:uid="{71957CF6-F8DD-44AC-95A0-31609D555820}"/>
    <cellStyle name="Вывод 2 2 2 4 2 3" xfId="6078" xr:uid="{00000000-0005-0000-0000-0000AE0D0000}"/>
    <cellStyle name="Вывод 2 2 2 4 2 4" xfId="23865" xr:uid="{88E13281-C821-4442-A006-CC68401E788C}"/>
    <cellStyle name="Вывод 2 2 2 4 3" xfId="2180" xr:uid="{00000000-0005-0000-0000-0000AF0D0000}"/>
    <cellStyle name="Вывод 2 2 2 4 3 2" xfId="21937" xr:uid="{00000000-0005-0000-0000-0000B00D0000}"/>
    <cellStyle name="Вывод 2 2 2 4 3 2 2" xfId="38547" xr:uid="{122F648E-9ED3-47DC-A099-3A2908CC5BC5}"/>
    <cellStyle name="Вывод 2 2 2 4 3 3" xfId="6847" xr:uid="{00000000-0005-0000-0000-0000B10D0000}"/>
    <cellStyle name="Вывод 2 2 2 4 3 4" xfId="24474" xr:uid="{930B6B0D-FBA3-47A5-919D-9EE29341356B}"/>
    <cellStyle name="Вывод 2 2 2 4 4" xfId="2441" xr:uid="{00000000-0005-0000-0000-0000B20D0000}"/>
    <cellStyle name="Вывод 2 2 2 4 4 2" xfId="22822" xr:uid="{00000000-0005-0000-0000-0000B30D0000}"/>
    <cellStyle name="Вывод 2 2 2 4 4 3" xfId="39288" xr:uid="{9DE5A8A4-1D33-4A66-87A7-67761E1D920D}"/>
    <cellStyle name="Вывод 2 2 2 4 5" xfId="3371" xr:uid="{00000000-0005-0000-0000-0000B40D0000}"/>
    <cellStyle name="Вывод 2 2 2 4 5 2" xfId="20476" xr:uid="{00000000-0005-0000-0000-0000B50D0000}"/>
    <cellStyle name="Вывод 2 2 2 4 5 3" xfId="37368" xr:uid="{3AD9ABE1-E49D-4BA2-8A91-5C87C8C7EABD}"/>
    <cellStyle name="Вывод 2 2 2 4 6" xfId="4050" xr:uid="{00000000-0005-0000-0000-0000B60D0000}"/>
    <cellStyle name="Вывод 2 2 2 4 7" xfId="4572" xr:uid="{00000000-0005-0000-0000-0000B70D0000}"/>
    <cellStyle name="Вывод 2 2 2 4 8" xfId="5054" xr:uid="{00000000-0005-0000-0000-0000B80D0000}"/>
    <cellStyle name="Вывод 2 2 2 5" xfId="542" xr:uid="{00000000-0005-0000-0000-0000B90D0000}"/>
    <cellStyle name="Вывод 2 2 2 5 2" xfId="1374" xr:uid="{00000000-0005-0000-0000-0000BA0D0000}"/>
    <cellStyle name="Вывод 2 2 2 5 2 2" xfId="21367" xr:uid="{00000000-0005-0000-0000-0000BB0D0000}"/>
    <cellStyle name="Вывод 2 2 2 5 2 2 2" xfId="38009" xr:uid="{76FC60D9-5925-4F45-8805-8180E6A115C9}"/>
    <cellStyle name="Вывод 2 2 2 5 2 3" xfId="6130" xr:uid="{00000000-0005-0000-0000-0000BC0D0000}"/>
    <cellStyle name="Вывод 2 2 2 5 2 4" xfId="23917" xr:uid="{1A6B971D-20FD-47E9-BD81-84B2F3EFCE7F}"/>
    <cellStyle name="Вывод 2 2 2 5 3" xfId="2177" xr:uid="{00000000-0005-0000-0000-0000BD0D0000}"/>
    <cellStyle name="Вывод 2 2 2 5 3 2" xfId="21989" xr:uid="{00000000-0005-0000-0000-0000BE0D0000}"/>
    <cellStyle name="Вывод 2 2 2 5 3 2 2" xfId="38599" xr:uid="{70582C11-2C80-4547-898E-58F8827C719C}"/>
    <cellStyle name="Вывод 2 2 2 5 3 3" xfId="6899" xr:uid="{00000000-0005-0000-0000-0000BF0D0000}"/>
    <cellStyle name="Вывод 2 2 2 5 3 4" xfId="24526" xr:uid="{89C9FF13-783D-4723-BA53-E5D3E00A2402}"/>
    <cellStyle name="Вывод 2 2 2 5 4" xfId="2417" xr:uid="{00000000-0005-0000-0000-0000C00D0000}"/>
    <cellStyle name="Вывод 2 2 2 5 4 2" xfId="22727" xr:uid="{00000000-0005-0000-0000-0000C10D0000}"/>
    <cellStyle name="Вывод 2 2 2 5 4 3" xfId="39196" xr:uid="{DC9E5B75-09DB-4EA1-805E-8DAB984F6DB0}"/>
    <cellStyle name="Вывод 2 2 2 5 5" xfId="3809" xr:uid="{00000000-0005-0000-0000-0000C20D0000}"/>
    <cellStyle name="Вывод 2 2 2 5 5 2" xfId="20586" xr:uid="{00000000-0005-0000-0000-0000C30D0000}"/>
    <cellStyle name="Вывод 2 2 2 5 5 3" xfId="37434" xr:uid="{FFE51322-D097-482A-A87C-0E2F9F35959C}"/>
    <cellStyle name="Вывод 2 2 2 5 6" xfId="4102" xr:uid="{00000000-0005-0000-0000-0000C40D0000}"/>
    <cellStyle name="Вывод 2 2 2 5 7" xfId="4624" xr:uid="{00000000-0005-0000-0000-0000C50D0000}"/>
    <cellStyle name="Вывод 2 2 2 5 8" xfId="5106" xr:uid="{00000000-0005-0000-0000-0000C60D0000}"/>
    <cellStyle name="Вывод 2 2 2 6" xfId="594" xr:uid="{00000000-0005-0000-0000-0000C70D0000}"/>
    <cellStyle name="Вывод 2 2 2 6 2" xfId="1426" xr:uid="{00000000-0005-0000-0000-0000C80D0000}"/>
    <cellStyle name="Вывод 2 2 2 6 2 2" xfId="21419" xr:uid="{00000000-0005-0000-0000-0000C90D0000}"/>
    <cellStyle name="Вывод 2 2 2 6 2 2 2" xfId="38061" xr:uid="{72821BD4-7871-4A42-B420-E471095A39BF}"/>
    <cellStyle name="Вывод 2 2 2 6 2 3" xfId="6182" xr:uid="{00000000-0005-0000-0000-0000CA0D0000}"/>
    <cellStyle name="Вывод 2 2 2 6 2 4" xfId="23969" xr:uid="{761C63AC-E45F-46BA-9AA7-E4E5F66038E6}"/>
    <cellStyle name="Вывод 2 2 2 6 3" xfId="2088" xr:uid="{00000000-0005-0000-0000-0000CB0D0000}"/>
    <cellStyle name="Вывод 2 2 2 6 3 2" xfId="22041" xr:uid="{00000000-0005-0000-0000-0000CC0D0000}"/>
    <cellStyle name="Вывод 2 2 2 6 3 2 2" xfId="38651" xr:uid="{59089E8D-1A63-47E6-A7A3-2BCFC9B75121}"/>
    <cellStyle name="Вывод 2 2 2 6 3 3" xfId="6951" xr:uid="{00000000-0005-0000-0000-0000CD0D0000}"/>
    <cellStyle name="Вывод 2 2 2 6 3 4" xfId="24578" xr:uid="{F03010F1-39B9-4E01-8046-F39E5FA04908}"/>
    <cellStyle name="Вывод 2 2 2 6 4" xfId="2876" xr:uid="{00000000-0005-0000-0000-0000CE0D0000}"/>
    <cellStyle name="Вывод 2 2 2 6 4 2" xfId="22637" xr:uid="{00000000-0005-0000-0000-0000CF0D0000}"/>
    <cellStyle name="Вывод 2 2 2 6 4 3" xfId="39109" xr:uid="{4E214A8D-0C91-48E1-A999-1F399B1E0D94}"/>
    <cellStyle name="Вывод 2 2 2 6 5" xfId="3662" xr:uid="{00000000-0005-0000-0000-0000D00D0000}"/>
    <cellStyle name="Вывод 2 2 2 6 5 2" xfId="20630" xr:uid="{00000000-0005-0000-0000-0000D10D0000}"/>
    <cellStyle name="Вывод 2 2 2 6 5 3" xfId="37472" xr:uid="{82E3AD2E-0273-4BE9-8224-220E4C306017}"/>
    <cellStyle name="Вывод 2 2 2 6 6" xfId="4154" xr:uid="{00000000-0005-0000-0000-0000D20D0000}"/>
    <cellStyle name="Вывод 2 2 2 6 7" xfId="4676" xr:uid="{00000000-0005-0000-0000-0000D30D0000}"/>
    <cellStyle name="Вывод 2 2 2 6 8" xfId="5158" xr:uid="{00000000-0005-0000-0000-0000D40D0000}"/>
    <cellStyle name="Вывод 2 2 2 7" xfId="693" xr:uid="{00000000-0005-0000-0000-0000D50D0000}"/>
    <cellStyle name="Вывод 2 2 2 7 2" xfId="1523" xr:uid="{00000000-0005-0000-0000-0000D60D0000}"/>
    <cellStyle name="Вывод 2 2 2 7 2 2" xfId="21516" xr:uid="{00000000-0005-0000-0000-0000D70D0000}"/>
    <cellStyle name="Вывод 2 2 2 7 2 2 2" xfId="38158" xr:uid="{281B86CF-A2EE-4AB5-8758-AAC1F1B26EAB}"/>
    <cellStyle name="Вывод 2 2 2 7 2 3" xfId="6279" xr:uid="{00000000-0005-0000-0000-0000D80D0000}"/>
    <cellStyle name="Вывод 2 2 2 7 2 4" xfId="24066" xr:uid="{80A0D0AE-8204-4A3A-8A63-C7554BE85131}"/>
    <cellStyle name="Вывод 2 2 2 7 3" xfId="1878" xr:uid="{00000000-0005-0000-0000-0000D90D0000}"/>
    <cellStyle name="Вывод 2 2 2 7 3 2" xfId="22138" xr:uid="{00000000-0005-0000-0000-0000DA0D0000}"/>
    <cellStyle name="Вывод 2 2 2 7 3 2 2" xfId="38748" xr:uid="{38A1CBEB-97F4-4893-A803-8C10334F6572}"/>
    <cellStyle name="Вывод 2 2 2 7 3 3" xfId="7048" xr:uid="{00000000-0005-0000-0000-0000DB0D0000}"/>
    <cellStyle name="Вывод 2 2 2 7 3 4" xfId="24675" xr:uid="{697A916B-33EB-4A61-8DD1-74C92518979F}"/>
    <cellStyle name="Вывод 2 2 2 7 4" xfId="2360" xr:uid="{00000000-0005-0000-0000-0000DC0D0000}"/>
    <cellStyle name="Вывод 2 2 2 7 4 2" xfId="22830" xr:uid="{00000000-0005-0000-0000-0000DD0D0000}"/>
    <cellStyle name="Вывод 2 2 2 7 4 3" xfId="39296" xr:uid="{30569FD2-1FB9-427A-853A-11B7B6EC9704}"/>
    <cellStyle name="Вывод 2 2 2 7 5" xfId="3415" xr:uid="{00000000-0005-0000-0000-0000DE0D0000}"/>
    <cellStyle name="Вывод 2 2 2 7 5 2" xfId="20695" xr:uid="{00000000-0005-0000-0000-0000DF0D0000}"/>
    <cellStyle name="Вывод 2 2 2 7 5 3" xfId="37524" xr:uid="{87B9CCFE-D21E-4059-8916-B88FA13565E1}"/>
    <cellStyle name="Вывод 2 2 2 7 6" xfId="4252" xr:uid="{00000000-0005-0000-0000-0000E00D0000}"/>
    <cellStyle name="Вывод 2 2 2 7 7" xfId="4774" xr:uid="{00000000-0005-0000-0000-0000E10D0000}"/>
    <cellStyle name="Вывод 2 2 2 7 8" xfId="5255" xr:uid="{00000000-0005-0000-0000-0000E20D0000}"/>
    <cellStyle name="Вывод 2 2 2 8" xfId="736" xr:uid="{00000000-0005-0000-0000-0000E30D0000}"/>
    <cellStyle name="Вывод 2 2 2 8 2" xfId="1566" xr:uid="{00000000-0005-0000-0000-0000E40D0000}"/>
    <cellStyle name="Вывод 2 2 2 8 2 2" xfId="21559" xr:uid="{00000000-0005-0000-0000-0000E50D0000}"/>
    <cellStyle name="Вывод 2 2 2 8 2 2 2" xfId="38201" xr:uid="{47EE470B-88F2-41DD-BF17-D85EB9C7FFA4}"/>
    <cellStyle name="Вывод 2 2 2 8 2 3" xfId="6322" xr:uid="{00000000-0005-0000-0000-0000E60D0000}"/>
    <cellStyle name="Вывод 2 2 2 8 2 4" xfId="24109" xr:uid="{8DDC31B0-CC7E-4948-AA12-42CC6E468085}"/>
    <cellStyle name="Вывод 2 2 2 8 3" xfId="1745" xr:uid="{00000000-0005-0000-0000-0000E70D0000}"/>
    <cellStyle name="Вывод 2 2 2 8 3 2" xfId="22181" xr:uid="{00000000-0005-0000-0000-0000E80D0000}"/>
    <cellStyle name="Вывод 2 2 2 8 3 2 2" xfId="38791" xr:uid="{E024067A-AB39-4350-AC6C-02D2C5765267}"/>
    <cellStyle name="Вывод 2 2 2 8 3 3" xfId="7091" xr:uid="{00000000-0005-0000-0000-0000E90D0000}"/>
    <cellStyle name="Вывод 2 2 2 8 3 4" xfId="24718" xr:uid="{3556CE63-2648-43B8-95A2-EB803AD7C1B5}"/>
    <cellStyle name="Вывод 2 2 2 8 4" xfId="2939" xr:uid="{00000000-0005-0000-0000-0000EA0D0000}"/>
    <cellStyle name="Вывод 2 2 2 8 4 2" xfId="22812" xr:uid="{00000000-0005-0000-0000-0000EB0D0000}"/>
    <cellStyle name="Вывод 2 2 2 8 4 3" xfId="39278" xr:uid="{B2B00A19-5C75-4202-880E-7FF809267314}"/>
    <cellStyle name="Вывод 2 2 2 8 5" xfId="3246" xr:uid="{00000000-0005-0000-0000-0000EC0D0000}"/>
    <cellStyle name="Вывод 2 2 2 8 5 2" xfId="20760" xr:uid="{00000000-0005-0000-0000-0000ED0D0000}"/>
    <cellStyle name="Вывод 2 2 2 8 5 3" xfId="37576" xr:uid="{DCDDCE56-AF34-4265-948A-7530E149C675}"/>
    <cellStyle name="Вывод 2 2 2 8 6" xfId="4295" xr:uid="{00000000-0005-0000-0000-0000EE0D0000}"/>
    <cellStyle name="Вывод 2 2 2 8 7" xfId="4817" xr:uid="{00000000-0005-0000-0000-0000EF0D0000}"/>
    <cellStyle name="Вывод 2 2 2 8 8" xfId="5298" xr:uid="{00000000-0005-0000-0000-0000F00D0000}"/>
    <cellStyle name="Вывод 2 2 2 9" xfId="646" xr:uid="{00000000-0005-0000-0000-0000F10D0000}"/>
    <cellStyle name="Вывод 2 2 2 9 2" xfId="1478" xr:uid="{00000000-0005-0000-0000-0000F20D0000}"/>
    <cellStyle name="Вывод 2 2 2 9 2 2" xfId="21471" xr:uid="{00000000-0005-0000-0000-0000F30D0000}"/>
    <cellStyle name="Вывод 2 2 2 9 2 2 2" xfId="38113" xr:uid="{6BB8FD88-4740-428A-84E1-E29EBFF6A50C}"/>
    <cellStyle name="Вывод 2 2 2 9 2 3" xfId="6234" xr:uid="{00000000-0005-0000-0000-0000F40D0000}"/>
    <cellStyle name="Вывод 2 2 2 9 2 4" xfId="24021" xr:uid="{6EDDC769-755F-4372-8632-BB22BF5969F9}"/>
    <cellStyle name="Вывод 2 2 2 9 3" xfId="2186" xr:uid="{00000000-0005-0000-0000-0000F50D0000}"/>
    <cellStyle name="Вывод 2 2 2 9 3 2" xfId="22093" xr:uid="{00000000-0005-0000-0000-0000F60D0000}"/>
    <cellStyle name="Вывод 2 2 2 9 3 2 2" xfId="38703" xr:uid="{636528AD-23E8-4FFE-AC73-B9910774AB7D}"/>
    <cellStyle name="Вывод 2 2 2 9 3 3" xfId="7003" xr:uid="{00000000-0005-0000-0000-0000F70D0000}"/>
    <cellStyle name="Вывод 2 2 2 9 3 4" xfId="24630" xr:uid="{34ED3207-0BD1-495F-B9F7-687D07F9C414}"/>
    <cellStyle name="Вывод 2 2 2 9 4" xfId="2634" xr:uid="{00000000-0005-0000-0000-0000F80D0000}"/>
    <cellStyle name="Вывод 2 2 2 9 4 2" xfId="22865" xr:uid="{00000000-0005-0000-0000-0000F90D0000}"/>
    <cellStyle name="Вывод 2 2 2 9 4 3" xfId="39331" xr:uid="{986C9F54-DCC8-4B8B-868D-7099F58E684C}"/>
    <cellStyle name="Вывод 2 2 2 9 5" xfId="3506" xr:uid="{00000000-0005-0000-0000-0000FA0D0000}"/>
    <cellStyle name="Вывод 2 2 2 9 5 2" xfId="20825" xr:uid="{00000000-0005-0000-0000-0000FB0D0000}"/>
    <cellStyle name="Вывод 2 2 2 9 5 3" xfId="37628" xr:uid="{78029377-BB09-4F66-B193-1F4B85E0825E}"/>
    <cellStyle name="Вывод 2 2 2 9 6" xfId="4206" xr:uid="{00000000-0005-0000-0000-0000FC0D0000}"/>
    <cellStyle name="Вывод 2 2 2 9 7" xfId="4728" xr:uid="{00000000-0005-0000-0000-0000FD0D0000}"/>
    <cellStyle name="Вывод 2 2 2 9 8" xfId="5210" xr:uid="{00000000-0005-0000-0000-0000FE0D0000}"/>
    <cellStyle name="Вывод 2 2 3" xfId="985" xr:uid="{00000000-0005-0000-0000-0000FF0D0000}"/>
    <cellStyle name="Вывод 2 2 3 2" xfId="2093" xr:uid="{00000000-0005-0000-0000-0000000E0000}"/>
    <cellStyle name="Вывод 2 2 3 2 2" xfId="21033" xr:uid="{00000000-0005-0000-0000-0000010E0000}"/>
    <cellStyle name="Вывод 2 2 3 2 2 2" xfId="37782" xr:uid="{76BDC5AB-68CC-4B7A-8CCD-62A2586B45E2}"/>
    <cellStyle name="Вывод 2 2 3 2 3" xfId="5809" xr:uid="{00000000-0005-0000-0000-0000020E0000}"/>
    <cellStyle name="Вывод 2 2 3 2 4" xfId="23690" xr:uid="{252B2D76-706A-4250-817F-BBC659F2B0E4}"/>
    <cellStyle name="Вывод 2 2 3 3" xfId="2804" xr:uid="{00000000-0005-0000-0000-0000030E0000}"/>
    <cellStyle name="Вывод 2 2 3 3 2" xfId="21762" xr:uid="{00000000-0005-0000-0000-0000040E0000}"/>
    <cellStyle name="Вывод 2 2 3 3 2 2" xfId="38372" xr:uid="{89A7EF95-637B-447C-9D34-9E6C520F4FAC}"/>
    <cellStyle name="Вывод 2 2 3 3 3" xfId="6678" xr:uid="{00000000-0005-0000-0000-0000050E0000}"/>
    <cellStyle name="Вывод 2 2 3 3 4" xfId="24305" xr:uid="{1719D766-6F42-4A07-AD5C-08834D726CB0}"/>
    <cellStyle name="Вывод 2 2 3 4" xfId="3184" xr:uid="{00000000-0005-0000-0000-0000060E0000}"/>
    <cellStyle name="Вывод 2 2 3 4 2" xfId="22774" xr:uid="{00000000-0005-0000-0000-0000070E0000}"/>
    <cellStyle name="Вывод 2 2 3 4 3" xfId="39242" xr:uid="{CE062B1B-A05C-409C-886F-4D9771C326AA}"/>
    <cellStyle name="Вывод 2 2 3 5" xfId="3120" xr:uid="{00000000-0005-0000-0000-0000080E0000}"/>
    <cellStyle name="Вывод 2 2 3 5 2" xfId="14031" xr:uid="{00000000-0005-0000-0000-0000090E0000}"/>
    <cellStyle name="Вывод 2 2 3 5 3" xfId="31070" xr:uid="{1A960073-269D-456A-806B-307404C1B67D}"/>
    <cellStyle name="Вывод 2 2 3 6" xfId="3902" xr:uid="{00000000-0005-0000-0000-00000A0E0000}"/>
    <cellStyle name="Вывод 2 2 3 7" xfId="4439" xr:uid="{00000000-0005-0000-0000-00000B0E0000}"/>
    <cellStyle name="Вывод 2 2 4" xfId="876" xr:uid="{00000000-0005-0000-0000-00000C0E0000}"/>
    <cellStyle name="Вывод 2 2 4 2" xfId="22710" xr:uid="{00000000-0005-0000-0000-00000D0E0000}"/>
    <cellStyle name="Вывод 2 2 4 2 2" xfId="39180" xr:uid="{6E296BA5-9CB9-4FCB-A0CF-ECC05F2331E7}"/>
    <cellStyle name="Вывод 2 2 4 3" xfId="5586" xr:uid="{00000000-0005-0000-0000-00000E0E0000}"/>
    <cellStyle name="Вывод 2 2 4 4" xfId="23604" xr:uid="{B1C6FB64-CA4C-4B2F-B80F-1CF932C864D7}"/>
    <cellStyle name="Вывод 2 2 5" xfId="1984" xr:uid="{00000000-0005-0000-0000-00000F0E0000}"/>
    <cellStyle name="Вывод 2 2 5 2" xfId="6598" xr:uid="{00000000-0005-0000-0000-0000100E0000}"/>
    <cellStyle name="Вывод 2 2 5 3" xfId="24225" xr:uid="{521354D5-4AB8-4F38-BCC7-C1E876C0AF8C}"/>
    <cellStyle name="Вывод 2 2 6" xfId="2742" xr:uid="{00000000-0005-0000-0000-0000110E0000}"/>
    <cellStyle name="Вывод 2 2 6 2" xfId="7382" xr:uid="{00000000-0005-0000-0000-0000120E0000}"/>
    <cellStyle name="Вывод 2 2 6 3" xfId="24851" xr:uid="{5E922809-2421-4937-A98C-6082852762EB}"/>
    <cellStyle name="Вывод 2 2 7" xfId="3325" xr:uid="{00000000-0005-0000-0000-0000130E0000}"/>
    <cellStyle name="Вывод 2 2 8" xfId="3419" xr:uid="{00000000-0005-0000-0000-0000140E0000}"/>
    <cellStyle name="Вывод 2 2 9" xfId="3298" xr:uid="{00000000-0005-0000-0000-0000150E0000}"/>
    <cellStyle name="Вывод 2 3" xfId="181" xr:uid="{00000000-0005-0000-0000-0000160E0000}"/>
    <cellStyle name="Вывод 2 3 10" xfId="3689" xr:uid="{00000000-0005-0000-0000-0000170E0000}"/>
    <cellStyle name="Вывод 2 3 2" xfId="228" xr:uid="{00000000-0005-0000-0000-0000180E0000}"/>
    <cellStyle name="Вывод 2 3 2 10" xfId="811" xr:uid="{00000000-0005-0000-0000-0000190E0000}"/>
    <cellStyle name="Вывод 2 3 2 10 2" xfId="1640" xr:uid="{00000000-0005-0000-0000-00001A0E0000}"/>
    <cellStyle name="Вывод 2 3 2 10 2 2" xfId="21633" xr:uid="{00000000-0005-0000-0000-00001B0E0000}"/>
    <cellStyle name="Вывод 2 3 2 10 2 2 2" xfId="38275" xr:uid="{7DA9EF24-9EEC-4638-95D7-F56DB35E926F}"/>
    <cellStyle name="Вывод 2 3 2 10 2 3" xfId="6396" xr:uid="{00000000-0005-0000-0000-00001C0E0000}"/>
    <cellStyle name="Вывод 2 3 2 10 2 4" xfId="24183" xr:uid="{B9513F53-2DDB-4684-B30F-4F8B31FADF03}"/>
    <cellStyle name="Вывод 2 3 2 10 3" xfId="2007" xr:uid="{00000000-0005-0000-0000-00001D0E0000}"/>
    <cellStyle name="Вывод 2 3 2 10 3 2" xfId="22255" xr:uid="{00000000-0005-0000-0000-00001E0E0000}"/>
    <cellStyle name="Вывод 2 3 2 10 3 2 2" xfId="38865" xr:uid="{5EED2D89-B516-4874-92C6-685C52E6F59D}"/>
    <cellStyle name="Вывод 2 3 2 10 3 3" xfId="7165" xr:uid="{00000000-0005-0000-0000-00001F0E0000}"/>
    <cellStyle name="Вывод 2 3 2 10 3 4" xfId="24792" xr:uid="{84A7359C-1D38-4862-8B72-17D37A14ABB4}"/>
    <cellStyle name="Вывод 2 3 2 10 4" xfId="2946" xr:uid="{00000000-0005-0000-0000-0000200E0000}"/>
    <cellStyle name="Вывод 2 3 2 10 4 2" xfId="22475" xr:uid="{00000000-0005-0000-0000-0000210E0000}"/>
    <cellStyle name="Вывод 2 3 2 10 4 3" xfId="38967" xr:uid="{2B19871B-680E-4F18-A95F-546A09967A2F}"/>
    <cellStyle name="Вывод 2 3 2 10 5" xfId="3236" xr:uid="{00000000-0005-0000-0000-0000220E0000}"/>
    <cellStyle name="Вывод 2 3 2 10 5 2" xfId="20896" xr:uid="{00000000-0005-0000-0000-0000230E0000}"/>
    <cellStyle name="Вывод 2 3 2 10 5 3" xfId="37686" xr:uid="{A3646947-8CA6-449B-BACC-7C43B0B32DB0}"/>
    <cellStyle name="Вывод 2 3 2 10 6" xfId="4369" xr:uid="{00000000-0005-0000-0000-0000240E0000}"/>
    <cellStyle name="Вывод 2 3 2 10 7" xfId="4891" xr:uid="{00000000-0005-0000-0000-0000250E0000}"/>
    <cellStyle name="Вывод 2 3 2 10 8" xfId="5372" xr:uid="{00000000-0005-0000-0000-0000260E0000}"/>
    <cellStyle name="Вывод 2 3 2 11" xfId="949" xr:uid="{00000000-0005-0000-0000-0000270E0000}"/>
    <cellStyle name="Вывод 2 3 2 11 2" xfId="2045" xr:uid="{00000000-0005-0000-0000-0000280E0000}"/>
    <cellStyle name="Вывод 2 3 2 11 2 2" xfId="21795" xr:uid="{00000000-0005-0000-0000-0000290E0000}"/>
    <cellStyle name="Вывод 2 3 2 11 2 2 2" xfId="38405" xr:uid="{C7ACCC9D-94D5-4E17-A221-C37AE4DA7A98}"/>
    <cellStyle name="Вывод 2 3 2 11 2 3" xfId="5867" xr:uid="{00000000-0005-0000-0000-00002A0E0000}"/>
    <cellStyle name="Вывод 2 3 2 11 2 4" xfId="23723" xr:uid="{8B34C4C3-B08C-48AD-B940-709528C54D70}"/>
    <cellStyle name="Вывод 2 3 2 11 3" xfId="2835" xr:uid="{00000000-0005-0000-0000-00002B0E0000}"/>
    <cellStyle name="Вывод 2 3 2 11 3 2" xfId="22975" xr:uid="{00000000-0005-0000-0000-00002C0E0000}"/>
    <cellStyle name="Вывод 2 3 2 11 3 2 2" xfId="39441" xr:uid="{5705A617-7584-4D39-AEF1-B73207AEE332}"/>
    <cellStyle name="Вывод 2 3 2 11 3 3" xfId="6711" xr:uid="{00000000-0005-0000-0000-00002D0E0000}"/>
    <cellStyle name="Вывод 2 3 2 11 3 4" xfId="24338" xr:uid="{6B04C272-AC88-4EB7-8236-47395C127EDA}"/>
    <cellStyle name="Вывод 2 3 2 11 4" xfId="3159" xr:uid="{00000000-0005-0000-0000-00002E0E0000}"/>
    <cellStyle name="Вывод 2 3 2 11 4 2" xfId="21091" xr:uid="{00000000-0005-0000-0000-00002F0E0000}"/>
    <cellStyle name="Вывод 2 3 2 11 4 3" xfId="37815" xr:uid="{5C43A437-E88B-41AC-A1D3-9AC3A2D299EF}"/>
    <cellStyle name="Вывод 2 3 2 11 5" xfId="3069" xr:uid="{00000000-0005-0000-0000-0000300E0000}"/>
    <cellStyle name="Вывод 2 3 2 11 6" xfId="4404" xr:uid="{00000000-0005-0000-0000-0000310E0000}"/>
    <cellStyle name="Вывод 2 3 2 11 7" xfId="4924" xr:uid="{00000000-0005-0000-0000-0000320E0000}"/>
    <cellStyle name="Вывод 2 3 2 12" xfId="1920" xr:uid="{00000000-0005-0000-0000-0000330E0000}"/>
    <cellStyle name="Вывод 2 3 2 12 2" xfId="20961" xr:uid="{00000000-0005-0000-0000-0000340E0000}"/>
    <cellStyle name="Вывод 2 3 2 12 2 2" xfId="37738" xr:uid="{58AF3302-B496-4A73-A636-96D7329248B4}"/>
    <cellStyle name="Вывод 2 3 2 12 3" xfId="5704" xr:uid="{00000000-0005-0000-0000-0000350E0000}"/>
    <cellStyle name="Вывод 2 3 2 12 4" xfId="23643" xr:uid="{9CA6B822-686B-454E-9AA8-EFAA196AC8A4}"/>
    <cellStyle name="Вывод 2 3 2 13" xfId="2546" xr:uid="{00000000-0005-0000-0000-0000360E0000}"/>
    <cellStyle name="Вывод 2 3 2 13 2" xfId="21718" xr:uid="{00000000-0005-0000-0000-0000370E0000}"/>
    <cellStyle name="Вывод 2 3 2 13 2 2" xfId="38328" xr:uid="{3646A04C-09B4-4ABC-98E0-E11112A32512}"/>
    <cellStyle name="Вывод 2 3 2 13 3" xfId="6636" xr:uid="{00000000-0005-0000-0000-0000380E0000}"/>
    <cellStyle name="Вывод 2 3 2 13 4" xfId="24263" xr:uid="{EF260A65-2AD6-4DE4-AB65-C4A67B9E4F1A}"/>
    <cellStyle name="Вывод 2 3 2 14" xfId="3090" xr:uid="{00000000-0005-0000-0000-0000390E0000}"/>
    <cellStyle name="Вывод 2 3 2 14 2" xfId="22510" xr:uid="{00000000-0005-0000-0000-00003A0E0000}"/>
    <cellStyle name="Вывод 2 3 2 14 3" xfId="39001" xr:uid="{AFE25D06-96FA-4537-88CB-4F9005BB38DB}"/>
    <cellStyle name="Вывод 2 3 2 15" xfId="3660" xr:uid="{00000000-0005-0000-0000-00003B0E0000}"/>
    <cellStyle name="Вывод 2 3 2 15 2" xfId="7485" xr:uid="{00000000-0005-0000-0000-00003C0E0000}"/>
    <cellStyle name="Вывод 2 3 2 15 3" xfId="24887" xr:uid="{F3233748-F628-42B1-A95B-C96F32C27F12}"/>
    <cellStyle name="Вывод 2 3 2 16" xfId="3921" xr:uid="{00000000-0005-0000-0000-00003D0E0000}"/>
    <cellStyle name="Вывод 2 3 2 17" xfId="4454" xr:uid="{00000000-0005-0000-0000-00003E0E0000}"/>
    <cellStyle name="Вывод 2 3 2 2" xfId="329" xr:uid="{00000000-0005-0000-0000-00003F0E0000}"/>
    <cellStyle name="Вывод 2 3 2 2 2" xfId="1021" xr:uid="{00000000-0005-0000-0000-0000400E0000}"/>
    <cellStyle name="Вывод 2 3 2 2 2 2" xfId="21180" xr:uid="{00000000-0005-0000-0000-0000410E0000}"/>
    <cellStyle name="Вывод 2 3 2 2 2 2 2" xfId="37855" xr:uid="{CF424F17-4347-43E9-BCF0-93031AC90774}"/>
    <cellStyle name="Вывод 2 3 2 2 2 3" xfId="5960" xr:uid="{00000000-0005-0000-0000-0000420E0000}"/>
    <cellStyle name="Вывод 2 3 2 2 2 4" xfId="23763" xr:uid="{94104260-C817-484F-8C85-BDAA6E5B912C}"/>
    <cellStyle name="Вывод 2 3 2 2 3" xfId="2145" xr:uid="{00000000-0005-0000-0000-0000430E0000}"/>
    <cellStyle name="Вывод 2 3 2 2 3 2" xfId="21835" xr:uid="{00000000-0005-0000-0000-0000440E0000}"/>
    <cellStyle name="Вывод 2 3 2 2 3 2 2" xfId="38445" xr:uid="{9830A9E7-A54F-4EAE-9D35-3693A71349E5}"/>
    <cellStyle name="Вывод 2 3 2 2 3 3" xfId="6749" xr:uid="{00000000-0005-0000-0000-0000450E0000}"/>
    <cellStyle name="Вывод 2 3 2 2 3 4" xfId="24376" xr:uid="{8143ED8A-5079-4511-BF88-21CF7582800F}"/>
    <cellStyle name="Вывод 2 3 2 2 4" xfId="2907" xr:uid="{00000000-0005-0000-0000-0000460E0000}"/>
    <cellStyle name="Вывод 2 3 2 2 4 2" xfId="22717" xr:uid="{00000000-0005-0000-0000-0000470E0000}"/>
    <cellStyle name="Вывод 2 3 2 2 4 3" xfId="39186" xr:uid="{5F0CD02C-F3FD-41EB-9803-1A583595741E}"/>
    <cellStyle name="Вывод 2 3 2 2 5" xfId="3748" xr:uid="{00000000-0005-0000-0000-0000480E0000}"/>
    <cellStyle name="Вывод 2 3 2 2 5 2" xfId="14067" xr:uid="{00000000-0005-0000-0000-0000490E0000}"/>
    <cellStyle name="Вывод 2 3 2 2 5 3" xfId="31106" xr:uid="{F21618AE-CE05-4D1C-AF73-C21F2951B87B}"/>
    <cellStyle name="Вывод 2 3 2 2 6" xfId="3933" xr:uid="{00000000-0005-0000-0000-00004A0E0000}"/>
    <cellStyle name="Вывод 2 3 2 2 7" xfId="4465" xr:uid="{00000000-0005-0000-0000-00004B0E0000}"/>
    <cellStyle name="Вывод 2 3 2 2 8" xfId="4956" xr:uid="{00000000-0005-0000-0000-00004C0E0000}"/>
    <cellStyle name="Вывод 2 3 2 3" xfId="450" xr:uid="{00000000-0005-0000-0000-00004D0E0000}"/>
    <cellStyle name="Вывод 2 3 2 3 2" xfId="1282" xr:uid="{00000000-0005-0000-0000-00004E0E0000}"/>
    <cellStyle name="Вывод 2 3 2 3 2 2" xfId="21275" xr:uid="{00000000-0005-0000-0000-00004F0E0000}"/>
    <cellStyle name="Вывод 2 3 2 3 2 2 2" xfId="37917" xr:uid="{82FDD55C-DA2E-41E6-869B-F00CE3785B57}"/>
    <cellStyle name="Вывод 2 3 2 3 2 3" xfId="6038" xr:uid="{00000000-0005-0000-0000-0000500E0000}"/>
    <cellStyle name="Вывод 2 3 2 3 2 4" xfId="23825" xr:uid="{777D4349-2DBB-43D8-9970-FFC2B6325691}"/>
    <cellStyle name="Вывод 2 3 2 3 3" xfId="2159" xr:uid="{00000000-0005-0000-0000-0000510E0000}"/>
    <cellStyle name="Вывод 2 3 2 3 3 2" xfId="21897" xr:uid="{00000000-0005-0000-0000-0000520E0000}"/>
    <cellStyle name="Вывод 2 3 2 3 3 2 2" xfId="38507" xr:uid="{41F1186B-D01F-421A-8AE8-2D1781F7054E}"/>
    <cellStyle name="Вывод 2 3 2 3 3 3" xfId="6808" xr:uid="{00000000-0005-0000-0000-0000530E0000}"/>
    <cellStyle name="Вывод 2 3 2 3 3 4" xfId="24435" xr:uid="{94C0CAFF-953A-46E1-95EE-2374A081C493}"/>
    <cellStyle name="Вывод 2 3 2 3 4" xfId="2716" xr:uid="{00000000-0005-0000-0000-0000540E0000}"/>
    <cellStyle name="Вывод 2 3 2 3 4 2" xfId="22931" xr:uid="{00000000-0005-0000-0000-0000550E0000}"/>
    <cellStyle name="Вывод 2 3 2 3 4 3" xfId="39397" xr:uid="{46048C8C-53C9-4CEE-B232-FBD4D2BEAE99}"/>
    <cellStyle name="Вывод 2 3 2 3 5" xfId="3590" xr:uid="{00000000-0005-0000-0000-0000560E0000}"/>
    <cellStyle name="Вывод 2 3 2 3 5 2" xfId="20420" xr:uid="{00000000-0005-0000-0000-0000570E0000}"/>
    <cellStyle name="Вывод 2 3 2 3 5 3" xfId="37327" xr:uid="{E2703332-C922-4EC0-B505-40213749C9B0}"/>
    <cellStyle name="Вывод 2 3 2 3 6" xfId="4011" xr:uid="{00000000-0005-0000-0000-0000580E0000}"/>
    <cellStyle name="Вывод 2 3 2 3 7" xfId="4533" xr:uid="{00000000-0005-0000-0000-0000590E0000}"/>
    <cellStyle name="Вывод 2 3 2 3 8" xfId="5015" xr:uid="{00000000-0005-0000-0000-00005A0E0000}"/>
    <cellStyle name="Вывод 2 3 2 4" xfId="496" xr:uid="{00000000-0005-0000-0000-00005B0E0000}"/>
    <cellStyle name="Вывод 2 3 2 4 2" xfId="1328" xr:uid="{00000000-0005-0000-0000-00005C0E0000}"/>
    <cellStyle name="Вывод 2 3 2 4 2 2" xfId="21321" xr:uid="{00000000-0005-0000-0000-00005D0E0000}"/>
    <cellStyle name="Вывод 2 3 2 4 2 2 2" xfId="37963" xr:uid="{A213B134-C4A0-46A7-9772-3B3FAAFDE657}"/>
    <cellStyle name="Вывод 2 3 2 4 2 3" xfId="6084" xr:uid="{00000000-0005-0000-0000-00005E0E0000}"/>
    <cellStyle name="Вывод 2 3 2 4 2 4" xfId="23871" xr:uid="{A904B611-2F71-4C3D-A2FA-A40437D4DA5A}"/>
    <cellStyle name="Вывод 2 3 2 4 3" xfId="1926" xr:uid="{00000000-0005-0000-0000-00005F0E0000}"/>
    <cellStyle name="Вывод 2 3 2 4 3 2" xfId="21943" xr:uid="{00000000-0005-0000-0000-0000600E0000}"/>
    <cellStyle name="Вывод 2 3 2 4 3 2 2" xfId="38553" xr:uid="{4C146ECE-50D8-4BBE-BFD8-14055F5A78E8}"/>
    <cellStyle name="Вывод 2 3 2 4 3 3" xfId="6853" xr:uid="{00000000-0005-0000-0000-0000610E0000}"/>
    <cellStyle name="Вывод 2 3 2 4 3 4" xfId="24480" xr:uid="{D991D899-F2D3-4A18-9782-EBD738FF1B7B}"/>
    <cellStyle name="Вывод 2 3 2 4 4" xfId="2732" xr:uid="{00000000-0005-0000-0000-0000620E0000}"/>
    <cellStyle name="Вывод 2 3 2 4 4 2" xfId="22980" xr:uid="{00000000-0005-0000-0000-0000630E0000}"/>
    <cellStyle name="Вывод 2 3 2 4 4 3" xfId="39446" xr:uid="{3A48FF63-AB73-4405-A633-75C0CACABF19}"/>
    <cellStyle name="Вывод 2 3 2 4 5" xfId="3616" xr:uid="{00000000-0005-0000-0000-0000640E0000}"/>
    <cellStyle name="Вывод 2 3 2 4 5 2" xfId="20482" xr:uid="{00000000-0005-0000-0000-0000650E0000}"/>
    <cellStyle name="Вывод 2 3 2 4 5 3" xfId="37374" xr:uid="{F2A1DD56-4118-471B-AB77-848231264E11}"/>
    <cellStyle name="Вывод 2 3 2 4 6" xfId="4056" xr:uid="{00000000-0005-0000-0000-0000660E0000}"/>
    <cellStyle name="Вывод 2 3 2 4 7" xfId="4578" xr:uid="{00000000-0005-0000-0000-0000670E0000}"/>
    <cellStyle name="Вывод 2 3 2 4 8" xfId="5060" xr:uid="{00000000-0005-0000-0000-0000680E0000}"/>
    <cellStyle name="Вывод 2 3 2 5" xfId="548" xr:uid="{00000000-0005-0000-0000-0000690E0000}"/>
    <cellStyle name="Вывод 2 3 2 5 2" xfId="1380" xr:uid="{00000000-0005-0000-0000-00006A0E0000}"/>
    <cellStyle name="Вывод 2 3 2 5 2 2" xfId="21373" xr:uid="{00000000-0005-0000-0000-00006B0E0000}"/>
    <cellStyle name="Вывод 2 3 2 5 2 2 2" xfId="38015" xr:uid="{D3194BA6-C6C1-4D76-B5A3-928299EB2E7B}"/>
    <cellStyle name="Вывод 2 3 2 5 2 3" xfId="6136" xr:uid="{00000000-0005-0000-0000-00006C0E0000}"/>
    <cellStyle name="Вывод 2 3 2 5 2 4" xfId="23923" xr:uid="{70B34470-7269-48B4-BA54-43D0802EB131}"/>
    <cellStyle name="Вывод 2 3 2 5 3" xfId="1961" xr:uid="{00000000-0005-0000-0000-00006D0E0000}"/>
    <cellStyle name="Вывод 2 3 2 5 3 2" xfId="21995" xr:uid="{00000000-0005-0000-0000-00006E0E0000}"/>
    <cellStyle name="Вывод 2 3 2 5 3 2 2" xfId="38605" xr:uid="{03D858F7-DCE3-4B97-A44E-DC1D56C7F036}"/>
    <cellStyle name="Вывод 2 3 2 5 3 3" xfId="6905" xr:uid="{00000000-0005-0000-0000-00006F0E0000}"/>
    <cellStyle name="Вывод 2 3 2 5 3 4" xfId="24532" xr:uid="{4BD25A7C-FDE1-4AA3-BADA-0B197F0CE08F}"/>
    <cellStyle name="Вывод 2 3 2 5 4" xfId="2759" xr:uid="{00000000-0005-0000-0000-0000700E0000}"/>
    <cellStyle name="Вывод 2 3 2 5 4 2" xfId="23022" xr:uid="{00000000-0005-0000-0000-0000710E0000}"/>
    <cellStyle name="Вывод 2 3 2 5 4 3" xfId="39488" xr:uid="{D8685BD4-C720-41E3-B102-9DF34B483EBB}"/>
    <cellStyle name="Вывод 2 3 2 5 5" xfId="3713" xr:uid="{00000000-0005-0000-0000-0000720E0000}"/>
    <cellStyle name="Вывод 2 3 2 5 5 2" xfId="20594" xr:uid="{00000000-0005-0000-0000-0000730E0000}"/>
    <cellStyle name="Вывод 2 3 2 5 5 3" xfId="37440" xr:uid="{39056C80-23C9-4DAB-9FA7-D89E3092942C}"/>
    <cellStyle name="Вывод 2 3 2 5 6" xfId="4108" xr:uid="{00000000-0005-0000-0000-0000740E0000}"/>
    <cellStyle name="Вывод 2 3 2 5 7" xfId="4630" xr:uid="{00000000-0005-0000-0000-0000750E0000}"/>
    <cellStyle name="Вывод 2 3 2 5 8" xfId="5112" xr:uid="{00000000-0005-0000-0000-0000760E0000}"/>
    <cellStyle name="Вывод 2 3 2 6" xfId="600" xr:uid="{00000000-0005-0000-0000-0000770E0000}"/>
    <cellStyle name="Вывод 2 3 2 6 2" xfId="1432" xr:uid="{00000000-0005-0000-0000-0000780E0000}"/>
    <cellStyle name="Вывод 2 3 2 6 2 2" xfId="21425" xr:uid="{00000000-0005-0000-0000-0000790E0000}"/>
    <cellStyle name="Вывод 2 3 2 6 2 2 2" xfId="38067" xr:uid="{B9B93F55-7915-443C-81F5-262787002DEC}"/>
    <cellStyle name="Вывод 2 3 2 6 2 3" xfId="6188" xr:uid="{00000000-0005-0000-0000-00007A0E0000}"/>
    <cellStyle name="Вывод 2 3 2 6 2 4" xfId="23975" xr:uid="{3CBB866B-5204-468E-9AE5-278C9C683759}"/>
    <cellStyle name="Вывод 2 3 2 6 3" xfId="2197" xr:uid="{00000000-0005-0000-0000-00007B0E0000}"/>
    <cellStyle name="Вывод 2 3 2 6 3 2" xfId="22047" xr:uid="{00000000-0005-0000-0000-00007C0E0000}"/>
    <cellStyle name="Вывод 2 3 2 6 3 2 2" xfId="38657" xr:uid="{2B685427-0503-4B12-89B3-0E992120BA56}"/>
    <cellStyle name="Вывод 2 3 2 6 3 3" xfId="6957" xr:uid="{00000000-0005-0000-0000-00007D0E0000}"/>
    <cellStyle name="Вывод 2 3 2 6 3 4" xfId="24584" xr:uid="{6B328A94-D352-426C-BFF6-45EA90FAE884}"/>
    <cellStyle name="Вывод 2 3 2 6 4" xfId="2639" xr:uid="{00000000-0005-0000-0000-00007E0E0000}"/>
    <cellStyle name="Вывод 2 3 2 6 4 2" xfId="22855" xr:uid="{00000000-0005-0000-0000-00007F0E0000}"/>
    <cellStyle name="Вывод 2 3 2 6 4 3" xfId="39321" xr:uid="{5F84114E-AC40-49D3-A6EE-1DC4CD66DE47}"/>
    <cellStyle name="Вывод 2 3 2 6 5" xfId="3491" xr:uid="{00000000-0005-0000-0000-0000800E0000}"/>
    <cellStyle name="Вывод 2 3 2 6 5 2" xfId="20636" xr:uid="{00000000-0005-0000-0000-0000810E0000}"/>
    <cellStyle name="Вывод 2 3 2 6 5 3" xfId="37478" xr:uid="{548669E8-8488-418D-8655-06BF1260ED2C}"/>
    <cellStyle name="Вывод 2 3 2 6 6" xfId="4160" xr:uid="{00000000-0005-0000-0000-0000820E0000}"/>
    <cellStyle name="Вывод 2 3 2 6 7" xfId="4682" xr:uid="{00000000-0005-0000-0000-0000830E0000}"/>
    <cellStyle name="Вывод 2 3 2 6 8" xfId="5164" xr:uid="{00000000-0005-0000-0000-0000840E0000}"/>
    <cellStyle name="Вывод 2 3 2 7" xfId="699" xr:uid="{00000000-0005-0000-0000-0000850E0000}"/>
    <cellStyle name="Вывод 2 3 2 7 2" xfId="1529" xr:uid="{00000000-0005-0000-0000-0000860E0000}"/>
    <cellStyle name="Вывод 2 3 2 7 2 2" xfId="21522" xr:uid="{00000000-0005-0000-0000-0000870E0000}"/>
    <cellStyle name="Вывод 2 3 2 7 2 2 2" xfId="38164" xr:uid="{EA510D26-7506-41ED-9E0C-A784A1738C52}"/>
    <cellStyle name="Вывод 2 3 2 7 2 3" xfId="6285" xr:uid="{00000000-0005-0000-0000-0000880E0000}"/>
    <cellStyle name="Вывод 2 3 2 7 2 4" xfId="24072" xr:uid="{9A6C9D60-9D66-4AE1-80EC-C379B2FB84FF}"/>
    <cellStyle name="Вывод 2 3 2 7 3" xfId="1718" xr:uid="{00000000-0005-0000-0000-0000890E0000}"/>
    <cellStyle name="Вывод 2 3 2 7 3 2" xfId="22144" xr:uid="{00000000-0005-0000-0000-00008A0E0000}"/>
    <cellStyle name="Вывод 2 3 2 7 3 2 2" xfId="38754" xr:uid="{349E6146-5F1C-4AE9-9C8F-07C14504AD18}"/>
    <cellStyle name="Вывод 2 3 2 7 3 3" xfId="7054" xr:uid="{00000000-0005-0000-0000-00008B0E0000}"/>
    <cellStyle name="Вывод 2 3 2 7 3 4" xfId="24681" xr:uid="{06FE8C30-71CD-43A9-AC40-86D48F289B33}"/>
    <cellStyle name="Вывод 2 3 2 7 4" xfId="2358" xr:uid="{00000000-0005-0000-0000-00008C0E0000}"/>
    <cellStyle name="Вывод 2 3 2 7 4 2" xfId="22535" xr:uid="{00000000-0005-0000-0000-00008D0E0000}"/>
    <cellStyle name="Вывод 2 3 2 7 4 3" xfId="39014" xr:uid="{9920C72C-7353-4557-A0C1-4F09C6139631}"/>
    <cellStyle name="Вывод 2 3 2 7 5" xfId="2985" xr:uid="{00000000-0005-0000-0000-00008E0E0000}"/>
    <cellStyle name="Вывод 2 3 2 7 5 2" xfId="20701" xr:uid="{00000000-0005-0000-0000-00008F0E0000}"/>
    <cellStyle name="Вывод 2 3 2 7 5 3" xfId="37530" xr:uid="{CC53118C-91ED-481E-BEE9-FA2ED754D4A5}"/>
    <cellStyle name="Вывод 2 3 2 7 6" xfId="4258" xr:uid="{00000000-0005-0000-0000-0000900E0000}"/>
    <cellStyle name="Вывод 2 3 2 7 7" xfId="4780" xr:uid="{00000000-0005-0000-0000-0000910E0000}"/>
    <cellStyle name="Вывод 2 3 2 7 8" xfId="5261" xr:uid="{00000000-0005-0000-0000-0000920E0000}"/>
    <cellStyle name="Вывод 2 3 2 8" xfId="745" xr:uid="{00000000-0005-0000-0000-0000930E0000}"/>
    <cellStyle name="Вывод 2 3 2 8 2" xfId="1575" xr:uid="{00000000-0005-0000-0000-0000940E0000}"/>
    <cellStyle name="Вывод 2 3 2 8 2 2" xfId="21568" xr:uid="{00000000-0005-0000-0000-0000950E0000}"/>
    <cellStyle name="Вывод 2 3 2 8 2 2 2" xfId="38210" xr:uid="{425C4CC2-1C20-43FE-A3D9-1959E1FCB918}"/>
    <cellStyle name="Вывод 2 3 2 8 2 3" xfId="6331" xr:uid="{00000000-0005-0000-0000-0000960E0000}"/>
    <cellStyle name="Вывод 2 3 2 8 2 4" xfId="24118" xr:uid="{D8A43166-903B-452F-A9F2-3800FC2BD18E}"/>
    <cellStyle name="Вывод 2 3 2 8 3" xfId="1703" xr:uid="{00000000-0005-0000-0000-0000970E0000}"/>
    <cellStyle name="Вывод 2 3 2 8 3 2" xfId="22190" xr:uid="{00000000-0005-0000-0000-0000980E0000}"/>
    <cellStyle name="Вывод 2 3 2 8 3 2 2" xfId="38800" xr:uid="{E9924D88-8701-44A3-88D8-0BFDD4299595}"/>
    <cellStyle name="Вывод 2 3 2 8 3 3" xfId="7100" xr:uid="{00000000-0005-0000-0000-0000990E0000}"/>
    <cellStyle name="Вывод 2 3 2 8 3 4" xfId="24727" xr:uid="{704D0572-A806-4910-AA10-1CB4D6451953}"/>
    <cellStyle name="Вывод 2 3 2 8 4" xfId="2514" xr:uid="{00000000-0005-0000-0000-00009A0E0000}"/>
    <cellStyle name="Вывод 2 3 2 8 4 2" xfId="22484" xr:uid="{00000000-0005-0000-0000-00009B0E0000}"/>
    <cellStyle name="Вывод 2 3 2 8 4 3" xfId="38976" xr:uid="{9583A973-D070-4F93-B8DF-740E4EDDC884}"/>
    <cellStyle name="Вывод 2 3 2 8 5" xfId="3862" xr:uid="{00000000-0005-0000-0000-00009C0E0000}"/>
    <cellStyle name="Вывод 2 3 2 8 5 2" xfId="20766" xr:uid="{00000000-0005-0000-0000-00009D0E0000}"/>
    <cellStyle name="Вывод 2 3 2 8 5 3" xfId="37582" xr:uid="{EC3D8E2C-8BCE-4486-9231-AB1C3FB5A077}"/>
    <cellStyle name="Вывод 2 3 2 8 6" xfId="4304" xr:uid="{00000000-0005-0000-0000-00009E0E0000}"/>
    <cellStyle name="Вывод 2 3 2 8 7" xfId="4826" xr:uid="{00000000-0005-0000-0000-00009F0E0000}"/>
    <cellStyle name="Вывод 2 3 2 8 8" xfId="5307" xr:uid="{00000000-0005-0000-0000-0000A00E0000}"/>
    <cellStyle name="Вывод 2 3 2 9" xfId="779" xr:uid="{00000000-0005-0000-0000-0000A10E0000}"/>
    <cellStyle name="Вывод 2 3 2 9 2" xfId="1608" xr:uid="{00000000-0005-0000-0000-0000A20E0000}"/>
    <cellStyle name="Вывод 2 3 2 9 2 2" xfId="21601" xr:uid="{00000000-0005-0000-0000-0000A30E0000}"/>
    <cellStyle name="Вывод 2 3 2 9 2 2 2" xfId="38243" xr:uid="{8012C408-9E84-4A51-B9E6-14F57CEC3C8E}"/>
    <cellStyle name="Вывод 2 3 2 9 2 3" xfId="6364" xr:uid="{00000000-0005-0000-0000-0000A40E0000}"/>
    <cellStyle name="Вывод 2 3 2 9 2 4" xfId="24151" xr:uid="{71025DB3-995B-4653-B4BC-5B613ADECF6C}"/>
    <cellStyle name="Вывод 2 3 2 9 3" xfId="2002" xr:uid="{00000000-0005-0000-0000-0000A50E0000}"/>
    <cellStyle name="Вывод 2 3 2 9 3 2" xfId="22223" xr:uid="{00000000-0005-0000-0000-0000A60E0000}"/>
    <cellStyle name="Вывод 2 3 2 9 3 2 2" xfId="38833" xr:uid="{42F458B2-F64B-46DB-B10C-D20D15F3F082}"/>
    <cellStyle name="Вывод 2 3 2 9 3 3" xfId="7133" xr:uid="{00000000-0005-0000-0000-0000A70E0000}"/>
    <cellStyle name="Вывод 2 3 2 9 3 4" xfId="24760" xr:uid="{4D07707D-F527-417F-9630-5870D3FCF17C}"/>
    <cellStyle name="Вывод 2 3 2 9 4" xfId="2535" xr:uid="{00000000-0005-0000-0000-0000A80E0000}"/>
    <cellStyle name="Вывод 2 3 2 9 4 2" xfId="22479" xr:uid="{00000000-0005-0000-0000-0000A90E0000}"/>
    <cellStyle name="Вывод 2 3 2 9 4 3" xfId="38971" xr:uid="{49F8CD60-0763-488E-A176-C796C423D2D8}"/>
    <cellStyle name="Вывод 2 3 2 9 5" xfId="3016" xr:uid="{00000000-0005-0000-0000-0000AA0E0000}"/>
    <cellStyle name="Вывод 2 3 2 9 5 2" xfId="20831" xr:uid="{00000000-0005-0000-0000-0000AB0E0000}"/>
    <cellStyle name="Вывод 2 3 2 9 5 3" xfId="37634" xr:uid="{C613A797-75B1-4130-8D66-C9A660E2005C}"/>
    <cellStyle name="Вывод 2 3 2 9 6" xfId="4337" xr:uid="{00000000-0005-0000-0000-0000AC0E0000}"/>
    <cellStyle name="Вывод 2 3 2 9 7" xfId="4859" xr:uid="{00000000-0005-0000-0000-0000AD0E0000}"/>
    <cellStyle name="Вывод 2 3 2 9 8" xfId="5340" xr:uid="{00000000-0005-0000-0000-0000AE0E0000}"/>
    <cellStyle name="Вывод 2 3 3" xfId="990" xr:uid="{00000000-0005-0000-0000-0000AF0E0000}"/>
    <cellStyle name="Вывод 2 3 3 2" xfId="1886" xr:uid="{00000000-0005-0000-0000-0000B00E0000}"/>
    <cellStyle name="Вывод 2 3 3 2 2" xfId="21048" xr:uid="{00000000-0005-0000-0000-0000B10E0000}"/>
    <cellStyle name="Вывод 2 3 3 2 2 2" xfId="37787" xr:uid="{81D53DB0-145B-46C3-A050-EDE9BF580C8A}"/>
    <cellStyle name="Вывод 2 3 3 2 3" xfId="5824" xr:uid="{00000000-0005-0000-0000-0000B20E0000}"/>
    <cellStyle name="Вывод 2 3 3 2 4" xfId="23695" xr:uid="{DF07D10E-DDE6-4E6F-9437-EA4BD45CB6C5}"/>
    <cellStyle name="Вывод 2 3 3 3" xfId="2659" xr:uid="{00000000-0005-0000-0000-0000B30E0000}"/>
    <cellStyle name="Вывод 2 3 3 3 2" xfId="21767" xr:uid="{00000000-0005-0000-0000-0000B40E0000}"/>
    <cellStyle name="Вывод 2 3 3 3 2 2" xfId="38377" xr:uid="{7B6E8229-7D3A-445B-889E-96649E97504B}"/>
    <cellStyle name="Вывод 2 3 3 3 3" xfId="6683" xr:uid="{00000000-0005-0000-0000-0000B50E0000}"/>
    <cellStyle name="Вывод 2 3 3 3 4" xfId="24310" xr:uid="{8DE021B0-A19E-4B6A-855D-F961DFAB5BCB}"/>
    <cellStyle name="Вывод 2 3 3 4" xfId="3684" xr:uid="{00000000-0005-0000-0000-0000B60E0000}"/>
    <cellStyle name="Вывод 2 3 3 4 2" xfId="22506" xr:uid="{00000000-0005-0000-0000-0000B70E0000}"/>
    <cellStyle name="Вывод 2 3 3 4 3" xfId="38998" xr:uid="{92A394A8-CBA2-4809-918F-85CD0F2D0076}"/>
    <cellStyle name="Вывод 2 3 3 5" xfId="3391" xr:uid="{00000000-0005-0000-0000-0000B80E0000}"/>
    <cellStyle name="Вывод 2 3 3 5 2" xfId="14036" xr:uid="{00000000-0005-0000-0000-0000B90E0000}"/>
    <cellStyle name="Вывод 2 3 3 5 3" xfId="31075" xr:uid="{D8761E2C-9989-4172-9CD2-BDAAC8335F4B}"/>
    <cellStyle name="Вывод 2 3 3 6" xfId="3972" xr:uid="{00000000-0005-0000-0000-0000BA0E0000}"/>
    <cellStyle name="Вывод 2 3 3 7" xfId="4499" xr:uid="{00000000-0005-0000-0000-0000BB0E0000}"/>
    <cellStyle name="Вывод 2 3 4" xfId="881" xr:uid="{00000000-0005-0000-0000-0000BC0E0000}"/>
    <cellStyle name="Вывод 2 3 4 2" xfId="22734" xr:uid="{00000000-0005-0000-0000-0000BD0E0000}"/>
    <cellStyle name="Вывод 2 3 4 2 2" xfId="39203" xr:uid="{33EA0B1F-6FE5-4795-A4CA-3D2672ABF31D}"/>
    <cellStyle name="Вывод 2 3 4 3" xfId="5601" xr:uid="{00000000-0005-0000-0000-0000BE0E0000}"/>
    <cellStyle name="Вывод 2 3 4 4" xfId="23609" xr:uid="{3C9F2F44-ACEF-4537-AB89-D2295C51FF6C}"/>
    <cellStyle name="Вывод 2 3 5" xfId="2137" xr:uid="{00000000-0005-0000-0000-0000BF0E0000}"/>
    <cellStyle name="Вывод 2 3 5 2" xfId="6603" xr:uid="{00000000-0005-0000-0000-0000C00E0000}"/>
    <cellStyle name="Вывод 2 3 5 3" xfId="24230" xr:uid="{7790F696-5496-4F7F-9817-488E61BA07AE}"/>
    <cellStyle name="Вывод 2 3 6" xfId="2881" xr:uid="{00000000-0005-0000-0000-0000C10E0000}"/>
    <cellStyle name="Вывод 2 3 6 2" xfId="7396" xr:uid="{00000000-0005-0000-0000-0000C20E0000}"/>
    <cellStyle name="Вывод 2 3 6 3" xfId="24856" xr:uid="{21EC643A-3521-410B-8098-3FD9B322B086}"/>
    <cellStyle name="Вывод 2 3 7" xfId="3357" xr:uid="{00000000-0005-0000-0000-0000C30E0000}"/>
    <cellStyle name="Вывод 2 3 8" xfId="3007" xr:uid="{00000000-0005-0000-0000-0000C40E0000}"/>
    <cellStyle name="Вывод 2 3 9" xfId="3297" xr:uid="{00000000-0005-0000-0000-0000C50E0000}"/>
    <cellStyle name="Вывод 2 4" xfId="191" xr:uid="{00000000-0005-0000-0000-0000C60E0000}"/>
    <cellStyle name="Вывод 2 4 10" xfId="4463" xr:uid="{00000000-0005-0000-0000-0000C70E0000}"/>
    <cellStyle name="Вывод 2 4 2" xfId="233" xr:uid="{00000000-0005-0000-0000-0000C80E0000}"/>
    <cellStyle name="Вывод 2 4 2 10" xfId="816" xr:uid="{00000000-0005-0000-0000-0000C90E0000}"/>
    <cellStyle name="Вывод 2 4 2 10 2" xfId="1645" xr:uid="{00000000-0005-0000-0000-0000CA0E0000}"/>
    <cellStyle name="Вывод 2 4 2 10 2 2" xfId="21638" xr:uid="{00000000-0005-0000-0000-0000CB0E0000}"/>
    <cellStyle name="Вывод 2 4 2 10 2 2 2" xfId="38280" xr:uid="{58385995-2298-46B1-8257-DECE1D535170}"/>
    <cellStyle name="Вывод 2 4 2 10 2 3" xfId="6401" xr:uid="{00000000-0005-0000-0000-0000CC0E0000}"/>
    <cellStyle name="Вывод 2 4 2 10 2 4" xfId="24188" xr:uid="{89E9102E-965E-43AB-9509-B282C682B962}"/>
    <cellStyle name="Вывод 2 4 2 10 3" xfId="1735" xr:uid="{00000000-0005-0000-0000-0000CD0E0000}"/>
    <cellStyle name="Вывод 2 4 2 10 3 2" xfId="22260" xr:uid="{00000000-0005-0000-0000-0000CE0E0000}"/>
    <cellStyle name="Вывод 2 4 2 10 3 2 2" xfId="38870" xr:uid="{A21295F0-AC71-440D-B0DB-8AAA98A3AA87}"/>
    <cellStyle name="Вывод 2 4 2 10 3 3" xfId="7170" xr:uid="{00000000-0005-0000-0000-0000CF0E0000}"/>
    <cellStyle name="Вывод 2 4 2 10 3 4" xfId="24797" xr:uid="{D2B1555B-0BE8-4B0C-ABE9-ED0567A20344}"/>
    <cellStyle name="Вывод 2 4 2 10 4" xfId="2594" xr:uid="{00000000-0005-0000-0000-0000D00E0000}"/>
    <cellStyle name="Вывод 2 4 2 10 4 2" xfId="22682" xr:uid="{00000000-0005-0000-0000-0000D10E0000}"/>
    <cellStyle name="Вывод 2 4 2 10 4 3" xfId="39154" xr:uid="{C09F9409-AF17-4CE8-A511-1475EF28AF87}"/>
    <cellStyle name="Вывод 2 4 2 10 5" xfId="2958" xr:uid="{00000000-0005-0000-0000-0000D20E0000}"/>
    <cellStyle name="Вывод 2 4 2 10 5 2" xfId="20901" xr:uid="{00000000-0005-0000-0000-0000D30E0000}"/>
    <cellStyle name="Вывод 2 4 2 10 5 3" xfId="37691" xr:uid="{C72CA545-61A5-4C82-B7AC-EBCE652D7110}"/>
    <cellStyle name="Вывод 2 4 2 10 6" xfId="4374" xr:uid="{00000000-0005-0000-0000-0000D40E0000}"/>
    <cellStyle name="Вывод 2 4 2 10 7" xfId="4896" xr:uid="{00000000-0005-0000-0000-0000D50E0000}"/>
    <cellStyle name="Вывод 2 4 2 10 8" xfId="5377" xr:uid="{00000000-0005-0000-0000-0000D60E0000}"/>
    <cellStyle name="Вывод 2 4 2 11" xfId="954" xr:uid="{00000000-0005-0000-0000-0000D70E0000}"/>
    <cellStyle name="Вывод 2 4 2 11 2" xfId="1790" xr:uid="{00000000-0005-0000-0000-0000D80E0000}"/>
    <cellStyle name="Вывод 2 4 2 11 2 2" xfId="21800" xr:uid="{00000000-0005-0000-0000-0000D90E0000}"/>
    <cellStyle name="Вывод 2 4 2 11 2 2 2" xfId="38410" xr:uid="{308C1D63-7DFF-4D12-8001-A483DD782F26}"/>
    <cellStyle name="Вывод 2 4 2 11 2 3" xfId="5872" xr:uid="{00000000-0005-0000-0000-0000DA0E0000}"/>
    <cellStyle name="Вывод 2 4 2 11 2 4" xfId="23728" xr:uid="{E622208D-9ABD-4C76-AF98-C6559567ABB1}"/>
    <cellStyle name="Вывод 2 4 2 11 3" xfId="2626" xr:uid="{00000000-0005-0000-0000-0000DB0E0000}"/>
    <cellStyle name="Вывод 2 4 2 11 3 2" xfId="23059" xr:uid="{00000000-0005-0000-0000-0000DC0E0000}"/>
    <cellStyle name="Вывод 2 4 2 11 3 2 2" xfId="39525" xr:uid="{0E711534-767A-48DA-B21F-79870167A641}"/>
    <cellStyle name="Вывод 2 4 2 11 3 3" xfId="6716" xr:uid="{00000000-0005-0000-0000-0000DD0E0000}"/>
    <cellStyle name="Вывод 2 4 2 11 3 4" xfId="24343" xr:uid="{CB5503B5-E5F5-4163-B749-E0994AAB209F}"/>
    <cellStyle name="Вывод 2 4 2 11 4" xfId="3780" xr:uid="{00000000-0005-0000-0000-0000DE0E0000}"/>
    <cellStyle name="Вывод 2 4 2 11 4 2" xfId="21096" xr:uid="{00000000-0005-0000-0000-0000DF0E0000}"/>
    <cellStyle name="Вывод 2 4 2 11 4 3" xfId="37820" xr:uid="{2B7EC0E5-7C68-4BE1-B5D3-C8E11E734593}"/>
    <cellStyle name="Вывод 2 4 2 11 5" xfId="3042" xr:uid="{00000000-0005-0000-0000-0000E00E0000}"/>
    <cellStyle name="Вывод 2 4 2 11 6" xfId="3603" xr:uid="{00000000-0005-0000-0000-0000E10E0000}"/>
    <cellStyle name="Вывод 2 4 2 11 7" xfId="3640" xr:uid="{00000000-0005-0000-0000-0000E20E0000}"/>
    <cellStyle name="Вывод 2 4 2 12" xfId="1821" xr:uid="{00000000-0005-0000-0000-0000E30E0000}"/>
    <cellStyle name="Вывод 2 4 2 12 2" xfId="20966" xr:uid="{00000000-0005-0000-0000-0000E40E0000}"/>
    <cellStyle name="Вывод 2 4 2 12 2 2" xfId="37743" xr:uid="{8EEB4989-BD1D-4949-98E7-7660E1BD4D5C}"/>
    <cellStyle name="Вывод 2 4 2 12 3" xfId="5714" xr:uid="{00000000-0005-0000-0000-0000E50E0000}"/>
    <cellStyle name="Вывод 2 4 2 12 4" xfId="23648" xr:uid="{6AA50F44-EBAD-4D8C-8DD1-4957949EEE17}"/>
    <cellStyle name="Вывод 2 4 2 13" xfId="2471" xr:uid="{00000000-0005-0000-0000-0000E60E0000}"/>
    <cellStyle name="Вывод 2 4 2 13 2" xfId="21723" xr:uid="{00000000-0005-0000-0000-0000E70E0000}"/>
    <cellStyle name="Вывод 2 4 2 13 2 2" xfId="38333" xr:uid="{1EDA134A-351C-419B-9340-FA4E075B8C71}"/>
    <cellStyle name="Вывод 2 4 2 13 3" xfId="6641" xr:uid="{00000000-0005-0000-0000-0000E80E0000}"/>
    <cellStyle name="Вывод 2 4 2 13 4" xfId="24268" xr:uid="{CDCFEFFB-9DEF-4F62-801E-6F3C3068FC67}"/>
    <cellStyle name="Вывод 2 4 2 14" xfId="3112" xr:uid="{00000000-0005-0000-0000-0000E90E0000}"/>
    <cellStyle name="Вывод 2 4 2 14 2" xfId="22632" xr:uid="{00000000-0005-0000-0000-0000EA0E0000}"/>
    <cellStyle name="Вывод 2 4 2 14 3" xfId="39105" xr:uid="{3B2532CC-F5B1-46BB-9861-5C570856D664}"/>
    <cellStyle name="Вывод 2 4 2 15" xfId="3791" xr:uid="{00000000-0005-0000-0000-0000EB0E0000}"/>
    <cellStyle name="Вывод 2 4 2 15 2" xfId="7490" xr:uid="{00000000-0005-0000-0000-0000EC0E0000}"/>
    <cellStyle name="Вывод 2 4 2 15 3" xfId="24892" xr:uid="{6977FDF9-C8C7-432E-9F35-09CF38CA625C}"/>
    <cellStyle name="Вывод 2 4 2 16" xfId="3004" xr:uid="{00000000-0005-0000-0000-0000ED0E0000}"/>
    <cellStyle name="Вывод 2 4 2 17" xfId="4407" xr:uid="{00000000-0005-0000-0000-0000EE0E0000}"/>
    <cellStyle name="Вывод 2 4 2 2" xfId="339" xr:uid="{00000000-0005-0000-0000-0000EF0E0000}"/>
    <cellStyle name="Вывод 2 4 2 2 2" xfId="1026" xr:uid="{00000000-0005-0000-0000-0000F00E0000}"/>
    <cellStyle name="Вывод 2 4 2 2 2 2" xfId="21190" xr:uid="{00000000-0005-0000-0000-0000F10E0000}"/>
    <cellStyle name="Вывод 2 4 2 2 2 2 2" xfId="37860" xr:uid="{183B9A04-7B29-4464-9035-2792328FE1B2}"/>
    <cellStyle name="Вывод 2 4 2 2 2 3" xfId="5970" xr:uid="{00000000-0005-0000-0000-0000F20E0000}"/>
    <cellStyle name="Вывод 2 4 2 2 2 4" xfId="23768" xr:uid="{3E5ED706-7F50-4E9B-AA6A-FEE8117DCC90}"/>
    <cellStyle name="Вывод 2 4 2 2 3" xfId="2097" xr:uid="{00000000-0005-0000-0000-0000F30E0000}"/>
    <cellStyle name="Вывод 2 4 2 2 3 2" xfId="21840" xr:uid="{00000000-0005-0000-0000-0000F40E0000}"/>
    <cellStyle name="Вывод 2 4 2 2 3 2 2" xfId="38450" xr:uid="{B955ACEC-2EA3-4875-A72B-7D8EA5A4E1C7}"/>
    <cellStyle name="Вывод 2 4 2 2 3 3" xfId="6754" xr:uid="{00000000-0005-0000-0000-0000F50E0000}"/>
    <cellStyle name="Вывод 2 4 2 2 3 4" xfId="24381" xr:uid="{E56666F9-34CA-495E-AE83-15807A3A4C71}"/>
    <cellStyle name="Вывод 2 4 2 2 4" xfId="2823" xr:uid="{00000000-0005-0000-0000-0000F60E0000}"/>
    <cellStyle name="Вывод 2 4 2 2 4 2" xfId="22740" xr:uid="{00000000-0005-0000-0000-0000F70E0000}"/>
    <cellStyle name="Вывод 2 4 2 2 4 3" xfId="39209" xr:uid="{7D9686C1-6BDE-4DA2-9E3A-927FAEF667E5}"/>
    <cellStyle name="Вывод 2 4 2 2 5" xfId="3256" xr:uid="{00000000-0005-0000-0000-0000F80E0000}"/>
    <cellStyle name="Вывод 2 4 2 2 5 2" xfId="14072" xr:uid="{00000000-0005-0000-0000-0000F90E0000}"/>
    <cellStyle name="Вывод 2 4 2 2 5 3" xfId="31111" xr:uid="{A67EC578-3F89-4D3F-802E-D13CBEF0D2B8}"/>
    <cellStyle name="Вывод 2 4 2 2 6" xfId="3941" xr:uid="{00000000-0005-0000-0000-0000FA0E0000}"/>
    <cellStyle name="Вывод 2 4 2 2 7" xfId="4471" xr:uid="{00000000-0005-0000-0000-0000FB0E0000}"/>
    <cellStyle name="Вывод 2 4 2 2 8" xfId="4961" xr:uid="{00000000-0005-0000-0000-0000FC0E0000}"/>
    <cellStyle name="Вывод 2 4 2 3" xfId="455" xr:uid="{00000000-0005-0000-0000-0000FD0E0000}"/>
    <cellStyle name="Вывод 2 4 2 3 2" xfId="1287" xr:uid="{00000000-0005-0000-0000-0000FE0E0000}"/>
    <cellStyle name="Вывод 2 4 2 3 2 2" xfId="21280" xr:uid="{00000000-0005-0000-0000-0000FF0E0000}"/>
    <cellStyle name="Вывод 2 4 2 3 2 2 2" xfId="37922" xr:uid="{8D3684B1-B0D8-46FB-BC2E-80837BEE1BF7}"/>
    <cellStyle name="Вывод 2 4 2 3 2 3" xfId="6043" xr:uid="{00000000-0005-0000-0000-0000000F0000}"/>
    <cellStyle name="Вывод 2 4 2 3 2 4" xfId="23830" xr:uid="{02C01567-4E72-4896-A2E3-EB746B81A07B}"/>
    <cellStyle name="Вывод 2 4 2 3 3" xfId="2068" xr:uid="{00000000-0005-0000-0000-0000010F0000}"/>
    <cellStyle name="Вывод 2 4 2 3 3 2" xfId="21902" xr:uid="{00000000-0005-0000-0000-0000020F0000}"/>
    <cellStyle name="Вывод 2 4 2 3 3 2 2" xfId="38512" xr:uid="{C7FC90C9-B152-40CA-8378-F9A9DBE891DE}"/>
    <cellStyle name="Вывод 2 4 2 3 3 3" xfId="6813" xr:uid="{00000000-0005-0000-0000-0000030F0000}"/>
    <cellStyle name="Вывод 2 4 2 3 3 4" xfId="24440" xr:uid="{A8BFCEEF-7AE8-4A85-A34D-DE62F0503801}"/>
    <cellStyle name="Вывод 2 4 2 3 4" xfId="2853" xr:uid="{00000000-0005-0000-0000-0000040F0000}"/>
    <cellStyle name="Вывод 2 4 2 3 4 2" xfId="22728" xr:uid="{00000000-0005-0000-0000-0000050F0000}"/>
    <cellStyle name="Вывод 2 4 2 3 4 3" xfId="39197" xr:uid="{E1F449B3-FB2C-42D8-9EF0-417B2B10EB46}"/>
    <cellStyle name="Вывод 2 4 2 3 5" xfId="3810" xr:uid="{00000000-0005-0000-0000-0000060F0000}"/>
    <cellStyle name="Вывод 2 4 2 3 5 2" xfId="20430" xr:uid="{00000000-0005-0000-0000-0000070F0000}"/>
    <cellStyle name="Вывод 2 4 2 3 5 3" xfId="37332" xr:uid="{4AD17E1C-772A-4BDE-AD71-15F9305D9659}"/>
    <cellStyle name="Вывод 2 4 2 3 6" xfId="4016" xr:uid="{00000000-0005-0000-0000-0000080F0000}"/>
    <cellStyle name="Вывод 2 4 2 3 7" xfId="4538" xr:uid="{00000000-0005-0000-0000-0000090F0000}"/>
    <cellStyle name="Вывод 2 4 2 3 8" xfId="5020" xr:uid="{00000000-0005-0000-0000-00000A0F0000}"/>
    <cellStyle name="Вывод 2 4 2 4" xfId="501" xr:uid="{00000000-0005-0000-0000-00000B0F0000}"/>
    <cellStyle name="Вывод 2 4 2 4 2" xfId="1333" xr:uid="{00000000-0005-0000-0000-00000C0F0000}"/>
    <cellStyle name="Вывод 2 4 2 4 2 2" xfId="21326" xr:uid="{00000000-0005-0000-0000-00000D0F0000}"/>
    <cellStyle name="Вывод 2 4 2 4 2 2 2" xfId="37968" xr:uid="{581C1ADC-FA00-4251-B504-D44DD9E12BC6}"/>
    <cellStyle name="Вывод 2 4 2 4 2 3" xfId="6089" xr:uid="{00000000-0005-0000-0000-00000E0F0000}"/>
    <cellStyle name="Вывод 2 4 2 4 2 4" xfId="23876" xr:uid="{F9BFE27E-6B81-4941-99B0-44393812B4AF}"/>
    <cellStyle name="Вывод 2 4 2 4 3" xfId="2247" xr:uid="{00000000-0005-0000-0000-00000F0F0000}"/>
    <cellStyle name="Вывод 2 4 2 4 3 2" xfId="21948" xr:uid="{00000000-0005-0000-0000-0000100F0000}"/>
    <cellStyle name="Вывод 2 4 2 4 3 2 2" xfId="38558" xr:uid="{D3781A7D-4759-412A-B376-7070116E641B}"/>
    <cellStyle name="Вывод 2 4 2 4 3 3" xfId="6858" xr:uid="{00000000-0005-0000-0000-0000110F0000}"/>
    <cellStyle name="Вывод 2 4 2 4 3 4" xfId="24485" xr:uid="{9C4107FE-AEDD-4333-BB39-25C3923F507C}"/>
    <cellStyle name="Вывод 2 4 2 4 4" xfId="2803" xr:uid="{00000000-0005-0000-0000-0000120F0000}"/>
    <cellStyle name="Вывод 2 4 2 4 4 2" xfId="22743" xr:uid="{00000000-0005-0000-0000-0000130F0000}"/>
    <cellStyle name="Вывод 2 4 2 4 4 3" xfId="39212" xr:uid="{F3238DB6-940B-4CBD-A457-10A39746283E}"/>
    <cellStyle name="Вывод 2 4 2 4 5" xfId="3363" xr:uid="{00000000-0005-0000-0000-0000140F0000}"/>
    <cellStyle name="Вывод 2 4 2 4 5 2" xfId="20487" xr:uid="{00000000-0005-0000-0000-0000150F0000}"/>
    <cellStyle name="Вывод 2 4 2 4 5 3" xfId="37379" xr:uid="{8A9C0ADB-4409-4D2C-A881-2C1A056FB5AE}"/>
    <cellStyle name="Вывод 2 4 2 4 6" xfId="4061" xr:uid="{00000000-0005-0000-0000-0000160F0000}"/>
    <cellStyle name="Вывод 2 4 2 4 7" xfId="4583" xr:uid="{00000000-0005-0000-0000-0000170F0000}"/>
    <cellStyle name="Вывод 2 4 2 4 8" xfId="5065" xr:uid="{00000000-0005-0000-0000-0000180F0000}"/>
    <cellStyle name="Вывод 2 4 2 5" xfId="553" xr:uid="{00000000-0005-0000-0000-0000190F0000}"/>
    <cellStyle name="Вывод 2 4 2 5 2" xfId="1385" xr:uid="{00000000-0005-0000-0000-00001A0F0000}"/>
    <cellStyle name="Вывод 2 4 2 5 2 2" xfId="21378" xr:uid="{00000000-0005-0000-0000-00001B0F0000}"/>
    <cellStyle name="Вывод 2 4 2 5 2 2 2" xfId="38020" xr:uid="{D7CFA67B-C7F9-4416-B015-8B9BFE9AB70A}"/>
    <cellStyle name="Вывод 2 4 2 5 2 3" xfId="6141" xr:uid="{00000000-0005-0000-0000-00001C0F0000}"/>
    <cellStyle name="Вывод 2 4 2 5 2 4" xfId="23928" xr:uid="{36D652E5-5C67-4CC7-A0B2-BF6C52A30A23}"/>
    <cellStyle name="Вывод 2 4 2 5 3" xfId="2172" xr:uid="{00000000-0005-0000-0000-00001D0F0000}"/>
    <cellStyle name="Вывод 2 4 2 5 3 2" xfId="22000" xr:uid="{00000000-0005-0000-0000-00001E0F0000}"/>
    <cellStyle name="Вывод 2 4 2 5 3 2 2" xfId="38610" xr:uid="{D71FBF36-EACC-438E-B722-13DAD3D75C81}"/>
    <cellStyle name="Вывод 2 4 2 5 3 3" xfId="6910" xr:uid="{00000000-0005-0000-0000-00001F0F0000}"/>
    <cellStyle name="Вывод 2 4 2 5 3 4" xfId="24537" xr:uid="{6D45B519-EA2A-4CF3-BD71-C36BADBBC80D}"/>
    <cellStyle name="Вывод 2 4 2 5 4" xfId="2565" xr:uid="{00000000-0005-0000-0000-0000200F0000}"/>
    <cellStyle name="Вывод 2 4 2 5 4 2" xfId="22831" xr:uid="{00000000-0005-0000-0000-0000210F0000}"/>
    <cellStyle name="Вывод 2 4 2 5 4 3" xfId="39297" xr:uid="{3A7B1AAE-1C25-46BD-9E1F-F09ED68FABEE}"/>
    <cellStyle name="Вывод 2 4 2 5 5" xfId="3416" xr:uid="{00000000-0005-0000-0000-0000220F0000}"/>
    <cellStyle name="Вывод 2 4 2 5 5 2" xfId="20600" xr:uid="{00000000-0005-0000-0000-0000230F0000}"/>
    <cellStyle name="Вывод 2 4 2 5 5 3" xfId="37445" xr:uid="{B10A2B51-D6E4-437B-A48F-4C85E7E25075}"/>
    <cellStyle name="Вывод 2 4 2 5 6" xfId="4113" xr:uid="{00000000-0005-0000-0000-0000240F0000}"/>
    <cellStyle name="Вывод 2 4 2 5 7" xfId="4635" xr:uid="{00000000-0005-0000-0000-0000250F0000}"/>
    <cellStyle name="Вывод 2 4 2 5 8" xfId="5117" xr:uid="{00000000-0005-0000-0000-0000260F0000}"/>
    <cellStyle name="Вывод 2 4 2 6" xfId="605" xr:uid="{00000000-0005-0000-0000-0000270F0000}"/>
    <cellStyle name="Вывод 2 4 2 6 2" xfId="1437" xr:uid="{00000000-0005-0000-0000-0000280F0000}"/>
    <cellStyle name="Вывод 2 4 2 6 2 2" xfId="21430" xr:uid="{00000000-0005-0000-0000-0000290F0000}"/>
    <cellStyle name="Вывод 2 4 2 6 2 2 2" xfId="38072" xr:uid="{862BC5AC-C406-4BD4-A027-C0D1323BDB98}"/>
    <cellStyle name="Вывод 2 4 2 6 2 3" xfId="6193" xr:uid="{00000000-0005-0000-0000-00002A0F0000}"/>
    <cellStyle name="Вывод 2 4 2 6 2 4" xfId="23980" xr:uid="{ECA15CF9-73B0-450F-B689-EC46F1D47E3D}"/>
    <cellStyle name="Вывод 2 4 2 6 3" xfId="1987" xr:uid="{00000000-0005-0000-0000-00002B0F0000}"/>
    <cellStyle name="Вывод 2 4 2 6 3 2" xfId="22052" xr:uid="{00000000-0005-0000-0000-00002C0F0000}"/>
    <cellStyle name="Вывод 2 4 2 6 3 2 2" xfId="38662" xr:uid="{73394656-8CAA-458E-90F4-B3F2811DF5BE}"/>
    <cellStyle name="Вывод 2 4 2 6 3 3" xfId="6962" xr:uid="{00000000-0005-0000-0000-00002D0F0000}"/>
    <cellStyle name="Вывод 2 4 2 6 3 4" xfId="24589" xr:uid="{F42485BC-6D79-44E3-9C6B-ECDCBA6CD6F8}"/>
    <cellStyle name="Вывод 2 4 2 6 4" xfId="2775" xr:uid="{00000000-0005-0000-0000-00002E0F0000}"/>
    <cellStyle name="Вывод 2 4 2 6 4 2" xfId="22603" xr:uid="{00000000-0005-0000-0000-00002F0F0000}"/>
    <cellStyle name="Вывод 2 4 2 6 4 3" xfId="39079" xr:uid="{24ADF149-1152-4829-8B78-52742D8A80F4}"/>
    <cellStyle name="Вывод 2 4 2 6 5" xfId="3062" xr:uid="{00000000-0005-0000-0000-0000300F0000}"/>
    <cellStyle name="Вывод 2 4 2 6 5 2" xfId="20641" xr:uid="{00000000-0005-0000-0000-0000310F0000}"/>
    <cellStyle name="Вывод 2 4 2 6 5 3" xfId="37483" xr:uid="{144C6123-D50E-4B93-AD35-6A0B9E5A5620}"/>
    <cellStyle name="Вывод 2 4 2 6 6" xfId="4165" xr:uid="{00000000-0005-0000-0000-0000320F0000}"/>
    <cellStyle name="Вывод 2 4 2 6 7" xfId="4687" xr:uid="{00000000-0005-0000-0000-0000330F0000}"/>
    <cellStyle name="Вывод 2 4 2 6 8" xfId="5169" xr:uid="{00000000-0005-0000-0000-0000340F0000}"/>
    <cellStyle name="Вывод 2 4 2 7" xfId="705" xr:uid="{00000000-0005-0000-0000-0000350F0000}"/>
    <cellStyle name="Вывод 2 4 2 7 2" xfId="1535" xr:uid="{00000000-0005-0000-0000-0000360F0000}"/>
    <cellStyle name="Вывод 2 4 2 7 2 2" xfId="21528" xr:uid="{00000000-0005-0000-0000-0000370F0000}"/>
    <cellStyle name="Вывод 2 4 2 7 2 2 2" xfId="38170" xr:uid="{0FB6A258-9BC7-4010-BA62-5EE57AD440C3}"/>
    <cellStyle name="Вывод 2 4 2 7 2 3" xfId="6291" xr:uid="{00000000-0005-0000-0000-0000380F0000}"/>
    <cellStyle name="Вывод 2 4 2 7 2 4" xfId="24078" xr:uid="{5B2F2489-3AD5-48E7-9273-D811F45A228F}"/>
    <cellStyle name="Вывод 2 4 2 7 3" xfId="1712" xr:uid="{00000000-0005-0000-0000-0000390F0000}"/>
    <cellStyle name="Вывод 2 4 2 7 3 2" xfId="22150" xr:uid="{00000000-0005-0000-0000-00003A0F0000}"/>
    <cellStyle name="Вывод 2 4 2 7 3 2 2" xfId="38760" xr:uid="{A85603DF-957C-411F-B082-C8FE41793FB2}"/>
    <cellStyle name="Вывод 2 4 2 7 3 3" xfId="7060" xr:uid="{00000000-0005-0000-0000-00003B0F0000}"/>
    <cellStyle name="Вывод 2 4 2 7 3 4" xfId="24687" xr:uid="{0B45276E-A599-43CB-A5ED-E66B84FBC42B}"/>
    <cellStyle name="Вывод 2 4 2 7 4" xfId="2354" xr:uid="{00000000-0005-0000-0000-00003C0F0000}"/>
    <cellStyle name="Вывод 2 4 2 7 4 2" xfId="22533" xr:uid="{00000000-0005-0000-0000-00003D0F0000}"/>
    <cellStyle name="Вывод 2 4 2 7 4 3" xfId="39012" xr:uid="{A4CEE10A-8297-411E-84BD-CB1807C7344C}"/>
    <cellStyle name="Вывод 2 4 2 7 5" xfId="2983" xr:uid="{00000000-0005-0000-0000-00003E0F0000}"/>
    <cellStyle name="Вывод 2 4 2 7 5 2" xfId="20706" xr:uid="{00000000-0005-0000-0000-00003F0F0000}"/>
    <cellStyle name="Вывод 2 4 2 7 5 3" xfId="37535" xr:uid="{6AD75E33-6AD8-45FD-99FA-DB64627DC073}"/>
    <cellStyle name="Вывод 2 4 2 7 6" xfId="4264" xr:uid="{00000000-0005-0000-0000-0000400F0000}"/>
    <cellStyle name="Вывод 2 4 2 7 7" xfId="4786" xr:uid="{00000000-0005-0000-0000-0000410F0000}"/>
    <cellStyle name="Вывод 2 4 2 7 8" xfId="5267" xr:uid="{00000000-0005-0000-0000-0000420F0000}"/>
    <cellStyle name="Вывод 2 4 2 8" xfId="750" xr:uid="{00000000-0005-0000-0000-0000430F0000}"/>
    <cellStyle name="Вывод 2 4 2 8 2" xfId="1580" xr:uid="{00000000-0005-0000-0000-0000440F0000}"/>
    <cellStyle name="Вывод 2 4 2 8 2 2" xfId="21573" xr:uid="{00000000-0005-0000-0000-0000450F0000}"/>
    <cellStyle name="Вывод 2 4 2 8 2 2 2" xfId="38215" xr:uid="{D06643BF-8FA7-4BAB-BD1E-1C3D425EB4CA}"/>
    <cellStyle name="Вывод 2 4 2 8 2 3" xfId="6336" xr:uid="{00000000-0005-0000-0000-0000460F0000}"/>
    <cellStyle name="Вывод 2 4 2 8 2 4" xfId="24123" xr:uid="{1016056F-E296-4042-BB29-DEFA17162679}"/>
    <cellStyle name="Вывод 2 4 2 8 3" xfId="1957" xr:uid="{00000000-0005-0000-0000-0000470F0000}"/>
    <cellStyle name="Вывод 2 4 2 8 3 2" xfId="22195" xr:uid="{00000000-0005-0000-0000-0000480F0000}"/>
    <cellStyle name="Вывод 2 4 2 8 3 2 2" xfId="38805" xr:uid="{C6F0B7F2-FC62-4E74-BD07-9B6397F74E02}"/>
    <cellStyle name="Вывод 2 4 2 8 3 3" xfId="7105" xr:uid="{00000000-0005-0000-0000-0000490F0000}"/>
    <cellStyle name="Вывод 2 4 2 8 3 4" xfId="24732" xr:uid="{C96329C3-280E-4C6C-BE8F-152CDEE42CC6}"/>
    <cellStyle name="Вывод 2 4 2 8 4" xfId="2657" xr:uid="{00000000-0005-0000-0000-00004A0F0000}"/>
    <cellStyle name="Вывод 2 4 2 8 4 2" xfId="22525" xr:uid="{00000000-0005-0000-0000-00004B0F0000}"/>
    <cellStyle name="Вывод 2 4 2 8 4 3" xfId="39004" xr:uid="{2FF7CAFA-1BF2-4C06-A999-0BEFB9B7FCB8}"/>
    <cellStyle name="Вывод 2 4 2 8 5" xfId="2966" xr:uid="{00000000-0005-0000-0000-00004C0F0000}"/>
    <cellStyle name="Вывод 2 4 2 8 5 2" xfId="20771" xr:uid="{00000000-0005-0000-0000-00004D0F0000}"/>
    <cellStyle name="Вывод 2 4 2 8 5 3" xfId="37587" xr:uid="{A4FD94E7-1D27-4D69-8D63-1E353FF4F908}"/>
    <cellStyle name="Вывод 2 4 2 8 6" xfId="4309" xr:uid="{00000000-0005-0000-0000-00004E0F0000}"/>
    <cellStyle name="Вывод 2 4 2 8 7" xfId="4831" xr:uid="{00000000-0005-0000-0000-00004F0F0000}"/>
    <cellStyle name="Вывод 2 4 2 8 8" xfId="5312" xr:uid="{00000000-0005-0000-0000-0000500F0000}"/>
    <cellStyle name="Вывод 2 4 2 9" xfId="784" xr:uid="{00000000-0005-0000-0000-0000510F0000}"/>
    <cellStyle name="Вывод 2 4 2 9 2" xfId="1613" xr:uid="{00000000-0005-0000-0000-0000520F0000}"/>
    <cellStyle name="Вывод 2 4 2 9 2 2" xfId="21606" xr:uid="{00000000-0005-0000-0000-0000530F0000}"/>
    <cellStyle name="Вывод 2 4 2 9 2 2 2" xfId="38248" xr:uid="{02694FA3-B916-412E-9F01-05BE4FE2014D}"/>
    <cellStyle name="Вывод 2 4 2 9 2 3" xfId="6369" xr:uid="{00000000-0005-0000-0000-0000540F0000}"/>
    <cellStyle name="Вывод 2 4 2 9 2 4" xfId="24156" xr:uid="{2D3AFA7F-A8CB-4806-8B09-D90C275DB071}"/>
    <cellStyle name="Вывод 2 4 2 9 3" xfId="1739" xr:uid="{00000000-0005-0000-0000-0000550F0000}"/>
    <cellStyle name="Вывод 2 4 2 9 3 2" xfId="22228" xr:uid="{00000000-0005-0000-0000-0000560F0000}"/>
    <cellStyle name="Вывод 2 4 2 9 3 2 2" xfId="38838" xr:uid="{0EEE488D-D1AD-4888-8BE4-17AFFBC7D7AE}"/>
    <cellStyle name="Вывод 2 4 2 9 3 3" xfId="7138" xr:uid="{00000000-0005-0000-0000-0000570F0000}"/>
    <cellStyle name="Вывод 2 4 2 9 3 4" xfId="24765" xr:uid="{837CE9E0-003F-4955-B71E-7187E4E8F847}"/>
    <cellStyle name="Вывод 2 4 2 9 4" xfId="2938" xr:uid="{00000000-0005-0000-0000-0000580F0000}"/>
    <cellStyle name="Вывод 2 4 2 9 4 2" xfId="22686" xr:uid="{00000000-0005-0000-0000-0000590F0000}"/>
    <cellStyle name="Вывод 2 4 2 9 4 3" xfId="39158" xr:uid="{5C4D4384-22FE-4191-9FAB-55F797BB6179}"/>
    <cellStyle name="Вывод 2 4 2 9 5" xfId="3239" xr:uid="{00000000-0005-0000-0000-00005A0F0000}"/>
    <cellStyle name="Вывод 2 4 2 9 5 2" xfId="20836" xr:uid="{00000000-0005-0000-0000-00005B0F0000}"/>
    <cellStyle name="Вывод 2 4 2 9 5 3" xfId="37639" xr:uid="{58EBAB0C-2053-4ED8-87EB-EBAF870641C3}"/>
    <cellStyle name="Вывод 2 4 2 9 6" xfId="4342" xr:uid="{00000000-0005-0000-0000-00005C0F0000}"/>
    <cellStyle name="Вывод 2 4 2 9 7" xfId="4864" xr:uid="{00000000-0005-0000-0000-00005D0F0000}"/>
    <cellStyle name="Вывод 2 4 2 9 8" xfId="5345" xr:uid="{00000000-0005-0000-0000-00005E0F0000}"/>
    <cellStyle name="Вывод 2 4 3" xfId="995" xr:uid="{00000000-0005-0000-0000-00005F0F0000}"/>
    <cellStyle name="Вывод 2 4 3 2" xfId="2113" xr:uid="{00000000-0005-0000-0000-0000600F0000}"/>
    <cellStyle name="Вывод 2 4 3 2 2" xfId="21058" xr:uid="{00000000-0005-0000-0000-0000610F0000}"/>
    <cellStyle name="Вывод 2 4 3 2 2 2" xfId="37792" xr:uid="{E10E23FE-0F97-4BDE-AE44-8BD0FB6E070D}"/>
    <cellStyle name="Вывод 2 4 3 2 3" xfId="5834" xr:uid="{00000000-0005-0000-0000-0000620F0000}"/>
    <cellStyle name="Вывод 2 4 3 2 4" xfId="23700" xr:uid="{584A7346-D174-4409-8638-86DAA31FAAB9}"/>
    <cellStyle name="Вывод 2 4 3 3" xfId="2890" xr:uid="{00000000-0005-0000-0000-0000630F0000}"/>
    <cellStyle name="Вывод 2 4 3 3 2" xfId="21772" xr:uid="{00000000-0005-0000-0000-0000640F0000}"/>
    <cellStyle name="Вывод 2 4 3 3 2 2" xfId="38382" xr:uid="{2C2834CD-98F7-4DBD-9DE8-43E5CD7CBF5A}"/>
    <cellStyle name="Вывод 2 4 3 3 3" xfId="6688" xr:uid="{00000000-0005-0000-0000-0000650F0000}"/>
    <cellStyle name="Вывод 2 4 3 3 4" xfId="24315" xr:uid="{8E9BD13C-AFC8-479D-8185-9A0D4E7A638E}"/>
    <cellStyle name="Вывод 2 4 3 4" xfId="3142" xr:uid="{00000000-0005-0000-0000-0000660F0000}"/>
    <cellStyle name="Вывод 2 4 3 4 2" xfId="22974" xr:uid="{00000000-0005-0000-0000-0000670F0000}"/>
    <cellStyle name="Вывод 2 4 3 4 3" xfId="39440" xr:uid="{5D7481B5-BF54-4C16-BF31-F54781494743}"/>
    <cellStyle name="Вывод 2 4 3 5" xfId="3561" xr:uid="{00000000-0005-0000-0000-0000680F0000}"/>
    <cellStyle name="Вывод 2 4 3 5 2" xfId="14041" xr:uid="{00000000-0005-0000-0000-0000690F0000}"/>
    <cellStyle name="Вывод 2 4 3 5 3" xfId="31080" xr:uid="{2BE30178-921B-4DFE-B4D6-CBCE28DA5DF6}"/>
    <cellStyle name="Вывод 2 4 3 6" xfId="3121" xr:uid="{00000000-0005-0000-0000-00006A0F0000}"/>
    <cellStyle name="Вывод 2 4 3 7" xfId="3875" xr:uid="{00000000-0005-0000-0000-00006B0F0000}"/>
    <cellStyle name="Вывод 2 4 4" xfId="886" xr:uid="{00000000-0005-0000-0000-00006C0F0000}"/>
    <cellStyle name="Вывод 2 4 4 2" xfId="22912" xr:uid="{00000000-0005-0000-0000-00006D0F0000}"/>
    <cellStyle name="Вывод 2 4 4 2 2" xfId="39378" xr:uid="{B32FB54C-E85A-4887-9BC4-7167BA9244E8}"/>
    <cellStyle name="Вывод 2 4 4 3" xfId="5611" xr:uid="{00000000-0005-0000-0000-00006E0F0000}"/>
    <cellStyle name="Вывод 2 4 4 4" xfId="23614" xr:uid="{9E846795-14F2-4DCF-8B42-1CEAA1015212}"/>
    <cellStyle name="Вывод 2 4 5" xfId="2276" xr:uid="{00000000-0005-0000-0000-00006F0F0000}"/>
    <cellStyle name="Вывод 2 4 5 2" xfId="6608" xr:uid="{00000000-0005-0000-0000-0000700F0000}"/>
    <cellStyle name="Вывод 2 4 5 3" xfId="24235" xr:uid="{9396F57C-5B32-4F09-82EE-0D11E8539F11}"/>
    <cellStyle name="Вывод 2 4 6" xfId="2475" xr:uid="{00000000-0005-0000-0000-0000710F0000}"/>
    <cellStyle name="Вывод 2 4 6 2" xfId="7406" xr:uid="{00000000-0005-0000-0000-0000720F0000}"/>
    <cellStyle name="Вывод 2 4 6 3" xfId="24861" xr:uid="{000D98A3-6717-4DCF-B419-2600672C6036}"/>
    <cellStyle name="Вывод 2 4 7" xfId="3608" xr:uid="{00000000-0005-0000-0000-0000730F0000}"/>
    <cellStyle name="Вывод 2 4 8" xfId="3226" xr:uid="{00000000-0005-0000-0000-0000740F0000}"/>
    <cellStyle name="Вывод 2 4 9" xfId="3930" xr:uid="{00000000-0005-0000-0000-0000750F0000}"/>
    <cellStyle name="Вывод 2 5" xfId="929" xr:uid="{00000000-0005-0000-0000-0000760F0000}"/>
    <cellStyle name="Вывод 2 5 2" xfId="965" xr:uid="{00000000-0005-0000-0000-0000770F0000}"/>
    <cellStyle name="Вывод 2 5 2 2" xfId="1037" xr:uid="{00000000-0005-0000-0000-0000780F0000}"/>
    <cellStyle name="Вывод 2 5 2 2 2" xfId="14083" xr:uid="{00000000-0005-0000-0000-0000790F0000}"/>
    <cellStyle name="Вывод 2 5 2 2 3" xfId="31122" xr:uid="{4A9491E2-88A8-4F1F-91E6-25BB14DAB581}"/>
    <cellStyle name="Вывод 2 5 2 3" xfId="7501" xr:uid="{00000000-0005-0000-0000-00007A0F0000}"/>
    <cellStyle name="Вывод 2 5 2 4" xfId="24903" xr:uid="{95190458-11F9-49FA-831C-5D98A3289604}"/>
    <cellStyle name="Вывод 2 5 3" xfId="1006" xr:uid="{00000000-0005-0000-0000-00007B0F0000}"/>
    <cellStyle name="Вывод 2 5 3 2" xfId="14052" xr:uid="{00000000-0005-0000-0000-00007C0F0000}"/>
    <cellStyle name="Вывод 2 5 3 3" xfId="31091" xr:uid="{12D65492-32A9-4607-BB2D-2DD301D0F4A1}"/>
    <cellStyle name="Вывод 2 5 4" xfId="7465" xr:uid="{00000000-0005-0000-0000-00007D0F0000}"/>
    <cellStyle name="Вывод 2 5 5" xfId="24872" xr:uid="{9C216BB3-1BC5-4379-ADCF-6D8359C63663}"/>
    <cellStyle name="Вывод 2 6" xfId="1044" xr:uid="{00000000-0005-0000-0000-00007E0F0000}"/>
    <cellStyle name="Вывод 2 6 2" xfId="14089" xr:uid="{00000000-0005-0000-0000-00007F0F0000}"/>
    <cellStyle name="Вывод 2 6 2 2" xfId="31127" xr:uid="{4087A224-1B74-41E2-A5F9-AA771A593415}"/>
    <cellStyle name="Вывод 2 6 3" xfId="7341" xr:uid="{00000000-0005-0000-0000-0000800F0000}"/>
    <cellStyle name="Вывод 2 7" xfId="1061" xr:uid="{00000000-0005-0000-0000-0000810F0000}"/>
    <cellStyle name="Вывод 2 7 2" xfId="14105" xr:uid="{00000000-0005-0000-0000-0000820F0000}"/>
    <cellStyle name="Вывод 2 7 3" xfId="31132" xr:uid="{CAAA5911-A4D5-4823-BEBD-7C30F8B7CBB7}"/>
    <cellStyle name="Вывод 2 8" xfId="13987" xr:uid="{00000000-0005-0000-0000-0000830F0000}"/>
    <cellStyle name="Вывод 2 9" xfId="7253" xr:uid="{00000000-0005-0000-0000-0000840F0000}"/>
    <cellStyle name="Вывод 2 9 2" xfId="24829" xr:uid="{8DA8A983-C363-483E-B40F-4969C479B2F9}"/>
    <cellStyle name="Вывод 3" xfId="132" xr:uid="{00000000-0005-0000-0000-0000850F0000}"/>
    <cellStyle name="Вывод 3 10" xfId="3918" xr:uid="{00000000-0005-0000-0000-0000860F0000}"/>
    <cellStyle name="Вывод 3 11" xfId="4453" xr:uid="{00000000-0005-0000-0000-0000870F0000}"/>
    <cellStyle name="Вывод 3 2" xfId="218" xr:uid="{00000000-0005-0000-0000-0000880F0000}"/>
    <cellStyle name="Вывод 3 2 10" xfId="658" xr:uid="{00000000-0005-0000-0000-0000890F0000}"/>
    <cellStyle name="Вывод 3 2 10 2" xfId="1490" xr:uid="{00000000-0005-0000-0000-00008A0F0000}"/>
    <cellStyle name="Вывод 3 2 10 2 2" xfId="21483" xr:uid="{00000000-0005-0000-0000-00008B0F0000}"/>
    <cellStyle name="Вывод 3 2 10 2 2 2" xfId="38125" xr:uid="{D02E1141-5DBC-4FEF-81C5-F9550287F316}"/>
    <cellStyle name="Вывод 3 2 10 2 3" xfId="6246" xr:uid="{00000000-0005-0000-0000-00008C0F0000}"/>
    <cellStyle name="Вывод 3 2 10 2 4" xfId="24033" xr:uid="{A7902930-610A-4205-8DA4-937FFEB29131}"/>
    <cellStyle name="Вывод 3 2 10 3" xfId="2253" xr:uid="{00000000-0005-0000-0000-00008D0F0000}"/>
    <cellStyle name="Вывод 3 2 10 3 2" xfId="22105" xr:uid="{00000000-0005-0000-0000-00008E0F0000}"/>
    <cellStyle name="Вывод 3 2 10 3 2 2" xfId="38715" xr:uid="{4FFD326D-4436-4DA4-9C3C-9B5CA02F6801}"/>
    <cellStyle name="Вывод 3 2 10 3 3" xfId="7015" xr:uid="{00000000-0005-0000-0000-00008F0F0000}"/>
    <cellStyle name="Вывод 3 2 10 3 4" xfId="24642" xr:uid="{42AC1B2F-20F1-49EF-91F2-BDB8CA224E39}"/>
    <cellStyle name="Вывод 3 2 10 4" xfId="2472" xr:uid="{00000000-0005-0000-0000-0000900F0000}"/>
    <cellStyle name="Вывод 3 2 10 4 2" xfId="22944" xr:uid="{00000000-0005-0000-0000-0000910F0000}"/>
    <cellStyle name="Вывод 3 2 10 4 3" xfId="39410" xr:uid="{DA06484D-4800-44AB-AC64-C09B3D96BB14}"/>
    <cellStyle name="Вывод 3 2 10 5" xfId="3605" xr:uid="{00000000-0005-0000-0000-0000920F0000}"/>
    <cellStyle name="Вывод 3 2 10 5 2" xfId="20885" xr:uid="{00000000-0005-0000-0000-0000930F0000}"/>
    <cellStyle name="Вывод 3 2 10 5 3" xfId="37675" xr:uid="{1D84C378-6677-4815-ADB2-8544E5DDD745}"/>
    <cellStyle name="Вывод 3 2 10 6" xfId="4218" xr:uid="{00000000-0005-0000-0000-0000940F0000}"/>
    <cellStyle name="Вывод 3 2 10 7" xfId="4740" xr:uid="{00000000-0005-0000-0000-0000950F0000}"/>
    <cellStyle name="Вывод 3 2 10 8" xfId="5222" xr:uid="{00000000-0005-0000-0000-0000960F0000}"/>
    <cellStyle name="Вывод 3 2 11" xfId="939" xr:uid="{00000000-0005-0000-0000-0000970F0000}"/>
    <cellStyle name="Вывод 3 2 11 2" xfId="2087" xr:uid="{00000000-0005-0000-0000-0000980F0000}"/>
    <cellStyle name="Вывод 3 2 11 2 2" xfId="21785" xr:uid="{00000000-0005-0000-0000-0000990F0000}"/>
    <cellStyle name="Вывод 3 2 11 2 2 2" xfId="38395" xr:uid="{9E603A71-C0DD-4B1F-9DF7-D2702AD1DCE7}"/>
    <cellStyle name="Вывод 3 2 11 2 3" xfId="5857" xr:uid="{00000000-0005-0000-0000-00009A0F0000}"/>
    <cellStyle name="Вывод 3 2 11 2 4" xfId="23713" xr:uid="{A09172FB-C374-438D-8ADC-761E27378BFB}"/>
    <cellStyle name="Вывод 3 2 11 3" xfId="2875" xr:uid="{00000000-0005-0000-0000-00009B0F0000}"/>
    <cellStyle name="Вывод 3 2 11 3 2" xfId="22638" xr:uid="{00000000-0005-0000-0000-00009C0F0000}"/>
    <cellStyle name="Вывод 3 2 11 3 2 2" xfId="39110" xr:uid="{968A2046-0274-4DA4-8AD2-9A1D9EA6CC5A}"/>
    <cellStyle name="Вывод 3 2 11 3 3" xfId="6701" xr:uid="{00000000-0005-0000-0000-00009D0F0000}"/>
    <cellStyle name="Вывод 3 2 11 3 4" xfId="24328" xr:uid="{32EE3F19-7F3D-4A2E-8C3F-E564B89889D8}"/>
    <cellStyle name="Вывод 3 2 11 4" xfId="3677" xr:uid="{00000000-0005-0000-0000-00009E0F0000}"/>
    <cellStyle name="Вывод 3 2 11 4 2" xfId="21081" xr:uid="{00000000-0005-0000-0000-00009F0F0000}"/>
    <cellStyle name="Вывод 3 2 11 4 3" xfId="37805" xr:uid="{3F9B8548-0035-4E58-8AE6-DA7356C46F21}"/>
    <cellStyle name="Вывод 3 2 11 5" xfId="3642" xr:uid="{00000000-0005-0000-0000-0000A00F0000}"/>
    <cellStyle name="Вывод 3 2 11 6" xfId="4417" xr:uid="{00000000-0005-0000-0000-0000A10F0000}"/>
    <cellStyle name="Вывод 3 2 11 7" xfId="4929" xr:uid="{00000000-0005-0000-0000-0000A20F0000}"/>
    <cellStyle name="Вывод 3 2 12" xfId="1786" xr:uid="{00000000-0005-0000-0000-0000A30F0000}"/>
    <cellStyle name="Вывод 3 2 12 2" xfId="20950" xr:uid="{00000000-0005-0000-0000-0000A40F0000}"/>
    <cellStyle name="Вывод 3 2 12 2 2" xfId="37727" xr:uid="{FD619CC1-3140-4257-AD10-94FE83D49629}"/>
    <cellStyle name="Вывод 3 2 12 3" xfId="5666" xr:uid="{00000000-0005-0000-0000-0000A50F0000}"/>
    <cellStyle name="Вывод 3 2 12 4" xfId="23632" xr:uid="{9AC53F9B-43B3-43BB-AA42-E1538E346071}"/>
    <cellStyle name="Вывод 3 2 13" xfId="2558" xr:uid="{00000000-0005-0000-0000-0000A60F0000}"/>
    <cellStyle name="Вывод 3 2 13 2" xfId="21707" xr:uid="{00000000-0005-0000-0000-0000A70F0000}"/>
    <cellStyle name="Вывод 3 2 13 2 2" xfId="38317" xr:uid="{E3A63326-BBB2-461D-AC3D-C95291BBA887}"/>
    <cellStyle name="Вывод 3 2 13 3" xfId="6625" xr:uid="{00000000-0005-0000-0000-0000A80F0000}"/>
    <cellStyle name="Вывод 3 2 13 4" xfId="24252" xr:uid="{0F348411-9612-48E5-B423-6246BA6A0198}"/>
    <cellStyle name="Вывод 3 2 14" xfId="3299" xr:uid="{00000000-0005-0000-0000-0000A90F0000}"/>
    <cellStyle name="Вывод 3 2 14 2" xfId="22567" xr:uid="{00000000-0005-0000-0000-0000AA0F0000}"/>
    <cellStyle name="Вывод 3 2 14 3" xfId="39045" xr:uid="{B275C3CE-62F6-4BE2-9492-32AB1185D56D}"/>
    <cellStyle name="Вывод 3 2 15" xfId="3646" xr:uid="{00000000-0005-0000-0000-0000AB0F0000}"/>
    <cellStyle name="Вывод 3 2 15 2" xfId="7475" xr:uid="{00000000-0005-0000-0000-0000AC0F0000}"/>
    <cellStyle name="Вывод 3 2 15 3" xfId="24877" xr:uid="{1EF47517-6626-4074-93EE-D7906CE2E568}"/>
    <cellStyle name="Вывод 3 2 16" xfId="3769" xr:uid="{00000000-0005-0000-0000-0000AD0F0000}"/>
    <cellStyle name="Вывод 3 2 17" xfId="3370" xr:uid="{00000000-0005-0000-0000-0000AE0F0000}"/>
    <cellStyle name="Вывод 3 2 2" xfId="289" xr:uid="{00000000-0005-0000-0000-0000AF0F0000}"/>
    <cellStyle name="Вывод 3 2 2 2" xfId="1011" xr:uid="{00000000-0005-0000-0000-0000B00F0000}"/>
    <cellStyle name="Вывод 3 2 2 2 2" xfId="21145" xr:uid="{00000000-0005-0000-0000-0000B10F0000}"/>
    <cellStyle name="Вывод 3 2 2 2 2 2" xfId="37844" xr:uid="{F7610BC8-F522-4672-9E00-BE3F7C73C262}"/>
    <cellStyle name="Вывод 3 2 2 2 3" xfId="5922" xr:uid="{00000000-0005-0000-0000-0000B20F0000}"/>
    <cellStyle name="Вывод 3 2 2 2 4" xfId="23752" xr:uid="{A95DC280-3372-40F2-9355-3CCEC65FFBDE}"/>
    <cellStyle name="Вывод 3 2 2 3" xfId="1729" xr:uid="{00000000-0005-0000-0000-0000B30F0000}"/>
    <cellStyle name="Вывод 3 2 2 3 2" xfId="21824" xr:uid="{00000000-0005-0000-0000-0000B40F0000}"/>
    <cellStyle name="Вывод 3 2 2 3 2 2" xfId="38434" xr:uid="{6ECD58E9-2983-4ABA-8577-13FA957E840B}"/>
    <cellStyle name="Вывод 3 2 2 3 3" xfId="6738" xr:uid="{00000000-0005-0000-0000-0000B50F0000}"/>
    <cellStyle name="Вывод 3 2 2 3 4" xfId="24365" xr:uid="{D8EA7EF2-A865-4A36-80FD-8B0CCC0675B7}"/>
    <cellStyle name="Вывод 3 2 2 4" xfId="2397" xr:uid="{00000000-0005-0000-0000-0000B60F0000}"/>
    <cellStyle name="Вывод 3 2 2 4 2" xfId="22874" xr:uid="{00000000-0005-0000-0000-0000B70F0000}"/>
    <cellStyle name="Вывод 3 2 2 4 3" xfId="39340" xr:uid="{C1160772-B10F-4D82-954E-8B3CE1827207}"/>
    <cellStyle name="Вывод 3 2 2 5" xfId="3518" xr:uid="{00000000-0005-0000-0000-0000B80F0000}"/>
    <cellStyle name="Вывод 3 2 2 5 2" xfId="14057" xr:uid="{00000000-0005-0000-0000-0000B90F0000}"/>
    <cellStyle name="Вывод 3 2 2 5 3" xfId="31096" xr:uid="{65142CEA-CB70-4722-A548-CBEC00D47D9A}"/>
    <cellStyle name="Вывод 3 2 2 6" xfId="3912" xr:uid="{00000000-0005-0000-0000-0000BA0F0000}"/>
    <cellStyle name="Вывод 3 2 2 7" xfId="4447" xr:uid="{00000000-0005-0000-0000-0000BB0F0000}"/>
    <cellStyle name="Вывод 3 2 2 8" xfId="4945" xr:uid="{00000000-0005-0000-0000-0000BC0F0000}"/>
    <cellStyle name="Вывод 3 2 3" xfId="438" xr:uid="{00000000-0005-0000-0000-0000BD0F0000}"/>
    <cellStyle name="Вывод 3 2 3 2" xfId="1270" xr:uid="{00000000-0005-0000-0000-0000BE0F0000}"/>
    <cellStyle name="Вывод 3 2 3 2 2" xfId="21263" xr:uid="{00000000-0005-0000-0000-0000BF0F0000}"/>
    <cellStyle name="Вывод 3 2 3 2 2 2" xfId="37905" xr:uid="{3CE76C56-B7D7-43E1-972A-EDF1A2A8127D}"/>
    <cellStyle name="Вывод 3 2 3 2 3" xfId="6026" xr:uid="{00000000-0005-0000-0000-0000C00F0000}"/>
    <cellStyle name="Вывод 3 2 3 2 4" xfId="23813" xr:uid="{2AEAB157-0A8C-4C80-AF57-3374D9B85027}"/>
    <cellStyle name="Вывод 3 2 3 3" xfId="1785" xr:uid="{00000000-0005-0000-0000-0000C10F0000}"/>
    <cellStyle name="Вывод 3 2 3 3 2" xfId="21885" xr:uid="{00000000-0005-0000-0000-0000C20F0000}"/>
    <cellStyle name="Вывод 3 2 3 3 2 2" xfId="38495" xr:uid="{641F0842-337B-4B78-BC45-F8F7A4C31C50}"/>
    <cellStyle name="Вывод 3 2 3 3 3" xfId="6797" xr:uid="{00000000-0005-0000-0000-0000C30F0000}"/>
    <cellStyle name="Вывод 3 2 3 3 4" xfId="24424" xr:uid="{CD6A65DD-FA46-4187-8826-BC2266E8600A}"/>
    <cellStyle name="Вывод 3 2 3 4" xfId="2620" xr:uid="{00000000-0005-0000-0000-0000C40F0000}"/>
    <cellStyle name="Вывод 3 2 3 4 2" xfId="23057" xr:uid="{00000000-0005-0000-0000-0000C50F0000}"/>
    <cellStyle name="Вывод 3 2 3 4 3" xfId="39523" xr:uid="{FC6FDC69-AF2C-4820-9458-11129607E4D4}"/>
    <cellStyle name="Вывод 3 2 3 5" xfId="3776" xr:uid="{00000000-0005-0000-0000-0000C60F0000}"/>
    <cellStyle name="Вывод 3 2 3 5 2" xfId="20390" xr:uid="{00000000-0005-0000-0000-0000C70F0000}"/>
    <cellStyle name="Вывод 3 2 3 5 3" xfId="37316" xr:uid="{F847C92F-0C0F-4BBD-B166-2DBF61E98661}"/>
    <cellStyle name="Вывод 3 2 3 6" xfId="3999" xr:uid="{00000000-0005-0000-0000-0000C80F0000}"/>
    <cellStyle name="Вывод 3 2 3 7" xfId="4522" xr:uid="{00000000-0005-0000-0000-0000C90F0000}"/>
    <cellStyle name="Вывод 3 2 3 8" xfId="5004" xr:uid="{00000000-0005-0000-0000-0000CA0F0000}"/>
    <cellStyle name="Вывод 3 2 4" xfId="485" xr:uid="{00000000-0005-0000-0000-0000CB0F0000}"/>
    <cellStyle name="Вывод 3 2 4 2" xfId="1317" xr:uid="{00000000-0005-0000-0000-0000CC0F0000}"/>
    <cellStyle name="Вывод 3 2 4 2 2" xfId="21310" xr:uid="{00000000-0005-0000-0000-0000CD0F0000}"/>
    <cellStyle name="Вывод 3 2 4 2 2 2" xfId="37952" xr:uid="{9B319841-F967-41B8-8485-9624704431D0}"/>
    <cellStyle name="Вывод 3 2 4 2 3" xfId="6073" xr:uid="{00000000-0005-0000-0000-0000CE0F0000}"/>
    <cellStyle name="Вывод 3 2 4 2 4" xfId="23860" xr:uid="{12490665-33E2-43DD-9977-A6CC4D7A3119}"/>
    <cellStyle name="Вывод 3 2 4 3" xfId="2168" xr:uid="{00000000-0005-0000-0000-0000CF0F0000}"/>
    <cellStyle name="Вывод 3 2 4 3 2" xfId="21932" xr:uid="{00000000-0005-0000-0000-0000D00F0000}"/>
    <cellStyle name="Вывод 3 2 4 3 2 2" xfId="38542" xr:uid="{D7044325-C212-4567-8988-F013B4197DFA}"/>
    <cellStyle name="Вывод 3 2 4 3 3" xfId="6842" xr:uid="{00000000-0005-0000-0000-0000D10F0000}"/>
    <cellStyle name="Вывод 3 2 4 3 4" xfId="24469" xr:uid="{F7C3177B-646A-46B7-84D0-CF3D79BDBDF1}"/>
    <cellStyle name="Вывод 3 2 4 4" xfId="2588" xr:uid="{00000000-0005-0000-0000-0000D20F0000}"/>
    <cellStyle name="Вывод 3 2 4 4 2" xfId="22956" xr:uid="{00000000-0005-0000-0000-0000D30F0000}"/>
    <cellStyle name="Вывод 3 2 4 4 3" xfId="39422" xr:uid="{ED72592F-9D3B-4A0A-BC54-6E5F99645B28}"/>
    <cellStyle name="Вывод 3 2 4 5" xfId="3699" xr:uid="{00000000-0005-0000-0000-0000D40F0000}"/>
    <cellStyle name="Вывод 3 2 4 5 2" xfId="20471" xr:uid="{00000000-0005-0000-0000-0000D50F0000}"/>
    <cellStyle name="Вывод 3 2 4 5 3" xfId="37363" xr:uid="{BD37701C-641B-434A-8F51-E66320D84179}"/>
    <cellStyle name="Вывод 3 2 4 6" xfId="4045" xr:uid="{00000000-0005-0000-0000-0000D60F0000}"/>
    <cellStyle name="Вывод 3 2 4 7" xfId="4567" xr:uid="{00000000-0005-0000-0000-0000D70F0000}"/>
    <cellStyle name="Вывод 3 2 4 8" xfId="5049" xr:uid="{00000000-0005-0000-0000-0000D80F0000}"/>
    <cellStyle name="Вывод 3 2 5" xfId="537" xr:uid="{00000000-0005-0000-0000-0000D90F0000}"/>
    <cellStyle name="Вывод 3 2 5 2" xfId="1369" xr:uid="{00000000-0005-0000-0000-0000DA0F0000}"/>
    <cellStyle name="Вывод 3 2 5 2 2" xfId="21362" xr:uid="{00000000-0005-0000-0000-0000DB0F0000}"/>
    <cellStyle name="Вывод 3 2 5 2 2 2" xfId="38004" xr:uid="{8BADF1FF-D260-44C3-BB11-08564E0AFB96}"/>
    <cellStyle name="Вывод 3 2 5 2 3" xfId="6125" xr:uid="{00000000-0005-0000-0000-0000DC0F0000}"/>
    <cellStyle name="Вывод 3 2 5 2 4" xfId="23912" xr:uid="{C60D7F3B-2451-4535-BAA7-451DADC59ACE}"/>
    <cellStyle name="Вывод 3 2 5 3" xfId="1823" xr:uid="{00000000-0005-0000-0000-0000DD0F0000}"/>
    <cellStyle name="Вывод 3 2 5 3 2" xfId="21984" xr:uid="{00000000-0005-0000-0000-0000DE0F0000}"/>
    <cellStyle name="Вывод 3 2 5 3 2 2" xfId="38594" xr:uid="{AA70C33D-A5D6-4CC6-8DA7-A8393296DB80}"/>
    <cellStyle name="Вывод 3 2 5 3 3" xfId="6894" xr:uid="{00000000-0005-0000-0000-0000DF0F0000}"/>
    <cellStyle name="Вывод 3 2 5 3 4" xfId="24521" xr:uid="{059FBB43-E702-4228-80AA-4843BF76EC05}"/>
    <cellStyle name="Вывод 3 2 5 4" xfId="2674" xr:uid="{00000000-0005-0000-0000-0000E00F0000}"/>
    <cellStyle name="Вывод 3 2 5 4 2" xfId="22930" xr:uid="{00000000-0005-0000-0000-0000E10F0000}"/>
    <cellStyle name="Вывод 3 2 5 4 3" xfId="39396" xr:uid="{A03052F7-D511-430B-B37B-79523E190F14}"/>
    <cellStyle name="Вывод 3 2 5 5" xfId="3589" xr:uid="{00000000-0005-0000-0000-0000E20F0000}"/>
    <cellStyle name="Вывод 3 2 5 5 2" xfId="20576" xr:uid="{00000000-0005-0000-0000-0000E30F0000}"/>
    <cellStyle name="Вывод 3 2 5 5 3" xfId="37429" xr:uid="{DA56FB5B-A7E4-4973-AFFF-BE48C70338BE}"/>
    <cellStyle name="Вывод 3 2 5 6" xfId="4097" xr:uid="{00000000-0005-0000-0000-0000E40F0000}"/>
    <cellStyle name="Вывод 3 2 5 7" xfId="4619" xr:uid="{00000000-0005-0000-0000-0000E50F0000}"/>
    <cellStyle name="Вывод 3 2 5 8" xfId="5101" xr:uid="{00000000-0005-0000-0000-0000E60F0000}"/>
    <cellStyle name="Вывод 3 2 6" xfId="589" xr:uid="{00000000-0005-0000-0000-0000E70F0000}"/>
    <cellStyle name="Вывод 3 2 6 2" xfId="1421" xr:uid="{00000000-0005-0000-0000-0000E80F0000}"/>
    <cellStyle name="Вывод 3 2 6 2 2" xfId="21414" xr:uid="{00000000-0005-0000-0000-0000E90F0000}"/>
    <cellStyle name="Вывод 3 2 6 2 2 2" xfId="38056" xr:uid="{A28E07E7-56A0-4A1A-8B4C-EFC26F4ACEFF}"/>
    <cellStyle name="Вывод 3 2 6 2 3" xfId="6177" xr:uid="{00000000-0005-0000-0000-0000EA0F0000}"/>
    <cellStyle name="Вывод 3 2 6 2 4" xfId="23964" xr:uid="{99A8DFD9-EC48-4D39-889F-521C9F8D6184}"/>
    <cellStyle name="Вывод 3 2 6 3" xfId="2262" xr:uid="{00000000-0005-0000-0000-0000EB0F0000}"/>
    <cellStyle name="Вывод 3 2 6 3 2" xfId="22036" xr:uid="{00000000-0005-0000-0000-0000EC0F0000}"/>
    <cellStyle name="Вывод 3 2 6 3 2 2" xfId="38646" xr:uid="{5525EA38-5E5B-48CA-B4D4-A1B84BD63FF6}"/>
    <cellStyle name="Вывод 3 2 6 3 3" xfId="6946" xr:uid="{00000000-0005-0000-0000-0000ED0F0000}"/>
    <cellStyle name="Вывод 3 2 6 3 4" xfId="24573" xr:uid="{EE192ED3-CCCE-46AC-BC02-7100298F9169}"/>
    <cellStyle name="Вывод 3 2 6 4" xfId="2455" xr:uid="{00000000-0005-0000-0000-0000EE0F0000}"/>
    <cellStyle name="Вывод 3 2 6 4 2" xfId="22938" xr:uid="{00000000-0005-0000-0000-0000EF0F0000}"/>
    <cellStyle name="Вывод 3 2 6 4 3" xfId="39404" xr:uid="{7F0C5C24-6E58-4DE0-B6BA-B7CF90D60273}"/>
    <cellStyle name="Вывод 3 2 6 5" xfId="3598" xr:uid="{00000000-0005-0000-0000-0000F00F0000}"/>
    <cellStyle name="Вывод 3 2 6 5 2" xfId="20570" xr:uid="{00000000-0005-0000-0000-0000F10F0000}"/>
    <cellStyle name="Вывод 3 2 6 5 3" xfId="37423" xr:uid="{56D3582D-BC98-4931-8CE4-59CB9D8D561E}"/>
    <cellStyle name="Вывод 3 2 6 6" xfId="4149" xr:uid="{00000000-0005-0000-0000-0000F20F0000}"/>
    <cellStyle name="Вывод 3 2 6 7" xfId="4671" xr:uid="{00000000-0005-0000-0000-0000F30F0000}"/>
    <cellStyle name="Вывод 3 2 6 8" xfId="5153" xr:uid="{00000000-0005-0000-0000-0000F40F0000}"/>
    <cellStyle name="Вывод 3 2 7" xfId="686" xr:uid="{00000000-0005-0000-0000-0000F50F0000}"/>
    <cellStyle name="Вывод 3 2 7 2" xfId="1516" xr:uid="{00000000-0005-0000-0000-0000F60F0000}"/>
    <cellStyle name="Вывод 3 2 7 2 2" xfId="21509" xr:uid="{00000000-0005-0000-0000-0000F70F0000}"/>
    <cellStyle name="Вывод 3 2 7 2 2 2" xfId="38151" xr:uid="{F3ABCD07-D1BF-4A34-A6B9-02064BC82584}"/>
    <cellStyle name="Вывод 3 2 7 2 3" xfId="6272" xr:uid="{00000000-0005-0000-0000-0000F80F0000}"/>
    <cellStyle name="Вывод 3 2 7 2 4" xfId="24059" xr:uid="{56D88923-9A71-458F-87E4-B3DF3AF29760}"/>
    <cellStyle name="Вывод 3 2 7 3" xfId="1723" xr:uid="{00000000-0005-0000-0000-0000F90F0000}"/>
    <cellStyle name="Вывод 3 2 7 3 2" xfId="22131" xr:uid="{00000000-0005-0000-0000-0000FA0F0000}"/>
    <cellStyle name="Вывод 3 2 7 3 2 2" xfId="38741" xr:uid="{D67647F9-E033-4ECC-8C87-22896E551394}"/>
    <cellStyle name="Вывод 3 2 7 3 3" xfId="7041" xr:uid="{00000000-0005-0000-0000-0000FB0F0000}"/>
    <cellStyle name="Вывод 3 2 7 3 4" xfId="24668" xr:uid="{2DBCDDB8-89E0-4321-A37F-2D5A8CE8918D}"/>
    <cellStyle name="Вывод 3 2 7 4" xfId="2392" xr:uid="{00000000-0005-0000-0000-0000FC0F0000}"/>
    <cellStyle name="Вывод 3 2 7 4 2" xfId="22639" xr:uid="{00000000-0005-0000-0000-0000FD0F0000}"/>
    <cellStyle name="Вывод 3 2 7 4 3" xfId="39111" xr:uid="{D0443126-913E-4710-A853-D2892C0468E2}"/>
    <cellStyle name="Вывод 3 2 7 5" xfId="3663" xr:uid="{00000000-0005-0000-0000-0000FE0F0000}"/>
    <cellStyle name="Вывод 3 2 7 5 2" xfId="20690" xr:uid="{00000000-0005-0000-0000-0000FF0F0000}"/>
    <cellStyle name="Вывод 3 2 7 5 3" xfId="37519" xr:uid="{44EC1A11-304C-419B-A7EE-FEAD1728083D}"/>
    <cellStyle name="Вывод 3 2 7 6" xfId="4245" xr:uid="{00000000-0005-0000-0000-000000100000}"/>
    <cellStyle name="Вывод 3 2 7 7" xfId="4767" xr:uid="{00000000-0005-0000-0000-000001100000}"/>
    <cellStyle name="Вывод 3 2 7 8" xfId="5248" xr:uid="{00000000-0005-0000-0000-000002100000}"/>
    <cellStyle name="Вывод 3 2 8" xfId="650" xr:uid="{00000000-0005-0000-0000-000003100000}"/>
    <cellStyle name="Вывод 3 2 8 2" xfId="1482" xr:uid="{00000000-0005-0000-0000-000004100000}"/>
    <cellStyle name="Вывод 3 2 8 2 2" xfId="21475" xr:uid="{00000000-0005-0000-0000-000005100000}"/>
    <cellStyle name="Вывод 3 2 8 2 2 2" xfId="38117" xr:uid="{D831C1AD-F759-49D0-AC3B-8F9B1C63F795}"/>
    <cellStyle name="Вывод 3 2 8 2 3" xfId="6238" xr:uid="{00000000-0005-0000-0000-000006100000}"/>
    <cellStyle name="Вывод 3 2 8 2 4" xfId="24025" xr:uid="{8EB7500F-5C44-4CBF-892A-8B61DF2649CB}"/>
    <cellStyle name="Вывод 3 2 8 3" xfId="2038" xr:uid="{00000000-0005-0000-0000-000007100000}"/>
    <cellStyle name="Вывод 3 2 8 3 2" xfId="22097" xr:uid="{00000000-0005-0000-0000-000008100000}"/>
    <cellStyle name="Вывод 3 2 8 3 2 2" xfId="38707" xr:uid="{C0C71ACD-1C9C-4B33-8E07-8B0E36A105F4}"/>
    <cellStyle name="Вывод 3 2 8 3 3" xfId="7007" xr:uid="{00000000-0005-0000-0000-000009100000}"/>
    <cellStyle name="Вывод 3 2 8 3 4" xfId="24634" xr:uid="{AA8038B7-36E4-4454-90A3-94ACE917867A}"/>
    <cellStyle name="Вывод 3 2 8 4" xfId="2827" xr:uid="{00000000-0005-0000-0000-00000A100000}"/>
    <cellStyle name="Вывод 3 2 8 4 2" xfId="23066" xr:uid="{00000000-0005-0000-0000-00000B100000}"/>
    <cellStyle name="Вывод 3 2 8 4 3" xfId="39532" xr:uid="{D016EFD6-D148-40C8-A8DF-E1B13B7B8B93}"/>
    <cellStyle name="Вывод 3 2 8 5" xfId="3195" xr:uid="{00000000-0005-0000-0000-00000C100000}"/>
    <cellStyle name="Вывод 3 2 8 5 2" xfId="20755" xr:uid="{00000000-0005-0000-0000-00000D100000}"/>
    <cellStyle name="Вывод 3 2 8 5 3" xfId="37571" xr:uid="{4FA43DF7-9D0D-4B33-BCA7-0280FE22AE7A}"/>
    <cellStyle name="Вывод 3 2 8 6" xfId="4210" xr:uid="{00000000-0005-0000-0000-00000E100000}"/>
    <cellStyle name="Вывод 3 2 8 7" xfId="4732" xr:uid="{00000000-0005-0000-0000-00000F100000}"/>
    <cellStyle name="Вывод 3 2 8 8" xfId="5214" xr:uid="{00000000-0005-0000-0000-000010100000}"/>
    <cellStyle name="Вывод 3 2 9" xfId="709" xr:uid="{00000000-0005-0000-0000-000011100000}"/>
    <cellStyle name="Вывод 3 2 9 2" xfId="1539" xr:uid="{00000000-0005-0000-0000-000012100000}"/>
    <cellStyle name="Вывод 3 2 9 2 2" xfId="21532" xr:uid="{00000000-0005-0000-0000-000013100000}"/>
    <cellStyle name="Вывод 3 2 9 2 2 2" xfId="38174" xr:uid="{ABCFD054-4C5C-4D3C-831B-C4B59CE52FA0}"/>
    <cellStyle name="Вывод 3 2 9 2 3" xfId="6295" xr:uid="{00000000-0005-0000-0000-000014100000}"/>
    <cellStyle name="Вывод 3 2 9 2 4" xfId="24082" xr:uid="{69851039-9084-42BC-BEE5-10B9E3AC2289}"/>
    <cellStyle name="Вывод 3 2 9 3" xfId="2018" xr:uid="{00000000-0005-0000-0000-000015100000}"/>
    <cellStyle name="Вывод 3 2 9 3 2" xfId="22154" xr:uid="{00000000-0005-0000-0000-000016100000}"/>
    <cellStyle name="Вывод 3 2 9 3 2 2" xfId="38764" xr:uid="{AAE7C6D7-F9A7-4376-AFF0-87A98162D186}"/>
    <cellStyle name="Вывод 3 2 9 3 3" xfId="7064" xr:uid="{00000000-0005-0000-0000-000017100000}"/>
    <cellStyle name="Вывод 3 2 9 3 4" xfId="24691" xr:uid="{565A3527-3B31-45E2-A6EF-7579682FE77E}"/>
    <cellStyle name="Вывод 3 2 9 4" xfId="2350" xr:uid="{00000000-0005-0000-0000-000018100000}"/>
    <cellStyle name="Вывод 3 2 9 4 2" xfId="22499" xr:uid="{00000000-0005-0000-0000-000019100000}"/>
    <cellStyle name="Вывод 3 2 9 4 3" xfId="38991" xr:uid="{F52E1F81-D566-4B5B-834F-5DA3356FCEE7}"/>
    <cellStyle name="Вывод 3 2 9 5" xfId="3250" xr:uid="{00000000-0005-0000-0000-00001A100000}"/>
    <cellStyle name="Вывод 3 2 9 5 2" xfId="20820" xr:uid="{00000000-0005-0000-0000-00001B100000}"/>
    <cellStyle name="Вывод 3 2 9 5 3" xfId="37623" xr:uid="{2E6C10CF-CE2B-480E-83F1-47669B6DFE5C}"/>
    <cellStyle name="Вывод 3 2 9 6" xfId="4268" xr:uid="{00000000-0005-0000-0000-00001C100000}"/>
    <cellStyle name="Вывод 3 2 9 7" xfId="4790" xr:uid="{00000000-0005-0000-0000-00001D100000}"/>
    <cellStyle name="Вывод 3 2 9 8" xfId="5271" xr:uid="{00000000-0005-0000-0000-00001E100000}"/>
    <cellStyle name="Вывод 3 3" xfId="980" xr:uid="{00000000-0005-0000-0000-00001F100000}"/>
    <cellStyle name="Вывод 3 3 2" xfId="1787" xr:uid="{00000000-0005-0000-0000-000020100000}"/>
    <cellStyle name="Вывод 3 3 2 2" xfId="21017" xr:uid="{00000000-0005-0000-0000-000021100000}"/>
    <cellStyle name="Вывод 3 3 2 2 2" xfId="37777" xr:uid="{31E9BEC9-27B7-43F0-926D-0BB485804EF7}"/>
    <cellStyle name="Вывод 3 3 2 3" xfId="5788" xr:uid="{00000000-0005-0000-0000-000022100000}"/>
    <cellStyle name="Вывод 3 3 2 4" xfId="23685" xr:uid="{84B589CB-EBC7-4A30-9FA6-012D9DA02CE7}"/>
    <cellStyle name="Вывод 3 3 3" xfId="2438" xr:uid="{00000000-0005-0000-0000-000023100000}"/>
    <cellStyle name="Вывод 3 3 3 2" xfId="21757" xr:uid="{00000000-0005-0000-0000-000024100000}"/>
    <cellStyle name="Вывод 3 3 3 2 2" xfId="38367" xr:uid="{381CA649-6E7E-45A0-B3A8-9D60F63C26BD}"/>
    <cellStyle name="Вывод 3 3 3 3" xfId="6673" xr:uid="{00000000-0005-0000-0000-000025100000}"/>
    <cellStyle name="Вывод 3 3 3 4" xfId="24300" xr:uid="{06ACDC8F-11B8-491A-9180-19B44692EFA9}"/>
    <cellStyle name="Вывод 3 3 4" xfId="3099" xr:uid="{00000000-0005-0000-0000-000026100000}"/>
    <cellStyle name="Вывод 3 3 4 2" xfId="22620" xr:uid="{00000000-0005-0000-0000-000027100000}"/>
    <cellStyle name="Вывод 3 3 4 3" xfId="39094" xr:uid="{84722BD3-7DBD-44EC-9DE6-BC83AE830BCE}"/>
    <cellStyle name="Вывод 3 3 5" xfId="3074" xr:uid="{00000000-0005-0000-0000-000028100000}"/>
    <cellStyle name="Вывод 3 3 5 2" xfId="7371" xr:uid="{00000000-0005-0000-0000-000029100000}"/>
    <cellStyle name="Вывод 3 3 5 3" xfId="24846" xr:uid="{C86FED27-2DD1-4F10-8375-7243F43159AE}"/>
    <cellStyle name="Вывод 3 3 6" xfId="4408" xr:uid="{00000000-0005-0000-0000-00002A100000}"/>
    <cellStyle name="Вывод 3 3 7" xfId="4926" xr:uid="{00000000-0005-0000-0000-00002B100000}"/>
    <cellStyle name="Вывод 3 4" xfId="1056" xr:uid="{00000000-0005-0000-0000-00002C100000}"/>
    <cellStyle name="Вывод 3 4 2" xfId="14100" xr:uid="{00000000-0005-0000-0000-00002D100000}"/>
    <cellStyle name="Вывод 3 4 3" xfId="5564" xr:uid="{00000000-0005-0000-0000-00002E100000}"/>
    <cellStyle name="Вывод 3 4 4" xfId="23599" xr:uid="{9BB8F556-556E-4BB9-B0E5-8F70E1FF0DF4}"/>
    <cellStyle name="Вывод 3 5" xfId="871" xr:uid="{00000000-0005-0000-0000-00002F100000}"/>
    <cellStyle name="Вывод 3 5 2" xfId="22689" xr:uid="{00000000-0005-0000-0000-000030100000}"/>
    <cellStyle name="Вывод 3 5 2 2" xfId="39161" xr:uid="{68489C68-F702-4842-99EB-FEF520675874}"/>
    <cellStyle name="Вывод 3 5 3" xfId="5753" xr:uid="{00000000-0005-0000-0000-000031100000}"/>
    <cellStyle name="Вывод 3 5 4" xfId="23677" xr:uid="{A33BD855-BF9C-49E9-949E-D07F26583FF4}"/>
    <cellStyle name="Вывод 3 6" xfId="2251" xr:uid="{00000000-0005-0000-0000-000032100000}"/>
    <cellStyle name="Вывод 3 6 2" xfId="7226" xr:uid="{00000000-0005-0000-0000-000033100000}"/>
    <cellStyle name="Вывод 3 6 3" xfId="24824" xr:uid="{5086A8A6-93C1-4FF5-A6C0-3D034FBB00D6}"/>
    <cellStyle name="Вывод 3 7" xfId="2698" xr:uid="{00000000-0005-0000-0000-000034100000}"/>
    <cellStyle name="Вывод 3 8" xfId="3283" xr:uid="{00000000-0005-0000-0000-000035100000}"/>
    <cellStyle name="Вывод 3 9" xfId="3483" xr:uid="{00000000-0005-0000-0000-000036100000}"/>
    <cellStyle name="Вывод 4" xfId="40" xr:uid="{00000000-0005-0000-0000-000037100000}"/>
    <cellStyle name="Вывод 4 10" xfId="660" xr:uid="{00000000-0005-0000-0000-000038100000}"/>
    <cellStyle name="Вывод 4 10 2" xfId="1492" xr:uid="{00000000-0005-0000-0000-000039100000}"/>
    <cellStyle name="Вывод 4 10 2 2" xfId="21485" xr:uid="{00000000-0005-0000-0000-00003A100000}"/>
    <cellStyle name="Вывод 4 10 2 2 2" xfId="38127" xr:uid="{C5D40E5D-F30B-4D0C-9A17-8DEB9EF3E8C4}"/>
    <cellStyle name="Вывод 4 10 2 3" xfId="6248" xr:uid="{00000000-0005-0000-0000-00003B100000}"/>
    <cellStyle name="Вывод 4 10 2 4" xfId="24035" xr:uid="{07AC80D6-B177-4B9C-A987-4E8E7384168F}"/>
    <cellStyle name="Вывод 4 10 3" xfId="2203" xr:uid="{00000000-0005-0000-0000-00003C100000}"/>
    <cellStyle name="Вывод 4 10 3 2" xfId="22107" xr:uid="{00000000-0005-0000-0000-00003D100000}"/>
    <cellStyle name="Вывод 4 10 3 2 2" xfId="38717" xr:uid="{B0BB00C1-9889-4A86-A154-5CD0FC0A7B07}"/>
    <cellStyle name="Вывод 4 10 3 3" xfId="7017" xr:uid="{00000000-0005-0000-0000-00003E100000}"/>
    <cellStyle name="Вывод 4 10 3 4" xfId="24644" xr:uid="{2ED88B69-872E-4933-9D2E-7AD6980596D5}"/>
    <cellStyle name="Вывод 4 10 4" xfId="2548" xr:uid="{00000000-0005-0000-0000-00003F100000}"/>
    <cellStyle name="Вывод 4 10 4 2" xfId="22876" xr:uid="{00000000-0005-0000-0000-000040100000}"/>
    <cellStyle name="Вывод 4 10 4 3" xfId="39342" xr:uid="{4BE3DA0F-966D-459D-B0C3-75E0B7F16E1F}"/>
    <cellStyle name="Вывод 4 10 5" xfId="3520" xr:uid="{00000000-0005-0000-0000-000041100000}"/>
    <cellStyle name="Вывод 4 10 5 2" xfId="20876" xr:uid="{00000000-0005-0000-0000-000042100000}"/>
    <cellStyle name="Вывод 4 10 5 3" xfId="37666" xr:uid="{937B39E2-9B24-4B48-9C2C-924EF7077C4A}"/>
    <cellStyle name="Вывод 4 10 6" xfId="4220" xr:uid="{00000000-0005-0000-0000-000043100000}"/>
    <cellStyle name="Вывод 4 10 7" xfId="4742" xr:uid="{00000000-0005-0000-0000-000044100000}"/>
    <cellStyle name="Вывод 4 10 8" xfId="5224" xr:uid="{00000000-0005-0000-0000-000045100000}"/>
    <cellStyle name="Вывод 4 11" xfId="661" xr:uid="{00000000-0005-0000-0000-000046100000}"/>
    <cellStyle name="Вывод 4 11 2" xfId="1493" xr:uid="{00000000-0005-0000-0000-000047100000}"/>
    <cellStyle name="Вывод 4 11 2 2" xfId="22108" xr:uid="{00000000-0005-0000-0000-000048100000}"/>
    <cellStyle name="Вывод 4 11 2 2 2" xfId="38718" xr:uid="{87C96DAF-0659-4DD5-A639-FCAF43B64635}"/>
    <cellStyle name="Вывод 4 11 2 3" xfId="6249" xr:uid="{00000000-0005-0000-0000-000049100000}"/>
    <cellStyle name="Вывод 4 11 2 4" xfId="24036" xr:uid="{48DD28B9-23E5-4546-A0BD-DE060AE498AF}"/>
    <cellStyle name="Вывод 4 11 3" xfId="2147" xr:uid="{00000000-0005-0000-0000-00004A100000}"/>
    <cellStyle name="Вывод 4 11 3 2" xfId="22848" xr:uid="{00000000-0005-0000-0000-00004B100000}"/>
    <cellStyle name="Вывод 4 11 3 2 2" xfId="39314" xr:uid="{2E9B2C15-543A-478E-96B4-3911164B1393}"/>
    <cellStyle name="Вывод 4 11 3 3" xfId="7018" xr:uid="{00000000-0005-0000-0000-00004C100000}"/>
    <cellStyle name="Вывод 4 11 3 4" xfId="24645" xr:uid="{533FBDC9-B0CC-487C-887B-D2335F491FA8}"/>
    <cellStyle name="Вывод 4 11 4" xfId="2909" xr:uid="{00000000-0005-0000-0000-00004D100000}"/>
    <cellStyle name="Вывод 4 11 4 2" xfId="21486" xr:uid="{00000000-0005-0000-0000-00004E100000}"/>
    <cellStyle name="Вывод 4 11 4 3" xfId="38128" xr:uid="{5BD115F0-5444-4C8C-881A-0B4EAAE5459C}"/>
    <cellStyle name="Вывод 4 11 5" xfId="3450" xr:uid="{00000000-0005-0000-0000-00004F100000}"/>
    <cellStyle name="Вывод 4 11 6" xfId="4221" xr:uid="{00000000-0005-0000-0000-000050100000}"/>
    <cellStyle name="Вывод 4 11 7" xfId="4743" xr:uid="{00000000-0005-0000-0000-000051100000}"/>
    <cellStyle name="Вывод 4 11 8" xfId="5225" xr:uid="{00000000-0005-0000-0000-000052100000}"/>
    <cellStyle name="Вывод 4 12" xfId="865" xr:uid="{00000000-0005-0000-0000-000053100000}"/>
    <cellStyle name="Вывод 4 12 2" xfId="1812" xr:uid="{00000000-0005-0000-0000-000054100000}"/>
    <cellStyle name="Вывод 4 12 2 2" xfId="21752" xr:uid="{00000000-0005-0000-0000-000055100000}"/>
    <cellStyle name="Вывод 4 12 2 2 2" xfId="38362" xr:uid="{8B0CDE9E-A8E2-428E-9400-35A0FADC9330}"/>
    <cellStyle name="Вывод 4 12 2 3" xfId="5755" xr:uid="{00000000-0005-0000-0000-000056100000}"/>
    <cellStyle name="Вывод 4 12 2 4" xfId="23679" xr:uid="{576308B6-6CDC-431F-BD5E-A19E93D0D12B}"/>
    <cellStyle name="Вывод 4 12 3" xfId="2399" xr:uid="{00000000-0005-0000-0000-000057100000}"/>
    <cellStyle name="Вывод 4 12 3 2" xfId="22759" xr:uid="{00000000-0005-0000-0000-000058100000}"/>
    <cellStyle name="Вывод 4 12 3 2 2" xfId="39228" xr:uid="{98C13859-2B19-446C-8394-BE1F56F48BF5}"/>
    <cellStyle name="Вывод 4 12 3 3" xfId="6668" xr:uid="{00000000-0005-0000-0000-000059100000}"/>
    <cellStyle name="Вывод 4 12 3 4" xfId="24295" xr:uid="{EA48C12D-A4E0-4BA4-B92B-3613EECCC28B}"/>
    <cellStyle name="Вывод 4 12 4" xfId="3152" xr:uid="{00000000-0005-0000-0000-00005A100000}"/>
    <cellStyle name="Вывод 4 12 4 2" xfId="20997" xr:uid="{00000000-0005-0000-0000-00005B100000}"/>
    <cellStyle name="Вывод 4 12 4 3" xfId="37772" xr:uid="{73BED526-00D1-476D-AA89-23C22DD00DE4}"/>
    <cellStyle name="Вывод 4 12 5" xfId="3078" xr:uid="{00000000-0005-0000-0000-00005C100000}"/>
    <cellStyle name="Вывод 4 12 6" xfId="3630" xr:uid="{00000000-0005-0000-0000-00005D100000}"/>
    <cellStyle name="Вывод 4 12 7" xfId="3079" xr:uid="{00000000-0005-0000-0000-00005E100000}"/>
    <cellStyle name="Вывод 4 13" xfId="1780" xr:uid="{00000000-0005-0000-0000-00005F100000}"/>
    <cellStyle name="Вывод 4 13 2" xfId="20941" xr:uid="{00000000-0005-0000-0000-000060100000}"/>
    <cellStyle name="Вывод 4 13 2 2" xfId="37718" xr:uid="{F73EDFF1-0D98-4538-93CC-E7ABC9B2B745}"/>
    <cellStyle name="Вывод 4 13 3" xfId="5629" xr:uid="{00000000-0005-0000-0000-000061100000}"/>
    <cellStyle name="Вывод 4 13 4" xfId="23622" xr:uid="{0676640D-A2AA-4F21-8BB1-71D8B23B2C25}"/>
    <cellStyle name="Вывод 4 14" xfId="2573" xr:uid="{00000000-0005-0000-0000-000062100000}"/>
    <cellStyle name="Вывод 4 14 2" xfId="21698" xr:uid="{00000000-0005-0000-0000-000063100000}"/>
    <cellStyle name="Вывод 4 14 2 2" xfId="38308" xr:uid="{1EC4A9BA-F8E9-4438-9A21-8F166CFFB9FF}"/>
    <cellStyle name="Вывод 4 14 3" xfId="6616" xr:uid="{00000000-0005-0000-0000-000064100000}"/>
    <cellStyle name="Вывод 4 14 4" xfId="24243" xr:uid="{6921428B-8FA6-4898-B9E0-5DFE1F9DA170}"/>
    <cellStyle name="Вывод 4 15" xfId="3736" xr:uid="{00000000-0005-0000-0000-000065100000}"/>
    <cellStyle name="Вывод 4 15 2" xfId="23013" xr:uid="{00000000-0005-0000-0000-000066100000}"/>
    <cellStyle name="Вывод 4 15 3" xfId="39479" xr:uid="{788D2B36-2D66-473E-876A-45E0F5342C05}"/>
    <cellStyle name="Вывод 4 16" xfId="3530" xr:uid="{00000000-0005-0000-0000-000067100000}"/>
    <cellStyle name="Вывод 4 16 2" xfId="7308" xr:uid="{00000000-0005-0000-0000-000068100000}"/>
    <cellStyle name="Вывод 4 16 3" xfId="24841" xr:uid="{E3958FB9-7403-411C-A83C-CD16CE0514AB}"/>
    <cellStyle name="Вывод 4 17" xfId="3368" xr:uid="{00000000-0005-0000-0000-000069100000}"/>
    <cellStyle name="Вывод 4 18" xfId="3919" xr:uid="{00000000-0005-0000-0000-00006A100000}"/>
    <cellStyle name="Вывод 4 2" xfId="243" xr:uid="{00000000-0005-0000-0000-00006B100000}"/>
    <cellStyle name="Вывод 4 2 2" xfId="975" xr:uid="{00000000-0005-0000-0000-00006C100000}"/>
    <cellStyle name="Вывод 4 2 2 2" xfId="21106" xr:uid="{00000000-0005-0000-0000-00006D100000}"/>
    <cellStyle name="Вывод 4 2 2 2 2" xfId="37830" xr:uid="{ED316F16-29A3-40D6-AF23-0B6F0EAEDBB6}"/>
    <cellStyle name="Вывод 4 2 2 3" xfId="5882" xr:uid="{00000000-0005-0000-0000-00006E100000}"/>
    <cellStyle name="Вывод 4 2 2 4" xfId="23738" xr:uid="{8657E023-3606-4226-BB2C-5320271E48B6}"/>
    <cellStyle name="Вывод 4 2 3" xfId="1996" xr:uid="{00000000-0005-0000-0000-00006F100000}"/>
    <cellStyle name="Вывод 4 2 3 2" xfId="21810" xr:uid="{00000000-0005-0000-0000-000070100000}"/>
    <cellStyle name="Вывод 4 2 3 2 2" xfId="38420" xr:uid="{DFE3FA4E-912E-4B93-A438-288AE51E8645}"/>
    <cellStyle name="Вывод 4 2 3 3" xfId="6724" xr:uid="{00000000-0005-0000-0000-000071100000}"/>
    <cellStyle name="Вывод 4 2 3 4" xfId="24351" xr:uid="{DF17EBBE-5D34-4297-9A8C-D6C53DAFF094}"/>
    <cellStyle name="Вывод 4 2 4" xfId="2782" xr:uid="{00000000-0005-0000-0000-000072100000}"/>
    <cellStyle name="Вывод 4 2 4 2" xfId="23032" xr:uid="{00000000-0005-0000-0000-000073100000}"/>
    <cellStyle name="Вывод 4 2 4 3" xfId="39498" xr:uid="{40FD8635-67F7-4B90-BE4C-5D2A69C61B1D}"/>
    <cellStyle name="Вывод 4 2 5" xfId="3724" xr:uid="{00000000-0005-0000-0000-000074100000}"/>
    <cellStyle name="Вывод 4 2 5 2" xfId="14025" xr:uid="{00000000-0005-0000-0000-000075100000}"/>
    <cellStyle name="Вывод 4 2 5 3" xfId="31064" xr:uid="{44E92D0F-556A-4069-99B0-0CAB6FF74C3D}"/>
    <cellStyle name="Вывод 4 2 6" xfId="3884" xr:uid="{00000000-0005-0000-0000-000076100000}"/>
    <cellStyle name="Вывод 4 2 7" xfId="3334" xr:uid="{00000000-0005-0000-0000-000077100000}"/>
    <cellStyle name="Вывод 4 2 8" xfId="3945" xr:uid="{00000000-0005-0000-0000-000078100000}"/>
    <cellStyle name="Вывод 4 3" xfId="248" xr:uid="{00000000-0005-0000-0000-000079100000}"/>
    <cellStyle name="Вывод 4 3 2" xfId="1154" xr:uid="{00000000-0005-0000-0000-00007A100000}"/>
    <cellStyle name="Вывод 4 3 2 2" xfId="21111" xr:uid="{00000000-0005-0000-0000-00007B100000}"/>
    <cellStyle name="Вывод 4 3 2 2 2" xfId="37835" xr:uid="{D58593CA-29D0-4808-8B22-619EA16D7009}"/>
    <cellStyle name="Вывод 4 3 2 3" xfId="5887" xr:uid="{00000000-0005-0000-0000-00007C100000}"/>
    <cellStyle name="Вывод 4 3 2 4" xfId="23743" xr:uid="{26648C8A-88AE-41EB-A7A6-208770DF65E9}"/>
    <cellStyle name="Вывод 4 3 3" xfId="2136" xr:uid="{00000000-0005-0000-0000-00007D100000}"/>
    <cellStyle name="Вывод 4 3 3 2" xfId="21815" xr:uid="{00000000-0005-0000-0000-00007E100000}"/>
    <cellStyle name="Вывод 4 3 3 2 2" xfId="38425" xr:uid="{AE2FA0AF-B0B3-4D70-830E-1BE70D4963F1}"/>
    <cellStyle name="Вывод 4 3 3 3" xfId="6729" xr:uid="{00000000-0005-0000-0000-00007F100000}"/>
    <cellStyle name="Вывод 4 3 3 4" xfId="24356" xr:uid="{655CB036-AD23-482A-831A-90E2834CD70E}"/>
    <cellStyle name="Вывод 4 3 4" xfId="2494" xr:uid="{00000000-0005-0000-0000-000080100000}"/>
    <cellStyle name="Вывод 4 3 4 2" xfId="22840" xr:uid="{00000000-0005-0000-0000-000081100000}"/>
    <cellStyle name="Вывод 4 3 4 3" xfId="39306" xr:uid="{B1A36E36-530C-4717-B351-CDB31BF81366}"/>
    <cellStyle name="Вывод 4 3 5" xfId="3436" xr:uid="{00000000-0005-0000-0000-000082100000}"/>
    <cellStyle name="Вывод 4 3 5 2" xfId="20367" xr:uid="{00000000-0005-0000-0000-000083100000}"/>
    <cellStyle name="Вывод 4 3 5 3" xfId="37302" xr:uid="{E017B6CD-9793-41B6-941A-6D78872E3C67}"/>
    <cellStyle name="Вывод 4 3 6" xfId="3889" xr:uid="{00000000-0005-0000-0000-000084100000}"/>
    <cellStyle name="Вывод 4 3 7" xfId="4427" xr:uid="{00000000-0005-0000-0000-000085100000}"/>
    <cellStyle name="Вывод 4 3 8" xfId="4936" xr:uid="{00000000-0005-0000-0000-000086100000}"/>
    <cellStyle name="Вывод 4 4" xfId="427" xr:uid="{00000000-0005-0000-0000-000087100000}"/>
    <cellStyle name="Вывод 4 4 2" xfId="1259" xr:uid="{00000000-0005-0000-0000-000088100000}"/>
    <cellStyle name="Вывод 4 4 2 2" xfId="21252" xr:uid="{00000000-0005-0000-0000-000089100000}"/>
    <cellStyle name="Вывод 4 4 2 2 2" xfId="37894" xr:uid="{85D23D31-6DA7-4B1A-8DF5-E3B109C9BE32}"/>
    <cellStyle name="Вывод 4 4 2 3" xfId="6015" xr:uid="{00000000-0005-0000-0000-00008A100000}"/>
    <cellStyle name="Вывод 4 4 2 4" xfId="23802" xr:uid="{F423E7AC-D662-4DBE-B321-14DD23CA0E03}"/>
    <cellStyle name="Вывод 4 4 3" xfId="2244" xr:uid="{00000000-0005-0000-0000-00008B100000}"/>
    <cellStyle name="Вывод 4 4 3 2" xfId="21874" xr:uid="{00000000-0005-0000-0000-00008C100000}"/>
    <cellStyle name="Вывод 4 4 3 2 2" xfId="38484" xr:uid="{62D1122D-FB77-4689-8194-47A18A07397B}"/>
    <cellStyle name="Вывод 4 4 3 3" xfId="6786" xr:uid="{00000000-0005-0000-0000-00008D100000}"/>
    <cellStyle name="Вывод 4 4 3 4" xfId="24413" xr:uid="{5D95E867-0DB5-4093-8A6D-C083BCC9C2B7}"/>
    <cellStyle name="Вывод 4 4 4" xfId="2719" xr:uid="{00000000-0005-0000-0000-00008E100000}"/>
    <cellStyle name="Вывод 4 4 4 2" xfId="22935" xr:uid="{00000000-0005-0000-0000-00008F100000}"/>
    <cellStyle name="Вывод 4 4 4 3" xfId="39401" xr:uid="{00567443-0E2C-4402-9709-441F69D82EF3}"/>
    <cellStyle name="Вывод 4 4 5" xfId="3594" xr:uid="{00000000-0005-0000-0000-000090100000}"/>
    <cellStyle name="Вывод 4 4 5 2" xfId="20375" xr:uid="{00000000-0005-0000-0000-000091100000}"/>
    <cellStyle name="Вывод 4 4 5 3" xfId="37310" xr:uid="{EE2C7392-F812-4411-BD58-1DEE5EC2C9F5}"/>
    <cellStyle name="Вывод 4 4 6" xfId="3988" xr:uid="{00000000-0005-0000-0000-000092100000}"/>
    <cellStyle name="Вывод 4 4 7" xfId="4511" xr:uid="{00000000-0005-0000-0000-000093100000}"/>
    <cellStyle name="Вывод 4 4 8" xfId="4993" xr:uid="{00000000-0005-0000-0000-000094100000}"/>
    <cellStyle name="Вывод 4 5" xfId="433" xr:uid="{00000000-0005-0000-0000-000095100000}"/>
    <cellStyle name="Вывод 4 5 2" xfId="1265" xr:uid="{00000000-0005-0000-0000-000096100000}"/>
    <cellStyle name="Вывод 4 5 2 2" xfId="21258" xr:uid="{00000000-0005-0000-0000-000097100000}"/>
    <cellStyle name="Вывод 4 5 2 2 2" xfId="37900" xr:uid="{CDA3134E-6F0F-49C9-BBA9-3ADD96FC25DC}"/>
    <cellStyle name="Вывод 4 5 2 3" xfId="6021" xr:uid="{00000000-0005-0000-0000-000098100000}"/>
    <cellStyle name="Вывод 4 5 2 4" xfId="23808" xr:uid="{90A4673C-7594-44EE-A844-C798930AB211}"/>
    <cellStyle name="Вывод 4 5 3" xfId="2040" xr:uid="{00000000-0005-0000-0000-000099100000}"/>
    <cellStyle name="Вывод 4 5 3 2" xfId="21880" xr:uid="{00000000-0005-0000-0000-00009A100000}"/>
    <cellStyle name="Вывод 4 5 3 2 2" xfId="38490" xr:uid="{A519496C-F277-4FC5-9D79-24B3C7E7BAF7}"/>
    <cellStyle name="Вывод 4 5 3 3" xfId="6792" xr:uid="{00000000-0005-0000-0000-00009B100000}"/>
    <cellStyle name="Вывод 4 5 3 4" xfId="24419" xr:uid="{12BA6481-0C06-4F51-BE5F-8228E85D7C9C}"/>
    <cellStyle name="Вывод 4 5 4" xfId="2829" xr:uid="{00000000-0005-0000-0000-00009C100000}"/>
    <cellStyle name="Вывод 4 5 4 2" xfId="23068" xr:uid="{00000000-0005-0000-0000-00009D100000}"/>
    <cellStyle name="Вывод 4 5 4 3" xfId="39534" xr:uid="{1E46186C-265F-4993-AE11-3194A1385105}"/>
    <cellStyle name="Вывод 4 5 5" xfId="3197" xr:uid="{00000000-0005-0000-0000-00009E100000}"/>
    <cellStyle name="Вывод 4 5 5 2" xfId="20561" xr:uid="{00000000-0005-0000-0000-00009F100000}"/>
    <cellStyle name="Вывод 4 5 5 3" xfId="37415" xr:uid="{DDDDB955-6F24-4B06-8C70-C95CFE2017B7}"/>
    <cellStyle name="Вывод 4 5 6" xfId="3994" xr:uid="{00000000-0005-0000-0000-0000A0100000}"/>
    <cellStyle name="Вывод 4 5 7" xfId="4517" xr:uid="{00000000-0005-0000-0000-0000A1100000}"/>
    <cellStyle name="Вывод 4 5 8" xfId="4999" xr:uid="{00000000-0005-0000-0000-0000A2100000}"/>
    <cellStyle name="Вывод 4 6" xfId="528" xr:uid="{00000000-0005-0000-0000-0000A3100000}"/>
    <cellStyle name="Вывод 4 6 2" xfId="1360" xr:uid="{00000000-0005-0000-0000-0000A4100000}"/>
    <cellStyle name="Вывод 4 6 2 2" xfId="21353" xr:uid="{00000000-0005-0000-0000-0000A5100000}"/>
    <cellStyle name="Вывод 4 6 2 2 2" xfId="37995" xr:uid="{F5F1B410-1A6E-4B48-8DC5-56980E4969E7}"/>
    <cellStyle name="Вывод 4 6 2 3" xfId="6116" xr:uid="{00000000-0005-0000-0000-0000A6100000}"/>
    <cellStyle name="Вывод 4 6 2 4" xfId="23903" xr:uid="{F5A54228-C58E-4C04-8172-81EA2A569E05}"/>
    <cellStyle name="Вывод 4 6 3" xfId="2214" xr:uid="{00000000-0005-0000-0000-0000A7100000}"/>
    <cellStyle name="Вывод 4 6 3 2" xfId="21975" xr:uid="{00000000-0005-0000-0000-0000A8100000}"/>
    <cellStyle name="Вывод 4 6 3 2 2" xfId="38585" xr:uid="{A2081AFF-2092-4EB2-93BE-AA820AD4CE30}"/>
    <cellStyle name="Вывод 4 6 3 3" xfId="6885" xr:uid="{00000000-0005-0000-0000-0000A9100000}"/>
    <cellStyle name="Вывод 4 6 3 4" xfId="24512" xr:uid="{8BE8BA61-296A-4811-81FC-0374713DC8C2}"/>
    <cellStyle name="Вывод 4 6 4" xfId="2473" xr:uid="{00000000-0005-0000-0000-0000AA100000}"/>
    <cellStyle name="Вывод 4 6 4 2" xfId="22783" xr:uid="{00000000-0005-0000-0000-0000AB100000}"/>
    <cellStyle name="Вывод 4 6 4 3" xfId="39250" xr:uid="{1F184CA9-3B26-4D75-926D-B9F6C58D93EB}"/>
    <cellStyle name="Вывод 4 6 5" xfId="3354" xr:uid="{00000000-0005-0000-0000-0000AC100000}"/>
    <cellStyle name="Вывод 4 6 5 2" xfId="20554" xr:uid="{00000000-0005-0000-0000-0000AD100000}"/>
    <cellStyle name="Вывод 4 6 5 3" xfId="37412" xr:uid="{0447E7E3-E168-40B2-B1DE-6018BB8D3CC1}"/>
    <cellStyle name="Вывод 4 6 6" xfId="4088" xr:uid="{00000000-0005-0000-0000-0000AE100000}"/>
    <cellStyle name="Вывод 4 6 7" xfId="4610" xr:uid="{00000000-0005-0000-0000-0000AF100000}"/>
    <cellStyle name="Вывод 4 6 8" xfId="5092" xr:uid="{00000000-0005-0000-0000-0000B0100000}"/>
    <cellStyle name="Вывод 4 7" xfId="580" xr:uid="{00000000-0005-0000-0000-0000B1100000}"/>
    <cellStyle name="Вывод 4 7 2" xfId="1412" xr:uid="{00000000-0005-0000-0000-0000B2100000}"/>
    <cellStyle name="Вывод 4 7 2 2" xfId="21405" xr:uid="{00000000-0005-0000-0000-0000B3100000}"/>
    <cellStyle name="Вывод 4 7 2 2 2" xfId="38047" xr:uid="{9338861D-FC54-479D-B217-B9162E340493}"/>
    <cellStyle name="Вывод 4 7 2 3" xfId="6168" xr:uid="{00000000-0005-0000-0000-0000B4100000}"/>
    <cellStyle name="Вывод 4 7 2 4" xfId="23955" xr:uid="{D227A142-B140-4546-ABBB-FFC989E76482}"/>
    <cellStyle name="Вывод 4 7 3" xfId="2062" xr:uid="{00000000-0005-0000-0000-0000B5100000}"/>
    <cellStyle name="Вывод 4 7 3 2" xfId="22027" xr:uid="{00000000-0005-0000-0000-0000B6100000}"/>
    <cellStyle name="Вывод 4 7 3 2 2" xfId="38637" xr:uid="{A0B549B0-F8DC-4481-A5F0-EFD46980E585}"/>
    <cellStyle name="Вывод 4 7 3 3" xfId="6937" xr:uid="{00000000-0005-0000-0000-0000B7100000}"/>
    <cellStyle name="Вывод 4 7 3 4" xfId="24564" xr:uid="{655FFFA0-695E-4051-8806-68586A28EEF4}"/>
    <cellStyle name="Вывод 4 7 4" xfId="2814" xr:uid="{00000000-0005-0000-0000-0000B8100000}"/>
    <cellStyle name="Вывод 4 7 4 2" xfId="22671" xr:uid="{00000000-0005-0000-0000-0000B9100000}"/>
    <cellStyle name="Вывод 4 7 4 3" xfId="39143" xr:uid="{AA0528AB-E9C0-44F0-A161-21F27057773E}"/>
    <cellStyle name="Вывод 4 7 5" xfId="3754" xr:uid="{00000000-0005-0000-0000-0000BA100000}"/>
    <cellStyle name="Вывод 4 7 5 2" xfId="20681" xr:uid="{00000000-0005-0000-0000-0000BB100000}"/>
    <cellStyle name="Вывод 4 7 5 3" xfId="37510" xr:uid="{562D4D43-DBFC-420C-A47E-3863424E7E17}"/>
    <cellStyle name="Вывод 4 7 6" xfId="4140" xr:uid="{00000000-0005-0000-0000-0000BC100000}"/>
    <cellStyle name="Вывод 4 7 7" xfId="4662" xr:uid="{00000000-0005-0000-0000-0000BD100000}"/>
    <cellStyle name="Вывод 4 7 8" xfId="5144" xr:uid="{00000000-0005-0000-0000-0000BE100000}"/>
    <cellStyle name="Вывод 4 8" xfId="673" xr:uid="{00000000-0005-0000-0000-0000BF100000}"/>
    <cellStyle name="Вывод 4 8 2" xfId="1503" xr:uid="{00000000-0005-0000-0000-0000C0100000}"/>
    <cellStyle name="Вывод 4 8 2 2" xfId="21496" xr:uid="{00000000-0005-0000-0000-0000C1100000}"/>
    <cellStyle name="Вывод 4 8 2 2 2" xfId="38138" xr:uid="{AD5934F4-8721-4F29-8173-7642C6C4EA2B}"/>
    <cellStyle name="Вывод 4 8 2 3" xfId="6259" xr:uid="{00000000-0005-0000-0000-0000C2100000}"/>
    <cellStyle name="Вывод 4 8 2 4" xfId="24046" xr:uid="{62BE82AA-F532-48FF-901E-883A4E7F2478}"/>
    <cellStyle name="Вывод 4 8 3" xfId="2035" xr:uid="{00000000-0005-0000-0000-0000C3100000}"/>
    <cellStyle name="Вывод 4 8 3 2" xfId="22118" xr:uid="{00000000-0005-0000-0000-0000C4100000}"/>
    <cellStyle name="Вывод 4 8 3 2 2" xfId="38728" xr:uid="{61B48E04-CDBA-4666-83D7-A2842A8925E4}"/>
    <cellStyle name="Вывод 4 8 3 3" xfId="7028" xr:uid="{00000000-0005-0000-0000-0000C5100000}"/>
    <cellStyle name="Вывод 4 8 3 4" xfId="24655" xr:uid="{B51F9BB8-56ED-46C4-993F-A2128435D324}"/>
    <cellStyle name="Вывод 4 8 4" xfId="2824" xr:uid="{00000000-0005-0000-0000-0000C6100000}"/>
    <cellStyle name="Вывод 4 8 4 2" xfId="23063" xr:uid="{00000000-0005-0000-0000-0000C7100000}"/>
    <cellStyle name="Вывод 4 8 4 3" xfId="39529" xr:uid="{DF4F33B4-55C8-4A77-A96A-1BF7531C1A78}"/>
    <cellStyle name="Вывод 4 8 5" xfId="3188" xr:uid="{00000000-0005-0000-0000-0000C8100000}"/>
    <cellStyle name="Вывод 4 8 5 2" xfId="20746" xr:uid="{00000000-0005-0000-0000-0000C9100000}"/>
    <cellStyle name="Вывод 4 8 5 3" xfId="37562" xr:uid="{2B0D1C04-4E88-488C-84D4-B376B06998C4}"/>
    <cellStyle name="Вывод 4 8 6" xfId="4232" xr:uid="{00000000-0005-0000-0000-0000CA100000}"/>
    <cellStyle name="Вывод 4 8 7" xfId="4754" xr:uid="{00000000-0005-0000-0000-0000CB100000}"/>
    <cellStyle name="Вывод 4 8 8" xfId="5235" xr:uid="{00000000-0005-0000-0000-0000CC100000}"/>
    <cellStyle name="Вывод 4 9" xfId="639" xr:uid="{00000000-0005-0000-0000-0000CD100000}"/>
    <cellStyle name="Вывод 4 9 2" xfId="1471" xr:uid="{00000000-0005-0000-0000-0000CE100000}"/>
    <cellStyle name="Вывод 4 9 2 2" xfId="21464" xr:uid="{00000000-0005-0000-0000-0000CF100000}"/>
    <cellStyle name="Вывод 4 9 2 2 2" xfId="38106" xr:uid="{76B99580-5A6B-45FC-8C0E-1F5255718B18}"/>
    <cellStyle name="Вывод 4 9 2 3" xfId="6227" xr:uid="{00000000-0005-0000-0000-0000D0100000}"/>
    <cellStyle name="Вывод 4 9 2 4" xfId="24014" xr:uid="{633A765D-0974-4505-9D1D-772EC53E546D}"/>
    <cellStyle name="Вывод 4 9 3" xfId="2115" xr:uid="{00000000-0005-0000-0000-0000D1100000}"/>
    <cellStyle name="Вывод 4 9 3 2" xfId="22086" xr:uid="{00000000-0005-0000-0000-0000D2100000}"/>
    <cellStyle name="Вывод 4 9 3 2 2" xfId="38696" xr:uid="{1A7D6699-EA6C-4AFA-9FBF-3204BB21AA75}"/>
    <cellStyle name="Вывод 4 9 3 3" xfId="6996" xr:uid="{00000000-0005-0000-0000-0000D3100000}"/>
    <cellStyle name="Вывод 4 9 3 4" xfId="24623" xr:uid="{C5B51230-B34B-4D2C-92B4-B49C5F23FA09}"/>
    <cellStyle name="Вывод 4 9 4" xfId="2892" xr:uid="{00000000-0005-0000-0000-0000D4100000}"/>
    <cellStyle name="Вывод 4 9 4 2" xfId="22798" xr:uid="{00000000-0005-0000-0000-0000D5100000}"/>
    <cellStyle name="Вывод 4 9 4 3" xfId="39264" xr:uid="{3921E53D-389A-4565-8444-4093F40EB3C7}"/>
    <cellStyle name="Вывод 4 9 5" xfId="3223" xr:uid="{00000000-0005-0000-0000-0000D6100000}"/>
    <cellStyle name="Вывод 4 9 5 2" xfId="20811" xr:uid="{00000000-0005-0000-0000-0000D7100000}"/>
    <cellStyle name="Вывод 4 9 5 3" xfId="37614" xr:uid="{3BA1552B-9F7B-4AE4-902E-8D79E63650D4}"/>
    <cellStyle name="Вывод 4 9 6" xfId="4199" xr:uid="{00000000-0005-0000-0000-0000D8100000}"/>
    <cellStyle name="Вывод 4 9 7" xfId="4721" xr:uid="{00000000-0005-0000-0000-0000D9100000}"/>
    <cellStyle name="Вывод 4 9 8" xfId="5203" xr:uid="{00000000-0005-0000-0000-0000DA100000}"/>
    <cellStyle name="Вывод 5" xfId="212" xr:uid="{00000000-0005-0000-0000-0000DB100000}"/>
    <cellStyle name="Вывод 5 10" xfId="755" xr:uid="{00000000-0005-0000-0000-0000DC100000}"/>
    <cellStyle name="Вывод 5 10 2" xfId="1584" xr:uid="{00000000-0005-0000-0000-0000DD100000}"/>
    <cellStyle name="Вывод 5 10 2 2" xfId="22199" xr:uid="{00000000-0005-0000-0000-0000DE100000}"/>
    <cellStyle name="Вывод 5 10 2 2 2" xfId="38809" xr:uid="{E7B8B74B-5FA6-4CD1-AB3D-9BC25B7FD563}"/>
    <cellStyle name="Вывод 5 10 2 3" xfId="6340" xr:uid="{00000000-0005-0000-0000-0000DF100000}"/>
    <cellStyle name="Вывод 5 10 2 4" xfId="24127" xr:uid="{11A65D3E-64D6-49DD-8E23-F57316C7236F}"/>
    <cellStyle name="Вывод 5 10 3" xfId="2011" xr:uid="{00000000-0005-0000-0000-0000E0100000}"/>
    <cellStyle name="Вывод 5 10 3 2" xfId="22660" xr:uid="{00000000-0005-0000-0000-0000E1100000}"/>
    <cellStyle name="Вывод 5 10 3 2 2" xfId="39132" xr:uid="{604D0F9B-5673-4F44-8779-91D3BD3E8D71}"/>
    <cellStyle name="Вывод 5 10 3 3" xfId="7109" xr:uid="{00000000-0005-0000-0000-0000E2100000}"/>
    <cellStyle name="Вывод 5 10 3 4" xfId="24736" xr:uid="{6F60B75C-F5B4-4DE4-9039-B9D3E5CB51C3}"/>
    <cellStyle name="Вывод 5 10 4" xfId="2380" xr:uid="{00000000-0005-0000-0000-0000E3100000}"/>
    <cellStyle name="Вывод 5 10 4 2" xfId="21577" xr:uid="{00000000-0005-0000-0000-0000E4100000}"/>
    <cellStyle name="Вывод 5 10 4 3" xfId="38219" xr:uid="{14EC9C6B-73F0-4D06-9164-10D6E1D064E2}"/>
    <cellStyle name="Вывод 5 10 5" xfId="3019" xr:uid="{00000000-0005-0000-0000-0000E5100000}"/>
    <cellStyle name="Вывод 5 10 6" xfId="4313" xr:uid="{00000000-0005-0000-0000-0000E6100000}"/>
    <cellStyle name="Вывод 5 10 7" xfId="4835" xr:uid="{00000000-0005-0000-0000-0000E7100000}"/>
    <cellStyle name="Вывод 5 10 8" xfId="5316" xr:uid="{00000000-0005-0000-0000-0000E8100000}"/>
    <cellStyle name="Вывод 5 11" xfId="1147" xr:uid="{00000000-0005-0000-0000-0000E9100000}"/>
    <cellStyle name="Вывод 5 11 2" xfId="2281" xr:uid="{00000000-0005-0000-0000-0000EA100000}"/>
    <cellStyle name="Вывод 5 11 2 2" xfId="21780" xr:uid="{00000000-0005-0000-0000-0000EB100000}"/>
    <cellStyle name="Вывод 5 11 2 2 2" xfId="38390" xr:uid="{C9831BF8-AA14-4774-B366-AC32B0BB510E}"/>
    <cellStyle name="Вывод 5 11 2 3" xfId="5852" xr:uid="{00000000-0005-0000-0000-0000EC100000}"/>
    <cellStyle name="Вывод 5 11 2 4" xfId="23708" xr:uid="{3B8630A6-9646-40A8-BF78-A03F141F0010}"/>
    <cellStyle name="Вывод 5 11 3" xfId="2808" xr:uid="{00000000-0005-0000-0000-0000ED100000}"/>
    <cellStyle name="Вывод 5 11 3 2" xfId="23010" xr:uid="{00000000-0005-0000-0000-0000EE100000}"/>
    <cellStyle name="Вывод 5 11 3 2 2" xfId="39476" xr:uid="{D513228A-93AD-4984-A0FD-73A82092FE53}"/>
    <cellStyle name="Вывод 5 11 3 3" xfId="6696" xr:uid="{00000000-0005-0000-0000-0000EF100000}"/>
    <cellStyle name="Вывод 5 11 3 4" xfId="24323" xr:uid="{8F126554-6B64-4C62-8278-8B8F1477D109}"/>
    <cellStyle name="Вывод 5 11 4" xfId="3645" xr:uid="{00000000-0005-0000-0000-0000F0100000}"/>
    <cellStyle name="Вывод 5 11 4 2" xfId="21076" xr:uid="{00000000-0005-0000-0000-0000F1100000}"/>
    <cellStyle name="Вывод 5 11 4 3" xfId="37800" xr:uid="{F1CD1D09-B99A-4230-9CBA-A72BC5B1BB85}"/>
    <cellStyle name="Вывод 5 11 5" xfId="3652" xr:uid="{00000000-0005-0000-0000-0000F2100000}"/>
    <cellStyle name="Вывод 5 11 6" xfId="3397" xr:uid="{00000000-0005-0000-0000-0000F3100000}"/>
    <cellStyle name="Вывод 5 11 7" xfId="3281" xr:uid="{00000000-0005-0000-0000-0000F4100000}"/>
    <cellStyle name="Вывод 5 12" xfId="1072" xr:uid="{00000000-0005-0000-0000-0000F5100000}"/>
    <cellStyle name="Вывод 5 12 2" xfId="20945" xr:uid="{00000000-0005-0000-0000-0000F6100000}"/>
    <cellStyle name="Вывод 5 12 2 2" xfId="37722" xr:uid="{6A627719-2E86-40E8-A1B1-B1C8881F745C}"/>
    <cellStyle name="Вывод 5 12 3" xfId="5633" xr:uid="{00000000-0005-0000-0000-0000F7100000}"/>
    <cellStyle name="Вывод 5 12 4" xfId="23626" xr:uid="{B30283BC-14AC-4FDA-924B-58519CAD12FF}"/>
    <cellStyle name="Вывод 5 13" xfId="1761" xr:uid="{00000000-0005-0000-0000-0000F8100000}"/>
    <cellStyle name="Вывод 5 13 2" xfId="21702" xr:uid="{00000000-0005-0000-0000-0000F9100000}"/>
    <cellStyle name="Вывод 5 13 2 2" xfId="38312" xr:uid="{0E519EB4-3CB6-4557-85F4-F4743AD4BF5F}"/>
    <cellStyle name="Вывод 5 13 3" xfId="6620" xr:uid="{00000000-0005-0000-0000-0000FA100000}"/>
    <cellStyle name="Вывод 5 13 4" xfId="24247" xr:uid="{9AE79F61-D934-4F4A-85C3-F4737874A0AA}"/>
    <cellStyle name="Вывод 5 14" xfId="2398" xr:uid="{00000000-0005-0000-0000-0000FB100000}"/>
    <cellStyle name="Вывод 5 14 2" xfId="22847" xr:uid="{00000000-0005-0000-0000-0000FC100000}"/>
    <cellStyle name="Вывод 5 14 3" xfId="39313" xr:uid="{A4293EBA-3636-4158-9C43-2B082EE62D43}"/>
    <cellStyle name="Вывод 5 15" xfId="3519" xr:uid="{00000000-0005-0000-0000-0000FD100000}"/>
    <cellStyle name="Вывод 5 15 2" xfId="20371" xr:uid="{00000000-0005-0000-0000-0000FE100000}"/>
    <cellStyle name="Вывод 5 15 3" xfId="37306" xr:uid="{8A34F5B8-5956-4264-812E-91F6FE33523B}"/>
    <cellStyle name="Вывод 5 16" xfId="3406" xr:uid="{00000000-0005-0000-0000-0000FF100000}"/>
    <cellStyle name="Вывод 5 17" xfId="3309" xr:uid="{00000000-0005-0000-0000-000000110000}"/>
    <cellStyle name="Вывод 5 18" xfId="3375" xr:uid="{00000000-0005-0000-0000-000001110000}"/>
    <cellStyle name="Вывод 5 2" xfId="252" xr:uid="{00000000-0005-0000-0000-000002110000}"/>
    <cellStyle name="Вывод 5 2 2" xfId="1158" xr:uid="{00000000-0005-0000-0000-000003110000}"/>
    <cellStyle name="Вывод 5 2 2 2" xfId="21115" xr:uid="{00000000-0005-0000-0000-000004110000}"/>
    <cellStyle name="Вывод 5 2 2 2 2" xfId="37839" xr:uid="{4B541663-AE51-4405-956E-5149DC440C5F}"/>
    <cellStyle name="Вывод 5 2 2 3" xfId="5891" xr:uid="{00000000-0005-0000-0000-000005110000}"/>
    <cellStyle name="Вывод 5 2 2 4" xfId="23747" xr:uid="{8F8C31C8-876F-42D7-A25A-F69649758D13}"/>
    <cellStyle name="Вывод 5 2 3" xfId="1980" xr:uid="{00000000-0005-0000-0000-000006110000}"/>
    <cellStyle name="Вывод 5 2 3 2" xfId="21819" xr:uid="{00000000-0005-0000-0000-000007110000}"/>
    <cellStyle name="Вывод 5 2 3 2 2" xfId="38429" xr:uid="{7095AA44-EFE7-484E-9481-2A1A1D46A82A}"/>
    <cellStyle name="Вывод 5 2 3 3" xfId="6733" xr:uid="{00000000-0005-0000-0000-000008110000}"/>
    <cellStyle name="Вывод 5 2 3 4" xfId="24360" xr:uid="{F5D50EB2-8CC6-4E01-A062-4C48E74F1631}"/>
    <cellStyle name="Вывод 5 2 4" xfId="2769" xr:uid="{00000000-0005-0000-0000-000009110000}"/>
    <cellStyle name="Вывод 5 2 4 2" xfId="22629" xr:uid="{00000000-0005-0000-0000-00000A110000}"/>
    <cellStyle name="Вывод 5 2 4 3" xfId="39102" xr:uid="{08F4520C-E65A-41DC-B274-206A23FD8BF9}"/>
    <cellStyle name="Вывод 5 2 5" xfId="3109" xr:uid="{00000000-0005-0000-0000-00000B110000}"/>
    <cellStyle name="Вывод 5 2 5 2" xfId="20466" xr:uid="{00000000-0005-0000-0000-00000C110000}"/>
    <cellStyle name="Вывод 5 2 5 3" xfId="37358" xr:uid="{A618B517-4123-4FF9-978A-167FD1C5CA24}"/>
    <cellStyle name="Вывод 5 2 6" xfId="3893" xr:uid="{00000000-0005-0000-0000-00000D110000}"/>
    <cellStyle name="Вывод 5 2 7" xfId="4431" xr:uid="{00000000-0005-0000-0000-00000E110000}"/>
    <cellStyle name="Вывод 5 2 8" xfId="4940" xr:uid="{00000000-0005-0000-0000-00000F110000}"/>
    <cellStyle name="Вывод 5 3" xfId="431" xr:uid="{00000000-0005-0000-0000-000010110000}"/>
    <cellStyle name="Вывод 5 3 2" xfId="1263" xr:uid="{00000000-0005-0000-0000-000011110000}"/>
    <cellStyle name="Вывод 5 3 2 2" xfId="21256" xr:uid="{00000000-0005-0000-0000-000012110000}"/>
    <cellStyle name="Вывод 5 3 2 2 2" xfId="37898" xr:uid="{ED8B437D-4D67-412D-AD5B-78EA5A9A87E9}"/>
    <cellStyle name="Вывод 5 3 2 3" xfId="6019" xr:uid="{00000000-0005-0000-0000-000013110000}"/>
    <cellStyle name="Вывод 5 3 2 4" xfId="23806" xr:uid="{80FB28AF-A774-4C3F-B17B-67CCE288106E}"/>
    <cellStyle name="Вывод 5 3 3" xfId="2103" xr:uid="{00000000-0005-0000-0000-000014110000}"/>
    <cellStyle name="Вывод 5 3 3 2" xfId="21878" xr:uid="{00000000-0005-0000-0000-000015110000}"/>
    <cellStyle name="Вывод 5 3 3 2 2" xfId="38488" xr:uid="{55CB9B1B-CF31-4919-8011-D37776DE6193}"/>
    <cellStyle name="Вывод 5 3 3 3" xfId="6790" xr:uid="{00000000-0005-0000-0000-000016110000}"/>
    <cellStyle name="Вывод 5 3 3 4" xfId="24417" xr:uid="{FE491DCD-494C-4591-9C0D-2D514EA7AE7D}"/>
    <cellStyle name="Вывод 5 3 4" xfId="2879" xr:uid="{00000000-0005-0000-0000-000017110000}"/>
    <cellStyle name="Вывод 5 3 4 2" xfId="22784" xr:uid="{00000000-0005-0000-0000-000018110000}"/>
    <cellStyle name="Вывод 5 3 4 3" xfId="39251" xr:uid="{A8D5F48F-0935-4106-95DD-6819BEC269AC}"/>
    <cellStyle name="Вывод 5 3 5" xfId="3355" xr:uid="{00000000-0005-0000-0000-000019110000}"/>
    <cellStyle name="Вывод 5 3 5 2" xfId="20565" xr:uid="{00000000-0005-0000-0000-00001A110000}"/>
    <cellStyle name="Вывод 5 3 5 3" xfId="37419" xr:uid="{C886B349-21CD-4A8D-918C-DF7A25DAD5E3}"/>
    <cellStyle name="Вывод 5 3 6" xfId="3992" xr:uid="{00000000-0005-0000-0000-00001B110000}"/>
    <cellStyle name="Вывод 5 3 7" xfId="4515" xr:uid="{00000000-0005-0000-0000-00001C110000}"/>
    <cellStyle name="Вывод 5 3 8" xfId="4997" xr:uid="{00000000-0005-0000-0000-00001D110000}"/>
    <cellStyle name="Вывод 5 4" xfId="422" xr:uid="{00000000-0005-0000-0000-00001E110000}"/>
    <cellStyle name="Вывод 5 4 2" xfId="1255" xr:uid="{00000000-0005-0000-0000-00001F110000}"/>
    <cellStyle name="Вывод 5 4 2 2" xfId="21248" xr:uid="{00000000-0005-0000-0000-000020110000}"/>
    <cellStyle name="Вывод 5 4 2 2 2" xfId="37890" xr:uid="{0846B523-0B4F-4E4D-B865-AC57CDE6F4EA}"/>
    <cellStyle name="Вывод 5 4 2 3" xfId="6011" xr:uid="{00000000-0005-0000-0000-000021110000}"/>
    <cellStyle name="Вывод 5 4 2 4" xfId="23798" xr:uid="{B5BABDCF-4D98-4DC9-8597-0365FE161150}"/>
    <cellStyle name="Вывод 5 4 3" xfId="2116" xr:uid="{00000000-0005-0000-0000-000022110000}"/>
    <cellStyle name="Вывод 5 4 3 2" xfId="21870" xr:uid="{00000000-0005-0000-0000-000023110000}"/>
    <cellStyle name="Вывод 5 4 3 2 2" xfId="38480" xr:uid="{3B3BA971-4F8E-43D3-9C9D-F994B644F61C}"/>
    <cellStyle name="Вывод 5 4 3 3" xfId="6783" xr:uid="{00000000-0005-0000-0000-000024110000}"/>
    <cellStyle name="Вывод 5 4 3 4" xfId="24410" xr:uid="{DF3985EA-30CE-4A0A-B36B-6837524FB3E9}"/>
    <cellStyle name="Вывод 5 4 4" xfId="2893" xr:uid="{00000000-0005-0000-0000-000025110000}"/>
    <cellStyle name="Вывод 5 4 4 2" xfId="22799" xr:uid="{00000000-0005-0000-0000-000026110000}"/>
    <cellStyle name="Вывод 5 4 4 3" xfId="39265" xr:uid="{D1E2BCEE-335F-4FE9-8E90-0F421037A695}"/>
    <cellStyle name="Вывод 5 4 5" xfId="3224" xr:uid="{00000000-0005-0000-0000-000027110000}"/>
    <cellStyle name="Вывод 5 4 5 2" xfId="20543" xr:uid="{00000000-0005-0000-0000-000028110000}"/>
    <cellStyle name="Вывод 5 4 5 3" xfId="37409" xr:uid="{8E7DF44E-92EE-43F9-89D4-B9AD31B06ADA}"/>
    <cellStyle name="Вывод 5 4 6" xfId="3984" xr:uid="{00000000-0005-0000-0000-000029110000}"/>
    <cellStyle name="Вывод 5 4 7" xfId="4508" xr:uid="{00000000-0005-0000-0000-00002A110000}"/>
    <cellStyle name="Вывод 5 4 8" xfId="4990" xr:uid="{00000000-0005-0000-0000-00002B110000}"/>
    <cellStyle name="Вывод 5 5" xfId="532" xr:uid="{00000000-0005-0000-0000-00002C110000}"/>
    <cellStyle name="Вывод 5 5 2" xfId="1364" xr:uid="{00000000-0005-0000-0000-00002D110000}"/>
    <cellStyle name="Вывод 5 5 2 2" xfId="21357" xr:uid="{00000000-0005-0000-0000-00002E110000}"/>
    <cellStyle name="Вывод 5 5 2 2 2" xfId="37999" xr:uid="{BAA7607D-3760-4BB5-81C6-C823D239C484}"/>
    <cellStyle name="Вывод 5 5 2 3" xfId="6120" xr:uid="{00000000-0005-0000-0000-00002F110000}"/>
    <cellStyle name="Вывод 5 5 2 4" xfId="23907" xr:uid="{C370DB7D-1279-49B7-B19E-3D1602DD2E34}"/>
    <cellStyle name="Вывод 5 5 3" xfId="2067" xr:uid="{00000000-0005-0000-0000-000030110000}"/>
    <cellStyle name="Вывод 5 5 3 2" xfId="21979" xr:uid="{00000000-0005-0000-0000-000031110000}"/>
    <cellStyle name="Вывод 5 5 3 2 2" xfId="38589" xr:uid="{771DA0BB-CE62-4512-985C-81BB11A49130}"/>
    <cellStyle name="Вывод 5 5 3 3" xfId="6889" xr:uid="{00000000-0005-0000-0000-000032110000}"/>
    <cellStyle name="Вывод 5 5 3 4" xfId="24516" xr:uid="{9F60B910-B51A-43D3-8E74-2FE46858310A}"/>
    <cellStyle name="Вывод 5 5 4" xfId="2852" xr:uid="{00000000-0005-0000-0000-000033110000}"/>
    <cellStyle name="Вывод 5 5 4 2" xfId="22575" xr:uid="{00000000-0005-0000-0000-000034110000}"/>
    <cellStyle name="Вывод 5 5 4 3" xfId="39052" xr:uid="{00C79627-EEF4-469A-A405-2A3D34CED6DD}"/>
    <cellStyle name="Вывод 5 5 5" xfId="3314" xr:uid="{00000000-0005-0000-0000-000035110000}"/>
    <cellStyle name="Вывод 5 5 5 2" xfId="20685" xr:uid="{00000000-0005-0000-0000-000036110000}"/>
    <cellStyle name="Вывод 5 5 5 3" xfId="37514" xr:uid="{62956029-3D63-4999-8889-CE506D01DACB}"/>
    <cellStyle name="Вывод 5 5 6" xfId="4092" xr:uid="{00000000-0005-0000-0000-000037110000}"/>
    <cellStyle name="Вывод 5 5 7" xfId="4614" xr:uid="{00000000-0005-0000-0000-000038110000}"/>
    <cellStyle name="Вывод 5 5 8" xfId="5096" xr:uid="{00000000-0005-0000-0000-000039110000}"/>
    <cellStyle name="Вывод 5 6" xfId="584" xr:uid="{00000000-0005-0000-0000-00003A110000}"/>
    <cellStyle name="Вывод 5 6 2" xfId="1416" xr:uid="{00000000-0005-0000-0000-00003B110000}"/>
    <cellStyle name="Вывод 5 6 2 2" xfId="21409" xr:uid="{00000000-0005-0000-0000-00003C110000}"/>
    <cellStyle name="Вывод 5 6 2 2 2" xfId="38051" xr:uid="{B917490A-A948-48EE-AB8B-5A22EE39B21B}"/>
    <cellStyle name="Вывод 5 6 2 3" xfId="6172" xr:uid="{00000000-0005-0000-0000-00003D110000}"/>
    <cellStyle name="Вывод 5 6 2 4" xfId="23959" xr:uid="{CE2EAC79-0233-497F-BB1C-EDDEBD2AA20F}"/>
    <cellStyle name="Вывод 5 6 3" xfId="2171" xr:uid="{00000000-0005-0000-0000-00003E110000}"/>
    <cellStyle name="Вывод 5 6 3 2" xfId="22031" xr:uid="{00000000-0005-0000-0000-00003F110000}"/>
    <cellStyle name="Вывод 5 6 3 2 2" xfId="38641" xr:uid="{80E4BB0E-1922-48E7-9E10-22C952AF634B}"/>
    <cellStyle name="Вывод 5 6 3 3" xfId="6941" xr:uid="{00000000-0005-0000-0000-000040110000}"/>
    <cellStyle name="Вывод 5 6 3 4" xfId="24568" xr:uid="{C2C86103-915A-4569-A56A-70461A70C8EF}"/>
    <cellStyle name="Вывод 5 6 4" xfId="2700" xr:uid="{00000000-0005-0000-0000-000041110000}"/>
    <cellStyle name="Вывод 5 6 4 2" xfId="22691" xr:uid="{00000000-0005-0000-0000-000042110000}"/>
    <cellStyle name="Вывод 5 6 4 3" xfId="39163" xr:uid="{E2D1280E-5C57-4468-BC5F-7D10C864F255}"/>
    <cellStyle name="Вывод 5 6 5" xfId="3819" xr:uid="{00000000-0005-0000-0000-000043110000}"/>
    <cellStyle name="Вывод 5 6 5 2" xfId="20750" xr:uid="{00000000-0005-0000-0000-000044110000}"/>
    <cellStyle name="Вывод 5 6 5 3" xfId="37566" xr:uid="{5009BF38-3C77-45DB-8198-F6BD203D14D6}"/>
    <cellStyle name="Вывод 5 6 6" xfId="4144" xr:uid="{00000000-0005-0000-0000-000045110000}"/>
    <cellStyle name="Вывод 5 6 7" xfId="4666" xr:uid="{00000000-0005-0000-0000-000046110000}"/>
    <cellStyle name="Вывод 5 6 8" xfId="5148" xr:uid="{00000000-0005-0000-0000-000047110000}"/>
    <cellStyle name="Вывод 5 7" xfId="677" xr:uid="{00000000-0005-0000-0000-000048110000}"/>
    <cellStyle name="Вывод 5 7 2" xfId="1507" xr:uid="{00000000-0005-0000-0000-000049110000}"/>
    <cellStyle name="Вывод 5 7 2 2" xfId="21500" xr:uid="{00000000-0005-0000-0000-00004A110000}"/>
    <cellStyle name="Вывод 5 7 2 2 2" xfId="38142" xr:uid="{3DFD2E4F-687F-431D-A05F-01F72FE84F0E}"/>
    <cellStyle name="Вывод 5 7 2 3" xfId="6263" xr:uid="{00000000-0005-0000-0000-00004B110000}"/>
    <cellStyle name="Вывод 5 7 2 4" xfId="24050" xr:uid="{ACA822A0-2478-4386-9C39-A10690C92EAD}"/>
    <cellStyle name="Вывод 5 7 3" xfId="1822" xr:uid="{00000000-0005-0000-0000-00004C110000}"/>
    <cellStyle name="Вывод 5 7 3 2" xfId="22122" xr:uid="{00000000-0005-0000-0000-00004D110000}"/>
    <cellStyle name="Вывод 5 7 3 2 2" xfId="38732" xr:uid="{F96977FA-D194-4845-B53D-216E122CBFAC}"/>
    <cellStyle name="Вывод 5 7 3 3" xfId="7032" xr:uid="{00000000-0005-0000-0000-00004E110000}"/>
    <cellStyle name="Вывод 5 7 3 4" xfId="24659" xr:uid="{BCA69E5A-8794-4037-8E48-E1FACDDC0639}"/>
    <cellStyle name="Вывод 5 7 4" xfId="2673" xr:uid="{00000000-0005-0000-0000-00004F110000}"/>
    <cellStyle name="Вывод 5 7 4 2" xfId="23073" xr:uid="{00000000-0005-0000-0000-000050110000}"/>
    <cellStyle name="Вывод 5 7 4 3" xfId="39539" xr:uid="{194510AB-D7C8-49A0-88DA-8A989711EEC7}"/>
    <cellStyle name="Вывод 5 7 5" xfId="3797" xr:uid="{00000000-0005-0000-0000-000051110000}"/>
    <cellStyle name="Вывод 5 7 5 2" xfId="20815" xr:uid="{00000000-0005-0000-0000-000052110000}"/>
    <cellStyle name="Вывод 5 7 5 3" xfId="37618" xr:uid="{9B414336-87D6-4B9E-85AA-D1D709F26E81}"/>
    <cellStyle name="Вывод 5 7 6" xfId="4236" xr:uid="{00000000-0005-0000-0000-000053110000}"/>
    <cellStyle name="Вывод 5 7 7" xfId="4758" xr:uid="{00000000-0005-0000-0000-000054110000}"/>
    <cellStyle name="Вывод 5 7 8" xfId="5239" xr:uid="{00000000-0005-0000-0000-000055110000}"/>
    <cellStyle name="Вывод 5 8" xfId="635" xr:uid="{00000000-0005-0000-0000-000056110000}"/>
    <cellStyle name="Вывод 5 8 2" xfId="1467" xr:uid="{00000000-0005-0000-0000-000057110000}"/>
    <cellStyle name="Вывод 5 8 2 2" xfId="21460" xr:uid="{00000000-0005-0000-0000-000058110000}"/>
    <cellStyle name="Вывод 5 8 2 2 2" xfId="38102" xr:uid="{D7EF9A5A-D34A-4ECB-A8EA-E21E8101EAE0}"/>
    <cellStyle name="Вывод 5 8 2 3" xfId="6223" xr:uid="{00000000-0005-0000-0000-000059110000}"/>
    <cellStyle name="Вывод 5 8 2 4" xfId="24010" xr:uid="{F7B0EA8C-0166-48B1-AB6F-8A9B401715C5}"/>
    <cellStyle name="Вывод 5 8 3" xfId="2256" xr:uid="{00000000-0005-0000-0000-00005A110000}"/>
    <cellStyle name="Вывод 5 8 3 2" xfId="22082" xr:uid="{00000000-0005-0000-0000-00005B110000}"/>
    <cellStyle name="Вывод 5 8 3 2 2" xfId="38692" xr:uid="{36220963-FBE8-4ACE-ACAA-05A89A79FF4B}"/>
    <cellStyle name="Вывод 5 8 3 3" xfId="6992" xr:uid="{00000000-0005-0000-0000-00005C110000}"/>
    <cellStyle name="Вывод 5 8 3 4" xfId="24619" xr:uid="{4ED8A974-7193-4472-8F9D-52682C235D27}"/>
    <cellStyle name="Вывод 5 8 4" xfId="2479" xr:uid="{00000000-0005-0000-0000-00005D110000}"/>
    <cellStyle name="Вывод 5 8 4 2" xfId="22947" xr:uid="{00000000-0005-0000-0000-00005E110000}"/>
    <cellStyle name="Вывод 5 8 4 3" xfId="39413" xr:uid="{57568153-02EE-4D02-900A-63394EC4EE76}"/>
    <cellStyle name="Вывод 5 8 5" xfId="3609" xr:uid="{00000000-0005-0000-0000-00005F110000}"/>
    <cellStyle name="Вывод 5 8 5 2" xfId="20880" xr:uid="{00000000-0005-0000-0000-000060110000}"/>
    <cellStyle name="Вывод 5 8 5 3" xfId="37670" xr:uid="{395B901C-5EC3-429C-8D37-D4DEF9922514}"/>
    <cellStyle name="Вывод 5 8 6" xfId="4195" xr:uid="{00000000-0005-0000-0000-000061110000}"/>
    <cellStyle name="Вывод 5 8 7" xfId="4717" xr:uid="{00000000-0005-0000-0000-000062110000}"/>
    <cellStyle name="Вывод 5 8 8" xfId="5199" xr:uid="{00000000-0005-0000-0000-000063110000}"/>
    <cellStyle name="Вывод 5 9" xfId="656" xr:uid="{00000000-0005-0000-0000-000064110000}"/>
    <cellStyle name="Вывод 5 9 2" xfId="1488" xr:uid="{00000000-0005-0000-0000-000065110000}"/>
    <cellStyle name="Вывод 5 9 2 2" xfId="22103" xr:uid="{00000000-0005-0000-0000-000066110000}"/>
    <cellStyle name="Вывод 5 9 2 2 2" xfId="38713" xr:uid="{82077CCA-3600-48FF-B97C-B1A745B1A2F7}"/>
    <cellStyle name="Вывод 5 9 2 3" xfId="6244" xr:uid="{00000000-0005-0000-0000-000067110000}"/>
    <cellStyle name="Вывод 5 9 2 4" xfId="24031" xr:uid="{74CD9541-6C94-47CF-AA4A-B40AC3D6258F}"/>
    <cellStyle name="Вывод 5 9 3" xfId="1907" xr:uid="{00000000-0005-0000-0000-000068110000}"/>
    <cellStyle name="Вывод 5 9 3 2" xfId="23039" xr:uid="{00000000-0005-0000-0000-000069110000}"/>
    <cellStyle name="Вывод 5 9 3 2 2" xfId="39505" xr:uid="{1FFE07EA-809F-444B-B183-9D6E655EEEE1}"/>
    <cellStyle name="Вывод 5 9 3 3" xfId="7013" xr:uid="{00000000-0005-0000-0000-00006A110000}"/>
    <cellStyle name="Вывод 5 9 3 4" xfId="24640" xr:uid="{C9005302-A6EF-4B09-B858-7E67FC5AF696}"/>
    <cellStyle name="Вывод 5 9 4" xfId="2574" xr:uid="{00000000-0005-0000-0000-00006B110000}"/>
    <cellStyle name="Вывод 5 9 4 2" xfId="21481" xr:uid="{00000000-0005-0000-0000-00006C110000}"/>
    <cellStyle name="Вывод 5 9 4 3" xfId="38123" xr:uid="{0EF18E98-6CBE-4FA8-B3A6-AD7612DE0EF7}"/>
    <cellStyle name="Вывод 5 9 5" xfId="3737" xr:uid="{00000000-0005-0000-0000-00006D110000}"/>
    <cellStyle name="Вывод 5 9 6" xfId="4216" xr:uid="{00000000-0005-0000-0000-00006E110000}"/>
    <cellStyle name="Вывод 5 9 7" xfId="4738" xr:uid="{00000000-0005-0000-0000-00006F110000}"/>
    <cellStyle name="Вывод 5 9 8" xfId="5220" xr:uid="{00000000-0005-0000-0000-000070110000}"/>
    <cellStyle name="Вывод 6" xfId="1921" xr:uid="{00000000-0005-0000-0000-000071110000}"/>
    <cellStyle name="Вывод 6 2" xfId="22616" xr:uid="{00000000-0005-0000-0000-000072110000}"/>
    <cellStyle name="Вывод 6 2 2" xfId="39090" xr:uid="{423E01D0-8DB2-47D9-AE6F-3DB1F1AFBFFE}"/>
    <cellStyle name="Вывод 6 3" xfId="5529" xr:uid="{00000000-0005-0000-0000-000073110000}"/>
    <cellStyle name="Вывод 6 4" xfId="23591" xr:uid="{8D3F2507-22CA-49C0-9DFB-ACB6E5B6813A}"/>
    <cellStyle name="Вывод 7" xfId="2606" xr:uid="{00000000-0005-0000-0000-000074110000}"/>
    <cellStyle name="Вывод 7 2" xfId="5532" xr:uid="{00000000-0005-0000-0000-000075110000}"/>
    <cellStyle name="Вывод 7 3" xfId="23594" xr:uid="{CD6D0A21-BED0-4992-B570-D5E015574A19}"/>
    <cellStyle name="Вывод 8" xfId="3183" xr:uid="{00000000-0005-0000-0000-000076110000}"/>
    <cellStyle name="Вывод 9" xfId="3230" xr:uid="{00000000-0005-0000-0000-000077110000}"/>
    <cellStyle name="Вычисление" xfId="387" builtinId="22" customBuiltin="1"/>
    <cellStyle name="Вычисление 10" xfId="3269" xr:uid="{00000000-0005-0000-0000-000079110000}"/>
    <cellStyle name="Вычисление 11" xfId="3540" xr:uid="{00000000-0005-0000-0000-00007A110000}"/>
    <cellStyle name="Вычисление 2" xfId="92" xr:uid="{00000000-0005-0000-0000-00007B110000}"/>
    <cellStyle name="Вычисление 2 10" xfId="13988" xr:uid="{00000000-0005-0000-0000-00007C110000}"/>
    <cellStyle name="Вычисление 2 11" xfId="7254" xr:uid="{00000000-0005-0000-0000-00007D110000}"/>
    <cellStyle name="Вычисление 2 11 2" xfId="24830" xr:uid="{22C0FB0F-123A-4453-ABBF-AAE0738A6B8C}"/>
    <cellStyle name="Вычисление 2 2" xfId="163" xr:uid="{00000000-0005-0000-0000-00007E110000}"/>
    <cellStyle name="Вычисление 2 2 10" xfId="4432" xr:uid="{00000000-0005-0000-0000-00007F110000}"/>
    <cellStyle name="Вычисление 2 2 2" xfId="224" xr:uid="{00000000-0005-0000-0000-000080110000}"/>
    <cellStyle name="Вычисление 2 2 2 10" xfId="743" xr:uid="{00000000-0005-0000-0000-000081110000}"/>
    <cellStyle name="Вычисление 2 2 2 10 2" xfId="1573" xr:uid="{00000000-0005-0000-0000-000082110000}"/>
    <cellStyle name="Вычисление 2 2 2 10 2 2" xfId="21566" xr:uid="{00000000-0005-0000-0000-000083110000}"/>
    <cellStyle name="Вычисление 2 2 2 10 2 2 2" xfId="38208" xr:uid="{C61CAC4C-26C8-4F29-AB77-DC920AA45838}"/>
    <cellStyle name="Вычисление 2 2 2 10 2 3" xfId="6329" xr:uid="{00000000-0005-0000-0000-000084110000}"/>
    <cellStyle name="Вычисление 2 2 2 10 2 4" xfId="24116" xr:uid="{CE59B9E0-2240-4E60-AFF7-41B859466AE7}"/>
    <cellStyle name="Вычисление 2 2 2 10 3" xfId="1811" xr:uid="{00000000-0005-0000-0000-000085110000}"/>
    <cellStyle name="Вычисление 2 2 2 10 3 2" xfId="22188" xr:uid="{00000000-0005-0000-0000-000086110000}"/>
    <cellStyle name="Вычисление 2 2 2 10 3 2 2" xfId="38798" xr:uid="{A9F70098-C864-4DD9-ACD7-D79DA648C06A}"/>
    <cellStyle name="Вычисление 2 2 2 10 3 3" xfId="7098" xr:uid="{00000000-0005-0000-0000-000087110000}"/>
    <cellStyle name="Вычисление 2 2 2 10 3 4" xfId="24725" xr:uid="{E3DE8DE9-8A61-440E-A871-7E106946F3B1}"/>
    <cellStyle name="Вычисление 2 2 2 10 4" xfId="2918" xr:uid="{00000000-0005-0000-0000-000088110000}"/>
    <cellStyle name="Вычисление 2 2 2 10 4 2" xfId="22662" xr:uid="{00000000-0005-0000-0000-000089110000}"/>
    <cellStyle name="Вычисление 2 2 2 10 4 3" xfId="39134" xr:uid="{11B45D11-E8B7-4A33-A3FE-AF476F420188}"/>
    <cellStyle name="Вычисление 2 2 2 10 5" xfId="3021" xr:uid="{00000000-0005-0000-0000-00008A110000}"/>
    <cellStyle name="Вычисление 2 2 2 10 5 2" xfId="23391" xr:uid="{00000000-0005-0000-0000-00008B110000}"/>
    <cellStyle name="Вычисление 2 2 2 10 5 3" xfId="39818" xr:uid="{730EA1EB-86A5-4716-A559-28C4B9F312A3}"/>
    <cellStyle name="Вычисление 2 2 2 10 6" xfId="4302" xr:uid="{00000000-0005-0000-0000-00008C110000}"/>
    <cellStyle name="Вычисление 2 2 2 10 6 2" xfId="20891" xr:uid="{00000000-0005-0000-0000-00008D110000}"/>
    <cellStyle name="Вычисление 2 2 2 10 6 3" xfId="37681" xr:uid="{F574CFDE-6612-42DB-B546-CEE7B025538B}"/>
    <cellStyle name="Вычисление 2 2 2 10 7" xfId="4824" xr:uid="{00000000-0005-0000-0000-00008E110000}"/>
    <cellStyle name="Вычисление 2 2 2 10 8" xfId="5305" xr:uid="{00000000-0005-0000-0000-00008F110000}"/>
    <cellStyle name="Вычисление 2 2 2 11" xfId="945" xr:uid="{00000000-0005-0000-0000-000090110000}"/>
    <cellStyle name="Вычисление 2 2 2 11 2" xfId="2194" xr:uid="{00000000-0005-0000-0000-000091110000}"/>
    <cellStyle name="Вычисление 2 2 2 11 2 2" xfId="21791" xr:uid="{00000000-0005-0000-0000-000092110000}"/>
    <cellStyle name="Вычисление 2 2 2 11 2 2 2" xfId="38401" xr:uid="{D496F2B8-06EA-4675-A409-5068BACB075A}"/>
    <cellStyle name="Вычисление 2 2 2 11 2 3" xfId="5863" xr:uid="{00000000-0005-0000-0000-000093110000}"/>
    <cellStyle name="Вычисление 2 2 2 11 2 4" xfId="23719" xr:uid="{DAA0FD06-FB4F-4F1F-B54C-395B16C6D0A6}"/>
    <cellStyle name="Вычисление 2 2 2 11 3" xfId="2638" xr:uid="{00000000-0005-0000-0000-000094110000}"/>
    <cellStyle name="Вычисление 2 2 2 11 3 2" xfId="22858" xr:uid="{00000000-0005-0000-0000-000095110000}"/>
    <cellStyle name="Вычисление 2 2 2 11 3 2 2" xfId="39324" xr:uid="{CFF80252-94EB-4420-A69B-3EE641FE32DA}"/>
    <cellStyle name="Вычисление 2 2 2 11 3 3" xfId="6707" xr:uid="{00000000-0005-0000-0000-000096110000}"/>
    <cellStyle name="Вычисление 2 2 2 11 3 4" xfId="24334" xr:uid="{7D35A415-68F6-4325-8AC9-4B8C103032A1}"/>
    <cellStyle name="Вычисление 2 2 2 11 4" xfId="3494" xr:uid="{00000000-0005-0000-0000-000097110000}"/>
    <cellStyle name="Вычисление 2 2 2 11 4 2" xfId="23209" xr:uid="{00000000-0005-0000-0000-000098110000}"/>
    <cellStyle name="Вычисление 2 2 2 11 4 3" xfId="39636" xr:uid="{56F2CDEB-3235-4461-BC14-787807E1B486}"/>
    <cellStyle name="Вычисление 2 2 2 11 5" xfId="3001" xr:uid="{00000000-0005-0000-0000-000099110000}"/>
    <cellStyle name="Вычисление 2 2 2 11 5 2" xfId="21087" xr:uid="{00000000-0005-0000-0000-00009A110000}"/>
    <cellStyle name="Вычисление 2 2 2 11 5 3" xfId="37811" xr:uid="{DD85986A-7E93-4600-986E-D87FD13C0E54}"/>
    <cellStyle name="Вычисление 2 2 2 11 6" xfId="3424" xr:uid="{00000000-0005-0000-0000-00009B110000}"/>
    <cellStyle name="Вычисление 2 2 2 11 7" xfId="3771" xr:uid="{00000000-0005-0000-0000-00009C110000}"/>
    <cellStyle name="Вычисление 2 2 2 12" xfId="1732" xr:uid="{00000000-0005-0000-0000-00009D110000}"/>
    <cellStyle name="Вычисление 2 2 2 12 2" xfId="20956" xr:uid="{00000000-0005-0000-0000-00009E110000}"/>
    <cellStyle name="Вычисление 2 2 2 12 2 2" xfId="37733" xr:uid="{49941B38-5B58-49D1-901C-780D483486E6}"/>
    <cellStyle name="Вычисление 2 2 2 12 3" xfId="5689" xr:uid="{00000000-0005-0000-0000-00009F110000}"/>
    <cellStyle name="Вычисление 2 2 2 12 4" xfId="23638" xr:uid="{EC6BC76B-CB4C-4DF0-BC2D-A46D47E93FEB}"/>
    <cellStyle name="Вычисление 2 2 2 13" xfId="2421" xr:uid="{00000000-0005-0000-0000-0000A0110000}"/>
    <cellStyle name="Вычисление 2 2 2 13 2" xfId="21713" xr:uid="{00000000-0005-0000-0000-0000A1110000}"/>
    <cellStyle name="Вычисление 2 2 2 13 2 2" xfId="38323" xr:uid="{38B77FF2-6AEC-4F24-B542-240F2197512D}"/>
    <cellStyle name="Вычисление 2 2 2 13 3" xfId="6631" xr:uid="{00000000-0005-0000-0000-0000A2110000}"/>
    <cellStyle name="Вычисление 2 2 2 13 4" xfId="24258" xr:uid="{D667CB3D-6523-44CA-96F0-20C6DDCBB232}"/>
    <cellStyle name="Вычисление 2 2 2 14" xfId="3267" xr:uid="{00000000-0005-0000-0000-0000A3110000}"/>
    <cellStyle name="Вычисление 2 2 2 14 2" xfId="22541" xr:uid="{00000000-0005-0000-0000-0000A4110000}"/>
    <cellStyle name="Вычисление 2 2 2 14 3" xfId="39020" xr:uid="{E75B79F3-017D-4FF9-B4A2-EC6468DD8C42}"/>
    <cellStyle name="Вычисление 2 2 2 15" xfId="3422" xr:uid="{00000000-0005-0000-0000-0000A5110000}"/>
    <cellStyle name="Вычисление 2 2 2 15 2" xfId="23130" xr:uid="{00000000-0005-0000-0000-0000A6110000}"/>
    <cellStyle name="Вычисление 2 2 2 15 3" xfId="39583" xr:uid="{4F0415F8-DE03-4D57-875E-2B30498A1DD4}"/>
    <cellStyle name="Вычисление 2 2 2 16" xfId="3446" xr:uid="{00000000-0005-0000-0000-0000A7110000}"/>
    <cellStyle name="Вычисление 2 2 2 16 2" xfId="7481" xr:uid="{00000000-0005-0000-0000-0000A8110000}"/>
    <cellStyle name="Вычисление 2 2 2 16 3" xfId="24883" xr:uid="{6EFCB1BB-653B-406D-A250-176078A3CE0F}"/>
    <cellStyle name="Вычисление 2 2 2 17" xfId="3203" xr:uid="{00000000-0005-0000-0000-0000A9110000}"/>
    <cellStyle name="Вычисление 2 2 2 2" xfId="314" xr:uid="{00000000-0005-0000-0000-0000AA110000}"/>
    <cellStyle name="Вычисление 2 2 2 2 2" xfId="1017" xr:uid="{00000000-0005-0000-0000-0000AB110000}"/>
    <cellStyle name="Вычисление 2 2 2 2 2 2" xfId="21168" xr:uid="{00000000-0005-0000-0000-0000AC110000}"/>
    <cellStyle name="Вычисление 2 2 2 2 2 2 2" xfId="37850" xr:uid="{EAFDD94F-9876-43E9-A97E-6E9700C47076}"/>
    <cellStyle name="Вычисление 2 2 2 2 2 3" xfId="5945" xr:uid="{00000000-0005-0000-0000-0000AD110000}"/>
    <cellStyle name="Вычисление 2 2 2 2 2 4" xfId="23758" xr:uid="{E16527F8-F717-407F-B6D1-B9F69B453FF8}"/>
    <cellStyle name="Вычисление 2 2 2 2 3" xfId="2122" xr:uid="{00000000-0005-0000-0000-0000AE110000}"/>
    <cellStyle name="Вычисление 2 2 2 2 3 2" xfId="21830" xr:uid="{00000000-0005-0000-0000-0000AF110000}"/>
    <cellStyle name="Вычисление 2 2 2 2 3 2 2" xfId="38440" xr:uid="{FDEDD196-F281-45B1-93F2-7063EFD843B9}"/>
    <cellStyle name="Вычисление 2 2 2 2 3 3" xfId="6744" xr:uid="{00000000-0005-0000-0000-0000B0110000}"/>
    <cellStyle name="Вычисление 2 2 2 2 3 4" xfId="24371" xr:uid="{FFFF857E-0042-4A0B-B26E-B3B054793D1E}"/>
    <cellStyle name="Вычисление 2 2 2 2 4" xfId="2850" xr:uid="{00000000-0005-0000-0000-0000B1110000}"/>
    <cellStyle name="Вычисление 2 2 2 2 4 2" xfId="22505" xr:uid="{00000000-0005-0000-0000-0000B2110000}"/>
    <cellStyle name="Вычисление 2 2 2 2 4 3" xfId="38997" xr:uid="{130225EA-BDBE-4127-9DCA-83F5D87F73FC}"/>
    <cellStyle name="Вычисление 2 2 2 2 5" xfId="3258" xr:uid="{00000000-0005-0000-0000-0000B3110000}"/>
    <cellStyle name="Вычисление 2 2 2 2 5 2" xfId="23226" xr:uid="{00000000-0005-0000-0000-0000B4110000}"/>
    <cellStyle name="Вычисление 2 2 2 2 5 3" xfId="39653" xr:uid="{E323004A-9DFB-47FD-BC66-23B46E1F786F}"/>
    <cellStyle name="Вычисление 2 2 2 2 6" xfId="3924" xr:uid="{00000000-0005-0000-0000-0000B5110000}"/>
    <cellStyle name="Вычисление 2 2 2 2 6 2" xfId="14063" xr:uid="{00000000-0005-0000-0000-0000B6110000}"/>
    <cellStyle name="Вычисление 2 2 2 2 6 3" xfId="31102" xr:uid="{D0A94D47-57CD-4D2C-A9D0-E5779F6B211F}"/>
    <cellStyle name="Вычисление 2 2 2 2 7" xfId="4457" xr:uid="{00000000-0005-0000-0000-0000B7110000}"/>
    <cellStyle name="Вычисление 2 2 2 2 8" xfId="4951" xr:uid="{00000000-0005-0000-0000-0000B8110000}"/>
    <cellStyle name="Вычисление 2 2 2 3" xfId="445" xr:uid="{00000000-0005-0000-0000-0000B9110000}"/>
    <cellStyle name="Вычисление 2 2 2 3 2" xfId="1277" xr:uid="{00000000-0005-0000-0000-0000BA110000}"/>
    <cellStyle name="Вычисление 2 2 2 3 2 2" xfId="21270" xr:uid="{00000000-0005-0000-0000-0000BB110000}"/>
    <cellStyle name="Вычисление 2 2 2 3 2 2 2" xfId="37912" xr:uid="{FF4AEEFB-27CF-4A85-9F89-F81A4F8859F3}"/>
    <cellStyle name="Вычисление 2 2 2 3 2 3" xfId="6033" xr:uid="{00000000-0005-0000-0000-0000BC110000}"/>
    <cellStyle name="Вычисление 2 2 2 3 2 4" xfId="23820" xr:uid="{BFC792DC-BF09-4D62-9BF9-C7A88913C602}"/>
    <cellStyle name="Вычисление 2 2 2 3 3" xfId="2114" xr:uid="{00000000-0005-0000-0000-0000BD110000}"/>
    <cellStyle name="Вычисление 2 2 2 3 3 2" xfId="21892" xr:uid="{00000000-0005-0000-0000-0000BE110000}"/>
    <cellStyle name="Вычисление 2 2 2 3 3 2 2" xfId="38502" xr:uid="{6831E139-2FB9-4E32-A39C-0528E73C9295}"/>
    <cellStyle name="Вычисление 2 2 2 3 3 3" xfId="6803" xr:uid="{00000000-0005-0000-0000-0000BF110000}"/>
    <cellStyle name="Вычисление 2 2 2 3 3 4" xfId="24430" xr:uid="{0C95CEE1-E9C9-4E58-AA53-ABE1FEAE0344}"/>
    <cellStyle name="Вычисление 2 2 2 3 4" xfId="2891" xr:uid="{00000000-0005-0000-0000-0000C0110000}"/>
    <cellStyle name="Вычисление 2 2 2 3 4 2" xfId="22796" xr:uid="{00000000-0005-0000-0000-0000C1110000}"/>
    <cellStyle name="Вычисление 2 2 2 3 4 3" xfId="39262" xr:uid="{A2DF665C-2269-40ED-803C-6D1358D8186E}"/>
    <cellStyle name="Вычисление 2 2 2 3 5" xfId="3220" xr:uid="{00000000-0005-0000-0000-0000C2110000}"/>
    <cellStyle name="Вычисление 2 2 2 3 5 2" xfId="23255" xr:uid="{00000000-0005-0000-0000-0000C3110000}"/>
    <cellStyle name="Вычисление 2 2 2 3 5 3" xfId="39682" xr:uid="{E7BB138D-3BD6-4AB5-8E1D-FF82E079750B}"/>
    <cellStyle name="Вычисление 2 2 2 3 6" xfId="4006" xr:uid="{00000000-0005-0000-0000-0000C4110000}"/>
    <cellStyle name="Вычисление 2 2 2 3 6 2" xfId="20407" xr:uid="{00000000-0005-0000-0000-0000C5110000}"/>
    <cellStyle name="Вычисление 2 2 2 3 6 3" xfId="37322" xr:uid="{F8BD72F2-BD84-45B1-B315-A8226698F829}"/>
    <cellStyle name="Вычисление 2 2 2 3 7" xfId="4528" xr:uid="{00000000-0005-0000-0000-0000C6110000}"/>
    <cellStyle name="Вычисление 2 2 2 3 8" xfId="5010" xr:uid="{00000000-0005-0000-0000-0000C7110000}"/>
    <cellStyle name="Вычисление 2 2 2 4" xfId="491" xr:uid="{00000000-0005-0000-0000-0000C8110000}"/>
    <cellStyle name="Вычисление 2 2 2 4 2" xfId="1323" xr:uid="{00000000-0005-0000-0000-0000C9110000}"/>
    <cellStyle name="Вычисление 2 2 2 4 2 2" xfId="21316" xr:uid="{00000000-0005-0000-0000-0000CA110000}"/>
    <cellStyle name="Вычисление 2 2 2 4 2 2 2" xfId="37958" xr:uid="{B6DCF352-670E-4C7D-97DB-139E267871EB}"/>
    <cellStyle name="Вычисление 2 2 2 4 2 3" xfId="6079" xr:uid="{00000000-0005-0000-0000-0000CB110000}"/>
    <cellStyle name="Вычисление 2 2 2 4 2 4" xfId="23866" xr:uid="{F61DFCFD-9B5F-4432-B603-D68FC25FA433}"/>
    <cellStyle name="Вычисление 2 2 2 4 3" xfId="2127" xr:uid="{00000000-0005-0000-0000-0000CC110000}"/>
    <cellStyle name="Вычисление 2 2 2 4 3 2" xfId="21938" xr:uid="{00000000-0005-0000-0000-0000CD110000}"/>
    <cellStyle name="Вычисление 2 2 2 4 3 2 2" xfId="38548" xr:uid="{908C0526-FF26-4979-8211-11A7BC064487}"/>
    <cellStyle name="Вычисление 2 2 2 4 3 3" xfId="6848" xr:uid="{00000000-0005-0000-0000-0000CE110000}"/>
    <cellStyle name="Вычисление 2 2 2 4 3 4" xfId="24475" xr:uid="{F6A04B7E-B05E-43C7-AD63-295625CC8978}"/>
    <cellStyle name="Вычисление 2 2 2 4 4" xfId="2541" xr:uid="{00000000-0005-0000-0000-0000CF110000}"/>
    <cellStyle name="Вычисление 2 2 2 4 4 2" xfId="22745" xr:uid="{00000000-0005-0000-0000-0000D0110000}"/>
    <cellStyle name="Вычисление 2 2 2 4 4 3" xfId="39214" xr:uid="{9F0E9428-3F56-48D7-81F7-7F4A35F816A1}"/>
    <cellStyle name="Вычисление 2 2 2 4 5" xfId="3336" xr:uid="{00000000-0005-0000-0000-0000D1110000}"/>
    <cellStyle name="Вычисление 2 2 2 4 5 2" xfId="23278" xr:uid="{00000000-0005-0000-0000-0000D2110000}"/>
    <cellStyle name="Вычисление 2 2 2 4 5 3" xfId="39705" xr:uid="{C0436DA3-954D-407F-A47F-4D4966D486ED}"/>
    <cellStyle name="Вычисление 2 2 2 4 6" xfId="4051" xr:uid="{00000000-0005-0000-0000-0000D3110000}"/>
    <cellStyle name="Вычисление 2 2 2 4 6 2" xfId="20477" xr:uid="{00000000-0005-0000-0000-0000D4110000}"/>
    <cellStyle name="Вычисление 2 2 2 4 6 3" xfId="37369" xr:uid="{B1800C64-459E-4947-8D80-22DAB2DEC110}"/>
    <cellStyle name="Вычисление 2 2 2 4 7" xfId="4573" xr:uid="{00000000-0005-0000-0000-0000D5110000}"/>
    <cellStyle name="Вычисление 2 2 2 4 8" xfId="5055" xr:uid="{00000000-0005-0000-0000-0000D6110000}"/>
    <cellStyle name="Вычисление 2 2 2 5" xfId="543" xr:uid="{00000000-0005-0000-0000-0000D7110000}"/>
    <cellStyle name="Вычисление 2 2 2 5 2" xfId="1375" xr:uid="{00000000-0005-0000-0000-0000D8110000}"/>
    <cellStyle name="Вычисление 2 2 2 5 2 2" xfId="21368" xr:uid="{00000000-0005-0000-0000-0000D9110000}"/>
    <cellStyle name="Вычисление 2 2 2 5 2 2 2" xfId="38010" xr:uid="{837BC323-3FDA-4FD9-99B9-63BB00C4E34A}"/>
    <cellStyle name="Вычисление 2 2 2 5 2 3" xfId="6131" xr:uid="{00000000-0005-0000-0000-0000DA110000}"/>
    <cellStyle name="Вычисление 2 2 2 5 2 4" xfId="23918" xr:uid="{81634617-5A8F-4874-AAF6-2174AC310C49}"/>
    <cellStyle name="Вычисление 2 2 2 5 3" xfId="2178" xr:uid="{00000000-0005-0000-0000-0000DB110000}"/>
    <cellStyle name="Вычисление 2 2 2 5 3 2" xfId="21990" xr:uid="{00000000-0005-0000-0000-0000DC110000}"/>
    <cellStyle name="Вычисление 2 2 2 5 3 2 2" xfId="38600" xr:uid="{B7B3BDEF-0EC1-40EA-B39F-8434873F203F}"/>
    <cellStyle name="Вычисление 2 2 2 5 3 3" xfId="6900" xr:uid="{00000000-0005-0000-0000-0000DD110000}"/>
    <cellStyle name="Вычисление 2 2 2 5 3 4" xfId="24527" xr:uid="{2AA85584-532B-46BD-8637-FB7636D27A27}"/>
    <cellStyle name="Вычисление 2 2 2 5 4" xfId="2394" xr:uid="{00000000-0005-0000-0000-0000DE110000}"/>
    <cellStyle name="Вычисление 2 2 2 5 4 2" xfId="23064" xr:uid="{00000000-0005-0000-0000-0000DF110000}"/>
    <cellStyle name="Вычисление 2 2 2 5 4 3" xfId="39530" xr:uid="{BD1516A3-BBA1-4C14-A26B-310CA713FD8A}"/>
    <cellStyle name="Вычисление 2 2 2 5 5" xfId="3189" xr:uid="{00000000-0005-0000-0000-0000E0110000}"/>
    <cellStyle name="Вычисление 2 2 2 5 5 2" xfId="23302" xr:uid="{00000000-0005-0000-0000-0000E1110000}"/>
    <cellStyle name="Вычисление 2 2 2 5 5 3" xfId="39729" xr:uid="{72553E9A-5A38-47B4-A23F-9FC7F2CC554B}"/>
    <cellStyle name="Вычисление 2 2 2 5 6" xfId="4103" xr:uid="{00000000-0005-0000-0000-0000E2110000}"/>
    <cellStyle name="Вычисление 2 2 2 5 6 2" xfId="20587" xr:uid="{00000000-0005-0000-0000-0000E3110000}"/>
    <cellStyle name="Вычисление 2 2 2 5 6 3" xfId="37435" xr:uid="{2FD6D512-DBB0-4EED-BC39-75E46EBF70F4}"/>
    <cellStyle name="Вычисление 2 2 2 5 7" xfId="4625" xr:uid="{00000000-0005-0000-0000-0000E4110000}"/>
    <cellStyle name="Вычисление 2 2 2 5 8" xfId="5107" xr:uid="{00000000-0005-0000-0000-0000E5110000}"/>
    <cellStyle name="Вычисление 2 2 2 6" xfId="595" xr:uid="{00000000-0005-0000-0000-0000E6110000}"/>
    <cellStyle name="Вычисление 2 2 2 6 2" xfId="1427" xr:uid="{00000000-0005-0000-0000-0000E7110000}"/>
    <cellStyle name="Вычисление 2 2 2 6 2 2" xfId="21420" xr:uid="{00000000-0005-0000-0000-0000E8110000}"/>
    <cellStyle name="Вычисление 2 2 2 6 2 2 2" xfId="38062" xr:uid="{97560DFF-09AA-4713-8CBB-E7F95881A9D1}"/>
    <cellStyle name="Вычисление 2 2 2 6 2 3" xfId="6183" xr:uid="{00000000-0005-0000-0000-0000E9110000}"/>
    <cellStyle name="Вычисление 2 2 2 6 2 4" xfId="23970" xr:uid="{896B8539-674F-40E2-BB11-B5DA2E20A9B1}"/>
    <cellStyle name="Вычисление 2 2 2 6 3" xfId="2059" xr:uid="{00000000-0005-0000-0000-0000EA110000}"/>
    <cellStyle name="Вычисление 2 2 2 6 3 2" xfId="22042" xr:uid="{00000000-0005-0000-0000-0000EB110000}"/>
    <cellStyle name="Вычисление 2 2 2 6 3 2 2" xfId="38652" xr:uid="{B36E1153-5273-45DC-B6E4-CDE060197C1E}"/>
    <cellStyle name="Вычисление 2 2 2 6 3 3" xfId="6952" xr:uid="{00000000-0005-0000-0000-0000EC110000}"/>
    <cellStyle name="Вычисление 2 2 2 6 3 4" xfId="24579" xr:uid="{C5F38532-B1C4-4C34-A217-A0C3033010D5}"/>
    <cellStyle name="Вычисление 2 2 2 6 4" xfId="2849" xr:uid="{00000000-0005-0000-0000-0000ED110000}"/>
    <cellStyle name="Вычисление 2 2 2 6 4 2" xfId="22954" xr:uid="{00000000-0005-0000-0000-0000EE110000}"/>
    <cellStyle name="Вычисление 2 2 2 6 4 3" xfId="39420" xr:uid="{14205C96-82C6-4B43-82A3-D3B9FA9B6A25}"/>
    <cellStyle name="Вычисление 2 2 2 6 5" xfId="3701" xr:uid="{00000000-0005-0000-0000-0000EF110000}"/>
    <cellStyle name="Вычисление 2 2 2 6 5 2" xfId="23326" xr:uid="{00000000-0005-0000-0000-0000F0110000}"/>
    <cellStyle name="Вычисление 2 2 2 6 5 3" xfId="39753" xr:uid="{1D200772-CB2C-4B06-B147-0314339BD3F1}"/>
    <cellStyle name="Вычисление 2 2 2 6 6" xfId="4155" xr:uid="{00000000-0005-0000-0000-0000F1110000}"/>
    <cellStyle name="Вычисление 2 2 2 6 6 2" xfId="20631" xr:uid="{00000000-0005-0000-0000-0000F2110000}"/>
    <cellStyle name="Вычисление 2 2 2 6 6 3" xfId="37473" xr:uid="{941DB07A-2DEC-4BDD-894C-A03716558ABE}"/>
    <cellStyle name="Вычисление 2 2 2 6 7" xfId="4677" xr:uid="{00000000-0005-0000-0000-0000F3110000}"/>
    <cellStyle name="Вычисление 2 2 2 6 8" xfId="5159" xr:uid="{00000000-0005-0000-0000-0000F4110000}"/>
    <cellStyle name="Вычисление 2 2 2 7" xfId="694" xr:uid="{00000000-0005-0000-0000-0000F5110000}"/>
    <cellStyle name="Вычисление 2 2 2 7 2" xfId="1524" xr:uid="{00000000-0005-0000-0000-0000F6110000}"/>
    <cellStyle name="Вычисление 2 2 2 7 2 2" xfId="21517" xr:uid="{00000000-0005-0000-0000-0000F7110000}"/>
    <cellStyle name="Вычисление 2 2 2 7 2 2 2" xfId="38159" xr:uid="{F364BDAB-55CE-4946-82B6-522E5A7B70B2}"/>
    <cellStyle name="Вычисление 2 2 2 7 2 3" xfId="6280" xr:uid="{00000000-0005-0000-0000-0000F8110000}"/>
    <cellStyle name="Вычисление 2 2 2 7 2 4" xfId="24067" xr:uid="{F880540F-7156-4402-A8DB-97BADBE29A63}"/>
    <cellStyle name="Вычисление 2 2 2 7 3" xfId="1752" xr:uid="{00000000-0005-0000-0000-0000F9110000}"/>
    <cellStyle name="Вычисление 2 2 2 7 3 2" xfId="22139" xr:uid="{00000000-0005-0000-0000-0000FA110000}"/>
    <cellStyle name="Вычисление 2 2 2 7 3 2 2" xfId="38749" xr:uid="{99C1AC0D-3159-4CB3-B9E5-6778750B742C}"/>
    <cellStyle name="Вычисление 2 2 2 7 3 3" xfId="7049" xr:uid="{00000000-0005-0000-0000-0000FB110000}"/>
    <cellStyle name="Вычисление 2 2 2 7 3 4" xfId="24676" xr:uid="{67791773-5188-4E69-B9A8-8754D4635A8F}"/>
    <cellStyle name="Вычисление 2 2 2 7 4" xfId="2522" xr:uid="{00000000-0005-0000-0000-0000FC110000}"/>
    <cellStyle name="Вычисление 2 2 2 7 4 2" xfId="22770" xr:uid="{00000000-0005-0000-0000-0000FD110000}"/>
    <cellStyle name="Вычисление 2 2 2 7 4 3" xfId="39238" xr:uid="{FD5CA250-840A-470E-9503-6F6687DD19C6}"/>
    <cellStyle name="Вычисление 2 2 2 7 5" xfId="3345" xr:uid="{00000000-0005-0000-0000-0000FE110000}"/>
    <cellStyle name="Вычисление 2 2 2 7 5 2" xfId="23367" xr:uid="{00000000-0005-0000-0000-0000FF110000}"/>
    <cellStyle name="Вычисление 2 2 2 7 5 3" xfId="39794" xr:uid="{834525B5-127C-4B6C-9653-5F802659D114}"/>
    <cellStyle name="Вычисление 2 2 2 7 6" xfId="4253" xr:uid="{00000000-0005-0000-0000-000000120000}"/>
    <cellStyle name="Вычисление 2 2 2 7 6 2" xfId="20696" xr:uid="{00000000-0005-0000-0000-000001120000}"/>
    <cellStyle name="Вычисление 2 2 2 7 6 3" xfId="37525" xr:uid="{0A953232-77EC-4D23-BB05-E3BA6607261D}"/>
    <cellStyle name="Вычисление 2 2 2 7 7" xfId="4775" xr:uid="{00000000-0005-0000-0000-000002120000}"/>
    <cellStyle name="Вычисление 2 2 2 7 8" xfId="5256" xr:uid="{00000000-0005-0000-0000-000003120000}"/>
    <cellStyle name="Вычисление 2 2 2 8" xfId="737" xr:uid="{00000000-0005-0000-0000-000004120000}"/>
    <cellStyle name="Вычисление 2 2 2 8 2" xfId="1567" xr:uid="{00000000-0005-0000-0000-000005120000}"/>
    <cellStyle name="Вычисление 2 2 2 8 2 2" xfId="21560" xr:uid="{00000000-0005-0000-0000-000006120000}"/>
    <cellStyle name="Вычисление 2 2 2 8 2 2 2" xfId="38202" xr:uid="{2DBBEC49-927B-4E1D-8AED-F132363F469F}"/>
    <cellStyle name="Вычисление 2 2 2 8 2 3" xfId="6323" xr:uid="{00000000-0005-0000-0000-000007120000}"/>
    <cellStyle name="Вычисление 2 2 2 8 2 4" xfId="24110" xr:uid="{5FD70CD5-FCE6-4650-ADF8-BA878EA796C6}"/>
    <cellStyle name="Вычисление 2 2 2 8 3" xfId="1704" xr:uid="{00000000-0005-0000-0000-000008120000}"/>
    <cellStyle name="Вычисление 2 2 2 8 3 2" xfId="22182" xr:uid="{00000000-0005-0000-0000-000009120000}"/>
    <cellStyle name="Вычисление 2 2 2 8 3 2 2" xfId="38792" xr:uid="{47336B2B-3445-4A5D-875C-1225F7DFC529}"/>
    <cellStyle name="Вычисление 2 2 2 8 3 3" xfId="7092" xr:uid="{00000000-0005-0000-0000-00000A120000}"/>
    <cellStyle name="Вычисление 2 2 2 8 3 4" xfId="24719" xr:uid="{00D03AFA-4D2F-4653-9839-E5DE8AF05B3D}"/>
    <cellStyle name="Вычисление 2 2 2 8 4" xfId="2921" xr:uid="{00000000-0005-0000-0000-00000B120000}"/>
    <cellStyle name="Вычисление 2 2 2 8 4 2" xfId="22663" xr:uid="{00000000-0005-0000-0000-00000C120000}"/>
    <cellStyle name="Вычисление 2 2 2 8 4 3" xfId="39135" xr:uid="{DD043D3E-7DCF-4623-9238-8479185D2F74}"/>
    <cellStyle name="Вычисление 2 2 2 8 5" xfId="3022" xr:uid="{00000000-0005-0000-0000-00000D120000}"/>
    <cellStyle name="Вычисление 2 2 2 8 5 2" xfId="23388" xr:uid="{00000000-0005-0000-0000-00000E120000}"/>
    <cellStyle name="Вычисление 2 2 2 8 5 3" xfId="39815" xr:uid="{54208F6C-A555-46DD-AF6C-3745CCCA218C}"/>
    <cellStyle name="Вычисление 2 2 2 8 6" xfId="4296" xr:uid="{00000000-0005-0000-0000-00000F120000}"/>
    <cellStyle name="Вычисление 2 2 2 8 6 2" xfId="20761" xr:uid="{00000000-0005-0000-0000-000010120000}"/>
    <cellStyle name="Вычисление 2 2 2 8 6 3" xfId="37577" xr:uid="{A704C481-896B-4BE4-B677-4692341645CE}"/>
    <cellStyle name="Вычисление 2 2 2 8 7" xfId="4818" xr:uid="{00000000-0005-0000-0000-000011120000}"/>
    <cellStyle name="Вычисление 2 2 2 8 8" xfId="5299" xr:uid="{00000000-0005-0000-0000-000012120000}"/>
    <cellStyle name="Вычисление 2 2 2 9" xfId="644" xr:uid="{00000000-0005-0000-0000-000013120000}"/>
    <cellStyle name="Вычисление 2 2 2 9 2" xfId="1476" xr:uid="{00000000-0005-0000-0000-000014120000}"/>
    <cellStyle name="Вычисление 2 2 2 9 2 2" xfId="21469" xr:uid="{00000000-0005-0000-0000-000015120000}"/>
    <cellStyle name="Вычисление 2 2 2 9 2 2 2" xfId="38111" xr:uid="{B07A96F8-CC24-458C-A283-E0A737582779}"/>
    <cellStyle name="Вычисление 2 2 2 9 2 3" xfId="6232" xr:uid="{00000000-0005-0000-0000-000016120000}"/>
    <cellStyle name="Вычисление 2 2 2 9 2 4" xfId="24019" xr:uid="{41E019E1-CEA0-45F2-8D3B-8A54B24083A8}"/>
    <cellStyle name="Вычисление 2 2 2 9 3" xfId="2242" xr:uid="{00000000-0005-0000-0000-000017120000}"/>
    <cellStyle name="Вычисление 2 2 2 9 3 2" xfId="22091" xr:uid="{00000000-0005-0000-0000-000018120000}"/>
    <cellStyle name="Вычисление 2 2 2 9 3 2 2" xfId="38701" xr:uid="{C9361A99-C508-467E-AE9D-D9FF0F0BC5C8}"/>
    <cellStyle name="Вычисление 2 2 2 9 3 3" xfId="7001" xr:uid="{00000000-0005-0000-0000-000019120000}"/>
    <cellStyle name="Вычисление 2 2 2 9 3 4" xfId="24628" xr:uid="{6B441EBF-FAE6-48C4-A7ED-4872B56495CB}"/>
    <cellStyle name="Вычисление 2 2 2 9 4" xfId="2718" xr:uid="{00000000-0005-0000-0000-00001A120000}"/>
    <cellStyle name="Вычисление 2 2 2 9 4 2" xfId="22933" xr:uid="{00000000-0005-0000-0000-00001B120000}"/>
    <cellStyle name="Вычисление 2 2 2 9 4 3" xfId="39399" xr:uid="{05320D3D-3132-461F-8739-D60CBBE18288}"/>
    <cellStyle name="Вычисление 2 2 2 9 5" xfId="3592" xr:uid="{00000000-0005-0000-0000-00001C120000}"/>
    <cellStyle name="Вычисление 2 2 2 9 5 2" xfId="23349" xr:uid="{00000000-0005-0000-0000-00001D120000}"/>
    <cellStyle name="Вычисление 2 2 2 9 5 3" xfId="39776" xr:uid="{4E87FF66-BFD7-4219-87C9-DA289D355D76}"/>
    <cellStyle name="Вычисление 2 2 2 9 6" xfId="4204" xr:uid="{00000000-0005-0000-0000-00001E120000}"/>
    <cellStyle name="Вычисление 2 2 2 9 6 2" xfId="20826" xr:uid="{00000000-0005-0000-0000-00001F120000}"/>
    <cellStyle name="Вычисление 2 2 2 9 6 3" xfId="37629" xr:uid="{1DFC5ABE-5088-4B08-85A7-B1A0ADCCA1A4}"/>
    <cellStyle name="Вычисление 2 2 2 9 7" xfId="4726" xr:uid="{00000000-0005-0000-0000-000020120000}"/>
    <cellStyle name="Вычисление 2 2 2 9 8" xfId="5208" xr:uid="{00000000-0005-0000-0000-000021120000}"/>
    <cellStyle name="Вычисление 2 2 3" xfId="363" xr:uid="{00000000-0005-0000-0000-000022120000}"/>
    <cellStyle name="Вычисление 2 2 3 10" xfId="986" xr:uid="{00000000-0005-0000-0000-000023120000}"/>
    <cellStyle name="Вычисление 2 2 3 10 2" xfId="2142" xr:uid="{00000000-0005-0000-0000-000024120000}"/>
    <cellStyle name="Вычисление 2 2 3 10 2 2" xfId="21852" xr:uid="{00000000-0005-0000-0000-000025120000}"/>
    <cellStyle name="Вычисление 2 2 3 10 2 2 2" xfId="38462" xr:uid="{FFEF375F-67C5-40BB-9B53-FD788DCD44AC}"/>
    <cellStyle name="Вычисление 2 2 3 10 2 3" xfId="5992" xr:uid="{00000000-0005-0000-0000-000026120000}"/>
    <cellStyle name="Вычисление 2 2 3 10 2 4" xfId="23780" xr:uid="{A0FC71D0-1E0E-458E-997E-F428C98E471B}"/>
    <cellStyle name="Вычисление 2 2 3 10 3" xfId="2499" xr:uid="{00000000-0005-0000-0000-000027120000}"/>
    <cellStyle name="Вычисление 2 2 3 10 3 2" xfId="22827" xr:uid="{00000000-0005-0000-0000-000028120000}"/>
    <cellStyle name="Вычисление 2 2 3 10 3 2 2" xfId="39293" xr:uid="{43C21CC1-DB48-457D-AD6B-4BFDE398B6B5}"/>
    <cellStyle name="Вычисление 2 2 3 10 3 3" xfId="6766" xr:uid="{00000000-0005-0000-0000-000029120000}"/>
    <cellStyle name="Вычисление 2 2 3 10 3 4" xfId="24393" xr:uid="{114EA356-74A2-4986-B890-022BC07275C5}"/>
    <cellStyle name="Вычисление 2 2 3 10 4" xfId="3400" xr:uid="{00000000-0005-0000-0000-00002A120000}"/>
    <cellStyle name="Вычисление 2 2 3 10 4 2" xfId="23237" xr:uid="{00000000-0005-0000-0000-00002B120000}"/>
    <cellStyle name="Вычисление 2 2 3 10 4 3" xfId="39664" xr:uid="{1F53DE83-BA2E-49DB-A734-ACA799450AE0}"/>
    <cellStyle name="Вычисление 2 2 3 10 5" xfId="3956" xr:uid="{00000000-0005-0000-0000-00002C120000}"/>
    <cellStyle name="Вычисление 2 2 3 10 5 2" xfId="21211" xr:uid="{00000000-0005-0000-0000-00002D120000}"/>
    <cellStyle name="Вычисление 2 2 3 10 5 3" xfId="37872" xr:uid="{D2557C29-7949-4F80-817C-25F0D0D0699A}"/>
    <cellStyle name="Вычисление 2 2 3 10 6" xfId="4484" xr:uid="{00000000-0005-0000-0000-00002E120000}"/>
    <cellStyle name="Вычисление 2 2 3 10 7" xfId="4973" xr:uid="{00000000-0005-0000-0000-00002F120000}"/>
    <cellStyle name="Вычисление 2 2 3 11" xfId="1765" xr:uid="{00000000-0005-0000-0000-000030120000}"/>
    <cellStyle name="Вычисление 2 2 3 11 2" xfId="20978" xr:uid="{00000000-0005-0000-0000-000031120000}"/>
    <cellStyle name="Вычисление 2 2 3 11 2 2" xfId="37755" xr:uid="{CF8282EB-2842-499D-ABA4-5E87FB208ED4}"/>
    <cellStyle name="Вычисление 2 2 3 11 3" xfId="5736" xr:uid="{00000000-0005-0000-0000-000032120000}"/>
    <cellStyle name="Вычисление 2 2 3 11 4" xfId="23660" xr:uid="{D3635DB7-052D-41E0-874D-FB0E2AEA2F29}"/>
    <cellStyle name="Вычисление 2 2 3 12" xfId="2469" xr:uid="{00000000-0005-0000-0000-000033120000}"/>
    <cellStyle name="Вычисление 2 2 3 12 2" xfId="21735" xr:uid="{00000000-0005-0000-0000-000034120000}"/>
    <cellStyle name="Вычисление 2 2 3 12 2 2" xfId="38345" xr:uid="{4BA862BC-BE9F-49F1-8CE8-1E295F4403C6}"/>
    <cellStyle name="Вычисление 2 2 3 12 3" xfId="6653" xr:uid="{00000000-0005-0000-0000-000035120000}"/>
    <cellStyle name="Вычисление 2 2 3 12 4" xfId="24280" xr:uid="{70825D46-9CA5-408A-84D6-5A3E833548CD}"/>
    <cellStyle name="Вычисление 2 2 3 13" xfId="3089" xr:uid="{00000000-0005-0000-0000-000036120000}"/>
    <cellStyle name="Вычисление 2 2 3 13 2" xfId="22609" xr:uid="{00000000-0005-0000-0000-000037120000}"/>
    <cellStyle name="Вычисление 2 2 3 13 3" xfId="39084" xr:uid="{05FE6D3A-EEC4-4E4C-95F0-F0597092C7F4}"/>
    <cellStyle name="Вычисление 2 2 3 14" xfId="3285" xr:uid="{00000000-0005-0000-0000-000038120000}"/>
    <cellStyle name="Вычисление 2 2 3 14 2" xfId="23183" xr:uid="{00000000-0005-0000-0000-000039120000}"/>
    <cellStyle name="Вычисление 2 2 3 14 3" xfId="39610" xr:uid="{DD9AF65A-FCF5-4787-B8D5-19806C77DEB9}"/>
    <cellStyle name="Вычисление 2 2 3 15" xfId="3049" xr:uid="{00000000-0005-0000-0000-00003A120000}"/>
    <cellStyle name="Вычисление 2 2 3 15 2" xfId="14032" xr:uid="{00000000-0005-0000-0000-00003B120000}"/>
    <cellStyle name="Вычисление 2 2 3 15 3" xfId="31071" xr:uid="{6BB70447-90D0-4CBB-8EEB-E2E8E5BE9BF5}"/>
    <cellStyle name="Вычисление 2 2 3 16" xfId="3094" xr:uid="{00000000-0005-0000-0000-00003C120000}"/>
    <cellStyle name="Вычисление 2 2 3 2" xfId="468" xr:uid="{00000000-0005-0000-0000-00003D120000}"/>
    <cellStyle name="Вычисление 2 2 3 2 2" xfId="1300" xr:uid="{00000000-0005-0000-0000-00003E120000}"/>
    <cellStyle name="Вычисление 2 2 3 2 2 2" xfId="21293" xr:uid="{00000000-0005-0000-0000-00003F120000}"/>
    <cellStyle name="Вычисление 2 2 3 2 2 2 2" xfId="37935" xr:uid="{6487D882-65FC-4475-85E0-8867D8DD1D71}"/>
    <cellStyle name="Вычисление 2 2 3 2 2 3" xfId="6056" xr:uid="{00000000-0005-0000-0000-000040120000}"/>
    <cellStyle name="Вычисление 2 2 3 2 2 4" xfId="23843" xr:uid="{BE0A0CB0-2329-4CFB-95EE-9CBA089BC96D}"/>
    <cellStyle name="Вычисление 2 2 3 2 3" xfId="2092" xr:uid="{00000000-0005-0000-0000-000041120000}"/>
    <cellStyle name="Вычисление 2 2 3 2 3 2" xfId="21915" xr:uid="{00000000-0005-0000-0000-000042120000}"/>
    <cellStyle name="Вычисление 2 2 3 2 3 2 2" xfId="38525" xr:uid="{C16E0DB5-D7AC-4AE8-BC14-B17AA7BAB112}"/>
    <cellStyle name="Вычисление 2 2 3 2 3 3" xfId="6825" xr:uid="{00000000-0005-0000-0000-000043120000}"/>
    <cellStyle name="Вычисление 2 2 3 2 3 4" xfId="24452" xr:uid="{CFF54168-A540-494B-83D8-2286311849D6}"/>
    <cellStyle name="Вычисление 2 2 3 2 4" xfId="2801" xr:uid="{00000000-0005-0000-0000-000044120000}"/>
    <cellStyle name="Вычисление 2 2 3 2 4 2" xfId="22794" xr:uid="{00000000-0005-0000-0000-000045120000}"/>
    <cellStyle name="Вычисление 2 2 3 2 4 3" xfId="39260" xr:uid="{0BFF8580-00E3-41EF-B541-050CC825514C}"/>
    <cellStyle name="Вычисление 2 2 3 2 5" xfId="3216" xr:uid="{00000000-0005-0000-0000-000046120000}"/>
    <cellStyle name="Вычисление 2 2 3 2 5 2" xfId="23267" xr:uid="{00000000-0005-0000-0000-000047120000}"/>
    <cellStyle name="Вычисление 2 2 3 2 5 3" xfId="39694" xr:uid="{FF9C6621-5CFD-4B14-95F1-020246003EEA}"/>
    <cellStyle name="Вычисление 2 2 3 2 6" xfId="4028" xr:uid="{00000000-0005-0000-0000-000048120000}"/>
    <cellStyle name="Вычисление 2 2 3 2 6 2" xfId="20452" xr:uid="{00000000-0005-0000-0000-000049120000}"/>
    <cellStyle name="Вычисление 2 2 3 2 6 3" xfId="37344" xr:uid="{D209F0A9-7F8F-4A99-8C93-9C0D310BDDC3}"/>
    <cellStyle name="Вычисление 2 2 3 2 7" xfId="4550" xr:uid="{00000000-0005-0000-0000-00004A120000}"/>
    <cellStyle name="Вычисление 2 2 3 2 8" xfId="5032" xr:uid="{00000000-0005-0000-0000-00004B120000}"/>
    <cellStyle name="Вычисление 2 2 3 3" xfId="513" xr:uid="{00000000-0005-0000-0000-00004C120000}"/>
    <cellStyle name="Вычисление 2 2 3 3 2" xfId="1345" xr:uid="{00000000-0005-0000-0000-00004D120000}"/>
    <cellStyle name="Вычисление 2 2 3 3 2 2" xfId="21338" xr:uid="{00000000-0005-0000-0000-00004E120000}"/>
    <cellStyle name="Вычисление 2 2 3 3 2 2 2" xfId="37980" xr:uid="{4E255229-67CD-4E9E-BCDC-340C0000AE59}"/>
    <cellStyle name="Вычисление 2 2 3 3 2 3" xfId="6101" xr:uid="{00000000-0005-0000-0000-00004F120000}"/>
    <cellStyle name="Вычисление 2 2 3 3 2 4" xfId="23888" xr:uid="{A1A168BA-A62D-4D04-B771-E234FA124A44}"/>
    <cellStyle name="Вычисление 2 2 3 3 3" xfId="1914" xr:uid="{00000000-0005-0000-0000-000050120000}"/>
    <cellStyle name="Вычисление 2 2 3 3 3 2" xfId="21960" xr:uid="{00000000-0005-0000-0000-000051120000}"/>
    <cellStyle name="Вычисление 2 2 3 3 3 2 2" xfId="38570" xr:uid="{FF32E676-FDBA-4293-A1EE-F2280D71BE3B}"/>
    <cellStyle name="Вычисление 2 2 3 3 3 3" xfId="6870" xr:uid="{00000000-0005-0000-0000-000052120000}"/>
    <cellStyle name="Вычисление 2 2 3 3 3 4" xfId="24497" xr:uid="{F23AB533-CA83-45F9-B29C-F731716EA299}"/>
    <cellStyle name="Вычисление 2 2 3 3 4" xfId="2578" xr:uid="{00000000-0005-0000-0000-000053120000}"/>
    <cellStyle name="Вычисление 2 2 3 3 4 2" xfId="22856" xr:uid="{00000000-0005-0000-0000-000054120000}"/>
    <cellStyle name="Вычисление 2 2 3 3 4 3" xfId="39322" xr:uid="{A352BD51-9C2C-493A-8378-5313F6877D9C}"/>
    <cellStyle name="Вычисление 2 2 3 3 5" xfId="3492" xr:uid="{00000000-0005-0000-0000-000055120000}"/>
    <cellStyle name="Вычисление 2 2 3 3 5 2" xfId="23289" xr:uid="{00000000-0005-0000-0000-000056120000}"/>
    <cellStyle name="Вычисление 2 2 3 3 5 3" xfId="39716" xr:uid="{EDD8805C-EABB-4815-AA58-AE141630A4F4}"/>
    <cellStyle name="Вычисление 2 2 3 3 6" xfId="4073" xr:uid="{00000000-0005-0000-0000-000057120000}"/>
    <cellStyle name="Вычисление 2 2 3 3 6 2" xfId="20499" xr:uid="{00000000-0005-0000-0000-000058120000}"/>
    <cellStyle name="Вычисление 2 2 3 3 6 3" xfId="37391" xr:uid="{4E64D4DC-B0B4-4A63-BAE1-6A56B95AF413}"/>
    <cellStyle name="Вычисление 2 2 3 3 7" xfId="4595" xr:uid="{00000000-0005-0000-0000-000059120000}"/>
    <cellStyle name="Вычисление 2 2 3 3 8" xfId="5077" xr:uid="{00000000-0005-0000-0000-00005A120000}"/>
    <cellStyle name="Вычисление 2 2 3 4" xfId="565" xr:uid="{00000000-0005-0000-0000-00005B120000}"/>
    <cellStyle name="Вычисление 2 2 3 4 2" xfId="1397" xr:uid="{00000000-0005-0000-0000-00005C120000}"/>
    <cellStyle name="Вычисление 2 2 3 4 2 2" xfId="21390" xr:uid="{00000000-0005-0000-0000-00005D120000}"/>
    <cellStyle name="Вычисление 2 2 3 4 2 2 2" xfId="38032" xr:uid="{D6AF86B3-FC51-4C5C-BC0E-4151E1D85E61}"/>
    <cellStyle name="Вычисление 2 2 3 4 2 3" xfId="6153" xr:uid="{00000000-0005-0000-0000-00005E120000}"/>
    <cellStyle name="Вычисление 2 2 3 4 2 4" xfId="23940" xr:uid="{A5AF8AC4-F517-4D66-9BFF-1D421F98F169}"/>
    <cellStyle name="Вычисление 2 2 3 4 3" xfId="2273" xr:uid="{00000000-0005-0000-0000-00005F120000}"/>
    <cellStyle name="Вычисление 2 2 3 4 3 2" xfId="22012" xr:uid="{00000000-0005-0000-0000-000060120000}"/>
    <cellStyle name="Вычисление 2 2 3 4 3 2 2" xfId="38622" xr:uid="{0C8C928F-A62D-4F67-B2C7-4AAB1597BE62}"/>
    <cellStyle name="Вычисление 2 2 3 4 3 3" xfId="6922" xr:uid="{00000000-0005-0000-0000-000061120000}"/>
    <cellStyle name="Вычисление 2 2 3 4 3 4" xfId="24549" xr:uid="{AF13A365-AB67-4228-9B42-EBEA398D238E}"/>
    <cellStyle name="Вычисление 2 2 3 4 4" xfId="2854" xr:uid="{00000000-0005-0000-0000-000062120000}"/>
    <cellStyle name="Вычисление 2 2 3 4 4 2" xfId="22887" xr:uid="{00000000-0005-0000-0000-000063120000}"/>
    <cellStyle name="Вычисление 2 2 3 4 4 3" xfId="39353" xr:uid="{031024CB-EC31-4F1E-872C-1F7AB7BEB21E}"/>
    <cellStyle name="Вычисление 2 2 3 4 5" xfId="3531" xr:uid="{00000000-0005-0000-0000-000064120000}"/>
    <cellStyle name="Вычисление 2 2 3 4 5 2" xfId="23313" xr:uid="{00000000-0005-0000-0000-000065120000}"/>
    <cellStyle name="Вычисление 2 2 3 4 5 3" xfId="39740" xr:uid="{52F47545-BC37-4F05-95A0-7209D76DF342}"/>
    <cellStyle name="Вычисление 2 2 3 4 6" xfId="4125" xr:uid="{00000000-0005-0000-0000-000066120000}"/>
    <cellStyle name="Вычисление 2 2 3 4 6 2" xfId="20615" xr:uid="{00000000-0005-0000-0000-000067120000}"/>
    <cellStyle name="Вычисление 2 2 3 4 6 3" xfId="37457" xr:uid="{B742097F-3DD7-41A5-B6AE-92DA37AF0309}"/>
    <cellStyle name="Вычисление 2 2 3 4 7" xfId="4647" xr:uid="{00000000-0005-0000-0000-000068120000}"/>
    <cellStyle name="Вычисление 2 2 3 4 8" xfId="5129" xr:uid="{00000000-0005-0000-0000-000069120000}"/>
    <cellStyle name="Вычисление 2 2 3 5" xfId="617" xr:uid="{00000000-0005-0000-0000-00006A120000}"/>
    <cellStyle name="Вычисление 2 2 3 5 2" xfId="1449" xr:uid="{00000000-0005-0000-0000-00006B120000}"/>
    <cellStyle name="Вычисление 2 2 3 5 2 2" xfId="21442" xr:uid="{00000000-0005-0000-0000-00006C120000}"/>
    <cellStyle name="Вычисление 2 2 3 5 2 2 2" xfId="38084" xr:uid="{755032E1-71A9-4C9D-B99F-4383A64007FB}"/>
    <cellStyle name="Вычисление 2 2 3 5 2 3" xfId="6205" xr:uid="{00000000-0005-0000-0000-00006D120000}"/>
    <cellStyle name="Вычисление 2 2 3 5 2 4" xfId="23992" xr:uid="{F5BEA0B2-FE3B-4C3F-9DE2-C19BBBA53F47}"/>
    <cellStyle name="Вычисление 2 2 3 5 3" xfId="2086" xr:uid="{00000000-0005-0000-0000-00006E120000}"/>
    <cellStyle name="Вычисление 2 2 3 5 3 2" xfId="22064" xr:uid="{00000000-0005-0000-0000-00006F120000}"/>
    <cellStyle name="Вычисление 2 2 3 5 3 2 2" xfId="38674" xr:uid="{59480946-5BD1-48A9-93E8-7AA04B08E1B9}"/>
    <cellStyle name="Вычисление 2 2 3 5 3 3" xfId="6974" xr:uid="{00000000-0005-0000-0000-000070120000}"/>
    <cellStyle name="Вычисление 2 2 3 5 3 4" xfId="24601" xr:uid="{739AEC7F-DA24-4567-9595-2CF03793B6E3}"/>
    <cellStyle name="Вычисление 2 2 3 5 4" xfId="2874" xr:uid="{00000000-0005-0000-0000-000071120000}"/>
    <cellStyle name="Вычисление 2 2 3 5 4 2" xfId="22646" xr:uid="{00000000-0005-0000-0000-000072120000}"/>
    <cellStyle name="Вычисление 2 2 3 5 4 3" xfId="39118" xr:uid="{B2F8FD22-7E59-4751-99F7-6A9B1B45F825}"/>
    <cellStyle name="Вычисление 2 2 3 5 5" xfId="3792" xr:uid="{00000000-0005-0000-0000-000073120000}"/>
    <cellStyle name="Вычисление 2 2 3 5 5 2" xfId="23337" xr:uid="{00000000-0005-0000-0000-000074120000}"/>
    <cellStyle name="Вычисление 2 2 3 5 5 3" xfId="39764" xr:uid="{BD79A480-1EA5-43AA-BA04-7DC784ADA6BC}"/>
    <cellStyle name="Вычисление 2 2 3 5 6" xfId="4177" xr:uid="{00000000-0005-0000-0000-000075120000}"/>
    <cellStyle name="Вычисление 2 2 3 5 6 2" xfId="20653" xr:uid="{00000000-0005-0000-0000-000076120000}"/>
    <cellStyle name="Вычисление 2 2 3 5 6 3" xfId="37495" xr:uid="{A298CDA8-3DE1-4690-BAD7-2A5359C15C8B}"/>
    <cellStyle name="Вычисление 2 2 3 5 7" xfId="4699" xr:uid="{00000000-0005-0000-0000-000077120000}"/>
    <cellStyle name="Вычисление 2 2 3 5 8" xfId="5181" xr:uid="{00000000-0005-0000-0000-000078120000}"/>
    <cellStyle name="Вычисление 2 2 3 6" xfId="720" xr:uid="{00000000-0005-0000-0000-000079120000}"/>
    <cellStyle name="Вычисление 2 2 3 6 2" xfId="1550" xr:uid="{00000000-0005-0000-0000-00007A120000}"/>
    <cellStyle name="Вычисление 2 2 3 6 2 2" xfId="21543" xr:uid="{00000000-0005-0000-0000-00007B120000}"/>
    <cellStyle name="Вычисление 2 2 3 6 2 2 2" xfId="38185" xr:uid="{E4B70973-4255-4238-A2FF-4AF78345B92E}"/>
    <cellStyle name="Вычисление 2 2 3 6 2 3" xfId="6306" xr:uid="{00000000-0005-0000-0000-00007C120000}"/>
    <cellStyle name="Вычисление 2 2 3 6 2 4" xfId="24093" xr:uid="{85B620C9-7ADF-4CA8-806C-13E067B66174}"/>
    <cellStyle name="Вычисление 2 2 3 6 3" xfId="1874" xr:uid="{00000000-0005-0000-0000-00007D120000}"/>
    <cellStyle name="Вычисление 2 2 3 6 3 2" xfId="22165" xr:uid="{00000000-0005-0000-0000-00007E120000}"/>
    <cellStyle name="Вычисление 2 2 3 6 3 2 2" xfId="38775" xr:uid="{FD96F81F-3CBE-437E-8D72-0F4C720D2C90}"/>
    <cellStyle name="Вычисление 2 2 3 6 3 3" xfId="7075" xr:uid="{00000000-0005-0000-0000-00007F120000}"/>
    <cellStyle name="Вычисление 2 2 3 6 3 4" xfId="24702" xr:uid="{F54586C6-1A41-41F7-97BC-2F3A9F863719}"/>
    <cellStyle name="Вычисление 2 2 3 6 4" xfId="2655" xr:uid="{00000000-0005-0000-0000-000080120000}"/>
    <cellStyle name="Вычисление 2 2 3 6 4 2" xfId="22494" xr:uid="{00000000-0005-0000-0000-000081120000}"/>
    <cellStyle name="Вычисление 2 2 3 6 4 3" xfId="38986" xr:uid="{6AF51296-776A-4AAA-B03C-F4FC22A1EA0F}"/>
    <cellStyle name="Вычисление 2 2 3 6 5" xfId="2976" xr:uid="{00000000-0005-0000-0000-000082120000}"/>
    <cellStyle name="Вычисление 2 2 3 6 5 2" xfId="23379" xr:uid="{00000000-0005-0000-0000-000083120000}"/>
    <cellStyle name="Вычисление 2 2 3 6 5 3" xfId="39806" xr:uid="{3F73183E-918D-4CA5-B2D5-347C3A3CEF3E}"/>
    <cellStyle name="Вычисление 2 2 3 6 6" xfId="4279" xr:uid="{00000000-0005-0000-0000-000084120000}"/>
    <cellStyle name="Вычисление 2 2 3 6 6 2" xfId="20718" xr:uid="{00000000-0005-0000-0000-000085120000}"/>
    <cellStyle name="Вычисление 2 2 3 6 6 3" xfId="37547" xr:uid="{F3475D15-6AE5-4084-A03A-1272FCBA325E}"/>
    <cellStyle name="Вычисление 2 2 3 6 7" xfId="4801" xr:uid="{00000000-0005-0000-0000-000086120000}"/>
    <cellStyle name="Вычисление 2 2 3 6 8" xfId="5282" xr:uid="{00000000-0005-0000-0000-000087120000}"/>
    <cellStyle name="Вычисление 2 2 3 7" xfId="764" xr:uid="{00000000-0005-0000-0000-000088120000}"/>
    <cellStyle name="Вычисление 2 2 3 7 2" xfId="1593" xr:uid="{00000000-0005-0000-0000-000089120000}"/>
    <cellStyle name="Вычисление 2 2 3 7 2 2" xfId="21586" xr:uid="{00000000-0005-0000-0000-00008A120000}"/>
    <cellStyle name="Вычисление 2 2 3 7 2 2 2" xfId="38228" xr:uid="{D8653FFA-231D-4675-A7B3-12F6D82A18B7}"/>
    <cellStyle name="Вычисление 2 2 3 7 2 3" xfId="6349" xr:uid="{00000000-0005-0000-0000-00008B120000}"/>
    <cellStyle name="Вычисление 2 2 3 7 2 4" xfId="24136" xr:uid="{DFAF8BE8-93CF-45BF-9669-B5B34FF31108}"/>
    <cellStyle name="Вычисление 2 2 3 7 3" xfId="1867" xr:uid="{00000000-0005-0000-0000-00008C120000}"/>
    <cellStyle name="Вычисление 2 2 3 7 3 2" xfId="22208" xr:uid="{00000000-0005-0000-0000-00008D120000}"/>
    <cellStyle name="Вычисление 2 2 3 7 3 2 2" xfId="38818" xr:uid="{A9F0525C-F5AF-473E-BA9E-7C356BD635EB}"/>
    <cellStyle name="Вычисление 2 2 3 7 3 3" xfId="7118" xr:uid="{00000000-0005-0000-0000-00008E120000}"/>
    <cellStyle name="Вычисление 2 2 3 7 3 4" xfId="24745" xr:uid="{EF7FA95F-E44F-4ECD-80A5-ACBE0E10A6F6}"/>
    <cellStyle name="Вычисление 2 2 3 7 4" xfId="2379" xr:uid="{00000000-0005-0000-0000-00008F120000}"/>
    <cellStyle name="Вычисление 2 2 3 7 4 2" xfId="23115" xr:uid="{00000000-0005-0000-0000-000090120000}"/>
    <cellStyle name="Вычисление 2 2 3 7 4 3" xfId="39581" xr:uid="{763B7984-91ED-4F5C-9313-B879BB2AE14D}"/>
    <cellStyle name="Вычисление 2 2 3 7 5" xfId="3851" xr:uid="{00000000-0005-0000-0000-000091120000}"/>
    <cellStyle name="Вычисление 2 2 3 7 5 2" xfId="23401" xr:uid="{00000000-0005-0000-0000-000092120000}"/>
    <cellStyle name="Вычисление 2 2 3 7 5 3" xfId="39828" xr:uid="{75814E28-86A3-4F51-9BF1-124A897EDCDD}"/>
    <cellStyle name="Вычисление 2 2 3 7 6" xfId="4322" xr:uid="{00000000-0005-0000-0000-000093120000}"/>
    <cellStyle name="Вычисление 2 2 3 7 6 2" xfId="20783" xr:uid="{00000000-0005-0000-0000-000094120000}"/>
    <cellStyle name="Вычисление 2 2 3 7 6 3" xfId="37599" xr:uid="{1946A30A-C8AA-4506-B047-F64960ECCBEA}"/>
    <cellStyle name="Вычисление 2 2 3 7 7" xfId="4844" xr:uid="{00000000-0005-0000-0000-000095120000}"/>
    <cellStyle name="Вычисление 2 2 3 7 8" xfId="5325" xr:uid="{00000000-0005-0000-0000-000096120000}"/>
    <cellStyle name="Вычисление 2 2 3 8" xfId="796" xr:uid="{00000000-0005-0000-0000-000097120000}"/>
    <cellStyle name="Вычисление 2 2 3 8 2" xfId="1625" xr:uid="{00000000-0005-0000-0000-000098120000}"/>
    <cellStyle name="Вычисление 2 2 3 8 2 2" xfId="21618" xr:uid="{00000000-0005-0000-0000-000099120000}"/>
    <cellStyle name="Вычисление 2 2 3 8 2 2 2" xfId="38260" xr:uid="{27F9405A-191E-4BFE-9BF5-DA181F8AD843}"/>
    <cellStyle name="Вычисление 2 2 3 8 2 3" xfId="6381" xr:uid="{00000000-0005-0000-0000-00009A120000}"/>
    <cellStyle name="Вычисление 2 2 3 8 2 4" xfId="24168" xr:uid="{F605B92E-74AA-42D0-82B1-98B08683967A}"/>
    <cellStyle name="Вычисление 2 2 3 8 3" xfId="1863" xr:uid="{00000000-0005-0000-0000-00009B120000}"/>
    <cellStyle name="Вычисление 2 2 3 8 3 2" xfId="22240" xr:uid="{00000000-0005-0000-0000-00009C120000}"/>
    <cellStyle name="Вычисление 2 2 3 8 3 2 2" xfId="38850" xr:uid="{CD14C597-B196-4310-8770-763374F38945}"/>
    <cellStyle name="Вычисление 2 2 3 8 3 3" xfId="7150" xr:uid="{00000000-0005-0000-0000-00009D120000}"/>
    <cellStyle name="Вычисление 2 2 3 8 3 4" xfId="24777" xr:uid="{25359A67-6885-4B9A-B56A-81DFC9C026B9}"/>
    <cellStyle name="Вычисление 2 2 3 8 4" xfId="2508" xr:uid="{00000000-0005-0000-0000-00009E120000}"/>
    <cellStyle name="Вычисление 2 2 3 8 4 2" xfId="23103" xr:uid="{00000000-0005-0000-0000-00009F120000}"/>
    <cellStyle name="Вычисление 2 2 3 8 4 3" xfId="39569" xr:uid="{67D59BF0-B9D4-4B27-A823-72CA3A5A28E6}"/>
    <cellStyle name="Вычисление 2 2 3 8 5" xfId="3138" xr:uid="{00000000-0005-0000-0000-0000A0120000}"/>
    <cellStyle name="Вычисление 2 2 3 8 5 2" xfId="23417" xr:uid="{00000000-0005-0000-0000-0000A1120000}"/>
    <cellStyle name="Вычисление 2 2 3 8 5 3" xfId="39844" xr:uid="{BDFBB566-8554-489F-AAFE-8143D366D376}"/>
    <cellStyle name="Вычисление 2 2 3 8 6" xfId="4354" xr:uid="{00000000-0005-0000-0000-0000A2120000}"/>
    <cellStyle name="Вычисление 2 2 3 8 6 2" xfId="20848" xr:uid="{00000000-0005-0000-0000-0000A3120000}"/>
    <cellStyle name="Вычисление 2 2 3 8 6 3" xfId="37651" xr:uid="{F28D4C5B-C077-49A8-8502-E74B8099F25E}"/>
    <cellStyle name="Вычисление 2 2 3 8 7" xfId="4876" xr:uid="{00000000-0005-0000-0000-0000A4120000}"/>
    <cellStyle name="Вычисление 2 2 3 8 8" xfId="5357" xr:uid="{00000000-0005-0000-0000-0000A5120000}"/>
    <cellStyle name="Вычисление 2 2 3 9" xfId="828" xr:uid="{00000000-0005-0000-0000-0000A6120000}"/>
    <cellStyle name="Вычисление 2 2 3 9 2" xfId="1657" xr:uid="{00000000-0005-0000-0000-0000A7120000}"/>
    <cellStyle name="Вычисление 2 2 3 9 2 2" xfId="21650" xr:uid="{00000000-0005-0000-0000-0000A8120000}"/>
    <cellStyle name="Вычисление 2 2 3 9 2 2 2" xfId="38292" xr:uid="{0282750E-2839-4182-8FED-9F8AE2574392}"/>
    <cellStyle name="Вычисление 2 2 3 9 2 3" xfId="6413" xr:uid="{00000000-0005-0000-0000-0000A9120000}"/>
    <cellStyle name="Вычисление 2 2 3 9 2 4" xfId="24200" xr:uid="{C0B1A069-9486-4025-9339-FB296222EB3A}"/>
    <cellStyle name="Вычисление 2 2 3 9 3" xfId="1859" xr:uid="{00000000-0005-0000-0000-0000AA120000}"/>
    <cellStyle name="Вычисление 2 2 3 9 3 2" xfId="22272" xr:uid="{00000000-0005-0000-0000-0000AB120000}"/>
    <cellStyle name="Вычисление 2 2 3 9 3 2 2" xfId="38882" xr:uid="{0545FB8C-70D6-4E4A-9FBC-E474513C0D8D}"/>
    <cellStyle name="Вычисление 2 2 3 9 3 3" xfId="7182" xr:uid="{00000000-0005-0000-0000-0000AC120000}"/>
    <cellStyle name="Вычисление 2 2 3 9 3 4" xfId="24809" xr:uid="{46854921-ABDB-4566-8244-349A0DA369C1}"/>
    <cellStyle name="Вычисление 2 2 3 9 4" xfId="2333" xr:uid="{00000000-0005-0000-0000-0000AD120000}"/>
    <cellStyle name="Вычисление 2 2 3 9 4 2" xfId="23108" xr:uid="{00000000-0005-0000-0000-0000AE120000}"/>
    <cellStyle name="Вычисление 2 2 3 9 4 3" xfId="39574" xr:uid="{8FB1501E-BD71-492D-9938-3507850CCBC3}"/>
    <cellStyle name="Вычисление 2 2 3 9 5" xfId="3468" xr:uid="{00000000-0005-0000-0000-0000AF120000}"/>
    <cellStyle name="Вычисление 2 2 3 9 5 2" xfId="23433" xr:uid="{00000000-0005-0000-0000-0000B0120000}"/>
    <cellStyle name="Вычисление 2 2 3 9 5 3" xfId="39860" xr:uid="{A4359C8D-FE7A-48A2-8FB5-ECCC374942F5}"/>
    <cellStyle name="Вычисление 2 2 3 9 6" xfId="4386" xr:uid="{00000000-0005-0000-0000-0000B1120000}"/>
    <cellStyle name="Вычисление 2 2 3 9 6 2" xfId="20913" xr:uid="{00000000-0005-0000-0000-0000B2120000}"/>
    <cellStyle name="Вычисление 2 2 3 9 6 3" xfId="37703" xr:uid="{018801CA-16E4-4A82-A8D0-CC8CF85C6571}"/>
    <cellStyle name="Вычисление 2 2 3 9 7" xfId="4908" xr:uid="{00000000-0005-0000-0000-0000B3120000}"/>
    <cellStyle name="Вычисление 2 2 3 9 8" xfId="5389" xr:uid="{00000000-0005-0000-0000-0000B4120000}"/>
    <cellStyle name="Вычисление 2 2 4" xfId="877" xr:uid="{00000000-0005-0000-0000-0000B5120000}"/>
    <cellStyle name="Вычисление 2 2 4 2" xfId="2060" xr:uid="{00000000-0005-0000-0000-0000B6120000}"/>
    <cellStyle name="Вычисление 2 2 4 2 2" xfId="21763" xr:uid="{00000000-0005-0000-0000-0000B7120000}"/>
    <cellStyle name="Вычисление 2 2 4 2 2 2" xfId="38373" xr:uid="{E6D5606F-5A7D-4B03-8CF2-4ED0848E6ED6}"/>
    <cellStyle name="Вычисление 2 2 4 2 3" xfId="5810" xr:uid="{00000000-0005-0000-0000-0000B8120000}"/>
    <cellStyle name="Вычисление 2 2 4 2 4" xfId="23691" xr:uid="{7493F53C-8B4A-4EF8-8ED6-963A9A56799A}"/>
    <cellStyle name="Вычисление 2 2 4 3" xfId="2788" xr:uid="{00000000-0005-0000-0000-0000B9120000}"/>
    <cellStyle name="Вычисление 2 2 4 3 2" xfId="22617" xr:uid="{00000000-0005-0000-0000-0000BA120000}"/>
    <cellStyle name="Вычисление 2 2 4 3 2 2" xfId="39091" xr:uid="{B7EC1EB8-6B8C-4B12-A9EC-C1333378C844}"/>
    <cellStyle name="Вычисление 2 2 4 3 3" xfId="6679" xr:uid="{00000000-0005-0000-0000-0000BB120000}"/>
    <cellStyle name="Вычисление 2 2 4 3 4" xfId="24306" xr:uid="{8CA67F09-3521-4271-A7F8-781180DB9BF1}"/>
    <cellStyle name="Вычисление 2 2 4 4" xfId="3095" xr:uid="{00000000-0005-0000-0000-0000BC120000}"/>
    <cellStyle name="Вычисление 2 2 4 4 2" xfId="23197" xr:uid="{00000000-0005-0000-0000-0000BD120000}"/>
    <cellStyle name="Вычисление 2 2 4 4 3" xfId="39624" xr:uid="{5C7F91F9-C8B2-4AF6-9AC5-D3FA6B45ACDA}"/>
    <cellStyle name="Вычисление 2 2 4 5" xfId="3204" xr:uid="{00000000-0005-0000-0000-0000BE120000}"/>
    <cellStyle name="Вычисление 2 2 4 5 2" xfId="21034" xr:uid="{00000000-0005-0000-0000-0000BF120000}"/>
    <cellStyle name="Вычисление 2 2 4 5 3" xfId="37783" xr:uid="{8EFCEA04-4C11-4EDF-A86E-29D46B4F17A3}"/>
    <cellStyle name="Вычисление 2 2 4 6" xfId="3402" xr:uid="{00000000-0005-0000-0000-0000C0120000}"/>
    <cellStyle name="Вычисление 2 2 4 7" xfId="3173" xr:uid="{00000000-0005-0000-0000-0000C1120000}"/>
    <cellStyle name="Вычисление 2 2 5" xfId="1936" xr:uid="{00000000-0005-0000-0000-0000C2120000}"/>
    <cellStyle name="Вычисление 2 2 5 2" xfId="23080" xr:uid="{00000000-0005-0000-0000-0000C3120000}"/>
    <cellStyle name="Вычисление 2 2 5 2 2" xfId="39546" xr:uid="{460E70EC-9DB9-4E22-ADC9-E55AD861C123}"/>
    <cellStyle name="Вычисление 2 2 5 3" xfId="5587" xr:uid="{00000000-0005-0000-0000-0000C4120000}"/>
    <cellStyle name="Вычисление 2 2 5 4" xfId="23605" xr:uid="{1AF056D6-0C3C-47D5-A8FB-2445F11460AB}"/>
    <cellStyle name="Вычисление 2 2 6" xfId="2711" xr:uid="{00000000-0005-0000-0000-0000C5120000}"/>
    <cellStyle name="Вычисление 2 2 6 2" xfId="6599" xr:uid="{00000000-0005-0000-0000-0000C6120000}"/>
    <cellStyle name="Вычисление 2 2 6 3" xfId="24226" xr:uid="{42FF545D-A3A2-450A-B9D3-EB1E3F6404A0}"/>
    <cellStyle name="Вычисление 2 2 7" xfId="3830" xr:uid="{00000000-0005-0000-0000-0000C7120000}"/>
    <cellStyle name="Вычисление 2 2 7 2" xfId="7383" xr:uid="{00000000-0005-0000-0000-0000C8120000}"/>
    <cellStyle name="Вычисление 2 2 7 3" xfId="24852" xr:uid="{75A7ADC8-EAB5-4C18-946D-10CE96BD6468}"/>
    <cellStyle name="Вычисление 2 2 8" xfId="3067" xr:uid="{00000000-0005-0000-0000-0000C9120000}"/>
    <cellStyle name="Вычисление 2 2 9" xfId="3894" xr:uid="{00000000-0005-0000-0000-0000CA120000}"/>
    <cellStyle name="Вычисление 2 3" xfId="182" xr:uid="{00000000-0005-0000-0000-0000CB120000}"/>
    <cellStyle name="Вычисление 2 3 10" xfId="3977" xr:uid="{00000000-0005-0000-0000-0000CC120000}"/>
    <cellStyle name="Вычисление 2 3 2" xfId="229" xr:uid="{00000000-0005-0000-0000-0000CD120000}"/>
    <cellStyle name="Вычисление 2 3 2 10" xfId="812" xr:uid="{00000000-0005-0000-0000-0000CE120000}"/>
    <cellStyle name="Вычисление 2 3 2 10 2" xfId="1641" xr:uid="{00000000-0005-0000-0000-0000CF120000}"/>
    <cellStyle name="Вычисление 2 3 2 10 2 2" xfId="21634" xr:uid="{00000000-0005-0000-0000-0000D0120000}"/>
    <cellStyle name="Вычисление 2 3 2 10 2 2 2" xfId="38276" xr:uid="{901BE404-9B4B-42AE-BC49-81A7E7F52DBD}"/>
    <cellStyle name="Вычисление 2 3 2 10 2 3" xfId="6397" xr:uid="{00000000-0005-0000-0000-0000D1120000}"/>
    <cellStyle name="Вычисление 2 3 2 10 2 4" xfId="24184" xr:uid="{DAC9351A-12CD-4D14-AF9F-90A95D0A6E82}"/>
    <cellStyle name="Вычисление 2 3 2 10 3" xfId="1861" xr:uid="{00000000-0005-0000-0000-0000D2120000}"/>
    <cellStyle name="Вычисление 2 3 2 10 3 2" xfId="22256" xr:uid="{00000000-0005-0000-0000-0000D3120000}"/>
    <cellStyle name="Вычисление 2 3 2 10 3 2 2" xfId="38866" xr:uid="{49F7CF49-6651-4D6C-AB2F-94D7717BD5C2}"/>
    <cellStyle name="Вычисление 2 3 2 10 3 3" xfId="7166" xr:uid="{00000000-0005-0000-0000-0000D4120000}"/>
    <cellStyle name="Вычисление 2 3 2 10 3 4" xfId="24793" xr:uid="{7A801E27-A586-4D9B-BD1F-391B8B69E3BE}"/>
    <cellStyle name="Вычисление 2 3 2 10 4" xfId="2928" xr:uid="{00000000-0005-0000-0000-0000D5120000}"/>
    <cellStyle name="Вычисление 2 3 2 10 4 2" xfId="23114" xr:uid="{00000000-0005-0000-0000-0000D6120000}"/>
    <cellStyle name="Вычисление 2 3 2 10 4 3" xfId="39580" xr:uid="{64781D50-6571-48EB-868A-C9731A9FCC46}"/>
    <cellStyle name="Вычисление 2 3 2 10 5" xfId="3274" xr:uid="{00000000-0005-0000-0000-0000D7120000}"/>
    <cellStyle name="Вычисление 2 3 2 10 5 2" xfId="23425" xr:uid="{00000000-0005-0000-0000-0000D8120000}"/>
    <cellStyle name="Вычисление 2 3 2 10 5 3" xfId="39852" xr:uid="{DDEBDB0B-0804-4914-9174-B78D6FA94E03}"/>
    <cellStyle name="Вычисление 2 3 2 10 6" xfId="4370" xr:uid="{00000000-0005-0000-0000-0000D9120000}"/>
    <cellStyle name="Вычисление 2 3 2 10 6 2" xfId="20897" xr:uid="{00000000-0005-0000-0000-0000DA120000}"/>
    <cellStyle name="Вычисление 2 3 2 10 6 3" xfId="37687" xr:uid="{2B0B6F08-1500-4A3E-A1E0-D0443124143E}"/>
    <cellStyle name="Вычисление 2 3 2 10 7" xfId="4892" xr:uid="{00000000-0005-0000-0000-0000DB120000}"/>
    <cellStyle name="Вычисление 2 3 2 10 8" xfId="5373" xr:uid="{00000000-0005-0000-0000-0000DC120000}"/>
    <cellStyle name="Вычисление 2 3 2 11" xfId="950" xr:uid="{00000000-0005-0000-0000-0000DD120000}"/>
    <cellStyle name="Вычисление 2 3 2 11 2" xfId="1983" xr:uid="{00000000-0005-0000-0000-0000DE120000}"/>
    <cellStyle name="Вычисление 2 3 2 11 2 2" xfId="21796" xr:uid="{00000000-0005-0000-0000-0000DF120000}"/>
    <cellStyle name="Вычисление 2 3 2 11 2 2 2" xfId="38406" xr:uid="{2AD73856-88A4-4324-8AEE-DF0D8AB84787}"/>
    <cellStyle name="Вычисление 2 3 2 11 2 3" xfId="5868" xr:uid="{00000000-0005-0000-0000-0000E0120000}"/>
    <cellStyle name="Вычисление 2 3 2 11 2 4" xfId="23724" xr:uid="{AB8F91AA-6376-46EA-B506-2DE0F7E1CD6D}"/>
    <cellStyle name="Вычисление 2 3 2 11 3" xfId="2773" xr:uid="{00000000-0005-0000-0000-0000E1120000}"/>
    <cellStyle name="Вычисление 2 3 2 11 3 2" xfId="22606" xr:uid="{00000000-0005-0000-0000-0000E2120000}"/>
    <cellStyle name="Вычисление 2 3 2 11 3 2 2" xfId="39082" xr:uid="{91D1ECC8-E23F-47AC-A6C1-53412CC6E374}"/>
    <cellStyle name="Вычисление 2 3 2 11 3 3" xfId="6712" xr:uid="{00000000-0005-0000-0000-0000E3120000}"/>
    <cellStyle name="Вычисление 2 3 2 11 3 4" xfId="24339" xr:uid="{D29490DE-CC59-45E3-A3B8-33E40BD5AF74}"/>
    <cellStyle name="Вычисление 2 3 2 11 4" xfId="3065" xr:uid="{00000000-0005-0000-0000-0000E4120000}"/>
    <cellStyle name="Вычисление 2 3 2 11 4 2" xfId="23211" xr:uid="{00000000-0005-0000-0000-0000E5120000}"/>
    <cellStyle name="Вычисление 2 3 2 11 4 3" xfId="39638" xr:uid="{449A818D-89F1-4843-94DD-3AA9936F458B}"/>
    <cellStyle name="Вычисление 2 3 2 11 5" xfId="3392" xr:uid="{00000000-0005-0000-0000-0000E6120000}"/>
    <cellStyle name="Вычисление 2 3 2 11 5 2" xfId="21092" xr:uid="{00000000-0005-0000-0000-0000E7120000}"/>
    <cellStyle name="Вычисление 2 3 2 11 5 3" xfId="37816" xr:uid="{35B710FF-2077-4FBA-8865-C645056E2A4C}"/>
    <cellStyle name="Вычисление 2 3 2 11 6" xfId="3973" xr:uid="{00000000-0005-0000-0000-0000E8120000}"/>
    <cellStyle name="Вычисление 2 3 2 11 7" xfId="4500" xr:uid="{00000000-0005-0000-0000-0000E9120000}"/>
    <cellStyle name="Вычисление 2 3 2 12" xfId="1985" xr:uid="{00000000-0005-0000-0000-0000EA120000}"/>
    <cellStyle name="Вычисление 2 3 2 12 2" xfId="20962" xr:uid="{00000000-0005-0000-0000-0000EB120000}"/>
    <cellStyle name="Вычисление 2 3 2 12 2 2" xfId="37739" xr:uid="{F96BF2C2-0F52-4ABA-834C-7C6EFE85C472}"/>
    <cellStyle name="Вычисление 2 3 2 12 3" xfId="5705" xr:uid="{00000000-0005-0000-0000-0000EC120000}"/>
    <cellStyle name="Вычисление 2 3 2 12 4" xfId="23644" xr:uid="{F6423578-F241-4988-918A-C9A0AC12EC42}"/>
    <cellStyle name="Вычисление 2 3 2 13" xfId="2608" xr:uid="{00000000-0005-0000-0000-0000ED120000}"/>
    <cellStyle name="Вычисление 2 3 2 13 2" xfId="21719" xr:uid="{00000000-0005-0000-0000-0000EE120000}"/>
    <cellStyle name="Вычисление 2 3 2 13 2 2" xfId="38329" xr:uid="{8A696A49-96D6-4D25-A0C2-47158B51919C}"/>
    <cellStyle name="Вычисление 2 3 2 13 3" xfId="6637" xr:uid="{00000000-0005-0000-0000-0000EF120000}"/>
    <cellStyle name="Вычисление 2 3 2 13 4" xfId="24264" xr:uid="{2E88295B-5560-4BC0-85E0-D32FDBFCC871}"/>
    <cellStyle name="Вычисление 2 3 2 14" xfId="3093" xr:uid="{00000000-0005-0000-0000-0000F0120000}"/>
    <cellStyle name="Вычисление 2 3 2 14 2" xfId="22562" xr:uid="{00000000-0005-0000-0000-0000F1120000}"/>
    <cellStyle name="Вычисление 2 3 2 14 3" xfId="39040" xr:uid="{8945CBB4-E7AB-40A1-AB5F-8243040CF66D}"/>
    <cellStyle name="Вычисление 2 3 2 15" xfId="3411" xr:uid="{00000000-0005-0000-0000-0000F2120000}"/>
    <cellStyle name="Вычисление 2 3 2 15 2" xfId="23133" xr:uid="{00000000-0005-0000-0000-0000F3120000}"/>
    <cellStyle name="Вычисление 2 3 2 15 3" xfId="39585" xr:uid="{A0784A9B-395F-4DD8-8456-3EECAFAB4D6A}"/>
    <cellStyle name="Вычисление 2 3 2 16" xfId="3438" xr:uid="{00000000-0005-0000-0000-0000F4120000}"/>
    <cellStyle name="Вычисление 2 3 2 16 2" xfId="7486" xr:uid="{00000000-0005-0000-0000-0000F5120000}"/>
    <cellStyle name="Вычисление 2 3 2 16 3" xfId="24888" xr:uid="{021CE1EB-456D-4153-8C98-E9DC66393BFC}"/>
    <cellStyle name="Вычисление 2 3 2 17" xfId="3165" xr:uid="{00000000-0005-0000-0000-0000F6120000}"/>
    <cellStyle name="Вычисление 2 3 2 2" xfId="330" xr:uid="{00000000-0005-0000-0000-0000F7120000}"/>
    <cellStyle name="Вычисление 2 3 2 2 2" xfId="1022" xr:uid="{00000000-0005-0000-0000-0000F8120000}"/>
    <cellStyle name="Вычисление 2 3 2 2 2 2" xfId="21181" xr:uid="{00000000-0005-0000-0000-0000F9120000}"/>
    <cellStyle name="Вычисление 2 3 2 2 2 2 2" xfId="37856" xr:uid="{04286EDA-C1AC-458B-A31D-764900B69FFF}"/>
    <cellStyle name="Вычисление 2 3 2 2 2 3" xfId="5961" xr:uid="{00000000-0005-0000-0000-0000FA120000}"/>
    <cellStyle name="Вычисление 2 3 2 2 2 4" xfId="23764" xr:uid="{EDF8E44D-4A71-4A31-8816-07C2884CDF54}"/>
    <cellStyle name="Вычисление 2 3 2 2 3" xfId="2112" xr:uid="{00000000-0005-0000-0000-0000FB120000}"/>
    <cellStyle name="Вычисление 2 3 2 2 3 2" xfId="21836" xr:uid="{00000000-0005-0000-0000-0000FC120000}"/>
    <cellStyle name="Вычисление 2 3 2 2 3 2 2" xfId="38446" xr:uid="{3E337EAA-0D97-4380-957B-057DAC79E866}"/>
    <cellStyle name="Вычисление 2 3 2 2 3 3" xfId="6750" xr:uid="{00000000-0005-0000-0000-0000FD120000}"/>
    <cellStyle name="Вычисление 2 3 2 2 3 4" xfId="24377" xr:uid="{438FDD2F-A8A7-41E2-8DB5-CD74E7373086}"/>
    <cellStyle name="Вычисление 2 3 2 2 4" xfId="2889" xr:uid="{00000000-0005-0000-0000-0000FE120000}"/>
    <cellStyle name="Вычисление 2 3 2 2 4 2" xfId="23020" xr:uid="{00000000-0005-0000-0000-0000FF120000}"/>
    <cellStyle name="Вычисление 2 3 2 2 4 3" xfId="39486" xr:uid="{9916D4D8-8706-4D28-9C67-9D8505AAA1F6}"/>
    <cellStyle name="Вычисление 2 3 2 2 5" xfId="3185" xr:uid="{00000000-0005-0000-0000-000000130000}"/>
    <cellStyle name="Вычисление 2 3 2 2 5 2" xfId="23229" xr:uid="{00000000-0005-0000-0000-000001130000}"/>
    <cellStyle name="Вычисление 2 3 2 2 5 3" xfId="39656" xr:uid="{B7BF6C68-F842-4EC1-AAEF-4798013B0BDF}"/>
    <cellStyle name="Вычисление 2 3 2 2 6" xfId="3934" xr:uid="{00000000-0005-0000-0000-000002130000}"/>
    <cellStyle name="Вычисление 2 3 2 2 6 2" xfId="14068" xr:uid="{00000000-0005-0000-0000-000003130000}"/>
    <cellStyle name="Вычисление 2 3 2 2 6 3" xfId="31107" xr:uid="{98580033-7189-40F9-9574-14FFB5ACE068}"/>
    <cellStyle name="Вычисление 2 3 2 2 7" xfId="4466" xr:uid="{00000000-0005-0000-0000-000004130000}"/>
    <cellStyle name="Вычисление 2 3 2 2 8" xfId="4957" xr:uid="{00000000-0005-0000-0000-000005130000}"/>
    <cellStyle name="Вычисление 2 3 2 3" xfId="451" xr:uid="{00000000-0005-0000-0000-000006130000}"/>
    <cellStyle name="Вычисление 2 3 2 3 2" xfId="1283" xr:uid="{00000000-0005-0000-0000-000007130000}"/>
    <cellStyle name="Вычисление 2 3 2 3 2 2" xfId="21276" xr:uid="{00000000-0005-0000-0000-000008130000}"/>
    <cellStyle name="Вычисление 2 3 2 3 2 2 2" xfId="37918" xr:uid="{8041B7CB-4373-4E0B-AE78-31F335301302}"/>
    <cellStyle name="Вычисление 2 3 2 3 2 3" xfId="6039" xr:uid="{00000000-0005-0000-0000-000009130000}"/>
    <cellStyle name="Вычисление 2 3 2 3 2 4" xfId="23826" xr:uid="{98DCE2B1-BA76-48FE-B6C6-9033233E6856}"/>
    <cellStyle name="Вычисление 2 3 2 3 3" xfId="2215" xr:uid="{00000000-0005-0000-0000-00000A130000}"/>
    <cellStyle name="Вычисление 2 3 2 3 3 2" xfId="21898" xr:uid="{00000000-0005-0000-0000-00000B130000}"/>
    <cellStyle name="Вычисление 2 3 2 3 3 2 2" xfId="38508" xr:uid="{EA8C181A-AE9E-42D3-8296-B4A01CED3A28}"/>
    <cellStyle name="Вычисление 2 3 2 3 3 3" xfId="6809" xr:uid="{00000000-0005-0000-0000-00000C130000}"/>
    <cellStyle name="Вычисление 2 3 2 3 3 4" xfId="24436" xr:uid="{7A19A1B8-8386-48C5-95A9-53CE3828C8C7}"/>
    <cellStyle name="Вычисление 2 3 2 3 4" xfId="2689" xr:uid="{00000000-0005-0000-0000-00000D130000}"/>
    <cellStyle name="Вычисление 2 3 2 3 4 2" xfId="22897" xr:uid="{00000000-0005-0000-0000-00000E130000}"/>
    <cellStyle name="Вычисление 2 3 2 3 4 3" xfId="39363" xr:uid="{4063B423-407D-4EF3-8B51-B8533DCE0F80}"/>
    <cellStyle name="Вычисление 2 3 2 3 5" xfId="3543" xr:uid="{00000000-0005-0000-0000-00000F130000}"/>
    <cellStyle name="Вычисление 2 3 2 3 5 2" xfId="23258" xr:uid="{00000000-0005-0000-0000-000010130000}"/>
    <cellStyle name="Вычисление 2 3 2 3 5 3" xfId="39685" xr:uid="{4636F703-2105-4348-94F6-7DE6614BE036}"/>
    <cellStyle name="Вычисление 2 3 2 3 6" xfId="4012" xr:uid="{00000000-0005-0000-0000-000011130000}"/>
    <cellStyle name="Вычисление 2 3 2 3 6 2" xfId="20421" xr:uid="{00000000-0005-0000-0000-000012130000}"/>
    <cellStyle name="Вычисление 2 3 2 3 6 3" xfId="37328" xr:uid="{F0BD8E3C-9973-4D75-8B53-A8526D82C1CE}"/>
    <cellStyle name="Вычисление 2 3 2 3 7" xfId="4534" xr:uid="{00000000-0005-0000-0000-000013130000}"/>
    <cellStyle name="Вычисление 2 3 2 3 8" xfId="5016" xr:uid="{00000000-0005-0000-0000-000014130000}"/>
    <cellStyle name="Вычисление 2 3 2 4" xfId="497" xr:uid="{00000000-0005-0000-0000-000015130000}"/>
    <cellStyle name="Вычисление 2 3 2 4 2" xfId="1329" xr:uid="{00000000-0005-0000-0000-000016130000}"/>
    <cellStyle name="Вычисление 2 3 2 4 2 2" xfId="21322" xr:uid="{00000000-0005-0000-0000-000017130000}"/>
    <cellStyle name="Вычисление 2 3 2 4 2 2 2" xfId="37964" xr:uid="{774B87D4-B96B-4216-8E81-80C55C580D38}"/>
    <cellStyle name="Вычисление 2 3 2 4 2 3" xfId="6085" xr:uid="{00000000-0005-0000-0000-000018130000}"/>
    <cellStyle name="Вычисление 2 3 2 4 2 4" xfId="23872" xr:uid="{0EEBE8BA-6D1A-4A9D-BBC1-32CEE61D9D24}"/>
    <cellStyle name="Вычисление 2 3 2 4 3" xfId="2167" xr:uid="{00000000-0005-0000-0000-000019130000}"/>
    <cellStyle name="Вычисление 2 3 2 4 3 2" xfId="21944" xr:uid="{00000000-0005-0000-0000-00001A130000}"/>
    <cellStyle name="Вычисление 2 3 2 4 3 2 2" xfId="38554" xr:uid="{3317BD24-DE84-4A10-9918-8669B67E0FDC}"/>
    <cellStyle name="Вычисление 2 3 2 4 3 3" xfId="6854" xr:uid="{00000000-0005-0000-0000-00001B130000}"/>
    <cellStyle name="Вычисление 2 3 2 4 3 4" xfId="24481" xr:uid="{B93ED7DB-23F1-4B44-A29A-9394AE856E30}"/>
    <cellStyle name="Вычисление 2 3 2 4 4" xfId="2701" xr:uid="{00000000-0005-0000-0000-00001C130000}"/>
    <cellStyle name="Вычисление 2 3 2 4 4 2" xfId="22919" xr:uid="{00000000-0005-0000-0000-00001D130000}"/>
    <cellStyle name="Вычисление 2 3 2 4 4 3" xfId="39385" xr:uid="{44E5EBB1-2160-496B-8C67-98E1EE7576B2}"/>
    <cellStyle name="Вычисление 2 3 2 4 5" xfId="3571" xr:uid="{00000000-0005-0000-0000-00001E130000}"/>
    <cellStyle name="Вычисление 2 3 2 4 5 2" xfId="23281" xr:uid="{00000000-0005-0000-0000-00001F130000}"/>
    <cellStyle name="Вычисление 2 3 2 4 5 3" xfId="39708" xr:uid="{B6E9A326-21D7-4456-B820-19B656648237}"/>
    <cellStyle name="Вычисление 2 3 2 4 6" xfId="4057" xr:uid="{00000000-0005-0000-0000-000020130000}"/>
    <cellStyle name="Вычисление 2 3 2 4 6 2" xfId="20483" xr:uid="{00000000-0005-0000-0000-000021130000}"/>
    <cellStyle name="Вычисление 2 3 2 4 6 3" xfId="37375" xr:uid="{1AE72F50-AD24-4B55-83CD-EE66D4BA9E22}"/>
    <cellStyle name="Вычисление 2 3 2 4 7" xfId="4579" xr:uid="{00000000-0005-0000-0000-000022130000}"/>
    <cellStyle name="Вычисление 2 3 2 4 8" xfId="5061" xr:uid="{00000000-0005-0000-0000-000023130000}"/>
    <cellStyle name="Вычисление 2 3 2 5" xfId="549" xr:uid="{00000000-0005-0000-0000-000024130000}"/>
    <cellStyle name="Вычисление 2 3 2 5 2" xfId="1381" xr:uid="{00000000-0005-0000-0000-000025130000}"/>
    <cellStyle name="Вычисление 2 3 2 5 2 2" xfId="21374" xr:uid="{00000000-0005-0000-0000-000026130000}"/>
    <cellStyle name="Вычисление 2 3 2 5 2 2 2" xfId="38016" xr:uid="{852553C5-A4E8-4A4B-82E9-50CDB1D5CC03}"/>
    <cellStyle name="Вычисление 2 3 2 5 2 3" xfId="6137" xr:uid="{00000000-0005-0000-0000-000027130000}"/>
    <cellStyle name="Вычисление 2 3 2 5 2 4" xfId="23924" xr:uid="{27B555FA-77A8-4F19-A1A3-6F0F7F488BB7}"/>
    <cellStyle name="Вычисление 2 3 2 5 3" xfId="1923" xr:uid="{00000000-0005-0000-0000-000028130000}"/>
    <cellStyle name="Вычисление 2 3 2 5 3 2" xfId="21996" xr:uid="{00000000-0005-0000-0000-000029130000}"/>
    <cellStyle name="Вычисление 2 3 2 5 3 2 2" xfId="38606" xr:uid="{9F60E519-DA4D-4E62-B74A-F66171BD7716}"/>
    <cellStyle name="Вычисление 2 3 2 5 3 3" xfId="6906" xr:uid="{00000000-0005-0000-0000-00002A130000}"/>
    <cellStyle name="Вычисление 2 3 2 5 3 4" xfId="24533" xr:uid="{9E181939-7765-40BA-BC89-3AEAE57CD4DC}"/>
    <cellStyle name="Вычисление 2 3 2 5 4" xfId="2730" xr:uid="{00000000-0005-0000-0000-00002B130000}"/>
    <cellStyle name="Вычисление 2 3 2 5 4 2" xfId="22994" xr:uid="{00000000-0005-0000-0000-00002C130000}"/>
    <cellStyle name="Вычисление 2 3 2 5 4 3" xfId="39460" xr:uid="{E0C6C999-BC52-462C-978D-EF0521B39405}"/>
    <cellStyle name="Вычисление 2 3 2 5 5" xfId="3628" xr:uid="{00000000-0005-0000-0000-00002D130000}"/>
    <cellStyle name="Вычисление 2 3 2 5 5 2" xfId="23305" xr:uid="{00000000-0005-0000-0000-00002E130000}"/>
    <cellStyle name="Вычисление 2 3 2 5 5 3" xfId="39732" xr:uid="{11CB228B-E942-4516-B178-48A5EF17D193}"/>
    <cellStyle name="Вычисление 2 3 2 5 6" xfId="4109" xr:uid="{00000000-0005-0000-0000-00002F130000}"/>
    <cellStyle name="Вычисление 2 3 2 5 6 2" xfId="20595" xr:uid="{00000000-0005-0000-0000-000030130000}"/>
    <cellStyle name="Вычисление 2 3 2 5 6 3" xfId="37441" xr:uid="{43592BBB-C538-43EA-B484-EDC7B81F885E}"/>
    <cellStyle name="Вычисление 2 3 2 5 7" xfId="4631" xr:uid="{00000000-0005-0000-0000-000031130000}"/>
    <cellStyle name="Вычисление 2 3 2 5 8" xfId="5113" xr:uid="{00000000-0005-0000-0000-000032130000}"/>
    <cellStyle name="Вычисление 2 3 2 6" xfId="601" xr:uid="{00000000-0005-0000-0000-000033130000}"/>
    <cellStyle name="Вычисление 2 3 2 6 2" xfId="1433" xr:uid="{00000000-0005-0000-0000-000034130000}"/>
    <cellStyle name="Вычисление 2 3 2 6 2 2" xfId="21426" xr:uid="{00000000-0005-0000-0000-000035130000}"/>
    <cellStyle name="Вычисление 2 3 2 6 2 2 2" xfId="38068" xr:uid="{45146FBD-61D7-48A9-B022-B740D6F82281}"/>
    <cellStyle name="Вычисление 2 3 2 6 2 3" xfId="6189" xr:uid="{00000000-0005-0000-0000-000036130000}"/>
    <cellStyle name="Вычисление 2 3 2 6 2 4" xfId="23976" xr:uid="{C1F4E973-7F7E-474F-B7CA-36BC260E0491}"/>
    <cellStyle name="Вычисление 2 3 2 6 3" xfId="2141" xr:uid="{00000000-0005-0000-0000-000037130000}"/>
    <cellStyle name="Вычисление 2 3 2 6 3 2" xfId="22048" xr:uid="{00000000-0005-0000-0000-000038130000}"/>
    <cellStyle name="Вычисление 2 3 2 6 3 2 2" xfId="38658" xr:uid="{95ED5FB8-182B-48B9-BE2A-6E7C4BAE3695}"/>
    <cellStyle name="Вычисление 2 3 2 6 3 3" xfId="6958" xr:uid="{00000000-0005-0000-0000-000039130000}"/>
    <cellStyle name="Вычисление 2 3 2 6 3 4" xfId="24585" xr:uid="{5D0B0BDC-EC79-4E5B-8D2C-50DBEF5BC6F4}"/>
    <cellStyle name="Вычисление 2 3 2 6 4" xfId="2498" xr:uid="{00000000-0005-0000-0000-00003A130000}"/>
    <cellStyle name="Вычисление 2 3 2 6 4 2" xfId="22825" xr:uid="{00000000-0005-0000-0000-00003B130000}"/>
    <cellStyle name="Вычисление 2 3 2 6 4 3" xfId="39291" xr:uid="{0BFDEF93-E0FD-462C-BCF7-28122F314F30}"/>
    <cellStyle name="Вычисление 2 3 2 6 5" xfId="3398" xr:uid="{00000000-0005-0000-0000-00003C130000}"/>
    <cellStyle name="Вычисление 2 3 2 6 5 2" xfId="23329" xr:uid="{00000000-0005-0000-0000-00003D130000}"/>
    <cellStyle name="Вычисление 2 3 2 6 5 3" xfId="39756" xr:uid="{1D929048-A880-4E11-9627-1C2C39F74840}"/>
    <cellStyle name="Вычисление 2 3 2 6 6" xfId="4161" xr:uid="{00000000-0005-0000-0000-00003E130000}"/>
    <cellStyle name="Вычисление 2 3 2 6 6 2" xfId="20637" xr:uid="{00000000-0005-0000-0000-00003F130000}"/>
    <cellStyle name="Вычисление 2 3 2 6 6 3" xfId="37479" xr:uid="{EE352DC2-8F94-4E5F-8883-E55985CEE580}"/>
    <cellStyle name="Вычисление 2 3 2 6 7" xfId="4683" xr:uid="{00000000-0005-0000-0000-000040130000}"/>
    <cellStyle name="Вычисление 2 3 2 6 8" xfId="5165" xr:uid="{00000000-0005-0000-0000-000041130000}"/>
    <cellStyle name="Вычисление 2 3 2 7" xfId="700" xr:uid="{00000000-0005-0000-0000-000042130000}"/>
    <cellStyle name="Вычисление 2 3 2 7 2" xfId="1530" xr:uid="{00000000-0005-0000-0000-000043130000}"/>
    <cellStyle name="Вычисление 2 3 2 7 2 2" xfId="21523" xr:uid="{00000000-0005-0000-0000-000044130000}"/>
    <cellStyle name="Вычисление 2 3 2 7 2 2 2" xfId="38165" xr:uid="{6E9892D6-7692-46CC-A297-79ED416301BF}"/>
    <cellStyle name="Вычисление 2 3 2 7 2 3" xfId="6286" xr:uid="{00000000-0005-0000-0000-000045130000}"/>
    <cellStyle name="Вычисление 2 3 2 7 2 4" xfId="24073" xr:uid="{F191B790-1EC0-478C-95E4-EFC0EBC30517}"/>
    <cellStyle name="Вычисление 2 3 2 7 3" xfId="1717" xr:uid="{00000000-0005-0000-0000-000046130000}"/>
    <cellStyle name="Вычисление 2 3 2 7 3 2" xfId="22145" xr:uid="{00000000-0005-0000-0000-000047130000}"/>
    <cellStyle name="Вычисление 2 3 2 7 3 2 2" xfId="38755" xr:uid="{B9E2F90E-E53C-4AB7-A3FB-F4AD7732EA4A}"/>
    <cellStyle name="Вычисление 2 3 2 7 3 3" xfId="7055" xr:uid="{00000000-0005-0000-0000-000048130000}"/>
    <cellStyle name="Вычисление 2 3 2 7 3 4" xfId="24682" xr:uid="{740FFED5-980C-4D91-8851-7048F98338DF}"/>
    <cellStyle name="Вычисление 2 3 2 7 4" xfId="2520" xr:uid="{00000000-0005-0000-0000-000049130000}"/>
    <cellStyle name="Вычисление 2 3 2 7 4 2" xfId="22502" xr:uid="{00000000-0005-0000-0000-00004A130000}"/>
    <cellStyle name="Вычисление 2 3 2 7 4 3" xfId="38994" xr:uid="{D1124200-DCC6-4223-B8B7-CDFBD5038CC4}"/>
    <cellStyle name="Вычисление 2 3 2 7 5" xfId="3253" xr:uid="{00000000-0005-0000-0000-00004B130000}"/>
    <cellStyle name="Вычисление 2 3 2 7 5 2" xfId="23370" xr:uid="{00000000-0005-0000-0000-00004C130000}"/>
    <cellStyle name="Вычисление 2 3 2 7 5 3" xfId="39797" xr:uid="{29CEB21E-6D5E-4159-A8CD-006F95E085C8}"/>
    <cellStyle name="Вычисление 2 3 2 7 6" xfId="4259" xr:uid="{00000000-0005-0000-0000-00004D130000}"/>
    <cellStyle name="Вычисление 2 3 2 7 6 2" xfId="20702" xr:uid="{00000000-0005-0000-0000-00004E130000}"/>
    <cellStyle name="Вычисление 2 3 2 7 6 3" xfId="37531" xr:uid="{3E2E6566-B990-40C6-9FAB-77C2A8594311}"/>
    <cellStyle name="Вычисление 2 3 2 7 7" xfId="4781" xr:uid="{00000000-0005-0000-0000-00004F130000}"/>
    <cellStyle name="Вычисление 2 3 2 7 8" xfId="5262" xr:uid="{00000000-0005-0000-0000-000050130000}"/>
    <cellStyle name="Вычисление 2 3 2 8" xfId="746" xr:uid="{00000000-0005-0000-0000-000051130000}"/>
    <cellStyle name="Вычисление 2 3 2 8 2" xfId="1576" xr:uid="{00000000-0005-0000-0000-000052130000}"/>
    <cellStyle name="Вычисление 2 3 2 8 2 2" xfId="21569" xr:uid="{00000000-0005-0000-0000-000053130000}"/>
    <cellStyle name="Вычисление 2 3 2 8 2 2 2" xfId="38211" xr:uid="{0AFFCB91-14CE-4E05-80F6-F74D7A2EB9D4}"/>
    <cellStyle name="Вычисление 2 3 2 8 2 3" xfId="6332" xr:uid="{00000000-0005-0000-0000-000054130000}"/>
    <cellStyle name="Вычисление 2 3 2 8 2 4" xfId="24119" xr:uid="{62570DE0-D312-4630-BF74-1C64E1302F04}"/>
    <cellStyle name="Вычисление 2 3 2 8 3" xfId="2298" xr:uid="{00000000-0005-0000-0000-000055130000}"/>
    <cellStyle name="Вычисление 2 3 2 8 3 2" xfId="22191" xr:uid="{00000000-0005-0000-0000-000056130000}"/>
    <cellStyle name="Вычисление 2 3 2 8 3 2 2" xfId="38801" xr:uid="{9C214A6E-5009-4A03-B1DC-9E445B1714AD}"/>
    <cellStyle name="Вычисление 2 3 2 8 3 3" xfId="7101" xr:uid="{00000000-0005-0000-0000-000057130000}"/>
    <cellStyle name="Вычисление 2 3 2 8 3 4" xfId="24728" xr:uid="{D1810E3A-3022-4C7F-8864-3A99C92D0D08}"/>
    <cellStyle name="Вычисление 2 3 2 8 4" xfId="2381" xr:uid="{00000000-0005-0000-0000-000058130000}"/>
    <cellStyle name="Вычисление 2 3 2 8 4 2" xfId="23107" xr:uid="{00000000-0005-0000-0000-000059130000}"/>
    <cellStyle name="Вычисление 2 3 2 8 4 3" xfId="39573" xr:uid="{E5F53475-3AE3-489B-9C55-6CB9E2AD314D}"/>
    <cellStyle name="Вычисление 2 3 2 8 5" xfId="3843" xr:uid="{00000000-0005-0000-0000-00005A130000}"/>
    <cellStyle name="Вычисление 2 3 2 8 5 2" xfId="23393" xr:uid="{00000000-0005-0000-0000-00005B130000}"/>
    <cellStyle name="Вычисление 2 3 2 8 5 3" xfId="39820" xr:uid="{C1F2DB2D-5EFC-43A4-8779-F75005B41A2A}"/>
    <cellStyle name="Вычисление 2 3 2 8 6" xfId="4305" xr:uid="{00000000-0005-0000-0000-00005C130000}"/>
    <cellStyle name="Вычисление 2 3 2 8 6 2" xfId="20767" xr:uid="{00000000-0005-0000-0000-00005D130000}"/>
    <cellStyle name="Вычисление 2 3 2 8 6 3" xfId="37583" xr:uid="{014D9ACE-B8A2-46A8-9FEC-A8416B4F62A6}"/>
    <cellStyle name="Вычисление 2 3 2 8 7" xfId="4827" xr:uid="{00000000-0005-0000-0000-00005E130000}"/>
    <cellStyle name="Вычисление 2 3 2 8 8" xfId="5308" xr:uid="{00000000-0005-0000-0000-00005F130000}"/>
    <cellStyle name="Вычисление 2 3 2 9" xfId="780" xr:uid="{00000000-0005-0000-0000-000060130000}"/>
    <cellStyle name="Вычисление 2 3 2 9 2" xfId="1609" xr:uid="{00000000-0005-0000-0000-000061130000}"/>
    <cellStyle name="Вычисление 2 3 2 9 2 2" xfId="21602" xr:uid="{00000000-0005-0000-0000-000062130000}"/>
    <cellStyle name="Вычисление 2 3 2 9 2 2 2" xfId="38244" xr:uid="{5A7A02D4-5B68-462D-B777-52267E65BBB4}"/>
    <cellStyle name="Вычисление 2 3 2 9 2 3" xfId="6365" xr:uid="{00000000-0005-0000-0000-000063130000}"/>
    <cellStyle name="Вычисление 2 3 2 9 2 4" xfId="24152" xr:uid="{1474998B-7CD3-4EB4-BB50-210785055FEB}"/>
    <cellStyle name="Вычисление 2 3 2 9 3" xfId="1865" xr:uid="{00000000-0005-0000-0000-000064130000}"/>
    <cellStyle name="Вычисление 2 3 2 9 3 2" xfId="22224" xr:uid="{00000000-0005-0000-0000-000065130000}"/>
    <cellStyle name="Вычисление 2 3 2 9 3 2 2" xfId="38834" xr:uid="{4513AD2E-569F-46B9-A785-C3DA36592163}"/>
    <cellStyle name="Вычисление 2 3 2 9 3 3" xfId="7134" xr:uid="{00000000-0005-0000-0000-000066130000}"/>
    <cellStyle name="Вычисление 2 3 2 9 3 4" xfId="24761" xr:uid="{EB2FF50D-6382-4A46-B49A-A101E9ADCE78}"/>
    <cellStyle name="Вычисление 2 3 2 9 4" xfId="2598" xr:uid="{00000000-0005-0000-0000-000067130000}"/>
    <cellStyle name="Вычисление 2 3 2 9 4 2" xfId="23109" xr:uid="{00000000-0005-0000-0000-000068130000}"/>
    <cellStyle name="Вычисление 2 3 2 9 4 3" xfId="39575" xr:uid="{6E0FEE59-74C1-410F-9E3C-923379E2A21C}"/>
    <cellStyle name="Вычисление 2 3 2 9 5" xfId="2962" xr:uid="{00000000-0005-0000-0000-000069130000}"/>
    <cellStyle name="Вычисление 2 3 2 9 5 2" xfId="23409" xr:uid="{00000000-0005-0000-0000-00006A130000}"/>
    <cellStyle name="Вычисление 2 3 2 9 5 3" xfId="39836" xr:uid="{F6890CA4-910F-4C25-9E80-66BC1702435B}"/>
    <cellStyle name="Вычисление 2 3 2 9 6" xfId="4338" xr:uid="{00000000-0005-0000-0000-00006B130000}"/>
    <cellStyle name="Вычисление 2 3 2 9 6 2" xfId="20832" xr:uid="{00000000-0005-0000-0000-00006C130000}"/>
    <cellStyle name="Вычисление 2 3 2 9 6 3" xfId="37635" xr:uid="{67668B2F-313D-4DA3-8904-7B9DFC47B4F9}"/>
    <cellStyle name="Вычисление 2 3 2 9 7" xfId="4860" xr:uid="{00000000-0005-0000-0000-00006D130000}"/>
    <cellStyle name="Вычисление 2 3 2 9 8" xfId="5341" xr:uid="{00000000-0005-0000-0000-00006E130000}"/>
    <cellStyle name="Вычисление 2 3 3" xfId="367" xr:uid="{00000000-0005-0000-0000-00006F130000}"/>
    <cellStyle name="Вычисление 2 3 3 10" xfId="991" xr:uid="{00000000-0005-0000-0000-000070130000}"/>
    <cellStyle name="Вычисление 2 3 3 10 2" xfId="1988" xr:uid="{00000000-0005-0000-0000-000071130000}"/>
    <cellStyle name="Вычисление 2 3 3 10 2 2" xfId="21856" xr:uid="{00000000-0005-0000-0000-000072130000}"/>
    <cellStyle name="Вычисление 2 3 3 10 2 2 2" xfId="38466" xr:uid="{F42B9031-46B7-4DD0-B187-4D54D70DDB48}"/>
    <cellStyle name="Вычисление 2 3 3 10 2 3" xfId="5996" xr:uid="{00000000-0005-0000-0000-000073130000}"/>
    <cellStyle name="Вычисление 2 3 3 10 2 4" xfId="23784" xr:uid="{CABCDA33-39BC-45E7-8B48-A7B0B6655717}"/>
    <cellStyle name="Вычисление 2 3 3 10 3" xfId="2776" xr:uid="{00000000-0005-0000-0000-000074130000}"/>
    <cellStyle name="Вычисление 2 3 3 10 3 2" xfId="22605" xr:uid="{00000000-0005-0000-0000-000075130000}"/>
    <cellStyle name="Вычисление 2 3 3 10 3 2 2" xfId="39081" xr:uid="{E437C7BB-013B-4BEE-9B72-C2296F2B156A}"/>
    <cellStyle name="Вычисление 2 3 3 10 3 3" xfId="6770" xr:uid="{00000000-0005-0000-0000-000076130000}"/>
    <cellStyle name="Вычисление 2 3 3 10 3 4" xfId="24397" xr:uid="{F7032D38-7446-4259-80DD-D8E01E47E5F1}"/>
    <cellStyle name="Вычисление 2 3 3 10 4" xfId="3064" xr:uid="{00000000-0005-0000-0000-000077130000}"/>
    <cellStyle name="Вычисление 2 3 3 10 4 2" xfId="23239" xr:uid="{00000000-0005-0000-0000-000078130000}"/>
    <cellStyle name="Вычисление 2 3 3 10 4 3" xfId="39666" xr:uid="{A665D39E-47D6-4244-9491-FA723A907A03}"/>
    <cellStyle name="Вычисление 2 3 3 10 5" xfId="3960" xr:uid="{00000000-0005-0000-0000-000079130000}"/>
    <cellStyle name="Вычисление 2 3 3 10 5 2" xfId="21215" xr:uid="{00000000-0005-0000-0000-00007A130000}"/>
    <cellStyle name="Вычисление 2 3 3 10 5 3" xfId="37876" xr:uid="{E1525201-61CA-474F-A0B7-993FB36539B8}"/>
    <cellStyle name="Вычисление 2 3 3 10 6" xfId="4488" xr:uid="{00000000-0005-0000-0000-00007B130000}"/>
    <cellStyle name="Вычисление 2 3 3 10 7" xfId="4977" xr:uid="{00000000-0005-0000-0000-00007C130000}"/>
    <cellStyle name="Вычисление 2 3 3 11" xfId="1773" xr:uid="{00000000-0005-0000-0000-00007D130000}"/>
    <cellStyle name="Вычисление 2 3 3 11 2" xfId="20982" xr:uid="{00000000-0005-0000-0000-00007E130000}"/>
    <cellStyle name="Вычисление 2 3 3 11 2 2" xfId="37759" xr:uid="{74511C2D-EE02-4246-8875-63452DDD0A81}"/>
    <cellStyle name="Вычисление 2 3 3 11 3" xfId="5740" xr:uid="{00000000-0005-0000-0000-00007F130000}"/>
    <cellStyle name="Вычисление 2 3 3 11 4" xfId="23664" xr:uid="{4DE00393-9995-4C60-81B4-DD40270F0863}"/>
    <cellStyle name="Вычисление 2 3 3 12" xfId="2401" xr:uid="{00000000-0005-0000-0000-000080130000}"/>
    <cellStyle name="Вычисление 2 3 3 12 2" xfId="21739" xr:uid="{00000000-0005-0000-0000-000081130000}"/>
    <cellStyle name="Вычисление 2 3 3 12 2 2" xfId="38349" xr:uid="{B3B82A94-5439-4F3B-9304-7BF918C7F461}"/>
    <cellStyle name="Вычисление 2 3 3 12 3" xfId="6657" xr:uid="{00000000-0005-0000-0000-000082130000}"/>
    <cellStyle name="Вычисление 2 3 3 12 4" xfId="24284" xr:uid="{1E2B8251-FA80-42BE-B466-246526461A64}"/>
    <cellStyle name="Вычисление 2 3 3 13" xfId="3160" xr:uid="{00000000-0005-0000-0000-000083130000}"/>
    <cellStyle name="Вычисление 2 3 3 13 2" xfId="22764" xr:uid="{00000000-0005-0000-0000-000084130000}"/>
    <cellStyle name="Вычисление 2 3 3 13 3" xfId="39233" xr:uid="{A97715F3-D0A6-4D79-BDC3-AAC5157B5CD8}"/>
    <cellStyle name="Вычисление 2 3 3 14" xfId="3576" xr:uid="{00000000-0005-0000-0000-000085130000}"/>
    <cellStyle name="Вычисление 2 3 3 14 2" xfId="23185" xr:uid="{00000000-0005-0000-0000-000086130000}"/>
    <cellStyle name="Вычисление 2 3 3 14 3" xfId="39612" xr:uid="{43FED313-9B89-4BEF-B02E-F141C043EAFC}"/>
    <cellStyle name="Вычисление 2 3 3 15" xfId="3349" xr:uid="{00000000-0005-0000-0000-000087130000}"/>
    <cellStyle name="Вычисление 2 3 3 15 2" xfId="14037" xr:uid="{00000000-0005-0000-0000-000088130000}"/>
    <cellStyle name="Вычисление 2 3 3 15 3" xfId="31076" xr:uid="{D5703E23-A511-44E8-8B19-8567B7583463}"/>
    <cellStyle name="Вычисление 2 3 3 16" xfId="3146" xr:uid="{00000000-0005-0000-0000-000089130000}"/>
    <cellStyle name="Вычисление 2 3 3 2" xfId="472" xr:uid="{00000000-0005-0000-0000-00008A130000}"/>
    <cellStyle name="Вычисление 2 3 3 2 2" xfId="1304" xr:uid="{00000000-0005-0000-0000-00008B130000}"/>
    <cellStyle name="Вычисление 2 3 3 2 2 2" xfId="21297" xr:uid="{00000000-0005-0000-0000-00008C130000}"/>
    <cellStyle name="Вычисление 2 3 3 2 2 2 2" xfId="37939" xr:uid="{96A49CA6-3989-49B4-B783-FF1A4CC8B2A3}"/>
    <cellStyle name="Вычисление 2 3 3 2 2 3" xfId="6060" xr:uid="{00000000-0005-0000-0000-00008D130000}"/>
    <cellStyle name="Вычисление 2 3 3 2 2 4" xfId="23847" xr:uid="{4F3CCB68-AFCD-44CF-B1A2-CCA0596E6017}"/>
    <cellStyle name="Вычисление 2 3 3 2 3" xfId="1924" xr:uid="{00000000-0005-0000-0000-00008E130000}"/>
    <cellStyle name="Вычисление 2 3 3 2 3 2" xfId="21919" xr:uid="{00000000-0005-0000-0000-00008F130000}"/>
    <cellStyle name="Вычисление 2 3 3 2 3 2 2" xfId="38529" xr:uid="{5B4CCE93-DE08-41FC-AD8B-62A4415BE7B3}"/>
    <cellStyle name="Вычисление 2 3 3 2 3 3" xfId="6829" xr:uid="{00000000-0005-0000-0000-000090130000}"/>
    <cellStyle name="Вычисление 2 3 3 2 3 4" xfId="24456" xr:uid="{06B8F2AD-4BC1-408C-986C-2811ECC2D30C}"/>
    <cellStyle name="Вычисление 2 3 3 2 4" xfId="2729" xr:uid="{00000000-0005-0000-0000-000091130000}"/>
    <cellStyle name="Вычисление 2 3 3 2 4 2" xfId="22995" xr:uid="{00000000-0005-0000-0000-000092130000}"/>
    <cellStyle name="Вычисление 2 3 3 2 4 3" xfId="39461" xr:uid="{0DEF5EF6-0D91-4913-A82D-FB4D033BFC4B}"/>
    <cellStyle name="Вычисление 2 3 3 2 5" xfId="3629" xr:uid="{00000000-0005-0000-0000-000093130000}"/>
    <cellStyle name="Вычисление 2 3 3 2 5 2" xfId="23269" xr:uid="{00000000-0005-0000-0000-000094130000}"/>
    <cellStyle name="Вычисление 2 3 3 2 5 3" xfId="39696" xr:uid="{21E34F24-AF43-4D63-9053-B41B6633997F}"/>
    <cellStyle name="Вычисление 2 3 3 2 6" xfId="4032" xr:uid="{00000000-0005-0000-0000-000095130000}"/>
    <cellStyle name="Вычисление 2 3 3 2 6 2" xfId="20456" xr:uid="{00000000-0005-0000-0000-000096130000}"/>
    <cellStyle name="Вычисление 2 3 3 2 6 3" xfId="37348" xr:uid="{591BA03F-2F61-4313-94C3-1914013FEDF1}"/>
    <cellStyle name="Вычисление 2 3 3 2 7" xfId="4554" xr:uid="{00000000-0005-0000-0000-000097130000}"/>
    <cellStyle name="Вычисление 2 3 3 2 8" xfId="5036" xr:uid="{00000000-0005-0000-0000-000098130000}"/>
    <cellStyle name="Вычисление 2 3 3 3" xfId="517" xr:uid="{00000000-0005-0000-0000-000099130000}"/>
    <cellStyle name="Вычисление 2 3 3 3 2" xfId="1349" xr:uid="{00000000-0005-0000-0000-00009A130000}"/>
    <cellStyle name="Вычисление 2 3 3 3 2 2" xfId="21342" xr:uid="{00000000-0005-0000-0000-00009B130000}"/>
    <cellStyle name="Вычисление 2 3 3 3 2 2 2" xfId="37984" xr:uid="{0427ED2C-3DA3-4AF6-9E12-942C9492A0B1}"/>
    <cellStyle name="Вычисление 2 3 3 3 2 3" xfId="6105" xr:uid="{00000000-0005-0000-0000-00009C130000}"/>
    <cellStyle name="Вычисление 2 3 3 3 2 4" xfId="23892" xr:uid="{FE38B96C-DEB5-4EB6-807D-5C830C68D046}"/>
    <cellStyle name="Вычисление 2 3 3 3 3" xfId="2134" xr:uid="{00000000-0005-0000-0000-00009D130000}"/>
    <cellStyle name="Вычисление 2 3 3 3 3 2" xfId="21964" xr:uid="{00000000-0005-0000-0000-00009E130000}"/>
    <cellStyle name="Вычисление 2 3 3 3 3 2 2" xfId="38574" xr:uid="{255C2917-BA7A-4008-91C1-4B16869FC02A}"/>
    <cellStyle name="Вычисление 2 3 3 3 3 3" xfId="6874" xr:uid="{00000000-0005-0000-0000-00009F130000}"/>
    <cellStyle name="Вычисление 2 3 3 3 3 4" xfId="24501" xr:uid="{F9ADDE45-7A1C-4272-8BC5-D1F328DBCB8C}"/>
    <cellStyle name="Вычисление 2 3 3 3 4" xfId="2555" xr:uid="{00000000-0005-0000-0000-0000A0130000}"/>
    <cellStyle name="Вычисление 2 3 3 3 4 2" xfId="22970" xr:uid="{00000000-0005-0000-0000-0000A1130000}"/>
    <cellStyle name="Вычисление 2 3 3 3 4 3" xfId="39436" xr:uid="{A9E011DE-F959-47BB-88EB-F069AEDAFF75}"/>
    <cellStyle name="Вычисление 2 3 3 3 5" xfId="3157" xr:uid="{00000000-0005-0000-0000-0000A2130000}"/>
    <cellStyle name="Вычисление 2 3 3 3 5 2" xfId="23291" xr:uid="{00000000-0005-0000-0000-0000A3130000}"/>
    <cellStyle name="Вычисление 2 3 3 3 5 3" xfId="39718" xr:uid="{90FBFE6B-D1F1-4C20-9452-E3C9E6CBCCC8}"/>
    <cellStyle name="Вычисление 2 3 3 3 6" xfId="4077" xr:uid="{00000000-0005-0000-0000-0000A4130000}"/>
    <cellStyle name="Вычисление 2 3 3 3 6 2" xfId="20503" xr:uid="{00000000-0005-0000-0000-0000A5130000}"/>
    <cellStyle name="Вычисление 2 3 3 3 6 3" xfId="37395" xr:uid="{246101AC-9A9E-487D-AA37-37CA655EF467}"/>
    <cellStyle name="Вычисление 2 3 3 3 7" xfId="4599" xr:uid="{00000000-0005-0000-0000-0000A6130000}"/>
    <cellStyle name="Вычисление 2 3 3 3 8" xfId="5081" xr:uid="{00000000-0005-0000-0000-0000A7130000}"/>
    <cellStyle name="Вычисление 2 3 3 4" xfId="569" xr:uid="{00000000-0005-0000-0000-0000A8130000}"/>
    <cellStyle name="Вычисление 2 3 3 4 2" xfId="1401" xr:uid="{00000000-0005-0000-0000-0000A9130000}"/>
    <cellStyle name="Вычисление 2 3 3 4 2 2" xfId="21394" xr:uid="{00000000-0005-0000-0000-0000AA130000}"/>
    <cellStyle name="Вычисление 2 3 3 4 2 2 2" xfId="38036" xr:uid="{24B916B9-5CC9-4C84-9A17-731CF2F1D8A6}"/>
    <cellStyle name="Вычисление 2 3 3 4 2 3" xfId="6157" xr:uid="{00000000-0005-0000-0000-0000AB130000}"/>
    <cellStyle name="Вычисление 2 3 3 4 2 4" xfId="23944" xr:uid="{8C75FE22-2EA8-400F-89E1-14E65E7BF271}"/>
    <cellStyle name="Вычисление 2 3 3 4 3" xfId="2144" xr:uid="{00000000-0005-0000-0000-0000AC130000}"/>
    <cellStyle name="Вычисление 2 3 3 4 3 2" xfId="22016" xr:uid="{00000000-0005-0000-0000-0000AD130000}"/>
    <cellStyle name="Вычисление 2 3 3 4 3 2 2" xfId="38626" xr:uid="{D44324C6-C2BB-4C1F-A62B-3FC58C1B8C1A}"/>
    <cellStyle name="Вычисление 2 3 3 4 3 3" xfId="6926" xr:uid="{00000000-0005-0000-0000-0000AE130000}"/>
    <cellStyle name="Вычисление 2 3 3 4 3 4" xfId="24553" xr:uid="{F0BE7BDE-E24E-4E82-ABA6-6A062BB4171D}"/>
    <cellStyle name="Вычисление 2 3 3 4 4" xfId="2906" xr:uid="{00000000-0005-0000-0000-0000AF130000}"/>
    <cellStyle name="Вычисление 2 3 3 4 4 2" xfId="22715" xr:uid="{00000000-0005-0000-0000-0000B0130000}"/>
    <cellStyle name="Вычисление 2 3 3 4 4 3" xfId="39184" xr:uid="{998080C4-E283-4D98-A5CB-0C214462DD1A}"/>
    <cellStyle name="Вычисление 2 3 3 4 5" xfId="3673" xr:uid="{00000000-0005-0000-0000-0000B1130000}"/>
    <cellStyle name="Вычисление 2 3 3 4 5 2" xfId="23315" xr:uid="{00000000-0005-0000-0000-0000B2130000}"/>
    <cellStyle name="Вычисление 2 3 3 4 5 3" xfId="39742" xr:uid="{EFCF458E-0500-4121-B5DD-7936B1987B2C}"/>
    <cellStyle name="Вычисление 2 3 3 4 6" xfId="4129" xr:uid="{00000000-0005-0000-0000-0000B3130000}"/>
    <cellStyle name="Вычисление 2 3 3 4 6 2" xfId="20619" xr:uid="{00000000-0005-0000-0000-0000B4130000}"/>
    <cellStyle name="Вычисление 2 3 3 4 6 3" xfId="37461" xr:uid="{A3D6B396-084D-4B77-B088-BBB08D5BBA65}"/>
    <cellStyle name="Вычисление 2 3 3 4 7" xfId="4651" xr:uid="{00000000-0005-0000-0000-0000B5130000}"/>
    <cellStyle name="Вычисление 2 3 3 4 8" xfId="5133" xr:uid="{00000000-0005-0000-0000-0000B6130000}"/>
    <cellStyle name="Вычисление 2 3 3 5" xfId="621" xr:uid="{00000000-0005-0000-0000-0000B7130000}"/>
    <cellStyle name="Вычисление 2 3 3 5 2" xfId="1453" xr:uid="{00000000-0005-0000-0000-0000B8130000}"/>
    <cellStyle name="Вычисление 2 3 3 5 2 2" xfId="21446" xr:uid="{00000000-0005-0000-0000-0000B9130000}"/>
    <cellStyle name="Вычисление 2 3 3 5 2 2 2" xfId="38088" xr:uid="{8775ED09-B0AC-4E2E-844E-B89E6810211F}"/>
    <cellStyle name="Вычисление 2 3 3 5 2 3" xfId="6209" xr:uid="{00000000-0005-0000-0000-0000BA130000}"/>
    <cellStyle name="Вычисление 2 3 3 5 2 4" xfId="23996" xr:uid="{8DEFE053-7913-4C1C-825F-9996D94238B4}"/>
    <cellStyle name="Вычисление 2 3 3 5 3" xfId="2246" xr:uid="{00000000-0005-0000-0000-0000BB130000}"/>
    <cellStyle name="Вычисление 2 3 3 5 3 2" xfId="22068" xr:uid="{00000000-0005-0000-0000-0000BC130000}"/>
    <cellStyle name="Вычисление 2 3 3 5 3 2 2" xfId="38678" xr:uid="{6A193828-5AB3-4D02-98D8-FEDB2672EB0F}"/>
    <cellStyle name="Вычисление 2 3 3 5 3 3" xfId="6978" xr:uid="{00000000-0005-0000-0000-0000BD130000}"/>
    <cellStyle name="Вычисление 2 3 3 5 3 4" xfId="24605" xr:uid="{C44E73A1-8C35-49DE-9066-825E2BA775E0}"/>
    <cellStyle name="Вычисление 2 3 3 5 4" xfId="2721" xr:uid="{00000000-0005-0000-0000-0000BE130000}"/>
    <cellStyle name="Вычисление 2 3 3 5 4 2" xfId="22937" xr:uid="{00000000-0005-0000-0000-0000BF130000}"/>
    <cellStyle name="Вычисление 2 3 3 5 4 3" xfId="39403" xr:uid="{40B98C5C-AC6E-46A1-BEFA-B640E1F73656}"/>
    <cellStyle name="Вычисление 2 3 3 5 5" xfId="3597" xr:uid="{00000000-0005-0000-0000-0000C0130000}"/>
    <cellStyle name="Вычисление 2 3 3 5 5 2" xfId="23339" xr:uid="{00000000-0005-0000-0000-0000C1130000}"/>
    <cellStyle name="Вычисление 2 3 3 5 5 3" xfId="39766" xr:uid="{628587D8-14FB-4046-8340-897F8DE13DDE}"/>
    <cellStyle name="Вычисление 2 3 3 5 6" xfId="4181" xr:uid="{00000000-0005-0000-0000-0000C2130000}"/>
    <cellStyle name="Вычисление 2 3 3 5 6 2" xfId="20657" xr:uid="{00000000-0005-0000-0000-0000C3130000}"/>
    <cellStyle name="Вычисление 2 3 3 5 6 3" xfId="37499" xr:uid="{AFCA113D-929C-482E-B2BB-FC02F05CB791}"/>
    <cellStyle name="Вычисление 2 3 3 5 7" xfId="4703" xr:uid="{00000000-0005-0000-0000-0000C4130000}"/>
    <cellStyle name="Вычисление 2 3 3 5 8" xfId="5185" xr:uid="{00000000-0005-0000-0000-0000C5130000}"/>
    <cellStyle name="Вычисление 2 3 3 6" xfId="724" xr:uid="{00000000-0005-0000-0000-0000C6130000}"/>
    <cellStyle name="Вычисление 2 3 3 6 2" xfId="1554" xr:uid="{00000000-0005-0000-0000-0000C7130000}"/>
    <cellStyle name="Вычисление 2 3 3 6 2 2" xfId="21547" xr:uid="{00000000-0005-0000-0000-0000C8130000}"/>
    <cellStyle name="Вычисление 2 3 3 6 2 2 2" xfId="38189" xr:uid="{4D7985D5-3AF2-4A87-9538-AF353C11B9AF}"/>
    <cellStyle name="Вычисление 2 3 3 6 2 3" xfId="6310" xr:uid="{00000000-0005-0000-0000-0000C9130000}"/>
    <cellStyle name="Вычисление 2 3 3 6 2 4" xfId="24097" xr:uid="{2FC1BD59-08BF-4284-B864-B566FF98E597}"/>
    <cellStyle name="Вычисление 2 3 3 6 3" xfId="2009" xr:uid="{00000000-0005-0000-0000-0000CA130000}"/>
    <cellStyle name="Вычисление 2 3 3 6 3 2" xfId="22169" xr:uid="{00000000-0005-0000-0000-0000CB130000}"/>
    <cellStyle name="Вычисление 2 3 3 6 3 2 2" xfId="38779" xr:uid="{33DC7038-DD80-4B2F-A55D-3756ED2D3AA8}"/>
    <cellStyle name="Вычисление 2 3 3 6 3 3" xfId="7079" xr:uid="{00000000-0005-0000-0000-0000CC130000}"/>
    <cellStyle name="Вычисление 2 3 3 6 3 4" xfId="24706" xr:uid="{357FD83A-0DEC-4AA9-BCB0-9BC0C8F28481}"/>
    <cellStyle name="Вычисление 2 3 3 6 4" xfId="2945" xr:uid="{00000000-0005-0000-0000-0000CD130000}"/>
    <cellStyle name="Вычисление 2 3 3 6 4 2" xfId="22490" xr:uid="{00000000-0005-0000-0000-0000CE130000}"/>
    <cellStyle name="Вычисление 2 3 3 6 4 3" xfId="38982" xr:uid="{134D71A5-D9A4-443E-B076-B562490B849F}"/>
    <cellStyle name="Вычисление 2 3 3 6 5" xfId="2972" xr:uid="{00000000-0005-0000-0000-0000CF130000}"/>
    <cellStyle name="Вычисление 2 3 3 6 5 2" xfId="23381" xr:uid="{00000000-0005-0000-0000-0000D0130000}"/>
    <cellStyle name="Вычисление 2 3 3 6 5 3" xfId="39808" xr:uid="{F6CD355C-A5CB-44CE-AEA9-020A39C02BF1}"/>
    <cellStyle name="Вычисление 2 3 3 6 6" xfId="4283" xr:uid="{00000000-0005-0000-0000-0000D1130000}"/>
    <cellStyle name="Вычисление 2 3 3 6 6 2" xfId="20722" xr:uid="{00000000-0005-0000-0000-0000D2130000}"/>
    <cellStyle name="Вычисление 2 3 3 6 6 3" xfId="37551" xr:uid="{D20B3352-CB2F-49C2-A6B8-6C31D8428DAD}"/>
    <cellStyle name="Вычисление 2 3 3 6 7" xfId="4805" xr:uid="{00000000-0005-0000-0000-0000D3130000}"/>
    <cellStyle name="Вычисление 2 3 3 6 8" xfId="5286" xr:uid="{00000000-0005-0000-0000-0000D4130000}"/>
    <cellStyle name="Вычисление 2 3 3 7" xfId="768" xr:uid="{00000000-0005-0000-0000-0000D5130000}"/>
    <cellStyle name="Вычисление 2 3 3 7 2" xfId="1597" xr:uid="{00000000-0005-0000-0000-0000D6130000}"/>
    <cellStyle name="Вычисление 2 3 3 7 2 2" xfId="21590" xr:uid="{00000000-0005-0000-0000-0000D7130000}"/>
    <cellStyle name="Вычисление 2 3 3 7 2 2 2" xfId="38232" xr:uid="{29A00EF9-F6E6-4D5B-895C-CC3821C0D476}"/>
    <cellStyle name="Вычисление 2 3 3 7 2 3" xfId="6353" xr:uid="{00000000-0005-0000-0000-0000D8130000}"/>
    <cellStyle name="Вычисление 2 3 3 7 2 4" xfId="24140" xr:uid="{133182AF-774B-4413-ABCF-E02F67AAC911}"/>
    <cellStyle name="Вычисление 2 3 3 7 3" xfId="1741" xr:uid="{00000000-0005-0000-0000-0000D9130000}"/>
    <cellStyle name="Вычисление 2 3 3 7 3 2" xfId="22212" xr:uid="{00000000-0005-0000-0000-0000DA130000}"/>
    <cellStyle name="Вычисление 2 3 3 7 3 2 2" xfId="38822" xr:uid="{79149F55-D372-4EBC-9716-CF9FC7A8A691}"/>
    <cellStyle name="Вычисление 2 3 3 7 3 3" xfId="7122" xr:uid="{00000000-0005-0000-0000-0000DB130000}"/>
    <cellStyle name="Вычисление 2 3 3 7 3 4" xfId="24749" xr:uid="{B016AC02-8190-4DCB-9BD7-2A4EFBC42D01}"/>
    <cellStyle name="Вычисление 2 3 3 7 4" xfId="2651" xr:uid="{00000000-0005-0000-0000-0000DC130000}"/>
    <cellStyle name="Вычисление 2 3 3 7 4 2" xfId="22688" xr:uid="{00000000-0005-0000-0000-0000DD130000}"/>
    <cellStyle name="Вычисление 2 3 3 7 4 3" xfId="39160" xr:uid="{7CC60095-32A3-4E45-8F7C-F4A981AFD2EC}"/>
    <cellStyle name="Вычисление 2 3 3 7 5" xfId="3385" xr:uid="{00000000-0005-0000-0000-0000DE130000}"/>
    <cellStyle name="Вычисление 2 3 3 7 5 2" xfId="23403" xr:uid="{00000000-0005-0000-0000-0000DF130000}"/>
    <cellStyle name="Вычисление 2 3 3 7 5 3" xfId="39830" xr:uid="{29160833-CF9C-4412-AD16-AADF9A56A5A2}"/>
    <cellStyle name="Вычисление 2 3 3 7 6" xfId="4326" xr:uid="{00000000-0005-0000-0000-0000E0130000}"/>
    <cellStyle name="Вычисление 2 3 3 7 6 2" xfId="20787" xr:uid="{00000000-0005-0000-0000-0000E1130000}"/>
    <cellStyle name="Вычисление 2 3 3 7 6 3" xfId="37603" xr:uid="{89C87223-7055-46F7-84D9-9F4F5B58985F}"/>
    <cellStyle name="Вычисление 2 3 3 7 7" xfId="4848" xr:uid="{00000000-0005-0000-0000-0000E2130000}"/>
    <cellStyle name="Вычисление 2 3 3 7 8" xfId="5329" xr:uid="{00000000-0005-0000-0000-0000E3130000}"/>
    <cellStyle name="Вычисление 2 3 3 8" xfId="800" xr:uid="{00000000-0005-0000-0000-0000E4130000}"/>
    <cellStyle name="Вычисление 2 3 3 8 2" xfId="1629" xr:uid="{00000000-0005-0000-0000-0000E5130000}"/>
    <cellStyle name="Вычисление 2 3 3 8 2 2" xfId="21622" xr:uid="{00000000-0005-0000-0000-0000E6130000}"/>
    <cellStyle name="Вычисление 2 3 3 8 2 2 2" xfId="38264" xr:uid="{C4FA806D-617E-4939-BC81-8D9E3644C1C4}"/>
    <cellStyle name="Вычисление 2 3 3 8 2 3" xfId="6385" xr:uid="{00000000-0005-0000-0000-0000E7130000}"/>
    <cellStyle name="Вычисление 2 3 3 8 2 4" xfId="24172" xr:uid="{5D6F02C6-8EDB-4807-9426-E4893E395F73}"/>
    <cellStyle name="Вычисление 2 3 3 8 3" xfId="1737" xr:uid="{00000000-0005-0000-0000-0000E8130000}"/>
    <cellStyle name="Вычисление 2 3 3 8 3 2" xfId="22244" xr:uid="{00000000-0005-0000-0000-0000E9130000}"/>
    <cellStyle name="Вычисление 2 3 3 8 3 2 2" xfId="38854" xr:uid="{3D6E716A-9C65-4099-8C6E-ADF154F71833}"/>
    <cellStyle name="Вычисление 2 3 3 8 3 3" xfId="7154" xr:uid="{00000000-0005-0000-0000-0000EA130000}"/>
    <cellStyle name="Вычисление 2 3 3 8 3 4" xfId="24781" xr:uid="{DB34D41C-7974-40F3-A281-8DB121347386}"/>
    <cellStyle name="Вычисление 2 3 3 8 4" xfId="2375" xr:uid="{00000000-0005-0000-0000-0000EB130000}"/>
    <cellStyle name="Вычисление 2 3 3 8 4 2" xfId="22684" xr:uid="{00000000-0005-0000-0000-0000EC130000}"/>
    <cellStyle name="Вычисление 2 3 3 8 4 3" xfId="39156" xr:uid="{9F184245-543D-4795-9269-6EF500D380BF}"/>
    <cellStyle name="Вычисление 2 3 3 8 5" xfId="3839" xr:uid="{00000000-0005-0000-0000-0000ED130000}"/>
    <cellStyle name="Вычисление 2 3 3 8 5 2" xfId="23419" xr:uid="{00000000-0005-0000-0000-0000EE130000}"/>
    <cellStyle name="Вычисление 2 3 3 8 5 3" xfId="39846" xr:uid="{CF4F45FA-3FD3-491B-98A5-A1E74A72B7BD}"/>
    <cellStyle name="Вычисление 2 3 3 8 6" xfId="4358" xr:uid="{00000000-0005-0000-0000-0000EF130000}"/>
    <cellStyle name="Вычисление 2 3 3 8 6 2" xfId="20852" xr:uid="{00000000-0005-0000-0000-0000F0130000}"/>
    <cellStyle name="Вычисление 2 3 3 8 6 3" xfId="37655" xr:uid="{B09AF1F8-2400-4613-B77F-9FFE9B1B4C9D}"/>
    <cellStyle name="Вычисление 2 3 3 8 7" xfId="4880" xr:uid="{00000000-0005-0000-0000-0000F1130000}"/>
    <cellStyle name="Вычисление 2 3 3 8 8" xfId="5361" xr:uid="{00000000-0005-0000-0000-0000F2130000}"/>
    <cellStyle name="Вычисление 2 3 3 9" xfId="832" xr:uid="{00000000-0005-0000-0000-0000F3130000}"/>
    <cellStyle name="Вычисление 2 3 3 9 2" xfId="1661" xr:uid="{00000000-0005-0000-0000-0000F4130000}"/>
    <cellStyle name="Вычисление 2 3 3 9 2 2" xfId="21654" xr:uid="{00000000-0005-0000-0000-0000F5130000}"/>
    <cellStyle name="Вычисление 2 3 3 9 2 2 2" xfId="38296" xr:uid="{724A4113-ED99-4188-939F-B9C806C59453}"/>
    <cellStyle name="Вычисление 2 3 3 9 2 3" xfId="6417" xr:uid="{00000000-0005-0000-0000-0000F6130000}"/>
    <cellStyle name="Вычисление 2 3 3 9 2 4" xfId="24204" xr:uid="{817AD210-832D-4B7F-B5D4-4715AA479AB3}"/>
    <cellStyle name="Вычисление 2 3 3 9 3" xfId="1733" xr:uid="{00000000-0005-0000-0000-0000F7130000}"/>
    <cellStyle name="Вычисление 2 3 3 9 3 2" xfId="22276" xr:uid="{00000000-0005-0000-0000-0000F8130000}"/>
    <cellStyle name="Вычисление 2 3 3 9 3 2 2" xfId="38886" xr:uid="{2DF59067-0516-4AE2-8B9F-2DA3E4FAC3B3}"/>
    <cellStyle name="Вычисление 2 3 3 9 3 3" xfId="7186" xr:uid="{00000000-0005-0000-0000-0000F9130000}"/>
    <cellStyle name="Вычисление 2 3 3 9 3 4" xfId="24813" xr:uid="{48A51AC4-DC1F-49B8-ABCD-8A18B301F964}"/>
    <cellStyle name="Вычисление 2 3 3 9 4" xfId="2504" xr:uid="{00000000-0005-0000-0000-0000FA130000}"/>
    <cellStyle name="Вычисление 2 3 3 9 4 2" xfId="22680" xr:uid="{00000000-0005-0000-0000-0000FB130000}"/>
    <cellStyle name="Вычисление 2 3 3 9 4 3" xfId="39152" xr:uid="{30DCB2BC-97CB-45C4-A545-FEB0FD549226}"/>
    <cellStyle name="Вычисление 2 3 3 9 5" xfId="3134" xr:uid="{00000000-0005-0000-0000-0000FC130000}"/>
    <cellStyle name="Вычисление 2 3 3 9 5 2" xfId="23435" xr:uid="{00000000-0005-0000-0000-0000FD130000}"/>
    <cellStyle name="Вычисление 2 3 3 9 5 3" xfId="39862" xr:uid="{1567FDC6-4C46-4D86-9E1D-3B9597D12B4B}"/>
    <cellStyle name="Вычисление 2 3 3 9 6" xfId="4390" xr:uid="{00000000-0005-0000-0000-0000FE130000}"/>
    <cellStyle name="Вычисление 2 3 3 9 6 2" xfId="20917" xr:uid="{00000000-0005-0000-0000-0000FF130000}"/>
    <cellStyle name="Вычисление 2 3 3 9 6 3" xfId="37707" xr:uid="{B1D355AF-4B86-4ADE-BFAA-9FA3AEE3D30B}"/>
    <cellStyle name="Вычисление 2 3 3 9 7" xfId="4912" xr:uid="{00000000-0005-0000-0000-000000140000}"/>
    <cellStyle name="Вычисление 2 3 3 9 8" xfId="5393" xr:uid="{00000000-0005-0000-0000-000001140000}"/>
    <cellStyle name="Вычисление 2 3 4" xfId="882" xr:uid="{00000000-0005-0000-0000-000002140000}"/>
    <cellStyle name="Вычисление 2 3 4 2" xfId="2196" xr:uid="{00000000-0005-0000-0000-000003140000}"/>
    <cellStyle name="Вычисление 2 3 4 2 2" xfId="21768" xr:uid="{00000000-0005-0000-0000-000004140000}"/>
    <cellStyle name="Вычисление 2 3 4 2 2 2" xfId="38378" xr:uid="{E5BDC1A9-66A2-4086-BF96-73544A53F9E1}"/>
    <cellStyle name="Вычисление 2 3 4 2 3" xfId="5825" xr:uid="{00000000-0005-0000-0000-000005140000}"/>
    <cellStyle name="Вычисление 2 3 4 2 4" xfId="23696" xr:uid="{53BFDE5F-8676-4114-A8EE-B6B4F7E74578}"/>
    <cellStyle name="Вычисление 2 3 4 3" xfId="2666" xr:uid="{00000000-0005-0000-0000-000006140000}"/>
    <cellStyle name="Вычисление 2 3 4 3 2" xfId="22971" xr:uid="{00000000-0005-0000-0000-000007140000}"/>
    <cellStyle name="Вычисление 2 3 4 3 2 2" xfId="39437" xr:uid="{1F1C5C80-2D59-4CB1-B6E4-314D0D6A5B0B}"/>
    <cellStyle name="Вычисление 2 3 4 3 3" xfId="6684" xr:uid="{00000000-0005-0000-0000-000008140000}"/>
    <cellStyle name="Вычисление 2 3 4 3 4" xfId="24311" xr:uid="{24463D7A-39F6-457D-A31B-AD509E164714}"/>
    <cellStyle name="Вычисление 2 3 4 4" xfId="3661" xr:uid="{00000000-0005-0000-0000-000009140000}"/>
    <cellStyle name="Вычисление 2 3 4 4 2" xfId="23199" xr:uid="{00000000-0005-0000-0000-00000A140000}"/>
    <cellStyle name="Вычисление 2 3 4 4 3" xfId="39626" xr:uid="{892B268D-D9A8-41C7-9392-E00661E8639A}"/>
    <cellStyle name="Вычисление 2 3 4 5" xfId="3522" xr:uid="{00000000-0005-0000-0000-00000B140000}"/>
    <cellStyle name="Вычисление 2 3 4 5 2" xfId="21049" xr:uid="{00000000-0005-0000-0000-00000C140000}"/>
    <cellStyle name="Вычисление 2 3 4 5 3" xfId="37788" xr:uid="{3C1FABC0-7E54-4488-8C34-C17FB78FB50A}"/>
    <cellStyle name="Вычисление 2 3 4 6" xfId="3210" xr:uid="{00000000-0005-0000-0000-00000D140000}"/>
    <cellStyle name="Вычисление 2 3 4 7" xfId="3191" xr:uid="{00000000-0005-0000-0000-00000E140000}"/>
    <cellStyle name="Вычисление 2 3 5" xfId="2105" xr:uid="{00000000-0005-0000-0000-00000F140000}"/>
    <cellStyle name="Вычисление 2 3 5 2" xfId="23070" xr:uid="{00000000-0005-0000-0000-000010140000}"/>
    <cellStyle name="Вычисление 2 3 5 2 2" xfId="39536" xr:uid="{8169CB17-9114-4DD1-9CAC-909D3EFABF96}"/>
    <cellStyle name="Вычисление 2 3 5 3" xfId="5602" xr:uid="{00000000-0005-0000-0000-000011140000}"/>
    <cellStyle name="Вычисление 2 3 5 4" xfId="23610" xr:uid="{5ABB1A1E-2A13-45E2-8AB0-A88474F3C8C7}"/>
    <cellStyle name="Вычисление 2 3 6" xfId="2860" xr:uid="{00000000-0005-0000-0000-000012140000}"/>
    <cellStyle name="Вычисление 2 3 6 2" xfId="6604" xr:uid="{00000000-0005-0000-0000-000013140000}"/>
    <cellStyle name="Вычисление 2 3 6 3" xfId="24231" xr:uid="{A33586FC-7658-4BAD-8913-DB47FB8E931F}"/>
    <cellStyle name="Вычисление 2 3 7" xfId="3816" xr:uid="{00000000-0005-0000-0000-000014140000}"/>
    <cellStyle name="Вычисление 2 3 7 2" xfId="7397" xr:uid="{00000000-0005-0000-0000-000015140000}"/>
    <cellStyle name="Вычисление 2 3 7 3" xfId="24857" xr:uid="{355C9D8C-D529-46E2-8DAE-3B2096AFEC8A}"/>
    <cellStyle name="Вычисление 2 3 8" xfId="3725" xr:uid="{00000000-0005-0000-0000-000016140000}"/>
    <cellStyle name="Вычисление 2 3 9" xfId="3048" xr:uid="{00000000-0005-0000-0000-000017140000}"/>
    <cellStyle name="Вычисление 2 4" xfId="192" xr:uid="{00000000-0005-0000-0000-000018140000}"/>
    <cellStyle name="Вычисление 2 4 10" xfId="3853" xr:uid="{00000000-0005-0000-0000-000019140000}"/>
    <cellStyle name="Вычисление 2 4 2" xfId="234" xr:uid="{00000000-0005-0000-0000-00001A140000}"/>
    <cellStyle name="Вычисление 2 4 2 10" xfId="817" xr:uid="{00000000-0005-0000-0000-00001B140000}"/>
    <cellStyle name="Вычисление 2 4 2 10 2" xfId="1646" xr:uid="{00000000-0005-0000-0000-00001C140000}"/>
    <cellStyle name="Вычисление 2 4 2 10 2 2" xfId="21639" xr:uid="{00000000-0005-0000-0000-00001D140000}"/>
    <cellStyle name="Вычисление 2 4 2 10 2 2 2" xfId="38281" xr:uid="{9CCCA623-33AA-419E-9D08-19F11B4B5959}"/>
    <cellStyle name="Вычисление 2 4 2 10 2 3" xfId="6402" xr:uid="{00000000-0005-0000-0000-00001E140000}"/>
    <cellStyle name="Вычисление 2 4 2 10 2 4" xfId="24189" xr:uid="{36354858-3DF4-4E38-AF1C-4D518B697CAD}"/>
    <cellStyle name="Вычисление 2 4 2 10 3" xfId="1694" xr:uid="{00000000-0005-0000-0000-00001F140000}"/>
    <cellStyle name="Вычисление 2 4 2 10 3 2" xfId="22261" xr:uid="{00000000-0005-0000-0000-000020140000}"/>
    <cellStyle name="Вычисление 2 4 2 10 3 2 2" xfId="38871" xr:uid="{0BAEF54E-BCA5-4D94-B6C3-63D431154CCB}"/>
    <cellStyle name="Вычисление 2 4 2 10 3 3" xfId="7171" xr:uid="{00000000-0005-0000-0000-000021140000}"/>
    <cellStyle name="Вычисление 2 4 2 10 3 4" xfId="24798" xr:uid="{44A8E300-6B11-488D-9B4B-06D78155B206}"/>
    <cellStyle name="Вычисление 2 4 2 10 4" xfId="2445" xr:uid="{00000000-0005-0000-0000-000022140000}"/>
    <cellStyle name="Вычисление 2 4 2 10 4 2" xfId="22750" xr:uid="{00000000-0005-0000-0000-000023140000}"/>
    <cellStyle name="Вычисление 2 4 2 10 4 3" xfId="39219" xr:uid="{6939F4F5-C334-4980-B7AE-EF09DDA23621}"/>
    <cellStyle name="Вычисление 2 4 2 10 5" xfId="3869" xr:uid="{00000000-0005-0000-0000-000024140000}"/>
    <cellStyle name="Вычисление 2 4 2 10 5 2" xfId="23427" xr:uid="{00000000-0005-0000-0000-000025140000}"/>
    <cellStyle name="Вычисление 2 4 2 10 5 3" xfId="39854" xr:uid="{C7F22967-2083-4DD2-AD8F-AEA2CDC233F5}"/>
    <cellStyle name="Вычисление 2 4 2 10 6" xfId="4375" xr:uid="{00000000-0005-0000-0000-000026140000}"/>
    <cellStyle name="Вычисление 2 4 2 10 6 2" xfId="20902" xr:uid="{00000000-0005-0000-0000-000027140000}"/>
    <cellStyle name="Вычисление 2 4 2 10 6 3" xfId="37692" xr:uid="{3625EFA4-0344-4A34-82A4-0E6A8021C075}"/>
    <cellStyle name="Вычисление 2 4 2 10 7" xfId="4897" xr:uid="{00000000-0005-0000-0000-000028140000}"/>
    <cellStyle name="Вычисление 2 4 2 10 8" xfId="5378" xr:uid="{00000000-0005-0000-0000-000029140000}"/>
    <cellStyle name="Вычисление 2 4 2 11" xfId="955" xr:uid="{00000000-0005-0000-0000-00002A140000}"/>
    <cellStyle name="Вычисление 2 4 2 11 2" xfId="1915" xr:uid="{00000000-0005-0000-0000-00002B140000}"/>
    <cellStyle name="Вычисление 2 4 2 11 2 2" xfId="21801" xr:uid="{00000000-0005-0000-0000-00002C140000}"/>
    <cellStyle name="Вычисление 2 4 2 11 2 2 2" xfId="38411" xr:uid="{E49863C5-AA15-435A-8769-213087A2CB39}"/>
    <cellStyle name="Вычисление 2 4 2 11 2 3" xfId="5873" xr:uid="{00000000-0005-0000-0000-00002D140000}"/>
    <cellStyle name="Вычисление 2 4 2 11 2 4" xfId="23729" xr:uid="{C8089659-5669-4926-8F96-74E47CF580DC}"/>
    <cellStyle name="Вычисление 2 4 2 11 3" xfId="2579" xr:uid="{00000000-0005-0000-0000-00002E140000}"/>
    <cellStyle name="Вычисление 2 4 2 11 3 2" xfId="23042" xr:uid="{00000000-0005-0000-0000-00002F140000}"/>
    <cellStyle name="Вычисление 2 4 2 11 3 2 2" xfId="39508" xr:uid="{A763376E-7321-4CB3-9911-0D1641A72F14}"/>
    <cellStyle name="Вычисление 2 4 2 11 3 3" xfId="6717" xr:uid="{00000000-0005-0000-0000-000030140000}"/>
    <cellStyle name="Вычисление 2 4 2 11 3 4" xfId="24344" xr:uid="{E948AA49-0E8C-4FA6-9A8A-DE49CAAF5367}"/>
    <cellStyle name="Вычисление 2 4 2 11 4" xfId="3743" xr:uid="{00000000-0005-0000-0000-000031140000}"/>
    <cellStyle name="Вычисление 2 4 2 11 4 2" xfId="23213" xr:uid="{00000000-0005-0000-0000-000032140000}"/>
    <cellStyle name="Вычисление 2 4 2 11 4 3" xfId="39640" xr:uid="{384ADF05-1CF9-4628-8EDA-DD2F6049112C}"/>
    <cellStyle name="Вычисление 2 4 2 11 5" xfId="3877" xr:uid="{00000000-0005-0000-0000-000033140000}"/>
    <cellStyle name="Вычисление 2 4 2 11 5 2" xfId="21097" xr:uid="{00000000-0005-0000-0000-000034140000}"/>
    <cellStyle name="Вычисление 2 4 2 11 5 3" xfId="37821" xr:uid="{E51B6018-C57C-4D30-A246-DBB64E5644C7}"/>
    <cellStyle name="Вычисление 2 4 2 11 6" xfId="3671" xr:uid="{00000000-0005-0000-0000-000035140000}"/>
    <cellStyle name="Вычисление 2 4 2 11 7" xfId="3041" xr:uid="{00000000-0005-0000-0000-000036140000}"/>
    <cellStyle name="Вычисление 2 4 2 12" xfId="1776" xr:uid="{00000000-0005-0000-0000-000037140000}"/>
    <cellStyle name="Вычисление 2 4 2 12 2" xfId="20967" xr:uid="{00000000-0005-0000-0000-000038140000}"/>
    <cellStyle name="Вычисление 2 4 2 12 2 2" xfId="37744" xr:uid="{917C1687-6C13-4BFC-87CF-81D73EFA6A4F}"/>
    <cellStyle name="Вычисление 2 4 2 12 3" xfId="5715" xr:uid="{00000000-0005-0000-0000-000039140000}"/>
    <cellStyle name="Вычисление 2 4 2 12 4" xfId="23649" xr:uid="{326E3B4C-54B0-422A-82F1-45D5029C0602}"/>
    <cellStyle name="Вычисление 2 4 2 13" xfId="2424" xr:uid="{00000000-0005-0000-0000-00003A140000}"/>
    <cellStyle name="Вычисление 2 4 2 13 2" xfId="21724" xr:uid="{00000000-0005-0000-0000-00003B140000}"/>
    <cellStyle name="Вычисление 2 4 2 13 2 2" xfId="38334" xr:uid="{187F5AFB-72E6-481E-B824-B4B0C8B60644}"/>
    <cellStyle name="Вычисление 2 4 2 13 3" xfId="6642" xr:uid="{00000000-0005-0000-0000-00003C140000}"/>
    <cellStyle name="Вычисление 2 4 2 13 4" xfId="24269" xr:uid="{6495F174-D26B-447A-9C95-BF3FF013B206}"/>
    <cellStyle name="Вычисление 2 4 2 14" xfId="3200" xr:uid="{00000000-0005-0000-0000-00003D140000}"/>
    <cellStyle name="Вычисление 2 4 2 14 2" xfId="22579" xr:uid="{00000000-0005-0000-0000-00003E140000}"/>
    <cellStyle name="Вычисление 2 4 2 14 3" xfId="39056" xr:uid="{BB376239-CFA7-40B7-9754-B87E9CF22FC1}"/>
    <cellStyle name="Вычисление 2 4 2 15" xfId="3747" xr:uid="{00000000-0005-0000-0000-00003F140000}"/>
    <cellStyle name="Вычисление 2 4 2 15 2" xfId="23136" xr:uid="{00000000-0005-0000-0000-000040140000}"/>
    <cellStyle name="Вычисление 2 4 2 15 3" xfId="39587" xr:uid="{A2ECF7F3-B540-43B0-B802-A88FC68AF74D}"/>
    <cellStyle name="Вычисление 2 4 2 16" xfId="3950" xr:uid="{00000000-0005-0000-0000-000041140000}"/>
    <cellStyle name="Вычисление 2 4 2 16 2" xfId="7491" xr:uid="{00000000-0005-0000-0000-000042140000}"/>
    <cellStyle name="Вычисление 2 4 2 16 3" xfId="24893" xr:uid="{21721805-4465-47BE-8630-4C6F89D3974C}"/>
    <cellStyle name="Вычисление 2 4 2 17" xfId="4478" xr:uid="{00000000-0005-0000-0000-000043140000}"/>
    <cellStyle name="Вычисление 2 4 2 2" xfId="340" xr:uid="{00000000-0005-0000-0000-000044140000}"/>
    <cellStyle name="Вычисление 2 4 2 2 2" xfId="1027" xr:uid="{00000000-0005-0000-0000-000045140000}"/>
    <cellStyle name="Вычисление 2 4 2 2 2 2" xfId="21191" xr:uid="{00000000-0005-0000-0000-000046140000}"/>
    <cellStyle name="Вычисление 2 4 2 2 2 2 2" xfId="37861" xr:uid="{4B889388-741F-4DCB-A1E2-30AAD3673D28}"/>
    <cellStyle name="Вычисление 2 4 2 2 2 3" xfId="5971" xr:uid="{00000000-0005-0000-0000-000047140000}"/>
    <cellStyle name="Вычисление 2 4 2 2 2 4" xfId="23769" xr:uid="{767EE673-B3D5-44DA-BAA5-5CB8BE8AFA7C}"/>
    <cellStyle name="Вычисление 2 4 2 2 3" xfId="2064" xr:uid="{00000000-0005-0000-0000-000048140000}"/>
    <cellStyle name="Вычисление 2 4 2 2 3 2" xfId="21841" xr:uid="{00000000-0005-0000-0000-000049140000}"/>
    <cellStyle name="Вычисление 2 4 2 2 3 2 2" xfId="38451" xr:uid="{CF1C61A8-09D5-4CBF-A17C-4702A23FB50A}"/>
    <cellStyle name="Вычисление 2 4 2 2 3 3" xfId="6755" xr:uid="{00000000-0005-0000-0000-00004A140000}"/>
    <cellStyle name="Вычисление 2 4 2 2 3 4" xfId="24382" xr:uid="{5A5935AD-6BC9-4655-86ED-01EE59097B1C}"/>
    <cellStyle name="Вычисление 2 4 2 2 4" xfId="2787" xr:uid="{00000000-0005-0000-0000-00004B140000}"/>
    <cellStyle name="Вычисление 2 4 2 2 4 2" xfId="22673" xr:uid="{00000000-0005-0000-0000-00004C140000}"/>
    <cellStyle name="Вычисление 2 4 2 2 4 3" xfId="39145" xr:uid="{C88C61A6-8867-4474-9B76-04654F5ADB3E}"/>
    <cellStyle name="Вычисление 2 4 2 2 5" xfId="3692" xr:uid="{00000000-0005-0000-0000-00004D140000}"/>
    <cellStyle name="Вычисление 2 4 2 2 5 2" xfId="23231" xr:uid="{00000000-0005-0000-0000-00004E140000}"/>
    <cellStyle name="Вычисление 2 4 2 2 5 3" xfId="39658" xr:uid="{04625E7E-C545-4CE5-BB14-5F164A679A2E}"/>
    <cellStyle name="Вычисление 2 4 2 2 6" xfId="3942" xr:uid="{00000000-0005-0000-0000-00004F140000}"/>
    <cellStyle name="Вычисление 2 4 2 2 6 2" xfId="14073" xr:uid="{00000000-0005-0000-0000-000050140000}"/>
    <cellStyle name="Вычисление 2 4 2 2 6 3" xfId="31112" xr:uid="{4F6BDED3-A4B1-4A3F-82DF-3014020674E4}"/>
    <cellStyle name="Вычисление 2 4 2 2 7" xfId="4472" xr:uid="{00000000-0005-0000-0000-000051140000}"/>
    <cellStyle name="Вычисление 2 4 2 2 8" xfId="4962" xr:uid="{00000000-0005-0000-0000-000052140000}"/>
    <cellStyle name="Вычисление 2 4 2 3" xfId="456" xr:uid="{00000000-0005-0000-0000-000053140000}"/>
    <cellStyle name="Вычисление 2 4 2 3 2" xfId="1288" xr:uid="{00000000-0005-0000-0000-000054140000}"/>
    <cellStyle name="Вычисление 2 4 2 3 2 2" xfId="21281" xr:uid="{00000000-0005-0000-0000-000055140000}"/>
    <cellStyle name="Вычисление 2 4 2 3 2 2 2" xfId="37923" xr:uid="{50488E02-2AA2-4822-B248-C4B3761F7311}"/>
    <cellStyle name="Вычисление 2 4 2 3 2 3" xfId="6044" xr:uid="{00000000-0005-0000-0000-000056140000}"/>
    <cellStyle name="Вычисление 2 4 2 3 2 4" xfId="23831" xr:uid="{DBE9F62F-1604-4B17-AC91-1081B9DA3E91}"/>
    <cellStyle name="Вычисление 2 4 2 3 3" xfId="2037" xr:uid="{00000000-0005-0000-0000-000057140000}"/>
    <cellStyle name="Вычисление 2 4 2 3 3 2" xfId="21903" xr:uid="{00000000-0005-0000-0000-000058140000}"/>
    <cellStyle name="Вычисление 2 4 2 3 3 2 2" xfId="38513" xr:uid="{DC1B78BB-C5C0-44FB-9F77-0A49E50FE81F}"/>
    <cellStyle name="Вычисление 2 4 2 3 3 3" xfId="6814" xr:uid="{00000000-0005-0000-0000-000059140000}"/>
    <cellStyle name="Вычисление 2 4 2 3 3 4" xfId="24441" xr:uid="{43E26526-1481-4243-9B53-7330391106B2}"/>
    <cellStyle name="Вычисление 2 4 2 3 4" xfId="2826" xr:uid="{00000000-0005-0000-0000-00005A140000}"/>
    <cellStyle name="Вычисление 2 4 2 3 4 2" xfId="23065" xr:uid="{00000000-0005-0000-0000-00005B140000}"/>
    <cellStyle name="Вычисление 2 4 2 3 4 3" xfId="39531" xr:uid="{08BE12F8-52D6-4C19-9F19-AF58F3A7C690}"/>
    <cellStyle name="Вычисление 2 4 2 3 5" xfId="3190" xr:uid="{00000000-0005-0000-0000-00005C140000}"/>
    <cellStyle name="Вычисление 2 4 2 3 5 2" xfId="23260" xr:uid="{00000000-0005-0000-0000-00005D140000}"/>
    <cellStyle name="Вычисление 2 4 2 3 5 3" xfId="39687" xr:uid="{F403A903-6CDF-4036-A30A-C13C1B21358D}"/>
    <cellStyle name="Вычисление 2 4 2 3 6" xfId="4017" xr:uid="{00000000-0005-0000-0000-00005E140000}"/>
    <cellStyle name="Вычисление 2 4 2 3 6 2" xfId="20431" xr:uid="{00000000-0005-0000-0000-00005F140000}"/>
    <cellStyle name="Вычисление 2 4 2 3 6 3" xfId="37333" xr:uid="{FF66D756-70A1-445F-95A5-17E7037EAE7B}"/>
    <cellStyle name="Вычисление 2 4 2 3 7" xfId="4539" xr:uid="{00000000-0005-0000-0000-000060140000}"/>
    <cellStyle name="Вычисление 2 4 2 3 8" xfId="5021" xr:uid="{00000000-0005-0000-0000-000061140000}"/>
    <cellStyle name="Вычисление 2 4 2 4" xfId="502" xr:uid="{00000000-0005-0000-0000-000062140000}"/>
    <cellStyle name="Вычисление 2 4 2 4 2" xfId="1334" xr:uid="{00000000-0005-0000-0000-000063140000}"/>
    <cellStyle name="Вычисление 2 4 2 4 2 2" xfId="21327" xr:uid="{00000000-0005-0000-0000-000064140000}"/>
    <cellStyle name="Вычисление 2 4 2 4 2 2 2" xfId="37969" xr:uid="{4AE2221E-B5D2-4C6A-946B-4CAF67FBC05F}"/>
    <cellStyle name="Вычисление 2 4 2 4 2 3" xfId="6090" xr:uid="{00000000-0005-0000-0000-000065140000}"/>
    <cellStyle name="Вычисление 2 4 2 4 2 4" xfId="23877" xr:uid="{8D578798-C886-4892-AA5D-D1FA6DBCFF0C}"/>
    <cellStyle name="Вычисление 2 4 2 4 3" xfId="2225" xr:uid="{00000000-0005-0000-0000-000066140000}"/>
    <cellStyle name="Вычисление 2 4 2 4 3 2" xfId="21949" xr:uid="{00000000-0005-0000-0000-000067140000}"/>
    <cellStyle name="Вычисление 2 4 2 4 3 2 2" xfId="38559" xr:uid="{24614582-23ED-40D4-847C-44FAF1A56B06}"/>
    <cellStyle name="Вычисление 2 4 2 4 3 3" xfId="6859" xr:uid="{00000000-0005-0000-0000-000068140000}"/>
    <cellStyle name="Вычисление 2 4 2 4 3 4" xfId="24486" xr:uid="{2B4A5A19-22FF-42DE-9324-552A2FDEAFDA}"/>
    <cellStyle name="Вычисление 2 4 2 4 4" xfId="2456" xr:uid="{00000000-0005-0000-0000-000069140000}"/>
    <cellStyle name="Вычисление 2 4 2 4 4 2" xfId="22739" xr:uid="{00000000-0005-0000-0000-00006A140000}"/>
    <cellStyle name="Вычисление 2 4 2 4 4 3" xfId="39208" xr:uid="{231002FE-3EDF-4718-8F7F-417AA514D8FB}"/>
    <cellStyle name="Вычисление 2 4 2 4 5" xfId="3255" xr:uid="{00000000-0005-0000-0000-00006B140000}"/>
    <cellStyle name="Вычисление 2 4 2 4 5 2" xfId="23283" xr:uid="{00000000-0005-0000-0000-00006C140000}"/>
    <cellStyle name="Вычисление 2 4 2 4 5 3" xfId="39710" xr:uid="{6B2358B4-E696-4037-B72B-2205C82022E5}"/>
    <cellStyle name="Вычисление 2 4 2 4 6" xfId="4062" xr:uid="{00000000-0005-0000-0000-00006D140000}"/>
    <cellStyle name="Вычисление 2 4 2 4 6 2" xfId="20488" xr:uid="{00000000-0005-0000-0000-00006E140000}"/>
    <cellStyle name="Вычисление 2 4 2 4 6 3" xfId="37380" xr:uid="{9081F16F-D2AD-4F85-8171-3768507EFAFC}"/>
    <cellStyle name="Вычисление 2 4 2 4 7" xfId="4584" xr:uid="{00000000-0005-0000-0000-00006F140000}"/>
    <cellStyle name="Вычисление 2 4 2 4 8" xfId="5066" xr:uid="{00000000-0005-0000-0000-000070140000}"/>
    <cellStyle name="Вычисление 2 4 2 5" xfId="554" xr:uid="{00000000-0005-0000-0000-000071140000}"/>
    <cellStyle name="Вычисление 2 4 2 5 2" xfId="1386" xr:uid="{00000000-0005-0000-0000-000072140000}"/>
    <cellStyle name="Вычисление 2 4 2 5 2 2" xfId="21379" xr:uid="{00000000-0005-0000-0000-000073140000}"/>
    <cellStyle name="Вычисление 2 4 2 5 2 2 2" xfId="38021" xr:uid="{71FE9245-037F-4F84-B6E9-8FE81C94AADE}"/>
    <cellStyle name="Вычисление 2 4 2 5 2 3" xfId="6142" xr:uid="{00000000-0005-0000-0000-000074140000}"/>
    <cellStyle name="Вычисление 2 4 2 5 2 4" xfId="23929" xr:uid="{DBA4482F-AA67-44B6-96EC-C47FFB503E9D}"/>
    <cellStyle name="Вычисление 2 4 2 5 3" xfId="2120" xr:uid="{00000000-0005-0000-0000-000075140000}"/>
    <cellStyle name="Вычисление 2 4 2 5 3 2" xfId="22001" xr:uid="{00000000-0005-0000-0000-000076140000}"/>
    <cellStyle name="Вычисление 2 4 2 5 3 2 2" xfId="38611" xr:uid="{A9EF720B-9BF1-4F3A-9058-F64AC70FEA6D}"/>
    <cellStyle name="Вычисление 2 4 2 5 3 3" xfId="6911" xr:uid="{00000000-0005-0000-0000-000077140000}"/>
    <cellStyle name="Вычисление 2 4 2 5 3 4" xfId="24538" xr:uid="{02746137-F340-4572-8B98-873EB2860C78}"/>
    <cellStyle name="Вычисление 2 4 2 5 4" xfId="2794" xr:uid="{00000000-0005-0000-0000-000078140000}"/>
    <cellStyle name="Вычисление 2 4 2 5 4 2" xfId="22771" xr:uid="{00000000-0005-0000-0000-000079140000}"/>
    <cellStyle name="Вычисление 2 4 2 5 4 3" xfId="39239" xr:uid="{04A5C149-AF9B-4DE5-930B-A467AC40B652}"/>
    <cellStyle name="Вычисление 2 4 2 5 5" xfId="3346" xr:uid="{00000000-0005-0000-0000-00007A140000}"/>
    <cellStyle name="Вычисление 2 4 2 5 5 2" xfId="23307" xr:uid="{00000000-0005-0000-0000-00007B140000}"/>
    <cellStyle name="Вычисление 2 4 2 5 5 3" xfId="39734" xr:uid="{F1BDA357-BA14-4745-88F1-B75F21ABE389}"/>
    <cellStyle name="Вычисление 2 4 2 5 6" xfId="4114" xr:uid="{00000000-0005-0000-0000-00007C140000}"/>
    <cellStyle name="Вычисление 2 4 2 5 6 2" xfId="20601" xr:uid="{00000000-0005-0000-0000-00007D140000}"/>
    <cellStyle name="Вычисление 2 4 2 5 6 3" xfId="37446" xr:uid="{67B9940D-D89F-480B-9D95-8266C613BDBF}"/>
    <cellStyle name="Вычисление 2 4 2 5 7" xfId="4636" xr:uid="{00000000-0005-0000-0000-00007E140000}"/>
    <cellStyle name="Вычисление 2 4 2 5 8" xfId="5118" xr:uid="{00000000-0005-0000-0000-00007F140000}"/>
    <cellStyle name="Вычисление 2 4 2 6" xfId="606" xr:uid="{00000000-0005-0000-0000-000080140000}"/>
    <cellStyle name="Вычисление 2 4 2 6 2" xfId="1438" xr:uid="{00000000-0005-0000-0000-000081140000}"/>
    <cellStyle name="Вычисление 2 4 2 6 2 2" xfId="21431" xr:uid="{00000000-0005-0000-0000-000082140000}"/>
    <cellStyle name="Вычисление 2 4 2 6 2 2 2" xfId="38073" xr:uid="{C4653552-2CC1-4839-9FD0-34F6E79F7551}"/>
    <cellStyle name="Вычисление 2 4 2 6 2 3" xfId="6194" xr:uid="{00000000-0005-0000-0000-000083140000}"/>
    <cellStyle name="Вычисление 2 4 2 6 2 4" xfId="23981" xr:uid="{34C3AEFA-FE24-4AB8-B41D-91580FD7DFD0}"/>
    <cellStyle name="Вычисление 2 4 2 6 3" xfId="1937" xr:uid="{00000000-0005-0000-0000-000084140000}"/>
    <cellStyle name="Вычисление 2 4 2 6 3 2" xfId="22053" xr:uid="{00000000-0005-0000-0000-000085140000}"/>
    <cellStyle name="Вычисление 2 4 2 6 3 2 2" xfId="38663" xr:uid="{0976027B-BE5D-4E61-865C-C5879B069A9E}"/>
    <cellStyle name="Вычисление 2 4 2 6 3 3" xfId="6963" xr:uid="{00000000-0005-0000-0000-000086140000}"/>
    <cellStyle name="Вычисление 2 4 2 6 3 4" xfId="24590" xr:uid="{26E35F0C-C111-4D4F-B42C-0ED69CBFB972}"/>
    <cellStyle name="Вычисление 2 4 2 6 4" xfId="2743" xr:uid="{00000000-0005-0000-0000-000087140000}"/>
    <cellStyle name="Вычисление 2 4 2 6 4 2" xfId="22547" xr:uid="{00000000-0005-0000-0000-000088140000}"/>
    <cellStyle name="Вычисление 2 4 2 6 4 3" xfId="39026" xr:uid="{B41E5175-CFF9-40E7-8FA0-8A3C33BAA451}"/>
    <cellStyle name="Вычисление 2 4 2 6 5" xfId="3328" xr:uid="{00000000-0005-0000-0000-000089140000}"/>
    <cellStyle name="Вычисление 2 4 2 6 5 2" xfId="23331" xr:uid="{00000000-0005-0000-0000-00008A140000}"/>
    <cellStyle name="Вычисление 2 4 2 6 5 3" xfId="39758" xr:uid="{A30F05A5-1064-4D71-9E10-A6E8451B716C}"/>
    <cellStyle name="Вычисление 2 4 2 6 6" xfId="4166" xr:uid="{00000000-0005-0000-0000-00008B140000}"/>
    <cellStyle name="Вычисление 2 4 2 6 6 2" xfId="20642" xr:uid="{00000000-0005-0000-0000-00008C140000}"/>
    <cellStyle name="Вычисление 2 4 2 6 6 3" xfId="37484" xr:uid="{A6D456A3-57FC-4F41-9394-87D49FF79ACD}"/>
    <cellStyle name="Вычисление 2 4 2 6 7" xfId="4688" xr:uid="{00000000-0005-0000-0000-00008D140000}"/>
    <cellStyle name="Вычисление 2 4 2 6 8" xfId="5170" xr:uid="{00000000-0005-0000-0000-00008E140000}"/>
    <cellStyle name="Вычисление 2 4 2 7" xfId="706" xr:uid="{00000000-0005-0000-0000-00008F140000}"/>
    <cellStyle name="Вычисление 2 4 2 7 2" xfId="1536" xr:uid="{00000000-0005-0000-0000-000090140000}"/>
    <cellStyle name="Вычисление 2 4 2 7 2 2" xfId="21529" xr:uid="{00000000-0005-0000-0000-000091140000}"/>
    <cellStyle name="Вычисление 2 4 2 7 2 2 2" xfId="38171" xr:uid="{87380884-EF77-491E-84DE-A087966C806D}"/>
    <cellStyle name="Вычисление 2 4 2 7 2 3" xfId="6292" xr:uid="{00000000-0005-0000-0000-000092140000}"/>
    <cellStyle name="Вычисление 2 4 2 7 2 4" xfId="24079" xr:uid="{EBE58BC4-4E3E-4696-9F9E-0CB8B13EB069}"/>
    <cellStyle name="Вычисление 2 4 2 7 3" xfId="1711" xr:uid="{00000000-0005-0000-0000-000093140000}"/>
    <cellStyle name="Вычисление 2 4 2 7 3 2" xfId="22151" xr:uid="{00000000-0005-0000-0000-000094140000}"/>
    <cellStyle name="Вычисление 2 4 2 7 3 2 2" xfId="38761" xr:uid="{40DCECF1-AEBD-41AB-8BFF-EE02FF660EFE}"/>
    <cellStyle name="Вычисление 2 4 2 7 3 3" xfId="7061" xr:uid="{00000000-0005-0000-0000-000095140000}"/>
    <cellStyle name="Вычисление 2 4 2 7 3 4" xfId="24688" xr:uid="{02DFC495-025E-4B9B-A059-7E3D32987208}"/>
    <cellStyle name="Вычисление 2 4 2 7 4" xfId="2353" xr:uid="{00000000-0005-0000-0000-000096140000}"/>
    <cellStyle name="Вычисление 2 4 2 7 4 2" xfId="22500" xr:uid="{00000000-0005-0000-0000-000097140000}"/>
    <cellStyle name="Вычисление 2 4 2 7 4 3" xfId="38992" xr:uid="{3C271118-AC2A-4608-A01B-6B49B1E60454}"/>
    <cellStyle name="Вычисление 2 4 2 7 5" xfId="3251" xr:uid="{00000000-0005-0000-0000-000098140000}"/>
    <cellStyle name="Вычисление 2 4 2 7 5 2" xfId="23373" xr:uid="{00000000-0005-0000-0000-000099140000}"/>
    <cellStyle name="Вычисление 2 4 2 7 5 3" xfId="39800" xr:uid="{34879F4D-2CBD-46E7-966E-43B01E7B4E57}"/>
    <cellStyle name="Вычисление 2 4 2 7 6" xfId="4265" xr:uid="{00000000-0005-0000-0000-00009A140000}"/>
    <cellStyle name="Вычисление 2 4 2 7 6 2" xfId="20707" xr:uid="{00000000-0005-0000-0000-00009B140000}"/>
    <cellStyle name="Вычисление 2 4 2 7 6 3" xfId="37536" xr:uid="{702EEC9D-55F6-419F-93D3-7A375B70FBF6}"/>
    <cellStyle name="Вычисление 2 4 2 7 7" xfId="4787" xr:uid="{00000000-0005-0000-0000-00009C140000}"/>
    <cellStyle name="Вычисление 2 4 2 7 8" xfId="5268" xr:uid="{00000000-0005-0000-0000-00009D140000}"/>
    <cellStyle name="Вычисление 2 4 2 8" xfId="751" xr:uid="{00000000-0005-0000-0000-00009E140000}"/>
    <cellStyle name="Вычисление 2 4 2 8 2" xfId="1581" xr:uid="{00000000-0005-0000-0000-00009F140000}"/>
    <cellStyle name="Вычисление 2 4 2 8 2 2" xfId="21574" xr:uid="{00000000-0005-0000-0000-0000A0140000}"/>
    <cellStyle name="Вычисление 2 4 2 8 2 2 2" xfId="38216" xr:uid="{934B1A9B-389B-46A3-988F-822C297544CE}"/>
    <cellStyle name="Вычисление 2 4 2 8 2 3" xfId="6337" xr:uid="{00000000-0005-0000-0000-0000A1140000}"/>
    <cellStyle name="Вычисление 2 4 2 8 2 4" xfId="24124" xr:uid="{C90E0D3E-A85D-4FD4-8280-8E202FBC38E5}"/>
    <cellStyle name="Вычисление 2 4 2 8 3" xfId="1810" xr:uid="{00000000-0005-0000-0000-0000A2140000}"/>
    <cellStyle name="Вычисление 2 4 2 8 3 2" xfId="22196" xr:uid="{00000000-0005-0000-0000-0000A3140000}"/>
    <cellStyle name="Вычисление 2 4 2 8 3 2 2" xfId="38806" xr:uid="{D4384325-AC0A-48B0-906A-B3C6DC679636}"/>
    <cellStyle name="Вычисление 2 4 2 8 3 3" xfId="7106" xr:uid="{00000000-0005-0000-0000-0000A4140000}"/>
    <cellStyle name="Вычисление 2 4 2 8 3 4" xfId="24733" xr:uid="{21418754-33F2-4382-ACE9-DCD0832C49DE}"/>
    <cellStyle name="Вычисление 2 4 2 8 4" xfId="2513" xr:uid="{00000000-0005-0000-0000-0000A5140000}"/>
    <cellStyle name="Вычисление 2 4 2 8 4 2" xfId="22483" xr:uid="{00000000-0005-0000-0000-0000A6140000}"/>
    <cellStyle name="Вычисление 2 4 2 8 4 3" xfId="38975" xr:uid="{C2FB6F8F-80FC-40A3-A964-B72E0C58D036}"/>
    <cellStyle name="Вычисление 2 4 2 8 5" xfId="3860" xr:uid="{00000000-0005-0000-0000-0000A7140000}"/>
    <cellStyle name="Вычисление 2 4 2 8 5 2" xfId="23395" xr:uid="{00000000-0005-0000-0000-0000A8140000}"/>
    <cellStyle name="Вычисление 2 4 2 8 5 3" xfId="39822" xr:uid="{F0E998B1-35B5-4E0F-A4AF-CB1D98675F29}"/>
    <cellStyle name="Вычисление 2 4 2 8 6" xfId="4310" xr:uid="{00000000-0005-0000-0000-0000A9140000}"/>
    <cellStyle name="Вычисление 2 4 2 8 6 2" xfId="20772" xr:uid="{00000000-0005-0000-0000-0000AA140000}"/>
    <cellStyle name="Вычисление 2 4 2 8 6 3" xfId="37588" xr:uid="{752377FE-462C-46D4-969E-16DF5978CCFC}"/>
    <cellStyle name="Вычисление 2 4 2 8 7" xfId="4832" xr:uid="{00000000-0005-0000-0000-0000AB140000}"/>
    <cellStyle name="Вычисление 2 4 2 8 8" xfId="5313" xr:uid="{00000000-0005-0000-0000-0000AC140000}"/>
    <cellStyle name="Вычисление 2 4 2 9" xfId="785" xr:uid="{00000000-0005-0000-0000-0000AD140000}"/>
    <cellStyle name="Вычисление 2 4 2 9 2" xfId="1614" xr:uid="{00000000-0005-0000-0000-0000AE140000}"/>
    <cellStyle name="Вычисление 2 4 2 9 2 2" xfId="21607" xr:uid="{00000000-0005-0000-0000-0000AF140000}"/>
    <cellStyle name="Вычисление 2 4 2 9 2 2 2" xfId="38249" xr:uid="{299AC862-A8AE-4F6F-AC35-B7E764577A69}"/>
    <cellStyle name="Вычисление 2 4 2 9 2 3" xfId="6370" xr:uid="{00000000-0005-0000-0000-0000B0140000}"/>
    <cellStyle name="Вычисление 2 4 2 9 2 4" xfId="24157" xr:uid="{3F324717-26D8-4972-A816-687F31D18B1C}"/>
    <cellStyle name="Вычисление 2 4 2 9 3" xfId="1698" xr:uid="{00000000-0005-0000-0000-0000B1140000}"/>
    <cellStyle name="Вычисление 2 4 2 9 3 2" xfId="22229" xr:uid="{00000000-0005-0000-0000-0000B2140000}"/>
    <cellStyle name="Вычисление 2 4 2 9 3 2 2" xfId="38839" xr:uid="{450DD26F-8113-4F2A-ADEC-C84B7E8AC86B}"/>
    <cellStyle name="Вычисление 2 4 2 9 3 3" xfId="7139" xr:uid="{00000000-0005-0000-0000-0000B3140000}"/>
    <cellStyle name="Вычисление 2 4 2 9 3 4" xfId="24766" xr:uid="{0D68B648-A1BB-47C3-A77C-8052175694F5}"/>
    <cellStyle name="Вычисление 2 4 2 9 4" xfId="2920" xr:uid="{00000000-0005-0000-0000-0000B4140000}"/>
    <cellStyle name="Вычисление 2 4 2 9 4 2" xfId="22754" xr:uid="{00000000-0005-0000-0000-0000B5140000}"/>
    <cellStyle name="Вычисление 2 4 2 9 4 3" xfId="39223" xr:uid="{8E4760CA-42EB-4F85-8232-75E0F2B3A27D}"/>
    <cellStyle name="Вычисление 2 4 2 9 5" xfId="3277" xr:uid="{00000000-0005-0000-0000-0000B6140000}"/>
    <cellStyle name="Вычисление 2 4 2 9 5 2" xfId="23411" xr:uid="{00000000-0005-0000-0000-0000B7140000}"/>
    <cellStyle name="Вычисление 2 4 2 9 5 3" xfId="39838" xr:uid="{BFCE54F2-F8BE-411E-9DD9-C44C209F4567}"/>
    <cellStyle name="Вычисление 2 4 2 9 6" xfId="4343" xr:uid="{00000000-0005-0000-0000-0000B8140000}"/>
    <cellStyle name="Вычисление 2 4 2 9 6 2" xfId="20837" xr:uid="{00000000-0005-0000-0000-0000B9140000}"/>
    <cellStyle name="Вычисление 2 4 2 9 6 3" xfId="37640" xr:uid="{B749283A-236D-4D20-BA4C-C530CAD6DEF9}"/>
    <cellStyle name="Вычисление 2 4 2 9 7" xfId="4865" xr:uid="{00000000-0005-0000-0000-0000BA140000}"/>
    <cellStyle name="Вычисление 2 4 2 9 8" xfId="5346" xr:uid="{00000000-0005-0000-0000-0000BB140000}"/>
    <cellStyle name="Вычисление 2 4 3" xfId="371" xr:uid="{00000000-0005-0000-0000-0000BC140000}"/>
    <cellStyle name="Вычисление 2 4 3 10" xfId="996" xr:uid="{00000000-0005-0000-0000-0000BD140000}"/>
    <cellStyle name="Вычисление 2 4 3 10 2" xfId="1794" xr:uid="{00000000-0005-0000-0000-0000BE140000}"/>
    <cellStyle name="Вычисление 2 4 3 10 2 2" xfId="21860" xr:uid="{00000000-0005-0000-0000-0000BF140000}"/>
    <cellStyle name="Вычисление 2 4 3 10 2 2 2" xfId="38470" xr:uid="{32E1DA00-7277-4DF5-9A15-89CB827EB623}"/>
    <cellStyle name="Вычисление 2 4 3 10 2 3" xfId="6000" xr:uid="{00000000-0005-0000-0000-0000C0140000}"/>
    <cellStyle name="Вычисление 2 4 3 10 2 4" xfId="23788" xr:uid="{D1E105CB-36E4-40DE-B483-2CC27346FEE8}"/>
    <cellStyle name="Вычисление 2 4 3 10 3" xfId="2629" xr:uid="{00000000-0005-0000-0000-0000C1140000}"/>
    <cellStyle name="Вычисление 2 4 3 10 3 2" xfId="23062" xr:uid="{00000000-0005-0000-0000-0000C2140000}"/>
    <cellStyle name="Вычисление 2 4 3 10 3 2 2" xfId="39528" xr:uid="{F6BA1DC5-0B64-4BEF-B5D7-E6A7D3C65944}"/>
    <cellStyle name="Вычисление 2 4 3 10 3 3" xfId="6774" xr:uid="{00000000-0005-0000-0000-0000C3140000}"/>
    <cellStyle name="Вычисление 2 4 3 10 3 4" xfId="24401" xr:uid="{52A82C62-B078-4E9A-BD95-7068533A7183}"/>
    <cellStyle name="Вычисление 2 4 3 10 4" xfId="3783" xr:uid="{00000000-0005-0000-0000-0000C4140000}"/>
    <cellStyle name="Вычисление 2 4 3 10 4 2" xfId="23241" xr:uid="{00000000-0005-0000-0000-0000C5140000}"/>
    <cellStyle name="Вычисление 2 4 3 10 4 3" xfId="39668" xr:uid="{9B5E0643-C51A-419C-85F0-6437ECA77937}"/>
    <cellStyle name="Вычисление 2 4 3 10 5" xfId="3964" xr:uid="{00000000-0005-0000-0000-0000C6140000}"/>
    <cellStyle name="Вычисление 2 4 3 10 5 2" xfId="21219" xr:uid="{00000000-0005-0000-0000-0000C7140000}"/>
    <cellStyle name="Вычисление 2 4 3 10 5 3" xfId="37880" xr:uid="{463FB162-DB0B-4120-B752-EC324C2F25FE}"/>
    <cellStyle name="Вычисление 2 4 3 10 6" xfId="4492" xr:uid="{00000000-0005-0000-0000-0000C8140000}"/>
    <cellStyle name="Вычисление 2 4 3 10 7" xfId="4981" xr:uid="{00000000-0005-0000-0000-0000C9140000}"/>
    <cellStyle name="Вычисление 2 4 3 11" xfId="1772" xr:uid="{00000000-0005-0000-0000-0000CA140000}"/>
    <cellStyle name="Вычисление 2 4 3 11 2" xfId="20986" xr:uid="{00000000-0005-0000-0000-0000CB140000}"/>
    <cellStyle name="Вычисление 2 4 3 11 2 2" xfId="37763" xr:uid="{CE805E6F-8755-4E3B-89CB-9BD3725E90D0}"/>
    <cellStyle name="Вычисление 2 4 3 11 3" xfId="5744" xr:uid="{00000000-0005-0000-0000-0000CC140000}"/>
    <cellStyle name="Вычисление 2 4 3 11 4" xfId="23668" xr:uid="{68CEB619-84FE-4D60-8BDB-599E82372963}"/>
    <cellStyle name="Вычисление 2 4 3 12" xfId="2411" xr:uid="{00000000-0005-0000-0000-0000CD140000}"/>
    <cellStyle name="Вычисление 2 4 3 12 2" xfId="21743" xr:uid="{00000000-0005-0000-0000-0000CE140000}"/>
    <cellStyle name="Вычисление 2 4 3 12 2 2" xfId="38353" xr:uid="{550BC395-934B-41F1-BD14-9271F9943151}"/>
    <cellStyle name="Вычисление 2 4 3 12 3" xfId="6661" xr:uid="{00000000-0005-0000-0000-0000CF140000}"/>
    <cellStyle name="Вычисление 2 4 3 12 4" xfId="24288" xr:uid="{24319D78-704F-4037-B465-7ED1229AA207}"/>
    <cellStyle name="Вычисление 2 4 3 13" xfId="3119" xr:uid="{00000000-0005-0000-0000-0000D0140000}"/>
    <cellStyle name="Вычисление 2 4 3 13 2" xfId="22635" xr:uid="{00000000-0005-0000-0000-0000D1140000}"/>
    <cellStyle name="Вычисление 2 4 3 13 3" xfId="39108" xr:uid="{748E6578-2532-4744-B1E5-832210C62C4B}"/>
    <cellStyle name="Вычисление 2 4 3 14" xfId="3307" xr:uid="{00000000-0005-0000-0000-0000D2140000}"/>
    <cellStyle name="Вычисление 2 4 3 14 2" xfId="23187" xr:uid="{00000000-0005-0000-0000-0000D3140000}"/>
    <cellStyle name="Вычисление 2 4 3 14 3" xfId="39614" xr:uid="{49998427-B0D9-4B59-A58A-F6D264B20873}"/>
    <cellStyle name="Вычисление 2 4 3 15" xfId="3231" xr:uid="{00000000-0005-0000-0000-0000D4140000}"/>
    <cellStyle name="Вычисление 2 4 3 15 2" xfId="14042" xr:uid="{00000000-0005-0000-0000-0000D5140000}"/>
    <cellStyle name="Вычисление 2 4 3 15 3" xfId="31081" xr:uid="{1DD73E64-45DA-448E-927C-34C2E0AD752F}"/>
    <cellStyle name="Вычисление 2 4 3 16" xfId="3980" xr:uid="{00000000-0005-0000-0000-0000D6140000}"/>
    <cellStyle name="Вычисление 2 4 3 2" xfId="476" xr:uid="{00000000-0005-0000-0000-0000D7140000}"/>
    <cellStyle name="Вычисление 2 4 3 2 2" xfId="1308" xr:uid="{00000000-0005-0000-0000-0000D8140000}"/>
    <cellStyle name="Вычисление 2 4 3 2 2 2" xfId="21301" xr:uid="{00000000-0005-0000-0000-0000D9140000}"/>
    <cellStyle name="Вычисление 2 4 3 2 2 2 2" xfId="37943" xr:uid="{432E1D98-8799-4D4A-9679-DD1000BFFA6E}"/>
    <cellStyle name="Вычисление 2 4 3 2 2 3" xfId="6064" xr:uid="{00000000-0005-0000-0000-0000DA140000}"/>
    <cellStyle name="Вычисление 2 4 3 2 2 4" xfId="23851" xr:uid="{4F0CAC14-75E2-4100-B283-9BD0271F5D59}"/>
    <cellStyle name="Вычисление 2 4 3 2 3" xfId="2173" xr:uid="{00000000-0005-0000-0000-0000DB140000}"/>
    <cellStyle name="Вычисление 2 4 3 2 3 2" xfId="21923" xr:uid="{00000000-0005-0000-0000-0000DC140000}"/>
    <cellStyle name="Вычисление 2 4 3 2 3 2 2" xfId="38533" xr:uid="{D4E75A7F-7FD9-4D14-9053-E72E2F29B7F0}"/>
    <cellStyle name="Вычисление 2 4 3 2 3 3" xfId="6833" xr:uid="{00000000-0005-0000-0000-0000DD140000}"/>
    <cellStyle name="Вычисление 2 4 3 2 3 4" xfId="24460" xr:uid="{8F83897F-4980-42D8-BFA7-7A8F607680FB}"/>
    <cellStyle name="Вычисление 2 4 3 2 4" xfId="2566" xr:uid="{00000000-0005-0000-0000-0000DE140000}"/>
    <cellStyle name="Вычисление 2 4 3 2 4 2" xfId="22832" xr:uid="{00000000-0005-0000-0000-0000DF140000}"/>
    <cellStyle name="Вычисление 2 4 3 2 4 3" xfId="39298" xr:uid="{979D9DA9-A3EB-422A-9CD6-EB7B44B2BB33}"/>
    <cellStyle name="Вычисление 2 4 3 2 5" xfId="3417" xr:uid="{00000000-0005-0000-0000-0000E0140000}"/>
    <cellStyle name="Вычисление 2 4 3 2 5 2" xfId="23271" xr:uid="{00000000-0005-0000-0000-0000E1140000}"/>
    <cellStyle name="Вычисление 2 4 3 2 5 3" xfId="39698" xr:uid="{9AD030B9-7B15-4F74-ADC9-A53D68AEF7B1}"/>
    <cellStyle name="Вычисление 2 4 3 2 6" xfId="4036" xr:uid="{00000000-0005-0000-0000-0000E2140000}"/>
    <cellStyle name="Вычисление 2 4 3 2 6 2" xfId="20460" xr:uid="{00000000-0005-0000-0000-0000E3140000}"/>
    <cellStyle name="Вычисление 2 4 3 2 6 3" xfId="37352" xr:uid="{6D934693-2B46-417C-AC41-2753DBA55181}"/>
    <cellStyle name="Вычисление 2 4 3 2 7" xfId="4558" xr:uid="{00000000-0005-0000-0000-0000E4140000}"/>
    <cellStyle name="Вычисление 2 4 3 2 8" xfId="5040" xr:uid="{00000000-0005-0000-0000-0000E5140000}"/>
    <cellStyle name="Вычисление 2 4 3 3" xfId="521" xr:uid="{00000000-0005-0000-0000-0000E6140000}"/>
    <cellStyle name="Вычисление 2 4 3 3 2" xfId="1353" xr:uid="{00000000-0005-0000-0000-0000E7140000}"/>
    <cellStyle name="Вычисление 2 4 3 3 2 2" xfId="21346" xr:uid="{00000000-0005-0000-0000-0000E8140000}"/>
    <cellStyle name="Вычисление 2 4 3 3 2 2 2" xfId="37988" xr:uid="{BE9CE8FB-32FD-4AC5-87C0-17A305D946BD}"/>
    <cellStyle name="Вычисление 2 4 3 3 2 3" xfId="6109" xr:uid="{00000000-0005-0000-0000-0000E9140000}"/>
    <cellStyle name="Вычисление 2 4 3 3 2 4" xfId="23896" xr:uid="{B3C0CD36-B20F-4F12-A107-6EA77147129C}"/>
    <cellStyle name="Вычисление 2 4 3 3 3" xfId="1978" xr:uid="{00000000-0005-0000-0000-0000EA140000}"/>
    <cellStyle name="Вычисление 2 4 3 3 3 2" xfId="21968" xr:uid="{00000000-0005-0000-0000-0000EB140000}"/>
    <cellStyle name="Вычисление 2 4 3 3 3 2 2" xfId="38578" xr:uid="{71CEEF8C-D0E8-427B-8824-49E2C0F7E936}"/>
    <cellStyle name="Вычисление 2 4 3 3 3 3" xfId="6878" xr:uid="{00000000-0005-0000-0000-0000EC140000}"/>
    <cellStyle name="Вычисление 2 4 3 3 3 4" xfId="24505" xr:uid="{68E2BE00-0383-41FF-BF28-AE6057AA8048}"/>
    <cellStyle name="Вычисление 2 4 3 3 4" xfId="2767" xr:uid="{00000000-0005-0000-0000-0000ED140000}"/>
    <cellStyle name="Вычисление 2 4 3 3 4 2" xfId="23050" xr:uid="{00000000-0005-0000-0000-0000EE140000}"/>
    <cellStyle name="Вычисление 2 4 3 3 4 3" xfId="39516" xr:uid="{018E4503-A8FF-4EC6-8A5E-B77E31647001}"/>
    <cellStyle name="Вычисление 2 4 3 3 5" xfId="3762" xr:uid="{00000000-0005-0000-0000-0000EF140000}"/>
    <cellStyle name="Вычисление 2 4 3 3 5 2" xfId="23293" xr:uid="{00000000-0005-0000-0000-0000F0140000}"/>
    <cellStyle name="Вычисление 2 4 3 3 5 3" xfId="39720" xr:uid="{F56D88E8-7247-4A11-8B8A-A636A74E92CD}"/>
    <cellStyle name="Вычисление 2 4 3 3 6" xfId="4081" xr:uid="{00000000-0005-0000-0000-0000F1140000}"/>
    <cellStyle name="Вычисление 2 4 3 3 6 2" xfId="20507" xr:uid="{00000000-0005-0000-0000-0000F2140000}"/>
    <cellStyle name="Вычисление 2 4 3 3 6 3" xfId="37399" xr:uid="{C7FA11B8-09A5-4C8D-A0BB-13AC2A9BB46C}"/>
    <cellStyle name="Вычисление 2 4 3 3 7" xfId="4603" xr:uid="{00000000-0005-0000-0000-0000F3140000}"/>
    <cellStyle name="Вычисление 2 4 3 3 8" xfId="5085" xr:uid="{00000000-0005-0000-0000-0000F4140000}"/>
    <cellStyle name="Вычисление 2 4 3 4" xfId="573" xr:uid="{00000000-0005-0000-0000-0000F5140000}"/>
    <cellStyle name="Вычисление 2 4 3 4 2" xfId="1405" xr:uid="{00000000-0005-0000-0000-0000F6140000}"/>
    <cellStyle name="Вычисление 2 4 3 4 2 2" xfId="21398" xr:uid="{00000000-0005-0000-0000-0000F7140000}"/>
    <cellStyle name="Вычисление 2 4 3 4 2 2 2" xfId="38040" xr:uid="{87979C96-774E-4CE6-8405-63367470CAED}"/>
    <cellStyle name="Вычисление 2 4 3 4 2 3" xfId="6161" xr:uid="{00000000-0005-0000-0000-0000F8140000}"/>
    <cellStyle name="Вычисление 2 4 3 4 2 4" xfId="23948" xr:uid="{2CC679B4-D5F8-44FB-8211-4EBCF0ED691D}"/>
    <cellStyle name="Вычисление 2 4 3 4 3" xfId="1991" xr:uid="{00000000-0005-0000-0000-0000F9140000}"/>
    <cellStyle name="Вычисление 2 4 3 4 3 2" xfId="22020" xr:uid="{00000000-0005-0000-0000-0000FA140000}"/>
    <cellStyle name="Вычисление 2 4 3 4 3 2 2" xfId="38630" xr:uid="{6F667789-1398-45CD-BDF1-95F6F5806466}"/>
    <cellStyle name="Вычисление 2 4 3 4 3 3" xfId="6930" xr:uid="{00000000-0005-0000-0000-0000FB140000}"/>
    <cellStyle name="Вычисление 2 4 3 4 3 4" xfId="24557" xr:uid="{F1C441A7-BAAB-428D-8CC2-DBBE26057A1F}"/>
    <cellStyle name="Вычисление 2 4 3 4 4" xfId="2777" xr:uid="{00000000-0005-0000-0000-0000FC140000}"/>
    <cellStyle name="Вычисление 2 4 3 4 4 2" xfId="22979" xr:uid="{00000000-0005-0000-0000-0000FD140000}"/>
    <cellStyle name="Вычисление 2 4 3 4 4 3" xfId="39445" xr:uid="{9C0A5CF3-88A1-4181-A9A0-197D10541246}"/>
    <cellStyle name="Вычисление 2 4 3 4 5" xfId="3615" xr:uid="{00000000-0005-0000-0000-0000FE140000}"/>
    <cellStyle name="Вычисление 2 4 3 4 5 2" xfId="23317" xr:uid="{00000000-0005-0000-0000-0000FF140000}"/>
    <cellStyle name="Вычисление 2 4 3 4 5 3" xfId="39744" xr:uid="{2E0B3CAF-F128-4C46-8097-3FD8B5F07C48}"/>
    <cellStyle name="Вычисление 2 4 3 4 6" xfId="4133" xr:uid="{00000000-0005-0000-0000-000000150000}"/>
    <cellStyle name="Вычисление 2 4 3 4 6 2" xfId="20623" xr:uid="{00000000-0005-0000-0000-000001150000}"/>
    <cellStyle name="Вычисление 2 4 3 4 6 3" xfId="37465" xr:uid="{CBFDCE5A-06DD-4F46-B1F2-F6F20505DB52}"/>
    <cellStyle name="Вычисление 2 4 3 4 7" xfId="4655" xr:uid="{00000000-0005-0000-0000-000002150000}"/>
    <cellStyle name="Вычисление 2 4 3 4 8" xfId="5137" xr:uid="{00000000-0005-0000-0000-000003150000}"/>
    <cellStyle name="Вычисление 2 4 3 5" xfId="625" xr:uid="{00000000-0005-0000-0000-000004150000}"/>
    <cellStyle name="Вычисление 2 4 3 5 2" xfId="1457" xr:uid="{00000000-0005-0000-0000-000005150000}"/>
    <cellStyle name="Вычисление 2 4 3 5 2 2" xfId="21450" xr:uid="{00000000-0005-0000-0000-000006150000}"/>
    <cellStyle name="Вычисление 2 4 3 5 2 2 2" xfId="38092" xr:uid="{B25E68DA-FAFF-4CAF-95F6-4F077048D2E5}"/>
    <cellStyle name="Вычисление 2 4 3 5 2 3" xfId="6213" xr:uid="{00000000-0005-0000-0000-000007150000}"/>
    <cellStyle name="Вычисление 2 4 3 5 2 4" xfId="24000" xr:uid="{02355C37-7B69-4C38-B45B-F0240BF0911B}"/>
    <cellStyle name="Вычисление 2 4 3 5 3" xfId="2106" xr:uid="{00000000-0005-0000-0000-000008150000}"/>
    <cellStyle name="Вычисление 2 4 3 5 3 2" xfId="22072" xr:uid="{00000000-0005-0000-0000-000009150000}"/>
    <cellStyle name="Вычисление 2 4 3 5 3 2 2" xfId="38682" xr:uid="{E617B812-0895-429F-AD24-CCC4B7E7865A}"/>
    <cellStyle name="Вычисление 2 4 3 5 3 3" xfId="6982" xr:uid="{00000000-0005-0000-0000-00000A150000}"/>
    <cellStyle name="Вычисление 2 4 3 5 3 4" xfId="24609" xr:uid="{7FAD0485-29EE-4C58-89BD-7870E1939371}"/>
    <cellStyle name="Вычисление 2 4 3 5 4" xfId="2882" xr:uid="{00000000-0005-0000-0000-00000B150000}"/>
    <cellStyle name="Вычисление 2 4 3 5 4 2" xfId="22788" xr:uid="{00000000-0005-0000-0000-00000C150000}"/>
    <cellStyle name="Вычисление 2 4 3 5 4 3" xfId="39255" xr:uid="{41DE2D89-1958-4EE8-99FF-10518D5A8EA5}"/>
    <cellStyle name="Вычисление 2 4 3 5 5" xfId="3358" xr:uid="{00000000-0005-0000-0000-00000D150000}"/>
    <cellStyle name="Вычисление 2 4 3 5 5 2" xfId="23341" xr:uid="{00000000-0005-0000-0000-00000E150000}"/>
    <cellStyle name="Вычисление 2 4 3 5 5 3" xfId="39768" xr:uid="{72B29D75-2096-4B11-B2C4-5E26532463FD}"/>
    <cellStyle name="Вычисление 2 4 3 5 6" xfId="4185" xr:uid="{00000000-0005-0000-0000-00000F150000}"/>
    <cellStyle name="Вычисление 2 4 3 5 6 2" xfId="20661" xr:uid="{00000000-0005-0000-0000-000010150000}"/>
    <cellStyle name="Вычисление 2 4 3 5 6 3" xfId="37503" xr:uid="{B05B2623-C29D-4AC8-B55D-D846BA68FB63}"/>
    <cellStyle name="Вычисление 2 4 3 5 7" xfId="4707" xr:uid="{00000000-0005-0000-0000-000011150000}"/>
    <cellStyle name="Вычисление 2 4 3 5 8" xfId="5189" xr:uid="{00000000-0005-0000-0000-000012150000}"/>
    <cellStyle name="Вычисление 2 4 3 6" xfId="728" xr:uid="{00000000-0005-0000-0000-000013150000}"/>
    <cellStyle name="Вычисление 2 4 3 6 2" xfId="1558" xr:uid="{00000000-0005-0000-0000-000014150000}"/>
    <cellStyle name="Вычисление 2 4 3 6 2 2" xfId="21551" xr:uid="{00000000-0005-0000-0000-000015150000}"/>
    <cellStyle name="Вычисление 2 4 3 6 2 2 2" xfId="38193" xr:uid="{899613A3-1A51-40C4-BE78-E22C0DD4685F}"/>
    <cellStyle name="Вычисление 2 4 3 6 2 3" xfId="6314" xr:uid="{00000000-0005-0000-0000-000016150000}"/>
    <cellStyle name="Вычисление 2 4 3 6 2 4" xfId="24101" xr:uid="{F3BB6B3E-9A2C-4627-B992-854599FEB812}"/>
    <cellStyle name="Вычисление 2 4 3 6 3" xfId="2291" xr:uid="{00000000-0005-0000-0000-000017150000}"/>
    <cellStyle name="Вычисление 2 4 3 6 3 2" xfId="22173" xr:uid="{00000000-0005-0000-0000-000018150000}"/>
    <cellStyle name="Вычисление 2 4 3 6 3 2 2" xfId="38783" xr:uid="{BF61C154-03AD-49FD-B8C4-9DF8936A9800}"/>
    <cellStyle name="Вычисление 2 4 3 6 3 3" xfId="7083" xr:uid="{00000000-0005-0000-0000-000019150000}"/>
    <cellStyle name="Вычисление 2 4 3 6 3 4" xfId="24710" xr:uid="{95D75144-23AE-4368-BF77-55F5198D0D0C}"/>
    <cellStyle name="Вычисление 2 4 3 6 4" xfId="2384" xr:uid="{00000000-0005-0000-0000-00001A150000}"/>
    <cellStyle name="Вычисление 2 4 3 6 4 2" xfId="23116" xr:uid="{00000000-0005-0000-0000-00001B150000}"/>
    <cellStyle name="Вычисление 2 4 3 6 4 3" xfId="39582" xr:uid="{DDBDA0E3-D3A9-409C-BE6A-3636C7AE6574}"/>
    <cellStyle name="Вычисление 2 4 3 6 5" xfId="3852" xr:uid="{00000000-0005-0000-0000-00001C150000}"/>
    <cellStyle name="Вычисление 2 4 3 6 5 2" xfId="23383" xr:uid="{00000000-0005-0000-0000-00001D150000}"/>
    <cellStyle name="Вычисление 2 4 3 6 5 3" xfId="39810" xr:uid="{7E7B9D26-EF9E-474F-9DA1-4A52F218C6E4}"/>
    <cellStyle name="Вычисление 2 4 3 6 6" xfId="4287" xr:uid="{00000000-0005-0000-0000-00001E150000}"/>
    <cellStyle name="Вычисление 2 4 3 6 6 2" xfId="20726" xr:uid="{00000000-0005-0000-0000-00001F150000}"/>
    <cellStyle name="Вычисление 2 4 3 6 6 3" xfId="37555" xr:uid="{D0CD6EBF-7733-4E2E-B4C1-3DE49EE05329}"/>
    <cellStyle name="Вычисление 2 4 3 6 7" xfId="4809" xr:uid="{00000000-0005-0000-0000-000020150000}"/>
    <cellStyle name="Вычисление 2 4 3 6 8" xfId="5290" xr:uid="{00000000-0005-0000-0000-000021150000}"/>
    <cellStyle name="Вычисление 2 4 3 7" xfId="772" xr:uid="{00000000-0005-0000-0000-000022150000}"/>
    <cellStyle name="Вычисление 2 4 3 7 2" xfId="1601" xr:uid="{00000000-0005-0000-0000-000023150000}"/>
    <cellStyle name="Вычисление 2 4 3 7 2 2" xfId="21594" xr:uid="{00000000-0005-0000-0000-000024150000}"/>
    <cellStyle name="Вычисление 2 4 3 7 2 2 2" xfId="38236" xr:uid="{525912E2-A8F1-48B7-9091-ECF7DBDA74D7}"/>
    <cellStyle name="Вычисление 2 4 3 7 2 3" xfId="6357" xr:uid="{00000000-0005-0000-0000-000025150000}"/>
    <cellStyle name="Вычисление 2 4 3 7 2 4" xfId="24144" xr:uid="{88F5F7BE-83D6-4B12-8E27-20981B8F2869}"/>
    <cellStyle name="Вычисление 2 4 3 7 3" xfId="1866" xr:uid="{00000000-0005-0000-0000-000026150000}"/>
    <cellStyle name="Вычисление 2 4 3 7 3 2" xfId="22216" xr:uid="{00000000-0005-0000-0000-000027150000}"/>
    <cellStyle name="Вычисление 2 4 3 7 3 2 2" xfId="38826" xr:uid="{97410DE1-2FAC-4ECE-8DC5-F093D9C13781}"/>
    <cellStyle name="Вычисление 2 4 3 7 3 3" xfId="7126" xr:uid="{00000000-0005-0000-0000-000028150000}"/>
    <cellStyle name="Вычисление 2 4 3 7 3 4" xfId="24753" xr:uid="{C6873373-DF19-4FDF-8F9C-BFA5FA75F241}"/>
    <cellStyle name="Вычисление 2 4 3 7 4" xfId="2450" xr:uid="{00000000-0005-0000-0000-000029150000}"/>
    <cellStyle name="Вычисление 2 4 3 7 4 2" xfId="23112" xr:uid="{00000000-0005-0000-0000-00002A150000}"/>
    <cellStyle name="Вычисление 2 4 3 7 4 3" xfId="39578" xr:uid="{B83488B4-2ACD-4C03-A5FE-3CFCE573DEF9}"/>
    <cellStyle name="Вычисление 2 4 3 7 5" xfId="3867" xr:uid="{00000000-0005-0000-0000-00002B150000}"/>
    <cellStyle name="Вычисление 2 4 3 7 5 2" xfId="23405" xr:uid="{00000000-0005-0000-0000-00002C150000}"/>
    <cellStyle name="Вычисление 2 4 3 7 5 3" xfId="39832" xr:uid="{9050A691-4625-42A0-8F73-8E63A8F8317B}"/>
    <cellStyle name="Вычисление 2 4 3 7 6" xfId="4330" xr:uid="{00000000-0005-0000-0000-00002D150000}"/>
    <cellStyle name="Вычисление 2 4 3 7 6 2" xfId="20791" xr:uid="{00000000-0005-0000-0000-00002E150000}"/>
    <cellStyle name="Вычисление 2 4 3 7 6 3" xfId="37607" xr:uid="{DE307AAD-14F5-40A2-A289-691F4EB5D11D}"/>
    <cellStyle name="Вычисление 2 4 3 7 7" xfId="4852" xr:uid="{00000000-0005-0000-0000-00002F150000}"/>
    <cellStyle name="Вычисление 2 4 3 7 8" xfId="5333" xr:uid="{00000000-0005-0000-0000-000030150000}"/>
    <cellStyle name="Вычисление 2 4 3 8" xfId="804" xr:uid="{00000000-0005-0000-0000-000031150000}"/>
    <cellStyle name="Вычисление 2 4 3 8 2" xfId="1633" xr:uid="{00000000-0005-0000-0000-000032150000}"/>
    <cellStyle name="Вычисление 2 4 3 8 2 2" xfId="21626" xr:uid="{00000000-0005-0000-0000-000033150000}"/>
    <cellStyle name="Вычисление 2 4 3 8 2 2 2" xfId="38268" xr:uid="{CED072E5-9B17-4A78-87F4-F352E5CBAB17}"/>
    <cellStyle name="Вычисление 2 4 3 8 2 3" xfId="6389" xr:uid="{00000000-0005-0000-0000-000034150000}"/>
    <cellStyle name="Вычисление 2 4 3 8 2 4" xfId="24176" xr:uid="{17D97D87-CDA5-4534-BCEB-67F76F1399E7}"/>
    <cellStyle name="Вычисление 2 4 3 8 3" xfId="1862" xr:uid="{00000000-0005-0000-0000-000035150000}"/>
    <cellStyle name="Вычисление 2 4 3 8 3 2" xfId="22248" xr:uid="{00000000-0005-0000-0000-000036150000}"/>
    <cellStyle name="Вычисление 2 4 3 8 3 2 2" xfId="38858" xr:uid="{9EBC93FF-72F3-49DE-98C8-29ECF367E01C}"/>
    <cellStyle name="Вычисление 2 4 3 8 3 3" xfId="7158" xr:uid="{00000000-0005-0000-0000-000037150000}"/>
    <cellStyle name="Вычисление 2 4 3 8 3 4" xfId="24785" xr:uid="{628A8A97-9D6B-4379-996B-93A122F2A4FB}"/>
    <cellStyle name="Вычисление 2 4 3 8 4" xfId="2656" xr:uid="{00000000-0005-0000-0000-000038150000}"/>
    <cellStyle name="Вычисление 2 4 3 8 4 2" xfId="23101" xr:uid="{00000000-0005-0000-0000-000039150000}"/>
    <cellStyle name="Вычисление 2 4 3 8 4 3" xfId="39567" xr:uid="{989C8976-1FA9-4BE4-93DB-604C5F71E91C}"/>
    <cellStyle name="Вычисление 2 4 3 8 5" xfId="3381" xr:uid="{00000000-0005-0000-0000-00003A150000}"/>
    <cellStyle name="Вычисление 2 4 3 8 5 2" xfId="23421" xr:uid="{00000000-0005-0000-0000-00003B150000}"/>
    <cellStyle name="Вычисление 2 4 3 8 5 3" xfId="39848" xr:uid="{DB45D30D-4AB2-4420-B76A-817C13545221}"/>
    <cellStyle name="Вычисление 2 4 3 8 6" xfId="4362" xr:uid="{00000000-0005-0000-0000-00003C150000}"/>
    <cellStyle name="Вычисление 2 4 3 8 6 2" xfId="20856" xr:uid="{00000000-0005-0000-0000-00003D150000}"/>
    <cellStyle name="Вычисление 2 4 3 8 6 3" xfId="37659" xr:uid="{92DD7A21-1DA3-43C4-8AC9-01FD1CA90215}"/>
    <cellStyle name="Вычисление 2 4 3 8 7" xfId="4884" xr:uid="{00000000-0005-0000-0000-00003E150000}"/>
    <cellStyle name="Вычисление 2 4 3 8 8" xfId="5365" xr:uid="{00000000-0005-0000-0000-00003F150000}"/>
    <cellStyle name="Вычисление 2 4 3 9" xfId="836" xr:uid="{00000000-0005-0000-0000-000040150000}"/>
    <cellStyle name="Вычисление 2 4 3 9 2" xfId="1665" xr:uid="{00000000-0005-0000-0000-000041150000}"/>
    <cellStyle name="Вычисление 2 4 3 9 2 2" xfId="21658" xr:uid="{00000000-0005-0000-0000-000042150000}"/>
    <cellStyle name="Вычисление 2 4 3 9 2 2 2" xfId="38300" xr:uid="{7E284A74-27F4-4228-8518-68026FB2804A}"/>
    <cellStyle name="Вычисление 2 4 3 9 2 3" xfId="6421" xr:uid="{00000000-0005-0000-0000-000043150000}"/>
    <cellStyle name="Вычисление 2 4 3 9 2 4" xfId="24208" xr:uid="{4BCCAD44-5CBE-49B9-A2D8-3BB8133E9EA1}"/>
    <cellStyle name="Вычисление 2 4 3 9 3" xfId="2326" xr:uid="{00000000-0005-0000-0000-000044150000}"/>
    <cellStyle name="Вычисление 2 4 3 9 3 2" xfId="22280" xr:uid="{00000000-0005-0000-0000-000045150000}"/>
    <cellStyle name="Вычисление 2 4 3 9 3 2 2" xfId="38890" xr:uid="{DE723B4D-8373-4098-804A-2D6876C37F20}"/>
    <cellStyle name="Вычисление 2 4 3 9 3 3" xfId="7190" xr:uid="{00000000-0005-0000-0000-000046150000}"/>
    <cellStyle name="Вычисление 2 4 3 9 3 4" xfId="24817" xr:uid="{75014E59-0FDD-4A45-842A-69B6FB574BF2}"/>
    <cellStyle name="Вычисление 2 4 3 9 4" xfId="2371" xr:uid="{00000000-0005-0000-0000-000047150000}"/>
    <cellStyle name="Вычисление 2 4 3 9 4 2" xfId="23105" xr:uid="{00000000-0005-0000-0000-000048150000}"/>
    <cellStyle name="Вычисление 2 4 3 9 4 3" xfId="39571" xr:uid="{3D9EB761-5B98-4F95-9D3F-0F218254B11D}"/>
    <cellStyle name="Вычисление 2 4 3 9 5" xfId="3844" xr:uid="{00000000-0005-0000-0000-000049150000}"/>
    <cellStyle name="Вычисление 2 4 3 9 5 2" xfId="23437" xr:uid="{00000000-0005-0000-0000-00004A150000}"/>
    <cellStyle name="Вычисление 2 4 3 9 5 3" xfId="39864" xr:uid="{ED6E400C-A74F-433E-830C-19EDC113C325}"/>
    <cellStyle name="Вычисление 2 4 3 9 6" xfId="4394" xr:uid="{00000000-0005-0000-0000-00004B150000}"/>
    <cellStyle name="Вычисление 2 4 3 9 6 2" xfId="20921" xr:uid="{00000000-0005-0000-0000-00004C150000}"/>
    <cellStyle name="Вычисление 2 4 3 9 6 3" xfId="37711" xr:uid="{E760B152-3F39-4CA6-9DFD-F610ECDBCE36}"/>
    <cellStyle name="Вычисление 2 4 3 9 7" xfId="4916" xr:uid="{00000000-0005-0000-0000-00004D150000}"/>
    <cellStyle name="Вычисление 2 4 3 9 8" xfId="5397" xr:uid="{00000000-0005-0000-0000-00004E150000}"/>
    <cellStyle name="Вычисление 2 4 4" xfId="887" xr:uid="{00000000-0005-0000-0000-00004F150000}"/>
    <cellStyle name="Вычисление 2 4 4 2" xfId="2081" xr:uid="{00000000-0005-0000-0000-000050150000}"/>
    <cellStyle name="Вычисление 2 4 4 2 2" xfId="21773" xr:uid="{00000000-0005-0000-0000-000051150000}"/>
    <cellStyle name="Вычисление 2 4 4 2 2 2" xfId="38383" xr:uid="{90A9F73F-CD4E-47BA-ABD8-78C5C7B24245}"/>
    <cellStyle name="Вычисление 2 4 4 2 3" xfId="5835" xr:uid="{00000000-0005-0000-0000-000052150000}"/>
    <cellStyle name="Вычисление 2 4 4 2 4" xfId="23701" xr:uid="{9A3D94C3-820F-47F9-A956-9B341F4A1AEB}"/>
    <cellStyle name="Вычисление 2 4 4 3" xfId="2869" xr:uid="{00000000-0005-0000-0000-000053150000}"/>
    <cellStyle name="Вычисление 2 4 4 3 2" xfId="22599" xr:uid="{00000000-0005-0000-0000-000054150000}"/>
    <cellStyle name="Вычисление 2 4 4 3 2 2" xfId="39075" xr:uid="{84C98956-4C8B-4C8C-AE24-7630E036F906}"/>
    <cellStyle name="Вычисление 2 4 4 3 3" xfId="6689" xr:uid="{00000000-0005-0000-0000-000055150000}"/>
    <cellStyle name="Вычисление 2 4 4 3 4" xfId="24316" xr:uid="{00FEAE13-DD45-4EA2-80C9-31F9583DDD20}"/>
    <cellStyle name="Вычисление 2 4 4 4" xfId="3666" xr:uid="{00000000-0005-0000-0000-000056150000}"/>
    <cellStyle name="Вычисление 2 4 4 4 2" xfId="23201" xr:uid="{00000000-0005-0000-0000-000057150000}"/>
    <cellStyle name="Вычисление 2 4 4 4 3" xfId="39628" xr:uid="{A1567F40-B786-4B63-A7C2-6D9961CC32FE}"/>
    <cellStyle name="Вычисление 2 4 4 5" xfId="3539" xr:uid="{00000000-0005-0000-0000-000058150000}"/>
    <cellStyle name="Вычисление 2 4 4 5 2" xfId="21059" xr:uid="{00000000-0005-0000-0000-000059150000}"/>
    <cellStyle name="Вычисление 2 4 4 5 3" xfId="37793" xr:uid="{E45D2BAB-4A36-4082-8B8D-8D649A0E0808}"/>
    <cellStyle name="Вычисление 2 4 4 6" xfId="2953" xr:uid="{00000000-0005-0000-0000-00005A150000}"/>
    <cellStyle name="Вычисление 2 4 4 7" xfId="3974" xr:uid="{00000000-0005-0000-0000-00005B150000}"/>
    <cellStyle name="Вычисление 2 4 5" xfId="2255" xr:uid="{00000000-0005-0000-0000-00005C150000}"/>
    <cellStyle name="Вычисление 2 4 5 2" xfId="22878" xr:uid="{00000000-0005-0000-0000-00005D150000}"/>
    <cellStyle name="Вычисление 2 4 5 2 2" xfId="39344" xr:uid="{90FFD6EB-0F0F-49C0-BC89-D8797E6C9D14}"/>
    <cellStyle name="Вычисление 2 4 5 3" xfId="5612" xr:uid="{00000000-0005-0000-0000-00005E150000}"/>
    <cellStyle name="Вычисление 2 4 5 4" xfId="23615" xr:uid="{D501780D-F42E-4D20-B78B-EABF8226C8BA}"/>
    <cellStyle name="Вычисление 2 4 6" xfId="2427" xr:uid="{00000000-0005-0000-0000-00005F150000}"/>
    <cellStyle name="Вычисление 2 4 6 2" xfId="6609" xr:uid="{00000000-0005-0000-0000-000060150000}"/>
    <cellStyle name="Вычисление 2 4 6 3" xfId="24236" xr:uid="{CEB8108B-4C4F-4D80-884B-A02D0E555A98}"/>
    <cellStyle name="Вычисление 2 4 7" xfId="3562" xr:uid="{00000000-0005-0000-0000-000061150000}"/>
    <cellStyle name="Вычисление 2 4 7 2" xfId="7407" xr:uid="{00000000-0005-0000-0000-000062150000}"/>
    <cellStyle name="Вычисление 2 4 7 3" xfId="24862" xr:uid="{B01826E9-50FA-4901-9E5C-E60EA61DA26A}"/>
    <cellStyle name="Вычисление 2 4 8" xfId="3084" xr:uid="{00000000-0005-0000-0000-000063150000}"/>
    <cellStyle name="Вычисление 2 4 9" xfId="3432" xr:uid="{00000000-0005-0000-0000-000064150000}"/>
    <cellStyle name="Вычисление 2 5" xfId="203" xr:uid="{00000000-0005-0000-0000-000065150000}"/>
    <cellStyle name="Вычисление 2 5 10" xfId="3903" xr:uid="{00000000-0005-0000-0000-000066150000}"/>
    <cellStyle name="Вычисление 2 5 2" xfId="238" xr:uid="{00000000-0005-0000-0000-000067150000}"/>
    <cellStyle name="Вычисление 2 5 2 10" xfId="821" xr:uid="{00000000-0005-0000-0000-000068150000}"/>
    <cellStyle name="Вычисление 2 5 2 10 2" xfId="1650" xr:uid="{00000000-0005-0000-0000-000069150000}"/>
    <cellStyle name="Вычисление 2 5 2 10 2 2" xfId="21643" xr:uid="{00000000-0005-0000-0000-00006A150000}"/>
    <cellStyle name="Вычисление 2 5 2 10 2 2 2" xfId="38285" xr:uid="{82EFC97E-F53F-4EF5-8E6D-D1AE2F261504}"/>
    <cellStyle name="Вычисление 2 5 2 10 2 3" xfId="6406" xr:uid="{00000000-0005-0000-0000-00006B150000}"/>
    <cellStyle name="Вычисление 2 5 2 10 2 4" xfId="24193" xr:uid="{BEF60C41-1518-4DCB-9441-40A396E7F352}"/>
    <cellStyle name="Вычисление 2 5 2 10 3" xfId="1889" xr:uid="{00000000-0005-0000-0000-00006C150000}"/>
    <cellStyle name="Вычисление 2 5 2 10 3 2" xfId="22265" xr:uid="{00000000-0005-0000-0000-00006D150000}"/>
    <cellStyle name="Вычисление 2 5 2 10 3 2 2" xfId="38875" xr:uid="{6AE63C5E-DD78-4C1B-8F73-9678A79949CB}"/>
    <cellStyle name="Вычисление 2 5 2 10 3 3" xfId="7175" xr:uid="{00000000-0005-0000-0000-00006E150000}"/>
    <cellStyle name="Вычисление 2 5 2 10 3 4" xfId="24802" xr:uid="{4E1412DE-C2B1-492C-8F0E-AD89F5FF460A}"/>
    <cellStyle name="Вычисление 2 5 2 10 4" xfId="2925" xr:uid="{00000000-0005-0000-0000-00006F150000}"/>
    <cellStyle name="Вычисление 2 5 2 10 4 2" xfId="23094" xr:uid="{00000000-0005-0000-0000-000070150000}"/>
    <cellStyle name="Вычисление 2 5 2 10 4 3" xfId="39560" xr:uid="{1987374C-4321-4A4D-A58D-F03525B84683}"/>
    <cellStyle name="Вычисление 2 5 2 10 5" xfId="3273" xr:uid="{00000000-0005-0000-0000-000071150000}"/>
    <cellStyle name="Вычисление 2 5 2 10 5 2" xfId="23429" xr:uid="{00000000-0005-0000-0000-000072150000}"/>
    <cellStyle name="Вычисление 2 5 2 10 5 3" xfId="39856" xr:uid="{78E80194-DF49-4C9F-AB37-721DFC140096}"/>
    <cellStyle name="Вычисление 2 5 2 10 6" xfId="4379" xr:uid="{00000000-0005-0000-0000-000073150000}"/>
    <cellStyle name="Вычисление 2 5 2 10 6 2" xfId="20906" xr:uid="{00000000-0005-0000-0000-000074150000}"/>
    <cellStyle name="Вычисление 2 5 2 10 6 3" xfId="37696" xr:uid="{E1264EC4-9003-4DB9-908B-252A9AB5F726}"/>
    <cellStyle name="Вычисление 2 5 2 10 7" xfId="4901" xr:uid="{00000000-0005-0000-0000-000075150000}"/>
    <cellStyle name="Вычисление 2 5 2 10 8" xfId="5382" xr:uid="{00000000-0005-0000-0000-000076150000}"/>
    <cellStyle name="Вычисление 2 5 2 11" xfId="959" xr:uid="{00000000-0005-0000-0000-000077150000}"/>
    <cellStyle name="Вычисление 2 5 2 11 2" xfId="2208" xr:uid="{00000000-0005-0000-0000-000078150000}"/>
    <cellStyle name="Вычисление 2 5 2 11 2 2" xfId="21805" xr:uid="{00000000-0005-0000-0000-000079150000}"/>
    <cellStyle name="Вычисление 2 5 2 11 2 2 2" xfId="38415" xr:uid="{78D2C838-EBAA-43D6-A78C-E287B6FD494A}"/>
    <cellStyle name="Вычисление 2 5 2 11 2 3" xfId="5877" xr:uid="{00000000-0005-0000-0000-00007A150000}"/>
    <cellStyle name="Вычисление 2 5 2 11 2 4" xfId="23733" xr:uid="{BFAE4990-A54A-4BD0-958E-A6D79060B985}"/>
    <cellStyle name="Вычисление 2 5 2 11 3" xfId="2557" xr:uid="{00000000-0005-0000-0000-00007B150000}"/>
    <cellStyle name="Вычисление 2 5 2 11 3 2" xfId="22881" xr:uid="{00000000-0005-0000-0000-00007C150000}"/>
    <cellStyle name="Вычисление 2 5 2 11 3 2 2" xfId="39347" xr:uid="{76C20BF3-9632-423E-9CF2-527B76811DF2}"/>
    <cellStyle name="Вычисление 2 5 2 11 3 3" xfId="6721" xr:uid="{00000000-0005-0000-0000-00007D150000}"/>
    <cellStyle name="Вычисление 2 5 2 11 3 4" xfId="24348" xr:uid="{CC154A5A-4E43-4CC4-B723-8315265D0420}"/>
    <cellStyle name="Вычисление 2 5 2 11 4" xfId="3526" xr:uid="{00000000-0005-0000-0000-00007E150000}"/>
    <cellStyle name="Вычисление 2 5 2 11 4 2" xfId="23215" xr:uid="{00000000-0005-0000-0000-00007F150000}"/>
    <cellStyle name="Вычисление 2 5 2 11 4 3" xfId="39642" xr:uid="{50CB6AAE-2F8D-46CE-AAD1-9191969091C0}"/>
    <cellStyle name="Вычисление 2 5 2 11 5" xfId="3881" xr:uid="{00000000-0005-0000-0000-000080150000}"/>
    <cellStyle name="Вычисление 2 5 2 11 5 2" xfId="21101" xr:uid="{00000000-0005-0000-0000-000081150000}"/>
    <cellStyle name="Вычисление 2 5 2 11 5 3" xfId="37825" xr:uid="{0F485DFD-7487-43AC-9858-185F86042006}"/>
    <cellStyle name="Вычисление 2 5 2 11 6" xfId="3971" xr:uid="{00000000-0005-0000-0000-000082150000}"/>
    <cellStyle name="Вычисление 2 5 2 11 7" xfId="4498" xr:uid="{00000000-0005-0000-0000-000083150000}"/>
    <cellStyle name="Вычисление 2 5 2 12" xfId="1844" xr:uid="{00000000-0005-0000-0000-000084150000}"/>
    <cellStyle name="Вычисление 2 5 2 12 2" xfId="20971" xr:uid="{00000000-0005-0000-0000-000085150000}"/>
    <cellStyle name="Вычисление 2 5 2 12 2 2" xfId="37748" xr:uid="{AF397428-1FB8-4A9A-8F14-74FD19E1D747}"/>
    <cellStyle name="Вычисление 2 5 2 12 3" xfId="5724" xr:uid="{00000000-0005-0000-0000-000086150000}"/>
    <cellStyle name="Вычисление 2 5 2 12 4" xfId="23653" xr:uid="{4F545FB9-D012-4FAF-9628-96A4A39AA588}"/>
    <cellStyle name="Вычисление 2 5 2 13" xfId="2605" xr:uid="{00000000-0005-0000-0000-000087150000}"/>
    <cellStyle name="Вычисление 2 5 2 13 2" xfId="21728" xr:uid="{00000000-0005-0000-0000-000088150000}"/>
    <cellStyle name="Вычисление 2 5 2 13 2 2" xfId="38338" xr:uid="{24B59B42-C824-49A6-9C8C-F32B1C0B44FE}"/>
    <cellStyle name="Вычисление 2 5 2 13 3" xfId="6646" xr:uid="{00000000-0005-0000-0000-000089150000}"/>
    <cellStyle name="Вычисление 2 5 2 13 4" xfId="24273" xr:uid="{21D51FF7-7895-42B1-8969-2E8C7042CD2C}"/>
    <cellStyle name="Вычисление 2 5 2 14" xfId="3113" xr:uid="{00000000-0005-0000-0000-00008A150000}"/>
    <cellStyle name="Вычисление 2 5 2 14 2" xfId="22633" xr:uid="{00000000-0005-0000-0000-00008B150000}"/>
    <cellStyle name="Вычисление 2 5 2 14 3" xfId="39106" xr:uid="{96CB41E3-6AED-4647-89BD-C0DA98C18154}"/>
    <cellStyle name="Вычисление 2 5 2 15" xfId="3665" xr:uid="{00000000-0005-0000-0000-00008C150000}"/>
    <cellStyle name="Вычисление 2 5 2 15 2" xfId="23143" xr:uid="{00000000-0005-0000-0000-00008D150000}"/>
    <cellStyle name="Вычисление 2 5 2 15 3" xfId="39590" xr:uid="{FF6CFA3D-0282-4B8E-82E6-2DAC10DE1DE4}"/>
    <cellStyle name="Вычисление 2 5 2 16" xfId="3687" xr:uid="{00000000-0005-0000-0000-00008E150000}"/>
    <cellStyle name="Вычисление 2 5 2 16 2" xfId="7495" xr:uid="{00000000-0005-0000-0000-00008F150000}"/>
    <cellStyle name="Вычисление 2 5 2 16 3" xfId="24897" xr:uid="{1619B484-3AD1-4C36-9965-DAB27A55D734}"/>
    <cellStyle name="Вычисление 2 5 2 17" xfId="3939" xr:uid="{00000000-0005-0000-0000-000090150000}"/>
    <cellStyle name="Вычисление 2 5 2 2" xfId="351" xr:uid="{00000000-0005-0000-0000-000091150000}"/>
    <cellStyle name="Вычисление 2 5 2 2 2" xfId="1031" xr:uid="{00000000-0005-0000-0000-000092150000}"/>
    <cellStyle name="Вычисление 2 5 2 2 2 2" xfId="21199" xr:uid="{00000000-0005-0000-0000-000093150000}"/>
    <cellStyle name="Вычисление 2 5 2 2 2 2 2" xfId="37865" xr:uid="{54DC27B5-D102-4228-BE74-AAB61886BE42}"/>
    <cellStyle name="Вычисление 2 5 2 2 2 3" xfId="5980" xr:uid="{00000000-0005-0000-0000-000094150000}"/>
    <cellStyle name="Вычисление 2 5 2 2 2 4" xfId="23773" xr:uid="{1A0162A3-0662-4C18-8AC3-CBA704B95B76}"/>
    <cellStyle name="Вычисление 2 5 2 2 3" xfId="2263" xr:uid="{00000000-0005-0000-0000-000095150000}"/>
    <cellStyle name="Вычисление 2 5 2 2 3 2" xfId="21845" xr:uid="{00000000-0005-0000-0000-000096150000}"/>
    <cellStyle name="Вычисление 2 5 2 2 3 2 2" xfId="38455" xr:uid="{387E2BCC-8274-492E-971E-18BD31207BB9}"/>
    <cellStyle name="Вычисление 2 5 2 2 3 3" xfId="6759" xr:uid="{00000000-0005-0000-0000-000097150000}"/>
    <cellStyle name="Вычисление 2 5 2 2 3 4" xfId="24386" xr:uid="{2701EB2B-519D-4114-A509-16542108F604}"/>
    <cellStyle name="Вычисление 2 5 2 2 4" xfId="2457" xr:uid="{00000000-0005-0000-0000-000098150000}"/>
    <cellStyle name="Вычисление 2 5 2 2 4 2" xfId="22939" xr:uid="{00000000-0005-0000-0000-000099150000}"/>
    <cellStyle name="Вычисление 2 5 2 2 4 3" xfId="39405" xr:uid="{51E0C477-5FE8-4FE7-B9AC-67EACE49A413}"/>
    <cellStyle name="Вычисление 2 5 2 2 5" xfId="3599" xr:uid="{00000000-0005-0000-0000-00009A150000}"/>
    <cellStyle name="Вычисление 2 5 2 2 5 2" xfId="23233" xr:uid="{00000000-0005-0000-0000-00009B150000}"/>
    <cellStyle name="Вычисление 2 5 2 2 5 3" xfId="39660" xr:uid="{FC97ECD2-6B2F-446D-8865-C8AE5F0DA5B2}"/>
    <cellStyle name="Вычисление 2 5 2 2 6" xfId="3947" xr:uid="{00000000-0005-0000-0000-00009C150000}"/>
    <cellStyle name="Вычисление 2 5 2 2 6 2" xfId="14077" xr:uid="{00000000-0005-0000-0000-00009D150000}"/>
    <cellStyle name="Вычисление 2 5 2 2 6 3" xfId="31116" xr:uid="{97B0F08C-C348-4DC6-8C44-5BBE73E1E944}"/>
    <cellStyle name="Вычисление 2 5 2 2 7" xfId="4476" xr:uid="{00000000-0005-0000-0000-00009E150000}"/>
    <cellStyle name="Вычисление 2 5 2 2 8" xfId="4966" xr:uid="{00000000-0005-0000-0000-00009F150000}"/>
    <cellStyle name="Вычисление 2 5 2 3" xfId="460" xr:uid="{00000000-0005-0000-0000-0000A0150000}"/>
    <cellStyle name="Вычисление 2 5 2 3 2" xfId="1292" xr:uid="{00000000-0005-0000-0000-0000A1150000}"/>
    <cellStyle name="Вычисление 2 5 2 3 2 2" xfId="21285" xr:uid="{00000000-0005-0000-0000-0000A2150000}"/>
    <cellStyle name="Вычисление 2 5 2 3 2 2 2" xfId="37927" xr:uid="{473D4C6D-D27D-4451-93DA-C92C2937D509}"/>
    <cellStyle name="Вычисление 2 5 2 3 2 3" xfId="6048" xr:uid="{00000000-0005-0000-0000-0000A3150000}"/>
    <cellStyle name="Вычисление 2 5 2 3 2 4" xfId="23835" xr:uid="{36A9FB2C-18C8-4671-A63C-08DEE00A8C00}"/>
    <cellStyle name="Вычисление 2 5 2 3 3" xfId="1824" xr:uid="{00000000-0005-0000-0000-0000A4150000}"/>
    <cellStyle name="Вычисление 2 5 2 3 3 2" xfId="21907" xr:uid="{00000000-0005-0000-0000-0000A5150000}"/>
    <cellStyle name="Вычисление 2 5 2 3 3 2 2" xfId="38517" xr:uid="{5B239AF8-CC83-4602-9BB5-83C78765E5D5}"/>
    <cellStyle name="Вычисление 2 5 2 3 3 3" xfId="6818" xr:uid="{00000000-0005-0000-0000-0000A6150000}"/>
    <cellStyle name="Вычисление 2 5 2 3 3 4" xfId="24445" xr:uid="{44DEAC39-260F-498A-8C2E-2D6D9981CC50}"/>
    <cellStyle name="Вычисление 2 5 2 3 4" xfId="2675" xr:uid="{00000000-0005-0000-0000-0000A7150000}"/>
    <cellStyle name="Вычисление 2 5 2 3 4 2" xfId="23074" xr:uid="{00000000-0005-0000-0000-0000A8150000}"/>
    <cellStyle name="Вычисление 2 5 2 3 4 3" xfId="39540" xr:uid="{074A9B24-7620-471C-A1A5-7EF4702ECF5B}"/>
    <cellStyle name="Вычисление 2 5 2 3 5" xfId="3798" xr:uid="{00000000-0005-0000-0000-0000A9150000}"/>
    <cellStyle name="Вычисление 2 5 2 3 5 2" xfId="23262" xr:uid="{00000000-0005-0000-0000-0000AA150000}"/>
    <cellStyle name="Вычисление 2 5 2 3 5 3" xfId="39689" xr:uid="{F006BE2F-2BA0-403C-A010-984B99458F95}"/>
    <cellStyle name="Вычисление 2 5 2 3 6" xfId="4021" xr:uid="{00000000-0005-0000-0000-0000AB150000}"/>
    <cellStyle name="Вычисление 2 5 2 3 6 2" xfId="20440" xr:uid="{00000000-0005-0000-0000-0000AC150000}"/>
    <cellStyle name="Вычисление 2 5 2 3 6 3" xfId="37337" xr:uid="{1C334E9A-884C-4BA5-8E8D-5CE53E621B99}"/>
    <cellStyle name="Вычисление 2 5 2 3 7" xfId="4543" xr:uid="{00000000-0005-0000-0000-0000AD150000}"/>
    <cellStyle name="Вычисление 2 5 2 3 8" xfId="5025" xr:uid="{00000000-0005-0000-0000-0000AE150000}"/>
    <cellStyle name="Вычисление 2 5 2 4" xfId="506" xr:uid="{00000000-0005-0000-0000-0000AF150000}"/>
    <cellStyle name="Вычисление 2 5 2 4 2" xfId="1338" xr:uid="{00000000-0005-0000-0000-0000B0150000}"/>
    <cellStyle name="Вычисление 2 5 2 4 2 2" xfId="21331" xr:uid="{00000000-0005-0000-0000-0000B1150000}"/>
    <cellStyle name="Вычисление 2 5 2 4 2 2 2" xfId="37973" xr:uid="{0E37413D-2332-48AD-A73E-3F35194F6F0E}"/>
    <cellStyle name="Вычисление 2 5 2 4 2 3" xfId="6094" xr:uid="{00000000-0005-0000-0000-0000B2150000}"/>
    <cellStyle name="Вычисление 2 5 2 4 2 4" xfId="23881" xr:uid="{358F0261-A301-490F-8940-6A2D669D3471}"/>
    <cellStyle name="Вычисление 2 5 2 4 3" xfId="2075" xr:uid="{00000000-0005-0000-0000-0000B3150000}"/>
    <cellStyle name="Вычисление 2 5 2 4 3 2" xfId="21953" xr:uid="{00000000-0005-0000-0000-0000B4150000}"/>
    <cellStyle name="Вычисление 2 5 2 4 3 2 2" xfId="38563" xr:uid="{A6DEA1DB-96B4-4AF9-9F97-FBA172C74BA7}"/>
    <cellStyle name="Вычисление 2 5 2 4 3 3" xfId="6863" xr:uid="{00000000-0005-0000-0000-0000B5150000}"/>
    <cellStyle name="Вычисление 2 5 2 4 3 4" xfId="24490" xr:uid="{CADD766D-A80C-4A75-AE94-2E5C9853C961}"/>
    <cellStyle name="Вычисление 2 5 2 4 4" xfId="2862" xr:uid="{00000000-0005-0000-0000-0000B6150000}"/>
    <cellStyle name="Вычисление 2 5 2 4 4 2" xfId="22587" xr:uid="{00000000-0005-0000-0000-0000B7150000}"/>
    <cellStyle name="Вычисление 2 5 2 4 4 3" xfId="39063" xr:uid="{A9920AD9-46DC-452E-BD4A-0AEB06F3966A}"/>
    <cellStyle name="Вычисление 2 5 2 4 5" xfId="3289" xr:uid="{00000000-0005-0000-0000-0000B8150000}"/>
    <cellStyle name="Вычисление 2 5 2 4 5 2" xfId="23285" xr:uid="{00000000-0005-0000-0000-0000B9150000}"/>
    <cellStyle name="Вычисление 2 5 2 4 5 3" xfId="39712" xr:uid="{17E399DF-60B7-43C3-886D-E700792AE996}"/>
    <cellStyle name="Вычисление 2 5 2 4 6" xfId="4066" xr:uid="{00000000-0005-0000-0000-0000BA150000}"/>
    <cellStyle name="Вычисление 2 5 2 4 6 2" xfId="20492" xr:uid="{00000000-0005-0000-0000-0000BB150000}"/>
    <cellStyle name="Вычисление 2 5 2 4 6 3" xfId="37384" xr:uid="{EBCFE91A-EFF7-4423-A64F-CFDF7D2BCA2D}"/>
    <cellStyle name="Вычисление 2 5 2 4 7" xfId="4588" xr:uid="{00000000-0005-0000-0000-0000BC150000}"/>
    <cellStyle name="Вычисление 2 5 2 4 8" xfId="5070" xr:uid="{00000000-0005-0000-0000-0000BD150000}"/>
    <cellStyle name="Вычисление 2 5 2 5" xfId="558" xr:uid="{00000000-0005-0000-0000-0000BE150000}"/>
    <cellStyle name="Вычисление 2 5 2 5 2" xfId="1390" xr:uid="{00000000-0005-0000-0000-0000BF150000}"/>
    <cellStyle name="Вычисление 2 5 2 5 2 2" xfId="21383" xr:uid="{00000000-0005-0000-0000-0000C0150000}"/>
    <cellStyle name="Вычисление 2 5 2 5 2 2 2" xfId="38025" xr:uid="{6483ECD2-D666-4DFA-A3D7-F8B3EC6A0ED7}"/>
    <cellStyle name="Вычисление 2 5 2 5 2 3" xfId="6146" xr:uid="{00000000-0005-0000-0000-0000C1150000}"/>
    <cellStyle name="Вычисление 2 5 2 5 2 4" xfId="23933" xr:uid="{50FA365F-B2BA-4F26-94F8-36CB62E0B7D0}"/>
    <cellStyle name="Вычисление 2 5 2 5 3" xfId="1944" xr:uid="{00000000-0005-0000-0000-0000C2150000}"/>
    <cellStyle name="Вычисление 2 5 2 5 3 2" xfId="22005" xr:uid="{00000000-0005-0000-0000-0000C3150000}"/>
    <cellStyle name="Вычисление 2 5 2 5 3 2 2" xfId="38615" xr:uid="{814844DD-3EE4-4DCA-9880-902579BBEB29}"/>
    <cellStyle name="Вычисление 2 5 2 5 3 3" xfId="6915" xr:uid="{00000000-0005-0000-0000-0000C4150000}"/>
    <cellStyle name="Вычисление 2 5 2 5 3 4" xfId="24542" xr:uid="{9000EC28-4DBD-491D-B884-F92397A29136}"/>
    <cellStyle name="Вычисление 2 5 2 5 4" xfId="2755" xr:uid="{00000000-0005-0000-0000-0000C5150000}"/>
    <cellStyle name="Вычисление 2 5 2 5 4 2" xfId="22559" xr:uid="{00000000-0005-0000-0000-0000C6150000}"/>
    <cellStyle name="Вычисление 2 5 2 5 4 3" xfId="39037" xr:uid="{F5022CD4-26C8-4D80-AA03-CDC917E8FB9E}"/>
    <cellStyle name="Вычисление 2 5 2 5 5" xfId="3031" xr:uid="{00000000-0005-0000-0000-0000C7150000}"/>
    <cellStyle name="Вычисление 2 5 2 5 5 2" xfId="23309" xr:uid="{00000000-0005-0000-0000-0000C8150000}"/>
    <cellStyle name="Вычисление 2 5 2 5 5 3" xfId="39736" xr:uid="{4DACD3D6-3E02-4ACC-AFAC-F97C6255D85A}"/>
    <cellStyle name="Вычисление 2 5 2 5 6" xfId="4118" xr:uid="{00000000-0005-0000-0000-0000C9150000}"/>
    <cellStyle name="Вычисление 2 5 2 5 6 2" xfId="20606" xr:uid="{00000000-0005-0000-0000-0000CA150000}"/>
    <cellStyle name="Вычисление 2 5 2 5 6 3" xfId="37450" xr:uid="{8DB1B187-4D71-4185-9550-58CC2B2CCA9D}"/>
    <cellStyle name="Вычисление 2 5 2 5 7" xfId="4640" xr:uid="{00000000-0005-0000-0000-0000CB150000}"/>
    <cellStyle name="Вычисление 2 5 2 5 8" xfId="5122" xr:uid="{00000000-0005-0000-0000-0000CC150000}"/>
    <cellStyle name="Вычисление 2 5 2 6" xfId="610" xr:uid="{00000000-0005-0000-0000-0000CD150000}"/>
    <cellStyle name="Вычисление 2 5 2 6 2" xfId="1442" xr:uid="{00000000-0005-0000-0000-0000CE150000}"/>
    <cellStyle name="Вычисление 2 5 2 6 2 2" xfId="21435" xr:uid="{00000000-0005-0000-0000-0000CF150000}"/>
    <cellStyle name="Вычисление 2 5 2 6 2 2 2" xfId="38077" xr:uid="{4294A74A-9AFF-4611-A5D5-47634E0D8013}"/>
    <cellStyle name="Вычисление 2 5 2 6 2 3" xfId="6198" xr:uid="{00000000-0005-0000-0000-0000D0150000}"/>
    <cellStyle name="Вычисление 2 5 2 6 2 4" xfId="23985" xr:uid="{95173105-07AA-4853-B016-3FE5CC24A97A}"/>
    <cellStyle name="Вычисление 2 5 2 6 3" xfId="1916" xr:uid="{00000000-0005-0000-0000-0000D1150000}"/>
    <cellStyle name="Вычисление 2 5 2 6 3 2" xfId="22057" xr:uid="{00000000-0005-0000-0000-0000D2150000}"/>
    <cellStyle name="Вычисление 2 5 2 6 3 2 2" xfId="38667" xr:uid="{9C689791-D300-4C20-ABA7-81994E65B0BF}"/>
    <cellStyle name="Вычисление 2 5 2 6 3 3" xfId="6967" xr:uid="{00000000-0005-0000-0000-0000D3150000}"/>
    <cellStyle name="Вычисление 2 5 2 6 3 4" xfId="24594" xr:uid="{A3BD7AFA-27FD-4EE5-98AD-87D5B41EB2BE}"/>
    <cellStyle name="Вычисление 2 5 2 6 4" xfId="2580" xr:uid="{00000000-0005-0000-0000-0000D4150000}"/>
    <cellStyle name="Вычисление 2 5 2 6 4 2" xfId="23044" xr:uid="{00000000-0005-0000-0000-0000D5150000}"/>
    <cellStyle name="Вычисление 2 5 2 6 4 3" xfId="39510" xr:uid="{C76A592C-4A7D-4321-AB30-A12971111F95}"/>
    <cellStyle name="Вычисление 2 5 2 6 5" xfId="3745" xr:uid="{00000000-0005-0000-0000-0000D6150000}"/>
    <cellStyle name="Вычисление 2 5 2 6 5 2" xfId="23333" xr:uid="{00000000-0005-0000-0000-0000D7150000}"/>
    <cellStyle name="Вычисление 2 5 2 6 5 3" xfId="39760" xr:uid="{09DFC1D7-CD20-4F53-89ED-77AD52DFF489}"/>
    <cellStyle name="Вычисление 2 5 2 6 6" xfId="4170" xr:uid="{00000000-0005-0000-0000-0000D8150000}"/>
    <cellStyle name="Вычисление 2 5 2 6 6 2" xfId="20646" xr:uid="{00000000-0005-0000-0000-0000D9150000}"/>
    <cellStyle name="Вычисление 2 5 2 6 6 3" xfId="37488" xr:uid="{A193867E-2412-4FCE-93FF-B8D08E404E08}"/>
    <cellStyle name="Вычисление 2 5 2 6 7" xfId="4692" xr:uid="{00000000-0005-0000-0000-0000DA150000}"/>
    <cellStyle name="Вычисление 2 5 2 6 8" xfId="5174" xr:uid="{00000000-0005-0000-0000-0000DB150000}"/>
    <cellStyle name="Вычисление 2 5 2 7" xfId="712" xr:uid="{00000000-0005-0000-0000-0000DC150000}"/>
    <cellStyle name="Вычисление 2 5 2 7 2" xfId="1542" xr:uid="{00000000-0005-0000-0000-0000DD150000}"/>
    <cellStyle name="Вычисление 2 5 2 7 2 2" xfId="21535" xr:uid="{00000000-0005-0000-0000-0000DE150000}"/>
    <cellStyle name="Вычисление 2 5 2 7 2 2 2" xfId="38177" xr:uid="{017248FA-4FBA-4186-92E5-082C144A871E}"/>
    <cellStyle name="Вычисление 2 5 2 7 2 3" xfId="6298" xr:uid="{00000000-0005-0000-0000-0000DF150000}"/>
    <cellStyle name="Вычисление 2 5 2 7 2 4" xfId="24085" xr:uid="{5EC14B50-24D0-4455-A8B8-E57EB25A465C}"/>
    <cellStyle name="Вычисление 2 5 2 7 3" xfId="1709" xr:uid="{00000000-0005-0000-0000-0000E0150000}"/>
    <cellStyle name="Вычисление 2 5 2 7 3 2" xfId="22157" xr:uid="{00000000-0005-0000-0000-0000E1150000}"/>
    <cellStyle name="Вычисление 2 5 2 7 3 2 2" xfId="38767" xr:uid="{F60EAF43-CB94-4744-8B21-C7D8CF8690A9}"/>
    <cellStyle name="Вычисление 2 5 2 7 3 3" xfId="7067" xr:uid="{00000000-0005-0000-0000-0000E2150000}"/>
    <cellStyle name="Вычисление 2 5 2 7 3 4" xfId="24694" xr:uid="{4E9BBA3F-E278-4D69-AC2E-F30CFDF7CE07}"/>
    <cellStyle name="Вычисление 2 5 2 7 4" xfId="2951" xr:uid="{00000000-0005-0000-0000-0000E3150000}"/>
    <cellStyle name="Вычисление 2 5 2 7 4 2" xfId="22498" xr:uid="{00000000-0005-0000-0000-0000E4150000}"/>
    <cellStyle name="Вычисление 2 5 2 7 4 3" xfId="38990" xr:uid="{73B88135-8DB7-49BD-B8EA-43017C0A1F9F}"/>
    <cellStyle name="Вычисление 2 5 2 7 5" xfId="3249" xr:uid="{00000000-0005-0000-0000-0000E5150000}"/>
    <cellStyle name="Вычисление 2 5 2 7 5 2" xfId="23375" xr:uid="{00000000-0005-0000-0000-0000E6150000}"/>
    <cellStyle name="Вычисление 2 5 2 7 5 3" xfId="39802" xr:uid="{73D58250-B738-4843-86E5-49B2145D54DD}"/>
    <cellStyle name="Вычисление 2 5 2 7 6" xfId="4271" xr:uid="{00000000-0005-0000-0000-0000E7150000}"/>
    <cellStyle name="Вычисление 2 5 2 7 6 2" xfId="20711" xr:uid="{00000000-0005-0000-0000-0000E8150000}"/>
    <cellStyle name="Вычисление 2 5 2 7 6 3" xfId="37540" xr:uid="{EE24865F-1907-464E-8720-1C219AB6CACD}"/>
    <cellStyle name="Вычисление 2 5 2 7 7" xfId="4793" xr:uid="{00000000-0005-0000-0000-0000E9150000}"/>
    <cellStyle name="Вычисление 2 5 2 7 8" xfId="5274" xr:uid="{00000000-0005-0000-0000-0000EA150000}"/>
    <cellStyle name="Вычисление 2 5 2 8" xfId="757" xr:uid="{00000000-0005-0000-0000-0000EB150000}"/>
    <cellStyle name="Вычисление 2 5 2 8 2" xfId="1586" xr:uid="{00000000-0005-0000-0000-0000EC150000}"/>
    <cellStyle name="Вычисление 2 5 2 8 2 2" xfId="21579" xr:uid="{00000000-0005-0000-0000-0000ED150000}"/>
    <cellStyle name="Вычисление 2 5 2 8 2 2 2" xfId="38221" xr:uid="{F0EFE9D1-324A-44AC-9B9D-C702ED80E249}"/>
    <cellStyle name="Вычисление 2 5 2 8 2 3" xfId="6342" xr:uid="{00000000-0005-0000-0000-0000EE150000}"/>
    <cellStyle name="Вычисление 2 5 2 8 2 4" xfId="24129" xr:uid="{D6516076-CA79-4650-ADA1-223A243A535D}"/>
    <cellStyle name="Вычисление 2 5 2 8 3" xfId="1897" xr:uid="{00000000-0005-0000-0000-0000EF150000}"/>
    <cellStyle name="Вычисление 2 5 2 8 3 2" xfId="22201" xr:uid="{00000000-0005-0000-0000-0000F0150000}"/>
    <cellStyle name="Вычисление 2 5 2 8 3 2 2" xfId="38811" xr:uid="{1FB9B0D5-5DD2-4E56-8E12-6BE153D5FC72}"/>
    <cellStyle name="Вычисление 2 5 2 8 3 3" xfId="7111" xr:uid="{00000000-0005-0000-0000-0000F1150000}"/>
    <cellStyle name="Вычисление 2 5 2 8 3 4" xfId="24738" xr:uid="{37B3C3E3-0DEE-4B36-87EA-CA236BFBD910}"/>
    <cellStyle name="Вычисление 2 5 2 8 4" xfId="2947" xr:uid="{00000000-0005-0000-0000-0000F2150000}"/>
    <cellStyle name="Вычисление 2 5 2 8 4 2" xfId="22482" xr:uid="{00000000-0005-0000-0000-0000F3150000}"/>
    <cellStyle name="Вычисление 2 5 2 8 4 3" xfId="38974" xr:uid="{D547558F-96F5-48FD-9DC0-B60402DC7B31}"/>
    <cellStyle name="Вычисление 2 5 2 8 5" xfId="3857" xr:uid="{00000000-0005-0000-0000-0000F4150000}"/>
    <cellStyle name="Вычисление 2 5 2 8 5 2" xfId="23397" xr:uid="{00000000-0005-0000-0000-0000F5150000}"/>
    <cellStyle name="Вычисление 2 5 2 8 5 3" xfId="39824" xr:uid="{4C638C90-CD6D-4D13-86D1-598AD7D89057}"/>
    <cellStyle name="Вычисление 2 5 2 8 6" xfId="4315" xr:uid="{00000000-0005-0000-0000-0000F6150000}"/>
    <cellStyle name="Вычисление 2 5 2 8 6 2" xfId="20776" xr:uid="{00000000-0005-0000-0000-0000F7150000}"/>
    <cellStyle name="Вычисление 2 5 2 8 6 3" xfId="37592" xr:uid="{F516DC30-A438-473F-9EBB-7E7F79CF4428}"/>
    <cellStyle name="Вычисление 2 5 2 8 7" xfId="4837" xr:uid="{00000000-0005-0000-0000-0000F8150000}"/>
    <cellStyle name="Вычисление 2 5 2 8 8" xfId="5318" xr:uid="{00000000-0005-0000-0000-0000F9150000}"/>
    <cellStyle name="Вычисление 2 5 2 9" xfId="789" xr:uid="{00000000-0005-0000-0000-0000FA150000}"/>
    <cellStyle name="Вычисление 2 5 2 9 2" xfId="1618" xr:uid="{00000000-0005-0000-0000-0000FB150000}"/>
    <cellStyle name="Вычисление 2 5 2 9 2 2" xfId="21611" xr:uid="{00000000-0005-0000-0000-0000FC150000}"/>
    <cellStyle name="Вычисление 2 5 2 9 2 2 2" xfId="38253" xr:uid="{71217A54-265B-49BD-87E6-8582DFF07717}"/>
    <cellStyle name="Вычисление 2 5 2 9 2 3" xfId="6374" xr:uid="{00000000-0005-0000-0000-0000FD150000}"/>
    <cellStyle name="Вычисление 2 5 2 9 2 4" xfId="24161" xr:uid="{CA67423F-B318-4BC6-9A2B-345D47F5DCF3}"/>
    <cellStyle name="Вычисление 2 5 2 9 3" xfId="1893" xr:uid="{00000000-0005-0000-0000-0000FE150000}"/>
    <cellStyle name="Вычисление 2 5 2 9 3 2" xfId="22233" xr:uid="{00000000-0005-0000-0000-0000FF150000}"/>
    <cellStyle name="Вычисление 2 5 2 9 3 2 2" xfId="38843" xr:uid="{B9B9D679-7705-4710-8F3B-22B35963027B}"/>
    <cellStyle name="Вычисление 2 5 2 9 3 3" xfId="7143" xr:uid="{00000000-0005-0000-0000-000000160000}"/>
    <cellStyle name="Вычисление 2 5 2 9 3 4" xfId="24770" xr:uid="{BE8CE59F-6AA2-49D6-ABF4-40EDDF9F40CD}"/>
    <cellStyle name="Вычисление 2 5 2 9 4" xfId="2597" xr:uid="{00000000-0005-0000-0000-000001160000}"/>
    <cellStyle name="Вычисление 2 5 2 9 4 2" xfId="23089" xr:uid="{00000000-0005-0000-0000-000002160000}"/>
    <cellStyle name="Вычисление 2 5 2 9 4 3" xfId="39555" xr:uid="{8D019321-4E4D-4472-BFFD-463767961213}"/>
    <cellStyle name="Вычисление 2 5 2 9 5" xfId="2961" xr:uid="{00000000-0005-0000-0000-000003160000}"/>
    <cellStyle name="Вычисление 2 5 2 9 5 2" xfId="23413" xr:uid="{00000000-0005-0000-0000-000004160000}"/>
    <cellStyle name="Вычисление 2 5 2 9 5 3" xfId="39840" xr:uid="{7CE5415F-6C0C-4453-99F9-A7F187409A8B}"/>
    <cellStyle name="Вычисление 2 5 2 9 6" xfId="4347" xr:uid="{00000000-0005-0000-0000-000005160000}"/>
    <cellStyle name="Вычисление 2 5 2 9 6 2" xfId="20841" xr:uid="{00000000-0005-0000-0000-000006160000}"/>
    <cellStyle name="Вычисление 2 5 2 9 6 3" xfId="37644" xr:uid="{2B84C166-8772-4432-A621-033BEF6411A5}"/>
    <cellStyle name="Вычисление 2 5 2 9 7" xfId="4869" xr:uid="{00000000-0005-0000-0000-000007160000}"/>
    <cellStyle name="Вычисление 2 5 2 9 8" xfId="5350" xr:uid="{00000000-0005-0000-0000-000008160000}"/>
    <cellStyle name="Вычисление 2 5 3" xfId="375" xr:uid="{00000000-0005-0000-0000-000009160000}"/>
    <cellStyle name="Вычисление 2 5 3 10" xfId="1000" xr:uid="{00000000-0005-0000-0000-00000A160000}"/>
    <cellStyle name="Вычисление 2 5 3 10 2" xfId="2238" xr:uid="{00000000-0005-0000-0000-00000B160000}"/>
    <cellStyle name="Вычисление 2 5 3 10 2 2" xfId="21864" xr:uid="{00000000-0005-0000-0000-00000C160000}"/>
    <cellStyle name="Вычисление 2 5 3 10 2 2 2" xfId="38474" xr:uid="{C54DA6AE-6AFD-4290-BCC7-4D5C0510C1A4}"/>
    <cellStyle name="Вычисление 2 5 3 10 2 3" xfId="6004" xr:uid="{00000000-0005-0000-0000-00000D160000}"/>
    <cellStyle name="Вычисление 2 5 3 10 2 4" xfId="23792" xr:uid="{B997900E-E953-4F7E-BDD7-F2CD8C87A436}"/>
    <cellStyle name="Вычисление 2 5 3 10 3" xfId="2436" xr:uid="{00000000-0005-0000-0000-00000E160000}"/>
    <cellStyle name="Вычисление 2 5 3 10 3 2" xfId="22917" xr:uid="{00000000-0005-0000-0000-00000F160000}"/>
    <cellStyle name="Вычисление 2 5 3 10 3 2 2" xfId="39383" xr:uid="{89353722-A340-402E-B91F-82C46A123C8C}"/>
    <cellStyle name="Вычисление 2 5 3 10 3 3" xfId="6778" xr:uid="{00000000-0005-0000-0000-000010160000}"/>
    <cellStyle name="Вычисление 2 5 3 10 3 4" xfId="24405" xr:uid="{2700E068-6754-4170-8C07-B8C7B1E86890}"/>
    <cellStyle name="Вычисление 2 5 3 10 4" xfId="3568" xr:uid="{00000000-0005-0000-0000-000011160000}"/>
    <cellStyle name="Вычисление 2 5 3 10 4 2" xfId="23243" xr:uid="{00000000-0005-0000-0000-000012160000}"/>
    <cellStyle name="Вычисление 2 5 3 10 4 3" xfId="39670" xr:uid="{F3D01AEF-20CC-4C69-88C7-9E4DC3A06482}"/>
    <cellStyle name="Вычисление 2 5 3 10 5" xfId="3968" xr:uid="{00000000-0005-0000-0000-000013160000}"/>
    <cellStyle name="Вычисление 2 5 3 10 5 2" xfId="21223" xr:uid="{00000000-0005-0000-0000-000014160000}"/>
    <cellStyle name="Вычисление 2 5 3 10 5 3" xfId="37884" xr:uid="{92B14056-5317-471C-8440-5CCBB166F80C}"/>
    <cellStyle name="Вычисление 2 5 3 10 6" xfId="4496" xr:uid="{00000000-0005-0000-0000-000015160000}"/>
    <cellStyle name="Вычисление 2 5 3 10 7" xfId="4985" xr:uid="{00000000-0005-0000-0000-000016160000}"/>
    <cellStyle name="Вычисление 2 5 3 11" xfId="1962" xr:uid="{00000000-0005-0000-0000-000017160000}"/>
    <cellStyle name="Вычисление 2 5 3 11 2" xfId="20990" xr:uid="{00000000-0005-0000-0000-000018160000}"/>
    <cellStyle name="Вычисление 2 5 3 11 2 2" xfId="37767" xr:uid="{7981E23E-ECBB-4E45-AA19-FB6FFA426B0F}"/>
    <cellStyle name="Вычисление 2 5 3 11 3" xfId="5748" xr:uid="{00000000-0005-0000-0000-000019160000}"/>
    <cellStyle name="Вычисление 2 5 3 11 4" xfId="23672" xr:uid="{0C62BD10-F878-4596-A83F-B13E4CE466BB}"/>
    <cellStyle name="Вычисление 2 5 3 12" xfId="2410" xr:uid="{00000000-0005-0000-0000-00001A160000}"/>
    <cellStyle name="Вычисление 2 5 3 12 2" xfId="21747" xr:uid="{00000000-0005-0000-0000-00001B160000}"/>
    <cellStyle name="Вычисление 2 5 3 12 2 2" xfId="38357" xr:uid="{D2E8E13F-4097-4ABB-B99F-109299F2D941}"/>
    <cellStyle name="Вычисление 2 5 3 12 3" xfId="6665" xr:uid="{00000000-0005-0000-0000-00001C160000}"/>
    <cellStyle name="Вычисление 2 5 3 12 4" xfId="24292" xr:uid="{203688CC-B6AF-4267-8E9D-7CC420849990}"/>
    <cellStyle name="Вычисление 2 5 3 13" xfId="3103" xr:uid="{00000000-0005-0000-0000-00001D160000}"/>
    <cellStyle name="Вычисление 2 5 3 13 2" xfId="22624" xr:uid="{00000000-0005-0000-0000-00001E160000}"/>
    <cellStyle name="Вычисление 2 5 3 13 3" xfId="39098" xr:uid="{B42E9F8B-79FB-40BE-A809-8B11BEEE14CD}"/>
    <cellStyle name="Вычисление 2 5 3 14" xfId="3153" xr:uid="{00000000-0005-0000-0000-00001F160000}"/>
    <cellStyle name="Вычисление 2 5 3 14 2" xfId="23189" xr:uid="{00000000-0005-0000-0000-000020160000}"/>
    <cellStyle name="Вычисление 2 5 3 14 3" xfId="39616" xr:uid="{8D2EE4B9-448F-4AD0-800B-5FFA056D9B43}"/>
    <cellStyle name="Вычисление 2 5 3 15" xfId="3485" xr:uid="{00000000-0005-0000-0000-000021160000}"/>
    <cellStyle name="Вычисление 2 5 3 15 2" xfId="14046" xr:uid="{00000000-0005-0000-0000-000022160000}"/>
    <cellStyle name="Вычисление 2 5 3 15 3" xfId="31085" xr:uid="{D0D4CF20-525B-4E56-B850-917A364D0A97}"/>
    <cellStyle name="Вычисление 2 5 3 16" xfId="3372" xr:uid="{00000000-0005-0000-0000-000023160000}"/>
    <cellStyle name="Вычисление 2 5 3 2" xfId="480" xr:uid="{00000000-0005-0000-0000-000024160000}"/>
    <cellStyle name="Вычисление 2 5 3 2 2" xfId="1312" xr:uid="{00000000-0005-0000-0000-000025160000}"/>
    <cellStyle name="Вычисление 2 5 3 2 2 2" xfId="21305" xr:uid="{00000000-0005-0000-0000-000026160000}"/>
    <cellStyle name="Вычисление 2 5 3 2 2 2 2" xfId="37947" xr:uid="{26A42320-03D1-4B70-97FA-EDDB0F7F291D}"/>
    <cellStyle name="Вычисление 2 5 3 2 2 3" xfId="6068" xr:uid="{00000000-0005-0000-0000-000027160000}"/>
    <cellStyle name="Вычисление 2 5 3 2 2 4" xfId="23855" xr:uid="{4AF5E24B-487E-49B0-8726-24A2A530B078}"/>
    <cellStyle name="Вычисление 2 5 3 2 3" xfId="2025" xr:uid="{00000000-0005-0000-0000-000028160000}"/>
    <cellStyle name="Вычисление 2 5 3 2 3 2" xfId="21927" xr:uid="{00000000-0005-0000-0000-000029160000}"/>
    <cellStyle name="Вычисление 2 5 3 2 3 2 2" xfId="38537" xr:uid="{3918F563-339F-427E-8EEF-B2B0116CC425}"/>
    <cellStyle name="Вычисление 2 5 3 2 3 3" xfId="6837" xr:uid="{00000000-0005-0000-0000-00002A160000}"/>
    <cellStyle name="Вычисление 2 5 3 2 3 4" xfId="24464" xr:uid="{CDC28D3F-A788-48CF-A0EA-4C4C886077E8}"/>
    <cellStyle name="Вычисление 2 5 3 2 4" xfId="2811" xr:uid="{00000000-0005-0000-0000-00002B160000}"/>
    <cellStyle name="Вычисление 2 5 3 2 4 2" xfId="22615" xr:uid="{00000000-0005-0000-0000-00002C160000}"/>
    <cellStyle name="Вычисление 2 5 3 2 4 3" xfId="39089" xr:uid="{41837D89-D89F-4039-A4DB-DBC4099676AA}"/>
    <cellStyle name="Вычисление 2 5 3 2 5" xfId="3087" xr:uid="{00000000-0005-0000-0000-00002D160000}"/>
    <cellStyle name="Вычисление 2 5 3 2 5 2" xfId="23273" xr:uid="{00000000-0005-0000-0000-00002E160000}"/>
    <cellStyle name="Вычисление 2 5 3 2 5 3" xfId="39700" xr:uid="{5D163622-1C23-4F25-937C-BB31DED62AAE}"/>
    <cellStyle name="Вычисление 2 5 3 2 6" xfId="4040" xr:uid="{00000000-0005-0000-0000-00002F160000}"/>
    <cellStyle name="Вычисление 2 5 3 2 6 2" xfId="20464" xr:uid="{00000000-0005-0000-0000-000030160000}"/>
    <cellStyle name="Вычисление 2 5 3 2 6 3" xfId="37356" xr:uid="{5B1CA8DA-F15F-4E6D-A15D-FAA7AE658CF2}"/>
    <cellStyle name="Вычисление 2 5 3 2 7" xfId="4562" xr:uid="{00000000-0005-0000-0000-000031160000}"/>
    <cellStyle name="Вычисление 2 5 3 2 8" xfId="5044" xr:uid="{00000000-0005-0000-0000-000032160000}"/>
    <cellStyle name="Вычисление 2 5 3 3" xfId="525" xr:uid="{00000000-0005-0000-0000-000033160000}"/>
    <cellStyle name="Вычисление 2 5 3 3 2" xfId="1357" xr:uid="{00000000-0005-0000-0000-000034160000}"/>
    <cellStyle name="Вычисление 2 5 3 3 2 2" xfId="21350" xr:uid="{00000000-0005-0000-0000-000035160000}"/>
    <cellStyle name="Вычисление 2 5 3 3 2 2 2" xfId="37992" xr:uid="{0300F295-15A5-4412-A4FA-1368EB7DDCC1}"/>
    <cellStyle name="Вычисление 2 5 3 3 2 3" xfId="6113" xr:uid="{00000000-0005-0000-0000-000036160000}"/>
    <cellStyle name="Вычисление 2 5 3 3 2 4" xfId="23900" xr:uid="{DBCF3F2C-7B83-44B3-8B8F-6F2747E75B6E}"/>
    <cellStyle name="Вычисление 2 5 3 3 3" xfId="1784" xr:uid="{00000000-0005-0000-0000-000037160000}"/>
    <cellStyle name="Вычисление 2 5 3 3 3 2" xfId="21972" xr:uid="{00000000-0005-0000-0000-000038160000}"/>
    <cellStyle name="Вычисление 2 5 3 3 3 2 2" xfId="38582" xr:uid="{DC12186B-81B8-444C-A583-7E7788F8A9C1}"/>
    <cellStyle name="Вычисление 2 5 3 3 3 3" xfId="6882" xr:uid="{00000000-0005-0000-0000-000039160000}"/>
    <cellStyle name="Вычисление 2 5 3 3 3 4" xfId="24509" xr:uid="{7DBCC05D-94B1-4FEC-BD57-B591B59B733B}"/>
    <cellStyle name="Вычисление 2 5 3 3 4" xfId="2619" xr:uid="{00000000-0005-0000-0000-00003A160000}"/>
    <cellStyle name="Вычисление 2 5 3 3 4 2" xfId="22900" xr:uid="{00000000-0005-0000-0000-00003B160000}"/>
    <cellStyle name="Вычисление 2 5 3 3 4 3" xfId="39366" xr:uid="{D92E7C17-ECD0-4BBA-BB88-8A96A3140A2A}"/>
    <cellStyle name="Вычисление 2 5 3 3 5" xfId="3547" xr:uid="{00000000-0005-0000-0000-00003C160000}"/>
    <cellStyle name="Вычисление 2 5 3 3 5 2" xfId="23295" xr:uid="{00000000-0005-0000-0000-00003D160000}"/>
    <cellStyle name="Вычисление 2 5 3 3 5 3" xfId="39722" xr:uid="{CB132D6C-A5A8-442F-B262-D4BFE2A5214B}"/>
    <cellStyle name="Вычисление 2 5 3 3 6" xfId="4085" xr:uid="{00000000-0005-0000-0000-00003E160000}"/>
    <cellStyle name="Вычисление 2 5 3 3 6 2" xfId="20511" xr:uid="{00000000-0005-0000-0000-00003F160000}"/>
    <cellStyle name="Вычисление 2 5 3 3 6 3" xfId="37403" xr:uid="{8675280D-4D87-452E-BDF9-6474D9650915}"/>
    <cellStyle name="Вычисление 2 5 3 3 7" xfId="4607" xr:uid="{00000000-0005-0000-0000-000040160000}"/>
    <cellStyle name="Вычисление 2 5 3 3 8" xfId="5089" xr:uid="{00000000-0005-0000-0000-000041160000}"/>
    <cellStyle name="Вычисление 2 5 3 4" xfId="577" xr:uid="{00000000-0005-0000-0000-000042160000}"/>
    <cellStyle name="Вычисление 2 5 3 4 2" xfId="1409" xr:uid="{00000000-0005-0000-0000-000043160000}"/>
    <cellStyle name="Вычисление 2 5 3 4 2 2" xfId="21402" xr:uid="{00000000-0005-0000-0000-000044160000}"/>
    <cellStyle name="Вычисление 2 5 3 4 2 2 2" xfId="38044" xr:uid="{8AD9F9A8-6B7F-4A0C-A5E9-FB98E63C753D}"/>
    <cellStyle name="Вычисление 2 5 3 4 2 3" xfId="6165" xr:uid="{00000000-0005-0000-0000-000045160000}"/>
    <cellStyle name="Вычисление 2 5 3 4 2 4" xfId="23952" xr:uid="{96B28501-18BB-4879-9E22-04B5D997C693}"/>
    <cellStyle name="Вычисление 2 5 3 4 3" xfId="2179" xr:uid="{00000000-0005-0000-0000-000046160000}"/>
    <cellStyle name="Вычисление 2 5 3 4 3 2" xfId="22024" xr:uid="{00000000-0005-0000-0000-000047160000}"/>
    <cellStyle name="Вычисление 2 5 3 4 3 2 2" xfId="38634" xr:uid="{A7A7CCD6-BD09-4765-9249-37BDC86C3284}"/>
    <cellStyle name="Вычисление 2 5 3 4 3 3" xfId="6934" xr:uid="{00000000-0005-0000-0000-000048160000}"/>
    <cellStyle name="Вычисление 2 5 3 4 3 4" xfId="24561" xr:uid="{E8B2C9CA-0AF0-4FBB-AC23-36112052D23B}"/>
    <cellStyle name="Вычисление 2 5 3 4 4" xfId="2630" xr:uid="{00000000-0005-0000-0000-000049160000}"/>
    <cellStyle name="Вычисление 2 5 3 4 4 2" xfId="22820" xr:uid="{00000000-0005-0000-0000-00004A160000}"/>
    <cellStyle name="Вычисление 2 5 3 4 4 3" xfId="39286" xr:uid="{F0524D42-F375-40B1-83FF-E5BDE8AB476E}"/>
    <cellStyle name="Вычисление 2 5 3 4 5" xfId="3366" xr:uid="{00000000-0005-0000-0000-00004B160000}"/>
    <cellStyle name="Вычисление 2 5 3 4 5 2" xfId="23319" xr:uid="{00000000-0005-0000-0000-00004C160000}"/>
    <cellStyle name="Вычисление 2 5 3 4 5 3" xfId="39746" xr:uid="{7D2DD471-C63B-4E57-9801-8C5D93AFCA7B}"/>
    <cellStyle name="Вычисление 2 5 3 4 6" xfId="4137" xr:uid="{00000000-0005-0000-0000-00004D160000}"/>
    <cellStyle name="Вычисление 2 5 3 4 6 2" xfId="20627" xr:uid="{00000000-0005-0000-0000-00004E160000}"/>
    <cellStyle name="Вычисление 2 5 3 4 6 3" xfId="37469" xr:uid="{FFE227BD-5CC4-4C0B-BB76-A2530A389B3D}"/>
    <cellStyle name="Вычисление 2 5 3 4 7" xfId="4659" xr:uid="{00000000-0005-0000-0000-00004F160000}"/>
    <cellStyle name="Вычисление 2 5 3 4 8" xfId="5141" xr:uid="{00000000-0005-0000-0000-000050160000}"/>
    <cellStyle name="Вычисление 2 5 3 5" xfId="629" xr:uid="{00000000-0005-0000-0000-000051160000}"/>
    <cellStyle name="Вычисление 2 5 3 5 2" xfId="1461" xr:uid="{00000000-0005-0000-0000-000052160000}"/>
    <cellStyle name="Вычисление 2 5 3 5 2 2" xfId="21454" xr:uid="{00000000-0005-0000-0000-000053160000}"/>
    <cellStyle name="Вычисление 2 5 3 5 2 2 2" xfId="38096" xr:uid="{807391E5-8834-42C3-89B4-200E60A86B69}"/>
    <cellStyle name="Вычисление 2 5 3 5 2 3" xfId="6217" xr:uid="{00000000-0005-0000-0000-000054160000}"/>
    <cellStyle name="Вычисление 2 5 3 5 2 4" xfId="24004" xr:uid="{9C3F5081-8B07-4EFB-8749-477B33DC91E7}"/>
    <cellStyle name="Вычисление 2 5 3 5 3" xfId="1933" xr:uid="{00000000-0005-0000-0000-000055160000}"/>
    <cellStyle name="Вычисление 2 5 3 5 3 2" xfId="22076" xr:uid="{00000000-0005-0000-0000-000056160000}"/>
    <cellStyle name="Вычисление 2 5 3 5 3 2 2" xfId="38686" xr:uid="{ADEB31F9-7332-4CC8-9F46-605CDEEF39EB}"/>
    <cellStyle name="Вычисление 2 5 3 5 3 3" xfId="6986" xr:uid="{00000000-0005-0000-0000-000057160000}"/>
    <cellStyle name="Вычисление 2 5 3 5 3 4" xfId="24613" xr:uid="{E1B4B254-7FB4-4E71-B6F2-5F09251B9D96}"/>
    <cellStyle name="Вычисление 2 5 3 5 4" xfId="2739" xr:uid="{00000000-0005-0000-0000-000058160000}"/>
    <cellStyle name="Вычисление 2 5 3 5 4 2" xfId="22581" xr:uid="{00000000-0005-0000-0000-000059160000}"/>
    <cellStyle name="Вычисление 2 5 3 5 4 3" xfId="39058" xr:uid="{968B098E-683E-4F8D-A21F-7E3FFCD300CF}"/>
    <cellStyle name="Вычисление 2 5 3 5 5" xfId="3322" xr:uid="{00000000-0005-0000-0000-00005A160000}"/>
    <cellStyle name="Вычисление 2 5 3 5 5 2" xfId="23343" xr:uid="{00000000-0005-0000-0000-00005B160000}"/>
    <cellStyle name="Вычисление 2 5 3 5 5 3" xfId="39770" xr:uid="{0AF8397A-C3F5-43C3-8E23-F747577E02A1}"/>
    <cellStyle name="Вычисление 2 5 3 5 6" xfId="4189" xr:uid="{00000000-0005-0000-0000-00005C160000}"/>
    <cellStyle name="Вычисление 2 5 3 5 6 2" xfId="20665" xr:uid="{00000000-0005-0000-0000-00005D160000}"/>
    <cellStyle name="Вычисление 2 5 3 5 6 3" xfId="37507" xr:uid="{D28F82E8-19FB-4FED-B812-031518D54023}"/>
    <cellStyle name="Вычисление 2 5 3 5 7" xfId="4711" xr:uid="{00000000-0005-0000-0000-00005E160000}"/>
    <cellStyle name="Вычисление 2 5 3 5 8" xfId="5193" xr:uid="{00000000-0005-0000-0000-00005F160000}"/>
    <cellStyle name="Вычисление 2 5 3 6" xfId="732" xr:uid="{00000000-0005-0000-0000-000060160000}"/>
    <cellStyle name="Вычисление 2 5 3 6 2" xfId="1562" xr:uid="{00000000-0005-0000-0000-000061160000}"/>
    <cellStyle name="Вычисление 2 5 3 6 2 2" xfId="21555" xr:uid="{00000000-0005-0000-0000-000062160000}"/>
    <cellStyle name="Вычисление 2 5 3 6 2 2 2" xfId="38197" xr:uid="{1C848D35-0BB6-470E-9CCC-EAF025FD1895}"/>
    <cellStyle name="Вычисление 2 5 3 6 2 3" xfId="6318" xr:uid="{00000000-0005-0000-0000-000063160000}"/>
    <cellStyle name="Вычисление 2 5 3 6 2 4" xfId="24105" xr:uid="{E3349021-8587-4F62-8C6E-AD87FFF95AE4}"/>
    <cellStyle name="Вычисление 2 5 3 6 3" xfId="1705" xr:uid="{00000000-0005-0000-0000-000064160000}"/>
    <cellStyle name="Вычисление 2 5 3 6 3 2" xfId="22177" xr:uid="{00000000-0005-0000-0000-000065160000}"/>
    <cellStyle name="Вычисление 2 5 3 6 3 2 2" xfId="38787" xr:uid="{9CEAD8E4-B76D-4C80-B2C7-A3BB0FA99E29}"/>
    <cellStyle name="Вычисление 2 5 3 6 3 3" xfId="7087" xr:uid="{00000000-0005-0000-0000-000066160000}"/>
    <cellStyle name="Вычисление 2 5 3 6 3 4" xfId="24714" xr:uid="{2DC009FA-1D51-4EA1-B9EE-80CCE01B8153}"/>
    <cellStyle name="Вычисление 2 5 3 6 4" xfId="2649" xr:uid="{00000000-0005-0000-0000-000067160000}"/>
    <cellStyle name="Вычисление 2 5 3 6 4 2" xfId="22528" xr:uid="{00000000-0005-0000-0000-000068160000}"/>
    <cellStyle name="Вычисление 2 5 3 6 4 3" xfId="39007" xr:uid="{A1B07E3D-4644-40AA-9BD4-10AAA884D512}"/>
    <cellStyle name="Вычисление 2 5 3 6 5" xfId="2969" xr:uid="{00000000-0005-0000-0000-000069160000}"/>
    <cellStyle name="Вычисление 2 5 3 6 5 2" xfId="23385" xr:uid="{00000000-0005-0000-0000-00006A160000}"/>
    <cellStyle name="Вычисление 2 5 3 6 5 3" xfId="39812" xr:uid="{FF9D6E94-EA30-4CA1-B3CA-596A8697609F}"/>
    <cellStyle name="Вычисление 2 5 3 6 6" xfId="4291" xr:uid="{00000000-0005-0000-0000-00006B160000}"/>
    <cellStyle name="Вычисление 2 5 3 6 6 2" xfId="20730" xr:uid="{00000000-0005-0000-0000-00006C160000}"/>
    <cellStyle name="Вычисление 2 5 3 6 6 3" xfId="37559" xr:uid="{8A63BEE2-CF82-47FE-A75F-BE4A46A1E5ED}"/>
    <cellStyle name="Вычисление 2 5 3 6 7" xfId="4813" xr:uid="{00000000-0005-0000-0000-00006D160000}"/>
    <cellStyle name="Вычисление 2 5 3 6 8" xfId="5294" xr:uid="{00000000-0005-0000-0000-00006E160000}"/>
    <cellStyle name="Вычисление 2 5 3 7" xfId="776" xr:uid="{00000000-0005-0000-0000-00006F160000}"/>
    <cellStyle name="Вычисление 2 5 3 7 2" xfId="1605" xr:uid="{00000000-0005-0000-0000-000070160000}"/>
    <cellStyle name="Вычисление 2 5 3 7 2 2" xfId="21598" xr:uid="{00000000-0005-0000-0000-000071160000}"/>
    <cellStyle name="Вычисление 2 5 3 7 2 2 2" xfId="38240" xr:uid="{D8F3FAC2-5363-46F3-949D-0039C36A4830}"/>
    <cellStyle name="Вычисление 2 5 3 7 2 3" xfId="6361" xr:uid="{00000000-0005-0000-0000-000072160000}"/>
    <cellStyle name="Вычисление 2 5 3 7 2 4" xfId="24148" xr:uid="{9ECEF766-25FB-4A5A-848C-2BCB7F6284C1}"/>
    <cellStyle name="Вычисление 2 5 3 7 3" xfId="1740" xr:uid="{00000000-0005-0000-0000-000073160000}"/>
    <cellStyle name="Вычисление 2 5 3 7 3 2" xfId="22220" xr:uid="{00000000-0005-0000-0000-000074160000}"/>
    <cellStyle name="Вычисление 2 5 3 7 3 2 2" xfId="38830" xr:uid="{FFC4387C-40B7-4249-BBA3-5052E240E170}"/>
    <cellStyle name="Вычисление 2 5 3 7 3 3" xfId="7130" xr:uid="{00000000-0005-0000-0000-000075160000}"/>
    <cellStyle name="Вычисление 2 5 3 7 3 4" xfId="24757" xr:uid="{60A0E8C4-D7DA-405D-AC24-B23AD228F6E8}"/>
    <cellStyle name="Вычисление 2 5 3 7 4" xfId="2923" xr:uid="{00000000-0005-0000-0000-000076160000}"/>
    <cellStyle name="Вычисление 2 5 3 7 4 2" xfId="22687" xr:uid="{00000000-0005-0000-0000-000077160000}"/>
    <cellStyle name="Вычисление 2 5 3 7 4 3" xfId="39159" xr:uid="{DB92861B-C606-4440-B213-3648A8A568C2}"/>
    <cellStyle name="Вычисление 2 5 3 7 5" xfId="3278" xr:uid="{00000000-0005-0000-0000-000078160000}"/>
    <cellStyle name="Вычисление 2 5 3 7 5 2" xfId="23407" xr:uid="{00000000-0005-0000-0000-000079160000}"/>
    <cellStyle name="Вычисление 2 5 3 7 5 3" xfId="39834" xr:uid="{98C90DCE-503C-411F-B385-6F20D00892FF}"/>
    <cellStyle name="Вычисление 2 5 3 7 6" xfId="4334" xr:uid="{00000000-0005-0000-0000-00007A160000}"/>
    <cellStyle name="Вычисление 2 5 3 7 6 2" xfId="20795" xr:uid="{00000000-0005-0000-0000-00007B160000}"/>
    <cellStyle name="Вычисление 2 5 3 7 6 3" xfId="37611" xr:uid="{6E2AE575-3D13-4EDF-87D7-58A7927E61D0}"/>
    <cellStyle name="Вычисление 2 5 3 7 7" xfId="4856" xr:uid="{00000000-0005-0000-0000-00007C160000}"/>
    <cellStyle name="Вычисление 2 5 3 7 8" xfId="5337" xr:uid="{00000000-0005-0000-0000-00007D160000}"/>
    <cellStyle name="Вычисление 2 5 3 8" xfId="808" xr:uid="{00000000-0005-0000-0000-00007E160000}"/>
    <cellStyle name="Вычисление 2 5 3 8 2" xfId="1637" xr:uid="{00000000-0005-0000-0000-00007F160000}"/>
    <cellStyle name="Вычисление 2 5 3 8 2 2" xfId="21630" xr:uid="{00000000-0005-0000-0000-000080160000}"/>
    <cellStyle name="Вычисление 2 5 3 8 2 2 2" xfId="38272" xr:uid="{DCFC51D8-8E96-4B47-B075-458DCD98AE8E}"/>
    <cellStyle name="Вычисление 2 5 3 8 2 3" xfId="6393" xr:uid="{00000000-0005-0000-0000-000081160000}"/>
    <cellStyle name="Вычисление 2 5 3 8 2 4" xfId="24180" xr:uid="{8A7B4716-88D2-4EBC-811E-737FA350900B}"/>
    <cellStyle name="Вычисление 2 5 3 8 3" xfId="1736" xr:uid="{00000000-0005-0000-0000-000082160000}"/>
    <cellStyle name="Вычисление 2 5 3 8 3 2" xfId="22252" xr:uid="{00000000-0005-0000-0000-000083160000}"/>
    <cellStyle name="Вычисление 2 5 3 8 3 2 2" xfId="38862" xr:uid="{713F2BB0-769A-4ACA-AF94-529E1E15C54E}"/>
    <cellStyle name="Вычисление 2 5 3 8 3 3" xfId="7162" xr:uid="{00000000-0005-0000-0000-000084160000}"/>
    <cellStyle name="Вычисление 2 5 3 8 3 4" xfId="24789" xr:uid="{A50F1F25-E4F7-47BC-B2EB-DF1AD09D8FBE}"/>
    <cellStyle name="Вычисление 2 5 3 8 4" xfId="2446" xr:uid="{00000000-0005-0000-0000-000085160000}"/>
    <cellStyle name="Вычисление 2 5 3 8 4 2" xfId="22683" xr:uid="{00000000-0005-0000-0000-000086160000}"/>
    <cellStyle name="Вычисление 2 5 3 8 4 3" xfId="39155" xr:uid="{E4878D39-8B4C-4897-BE44-8ECFECFA29B1}"/>
    <cellStyle name="Вычисление 2 5 3 8 5" xfId="3856" xr:uid="{00000000-0005-0000-0000-000087160000}"/>
    <cellStyle name="Вычисление 2 5 3 8 5 2" xfId="23423" xr:uid="{00000000-0005-0000-0000-000088160000}"/>
    <cellStyle name="Вычисление 2 5 3 8 5 3" xfId="39850" xr:uid="{45E4E47F-DF1E-42C8-971F-0EEB755E0DC4}"/>
    <cellStyle name="Вычисление 2 5 3 8 6" xfId="4366" xr:uid="{00000000-0005-0000-0000-000089160000}"/>
    <cellStyle name="Вычисление 2 5 3 8 6 2" xfId="20860" xr:uid="{00000000-0005-0000-0000-00008A160000}"/>
    <cellStyle name="Вычисление 2 5 3 8 6 3" xfId="37663" xr:uid="{9357F29E-5DA6-480B-A40E-9AE903328ACE}"/>
    <cellStyle name="Вычисление 2 5 3 8 7" xfId="4888" xr:uid="{00000000-0005-0000-0000-00008B160000}"/>
    <cellStyle name="Вычисление 2 5 3 8 8" xfId="5369" xr:uid="{00000000-0005-0000-0000-00008C160000}"/>
    <cellStyle name="Вычисление 2 5 3 9" xfId="840" xr:uid="{00000000-0005-0000-0000-00008D160000}"/>
    <cellStyle name="Вычисление 2 5 3 9 2" xfId="1669" xr:uid="{00000000-0005-0000-0000-00008E160000}"/>
    <cellStyle name="Вычисление 2 5 3 9 2 2" xfId="21662" xr:uid="{00000000-0005-0000-0000-00008F160000}"/>
    <cellStyle name="Вычисление 2 5 3 9 2 2 2" xfId="38304" xr:uid="{2C5D6D6D-4253-44E2-BE9B-F97D5BACB360}"/>
    <cellStyle name="Вычисление 2 5 3 9 2 3" xfId="6425" xr:uid="{00000000-0005-0000-0000-000090160000}"/>
    <cellStyle name="Вычисление 2 5 3 9 2 4" xfId="24212" xr:uid="{9C13B4A4-DD1F-4215-8913-E244A8624464}"/>
    <cellStyle name="Вычисление 2 5 3 9 3" xfId="2330" xr:uid="{00000000-0005-0000-0000-000091160000}"/>
    <cellStyle name="Вычисление 2 5 3 9 3 2" xfId="22284" xr:uid="{00000000-0005-0000-0000-000092160000}"/>
    <cellStyle name="Вычисление 2 5 3 9 3 2 2" xfId="38894" xr:uid="{791B898A-74C4-4C91-8AEA-068D46039110}"/>
    <cellStyle name="Вычисление 2 5 3 9 3 3" xfId="7194" xr:uid="{00000000-0005-0000-0000-000093160000}"/>
    <cellStyle name="Вычисление 2 5 3 9 3 4" xfId="24821" xr:uid="{D0E8A5C1-573B-4D9B-9EC1-A53160E88ABE}"/>
    <cellStyle name="Вычисление 2 5 3 9 4" xfId="2644" xr:uid="{00000000-0005-0000-0000-000094160000}"/>
    <cellStyle name="Вычисление 2 5 3 9 4 2" xfId="22679" xr:uid="{00000000-0005-0000-0000-000095160000}"/>
    <cellStyle name="Вычисление 2 5 3 9 4 3" xfId="39151" xr:uid="{36D1F10D-8DB5-45FF-9EB5-12EE3B8EB679}"/>
    <cellStyle name="Вычисление 2 5 3 9 5" xfId="3377" xr:uid="{00000000-0005-0000-0000-000096160000}"/>
    <cellStyle name="Вычисление 2 5 3 9 5 2" xfId="23439" xr:uid="{00000000-0005-0000-0000-000097160000}"/>
    <cellStyle name="Вычисление 2 5 3 9 5 3" xfId="39866" xr:uid="{BDC6A86D-4937-48A2-9D3E-29874A8C50F9}"/>
    <cellStyle name="Вычисление 2 5 3 9 6" xfId="4398" xr:uid="{00000000-0005-0000-0000-000098160000}"/>
    <cellStyle name="Вычисление 2 5 3 9 6 2" xfId="20925" xr:uid="{00000000-0005-0000-0000-000099160000}"/>
    <cellStyle name="Вычисление 2 5 3 9 6 3" xfId="37715" xr:uid="{EBB1113A-BCFB-4D50-95AF-7DEB027FA37F}"/>
    <cellStyle name="Вычисление 2 5 3 9 7" xfId="4920" xr:uid="{00000000-0005-0000-0000-00009A160000}"/>
    <cellStyle name="Вычисление 2 5 3 9 8" xfId="5401" xr:uid="{00000000-0005-0000-0000-00009B160000}"/>
    <cellStyle name="Вычисление 2 5 4" xfId="891" xr:uid="{00000000-0005-0000-0000-00009C160000}"/>
    <cellStyle name="Вычисление 2 5 4 2" xfId="2065" xr:uid="{00000000-0005-0000-0000-00009D160000}"/>
    <cellStyle name="Вычисление 2 5 4 2 2" xfId="21777" xr:uid="{00000000-0005-0000-0000-00009E160000}"/>
    <cellStyle name="Вычисление 2 5 4 2 2 2" xfId="38387" xr:uid="{1FD70C82-94AF-44D8-9ACF-379216169DC9}"/>
    <cellStyle name="Вычисление 2 5 4 2 3" xfId="5844" xr:uid="{00000000-0005-0000-0000-00009F160000}"/>
    <cellStyle name="Вычисление 2 5 4 2 4" xfId="23705" xr:uid="{E3A2591C-CF4E-4939-8278-0FA0F71B3831}"/>
    <cellStyle name="Вычисление 2 5 4 3" xfId="2813" xr:uid="{00000000-0005-0000-0000-0000A0160000}"/>
    <cellStyle name="Вычисление 2 5 4 3 2" xfId="22676" xr:uid="{00000000-0005-0000-0000-0000A1160000}"/>
    <cellStyle name="Вычисление 2 5 4 3 2 2" xfId="39148" xr:uid="{C8A44704-A2BA-4FF9-9B2C-527A28CE54B3}"/>
    <cellStyle name="Вычисление 2 5 4 3 3" xfId="6693" xr:uid="{00000000-0005-0000-0000-0000A2160000}"/>
    <cellStyle name="Вычисление 2 5 4 3 4" xfId="24320" xr:uid="{3D531D91-8025-4A71-9916-9FD648985BAD}"/>
    <cellStyle name="Вычисление 2 5 4 4" xfId="3727" xr:uid="{00000000-0005-0000-0000-0000A3160000}"/>
    <cellStyle name="Вычисление 2 5 4 4 2" xfId="23203" xr:uid="{00000000-0005-0000-0000-0000A4160000}"/>
    <cellStyle name="Вычисление 2 5 4 4 3" xfId="39630" xr:uid="{465DB2FE-01D7-471B-B403-091F099ED899}"/>
    <cellStyle name="Вычисление 2 5 4 5" xfId="3587" xr:uid="{00000000-0005-0000-0000-0000A5160000}"/>
    <cellStyle name="Вычисление 2 5 4 5 2" xfId="21068" xr:uid="{00000000-0005-0000-0000-0000A6160000}"/>
    <cellStyle name="Вычисление 2 5 4 5 3" xfId="37797" xr:uid="{1A5230E7-CC0E-47D4-AE4F-60166003C564}"/>
    <cellStyle name="Вычисление 2 5 4 6" xfId="3876" xr:uid="{00000000-0005-0000-0000-0000A7160000}"/>
    <cellStyle name="Вычисление 2 5 4 7" xfId="4405" xr:uid="{00000000-0005-0000-0000-0000A8160000}"/>
    <cellStyle name="Вычисление 2 5 5" xfId="2185" xr:uid="{00000000-0005-0000-0000-0000A9160000}"/>
    <cellStyle name="Вычисление 2 5 5 2" xfId="22779" xr:uid="{00000000-0005-0000-0000-0000AA160000}"/>
    <cellStyle name="Вычисление 2 5 5 2 2" xfId="39247" xr:uid="{E56FDD30-6593-41CA-88EF-8586812BB4A2}"/>
    <cellStyle name="Вычисление 2 5 5 3" xfId="5621" xr:uid="{00000000-0005-0000-0000-0000AB160000}"/>
    <cellStyle name="Вычисление 2 5 5 4" xfId="23619" xr:uid="{5A86EE24-46A4-4FE8-99E3-4961DB60FE5D}"/>
    <cellStyle name="Вычисление 2 5 6" xfId="2491" xr:uid="{00000000-0005-0000-0000-0000AC160000}"/>
    <cellStyle name="Вычисление 2 5 6 2" xfId="6613" xr:uid="{00000000-0005-0000-0000-0000AD160000}"/>
    <cellStyle name="Вычисление 2 5 6 3" xfId="24240" xr:uid="{B39926B7-3AA0-45E2-AFE0-F2DBA3AF74DF}"/>
    <cellStyle name="Вычисление 2 5 7" xfId="3429" xr:uid="{00000000-0005-0000-0000-0000AE160000}"/>
    <cellStyle name="Вычисление 2 5 7 2" xfId="7416" xr:uid="{00000000-0005-0000-0000-0000AF160000}"/>
    <cellStyle name="Вычисление 2 5 7 3" xfId="24866" xr:uid="{B4024780-EE0C-4FA4-A059-9F8660928E0A}"/>
    <cellStyle name="Вычисление 2 5 8" xfId="2952" xr:uid="{00000000-0005-0000-0000-0000B0160000}"/>
    <cellStyle name="Вычисление 2 5 9" xfId="3431" xr:uid="{00000000-0005-0000-0000-0000B1160000}"/>
    <cellStyle name="Вычисление 2 6" xfId="920" xr:uid="{00000000-0005-0000-0000-0000B2160000}"/>
    <cellStyle name="Вычисление 2 6 2" xfId="962" xr:uid="{00000000-0005-0000-0000-0000B3160000}"/>
    <cellStyle name="Вычисление 2 6 2 2" xfId="1034" xr:uid="{00000000-0005-0000-0000-0000B4160000}"/>
    <cellStyle name="Вычисление 2 6 2 2 2" xfId="14080" xr:uid="{00000000-0005-0000-0000-0000B5160000}"/>
    <cellStyle name="Вычисление 2 6 2 2 3" xfId="31119" xr:uid="{A5D60D4F-7E6F-4DA5-856C-62383967C4AC}"/>
    <cellStyle name="Вычисление 2 6 2 3" xfId="7498" xr:uid="{00000000-0005-0000-0000-0000B6160000}"/>
    <cellStyle name="Вычисление 2 6 2 4" xfId="24900" xr:uid="{0B399776-C131-49CB-9D12-A25935B4C69C}"/>
    <cellStyle name="Вычисление 2 6 3" xfId="1003" xr:uid="{00000000-0005-0000-0000-0000B7160000}"/>
    <cellStyle name="Вычисление 2 6 3 2" xfId="14049" xr:uid="{00000000-0005-0000-0000-0000B8160000}"/>
    <cellStyle name="Вычисление 2 6 3 3" xfId="31088" xr:uid="{4395A686-60E8-4E1D-99C1-87AD34F4D330}"/>
    <cellStyle name="Вычисление 2 6 4" xfId="7452" xr:uid="{00000000-0005-0000-0000-0000B9160000}"/>
    <cellStyle name="Вычисление 2 6 5" xfId="24869" xr:uid="{3A63BD9C-6B65-45E2-AA91-7126A2980EBE}"/>
    <cellStyle name="Вычисление 2 7" xfId="930" xr:uid="{00000000-0005-0000-0000-0000BA160000}"/>
    <cellStyle name="Вычисление 2 7 2" xfId="966" xr:uid="{00000000-0005-0000-0000-0000BB160000}"/>
    <cellStyle name="Вычисление 2 7 2 2" xfId="1038" xr:uid="{00000000-0005-0000-0000-0000BC160000}"/>
    <cellStyle name="Вычисление 2 7 2 2 2" xfId="14084" xr:uid="{00000000-0005-0000-0000-0000BD160000}"/>
    <cellStyle name="Вычисление 2 7 2 2 3" xfId="31123" xr:uid="{07EA885D-95D7-4381-903C-C91229689ED9}"/>
    <cellStyle name="Вычисление 2 7 2 3" xfId="7502" xr:uid="{00000000-0005-0000-0000-0000BE160000}"/>
    <cellStyle name="Вычисление 2 7 2 4" xfId="24904" xr:uid="{B1835043-47FC-4EA3-AB9C-5FA049630CD9}"/>
    <cellStyle name="Вычисление 2 7 3" xfId="1007" xr:uid="{00000000-0005-0000-0000-0000BF160000}"/>
    <cellStyle name="Вычисление 2 7 3 2" xfId="14053" xr:uid="{00000000-0005-0000-0000-0000C0160000}"/>
    <cellStyle name="Вычисление 2 7 3 3" xfId="31092" xr:uid="{A9A0A5BF-55F8-4206-8BEC-5887A0C1730D}"/>
    <cellStyle name="Вычисление 2 7 4" xfId="7466" xr:uid="{00000000-0005-0000-0000-0000C1160000}"/>
    <cellStyle name="Вычисление 2 7 5" xfId="24873" xr:uid="{11FF4CB3-68C5-4124-A152-7E197DD71225}"/>
    <cellStyle name="Вычисление 2 8" xfId="1045" xr:uid="{00000000-0005-0000-0000-0000C2160000}"/>
    <cellStyle name="Вычисление 2 8 2" xfId="14090" xr:uid="{00000000-0005-0000-0000-0000C3160000}"/>
    <cellStyle name="Вычисление 2 8 2 2" xfId="31128" xr:uid="{006BD7DC-D39A-4770-97C7-E59BD16F700A}"/>
    <cellStyle name="Вычисление 2 8 3" xfId="7342" xr:uid="{00000000-0005-0000-0000-0000C4160000}"/>
    <cellStyle name="Вычисление 2 9" xfId="1062" xr:uid="{00000000-0005-0000-0000-0000C5160000}"/>
    <cellStyle name="Вычисление 2 9 2" xfId="14106" xr:uid="{00000000-0005-0000-0000-0000C6160000}"/>
    <cellStyle name="Вычисление 2 9 3" xfId="31133" xr:uid="{9A2E5779-A1B2-40B0-8A26-E08B3067E367}"/>
    <cellStyle name="Вычисление 3" xfId="133" xr:uid="{00000000-0005-0000-0000-0000C7160000}"/>
    <cellStyle name="Вычисление 3 10" xfId="3659" xr:uid="{00000000-0005-0000-0000-0000C8160000}"/>
    <cellStyle name="Вычисление 3 11" xfId="3456" xr:uid="{00000000-0005-0000-0000-0000C9160000}"/>
    <cellStyle name="Вычисление 3 2" xfId="219" xr:uid="{00000000-0005-0000-0000-0000CA160000}"/>
    <cellStyle name="Вычисление 3 2 10" xfId="655" xr:uid="{00000000-0005-0000-0000-0000CB160000}"/>
    <cellStyle name="Вычисление 3 2 10 2" xfId="1487" xr:uid="{00000000-0005-0000-0000-0000CC160000}"/>
    <cellStyle name="Вычисление 3 2 10 2 2" xfId="21480" xr:uid="{00000000-0005-0000-0000-0000CD160000}"/>
    <cellStyle name="Вычисление 3 2 10 2 2 2" xfId="38122" xr:uid="{BC979A32-F65E-40D8-AAA1-C0313D706B6D}"/>
    <cellStyle name="Вычисление 3 2 10 2 3" xfId="6243" xr:uid="{00000000-0005-0000-0000-0000CE160000}"/>
    <cellStyle name="Вычисление 3 2 10 2 4" xfId="24030" xr:uid="{E562B80F-5914-4E29-8B6E-3D6C78A5E275}"/>
    <cellStyle name="Вычисление 3 2 10 3" xfId="1783" xr:uid="{00000000-0005-0000-0000-0000CF160000}"/>
    <cellStyle name="Вычисление 3 2 10 3 2" xfId="22102" xr:uid="{00000000-0005-0000-0000-0000D0160000}"/>
    <cellStyle name="Вычисление 3 2 10 3 2 2" xfId="38712" xr:uid="{7AE6EAB1-AD1D-48E3-933A-FDA68ED354E6}"/>
    <cellStyle name="Вычисление 3 2 10 3 3" xfId="7012" xr:uid="{00000000-0005-0000-0000-0000D1160000}"/>
    <cellStyle name="Вычисление 3 2 10 3 4" xfId="24639" xr:uid="{4C5B53C8-4F23-4A5C-97DD-45A1881924E4}"/>
    <cellStyle name="Вычисление 3 2 10 4" xfId="2618" xr:uid="{00000000-0005-0000-0000-0000D2160000}"/>
    <cellStyle name="Вычисление 3 2 10 4 2" xfId="23056" xr:uid="{00000000-0005-0000-0000-0000D3160000}"/>
    <cellStyle name="Вычисление 3 2 10 4 3" xfId="39522" xr:uid="{55B94C7B-658F-4B88-8C9C-CB550165FC0B}"/>
    <cellStyle name="Вычисление 3 2 10 5" xfId="3775" xr:uid="{00000000-0005-0000-0000-0000D4160000}"/>
    <cellStyle name="Вычисление 3 2 10 5 2" xfId="23353" xr:uid="{00000000-0005-0000-0000-0000D5160000}"/>
    <cellStyle name="Вычисление 3 2 10 5 3" xfId="39780" xr:uid="{983FAD40-706A-401B-8E85-7CF370CA0977}"/>
    <cellStyle name="Вычисление 3 2 10 6" xfId="4215" xr:uid="{00000000-0005-0000-0000-0000D6160000}"/>
    <cellStyle name="Вычисление 3 2 10 6 2" xfId="20886" xr:uid="{00000000-0005-0000-0000-0000D7160000}"/>
    <cellStyle name="Вычисление 3 2 10 6 3" xfId="37676" xr:uid="{EC25A680-71DF-44C0-9BCE-79C909520F5C}"/>
    <cellStyle name="Вычисление 3 2 10 7" xfId="4737" xr:uid="{00000000-0005-0000-0000-0000D8160000}"/>
    <cellStyle name="Вычисление 3 2 10 8" xfId="5219" xr:uid="{00000000-0005-0000-0000-0000D9160000}"/>
    <cellStyle name="Вычисление 3 2 11" xfId="940" xr:uid="{00000000-0005-0000-0000-0000DA160000}"/>
    <cellStyle name="Вычисление 3 2 11 2" xfId="2058" xr:uid="{00000000-0005-0000-0000-0000DB160000}"/>
    <cellStyle name="Вычисление 3 2 11 2 2" xfId="21786" xr:uid="{00000000-0005-0000-0000-0000DC160000}"/>
    <cellStyle name="Вычисление 3 2 11 2 2 2" xfId="38396" xr:uid="{DDE7680A-EDF2-42C9-AD4D-D99333222086}"/>
    <cellStyle name="Вычисление 3 2 11 2 3" xfId="5858" xr:uid="{00000000-0005-0000-0000-0000DD160000}"/>
    <cellStyle name="Вычисление 3 2 11 2 4" xfId="23714" xr:uid="{5424567D-9107-4D0E-80A9-D0A61F897198}"/>
    <cellStyle name="Вычисление 3 2 11 3" xfId="2848" xr:uid="{00000000-0005-0000-0000-0000DE160000}"/>
    <cellStyle name="Вычисление 3 2 11 3 2" xfId="22965" xr:uid="{00000000-0005-0000-0000-0000DF160000}"/>
    <cellStyle name="Вычисление 3 2 11 3 2 2" xfId="39431" xr:uid="{26F36C62-6321-48F9-8DBD-F54F4F81D02F}"/>
    <cellStyle name="Вычисление 3 2 11 3 3" xfId="6702" xr:uid="{00000000-0005-0000-0000-0000E0160000}"/>
    <cellStyle name="Вычисление 3 2 11 3 4" xfId="24329" xr:uid="{55BAD633-E79B-46BA-894C-6D0ADFF7A957}"/>
    <cellStyle name="Вычисление 3 2 11 4" xfId="3700" xr:uid="{00000000-0005-0000-0000-0000E1160000}"/>
    <cellStyle name="Вычисление 3 2 11 4 2" xfId="23207" xr:uid="{00000000-0005-0000-0000-0000E2160000}"/>
    <cellStyle name="Вычисление 3 2 11 4 3" xfId="39634" xr:uid="{B44D6D13-73E4-41E0-8E2C-6F46D89579D7}"/>
    <cellStyle name="Вычисление 3 2 11 5" xfId="3052" xr:uid="{00000000-0005-0000-0000-0000E3160000}"/>
    <cellStyle name="Вычисление 3 2 11 5 2" xfId="21082" xr:uid="{00000000-0005-0000-0000-0000E4160000}"/>
    <cellStyle name="Вычисление 3 2 11 5 3" xfId="37806" xr:uid="{0B1EC476-314F-48F4-878E-8DE1F130A4CB}"/>
    <cellStyle name="Вычисление 3 2 11 6" xfId="4406" xr:uid="{00000000-0005-0000-0000-0000E5160000}"/>
    <cellStyle name="Вычисление 3 2 11 7" xfId="4925" xr:uid="{00000000-0005-0000-0000-0000E6160000}"/>
    <cellStyle name="Вычисление 3 2 12" xfId="1911" xr:uid="{00000000-0005-0000-0000-0000E7160000}"/>
    <cellStyle name="Вычисление 3 2 12 2" xfId="20951" xr:uid="{00000000-0005-0000-0000-0000E8160000}"/>
    <cellStyle name="Вычисление 3 2 12 2 2" xfId="37728" xr:uid="{177AB2AD-421E-4C67-B74E-E4E0A45166B4}"/>
    <cellStyle name="Вычисление 3 2 12 3" xfId="5667" xr:uid="{00000000-0005-0000-0000-0000E9160000}"/>
    <cellStyle name="Вычисление 3 2 12 4" xfId="23633" xr:uid="{12582E7E-9ABF-43BA-BA56-DF8C6B8D32FC}"/>
    <cellStyle name="Вычисление 3 2 13" xfId="2622" xr:uid="{00000000-0005-0000-0000-0000EA160000}"/>
    <cellStyle name="Вычисление 3 2 13 2" xfId="21708" xr:uid="{00000000-0005-0000-0000-0000EB160000}"/>
    <cellStyle name="Вычисление 3 2 13 2 2" xfId="38318" xr:uid="{3110E310-CA44-4AFE-BFCC-4F03C9665C8A}"/>
    <cellStyle name="Вычисление 3 2 13 3" xfId="6626" xr:uid="{00000000-0005-0000-0000-0000EC160000}"/>
    <cellStyle name="Вычисление 3 2 13 4" xfId="24253" xr:uid="{7A9623D2-190D-4B19-AC96-BA40AAF74CC7}"/>
    <cellStyle name="Вычисление 3 2 14" xfId="3413" xr:uid="{00000000-0005-0000-0000-0000ED160000}"/>
    <cellStyle name="Вычисление 3 2 14 2" xfId="22696" xr:uid="{00000000-0005-0000-0000-0000EE160000}"/>
    <cellStyle name="Вычисление 3 2 14 3" xfId="39167" xr:uid="{3BBA5423-58EC-4C68-B412-FE201CD3A71C}"/>
    <cellStyle name="Вычисление 3 2 15" xfId="3327" xr:uid="{00000000-0005-0000-0000-0000EF160000}"/>
    <cellStyle name="Вычисление 3 2 15 2" xfId="23148" xr:uid="{00000000-0005-0000-0000-0000F0160000}"/>
    <cellStyle name="Вычисление 3 2 15 3" xfId="39593" xr:uid="{7A4D4950-D0FE-4E80-95A4-3A00FC9C818E}"/>
    <cellStyle name="Вычисление 3 2 16" xfId="3050" xr:uid="{00000000-0005-0000-0000-0000F1160000}"/>
    <cellStyle name="Вычисление 3 2 16 2" xfId="7476" xr:uid="{00000000-0005-0000-0000-0000F2160000}"/>
    <cellStyle name="Вычисление 3 2 16 3" xfId="24878" xr:uid="{F3DE3273-64A4-40F1-942B-77824D9A331B}"/>
    <cellStyle name="Вычисление 3 2 17" xfId="3266" xr:uid="{00000000-0005-0000-0000-0000F3160000}"/>
    <cellStyle name="Вычисление 3 2 2" xfId="290" xr:uid="{00000000-0005-0000-0000-0000F4160000}"/>
    <cellStyle name="Вычисление 3 2 2 2" xfId="1012" xr:uid="{00000000-0005-0000-0000-0000F5160000}"/>
    <cellStyle name="Вычисление 3 2 2 2 2" xfId="21146" xr:uid="{00000000-0005-0000-0000-0000F6160000}"/>
    <cellStyle name="Вычисление 3 2 2 2 2 2" xfId="37845" xr:uid="{3382F115-5FCE-44E4-A2C8-0F1DBD7BFF9A}"/>
    <cellStyle name="Вычисление 3 2 2 2 3" xfId="5923" xr:uid="{00000000-0005-0000-0000-0000F7160000}"/>
    <cellStyle name="Вычисление 3 2 2 2 4" xfId="23753" xr:uid="{767572CF-1699-46AF-833C-0DB24722EB68}"/>
    <cellStyle name="Вычисление 3 2 2 3" xfId="1885" xr:uid="{00000000-0005-0000-0000-0000F8160000}"/>
    <cellStyle name="Вычисление 3 2 2 3 2" xfId="21825" xr:uid="{00000000-0005-0000-0000-0000F9160000}"/>
    <cellStyle name="Вычисление 3 2 2 3 2 2" xfId="38435" xr:uid="{40E6FA2B-CDA4-453B-BFD3-DED95C2BF7BE}"/>
    <cellStyle name="Вычисление 3 2 2 3 3" xfId="6739" xr:uid="{00000000-0005-0000-0000-0000FA160000}"/>
    <cellStyle name="Вычисление 3 2 2 3 4" xfId="24366" xr:uid="{B7181945-923A-4223-9FE1-787AFAD28752}"/>
    <cellStyle name="Вычисление 3 2 2 4" xfId="2366" xr:uid="{00000000-0005-0000-0000-0000FB160000}"/>
    <cellStyle name="Вычисление 3 2 2 4 2" xfId="22846" xr:uid="{00000000-0005-0000-0000-0000FC160000}"/>
    <cellStyle name="Вычисление 3 2 2 4 3" xfId="39312" xr:uid="{26B139FA-968E-4E96-ADEF-E0CA52313F1F}"/>
    <cellStyle name="Вычисление 3 2 2 5" xfId="3449" xr:uid="{00000000-0005-0000-0000-0000FD160000}"/>
    <cellStyle name="Вычисление 3 2 2 5 2" xfId="23224" xr:uid="{00000000-0005-0000-0000-0000FE160000}"/>
    <cellStyle name="Вычисление 3 2 2 5 3" xfId="39651" xr:uid="{F69560E7-B3D8-4A47-B0CC-93608D57DD23}"/>
    <cellStyle name="Вычисление 3 2 2 6" xfId="3913" xr:uid="{00000000-0005-0000-0000-0000FF160000}"/>
    <cellStyle name="Вычисление 3 2 2 6 2" xfId="14058" xr:uid="{00000000-0005-0000-0000-000000170000}"/>
    <cellStyle name="Вычисление 3 2 2 6 3" xfId="31097" xr:uid="{A731B505-C1B1-4832-A72A-5F650BE4B5A8}"/>
    <cellStyle name="Вычисление 3 2 2 7" xfId="4448" xr:uid="{00000000-0005-0000-0000-000001170000}"/>
    <cellStyle name="Вычисление 3 2 2 8" xfId="4946" xr:uid="{00000000-0005-0000-0000-000002170000}"/>
    <cellStyle name="Вычисление 3 2 3" xfId="439" xr:uid="{00000000-0005-0000-0000-000003170000}"/>
    <cellStyle name="Вычисление 3 2 3 2" xfId="1271" xr:uid="{00000000-0005-0000-0000-000004170000}"/>
    <cellStyle name="Вычисление 3 2 3 2 2" xfId="21264" xr:uid="{00000000-0005-0000-0000-000005170000}"/>
    <cellStyle name="Вычисление 3 2 3 2 2 2" xfId="37906" xr:uid="{FECB3FE2-9913-4F95-8139-A4452F9DB625}"/>
    <cellStyle name="Вычисление 3 2 3 2 3" xfId="6027" xr:uid="{00000000-0005-0000-0000-000006170000}"/>
    <cellStyle name="Вычисление 3 2 3 2 4" xfId="23814" xr:uid="{6F88A037-0373-447A-89F7-252AF6CFAA37}"/>
    <cellStyle name="Вычисление 3 2 3 3" xfId="1909" xr:uid="{00000000-0005-0000-0000-000007170000}"/>
    <cellStyle name="Вычисление 3 2 3 3 2" xfId="21886" xr:uid="{00000000-0005-0000-0000-000008170000}"/>
    <cellStyle name="Вычисление 3 2 3 3 2 2" xfId="38496" xr:uid="{64D57610-59FA-42A9-A092-CBC21DC876C8}"/>
    <cellStyle name="Вычисление 3 2 3 3 3" xfId="6798" xr:uid="{00000000-0005-0000-0000-000009170000}"/>
    <cellStyle name="Вычисление 3 2 3 3 4" xfId="24425" xr:uid="{689F1703-638E-42A1-9284-1C6D98585600}"/>
    <cellStyle name="Вычисление 3 2 3 4" xfId="2576" xr:uid="{00000000-0005-0000-0000-00000A170000}"/>
    <cellStyle name="Вычисление 3 2 3 4 2" xfId="23040" xr:uid="{00000000-0005-0000-0000-00000B170000}"/>
    <cellStyle name="Вычисление 3 2 3 4 3" xfId="39506" xr:uid="{1CEAE2A7-FDFD-4EA5-B4F9-E3AEDA9B0389}"/>
    <cellStyle name="Вычисление 3 2 3 5" xfId="3738" xr:uid="{00000000-0005-0000-0000-00000C170000}"/>
    <cellStyle name="Вычисление 3 2 3 5 2" xfId="23252" xr:uid="{00000000-0005-0000-0000-00000D170000}"/>
    <cellStyle name="Вычисление 3 2 3 5 3" xfId="39679" xr:uid="{EDA88B8B-9735-4547-A31B-888F8B1811A5}"/>
    <cellStyle name="Вычисление 3 2 3 6" xfId="4000" xr:uid="{00000000-0005-0000-0000-00000E170000}"/>
    <cellStyle name="Вычисление 3 2 3 6 2" xfId="20391" xr:uid="{00000000-0005-0000-0000-00000F170000}"/>
    <cellStyle name="Вычисление 3 2 3 6 3" xfId="37317" xr:uid="{BD17EF0A-9C9B-44D7-ADD9-8D973142E54D}"/>
    <cellStyle name="Вычисление 3 2 3 7" xfId="4523" xr:uid="{00000000-0005-0000-0000-000010170000}"/>
    <cellStyle name="Вычисление 3 2 3 8" xfId="5005" xr:uid="{00000000-0005-0000-0000-000011170000}"/>
    <cellStyle name="Вычисление 3 2 4" xfId="486" xr:uid="{00000000-0005-0000-0000-000012170000}"/>
    <cellStyle name="Вычисление 3 2 4 2" xfId="1318" xr:uid="{00000000-0005-0000-0000-000013170000}"/>
    <cellStyle name="Вычисление 3 2 4 2 2" xfId="21311" xr:uid="{00000000-0005-0000-0000-000014170000}"/>
    <cellStyle name="Вычисление 3 2 4 2 2 2" xfId="37953" xr:uid="{2C4B2D56-1364-4BA1-BCD6-3AC9C569056F}"/>
    <cellStyle name="Вычисление 3 2 4 2 3" xfId="6074" xr:uid="{00000000-0005-0000-0000-000015170000}"/>
    <cellStyle name="Вычисление 3 2 4 2 4" xfId="23861" xr:uid="{7836E503-682A-46AF-8649-5152E52C7539}"/>
    <cellStyle name="Вычисление 3 2 4 3" xfId="1797" xr:uid="{00000000-0005-0000-0000-000016170000}"/>
    <cellStyle name="Вычисление 3 2 4 3 2" xfId="21933" xr:uid="{00000000-0005-0000-0000-000017170000}"/>
    <cellStyle name="Вычисление 3 2 4 3 2 2" xfId="38543" xr:uid="{B479EE1E-1543-4F02-AA6B-AF60DCE84758}"/>
    <cellStyle name="Вычисление 3 2 4 3 3" xfId="6843" xr:uid="{00000000-0005-0000-0000-000018170000}"/>
    <cellStyle name="Вычисление 3 2 4 3 4" xfId="24470" xr:uid="{028D141A-7199-4742-A39D-B6703BBF6167}"/>
    <cellStyle name="Вычисление 3 2 4 4" xfId="2585" xr:uid="{00000000-0005-0000-0000-000019170000}"/>
    <cellStyle name="Вычисление 3 2 4 4 2" xfId="22982" xr:uid="{00000000-0005-0000-0000-00001A170000}"/>
    <cellStyle name="Вычисление 3 2 4 4 3" xfId="39448" xr:uid="{3F34ED86-32DC-42D3-B2AD-9487759193B7}"/>
    <cellStyle name="Вычисление 3 2 4 5" xfId="3619" xr:uid="{00000000-0005-0000-0000-00001B170000}"/>
    <cellStyle name="Вычисление 3 2 4 5 2" xfId="23276" xr:uid="{00000000-0005-0000-0000-00001C170000}"/>
    <cellStyle name="Вычисление 3 2 4 5 3" xfId="39703" xr:uid="{324E9D48-274C-48F5-B9B3-59C7D6FAA974}"/>
    <cellStyle name="Вычисление 3 2 4 6" xfId="4046" xr:uid="{00000000-0005-0000-0000-00001D170000}"/>
    <cellStyle name="Вычисление 3 2 4 6 2" xfId="20472" xr:uid="{00000000-0005-0000-0000-00001E170000}"/>
    <cellStyle name="Вычисление 3 2 4 6 3" xfId="37364" xr:uid="{3C31AF6C-A4A5-4229-A2AD-1A28A1BE2EEF}"/>
    <cellStyle name="Вычисление 3 2 4 7" xfId="4568" xr:uid="{00000000-0005-0000-0000-00001F170000}"/>
    <cellStyle name="Вычисление 3 2 4 8" xfId="5050" xr:uid="{00000000-0005-0000-0000-000020170000}"/>
    <cellStyle name="Вычисление 3 2 5" xfId="538" xr:uid="{00000000-0005-0000-0000-000021170000}"/>
    <cellStyle name="Вычисление 3 2 5 2" xfId="1370" xr:uid="{00000000-0005-0000-0000-000022170000}"/>
    <cellStyle name="Вычисление 3 2 5 2 2" xfId="21363" xr:uid="{00000000-0005-0000-0000-000023170000}"/>
    <cellStyle name="Вычисление 3 2 5 2 2 2" xfId="38005" xr:uid="{2B35EC96-C775-4AB0-964B-A5D306D0FC4A}"/>
    <cellStyle name="Вычисление 3 2 5 2 3" xfId="6126" xr:uid="{00000000-0005-0000-0000-000024170000}"/>
    <cellStyle name="Вычисление 3 2 5 2 4" xfId="23913" xr:uid="{6E68E7F0-35A8-4F30-BC12-2F6A67842381}"/>
    <cellStyle name="Вычисление 3 2 5 3" xfId="1778" xr:uid="{00000000-0005-0000-0000-000025170000}"/>
    <cellStyle name="Вычисление 3 2 5 3 2" xfId="21985" xr:uid="{00000000-0005-0000-0000-000026170000}"/>
    <cellStyle name="Вычисление 3 2 5 3 2 2" xfId="38595" xr:uid="{8AB8F24E-9C9D-4EFA-908E-310B4E33395A}"/>
    <cellStyle name="Вычисление 3 2 5 3 3" xfId="6895" xr:uid="{00000000-0005-0000-0000-000027170000}"/>
    <cellStyle name="Вычисление 3 2 5 3 4" xfId="24522" xr:uid="{00B318DF-B163-451F-B733-C6E122ABC223}"/>
    <cellStyle name="Вычисление 3 2 5 4" xfId="2612" xr:uid="{00000000-0005-0000-0000-000028170000}"/>
    <cellStyle name="Вычисление 3 2 5 4 2" xfId="22896" xr:uid="{00000000-0005-0000-0000-000029170000}"/>
    <cellStyle name="Вычисление 3 2 5 4 3" xfId="39362" xr:uid="{98103D45-CD82-4BB8-9EBB-02231F2FBD22}"/>
    <cellStyle name="Вычисление 3 2 5 5" xfId="3542" xr:uid="{00000000-0005-0000-0000-00002A170000}"/>
    <cellStyle name="Вычисление 3 2 5 5 2" xfId="23300" xr:uid="{00000000-0005-0000-0000-00002B170000}"/>
    <cellStyle name="Вычисление 3 2 5 5 3" xfId="39727" xr:uid="{1CD67AD4-B862-4759-9E2B-7583E9397C65}"/>
    <cellStyle name="Вычисление 3 2 5 6" xfId="4098" xr:uid="{00000000-0005-0000-0000-00002C170000}"/>
    <cellStyle name="Вычисление 3 2 5 6 2" xfId="20577" xr:uid="{00000000-0005-0000-0000-00002D170000}"/>
    <cellStyle name="Вычисление 3 2 5 6 3" xfId="37430" xr:uid="{09133725-485D-40D4-835C-F33FC548AD97}"/>
    <cellStyle name="Вычисление 3 2 5 7" xfId="4620" xr:uid="{00000000-0005-0000-0000-00002E170000}"/>
    <cellStyle name="Вычисление 3 2 5 8" xfId="5102" xr:uid="{00000000-0005-0000-0000-00002F170000}"/>
    <cellStyle name="Вычисление 3 2 6" xfId="590" xr:uid="{00000000-0005-0000-0000-000030170000}"/>
    <cellStyle name="Вычисление 3 2 6 2" xfId="1422" xr:uid="{00000000-0005-0000-0000-000031170000}"/>
    <cellStyle name="Вычисление 3 2 6 2 2" xfId="21415" xr:uid="{00000000-0005-0000-0000-000032170000}"/>
    <cellStyle name="Вычисление 3 2 6 2 2 2" xfId="38057" xr:uid="{93ABFDAA-0B0E-44CC-91F7-2C139D844E47}"/>
    <cellStyle name="Вычисление 3 2 6 2 3" xfId="6178" xr:uid="{00000000-0005-0000-0000-000033170000}"/>
    <cellStyle name="Вычисление 3 2 6 2 4" xfId="23965" xr:uid="{35F4031C-3E3C-4183-AD2B-929BF94F42A7}"/>
    <cellStyle name="Вычисление 3 2 6 3" xfId="2240" xr:uid="{00000000-0005-0000-0000-000034170000}"/>
    <cellStyle name="Вычисление 3 2 6 3 2" xfId="22037" xr:uid="{00000000-0005-0000-0000-000035170000}"/>
    <cellStyle name="Вычисление 3 2 6 3 2 2" xfId="38647" xr:uid="{E7ED5A0F-205C-4EFE-ADF3-9EEE41C66B8E}"/>
    <cellStyle name="Вычисление 3 2 6 3 3" xfId="6947" xr:uid="{00000000-0005-0000-0000-000036170000}"/>
    <cellStyle name="Вычисление 3 2 6 3 4" xfId="24574" xr:uid="{92CBFC5F-5058-431D-B254-08C62A561DA5}"/>
    <cellStyle name="Вычисление 3 2 6 4" xfId="2404" xr:uid="{00000000-0005-0000-0000-000037170000}"/>
    <cellStyle name="Вычисление 3 2 6 4 2" xfId="22904" xr:uid="{00000000-0005-0000-0000-000038170000}"/>
    <cellStyle name="Вычисление 3 2 6 4 3" xfId="39370" xr:uid="{033E701F-DFEF-4C3F-9C8F-63E3B8EBDC08}"/>
    <cellStyle name="Вычисление 3 2 6 5" xfId="3553" xr:uid="{00000000-0005-0000-0000-000039170000}"/>
    <cellStyle name="Вычисление 3 2 6 5 2" xfId="23324" xr:uid="{00000000-0005-0000-0000-00003A170000}"/>
    <cellStyle name="Вычисление 3 2 6 5 3" xfId="39751" xr:uid="{6718234A-5083-4B6A-AE04-7FFE2E2E11BF}"/>
    <cellStyle name="Вычисление 3 2 6 6" xfId="4150" xr:uid="{00000000-0005-0000-0000-00003B170000}"/>
    <cellStyle name="Вычисление 3 2 6 6 2" xfId="20569" xr:uid="{00000000-0005-0000-0000-00003C170000}"/>
    <cellStyle name="Вычисление 3 2 6 6 3" xfId="37422" xr:uid="{D87926E2-63A9-4F38-8517-5ED658E64B2B}"/>
    <cellStyle name="Вычисление 3 2 6 7" xfId="4672" xr:uid="{00000000-0005-0000-0000-00003D170000}"/>
    <cellStyle name="Вычисление 3 2 6 8" xfId="5154" xr:uid="{00000000-0005-0000-0000-00003E170000}"/>
    <cellStyle name="Вычисление 3 2 7" xfId="687" xr:uid="{00000000-0005-0000-0000-00003F170000}"/>
    <cellStyle name="Вычисление 3 2 7 2" xfId="1517" xr:uid="{00000000-0005-0000-0000-000040170000}"/>
    <cellStyle name="Вычисление 3 2 7 2 2" xfId="21510" xr:uid="{00000000-0005-0000-0000-000041170000}"/>
    <cellStyle name="Вычисление 3 2 7 2 2 2" xfId="38152" xr:uid="{DA4EFD29-52D9-4277-97E3-481547A9367E}"/>
    <cellStyle name="Вычисление 3 2 7 2 3" xfId="6273" xr:uid="{00000000-0005-0000-0000-000042170000}"/>
    <cellStyle name="Вычисление 3 2 7 2 4" xfId="24060" xr:uid="{2B34529C-2673-4FE4-9FD4-CF91D60F27DC}"/>
    <cellStyle name="Вычисление 3 2 7 3" xfId="1880" xr:uid="{00000000-0005-0000-0000-000043170000}"/>
    <cellStyle name="Вычисление 3 2 7 3 2" xfId="22132" xr:uid="{00000000-0005-0000-0000-000044170000}"/>
    <cellStyle name="Вычисление 3 2 7 3 2 2" xfId="38742" xr:uid="{B15B3637-1BC5-4A2A-A811-56B2E40F0CCC}"/>
    <cellStyle name="Вычисление 3 2 7 3 3" xfId="7042" xr:uid="{00000000-0005-0000-0000-000045170000}"/>
    <cellStyle name="Вычисление 3 2 7 3 4" xfId="24669" xr:uid="{AF14B9AE-4220-4109-9F3F-7DAB564C8F37}"/>
    <cellStyle name="Вычисление 3 2 7 4" xfId="2362" xr:uid="{00000000-0005-0000-0000-000046170000}"/>
    <cellStyle name="Вычисление 3 2 7 4 2" xfId="22955" xr:uid="{00000000-0005-0000-0000-000047170000}"/>
    <cellStyle name="Вычисление 3 2 7 4 3" xfId="39421" xr:uid="{257B04C5-337E-4A61-9891-10E194CD6523}"/>
    <cellStyle name="Вычисление 3 2 7 5" xfId="3749" xr:uid="{00000000-0005-0000-0000-000048170000}"/>
    <cellStyle name="Вычисление 3 2 7 5 2" xfId="23363" xr:uid="{00000000-0005-0000-0000-000049170000}"/>
    <cellStyle name="Вычисление 3 2 7 5 3" xfId="39790" xr:uid="{1927DDB1-B9D2-477F-B6CD-5C246C1AD464}"/>
    <cellStyle name="Вычисление 3 2 7 6" xfId="4246" xr:uid="{00000000-0005-0000-0000-00004A170000}"/>
    <cellStyle name="Вычисление 3 2 7 6 2" xfId="20691" xr:uid="{00000000-0005-0000-0000-00004B170000}"/>
    <cellStyle name="Вычисление 3 2 7 6 3" xfId="37520" xr:uid="{FD464D0E-3D0D-401B-8C0C-9BF8F42327ED}"/>
    <cellStyle name="Вычисление 3 2 7 7" xfId="4768" xr:uid="{00000000-0005-0000-0000-00004C170000}"/>
    <cellStyle name="Вычисление 3 2 7 8" xfId="5249" xr:uid="{00000000-0005-0000-0000-00004D170000}"/>
    <cellStyle name="Вычисление 3 2 8" xfId="631" xr:uid="{00000000-0005-0000-0000-00004E170000}"/>
    <cellStyle name="Вычисление 3 2 8 2" xfId="1463" xr:uid="{00000000-0005-0000-0000-00004F170000}"/>
    <cellStyle name="Вычисление 3 2 8 2 2" xfId="21456" xr:uid="{00000000-0005-0000-0000-000050170000}"/>
    <cellStyle name="Вычисление 3 2 8 2 2 2" xfId="38098" xr:uid="{E7A7982E-344E-488D-8868-E4D8938CBCA6}"/>
    <cellStyle name="Вычисление 3 2 8 2 3" xfId="6219" xr:uid="{00000000-0005-0000-0000-000051170000}"/>
    <cellStyle name="Вычисление 3 2 8 2 4" xfId="24006" xr:uid="{F8FD0DC9-8833-497F-B317-5F7BF80D20E7}"/>
    <cellStyle name="Вычисление 3 2 8 3" xfId="1837" xr:uid="{00000000-0005-0000-0000-000052170000}"/>
    <cellStyle name="Вычисление 3 2 8 3 2" xfId="22078" xr:uid="{00000000-0005-0000-0000-000053170000}"/>
    <cellStyle name="Вычисление 3 2 8 3 2 2" xfId="38688" xr:uid="{EB925EB2-7789-4A88-A29C-DDE3DC97C581}"/>
    <cellStyle name="Вычисление 3 2 8 3 3" xfId="6988" xr:uid="{00000000-0005-0000-0000-000054170000}"/>
    <cellStyle name="Вычисление 3 2 8 3 4" xfId="24615" xr:uid="{7D5CF4C0-E4AF-4574-B49D-A34DB12BCC39}"/>
    <cellStyle name="Вычисление 3 2 8 4" xfId="2680" xr:uid="{00000000-0005-0000-0000-000055170000}"/>
    <cellStyle name="Вычисление 3 2 8 4 2" xfId="23078" xr:uid="{00000000-0005-0000-0000-000056170000}"/>
    <cellStyle name="Вычисление 3 2 8 4 3" xfId="39544" xr:uid="{5D6A2B97-C7AC-4826-BE08-CB08AE7409D9}"/>
    <cellStyle name="Вычисление 3 2 8 5" xfId="3803" xr:uid="{00000000-0005-0000-0000-000057170000}"/>
    <cellStyle name="Вычисление 3 2 8 5 2" xfId="23344" xr:uid="{00000000-0005-0000-0000-000058170000}"/>
    <cellStyle name="Вычисление 3 2 8 5 3" xfId="39771" xr:uid="{E89B7F2F-A693-4625-AFFA-36AEE216325A}"/>
    <cellStyle name="Вычисление 3 2 8 6" xfId="4191" xr:uid="{00000000-0005-0000-0000-000059170000}"/>
    <cellStyle name="Вычисление 3 2 8 6 2" xfId="20756" xr:uid="{00000000-0005-0000-0000-00005A170000}"/>
    <cellStyle name="Вычисление 3 2 8 6 3" xfId="37572" xr:uid="{E796377D-1AAA-4688-A026-E14CC549F3CB}"/>
    <cellStyle name="Вычисление 3 2 8 7" xfId="4713" xr:uid="{00000000-0005-0000-0000-00005B170000}"/>
    <cellStyle name="Вычисление 3 2 8 8" xfId="5195" xr:uid="{00000000-0005-0000-0000-00005C170000}"/>
    <cellStyle name="Вычисление 3 2 9" xfId="691" xr:uid="{00000000-0005-0000-0000-00005D170000}"/>
    <cellStyle name="Вычисление 3 2 9 2" xfId="1521" xr:uid="{00000000-0005-0000-0000-00005E170000}"/>
    <cellStyle name="Вычисление 3 2 9 2 2" xfId="21514" xr:uid="{00000000-0005-0000-0000-00005F170000}"/>
    <cellStyle name="Вычисление 3 2 9 2 2 2" xfId="38156" xr:uid="{27C6C503-C2B2-46E8-B711-F9620460BCCD}"/>
    <cellStyle name="Вычисление 3 2 9 2 3" xfId="6277" xr:uid="{00000000-0005-0000-0000-000060170000}"/>
    <cellStyle name="Вычисление 3 2 9 2 4" xfId="24064" xr:uid="{BDD1C8C1-B666-4B62-9F03-64643F128E9C}"/>
    <cellStyle name="Вычисление 3 2 9 3" xfId="1753" xr:uid="{00000000-0005-0000-0000-000061170000}"/>
    <cellStyle name="Вычисление 3 2 9 3 2" xfId="22136" xr:uid="{00000000-0005-0000-0000-000062170000}"/>
    <cellStyle name="Вычисление 3 2 9 3 2 2" xfId="38746" xr:uid="{A8564264-9E20-46C4-8E3E-E52EC58C4CCD}"/>
    <cellStyle name="Вычисление 3 2 9 3 3" xfId="7046" xr:uid="{00000000-0005-0000-0000-000063170000}"/>
    <cellStyle name="Вычисление 3 2 9 3 4" xfId="24673" xr:uid="{7BA504BF-06F7-413A-AA01-A43A399DBDD8}"/>
    <cellStyle name="Вычисление 3 2 9 4" xfId="2523" xr:uid="{00000000-0005-0000-0000-000064170000}"/>
    <cellStyle name="Вычисление 3 2 9 4 2" xfId="22892" xr:uid="{00000000-0005-0000-0000-000065170000}"/>
    <cellStyle name="Вычисление 3 2 9 4 3" xfId="39358" xr:uid="{E45D4267-D725-4D74-96E8-ED3EB74101B9}"/>
    <cellStyle name="Вычисление 3 2 9 5" xfId="3536" xr:uid="{00000000-0005-0000-0000-000066170000}"/>
    <cellStyle name="Вычисление 3 2 9 5 2" xfId="23365" xr:uid="{00000000-0005-0000-0000-000067170000}"/>
    <cellStyle name="Вычисление 3 2 9 5 3" xfId="39792" xr:uid="{BF02974C-2A42-44AC-B6CD-DF89F82C2A61}"/>
    <cellStyle name="Вычисление 3 2 9 6" xfId="4250" xr:uid="{00000000-0005-0000-0000-000068170000}"/>
    <cellStyle name="Вычисление 3 2 9 6 2" xfId="20821" xr:uid="{00000000-0005-0000-0000-000069170000}"/>
    <cellStyle name="Вычисление 3 2 9 6 3" xfId="37624" xr:uid="{52F55BB4-0C0E-457D-9587-BD6717F16664}"/>
    <cellStyle name="Вычисление 3 2 9 7" xfId="4772" xr:uid="{00000000-0005-0000-0000-00006A170000}"/>
    <cellStyle name="Вычисление 3 2 9 8" xfId="5253" xr:uid="{00000000-0005-0000-0000-00006B170000}"/>
    <cellStyle name="Вычисление 3 3" xfId="359" xr:uid="{00000000-0005-0000-0000-00006C170000}"/>
    <cellStyle name="Вычисление 3 3 10" xfId="981" xr:uid="{00000000-0005-0000-0000-00006D170000}"/>
    <cellStyle name="Вычисление 3 3 10 2" xfId="1854" xr:uid="{00000000-0005-0000-0000-00006E170000}"/>
    <cellStyle name="Вычисление 3 3 10 2 2" xfId="21848" xr:uid="{00000000-0005-0000-0000-00006F170000}"/>
    <cellStyle name="Вычисление 3 3 10 2 2 2" xfId="38458" xr:uid="{A6523355-D8EA-4A95-95D0-CA43D5C7E013}"/>
    <cellStyle name="Вычисление 3 3 10 2 3" xfId="5988" xr:uid="{00000000-0005-0000-0000-000070170000}"/>
    <cellStyle name="Вычисление 3 3 10 2 4" xfId="23776" xr:uid="{F3E15D2F-16AC-435A-9F69-0FB46E37A0C0}"/>
    <cellStyle name="Вычисление 3 3 10 3" xfId="2754" xr:uid="{00000000-0005-0000-0000-000071170000}"/>
    <cellStyle name="Вычисление 3 3 10 3 2" xfId="22990" xr:uid="{00000000-0005-0000-0000-000072170000}"/>
    <cellStyle name="Вычисление 3 3 10 3 2 2" xfId="39456" xr:uid="{B7E227FF-A0A4-41C9-9173-4DD312CB53BD}"/>
    <cellStyle name="Вычисление 3 3 10 3 3" xfId="6762" xr:uid="{00000000-0005-0000-0000-000073170000}"/>
    <cellStyle name="Вычисление 3 3 10 3 4" xfId="24389" xr:uid="{9673FFB7-AFDB-406E-868F-1E44DF119865}"/>
    <cellStyle name="Вычисление 3 3 10 4" xfId="3625" xr:uid="{00000000-0005-0000-0000-000074170000}"/>
    <cellStyle name="Вычисление 3 3 10 4 2" xfId="23235" xr:uid="{00000000-0005-0000-0000-000075170000}"/>
    <cellStyle name="Вычисление 3 3 10 4 3" xfId="39662" xr:uid="{AAB6FEC3-FF51-4C64-A1F9-0B498E49886A}"/>
    <cellStyle name="Вычисление 3 3 10 5" xfId="3952" xr:uid="{00000000-0005-0000-0000-000076170000}"/>
    <cellStyle name="Вычисление 3 3 10 5 2" xfId="21207" xr:uid="{00000000-0005-0000-0000-000077170000}"/>
    <cellStyle name="Вычисление 3 3 10 5 3" xfId="37868" xr:uid="{C4F593A7-8DBF-43E2-87A7-B8C5D0E06074}"/>
    <cellStyle name="Вычисление 3 3 10 6" xfId="4480" xr:uid="{00000000-0005-0000-0000-000078170000}"/>
    <cellStyle name="Вычисление 3 3 10 7" xfId="4969" xr:uid="{00000000-0005-0000-0000-000079170000}"/>
    <cellStyle name="Вычисление 3 3 11" xfId="1827" xr:uid="{00000000-0005-0000-0000-00007A170000}"/>
    <cellStyle name="Вычисление 3 3 11 2" xfId="20974" xr:uid="{00000000-0005-0000-0000-00007B170000}"/>
    <cellStyle name="Вычисление 3 3 11 2 2" xfId="37751" xr:uid="{66914924-88F0-4973-B96A-8D560846BF5B}"/>
    <cellStyle name="Вычисление 3 3 11 3" xfId="5732" xr:uid="{00000000-0005-0000-0000-00007C170000}"/>
    <cellStyle name="Вычисление 3 3 11 4" xfId="23656" xr:uid="{CE568B36-61A6-4F71-BE7D-41C126DD00BC}"/>
    <cellStyle name="Вычисление 3 3 12" xfId="2476" xr:uid="{00000000-0005-0000-0000-00007D170000}"/>
    <cellStyle name="Вычисление 3 3 12 2" xfId="21731" xr:uid="{00000000-0005-0000-0000-00007E170000}"/>
    <cellStyle name="Вычисление 3 3 12 2 2" xfId="38341" xr:uid="{68BDAE45-2765-4779-A8E9-A8B1BB7378C6}"/>
    <cellStyle name="Вычисление 3 3 12 3" xfId="6649" xr:uid="{00000000-0005-0000-0000-00007F170000}"/>
    <cellStyle name="Вычисление 3 3 12 4" xfId="24276" xr:uid="{ABD0F6E0-FB6E-4C65-B666-7F9A488737B1}"/>
    <cellStyle name="Вычисление 3 3 13" xfId="3080" xr:uid="{00000000-0005-0000-0000-000080170000}"/>
    <cellStyle name="Вычисление 3 3 13 2" xfId="22611" xr:uid="{00000000-0005-0000-0000-000081170000}"/>
    <cellStyle name="Вычисление 3 3 13 3" xfId="39085" xr:uid="{09D1B819-4443-47C0-B2FC-65D06DE940D0}"/>
    <cellStyle name="Вычисление 3 3 14" xfId="3764" xr:uid="{00000000-0005-0000-0000-000082170000}"/>
    <cellStyle name="Вычисление 3 3 14 2" xfId="23181" xr:uid="{00000000-0005-0000-0000-000083170000}"/>
    <cellStyle name="Вычисление 3 3 14 3" xfId="39608" xr:uid="{39FC378A-C77B-4E2F-AE2E-C67FCC7B8A34}"/>
    <cellStyle name="Вычисление 3 3 15" xfId="3262" xr:uid="{00000000-0005-0000-0000-000084170000}"/>
    <cellStyle name="Вычисление 3 3 15 2" xfId="7372" xr:uid="{00000000-0005-0000-0000-000085170000}"/>
    <cellStyle name="Вычисление 3 3 15 3" xfId="24847" xr:uid="{55A865F7-A19B-426A-A514-23FC84DB04BE}"/>
    <cellStyle name="Вычисление 3 3 16" xfId="2995" xr:uid="{00000000-0005-0000-0000-000086170000}"/>
    <cellStyle name="Вычисление 3 3 2" xfId="464" xr:uid="{00000000-0005-0000-0000-000087170000}"/>
    <cellStyle name="Вычисление 3 3 2 2" xfId="1296" xr:uid="{00000000-0005-0000-0000-000088170000}"/>
    <cellStyle name="Вычисление 3 3 2 2 2" xfId="21289" xr:uid="{00000000-0005-0000-0000-000089170000}"/>
    <cellStyle name="Вычисление 3 3 2 2 2 2" xfId="37931" xr:uid="{1AC2B121-85CB-464A-AFB8-B090E6537718}"/>
    <cellStyle name="Вычисление 3 3 2 2 3" xfId="6052" xr:uid="{00000000-0005-0000-0000-00008A170000}"/>
    <cellStyle name="Вычисление 3 3 2 2 4" xfId="23839" xr:uid="{2E136B34-47C4-4A8D-9D66-7138A3D972B7}"/>
    <cellStyle name="Вычисление 3 3 2 3" xfId="2165" xr:uid="{00000000-0005-0000-0000-00008B170000}"/>
    <cellStyle name="Вычисление 3 3 2 3 2" xfId="21911" xr:uid="{00000000-0005-0000-0000-00008C170000}"/>
    <cellStyle name="Вычисление 3 3 2 3 2 2" xfId="38521" xr:uid="{F6D6A1BE-E4A7-44F4-889A-D6898150D4D2}"/>
    <cellStyle name="Вычисление 3 3 2 3 3" xfId="6821" xr:uid="{00000000-0005-0000-0000-00008D170000}"/>
    <cellStyle name="Вычисление 3 3 2 3 4" xfId="24448" xr:uid="{E372A452-550A-4494-8862-D9A3C6B8C6FC}"/>
    <cellStyle name="Вычисление 3 3 2 4" xfId="2467" xr:uid="{00000000-0005-0000-0000-00008E170000}"/>
    <cellStyle name="Вычисление 3 3 2 4 2" xfId="22942" xr:uid="{00000000-0005-0000-0000-00008F170000}"/>
    <cellStyle name="Вычисление 3 3 2 4 3" xfId="39408" xr:uid="{C820B155-D31B-4EA1-A007-5F6D56C5CAB9}"/>
    <cellStyle name="Вычисление 3 3 2 5" xfId="3602" xr:uid="{00000000-0005-0000-0000-000090170000}"/>
    <cellStyle name="Вычисление 3 3 2 5 2" xfId="23265" xr:uid="{00000000-0005-0000-0000-000091170000}"/>
    <cellStyle name="Вычисление 3 3 2 5 3" xfId="39692" xr:uid="{F5E8421A-4343-4C4F-BF43-2007F22CA6C9}"/>
    <cellStyle name="Вычисление 3 3 2 6" xfId="4024" xr:uid="{00000000-0005-0000-0000-000092170000}"/>
    <cellStyle name="Вычисление 3 3 2 6 2" xfId="20448" xr:uid="{00000000-0005-0000-0000-000093170000}"/>
    <cellStyle name="Вычисление 3 3 2 6 3" xfId="37340" xr:uid="{CFE77C3D-744D-45BB-B375-9635B485D64D}"/>
    <cellStyle name="Вычисление 3 3 2 7" xfId="4546" xr:uid="{00000000-0005-0000-0000-000094170000}"/>
    <cellStyle name="Вычисление 3 3 2 8" xfId="5028" xr:uid="{00000000-0005-0000-0000-000095170000}"/>
    <cellStyle name="Вычисление 3 3 3" xfId="509" xr:uid="{00000000-0005-0000-0000-000096170000}"/>
    <cellStyle name="Вычисление 3 3 3 2" xfId="1341" xr:uid="{00000000-0005-0000-0000-000097170000}"/>
    <cellStyle name="Вычисление 3 3 3 2 2" xfId="21334" xr:uid="{00000000-0005-0000-0000-000098170000}"/>
    <cellStyle name="Вычисление 3 3 3 2 2 2" xfId="37976" xr:uid="{C585A549-345F-450F-9558-C0EA35A64001}"/>
    <cellStyle name="Вычисление 3 3 3 2 3" xfId="6097" xr:uid="{00000000-0005-0000-0000-000099170000}"/>
    <cellStyle name="Вычисление 3 3 3 2 4" xfId="23884" xr:uid="{5A4909EE-8442-4AC1-934F-7E334CB59F7D}"/>
    <cellStyle name="Вычисление 3 3 3 3" xfId="1934" xr:uid="{00000000-0005-0000-0000-00009A170000}"/>
    <cellStyle name="Вычисление 3 3 3 3 2" xfId="21956" xr:uid="{00000000-0005-0000-0000-00009B170000}"/>
    <cellStyle name="Вычисление 3 3 3 3 2 2" xfId="38566" xr:uid="{E5A93BEF-6408-458B-8CCD-74A3B0C49D26}"/>
    <cellStyle name="Вычисление 3 3 3 3 3" xfId="6866" xr:uid="{00000000-0005-0000-0000-00009C170000}"/>
    <cellStyle name="Вычисление 3 3 3 3 4" xfId="24493" xr:uid="{CDF29412-159F-4F2C-ACB1-20F5D6FCD20E}"/>
    <cellStyle name="Вычисление 3 3 3 4" xfId="2740" xr:uid="{00000000-0005-0000-0000-00009D170000}"/>
    <cellStyle name="Вычисление 3 3 3 4 2" xfId="22964" xr:uid="{00000000-0005-0000-0000-00009E170000}"/>
    <cellStyle name="Вычисление 3 3 3 4 3" xfId="39430" xr:uid="{2422E539-0383-4F2F-9710-2D7853A26520}"/>
    <cellStyle name="Вычисление 3 3 3 5" xfId="3708" xr:uid="{00000000-0005-0000-0000-00009F170000}"/>
    <cellStyle name="Вычисление 3 3 3 5 2" xfId="23287" xr:uid="{00000000-0005-0000-0000-0000A0170000}"/>
    <cellStyle name="Вычисление 3 3 3 5 3" xfId="39714" xr:uid="{FEF6F840-9778-46A0-B1DE-D708FE901E39}"/>
    <cellStyle name="Вычисление 3 3 3 6" xfId="4069" xr:uid="{00000000-0005-0000-0000-0000A1170000}"/>
    <cellStyle name="Вычисление 3 3 3 6 2" xfId="20495" xr:uid="{00000000-0005-0000-0000-0000A2170000}"/>
    <cellStyle name="Вычисление 3 3 3 6 3" xfId="37387" xr:uid="{24274D3E-1BA7-4C27-91AC-2245B2C052D6}"/>
    <cellStyle name="Вычисление 3 3 3 7" xfId="4591" xr:uid="{00000000-0005-0000-0000-0000A3170000}"/>
    <cellStyle name="Вычисление 3 3 3 8" xfId="5073" xr:uid="{00000000-0005-0000-0000-0000A4170000}"/>
    <cellStyle name="Вычисление 3 3 4" xfId="561" xr:uid="{00000000-0005-0000-0000-0000A5170000}"/>
    <cellStyle name="Вычисление 3 3 4 2" xfId="1393" xr:uid="{00000000-0005-0000-0000-0000A6170000}"/>
    <cellStyle name="Вычисление 3 3 4 2 2" xfId="21386" xr:uid="{00000000-0005-0000-0000-0000A7170000}"/>
    <cellStyle name="Вычисление 3 3 4 2 2 2" xfId="38028" xr:uid="{DEED1680-A9E1-4383-9522-2919818B5257}"/>
    <cellStyle name="Вычисление 3 3 4 2 3" xfId="6149" xr:uid="{00000000-0005-0000-0000-0000A8170000}"/>
    <cellStyle name="Вычисление 3 3 4 2 4" xfId="23936" xr:uid="{E372CE1A-3A3A-4F2F-9082-0B5C00DABDFA}"/>
    <cellStyle name="Вычисление 3 3 4 3" xfId="2218" xr:uid="{00000000-0005-0000-0000-0000A9170000}"/>
    <cellStyle name="Вычисление 3 3 4 3 2" xfId="22008" xr:uid="{00000000-0005-0000-0000-0000AA170000}"/>
    <cellStyle name="Вычисление 3 3 4 3 2 2" xfId="38618" xr:uid="{95AFFD88-4C07-498B-9BCC-42A40ECC3523}"/>
    <cellStyle name="Вычисление 3 3 4 3 3" xfId="6918" xr:uid="{00000000-0005-0000-0000-0000AB170000}"/>
    <cellStyle name="Вычисление 3 3 4 3 4" xfId="24545" xr:uid="{7E494640-BB62-4265-8F19-7AB8A17E1CF4}"/>
    <cellStyle name="Вычисление 3 3 4 4" xfId="2664" xr:uid="{00000000-0005-0000-0000-0000AC170000}"/>
    <cellStyle name="Вычисление 3 3 4 4 2" xfId="22999" xr:uid="{00000000-0005-0000-0000-0000AD170000}"/>
    <cellStyle name="Вычисление 3 3 4 4 3" xfId="39465" xr:uid="{109623AA-6D1C-47DE-A8CC-A4709EDCBB0C}"/>
    <cellStyle name="Вычисление 3 3 4 5" xfId="3702" xr:uid="{00000000-0005-0000-0000-0000AE170000}"/>
    <cellStyle name="Вычисление 3 3 4 5 2" xfId="23311" xr:uid="{00000000-0005-0000-0000-0000AF170000}"/>
    <cellStyle name="Вычисление 3 3 4 5 3" xfId="39738" xr:uid="{45688108-EBF5-4E01-A2EE-3DF9DB4EA31F}"/>
    <cellStyle name="Вычисление 3 3 4 6" xfId="4121" xr:uid="{00000000-0005-0000-0000-0000B0170000}"/>
    <cellStyle name="Вычисление 3 3 4 6 2" xfId="20611" xr:uid="{00000000-0005-0000-0000-0000B1170000}"/>
    <cellStyle name="Вычисление 3 3 4 6 3" xfId="37453" xr:uid="{A8CA3F60-DA33-4FD4-A17F-939C58A68217}"/>
    <cellStyle name="Вычисление 3 3 4 7" xfId="4643" xr:uid="{00000000-0005-0000-0000-0000B2170000}"/>
    <cellStyle name="Вычисление 3 3 4 8" xfId="5125" xr:uid="{00000000-0005-0000-0000-0000B3170000}"/>
    <cellStyle name="Вычисление 3 3 5" xfId="613" xr:uid="{00000000-0005-0000-0000-0000B4170000}"/>
    <cellStyle name="Вычисление 3 3 5 2" xfId="1445" xr:uid="{00000000-0005-0000-0000-0000B5170000}"/>
    <cellStyle name="Вычисление 3 3 5 2 2" xfId="21438" xr:uid="{00000000-0005-0000-0000-0000B6170000}"/>
    <cellStyle name="Вычисление 3 3 5 2 2 2" xfId="38080" xr:uid="{BCB6D73C-ABFE-453F-AB0A-AD434F94DC0B}"/>
    <cellStyle name="Вычисление 3 3 5 2 3" xfId="6201" xr:uid="{00000000-0005-0000-0000-0000B7170000}"/>
    <cellStyle name="Вычисление 3 3 5 2 4" xfId="23988" xr:uid="{FD613EF8-C277-4F9C-839A-8C02405862CB}"/>
    <cellStyle name="Вычисление 3 3 5 3" xfId="2237" xr:uid="{00000000-0005-0000-0000-0000B8170000}"/>
    <cellStyle name="Вычисление 3 3 5 3 2" xfId="22060" xr:uid="{00000000-0005-0000-0000-0000B9170000}"/>
    <cellStyle name="Вычисление 3 3 5 3 2 2" xfId="38670" xr:uid="{5BEAEA1F-E1E6-475D-9E8B-B3D0BE4C274E}"/>
    <cellStyle name="Вычисление 3 3 5 3 3" xfId="6970" xr:uid="{00000000-0005-0000-0000-0000BA170000}"/>
    <cellStyle name="Вычисление 3 3 5 3 4" xfId="24597" xr:uid="{3F41341B-13C3-4264-B40C-31A9F900BF9D}"/>
    <cellStyle name="Вычисление 3 3 5 4" xfId="2435" xr:uid="{00000000-0005-0000-0000-0000BB170000}"/>
    <cellStyle name="Вычисление 3 3 5 4 2" xfId="22916" xr:uid="{00000000-0005-0000-0000-0000BC170000}"/>
    <cellStyle name="Вычисление 3 3 5 4 3" xfId="39382" xr:uid="{EE01BE46-602D-4774-A824-2A3BC085AC3A}"/>
    <cellStyle name="Вычисление 3 3 5 5" xfId="3567" xr:uid="{00000000-0005-0000-0000-0000BD170000}"/>
    <cellStyle name="Вычисление 3 3 5 5 2" xfId="23335" xr:uid="{00000000-0005-0000-0000-0000BE170000}"/>
    <cellStyle name="Вычисление 3 3 5 5 3" xfId="39762" xr:uid="{13261EA3-09B8-49DA-813C-A17A547DB488}"/>
    <cellStyle name="Вычисление 3 3 5 6" xfId="4173" xr:uid="{00000000-0005-0000-0000-0000BF170000}"/>
    <cellStyle name="Вычисление 3 3 5 6 2" xfId="20649" xr:uid="{00000000-0005-0000-0000-0000C0170000}"/>
    <cellStyle name="Вычисление 3 3 5 6 3" xfId="37491" xr:uid="{7D8537A8-D750-41DC-92A1-E6D0AE38B537}"/>
    <cellStyle name="Вычисление 3 3 5 7" xfId="4695" xr:uid="{00000000-0005-0000-0000-0000C1170000}"/>
    <cellStyle name="Вычисление 3 3 5 8" xfId="5177" xr:uid="{00000000-0005-0000-0000-0000C2170000}"/>
    <cellStyle name="Вычисление 3 3 6" xfId="716" xr:uid="{00000000-0005-0000-0000-0000C3170000}"/>
    <cellStyle name="Вычисление 3 3 6 2" xfId="1546" xr:uid="{00000000-0005-0000-0000-0000C4170000}"/>
    <cellStyle name="Вычисление 3 3 6 2 2" xfId="21539" xr:uid="{00000000-0005-0000-0000-0000C5170000}"/>
    <cellStyle name="Вычисление 3 3 6 2 2 2" xfId="38181" xr:uid="{00DA13E1-1D68-4124-B8D5-B0F8BA13734E}"/>
    <cellStyle name="Вычисление 3 3 6 2 3" xfId="6302" xr:uid="{00000000-0005-0000-0000-0000C6170000}"/>
    <cellStyle name="Вычисление 3 3 6 2 4" xfId="24089" xr:uid="{A92BFC39-44C8-4AE6-AB31-C97B250A1E84}"/>
    <cellStyle name="Вычисление 3 3 6 3" xfId="1749" xr:uid="{00000000-0005-0000-0000-0000C7170000}"/>
    <cellStyle name="Вычисление 3 3 6 3 2" xfId="22161" xr:uid="{00000000-0005-0000-0000-0000C8170000}"/>
    <cellStyle name="Вычисление 3 3 6 3 2 2" xfId="38771" xr:uid="{FDBC1813-21C3-4ABA-B73B-6804482C601C}"/>
    <cellStyle name="Вычисление 3 3 6 3 3" xfId="7071" xr:uid="{00000000-0005-0000-0000-0000C9170000}"/>
    <cellStyle name="Вычисление 3 3 6 3 4" xfId="24698" xr:uid="{B6D1FF8B-2D80-43C7-99C4-4D0F851B1E6E}"/>
    <cellStyle name="Вычисление 3 3 6 4" xfId="2386" xr:uid="{00000000-0005-0000-0000-0000CA170000}"/>
    <cellStyle name="Вычисление 3 3 6 4 2" xfId="22665" xr:uid="{00000000-0005-0000-0000-0000CB170000}"/>
    <cellStyle name="Вычисление 3 3 6 4 3" xfId="39137" xr:uid="{A66EA92D-35F1-465E-82DA-8EEB420DD250}"/>
    <cellStyle name="Вычисление 3 3 6 5" xfId="3024" xr:uid="{00000000-0005-0000-0000-0000CC170000}"/>
    <cellStyle name="Вычисление 3 3 6 5 2" xfId="23377" xr:uid="{00000000-0005-0000-0000-0000CD170000}"/>
    <cellStyle name="Вычисление 3 3 6 5 3" xfId="39804" xr:uid="{FC26A547-7CF1-43AF-B7B5-6E9F6F82DB25}"/>
    <cellStyle name="Вычисление 3 3 6 6" xfId="4275" xr:uid="{00000000-0005-0000-0000-0000CE170000}"/>
    <cellStyle name="Вычисление 3 3 6 6 2" xfId="20714" xr:uid="{00000000-0005-0000-0000-0000CF170000}"/>
    <cellStyle name="Вычисление 3 3 6 6 3" xfId="37543" xr:uid="{CB6A1B1A-02E0-45D1-8FFA-65BE380CA023}"/>
    <cellStyle name="Вычисление 3 3 6 7" xfId="4797" xr:uid="{00000000-0005-0000-0000-0000D0170000}"/>
    <cellStyle name="Вычисление 3 3 6 8" xfId="5278" xr:uid="{00000000-0005-0000-0000-0000D1170000}"/>
    <cellStyle name="Вычисление 3 3 7" xfId="760" xr:uid="{00000000-0005-0000-0000-0000D2170000}"/>
    <cellStyle name="Вычисление 3 3 7 2" xfId="1589" xr:uid="{00000000-0005-0000-0000-0000D3170000}"/>
    <cellStyle name="Вычисление 3 3 7 2 2" xfId="21582" xr:uid="{00000000-0005-0000-0000-0000D4170000}"/>
    <cellStyle name="Вычисление 3 3 7 2 2 2" xfId="38224" xr:uid="{7463EA4B-029B-480F-A5B1-1E559890982D}"/>
    <cellStyle name="Вычисление 3 3 7 2 3" xfId="6345" xr:uid="{00000000-0005-0000-0000-0000D5170000}"/>
    <cellStyle name="Вычисление 3 3 7 2 4" xfId="24132" xr:uid="{9E1CD5ED-B89A-40C2-A339-B7C8EDCFE2F4}"/>
    <cellStyle name="Вычисление 3 3 7 3" xfId="1742" xr:uid="{00000000-0005-0000-0000-0000D6170000}"/>
    <cellStyle name="Вычисление 3 3 7 3 2" xfId="22204" xr:uid="{00000000-0005-0000-0000-0000D7170000}"/>
    <cellStyle name="Вычисление 3 3 7 3 2 2" xfId="38814" xr:uid="{0BE86A3D-9E22-4063-B593-A1A58821BB6F}"/>
    <cellStyle name="Вычисление 3 3 7 3 3" xfId="7114" xr:uid="{00000000-0005-0000-0000-0000D8170000}"/>
    <cellStyle name="Вычисление 3 3 7 3 4" xfId="24741" xr:uid="{D2FA1E3B-3399-4C1F-B08C-34A64AB9B548}"/>
    <cellStyle name="Вычисление 3 3 7 4" xfId="2512" xr:uid="{00000000-0005-0000-0000-0000D9170000}"/>
    <cellStyle name="Вычисление 3 3 7 4 2" xfId="22802" xr:uid="{00000000-0005-0000-0000-0000DA170000}"/>
    <cellStyle name="Вычисление 3 3 7 4 3" xfId="39268" xr:uid="{F494BC8E-6505-40BA-8DBD-B15A18F3A3F2}"/>
    <cellStyle name="Вычисление 3 3 7 5" xfId="3242" xr:uid="{00000000-0005-0000-0000-0000DB170000}"/>
    <cellStyle name="Вычисление 3 3 7 5 2" xfId="23399" xr:uid="{00000000-0005-0000-0000-0000DC170000}"/>
    <cellStyle name="Вычисление 3 3 7 5 3" xfId="39826" xr:uid="{9CA87A83-0FA7-4A53-8B74-5C873DA98ED2}"/>
    <cellStyle name="Вычисление 3 3 7 6" xfId="4318" xr:uid="{00000000-0005-0000-0000-0000DD170000}"/>
    <cellStyle name="Вычисление 3 3 7 6 2" xfId="20779" xr:uid="{00000000-0005-0000-0000-0000DE170000}"/>
    <cellStyle name="Вычисление 3 3 7 6 3" xfId="37595" xr:uid="{04BC7662-7953-4C50-A142-76DF4D0C457D}"/>
    <cellStyle name="Вычисление 3 3 7 7" xfId="4840" xr:uid="{00000000-0005-0000-0000-0000DF170000}"/>
    <cellStyle name="Вычисление 3 3 7 8" xfId="5321" xr:uid="{00000000-0005-0000-0000-0000E0170000}"/>
    <cellStyle name="Вычисление 3 3 8" xfId="792" xr:uid="{00000000-0005-0000-0000-0000E1170000}"/>
    <cellStyle name="Вычисление 3 3 8 2" xfId="1621" xr:uid="{00000000-0005-0000-0000-0000E2170000}"/>
    <cellStyle name="Вычисление 3 3 8 2 2" xfId="21614" xr:uid="{00000000-0005-0000-0000-0000E3170000}"/>
    <cellStyle name="Вычисление 3 3 8 2 2 2" xfId="38256" xr:uid="{B372139D-7662-455F-92F8-6A793247ACF4}"/>
    <cellStyle name="Вычисление 3 3 8 2 3" xfId="6377" xr:uid="{00000000-0005-0000-0000-0000E4170000}"/>
    <cellStyle name="Вычисление 3 3 8 2 4" xfId="24164" xr:uid="{56E376AD-A014-4F2B-B141-FF524E1D7295}"/>
    <cellStyle name="Вычисление 3 3 8 3" xfId="1738" xr:uid="{00000000-0005-0000-0000-0000E5170000}"/>
    <cellStyle name="Вычисление 3 3 8 3 2" xfId="22236" xr:uid="{00000000-0005-0000-0000-0000E6170000}"/>
    <cellStyle name="Вычисление 3 3 8 3 2 2" xfId="38846" xr:uid="{45F8867A-BBF0-41E3-BD2F-14D4CA1538E9}"/>
    <cellStyle name="Вычисление 3 3 8 3 3" xfId="7146" xr:uid="{00000000-0005-0000-0000-0000E7170000}"/>
    <cellStyle name="Вычисление 3 3 8 3 4" xfId="24773" xr:uid="{3F230AF6-F08B-4543-A1F2-10466278D4E9}"/>
    <cellStyle name="Вычисление 3 3 8 4" xfId="2337" xr:uid="{00000000-0005-0000-0000-0000E8170000}"/>
    <cellStyle name="Вычисление 3 3 8 4 2" xfId="22685" xr:uid="{00000000-0005-0000-0000-0000E9170000}"/>
    <cellStyle name="Вычисление 3 3 8 4 3" xfId="39157" xr:uid="{80983641-480F-4346-872A-9590B22C43AA}"/>
    <cellStyle name="Вычисление 3 3 8 5" xfId="3463" xr:uid="{00000000-0005-0000-0000-0000EA170000}"/>
    <cellStyle name="Вычисление 3 3 8 5 2" xfId="23415" xr:uid="{00000000-0005-0000-0000-0000EB170000}"/>
    <cellStyle name="Вычисление 3 3 8 5 3" xfId="39842" xr:uid="{65588051-B4FA-4405-97CE-9263175E80B5}"/>
    <cellStyle name="Вычисление 3 3 8 6" xfId="4350" xr:uid="{00000000-0005-0000-0000-0000EC170000}"/>
    <cellStyle name="Вычисление 3 3 8 6 2" xfId="20844" xr:uid="{00000000-0005-0000-0000-0000ED170000}"/>
    <cellStyle name="Вычисление 3 3 8 6 3" xfId="37647" xr:uid="{C2625239-975F-43A2-8017-8C3AF48DC460}"/>
    <cellStyle name="Вычисление 3 3 8 7" xfId="4872" xr:uid="{00000000-0005-0000-0000-0000EE170000}"/>
    <cellStyle name="Вычисление 3 3 8 8" xfId="5353" xr:uid="{00000000-0005-0000-0000-0000EF170000}"/>
    <cellStyle name="Вычисление 3 3 9" xfId="824" xr:uid="{00000000-0005-0000-0000-0000F0170000}"/>
    <cellStyle name="Вычисление 3 3 9 2" xfId="1653" xr:uid="{00000000-0005-0000-0000-0000F1170000}"/>
    <cellStyle name="Вычисление 3 3 9 2 2" xfId="21646" xr:uid="{00000000-0005-0000-0000-0000F2170000}"/>
    <cellStyle name="Вычисление 3 3 9 2 2 2" xfId="38288" xr:uid="{7BB337AD-D496-4DA4-A2EA-86320BE4CF2A}"/>
    <cellStyle name="Вычисление 3 3 9 2 3" xfId="6409" xr:uid="{00000000-0005-0000-0000-0000F3170000}"/>
    <cellStyle name="Вычисление 3 3 9 2 4" xfId="24196" xr:uid="{83F3C407-1A1A-4E35-889D-905362A7F074}"/>
    <cellStyle name="Вычисление 3 3 9 3" xfId="1734" xr:uid="{00000000-0005-0000-0000-0000F4170000}"/>
    <cellStyle name="Вычисление 3 3 9 3 2" xfId="22268" xr:uid="{00000000-0005-0000-0000-0000F5170000}"/>
    <cellStyle name="Вычисление 3 3 9 3 2 2" xfId="38878" xr:uid="{28BC9C35-67EB-4B00-B16B-CF3068C3AA66}"/>
    <cellStyle name="Вычисление 3 3 9 3 3" xfId="7178" xr:uid="{00000000-0005-0000-0000-0000F6170000}"/>
    <cellStyle name="Вычисление 3 3 9 3 4" xfId="24805" xr:uid="{E711650E-A195-4BB9-A863-B9A106BF6CAF}"/>
    <cellStyle name="Вычисление 3 3 9 4" xfId="2530" xr:uid="{00000000-0005-0000-0000-0000F7170000}"/>
    <cellStyle name="Вычисление 3 3 9 4 2" xfId="22681" xr:uid="{00000000-0005-0000-0000-0000F8170000}"/>
    <cellStyle name="Вычисление 3 3 9 4 3" xfId="39153" xr:uid="{3286623E-DE70-45F1-B171-BD019A3737D4}"/>
    <cellStyle name="Вычисление 3 3 9 5" xfId="3011" xr:uid="{00000000-0005-0000-0000-0000F9170000}"/>
    <cellStyle name="Вычисление 3 3 9 5 2" xfId="23431" xr:uid="{00000000-0005-0000-0000-0000FA170000}"/>
    <cellStyle name="Вычисление 3 3 9 5 3" xfId="39858" xr:uid="{12F41E1B-14BD-446D-B64B-E2DBD3E3B291}"/>
    <cellStyle name="Вычисление 3 3 9 6" xfId="4382" xr:uid="{00000000-0005-0000-0000-0000FB170000}"/>
    <cellStyle name="Вычисление 3 3 9 6 2" xfId="20909" xr:uid="{00000000-0005-0000-0000-0000FC170000}"/>
    <cellStyle name="Вычисление 3 3 9 6 3" xfId="37699" xr:uid="{D29D38DF-041C-485C-925B-E10354D69BAA}"/>
    <cellStyle name="Вычисление 3 3 9 7" xfId="4904" xr:uid="{00000000-0005-0000-0000-0000FD170000}"/>
    <cellStyle name="Вычисление 3 3 9 8" xfId="5385" xr:uid="{00000000-0005-0000-0000-0000FE170000}"/>
    <cellStyle name="Вычисление 3 4" xfId="1057" xr:uid="{00000000-0005-0000-0000-0000FF170000}"/>
    <cellStyle name="Вычисление 3 4 2" xfId="1107" xr:uid="{00000000-0005-0000-0000-000000180000}"/>
    <cellStyle name="Вычисление 3 4 2 2" xfId="21018" xr:uid="{00000000-0005-0000-0000-000001180000}"/>
    <cellStyle name="Вычисление 3 4 2 2 2" xfId="37778" xr:uid="{CA896A2D-0E7A-4F7F-8CAA-ABF65C029818}"/>
    <cellStyle name="Вычисление 3 4 2 3" xfId="5789" xr:uid="{00000000-0005-0000-0000-000002180000}"/>
    <cellStyle name="Вычисление 3 4 2 4" xfId="23686" xr:uid="{EEEBA899-B723-44D1-850A-CC58F6628A17}"/>
    <cellStyle name="Вычисление 3 4 3" xfId="1912" xr:uid="{00000000-0005-0000-0000-000003180000}"/>
    <cellStyle name="Вычисление 3 4 3 2" xfId="21758" xr:uid="{00000000-0005-0000-0000-000004180000}"/>
    <cellStyle name="Вычисление 3 4 3 2 2" xfId="38368" xr:uid="{6555515D-1643-43EC-ACC1-63F0186438B5}"/>
    <cellStyle name="Вычисление 3 4 3 3" xfId="6674" xr:uid="{00000000-0005-0000-0000-000005180000}"/>
    <cellStyle name="Вычисление 3 4 3 4" xfId="24301" xr:uid="{92F61E43-812B-4E98-936E-1E9CBA11C66C}"/>
    <cellStyle name="Вычисление 3 4 4" xfId="2559" xr:uid="{00000000-0005-0000-0000-000006180000}"/>
    <cellStyle name="Вычисление 3 4 4 2" xfId="22568" xr:uid="{00000000-0005-0000-0000-000007180000}"/>
    <cellStyle name="Вычисление 3 4 4 3" xfId="39046" xr:uid="{D1AF93ED-D52A-4C20-9850-8DDC4F5121DC}"/>
    <cellStyle name="Вычисление 3 4 5" xfId="3300" xr:uid="{00000000-0005-0000-0000-000008180000}"/>
    <cellStyle name="Вычисление 3 4 5 2" xfId="23195" xr:uid="{00000000-0005-0000-0000-000009180000}"/>
    <cellStyle name="Вычисление 3 4 5 3" xfId="39622" xr:uid="{8F34D1C4-CE18-4064-89DB-AC6E16ECFA75}"/>
    <cellStyle name="Вычисление 3 4 6" xfId="3002" xr:uid="{00000000-0005-0000-0000-00000A180000}"/>
    <cellStyle name="Вычисление 3 4 6 2" xfId="14101" xr:uid="{00000000-0005-0000-0000-00000B180000}"/>
    <cellStyle name="Вычисление 3 4 7" xfId="3978" xr:uid="{00000000-0005-0000-0000-00000C180000}"/>
    <cellStyle name="Вычисление 3 4 8" xfId="4503" xr:uid="{00000000-0005-0000-0000-00000D180000}"/>
    <cellStyle name="Вычисление 3 5" xfId="872" xr:uid="{00000000-0005-0000-0000-00000E180000}"/>
    <cellStyle name="Вычисление 3 5 2" xfId="22757" xr:uid="{00000000-0005-0000-0000-00000F180000}"/>
    <cellStyle name="Вычисление 3 5 2 2" xfId="39226" xr:uid="{C54249AD-61FC-42DE-984B-797FB2B95912}"/>
    <cellStyle name="Вычисление 3 5 3" xfId="5565" xr:uid="{00000000-0005-0000-0000-000010180000}"/>
    <cellStyle name="Вычисление 3 5 4" xfId="23600" xr:uid="{FCE23040-66D7-48B3-B68C-C31CA4541CD3}"/>
    <cellStyle name="Вычисление 3 6" xfId="2230" xr:uid="{00000000-0005-0000-0000-000011180000}"/>
    <cellStyle name="Вычисление 3 6 2" xfId="5526" xr:uid="{00000000-0005-0000-0000-000012180000}"/>
    <cellStyle name="Вычисление 3 6 3" xfId="23588" xr:uid="{5E8F5B9C-BBD7-4EFD-8025-2FACFC21FD02}"/>
    <cellStyle name="Вычисление 3 7" xfId="2641" xr:uid="{00000000-0005-0000-0000-000013180000}"/>
    <cellStyle name="Вычисление 3 7 2" xfId="7227" xr:uid="{00000000-0005-0000-0000-000014180000}"/>
    <cellStyle name="Вычисление 3 7 3" xfId="24825" xr:uid="{17653E8B-2BCC-4A9B-AC1D-C3635CBAE5CB}"/>
    <cellStyle name="Вычисление 3 8" xfId="3390" xr:uid="{00000000-0005-0000-0000-000015180000}"/>
    <cellStyle name="Вычисление 3 9" xfId="3229" xr:uid="{00000000-0005-0000-0000-000016180000}"/>
    <cellStyle name="Вычисление 4" xfId="41" xr:uid="{00000000-0005-0000-0000-000017180000}"/>
    <cellStyle name="Вычисление 4 10" xfId="640" xr:uid="{00000000-0005-0000-0000-000018180000}"/>
    <cellStyle name="Вычисление 4 10 2" xfId="1472" xr:uid="{00000000-0005-0000-0000-000019180000}"/>
    <cellStyle name="Вычисление 4 10 2 2" xfId="21465" xr:uid="{00000000-0005-0000-0000-00001A180000}"/>
    <cellStyle name="Вычисление 4 10 2 2 2" xfId="38107" xr:uid="{789DFAD8-9D3F-4478-AEB8-44A2E0B2114B}"/>
    <cellStyle name="Вычисление 4 10 2 3" xfId="6228" xr:uid="{00000000-0005-0000-0000-00001B180000}"/>
    <cellStyle name="Вычисление 4 10 2 4" xfId="24015" xr:uid="{8F10C053-07AB-4E01-848F-395CF95F0C85}"/>
    <cellStyle name="Вычисление 4 10 3" xfId="2084" xr:uid="{00000000-0005-0000-0000-00001C180000}"/>
    <cellStyle name="Вычисление 4 10 3 2" xfId="22087" xr:uid="{00000000-0005-0000-0000-00001D180000}"/>
    <cellStyle name="Вычисление 4 10 3 2 2" xfId="38697" xr:uid="{6A434CB6-FD64-4161-AC0A-3222DBFD84D8}"/>
    <cellStyle name="Вычисление 4 10 3 3" xfId="6997" xr:uid="{00000000-0005-0000-0000-00001E180000}"/>
    <cellStyle name="Вычисление 4 10 3 4" xfId="24624" xr:uid="{39EA6368-887C-4C27-A96A-D6051D2C2782}"/>
    <cellStyle name="Вычисление 4 10 4" xfId="2872" xr:uid="{00000000-0005-0000-0000-00001F180000}"/>
    <cellStyle name="Вычисление 4 10 4 2" xfId="22644" xr:uid="{00000000-0005-0000-0000-000020180000}"/>
    <cellStyle name="Вычисление 4 10 4 3" xfId="39116" xr:uid="{AE2A9EF6-0EA5-4369-993F-2B0295F44D54}"/>
    <cellStyle name="Вычисление 4 10 5" xfId="3788" xr:uid="{00000000-0005-0000-0000-000021180000}"/>
    <cellStyle name="Вычисление 4 10 5 2" xfId="23348" xr:uid="{00000000-0005-0000-0000-000022180000}"/>
    <cellStyle name="Вычисление 4 10 5 3" xfId="39775" xr:uid="{0A2601C6-406B-4362-BACB-AC30F34FEC49}"/>
    <cellStyle name="Вычисление 4 10 6" xfId="4200" xr:uid="{00000000-0005-0000-0000-000023180000}"/>
    <cellStyle name="Вычисление 4 10 6 2" xfId="20877" xr:uid="{00000000-0005-0000-0000-000024180000}"/>
    <cellStyle name="Вычисление 4 10 6 3" xfId="37667" xr:uid="{9F27215D-B5CF-4433-9E7F-E191B679E8C5}"/>
    <cellStyle name="Вычисление 4 10 7" xfId="4722" xr:uid="{00000000-0005-0000-0000-000025180000}"/>
    <cellStyle name="Вычисление 4 10 8" xfId="5204" xr:uid="{00000000-0005-0000-0000-000026180000}"/>
    <cellStyle name="Вычисление 4 11" xfId="669" xr:uid="{00000000-0005-0000-0000-000027180000}"/>
    <cellStyle name="Вычисление 4 11 2" xfId="1500" xr:uid="{00000000-0005-0000-0000-000028180000}"/>
    <cellStyle name="Вычисление 4 11 2 2" xfId="22115" xr:uid="{00000000-0005-0000-0000-000029180000}"/>
    <cellStyle name="Вычисление 4 11 2 2 2" xfId="38725" xr:uid="{41347332-84A6-49D3-89DB-3A65306C648D}"/>
    <cellStyle name="Вычисление 4 11 2 3" xfId="6256" xr:uid="{00000000-0005-0000-0000-00002A180000}"/>
    <cellStyle name="Вычисление 4 11 2 4" xfId="24043" xr:uid="{CADA06A9-6743-496F-95A0-A393D84BFE44}"/>
    <cellStyle name="Вычисление 4 11 3" xfId="2182" xr:uid="{00000000-0005-0000-0000-00002B180000}"/>
    <cellStyle name="Вычисление 4 11 3 2" xfId="22862" xr:uid="{00000000-0005-0000-0000-00002C180000}"/>
    <cellStyle name="Вычисление 4 11 3 2 2" xfId="39328" xr:uid="{DC78280D-8B07-4E2A-922B-416140BCBBEB}"/>
    <cellStyle name="Вычисление 4 11 3 3" xfId="7025" xr:uid="{00000000-0005-0000-0000-00002D180000}"/>
    <cellStyle name="Вычисление 4 11 3 4" xfId="24652" xr:uid="{39F4D414-AE8C-4615-9025-2FAF2C0CA813}"/>
    <cellStyle name="Вычисление 4 11 4" xfId="2631" xr:uid="{00000000-0005-0000-0000-00002E180000}"/>
    <cellStyle name="Вычисление 4 11 4 2" xfId="23355" xr:uid="{00000000-0005-0000-0000-00002F180000}"/>
    <cellStyle name="Вычисление 4 11 4 3" xfId="39782" xr:uid="{4A2AFB47-C84B-4A2D-B76A-76908C6DAE22}"/>
    <cellStyle name="Вычисление 4 11 5" xfId="3501" xr:uid="{00000000-0005-0000-0000-000030180000}"/>
    <cellStyle name="Вычисление 4 11 5 2" xfId="21493" xr:uid="{00000000-0005-0000-0000-000031180000}"/>
    <cellStyle name="Вычисление 4 11 5 3" xfId="38135" xr:uid="{7993BD4B-22C6-4C84-8227-40A01ECC87BB}"/>
    <cellStyle name="Вычисление 4 11 6" xfId="4228" xr:uid="{00000000-0005-0000-0000-000032180000}"/>
    <cellStyle name="Вычисление 4 11 7" xfId="4750" xr:uid="{00000000-0005-0000-0000-000033180000}"/>
    <cellStyle name="Вычисление 4 11 8" xfId="5232" xr:uid="{00000000-0005-0000-0000-000034180000}"/>
    <cellStyle name="Вычисление 4 12" xfId="866" xr:uid="{00000000-0005-0000-0000-000035180000}"/>
    <cellStyle name="Вычисление 4 12 2" xfId="1764" xr:uid="{00000000-0005-0000-0000-000036180000}"/>
    <cellStyle name="Вычисление 4 12 2 2" xfId="21753" xr:uid="{00000000-0005-0000-0000-000037180000}"/>
    <cellStyle name="Вычисление 4 12 2 2 2" xfId="38363" xr:uid="{FC3D112F-EA70-4097-BECB-6C96DE08F40B}"/>
    <cellStyle name="Вычисление 4 12 2 3" xfId="5756" xr:uid="{00000000-0005-0000-0000-000038180000}"/>
    <cellStyle name="Вычисление 4 12 2 4" xfId="23680" xr:uid="{D5E7813B-9A80-4949-9351-787AC7D7F23B}"/>
    <cellStyle name="Вычисление 4 12 3" xfId="2368" xr:uid="{00000000-0005-0000-0000-000039180000}"/>
    <cellStyle name="Вычисление 4 12 3 2" xfId="22602" xr:uid="{00000000-0005-0000-0000-00003A180000}"/>
    <cellStyle name="Вычисление 4 12 3 2 2" xfId="39078" xr:uid="{8854A867-508E-4031-A9C8-242CF503690E}"/>
    <cellStyle name="Вычисление 4 12 3 3" xfId="6669" xr:uid="{00000000-0005-0000-0000-00003B180000}"/>
    <cellStyle name="Вычисление 4 12 3 4" xfId="24296" xr:uid="{95B68C28-0BBC-44DC-8124-7459CA84AF41}"/>
    <cellStyle name="Вычисление 4 12 4" xfId="3057" xr:uid="{00000000-0005-0000-0000-00003C180000}"/>
    <cellStyle name="Вычисление 4 12 4 2" xfId="23193" xr:uid="{00000000-0005-0000-0000-00003D180000}"/>
    <cellStyle name="Вычисление 4 12 4 3" xfId="39620" xr:uid="{762B2BAA-5F41-4F12-BDA7-70C10A35FD0F}"/>
    <cellStyle name="Вычисление 4 12 5" xfId="3082" xr:uid="{00000000-0005-0000-0000-00003E180000}"/>
    <cellStyle name="Вычисление 4 12 5 2" xfId="20998" xr:uid="{00000000-0005-0000-0000-00003F180000}"/>
    <cellStyle name="Вычисление 4 12 5 3" xfId="37773" xr:uid="{6EA6C0CF-8DB4-43DC-93B1-7A2A17C31069}"/>
    <cellStyle name="Вычисление 4 12 6" xfId="4423" xr:uid="{00000000-0005-0000-0000-000040180000}"/>
    <cellStyle name="Вычисление 4 12 7" xfId="4932" xr:uid="{00000000-0005-0000-0000-000041180000}"/>
    <cellStyle name="Вычисление 4 13" xfId="1762" xr:uid="{00000000-0005-0000-0000-000042180000}"/>
    <cellStyle name="Вычисление 4 13 2" xfId="20942" xr:uid="{00000000-0005-0000-0000-000043180000}"/>
    <cellStyle name="Вычисление 4 13 2 2" xfId="37719" xr:uid="{ACD3183C-0063-4BBE-9188-E4D24880AD72}"/>
    <cellStyle name="Вычисление 4 13 3" xfId="5630" xr:uid="{00000000-0005-0000-0000-000044180000}"/>
    <cellStyle name="Вычисление 4 13 4" xfId="23623" xr:uid="{83004278-81C5-4FFE-A836-A6032E8E4A11}"/>
    <cellStyle name="Вычисление 4 14" xfId="2796" xr:uid="{00000000-0005-0000-0000-000045180000}"/>
    <cellStyle name="Вычисление 4 14 2" xfId="21699" xr:uid="{00000000-0005-0000-0000-000046180000}"/>
    <cellStyle name="Вычисление 4 14 2 2" xfId="38309" xr:uid="{A4FE7F47-0881-4D35-A8E7-98F1644C7884}"/>
    <cellStyle name="Вычисление 4 14 3" xfId="6617" xr:uid="{00000000-0005-0000-0000-000047180000}"/>
    <cellStyle name="Вычисление 4 14 4" xfId="24244" xr:uid="{9560BB4D-4008-4942-9BAD-5BD8CDF00A0C}"/>
    <cellStyle name="Вычисление 4 15" xfId="3649" xr:uid="{00000000-0005-0000-0000-000048180000}"/>
    <cellStyle name="Вычисление 4 15 2" xfId="22943" xr:uid="{00000000-0005-0000-0000-000049180000}"/>
    <cellStyle name="Вычисление 4 15 3" xfId="39409" xr:uid="{96166E36-1F05-4E11-BED5-F2CB9CAEF92B}"/>
    <cellStyle name="Вычисление 4 16" xfId="3569" xr:uid="{00000000-0005-0000-0000-00004A180000}"/>
    <cellStyle name="Вычисление 4 16 2" xfId="23161" xr:uid="{00000000-0005-0000-0000-00004B180000}"/>
    <cellStyle name="Вычисление 4 16 3" xfId="39601" xr:uid="{406A594A-C778-4724-A0D0-4C5FBC401119}"/>
    <cellStyle name="Вычисление 4 17" xfId="3105" xr:uid="{00000000-0005-0000-0000-00004C180000}"/>
    <cellStyle name="Вычисление 4 17 2" xfId="7309" xr:uid="{00000000-0005-0000-0000-00004D180000}"/>
    <cellStyle name="Вычисление 4 17 3" xfId="24842" xr:uid="{AD53B564-96A4-4D5F-8872-92869586D37A}"/>
    <cellStyle name="Вычисление 4 18" xfId="3218" xr:uid="{00000000-0005-0000-0000-00004E180000}"/>
    <cellStyle name="Вычисление 4 2" xfId="244" xr:uid="{00000000-0005-0000-0000-00004F180000}"/>
    <cellStyle name="Вычисление 4 2 2" xfId="976" xr:uid="{00000000-0005-0000-0000-000050180000}"/>
    <cellStyle name="Вычисление 4 2 2 2" xfId="21107" xr:uid="{00000000-0005-0000-0000-000051180000}"/>
    <cellStyle name="Вычисление 4 2 2 2 2" xfId="37831" xr:uid="{92B76F49-4E67-49E6-93A2-038105AF9721}"/>
    <cellStyle name="Вычисление 4 2 2 3" xfId="5883" xr:uid="{00000000-0005-0000-0000-000052180000}"/>
    <cellStyle name="Вычисление 4 2 2 4" xfId="23739" xr:uid="{15E86B83-9A5A-49E7-B6A7-53C7111DDFCD}"/>
    <cellStyle name="Вычисление 4 2 3" xfId="1850" xr:uid="{00000000-0005-0000-0000-000053180000}"/>
    <cellStyle name="Вычисление 4 2 3 2" xfId="21811" xr:uid="{00000000-0005-0000-0000-000054180000}"/>
    <cellStyle name="Вычисление 4 2 3 2 2" xfId="38421" xr:uid="{49506C64-78DB-495D-A175-61268C5C0C17}"/>
    <cellStyle name="Вычисление 4 2 3 3" xfId="6725" xr:uid="{00000000-0005-0000-0000-000055180000}"/>
    <cellStyle name="Вычисление 4 2 3 4" xfId="24352" xr:uid="{B71F8BBB-D66D-4118-B878-69172F0985DF}"/>
    <cellStyle name="Вычисление 4 2 4" xfId="2750" xr:uid="{00000000-0005-0000-0000-000056180000}"/>
    <cellStyle name="Вычисление 4 2 4 2" xfId="23003" xr:uid="{00000000-0005-0000-0000-000057180000}"/>
    <cellStyle name="Вычисление 4 2 4 3" xfId="39469" xr:uid="{670AB050-C840-4B6A-9D01-331BCB8C64A2}"/>
    <cellStyle name="Вычисление 4 2 5" xfId="3639" xr:uid="{00000000-0005-0000-0000-000058180000}"/>
    <cellStyle name="Вычисление 4 2 5 2" xfId="23219" xr:uid="{00000000-0005-0000-0000-000059180000}"/>
    <cellStyle name="Вычисление 4 2 5 3" xfId="39646" xr:uid="{A8CF15B0-3F2B-417E-9B9A-700E9DA3506D}"/>
    <cellStyle name="Вычисление 4 2 6" xfId="3885" xr:uid="{00000000-0005-0000-0000-00005A180000}"/>
    <cellStyle name="Вычисление 4 2 6 2" xfId="14026" xr:uid="{00000000-0005-0000-0000-00005B180000}"/>
    <cellStyle name="Вычисление 4 2 6 3" xfId="31065" xr:uid="{8CA36061-81BA-47D1-BD4B-8E6FD97745D7}"/>
    <cellStyle name="Вычисление 4 2 7" xfId="3393" xr:uid="{00000000-0005-0000-0000-00005C180000}"/>
    <cellStyle name="Вычисление 4 2 8" xfId="3784" xr:uid="{00000000-0005-0000-0000-00005D180000}"/>
    <cellStyle name="Вычисление 4 3" xfId="249" xr:uid="{00000000-0005-0000-0000-00005E180000}"/>
    <cellStyle name="Вычисление 4 3 2" xfId="1155" xr:uid="{00000000-0005-0000-0000-00005F180000}"/>
    <cellStyle name="Вычисление 4 3 2 2" xfId="21112" xr:uid="{00000000-0005-0000-0000-000060180000}"/>
    <cellStyle name="Вычисление 4 3 2 2 2" xfId="37836" xr:uid="{5D26DAF4-1B84-4A7F-9536-8CA60DB036E8}"/>
    <cellStyle name="Вычисление 4 3 2 3" xfId="5888" xr:uid="{00000000-0005-0000-0000-000061180000}"/>
    <cellStyle name="Вычисление 4 3 2 4" xfId="23744" xr:uid="{D227DC5B-B8A1-4611-802E-9088B7355B05}"/>
    <cellStyle name="Вычисление 4 3 3" xfId="2104" xr:uid="{00000000-0005-0000-0000-000062180000}"/>
    <cellStyle name="Вычисление 4 3 3 2" xfId="21816" xr:uid="{00000000-0005-0000-0000-000063180000}"/>
    <cellStyle name="Вычисление 4 3 3 2 2" xfId="38426" xr:uid="{1C0CEC49-BAE6-4349-AAB6-7A915CB18502}"/>
    <cellStyle name="Вычисление 4 3 3 3" xfId="6730" xr:uid="{00000000-0005-0000-0000-000064180000}"/>
    <cellStyle name="Вычисление 4 3 3 4" xfId="24357" xr:uid="{4F137C4F-57D0-478D-A0FF-76340CD15443}"/>
    <cellStyle name="Вычисление 4 3 4" xfId="2880" xr:uid="{00000000-0005-0000-0000-000065180000}"/>
    <cellStyle name="Вычисление 4 3 4 2" xfId="22785" xr:uid="{00000000-0005-0000-0000-000066180000}"/>
    <cellStyle name="Вычисление 4 3 4 3" xfId="39252" xr:uid="{45588475-7368-4551-A8B1-CEC97187EF24}"/>
    <cellStyle name="Вычисление 4 3 5" xfId="3356" xr:uid="{00000000-0005-0000-0000-000067180000}"/>
    <cellStyle name="Вычисление 4 3 5 2" xfId="23221" xr:uid="{00000000-0005-0000-0000-000068180000}"/>
    <cellStyle name="Вычисление 4 3 5 3" xfId="39648" xr:uid="{143121CC-7DEC-4BD3-BED3-5CE0B47E3E5D}"/>
    <cellStyle name="Вычисление 4 3 6" xfId="3890" xr:uid="{00000000-0005-0000-0000-000069180000}"/>
    <cellStyle name="Вычисление 4 3 6 2" xfId="20368" xr:uid="{00000000-0005-0000-0000-00006A180000}"/>
    <cellStyle name="Вычисление 4 3 6 3" xfId="37303" xr:uid="{60F6EEB2-CB01-4724-BE8E-D1DA80A2A4F8}"/>
    <cellStyle name="Вычисление 4 3 7" xfId="4428" xr:uid="{00000000-0005-0000-0000-00006B180000}"/>
    <cellStyle name="Вычисление 4 3 8" xfId="4937" xr:uid="{00000000-0005-0000-0000-00006C180000}"/>
    <cellStyle name="Вычисление 4 4" xfId="428" xr:uid="{00000000-0005-0000-0000-00006D180000}"/>
    <cellStyle name="Вычисление 4 4 2" xfId="1260" xr:uid="{00000000-0005-0000-0000-00006E180000}"/>
    <cellStyle name="Вычисление 4 4 2 2" xfId="21253" xr:uid="{00000000-0005-0000-0000-00006F180000}"/>
    <cellStyle name="Вычисление 4 4 2 2 2" xfId="37895" xr:uid="{8D6C36BF-D6B5-4F7B-8BA0-54C6FDDF3C2B}"/>
    <cellStyle name="Вычисление 4 4 2 3" xfId="6016" xr:uid="{00000000-0005-0000-0000-000070180000}"/>
    <cellStyle name="Вычисление 4 4 2 4" xfId="23803" xr:uid="{62D390BB-1EC8-4C86-9CB1-82DD62E1E0BF}"/>
    <cellStyle name="Вычисление 4 4 3" xfId="2222" xr:uid="{00000000-0005-0000-0000-000071180000}"/>
    <cellStyle name="Вычисление 4 4 3 2" xfId="21875" xr:uid="{00000000-0005-0000-0000-000072180000}"/>
    <cellStyle name="Вычисление 4 4 3 2 2" xfId="38485" xr:uid="{DA7506F2-E276-404C-91C2-A1EE91196820}"/>
    <cellStyle name="Вычисление 4 4 3 3" xfId="6787" xr:uid="{00000000-0005-0000-0000-000073180000}"/>
    <cellStyle name="Вычисление 4 4 3 4" xfId="24414" xr:uid="{3C1E4A57-79BF-48C2-ABAF-EDBA44FB7E33}"/>
    <cellStyle name="Вычисление 4 4 4" xfId="2692" xr:uid="{00000000-0005-0000-0000-000074180000}"/>
    <cellStyle name="Вычисление 4 4 4 2" xfId="22901" xr:uid="{00000000-0005-0000-0000-000075180000}"/>
    <cellStyle name="Вычисление 4 4 4 3" xfId="39367" xr:uid="{13D1ADA2-14DC-445D-B7B2-288CBC45BD2E}"/>
    <cellStyle name="Вычисление 4 4 5" xfId="3548" xr:uid="{00000000-0005-0000-0000-000076180000}"/>
    <cellStyle name="Вычисление 4 4 5 2" xfId="23249" xr:uid="{00000000-0005-0000-0000-000077180000}"/>
    <cellStyle name="Вычисление 4 4 5 3" xfId="39676" xr:uid="{459A6717-4C55-45FB-9BB8-89A0CEF4BD08}"/>
    <cellStyle name="Вычисление 4 4 6" xfId="3989" xr:uid="{00000000-0005-0000-0000-000078180000}"/>
    <cellStyle name="Вычисление 4 4 6 2" xfId="20374" xr:uid="{00000000-0005-0000-0000-000079180000}"/>
    <cellStyle name="Вычисление 4 4 6 3" xfId="37309" xr:uid="{15D79AD3-A400-4FF6-BCD0-85DD7308775E}"/>
    <cellStyle name="Вычисление 4 4 7" xfId="4512" xr:uid="{00000000-0005-0000-0000-00007A180000}"/>
    <cellStyle name="Вычисление 4 4 8" xfId="4994" xr:uid="{00000000-0005-0000-0000-00007B180000}"/>
    <cellStyle name="Вычисление 4 5" xfId="423" xr:uid="{00000000-0005-0000-0000-00007C180000}"/>
    <cellStyle name="Вычисление 4 5 2" xfId="1256" xr:uid="{00000000-0005-0000-0000-00007D180000}"/>
    <cellStyle name="Вычисление 4 5 2 2" xfId="21249" xr:uid="{00000000-0005-0000-0000-00007E180000}"/>
    <cellStyle name="Вычисление 4 5 2 2 2" xfId="37891" xr:uid="{B5C66AAC-02E7-40F3-9265-0A3736B923EA}"/>
    <cellStyle name="Вычисление 4 5 2 3" xfId="6012" xr:uid="{00000000-0005-0000-0000-00007F180000}"/>
    <cellStyle name="Вычисление 4 5 2 4" xfId="23799" xr:uid="{E1354979-4B65-4758-8668-901B314FFF33}"/>
    <cellStyle name="Вычисление 4 5 3" xfId="2085" xr:uid="{00000000-0005-0000-0000-000080180000}"/>
    <cellStyle name="Вычисление 4 5 3 2" xfId="21871" xr:uid="{00000000-0005-0000-0000-000081180000}"/>
    <cellStyle name="Вычисление 4 5 3 2 2" xfId="38481" xr:uid="{E74C0895-03E0-4E3B-B5EB-E535C6854DEA}"/>
    <cellStyle name="Вычисление 4 5 3 3" xfId="6784" xr:uid="{00000000-0005-0000-0000-000082180000}"/>
    <cellStyle name="Вычисление 4 5 3 4" xfId="24411" xr:uid="{36F93E04-C427-4B99-9DF4-6561FC3C8E1C}"/>
    <cellStyle name="Вычисление 4 5 4" xfId="2873" xr:uid="{00000000-0005-0000-0000-000083180000}"/>
    <cellStyle name="Вычисление 4 5 4 2" xfId="22645" xr:uid="{00000000-0005-0000-0000-000084180000}"/>
    <cellStyle name="Вычисление 4 5 4 3" xfId="39117" xr:uid="{DDA55DCC-1E08-4E73-93DE-B26BD474491C}"/>
    <cellStyle name="Вычисление 4 5 5" xfId="3790" xr:uid="{00000000-0005-0000-0000-000085180000}"/>
    <cellStyle name="Вычисление 4 5 5 2" xfId="23246" xr:uid="{00000000-0005-0000-0000-000086180000}"/>
    <cellStyle name="Вычисление 4 5 5 3" xfId="39673" xr:uid="{BAF42E03-7E0C-4F60-BDD2-6E7D57D67C01}"/>
    <cellStyle name="Вычисление 4 5 6" xfId="3985" xr:uid="{00000000-0005-0000-0000-000087180000}"/>
    <cellStyle name="Вычисление 4 5 6 2" xfId="20562" xr:uid="{00000000-0005-0000-0000-000088180000}"/>
    <cellStyle name="Вычисление 4 5 6 3" xfId="37416" xr:uid="{004A01CD-8E48-42C3-ABD2-7FCFE0F61994}"/>
    <cellStyle name="Вычисление 4 5 7" xfId="4509" xr:uid="{00000000-0005-0000-0000-000089180000}"/>
    <cellStyle name="Вычисление 4 5 8" xfId="4991" xr:uid="{00000000-0005-0000-0000-00008A180000}"/>
    <cellStyle name="Вычисление 4 6" xfId="529" xr:uid="{00000000-0005-0000-0000-00008B180000}"/>
    <cellStyle name="Вычисление 4 6 2" xfId="1361" xr:uid="{00000000-0005-0000-0000-00008C180000}"/>
    <cellStyle name="Вычисление 4 6 2 2" xfId="21354" xr:uid="{00000000-0005-0000-0000-00008D180000}"/>
    <cellStyle name="Вычисление 4 6 2 2 2" xfId="37996" xr:uid="{32D88EF5-E3AE-4AAA-8998-D8ADFC43DA94}"/>
    <cellStyle name="Вычисление 4 6 2 3" xfId="6117" xr:uid="{00000000-0005-0000-0000-00008E180000}"/>
    <cellStyle name="Вычисление 4 6 2 4" xfId="23904" xr:uid="{06287163-DA24-49FC-9EEE-123C38A7C538}"/>
    <cellStyle name="Вычисление 4 6 3" xfId="2183" xr:uid="{00000000-0005-0000-0000-00008F180000}"/>
    <cellStyle name="Вычисление 4 6 3 2" xfId="21976" xr:uid="{00000000-0005-0000-0000-000090180000}"/>
    <cellStyle name="Вычисление 4 6 3 2 2" xfId="38586" xr:uid="{193EEE3F-F1CF-480C-B17B-6C30BCED00A9}"/>
    <cellStyle name="Вычисление 4 6 3 3" xfId="6886" xr:uid="{00000000-0005-0000-0000-000091180000}"/>
    <cellStyle name="Вычисление 4 6 3 4" xfId="24513" xr:uid="{EBC71F19-7294-4C62-B996-6840FED77FF2}"/>
    <cellStyle name="Вычисление 4 6 4" xfId="2426" xr:uid="{00000000-0005-0000-0000-000092180000}"/>
    <cellStyle name="Вычисление 4 6 4 2" xfId="22731" xr:uid="{00000000-0005-0000-0000-000093180000}"/>
    <cellStyle name="Вычисление 4 6 4 3" xfId="39200" xr:uid="{D28F0D64-1E04-42AD-9C1B-5E4A32A7F948}"/>
    <cellStyle name="Вычисление 4 6 5" xfId="3813" xr:uid="{00000000-0005-0000-0000-000094180000}"/>
    <cellStyle name="Вычисление 4 6 5 2" xfId="23297" xr:uid="{00000000-0005-0000-0000-000095180000}"/>
    <cellStyle name="Вычисление 4 6 5 3" xfId="39724" xr:uid="{DD2D2255-9133-492D-B679-A9CE744A09D8}"/>
    <cellStyle name="Вычисление 4 6 6" xfId="4089" xr:uid="{00000000-0005-0000-0000-000096180000}"/>
    <cellStyle name="Вычисление 4 6 6 2" xfId="20551" xr:uid="{00000000-0005-0000-0000-000097180000}"/>
    <cellStyle name="Вычисление 4 6 6 3" xfId="37411" xr:uid="{524BDEF2-8E9B-44A1-8129-1D59296D0685}"/>
    <cellStyle name="Вычисление 4 6 7" xfId="4611" xr:uid="{00000000-0005-0000-0000-000098180000}"/>
    <cellStyle name="Вычисление 4 6 8" xfId="5093" xr:uid="{00000000-0005-0000-0000-000099180000}"/>
    <cellStyle name="Вычисление 4 7" xfId="581" xr:uid="{00000000-0005-0000-0000-00009A180000}"/>
    <cellStyle name="Вычисление 4 7 2" xfId="1413" xr:uid="{00000000-0005-0000-0000-00009B180000}"/>
    <cellStyle name="Вычисление 4 7 2 2" xfId="21406" xr:uid="{00000000-0005-0000-0000-00009C180000}"/>
    <cellStyle name="Вычисление 4 7 2 2 2" xfId="38048" xr:uid="{5A0A5001-34CE-42A1-930A-EBAFAD287A80}"/>
    <cellStyle name="Вычисление 4 7 2 3" xfId="6169" xr:uid="{00000000-0005-0000-0000-00009D180000}"/>
    <cellStyle name="Вычисление 4 7 2 4" xfId="23956" xr:uid="{AD641732-AC29-4F40-8568-19CD27D779E8}"/>
    <cellStyle name="Вычисление 4 7 3" xfId="2030" xr:uid="{00000000-0005-0000-0000-00009E180000}"/>
    <cellStyle name="Вычисление 4 7 3 2" xfId="22028" xr:uid="{00000000-0005-0000-0000-00009F180000}"/>
    <cellStyle name="Вычисление 4 7 3 2 2" xfId="38638" xr:uid="{66FFC134-41DF-4118-B15A-02BADA951219}"/>
    <cellStyle name="Вычисление 4 7 3 3" xfId="6938" xr:uid="{00000000-0005-0000-0000-0000A0180000}"/>
    <cellStyle name="Вычисление 4 7 3 4" xfId="24565" xr:uid="{95FDFE75-7329-4E04-8B0E-A78B0E2EFA2E}"/>
    <cellStyle name="Вычисление 4 7 4" xfId="2818" xr:uid="{00000000-0005-0000-0000-0000A1180000}"/>
    <cellStyle name="Вычисление 4 7 4 2" xfId="23024" xr:uid="{00000000-0005-0000-0000-0000A2180000}"/>
    <cellStyle name="Вычисление 4 7 4 3" xfId="39490" xr:uid="{62678696-AD4C-4ED6-B9A5-4424D64CB909}"/>
    <cellStyle name="Вычисление 4 7 5" xfId="3682" xr:uid="{00000000-0005-0000-0000-0000A3180000}"/>
    <cellStyle name="Вычисление 4 7 5 2" xfId="23321" xr:uid="{00000000-0005-0000-0000-0000A4180000}"/>
    <cellStyle name="Вычисление 4 7 5 3" xfId="39748" xr:uid="{341FE93A-605F-4ADE-9E28-D6488C079DD1}"/>
    <cellStyle name="Вычисление 4 7 6" xfId="4141" xr:uid="{00000000-0005-0000-0000-0000A5180000}"/>
    <cellStyle name="Вычисление 4 7 6 2" xfId="20682" xr:uid="{00000000-0005-0000-0000-0000A6180000}"/>
    <cellStyle name="Вычисление 4 7 6 3" xfId="37511" xr:uid="{15EAB777-3992-4D0B-9891-2D73C17C790D}"/>
    <cellStyle name="Вычисление 4 7 7" xfId="4663" xr:uid="{00000000-0005-0000-0000-0000A7180000}"/>
    <cellStyle name="Вычисление 4 7 8" xfId="5145" xr:uid="{00000000-0005-0000-0000-0000A8180000}"/>
    <cellStyle name="Вычисление 4 8" xfId="674" xr:uid="{00000000-0005-0000-0000-0000A9180000}"/>
    <cellStyle name="Вычисление 4 8 2" xfId="1504" xr:uid="{00000000-0005-0000-0000-0000AA180000}"/>
    <cellStyle name="Вычисление 4 8 2 2" xfId="21497" xr:uid="{00000000-0005-0000-0000-0000AB180000}"/>
    <cellStyle name="Вычисление 4 8 2 2 2" xfId="38139" xr:uid="{A54A163A-A4D1-4DD5-BAB6-5087E4DC05D8}"/>
    <cellStyle name="Вычисление 4 8 2 3" xfId="6260" xr:uid="{00000000-0005-0000-0000-0000AC180000}"/>
    <cellStyle name="Вычисление 4 8 2 4" xfId="24047" xr:uid="{DF84403A-BF4B-42D3-89AE-9900968A8739}"/>
    <cellStyle name="Вычисление 4 8 3" xfId="1970" xr:uid="{00000000-0005-0000-0000-0000AD180000}"/>
    <cellStyle name="Вычисление 4 8 3 2" xfId="22119" xr:uid="{00000000-0005-0000-0000-0000AE180000}"/>
    <cellStyle name="Вычисление 4 8 3 2 2" xfId="38729" xr:uid="{E516AF6F-B862-4CD5-9098-17744A3806F6}"/>
    <cellStyle name="Вычисление 4 8 3 3" xfId="7029" xr:uid="{00000000-0005-0000-0000-0000AF180000}"/>
    <cellStyle name="Вычисление 4 8 3 4" xfId="24656" xr:uid="{66FD7827-A7B2-4DB6-8501-298E0443A5BA}"/>
    <cellStyle name="Вычисление 4 8 4" xfId="2763" xr:uid="{00000000-0005-0000-0000-0000B0180000}"/>
    <cellStyle name="Вычисление 4 8 4 2" xfId="22621" xr:uid="{00000000-0005-0000-0000-0000B1180000}"/>
    <cellStyle name="Вычисление 4 8 4 3" xfId="39095" xr:uid="{99C2F21E-54DE-4A0D-A621-190B840CB243}"/>
    <cellStyle name="Вычисление 4 8 5" xfId="3100" xr:uid="{00000000-0005-0000-0000-0000B2180000}"/>
    <cellStyle name="Вычисление 4 8 5 2" xfId="23358" xr:uid="{00000000-0005-0000-0000-0000B3180000}"/>
    <cellStyle name="Вычисление 4 8 5 3" xfId="39785" xr:uid="{1A4783BB-6E13-461B-A015-50DD1CE15B92}"/>
    <cellStyle name="Вычисление 4 8 6" xfId="4233" xr:uid="{00000000-0005-0000-0000-0000B4180000}"/>
    <cellStyle name="Вычисление 4 8 6 2" xfId="20747" xr:uid="{00000000-0005-0000-0000-0000B5180000}"/>
    <cellStyle name="Вычисление 4 8 6 3" xfId="37563" xr:uid="{78D426AE-38FE-4EC1-9F50-DAA4F7692634}"/>
    <cellStyle name="Вычисление 4 8 7" xfId="4755" xr:uid="{00000000-0005-0000-0000-0000B6180000}"/>
    <cellStyle name="Вычисление 4 8 8" xfId="5236" xr:uid="{00000000-0005-0000-0000-0000B7180000}"/>
    <cellStyle name="Вычисление 4 9" xfId="638" xr:uid="{00000000-0005-0000-0000-0000B8180000}"/>
    <cellStyle name="Вычисление 4 9 2" xfId="1470" xr:uid="{00000000-0005-0000-0000-0000B9180000}"/>
    <cellStyle name="Вычисление 4 9 2 2" xfId="21463" xr:uid="{00000000-0005-0000-0000-0000BA180000}"/>
    <cellStyle name="Вычисление 4 9 2 2 2" xfId="38105" xr:uid="{305BD129-4AD5-4B22-8E14-3963E767C01B}"/>
    <cellStyle name="Вычисление 4 9 2 3" xfId="6226" xr:uid="{00000000-0005-0000-0000-0000BB180000}"/>
    <cellStyle name="Вычисление 4 9 2 4" xfId="24013" xr:uid="{2B6EFA84-C032-40A0-A528-8EA263C0EADD}"/>
    <cellStyle name="Вычисление 4 9 3" xfId="2149" xr:uid="{00000000-0005-0000-0000-0000BC180000}"/>
    <cellStyle name="Вычисление 4 9 3 2" xfId="22085" xr:uid="{00000000-0005-0000-0000-0000BD180000}"/>
    <cellStyle name="Вычисление 4 9 3 2 2" xfId="38695" xr:uid="{A323EF29-9CCE-4BE4-8903-96F34E45ACCF}"/>
    <cellStyle name="Вычисление 4 9 3 3" xfId="6995" xr:uid="{00000000-0005-0000-0000-0000BE180000}"/>
    <cellStyle name="Вычисление 4 9 3 4" xfId="24622" xr:uid="{CDD61C33-F983-4A00-9B5E-C0705AD769B0}"/>
    <cellStyle name="Вычисление 4 9 4" xfId="2912" xr:uid="{00000000-0005-0000-0000-0000BF180000}"/>
    <cellStyle name="Вычисление 4 9 4 2" xfId="22851" xr:uid="{00000000-0005-0000-0000-0000C0180000}"/>
    <cellStyle name="Вычисление 4 9 4 3" xfId="39317" xr:uid="{2B4B120D-C8C4-41D6-A2D8-FC6AD93B28E6}"/>
    <cellStyle name="Вычисление 4 9 5" xfId="3453" xr:uid="{00000000-0005-0000-0000-0000C1180000}"/>
    <cellStyle name="Вычисление 4 9 5 2" xfId="23347" xr:uid="{00000000-0005-0000-0000-0000C2180000}"/>
    <cellStyle name="Вычисление 4 9 5 3" xfId="39774" xr:uid="{AE551346-3867-4E42-8606-2129C8CBF43B}"/>
    <cellStyle name="Вычисление 4 9 6" xfId="4198" xr:uid="{00000000-0005-0000-0000-0000C3180000}"/>
    <cellStyle name="Вычисление 4 9 6 2" xfId="20812" xr:uid="{00000000-0005-0000-0000-0000C4180000}"/>
    <cellStyle name="Вычисление 4 9 6 3" xfId="37615" xr:uid="{3697C163-1DD1-4E3C-BFD5-9C287D2EE283}"/>
    <cellStyle name="Вычисление 4 9 7" xfId="4720" xr:uid="{00000000-0005-0000-0000-0000C5180000}"/>
    <cellStyle name="Вычисление 4 9 8" xfId="5202" xr:uid="{00000000-0005-0000-0000-0000C6180000}"/>
    <cellStyle name="Вычисление 5" xfId="213" xr:uid="{00000000-0005-0000-0000-0000C7180000}"/>
    <cellStyle name="Вычисление 5 10" xfId="734" xr:uid="{00000000-0005-0000-0000-0000C8180000}"/>
    <cellStyle name="Вычисление 5 10 2" xfId="1564" xr:uid="{00000000-0005-0000-0000-0000C9180000}"/>
    <cellStyle name="Вычисление 5 10 2 2" xfId="22179" xr:uid="{00000000-0005-0000-0000-0000CA180000}"/>
    <cellStyle name="Вычисление 5 10 2 2 2" xfId="38789" xr:uid="{8DDCE16C-6622-4E63-89F9-36D1E43A5EFD}"/>
    <cellStyle name="Вычисление 5 10 2 3" xfId="6320" xr:uid="{00000000-0005-0000-0000-0000CB180000}"/>
    <cellStyle name="Вычисление 5 10 2 4" xfId="24107" xr:uid="{F1ED902C-23D8-4476-8C8A-B74D2DCB136A}"/>
    <cellStyle name="Вычисление 5 10 3" xfId="2003" xr:uid="{00000000-0005-0000-0000-0000CC180000}"/>
    <cellStyle name="Вычисление 5 10 3 2" xfId="23113" xr:uid="{00000000-0005-0000-0000-0000CD180000}"/>
    <cellStyle name="Вычисление 5 10 3 2 2" xfId="39579" xr:uid="{C8E8DE82-7EBA-4486-99E5-3A7E57202A1B}"/>
    <cellStyle name="Вычисление 5 10 3 3" xfId="7089" xr:uid="{00000000-0005-0000-0000-0000CE180000}"/>
    <cellStyle name="Вычисление 5 10 3 4" xfId="24716" xr:uid="{8ACF38E3-7EE4-443B-A93E-40B0ABD86507}"/>
    <cellStyle name="Вычисление 5 10 4" xfId="2383" xr:uid="{00000000-0005-0000-0000-0000CF180000}"/>
    <cellStyle name="Вычисление 5 10 4 2" xfId="23386" xr:uid="{00000000-0005-0000-0000-0000D0180000}"/>
    <cellStyle name="Вычисление 5 10 4 3" xfId="39813" xr:uid="{3E0E988D-BD48-4AA6-95FA-FA34D17004AE}"/>
    <cellStyle name="Вычисление 5 10 5" xfId="3849" xr:uid="{00000000-0005-0000-0000-0000D1180000}"/>
    <cellStyle name="Вычисление 5 10 5 2" xfId="21557" xr:uid="{00000000-0005-0000-0000-0000D2180000}"/>
    <cellStyle name="Вычисление 5 10 5 3" xfId="38199" xr:uid="{2D658B97-1ED8-4DDF-BD76-FE4671152F63}"/>
    <cellStyle name="Вычисление 5 10 6" xfId="4293" xr:uid="{00000000-0005-0000-0000-0000D3180000}"/>
    <cellStyle name="Вычисление 5 10 7" xfId="4815" xr:uid="{00000000-0005-0000-0000-0000D4180000}"/>
    <cellStyle name="Вычисление 5 10 8" xfId="5296" xr:uid="{00000000-0005-0000-0000-0000D5180000}"/>
    <cellStyle name="Вычисление 5 11" xfId="1148" xr:uid="{00000000-0005-0000-0000-0000D6180000}"/>
    <cellStyle name="Вычисление 5 11 2" xfId="2261" xr:uid="{00000000-0005-0000-0000-0000D7180000}"/>
    <cellStyle name="Вычисление 5 11 2 2" xfId="21781" xr:uid="{00000000-0005-0000-0000-0000D8180000}"/>
    <cellStyle name="Вычисление 5 11 2 2 2" xfId="38391" xr:uid="{3D028CF1-A46B-426D-9CF1-B46D38E892F3}"/>
    <cellStyle name="Вычисление 5 11 2 3" xfId="5853" xr:uid="{00000000-0005-0000-0000-0000D9180000}"/>
    <cellStyle name="Вычисление 5 11 2 4" xfId="23709" xr:uid="{341F9010-EAFB-4DD0-A751-55DD9B62403B}"/>
    <cellStyle name="Вычисление 5 11 3" xfId="2458" xr:uid="{00000000-0005-0000-0000-0000DA180000}"/>
    <cellStyle name="Вычисление 5 11 3 2" xfId="22940" xr:uid="{00000000-0005-0000-0000-0000DB180000}"/>
    <cellStyle name="Вычисление 5 11 3 2 2" xfId="39406" xr:uid="{82505173-299E-429D-90EE-1F7C4AA80F47}"/>
    <cellStyle name="Вычисление 5 11 3 3" xfId="6697" xr:uid="{00000000-0005-0000-0000-0000DC180000}"/>
    <cellStyle name="Вычисление 5 11 3 4" xfId="24324" xr:uid="{909113D3-44B0-4869-AB8C-025944AEA45E}"/>
    <cellStyle name="Вычисление 5 11 4" xfId="3600" xr:uid="{00000000-0005-0000-0000-0000DD180000}"/>
    <cellStyle name="Вычисление 5 11 4 2" xfId="23205" xr:uid="{00000000-0005-0000-0000-0000DE180000}"/>
    <cellStyle name="Вычисление 5 11 4 3" xfId="39632" xr:uid="{9B9FB6FD-CE92-435F-808A-159174AC1382}"/>
    <cellStyle name="Вычисление 5 11 5" xfId="3631" xr:uid="{00000000-0005-0000-0000-0000DF180000}"/>
    <cellStyle name="Вычисление 5 11 5 2" xfId="21077" xr:uid="{00000000-0005-0000-0000-0000E0180000}"/>
    <cellStyle name="Вычисление 5 11 5 3" xfId="37801" xr:uid="{F797BBD5-3210-4C57-A8BD-728395154327}"/>
    <cellStyle name="Вычисление 5 11 6" xfId="3097" xr:uid="{00000000-0005-0000-0000-0000E1180000}"/>
    <cellStyle name="Вычисление 5 11 7" xfId="4416" xr:uid="{00000000-0005-0000-0000-0000E2180000}"/>
    <cellStyle name="Вычисление 5 12" xfId="1075" xr:uid="{00000000-0005-0000-0000-0000E3180000}"/>
    <cellStyle name="Вычисление 5 12 2" xfId="20959" xr:uid="{00000000-0005-0000-0000-0000E4180000}"/>
    <cellStyle name="Вычисление 5 12 2 2" xfId="37736" xr:uid="{86C9459A-CA63-4F38-9278-03278ECB824F}"/>
    <cellStyle name="Вычисление 5 12 3" xfId="5697" xr:uid="{00000000-0005-0000-0000-0000E5180000}"/>
    <cellStyle name="Вычисление 5 12 4" xfId="23641" xr:uid="{665B846F-1EB3-46A5-A9BD-76BC3E45EC9D}"/>
    <cellStyle name="Вычисление 5 13" xfId="1791" xr:uid="{00000000-0005-0000-0000-0000E6180000}"/>
    <cellStyle name="Вычисление 5 13 2" xfId="21716" xr:uid="{00000000-0005-0000-0000-0000E7180000}"/>
    <cellStyle name="Вычисление 5 13 2 2" xfId="38326" xr:uid="{79E463D3-FF3A-4508-9312-22359BFEAC55}"/>
    <cellStyle name="Вычисление 5 13 3" xfId="6634" xr:uid="{00000000-0005-0000-0000-0000E8180000}"/>
    <cellStyle name="Вычисление 5 13 4" xfId="24261" xr:uid="{0BA11522-2C8D-4D36-9049-97D8B0108ED8}"/>
    <cellStyle name="Вычисление 5 14" xfId="2439" xr:uid="{00000000-0005-0000-0000-0000E9180000}"/>
    <cellStyle name="Вычисление 5 14 2" xfId="22589" xr:uid="{00000000-0005-0000-0000-0000EA180000}"/>
    <cellStyle name="Вычисление 5 14 3" xfId="39065" xr:uid="{420E9E80-9B2D-4097-BE9F-1B0A94A0A510}"/>
    <cellStyle name="Вычисление 5 15" xfId="3056" xr:uid="{00000000-0005-0000-0000-0000EB180000}"/>
    <cellStyle name="Вычисление 5 15 2" xfId="23179" xr:uid="{00000000-0005-0000-0000-0000EC180000}"/>
    <cellStyle name="Вычисление 5 15 3" xfId="39606" xr:uid="{4B765921-6506-44B9-B3D9-F4CC6D2C3844}"/>
    <cellStyle name="Вычисление 5 16" xfId="3036" xr:uid="{00000000-0005-0000-0000-0000ED180000}"/>
    <cellStyle name="Вычисление 5 16 2" xfId="20414" xr:uid="{00000000-0005-0000-0000-0000EE180000}"/>
    <cellStyle name="Вычисление 5 16 3" xfId="37325" xr:uid="{EF4AD52A-4EAE-4BEB-BD13-B390B03E5435}"/>
    <cellStyle name="Вычисление 5 17" xfId="3263" xr:uid="{00000000-0005-0000-0000-0000EF180000}"/>
    <cellStyle name="Вычисление 5 18" xfId="3122" xr:uid="{00000000-0005-0000-0000-0000F0180000}"/>
    <cellStyle name="Вычисление 5 2" xfId="322" xr:uid="{00000000-0005-0000-0000-0000F1180000}"/>
    <cellStyle name="Вычисление 5 2 2" xfId="1210" xr:uid="{00000000-0005-0000-0000-0000F2180000}"/>
    <cellStyle name="Вычисление 5 2 2 2" xfId="21175" xr:uid="{00000000-0005-0000-0000-0000F3180000}"/>
    <cellStyle name="Вычисление 5 2 2 2 2" xfId="37853" xr:uid="{93CD460D-09B1-4F3E-ABC7-B3521890B566}"/>
    <cellStyle name="Вычисление 5 2 2 3" xfId="5953" xr:uid="{00000000-0005-0000-0000-0000F4180000}"/>
    <cellStyle name="Вычисление 5 2 2 4" xfId="23761" xr:uid="{202E6908-79B4-47DA-BDD7-344A6CF6286C}"/>
    <cellStyle name="Вычисление 5 2 3" xfId="2158" xr:uid="{00000000-0005-0000-0000-0000F5180000}"/>
    <cellStyle name="Вычисление 5 2 3 2" xfId="21833" xr:uid="{00000000-0005-0000-0000-0000F6180000}"/>
    <cellStyle name="Вычисление 5 2 3 2 2" xfId="38443" xr:uid="{972F8AC0-4E31-4C49-A7DC-6626F7BBA3A0}"/>
    <cellStyle name="Вычисление 5 2 3 3" xfId="6747" xr:uid="{00000000-0005-0000-0000-0000F7180000}"/>
    <cellStyle name="Вычисление 5 2 3 4" xfId="24374" xr:uid="{371DA500-4E01-45E6-81B8-93B2CF034E91}"/>
    <cellStyle name="Вычисление 5 2 4" xfId="2589" xr:uid="{00000000-0005-0000-0000-0000F8180000}"/>
    <cellStyle name="Вычисление 5 2 4 2" xfId="23025" xr:uid="{00000000-0005-0000-0000-0000F9180000}"/>
    <cellStyle name="Вычисление 5 2 4 3" xfId="39491" xr:uid="{5AC5B4AE-039D-41C6-B692-8F2086146171}"/>
    <cellStyle name="Вычисление 5 2 5" xfId="3716" xr:uid="{00000000-0005-0000-0000-0000FA180000}"/>
    <cellStyle name="Вычисление 5 2 5 2" xfId="23227" xr:uid="{00000000-0005-0000-0000-0000FB180000}"/>
    <cellStyle name="Вычисление 5 2 5 3" xfId="39654" xr:uid="{8287DE78-83CE-4A00-B9D8-63478D025A23}"/>
    <cellStyle name="Вычисление 5 2 6" xfId="3929" xr:uid="{00000000-0005-0000-0000-0000FC180000}"/>
    <cellStyle name="Вычисление 5 2 6 2" xfId="20480" xr:uid="{00000000-0005-0000-0000-0000FD180000}"/>
    <cellStyle name="Вычисление 5 2 6 3" xfId="37372" xr:uid="{832989DC-FE14-46BB-8CDC-99EC1437B070}"/>
    <cellStyle name="Вычисление 5 2 7" xfId="4462" xr:uid="{00000000-0005-0000-0000-0000FE180000}"/>
    <cellStyle name="Вычисление 5 2 8" xfId="4954" xr:uid="{00000000-0005-0000-0000-0000FF180000}"/>
    <cellStyle name="Вычисление 5 3" xfId="448" xr:uid="{00000000-0005-0000-0000-000000190000}"/>
    <cellStyle name="Вычисление 5 3 2" xfId="1280" xr:uid="{00000000-0005-0000-0000-000001190000}"/>
    <cellStyle name="Вычисление 5 3 2 2" xfId="21273" xr:uid="{00000000-0005-0000-0000-000002190000}"/>
    <cellStyle name="Вычисление 5 3 2 2 2" xfId="37915" xr:uid="{6417DE19-2A35-4507-8AB1-A266537CBDB8}"/>
    <cellStyle name="Вычисление 5 3 2 3" xfId="6036" xr:uid="{00000000-0005-0000-0000-000003190000}"/>
    <cellStyle name="Вычисление 5 3 2 4" xfId="23823" xr:uid="{200E58C4-F0BA-48DF-858F-DCDB91999993}"/>
    <cellStyle name="Вычисление 5 3 3" xfId="1994" xr:uid="{00000000-0005-0000-0000-000004190000}"/>
    <cellStyle name="Вычисление 5 3 3 2" xfId="21895" xr:uid="{00000000-0005-0000-0000-000005190000}"/>
    <cellStyle name="Вычисление 5 3 3 2 2" xfId="38505" xr:uid="{FC7C05BD-34DE-4ED3-B7FD-F1BF7C00107B}"/>
    <cellStyle name="Вычисление 5 3 3 3" xfId="6806" xr:uid="{00000000-0005-0000-0000-000006190000}"/>
    <cellStyle name="Вычисление 5 3 3 4" xfId="24433" xr:uid="{5F63E34E-881C-4465-B066-6AAA30E1E783}"/>
    <cellStyle name="Вычисление 5 3 4" xfId="2780" xr:uid="{00000000-0005-0000-0000-000007190000}"/>
    <cellStyle name="Вычисление 5 3 4 2" xfId="23029" xr:uid="{00000000-0005-0000-0000-000008190000}"/>
    <cellStyle name="Вычисление 5 3 4 3" xfId="39495" xr:uid="{24D532EC-D58B-4834-BB40-7771EAB0F011}"/>
    <cellStyle name="Вычисление 5 3 5" xfId="3719" xr:uid="{00000000-0005-0000-0000-000009190000}"/>
    <cellStyle name="Вычисление 5 3 5 2" xfId="23256" xr:uid="{00000000-0005-0000-0000-00000A190000}"/>
    <cellStyle name="Вычисление 5 3 5 3" xfId="39683" xr:uid="{B60FFF5C-36C0-40DE-92D7-36CF3A58C734}"/>
    <cellStyle name="Вычисление 5 3 6" xfId="4009" xr:uid="{00000000-0005-0000-0000-00000B190000}"/>
    <cellStyle name="Вычисление 5 3 6 2" xfId="20591" xr:uid="{00000000-0005-0000-0000-00000C190000}"/>
    <cellStyle name="Вычисление 5 3 6 3" xfId="37438" xr:uid="{2D95C935-B099-4977-BAC3-42F067C3E602}"/>
    <cellStyle name="Вычисление 5 3 7" xfId="4531" xr:uid="{00000000-0005-0000-0000-00000D190000}"/>
    <cellStyle name="Вычисление 5 3 8" xfId="5013" xr:uid="{00000000-0005-0000-0000-00000E190000}"/>
    <cellStyle name="Вычисление 5 4" xfId="494" xr:uid="{00000000-0005-0000-0000-00000F190000}"/>
    <cellStyle name="Вычисление 5 4 2" xfId="1326" xr:uid="{00000000-0005-0000-0000-000010190000}"/>
    <cellStyle name="Вычисление 5 4 2 2" xfId="21319" xr:uid="{00000000-0005-0000-0000-000011190000}"/>
    <cellStyle name="Вычисление 5 4 2 2 2" xfId="37961" xr:uid="{FD8535BC-C4DA-482D-8FFC-F1B36EE92F3D}"/>
    <cellStyle name="Вычисление 5 4 2 3" xfId="6082" xr:uid="{00000000-0005-0000-0000-000012190000}"/>
    <cellStyle name="Вычисление 5 4 2 4" xfId="23869" xr:uid="{4EF7DDCB-35B7-4112-ABE5-FAAEC7B48EFF}"/>
    <cellStyle name="Вычисление 5 4 3" xfId="2031" xr:uid="{00000000-0005-0000-0000-000013190000}"/>
    <cellStyle name="Вычисление 5 4 3 2" xfId="21941" xr:uid="{00000000-0005-0000-0000-000014190000}"/>
    <cellStyle name="Вычисление 5 4 3 2 2" xfId="38551" xr:uid="{ABB8A460-37AD-4AD8-A756-12BED8827C4A}"/>
    <cellStyle name="Вычисление 5 4 3 3" xfId="6851" xr:uid="{00000000-0005-0000-0000-000015190000}"/>
    <cellStyle name="Вычисление 5 4 3 4" xfId="24478" xr:uid="{D4316F62-8DFA-4F05-A9AA-817D433CC81A}"/>
    <cellStyle name="Вычисление 5 4 4" xfId="2819" xr:uid="{00000000-0005-0000-0000-000016190000}"/>
    <cellStyle name="Вычисление 5 4 4 2" xfId="22588" xr:uid="{00000000-0005-0000-0000-000017190000}"/>
    <cellStyle name="Вычисление 5 4 4 3" xfId="39064" xr:uid="{7A0EBCD1-71C4-4577-AB5D-7F9EEB16720C}"/>
    <cellStyle name="Вычисление 5 4 5" xfId="3668" xr:uid="{00000000-0005-0000-0000-000018190000}"/>
    <cellStyle name="Вычисление 5 4 5 2" xfId="23279" xr:uid="{00000000-0005-0000-0000-000019190000}"/>
    <cellStyle name="Вычисление 5 4 5 3" xfId="39706" xr:uid="{F06A2EE6-CC0A-4460-8EE0-9FD3E2226995}"/>
    <cellStyle name="Вычисление 5 4 6" xfId="4054" xr:uid="{00000000-0005-0000-0000-00001A190000}"/>
    <cellStyle name="Вычисление 5 4 6 2" xfId="20634" xr:uid="{00000000-0005-0000-0000-00001B190000}"/>
    <cellStyle name="Вычисление 5 4 6 3" xfId="37476" xr:uid="{0B2EAD8A-B7FC-4EDE-9193-7223661582C2}"/>
    <cellStyle name="Вычисление 5 4 7" xfId="4576" xr:uid="{00000000-0005-0000-0000-00001C190000}"/>
    <cellStyle name="Вычисление 5 4 8" xfId="5058" xr:uid="{00000000-0005-0000-0000-00001D190000}"/>
    <cellStyle name="Вычисление 5 5" xfId="546" xr:uid="{00000000-0005-0000-0000-00001E190000}"/>
    <cellStyle name="Вычисление 5 5 2" xfId="1378" xr:uid="{00000000-0005-0000-0000-00001F190000}"/>
    <cellStyle name="Вычисление 5 5 2 2" xfId="21371" xr:uid="{00000000-0005-0000-0000-000020190000}"/>
    <cellStyle name="Вычисление 5 5 2 2 2" xfId="38013" xr:uid="{E24A76A0-8638-406A-9B36-38833A64AE26}"/>
    <cellStyle name="Вычисление 5 5 2 3" xfId="6134" xr:uid="{00000000-0005-0000-0000-000021190000}"/>
    <cellStyle name="Вычисление 5 5 2 4" xfId="23921" xr:uid="{88F38E5E-3362-4511-8386-D2034CC7C860}"/>
    <cellStyle name="Вычисление 5 5 3" xfId="2061" xr:uid="{00000000-0005-0000-0000-000022190000}"/>
    <cellStyle name="Вычисление 5 5 3 2" xfId="21993" xr:uid="{00000000-0005-0000-0000-000023190000}"/>
    <cellStyle name="Вычисление 5 5 3 2 2" xfId="38603" xr:uid="{1FF3C7D5-CD70-49CE-9ED6-A0D1292CBEC0}"/>
    <cellStyle name="Вычисление 5 5 3 3" xfId="6903" xr:uid="{00000000-0005-0000-0000-000024190000}"/>
    <cellStyle name="Вычисление 5 5 3 4" xfId="24530" xr:uid="{504C7531-4BF0-4901-953B-BE27B3BC4C0D}"/>
    <cellStyle name="Вычисление 5 5 4" xfId="2815" xr:uid="{00000000-0005-0000-0000-000025190000}"/>
    <cellStyle name="Вычисление 5 5 4 2" xfId="22699" xr:uid="{00000000-0005-0000-0000-000026190000}"/>
    <cellStyle name="Вычисление 5 5 4 3" xfId="39170" xr:uid="{13FDD8C9-1F16-465E-8B05-605280BBA169}"/>
    <cellStyle name="Вычисление 5 5 5" xfId="3674" xr:uid="{00000000-0005-0000-0000-000027190000}"/>
    <cellStyle name="Вычисление 5 5 5 2" xfId="23303" xr:uid="{00000000-0005-0000-0000-000028190000}"/>
    <cellStyle name="Вычисление 5 5 5 3" xfId="39730" xr:uid="{BEB1504A-0ACE-497D-9C9A-01C6FB6B8483}"/>
    <cellStyle name="Вычисление 5 5 6" xfId="4106" xr:uid="{00000000-0005-0000-0000-000029190000}"/>
    <cellStyle name="Вычисление 5 5 6 2" xfId="20699" xr:uid="{00000000-0005-0000-0000-00002A190000}"/>
    <cellStyle name="Вычисление 5 5 6 3" xfId="37528" xr:uid="{B1F59404-7338-412F-AC30-C41ADE7D1170}"/>
    <cellStyle name="Вычисление 5 5 7" xfId="4628" xr:uid="{00000000-0005-0000-0000-00002B190000}"/>
    <cellStyle name="Вычисление 5 5 8" xfId="5110" xr:uid="{00000000-0005-0000-0000-00002C190000}"/>
    <cellStyle name="Вычисление 5 6" xfId="598" xr:uid="{00000000-0005-0000-0000-00002D190000}"/>
    <cellStyle name="Вычисление 5 6 2" xfId="1430" xr:uid="{00000000-0005-0000-0000-00002E190000}"/>
    <cellStyle name="Вычисление 5 6 2 2" xfId="21423" xr:uid="{00000000-0005-0000-0000-00002F190000}"/>
    <cellStyle name="Вычисление 5 6 2 2 2" xfId="38065" xr:uid="{A5D5EBAB-C74A-437E-BBB1-EF0D30017A3D}"/>
    <cellStyle name="Вычисление 5 6 2 3" xfId="6186" xr:uid="{00000000-0005-0000-0000-000030190000}"/>
    <cellStyle name="Вычисление 5 6 2 4" xfId="23973" xr:uid="{44D519B6-6067-4565-8418-8D33C3437451}"/>
    <cellStyle name="Вычисление 5 6 3" xfId="2249" xr:uid="{00000000-0005-0000-0000-000031190000}"/>
    <cellStyle name="Вычисление 5 6 3 2" xfId="22045" xr:uid="{00000000-0005-0000-0000-000032190000}"/>
    <cellStyle name="Вычисление 5 6 3 2 2" xfId="38655" xr:uid="{42F34518-AD9A-43B5-AEA7-D0E77DFB76E5}"/>
    <cellStyle name="Вычисление 5 6 3 3" xfId="6955" xr:uid="{00000000-0005-0000-0000-000033190000}"/>
    <cellStyle name="Вычисление 5 6 3 4" xfId="24582" xr:uid="{721ABF40-9CEA-4979-825C-AF709556027D}"/>
    <cellStyle name="Вычисление 5 6 4" xfId="2723" xr:uid="{00000000-0005-0000-0000-000034190000}"/>
    <cellStyle name="Вычисление 5 6 4 2" xfId="22922" xr:uid="{00000000-0005-0000-0000-000035190000}"/>
    <cellStyle name="Вычисление 5 6 4 3" xfId="39388" xr:uid="{D2D87895-5F41-4F8B-AFF8-DFAB7E63E1A3}"/>
    <cellStyle name="Вычисление 5 6 5" xfId="3578" xr:uid="{00000000-0005-0000-0000-000036190000}"/>
    <cellStyle name="Вычисление 5 6 5 2" xfId="23327" xr:uid="{00000000-0005-0000-0000-000037190000}"/>
    <cellStyle name="Вычисление 5 6 5 3" xfId="39754" xr:uid="{13B1A489-436C-4F0B-B702-B48A178C8581}"/>
    <cellStyle name="Вычисление 5 6 6" xfId="4158" xr:uid="{00000000-0005-0000-0000-000038190000}"/>
    <cellStyle name="Вычисление 5 6 6 2" xfId="20764" xr:uid="{00000000-0005-0000-0000-000039190000}"/>
    <cellStyle name="Вычисление 5 6 6 3" xfId="37580" xr:uid="{7D60E252-CF0A-473B-A943-92F94BC45343}"/>
    <cellStyle name="Вычисление 5 6 7" xfId="4680" xr:uid="{00000000-0005-0000-0000-00003A190000}"/>
    <cellStyle name="Вычисление 5 6 8" xfId="5162" xr:uid="{00000000-0005-0000-0000-00003B190000}"/>
    <cellStyle name="Вычисление 5 7" xfId="697" xr:uid="{00000000-0005-0000-0000-00003C190000}"/>
    <cellStyle name="Вычисление 5 7 2" xfId="1527" xr:uid="{00000000-0005-0000-0000-00003D190000}"/>
    <cellStyle name="Вычисление 5 7 2 2" xfId="21520" xr:uid="{00000000-0005-0000-0000-00003E190000}"/>
    <cellStyle name="Вычисление 5 7 2 2 2" xfId="38162" xr:uid="{B658F4EA-4961-4367-98B6-8A39B28C9BCF}"/>
    <cellStyle name="Вычисление 5 7 2 3" xfId="6283" xr:uid="{00000000-0005-0000-0000-00003F190000}"/>
    <cellStyle name="Вычисление 5 7 2 4" xfId="24070" xr:uid="{6785FA48-4788-40B3-8234-C49BC14AA5C5}"/>
    <cellStyle name="Вычисление 5 7 3" xfId="1751" xr:uid="{00000000-0005-0000-0000-000040190000}"/>
    <cellStyle name="Вычисление 5 7 3 2" xfId="22142" xr:uid="{00000000-0005-0000-0000-000041190000}"/>
    <cellStyle name="Вычисление 5 7 3 2 2" xfId="38752" xr:uid="{3373521F-7D4C-4486-A1ED-0F12293B51AF}"/>
    <cellStyle name="Вычисление 5 7 3 3" xfId="7052" xr:uid="{00000000-0005-0000-0000-000042190000}"/>
    <cellStyle name="Вычисление 5 7 3 4" xfId="24679" xr:uid="{62200DFF-0BA5-4AF2-8A87-4AD925B2C832}"/>
    <cellStyle name="Вычисление 5 7 4" xfId="2521" xr:uid="{00000000-0005-0000-0000-000043190000}"/>
    <cellStyle name="Вычисление 5 7 4 2" xfId="22613" xr:uid="{00000000-0005-0000-0000-000044190000}"/>
    <cellStyle name="Вычисление 5 7 4 3" xfId="39087" xr:uid="{C3B57F45-48F8-4872-AC4B-F7B98CA0A732}"/>
    <cellStyle name="Вычисление 5 7 5" xfId="3085" xr:uid="{00000000-0005-0000-0000-000045190000}"/>
    <cellStyle name="Вычисление 5 7 5 2" xfId="23368" xr:uid="{00000000-0005-0000-0000-000046190000}"/>
    <cellStyle name="Вычисление 5 7 5 3" xfId="39795" xr:uid="{1F490FC2-B476-42F4-BDFD-4A9326CB5CFF}"/>
    <cellStyle name="Вычисление 5 7 6" xfId="4256" xr:uid="{00000000-0005-0000-0000-000047190000}"/>
    <cellStyle name="Вычисление 5 7 6 2" xfId="20829" xr:uid="{00000000-0005-0000-0000-000048190000}"/>
    <cellStyle name="Вычисление 5 7 6 3" xfId="37632" xr:uid="{6CBF2692-D6F2-4F51-8E8D-ECA928F5BF10}"/>
    <cellStyle name="Вычисление 5 7 7" xfId="4778" xr:uid="{00000000-0005-0000-0000-000049190000}"/>
    <cellStyle name="Вычисление 5 7 8" xfId="5259" xr:uid="{00000000-0005-0000-0000-00004A190000}"/>
    <cellStyle name="Вычисление 5 8" xfId="741" xr:uid="{00000000-0005-0000-0000-00004B190000}"/>
    <cellStyle name="Вычисление 5 8 2" xfId="1571" xr:uid="{00000000-0005-0000-0000-00004C190000}"/>
    <cellStyle name="Вычисление 5 8 2 2" xfId="21564" xr:uid="{00000000-0005-0000-0000-00004D190000}"/>
    <cellStyle name="Вычисление 5 8 2 2 2" xfId="38206" xr:uid="{51D46105-DEDD-42AC-8E4D-DE31B2A47FA5}"/>
    <cellStyle name="Вычисление 5 8 2 3" xfId="6327" xr:uid="{00000000-0005-0000-0000-00004E190000}"/>
    <cellStyle name="Вычисление 5 8 2 4" xfId="24114" xr:uid="{25BBEEA3-F47C-43CF-A0B9-658C6EC6BD74}"/>
    <cellStyle name="Вычисление 5 8 3" xfId="1899" xr:uid="{00000000-0005-0000-0000-00004F190000}"/>
    <cellStyle name="Вычисление 5 8 3 2" xfId="22186" xr:uid="{00000000-0005-0000-0000-000050190000}"/>
    <cellStyle name="Вычисление 5 8 3 2 2" xfId="38796" xr:uid="{2F30D35C-1027-48B0-BBE7-927DB51052B8}"/>
    <cellStyle name="Вычисление 5 8 3 3" xfId="7096" xr:uid="{00000000-0005-0000-0000-000051190000}"/>
    <cellStyle name="Вычисление 5 8 3 4" xfId="24723" xr:uid="{CACAC193-4AEC-4D35-9A7C-AF172B930096}"/>
    <cellStyle name="Вычисление 5 8 4" xfId="2343" xr:uid="{00000000-0005-0000-0000-000052190000}"/>
    <cellStyle name="Вычисление 5 8 4 2" xfId="23093" xr:uid="{00000000-0005-0000-0000-000053190000}"/>
    <cellStyle name="Вычисление 5 8 4 3" xfId="39559" xr:uid="{E484873B-DF9F-4845-8291-0B89D04CB117}"/>
    <cellStyle name="Вычисление 5 8 5" xfId="3467" xr:uid="{00000000-0005-0000-0000-000054190000}"/>
    <cellStyle name="Вычисление 5 8 5 2" xfId="23390" xr:uid="{00000000-0005-0000-0000-000055190000}"/>
    <cellStyle name="Вычисление 5 8 5 3" xfId="39817" xr:uid="{D7E036FE-C8F4-4A4C-B985-59523468B408}"/>
    <cellStyle name="Вычисление 5 8 6" xfId="4300" xr:uid="{00000000-0005-0000-0000-000056190000}"/>
    <cellStyle name="Вычисление 5 8 6 2" xfId="20894" xr:uid="{00000000-0005-0000-0000-000057190000}"/>
    <cellStyle name="Вычисление 5 8 6 3" xfId="37684" xr:uid="{9FE864CB-9817-4829-A8D2-DB691487A4D6}"/>
    <cellStyle name="Вычисление 5 8 7" xfId="4822" xr:uid="{00000000-0005-0000-0000-000058190000}"/>
    <cellStyle name="Вычисление 5 8 8" xfId="5303" xr:uid="{00000000-0005-0000-0000-000059190000}"/>
    <cellStyle name="Вычисление 5 9" xfId="647" xr:uid="{00000000-0005-0000-0000-00005A190000}"/>
    <cellStyle name="Вычисление 5 9 2" xfId="1479" xr:uid="{00000000-0005-0000-0000-00005B190000}"/>
    <cellStyle name="Вычисление 5 9 2 2" xfId="22094" xr:uid="{00000000-0005-0000-0000-00005C190000}"/>
    <cellStyle name="Вычисление 5 9 2 2 2" xfId="38704" xr:uid="{D1BF62C5-E668-4F07-9B17-79333541E9F6}"/>
    <cellStyle name="Вычисление 5 9 2 3" xfId="6235" xr:uid="{00000000-0005-0000-0000-00005D190000}"/>
    <cellStyle name="Вычисление 5 9 2 4" xfId="24022" xr:uid="{FE0336E5-17D1-4864-AFD0-87B390B975C3}"/>
    <cellStyle name="Вычисление 5 9 3" xfId="2133" xr:uid="{00000000-0005-0000-0000-00005E190000}"/>
    <cellStyle name="Вычисление 5 9 3 2" xfId="22837" xr:uid="{00000000-0005-0000-0000-00005F190000}"/>
    <cellStyle name="Вычисление 5 9 3 2 2" xfId="39303" xr:uid="{6371C038-B346-46E6-8C6E-29E273401D19}"/>
    <cellStyle name="Вычисление 5 9 3 3" xfId="7004" xr:uid="{00000000-0005-0000-0000-000060190000}"/>
    <cellStyle name="Вычисление 5 9 3 4" xfId="24631" xr:uid="{5CCF23F1-22F4-47CB-BC9E-F9B1FE7BDEAA}"/>
    <cellStyle name="Вычисление 5 9 4" xfId="2492" xr:uid="{00000000-0005-0000-0000-000061190000}"/>
    <cellStyle name="Вычисление 5 9 4 2" xfId="23351" xr:uid="{00000000-0005-0000-0000-000062190000}"/>
    <cellStyle name="Вычисление 5 9 4 3" xfId="39778" xr:uid="{2B93D434-AC82-4208-B943-7EA6662E6A72}"/>
    <cellStyle name="Вычисление 5 9 5" xfId="3433" xr:uid="{00000000-0005-0000-0000-000063190000}"/>
    <cellStyle name="Вычисление 5 9 5 2" xfId="21472" xr:uid="{00000000-0005-0000-0000-000064190000}"/>
    <cellStyle name="Вычисление 5 9 5 3" xfId="38114" xr:uid="{02A479A1-9E28-4C3B-A5EB-14DFA9652084}"/>
    <cellStyle name="Вычисление 5 9 6" xfId="4207" xr:uid="{00000000-0005-0000-0000-000065190000}"/>
    <cellStyle name="Вычисление 5 9 7" xfId="4729" xr:uid="{00000000-0005-0000-0000-000066190000}"/>
    <cellStyle name="Вычисление 5 9 8" xfId="5211" xr:uid="{00000000-0005-0000-0000-000067190000}"/>
    <cellStyle name="Вычисление 6" xfId="1986" xr:uid="{00000000-0005-0000-0000-000068190000}"/>
    <cellStyle name="Вычисление 6 2" xfId="22563" xr:uid="{00000000-0005-0000-0000-000069190000}"/>
    <cellStyle name="Вычисление 6 2 2" xfId="39041" xr:uid="{AA8B31F2-A229-41DD-9F19-675EF1B1A0A4}"/>
    <cellStyle name="Вычисление 6 3" xfId="5530" xr:uid="{00000000-0005-0000-0000-00006A190000}"/>
    <cellStyle name="Вычисление 6 4" xfId="23592" xr:uid="{563E9D75-E633-4CFF-AE31-A8248D6DF813}"/>
    <cellStyle name="Вычисление 7" xfId="2460" xr:uid="{00000000-0005-0000-0000-00006B190000}"/>
    <cellStyle name="Вычисление 7 2" xfId="5660" xr:uid="{00000000-0005-0000-0000-00006C190000}"/>
    <cellStyle name="Вычисление 7 3" xfId="23630" xr:uid="{FC480FB1-D3C4-44C6-BBE5-6F149BE392E2}"/>
    <cellStyle name="Вычисление 8" xfId="3092" xr:uid="{00000000-0005-0000-0000-00006D190000}"/>
    <cellStyle name="Вычисление 9" xfId="2955" xr:uid="{00000000-0005-0000-0000-00006E190000}"/>
    <cellStyle name="Гиперссылка 2" xfId="7760" xr:uid="{00000000-0005-0000-0000-00006F190000}"/>
    <cellStyle name="Заголовок 1" xfId="378" builtinId="16" customBuiltin="1"/>
    <cellStyle name="Заголовок 1 2" xfId="93" xr:uid="{00000000-0005-0000-0000-000071190000}"/>
    <cellStyle name="Заголовок 1 2 2" xfId="7343" xr:uid="{00000000-0005-0000-0000-000072190000}"/>
    <cellStyle name="Заголовок 1 2 3" xfId="7228" xr:uid="{00000000-0005-0000-0000-000073190000}"/>
    <cellStyle name="Заголовок 1 3" xfId="42" xr:uid="{00000000-0005-0000-0000-000074190000}"/>
    <cellStyle name="Заголовок 2" xfId="379" builtinId="17" customBuiltin="1"/>
    <cellStyle name="Заголовок 2 2" xfId="94" xr:uid="{00000000-0005-0000-0000-000076190000}"/>
    <cellStyle name="Заголовок 2 2 2" xfId="7344" xr:uid="{00000000-0005-0000-0000-000077190000}"/>
    <cellStyle name="Заголовок 2 2 3" xfId="7229" xr:uid="{00000000-0005-0000-0000-000078190000}"/>
    <cellStyle name="Заголовок 2 3" xfId="43" xr:uid="{00000000-0005-0000-0000-000079190000}"/>
    <cellStyle name="Заголовок 3" xfId="380" builtinId="18" customBuiltin="1"/>
    <cellStyle name="Заголовок 3 2" xfId="95" xr:uid="{00000000-0005-0000-0000-00007B190000}"/>
    <cellStyle name="Заголовок 3 2 2" xfId="7345" xr:uid="{00000000-0005-0000-0000-00007C190000}"/>
    <cellStyle name="Заголовок 3 2 3" xfId="7230" xr:uid="{00000000-0005-0000-0000-00007D190000}"/>
    <cellStyle name="Заголовок 3 3" xfId="44" xr:uid="{00000000-0005-0000-0000-00007E190000}"/>
    <cellStyle name="Заголовок 4" xfId="381" builtinId="19" customBuiltin="1"/>
    <cellStyle name="Заголовок 4 2" xfId="96" xr:uid="{00000000-0005-0000-0000-000080190000}"/>
    <cellStyle name="Заголовок 4 2 2" xfId="7346" xr:uid="{00000000-0005-0000-0000-000081190000}"/>
    <cellStyle name="Заголовок 4 2 3" xfId="7231" xr:uid="{00000000-0005-0000-0000-000082190000}"/>
    <cellStyle name="Заголовок 4 3" xfId="45" xr:uid="{00000000-0005-0000-0000-000083190000}"/>
    <cellStyle name="Итог" xfId="393" builtinId="25" customBuiltin="1"/>
    <cellStyle name="Итог 10" xfId="3928" xr:uid="{00000000-0005-0000-0000-000085190000}"/>
    <cellStyle name="Итог 11" xfId="4461" xr:uid="{00000000-0005-0000-0000-000086190000}"/>
    <cellStyle name="Итог 2" xfId="97" xr:uid="{00000000-0005-0000-0000-000087190000}"/>
    <cellStyle name="Итог 2 2" xfId="164" xr:uid="{00000000-0005-0000-0000-000088190000}"/>
    <cellStyle name="Итог 2 2 10" xfId="3222" xr:uid="{00000000-0005-0000-0000-000089190000}"/>
    <cellStyle name="Итог 2 2 2" xfId="225" xr:uid="{00000000-0005-0000-0000-00008A190000}"/>
    <cellStyle name="Итог 2 2 2 10" xfId="643" xr:uid="{00000000-0005-0000-0000-00008B190000}"/>
    <cellStyle name="Итог 2 2 2 10 2" xfId="1475" xr:uid="{00000000-0005-0000-0000-00008C190000}"/>
    <cellStyle name="Итог 2 2 2 10 2 2" xfId="21468" xr:uid="{00000000-0005-0000-0000-00008D190000}"/>
    <cellStyle name="Итог 2 2 2 10 2 2 2" xfId="38110" xr:uid="{A973C410-661F-4423-99BA-E8E6C7CDDF7F}"/>
    <cellStyle name="Итог 2 2 2 10 2 3" xfId="6231" xr:uid="{00000000-0005-0000-0000-00008E190000}"/>
    <cellStyle name="Итог 2 2 2 10 2 4" xfId="24018" xr:uid="{027F839A-12F5-455B-B45E-FA6AB5C7A264}"/>
    <cellStyle name="Итог 2 2 2 10 3" xfId="1848" xr:uid="{00000000-0005-0000-0000-00008F190000}"/>
    <cellStyle name="Итог 2 2 2 10 3 2" xfId="22090" xr:uid="{00000000-0005-0000-0000-000090190000}"/>
    <cellStyle name="Итог 2 2 2 10 3 2 2" xfId="38700" xr:uid="{0C29E5E7-AB8E-46BA-B4AB-ECB2C6DFE34D}"/>
    <cellStyle name="Итог 2 2 2 10 3 3" xfId="7000" xr:uid="{00000000-0005-0000-0000-000091190000}"/>
    <cellStyle name="Итог 2 2 2 10 3 4" xfId="24627" xr:uid="{87670C48-E452-4F47-9064-CB69CAD1698D}"/>
    <cellStyle name="Итог 2 2 2 10 4" xfId="2748" xr:uid="{00000000-0005-0000-0000-000092190000}"/>
    <cellStyle name="Итог 2 2 2 10 4 2" xfId="23000" xr:uid="{00000000-0005-0000-0000-000093190000}"/>
    <cellStyle name="Итог 2 2 2 10 4 3" xfId="39466" xr:uid="{86D7DBDB-6F17-4868-9D48-A9ECE9C26A16}"/>
    <cellStyle name="Итог 2 2 2 10 5" xfId="3636" xr:uid="{00000000-0005-0000-0000-000094190000}"/>
    <cellStyle name="Итог 2 2 2 10 5 2" xfId="20892" xr:uid="{00000000-0005-0000-0000-000095190000}"/>
    <cellStyle name="Итог 2 2 2 10 5 3" xfId="37682" xr:uid="{C9C0A7AD-0609-4D6F-820B-CCC903D14F58}"/>
    <cellStyle name="Итог 2 2 2 10 6" xfId="4203" xr:uid="{00000000-0005-0000-0000-000096190000}"/>
    <cellStyle name="Итог 2 2 2 10 7" xfId="4725" xr:uid="{00000000-0005-0000-0000-000097190000}"/>
    <cellStyle name="Итог 2 2 2 10 8" xfId="5207" xr:uid="{00000000-0005-0000-0000-000098190000}"/>
    <cellStyle name="Итог 2 2 2 11" xfId="946" xr:uid="{00000000-0005-0000-0000-000099190000}"/>
    <cellStyle name="Итог 2 2 2 11 2" xfId="2140" xr:uid="{00000000-0005-0000-0000-00009A190000}"/>
    <cellStyle name="Итог 2 2 2 11 2 2" xfId="21792" xr:uid="{00000000-0005-0000-0000-00009B190000}"/>
    <cellStyle name="Итог 2 2 2 11 2 2 2" xfId="38402" xr:uid="{65E1DEF3-D614-4AE1-A75C-2F0935ED144F}"/>
    <cellStyle name="Итог 2 2 2 11 2 3" xfId="5864" xr:uid="{00000000-0005-0000-0000-00009C190000}"/>
    <cellStyle name="Итог 2 2 2 11 2 4" xfId="23720" xr:uid="{7C79C54C-D967-4C65-8496-83E52F15CF2A}"/>
    <cellStyle name="Итог 2 2 2 11 3" xfId="2497" xr:uid="{00000000-0005-0000-0000-00009D190000}"/>
    <cellStyle name="Итог 2 2 2 11 3 2" xfId="22828" xr:uid="{00000000-0005-0000-0000-00009E190000}"/>
    <cellStyle name="Итог 2 2 2 11 3 2 2" xfId="39294" xr:uid="{BD644832-B2E8-4A20-B59F-920DAF92DE77}"/>
    <cellStyle name="Итог 2 2 2 11 3 3" xfId="6708" xr:uid="{00000000-0005-0000-0000-00009F190000}"/>
    <cellStyle name="Итог 2 2 2 11 3 4" xfId="24335" xr:uid="{CD946824-CC8A-4B95-983F-D5F7A02D4180}"/>
    <cellStyle name="Итог 2 2 2 11 4" xfId="3401" xr:uid="{00000000-0005-0000-0000-0000A0190000}"/>
    <cellStyle name="Итог 2 2 2 11 4 2" xfId="21088" xr:uid="{00000000-0005-0000-0000-0000A1190000}"/>
    <cellStyle name="Итог 2 2 2 11 4 3" xfId="37812" xr:uid="{21130F5C-5BEF-489B-A5F3-3CD101D2758F}"/>
    <cellStyle name="Итог 2 2 2 11 5" xfId="3374" xr:uid="{00000000-0005-0000-0000-0000A2190000}"/>
    <cellStyle name="Итог 2 2 2 11 6" xfId="3211" xr:uid="{00000000-0005-0000-0000-0000A3190000}"/>
    <cellStyle name="Итог 2 2 2 11 7" xfId="3811" xr:uid="{00000000-0005-0000-0000-0000A4190000}"/>
    <cellStyle name="Итог 2 2 2 12" xfId="2284" xr:uid="{00000000-0005-0000-0000-0000A5190000}"/>
    <cellStyle name="Итог 2 2 2 12 2" xfId="20957" xr:uid="{00000000-0005-0000-0000-0000A6190000}"/>
    <cellStyle name="Итог 2 2 2 12 2 2" xfId="37734" xr:uid="{F25087F4-86D0-4028-9D0C-C91AC5B25124}"/>
    <cellStyle name="Итог 2 2 2 12 3" xfId="5690" xr:uid="{00000000-0005-0000-0000-0000A7190000}"/>
    <cellStyle name="Итог 2 2 2 12 4" xfId="23639" xr:uid="{D387179C-F0C3-4306-9ED7-F75D2B5FECCB}"/>
    <cellStyle name="Итог 2 2 2 13" xfId="2423" xr:uid="{00000000-0005-0000-0000-0000A8190000}"/>
    <cellStyle name="Итог 2 2 2 13 2" xfId="21714" xr:uid="{00000000-0005-0000-0000-0000A9190000}"/>
    <cellStyle name="Итог 2 2 2 13 2 2" xfId="38324" xr:uid="{C149211B-3FF2-4CE3-BED0-B9A2B969D6EF}"/>
    <cellStyle name="Итог 2 2 2 13 3" xfId="6632" xr:uid="{00000000-0005-0000-0000-0000AA190000}"/>
    <cellStyle name="Итог 2 2 2 13 4" xfId="24259" xr:uid="{66495AAB-477F-4A07-B5E3-7E93B96550C7}"/>
    <cellStyle name="Итог 2 2 2 14" xfId="3373" xr:uid="{00000000-0005-0000-0000-0000AB190000}"/>
    <cellStyle name="Итог 2 2 2 14 2" xfId="22678" xr:uid="{00000000-0005-0000-0000-0000AC190000}"/>
    <cellStyle name="Итог 2 2 2 14 3" xfId="39150" xr:uid="{7B093C40-6CD4-452C-AEAB-7634042C72A5}"/>
    <cellStyle name="Итог 2 2 2 15" xfId="3055" xr:uid="{00000000-0005-0000-0000-0000AD190000}"/>
    <cellStyle name="Итог 2 2 2 15 2" xfId="7482" xr:uid="{00000000-0005-0000-0000-0000AE190000}"/>
    <cellStyle name="Итог 2 2 2 15 3" xfId="24884" xr:uid="{19DDE574-3989-4B22-A59D-DCB431964271}"/>
    <cellStyle name="Итог 2 2 2 16" xfId="3833" xr:uid="{00000000-0005-0000-0000-0000AF190000}"/>
    <cellStyle name="Итог 2 2 2 17" xfId="2994" xr:uid="{00000000-0005-0000-0000-0000B0190000}"/>
    <cellStyle name="Итог 2 2 2 2" xfId="315" xr:uid="{00000000-0005-0000-0000-0000B1190000}"/>
    <cellStyle name="Итог 2 2 2 2 2" xfId="1018" xr:uid="{00000000-0005-0000-0000-0000B2190000}"/>
    <cellStyle name="Итог 2 2 2 2 2 2" xfId="21169" xr:uid="{00000000-0005-0000-0000-0000B3190000}"/>
    <cellStyle name="Итог 2 2 2 2 2 2 2" xfId="37851" xr:uid="{40FC0A5D-95C0-44C3-B55A-598756AF8B39}"/>
    <cellStyle name="Итог 2 2 2 2 2 3" xfId="5946" xr:uid="{00000000-0005-0000-0000-0000B4190000}"/>
    <cellStyle name="Итог 2 2 2 2 2 4" xfId="23759" xr:uid="{9B139A44-C804-4FE8-8D1D-866E4D890917}"/>
    <cellStyle name="Итог 2 2 2 2 3" xfId="2091" xr:uid="{00000000-0005-0000-0000-0000B5190000}"/>
    <cellStyle name="Итог 2 2 2 2 3 2" xfId="21831" xr:uid="{00000000-0005-0000-0000-0000B6190000}"/>
    <cellStyle name="Итог 2 2 2 2 3 2 2" xfId="38441" xr:uid="{3D801037-5540-4799-A3C7-168F94D7D32F}"/>
    <cellStyle name="Итог 2 2 2 2 3 3" xfId="6745" xr:uid="{00000000-0005-0000-0000-0000B7190000}"/>
    <cellStyle name="Итог 2 2 2 2 3 4" xfId="24372" xr:uid="{EAE41789-1393-473D-B8DD-5A05E9F4CF57}"/>
    <cellStyle name="Итог 2 2 2 2 4" xfId="2470" xr:uid="{00000000-0005-0000-0000-0000B8190000}"/>
    <cellStyle name="Итог 2 2 2 2 4 2" xfId="22674" xr:uid="{00000000-0005-0000-0000-0000B9190000}"/>
    <cellStyle name="Итог 2 2 2 2 4 3" xfId="39146" xr:uid="{C230262B-3749-4E67-B4A8-BD9E79E26987}"/>
    <cellStyle name="Итог 2 2 2 2 5" xfId="3033" xr:uid="{00000000-0005-0000-0000-0000BA190000}"/>
    <cellStyle name="Итог 2 2 2 2 5 2" xfId="14064" xr:uid="{00000000-0005-0000-0000-0000BB190000}"/>
    <cellStyle name="Итог 2 2 2 2 5 3" xfId="31103" xr:uid="{E9388280-4CDA-4045-832C-61004EE33577}"/>
    <cellStyle name="Итог 2 2 2 2 6" xfId="3925" xr:uid="{00000000-0005-0000-0000-0000BC190000}"/>
    <cellStyle name="Итог 2 2 2 2 7" xfId="4458" xr:uid="{00000000-0005-0000-0000-0000BD190000}"/>
    <cellStyle name="Итог 2 2 2 2 8" xfId="4952" xr:uid="{00000000-0005-0000-0000-0000BE190000}"/>
    <cellStyle name="Итог 2 2 2 3" xfId="446" xr:uid="{00000000-0005-0000-0000-0000BF190000}"/>
    <cellStyle name="Итог 2 2 2 3 2" xfId="1278" xr:uid="{00000000-0005-0000-0000-0000C0190000}"/>
    <cellStyle name="Итог 2 2 2 3 2 2" xfId="21271" xr:uid="{00000000-0005-0000-0000-0000C1190000}"/>
    <cellStyle name="Итог 2 2 2 3 2 2 2" xfId="37913" xr:uid="{2E52DACD-15E6-4EFA-8210-2A63735FB789}"/>
    <cellStyle name="Итог 2 2 2 3 2 3" xfId="6034" xr:uid="{00000000-0005-0000-0000-0000C2190000}"/>
    <cellStyle name="Итог 2 2 2 3 2 4" xfId="23821" xr:uid="{A10AAF05-36AA-429E-80E8-9CA1C3CDA337}"/>
    <cellStyle name="Итог 2 2 2 3 3" xfId="2083" xr:uid="{00000000-0005-0000-0000-0000C3190000}"/>
    <cellStyle name="Итог 2 2 2 3 3 2" xfId="21893" xr:uid="{00000000-0005-0000-0000-0000C4190000}"/>
    <cellStyle name="Итог 2 2 2 3 3 2 2" xfId="38503" xr:uid="{0FEFD2B1-392E-4535-B045-C1203E2C5FF7}"/>
    <cellStyle name="Итог 2 2 2 3 3 3" xfId="6804" xr:uid="{00000000-0005-0000-0000-0000C5190000}"/>
    <cellStyle name="Итог 2 2 2 3 3 4" xfId="24431" xr:uid="{28F80EB8-CA2D-45F6-BFBD-3E4041B5FC1A}"/>
    <cellStyle name="Итог 2 2 2 3 4" xfId="2871" xr:uid="{00000000-0005-0000-0000-0000C6190000}"/>
    <cellStyle name="Итог 2 2 2 3 4 2" xfId="22643" xr:uid="{00000000-0005-0000-0000-0000C7190000}"/>
    <cellStyle name="Итог 2 2 2 3 4 3" xfId="39115" xr:uid="{45BDE10F-DACA-4281-A444-FBF66F26FBC3}"/>
    <cellStyle name="Итог 2 2 2 3 5" xfId="3787" xr:uid="{00000000-0005-0000-0000-0000C8190000}"/>
    <cellStyle name="Итог 2 2 2 3 5 2" xfId="20408" xr:uid="{00000000-0005-0000-0000-0000C9190000}"/>
    <cellStyle name="Итог 2 2 2 3 5 3" xfId="37323" xr:uid="{2A5F2536-7907-4425-ABEC-220B63A45DDA}"/>
    <cellStyle name="Итог 2 2 2 3 6" xfId="4007" xr:uid="{00000000-0005-0000-0000-0000CA190000}"/>
    <cellStyle name="Итог 2 2 2 3 7" xfId="4529" xr:uid="{00000000-0005-0000-0000-0000CB190000}"/>
    <cellStyle name="Итог 2 2 2 3 8" xfId="5011" xr:uid="{00000000-0005-0000-0000-0000CC190000}"/>
    <cellStyle name="Итог 2 2 2 4" xfId="492" xr:uid="{00000000-0005-0000-0000-0000CD190000}"/>
    <cellStyle name="Итог 2 2 2 4 2" xfId="1324" xr:uid="{00000000-0005-0000-0000-0000CE190000}"/>
    <cellStyle name="Итог 2 2 2 4 2 2" xfId="21317" xr:uid="{00000000-0005-0000-0000-0000CF190000}"/>
    <cellStyle name="Итог 2 2 2 4 2 2 2" xfId="37959" xr:uid="{4B9E8141-DF2C-4C68-A9DE-A9384C4EEFCA}"/>
    <cellStyle name="Итог 2 2 2 4 2 3" xfId="6080" xr:uid="{00000000-0005-0000-0000-0000D0190000}"/>
    <cellStyle name="Итог 2 2 2 4 2 4" xfId="23867" xr:uid="{F52A18F1-D128-4E76-9736-8EA7E6F5E319}"/>
    <cellStyle name="Итог 2 2 2 4 3" xfId="2096" xr:uid="{00000000-0005-0000-0000-0000D1190000}"/>
    <cellStyle name="Итог 2 2 2 4 3 2" xfId="21939" xr:uid="{00000000-0005-0000-0000-0000D2190000}"/>
    <cellStyle name="Итог 2 2 2 4 3 2 2" xfId="38549" xr:uid="{B64E049B-C6AA-44F6-B44F-B4067EC0465D}"/>
    <cellStyle name="Итог 2 2 2 4 3 3" xfId="6849" xr:uid="{00000000-0005-0000-0000-0000D3190000}"/>
    <cellStyle name="Итог 2 2 2 4 3 4" xfId="24476" xr:uid="{EC77572D-B3FA-4AC8-BA48-8AEC4F2F4DE1}"/>
    <cellStyle name="Итог 2 2 2 4 4" xfId="2836" xr:uid="{00000000-0005-0000-0000-0000D4190000}"/>
    <cellStyle name="Итог 2 2 2 4 4 2" xfId="22716" xr:uid="{00000000-0005-0000-0000-0000D5190000}"/>
    <cellStyle name="Итог 2 2 2 4 4 3" xfId="39185" xr:uid="{F14800D9-50D7-4EB8-A13E-AC5586BBC44C}"/>
    <cellStyle name="Итог 2 2 2 4 5" xfId="3765" xr:uid="{00000000-0005-0000-0000-0000D6190000}"/>
    <cellStyle name="Итог 2 2 2 4 5 2" xfId="20478" xr:uid="{00000000-0005-0000-0000-0000D7190000}"/>
    <cellStyle name="Итог 2 2 2 4 5 3" xfId="37370" xr:uid="{DC405CFE-C8A7-40CA-9CCA-5083EC20555D}"/>
    <cellStyle name="Итог 2 2 2 4 6" xfId="4052" xr:uid="{00000000-0005-0000-0000-0000D8190000}"/>
    <cellStyle name="Итог 2 2 2 4 7" xfId="4574" xr:uid="{00000000-0005-0000-0000-0000D9190000}"/>
    <cellStyle name="Итог 2 2 2 4 8" xfId="5056" xr:uid="{00000000-0005-0000-0000-0000DA190000}"/>
    <cellStyle name="Итог 2 2 2 5" xfId="544" xr:uid="{00000000-0005-0000-0000-0000DB190000}"/>
    <cellStyle name="Итог 2 2 2 5 2" xfId="1376" xr:uid="{00000000-0005-0000-0000-0000DC190000}"/>
    <cellStyle name="Итог 2 2 2 5 2 2" xfId="21369" xr:uid="{00000000-0005-0000-0000-0000DD190000}"/>
    <cellStyle name="Итог 2 2 2 5 2 2 2" xfId="38011" xr:uid="{1E0C313E-A1A8-4FA3-A070-33EB6C67547E}"/>
    <cellStyle name="Итог 2 2 2 5 2 3" xfId="6132" xr:uid="{00000000-0005-0000-0000-0000DE190000}"/>
    <cellStyle name="Итог 2 2 2 5 2 4" xfId="23919" xr:uid="{BD1DAFB2-A630-4364-9D73-1C9AF8D07710}"/>
    <cellStyle name="Итог 2 2 2 5 3" xfId="2125" xr:uid="{00000000-0005-0000-0000-0000DF190000}"/>
    <cellStyle name="Итог 2 2 2 5 3 2" xfId="21991" xr:uid="{00000000-0005-0000-0000-0000E0190000}"/>
    <cellStyle name="Итог 2 2 2 5 3 2 2" xfId="38601" xr:uid="{AF6EC387-8862-4884-9F6A-D4964CAB698E}"/>
    <cellStyle name="Итог 2 2 2 5 3 3" xfId="6901" xr:uid="{00000000-0005-0000-0000-0000E1190000}"/>
    <cellStyle name="Итог 2 2 2 5 3 4" xfId="24528" xr:uid="{8348EEBA-433B-4F4F-AD12-8BE44725F6D9}"/>
    <cellStyle name="Итог 2 2 2 5 4" xfId="2364" xr:uid="{00000000-0005-0000-0000-0000E2190000}"/>
    <cellStyle name="Итог 2 2 2 5 4 2" xfId="22622" xr:uid="{00000000-0005-0000-0000-0000E3190000}"/>
    <cellStyle name="Итог 2 2 2 5 4 3" xfId="39096" xr:uid="{8D6B92AC-3A9D-40AE-8C35-6B9A2466C3C8}"/>
    <cellStyle name="Итог 2 2 2 5 5" xfId="3101" xr:uid="{00000000-0005-0000-0000-0000E4190000}"/>
    <cellStyle name="Итог 2 2 2 5 5 2" xfId="20588" xr:uid="{00000000-0005-0000-0000-0000E5190000}"/>
    <cellStyle name="Итог 2 2 2 5 5 3" xfId="37436" xr:uid="{341FAB13-AAF7-4762-BE83-B79249802833}"/>
    <cellStyle name="Итог 2 2 2 5 6" xfId="4104" xr:uid="{00000000-0005-0000-0000-0000E6190000}"/>
    <cellStyle name="Итог 2 2 2 5 7" xfId="4626" xr:uid="{00000000-0005-0000-0000-0000E7190000}"/>
    <cellStyle name="Итог 2 2 2 5 8" xfId="5108" xr:uid="{00000000-0005-0000-0000-0000E8190000}"/>
    <cellStyle name="Итог 2 2 2 6" xfId="596" xr:uid="{00000000-0005-0000-0000-0000E9190000}"/>
    <cellStyle name="Итог 2 2 2 6 2" xfId="1428" xr:uid="{00000000-0005-0000-0000-0000EA190000}"/>
    <cellStyle name="Итог 2 2 2 6 2 2" xfId="21421" xr:uid="{00000000-0005-0000-0000-0000EB190000}"/>
    <cellStyle name="Итог 2 2 2 6 2 2 2" xfId="38063" xr:uid="{48A74CD4-B5EE-4247-93AC-02E0BF7FDD22}"/>
    <cellStyle name="Итог 2 2 2 6 2 3" xfId="6184" xr:uid="{00000000-0005-0000-0000-0000EC190000}"/>
    <cellStyle name="Итог 2 2 2 6 2 4" xfId="23971" xr:uid="{BDB24CDA-0F4C-484C-BEE4-3D8C16CD4E12}"/>
    <cellStyle name="Итог 2 2 2 6 3" xfId="1999" xr:uid="{00000000-0005-0000-0000-0000ED190000}"/>
    <cellStyle name="Итог 2 2 2 6 3 2" xfId="22043" xr:uid="{00000000-0005-0000-0000-0000EE190000}"/>
    <cellStyle name="Итог 2 2 2 6 3 2 2" xfId="38653" xr:uid="{C86E4CD2-23D7-4906-A4CC-4C61A180CD26}"/>
    <cellStyle name="Итог 2 2 2 6 3 3" xfId="6953" xr:uid="{00000000-0005-0000-0000-0000EF190000}"/>
    <cellStyle name="Итог 2 2 2 6 3 4" xfId="24580" xr:uid="{C09CC47C-3073-455A-922B-8EAC423FC182}"/>
    <cellStyle name="Итог 2 2 2 6 4" xfId="2785" xr:uid="{00000000-0005-0000-0000-0000F0190000}"/>
    <cellStyle name="Итог 2 2 2 6 4 2" xfId="22984" xr:uid="{00000000-0005-0000-0000-0000F1190000}"/>
    <cellStyle name="Итог 2 2 2 6 4 3" xfId="39450" xr:uid="{E7278C9C-1666-4539-BD4D-875F00EE22F3}"/>
    <cellStyle name="Итог 2 2 2 6 5" xfId="3707" xr:uid="{00000000-0005-0000-0000-0000F2190000}"/>
    <cellStyle name="Итог 2 2 2 6 5 2" xfId="20632" xr:uid="{00000000-0005-0000-0000-0000F3190000}"/>
    <cellStyle name="Итог 2 2 2 6 5 3" xfId="37474" xr:uid="{9F2C5899-B3DC-4752-BD95-05A9E4D8FFDA}"/>
    <cellStyle name="Итог 2 2 2 6 6" xfId="4156" xr:uid="{00000000-0005-0000-0000-0000F4190000}"/>
    <cellStyle name="Итог 2 2 2 6 7" xfId="4678" xr:uid="{00000000-0005-0000-0000-0000F5190000}"/>
    <cellStyle name="Итог 2 2 2 6 8" xfId="5160" xr:uid="{00000000-0005-0000-0000-0000F6190000}"/>
    <cellStyle name="Итог 2 2 2 7" xfId="695" xr:uid="{00000000-0005-0000-0000-0000F7190000}"/>
    <cellStyle name="Итог 2 2 2 7 2" xfId="1525" xr:uid="{00000000-0005-0000-0000-0000F8190000}"/>
    <cellStyle name="Итог 2 2 2 7 2 2" xfId="21518" xr:uid="{00000000-0005-0000-0000-0000F9190000}"/>
    <cellStyle name="Итог 2 2 2 7 2 2 2" xfId="38160" xr:uid="{0B8314C4-E521-4A6A-B65F-287D832749E4}"/>
    <cellStyle name="Итог 2 2 2 7 2 3" xfId="6281" xr:uid="{00000000-0005-0000-0000-0000FA190000}"/>
    <cellStyle name="Итог 2 2 2 7 2 4" xfId="24068" xr:uid="{831FCF3E-9C87-43D3-B834-CDADD2406CC4}"/>
    <cellStyle name="Итог 2 2 2 7 3" xfId="1720" xr:uid="{00000000-0005-0000-0000-0000FB190000}"/>
    <cellStyle name="Итог 2 2 2 7 3 2" xfId="22140" xr:uid="{00000000-0005-0000-0000-0000FC190000}"/>
    <cellStyle name="Итог 2 2 2 7 3 2 2" xfId="38750" xr:uid="{0310DE4D-C6AF-48B9-A50D-10462D38A18C}"/>
    <cellStyle name="Итог 2 2 2 7 3 3" xfId="7050" xr:uid="{00000000-0005-0000-0000-0000FD190000}"/>
    <cellStyle name="Итог 2 2 2 7 3 4" xfId="24677" xr:uid="{514C303C-53EA-4A6F-9438-D192A272778D}"/>
    <cellStyle name="Итог 2 2 2 7 4" xfId="2389" xr:uid="{00000000-0005-0000-0000-0000FE190000}"/>
    <cellStyle name="Итог 2 2 2 7 4 2" xfId="22723" xr:uid="{00000000-0005-0000-0000-0000FF190000}"/>
    <cellStyle name="Итог 2 2 2 7 4 3" xfId="39192" xr:uid="{E98C3ABA-28AA-456C-BC5B-C95A8D6C2E47}"/>
    <cellStyle name="Итог 2 2 2 7 5" xfId="3711" xr:uid="{00000000-0005-0000-0000-0000001A0000}"/>
    <cellStyle name="Итог 2 2 2 7 5 2" xfId="20697" xr:uid="{00000000-0005-0000-0000-0000011A0000}"/>
    <cellStyle name="Итог 2 2 2 7 5 3" xfId="37526" xr:uid="{DD8B8299-93A6-4848-A50E-A191F7EB9CF8}"/>
    <cellStyle name="Итог 2 2 2 7 6" xfId="4254" xr:uid="{00000000-0005-0000-0000-0000021A0000}"/>
    <cellStyle name="Итог 2 2 2 7 7" xfId="4776" xr:uid="{00000000-0005-0000-0000-0000031A0000}"/>
    <cellStyle name="Итог 2 2 2 7 8" xfId="5257" xr:uid="{00000000-0005-0000-0000-0000041A0000}"/>
    <cellStyle name="Итог 2 2 2 8" xfId="738" xr:uid="{00000000-0005-0000-0000-0000051A0000}"/>
    <cellStyle name="Итог 2 2 2 8 2" xfId="1568" xr:uid="{00000000-0005-0000-0000-0000061A0000}"/>
    <cellStyle name="Итог 2 2 2 8 2 2" xfId="21561" xr:uid="{00000000-0005-0000-0000-0000071A0000}"/>
    <cellStyle name="Итог 2 2 2 8 2 2 2" xfId="38203" xr:uid="{1E023094-100D-4F3F-8CA2-EBD32451A227}"/>
    <cellStyle name="Итог 2 2 2 8 2 3" xfId="6324" xr:uid="{00000000-0005-0000-0000-0000081A0000}"/>
    <cellStyle name="Итог 2 2 2 8 2 4" xfId="24111" xr:uid="{752BCB44-B34A-413C-9DF4-C87244D7D635}"/>
    <cellStyle name="Итог 2 2 2 8 3" xfId="2301" xr:uid="{00000000-0005-0000-0000-0000091A0000}"/>
    <cellStyle name="Итог 2 2 2 8 3 2" xfId="22183" xr:uid="{00000000-0005-0000-0000-00000A1A0000}"/>
    <cellStyle name="Итог 2 2 2 8 3 2 2" xfId="38793" xr:uid="{6C30DEE8-710E-4F85-A8A5-82F5923A4AED}"/>
    <cellStyle name="Итог 2 2 2 8 3 3" xfId="7093" xr:uid="{00000000-0005-0000-0000-00000B1A0000}"/>
    <cellStyle name="Итог 2 2 2 8 3 4" xfId="24720" xr:uid="{D078CAEE-0705-4308-A1DD-D6272409C465}"/>
    <cellStyle name="Итог 2 2 2 8 4" xfId="2646" xr:uid="{00000000-0005-0000-0000-00000C1A0000}"/>
    <cellStyle name="Итог 2 2 2 8 4 2" xfId="22527" xr:uid="{00000000-0005-0000-0000-00000D1A0000}"/>
    <cellStyle name="Итог 2 2 2 8 4 3" xfId="39006" xr:uid="{961D9D0D-5A3C-4029-B1BC-19852944AD72}"/>
    <cellStyle name="Итог 2 2 2 8 5" xfId="2968" xr:uid="{00000000-0005-0000-0000-00000E1A0000}"/>
    <cellStyle name="Итог 2 2 2 8 5 2" xfId="20762" xr:uid="{00000000-0005-0000-0000-00000F1A0000}"/>
    <cellStyle name="Итог 2 2 2 8 5 3" xfId="37578" xr:uid="{1DFE61DA-6A0E-4F42-9E03-1588F8620E3B}"/>
    <cellStyle name="Итог 2 2 2 8 6" xfId="4297" xr:uid="{00000000-0005-0000-0000-0000101A0000}"/>
    <cellStyle name="Итог 2 2 2 8 7" xfId="4819" xr:uid="{00000000-0005-0000-0000-0000111A0000}"/>
    <cellStyle name="Итог 2 2 2 8 8" xfId="5300" xr:uid="{00000000-0005-0000-0000-0000121A0000}"/>
    <cellStyle name="Итог 2 2 2 9" xfId="653" xr:uid="{00000000-0005-0000-0000-0000131A0000}"/>
    <cellStyle name="Итог 2 2 2 9 2" xfId="1485" xr:uid="{00000000-0005-0000-0000-0000141A0000}"/>
    <cellStyle name="Итог 2 2 2 9 2 2" xfId="21478" xr:uid="{00000000-0005-0000-0000-0000151A0000}"/>
    <cellStyle name="Итог 2 2 2 9 2 2 2" xfId="38120" xr:uid="{B0ADBA0E-1DE4-4BFD-8677-58D5B97F6E77}"/>
    <cellStyle name="Итог 2 2 2 9 2 3" xfId="6241" xr:uid="{00000000-0005-0000-0000-0000161A0000}"/>
    <cellStyle name="Итог 2 2 2 9 2 4" xfId="24028" xr:uid="{88D79F21-428E-4484-9FFE-6DB83F56BCEE}"/>
    <cellStyle name="Итог 2 2 2 9 3" xfId="2264" xr:uid="{00000000-0005-0000-0000-0000171A0000}"/>
    <cellStyle name="Итог 2 2 2 9 3 2" xfId="22100" xr:uid="{00000000-0005-0000-0000-0000181A0000}"/>
    <cellStyle name="Итог 2 2 2 9 3 2 2" xfId="38710" xr:uid="{415FCD70-7D2E-4C24-848B-0456478AD5E5}"/>
    <cellStyle name="Итог 2 2 2 9 3 3" xfId="7010" xr:uid="{00000000-0005-0000-0000-0000191A0000}"/>
    <cellStyle name="Итог 2 2 2 9 3 4" xfId="24637" xr:uid="{F5A98E00-2790-42AC-A9EC-A6AD435AFBBF}"/>
    <cellStyle name="Итог 2 2 2 9 4" xfId="2705" xr:uid="{00000000-0005-0000-0000-00001A1A0000}"/>
    <cellStyle name="Итог 2 2 2 9 4 2" xfId="22702" xr:uid="{00000000-0005-0000-0000-00001B1A0000}"/>
    <cellStyle name="Итог 2 2 2 9 4 3" xfId="39173" xr:uid="{A31B67B3-70D4-4E8B-8F26-9D18B9071DCD}"/>
    <cellStyle name="Итог 2 2 2 9 5" xfId="3824" xr:uid="{00000000-0005-0000-0000-00001C1A0000}"/>
    <cellStyle name="Итог 2 2 2 9 5 2" xfId="20827" xr:uid="{00000000-0005-0000-0000-00001D1A0000}"/>
    <cellStyle name="Итог 2 2 2 9 5 3" xfId="37630" xr:uid="{5B3F9F1E-3E22-48E9-B5AE-BF8ED159DDAF}"/>
    <cellStyle name="Итог 2 2 2 9 6" xfId="4213" xr:uid="{00000000-0005-0000-0000-00001E1A0000}"/>
    <cellStyle name="Итог 2 2 2 9 7" xfId="4735" xr:uid="{00000000-0005-0000-0000-00001F1A0000}"/>
    <cellStyle name="Итог 2 2 2 9 8" xfId="5217" xr:uid="{00000000-0005-0000-0000-0000201A0000}"/>
    <cellStyle name="Итог 2 2 3" xfId="364" xr:uid="{00000000-0005-0000-0000-0000211A0000}"/>
    <cellStyle name="Итог 2 2 3 10" xfId="987" xr:uid="{00000000-0005-0000-0000-0000221A0000}"/>
    <cellStyle name="Итог 2 2 3 10 2" xfId="2110" xr:uid="{00000000-0005-0000-0000-0000231A0000}"/>
    <cellStyle name="Итог 2 2 3 10 2 2" xfId="21853" xr:uid="{00000000-0005-0000-0000-0000241A0000}"/>
    <cellStyle name="Итог 2 2 3 10 2 2 2" xfId="38463" xr:uid="{580A988D-FD31-4B22-89D7-6DE4834AA353}"/>
    <cellStyle name="Итог 2 2 3 10 2 3" xfId="5993" xr:uid="{00000000-0005-0000-0000-0000251A0000}"/>
    <cellStyle name="Итог 2 2 3 10 2 4" xfId="23781" xr:uid="{EF4577E9-5C06-4BBD-ABAA-546F1E098DC3}"/>
    <cellStyle name="Итог 2 2 3 10 3" xfId="2886" xr:uid="{00000000-0005-0000-0000-0000261A0000}"/>
    <cellStyle name="Итог 2 2 3 10 3 2" xfId="22762" xr:uid="{00000000-0005-0000-0000-0000271A0000}"/>
    <cellStyle name="Итог 2 2 3 10 3 2 2" xfId="39231" xr:uid="{A901024A-8F8D-4A3C-967C-2340984B8002}"/>
    <cellStyle name="Итог 2 2 3 10 3 3" xfId="6767" xr:uid="{00000000-0005-0000-0000-0000281A0000}"/>
    <cellStyle name="Итог 2 2 3 10 3 4" xfId="24394" xr:uid="{3CAA8A63-A7B1-4847-B506-A56F6CB890A2}"/>
    <cellStyle name="Итог 2 2 3 10 4" xfId="3343" xr:uid="{00000000-0005-0000-0000-0000291A0000}"/>
    <cellStyle name="Итог 2 2 3 10 4 2" xfId="21212" xr:uid="{00000000-0005-0000-0000-00002A1A0000}"/>
    <cellStyle name="Итог 2 2 3 10 4 3" xfId="37873" xr:uid="{0108C720-103E-4234-871B-9003346DA114}"/>
    <cellStyle name="Итог 2 2 3 10 5" xfId="3957" xr:uid="{00000000-0005-0000-0000-00002B1A0000}"/>
    <cellStyle name="Итог 2 2 3 10 6" xfId="4485" xr:uid="{00000000-0005-0000-0000-00002C1A0000}"/>
    <cellStyle name="Итог 2 2 3 10 7" xfId="4974" xr:uid="{00000000-0005-0000-0000-00002D1A0000}"/>
    <cellStyle name="Итог 2 2 3 11" xfId="1731" xr:uid="{00000000-0005-0000-0000-00002E1A0000}"/>
    <cellStyle name="Итог 2 2 3 11 2" xfId="20979" xr:uid="{00000000-0005-0000-0000-00002F1A0000}"/>
    <cellStyle name="Итог 2 2 3 11 2 2" xfId="37756" xr:uid="{FBB68EAA-DF68-45B3-BB90-96ABEB46EA74}"/>
    <cellStyle name="Итог 2 2 3 11 3" xfId="5737" xr:uid="{00000000-0005-0000-0000-0000301A0000}"/>
    <cellStyle name="Итог 2 2 3 11 4" xfId="23661" xr:uid="{FFAD2F0E-8A8B-4694-B1C8-2E659CDC4286}"/>
    <cellStyle name="Итог 2 2 3 12" xfId="2422" xr:uid="{00000000-0005-0000-0000-0000311A0000}"/>
    <cellStyle name="Итог 2 2 3 12 2" xfId="21736" xr:uid="{00000000-0005-0000-0000-0000321A0000}"/>
    <cellStyle name="Итог 2 2 3 12 2 2" xfId="38346" xr:uid="{DB49E68C-F610-456C-9047-F0DC485C2809}"/>
    <cellStyle name="Итог 2 2 3 12 3" xfId="6654" xr:uid="{00000000-0005-0000-0000-0000331A0000}"/>
    <cellStyle name="Итог 2 2 3 12 4" xfId="24281" xr:uid="{A149875C-CC93-4F73-8246-0738F4461423}"/>
    <cellStyle name="Итог 2 2 3 13" xfId="3077" xr:uid="{00000000-0005-0000-0000-0000341A0000}"/>
    <cellStyle name="Итог 2 2 3 13 2" xfId="22561" xr:uid="{00000000-0005-0000-0000-0000351A0000}"/>
    <cellStyle name="Итог 2 2 3 13 3" xfId="39039" xr:uid="{34B034D7-9C5B-4A4C-9591-F93747CDA42C}"/>
    <cellStyle name="Итог 2 2 3 14" xfId="3489" xr:uid="{00000000-0005-0000-0000-0000361A0000}"/>
    <cellStyle name="Итог 2 2 3 14 2" xfId="14033" xr:uid="{00000000-0005-0000-0000-0000371A0000}"/>
    <cellStyle name="Итог 2 2 3 14 3" xfId="31072" xr:uid="{1193CC46-0847-4D09-BECB-3ED3BF528AC6}"/>
    <cellStyle name="Итог 2 2 3 15" xfId="3150" xr:uid="{00000000-0005-0000-0000-0000381A0000}"/>
    <cellStyle name="Итог 2 2 3 16" xfId="3155" xr:uid="{00000000-0005-0000-0000-0000391A0000}"/>
    <cellStyle name="Итог 2 2 3 2" xfId="469" xr:uid="{00000000-0005-0000-0000-00003A1A0000}"/>
    <cellStyle name="Итог 2 2 3 2 2" xfId="1301" xr:uid="{00000000-0005-0000-0000-00003B1A0000}"/>
    <cellStyle name="Итог 2 2 3 2 2 2" xfId="21294" xr:uid="{00000000-0005-0000-0000-00003C1A0000}"/>
    <cellStyle name="Итог 2 2 3 2 2 2 2" xfId="37936" xr:uid="{6A72BC71-7D24-4DE0-985E-502B9F4BF262}"/>
    <cellStyle name="Итог 2 2 3 2 2 3" xfId="6057" xr:uid="{00000000-0005-0000-0000-00003D1A0000}"/>
    <cellStyle name="Итог 2 2 3 2 2 4" xfId="23844" xr:uid="{4B4F584F-3967-427B-93D7-00B363F0B110}"/>
    <cellStyle name="Итог 2 2 3 2 3" xfId="2021" xr:uid="{00000000-0005-0000-0000-00003E1A0000}"/>
    <cellStyle name="Итог 2 2 3 2 3 2" xfId="21916" xr:uid="{00000000-0005-0000-0000-00003F1A0000}"/>
    <cellStyle name="Итог 2 2 3 2 3 2 2" xfId="38526" xr:uid="{75FAB461-06C1-4190-8CE3-090A6CB365D5}"/>
    <cellStyle name="Итог 2 2 3 2 3 3" xfId="6826" xr:uid="{00000000-0005-0000-0000-0000401A0000}"/>
    <cellStyle name="Итог 2 2 3 2 3 4" xfId="24453" xr:uid="{E1D9D80A-28B4-4DEB-83A2-CED938E3D443}"/>
    <cellStyle name="Итог 2 2 3 2 4" xfId="2790" xr:uid="{00000000-0005-0000-0000-0000411A0000}"/>
    <cellStyle name="Итог 2 2 3 2 4 2" xfId="22640" xr:uid="{00000000-0005-0000-0000-0000421A0000}"/>
    <cellStyle name="Итог 2 2 3 2 4 3" xfId="39112" xr:uid="{909EDDB3-4E76-4E64-82B1-65096DFD6284}"/>
    <cellStyle name="Итог 2 2 3 2 5" xfId="3672" xr:uid="{00000000-0005-0000-0000-0000431A0000}"/>
    <cellStyle name="Итог 2 2 3 2 5 2" xfId="20453" xr:uid="{00000000-0005-0000-0000-0000441A0000}"/>
    <cellStyle name="Итог 2 2 3 2 5 3" xfId="37345" xr:uid="{2AFA94D8-5D8C-48A3-8872-63EFE536BD46}"/>
    <cellStyle name="Итог 2 2 3 2 6" xfId="4029" xr:uid="{00000000-0005-0000-0000-0000451A0000}"/>
    <cellStyle name="Итог 2 2 3 2 7" xfId="4551" xr:uid="{00000000-0005-0000-0000-0000461A0000}"/>
    <cellStyle name="Итог 2 2 3 2 8" xfId="5033" xr:uid="{00000000-0005-0000-0000-0000471A0000}"/>
    <cellStyle name="Итог 2 2 3 3" xfId="514" xr:uid="{00000000-0005-0000-0000-0000481A0000}"/>
    <cellStyle name="Итог 2 2 3 3 2" xfId="1346" xr:uid="{00000000-0005-0000-0000-0000491A0000}"/>
    <cellStyle name="Итог 2 2 3 3 2 2" xfId="21339" xr:uid="{00000000-0005-0000-0000-00004A1A0000}"/>
    <cellStyle name="Итог 2 2 3 3 2 2 2" xfId="37981" xr:uid="{AD32EED6-052D-4CAB-8D86-E4A7358F9A93}"/>
    <cellStyle name="Итог 2 2 3 3 2 3" xfId="6102" xr:uid="{00000000-0005-0000-0000-00004B1A0000}"/>
    <cellStyle name="Итог 2 2 3 3 2 4" xfId="23889" xr:uid="{EFBCB9C8-61A0-4914-BA51-FD164932480D}"/>
    <cellStyle name="Итог 2 2 3 3 3" xfId="2243" xr:uid="{00000000-0005-0000-0000-00004C1A0000}"/>
    <cellStyle name="Итог 2 2 3 3 3 2" xfId="21961" xr:uid="{00000000-0005-0000-0000-00004D1A0000}"/>
    <cellStyle name="Итог 2 2 3 3 3 2 2" xfId="38571" xr:uid="{08CB118E-0827-4E02-B4B8-6808118CE5EC}"/>
    <cellStyle name="Итог 2 2 3 3 3 3" xfId="6871" xr:uid="{00000000-0005-0000-0000-00004E1A0000}"/>
    <cellStyle name="Итог 2 2 3 3 3 4" xfId="24498" xr:uid="{626B4DE0-27E6-4E69-BC67-F5595FA0CBD1}"/>
    <cellStyle name="Итог 2 2 3 3 4" xfId="2902" xr:uid="{00000000-0005-0000-0000-00004F1A0000}"/>
    <cellStyle name="Итог 2 2 3 3 4 2" xfId="22826" xr:uid="{00000000-0005-0000-0000-0000501A0000}"/>
    <cellStyle name="Итог 2 2 3 3 4 3" xfId="39292" xr:uid="{599A46B1-DD64-439B-A66A-A9018F2E116A}"/>
    <cellStyle name="Итог 2 2 3 3 5" xfId="3399" xr:uid="{00000000-0005-0000-0000-0000511A0000}"/>
    <cellStyle name="Итог 2 2 3 3 5 2" xfId="20500" xr:uid="{00000000-0005-0000-0000-0000521A0000}"/>
    <cellStyle name="Итог 2 2 3 3 5 3" xfId="37392" xr:uid="{E8468A32-C027-4CBC-9F1E-4F2631A008A7}"/>
    <cellStyle name="Итог 2 2 3 3 6" xfId="4074" xr:uid="{00000000-0005-0000-0000-0000531A0000}"/>
    <cellStyle name="Итог 2 2 3 3 7" xfId="4596" xr:uid="{00000000-0005-0000-0000-0000541A0000}"/>
    <cellStyle name="Итог 2 2 3 3 8" xfId="5078" xr:uid="{00000000-0005-0000-0000-0000551A0000}"/>
    <cellStyle name="Итог 2 2 3 4" xfId="566" xr:uid="{00000000-0005-0000-0000-0000561A0000}"/>
    <cellStyle name="Итог 2 2 3 4 2" xfId="1398" xr:uid="{00000000-0005-0000-0000-0000571A0000}"/>
    <cellStyle name="Итог 2 2 3 4 2 2" xfId="21391" xr:uid="{00000000-0005-0000-0000-0000581A0000}"/>
    <cellStyle name="Итог 2 2 3 4 2 2 2" xfId="38033" xr:uid="{22546AB6-C2C2-42D5-8740-CB277C0DD418}"/>
    <cellStyle name="Итог 2 2 3 4 2 3" xfId="6154" xr:uid="{00000000-0005-0000-0000-0000591A0000}"/>
    <cellStyle name="Итог 2 2 3 4 2 4" xfId="23941" xr:uid="{FFD7EF4C-8081-4710-8B62-0416F4FA1BB1}"/>
    <cellStyle name="Итог 2 2 3 4 3" xfId="2252" xr:uid="{00000000-0005-0000-0000-00005A1A0000}"/>
    <cellStyle name="Итог 2 2 3 4 3 2" xfId="22013" xr:uid="{00000000-0005-0000-0000-00005B1A0000}"/>
    <cellStyle name="Итог 2 2 3 4 3 2 2" xfId="38623" xr:uid="{02BE0493-D08B-4863-A3C4-68A4D95D7499}"/>
    <cellStyle name="Итог 2 2 3 4 3 3" xfId="6923" xr:uid="{00000000-0005-0000-0000-00005C1A0000}"/>
    <cellStyle name="Итог 2 2 3 4 3 4" xfId="24550" xr:uid="{C4E8571B-0409-4E3F-9E5B-E9CA76DF677F}"/>
    <cellStyle name="Итог 2 2 3 4 4" xfId="2802" xr:uid="{00000000-0005-0000-0000-00005D1A0000}"/>
    <cellStyle name="Итог 2 2 3 4 4 2" xfId="22854" xr:uid="{00000000-0005-0000-0000-00005E1A0000}"/>
    <cellStyle name="Итог 2 2 3 4 4 3" xfId="39320" xr:uid="{AF2937E8-E1AC-4D80-AB2F-343DC1141A5C}"/>
    <cellStyle name="Итог 2 2 3 4 5" xfId="3490" xr:uid="{00000000-0005-0000-0000-00005F1A0000}"/>
    <cellStyle name="Итог 2 2 3 4 5 2" xfId="20616" xr:uid="{00000000-0005-0000-0000-0000601A0000}"/>
    <cellStyle name="Итог 2 2 3 4 5 3" xfId="37458" xr:uid="{95E5B15D-0918-4782-8115-5670F4E1F72C}"/>
    <cellStyle name="Итог 2 2 3 4 6" xfId="4126" xr:uid="{00000000-0005-0000-0000-0000611A0000}"/>
    <cellStyle name="Итог 2 2 3 4 7" xfId="4648" xr:uid="{00000000-0005-0000-0000-0000621A0000}"/>
    <cellStyle name="Итог 2 2 3 4 8" xfId="5130" xr:uid="{00000000-0005-0000-0000-0000631A0000}"/>
    <cellStyle name="Итог 2 2 3 5" xfId="618" xr:uid="{00000000-0005-0000-0000-0000641A0000}"/>
    <cellStyle name="Итог 2 2 3 5 2" xfId="1450" xr:uid="{00000000-0005-0000-0000-0000651A0000}"/>
    <cellStyle name="Итог 2 2 3 5 2 2" xfId="21443" xr:uid="{00000000-0005-0000-0000-0000661A0000}"/>
    <cellStyle name="Итог 2 2 3 5 2 2 2" xfId="38085" xr:uid="{04209AD7-BBE6-4480-81E2-AB28A78F7025}"/>
    <cellStyle name="Итог 2 2 3 5 2 3" xfId="6206" xr:uid="{00000000-0005-0000-0000-0000671A0000}"/>
    <cellStyle name="Итог 2 2 3 5 2 4" xfId="23993" xr:uid="{33BF8B73-475E-4056-93FF-9CAEA7E8E773}"/>
    <cellStyle name="Итог 2 2 3 5 3" xfId="2057" xr:uid="{00000000-0005-0000-0000-0000681A0000}"/>
    <cellStyle name="Итог 2 2 3 5 3 2" xfId="22065" xr:uid="{00000000-0005-0000-0000-0000691A0000}"/>
    <cellStyle name="Итог 2 2 3 5 3 2 2" xfId="38675" xr:uid="{06070B41-725E-4624-B391-F760CFDA5095}"/>
    <cellStyle name="Итог 2 2 3 5 3 3" xfId="6975" xr:uid="{00000000-0005-0000-0000-00006A1A0000}"/>
    <cellStyle name="Итог 2 2 3 5 3 4" xfId="24602" xr:uid="{95464406-9B74-433D-AFD7-B0513FDF59F4}"/>
    <cellStyle name="Итог 2 2 3 5 4" xfId="2847" xr:uid="{00000000-0005-0000-0000-00006B1A0000}"/>
    <cellStyle name="Итог 2 2 3 5 4 2" xfId="23052" xr:uid="{00000000-0005-0000-0000-00006C1A0000}"/>
    <cellStyle name="Итог 2 2 3 5 4 3" xfId="39518" xr:uid="{F7BE408E-6A34-4435-A172-AC49A88DF1AE}"/>
    <cellStyle name="Итог 2 2 3 5 5" xfId="3766" xr:uid="{00000000-0005-0000-0000-00006D1A0000}"/>
    <cellStyle name="Итог 2 2 3 5 5 2" xfId="20654" xr:uid="{00000000-0005-0000-0000-00006E1A0000}"/>
    <cellStyle name="Итог 2 2 3 5 5 3" xfId="37496" xr:uid="{E9D22366-B733-4721-9723-1B42F36CD07C}"/>
    <cellStyle name="Итог 2 2 3 5 6" xfId="4178" xr:uid="{00000000-0005-0000-0000-00006F1A0000}"/>
    <cellStyle name="Итог 2 2 3 5 7" xfId="4700" xr:uid="{00000000-0005-0000-0000-0000701A0000}"/>
    <cellStyle name="Итог 2 2 3 5 8" xfId="5182" xr:uid="{00000000-0005-0000-0000-0000711A0000}"/>
    <cellStyle name="Итог 2 2 3 6" xfId="721" xr:uid="{00000000-0005-0000-0000-0000721A0000}"/>
    <cellStyle name="Итог 2 2 3 6 2" xfId="1551" xr:uid="{00000000-0005-0000-0000-0000731A0000}"/>
    <cellStyle name="Итог 2 2 3 6 2 2" xfId="21544" xr:uid="{00000000-0005-0000-0000-0000741A0000}"/>
    <cellStyle name="Итог 2 2 3 6 2 2 2" xfId="38186" xr:uid="{C77C9F2F-43B7-4990-9E99-6367367DA734}"/>
    <cellStyle name="Итог 2 2 3 6 2 3" xfId="6307" xr:uid="{00000000-0005-0000-0000-0000751A0000}"/>
    <cellStyle name="Итог 2 2 3 6 2 4" xfId="24094" xr:uid="{D3838050-2A1A-4193-B415-9430E1698341}"/>
    <cellStyle name="Итог 2 2 3 6 3" xfId="1748" xr:uid="{00000000-0005-0000-0000-0000761A0000}"/>
    <cellStyle name="Итог 2 2 3 6 3 2" xfId="22166" xr:uid="{00000000-0005-0000-0000-0000771A0000}"/>
    <cellStyle name="Итог 2 2 3 6 3 2 2" xfId="38776" xr:uid="{2A740572-FAEA-4051-9AF7-CF7252764086}"/>
    <cellStyle name="Итог 2 2 3 6 3 3" xfId="7076" xr:uid="{00000000-0005-0000-0000-0000781A0000}"/>
    <cellStyle name="Итог 2 2 3 6 3 4" xfId="24703" xr:uid="{79371DD7-CF1B-4873-836B-0D3FCC7E5DFF}"/>
    <cellStyle name="Итог 2 2 3 6 4" xfId="2518" xr:uid="{00000000-0005-0000-0000-0000791A0000}"/>
    <cellStyle name="Итог 2 2 3 6 4 2" xfId="22493" xr:uid="{00000000-0005-0000-0000-00007A1A0000}"/>
    <cellStyle name="Итог 2 2 3 6 4 3" xfId="38985" xr:uid="{37604A46-1406-4418-A0FD-142479988DF6}"/>
    <cellStyle name="Итог 2 2 3 6 5" xfId="2975" xr:uid="{00000000-0005-0000-0000-00007B1A0000}"/>
    <cellStyle name="Итог 2 2 3 6 5 2" xfId="20719" xr:uid="{00000000-0005-0000-0000-00007C1A0000}"/>
    <cellStyle name="Итог 2 2 3 6 5 3" xfId="37548" xr:uid="{D9A01928-3CEA-4990-8056-57C556278B73}"/>
    <cellStyle name="Итог 2 2 3 6 6" xfId="4280" xr:uid="{00000000-0005-0000-0000-00007D1A0000}"/>
    <cellStyle name="Итог 2 2 3 6 7" xfId="4802" xr:uid="{00000000-0005-0000-0000-00007E1A0000}"/>
    <cellStyle name="Итог 2 2 3 6 8" xfId="5283" xr:uid="{00000000-0005-0000-0000-00007F1A0000}"/>
    <cellStyle name="Итог 2 2 3 7" xfId="765" xr:uid="{00000000-0005-0000-0000-0000801A0000}"/>
    <cellStyle name="Итог 2 2 3 7 2" xfId="1594" xr:uid="{00000000-0005-0000-0000-0000811A0000}"/>
    <cellStyle name="Итог 2 2 3 7 2 2" xfId="21587" xr:uid="{00000000-0005-0000-0000-0000821A0000}"/>
    <cellStyle name="Итог 2 2 3 7 2 2 2" xfId="38229" xr:uid="{EACCC1B8-1FC3-4A3B-8673-1BDF8FFA29E1}"/>
    <cellStyle name="Итог 2 2 3 7 2 3" xfId="6350" xr:uid="{00000000-0005-0000-0000-0000831A0000}"/>
    <cellStyle name="Итог 2 2 3 7 2 4" xfId="24137" xr:uid="{D645F288-44D7-46D0-B0BE-38F0EE2B2BA5}"/>
    <cellStyle name="Итог 2 2 3 7 3" xfId="1896" xr:uid="{00000000-0005-0000-0000-0000841A0000}"/>
    <cellStyle name="Итог 2 2 3 7 3 2" xfId="22209" xr:uid="{00000000-0005-0000-0000-0000851A0000}"/>
    <cellStyle name="Итог 2 2 3 7 3 2 2" xfId="38819" xr:uid="{6DAD3771-5829-40C3-9BCA-F83538D574D9}"/>
    <cellStyle name="Итог 2 2 3 7 3 3" xfId="7119" xr:uid="{00000000-0005-0000-0000-0000861A0000}"/>
    <cellStyle name="Итог 2 2 3 7 3 4" xfId="24746" xr:uid="{844BA1A5-2879-4CD2-B33B-8CA5E6816519}"/>
    <cellStyle name="Итог 2 2 3 7 4" xfId="2340" xr:uid="{00000000-0005-0000-0000-0000871A0000}"/>
    <cellStyle name="Итог 2 2 3 7 4 2" xfId="23098" xr:uid="{00000000-0005-0000-0000-0000881A0000}"/>
    <cellStyle name="Итог 2 2 3 7 4 3" xfId="39564" xr:uid="{E8872267-5A39-4D0A-97A8-DE5824E5C434}"/>
    <cellStyle name="Итог 2 2 3 7 5" xfId="3472" xr:uid="{00000000-0005-0000-0000-0000891A0000}"/>
    <cellStyle name="Итог 2 2 3 7 5 2" xfId="20784" xr:uid="{00000000-0005-0000-0000-00008A1A0000}"/>
    <cellStyle name="Итог 2 2 3 7 5 3" xfId="37600" xr:uid="{861DD998-9304-4A0B-8658-685D50376B13}"/>
    <cellStyle name="Итог 2 2 3 7 6" xfId="4323" xr:uid="{00000000-0005-0000-0000-00008B1A0000}"/>
    <cellStyle name="Итог 2 2 3 7 7" xfId="4845" xr:uid="{00000000-0005-0000-0000-00008C1A0000}"/>
    <cellStyle name="Итог 2 2 3 7 8" xfId="5326" xr:uid="{00000000-0005-0000-0000-00008D1A0000}"/>
    <cellStyle name="Итог 2 2 3 8" xfId="797" xr:uid="{00000000-0005-0000-0000-00008E1A0000}"/>
    <cellStyle name="Итог 2 2 3 8 2" xfId="1626" xr:uid="{00000000-0005-0000-0000-00008F1A0000}"/>
    <cellStyle name="Итог 2 2 3 8 2 2" xfId="21619" xr:uid="{00000000-0005-0000-0000-0000901A0000}"/>
    <cellStyle name="Итог 2 2 3 8 2 2 2" xfId="38261" xr:uid="{026AC98E-D783-4678-A156-B4F0098E4C65}"/>
    <cellStyle name="Итог 2 2 3 8 2 3" xfId="6382" xr:uid="{00000000-0005-0000-0000-0000911A0000}"/>
    <cellStyle name="Итог 2 2 3 8 2 4" xfId="24169" xr:uid="{6E3B323B-6A15-4D62-8B66-1D2AFEBE147D}"/>
    <cellStyle name="Итог 2 2 3 8 3" xfId="1892" xr:uid="{00000000-0005-0000-0000-0000921A0000}"/>
    <cellStyle name="Итог 2 2 3 8 3 2" xfId="22241" xr:uid="{00000000-0005-0000-0000-0000931A0000}"/>
    <cellStyle name="Итог 2 2 3 8 3 2 2" xfId="38851" xr:uid="{2096D49F-E147-4094-91A7-44C4FD97EAE8}"/>
    <cellStyle name="Итог 2 2 3 8 3 3" xfId="7151" xr:uid="{00000000-0005-0000-0000-0000941A0000}"/>
    <cellStyle name="Итог 2 2 3 8 3 4" xfId="24778" xr:uid="{5364CED0-0CDE-443E-A125-C0297A3C2444}"/>
    <cellStyle name="Итог 2 2 3 8 4" xfId="2533" xr:uid="{00000000-0005-0000-0000-0000951A0000}"/>
    <cellStyle name="Итог 2 2 3 8 4 2" xfId="23086" xr:uid="{00000000-0005-0000-0000-0000961A0000}"/>
    <cellStyle name="Итог 2 2 3 8 4 3" xfId="39552" xr:uid="{32C90E72-DAC5-4C97-8A38-0061417534BA}"/>
    <cellStyle name="Итог 2 2 3 8 5" xfId="3014" xr:uid="{00000000-0005-0000-0000-0000971A0000}"/>
    <cellStyle name="Итог 2 2 3 8 5 2" xfId="20849" xr:uid="{00000000-0005-0000-0000-0000981A0000}"/>
    <cellStyle name="Итог 2 2 3 8 5 3" xfId="37652" xr:uid="{B2AF2566-251B-4875-9A61-4A96A5E38564}"/>
    <cellStyle name="Итог 2 2 3 8 6" xfId="4355" xr:uid="{00000000-0005-0000-0000-0000991A0000}"/>
    <cellStyle name="Итог 2 2 3 8 7" xfId="4877" xr:uid="{00000000-0005-0000-0000-00009A1A0000}"/>
    <cellStyle name="Итог 2 2 3 8 8" xfId="5358" xr:uid="{00000000-0005-0000-0000-00009B1A0000}"/>
    <cellStyle name="Итог 2 2 3 9" xfId="829" xr:uid="{00000000-0005-0000-0000-00009C1A0000}"/>
    <cellStyle name="Итог 2 2 3 9 2" xfId="1658" xr:uid="{00000000-0005-0000-0000-00009D1A0000}"/>
    <cellStyle name="Итог 2 2 3 9 2 2" xfId="21651" xr:uid="{00000000-0005-0000-0000-00009E1A0000}"/>
    <cellStyle name="Итог 2 2 3 9 2 2 2" xfId="38293" xr:uid="{6F564878-A514-4FCC-B51A-BE0F140B4472}"/>
    <cellStyle name="Итог 2 2 3 9 2 3" xfId="6414" xr:uid="{00000000-0005-0000-0000-00009F1A0000}"/>
    <cellStyle name="Итог 2 2 3 9 2 4" xfId="24201" xr:uid="{FC2CC101-BE48-4D95-B8CD-9FCB11C654E2}"/>
    <cellStyle name="Итог 2 2 3 9 3" xfId="1888" xr:uid="{00000000-0005-0000-0000-0000A01A0000}"/>
    <cellStyle name="Итог 2 2 3 9 3 2" xfId="22273" xr:uid="{00000000-0005-0000-0000-0000A11A0000}"/>
    <cellStyle name="Итог 2 2 3 9 3 2 2" xfId="38883" xr:uid="{FE5DCF52-D507-4A11-A09F-80BC654317D6}"/>
    <cellStyle name="Итог 2 2 3 9 3 3" xfId="7183" xr:uid="{00000000-0005-0000-0000-0000A21A0000}"/>
    <cellStyle name="Итог 2 2 3 9 3 4" xfId="24810" xr:uid="{BD1A0BB2-755B-4D59-AC33-7293312C8575}"/>
    <cellStyle name="Итог 2 2 3 9 4" xfId="2940" xr:uid="{00000000-0005-0000-0000-0000A31A0000}"/>
    <cellStyle name="Итог 2 2 3 9 4 2" xfId="23091" xr:uid="{00000000-0005-0000-0000-0000A41A0000}"/>
    <cellStyle name="Итог 2 2 3 9 4 3" xfId="39557" xr:uid="{3B43882D-0294-4EEA-BC44-1B9990BC4C4B}"/>
    <cellStyle name="Итог 2 2 3 9 5" xfId="3234" xr:uid="{00000000-0005-0000-0000-0000A51A0000}"/>
    <cellStyle name="Итог 2 2 3 9 5 2" xfId="20914" xr:uid="{00000000-0005-0000-0000-0000A61A0000}"/>
    <cellStyle name="Итог 2 2 3 9 5 3" xfId="37704" xr:uid="{F09F2213-BA5F-42CB-B275-ED0F2BB548D9}"/>
    <cellStyle name="Итог 2 2 3 9 6" xfId="4387" xr:uid="{00000000-0005-0000-0000-0000A71A0000}"/>
    <cellStyle name="Итог 2 2 3 9 7" xfId="4909" xr:uid="{00000000-0005-0000-0000-0000A81A0000}"/>
    <cellStyle name="Итог 2 2 3 9 8" xfId="5390" xr:uid="{00000000-0005-0000-0000-0000A91A0000}"/>
    <cellStyle name="Итог 2 2 4" xfId="878" xr:uid="{00000000-0005-0000-0000-0000AA1A0000}"/>
    <cellStyle name="Итог 2 2 4 2" xfId="2028" xr:uid="{00000000-0005-0000-0000-0000AB1A0000}"/>
    <cellStyle name="Итог 2 2 4 2 2" xfId="21764" xr:uid="{00000000-0005-0000-0000-0000AC1A0000}"/>
    <cellStyle name="Итог 2 2 4 2 2 2" xfId="38374" xr:uid="{50B14BA6-4DF7-47F1-88C6-3E59D39921B1}"/>
    <cellStyle name="Итог 2 2 4 2 3" xfId="5811" xr:uid="{00000000-0005-0000-0000-0000AD1A0000}"/>
    <cellStyle name="Итог 2 2 4 2 4" xfId="23692" xr:uid="{8B9C595D-6C61-4F75-950D-9B04DECD7139}"/>
    <cellStyle name="Итог 2 2 4 3" xfId="2816" xr:uid="{00000000-0005-0000-0000-0000AE1A0000}"/>
    <cellStyle name="Итог 2 2 4 3 2" xfId="22566" xr:uid="{00000000-0005-0000-0000-0000AF1A0000}"/>
    <cellStyle name="Итог 2 2 4 3 2 2" xfId="39044" xr:uid="{685456E5-1793-46BB-BBA5-ACAAB937E380}"/>
    <cellStyle name="Итог 2 2 4 3 3" xfId="6680" xr:uid="{00000000-0005-0000-0000-0000B01A0000}"/>
    <cellStyle name="Итог 2 2 4 3 4" xfId="24307" xr:uid="{52C9C612-0831-4A97-B112-7F08B0E7562B}"/>
    <cellStyle name="Итог 2 2 4 4" xfId="3073" xr:uid="{00000000-0005-0000-0000-0000B11A0000}"/>
    <cellStyle name="Итог 2 2 4 4 2" xfId="21035" xr:uid="{00000000-0005-0000-0000-0000B21A0000}"/>
    <cellStyle name="Итог 2 2 4 4 3" xfId="37784" xr:uid="{775213D3-BA6F-4CBD-8E33-A248356CB8D1}"/>
    <cellStyle name="Итог 2 2 4 5" xfId="3131" xr:uid="{00000000-0005-0000-0000-0000B31A0000}"/>
    <cellStyle name="Итог 2 2 4 6" xfId="3572" xr:uid="{00000000-0005-0000-0000-0000B41A0000}"/>
    <cellStyle name="Итог 2 2 4 7" xfId="3920" xr:uid="{00000000-0005-0000-0000-0000B51A0000}"/>
    <cellStyle name="Итог 2 2 5" xfId="2270" xr:uid="{00000000-0005-0000-0000-0000B61A0000}"/>
    <cellStyle name="Итог 2 2 5 2" xfId="23060" xr:uid="{00000000-0005-0000-0000-0000B71A0000}"/>
    <cellStyle name="Итог 2 2 5 2 2" xfId="39526" xr:uid="{6ADF01C7-35C5-49C9-8594-1C0EA4DA3C20}"/>
    <cellStyle name="Итог 2 2 5 3" xfId="5588" xr:uid="{00000000-0005-0000-0000-0000B81A0000}"/>
    <cellStyle name="Итог 2 2 5 4" xfId="23606" xr:uid="{762D41E3-6627-4E4E-944E-97135AA74805}"/>
    <cellStyle name="Итог 2 2 6" xfId="2683" xr:uid="{00000000-0005-0000-0000-0000B91A0000}"/>
    <cellStyle name="Итог 2 2 6 2" xfId="6600" xr:uid="{00000000-0005-0000-0000-0000BA1A0000}"/>
    <cellStyle name="Итог 2 2 6 3" xfId="24227" xr:uid="{9C597BBE-DAA2-4817-B2F7-144D52986EE3}"/>
    <cellStyle name="Итог 2 2 7" xfId="3805" xr:uid="{00000000-0005-0000-0000-0000BB1A0000}"/>
    <cellStyle name="Итог 2 2 7 2" xfId="7384" xr:uid="{00000000-0005-0000-0000-0000BC1A0000}"/>
    <cellStyle name="Итог 2 2 7 3" xfId="24853" xr:uid="{C367BDBF-986E-48A7-8293-D2226DA5064E}"/>
    <cellStyle name="Итог 2 2 8" xfId="3800" xr:uid="{00000000-0005-0000-0000-0000BD1A0000}"/>
    <cellStyle name="Итог 2 2 9" xfId="3614" xr:uid="{00000000-0005-0000-0000-0000BE1A0000}"/>
    <cellStyle name="Итог 2 3" xfId="183" xr:uid="{00000000-0005-0000-0000-0000BF1A0000}"/>
    <cellStyle name="Итог 2 3 10" xfId="4452" xr:uid="{00000000-0005-0000-0000-0000C01A0000}"/>
    <cellStyle name="Итог 2 3 2" xfId="230" xr:uid="{00000000-0005-0000-0000-0000C11A0000}"/>
    <cellStyle name="Итог 2 3 2 10" xfId="813" xr:uid="{00000000-0005-0000-0000-0000C21A0000}"/>
    <cellStyle name="Итог 2 3 2 10 2" xfId="1642" xr:uid="{00000000-0005-0000-0000-0000C31A0000}"/>
    <cellStyle name="Итог 2 3 2 10 2 2" xfId="21635" xr:uid="{00000000-0005-0000-0000-0000C41A0000}"/>
    <cellStyle name="Итог 2 3 2 10 2 2 2" xfId="38277" xr:uid="{8F32468F-7B5B-430C-99E5-4E3CC74D3DFF}"/>
    <cellStyle name="Итог 2 3 2 10 2 3" xfId="6398" xr:uid="{00000000-0005-0000-0000-0000C51A0000}"/>
    <cellStyle name="Итог 2 3 2 10 2 4" xfId="24185" xr:uid="{71E45136-AD7F-4FFA-9981-68520F39E644}"/>
    <cellStyle name="Итог 2 3 2 10 3" xfId="1890" xr:uid="{00000000-0005-0000-0000-0000C61A0000}"/>
    <cellStyle name="Итог 2 3 2 10 3 2" xfId="22257" xr:uid="{00000000-0005-0000-0000-0000C71A0000}"/>
    <cellStyle name="Итог 2 3 2 10 3 2 2" xfId="38867" xr:uid="{F39A4B42-0594-43E1-8230-6C93E51CE4D7}"/>
    <cellStyle name="Итог 2 3 2 10 3 3" xfId="7167" xr:uid="{00000000-0005-0000-0000-0000C81A0000}"/>
    <cellStyle name="Итог 2 3 2 10 3 4" xfId="24794" xr:uid="{55D644DD-7934-4E3F-8CB9-C54FB4E5B1BF}"/>
    <cellStyle name="Итог 2 3 2 10 4" xfId="2653" xr:uid="{00000000-0005-0000-0000-0000C91A0000}"/>
    <cellStyle name="Итог 2 3 2 10 4 2" xfId="23097" xr:uid="{00000000-0005-0000-0000-0000CA1A0000}"/>
    <cellStyle name="Итог 2 3 2 10 4 3" xfId="39563" xr:uid="{D77508D4-36C8-4F4A-A621-140A14255FF9}"/>
    <cellStyle name="Итог 2 3 2 10 5" xfId="3380" xr:uid="{00000000-0005-0000-0000-0000CB1A0000}"/>
    <cellStyle name="Итог 2 3 2 10 5 2" xfId="20898" xr:uid="{00000000-0005-0000-0000-0000CC1A0000}"/>
    <cellStyle name="Итог 2 3 2 10 5 3" xfId="37688" xr:uid="{85A42A66-1D9E-447D-9DD0-77ADEFDF90EC}"/>
    <cellStyle name="Итог 2 3 2 10 6" xfId="4371" xr:uid="{00000000-0005-0000-0000-0000CD1A0000}"/>
    <cellStyle name="Итог 2 3 2 10 7" xfId="4893" xr:uid="{00000000-0005-0000-0000-0000CE1A0000}"/>
    <cellStyle name="Итог 2 3 2 10 8" xfId="5374" xr:uid="{00000000-0005-0000-0000-0000CF1A0000}"/>
    <cellStyle name="Итог 2 3 2 11" xfId="951" xr:uid="{00000000-0005-0000-0000-0000D01A0000}"/>
    <cellStyle name="Итог 2 3 2 11 2" xfId="1935" xr:uid="{00000000-0005-0000-0000-0000D11A0000}"/>
    <cellStyle name="Итог 2 3 2 11 2 2" xfId="21797" xr:uid="{00000000-0005-0000-0000-0000D21A0000}"/>
    <cellStyle name="Итог 2 3 2 11 2 2 2" xfId="38407" xr:uid="{4EB7F1B1-BB1E-48AA-B934-6A973AB621E4}"/>
    <cellStyle name="Итог 2 3 2 11 2 3" xfId="5869" xr:uid="{00000000-0005-0000-0000-0000D31A0000}"/>
    <cellStyle name="Итог 2 3 2 11 2 4" xfId="23725" xr:uid="{0FE78BCC-F1F8-4E1C-A87C-9EC3F027E959}"/>
    <cellStyle name="Итог 2 3 2 11 3" xfId="2741" xr:uid="{00000000-0005-0000-0000-0000D41A0000}"/>
    <cellStyle name="Итог 2 3 2 11 3 2" xfId="22550" xr:uid="{00000000-0005-0000-0000-0000D51A0000}"/>
    <cellStyle name="Итог 2 3 2 11 3 2 2" xfId="39029" xr:uid="{FCE527C9-BF20-40BE-8EC4-CDE2E46F0284}"/>
    <cellStyle name="Итог 2 3 2 11 3 3" xfId="6713" xr:uid="{00000000-0005-0000-0000-0000D61A0000}"/>
    <cellStyle name="Итог 2 3 2 11 3 4" xfId="24340" xr:uid="{C352CD1A-84FE-4B7E-B47B-81A3623275A4}"/>
    <cellStyle name="Итог 2 3 2 11 4" xfId="3324" xr:uid="{00000000-0005-0000-0000-0000D71A0000}"/>
    <cellStyle name="Итог 2 3 2 11 4 2" xfId="21093" xr:uid="{00000000-0005-0000-0000-0000D81A0000}"/>
    <cellStyle name="Итог 2 3 2 11 4 3" xfId="37817" xr:uid="{CBAD130A-78AE-416A-AB06-09769E0E0F51}"/>
    <cellStyle name="Итог 2 3 2 11 5" xfId="3777" xr:uid="{00000000-0005-0000-0000-0000D91A0000}"/>
    <cellStyle name="Итог 2 3 2 11 6" xfId="3836" xr:uid="{00000000-0005-0000-0000-0000DA1A0000}"/>
    <cellStyle name="Итог 2 3 2 11 7" xfId="3143" xr:uid="{00000000-0005-0000-0000-0000DB1A0000}"/>
    <cellStyle name="Итог 2 3 2 12" xfId="1841" xr:uid="{00000000-0005-0000-0000-0000DC1A0000}"/>
    <cellStyle name="Итог 2 3 2 12 2" xfId="20963" xr:uid="{00000000-0005-0000-0000-0000DD1A0000}"/>
    <cellStyle name="Итог 2 3 2 12 2 2" xfId="37740" xr:uid="{ABEB0B54-3A36-40D8-823A-51AE60F1F8C2}"/>
    <cellStyle name="Итог 2 3 2 12 3" xfId="5706" xr:uid="{00000000-0005-0000-0000-0000DE1A0000}"/>
    <cellStyle name="Итог 2 3 2 12 4" xfId="23645" xr:uid="{C4D24474-7A85-4EF9-B14A-6087107B95D1}"/>
    <cellStyle name="Итог 2 3 2 13" xfId="2463" xr:uid="{00000000-0005-0000-0000-0000DF1A0000}"/>
    <cellStyle name="Итог 2 3 2 13 2" xfId="21720" xr:uid="{00000000-0005-0000-0000-0000E01A0000}"/>
    <cellStyle name="Итог 2 3 2 13 2 2" xfId="38330" xr:uid="{72F51E47-98FC-401B-BB15-17C2B247D3AA}"/>
    <cellStyle name="Итог 2 3 2 13 3" xfId="6638" xr:uid="{00000000-0005-0000-0000-0000E11A0000}"/>
    <cellStyle name="Итог 2 3 2 13 4" xfId="24265" xr:uid="{56908C32-8FC8-4D8A-A789-49EEE83CD208}"/>
    <cellStyle name="Итог 2 3 2 14" xfId="3054" xr:uid="{00000000-0005-0000-0000-0000E21A0000}"/>
    <cellStyle name="Итог 2 3 2 14 2" xfId="22564" xr:uid="{00000000-0005-0000-0000-0000E31A0000}"/>
    <cellStyle name="Итог 2 3 2 14 3" xfId="39042" xr:uid="{716B36D1-D63C-4F3C-ACBD-3E6190A6C8AE}"/>
    <cellStyle name="Итог 2 3 2 15" xfId="3823" xr:uid="{00000000-0005-0000-0000-0000E41A0000}"/>
    <cellStyle name="Итог 2 3 2 15 2" xfId="7487" xr:uid="{00000000-0005-0000-0000-0000E51A0000}"/>
    <cellStyle name="Итог 2 3 2 15 3" xfId="24889" xr:uid="{20F8C4D1-0EFD-4956-87C4-EA36908FD36E}"/>
    <cellStyle name="Итог 2 3 2 16" xfId="3457" xr:uid="{00000000-0005-0000-0000-0000E61A0000}"/>
    <cellStyle name="Итог 2 3 2 17" xfId="3170" xr:uid="{00000000-0005-0000-0000-0000E71A0000}"/>
    <cellStyle name="Итог 2 3 2 2" xfId="331" xr:uid="{00000000-0005-0000-0000-0000E81A0000}"/>
    <cellStyle name="Итог 2 3 2 2 2" xfId="1023" xr:uid="{00000000-0005-0000-0000-0000E91A0000}"/>
    <cellStyle name="Итог 2 3 2 2 2 2" xfId="21182" xr:uid="{00000000-0005-0000-0000-0000EA1A0000}"/>
    <cellStyle name="Итог 2 3 2 2 2 2 2" xfId="37857" xr:uid="{9D82359B-B0A4-4567-AD9D-3A657EBC35C2}"/>
    <cellStyle name="Итог 2 3 2 2 2 3" xfId="5962" xr:uid="{00000000-0005-0000-0000-0000EB1A0000}"/>
    <cellStyle name="Итог 2 3 2 2 2 4" xfId="23765" xr:uid="{0CA5CF57-8BE1-4919-BEBC-9A2A30098DB0}"/>
    <cellStyle name="Итог 2 3 2 2 3" xfId="2080" xr:uid="{00000000-0005-0000-0000-0000EC1A0000}"/>
    <cellStyle name="Итог 2 3 2 2 3 2" xfId="21837" xr:uid="{00000000-0005-0000-0000-0000ED1A0000}"/>
    <cellStyle name="Итог 2 3 2 2 3 2 2" xfId="38447" xr:uid="{277BA934-F1F8-4073-8264-F021CB28524A}"/>
    <cellStyle name="Итог 2 3 2 2 3 3" xfId="6751" xr:uid="{00000000-0005-0000-0000-0000EE1A0000}"/>
    <cellStyle name="Итог 2 3 2 2 3 4" xfId="24378" xr:uid="{3F7B1998-6A83-4C95-BF51-FA88E7177280}"/>
    <cellStyle name="Итог 2 3 2 2 4" xfId="2868" xr:uid="{00000000-0005-0000-0000-0000EF1A0000}"/>
    <cellStyle name="Итог 2 3 2 2 4 2" xfId="22618" xr:uid="{00000000-0005-0000-0000-0000F01A0000}"/>
    <cellStyle name="Итог 2 3 2 2 4 3" xfId="39092" xr:uid="{234DE380-452A-467E-AF45-657869682362}"/>
    <cellStyle name="Итог 2 3 2 2 5" xfId="3667" xr:uid="{00000000-0005-0000-0000-0000F11A0000}"/>
    <cellStyle name="Итог 2 3 2 2 5 2" xfId="14069" xr:uid="{00000000-0005-0000-0000-0000F21A0000}"/>
    <cellStyle name="Итог 2 3 2 2 5 3" xfId="31108" xr:uid="{FE2716D7-CC50-4FC5-B173-C0E01F52F8B3}"/>
    <cellStyle name="Итог 2 3 2 2 6" xfId="3935" xr:uid="{00000000-0005-0000-0000-0000F31A0000}"/>
    <cellStyle name="Итог 2 3 2 2 7" xfId="4467" xr:uid="{00000000-0005-0000-0000-0000F41A0000}"/>
    <cellStyle name="Итог 2 3 2 2 8" xfId="4958" xr:uid="{00000000-0005-0000-0000-0000F51A0000}"/>
    <cellStyle name="Итог 2 3 2 3" xfId="452" xr:uid="{00000000-0005-0000-0000-0000F61A0000}"/>
    <cellStyle name="Итог 2 3 2 3 2" xfId="1284" xr:uid="{00000000-0005-0000-0000-0000F71A0000}"/>
    <cellStyle name="Итог 2 3 2 3 2 2" xfId="21277" xr:uid="{00000000-0005-0000-0000-0000F81A0000}"/>
    <cellStyle name="Итог 2 3 2 3 2 2 2" xfId="37919" xr:uid="{9D158A9B-125B-4C58-9656-B1117323A223}"/>
    <cellStyle name="Итог 2 3 2 3 2 3" xfId="6040" xr:uid="{00000000-0005-0000-0000-0000F91A0000}"/>
    <cellStyle name="Итог 2 3 2 3 2 4" xfId="23827" xr:uid="{547EDE3C-40FA-4148-AA77-C72162C386F6}"/>
    <cellStyle name="Итог 2 3 2 3 3" xfId="2184" xr:uid="{00000000-0005-0000-0000-0000FA1A0000}"/>
    <cellStyle name="Итог 2 3 2 3 3 2" xfId="21899" xr:uid="{00000000-0005-0000-0000-0000FB1A0000}"/>
    <cellStyle name="Итог 2 3 2 3 3 2 2" xfId="38509" xr:uid="{115A5695-B598-4BA3-A18A-8B78148A6E3F}"/>
    <cellStyle name="Итог 2 3 2 3 3 3" xfId="6810" xr:uid="{00000000-0005-0000-0000-0000FC1A0000}"/>
    <cellStyle name="Итог 2 3 2 3 3 4" xfId="24437" xr:uid="{247224D8-57E6-4038-87D6-07D14A37516E}"/>
    <cellStyle name="Итог 2 3 2 3 4" xfId="2632" xr:uid="{00000000-0005-0000-0000-0000FD1A0000}"/>
    <cellStyle name="Итог 2 3 2 3 4 2" xfId="22864" xr:uid="{00000000-0005-0000-0000-0000FE1A0000}"/>
    <cellStyle name="Итог 2 3 2 3 4 3" xfId="39330" xr:uid="{F0F9F4DF-96D0-4A83-ACE2-FA6C1AC99334}"/>
    <cellStyle name="Итог 2 3 2 3 5" xfId="3503" xr:uid="{00000000-0005-0000-0000-0000FF1A0000}"/>
    <cellStyle name="Итог 2 3 2 3 5 2" xfId="20422" xr:uid="{00000000-0005-0000-0000-0000001B0000}"/>
    <cellStyle name="Итог 2 3 2 3 5 3" xfId="37329" xr:uid="{D49DD048-1118-4C9D-9A7C-B343894F34CB}"/>
    <cellStyle name="Итог 2 3 2 3 6" xfId="4013" xr:uid="{00000000-0005-0000-0000-0000011B0000}"/>
    <cellStyle name="Итог 2 3 2 3 7" xfId="4535" xr:uid="{00000000-0005-0000-0000-0000021B0000}"/>
    <cellStyle name="Итог 2 3 2 3 8" xfId="5017" xr:uid="{00000000-0005-0000-0000-0000031B0000}"/>
    <cellStyle name="Итог 2 3 2 4" xfId="498" xr:uid="{00000000-0005-0000-0000-0000041B0000}"/>
    <cellStyle name="Итог 2 3 2 4 2" xfId="1330" xr:uid="{00000000-0005-0000-0000-0000051B0000}"/>
    <cellStyle name="Итог 2 3 2 4 2 2" xfId="21323" xr:uid="{00000000-0005-0000-0000-0000061B0000}"/>
    <cellStyle name="Итог 2 3 2 4 2 2 2" xfId="37965" xr:uid="{B617B155-A7D2-4477-A2D3-CEB7DE3B668A}"/>
    <cellStyle name="Итог 2 3 2 4 2 3" xfId="6086" xr:uid="{00000000-0005-0000-0000-0000071B0000}"/>
    <cellStyle name="Итог 2 3 2 4 2 4" xfId="23873" xr:uid="{BB95ED38-91B2-4B45-A338-2173C52989BC}"/>
    <cellStyle name="Итог 2 3 2 4 3" xfId="1817" xr:uid="{00000000-0005-0000-0000-0000081B0000}"/>
    <cellStyle name="Итог 2 3 2 4 3 2" xfId="21945" xr:uid="{00000000-0005-0000-0000-0000091B0000}"/>
    <cellStyle name="Итог 2 3 2 4 3 2 2" xfId="38555" xr:uid="{E7B888AC-327D-4687-A7F2-F2F5EC2F9FDE}"/>
    <cellStyle name="Итог 2 3 2 4 3 3" xfId="6855" xr:uid="{00000000-0005-0000-0000-00000A1B0000}"/>
    <cellStyle name="Итог 2 3 2 4 3 4" xfId="24482" xr:uid="{E384B7EE-5B33-40DF-8E73-F66A83B20EB3}"/>
    <cellStyle name="Итог 2 3 2 4 4" xfId="2671" xr:uid="{00000000-0005-0000-0000-00000B1B0000}"/>
    <cellStyle name="Итог 2 3 2 4 4 2" xfId="22885" xr:uid="{00000000-0005-0000-0000-00000C1B0000}"/>
    <cellStyle name="Итог 2 3 2 4 4 3" xfId="39351" xr:uid="{259DE127-CF3F-4161-A96F-CD0BA33D44AC}"/>
    <cellStyle name="Итог 2 3 2 4 5" xfId="3488" xr:uid="{00000000-0005-0000-0000-00000D1B0000}"/>
    <cellStyle name="Итог 2 3 2 4 5 2" xfId="20484" xr:uid="{00000000-0005-0000-0000-00000E1B0000}"/>
    <cellStyle name="Итог 2 3 2 4 5 3" xfId="37376" xr:uid="{5FC5D052-7972-498B-8859-6ABDC0963779}"/>
    <cellStyle name="Итог 2 3 2 4 6" xfId="4058" xr:uid="{00000000-0005-0000-0000-00000F1B0000}"/>
    <cellStyle name="Итог 2 3 2 4 7" xfId="4580" xr:uid="{00000000-0005-0000-0000-0000101B0000}"/>
    <cellStyle name="Итог 2 3 2 4 8" xfId="5062" xr:uid="{00000000-0005-0000-0000-0000111B0000}"/>
    <cellStyle name="Итог 2 3 2 5" xfId="550" xr:uid="{00000000-0005-0000-0000-0000121B0000}"/>
    <cellStyle name="Итог 2 3 2 5 2" xfId="1382" xr:uid="{00000000-0005-0000-0000-0000131B0000}"/>
    <cellStyle name="Итог 2 3 2 5 2 2" xfId="21375" xr:uid="{00000000-0005-0000-0000-0000141B0000}"/>
    <cellStyle name="Итог 2 3 2 5 2 2 2" xfId="38017" xr:uid="{69E39432-46ED-4364-937F-A03AA162E0C0}"/>
    <cellStyle name="Итог 2 3 2 5 2 3" xfId="6138" xr:uid="{00000000-0005-0000-0000-0000151B0000}"/>
    <cellStyle name="Итог 2 3 2 5 2 4" xfId="23925" xr:uid="{D21F1DEF-BDF6-43F3-A61A-3ABCBD0A96DA}"/>
    <cellStyle name="Итог 2 3 2 5 3" xfId="2160" xr:uid="{00000000-0005-0000-0000-0000161B0000}"/>
    <cellStyle name="Итог 2 3 2 5 3 2" xfId="21997" xr:uid="{00000000-0005-0000-0000-0000171B0000}"/>
    <cellStyle name="Итог 2 3 2 5 3 2 2" xfId="38607" xr:uid="{467F02D8-4E3D-494B-BA7B-9D214EF937CF}"/>
    <cellStyle name="Итог 2 3 2 5 3 3" xfId="6907" xr:uid="{00000000-0005-0000-0000-0000181B0000}"/>
    <cellStyle name="Итог 2 3 2 5 3 4" xfId="24534" xr:uid="{BEB3E09E-603C-4055-86D6-2BB0261E05F0}"/>
    <cellStyle name="Итог 2 3 2 5 4" xfId="2699" xr:uid="{00000000-0005-0000-0000-0000191B0000}"/>
    <cellStyle name="Итог 2 3 2 5 4 2" xfId="22927" xr:uid="{00000000-0005-0000-0000-00001A1B0000}"/>
    <cellStyle name="Итог 2 3 2 5 4 3" xfId="39393" xr:uid="{21591082-7458-498F-89AB-B3C83F2F2F5E}"/>
    <cellStyle name="Итог 2 3 2 5 5" xfId="3584" xr:uid="{00000000-0005-0000-0000-00001B1B0000}"/>
    <cellStyle name="Итог 2 3 2 5 5 2" xfId="20596" xr:uid="{00000000-0005-0000-0000-00001C1B0000}"/>
    <cellStyle name="Итог 2 3 2 5 5 3" xfId="37442" xr:uid="{DB14C351-BB6D-4ED7-957D-EA8D7B5CC167}"/>
    <cellStyle name="Итог 2 3 2 5 6" xfId="4110" xr:uid="{00000000-0005-0000-0000-00001D1B0000}"/>
    <cellStyle name="Итог 2 3 2 5 7" xfId="4632" xr:uid="{00000000-0005-0000-0000-00001E1B0000}"/>
    <cellStyle name="Итог 2 3 2 5 8" xfId="5114" xr:uid="{00000000-0005-0000-0000-00001F1B0000}"/>
    <cellStyle name="Итог 2 3 2 6" xfId="602" xr:uid="{00000000-0005-0000-0000-0000201B0000}"/>
    <cellStyle name="Итог 2 3 2 6 2" xfId="1434" xr:uid="{00000000-0005-0000-0000-0000211B0000}"/>
    <cellStyle name="Итог 2 3 2 6 2 2" xfId="21427" xr:uid="{00000000-0005-0000-0000-0000221B0000}"/>
    <cellStyle name="Итог 2 3 2 6 2 2 2" xfId="38069" xr:uid="{00E41DFE-EE3D-48CA-816F-BB977FB293CA}"/>
    <cellStyle name="Итог 2 3 2 6 2 3" xfId="6190" xr:uid="{00000000-0005-0000-0000-0000231B0000}"/>
    <cellStyle name="Итог 2 3 2 6 2 4" xfId="23977" xr:uid="{7A11AEE2-83F8-4931-8AAB-258387FCAB68}"/>
    <cellStyle name="Итог 2 3 2 6 3" xfId="2109" xr:uid="{00000000-0005-0000-0000-0000241B0000}"/>
    <cellStyle name="Итог 2 3 2 6 3 2" xfId="22049" xr:uid="{00000000-0005-0000-0000-0000251B0000}"/>
    <cellStyle name="Итог 2 3 2 6 3 2 2" xfId="38659" xr:uid="{E7C6F43B-3B01-4A52-B2B2-2E09727FE6F1}"/>
    <cellStyle name="Итог 2 3 2 6 3 3" xfId="6959" xr:uid="{00000000-0005-0000-0000-0000261B0000}"/>
    <cellStyle name="Итог 2 3 2 6 3 4" xfId="24586" xr:uid="{B5347C5A-3661-423F-B0F3-C1BB3E4785C2}"/>
    <cellStyle name="Итог 2 3 2 6 4" xfId="2885" xr:uid="{00000000-0005-0000-0000-0000271B0000}"/>
    <cellStyle name="Итог 2 3 2 6 4 2" xfId="22760" xr:uid="{00000000-0005-0000-0000-0000281B0000}"/>
    <cellStyle name="Итог 2 3 2 6 4 3" xfId="39229" xr:uid="{43F17A8B-C7E2-4D98-80B4-EF8CB94C38F0}"/>
    <cellStyle name="Итог 2 3 2 6 5" xfId="3341" xr:uid="{00000000-0005-0000-0000-0000291B0000}"/>
    <cellStyle name="Итог 2 3 2 6 5 2" xfId="20638" xr:uid="{00000000-0005-0000-0000-00002A1B0000}"/>
    <cellStyle name="Итог 2 3 2 6 5 3" xfId="37480" xr:uid="{2BBCCD1B-4110-48EB-AAF4-13A6189AECFA}"/>
    <cellStyle name="Итог 2 3 2 6 6" xfId="4162" xr:uid="{00000000-0005-0000-0000-00002B1B0000}"/>
    <cellStyle name="Итог 2 3 2 6 7" xfId="4684" xr:uid="{00000000-0005-0000-0000-00002C1B0000}"/>
    <cellStyle name="Итог 2 3 2 6 8" xfId="5166" xr:uid="{00000000-0005-0000-0000-00002D1B0000}"/>
    <cellStyle name="Итог 2 3 2 7" xfId="701" xr:uid="{00000000-0005-0000-0000-00002E1B0000}"/>
    <cellStyle name="Итог 2 3 2 7 2" xfId="1531" xr:uid="{00000000-0005-0000-0000-00002F1B0000}"/>
    <cellStyle name="Итог 2 3 2 7 2 2" xfId="21524" xr:uid="{00000000-0005-0000-0000-0000301B0000}"/>
    <cellStyle name="Итог 2 3 2 7 2 2 2" xfId="38166" xr:uid="{1DD48BBD-C846-41FE-ADFB-405A9BCB4115}"/>
    <cellStyle name="Итог 2 3 2 7 2 3" xfId="6287" xr:uid="{00000000-0005-0000-0000-0000311B0000}"/>
    <cellStyle name="Итог 2 3 2 7 2 4" xfId="24074" xr:uid="{2AF80575-8749-4124-A259-009336E86AAE}"/>
    <cellStyle name="Итог 2 3 2 7 3" xfId="1716" xr:uid="{00000000-0005-0000-0000-0000321B0000}"/>
    <cellStyle name="Итог 2 3 2 7 3 2" xfId="22146" xr:uid="{00000000-0005-0000-0000-0000331B0000}"/>
    <cellStyle name="Итог 2 3 2 7 3 2 2" xfId="38756" xr:uid="{4241D31C-5C7C-4EB2-9E12-945093588400}"/>
    <cellStyle name="Итог 2 3 2 7 3 3" xfId="7056" xr:uid="{00000000-0005-0000-0000-0000341B0000}"/>
    <cellStyle name="Итог 2 3 2 7 3 4" xfId="24683" xr:uid="{E86DD10C-69C1-4BF6-AA11-B0F6CC49754B}"/>
    <cellStyle name="Итог 2 3 2 7 4" xfId="2387" xr:uid="{00000000-0005-0000-0000-0000351B0000}"/>
    <cellStyle name="Итог 2 3 2 7 4 2" xfId="22670" xr:uid="{00000000-0005-0000-0000-0000361B0000}"/>
    <cellStyle name="Итог 2 3 2 7 4 3" xfId="39142" xr:uid="{AD125422-D034-4DDB-A410-B28677053FF8}"/>
    <cellStyle name="Итог 2 3 2 7 5" xfId="3029" xr:uid="{00000000-0005-0000-0000-0000371B0000}"/>
    <cellStyle name="Итог 2 3 2 7 5 2" xfId="20703" xr:uid="{00000000-0005-0000-0000-0000381B0000}"/>
    <cellStyle name="Итог 2 3 2 7 5 3" xfId="37532" xr:uid="{B55DAA20-936F-4FBA-BD3F-41CBDB193B33}"/>
    <cellStyle name="Итог 2 3 2 7 6" xfId="4260" xr:uid="{00000000-0005-0000-0000-0000391B0000}"/>
    <cellStyle name="Итог 2 3 2 7 7" xfId="4782" xr:uid="{00000000-0005-0000-0000-00003A1B0000}"/>
    <cellStyle name="Итог 2 3 2 7 8" xfId="5263" xr:uid="{00000000-0005-0000-0000-00003B1B0000}"/>
    <cellStyle name="Итог 2 3 2 8" xfId="747" xr:uid="{00000000-0005-0000-0000-00003C1B0000}"/>
    <cellStyle name="Итог 2 3 2 8 2" xfId="1577" xr:uid="{00000000-0005-0000-0000-00003D1B0000}"/>
    <cellStyle name="Итог 2 3 2 8 2 2" xfId="21570" xr:uid="{00000000-0005-0000-0000-00003E1B0000}"/>
    <cellStyle name="Итог 2 3 2 8 2 2 2" xfId="38212" xr:uid="{364F467B-5BA5-4AFC-862C-874A1F3F4CD3}"/>
    <cellStyle name="Итог 2 3 2 8 2 3" xfId="6333" xr:uid="{00000000-0005-0000-0000-00003F1B0000}"/>
    <cellStyle name="Итог 2 3 2 8 2 4" xfId="24120" xr:uid="{762805E0-CD6D-499B-896A-1B30557E2D9C}"/>
    <cellStyle name="Итог 2 3 2 8 3" xfId="2014" xr:uid="{00000000-0005-0000-0000-0000401B0000}"/>
    <cellStyle name="Итог 2 3 2 8 3 2" xfId="22192" xr:uid="{00000000-0005-0000-0000-0000411B0000}"/>
    <cellStyle name="Итог 2 3 2 8 3 2 2" xfId="38802" xr:uid="{963DD0DC-B99D-42D3-A859-601013A348AA}"/>
    <cellStyle name="Итог 2 3 2 8 3 3" xfId="7102" xr:uid="{00000000-0005-0000-0000-0000421B0000}"/>
    <cellStyle name="Итог 2 3 2 8 3 4" xfId="24729" xr:uid="{25B5B7F6-25FA-4D76-B0CE-87CD259824CF}"/>
    <cellStyle name="Итог 2 3 2 8 4" xfId="2342" xr:uid="{00000000-0005-0000-0000-0000431B0000}"/>
    <cellStyle name="Итог 2 3 2 8 4 2" xfId="23090" xr:uid="{00000000-0005-0000-0000-0000441B0000}"/>
    <cellStyle name="Итог 2 3 2 8 4 3" xfId="39556" xr:uid="{63086B8B-6289-48B5-AFF5-A8DCB67F5B82}"/>
    <cellStyle name="Итог 2 3 2 8 5" xfId="3464" xr:uid="{00000000-0005-0000-0000-0000451B0000}"/>
    <cellStyle name="Итог 2 3 2 8 5 2" xfId="20768" xr:uid="{00000000-0005-0000-0000-0000461B0000}"/>
    <cellStyle name="Итог 2 3 2 8 5 3" xfId="37584" xr:uid="{31B1E926-DA13-4C07-8B4D-1EFD4EADC070}"/>
    <cellStyle name="Итог 2 3 2 8 6" xfId="4306" xr:uid="{00000000-0005-0000-0000-0000471B0000}"/>
    <cellStyle name="Итог 2 3 2 8 7" xfId="4828" xr:uid="{00000000-0005-0000-0000-0000481B0000}"/>
    <cellStyle name="Итог 2 3 2 8 8" xfId="5309" xr:uid="{00000000-0005-0000-0000-0000491B0000}"/>
    <cellStyle name="Итог 2 3 2 9" xfId="781" xr:uid="{00000000-0005-0000-0000-00004A1B0000}"/>
    <cellStyle name="Итог 2 3 2 9 2" xfId="1610" xr:uid="{00000000-0005-0000-0000-00004B1B0000}"/>
    <cellStyle name="Итог 2 3 2 9 2 2" xfId="21603" xr:uid="{00000000-0005-0000-0000-00004C1B0000}"/>
    <cellStyle name="Итог 2 3 2 9 2 2 2" xfId="38245" xr:uid="{77E1D43D-B070-4289-AE2E-A1BB6CB7A58E}"/>
    <cellStyle name="Итог 2 3 2 9 2 3" xfId="6366" xr:uid="{00000000-0005-0000-0000-00004D1B0000}"/>
    <cellStyle name="Итог 2 3 2 9 2 4" xfId="24153" xr:uid="{CAA7BEA7-2117-4A63-A7F4-75A4709FE49A}"/>
    <cellStyle name="Итог 2 3 2 9 3" xfId="1894" xr:uid="{00000000-0005-0000-0000-00004E1B0000}"/>
    <cellStyle name="Итог 2 3 2 9 3 2" xfId="22225" xr:uid="{00000000-0005-0000-0000-00004F1B0000}"/>
    <cellStyle name="Итог 2 3 2 9 3 2 2" xfId="38835" xr:uid="{577F4CC8-1716-49DF-BEFD-B3EC82976BB0}"/>
    <cellStyle name="Итог 2 3 2 9 3 3" xfId="7135" xr:uid="{00000000-0005-0000-0000-0000501B0000}"/>
    <cellStyle name="Итог 2 3 2 9 3 4" xfId="24762" xr:uid="{4F9F3A69-DDA8-4B85-BA21-AA45C7F1707B}"/>
    <cellStyle name="Итог 2 3 2 9 4" xfId="2449" xr:uid="{00000000-0005-0000-0000-0000511B0000}"/>
    <cellStyle name="Итог 2 3 2 9 4 2" xfId="23092" xr:uid="{00000000-0005-0000-0000-0000521B0000}"/>
    <cellStyle name="Итог 2 3 2 9 4 3" xfId="39558" xr:uid="{A4468EE5-35AC-4BFC-8469-7725FEE56728}"/>
    <cellStyle name="Итог 2 3 2 9 5" xfId="3864" xr:uid="{00000000-0005-0000-0000-0000531B0000}"/>
    <cellStyle name="Итог 2 3 2 9 5 2" xfId="20833" xr:uid="{00000000-0005-0000-0000-0000541B0000}"/>
    <cellStyle name="Итог 2 3 2 9 5 3" xfId="37636" xr:uid="{54EBFD4D-CA70-4369-8428-7C353C887FE1}"/>
    <cellStyle name="Итог 2 3 2 9 6" xfId="4339" xr:uid="{00000000-0005-0000-0000-0000551B0000}"/>
    <cellStyle name="Итог 2 3 2 9 7" xfId="4861" xr:uid="{00000000-0005-0000-0000-0000561B0000}"/>
    <cellStyle name="Итог 2 3 2 9 8" xfId="5342" xr:uid="{00000000-0005-0000-0000-0000571B0000}"/>
    <cellStyle name="Итог 2 3 3" xfId="368" xr:uid="{00000000-0005-0000-0000-0000581B0000}"/>
    <cellStyle name="Итог 2 3 3 10" xfId="992" xr:uid="{00000000-0005-0000-0000-0000591B0000}"/>
    <cellStyle name="Итог 2 3 3 10 2" xfId="1938" xr:uid="{00000000-0005-0000-0000-00005A1B0000}"/>
    <cellStyle name="Итог 2 3 3 10 2 2" xfId="21857" xr:uid="{00000000-0005-0000-0000-00005B1B0000}"/>
    <cellStyle name="Итог 2 3 3 10 2 2 2" xfId="38467" xr:uid="{C5B46F52-AF18-4DCF-BB23-759CB2987404}"/>
    <cellStyle name="Итог 2 3 3 10 2 3" xfId="5997" xr:uid="{00000000-0005-0000-0000-00005C1B0000}"/>
    <cellStyle name="Итог 2 3 3 10 2 4" xfId="23785" xr:uid="{066C0315-B8B3-4289-AA9E-5D5797EA5979}"/>
    <cellStyle name="Итог 2 3 3 10 3" xfId="2744" xr:uid="{00000000-0005-0000-0000-00005D1B0000}"/>
    <cellStyle name="Итог 2 3 3 10 3 2" xfId="22549" xr:uid="{00000000-0005-0000-0000-00005E1B0000}"/>
    <cellStyle name="Итог 2 3 3 10 3 2 2" xfId="39028" xr:uid="{A9996997-6D53-444F-8977-8E475CDAE837}"/>
    <cellStyle name="Итог 2 3 3 10 3 3" xfId="6771" xr:uid="{00000000-0005-0000-0000-00005F1B0000}"/>
    <cellStyle name="Итог 2 3 3 10 3 4" xfId="24398" xr:uid="{75BD166B-FD76-422F-A4D4-5C714FFACA6C}"/>
    <cellStyle name="Итог 2 3 3 10 4" xfId="3329" xr:uid="{00000000-0005-0000-0000-0000601B0000}"/>
    <cellStyle name="Итог 2 3 3 10 4 2" xfId="21216" xr:uid="{00000000-0005-0000-0000-0000611B0000}"/>
    <cellStyle name="Итог 2 3 3 10 4 3" xfId="37877" xr:uid="{DCA6F6B2-5D14-4287-920B-155FC01BEB3E}"/>
    <cellStyle name="Итог 2 3 3 10 5" xfId="3961" xr:uid="{00000000-0005-0000-0000-0000621B0000}"/>
    <cellStyle name="Итог 2 3 3 10 6" xfId="4489" xr:uid="{00000000-0005-0000-0000-0000631B0000}"/>
    <cellStyle name="Итог 2 3 3 10 7" xfId="4978" xr:uid="{00000000-0005-0000-0000-0000641B0000}"/>
    <cellStyle name="Итог 2 3 3 11" xfId="1905" xr:uid="{00000000-0005-0000-0000-0000651B0000}"/>
    <cellStyle name="Итог 2 3 3 11 2" xfId="20983" xr:uid="{00000000-0005-0000-0000-0000661B0000}"/>
    <cellStyle name="Итог 2 3 3 11 2 2" xfId="37760" xr:uid="{C501849F-0AD9-44D2-AE96-C11A7CACD476}"/>
    <cellStyle name="Итог 2 3 3 11 3" xfId="5741" xr:uid="{00000000-0005-0000-0000-0000671B0000}"/>
    <cellStyle name="Итог 2 3 3 11 4" xfId="23665" xr:uid="{8DDDC82C-5480-4FB8-BF0E-FF630CFCA8C8}"/>
    <cellStyle name="Итог 2 3 3 12" xfId="2369" xr:uid="{00000000-0005-0000-0000-0000681B0000}"/>
    <cellStyle name="Итог 2 3 3 12 2" xfId="21740" xr:uid="{00000000-0005-0000-0000-0000691B0000}"/>
    <cellStyle name="Итог 2 3 3 12 2 2" xfId="38350" xr:uid="{F73970D9-21FC-4762-AECB-C6F644469E58}"/>
    <cellStyle name="Итог 2 3 3 12 3" xfId="6658" xr:uid="{00000000-0005-0000-0000-00006A1B0000}"/>
    <cellStyle name="Итог 2 3 3 12 4" xfId="24285" xr:uid="{13BDA90A-0E6C-4B27-9069-5C1B055D0984}"/>
    <cellStyle name="Итог 2 3 3 13" xfId="3330" xr:uid="{00000000-0005-0000-0000-00006B1B0000}"/>
    <cellStyle name="Итог 2 3 3 13 2" xfId="22607" xr:uid="{00000000-0005-0000-0000-00006C1B0000}"/>
    <cellStyle name="Итог 2 3 3 13 3" xfId="39083" xr:uid="{12D8B012-8C24-4EB4-BE97-46D601601895}"/>
    <cellStyle name="Итог 2 3 3 14" xfId="3620" xr:uid="{00000000-0005-0000-0000-00006D1B0000}"/>
    <cellStyle name="Итог 2 3 3 14 2" xfId="14038" xr:uid="{00000000-0005-0000-0000-00006E1B0000}"/>
    <cellStyle name="Итог 2 3 3 14 3" xfId="31077" xr:uid="{309C2FC2-D5B5-490C-91CE-486A3ED61F20}"/>
    <cellStyle name="Итог 2 3 3 15" xfId="3117" xr:uid="{00000000-0005-0000-0000-00006F1B0000}"/>
    <cellStyle name="Итог 2 3 3 16" xfId="3655" xr:uid="{00000000-0005-0000-0000-0000701B0000}"/>
    <cellStyle name="Итог 2 3 3 2" xfId="473" xr:uid="{00000000-0005-0000-0000-0000711B0000}"/>
    <cellStyle name="Итог 2 3 3 2 2" xfId="1305" xr:uid="{00000000-0005-0000-0000-0000721B0000}"/>
    <cellStyle name="Итог 2 3 3 2 2 2" xfId="21298" xr:uid="{00000000-0005-0000-0000-0000731B0000}"/>
    <cellStyle name="Итог 2 3 3 2 2 2 2" xfId="37940" xr:uid="{D2CD4429-C7E1-4921-B051-5DBF8966621D}"/>
    <cellStyle name="Итог 2 3 3 2 2 3" xfId="6061" xr:uid="{00000000-0005-0000-0000-0000741B0000}"/>
    <cellStyle name="Итог 2 3 3 2 2 4" xfId="23848" xr:uid="{5DEF5685-26F3-4937-B666-6066ECB4ACA3}"/>
    <cellStyle name="Итог 2 3 3 2 3" xfId="2227" xr:uid="{00000000-0005-0000-0000-0000751B0000}"/>
    <cellStyle name="Итог 2 3 3 2 3 2" xfId="21920" xr:uid="{00000000-0005-0000-0000-0000761B0000}"/>
    <cellStyle name="Итог 2 3 3 2 3 2 2" xfId="38530" xr:uid="{E588EAF3-4A7F-4C58-8249-4ED9CB3253DE}"/>
    <cellStyle name="Итог 2 3 3 2 3 3" xfId="6830" xr:uid="{00000000-0005-0000-0000-0000771B0000}"/>
    <cellStyle name="Итог 2 3 3 2 3 4" xfId="24457" xr:uid="{0AEB6E15-E6F5-443D-868F-8D132E784248}"/>
    <cellStyle name="Итог 2 3 3 2 4" xfId="2662" xr:uid="{00000000-0005-0000-0000-0000781B0000}"/>
    <cellStyle name="Итог 2 3 3 2 4 2" xfId="22928" xr:uid="{00000000-0005-0000-0000-0000791B0000}"/>
    <cellStyle name="Итог 2 3 3 2 4 3" xfId="39394" xr:uid="{DCD3E9A5-CFCC-49EC-98E9-48819D0F5EE1}"/>
    <cellStyle name="Итог 2 3 3 2 5" xfId="3585" xr:uid="{00000000-0005-0000-0000-00007A1B0000}"/>
    <cellStyle name="Итог 2 3 3 2 5 2" xfId="20457" xr:uid="{00000000-0005-0000-0000-00007B1B0000}"/>
    <cellStyle name="Итог 2 3 3 2 5 3" xfId="37349" xr:uid="{A5605564-FC7E-4199-A9D2-E0421477FE09}"/>
    <cellStyle name="Итог 2 3 3 2 6" xfId="4033" xr:uid="{00000000-0005-0000-0000-00007C1B0000}"/>
    <cellStyle name="Итог 2 3 3 2 7" xfId="4555" xr:uid="{00000000-0005-0000-0000-00007D1B0000}"/>
    <cellStyle name="Итог 2 3 3 2 8" xfId="5037" xr:uid="{00000000-0005-0000-0000-00007E1B0000}"/>
    <cellStyle name="Итог 2 3 3 3" xfId="518" xr:uid="{00000000-0005-0000-0000-00007F1B0000}"/>
    <cellStyle name="Итог 2 3 3 3 2" xfId="1350" xr:uid="{00000000-0005-0000-0000-0000801B0000}"/>
    <cellStyle name="Итог 2 3 3 3 2 2" xfId="21343" xr:uid="{00000000-0005-0000-0000-0000811B0000}"/>
    <cellStyle name="Итог 2 3 3 3 2 2 2" xfId="37985" xr:uid="{169C8FA3-FDEF-4D6A-8824-5491117298DB}"/>
    <cellStyle name="Итог 2 3 3 3 2 3" xfId="6106" xr:uid="{00000000-0005-0000-0000-0000821B0000}"/>
    <cellStyle name="Итог 2 3 3 3 2 4" xfId="23893" xr:uid="{32E07402-09C1-466E-93AE-6E00BC0DC964}"/>
    <cellStyle name="Итог 2 3 3 3 3" xfId="2102" xr:uid="{00000000-0005-0000-0000-0000831B0000}"/>
    <cellStyle name="Итог 2 3 3 3 3 2" xfId="21965" xr:uid="{00000000-0005-0000-0000-0000841B0000}"/>
    <cellStyle name="Итог 2 3 3 3 3 2 2" xfId="38575" xr:uid="{ED86309F-0C5A-4BD5-A2FA-D3BC7FF581BE}"/>
    <cellStyle name="Итог 2 3 3 3 3 3" xfId="6875" xr:uid="{00000000-0005-0000-0000-0000851B0000}"/>
    <cellStyle name="Итог 2 3 3 3 3 4" xfId="24502" xr:uid="{16DB4717-DDCF-428E-B7FB-8BE746E9C8BE}"/>
    <cellStyle name="Итог 2 3 3 3 4" xfId="2878" xr:uid="{00000000-0005-0000-0000-0000861B0000}"/>
    <cellStyle name="Итог 2 3 3 3 4 2" xfId="22604" xr:uid="{00000000-0005-0000-0000-0000871B0000}"/>
    <cellStyle name="Итог 2 3 3 3 4 3" xfId="39080" xr:uid="{00406F0E-AE83-4265-BD08-DE569EA7539E}"/>
    <cellStyle name="Итог 2 3 3 3 5" xfId="3063" xr:uid="{00000000-0005-0000-0000-0000881B0000}"/>
    <cellStyle name="Итог 2 3 3 3 5 2" xfId="20504" xr:uid="{00000000-0005-0000-0000-0000891B0000}"/>
    <cellStyle name="Итог 2 3 3 3 5 3" xfId="37396" xr:uid="{397283C6-90EA-4E07-9C2B-ED763C5A583F}"/>
    <cellStyle name="Итог 2 3 3 3 6" xfId="4078" xr:uid="{00000000-0005-0000-0000-00008A1B0000}"/>
    <cellStyle name="Итог 2 3 3 3 7" xfId="4600" xr:uid="{00000000-0005-0000-0000-00008B1B0000}"/>
    <cellStyle name="Итог 2 3 3 3 8" xfId="5082" xr:uid="{00000000-0005-0000-0000-00008C1B0000}"/>
    <cellStyle name="Итог 2 3 3 4" xfId="570" xr:uid="{00000000-0005-0000-0000-00008D1B0000}"/>
    <cellStyle name="Итог 2 3 3 4 2" xfId="1402" xr:uid="{00000000-0005-0000-0000-00008E1B0000}"/>
    <cellStyle name="Итог 2 3 3 4 2 2" xfId="21395" xr:uid="{00000000-0005-0000-0000-00008F1B0000}"/>
    <cellStyle name="Итог 2 3 3 4 2 2 2" xfId="38037" xr:uid="{4D674847-17F7-46C0-B230-6EC4412DE21A}"/>
    <cellStyle name="Итог 2 3 3 4 2 3" xfId="6158" xr:uid="{00000000-0005-0000-0000-0000901B0000}"/>
    <cellStyle name="Итог 2 3 3 4 2 4" xfId="23945" xr:uid="{0795BBC2-E329-4C7E-A103-EF788B1AB43D}"/>
    <cellStyle name="Итог 2 3 3 4 3" xfId="2111" xr:uid="{00000000-0005-0000-0000-0000911B0000}"/>
    <cellStyle name="Итог 2 3 3 4 3 2" xfId="22017" xr:uid="{00000000-0005-0000-0000-0000921B0000}"/>
    <cellStyle name="Итог 2 3 3 4 3 2 2" xfId="38627" xr:uid="{763BCD3D-8451-4E94-8A8A-2D0688B99926}"/>
    <cellStyle name="Итог 2 3 3 4 3 3" xfId="6927" xr:uid="{00000000-0005-0000-0000-0000931B0000}"/>
    <cellStyle name="Итог 2 3 3 4 3 4" xfId="24554" xr:uid="{02F2DAA3-DFBD-4244-84C4-6EBFD71E542A}"/>
    <cellStyle name="Итог 2 3 3 4 4" xfId="2888" xr:uid="{00000000-0005-0000-0000-0000941B0000}"/>
    <cellStyle name="Итог 2 3 3 4 4 2" xfId="22962" xr:uid="{00000000-0005-0000-0000-0000951B0000}"/>
    <cellStyle name="Итог 2 3 3 4 4 3" xfId="39428" xr:uid="{BD47E610-A183-4825-AE33-66606B677547}"/>
    <cellStyle name="Итог 2 3 3 4 5" xfId="3148" xr:uid="{00000000-0005-0000-0000-0000961B0000}"/>
    <cellStyle name="Итог 2 3 3 4 5 2" xfId="20620" xr:uid="{00000000-0005-0000-0000-0000971B0000}"/>
    <cellStyle name="Итог 2 3 3 4 5 3" xfId="37462" xr:uid="{3078E129-4C58-40C6-8F35-F303F071A91B}"/>
    <cellStyle name="Итог 2 3 3 4 6" xfId="4130" xr:uid="{00000000-0005-0000-0000-0000981B0000}"/>
    <cellStyle name="Итог 2 3 3 4 7" xfId="4652" xr:uid="{00000000-0005-0000-0000-0000991B0000}"/>
    <cellStyle name="Итог 2 3 3 4 8" xfId="5134" xr:uid="{00000000-0005-0000-0000-00009A1B0000}"/>
    <cellStyle name="Итог 2 3 3 5" xfId="622" xr:uid="{00000000-0005-0000-0000-00009B1B0000}"/>
    <cellStyle name="Итог 2 3 3 5 2" xfId="1454" xr:uid="{00000000-0005-0000-0000-00009C1B0000}"/>
    <cellStyle name="Итог 2 3 3 5 2 2" xfId="21447" xr:uid="{00000000-0005-0000-0000-00009D1B0000}"/>
    <cellStyle name="Итог 2 3 3 5 2 2 2" xfId="38089" xr:uid="{76CFE858-926F-42EE-A280-F386538A63FE}"/>
    <cellStyle name="Итог 2 3 3 5 2 3" xfId="6210" xr:uid="{00000000-0005-0000-0000-00009E1B0000}"/>
    <cellStyle name="Итог 2 3 3 5 2 4" xfId="23997" xr:uid="{1E8BB00C-A883-4F1D-B587-FD72905A758B}"/>
    <cellStyle name="Итог 2 3 3 5 3" xfId="2224" xr:uid="{00000000-0005-0000-0000-00009F1B0000}"/>
    <cellStyle name="Итог 2 3 3 5 3 2" xfId="22069" xr:uid="{00000000-0005-0000-0000-0000A01B0000}"/>
    <cellStyle name="Итог 2 3 3 5 3 2 2" xfId="38679" xr:uid="{1D73217E-D48A-41B8-A442-AC4E129DA6F3}"/>
    <cellStyle name="Итог 2 3 3 5 3 3" xfId="6979" xr:uid="{00000000-0005-0000-0000-0000A11B0000}"/>
    <cellStyle name="Итог 2 3 3 5 3 4" xfId="24606" xr:uid="{CDFC4F6B-CCFE-45F0-871F-FD4A21559351}"/>
    <cellStyle name="Итог 2 3 3 5 4" xfId="2694" xr:uid="{00000000-0005-0000-0000-0000A21B0000}"/>
    <cellStyle name="Итог 2 3 3 5 4 2" xfId="22903" xr:uid="{00000000-0005-0000-0000-0000A31B0000}"/>
    <cellStyle name="Итог 2 3 3 5 4 3" xfId="39369" xr:uid="{F4FD134D-8742-4F21-AE1E-6EFB88263DC9}"/>
    <cellStyle name="Итог 2 3 3 5 5" xfId="3550" xr:uid="{00000000-0005-0000-0000-0000A41B0000}"/>
    <cellStyle name="Итог 2 3 3 5 5 2" xfId="20658" xr:uid="{00000000-0005-0000-0000-0000A51B0000}"/>
    <cellStyle name="Итог 2 3 3 5 5 3" xfId="37500" xr:uid="{2AFD64F8-ECBD-4BCF-A841-9F6116267D1B}"/>
    <cellStyle name="Итог 2 3 3 5 6" xfId="4182" xr:uid="{00000000-0005-0000-0000-0000A61B0000}"/>
    <cellStyle name="Итог 2 3 3 5 7" xfId="4704" xr:uid="{00000000-0005-0000-0000-0000A71B0000}"/>
    <cellStyle name="Итог 2 3 3 5 8" xfId="5186" xr:uid="{00000000-0005-0000-0000-0000A81B0000}"/>
    <cellStyle name="Итог 2 3 3 6" xfId="725" xr:uid="{00000000-0005-0000-0000-0000A91B0000}"/>
    <cellStyle name="Итог 2 3 3 6 2" xfId="1555" xr:uid="{00000000-0005-0000-0000-0000AA1B0000}"/>
    <cellStyle name="Итог 2 3 3 6 2 2" xfId="21548" xr:uid="{00000000-0005-0000-0000-0000AB1B0000}"/>
    <cellStyle name="Итог 2 3 3 6 2 2 2" xfId="38190" xr:uid="{CD92BEA0-3A5D-47CC-B8AA-61E14A30C96E}"/>
    <cellStyle name="Итог 2 3 3 6 2 3" xfId="6311" xr:uid="{00000000-0005-0000-0000-0000AC1B0000}"/>
    <cellStyle name="Итог 2 3 3 6 2 4" xfId="24098" xr:uid="{B22A98F1-C56C-4014-ADEF-AAA8A0DEA71B}"/>
    <cellStyle name="Итог 2 3 3 6 3" xfId="1873" xr:uid="{00000000-0005-0000-0000-0000AD1B0000}"/>
    <cellStyle name="Итог 2 3 3 6 3 2" xfId="22170" xr:uid="{00000000-0005-0000-0000-0000AE1B0000}"/>
    <cellStyle name="Итог 2 3 3 6 3 2 2" xfId="38780" xr:uid="{470D5398-361A-4D59-AF6F-FBCD485BF448}"/>
    <cellStyle name="Итог 2 3 3 6 3 3" xfId="7080" xr:uid="{00000000-0005-0000-0000-0000AF1B0000}"/>
    <cellStyle name="Итог 2 3 3 6 3 4" xfId="24707" xr:uid="{5AE87647-9F3E-40A2-B2D1-122C162076DE}"/>
    <cellStyle name="Итог 2 3 3 6 4" xfId="2927" xr:uid="{00000000-0005-0000-0000-0000B01B0000}"/>
    <cellStyle name="Итог 2 3 3 6 4 2" xfId="22489" xr:uid="{00000000-0005-0000-0000-0000B11B0000}"/>
    <cellStyle name="Итог 2 3 3 6 4 3" xfId="38981" xr:uid="{CB3BC4ED-AB12-41FB-A53E-E1D78802783C}"/>
    <cellStyle name="Итог 2 3 3 6 5" xfId="2971" xr:uid="{00000000-0005-0000-0000-0000B21B0000}"/>
    <cellStyle name="Итог 2 3 3 6 5 2" xfId="20723" xr:uid="{00000000-0005-0000-0000-0000B31B0000}"/>
    <cellStyle name="Итог 2 3 3 6 5 3" xfId="37552" xr:uid="{4D54ACFB-8DCA-4E53-9366-1C403D2DB3B1}"/>
    <cellStyle name="Итог 2 3 3 6 6" xfId="4284" xr:uid="{00000000-0005-0000-0000-0000B41B0000}"/>
    <cellStyle name="Итог 2 3 3 6 7" xfId="4806" xr:uid="{00000000-0005-0000-0000-0000B51B0000}"/>
    <cellStyle name="Итог 2 3 3 6 8" xfId="5287" xr:uid="{00000000-0005-0000-0000-0000B61B0000}"/>
    <cellStyle name="Итог 2 3 3 7" xfId="769" xr:uid="{00000000-0005-0000-0000-0000B71B0000}"/>
    <cellStyle name="Итог 2 3 3 7 2" xfId="1598" xr:uid="{00000000-0005-0000-0000-0000B81B0000}"/>
    <cellStyle name="Итог 2 3 3 7 2 2" xfId="21591" xr:uid="{00000000-0005-0000-0000-0000B91B0000}"/>
    <cellStyle name="Итог 2 3 3 7 2 2 2" xfId="38233" xr:uid="{F1212916-3F43-4D84-BACF-F8797F04729B}"/>
    <cellStyle name="Итог 2 3 3 7 2 3" xfId="6354" xr:uid="{00000000-0005-0000-0000-0000BA1B0000}"/>
    <cellStyle name="Итог 2 3 3 7 2 4" xfId="24141" xr:uid="{7813C8E5-1309-4EB4-99EB-075B60627ADF}"/>
    <cellStyle name="Итог 2 3 3 7 3" xfId="1700" xr:uid="{00000000-0005-0000-0000-0000BB1B0000}"/>
    <cellStyle name="Итог 2 3 3 7 3 2" xfId="22213" xr:uid="{00000000-0005-0000-0000-0000BC1B0000}"/>
    <cellStyle name="Итог 2 3 3 7 3 2 2" xfId="38823" xr:uid="{C58319C0-65C0-4A54-860B-2AAF53B61393}"/>
    <cellStyle name="Итог 2 3 3 7 3 3" xfId="7123" xr:uid="{00000000-0005-0000-0000-0000BD1B0000}"/>
    <cellStyle name="Итог 2 3 3 7 3 4" xfId="24750" xr:uid="{534308C2-4E4C-45AD-ACCE-D03AD38C665E}"/>
    <cellStyle name="Итог 2 3 3 7 4" xfId="2511" xr:uid="{00000000-0005-0000-0000-0000BE1B0000}"/>
    <cellStyle name="Итог 2 3 3 7 4 2" xfId="22756" xr:uid="{00000000-0005-0000-0000-0000BF1B0000}"/>
    <cellStyle name="Итог 2 3 3 7 4 3" xfId="39225" xr:uid="{D7C66CCB-7448-4E39-8EDC-7124F6F6DEE1}"/>
    <cellStyle name="Итог 2 3 3 7 5" xfId="3141" xr:uid="{00000000-0005-0000-0000-0000C01B0000}"/>
    <cellStyle name="Итог 2 3 3 7 5 2" xfId="20788" xr:uid="{00000000-0005-0000-0000-0000C11B0000}"/>
    <cellStyle name="Итог 2 3 3 7 5 3" xfId="37604" xr:uid="{3271A901-8AB8-412A-AE28-C7F28CC45A11}"/>
    <cellStyle name="Итог 2 3 3 7 6" xfId="4327" xr:uid="{00000000-0005-0000-0000-0000C21B0000}"/>
    <cellStyle name="Итог 2 3 3 7 7" xfId="4849" xr:uid="{00000000-0005-0000-0000-0000C31B0000}"/>
    <cellStyle name="Итог 2 3 3 7 8" xfId="5330" xr:uid="{00000000-0005-0000-0000-0000C41B0000}"/>
    <cellStyle name="Итог 2 3 3 8" xfId="801" xr:uid="{00000000-0005-0000-0000-0000C51B0000}"/>
    <cellStyle name="Итог 2 3 3 8 2" xfId="1630" xr:uid="{00000000-0005-0000-0000-0000C61B0000}"/>
    <cellStyle name="Итог 2 3 3 8 2 2" xfId="21623" xr:uid="{00000000-0005-0000-0000-0000C71B0000}"/>
    <cellStyle name="Итог 2 3 3 8 2 2 2" xfId="38265" xr:uid="{25C265EA-1DCE-47F0-B633-FEF50A092058}"/>
    <cellStyle name="Итог 2 3 3 8 2 3" xfId="6386" xr:uid="{00000000-0005-0000-0000-0000C81B0000}"/>
    <cellStyle name="Итог 2 3 3 8 2 4" xfId="24173" xr:uid="{2E40C4C1-B2AC-4ECF-8416-650F8EA5BA78}"/>
    <cellStyle name="Итог 2 3 3 8 3" xfId="1696" xr:uid="{00000000-0005-0000-0000-0000C91B0000}"/>
    <cellStyle name="Итог 2 3 3 8 3 2" xfId="22245" xr:uid="{00000000-0005-0000-0000-0000CA1B0000}"/>
    <cellStyle name="Итог 2 3 3 8 3 2 2" xfId="38855" xr:uid="{F0187C6B-1F5B-4EEB-B584-8946CA63FC1E}"/>
    <cellStyle name="Итог 2 3 3 8 3 3" xfId="7155" xr:uid="{00000000-0005-0000-0000-0000CB1B0000}"/>
    <cellStyle name="Итог 2 3 3 8 3 4" xfId="24782" xr:uid="{1237F66B-93A7-44DA-97D6-894AFF7E712C}"/>
    <cellStyle name="Итог 2 3 3 8 4" xfId="2336" xr:uid="{00000000-0005-0000-0000-0000CC1B0000}"/>
    <cellStyle name="Итог 2 3 3 8 4 2" xfId="22752" xr:uid="{00000000-0005-0000-0000-0000CD1B0000}"/>
    <cellStyle name="Итог 2 3 3 8 4 3" xfId="39221" xr:uid="{DB771AE8-F46B-4083-8EC9-5FDF16AB6B0F}"/>
    <cellStyle name="Итог 2 3 3 8 5" xfId="3460" xr:uid="{00000000-0005-0000-0000-0000CE1B0000}"/>
    <cellStyle name="Итог 2 3 3 8 5 2" xfId="20853" xr:uid="{00000000-0005-0000-0000-0000CF1B0000}"/>
    <cellStyle name="Итог 2 3 3 8 5 3" xfId="37656" xr:uid="{E913477D-E1D2-45BB-B0DF-EF81AC162AD4}"/>
    <cellStyle name="Итог 2 3 3 8 6" xfId="4359" xr:uid="{00000000-0005-0000-0000-0000D01B0000}"/>
    <cellStyle name="Итог 2 3 3 8 7" xfId="4881" xr:uid="{00000000-0005-0000-0000-0000D11B0000}"/>
    <cellStyle name="Итог 2 3 3 8 8" xfId="5362" xr:uid="{00000000-0005-0000-0000-0000D21B0000}"/>
    <cellStyle name="Итог 2 3 3 9" xfId="833" xr:uid="{00000000-0005-0000-0000-0000D31B0000}"/>
    <cellStyle name="Итог 2 3 3 9 2" xfId="1662" xr:uid="{00000000-0005-0000-0000-0000D41B0000}"/>
    <cellStyle name="Итог 2 3 3 9 2 2" xfId="21655" xr:uid="{00000000-0005-0000-0000-0000D51B0000}"/>
    <cellStyle name="Итог 2 3 3 9 2 2 2" xfId="38297" xr:uid="{07F5BF6E-7041-4D4B-9E77-6A05B3BBB0E3}"/>
    <cellStyle name="Итог 2 3 3 9 2 3" xfId="6418" xr:uid="{00000000-0005-0000-0000-0000D61B0000}"/>
    <cellStyle name="Итог 2 3 3 9 2 4" xfId="24205" xr:uid="{81CF3CF9-A6A1-4BC7-BABD-92AC13846379}"/>
    <cellStyle name="Итог 2 3 3 9 3" xfId="1692" xr:uid="{00000000-0005-0000-0000-0000D71B0000}"/>
    <cellStyle name="Итог 2 3 3 9 3 2" xfId="22277" xr:uid="{00000000-0005-0000-0000-0000D81B0000}"/>
    <cellStyle name="Итог 2 3 3 9 3 2 2" xfId="38887" xr:uid="{D3F6539F-5831-4FE9-B87E-2576EF0C2CC5}"/>
    <cellStyle name="Итог 2 3 3 9 3 3" xfId="7187" xr:uid="{00000000-0005-0000-0000-0000D91B0000}"/>
    <cellStyle name="Итог 2 3 3 9 3 4" xfId="24814" xr:uid="{57777A0F-99EC-4646-97E6-4CA61B2631C3}"/>
    <cellStyle name="Итог 2 3 3 9 4" xfId="2529" xr:uid="{00000000-0005-0000-0000-0000DA1B0000}"/>
    <cellStyle name="Итог 2 3 3 9 4 2" xfId="22748" xr:uid="{00000000-0005-0000-0000-0000DB1B0000}"/>
    <cellStyle name="Итог 2 3 3 9 4 3" xfId="39217" xr:uid="{CE6257AD-5E15-4880-8528-580C258AE204}"/>
    <cellStyle name="Итог 2 3 3 9 5" xfId="3010" xr:uid="{00000000-0005-0000-0000-0000DC1B0000}"/>
    <cellStyle name="Итог 2 3 3 9 5 2" xfId="20918" xr:uid="{00000000-0005-0000-0000-0000DD1B0000}"/>
    <cellStyle name="Итог 2 3 3 9 5 3" xfId="37708" xr:uid="{8548D43C-6327-45FB-82B5-214B16E0D01C}"/>
    <cellStyle name="Итог 2 3 3 9 6" xfId="4391" xr:uid="{00000000-0005-0000-0000-0000DE1B0000}"/>
    <cellStyle name="Итог 2 3 3 9 7" xfId="4913" xr:uid="{00000000-0005-0000-0000-0000DF1B0000}"/>
    <cellStyle name="Итог 2 3 3 9 8" xfId="5394" xr:uid="{00000000-0005-0000-0000-0000E01B0000}"/>
    <cellStyle name="Итог 2 3 4" xfId="883" xr:uid="{00000000-0005-0000-0000-0000E11B0000}"/>
    <cellStyle name="Итог 2 3 4 2" xfId="2170" xr:uid="{00000000-0005-0000-0000-0000E21B0000}"/>
    <cellStyle name="Итог 2 3 4 2 2" xfId="21769" xr:uid="{00000000-0005-0000-0000-0000E31B0000}"/>
    <cellStyle name="Итог 2 3 4 2 2 2" xfId="38379" xr:uid="{4E68D4E9-9EF3-45F6-A78E-F276DF1C4738}"/>
    <cellStyle name="Итог 2 3 4 2 3" xfId="5826" xr:uid="{00000000-0005-0000-0000-0000E41B0000}"/>
    <cellStyle name="Итог 2 3 4 2 4" xfId="23697" xr:uid="{AA0DF07D-3A89-4069-B821-B7CE007519D9}"/>
    <cellStyle name="Итог 2 3 4 3" xfId="2590" xr:uid="{00000000-0005-0000-0000-0000E51B0000}"/>
    <cellStyle name="Итог 2 3 4 3 2" xfId="22953" xr:uid="{00000000-0005-0000-0000-0000E61B0000}"/>
    <cellStyle name="Итог 2 3 4 3 2 2" xfId="39419" xr:uid="{158EE518-0002-4084-A090-C04D83B6459F}"/>
    <cellStyle name="Итог 2 3 4 3 3" xfId="6685" xr:uid="{00000000-0005-0000-0000-0000E71B0000}"/>
    <cellStyle name="Итог 2 3 4 3 4" xfId="24312" xr:uid="{90D1C45A-0530-486A-A4E4-A244731CE12D}"/>
    <cellStyle name="Итог 2 3 4 4" xfId="3704" xr:uid="{00000000-0005-0000-0000-0000E81B0000}"/>
    <cellStyle name="Итог 2 3 4 4 2" xfId="21050" xr:uid="{00000000-0005-0000-0000-0000E91B0000}"/>
    <cellStyle name="Итог 2 3 4 4 3" xfId="37789" xr:uid="{C4D2FCAF-DF9D-44AF-A4D1-665613BF25E0}"/>
    <cellStyle name="Итог 2 3 4 5" xfId="3500" xr:uid="{00000000-0005-0000-0000-0000EA1B0000}"/>
    <cellStyle name="Итог 2 3 4 6" xfId="3742" xr:uid="{00000000-0005-0000-0000-0000EB1B0000}"/>
    <cellStyle name="Итог 2 3 4 7" xfId="3168" xr:uid="{00000000-0005-0000-0000-0000EC1B0000}"/>
    <cellStyle name="Итог 2 3 5" xfId="2073" xr:uid="{00000000-0005-0000-0000-0000ED1B0000}"/>
    <cellStyle name="Итог 2 3 5 2" xfId="22630" xr:uid="{00000000-0005-0000-0000-0000EE1B0000}"/>
    <cellStyle name="Итог 2 3 5 2 2" xfId="39103" xr:uid="{1CB85C7E-D2BE-475C-B733-DA2BEBC6BA78}"/>
    <cellStyle name="Итог 2 3 5 3" xfId="5603" xr:uid="{00000000-0005-0000-0000-0000EF1B0000}"/>
    <cellStyle name="Итог 2 3 5 4" xfId="23611" xr:uid="{9F3976E0-2CAC-4C33-835F-58AFF9A357DD}"/>
    <cellStyle name="Итог 2 3 6" xfId="2831" xr:uid="{00000000-0005-0000-0000-0000F01B0000}"/>
    <cellStyle name="Итог 2 3 6 2" xfId="6605" xr:uid="{00000000-0005-0000-0000-0000F11B0000}"/>
    <cellStyle name="Итог 2 3 6 3" xfId="24232" xr:uid="{3D469265-7BFF-4CE3-9B61-108D40C9BC58}"/>
    <cellStyle name="Итог 2 3 7" xfId="3199" xr:uid="{00000000-0005-0000-0000-0000F21B0000}"/>
    <cellStyle name="Итог 2 3 7 2" xfId="7398" xr:uid="{00000000-0005-0000-0000-0000F31B0000}"/>
    <cellStyle name="Итог 2 3 7 3" xfId="24858" xr:uid="{A6D0E35F-738C-48FB-836C-5BA47A96F899}"/>
    <cellStyle name="Итог 2 3 8" xfId="3321" xr:uid="{00000000-0005-0000-0000-0000F41B0000}"/>
    <cellStyle name="Итог 2 3 9" xfId="3917" xr:uid="{00000000-0005-0000-0000-0000F51B0000}"/>
    <cellStyle name="Итог 2 4" xfId="193" xr:uid="{00000000-0005-0000-0000-0000F61B0000}"/>
    <cellStyle name="Итог 2 4 10" xfId="3186" xr:uid="{00000000-0005-0000-0000-0000F71B0000}"/>
    <cellStyle name="Итог 2 4 2" xfId="235" xr:uid="{00000000-0005-0000-0000-0000F81B0000}"/>
    <cellStyle name="Итог 2 4 2 10" xfId="818" xr:uid="{00000000-0005-0000-0000-0000F91B0000}"/>
    <cellStyle name="Итог 2 4 2 10 2" xfId="1647" xr:uid="{00000000-0005-0000-0000-0000FA1B0000}"/>
    <cellStyle name="Итог 2 4 2 10 2 2" xfId="21640" xr:uid="{00000000-0005-0000-0000-0000FB1B0000}"/>
    <cellStyle name="Итог 2 4 2 10 2 2 2" xfId="38282" xr:uid="{BBF37D83-A770-4505-ADD8-D27BE5F4E562}"/>
    <cellStyle name="Итог 2 4 2 10 2 3" xfId="6403" xr:uid="{00000000-0005-0000-0000-0000FC1B0000}"/>
    <cellStyle name="Итог 2 4 2 10 2 4" xfId="24190" xr:uid="{ED9D6C6E-1BE9-484B-9AF4-4B906AA28B11}"/>
    <cellStyle name="Итог 2 4 2 10 3" xfId="2289" xr:uid="{00000000-0005-0000-0000-0000FD1B0000}"/>
    <cellStyle name="Итог 2 4 2 10 3 2" xfId="22262" xr:uid="{00000000-0005-0000-0000-0000FE1B0000}"/>
    <cellStyle name="Итог 2 4 2 10 3 2 2" xfId="38872" xr:uid="{BB1D3525-40D9-4ED2-9740-2D5E48964AE1}"/>
    <cellStyle name="Итог 2 4 2 10 3 3" xfId="7172" xr:uid="{00000000-0005-0000-0000-0000FF1B0000}"/>
    <cellStyle name="Итог 2 4 2 10 3 4" xfId="24799" xr:uid="{587C8D52-BF44-41F6-B812-77209C4C3ED1}"/>
    <cellStyle name="Итог 2 4 2 10 4" xfId="2373" xr:uid="{00000000-0005-0000-0000-0000001C0000}"/>
    <cellStyle name="Итог 2 4 2 10 4 2" xfId="22592" xr:uid="{00000000-0005-0000-0000-0000011C0000}"/>
    <cellStyle name="Итог 2 4 2 10 4 3" xfId="39068" xr:uid="{C5339400-E2DF-48CA-BF9D-0D3C90C891C9}"/>
    <cellStyle name="Итог 2 4 2 10 5" xfId="3850" xr:uid="{00000000-0005-0000-0000-0000021C0000}"/>
    <cellStyle name="Итог 2 4 2 10 5 2" xfId="20903" xr:uid="{00000000-0005-0000-0000-0000031C0000}"/>
    <cellStyle name="Итог 2 4 2 10 5 3" xfId="37693" xr:uid="{02727D33-CABC-400F-8FB2-DF88EC179D9C}"/>
    <cellStyle name="Итог 2 4 2 10 6" xfId="4376" xr:uid="{00000000-0005-0000-0000-0000041C0000}"/>
    <cellStyle name="Итог 2 4 2 10 7" xfId="4898" xr:uid="{00000000-0005-0000-0000-0000051C0000}"/>
    <cellStyle name="Итог 2 4 2 10 8" xfId="5379" xr:uid="{00000000-0005-0000-0000-0000061C0000}"/>
    <cellStyle name="Итог 2 4 2 11" xfId="956" xr:uid="{00000000-0005-0000-0000-0000071C0000}"/>
    <cellStyle name="Итог 2 4 2 11 2" xfId="2278" xr:uid="{00000000-0005-0000-0000-0000081C0000}"/>
    <cellStyle name="Итог 2 4 2 11 2 2" xfId="21802" xr:uid="{00000000-0005-0000-0000-0000091C0000}"/>
    <cellStyle name="Итог 2 4 2 11 2 2 2" xfId="38412" xr:uid="{56360FA9-99FC-4206-BCAD-BECE963E6FDB}"/>
    <cellStyle name="Итог 2 4 2 11 2 3" xfId="5874" xr:uid="{00000000-0005-0000-0000-00000A1C0000}"/>
    <cellStyle name="Итог 2 4 2 11 2 4" xfId="23730" xr:uid="{202BFB4F-CEC8-4929-A910-56483317DAC0}"/>
    <cellStyle name="Итог 2 4 2 11 3" xfId="2903" xr:uid="{00000000-0005-0000-0000-00000B1C0000}"/>
    <cellStyle name="Итог 2 4 2 11 3 2" xfId="23017" xr:uid="{00000000-0005-0000-0000-00000C1C0000}"/>
    <cellStyle name="Итог 2 4 2 11 3 2 2" xfId="39483" xr:uid="{13A37E3F-3E06-492E-A188-6A23B9CD08FE}"/>
    <cellStyle name="Итог 2 4 2 11 3 3" xfId="6718" xr:uid="{00000000-0005-0000-0000-00000D1C0000}"/>
    <cellStyle name="Итог 2 4 2 11 3 4" xfId="24345" xr:uid="{E0CBE2F2-9B2E-4AF7-A9E7-A06325FB8651}"/>
    <cellStyle name="Итог 2 4 2 11 4" xfId="3656" xr:uid="{00000000-0005-0000-0000-00000E1C0000}"/>
    <cellStyle name="Итог 2 4 2 11 4 2" xfId="21098" xr:uid="{00000000-0005-0000-0000-00000F1C0000}"/>
    <cellStyle name="Итог 2 4 2 11 4 3" xfId="37822" xr:uid="{A2D1B874-A169-4470-8BB4-D3119BD806F9}"/>
    <cellStyle name="Итог 2 4 2 11 5" xfId="3878" xr:uid="{00000000-0005-0000-0000-0000101C0000}"/>
    <cellStyle name="Итог 2 4 2 11 6" xfId="3484" xr:uid="{00000000-0005-0000-0000-0000111C0000}"/>
    <cellStyle name="Итог 2 4 2 11 7" xfId="3820" xr:uid="{00000000-0005-0000-0000-0000121C0000}"/>
    <cellStyle name="Итог 2 4 2 12" xfId="1906" xr:uid="{00000000-0005-0000-0000-0000131C0000}"/>
    <cellStyle name="Итог 2 4 2 12 2" xfId="20968" xr:uid="{00000000-0005-0000-0000-0000141C0000}"/>
    <cellStyle name="Итог 2 4 2 12 2 2" xfId="37745" xr:uid="{1A2863BD-80D3-4536-8176-088D6356D3A5}"/>
    <cellStyle name="Итог 2 4 2 12 3" xfId="5716" xr:uid="{00000000-0005-0000-0000-0000151C0000}"/>
    <cellStyle name="Итог 2 4 2 12 4" xfId="23650" xr:uid="{0319B18F-DC5D-4A04-AB1B-196F26804D4B}"/>
    <cellStyle name="Итог 2 4 2 13" xfId="2547" xr:uid="{00000000-0005-0000-0000-0000161C0000}"/>
    <cellStyle name="Итог 2 4 2 13 2" xfId="21725" xr:uid="{00000000-0005-0000-0000-0000171C0000}"/>
    <cellStyle name="Итог 2 4 2 13 2 2" xfId="38335" xr:uid="{AB0EBF37-9B99-4546-8A02-AA407EBC0278}"/>
    <cellStyle name="Итог 2 4 2 13 3" xfId="6643" xr:uid="{00000000-0005-0000-0000-0000181C0000}"/>
    <cellStyle name="Итог 2 4 2 13 4" xfId="24270" xr:uid="{91653FE7-3370-4589-83FB-1BC261B6B131}"/>
    <cellStyle name="Итог 2 4 2 14" xfId="3111" xr:uid="{00000000-0005-0000-0000-0000191C0000}"/>
    <cellStyle name="Итог 2 4 2 14 2" xfId="22631" xr:uid="{00000000-0005-0000-0000-00001A1C0000}"/>
    <cellStyle name="Итог 2 4 2 14 3" xfId="39104" xr:uid="{01A18975-1C18-4841-83F5-C607EA8A592E}"/>
    <cellStyle name="Итог 2 4 2 15" xfId="3126" xr:uid="{00000000-0005-0000-0000-00001B1C0000}"/>
    <cellStyle name="Итог 2 4 2 15 2" xfId="7492" xr:uid="{00000000-0005-0000-0000-00001C1C0000}"/>
    <cellStyle name="Итог 2 4 2 15 3" xfId="24894" xr:uid="{06F20B6F-7149-4452-9F69-6068081DAE7A}"/>
    <cellStyle name="Итог 2 4 2 16" xfId="3151" xr:uid="{00000000-0005-0000-0000-00001D1C0000}"/>
    <cellStyle name="Итог 2 4 2 17" xfId="3404" xr:uid="{00000000-0005-0000-0000-00001E1C0000}"/>
    <cellStyle name="Итог 2 4 2 2" xfId="341" xr:uid="{00000000-0005-0000-0000-00001F1C0000}"/>
    <cellStyle name="Итог 2 4 2 2 2" xfId="1028" xr:uid="{00000000-0005-0000-0000-0000201C0000}"/>
    <cellStyle name="Итог 2 4 2 2 2 2" xfId="21192" xr:uid="{00000000-0005-0000-0000-0000211C0000}"/>
    <cellStyle name="Итог 2 4 2 2 2 2 2" xfId="37862" xr:uid="{4C3B5787-2EB2-421D-A611-A0BDB1C3AD16}"/>
    <cellStyle name="Итог 2 4 2 2 2 3" xfId="5972" xr:uid="{00000000-0005-0000-0000-0000221C0000}"/>
    <cellStyle name="Итог 2 4 2 2 2 4" xfId="23770" xr:uid="{0558ACAF-9271-4B6F-B77E-233B340926E1}"/>
    <cellStyle name="Итог 2 4 2 2 3" xfId="2032" xr:uid="{00000000-0005-0000-0000-0000231C0000}"/>
    <cellStyle name="Итог 2 4 2 2 3 2" xfId="21842" xr:uid="{00000000-0005-0000-0000-0000241C0000}"/>
    <cellStyle name="Итог 2 4 2 2 3 2 2" xfId="38452" xr:uid="{85B6DEE5-0FBA-48C0-A9D1-B333DF3B0CB5}"/>
    <cellStyle name="Итог 2 4 2 2 3 3" xfId="6756" xr:uid="{00000000-0005-0000-0000-0000251C0000}"/>
    <cellStyle name="Итог 2 4 2 2 3 4" xfId="24383" xr:uid="{6F2D1FF4-2397-42A2-BB02-6E8E1B84B8C0}"/>
    <cellStyle name="Итог 2 4 2 2 4" xfId="2820" xr:uid="{00000000-0005-0000-0000-0000261C0000}"/>
    <cellStyle name="Итог 2 4 2 2 4 2" xfId="22976" xr:uid="{00000000-0005-0000-0000-0000271C0000}"/>
    <cellStyle name="Итог 2 4 2 2 4 3" xfId="39442" xr:uid="{D2A36C7F-13B0-46ED-9CA5-C1D06FDD27BE}"/>
    <cellStyle name="Итог 2 4 2 2 5" xfId="3669" xr:uid="{00000000-0005-0000-0000-0000281C0000}"/>
    <cellStyle name="Итог 2 4 2 2 5 2" xfId="14074" xr:uid="{00000000-0005-0000-0000-0000291C0000}"/>
    <cellStyle name="Итог 2 4 2 2 5 3" xfId="31113" xr:uid="{57125B6F-C4FC-4B56-95C6-B153097126AA}"/>
    <cellStyle name="Итог 2 4 2 2 6" xfId="3943" xr:uid="{00000000-0005-0000-0000-00002A1C0000}"/>
    <cellStyle name="Итог 2 4 2 2 7" xfId="4473" xr:uid="{00000000-0005-0000-0000-00002B1C0000}"/>
    <cellStyle name="Итог 2 4 2 2 8" xfId="4963" xr:uid="{00000000-0005-0000-0000-00002C1C0000}"/>
    <cellStyle name="Итог 2 4 2 3" xfId="457" xr:uid="{00000000-0005-0000-0000-00002D1C0000}"/>
    <cellStyle name="Итог 2 4 2 3 2" xfId="1289" xr:uid="{00000000-0005-0000-0000-00002E1C0000}"/>
    <cellStyle name="Итог 2 4 2 3 2 2" xfId="21282" xr:uid="{00000000-0005-0000-0000-00002F1C0000}"/>
    <cellStyle name="Итог 2 4 2 3 2 2 2" xfId="37924" xr:uid="{30A76426-F28D-45B3-962B-37DAA00D0AD2}"/>
    <cellStyle name="Итог 2 4 2 3 2 3" xfId="6045" xr:uid="{00000000-0005-0000-0000-0000301C0000}"/>
    <cellStyle name="Итог 2 4 2 3 2 4" xfId="23832" xr:uid="{E874A129-01FA-4849-ADC0-FA59ECDCE363}"/>
    <cellStyle name="Итог 2 4 2 3 3" xfId="1972" xr:uid="{00000000-0005-0000-0000-0000311C0000}"/>
    <cellStyle name="Итог 2 4 2 3 3 2" xfId="21904" xr:uid="{00000000-0005-0000-0000-0000321C0000}"/>
    <cellStyle name="Итог 2 4 2 3 3 2 2" xfId="38514" xr:uid="{1E565F9E-2A40-4177-9770-DFF06BFB10B1}"/>
    <cellStyle name="Итог 2 4 2 3 3 3" xfId="6815" xr:uid="{00000000-0005-0000-0000-0000331C0000}"/>
    <cellStyle name="Итог 2 4 2 3 3 4" xfId="24442" xr:uid="{08F0F87B-B81C-430B-ABD7-A0C43BF751A6}"/>
    <cellStyle name="Итог 2 4 2 3 4" xfId="2765" xr:uid="{00000000-0005-0000-0000-0000341C0000}"/>
    <cellStyle name="Итог 2 4 2 3 4 2" xfId="22623" xr:uid="{00000000-0005-0000-0000-0000351C0000}"/>
    <cellStyle name="Итог 2 4 2 3 4 3" xfId="39097" xr:uid="{FD561727-AC3A-47D3-A6EA-41D23F2CDC85}"/>
    <cellStyle name="Итог 2 4 2 3 5" xfId="3102" xr:uid="{00000000-0005-0000-0000-0000361C0000}"/>
    <cellStyle name="Итог 2 4 2 3 5 2" xfId="20432" xr:uid="{00000000-0005-0000-0000-0000371C0000}"/>
    <cellStyle name="Итог 2 4 2 3 5 3" xfId="37334" xr:uid="{913A4193-76C1-45CA-85A0-04E7647046CC}"/>
    <cellStyle name="Итог 2 4 2 3 6" xfId="4018" xr:uid="{00000000-0005-0000-0000-0000381C0000}"/>
    <cellStyle name="Итог 2 4 2 3 7" xfId="4540" xr:uid="{00000000-0005-0000-0000-0000391C0000}"/>
    <cellStyle name="Итог 2 4 2 3 8" xfId="5022" xr:uid="{00000000-0005-0000-0000-00003A1C0000}"/>
    <cellStyle name="Итог 2 4 2 4" xfId="503" xr:uid="{00000000-0005-0000-0000-00003B1C0000}"/>
    <cellStyle name="Итог 2 4 2 4 2" xfId="1335" xr:uid="{00000000-0005-0000-0000-00003C1C0000}"/>
    <cellStyle name="Итог 2 4 2 4 2 2" xfId="21328" xr:uid="{00000000-0005-0000-0000-00003D1C0000}"/>
    <cellStyle name="Итог 2 4 2 4 2 2 2" xfId="37970" xr:uid="{C5F42A40-7481-4966-B8BD-D37DBCB7B2C4}"/>
    <cellStyle name="Итог 2 4 2 4 2 3" xfId="6091" xr:uid="{00000000-0005-0000-0000-00003E1C0000}"/>
    <cellStyle name="Итог 2 4 2 4 2 4" xfId="23878" xr:uid="{16A48262-71EF-4061-8025-CC5DD13ED00E}"/>
    <cellStyle name="Итог 2 4 2 4 3" xfId="2193" xr:uid="{00000000-0005-0000-0000-00003F1C0000}"/>
    <cellStyle name="Итог 2 4 2 4 3 2" xfId="21950" xr:uid="{00000000-0005-0000-0000-0000401C0000}"/>
    <cellStyle name="Итог 2 4 2 4 3 2 2" xfId="38560" xr:uid="{51F69FC5-1D1C-4336-8186-8A9EE4760679}"/>
    <cellStyle name="Итог 2 4 2 4 3 3" xfId="6860" xr:uid="{00000000-0005-0000-0000-0000411C0000}"/>
    <cellStyle name="Итог 2 4 2 4 3 4" xfId="24487" xr:uid="{D0007BDC-7A6C-4613-B838-B96ECC6FEE29}"/>
    <cellStyle name="Итог 2 4 2 4 4" xfId="2405" xr:uid="{00000000-0005-0000-0000-0000421C0000}"/>
    <cellStyle name="Итог 2 4 2 4 4 2" xfId="22672" xr:uid="{00000000-0005-0000-0000-0000431C0000}"/>
    <cellStyle name="Итог 2 4 2 4 4 3" xfId="39144" xr:uid="{3EE81C69-FACD-409D-9770-2DFAA1898544}"/>
    <cellStyle name="Итог 2 4 2 4 5" xfId="3686" xr:uid="{00000000-0005-0000-0000-0000441C0000}"/>
    <cellStyle name="Итог 2 4 2 4 5 2" xfId="20489" xr:uid="{00000000-0005-0000-0000-0000451C0000}"/>
    <cellStyle name="Итог 2 4 2 4 5 3" xfId="37381" xr:uid="{B132D57C-1D3A-49BB-BA19-DD6F93497BFC}"/>
    <cellStyle name="Итог 2 4 2 4 6" xfId="4063" xr:uid="{00000000-0005-0000-0000-0000461C0000}"/>
    <cellStyle name="Итог 2 4 2 4 7" xfId="4585" xr:uid="{00000000-0005-0000-0000-0000471C0000}"/>
    <cellStyle name="Итог 2 4 2 4 8" xfId="5067" xr:uid="{00000000-0005-0000-0000-0000481C0000}"/>
    <cellStyle name="Итог 2 4 2 5" xfId="555" xr:uid="{00000000-0005-0000-0000-0000491C0000}"/>
    <cellStyle name="Итог 2 4 2 5 2" xfId="1387" xr:uid="{00000000-0005-0000-0000-00004A1C0000}"/>
    <cellStyle name="Итог 2 4 2 5 2 2" xfId="21380" xr:uid="{00000000-0005-0000-0000-00004B1C0000}"/>
    <cellStyle name="Итог 2 4 2 5 2 2 2" xfId="38022" xr:uid="{8AAFB889-36D5-43D5-82D7-4A91FCC45FC2}"/>
    <cellStyle name="Итог 2 4 2 5 2 3" xfId="6143" xr:uid="{00000000-0005-0000-0000-00004C1C0000}"/>
    <cellStyle name="Итог 2 4 2 5 2 4" xfId="23930" xr:uid="{00A42E84-0D49-4CE1-8590-17C7760AFD73}"/>
    <cellStyle name="Итог 2 4 2 5 3" xfId="2089" xr:uid="{00000000-0005-0000-0000-00004D1C0000}"/>
    <cellStyle name="Итог 2 4 2 5 3 2" xfId="22002" xr:uid="{00000000-0005-0000-0000-00004E1C0000}"/>
    <cellStyle name="Итог 2 4 2 5 3 2 2" xfId="38612" xr:uid="{0380A234-7883-4A04-9FA9-62272BB28A49}"/>
    <cellStyle name="Итог 2 4 2 5 3 3" xfId="6912" xr:uid="{00000000-0005-0000-0000-00004F1C0000}"/>
    <cellStyle name="Итог 2 4 2 5 3 4" xfId="24539" xr:uid="{B1F79331-2F2E-4834-A7D2-0C78003A1207}"/>
    <cellStyle name="Итог 2 4 2 5 4" xfId="2453" xr:uid="{00000000-0005-0000-0000-0000501C0000}"/>
    <cellStyle name="Итог 2 4 2 5 4 2" xfId="22724" xr:uid="{00000000-0005-0000-0000-0000511C0000}"/>
    <cellStyle name="Итог 2 4 2 5 4 3" xfId="39193" xr:uid="{2559D5DD-7642-4835-8760-7C86EB0F9B32}"/>
    <cellStyle name="Итог 2 4 2 5 5" xfId="3730" xr:uid="{00000000-0005-0000-0000-0000521C0000}"/>
    <cellStyle name="Итог 2 4 2 5 5 2" xfId="20602" xr:uid="{00000000-0005-0000-0000-0000531C0000}"/>
    <cellStyle name="Итог 2 4 2 5 5 3" xfId="37447" xr:uid="{B54F8C7C-B701-4120-A36B-CEBAB2B6947E}"/>
    <cellStyle name="Итог 2 4 2 5 6" xfId="4115" xr:uid="{00000000-0005-0000-0000-0000541C0000}"/>
    <cellStyle name="Итог 2 4 2 5 7" xfId="4637" xr:uid="{00000000-0005-0000-0000-0000551C0000}"/>
    <cellStyle name="Итог 2 4 2 5 8" xfId="5119" xr:uid="{00000000-0005-0000-0000-0000561C0000}"/>
    <cellStyle name="Итог 2 4 2 6" xfId="607" xr:uid="{00000000-0005-0000-0000-0000571C0000}"/>
    <cellStyle name="Итог 2 4 2 6 2" xfId="1439" xr:uid="{00000000-0005-0000-0000-0000581C0000}"/>
    <cellStyle name="Итог 2 4 2 6 2 2" xfId="21432" xr:uid="{00000000-0005-0000-0000-0000591C0000}"/>
    <cellStyle name="Итог 2 4 2 6 2 2 2" xfId="38074" xr:uid="{A797327D-7ED0-4BA5-944C-EA5F1ED3CA3F}"/>
    <cellStyle name="Итог 2 4 2 6 2 3" xfId="6195" xr:uid="{00000000-0005-0000-0000-00005A1C0000}"/>
    <cellStyle name="Итог 2 4 2 6 2 4" xfId="23982" xr:uid="{BFCAB6A9-9711-456F-9F7A-2A4DCFABAEC4}"/>
    <cellStyle name="Итог 2 4 2 6 3" xfId="2271" xr:uid="{00000000-0005-0000-0000-00005B1C0000}"/>
    <cellStyle name="Итог 2 4 2 6 3 2" xfId="22054" xr:uid="{00000000-0005-0000-0000-00005C1C0000}"/>
    <cellStyle name="Итог 2 4 2 6 3 2 2" xfId="38664" xr:uid="{E86331FD-1B6C-40D6-B85D-5BE53914A5E7}"/>
    <cellStyle name="Итог 2 4 2 6 3 3" xfId="6964" xr:uid="{00000000-0005-0000-0000-00005D1C0000}"/>
    <cellStyle name="Итог 2 4 2 6 3 4" xfId="24591" xr:uid="{F1489E4C-D38F-4AA5-BF91-6758FABEDEBA}"/>
    <cellStyle name="Итог 2 4 2 6 4" xfId="2712" xr:uid="{00000000-0005-0000-0000-00005E1C0000}"/>
    <cellStyle name="Итог 2 4 2 6 4 2" xfId="22711" xr:uid="{00000000-0005-0000-0000-00005F1C0000}"/>
    <cellStyle name="Итог 2 4 2 6 4 3" xfId="39181" xr:uid="{15C38155-DEB2-4E27-A962-A230784D1EA4}"/>
    <cellStyle name="Итог 2 4 2 6 5" xfId="3831" xr:uid="{00000000-0005-0000-0000-0000601C0000}"/>
    <cellStyle name="Итог 2 4 2 6 5 2" xfId="20643" xr:uid="{00000000-0005-0000-0000-0000611C0000}"/>
    <cellStyle name="Итог 2 4 2 6 5 3" xfId="37485" xr:uid="{EFD564E8-CC7E-446A-98CF-DB462AA5B77A}"/>
    <cellStyle name="Итог 2 4 2 6 6" xfId="4167" xr:uid="{00000000-0005-0000-0000-0000621C0000}"/>
    <cellStyle name="Итог 2 4 2 6 7" xfId="4689" xr:uid="{00000000-0005-0000-0000-0000631C0000}"/>
    <cellStyle name="Итог 2 4 2 6 8" xfId="5171" xr:uid="{00000000-0005-0000-0000-0000641C0000}"/>
    <cellStyle name="Итог 2 4 2 7" xfId="707" xr:uid="{00000000-0005-0000-0000-0000651C0000}"/>
    <cellStyle name="Итог 2 4 2 7 2" xfId="1537" xr:uid="{00000000-0005-0000-0000-0000661C0000}"/>
    <cellStyle name="Итог 2 4 2 7 2 2" xfId="21530" xr:uid="{00000000-0005-0000-0000-0000671C0000}"/>
    <cellStyle name="Итог 2 4 2 7 2 2 2" xfId="38172" xr:uid="{B5EBAC6B-4F2B-4768-9BC4-A9019B8C9568}"/>
    <cellStyle name="Итог 2 4 2 7 2 3" xfId="6293" xr:uid="{00000000-0005-0000-0000-0000681C0000}"/>
    <cellStyle name="Итог 2 4 2 7 2 4" xfId="24080" xr:uid="{BCE352EE-D11A-4C1B-91CA-6631BAC82630}"/>
    <cellStyle name="Итог 2 4 2 7 3" xfId="1710" xr:uid="{00000000-0005-0000-0000-0000691C0000}"/>
    <cellStyle name="Итог 2 4 2 7 3 2" xfId="22152" xr:uid="{00000000-0005-0000-0000-00006A1C0000}"/>
    <cellStyle name="Итог 2 4 2 7 3 2 2" xfId="38762" xr:uid="{5E7241B3-6E40-4D69-A40E-173774CA30E1}"/>
    <cellStyle name="Итог 2 4 2 7 3 3" xfId="7062" xr:uid="{00000000-0005-0000-0000-00006B1C0000}"/>
    <cellStyle name="Итог 2 4 2 7 3 4" xfId="24689" xr:uid="{2592D948-AE94-4CC0-956D-AED8E5C31973}"/>
    <cellStyle name="Итог 2 4 2 7 4" xfId="2352" xr:uid="{00000000-0005-0000-0000-00006C1C0000}"/>
    <cellStyle name="Итог 2 4 2 7 4 2" xfId="22668" xr:uid="{00000000-0005-0000-0000-00006D1C0000}"/>
    <cellStyle name="Итог 2 4 2 7 4 3" xfId="39140" xr:uid="{63785B92-2918-4B4C-8A95-66DBF76FF0EA}"/>
    <cellStyle name="Итог 2 4 2 7 5" xfId="3027" xr:uid="{00000000-0005-0000-0000-00006E1C0000}"/>
    <cellStyle name="Итог 2 4 2 7 5 2" xfId="20708" xr:uid="{00000000-0005-0000-0000-00006F1C0000}"/>
    <cellStyle name="Итог 2 4 2 7 5 3" xfId="37537" xr:uid="{4994648B-0027-44A5-B2E9-391AE9F5E0A0}"/>
    <cellStyle name="Итог 2 4 2 7 6" xfId="4266" xr:uid="{00000000-0005-0000-0000-0000701C0000}"/>
    <cellStyle name="Итог 2 4 2 7 7" xfId="4788" xr:uid="{00000000-0005-0000-0000-0000711C0000}"/>
    <cellStyle name="Итог 2 4 2 7 8" xfId="5269" xr:uid="{00000000-0005-0000-0000-0000721C0000}"/>
    <cellStyle name="Итог 2 4 2 8" xfId="752" xr:uid="{00000000-0005-0000-0000-0000731C0000}"/>
    <cellStyle name="Итог 2 4 2 8 2" xfId="1582" xr:uid="{00000000-0005-0000-0000-0000741C0000}"/>
    <cellStyle name="Итог 2 4 2 8 2 2" xfId="21575" xr:uid="{00000000-0005-0000-0000-0000751C0000}"/>
    <cellStyle name="Итог 2 4 2 8 2 2 2" xfId="38217" xr:uid="{EEA7882A-B2A1-4B36-A971-D8B2CF08DF77}"/>
    <cellStyle name="Итог 2 4 2 8 2 3" xfId="6338" xr:uid="{00000000-0005-0000-0000-0000761C0000}"/>
    <cellStyle name="Итог 2 4 2 8 2 4" xfId="24125" xr:uid="{281465C0-ED7F-4F4B-B0F5-DC4B4A8D7800}"/>
    <cellStyle name="Итог 2 4 2 8 3" xfId="1743" xr:uid="{00000000-0005-0000-0000-0000771C0000}"/>
    <cellStyle name="Итог 2 4 2 8 3 2" xfId="22197" xr:uid="{00000000-0005-0000-0000-0000781C0000}"/>
    <cellStyle name="Итог 2 4 2 8 3 2 2" xfId="38807" xr:uid="{9B0863FA-F6AE-4E9D-ADC9-CFFAC2188654}"/>
    <cellStyle name="Итог 2 4 2 8 3 3" xfId="7107" xr:uid="{00000000-0005-0000-0000-0000791C0000}"/>
    <cellStyle name="Итог 2 4 2 8 3 4" xfId="24734" xr:uid="{045319A8-8006-4759-B39C-29A0EC3DB701}"/>
    <cellStyle name="Итог 2 4 2 8 4" xfId="2538" xr:uid="{00000000-0005-0000-0000-00007A1C0000}"/>
    <cellStyle name="Итог 2 4 2 8 4 2" xfId="23104" xr:uid="{00000000-0005-0000-0000-00007B1C0000}"/>
    <cellStyle name="Итог 2 4 2 8 4 3" xfId="39570" xr:uid="{FBF59358-EF5D-4A3B-A95B-55E95035E5C9}"/>
    <cellStyle name="Итог 2 4 2 8 5" xfId="3840" xr:uid="{00000000-0005-0000-0000-00007C1C0000}"/>
    <cellStyle name="Итог 2 4 2 8 5 2" xfId="20773" xr:uid="{00000000-0005-0000-0000-00007D1C0000}"/>
    <cellStyle name="Итог 2 4 2 8 5 3" xfId="37589" xr:uid="{C542CD9D-EF22-486B-BABC-58757D693F19}"/>
    <cellStyle name="Итог 2 4 2 8 6" xfId="4311" xr:uid="{00000000-0005-0000-0000-00007E1C0000}"/>
    <cellStyle name="Итог 2 4 2 8 7" xfId="4833" xr:uid="{00000000-0005-0000-0000-00007F1C0000}"/>
    <cellStyle name="Итог 2 4 2 8 8" xfId="5314" xr:uid="{00000000-0005-0000-0000-0000801C0000}"/>
    <cellStyle name="Итог 2 4 2 9" xfId="786" xr:uid="{00000000-0005-0000-0000-0000811C0000}"/>
    <cellStyle name="Итог 2 4 2 9 2" xfId="1615" xr:uid="{00000000-0005-0000-0000-0000821C0000}"/>
    <cellStyle name="Итог 2 4 2 9 2 2" xfId="21608" xr:uid="{00000000-0005-0000-0000-0000831C0000}"/>
    <cellStyle name="Итог 2 4 2 9 2 2 2" xfId="38250" xr:uid="{833D8BF0-EA4B-40F1-BD31-2329CB7A10AC}"/>
    <cellStyle name="Итог 2 4 2 9 2 3" xfId="6371" xr:uid="{00000000-0005-0000-0000-0000841C0000}"/>
    <cellStyle name="Итог 2 4 2 9 2 4" xfId="24158" xr:uid="{9052C1F0-FE5B-4C21-99C5-840AA5DC7A12}"/>
    <cellStyle name="Итог 2 4 2 9 3" xfId="2300" xr:uid="{00000000-0005-0000-0000-0000851C0000}"/>
    <cellStyle name="Итог 2 4 2 9 3 2" xfId="22230" xr:uid="{00000000-0005-0000-0000-0000861C0000}"/>
    <cellStyle name="Итог 2 4 2 9 3 2 2" xfId="38840" xr:uid="{7FE2272D-E264-4A96-8466-AED907854B7B}"/>
    <cellStyle name="Итог 2 4 2 9 3 3" xfId="7140" xr:uid="{00000000-0005-0000-0000-0000871C0000}"/>
    <cellStyle name="Итог 2 4 2 9 3 4" xfId="24767" xr:uid="{521D037B-FB0A-456C-9030-87E0A600B9A2}"/>
    <cellStyle name="Итог 2 4 2 9 4" xfId="2645" xr:uid="{00000000-0005-0000-0000-0000881C0000}"/>
    <cellStyle name="Итог 2 4 2 9 4 2" xfId="22596" xr:uid="{00000000-0005-0000-0000-0000891C0000}"/>
    <cellStyle name="Итог 2 4 2 9 4 3" xfId="39072" xr:uid="{7896EDEE-A3D6-461C-AF45-4ABF293B203E}"/>
    <cellStyle name="Итог 2 4 2 9 5" xfId="3383" xr:uid="{00000000-0005-0000-0000-00008A1C0000}"/>
    <cellStyle name="Итог 2 4 2 9 5 2" xfId="20838" xr:uid="{00000000-0005-0000-0000-00008B1C0000}"/>
    <cellStyle name="Итог 2 4 2 9 5 3" xfId="37641" xr:uid="{1DC218BB-7462-4ECA-855D-2D707EDB68EB}"/>
    <cellStyle name="Итог 2 4 2 9 6" xfId="4344" xr:uid="{00000000-0005-0000-0000-00008C1C0000}"/>
    <cellStyle name="Итог 2 4 2 9 7" xfId="4866" xr:uid="{00000000-0005-0000-0000-00008D1C0000}"/>
    <cellStyle name="Итог 2 4 2 9 8" xfId="5347" xr:uid="{00000000-0005-0000-0000-00008E1C0000}"/>
    <cellStyle name="Итог 2 4 3" xfId="372" xr:uid="{00000000-0005-0000-0000-00008F1C0000}"/>
    <cellStyle name="Итог 2 4 3 10" xfId="997" xr:uid="{00000000-0005-0000-0000-0000901C0000}"/>
    <cellStyle name="Итог 2 4 3 10 2" xfId="1918" xr:uid="{00000000-0005-0000-0000-0000911C0000}"/>
    <cellStyle name="Итог 2 4 3 10 2 2" xfId="21861" xr:uid="{00000000-0005-0000-0000-0000921C0000}"/>
    <cellStyle name="Итог 2 4 3 10 2 2 2" xfId="38471" xr:uid="{06DC482D-6E0B-45AD-B4BE-19A7104BCB81}"/>
    <cellStyle name="Итог 2 4 3 10 2 3" xfId="6001" xr:uid="{00000000-0005-0000-0000-0000931C0000}"/>
    <cellStyle name="Итог 2 4 3 10 2 4" xfId="23789" xr:uid="{DBE59F53-B241-4BB5-A6C6-7F2467098A3F}"/>
    <cellStyle name="Итог 2 4 3 10 3" xfId="2581" xr:uid="{00000000-0005-0000-0000-0000941C0000}"/>
    <cellStyle name="Итог 2 4 3 10 3 2" xfId="23045" xr:uid="{00000000-0005-0000-0000-0000951C0000}"/>
    <cellStyle name="Итог 2 4 3 10 3 2 2" xfId="39511" xr:uid="{C775D749-469D-48E8-A69F-0F5C6096B514}"/>
    <cellStyle name="Итог 2 4 3 10 3 3" xfId="6775" xr:uid="{00000000-0005-0000-0000-0000961C0000}"/>
    <cellStyle name="Итог 2 4 3 10 3 4" xfId="24402" xr:uid="{3B1C3CD8-3E4C-469C-8F7D-73423C997F6D}"/>
    <cellStyle name="Итог 2 4 3 10 4" xfId="3746" xr:uid="{00000000-0005-0000-0000-0000971C0000}"/>
    <cellStyle name="Итог 2 4 3 10 4 2" xfId="21220" xr:uid="{00000000-0005-0000-0000-0000981C0000}"/>
    <cellStyle name="Итог 2 4 3 10 4 3" xfId="37881" xr:uid="{9794F2E8-52F5-47C7-B149-0067F5079D1D}"/>
    <cellStyle name="Итог 2 4 3 10 5" xfId="3965" xr:uid="{00000000-0005-0000-0000-0000991C0000}"/>
    <cellStyle name="Итог 2 4 3 10 6" xfId="4493" xr:uid="{00000000-0005-0000-0000-00009A1C0000}"/>
    <cellStyle name="Итог 2 4 3 10 7" xfId="4982" xr:uid="{00000000-0005-0000-0000-00009B1C0000}"/>
    <cellStyle name="Итог 2 4 3 11" xfId="1815" xr:uid="{00000000-0005-0000-0000-00009C1C0000}"/>
    <cellStyle name="Итог 2 4 3 11 2" xfId="20987" xr:uid="{00000000-0005-0000-0000-00009D1C0000}"/>
    <cellStyle name="Итог 2 4 3 11 2 2" xfId="37764" xr:uid="{91DA532F-F85E-4DF6-854E-7964D6707F57}"/>
    <cellStyle name="Итог 2 4 3 11 3" xfId="5745" xr:uid="{00000000-0005-0000-0000-00009E1C0000}"/>
    <cellStyle name="Итог 2 4 3 11 4" xfId="23669" xr:uid="{7945F94E-95FB-4B91-AB37-0D52153D0C6A}"/>
    <cellStyle name="Итог 2 4 3 12" xfId="2545" xr:uid="{00000000-0005-0000-0000-00009F1C0000}"/>
    <cellStyle name="Итог 2 4 3 12 2" xfId="21744" xr:uid="{00000000-0005-0000-0000-0000A01C0000}"/>
    <cellStyle name="Итог 2 4 3 12 2 2" xfId="38354" xr:uid="{28FDAAFD-2341-46A2-A9A8-73CBE0D316E7}"/>
    <cellStyle name="Итог 2 4 3 12 3" xfId="6662" xr:uid="{00000000-0005-0000-0000-0000A11C0000}"/>
    <cellStyle name="Итог 2 4 3 12 4" xfId="24289" xr:uid="{311A22B3-F2D6-418C-AE77-EECF22FB64CB}"/>
    <cellStyle name="Итог 2 4 3 13" xfId="3318" xr:uid="{00000000-0005-0000-0000-0000A21C0000}"/>
    <cellStyle name="Итог 2 4 3 13 2" xfId="22583" xr:uid="{00000000-0005-0000-0000-0000A31C0000}"/>
    <cellStyle name="Итог 2 4 3 13 3" xfId="39060" xr:uid="{FF1C4C7D-7EFC-4362-BE70-827FACD708F6}"/>
    <cellStyle name="Итог 2 4 3 14" xfId="3058" xr:uid="{00000000-0005-0000-0000-0000A41C0000}"/>
    <cellStyle name="Итог 2 4 3 14 2" xfId="14043" xr:uid="{00000000-0005-0000-0000-0000A51C0000}"/>
    <cellStyle name="Итог 2 4 3 14 3" xfId="31082" xr:uid="{06E90A51-8606-47D6-A567-9004BB37BD8C}"/>
    <cellStyle name="Итог 2 4 3 15" xfId="3051" xr:uid="{00000000-0005-0000-0000-0000A61C0000}"/>
    <cellStyle name="Итог 2 4 3 16" xfId="4412" xr:uid="{00000000-0005-0000-0000-0000A71C0000}"/>
    <cellStyle name="Итог 2 4 3 2" xfId="477" xr:uid="{00000000-0005-0000-0000-0000A81C0000}"/>
    <cellStyle name="Итог 2 4 3 2 2" xfId="1309" xr:uid="{00000000-0005-0000-0000-0000A91C0000}"/>
    <cellStyle name="Итог 2 4 3 2 2 2" xfId="21302" xr:uid="{00000000-0005-0000-0000-0000AA1C0000}"/>
    <cellStyle name="Итог 2 4 3 2 2 2 2" xfId="37944" xr:uid="{59CE6BC7-7FE8-4F26-A7A6-57246786B4A8}"/>
    <cellStyle name="Итог 2 4 3 2 2 3" xfId="6065" xr:uid="{00000000-0005-0000-0000-0000AB1C0000}"/>
    <cellStyle name="Итог 2 4 3 2 2 4" xfId="23852" xr:uid="{00935680-5510-485F-B136-853E1DC2152C}"/>
    <cellStyle name="Итог 2 4 3 2 3" xfId="2121" xr:uid="{00000000-0005-0000-0000-0000AC1C0000}"/>
    <cellStyle name="Итог 2 4 3 2 3 2" xfId="21924" xr:uid="{00000000-0005-0000-0000-0000AD1C0000}"/>
    <cellStyle name="Итог 2 4 3 2 3 2 2" xfId="38534" xr:uid="{86FDDA77-AEB0-4C77-A4AB-10A9FD9E16D5}"/>
    <cellStyle name="Итог 2 4 3 2 3 3" xfId="6834" xr:uid="{00000000-0005-0000-0000-0000AE1C0000}"/>
    <cellStyle name="Итог 2 4 3 2 3 4" xfId="24461" xr:uid="{C8A2F954-9F01-4DA7-88FE-5B667B6F2DD6}"/>
    <cellStyle name="Итог 2 4 3 2 4" xfId="2864" xr:uid="{00000000-0005-0000-0000-0000AF1C0000}"/>
    <cellStyle name="Итог 2 4 3 2 4 2" xfId="22772" xr:uid="{00000000-0005-0000-0000-0000B01C0000}"/>
    <cellStyle name="Итог 2 4 3 2 4 3" xfId="39240" xr:uid="{9BB10DAD-CC24-4B06-9CC9-597F044F0DB9}"/>
    <cellStyle name="Итог 2 4 3 2 5" xfId="3347" xr:uid="{00000000-0005-0000-0000-0000B11C0000}"/>
    <cellStyle name="Итог 2 4 3 2 5 2" xfId="20461" xr:uid="{00000000-0005-0000-0000-0000B21C0000}"/>
    <cellStyle name="Итог 2 4 3 2 5 3" xfId="37353" xr:uid="{0DF8D797-59C3-4850-836F-DBF1E377D9AD}"/>
    <cellStyle name="Итог 2 4 3 2 6" xfId="4037" xr:uid="{00000000-0005-0000-0000-0000B31C0000}"/>
    <cellStyle name="Итог 2 4 3 2 7" xfId="4559" xr:uid="{00000000-0005-0000-0000-0000B41C0000}"/>
    <cellStyle name="Итог 2 4 3 2 8" xfId="5041" xr:uid="{00000000-0005-0000-0000-0000B51C0000}"/>
    <cellStyle name="Итог 2 4 3 3" xfId="522" xr:uid="{00000000-0005-0000-0000-0000B61C0000}"/>
    <cellStyle name="Итог 2 4 3 3 2" xfId="1354" xr:uid="{00000000-0005-0000-0000-0000B71C0000}"/>
    <cellStyle name="Итог 2 4 3 3 2 2" xfId="21347" xr:uid="{00000000-0005-0000-0000-0000B81C0000}"/>
    <cellStyle name="Итог 2 4 3 3 2 2 2" xfId="37989" xr:uid="{ABE1450A-3DD6-409B-B9B8-17E0DAB4C0C1}"/>
    <cellStyle name="Итог 2 4 3 3 2 3" xfId="6110" xr:uid="{00000000-0005-0000-0000-0000B91C0000}"/>
    <cellStyle name="Итог 2 4 3 3 2 4" xfId="23897" xr:uid="{D02E310B-4A34-453E-9EF7-4817CFA3870C}"/>
    <cellStyle name="Итог 2 4 3 3 3" xfId="1931" xr:uid="{00000000-0005-0000-0000-0000BA1C0000}"/>
    <cellStyle name="Итог 2 4 3 3 3 2" xfId="21969" xr:uid="{00000000-0005-0000-0000-0000BB1C0000}"/>
    <cellStyle name="Итог 2 4 3 3 3 2 2" xfId="38579" xr:uid="{A21CAE5D-0443-4634-862D-62F2D73A236C}"/>
    <cellStyle name="Итог 2 4 3 3 3 3" xfId="6879" xr:uid="{00000000-0005-0000-0000-0000BC1C0000}"/>
    <cellStyle name="Итог 2 4 3 3 3 4" xfId="24506" xr:uid="{E83CB83A-4374-4075-9413-68B264C6723E}"/>
    <cellStyle name="Итог 2 4 3 3 4" xfId="2737" xr:uid="{00000000-0005-0000-0000-0000BD1C0000}"/>
    <cellStyle name="Итог 2 4 3 3 4 2" xfId="23031" xr:uid="{00000000-0005-0000-0000-0000BE1C0000}"/>
    <cellStyle name="Итог 2 4 3 3 4 3" xfId="39497" xr:uid="{7C22F7FD-4BA1-4D68-9C2D-CD78952E09F4}"/>
    <cellStyle name="Итог 2 4 3 3 5" xfId="3722" xr:uid="{00000000-0005-0000-0000-0000BF1C0000}"/>
    <cellStyle name="Итог 2 4 3 3 5 2" xfId="20508" xr:uid="{00000000-0005-0000-0000-0000C01C0000}"/>
    <cellStyle name="Итог 2 4 3 3 5 3" xfId="37400" xr:uid="{8BDF3232-0779-4CB1-BA12-1FC1BFA1BAED}"/>
    <cellStyle name="Итог 2 4 3 3 6" xfId="4082" xr:uid="{00000000-0005-0000-0000-0000C11C0000}"/>
    <cellStyle name="Итог 2 4 3 3 7" xfId="4604" xr:uid="{00000000-0005-0000-0000-0000C21C0000}"/>
    <cellStyle name="Итог 2 4 3 3 8" xfId="5086" xr:uid="{00000000-0005-0000-0000-0000C31C0000}"/>
    <cellStyle name="Итог 2 4 3 4" xfId="574" xr:uid="{00000000-0005-0000-0000-0000C41C0000}"/>
    <cellStyle name="Итог 2 4 3 4 2" xfId="1406" xr:uid="{00000000-0005-0000-0000-0000C51C0000}"/>
    <cellStyle name="Итог 2 4 3 4 2 2" xfId="21399" xr:uid="{00000000-0005-0000-0000-0000C61C0000}"/>
    <cellStyle name="Итог 2 4 3 4 2 2 2" xfId="38041" xr:uid="{33F64848-53DF-4B3B-B197-DC99B41DD20E}"/>
    <cellStyle name="Итог 2 4 3 4 2 3" xfId="6162" xr:uid="{00000000-0005-0000-0000-0000C71C0000}"/>
    <cellStyle name="Итог 2 4 3 4 2 4" xfId="23949" xr:uid="{550D873D-5002-48BE-8518-157FDA862595}"/>
    <cellStyle name="Итог 2 4 3 4 3" xfId="1845" xr:uid="{00000000-0005-0000-0000-0000C81C0000}"/>
    <cellStyle name="Итог 2 4 3 4 3 2" xfId="22021" xr:uid="{00000000-0005-0000-0000-0000C91C0000}"/>
    <cellStyle name="Итог 2 4 3 4 3 2 2" xfId="38631" xr:uid="{EFF7712C-ED5A-4FA4-83EE-C861D369CFC3}"/>
    <cellStyle name="Итог 2 4 3 4 3 3" xfId="6931" xr:uid="{00000000-0005-0000-0000-0000CA1C0000}"/>
    <cellStyle name="Итог 2 4 3 4 3 4" xfId="24558" xr:uid="{0E1E46AC-E9D8-4078-9D27-A7D5A1E3AF36}"/>
    <cellStyle name="Итог 2 4 3 4 4" xfId="2745" xr:uid="{00000000-0005-0000-0000-0000CB1C0000}"/>
    <cellStyle name="Итог 2 4 3 4 4 2" xfId="22918" xr:uid="{00000000-0005-0000-0000-0000CC1C0000}"/>
    <cellStyle name="Итог 2 4 3 4 4 3" xfId="39384" xr:uid="{F8FD74A6-3AE4-4C51-8242-73489BE575B2}"/>
    <cellStyle name="Итог 2 4 3 4 5" xfId="3570" xr:uid="{00000000-0005-0000-0000-0000CD1C0000}"/>
    <cellStyle name="Итог 2 4 3 4 5 2" xfId="20624" xr:uid="{00000000-0005-0000-0000-0000CE1C0000}"/>
    <cellStyle name="Итог 2 4 3 4 5 3" xfId="37466" xr:uid="{D73DE0EF-09EB-4A5B-9BCC-E6B030990FFC}"/>
    <cellStyle name="Итог 2 4 3 4 6" xfId="4134" xr:uid="{00000000-0005-0000-0000-0000CF1C0000}"/>
    <cellStyle name="Итог 2 4 3 4 7" xfId="4656" xr:uid="{00000000-0005-0000-0000-0000D01C0000}"/>
    <cellStyle name="Итог 2 4 3 4 8" xfId="5138" xr:uid="{00000000-0005-0000-0000-0000D11C0000}"/>
    <cellStyle name="Итог 2 4 3 5" xfId="626" xr:uid="{00000000-0005-0000-0000-0000D21C0000}"/>
    <cellStyle name="Итог 2 4 3 5 2" xfId="1458" xr:uid="{00000000-0005-0000-0000-0000D31C0000}"/>
    <cellStyle name="Итог 2 4 3 5 2 2" xfId="21451" xr:uid="{00000000-0005-0000-0000-0000D41C0000}"/>
    <cellStyle name="Итог 2 4 3 5 2 2 2" xfId="38093" xr:uid="{A7C698C6-FF8E-41EB-9F9A-1F5F3E4AAE13}"/>
    <cellStyle name="Итог 2 4 3 5 2 3" xfId="6214" xr:uid="{00000000-0005-0000-0000-0000D51C0000}"/>
    <cellStyle name="Итог 2 4 3 5 2 4" xfId="24001" xr:uid="{D7E28E17-23F0-4A79-B440-7817D3622BF5}"/>
    <cellStyle name="Итог 2 4 3 5 3" xfId="2074" xr:uid="{00000000-0005-0000-0000-0000D61C0000}"/>
    <cellStyle name="Итог 2 4 3 5 3 2" xfId="22073" xr:uid="{00000000-0005-0000-0000-0000D71C0000}"/>
    <cellStyle name="Итог 2 4 3 5 3 2 2" xfId="38683" xr:uid="{5D2A72B2-FBE3-4722-875B-8656EA2D199B}"/>
    <cellStyle name="Итог 2 4 3 5 3 3" xfId="6983" xr:uid="{00000000-0005-0000-0000-0000D81C0000}"/>
    <cellStyle name="Итог 2 4 3 5 3 4" xfId="24610" xr:uid="{0DDD518D-157C-4C7E-9702-7FA413A9F11F}"/>
    <cellStyle name="Итог 2 4 3 5 4" xfId="2861" xr:uid="{00000000-0005-0000-0000-0000D91C0000}"/>
    <cellStyle name="Итог 2 4 3 5 4 2" xfId="22735" xr:uid="{00000000-0005-0000-0000-0000DA1C0000}"/>
    <cellStyle name="Итог 2 4 3 5 4 3" xfId="39204" xr:uid="{B632CC34-BD7C-4592-AA33-77A55E059AE8}"/>
    <cellStyle name="Итог 2 4 3 5 5" xfId="3817" xr:uid="{00000000-0005-0000-0000-0000DB1C0000}"/>
    <cellStyle name="Итог 2 4 3 5 5 2" xfId="20662" xr:uid="{00000000-0005-0000-0000-0000DC1C0000}"/>
    <cellStyle name="Итог 2 4 3 5 5 3" xfId="37504" xr:uid="{83B124A8-EA5C-41C6-91DC-3F296FE38EFE}"/>
    <cellStyle name="Итог 2 4 3 5 6" xfId="4186" xr:uid="{00000000-0005-0000-0000-0000DD1C0000}"/>
    <cellStyle name="Итог 2 4 3 5 7" xfId="4708" xr:uid="{00000000-0005-0000-0000-0000DE1C0000}"/>
    <cellStyle name="Итог 2 4 3 5 8" xfId="5190" xr:uid="{00000000-0005-0000-0000-0000DF1C0000}"/>
    <cellStyle name="Итог 2 4 3 6" xfId="729" xr:uid="{00000000-0005-0000-0000-0000E01C0000}"/>
    <cellStyle name="Итог 2 4 3 6 2" xfId="1559" xr:uid="{00000000-0005-0000-0000-0000E11C0000}"/>
    <cellStyle name="Итог 2 4 3 6 2 2" xfId="21552" xr:uid="{00000000-0005-0000-0000-0000E21C0000}"/>
    <cellStyle name="Итог 2 4 3 6 2 2 2" xfId="38194" xr:uid="{338FF683-4AE8-49B4-9ED0-2425E32A2959}"/>
    <cellStyle name="Итог 2 4 3 6 2 3" xfId="6315" xr:uid="{00000000-0005-0000-0000-0000E31C0000}"/>
    <cellStyle name="Итог 2 4 3 6 2 4" xfId="24102" xr:uid="{1770361D-C23F-44EB-AEB5-D081848F9970}"/>
    <cellStyle name="Итог 2 4 3 6 3" xfId="2006" xr:uid="{00000000-0005-0000-0000-0000E41C0000}"/>
    <cellStyle name="Итог 2 4 3 6 3 2" xfId="22174" xr:uid="{00000000-0005-0000-0000-0000E51C0000}"/>
    <cellStyle name="Итог 2 4 3 6 3 2 2" xfId="38784" xr:uid="{59AFF5A5-7788-4DEF-BBF7-74F2E0B40348}"/>
    <cellStyle name="Итог 2 4 3 6 3 3" xfId="7084" xr:uid="{00000000-0005-0000-0000-0000E61C0000}"/>
    <cellStyle name="Итог 2 4 3 6 3 4" xfId="24711" xr:uid="{8F9E1E5E-EB7B-4C66-B871-DE9CE360C0C5}"/>
    <cellStyle name="Итог 2 4 3 6 4" xfId="2345" xr:uid="{00000000-0005-0000-0000-0000E71C0000}"/>
    <cellStyle name="Итог 2 4 3 6 4 2" xfId="23099" xr:uid="{00000000-0005-0000-0000-0000E81C0000}"/>
    <cellStyle name="Итог 2 4 3 6 4 3" xfId="39565" xr:uid="{52B25591-220E-4E29-847D-740C69BAEF65}"/>
    <cellStyle name="Итог 2 4 3 6 5" xfId="3473" xr:uid="{00000000-0005-0000-0000-0000E91C0000}"/>
    <cellStyle name="Итог 2 4 3 6 5 2" xfId="20727" xr:uid="{00000000-0005-0000-0000-0000EA1C0000}"/>
    <cellStyle name="Итог 2 4 3 6 5 3" xfId="37556" xr:uid="{C0883C6D-B3F9-4F7D-A1DE-86C6537A40A2}"/>
    <cellStyle name="Итог 2 4 3 6 6" xfId="4288" xr:uid="{00000000-0005-0000-0000-0000EB1C0000}"/>
    <cellStyle name="Итог 2 4 3 6 7" xfId="4810" xr:uid="{00000000-0005-0000-0000-0000EC1C0000}"/>
    <cellStyle name="Итог 2 4 3 6 8" xfId="5291" xr:uid="{00000000-0005-0000-0000-0000ED1C0000}"/>
    <cellStyle name="Итог 2 4 3 7" xfId="773" xr:uid="{00000000-0005-0000-0000-0000EE1C0000}"/>
    <cellStyle name="Итог 2 4 3 7 2" xfId="1602" xr:uid="{00000000-0005-0000-0000-0000EF1C0000}"/>
    <cellStyle name="Итог 2 4 3 7 2 2" xfId="21595" xr:uid="{00000000-0005-0000-0000-0000F01C0000}"/>
    <cellStyle name="Итог 2 4 3 7 2 2 2" xfId="38237" xr:uid="{184CF8EB-86D4-42CD-80BE-2C88037C1861}"/>
    <cellStyle name="Итог 2 4 3 7 2 3" xfId="6358" xr:uid="{00000000-0005-0000-0000-0000F11C0000}"/>
    <cellStyle name="Итог 2 4 3 7 2 4" xfId="24145" xr:uid="{C0A6779D-D802-4E54-93F9-DD9F4468E6EF}"/>
    <cellStyle name="Итог 2 4 3 7 3" xfId="1895" xr:uid="{00000000-0005-0000-0000-0000F21C0000}"/>
    <cellStyle name="Итог 2 4 3 7 3 2" xfId="22217" xr:uid="{00000000-0005-0000-0000-0000F31C0000}"/>
    <cellStyle name="Итог 2 4 3 7 3 2 2" xfId="38827" xr:uid="{3140A1AA-185A-498C-B41F-FDE62953FB36}"/>
    <cellStyle name="Итог 2 4 3 7 3 3" xfId="7127" xr:uid="{00000000-0005-0000-0000-0000F41C0000}"/>
    <cellStyle name="Итог 2 4 3 7 3 4" xfId="24754" xr:uid="{155BE06C-4D88-4D70-8C0C-FF6A05458E5E}"/>
    <cellStyle name="Итог 2 4 3 7 4" xfId="2378" xr:uid="{00000000-0005-0000-0000-0000F51C0000}"/>
    <cellStyle name="Итог 2 4 3 7 4 2" xfId="23095" xr:uid="{00000000-0005-0000-0000-0000F61C0000}"/>
    <cellStyle name="Итог 2 4 3 7 4 3" xfId="39561" xr:uid="{0E311B53-BE02-4335-A717-556F240AC9FE}"/>
    <cellStyle name="Итог 2 4 3 7 5" xfId="3848" xr:uid="{00000000-0005-0000-0000-0000F71C0000}"/>
    <cellStyle name="Итог 2 4 3 7 5 2" xfId="20792" xr:uid="{00000000-0005-0000-0000-0000F81C0000}"/>
    <cellStyle name="Итог 2 4 3 7 5 3" xfId="37608" xr:uid="{A66FF60C-F875-4C90-A3E5-D0ADA2285DF7}"/>
    <cellStyle name="Итог 2 4 3 7 6" xfId="4331" xr:uid="{00000000-0005-0000-0000-0000F91C0000}"/>
    <cellStyle name="Итог 2 4 3 7 7" xfId="4853" xr:uid="{00000000-0005-0000-0000-0000FA1C0000}"/>
    <cellStyle name="Итог 2 4 3 7 8" xfId="5334" xr:uid="{00000000-0005-0000-0000-0000FB1C0000}"/>
    <cellStyle name="Итог 2 4 3 8" xfId="805" xr:uid="{00000000-0005-0000-0000-0000FC1C0000}"/>
    <cellStyle name="Итог 2 4 3 8 2" xfId="1634" xr:uid="{00000000-0005-0000-0000-0000FD1C0000}"/>
    <cellStyle name="Итог 2 4 3 8 2 2" xfId="21627" xr:uid="{00000000-0005-0000-0000-0000FE1C0000}"/>
    <cellStyle name="Итог 2 4 3 8 2 2 2" xfId="38269" xr:uid="{8B43BD29-8D44-4024-A87D-B14F20E4D629}"/>
    <cellStyle name="Итог 2 4 3 8 2 3" xfId="6390" xr:uid="{00000000-0005-0000-0000-0000FF1C0000}"/>
    <cellStyle name="Итог 2 4 3 8 2 4" xfId="24177" xr:uid="{2D138E38-8429-48EE-8D52-878E4783C491}"/>
    <cellStyle name="Итог 2 4 3 8 3" xfId="1891" xr:uid="{00000000-0005-0000-0000-0000001D0000}"/>
    <cellStyle name="Итог 2 4 3 8 3 2" xfId="22249" xr:uid="{00000000-0005-0000-0000-0000011D0000}"/>
    <cellStyle name="Итог 2 4 3 8 3 2 2" xfId="38859" xr:uid="{527C1E8C-52FC-46ED-AF4B-FE9C2A7A58C1}"/>
    <cellStyle name="Итог 2 4 3 8 3 3" xfId="7159" xr:uid="{00000000-0005-0000-0000-0000021D0000}"/>
    <cellStyle name="Итог 2 4 3 8 3 4" xfId="24786" xr:uid="{DBDC3F97-0C74-4B45-969B-36A36CA819CB}"/>
    <cellStyle name="Итог 2 4 3 8 4" xfId="2507" xr:uid="{00000000-0005-0000-0000-0000031D0000}"/>
    <cellStyle name="Итог 2 4 3 8 4 2" xfId="23084" xr:uid="{00000000-0005-0000-0000-0000041D0000}"/>
    <cellStyle name="Итог 2 4 3 8 4 3" xfId="39550" xr:uid="{2DB63949-87EA-488D-BEE5-086637550490}"/>
    <cellStyle name="Итог 2 4 3 8 5" xfId="3137" xr:uid="{00000000-0005-0000-0000-0000051D0000}"/>
    <cellStyle name="Итог 2 4 3 8 5 2" xfId="20857" xr:uid="{00000000-0005-0000-0000-0000061D0000}"/>
    <cellStyle name="Итог 2 4 3 8 5 3" xfId="37660" xr:uid="{4155497F-AC20-4C20-B496-169EF11766CC}"/>
    <cellStyle name="Итог 2 4 3 8 6" xfId="4363" xr:uid="{00000000-0005-0000-0000-0000071D0000}"/>
    <cellStyle name="Итог 2 4 3 8 7" xfId="4885" xr:uid="{00000000-0005-0000-0000-0000081D0000}"/>
    <cellStyle name="Итог 2 4 3 8 8" xfId="5366" xr:uid="{00000000-0005-0000-0000-0000091D0000}"/>
    <cellStyle name="Итог 2 4 3 9" xfId="837" xr:uid="{00000000-0005-0000-0000-00000A1D0000}"/>
    <cellStyle name="Итог 2 4 3 9 2" xfId="1666" xr:uid="{00000000-0005-0000-0000-00000B1D0000}"/>
    <cellStyle name="Итог 2 4 3 9 2 2" xfId="21659" xr:uid="{00000000-0005-0000-0000-00000C1D0000}"/>
    <cellStyle name="Итог 2 4 3 9 2 2 2" xfId="38301" xr:uid="{EF8F6BC8-91D1-4D2F-ADF5-D1AB94E50D0A}"/>
    <cellStyle name="Итог 2 4 3 9 2 3" xfId="6422" xr:uid="{00000000-0005-0000-0000-00000D1D0000}"/>
    <cellStyle name="Итог 2 4 3 9 2 4" xfId="24209" xr:uid="{C95EE550-2891-4197-B931-BB262307DD61}"/>
    <cellStyle name="Итог 2 4 3 9 3" xfId="2327" xr:uid="{00000000-0005-0000-0000-00000E1D0000}"/>
    <cellStyle name="Итог 2 4 3 9 3 2" xfId="22281" xr:uid="{00000000-0005-0000-0000-00000F1D0000}"/>
    <cellStyle name="Итог 2 4 3 9 3 2 2" xfId="38891" xr:uid="{8C46E524-5C23-4B22-ADDE-491DE7C7AC9E}"/>
    <cellStyle name="Итог 2 4 3 9 3 3" xfId="7191" xr:uid="{00000000-0005-0000-0000-0000101D0000}"/>
    <cellStyle name="Итог 2 4 3 9 3 4" xfId="24818" xr:uid="{C7910B7D-35E8-40E4-B7D6-DF8D2AA59276}"/>
    <cellStyle name="Итог 2 4 3 9 4" xfId="2332" xr:uid="{00000000-0005-0000-0000-0000111D0000}"/>
    <cellStyle name="Итог 2 4 3 9 4 2" xfId="23088" xr:uid="{00000000-0005-0000-0000-0000121D0000}"/>
    <cellStyle name="Итог 2 4 3 9 4 3" xfId="39554" xr:uid="{FDC3D344-5FC7-4DE3-9975-0F55EDE8852E}"/>
    <cellStyle name="Итог 2 4 3 9 5" xfId="3465" xr:uid="{00000000-0005-0000-0000-0000131D0000}"/>
    <cellStyle name="Итог 2 4 3 9 5 2" xfId="20922" xr:uid="{00000000-0005-0000-0000-0000141D0000}"/>
    <cellStyle name="Итог 2 4 3 9 5 3" xfId="37712" xr:uid="{3797E41F-8063-4082-A714-98F819D7C280}"/>
    <cellStyle name="Итог 2 4 3 9 6" xfId="4395" xr:uid="{00000000-0005-0000-0000-0000151D0000}"/>
    <cellStyle name="Итог 2 4 3 9 7" xfId="4917" xr:uid="{00000000-0005-0000-0000-0000161D0000}"/>
    <cellStyle name="Итог 2 4 3 9 8" xfId="5398" xr:uid="{00000000-0005-0000-0000-0000171D0000}"/>
    <cellStyle name="Итог 2 4 4" xfId="888" xr:uid="{00000000-0005-0000-0000-0000181D0000}"/>
    <cellStyle name="Итог 2 4 4 2" xfId="2052" xr:uid="{00000000-0005-0000-0000-0000191D0000}"/>
    <cellStyle name="Итог 2 4 4 2 2" xfId="21774" xr:uid="{00000000-0005-0000-0000-00001A1D0000}"/>
    <cellStyle name="Итог 2 4 4 2 2 2" xfId="38384" xr:uid="{5FCE9B19-A7E9-4DB2-AB5C-3C8DAA4CDD89}"/>
    <cellStyle name="Итог 2 4 4 2 3" xfId="5836" xr:uid="{00000000-0005-0000-0000-00001B1D0000}"/>
    <cellStyle name="Итог 2 4 4 2 4" xfId="23702" xr:uid="{E7BE2C21-6722-41D1-BC85-381FB4FEB43D}"/>
    <cellStyle name="Итог 2 4 4 3" xfId="2842" xr:uid="{00000000-0005-0000-0000-00001C1D0000}"/>
    <cellStyle name="Итог 2 4 4 3 2" xfId="22957" xr:uid="{00000000-0005-0000-0000-00001D1D0000}"/>
    <cellStyle name="Итог 2 4 4 3 2 2" xfId="39423" xr:uid="{89A5FF1C-0F2E-4E8C-8BB6-93AC9F23E372}"/>
    <cellStyle name="Итог 2 4 4 3 3" xfId="6690" xr:uid="{00000000-0005-0000-0000-00001E1D0000}"/>
    <cellStyle name="Итог 2 4 4 3 4" xfId="24317" xr:uid="{986250A5-F508-446E-80BE-96417D9ED27E}"/>
    <cellStyle name="Итог 2 4 4 4" xfId="3698" xr:uid="{00000000-0005-0000-0000-00001F1D0000}"/>
    <cellStyle name="Итог 2 4 4 4 2" xfId="21060" xr:uid="{00000000-0005-0000-0000-0000201D0000}"/>
    <cellStyle name="Итог 2 4 4 4 3" xfId="37794" xr:uid="{C8AFB6B9-9459-41AF-B7FE-9522C4A81154}"/>
    <cellStyle name="Итог 2 4 4 5" xfId="3331" xr:uid="{00000000-0005-0000-0000-0000211D0000}"/>
    <cellStyle name="Итог 2 4 4 6" xfId="3899" xr:uid="{00000000-0005-0000-0000-0000221D0000}"/>
    <cellStyle name="Итог 2 4 4 7" xfId="4437" xr:uid="{00000000-0005-0000-0000-0000231D0000}"/>
    <cellStyle name="Итог 2 4 5" xfId="2233" xr:uid="{00000000-0005-0000-0000-0000241D0000}"/>
    <cellStyle name="Итог 2 4 5 2" xfId="22850" xr:uid="{00000000-0005-0000-0000-0000251D0000}"/>
    <cellStyle name="Итог 2 4 5 2 2" xfId="39316" xr:uid="{53EE16E7-1995-49D1-9B71-1821B5769A15}"/>
    <cellStyle name="Итог 2 4 5 3" xfId="5613" xr:uid="{00000000-0005-0000-0000-0000261D0000}"/>
    <cellStyle name="Итог 2 4 5 4" xfId="23616" xr:uid="{58C7E5BD-1D44-4E13-B2DA-B1680A1F6640}"/>
    <cellStyle name="Итог 2 4 6" xfId="2551" xr:uid="{00000000-0005-0000-0000-0000271D0000}"/>
    <cellStyle name="Итог 2 4 6 2" xfId="6610" xr:uid="{00000000-0005-0000-0000-0000281D0000}"/>
    <cellStyle name="Итог 2 4 6 3" xfId="24237" xr:uid="{3270C45D-D324-4272-AC34-552ED55AB244}"/>
    <cellStyle name="Итог 2 4 7" xfId="3523" xr:uid="{00000000-0005-0000-0000-0000291D0000}"/>
    <cellStyle name="Итог 2 4 7 2" xfId="7408" xr:uid="{00000000-0005-0000-0000-00002A1D0000}"/>
    <cellStyle name="Итог 2 4 7 3" xfId="24863" xr:uid="{2BF4B90E-C658-42A9-8C24-878891FCBA2F}"/>
    <cellStyle name="Итог 2 4 8" xfId="3752" xr:uid="{00000000-0005-0000-0000-00002B1D0000}"/>
    <cellStyle name="Итог 2 4 9" xfId="3573" xr:uid="{00000000-0005-0000-0000-00002C1D0000}"/>
    <cellStyle name="Итог 2 5" xfId="931" xr:uid="{00000000-0005-0000-0000-00002D1D0000}"/>
    <cellStyle name="Итог 2 5 2" xfId="967" xr:uid="{00000000-0005-0000-0000-00002E1D0000}"/>
    <cellStyle name="Итог 2 5 2 2" xfId="1039" xr:uid="{00000000-0005-0000-0000-00002F1D0000}"/>
    <cellStyle name="Итог 2 5 2 2 2" xfId="14085" xr:uid="{00000000-0005-0000-0000-0000301D0000}"/>
    <cellStyle name="Итог 2 5 2 2 3" xfId="31124" xr:uid="{7D95CFED-79A8-4C98-8ED3-1D9098FAB272}"/>
    <cellStyle name="Итог 2 5 2 3" xfId="7503" xr:uid="{00000000-0005-0000-0000-0000311D0000}"/>
    <cellStyle name="Итог 2 5 2 4" xfId="24905" xr:uid="{B6D8EB2F-BD9E-4150-9E76-4964EF7E74A5}"/>
    <cellStyle name="Итог 2 5 3" xfId="1008" xr:uid="{00000000-0005-0000-0000-0000321D0000}"/>
    <cellStyle name="Итог 2 5 3 2" xfId="14054" xr:uid="{00000000-0005-0000-0000-0000331D0000}"/>
    <cellStyle name="Итог 2 5 3 3" xfId="31093" xr:uid="{5F7BE008-CA89-4328-8B49-5263532C032E}"/>
    <cellStyle name="Итог 2 5 4" xfId="7467" xr:uid="{00000000-0005-0000-0000-0000341D0000}"/>
    <cellStyle name="Итог 2 5 5" xfId="24874" xr:uid="{D658C84B-08BE-47F4-BE80-AB8312F85154}"/>
    <cellStyle name="Итог 2 6" xfId="1046" xr:uid="{00000000-0005-0000-0000-0000351D0000}"/>
    <cellStyle name="Итог 2 6 2" xfId="14091" xr:uid="{00000000-0005-0000-0000-0000361D0000}"/>
    <cellStyle name="Итог 2 6 2 2" xfId="31129" xr:uid="{AA4352B5-B1F8-4B9E-B7D9-E500DE3CDD5E}"/>
    <cellStyle name="Итог 2 6 3" xfId="7347" xr:uid="{00000000-0005-0000-0000-0000371D0000}"/>
    <cellStyle name="Итог 2 7" xfId="1063" xr:uid="{00000000-0005-0000-0000-0000381D0000}"/>
    <cellStyle name="Итог 2 7 2" xfId="14107" xr:uid="{00000000-0005-0000-0000-0000391D0000}"/>
    <cellStyle name="Итог 2 7 3" xfId="31134" xr:uid="{2964C505-604B-4932-85C9-0174FCEC2613}"/>
    <cellStyle name="Итог 2 8" xfId="13989" xr:uid="{00000000-0005-0000-0000-00003A1D0000}"/>
    <cellStyle name="Итог 2 9" xfId="7255" xr:uid="{00000000-0005-0000-0000-00003B1D0000}"/>
    <cellStyle name="Итог 2 9 2" xfId="24831" xr:uid="{082113D2-0674-4915-923F-046E1ED47105}"/>
    <cellStyle name="Итог 3" xfId="134" xr:uid="{00000000-0005-0000-0000-00003C1D0000}"/>
    <cellStyle name="Итог 3 10" xfId="3316" xr:uid="{00000000-0005-0000-0000-00003D1D0000}"/>
    <cellStyle name="Итог 3 11" xfId="3232" xr:uid="{00000000-0005-0000-0000-00003E1D0000}"/>
    <cellStyle name="Итог 3 2" xfId="220" xr:uid="{00000000-0005-0000-0000-00003F1D0000}"/>
    <cellStyle name="Итог 3 2 10" xfId="667" xr:uid="{00000000-0005-0000-0000-0000401D0000}"/>
    <cellStyle name="Итог 3 2 10 2" xfId="1498" xr:uid="{00000000-0005-0000-0000-0000411D0000}"/>
    <cellStyle name="Итог 3 2 10 2 2" xfId="21491" xr:uid="{00000000-0005-0000-0000-0000421D0000}"/>
    <cellStyle name="Итог 3 2 10 2 2 2" xfId="38133" xr:uid="{048E6818-2EE6-4884-927D-F2EB4E64C34C}"/>
    <cellStyle name="Итог 3 2 10 2 3" xfId="6254" xr:uid="{00000000-0005-0000-0000-0000431D0000}"/>
    <cellStyle name="Итог 3 2 10 2 4" xfId="24041" xr:uid="{CF72CCB5-BCEC-4666-B215-08C305A59593}"/>
    <cellStyle name="Итог 3 2 10 3" xfId="2154" xr:uid="{00000000-0005-0000-0000-0000441D0000}"/>
    <cellStyle name="Итог 3 2 10 3 2" xfId="22113" xr:uid="{00000000-0005-0000-0000-0000451D0000}"/>
    <cellStyle name="Итог 3 2 10 3 2 2" xfId="38723" xr:uid="{190FD2F9-0338-443B-A862-CCF6C23214B8}"/>
    <cellStyle name="Итог 3 2 10 3 3" xfId="7023" xr:uid="{00000000-0005-0000-0000-0000461D0000}"/>
    <cellStyle name="Итог 3 2 10 3 4" xfId="24650" xr:uid="{B91C4FCD-7170-4F08-B076-83C73EF7DF69}"/>
    <cellStyle name="Итог 3 2 10 4" xfId="2715" xr:uid="{00000000-0005-0000-0000-0000471D0000}"/>
    <cellStyle name="Итог 3 2 10 4 2" xfId="22929" xr:uid="{00000000-0005-0000-0000-0000481D0000}"/>
    <cellStyle name="Итог 3 2 10 4 3" xfId="39395" xr:uid="{B5D22D88-3F11-4428-B9FC-A1EAD2714EF3}"/>
    <cellStyle name="Итог 3 2 10 5" xfId="3588" xr:uid="{00000000-0005-0000-0000-0000491D0000}"/>
    <cellStyle name="Итог 3 2 10 5 2" xfId="20887" xr:uid="{00000000-0005-0000-0000-00004A1D0000}"/>
    <cellStyle name="Итог 3 2 10 5 3" xfId="37677" xr:uid="{C33369BF-112E-48F9-84AA-01D15068DDC2}"/>
    <cellStyle name="Итог 3 2 10 6" xfId="4226" xr:uid="{00000000-0005-0000-0000-00004B1D0000}"/>
    <cellStyle name="Итог 3 2 10 7" xfId="4748" xr:uid="{00000000-0005-0000-0000-00004C1D0000}"/>
    <cellStyle name="Итог 3 2 10 8" xfId="5230" xr:uid="{00000000-0005-0000-0000-00004D1D0000}"/>
    <cellStyle name="Итог 3 2 11" xfId="941" xr:uid="{00000000-0005-0000-0000-00004E1D0000}"/>
    <cellStyle name="Итог 3 2 11 2" xfId="1998" xr:uid="{00000000-0005-0000-0000-00004F1D0000}"/>
    <cellStyle name="Итог 3 2 11 2 2" xfId="21787" xr:uid="{00000000-0005-0000-0000-0000501D0000}"/>
    <cellStyle name="Итог 3 2 11 2 2 2" xfId="38397" xr:uid="{19995D5C-B8C6-485E-8898-F6EC2B868856}"/>
    <cellStyle name="Итог 3 2 11 2 3" xfId="5859" xr:uid="{00000000-0005-0000-0000-0000511D0000}"/>
    <cellStyle name="Итог 3 2 11 2 4" xfId="23715" xr:uid="{6B91C947-F69F-466D-9291-3634BC226747}"/>
    <cellStyle name="Итог 3 2 11 3" xfId="2784" xr:uid="{00000000-0005-0000-0000-0000521D0000}"/>
    <cellStyle name="Итог 3 2 11 3 2" xfId="22983" xr:uid="{00000000-0005-0000-0000-0000531D0000}"/>
    <cellStyle name="Итог 3 2 11 3 2 2" xfId="39449" xr:uid="{4E448098-1F91-4D16-91F3-DD332A91CFD1}"/>
    <cellStyle name="Итог 3 2 11 3 3" xfId="6703" xr:uid="{00000000-0005-0000-0000-0000541D0000}"/>
    <cellStyle name="Итог 3 2 11 3 4" xfId="24330" xr:uid="{75ED7077-652A-4277-887D-2C001C584C6F}"/>
    <cellStyle name="Итог 3 2 11 4" xfId="3710" xr:uid="{00000000-0005-0000-0000-0000551D0000}"/>
    <cellStyle name="Итог 3 2 11 4 2" xfId="21083" xr:uid="{00000000-0005-0000-0000-0000561D0000}"/>
    <cellStyle name="Итог 3 2 11 4 3" xfId="37807" xr:uid="{AE6B62CE-7A91-4E0A-BF58-247FD778E17B}"/>
    <cellStyle name="Итог 3 2 11 5" xfId="3147" xr:uid="{00000000-0005-0000-0000-0000571D0000}"/>
    <cellStyle name="Итог 3 2 11 6" xfId="3975" xr:uid="{00000000-0005-0000-0000-0000581D0000}"/>
    <cellStyle name="Итог 3 2 11 7" xfId="4501" xr:uid="{00000000-0005-0000-0000-0000591D0000}"/>
    <cellStyle name="Итог 3 2 12" xfId="1974" xr:uid="{00000000-0005-0000-0000-00005A1D0000}"/>
    <cellStyle name="Итог 3 2 12 2" xfId="20952" xr:uid="{00000000-0005-0000-0000-00005B1D0000}"/>
    <cellStyle name="Итог 3 2 12 2 2" xfId="37729" xr:uid="{85D0EF30-5B4F-4D51-A46B-326F60491FCE}"/>
    <cellStyle name="Итог 3 2 12 3" xfId="5668" xr:uid="{00000000-0005-0000-0000-00005C1D0000}"/>
    <cellStyle name="Итог 3 2 12 4" xfId="23634" xr:uid="{5E28D9F7-C7D8-4BC8-8648-0BB2611C100D}"/>
    <cellStyle name="Итог 3 2 13" xfId="2477" xr:uid="{00000000-0005-0000-0000-00005D1D0000}"/>
    <cellStyle name="Итог 3 2 13 2" xfId="21709" xr:uid="{00000000-0005-0000-0000-00005E1D0000}"/>
    <cellStyle name="Итог 3 2 13 2 2" xfId="38319" xr:uid="{C0F1245C-56C4-422C-9CBC-CD0CA96A1913}"/>
    <cellStyle name="Итог 3 2 13 3" xfId="6627" xr:uid="{00000000-0005-0000-0000-00005F1D0000}"/>
    <cellStyle name="Итог 3 2 13 4" xfId="24254" xr:uid="{4C4B2B4D-22A5-4EFF-8896-1522DD89C4F1}"/>
    <cellStyle name="Итог 3 2 14" xfId="3175" xr:uid="{00000000-0005-0000-0000-0000601D0000}"/>
    <cellStyle name="Итог 3 2 14 2" xfId="22768" xr:uid="{00000000-0005-0000-0000-0000611D0000}"/>
    <cellStyle name="Итог 3 2 14 3" xfId="39236" xr:uid="{56FF1EDD-C33B-498A-807D-D14BBCBB0D08}"/>
    <cellStyle name="Итог 3 2 15" xfId="3304" xr:uid="{00000000-0005-0000-0000-0000621D0000}"/>
    <cellStyle name="Итог 3 2 15 2" xfId="7477" xr:uid="{00000000-0005-0000-0000-0000631D0000}"/>
    <cellStyle name="Итог 3 2 15 3" xfId="24879" xr:uid="{5D4E6B8A-AC22-4692-94F2-FC502A95A20D}"/>
    <cellStyle name="Итог 3 2 16" xfId="3515" xr:uid="{00000000-0005-0000-0000-0000641D0000}"/>
    <cellStyle name="Итог 3 2 17" xfId="3586" xr:uid="{00000000-0005-0000-0000-0000651D0000}"/>
    <cellStyle name="Итог 3 2 2" xfId="291" xr:uid="{00000000-0005-0000-0000-0000661D0000}"/>
    <cellStyle name="Итог 3 2 2 2" xfId="1013" xr:uid="{00000000-0005-0000-0000-0000671D0000}"/>
    <cellStyle name="Итог 3 2 2 2 2" xfId="21147" xr:uid="{00000000-0005-0000-0000-0000681D0000}"/>
    <cellStyle name="Итог 3 2 2 2 2 2" xfId="37846" xr:uid="{BB07C850-CD90-465E-8985-DCF5174A28A4}"/>
    <cellStyle name="Итог 3 2 2 2 3" xfId="5924" xr:uid="{00000000-0005-0000-0000-0000691D0000}"/>
    <cellStyle name="Итог 3 2 2 2 4" xfId="23754" xr:uid="{F70603B8-1601-4458-9B4C-93B1907D566E}"/>
    <cellStyle name="Итог 3 2 2 3" xfId="1759" xr:uid="{00000000-0005-0000-0000-00006A1D0000}"/>
    <cellStyle name="Итог 3 2 2 3 2" xfId="21826" xr:uid="{00000000-0005-0000-0000-00006B1D0000}"/>
    <cellStyle name="Итог 3 2 2 3 2 2" xfId="38436" xr:uid="{DA8EEE0D-0F27-45AA-80C6-D28DBDD68778}"/>
    <cellStyle name="Итог 3 2 2 3 3" xfId="6740" xr:uid="{00000000-0005-0000-0000-00006C1D0000}"/>
    <cellStyle name="Итог 3 2 2 3 4" xfId="24367" xr:uid="{5F9FB6E9-05F5-4BA2-B5D9-52193B164943}"/>
    <cellStyle name="Итог 3 2 2 4" xfId="2528" xr:uid="{00000000-0005-0000-0000-00006D1D0000}"/>
    <cellStyle name="Итог 3 2 2 4 2" xfId="22795" xr:uid="{00000000-0005-0000-0000-00006E1D0000}"/>
    <cellStyle name="Итог 3 2 2 4 3" xfId="39261" xr:uid="{E6EF69BD-B6C3-488E-A416-9A08D51BFA00}"/>
    <cellStyle name="Итог 3 2 2 5" xfId="3217" xr:uid="{00000000-0005-0000-0000-00006F1D0000}"/>
    <cellStyle name="Итог 3 2 2 5 2" xfId="14059" xr:uid="{00000000-0005-0000-0000-0000701D0000}"/>
    <cellStyle name="Итог 3 2 2 5 3" xfId="31098" xr:uid="{4AEF1B30-9F1D-4498-8267-A26C043774C4}"/>
    <cellStyle name="Итог 3 2 2 6" xfId="3914" xr:uid="{00000000-0005-0000-0000-0000711D0000}"/>
    <cellStyle name="Итог 3 2 2 7" xfId="4449" xr:uid="{00000000-0005-0000-0000-0000721D0000}"/>
    <cellStyle name="Итог 3 2 2 8" xfId="4947" xr:uid="{00000000-0005-0000-0000-0000731D0000}"/>
    <cellStyle name="Итог 3 2 3" xfId="440" xr:uid="{00000000-0005-0000-0000-0000741D0000}"/>
    <cellStyle name="Итог 3 2 3 2" xfId="1272" xr:uid="{00000000-0005-0000-0000-0000751D0000}"/>
    <cellStyle name="Итог 3 2 3 2 2" xfId="21265" xr:uid="{00000000-0005-0000-0000-0000761D0000}"/>
    <cellStyle name="Итог 3 2 3 2 2 2" xfId="37907" xr:uid="{7269716E-CBB4-4133-9B74-241BA60F819A}"/>
    <cellStyle name="Итог 3 2 3 2 3" xfId="6028" xr:uid="{00000000-0005-0000-0000-0000771D0000}"/>
    <cellStyle name="Итог 3 2 3 2 4" xfId="23815" xr:uid="{24B31490-4BCB-443F-A323-B2091B40C4DA}"/>
    <cellStyle name="Итог 3 2 3 3" xfId="2275" xr:uid="{00000000-0005-0000-0000-0000781D0000}"/>
    <cellStyle name="Итог 3 2 3 3 2" xfId="21887" xr:uid="{00000000-0005-0000-0000-0000791D0000}"/>
    <cellStyle name="Итог 3 2 3 3 2 2" xfId="38497" xr:uid="{05880F27-BE10-4E85-93E6-426367B5408D}"/>
    <cellStyle name="Итог 3 2 3 3 3" xfId="6799" xr:uid="{00000000-0005-0000-0000-00007A1D0000}"/>
    <cellStyle name="Итог 3 2 3 3 4" xfId="24426" xr:uid="{443C53FE-6DB8-4A9D-A9E0-90E0E49F654F}"/>
    <cellStyle name="Итог 3 2 3 4" xfId="2899" xr:uid="{00000000-0005-0000-0000-00007B1D0000}"/>
    <cellStyle name="Итог 3 2 3 4 2" xfId="23015" xr:uid="{00000000-0005-0000-0000-00007C1D0000}"/>
    <cellStyle name="Итог 3 2 3 4 3" xfId="39481" xr:uid="{8AA932DD-9B9D-4CA7-96EC-14570EA83292}"/>
    <cellStyle name="Итог 3 2 3 5" xfId="3651" xr:uid="{00000000-0005-0000-0000-00007D1D0000}"/>
    <cellStyle name="Итог 3 2 3 5 2" xfId="20392" xr:uid="{00000000-0005-0000-0000-00007E1D0000}"/>
    <cellStyle name="Итог 3 2 3 5 3" xfId="37318" xr:uid="{EA42FF51-15F3-4BFA-9DB9-0014FDC93D0C}"/>
    <cellStyle name="Итог 3 2 3 6" xfId="4001" xr:uid="{00000000-0005-0000-0000-00007F1D0000}"/>
    <cellStyle name="Итог 3 2 3 7" xfId="4524" xr:uid="{00000000-0005-0000-0000-0000801D0000}"/>
    <cellStyle name="Итог 3 2 3 8" xfId="5006" xr:uid="{00000000-0005-0000-0000-0000811D0000}"/>
    <cellStyle name="Итог 3 2 4" xfId="487" xr:uid="{00000000-0005-0000-0000-0000821D0000}"/>
    <cellStyle name="Итог 3 2 4 2" xfId="1319" xr:uid="{00000000-0005-0000-0000-0000831D0000}"/>
    <cellStyle name="Итог 3 2 4 2 2" xfId="21312" xr:uid="{00000000-0005-0000-0000-0000841D0000}"/>
    <cellStyle name="Итог 3 2 4 2 2 2" xfId="37954" xr:uid="{11FDA22F-52C9-4F71-A494-F85E776BBB9F}"/>
    <cellStyle name="Итог 3 2 4 2 3" xfId="6075" xr:uid="{00000000-0005-0000-0000-0000851D0000}"/>
    <cellStyle name="Итог 3 2 4 2 4" xfId="23862" xr:uid="{F3BC85EA-0188-4C93-89EA-D8209FB1FF87}"/>
    <cellStyle name="Итог 3 2 4 3" xfId="1903" xr:uid="{00000000-0005-0000-0000-0000861D0000}"/>
    <cellStyle name="Итог 3 2 4 3 2" xfId="21934" xr:uid="{00000000-0005-0000-0000-0000871D0000}"/>
    <cellStyle name="Итог 3 2 4 3 2 2" xfId="38544" xr:uid="{62933B3C-DCF3-4AC9-BEBB-940116640E79}"/>
    <cellStyle name="Итог 3 2 4 3 3" xfId="6844" xr:uid="{00000000-0005-0000-0000-0000881D0000}"/>
    <cellStyle name="Итог 3 2 4 3 4" xfId="24471" xr:uid="{2F3653D9-6D3D-4493-8A10-F275EA3E2DB5}"/>
    <cellStyle name="Итог 3 2 4 4" xfId="2527" xr:uid="{00000000-0005-0000-0000-0000891D0000}"/>
    <cellStyle name="Итог 3 2 4 4 2" xfId="22920" xr:uid="{00000000-0005-0000-0000-00008A1D0000}"/>
    <cellStyle name="Итог 3 2 4 4 3" xfId="39386" xr:uid="{C11DD241-150F-4BB3-8E52-4F21F4A71073}"/>
    <cellStyle name="Итог 3 2 4 5" xfId="3575" xr:uid="{00000000-0005-0000-0000-00008B1D0000}"/>
    <cellStyle name="Итог 3 2 4 5 2" xfId="20473" xr:uid="{00000000-0005-0000-0000-00008C1D0000}"/>
    <cellStyle name="Итог 3 2 4 5 3" xfId="37365" xr:uid="{C12B9EBC-BF51-48C1-8BD2-B5E85548048C}"/>
    <cellStyle name="Итог 3 2 4 6" xfId="4047" xr:uid="{00000000-0005-0000-0000-00008D1D0000}"/>
    <cellStyle name="Итог 3 2 4 7" xfId="4569" xr:uid="{00000000-0005-0000-0000-00008E1D0000}"/>
    <cellStyle name="Итог 3 2 4 8" xfId="5051" xr:uid="{00000000-0005-0000-0000-00008F1D0000}"/>
    <cellStyle name="Итог 3 2 5" xfId="539" xr:uid="{00000000-0005-0000-0000-0000901D0000}"/>
    <cellStyle name="Итог 3 2 5 2" xfId="1371" xr:uid="{00000000-0005-0000-0000-0000911D0000}"/>
    <cellStyle name="Итог 3 2 5 2 2" xfId="21364" xr:uid="{00000000-0005-0000-0000-0000921D0000}"/>
    <cellStyle name="Итог 3 2 5 2 2 2" xfId="38006" xr:uid="{E94A8ACD-88EE-4B02-86C3-6FBD75E70795}"/>
    <cellStyle name="Итог 3 2 5 2 3" xfId="6127" xr:uid="{00000000-0005-0000-0000-0000931D0000}"/>
    <cellStyle name="Итог 3 2 5 2 4" xfId="23914" xr:uid="{FF66A06E-89A0-4C68-AF17-D2BD878F8B48}"/>
    <cellStyle name="Итог 3 2 5 3" xfId="1758" xr:uid="{00000000-0005-0000-0000-0000941D0000}"/>
    <cellStyle name="Итог 3 2 5 3 2" xfId="21986" xr:uid="{00000000-0005-0000-0000-0000951D0000}"/>
    <cellStyle name="Итог 3 2 5 3 2 2" xfId="38596" xr:uid="{2D7EB1D2-A9AB-4C4D-8903-3F1DD8EAC593}"/>
    <cellStyle name="Итог 3 2 5 3 3" xfId="6896" xr:uid="{00000000-0005-0000-0000-0000961D0000}"/>
    <cellStyle name="Итог 3 2 5 3 4" xfId="24523" xr:uid="{39A56E83-E21C-447E-AFF6-3FB79E0F736C}"/>
    <cellStyle name="Итог 3 2 5 4" xfId="2572" xr:uid="{00000000-0005-0000-0000-0000971D0000}"/>
    <cellStyle name="Итог 3 2 5 4 2" xfId="22863" xr:uid="{00000000-0005-0000-0000-0000981D0000}"/>
    <cellStyle name="Итог 3 2 5 4 3" xfId="39329" xr:uid="{89527E5F-F28B-4D28-8852-773CC3B12393}"/>
    <cellStyle name="Итог 3 2 5 5" xfId="3502" xr:uid="{00000000-0005-0000-0000-0000991D0000}"/>
    <cellStyle name="Итог 3 2 5 5 2" xfId="20578" xr:uid="{00000000-0005-0000-0000-00009A1D0000}"/>
    <cellStyle name="Итог 3 2 5 5 3" xfId="37431" xr:uid="{36245E3F-BC5B-45A0-A855-698F6A15DE4A}"/>
    <cellStyle name="Итог 3 2 5 6" xfId="4099" xr:uid="{00000000-0005-0000-0000-00009B1D0000}"/>
    <cellStyle name="Итог 3 2 5 7" xfId="4621" xr:uid="{00000000-0005-0000-0000-00009C1D0000}"/>
    <cellStyle name="Итог 3 2 5 8" xfId="5103" xr:uid="{00000000-0005-0000-0000-00009D1D0000}"/>
    <cellStyle name="Итог 3 2 6" xfId="591" xr:uid="{00000000-0005-0000-0000-00009E1D0000}"/>
    <cellStyle name="Итог 3 2 6 2" xfId="1423" xr:uid="{00000000-0005-0000-0000-00009F1D0000}"/>
    <cellStyle name="Итог 3 2 6 2 2" xfId="21416" xr:uid="{00000000-0005-0000-0000-0000A01D0000}"/>
    <cellStyle name="Итог 3 2 6 2 2 2" xfId="38058" xr:uid="{A1903B33-D770-4AFA-9CE6-7CE97EB8F721}"/>
    <cellStyle name="Итог 3 2 6 2 3" xfId="6179" xr:uid="{00000000-0005-0000-0000-0000A11D0000}"/>
    <cellStyle name="Итог 3 2 6 2 4" xfId="23966" xr:uid="{A82CDF84-0E93-4132-9C39-FC33DA0F35F3}"/>
    <cellStyle name="Итог 3 2 6 3" xfId="2212" xr:uid="{00000000-0005-0000-0000-0000A21D0000}"/>
    <cellStyle name="Итог 3 2 6 3 2" xfId="22038" xr:uid="{00000000-0005-0000-0000-0000A31D0000}"/>
    <cellStyle name="Итог 3 2 6 3 2 2" xfId="38648" xr:uid="{CE0653BE-C9B2-42B9-B1E1-9F93FE46C9F3}"/>
    <cellStyle name="Итог 3 2 6 3 3" xfId="6948" xr:uid="{00000000-0005-0000-0000-0000A41D0000}"/>
    <cellStyle name="Итог 3 2 6 3 4" xfId="24575" xr:uid="{9874DC82-DA7D-45D3-8236-3910044F371E}"/>
    <cellStyle name="Итог 3 2 6 4" xfId="2564" xr:uid="{00000000-0005-0000-0000-0000A51D0000}"/>
    <cellStyle name="Итог 3 2 6 4 2" xfId="22870" xr:uid="{00000000-0005-0000-0000-0000A61D0000}"/>
    <cellStyle name="Итог 3 2 6 4 3" xfId="39336" xr:uid="{A3969121-8B26-469A-B841-0EE652282B29}"/>
    <cellStyle name="Итог 3 2 6 5" xfId="3513" xr:uid="{00000000-0005-0000-0000-0000A71D0000}"/>
    <cellStyle name="Итог 3 2 6 5 2" xfId="20568" xr:uid="{00000000-0005-0000-0000-0000A81D0000}"/>
    <cellStyle name="Итог 3 2 6 5 3" xfId="37421" xr:uid="{06136E52-3D5F-45DA-A317-DCEB3AC4E596}"/>
    <cellStyle name="Итог 3 2 6 6" xfId="4151" xr:uid="{00000000-0005-0000-0000-0000A91D0000}"/>
    <cellStyle name="Итог 3 2 6 7" xfId="4673" xr:uid="{00000000-0005-0000-0000-0000AA1D0000}"/>
    <cellStyle name="Итог 3 2 6 8" xfId="5155" xr:uid="{00000000-0005-0000-0000-0000AB1D0000}"/>
    <cellStyle name="Итог 3 2 7" xfId="688" xr:uid="{00000000-0005-0000-0000-0000AC1D0000}"/>
    <cellStyle name="Итог 3 2 7 2" xfId="1518" xr:uid="{00000000-0005-0000-0000-0000AD1D0000}"/>
    <cellStyle name="Итог 3 2 7 2 2" xfId="21511" xr:uid="{00000000-0005-0000-0000-0000AE1D0000}"/>
    <cellStyle name="Итог 3 2 7 2 2 2" xfId="38153" xr:uid="{607A6C00-C65D-4457-84AD-60340088C4E0}"/>
    <cellStyle name="Итог 3 2 7 2 3" xfId="6274" xr:uid="{00000000-0005-0000-0000-0000AF1D0000}"/>
    <cellStyle name="Итог 3 2 7 2 4" xfId="24061" xr:uid="{C8ECE6BB-F380-4F66-83A4-C16072C0DA5D}"/>
    <cellStyle name="Итог 3 2 7 3" xfId="1754" xr:uid="{00000000-0005-0000-0000-0000B01D0000}"/>
    <cellStyle name="Итог 3 2 7 3 2" xfId="22133" xr:uid="{00000000-0005-0000-0000-0000B11D0000}"/>
    <cellStyle name="Итог 3 2 7 3 2 2" xfId="38743" xr:uid="{98B4831D-28A3-43DA-8BAA-79693B7E6220}"/>
    <cellStyle name="Итог 3 2 7 3 3" xfId="7043" xr:uid="{00000000-0005-0000-0000-0000B21D0000}"/>
    <cellStyle name="Итог 3 2 7 3 4" xfId="24670" xr:uid="{CCFF1916-6EAB-4CC8-853E-66BE65BF6E3C}"/>
    <cellStyle name="Итог 3 2 7 4" xfId="2524" xr:uid="{00000000-0005-0000-0000-0000B31D0000}"/>
    <cellStyle name="Итог 3 2 7 4 2" xfId="23021" xr:uid="{00000000-0005-0000-0000-0000B41D0000}"/>
    <cellStyle name="Итог 3 2 7 4 3" xfId="39487" xr:uid="{28C08E39-94D3-44AC-AC34-0507A5D7857B}"/>
    <cellStyle name="Итог 3 2 7 5" xfId="3712" xr:uid="{00000000-0005-0000-0000-0000B51D0000}"/>
    <cellStyle name="Итог 3 2 7 5 2" xfId="20692" xr:uid="{00000000-0005-0000-0000-0000B61D0000}"/>
    <cellStyle name="Итог 3 2 7 5 3" xfId="37521" xr:uid="{A825E294-0C03-4766-A525-5DE44250DE88}"/>
    <cellStyle name="Итог 3 2 7 6" xfId="4247" xr:uid="{00000000-0005-0000-0000-0000B71D0000}"/>
    <cellStyle name="Итог 3 2 7 7" xfId="4769" xr:uid="{00000000-0005-0000-0000-0000B81D0000}"/>
    <cellStyle name="Итог 3 2 7 8" xfId="5250" xr:uid="{00000000-0005-0000-0000-0000B91D0000}"/>
    <cellStyle name="Итог 3 2 8" xfId="678" xr:uid="{00000000-0005-0000-0000-0000BA1D0000}"/>
    <cellStyle name="Итог 3 2 8 2" xfId="1508" xr:uid="{00000000-0005-0000-0000-0000BB1D0000}"/>
    <cellStyle name="Итог 3 2 8 2 2" xfId="21501" xr:uid="{00000000-0005-0000-0000-0000BC1D0000}"/>
    <cellStyle name="Итог 3 2 8 2 2 2" xfId="38143" xr:uid="{5801CBA1-C7DF-404A-8DC8-9AF49DBBA0BA}"/>
    <cellStyle name="Итог 3 2 8 2 3" xfId="6264" xr:uid="{00000000-0005-0000-0000-0000BD1D0000}"/>
    <cellStyle name="Итог 3 2 8 2 4" xfId="24051" xr:uid="{12656058-E6F1-491F-B0C3-A211EA64925B}"/>
    <cellStyle name="Итог 3 2 8 3" xfId="1777" xr:uid="{00000000-0005-0000-0000-0000BE1D0000}"/>
    <cellStyle name="Итог 3 2 8 3 2" xfId="22123" xr:uid="{00000000-0005-0000-0000-0000BF1D0000}"/>
    <cellStyle name="Итог 3 2 8 3 2 2" xfId="38733" xr:uid="{E0660B56-BD6A-409C-B2BB-0743E150B007}"/>
    <cellStyle name="Итог 3 2 8 3 3" xfId="7033" xr:uid="{00000000-0005-0000-0000-0000C01D0000}"/>
    <cellStyle name="Итог 3 2 8 3 4" xfId="24660" xr:uid="{AC2D92A3-6860-4DE8-929B-477BF114AE55}"/>
    <cellStyle name="Итог 3 2 8 4" xfId="2611" xr:uid="{00000000-0005-0000-0000-0000C11D0000}"/>
    <cellStyle name="Итог 3 2 8 4 2" xfId="23054" xr:uid="{00000000-0005-0000-0000-0000C21D0000}"/>
    <cellStyle name="Итог 3 2 8 4 3" xfId="39520" xr:uid="{F1A0EC95-F35B-49B5-9D96-1E1E3B3A4838}"/>
    <cellStyle name="Итог 3 2 8 5" xfId="3772" xr:uid="{00000000-0005-0000-0000-0000C31D0000}"/>
    <cellStyle name="Итог 3 2 8 5 2" xfId="20757" xr:uid="{00000000-0005-0000-0000-0000C41D0000}"/>
    <cellStyle name="Итог 3 2 8 5 3" xfId="37573" xr:uid="{4142EC23-8842-4A99-89C6-F2B2EE9F9E17}"/>
    <cellStyle name="Итог 3 2 8 6" xfId="4237" xr:uid="{00000000-0005-0000-0000-0000C51D0000}"/>
    <cellStyle name="Итог 3 2 8 7" xfId="4759" xr:uid="{00000000-0005-0000-0000-0000C61D0000}"/>
    <cellStyle name="Итог 3 2 8 8" xfId="5240" xr:uid="{00000000-0005-0000-0000-0000C71D0000}"/>
    <cellStyle name="Итог 3 2 9" xfId="652" xr:uid="{00000000-0005-0000-0000-0000C81D0000}"/>
    <cellStyle name="Итог 3 2 9 2" xfId="1484" xr:uid="{00000000-0005-0000-0000-0000C91D0000}"/>
    <cellStyle name="Итог 3 2 9 2 2" xfId="21477" xr:uid="{00000000-0005-0000-0000-0000CA1D0000}"/>
    <cellStyle name="Итог 3 2 9 2 2 2" xfId="38119" xr:uid="{910381E9-3EC0-402F-8E7A-6F1E7903BF1C}"/>
    <cellStyle name="Итог 3 2 9 2 3" xfId="6240" xr:uid="{00000000-0005-0000-0000-0000CB1D0000}"/>
    <cellStyle name="Итог 3 2 9 2 4" xfId="24027" xr:uid="{79D08218-97DF-408E-B939-6BBA162E9F8A}"/>
    <cellStyle name="Итог 3 2 9 3" xfId="1930" xr:uid="{00000000-0005-0000-0000-0000CC1D0000}"/>
    <cellStyle name="Итог 3 2 9 3 2" xfId="22099" xr:uid="{00000000-0005-0000-0000-0000CD1D0000}"/>
    <cellStyle name="Итог 3 2 9 3 2 2" xfId="38709" xr:uid="{AE63529D-0E39-4C4A-8437-8821DA08C714}"/>
    <cellStyle name="Итог 3 2 9 3 3" xfId="7009" xr:uid="{00000000-0005-0000-0000-0000CE1D0000}"/>
    <cellStyle name="Итог 3 2 9 3 4" xfId="24636" xr:uid="{9CA4CCB4-8CBA-46A9-9F2B-DC2963427C66}"/>
    <cellStyle name="Итог 3 2 9 4" xfId="2736" xr:uid="{00000000-0005-0000-0000-0000CF1D0000}"/>
    <cellStyle name="Итог 3 2 9 4 2" xfId="22574" xr:uid="{00000000-0005-0000-0000-0000D01D0000}"/>
    <cellStyle name="Итог 3 2 9 4 3" xfId="39051" xr:uid="{E6561687-72CA-4A3A-AD04-07AFE0D31DC4}"/>
    <cellStyle name="Итог 3 2 9 5" xfId="3313" xr:uid="{00000000-0005-0000-0000-0000D11D0000}"/>
    <cellStyle name="Итог 3 2 9 5 2" xfId="20822" xr:uid="{00000000-0005-0000-0000-0000D21D0000}"/>
    <cellStyle name="Итог 3 2 9 5 3" xfId="37625" xr:uid="{F20B0351-32B8-4481-9173-1E2C72FDDA7D}"/>
    <cellStyle name="Итог 3 2 9 6" xfId="4212" xr:uid="{00000000-0005-0000-0000-0000D31D0000}"/>
    <cellStyle name="Итог 3 2 9 7" xfId="4734" xr:uid="{00000000-0005-0000-0000-0000D41D0000}"/>
    <cellStyle name="Итог 3 2 9 8" xfId="5216" xr:uid="{00000000-0005-0000-0000-0000D51D0000}"/>
    <cellStyle name="Итог 3 3" xfId="360" xr:uid="{00000000-0005-0000-0000-0000D61D0000}"/>
    <cellStyle name="Итог 3 3 10" xfId="982" xr:uid="{00000000-0005-0000-0000-0000D71D0000}"/>
    <cellStyle name="Итог 3 3 10 2" xfId="2250" xr:uid="{00000000-0005-0000-0000-0000D81D0000}"/>
    <cellStyle name="Итог 3 3 10 2 2" xfId="21849" xr:uid="{00000000-0005-0000-0000-0000D91D0000}"/>
    <cellStyle name="Итог 3 3 10 2 2 2" xfId="38459" xr:uid="{BA5E50CB-3F28-4EFC-88AE-288BE785DFE3}"/>
    <cellStyle name="Итог 3 3 10 2 3" xfId="5989" xr:uid="{00000000-0005-0000-0000-0000DA1D0000}"/>
    <cellStyle name="Итог 3 3 10 2 4" xfId="23777" xr:uid="{A79A143B-69F4-47C7-8131-7E3834516907}"/>
    <cellStyle name="Итог 3 3 10 3" xfId="2724" xr:uid="{00000000-0005-0000-0000-0000DB1D0000}"/>
    <cellStyle name="Итог 3 3 10 3 2" xfId="22924" xr:uid="{00000000-0005-0000-0000-0000DC1D0000}"/>
    <cellStyle name="Итог 3 3 10 3 2 2" xfId="39390" xr:uid="{486E4D6B-DCC0-4050-99B3-6C13D1A0DAF4}"/>
    <cellStyle name="Итог 3 3 10 3 3" xfId="6763" xr:uid="{00000000-0005-0000-0000-0000DD1D0000}"/>
    <cellStyle name="Итог 3 3 10 3 4" xfId="24390" xr:uid="{11D1110F-4143-484C-839F-83493D9057DB}"/>
    <cellStyle name="Итог 3 3 10 4" xfId="3580" xr:uid="{00000000-0005-0000-0000-0000DE1D0000}"/>
    <cellStyle name="Итог 3 3 10 4 2" xfId="21208" xr:uid="{00000000-0005-0000-0000-0000DF1D0000}"/>
    <cellStyle name="Итог 3 3 10 4 3" xfId="37869" xr:uid="{6C7F175A-B7F4-410E-9B20-581F0B87B726}"/>
    <cellStyle name="Итог 3 3 10 5" xfId="3953" xr:uid="{00000000-0005-0000-0000-0000E01D0000}"/>
    <cellStyle name="Итог 3 3 10 6" xfId="4481" xr:uid="{00000000-0005-0000-0000-0000E11D0000}"/>
    <cellStyle name="Итог 3 3 10 7" xfId="4970" xr:uid="{00000000-0005-0000-0000-0000E21D0000}"/>
    <cellStyle name="Итог 3 3 11" xfId="1781" xr:uid="{00000000-0005-0000-0000-0000E31D0000}"/>
    <cellStyle name="Итог 3 3 11 2" xfId="20975" xr:uid="{00000000-0005-0000-0000-0000E41D0000}"/>
    <cellStyle name="Итог 3 3 11 2 2" xfId="37752" xr:uid="{145839E9-BB0E-42BC-AD02-2CD24BC830AA}"/>
    <cellStyle name="Итог 3 3 11 3" xfId="5733" xr:uid="{00000000-0005-0000-0000-0000E51D0000}"/>
    <cellStyle name="Итог 3 3 11 4" xfId="23657" xr:uid="{03A328DD-7335-402D-BAD9-1FD8F2B4174E}"/>
    <cellStyle name="Итог 3 3 12" xfId="2428" xr:uid="{00000000-0005-0000-0000-0000E61D0000}"/>
    <cellStyle name="Итог 3 3 12 2" xfId="21732" xr:uid="{00000000-0005-0000-0000-0000E71D0000}"/>
    <cellStyle name="Итог 3 3 12 2 2" xfId="38342" xr:uid="{90197C1A-0F66-4C03-B897-4503AEA2540F}"/>
    <cellStyle name="Итог 3 3 12 3" xfId="6650" xr:uid="{00000000-0005-0000-0000-0000E81D0000}"/>
    <cellStyle name="Итог 3 3 12 4" xfId="24277" xr:uid="{EFC494B9-20C1-4BD8-B08C-2C7BFDC04D73}"/>
    <cellStyle name="Итог 3 3 13" xfId="3293" xr:uid="{00000000-0005-0000-0000-0000E91D0000}"/>
    <cellStyle name="Итог 3 3 13 2" xfId="22556" xr:uid="{00000000-0005-0000-0000-0000EA1D0000}"/>
    <cellStyle name="Итог 3 3 13 3" xfId="39035" xr:uid="{324B5AB4-749E-4C9A-A5C9-B49FE5F26407}"/>
    <cellStyle name="Итог 3 3 14" xfId="3395" xr:uid="{00000000-0005-0000-0000-0000EB1D0000}"/>
    <cellStyle name="Итог 3 3 14 2" xfId="7373" xr:uid="{00000000-0005-0000-0000-0000EC1D0000}"/>
    <cellStyle name="Итог 3 3 14 3" xfId="24848" xr:uid="{2888EF96-F504-40BE-AB9B-66AF1AC74EE3}"/>
    <cellStyle name="Итог 3 3 15" xfId="3365" xr:uid="{00000000-0005-0000-0000-0000ED1D0000}"/>
    <cellStyle name="Итог 3 3 16" xfId="3552" xr:uid="{00000000-0005-0000-0000-0000EE1D0000}"/>
    <cellStyle name="Итог 3 3 2" xfId="465" xr:uid="{00000000-0005-0000-0000-0000EF1D0000}"/>
    <cellStyle name="Итог 3 3 2 2" xfId="1297" xr:uid="{00000000-0005-0000-0000-0000F01D0000}"/>
    <cellStyle name="Итог 3 3 2 2 2" xfId="21290" xr:uid="{00000000-0005-0000-0000-0000F11D0000}"/>
    <cellStyle name="Итог 3 3 2 2 2 2" xfId="37932" xr:uid="{66F8C248-AF7D-4004-8206-6E47644720E1}"/>
    <cellStyle name="Итог 3 3 2 2 3" xfId="6053" xr:uid="{00000000-0005-0000-0000-0000F21D0000}"/>
    <cellStyle name="Итог 3 3 2 2 4" xfId="23840" xr:uid="{67491413-D7F6-47F6-8BD6-87CAA7417A6F}"/>
    <cellStyle name="Итог 3 3 2 3" xfId="2155" xr:uid="{00000000-0005-0000-0000-0000F31D0000}"/>
    <cellStyle name="Итог 3 3 2 3 2" xfId="21912" xr:uid="{00000000-0005-0000-0000-0000F41D0000}"/>
    <cellStyle name="Итог 3 3 2 3 2 2" xfId="38522" xr:uid="{CAFAC214-370A-4867-89F9-8A64B40AFEFE}"/>
    <cellStyle name="Итог 3 3 2 3 3" xfId="6822" xr:uid="{00000000-0005-0000-0000-0000F51D0000}"/>
    <cellStyle name="Итог 3 3 2 3 4" xfId="24449" xr:uid="{1A505D3F-DF43-4477-A5E5-0AA5BA3ED3FB}"/>
    <cellStyle name="Итог 3 3 2 4" xfId="2418" xr:uid="{00000000-0005-0000-0000-0000F61D0000}"/>
    <cellStyle name="Итог 3 3 2 4 2" xfId="22908" xr:uid="{00000000-0005-0000-0000-0000F71D0000}"/>
    <cellStyle name="Итог 3 3 2 4 3" xfId="39374" xr:uid="{FF115431-B3FA-4E73-BC42-29EE1A70BAB8}"/>
    <cellStyle name="Итог 3 3 2 5" xfId="3557" xr:uid="{00000000-0005-0000-0000-0000F81D0000}"/>
    <cellStyle name="Итог 3 3 2 5 2" xfId="20449" xr:uid="{00000000-0005-0000-0000-0000F91D0000}"/>
    <cellStyle name="Итог 3 3 2 5 3" xfId="37341" xr:uid="{3259AC7D-6307-48B6-B82F-66E880660984}"/>
    <cellStyle name="Итог 3 3 2 6" xfId="4025" xr:uid="{00000000-0005-0000-0000-0000FA1D0000}"/>
    <cellStyle name="Итог 3 3 2 7" xfId="4547" xr:uid="{00000000-0005-0000-0000-0000FB1D0000}"/>
    <cellStyle name="Итог 3 3 2 8" xfId="5029" xr:uid="{00000000-0005-0000-0000-0000FC1D0000}"/>
    <cellStyle name="Итог 3 3 3" xfId="510" xr:uid="{00000000-0005-0000-0000-0000FD1D0000}"/>
    <cellStyle name="Итог 3 3 3 2" xfId="1342" xr:uid="{00000000-0005-0000-0000-0000FE1D0000}"/>
    <cellStyle name="Итог 3 3 3 2 2" xfId="21335" xr:uid="{00000000-0005-0000-0000-0000FF1D0000}"/>
    <cellStyle name="Итог 3 3 3 2 2 2" xfId="37977" xr:uid="{50E1E715-9AB7-463A-849C-E93E1CCE1B1E}"/>
    <cellStyle name="Итог 3 3 3 2 3" xfId="6098" xr:uid="{00000000-0005-0000-0000-0000001E0000}"/>
    <cellStyle name="Итог 3 3 3 2 4" xfId="23885" xr:uid="{88D57180-FBD8-49BE-AC5F-604B91CEAB18}"/>
    <cellStyle name="Итог 3 3 3 3" xfId="2268" xr:uid="{00000000-0005-0000-0000-0000011E0000}"/>
    <cellStyle name="Итог 3 3 3 3 2" xfId="21957" xr:uid="{00000000-0005-0000-0000-0000021E0000}"/>
    <cellStyle name="Итог 3 3 3 3 2 2" xfId="38567" xr:uid="{CF4AC968-106B-440A-83BA-EA34432769B2}"/>
    <cellStyle name="Итог 3 3 3 3 3" xfId="6867" xr:uid="{00000000-0005-0000-0000-0000031E0000}"/>
    <cellStyle name="Итог 3 3 3 3 4" xfId="24494" xr:uid="{E8D04980-8EF7-481D-8B03-9A206C92A768}"/>
    <cellStyle name="Итог 3 3 3 4" xfId="2709" xr:uid="{00000000-0005-0000-0000-0000041E0000}"/>
    <cellStyle name="Итог 3 3 3 4 2" xfId="22989" xr:uid="{00000000-0005-0000-0000-0000051E0000}"/>
    <cellStyle name="Итог 3 3 3 4 3" xfId="39455" xr:uid="{3F527E68-2204-4CE5-9C74-C3334294500D}"/>
    <cellStyle name="Итог 3 3 3 5" xfId="3624" xr:uid="{00000000-0005-0000-0000-0000061E0000}"/>
    <cellStyle name="Итог 3 3 3 5 2" xfId="20496" xr:uid="{00000000-0005-0000-0000-0000071E0000}"/>
    <cellStyle name="Итог 3 3 3 5 3" xfId="37388" xr:uid="{EFB2007C-3833-4DC7-A13F-46D52728487B}"/>
    <cellStyle name="Итог 3 3 3 6" xfId="4070" xr:uid="{00000000-0005-0000-0000-0000081E0000}"/>
    <cellStyle name="Итог 3 3 3 7" xfId="4592" xr:uid="{00000000-0005-0000-0000-0000091E0000}"/>
    <cellStyle name="Итог 3 3 3 8" xfId="5074" xr:uid="{00000000-0005-0000-0000-00000A1E0000}"/>
    <cellStyle name="Итог 3 3 4" xfId="562" xr:uid="{00000000-0005-0000-0000-00000B1E0000}"/>
    <cellStyle name="Итог 3 3 4 2" xfId="1394" xr:uid="{00000000-0005-0000-0000-00000C1E0000}"/>
    <cellStyle name="Итог 3 3 4 2 2" xfId="21387" xr:uid="{00000000-0005-0000-0000-00000D1E0000}"/>
    <cellStyle name="Итог 3 3 4 2 2 2" xfId="38029" xr:uid="{5CFDCF2C-9E86-405F-95A4-0F5278C7C99A}"/>
    <cellStyle name="Итог 3 3 4 2 3" xfId="6150" xr:uid="{00000000-0005-0000-0000-00000E1E0000}"/>
    <cellStyle name="Итог 3 3 4 2 4" xfId="23937" xr:uid="{D3763883-8B91-42E7-88FF-D5050C5FE5AA}"/>
    <cellStyle name="Итог 3 3 4 3" xfId="2166" xr:uid="{00000000-0005-0000-0000-00000F1E0000}"/>
    <cellStyle name="Итог 3 3 4 3 2" xfId="22009" xr:uid="{00000000-0005-0000-0000-0000101E0000}"/>
    <cellStyle name="Итог 3 3 4 3 2 2" xfId="38619" xr:uid="{E50CDF78-BA5F-4C8C-B1BF-6291509199CE}"/>
    <cellStyle name="Итог 3 3 4 3 3" xfId="6919" xr:uid="{00000000-0005-0000-0000-0000111E0000}"/>
    <cellStyle name="Итог 3 3 4 3 4" xfId="24546" xr:uid="{FE48A7FF-4BEF-4B42-92FE-E6D6C752763C}"/>
    <cellStyle name="Итог 3 3 4 4" xfId="2587" xr:uid="{00000000-0005-0000-0000-0000121E0000}"/>
    <cellStyle name="Итог 3 3 4 4 2" xfId="22985" xr:uid="{00000000-0005-0000-0000-0000131E0000}"/>
    <cellStyle name="Итог 3 3 4 4 3" xfId="39451" xr:uid="{DBBE5EAD-8C54-448C-A61F-D2D991771E37}"/>
    <cellStyle name="Итог 3 3 4 5" xfId="3706" xr:uid="{00000000-0005-0000-0000-0000141E0000}"/>
    <cellStyle name="Итог 3 3 4 5 2" xfId="20612" xr:uid="{00000000-0005-0000-0000-0000151E0000}"/>
    <cellStyle name="Итог 3 3 4 5 3" xfId="37454" xr:uid="{B56A2D27-6DC6-488E-BB58-7A5B54EFA546}"/>
    <cellStyle name="Итог 3 3 4 6" xfId="4122" xr:uid="{00000000-0005-0000-0000-0000161E0000}"/>
    <cellStyle name="Итог 3 3 4 7" xfId="4644" xr:uid="{00000000-0005-0000-0000-0000171E0000}"/>
    <cellStyle name="Итог 3 3 4 8" xfId="5126" xr:uid="{00000000-0005-0000-0000-0000181E0000}"/>
    <cellStyle name="Итог 3 3 5" xfId="614" xr:uid="{00000000-0005-0000-0000-0000191E0000}"/>
    <cellStyle name="Итог 3 3 5 2" xfId="1446" xr:uid="{00000000-0005-0000-0000-00001A1E0000}"/>
    <cellStyle name="Итог 3 3 5 2 2" xfId="21439" xr:uid="{00000000-0005-0000-0000-00001B1E0000}"/>
    <cellStyle name="Итог 3 3 5 2 2 2" xfId="38081" xr:uid="{BD74746D-8161-44C1-9256-FA34582A5371}"/>
    <cellStyle name="Итог 3 3 5 2 3" xfId="6202" xr:uid="{00000000-0005-0000-0000-00001C1E0000}"/>
    <cellStyle name="Итог 3 3 5 2 4" xfId="23989" xr:uid="{452D8789-2CFC-4C7F-B96D-0A8EBF4417C4}"/>
    <cellStyle name="Итог 3 3 5 3" xfId="2209" xr:uid="{00000000-0005-0000-0000-00001D1E0000}"/>
    <cellStyle name="Итог 3 3 5 3 2" xfId="22061" xr:uid="{00000000-0005-0000-0000-00001E1E0000}"/>
    <cellStyle name="Итог 3 3 5 3 2 2" xfId="38671" xr:uid="{E377C23F-1A8D-4275-A0B3-502ECDD83DD8}"/>
    <cellStyle name="Итог 3 3 5 3 3" xfId="6971" xr:uid="{00000000-0005-0000-0000-00001F1E0000}"/>
    <cellStyle name="Итог 3 3 5 3 4" xfId="24598" xr:uid="{F9BED491-7D55-4344-9753-CC60C6AA8CBE}"/>
    <cellStyle name="Итог 3 3 5 4" xfId="2560" xr:uid="{00000000-0005-0000-0000-0000201E0000}"/>
    <cellStyle name="Итог 3 3 5 4 2" xfId="22882" xr:uid="{00000000-0005-0000-0000-0000211E0000}"/>
    <cellStyle name="Итог 3 3 5 4 3" xfId="39348" xr:uid="{CFF2140B-4434-4E41-8382-697E64952D07}"/>
    <cellStyle name="Итог 3 3 5 5" xfId="3528" xr:uid="{00000000-0005-0000-0000-0000221E0000}"/>
    <cellStyle name="Итог 3 3 5 5 2" xfId="20650" xr:uid="{00000000-0005-0000-0000-0000231E0000}"/>
    <cellStyle name="Итог 3 3 5 5 3" xfId="37492" xr:uid="{9A6EC995-FB80-4C66-B00C-DF988D23766C}"/>
    <cellStyle name="Итог 3 3 5 6" xfId="4174" xr:uid="{00000000-0005-0000-0000-0000241E0000}"/>
    <cellStyle name="Итог 3 3 5 7" xfId="4696" xr:uid="{00000000-0005-0000-0000-0000251E0000}"/>
    <cellStyle name="Итог 3 3 5 8" xfId="5178" xr:uid="{00000000-0005-0000-0000-0000261E0000}"/>
    <cellStyle name="Итог 3 3 6" xfId="717" xr:uid="{00000000-0005-0000-0000-0000271E0000}"/>
    <cellStyle name="Итог 3 3 6 2" xfId="1547" xr:uid="{00000000-0005-0000-0000-0000281E0000}"/>
    <cellStyle name="Итог 3 3 6 2 2" xfId="21540" xr:uid="{00000000-0005-0000-0000-0000291E0000}"/>
    <cellStyle name="Итог 3 3 6 2 2 2" xfId="38182" xr:uid="{CA6E8AA3-4C57-4EA8-AFA9-AF2820234472}"/>
    <cellStyle name="Итог 3 3 6 2 3" xfId="6303" xr:uid="{00000000-0005-0000-0000-00002A1E0000}"/>
    <cellStyle name="Итог 3 3 6 2 4" xfId="24090" xr:uid="{5699F999-457E-4D9C-B0CA-37D29646F76D}"/>
    <cellStyle name="Итог 3 3 6 3" xfId="1708" xr:uid="{00000000-0005-0000-0000-00002B1E0000}"/>
    <cellStyle name="Итог 3 3 6 3 2" xfId="22162" xr:uid="{00000000-0005-0000-0000-00002C1E0000}"/>
    <cellStyle name="Итог 3 3 6 3 2 2" xfId="38772" xr:uid="{839DBCCD-82D7-4417-B79C-926FBA194CCD}"/>
    <cellStyle name="Итог 3 3 6 3 3" xfId="7072" xr:uid="{00000000-0005-0000-0000-00002D1E0000}"/>
    <cellStyle name="Итог 3 3 6 3 4" xfId="24699" xr:uid="{F4035904-0CE5-4FE5-A5DE-B1C11F296453}"/>
    <cellStyle name="Итог 3 3 6 4" xfId="2347" xr:uid="{00000000-0005-0000-0000-00002E1E0000}"/>
    <cellStyle name="Итог 3 3 6 4 2" xfId="22529" xr:uid="{00000000-0005-0000-0000-00002F1E0000}"/>
    <cellStyle name="Итог 3 3 6 4 3" xfId="39008" xr:uid="{B7D20594-077B-4F4A-9A00-EF9556300E31}"/>
    <cellStyle name="Итог 3 3 6 5" xfId="2979" xr:uid="{00000000-0005-0000-0000-0000301E0000}"/>
    <cellStyle name="Итог 3 3 6 5 2" xfId="20715" xr:uid="{00000000-0005-0000-0000-0000311E0000}"/>
    <cellStyle name="Итог 3 3 6 5 3" xfId="37544" xr:uid="{2AF23E84-EE0C-43E1-929E-303360FC9238}"/>
    <cellStyle name="Итог 3 3 6 6" xfId="4276" xr:uid="{00000000-0005-0000-0000-0000321E0000}"/>
    <cellStyle name="Итог 3 3 6 7" xfId="4798" xr:uid="{00000000-0005-0000-0000-0000331E0000}"/>
    <cellStyle name="Итог 3 3 6 8" xfId="5279" xr:uid="{00000000-0005-0000-0000-0000341E0000}"/>
    <cellStyle name="Итог 3 3 7" xfId="761" xr:uid="{00000000-0005-0000-0000-0000351E0000}"/>
    <cellStyle name="Итог 3 3 7 2" xfId="1590" xr:uid="{00000000-0005-0000-0000-0000361E0000}"/>
    <cellStyle name="Итог 3 3 7 2 2" xfId="21583" xr:uid="{00000000-0005-0000-0000-0000371E0000}"/>
    <cellStyle name="Итог 3 3 7 2 2 2" xfId="38225" xr:uid="{67185E8B-D892-4E5E-9A41-C48975AE0E15}"/>
    <cellStyle name="Итог 3 3 7 2 3" xfId="6346" xr:uid="{00000000-0005-0000-0000-0000381E0000}"/>
    <cellStyle name="Итог 3 3 7 2 4" xfId="24133" xr:uid="{61A4ED2B-DC25-433F-B2CC-C51AE5B8F7AA}"/>
    <cellStyle name="Итог 3 3 7 3" xfId="1701" xr:uid="{00000000-0005-0000-0000-0000391E0000}"/>
    <cellStyle name="Итог 3 3 7 3 2" xfId="22205" xr:uid="{00000000-0005-0000-0000-00003A1E0000}"/>
    <cellStyle name="Итог 3 3 7 3 2 2" xfId="38815" xr:uid="{0353EE4F-68AB-4EC3-ACDD-1D403DDCD333}"/>
    <cellStyle name="Итог 3 3 7 3 3" xfId="7115" xr:uid="{00000000-0005-0000-0000-00003B1E0000}"/>
    <cellStyle name="Итог 3 3 7 3 4" xfId="24742" xr:uid="{9818FCC7-F4D7-4EEE-88C8-2C280F2F2E5F}"/>
    <cellStyle name="Итог 3 3 7 4" xfId="2537" xr:uid="{00000000-0005-0000-0000-00003C1E0000}"/>
    <cellStyle name="Итог 3 3 7 4 2" xfId="22659" xr:uid="{00000000-0005-0000-0000-00003D1E0000}"/>
    <cellStyle name="Итог 3 3 7 4 3" xfId="39131" xr:uid="{56E688AA-1EAB-42D5-B994-DC2A300D3E48}"/>
    <cellStyle name="Итог 3 3 7 5" xfId="3018" xr:uid="{00000000-0005-0000-0000-00003E1E0000}"/>
    <cellStyle name="Итог 3 3 7 5 2" xfId="20780" xr:uid="{00000000-0005-0000-0000-00003F1E0000}"/>
    <cellStyle name="Итог 3 3 7 5 3" xfId="37596" xr:uid="{85FA7327-32B3-495B-8540-81622082DC68}"/>
    <cellStyle name="Итог 3 3 7 6" xfId="4319" xr:uid="{00000000-0005-0000-0000-0000401E0000}"/>
    <cellStyle name="Итог 3 3 7 7" xfId="4841" xr:uid="{00000000-0005-0000-0000-0000411E0000}"/>
    <cellStyle name="Итог 3 3 7 8" xfId="5322" xr:uid="{00000000-0005-0000-0000-0000421E0000}"/>
    <cellStyle name="Итог 3 3 8" xfId="793" xr:uid="{00000000-0005-0000-0000-0000431E0000}"/>
    <cellStyle name="Итог 3 3 8 2" xfId="1622" xr:uid="{00000000-0005-0000-0000-0000441E0000}"/>
    <cellStyle name="Итог 3 3 8 2 2" xfId="21615" xr:uid="{00000000-0005-0000-0000-0000451E0000}"/>
    <cellStyle name="Итог 3 3 8 2 2 2" xfId="38257" xr:uid="{65BA87AC-C280-448F-B5AA-F7BA344C2004}"/>
    <cellStyle name="Итог 3 3 8 2 3" xfId="6378" xr:uid="{00000000-0005-0000-0000-0000461E0000}"/>
    <cellStyle name="Итог 3 3 8 2 4" xfId="24165" xr:uid="{CE2CDD8F-41B5-4BF6-B97C-B6A118680010}"/>
    <cellStyle name="Итог 3 3 8 3" xfId="1697" xr:uid="{00000000-0005-0000-0000-0000471E0000}"/>
    <cellStyle name="Итог 3 3 8 3 2" xfId="22237" xr:uid="{00000000-0005-0000-0000-0000481E0000}"/>
    <cellStyle name="Итог 3 3 8 3 2 2" xfId="38847" xr:uid="{90881941-05CC-47C5-8B93-E2C8F1CA5077}"/>
    <cellStyle name="Итог 3 3 8 3 3" xfId="7147" xr:uid="{00000000-0005-0000-0000-0000491E0000}"/>
    <cellStyle name="Итог 3 3 8 3 4" xfId="24774" xr:uid="{4BFE6DE7-149C-45A7-B16A-9D5201816236}"/>
    <cellStyle name="Итог 3 3 8 4" xfId="2935" xr:uid="{00000000-0005-0000-0000-00004A1E0000}"/>
    <cellStyle name="Итог 3 3 8 4 2" xfId="22753" xr:uid="{00000000-0005-0000-0000-00004B1E0000}"/>
    <cellStyle name="Итог 3 3 8 4 3" xfId="39222" xr:uid="{19E453AF-665A-4F7B-AE24-4A3DBCA1D0C2}"/>
    <cellStyle name="Итог 3 3 8 5" xfId="3238" xr:uid="{00000000-0005-0000-0000-00004C1E0000}"/>
    <cellStyle name="Итог 3 3 8 5 2" xfId="20845" xr:uid="{00000000-0005-0000-0000-00004D1E0000}"/>
    <cellStyle name="Итог 3 3 8 5 3" xfId="37648" xr:uid="{42B545C6-05B8-421C-A551-E0AFCF0B5AC2}"/>
    <cellStyle name="Итог 3 3 8 6" xfId="4351" xr:uid="{00000000-0005-0000-0000-00004E1E0000}"/>
    <cellStyle name="Итог 3 3 8 7" xfId="4873" xr:uid="{00000000-0005-0000-0000-00004F1E0000}"/>
    <cellStyle name="Итог 3 3 8 8" xfId="5354" xr:uid="{00000000-0005-0000-0000-0000501E0000}"/>
    <cellStyle name="Итог 3 3 9" xfId="825" xr:uid="{00000000-0005-0000-0000-0000511E0000}"/>
    <cellStyle name="Итог 3 3 9 2" xfId="1654" xr:uid="{00000000-0005-0000-0000-0000521E0000}"/>
    <cellStyle name="Итог 3 3 9 2 2" xfId="21647" xr:uid="{00000000-0005-0000-0000-0000531E0000}"/>
    <cellStyle name="Итог 3 3 9 2 2 2" xfId="38289" xr:uid="{7B62E071-FB7E-41D3-BB7B-ADB0F814F27F}"/>
    <cellStyle name="Итог 3 3 9 2 3" xfId="6410" xr:uid="{00000000-0005-0000-0000-0000541E0000}"/>
    <cellStyle name="Итог 3 3 9 2 4" xfId="24197" xr:uid="{0EE06A34-905E-4B11-ABDB-4306D740335A}"/>
    <cellStyle name="Итог 3 3 9 3" xfId="1693" xr:uid="{00000000-0005-0000-0000-0000551E0000}"/>
    <cellStyle name="Итог 3 3 9 3 2" xfId="22269" xr:uid="{00000000-0005-0000-0000-0000561E0000}"/>
    <cellStyle name="Итог 3 3 9 3 2 2" xfId="38879" xr:uid="{7B2F8558-74FA-4AA9-A9AA-2353343E676A}"/>
    <cellStyle name="Итог 3 3 9 3 3" xfId="7179" xr:uid="{00000000-0005-0000-0000-0000571E0000}"/>
    <cellStyle name="Итог 3 3 9 3 4" xfId="24806" xr:uid="{324FD27B-F812-4A4B-AA28-FD22E99476AD}"/>
    <cellStyle name="Итог 3 3 9 4" xfId="2593" xr:uid="{00000000-0005-0000-0000-0000581E0000}"/>
    <cellStyle name="Итог 3 3 9 4 2" xfId="22749" xr:uid="{00000000-0005-0000-0000-0000591E0000}"/>
    <cellStyle name="Итог 3 3 9 4 3" xfId="39218" xr:uid="{291B07F6-C7B7-4AA9-945F-C3EFB33AE05F}"/>
    <cellStyle name="Итог 3 3 9 5" xfId="2957" xr:uid="{00000000-0005-0000-0000-00005A1E0000}"/>
    <cellStyle name="Итог 3 3 9 5 2" xfId="20910" xr:uid="{00000000-0005-0000-0000-00005B1E0000}"/>
    <cellStyle name="Итог 3 3 9 5 3" xfId="37700" xr:uid="{3EBC5BCE-7C1D-4DD4-B790-0FD568941AD6}"/>
    <cellStyle name="Итог 3 3 9 6" xfId="4383" xr:uid="{00000000-0005-0000-0000-00005C1E0000}"/>
    <cellStyle name="Итог 3 3 9 7" xfId="4905" xr:uid="{00000000-0005-0000-0000-00005D1E0000}"/>
    <cellStyle name="Итог 3 3 9 8" xfId="5386" xr:uid="{00000000-0005-0000-0000-00005E1E0000}"/>
    <cellStyle name="Итог 3 4" xfId="1058" xr:uid="{00000000-0005-0000-0000-00005F1E0000}"/>
    <cellStyle name="Итог 3 4 2" xfId="1108" xr:uid="{00000000-0005-0000-0000-0000601E0000}"/>
    <cellStyle name="Итог 3 4 2 2" xfId="21019" xr:uid="{00000000-0005-0000-0000-0000611E0000}"/>
    <cellStyle name="Итог 3 4 2 2 2" xfId="37779" xr:uid="{4E6B6D3D-C594-4FBB-B24D-B6546028CD32}"/>
    <cellStyle name="Итог 3 4 2 3" xfId="5790" xr:uid="{00000000-0005-0000-0000-0000621E0000}"/>
    <cellStyle name="Итог 3 4 2 4" xfId="23687" xr:uid="{674F32DC-6445-4CF9-82CC-FAC2E8AA4E01}"/>
    <cellStyle name="Итог 3 4 3" xfId="1975" xr:uid="{00000000-0005-0000-0000-0000631E0000}"/>
    <cellStyle name="Итог 3 4 3 2" xfId="21759" xr:uid="{00000000-0005-0000-0000-0000641E0000}"/>
    <cellStyle name="Итог 3 4 3 2 2" xfId="38369" xr:uid="{5A91828D-23AE-4462-BC42-CA26A0350A72}"/>
    <cellStyle name="Итог 3 4 3 3" xfId="6675" xr:uid="{00000000-0005-0000-0000-0000651E0000}"/>
    <cellStyle name="Итог 3 4 3 4" xfId="24302" xr:uid="{FE84FBC0-8C75-442D-8B8F-52BA9E7BB46E}"/>
    <cellStyle name="Итог 3 4 4" xfId="2623" xr:uid="{00000000-0005-0000-0000-0000661E0000}"/>
    <cellStyle name="Итог 3 4 4 2" xfId="22697" xr:uid="{00000000-0005-0000-0000-0000671E0000}"/>
    <cellStyle name="Итог 3 4 4 3" xfId="39168" xr:uid="{D8C3EDD0-6712-4752-90B0-9BB6A835DA36}"/>
    <cellStyle name="Итог 3 4 5" xfId="3414" xr:uid="{00000000-0005-0000-0000-0000681E0000}"/>
    <cellStyle name="Итог 3 4 5 2" xfId="14102" xr:uid="{00000000-0005-0000-0000-0000691E0000}"/>
    <cellStyle name="Итог 3 4 6" xfId="3760" xr:uid="{00000000-0005-0000-0000-00006A1E0000}"/>
    <cellStyle name="Итог 3 4 7" xfId="3405" xr:uid="{00000000-0005-0000-0000-00006B1E0000}"/>
    <cellStyle name="Итог 3 4 8" xfId="2988" xr:uid="{00000000-0005-0000-0000-00006C1E0000}"/>
    <cellStyle name="Итог 3 5" xfId="873" xr:uid="{00000000-0005-0000-0000-00006D1E0000}"/>
    <cellStyle name="Итог 3 5 2" xfId="22600" xr:uid="{00000000-0005-0000-0000-00006E1E0000}"/>
    <cellStyle name="Итог 3 5 2 2" xfId="39076" xr:uid="{F6183DB7-FFB8-4B7F-8779-4220A83160FE}"/>
    <cellStyle name="Итог 3 5 3" xfId="5566" xr:uid="{00000000-0005-0000-0000-00006F1E0000}"/>
    <cellStyle name="Итог 3 5 4" xfId="23601" xr:uid="{1FCFD13A-6D41-4D01-94C8-9A7AE4DAA3B0}"/>
    <cellStyle name="Итог 3 6" xfId="2199" xr:uid="{00000000-0005-0000-0000-0000701E0000}"/>
    <cellStyle name="Итог 3 6 2" xfId="5752" xr:uid="{00000000-0005-0000-0000-0000711E0000}"/>
    <cellStyle name="Итог 3 6 3" xfId="23676" xr:uid="{BCE25C1A-1F5C-4EF8-8DA6-27C5EB14C6D1}"/>
    <cellStyle name="Итог 3 7" xfId="2500" xr:uid="{00000000-0005-0000-0000-0000721E0000}"/>
    <cellStyle name="Итог 3 7 2" xfId="7232" xr:uid="{00000000-0005-0000-0000-0000731E0000}"/>
    <cellStyle name="Итог 3 7 3" xfId="24826" xr:uid="{F3CFD5B9-E71C-4174-8A8C-AD958720B4A7}"/>
    <cellStyle name="Итог 3 8" xfId="3145" xr:uid="{00000000-0005-0000-0000-0000741E0000}"/>
    <cellStyle name="Итог 3 9" xfId="3778" xr:uid="{00000000-0005-0000-0000-0000751E0000}"/>
    <cellStyle name="Итог 4" xfId="46" xr:uid="{00000000-0005-0000-0000-0000761E0000}"/>
    <cellStyle name="Итог 4 10" xfId="666" xr:uid="{00000000-0005-0000-0000-0000771E0000}"/>
    <cellStyle name="Итог 4 10 2" xfId="1497" xr:uid="{00000000-0005-0000-0000-0000781E0000}"/>
    <cellStyle name="Итог 4 10 2 2" xfId="21490" xr:uid="{00000000-0005-0000-0000-0000791E0000}"/>
    <cellStyle name="Итог 4 10 2 2 2" xfId="38132" xr:uid="{C945E85C-9666-47DA-8180-F11C2AC41F7E}"/>
    <cellStyle name="Итог 4 10 2 3" xfId="6253" xr:uid="{00000000-0005-0000-0000-00007A1E0000}"/>
    <cellStyle name="Итог 4 10 2 4" xfId="24040" xr:uid="{1C47102C-04FF-4EC1-B6C2-37DF15FA2449}"/>
    <cellStyle name="Итог 4 10 3" xfId="1846" xr:uid="{00000000-0005-0000-0000-00007B1E0000}"/>
    <cellStyle name="Итог 4 10 3 2" xfId="22112" xr:uid="{00000000-0005-0000-0000-00007C1E0000}"/>
    <cellStyle name="Итог 4 10 3 2 2" xfId="38722" xr:uid="{68566F9D-8BB9-4B08-9D72-82C0CD9F4BC8}"/>
    <cellStyle name="Итог 4 10 3 3" xfId="7022" xr:uid="{00000000-0005-0000-0000-00007D1E0000}"/>
    <cellStyle name="Итог 4 10 3 4" xfId="24649" xr:uid="{E7000EE6-2283-4521-8A9F-A27231F7C904}"/>
    <cellStyle name="Итог 4 10 4" xfId="2746" xr:uid="{00000000-0005-0000-0000-00007E1E0000}"/>
    <cellStyle name="Итог 4 10 4 2" xfId="22996" xr:uid="{00000000-0005-0000-0000-00007F1E0000}"/>
    <cellStyle name="Итог 4 10 4 3" xfId="39462" xr:uid="{8E163C38-E926-46B1-818B-715F22F77ABE}"/>
    <cellStyle name="Итог 4 10 5" xfId="3633" xr:uid="{00000000-0005-0000-0000-0000801E0000}"/>
    <cellStyle name="Итог 4 10 5 2" xfId="20878" xr:uid="{00000000-0005-0000-0000-0000811E0000}"/>
    <cellStyle name="Итог 4 10 5 3" xfId="37668" xr:uid="{E66CC9BA-25EC-4034-96D7-F90B6A428EC0}"/>
    <cellStyle name="Итог 4 10 6" xfId="4225" xr:uid="{00000000-0005-0000-0000-0000821E0000}"/>
    <cellStyle name="Итог 4 10 7" xfId="4747" xr:uid="{00000000-0005-0000-0000-0000831E0000}"/>
    <cellStyle name="Итог 4 10 8" xfId="5229" xr:uid="{00000000-0005-0000-0000-0000841E0000}"/>
    <cellStyle name="Итог 4 11" xfId="710" xr:uid="{00000000-0005-0000-0000-0000851E0000}"/>
    <cellStyle name="Итог 4 11 2" xfId="1540" xr:uid="{00000000-0005-0000-0000-0000861E0000}"/>
    <cellStyle name="Итог 4 11 2 2" xfId="22155" xr:uid="{00000000-0005-0000-0000-0000871E0000}"/>
    <cellStyle name="Итог 4 11 2 2 2" xfId="38765" xr:uid="{F52582A4-D886-4377-984F-0412D55F61E7}"/>
    <cellStyle name="Итог 4 11 2 3" xfId="6296" xr:uid="{00000000-0005-0000-0000-0000881E0000}"/>
    <cellStyle name="Итог 4 11 2 4" xfId="24083" xr:uid="{3EF019CF-C6F3-40B2-82E3-A006A3644ABC}"/>
    <cellStyle name="Итог 4 11 3" xfId="1876" xr:uid="{00000000-0005-0000-0000-0000891E0000}"/>
    <cellStyle name="Итог 4 11 3 2" xfId="22667" xr:uid="{00000000-0005-0000-0000-00008A1E0000}"/>
    <cellStyle name="Итог 4 11 3 2 2" xfId="39139" xr:uid="{03877347-D255-4B27-BEA8-06B37F796F4B}"/>
    <cellStyle name="Итог 4 11 3 3" xfId="7065" xr:uid="{00000000-0005-0000-0000-00008B1E0000}"/>
    <cellStyle name="Итог 4 11 3 4" xfId="24692" xr:uid="{1B08CB2E-0FE8-445E-8595-9A3C4080E521}"/>
    <cellStyle name="Итог 4 11 4" xfId="2349" xr:uid="{00000000-0005-0000-0000-00008C1E0000}"/>
    <cellStyle name="Итог 4 11 4 2" xfId="21533" xr:uid="{00000000-0005-0000-0000-00008D1E0000}"/>
    <cellStyle name="Итог 4 11 4 3" xfId="38175" xr:uid="{2B157349-C9C5-4330-BCEC-628C0C9AF1A3}"/>
    <cellStyle name="Итог 4 11 5" xfId="3026" xr:uid="{00000000-0005-0000-0000-00008E1E0000}"/>
    <cellStyle name="Итог 4 11 6" xfId="4269" xr:uid="{00000000-0005-0000-0000-00008F1E0000}"/>
    <cellStyle name="Итог 4 11 7" xfId="4791" xr:uid="{00000000-0005-0000-0000-0000901E0000}"/>
    <cellStyle name="Итог 4 11 8" xfId="5272" xr:uid="{00000000-0005-0000-0000-0000911E0000}"/>
    <cellStyle name="Итог 4 12" xfId="867" xr:uid="{00000000-0005-0000-0000-0000921E0000}"/>
    <cellStyle name="Итог 4 12 2" xfId="1763" xr:uid="{00000000-0005-0000-0000-0000931E0000}"/>
    <cellStyle name="Итог 4 12 2 2" xfId="21754" xr:uid="{00000000-0005-0000-0000-0000941E0000}"/>
    <cellStyle name="Итог 4 12 2 2 2" xfId="38364" xr:uid="{68E12825-773E-4721-8116-7B345DBCF420}"/>
    <cellStyle name="Итог 4 12 2 3" xfId="5757" xr:uid="{00000000-0005-0000-0000-0000951E0000}"/>
    <cellStyle name="Итог 4 12 2 4" xfId="23681" xr:uid="{F667995F-93AF-4339-944E-FD4155264863}"/>
    <cellStyle name="Итог 4 12 3" xfId="2539" xr:uid="{00000000-0005-0000-0000-0000961E0000}"/>
    <cellStyle name="Итог 4 12 3 2" xfId="22544" xr:uid="{00000000-0005-0000-0000-0000971E0000}"/>
    <cellStyle name="Итог 4 12 3 2 2" xfId="39023" xr:uid="{CD58F49B-2706-4BCD-A44E-F8EAEC70BC9E}"/>
    <cellStyle name="Итог 4 12 3 3" xfId="6670" xr:uid="{00000000-0005-0000-0000-0000981E0000}"/>
    <cellStyle name="Итог 4 12 3 4" xfId="24297" xr:uid="{CE3F69B2-5E39-4AD7-AB16-C613A9B4990C}"/>
    <cellStyle name="Итог 4 12 4" xfId="3260" xr:uid="{00000000-0005-0000-0000-0000991E0000}"/>
    <cellStyle name="Итог 4 12 4 2" xfId="20999" xr:uid="{00000000-0005-0000-0000-00009A1E0000}"/>
    <cellStyle name="Итог 4 12 4 3" xfId="37774" xr:uid="{55917418-F915-426E-9C87-38C541262F57}"/>
    <cellStyle name="Итог 4 12 5" xfId="3091" xr:uid="{00000000-0005-0000-0000-00009B1E0000}"/>
    <cellStyle name="Итог 4 12 6" xfId="3410" xr:uid="{00000000-0005-0000-0000-00009C1E0000}"/>
    <cellStyle name="Итог 4 12 7" xfId="3931" xr:uid="{00000000-0005-0000-0000-00009D1E0000}"/>
    <cellStyle name="Итог 4 13" xfId="1730" xr:uid="{00000000-0005-0000-0000-00009E1E0000}"/>
    <cellStyle name="Итог 4 13 2" xfId="20943" xr:uid="{00000000-0005-0000-0000-00009F1E0000}"/>
    <cellStyle name="Итог 4 13 2 2" xfId="37720" xr:uid="{64698D6D-467C-4607-BD3D-EC07DF9415E2}"/>
    <cellStyle name="Итог 4 13 3" xfId="5631" xr:uid="{00000000-0005-0000-0000-0000A01E0000}"/>
    <cellStyle name="Итог 4 13 4" xfId="23624" xr:uid="{C1879336-6BE3-4BB8-BD2E-ED31E7E06F70}"/>
    <cellStyle name="Итог 4 14" xfId="2468" xr:uid="{00000000-0005-0000-0000-0000A11E0000}"/>
    <cellStyle name="Итог 4 14 2" xfId="21700" xr:uid="{00000000-0005-0000-0000-0000A21E0000}"/>
    <cellStyle name="Итог 4 14 2 2" xfId="38310" xr:uid="{45FDA076-B251-443B-AD44-8C2F74F3CA17}"/>
    <cellStyle name="Итог 4 14 3" xfId="6618" xr:uid="{00000000-0005-0000-0000-0000A31E0000}"/>
    <cellStyle name="Итог 4 14 4" xfId="24245" xr:uid="{86142120-3041-42C7-B968-AAC6E00ADFB3}"/>
    <cellStyle name="Итог 4 15" xfId="3604" xr:uid="{00000000-0005-0000-0000-0000A41E0000}"/>
    <cellStyle name="Итог 4 15 2" xfId="22910" xr:uid="{00000000-0005-0000-0000-0000A51E0000}"/>
    <cellStyle name="Итог 4 15 3" xfId="39376" xr:uid="{DDB7A5B7-A34F-4B08-9FEA-10688A2E8E1A}"/>
    <cellStyle name="Итог 4 16" xfId="3291" xr:uid="{00000000-0005-0000-0000-0000A61E0000}"/>
    <cellStyle name="Итог 4 16 2" xfId="7310" xr:uid="{00000000-0005-0000-0000-0000A71E0000}"/>
    <cellStyle name="Итог 4 16 3" xfId="24843" xr:uid="{F180D8A9-3AA8-420A-9219-DF2F43A46BB5}"/>
    <cellStyle name="Итог 4 17" xfId="3767" xr:uid="{00000000-0005-0000-0000-0000A81E0000}"/>
    <cellStyle name="Итог 4 18" xfId="4415" xr:uid="{00000000-0005-0000-0000-0000A91E0000}"/>
    <cellStyle name="Итог 4 2" xfId="245" xr:uid="{00000000-0005-0000-0000-0000AA1E0000}"/>
    <cellStyle name="Итог 4 2 2" xfId="977" xr:uid="{00000000-0005-0000-0000-0000AB1E0000}"/>
    <cellStyle name="Итог 4 2 2 2" xfId="21108" xr:uid="{00000000-0005-0000-0000-0000AC1E0000}"/>
    <cellStyle name="Итог 4 2 2 2 2" xfId="37832" xr:uid="{ECAC3269-62B1-42DA-BD93-2472CE33FCEE}"/>
    <cellStyle name="Итог 4 2 2 3" xfId="5884" xr:uid="{00000000-0005-0000-0000-0000AD1E0000}"/>
    <cellStyle name="Итог 4 2 2 4" xfId="23740" xr:uid="{4D0C6646-CEAE-4338-BB22-267947169C77}"/>
    <cellStyle name="Итог 4 2 3" xfId="2245" xr:uid="{00000000-0005-0000-0000-0000AE1E0000}"/>
    <cellStyle name="Итог 4 2 3 2" xfId="21812" xr:uid="{00000000-0005-0000-0000-0000AF1E0000}"/>
    <cellStyle name="Итог 4 2 3 2 2" xfId="38422" xr:uid="{A77B21F0-6A9D-4533-99CC-CCB6F20ABEB5}"/>
    <cellStyle name="Итог 4 2 3 3" xfId="6726" xr:uid="{00000000-0005-0000-0000-0000B01E0000}"/>
    <cellStyle name="Итог 4 2 3 4" xfId="24353" xr:uid="{E07BDBEA-3709-48C0-99F1-3095307B7D24}"/>
    <cellStyle name="Итог 4 2 4" xfId="2720" xr:uid="{00000000-0005-0000-0000-0000B11E0000}"/>
    <cellStyle name="Итог 4 2 4 2" xfId="22936" xr:uid="{00000000-0005-0000-0000-0000B21E0000}"/>
    <cellStyle name="Итог 4 2 4 3" xfId="39402" xr:uid="{7A88FBE2-C713-4517-8ECE-8E8DB803CC53}"/>
    <cellStyle name="Итог 4 2 5" xfId="3595" xr:uid="{00000000-0005-0000-0000-0000B31E0000}"/>
    <cellStyle name="Итог 4 2 5 2" xfId="14027" xr:uid="{00000000-0005-0000-0000-0000B41E0000}"/>
    <cellStyle name="Итог 4 2 5 3" xfId="31066" xr:uid="{CFB571D7-49E6-4A6A-B79B-81CBB0F79CF2}"/>
    <cellStyle name="Итог 4 2 6" xfId="3886" xr:uid="{00000000-0005-0000-0000-0000B51E0000}"/>
    <cellStyle name="Итог 4 2 7" xfId="4424" xr:uid="{00000000-0005-0000-0000-0000B61E0000}"/>
    <cellStyle name="Итог 4 2 8" xfId="4933" xr:uid="{00000000-0005-0000-0000-0000B71E0000}"/>
    <cellStyle name="Итог 4 3" xfId="250" xr:uid="{00000000-0005-0000-0000-0000B81E0000}"/>
    <cellStyle name="Итог 4 3 2" xfId="1156" xr:uid="{00000000-0005-0000-0000-0000B91E0000}"/>
    <cellStyle name="Итог 4 3 2 2" xfId="21113" xr:uid="{00000000-0005-0000-0000-0000BA1E0000}"/>
    <cellStyle name="Итог 4 3 2 2 2" xfId="37837" xr:uid="{0709437E-832C-40D5-B08B-B33C01CDB250}"/>
    <cellStyle name="Итог 4 3 2 3" xfId="5889" xr:uid="{00000000-0005-0000-0000-0000BB1E0000}"/>
    <cellStyle name="Итог 4 3 2 4" xfId="23745" xr:uid="{32B3E7D3-8438-4783-A3F7-F66E5568E5E0}"/>
    <cellStyle name="Итог 4 3 3" xfId="2072" xr:uid="{00000000-0005-0000-0000-0000BC1E0000}"/>
    <cellStyle name="Итог 4 3 3 2" xfId="21817" xr:uid="{00000000-0005-0000-0000-0000BD1E0000}"/>
    <cellStyle name="Итог 4 3 3 2 2" xfId="38427" xr:uid="{942C32B6-581E-4A65-8FE3-B258469F4E91}"/>
    <cellStyle name="Итог 4 3 3 3" xfId="6731" xr:uid="{00000000-0005-0000-0000-0000BE1E0000}"/>
    <cellStyle name="Итог 4 3 3 4" xfId="24358" xr:uid="{A27923BB-57AC-4A8C-83FD-85CC813CAD02}"/>
    <cellStyle name="Итог 4 3 4" xfId="2859" xr:uid="{00000000-0005-0000-0000-0000BF1E0000}"/>
    <cellStyle name="Итог 4 3 4 2" xfId="22733" xr:uid="{00000000-0005-0000-0000-0000C01E0000}"/>
    <cellStyle name="Итог 4 3 4 3" xfId="39202" xr:uid="{B26382FF-3270-4D8D-A8AF-95817CFC6F38}"/>
    <cellStyle name="Итог 4 3 5" xfId="3815" xr:uid="{00000000-0005-0000-0000-0000C11E0000}"/>
    <cellStyle name="Итог 4 3 5 2" xfId="20369" xr:uid="{00000000-0005-0000-0000-0000C21E0000}"/>
    <cellStyle name="Итог 4 3 5 3" xfId="37304" xr:uid="{912C544E-E38A-4F88-8F67-1EAB9B25C0EB}"/>
    <cellStyle name="Итог 4 3 6" xfId="3891" xr:uid="{00000000-0005-0000-0000-0000C31E0000}"/>
    <cellStyle name="Итог 4 3 7" xfId="4429" xr:uid="{00000000-0005-0000-0000-0000C41E0000}"/>
    <cellStyle name="Итог 4 3 8" xfId="4938" xr:uid="{00000000-0005-0000-0000-0000C51E0000}"/>
    <cellStyle name="Итог 4 4" xfId="429" xr:uid="{00000000-0005-0000-0000-0000C61E0000}"/>
    <cellStyle name="Итог 4 4 2" xfId="1261" xr:uid="{00000000-0005-0000-0000-0000C71E0000}"/>
    <cellStyle name="Итог 4 4 2 2" xfId="21254" xr:uid="{00000000-0005-0000-0000-0000C81E0000}"/>
    <cellStyle name="Итог 4 4 2 2 2" xfId="37896" xr:uid="{A58A0C1F-1547-487D-BFA2-37027655706C}"/>
    <cellStyle name="Итог 4 4 2 3" xfId="6017" xr:uid="{00000000-0005-0000-0000-0000C91E0000}"/>
    <cellStyle name="Итог 4 4 2 4" xfId="23804" xr:uid="{AC3FC458-99D0-46EF-86A2-CD28286B8E1E}"/>
    <cellStyle name="Итог 4 4 3" xfId="2188" xr:uid="{00000000-0005-0000-0000-0000CA1E0000}"/>
    <cellStyle name="Итог 4 4 3 2" xfId="21876" xr:uid="{00000000-0005-0000-0000-0000CB1E0000}"/>
    <cellStyle name="Итог 4 4 3 2 2" xfId="38486" xr:uid="{50A85C66-D3B0-450A-A7A9-00D6BDB0F74E}"/>
    <cellStyle name="Итог 4 4 3 3" xfId="6788" xr:uid="{00000000-0005-0000-0000-0000CC1E0000}"/>
    <cellStyle name="Итог 4 4 3 4" xfId="24415" xr:uid="{51F5D520-BB5B-467F-BCC1-3051FDB1FB32}"/>
    <cellStyle name="Итог 4 4 4" xfId="2635" xr:uid="{00000000-0005-0000-0000-0000CD1E0000}"/>
    <cellStyle name="Итог 4 4 4 2" xfId="22867" xr:uid="{00000000-0005-0000-0000-0000CE1E0000}"/>
    <cellStyle name="Итог 4 4 4 3" xfId="39333" xr:uid="{087A92D8-55C4-4719-8014-2D52D471C46A}"/>
    <cellStyle name="Итог 4 4 5" xfId="3508" xr:uid="{00000000-0005-0000-0000-0000CF1E0000}"/>
    <cellStyle name="Итог 4 4 5 2" xfId="20373" xr:uid="{00000000-0005-0000-0000-0000D01E0000}"/>
    <cellStyle name="Итог 4 4 5 3" xfId="37308" xr:uid="{BA9770AB-65D7-4A6E-88B6-E1DF90A6C5AF}"/>
    <cellStyle name="Итог 4 4 6" xfId="3990" xr:uid="{00000000-0005-0000-0000-0000D11E0000}"/>
    <cellStyle name="Итог 4 4 7" xfId="4513" xr:uid="{00000000-0005-0000-0000-0000D21E0000}"/>
    <cellStyle name="Итог 4 4 8" xfId="4995" xr:uid="{00000000-0005-0000-0000-0000D31E0000}"/>
    <cellStyle name="Итог 4 5" xfId="419" xr:uid="{00000000-0005-0000-0000-0000D41E0000}"/>
    <cellStyle name="Итог 4 5 2" xfId="1252" xr:uid="{00000000-0005-0000-0000-0000D51E0000}"/>
    <cellStyle name="Итог 4 5 2 2" xfId="21245" xr:uid="{00000000-0005-0000-0000-0000D61E0000}"/>
    <cellStyle name="Итог 4 5 2 2 2" xfId="37887" xr:uid="{2402F6DD-70D6-4247-B994-35AA72F0CD79}"/>
    <cellStyle name="Итог 4 5 2 3" xfId="6008" xr:uid="{00000000-0005-0000-0000-0000D71E0000}"/>
    <cellStyle name="Итог 4 5 2 4" xfId="23795" xr:uid="{65CE486C-4864-4DAD-90DA-FD1AB0E85EBF}"/>
    <cellStyle name="Итог 4 5 3" xfId="2235" xr:uid="{00000000-0005-0000-0000-0000D81E0000}"/>
    <cellStyle name="Итог 4 5 3 2" xfId="21867" xr:uid="{00000000-0005-0000-0000-0000D91E0000}"/>
    <cellStyle name="Итог 4 5 3 2 2" xfId="38477" xr:uid="{CBBCF9E3-C1DB-4E05-84B7-D41287F4EB79}"/>
    <cellStyle name="Итог 4 5 3 3" xfId="6781" xr:uid="{00000000-0005-0000-0000-0000DA1E0000}"/>
    <cellStyle name="Итог 4 5 3 4" xfId="24408" xr:uid="{5FCEAE37-49AD-453F-8F3F-117AC6934566}"/>
    <cellStyle name="Итог 4 5 4" xfId="2432" xr:uid="{00000000-0005-0000-0000-0000DB1E0000}"/>
    <cellStyle name="Итог 4 5 4 2" xfId="22914" xr:uid="{00000000-0005-0000-0000-0000DC1E0000}"/>
    <cellStyle name="Итог 4 5 4 3" xfId="39380" xr:uid="{FE8EDCC6-4F68-4D1E-8B74-300B0322CEBB}"/>
    <cellStyle name="Итог 4 5 5" xfId="3564" xr:uid="{00000000-0005-0000-0000-0000DD1E0000}"/>
    <cellStyle name="Итог 4 5 5 2" xfId="20563" xr:uid="{00000000-0005-0000-0000-0000DE1E0000}"/>
    <cellStyle name="Итог 4 5 5 3" xfId="37417" xr:uid="{A2578165-0931-41A1-B03F-DF537FC0910B}"/>
    <cellStyle name="Итог 4 5 6" xfId="3982" xr:uid="{00000000-0005-0000-0000-0000DF1E0000}"/>
    <cellStyle name="Итог 4 5 7" xfId="4506" xr:uid="{00000000-0005-0000-0000-0000E01E0000}"/>
    <cellStyle name="Итог 4 5 8" xfId="4988" xr:uid="{00000000-0005-0000-0000-0000E11E0000}"/>
    <cellStyle name="Итог 4 6" xfId="530" xr:uid="{00000000-0005-0000-0000-0000E21E0000}"/>
    <cellStyle name="Итог 4 6 2" xfId="1362" xr:uid="{00000000-0005-0000-0000-0000E31E0000}"/>
    <cellStyle name="Итог 4 6 2 2" xfId="21355" xr:uid="{00000000-0005-0000-0000-0000E41E0000}"/>
    <cellStyle name="Итог 4 6 2 2 2" xfId="37997" xr:uid="{F6681321-22A1-44EB-8E55-ED0ED00F1357}"/>
    <cellStyle name="Итог 4 6 2 3" xfId="6118" xr:uid="{00000000-0005-0000-0000-0000E51E0000}"/>
    <cellStyle name="Итог 4 6 2 4" xfId="23905" xr:uid="{BF2621C2-CC08-4EE8-A7BF-84E631E691CB}"/>
    <cellStyle name="Итог 4 6 3" xfId="2130" xr:uid="{00000000-0005-0000-0000-0000E61E0000}"/>
    <cellStyle name="Итог 4 6 3 2" xfId="21977" xr:uid="{00000000-0005-0000-0000-0000E71E0000}"/>
    <cellStyle name="Итог 4 6 3 2 2" xfId="38587" xr:uid="{0985A41F-B879-4A2D-BCFE-290240455D71}"/>
    <cellStyle name="Итог 4 6 3 3" xfId="6887" xr:uid="{00000000-0005-0000-0000-0000E81E0000}"/>
    <cellStyle name="Итог 4 6 3 4" xfId="24514" xr:uid="{A0A6365B-AA43-4BA1-94B1-69BB8BA623E4}"/>
    <cellStyle name="Итог 4 6 4" xfId="2549" xr:uid="{00000000-0005-0000-0000-0000E91E0000}"/>
    <cellStyle name="Итог 4 6 4 2" xfId="23067" xr:uid="{00000000-0005-0000-0000-0000EA1E0000}"/>
    <cellStyle name="Итог 4 6 4 3" xfId="39533" xr:uid="{A72D21DE-72CB-4BCB-B93D-66AAEBAB81AB}"/>
    <cellStyle name="Итог 4 6 5" xfId="3196" xr:uid="{00000000-0005-0000-0000-0000EB1E0000}"/>
    <cellStyle name="Итог 4 6 5 2" xfId="20544" xr:uid="{00000000-0005-0000-0000-0000EC1E0000}"/>
    <cellStyle name="Итог 4 6 5 3" xfId="37410" xr:uid="{5D1D3116-EF2D-4F78-92A3-2667C19076A0}"/>
    <cellStyle name="Итог 4 6 6" xfId="4090" xr:uid="{00000000-0005-0000-0000-0000ED1E0000}"/>
    <cellStyle name="Итог 4 6 7" xfId="4612" xr:uid="{00000000-0005-0000-0000-0000EE1E0000}"/>
    <cellStyle name="Итог 4 6 8" xfId="5094" xr:uid="{00000000-0005-0000-0000-0000EF1E0000}"/>
    <cellStyle name="Итог 4 7" xfId="582" xr:uid="{00000000-0005-0000-0000-0000F01E0000}"/>
    <cellStyle name="Итог 4 7 2" xfId="1414" xr:uid="{00000000-0005-0000-0000-0000F11E0000}"/>
    <cellStyle name="Итог 4 7 2 2" xfId="21407" xr:uid="{00000000-0005-0000-0000-0000F21E0000}"/>
    <cellStyle name="Итог 4 7 2 2 2" xfId="38049" xr:uid="{AD3AD9B2-EF0E-4D66-AB96-41988DB578D1}"/>
    <cellStyle name="Итог 4 7 2 3" xfId="6170" xr:uid="{00000000-0005-0000-0000-0000F31E0000}"/>
    <cellStyle name="Итог 4 7 2 4" xfId="23957" xr:uid="{9B7BD0B6-1F70-4048-A446-4A58ECA57ECB}"/>
    <cellStyle name="Итог 4 7 3" xfId="1963" xr:uid="{00000000-0005-0000-0000-0000F41E0000}"/>
    <cellStyle name="Итог 4 7 3 2" xfId="22029" xr:uid="{00000000-0005-0000-0000-0000F51E0000}"/>
    <cellStyle name="Итог 4 7 3 2 2" xfId="38639" xr:uid="{387BFD29-BD97-4B88-8471-9116636F4E08}"/>
    <cellStyle name="Итог 4 7 3 3" xfId="6939" xr:uid="{00000000-0005-0000-0000-0000F61E0000}"/>
    <cellStyle name="Итог 4 7 3 4" xfId="24566" xr:uid="{C2590412-FAC8-427F-A31A-F414B2E05A0F}"/>
    <cellStyle name="Итог 4 7 4" xfId="2760" xr:uid="{00000000-0005-0000-0000-0000F71E0000}"/>
    <cellStyle name="Итог 4 7 4 2" xfId="22969" xr:uid="{00000000-0005-0000-0000-0000F81E0000}"/>
    <cellStyle name="Итог 4 7 4 3" xfId="39435" xr:uid="{CEC4F0BE-E3B3-4059-905F-C8B9D2C935F2}"/>
    <cellStyle name="Итог 4 7 5" xfId="3123" xr:uid="{00000000-0005-0000-0000-0000F91E0000}"/>
    <cellStyle name="Итог 4 7 5 2" xfId="20683" xr:uid="{00000000-0005-0000-0000-0000FA1E0000}"/>
    <cellStyle name="Итог 4 7 5 3" xfId="37512" xr:uid="{FF4C016A-C080-48D6-B420-9786649A37F4}"/>
    <cellStyle name="Итог 4 7 6" xfId="4142" xr:uid="{00000000-0005-0000-0000-0000FB1E0000}"/>
    <cellStyle name="Итог 4 7 7" xfId="4664" xr:uid="{00000000-0005-0000-0000-0000FC1E0000}"/>
    <cellStyle name="Итог 4 7 8" xfId="5146" xr:uid="{00000000-0005-0000-0000-0000FD1E0000}"/>
    <cellStyle name="Итог 4 8" xfId="675" xr:uid="{00000000-0005-0000-0000-0000FE1E0000}"/>
    <cellStyle name="Итог 4 8 2" xfId="1505" xr:uid="{00000000-0005-0000-0000-0000FF1E0000}"/>
    <cellStyle name="Итог 4 8 2 2" xfId="21498" xr:uid="{00000000-0005-0000-0000-0000001F0000}"/>
    <cellStyle name="Итог 4 8 2 2 2" xfId="38140" xr:uid="{115EFBDD-08EF-427E-9684-0B0DB1B2DA44}"/>
    <cellStyle name="Итог 4 8 2 3" xfId="6261" xr:uid="{00000000-0005-0000-0000-0000011F0000}"/>
    <cellStyle name="Итог 4 8 2 4" xfId="24048" xr:uid="{A8CE178B-4E25-43C8-9D03-54759E294FC0}"/>
    <cellStyle name="Итог 4 8 3" xfId="1927" xr:uid="{00000000-0005-0000-0000-0000021F0000}"/>
    <cellStyle name="Итог 4 8 3 2" xfId="22120" xr:uid="{00000000-0005-0000-0000-0000031F0000}"/>
    <cellStyle name="Итог 4 8 3 2 2" xfId="38730" xr:uid="{FB322485-1A00-4FDE-B616-327D4B3935F1}"/>
    <cellStyle name="Итог 4 8 3 3" xfId="7030" xr:uid="{00000000-0005-0000-0000-0000041F0000}"/>
    <cellStyle name="Итог 4 8 3 4" xfId="24657" xr:uid="{A46590A0-07A0-4DFC-BBEA-AA45228A276A}"/>
    <cellStyle name="Итог 4 8 4" xfId="2733" xr:uid="{00000000-0005-0000-0000-0000051F0000}"/>
    <cellStyle name="Итог 4 8 4 2" xfId="22569" xr:uid="{00000000-0005-0000-0000-0000061F0000}"/>
    <cellStyle name="Итог 4 8 4 3" xfId="39047" xr:uid="{16278E02-11AC-41D1-917C-01B2CC2EB3F5}"/>
    <cellStyle name="Итог 4 8 5" xfId="3301" xr:uid="{00000000-0005-0000-0000-0000071F0000}"/>
    <cellStyle name="Итог 4 8 5 2" xfId="20748" xr:uid="{00000000-0005-0000-0000-0000081F0000}"/>
    <cellStyle name="Итог 4 8 5 3" xfId="37564" xr:uid="{0801CB98-5709-4781-95F4-CB8EFF488E1A}"/>
    <cellStyle name="Итог 4 8 6" xfId="4234" xr:uid="{00000000-0005-0000-0000-0000091F0000}"/>
    <cellStyle name="Итог 4 8 7" xfId="4756" xr:uid="{00000000-0005-0000-0000-00000A1F0000}"/>
    <cellStyle name="Итог 4 8 8" xfId="5237" xr:uid="{00000000-0005-0000-0000-00000B1F0000}"/>
    <cellStyle name="Итог 4 9" xfId="637" xr:uid="{00000000-0005-0000-0000-00000C1F0000}"/>
    <cellStyle name="Итог 4 9 2" xfId="1469" xr:uid="{00000000-0005-0000-0000-00000D1F0000}"/>
    <cellStyle name="Итог 4 9 2 2" xfId="21462" xr:uid="{00000000-0005-0000-0000-00000E1F0000}"/>
    <cellStyle name="Итог 4 9 2 2 2" xfId="38104" xr:uid="{0DF25F3F-8DF4-4FCE-B7E2-0E710BCB27B0}"/>
    <cellStyle name="Итог 4 9 2 3" xfId="6225" xr:uid="{00000000-0005-0000-0000-00000F1F0000}"/>
    <cellStyle name="Итог 4 9 2 4" xfId="24012" xr:uid="{3248CEBD-24F3-453A-B105-438B8EEDE4E5}"/>
    <cellStyle name="Итог 4 9 3" xfId="2206" xr:uid="{00000000-0005-0000-0000-0000101F0000}"/>
    <cellStyle name="Итог 4 9 3 2" xfId="22084" xr:uid="{00000000-0005-0000-0000-0000111F0000}"/>
    <cellStyle name="Итог 4 9 3 2 2" xfId="38694" xr:uid="{138DFBA9-ECF8-4F93-A070-209B6F0246A8}"/>
    <cellStyle name="Итог 4 9 3 3" xfId="6994" xr:uid="{00000000-0005-0000-0000-0000121F0000}"/>
    <cellStyle name="Итог 4 9 3 4" xfId="24621" xr:uid="{973D0999-A9B0-4552-9B63-BA7B530D0CCD}"/>
    <cellStyle name="Итог 4 9 4" xfId="2554" xr:uid="{00000000-0005-0000-0000-0000131F0000}"/>
    <cellStyle name="Итог 4 9 4 2" xfId="22879" xr:uid="{00000000-0005-0000-0000-0000141F0000}"/>
    <cellStyle name="Итог 4 9 4 3" xfId="39345" xr:uid="{56869441-2B21-4C36-9055-9744FE601408}"/>
    <cellStyle name="Итог 4 9 5" xfId="3524" xr:uid="{00000000-0005-0000-0000-0000151F0000}"/>
    <cellStyle name="Итог 4 9 5 2" xfId="20813" xr:uid="{00000000-0005-0000-0000-0000161F0000}"/>
    <cellStyle name="Итог 4 9 5 3" xfId="37616" xr:uid="{23915718-159E-4A03-B4A9-3555FFB0D8C2}"/>
    <cellStyle name="Итог 4 9 6" xfId="4197" xr:uid="{00000000-0005-0000-0000-0000171F0000}"/>
    <cellStyle name="Итог 4 9 7" xfId="4719" xr:uid="{00000000-0005-0000-0000-0000181F0000}"/>
    <cellStyle name="Итог 4 9 8" xfId="5201" xr:uid="{00000000-0005-0000-0000-0000191F0000}"/>
    <cellStyle name="Итог 5" xfId="214" xr:uid="{00000000-0005-0000-0000-00001A1F0000}"/>
    <cellStyle name="Итог 5 10" xfId="664" xr:uid="{00000000-0005-0000-0000-00001B1F0000}"/>
    <cellStyle name="Итог 5 10 2" xfId="1495" xr:uid="{00000000-0005-0000-0000-00001C1F0000}"/>
    <cellStyle name="Итог 5 10 2 2" xfId="22110" xr:uid="{00000000-0005-0000-0000-00001D1F0000}"/>
    <cellStyle name="Итог 5 10 2 2 2" xfId="38720" xr:uid="{036C1C2B-D08B-4F1F-99AC-DFDC39F9CEA2}"/>
    <cellStyle name="Итог 5 10 2 3" xfId="6251" xr:uid="{00000000-0005-0000-0000-00001E1F0000}"/>
    <cellStyle name="Итог 5 10 2 4" xfId="24038" xr:uid="{D700B187-A7C1-4F0F-A4AE-3AA8B31A344F}"/>
    <cellStyle name="Итог 5 10 3" xfId="2053" xr:uid="{00000000-0005-0000-0000-00001F1F0000}"/>
    <cellStyle name="Итог 5 10 3 2" xfId="23046" xr:uid="{00000000-0005-0000-0000-0000201F0000}"/>
    <cellStyle name="Итог 5 10 3 2 2" xfId="39512" xr:uid="{E6AD1592-4329-4598-A78C-599D18B48433}"/>
    <cellStyle name="Итог 5 10 3 3" xfId="7020" xr:uid="{00000000-0005-0000-0000-0000211F0000}"/>
    <cellStyle name="Итог 5 10 3 4" xfId="24647" xr:uid="{3CDEE379-91AF-4AA6-8FCE-7E0E182449A6}"/>
    <cellStyle name="Итог 5 10 4" xfId="2843" xr:uid="{00000000-0005-0000-0000-0000221F0000}"/>
    <cellStyle name="Итог 5 10 4 2" xfId="21488" xr:uid="{00000000-0005-0000-0000-0000231F0000}"/>
    <cellStyle name="Итог 5 10 4 3" xfId="38130" xr:uid="{056CE000-2AA0-4E2C-AA87-38B71DB6BB90}"/>
    <cellStyle name="Итог 5 10 5" xfId="3757" xr:uid="{00000000-0005-0000-0000-0000241F0000}"/>
    <cellStyle name="Итог 5 10 6" xfId="4223" xr:uid="{00000000-0005-0000-0000-0000251F0000}"/>
    <cellStyle name="Итог 5 10 7" xfId="4745" xr:uid="{00000000-0005-0000-0000-0000261F0000}"/>
    <cellStyle name="Итог 5 10 8" xfId="5227" xr:uid="{00000000-0005-0000-0000-0000271F0000}"/>
    <cellStyle name="Итог 5 11" xfId="1149" xr:uid="{00000000-0005-0000-0000-0000281F0000}"/>
    <cellStyle name="Итог 5 11 2" xfId="2239" xr:uid="{00000000-0005-0000-0000-0000291F0000}"/>
    <cellStyle name="Итог 5 11 2 2" xfId="21782" xr:uid="{00000000-0005-0000-0000-00002A1F0000}"/>
    <cellStyle name="Итог 5 11 2 2 2" xfId="38392" xr:uid="{A7BCED6F-6813-42B1-A0AA-AB4A9BDC0BD3}"/>
    <cellStyle name="Итог 5 11 2 3" xfId="5854" xr:uid="{00000000-0005-0000-0000-00002B1F0000}"/>
    <cellStyle name="Итог 5 11 2 4" xfId="23710" xr:uid="{FED7F228-EFB8-4CE4-9DDB-A947BDA52294}"/>
    <cellStyle name="Итог 5 11 3" xfId="2407" xr:uid="{00000000-0005-0000-0000-00002C1F0000}"/>
    <cellStyle name="Итог 5 11 3 2" xfId="22906" xr:uid="{00000000-0005-0000-0000-00002D1F0000}"/>
    <cellStyle name="Итог 5 11 3 2 2" xfId="39372" xr:uid="{2816C311-8AE3-4C16-9DF3-0EEA95E0EF56}"/>
    <cellStyle name="Итог 5 11 3 3" xfId="6698" xr:uid="{00000000-0005-0000-0000-00002E1F0000}"/>
    <cellStyle name="Итог 5 11 3 4" xfId="24325" xr:uid="{C91F26E0-B456-4F90-AEEF-1FF5AC89C219}"/>
    <cellStyle name="Итог 5 11 4" xfId="3555" xr:uid="{00000000-0005-0000-0000-00002F1F0000}"/>
    <cellStyle name="Итог 5 11 4 2" xfId="21078" xr:uid="{00000000-0005-0000-0000-0000301F0000}"/>
    <cellStyle name="Итог 5 11 4 3" xfId="37802" xr:uid="{0FC8DB8B-EA9D-45F9-BAC9-25AC9610BEF2}"/>
    <cellStyle name="Итог 5 11 5" xfId="3409" xr:uid="{00000000-0005-0000-0000-0000311F0000}"/>
    <cellStyle name="Итог 5 11 6" xfId="3897" xr:uid="{00000000-0005-0000-0000-0000321F0000}"/>
    <cellStyle name="Итог 5 11 7" xfId="4435" xr:uid="{00000000-0005-0000-0000-0000331F0000}"/>
    <cellStyle name="Итог 5 12" xfId="1073" xr:uid="{00000000-0005-0000-0000-0000341F0000}"/>
    <cellStyle name="Итог 5 12 2" xfId="20947" xr:uid="{00000000-0005-0000-0000-0000351F0000}"/>
    <cellStyle name="Итог 5 12 2 2" xfId="37724" xr:uid="{C5782480-BD8D-415F-8D45-05E39467866B}"/>
    <cellStyle name="Итог 5 12 3" xfId="5650" xr:uid="{00000000-0005-0000-0000-0000361F0000}"/>
    <cellStyle name="Итог 5 12 4" xfId="23628" xr:uid="{4A0F25DA-6ED0-4A8C-84B6-631A2A67A9B7}"/>
    <cellStyle name="Итог 5 13" xfId="1831" xr:uid="{00000000-0005-0000-0000-0000371F0000}"/>
    <cellStyle name="Итог 5 13 2" xfId="21704" xr:uid="{00000000-0005-0000-0000-0000381F0000}"/>
    <cellStyle name="Итог 5 13 2 2" xfId="38314" xr:uid="{7C60393F-0BA1-4C80-AE97-73C2301EC1B8}"/>
    <cellStyle name="Итог 5 13 3" xfId="6622" xr:uid="{00000000-0005-0000-0000-0000391F0000}"/>
    <cellStyle name="Итог 5 13 4" xfId="24249" xr:uid="{027A166D-D4E9-415A-B6B6-BB86D8B09770}"/>
    <cellStyle name="Итог 5 14" xfId="2434" xr:uid="{00000000-0005-0000-0000-00003A1F0000}"/>
    <cellStyle name="Итог 5 14 2" xfId="22677" xr:uid="{00000000-0005-0000-0000-00003B1F0000}"/>
    <cellStyle name="Итог 5 14 3" xfId="39149" xr:uid="{C857AC3A-8B2D-4043-8C5C-181FAABD92B6}"/>
    <cellStyle name="Итог 5 15" xfId="3261" xr:uid="{00000000-0005-0000-0000-00003C1F0000}"/>
    <cellStyle name="Итог 5 15 2" xfId="20378" xr:uid="{00000000-0005-0000-0000-00003D1F0000}"/>
    <cellStyle name="Итог 5 15 3" xfId="37313" xr:uid="{BAED75A5-1A00-4396-BB73-3F9C97CA8398}"/>
    <cellStyle name="Итог 5 16" xfId="3205" xr:uid="{00000000-0005-0000-0000-00003E1F0000}"/>
    <cellStyle name="Итог 5 17" xfId="3440" xr:uid="{00000000-0005-0000-0000-00003F1F0000}"/>
    <cellStyle name="Итог 5 18" xfId="3359" xr:uid="{00000000-0005-0000-0000-0000401F0000}"/>
    <cellStyle name="Итог 5 2" xfId="269" xr:uid="{00000000-0005-0000-0000-0000411F0000}"/>
    <cellStyle name="Итог 5 2 2" xfId="1174" xr:uid="{00000000-0005-0000-0000-0000421F0000}"/>
    <cellStyle name="Итог 5 2 2 2" xfId="21132" xr:uid="{00000000-0005-0000-0000-0000431F0000}"/>
    <cellStyle name="Итог 5 2 2 2 2" xfId="37841" xr:uid="{D22D785F-AFB0-450C-AF47-821FFC450015}"/>
    <cellStyle name="Итог 5 2 2 3" xfId="5908" xr:uid="{00000000-0005-0000-0000-0000441F0000}"/>
    <cellStyle name="Итог 5 2 2 4" xfId="23749" xr:uid="{77635749-7CC8-4CC6-896A-B962912EFA35}"/>
    <cellStyle name="Итог 5 2 3" xfId="2216" xr:uid="{00000000-0005-0000-0000-0000451F0000}"/>
    <cellStyle name="Итог 5 2 3 2" xfId="21821" xr:uid="{00000000-0005-0000-0000-0000461F0000}"/>
    <cellStyle name="Итог 5 2 3 2 2" xfId="38431" xr:uid="{41CAF334-06C9-4098-9D99-57EE2DF0441D}"/>
    <cellStyle name="Итог 5 2 3 3" xfId="6735" xr:uid="{00000000-0005-0000-0000-0000471F0000}"/>
    <cellStyle name="Итог 5 2 3 4" xfId="24362" xr:uid="{62788E6D-6E25-4DDE-88B8-24C95D57DC9A}"/>
    <cellStyle name="Итог 5 2 4" xfId="2690" xr:uid="{00000000-0005-0000-0000-0000481F0000}"/>
    <cellStyle name="Итог 5 2 4 2" xfId="22898" xr:uid="{00000000-0005-0000-0000-0000491F0000}"/>
    <cellStyle name="Итог 5 2 4 3" xfId="39364" xr:uid="{D1BEB13B-2993-4154-9055-B6BCC6821EF6}"/>
    <cellStyle name="Итог 5 2 5" xfId="3544" xr:uid="{00000000-0005-0000-0000-00004A1F0000}"/>
    <cellStyle name="Итог 5 2 5 2" xfId="20468" xr:uid="{00000000-0005-0000-0000-00004B1F0000}"/>
    <cellStyle name="Итог 5 2 5 3" xfId="37360" xr:uid="{FCE27E6E-4FF8-43E7-83BF-2FCF957863DE}"/>
    <cellStyle name="Итог 5 2 6" xfId="3905" xr:uid="{00000000-0005-0000-0000-00004C1F0000}"/>
    <cellStyle name="Итог 5 2 7" xfId="4441" xr:uid="{00000000-0005-0000-0000-00004D1F0000}"/>
    <cellStyle name="Итог 5 2 8" xfId="4942" xr:uid="{00000000-0005-0000-0000-00004E1F0000}"/>
    <cellStyle name="Итог 5 3" xfId="435" xr:uid="{00000000-0005-0000-0000-00004F1F0000}"/>
    <cellStyle name="Итог 5 3 2" xfId="1267" xr:uid="{00000000-0005-0000-0000-0000501F0000}"/>
    <cellStyle name="Итог 5 3 2 2" xfId="21260" xr:uid="{00000000-0005-0000-0000-0000511F0000}"/>
    <cellStyle name="Итог 5 3 2 2 2" xfId="37902" xr:uid="{87D574CF-9CF4-4A71-BB30-3D40D28C4299}"/>
    <cellStyle name="Итог 5 3 2 3" xfId="6023" xr:uid="{00000000-0005-0000-0000-0000521F0000}"/>
    <cellStyle name="Итог 5 3 2 4" xfId="23810" xr:uid="{8A29F8DA-6A52-4F8D-A74E-A92F84C38198}"/>
    <cellStyle name="Итог 5 3 3" xfId="1932" xr:uid="{00000000-0005-0000-0000-0000531F0000}"/>
    <cellStyle name="Итог 5 3 3 2" xfId="21882" xr:uid="{00000000-0005-0000-0000-0000541F0000}"/>
    <cellStyle name="Итог 5 3 3 2 2" xfId="38492" xr:uid="{D42B9176-42A0-400A-9611-5429934E7FAA}"/>
    <cellStyle name="Итог 5 3 3 3" xfId="6794" xr:uid="{00000000-0005-0000-0000-0000551F0000}"/>
    <cellStyle name="Итог 5 3 3 4" xfId="24421" xr:uid="{715BE81B-4B38-4B97-98CE-7E6134D56CCF}"/>
    <cellStyle name="Итог 5 3 4" xfId="2738" xr:uid="{00000000-0005-0000-0000-0000561F0000}"/>
    <cellStyle name="Итог 5 3 4 2" xfId="22576" xr:uid="{00000000-0005-0000-0000-0000571F0000}"/>
    <cellStyle name="Итог 5 3 4 3" xfId="39053" xr:uid="{3A3E23AD-EB4C-4B11-B329-7E37939C4C9B}"/>
    <cellStyle name="Итог 5 3 5" xfId="3315" xr:uid="{00000000-0005-0000-0000-0000581F0000}"/>
    <cellStyle name="Итог 5 3 5 2" xfId="20573" xr:uid="{00000000-0005-0000-0000-0000591F0000}"/>
    <cellStyle name="Итог 5 3 5 3" xfId="37426" xr:uid="{5947DBAE-23BE-413F-891B-E4EB79445052}"/>
    <cellStyle name="Итог 5 3 6" xfId="3996" xr:uid="{00000000-0005-0000-0000-00005A1F0000}"/>
    <cellStyle name="Итог 5 3 7" xfId="4519" xr:uid="{00000000-0005-0000-0000-00005B1F0000}"/>
    <cellStyle name="Итог 5 3 8" xfId="5001" xr:uid="{00000000-0005-0000-0000-00005C1F0000}"/>
    <cellStyle name="Итог 5 4" xfId="482" xr:uid="{00000000-0005-0000-0000-00005D1F0000}"/>
    <cellStyle name="Итог 5 4 2" xfId="1314" xr:uid="{00000000-0005-0000-0000-00005E1F0000}"/>
    <cellStyle name="Итог 5 4 2 2" xfId="21307" xr:uid="{00000000-0005-0000-0000-00005F1F0000}"/>
    <cellStyle name="Итог 5 4 2 2 2" xfId="37949" xr:uid="{AF949B9C-5FDB-4C76-B9CF-D05050070F28}"/>
    <cellStyle name="Итог 5 4 2 3" xfId="6070" xr:uid="{00000000-0005-0000-0000-0000601F0000}"/>
    <cellStyle name="Итог 5 4 2 4" xfId="23857" xr:uid="{0DF1A42F-E6F7-4568-9134-17A414BFD4C2}"/>
    <cellStyle name="Итог 5 4 3" xfId="1942" xr:uid="{00000000-0005-0000-0000-0000611F0000}"/>
    <cellStyle name="Итог 5 4 3 2" xfId="21929" xr:uid="{00000000-0005-0000-0000-0000621F0000}"/>
    <cellStyle name="Итог 5 4 3 2 2" xfId="38539" xr:uid="{F48539F5-7872-4E1D-BCBB-1BEEA467AA1E}"/>
    <cellStyle name="Итог 5 4 3 3" xfId="6839" xr:uid="{00000000-0005-0000-0000-0000631F0000}"/>
    <cellStyle name="Итог 5 4 3 4" xfId="24466" xr:uid="{4CBD04CE-8EA6-468C-9FFA-6514BD01970C}"/>
    <cellStyle name="Итог 5 4 4" xfId="2727" xr:uid="{00000000-0005-0000-0000-0000641F0000}"/>
    <cellStyle name="Итог 5 4 4 2" xfId="22537" xr:uid="{00000000-0005-0000-0000-0000651F0000}"/>
    <cellStyle name="Итог 5 4 4 3" xfId="39016" xr:uid="{3BCF576E-9E7F-42E1-A676-EFF99FEDE1FD}"/>
    <cellStyle name="Итог 5 4 5" xfId="2987" xr:uid="{00000000-0005-0000-0000-0000661F0000}"/>
    <cellStyle name="Итог 5 4 5 2" xfId="20525" xr:uid="{00000000-0005-0000-0000-0000671F0000}"/>
    <cellStyle name="Итог 5 4 5 3" xfId="37405" xr:uid="{FACB31E1-A3FA-44E6-BCC7-26549AC95301}"/>
    <cellStyle name="Итог 5 4 6" xfId="4042" xr:uid="{00000000-0005-0000-0000-0000681F0000}"/>
    <cellStyle name="Итог 5 4 7" xfId="4564" xr:uid="{00000000-0005-0000-0000-0000691F0000}"/>
    <cellStyle name="Итог 5 4 8" xfId="5046" xr:uid="{00000000-0005-0000-0000-00006A1F0000}"/>
    <cellStyle name="Итог 5 5" xfId="534" xr:uid="{00000000-0005-0000-0000-00006B1F0000}"/>
    <cellStyle name="Итог 5 5 2" xfId="1366" xr:uid="{00000000-0005-0000-0000-00006C1F0000}"/>
    <cellStyle name="Итог 5 5 2 2" xfId="21359" xr:uid="{00000000-0005-0000-0000-00006D1F0000}"/>
    <cellStyle name="Итог 5 5 2 2 2" xfId="38001" xr:uid="{7F1427E8-F671-4CC0-B69A-9E409DB5D623}"/>
    <cellStyle name="Итог 5 5 2 3" xfId="6122" xr:uid="{00000000-0005-0000-0000-00006E1F0000}"/>
    <cellStyle name="Итог 5 5 2 4" xfId="23909" xr:uid="{13FB70C0-1D34-4CFF-86BA-DA3210131E6D}"/>
    <cellStyle name="Итог 5 5 3" xfId="1971" xr:uid="{00000000-0005-0000-0000-00006F1F0000}"/>
    <cellStyle name="Итог 5 5 3 2" xfId="21981" xr:uid="{00000000-0005-0000-0000-0000701F0000}"/>
    <cellStyle name="Итог 5 5 3 2 2" xfId="38591" xr:uid="{A938AD0F-1AB9-4B33-AF18-70CB6DD87387}"/>
    <cellStyle name="Итог 5 5 3 3" xfId="6891" xr:uid="{00000000-0005-0000-0000-0000711F0000}"/>
    <cellStyle name="Итог 5 5 3 4" xfId="24518" xr:uid="{A850BA0E-EB1A-47D0-813A-B341C244EE6D}"/>
    <cellStyle name="Итог 5 5 4" xfId="2764" xr:uid="{00000000-0005-0000-0000-0000721F0000}"/>
    <cellStyle name="Итог 5 5 4 2" xfId="23047" xr:uid="{00000000-0005-0000-0000-0000731F0000}"/>
    <cellStyle name="Итог 5 5 4 3" xfId="39513" xr:uid="{F88F14F1-DABF-4A31-8510-3856D6A0D1C8}"/>
    <cellStyle name="Итог 5 5 5" xfId="3758" xr:uid="{00000000-0005-0000-0000-0000741F0000}"/>
    <cellStyle name="Итог 5 5 5 2" xfId="20687" xr:uid="{00000000-0005-0000-0000-0000751F0000}"/>
    <cellStyle name="Итог 5 5 5 3" xfId="37516" xr:uid="{5DBEA9C3-38DE-4272-A013-2888597684CE}"/>
    <cellStyle name="Итог 5 5 6" xfId="4094" xr:uid="{00000000-0005-0000-0000-0000761F0000}"/>
    <cellStyle name="Итог 5 5 7" xfId="4616" xr:uid="{00000000-0005-0000-0000-0000771F0000}"/>
    <cellStyle name="Итог 5 5 8" xfId="5098" xr:uid="{00000000-0005-0000-0000-0000781F0000}"/>
    <cellStyle name="Итог 5 6" xfId="586" xr:uid="{00000000-0005-0000-0000-0000791F0000}"/>
    <cellStyle name="Итог 5 6 2" xfId="1418" xr:uid="{00000000-0005-0000-0000-00007A1F0000}"/>
    <cellStyle name="Итог 5 6 2 2" xfId="21411" xr:uid="{00000000-0005-0000-0000-00007B1F0000}"/>
    <cellStyle name="Итог 5 6 2 2 2" xfId="38053" xr:uid="{6D29C904-1A5D-4349-84BC-3BE8EF7DCE4B}"/>
    <cellStyle name="Итог 5 6 2 3" xfId="6174" xr:uid="{00000000-0005-0000-0000-00007C1F0000}"/>
    <cellStyle name="Итог 5 6 2 4" xfId="23961" xr:uid="{4B420A9A-77A8-4193-B003-40358C4CDDD2}"/>
    <cellStyle name="Итог 5 6 3" xfId="1768" xr:uid="{00000000-0005-0000-0000-00007D1F0000}"/>
    <cellStyle name="Итог 5 6 3 2" xfId="22033" xr:uid="{00000000-0005-0000-0000-00007E1F0000}"/>
    <cellStyle name="Итог 5 6 3 2 2" xfId="38643" xr:uid="{48E076CD-A933-4973-81E1-88B3480C1625}"/>
    <cellStyle name="Итог 5 6 3 3" xfId="6943" xr:uid="{00000000-0005-0000-0000-00007F1F0000}"/>
    <cellStyle name="Итог 5 6 3 4" xfId="24570" xr:uid="{06C8C93A-5D56-4F90-A58D-4B9BE0C38719}"/>
    <cellStyle name="Итог 5 6 4" xfId="2603" xr:uid="{00000000-0005-0000-0000-0000801F0000}"/>
    <cellStyle name="Итог 5 6 4 2" xfId="23053" xr:uid="{00000000-0005-0000-0000-0000811F0000}"/>
    <cellStyle name="Итог 5 6 4 3" xfId="39519" xr:uid="{83845505-0DA2-4D80-9D30-856B65B55BE3}"/>
    <cellStyle name="Итог 5 6 5" xfId="3768" xr:uid="{00000000-0005-0000-0000-0000821F0000}"/>
    <cellStyle name="Итог 5 6 5 2" xfId="20752" xr:uid="{00000000-0005-0000-0000-0000831F0000}"/>
    <cellStyle name="Итог 5 6 5 3" xfId="37568" xr:uid="{8CB672EB-AAA3-45FD-B862-A792F2A0196C}"/>
    <cellStyle name="Итог 5 6 6" xfId="4146" xr:uid="{00000000-0005-0000-0000-0000841F0000}"/>
    <cellStyle name="Итог 5 6 7" xfId="4668" xr:uid="{00000000-0005-0000-0000-0000851F0000}"/>
    <cellStyle name="Итог 5 6 8" xfId="5150" xr:uid="{00000000-0005-0000-0000-0000861F0000}"/>
    <cellStyle name="Итог 5 7" xfId="682" xr:uid="{00000000-0005-0000-0000-0000871F0000}"/>
    <cellStyle name="Итог 5 7 2" xfId="1512" xr:uid="{00000000-0005-0000-0000-0000881F0000}"/>
    <cellStyle name="Итог 5 7 2 2" xfId="21505" xr:uid="{00000000-0005-0000-0000-0000891F0000}"/>
    <cellStyle name="Итог 5 7 2 2 2" xfId="38147" xr:uid="{1E1D550C-3389-43DF-A92D-B488393D8041}"/>
    <cellStyle name="Итог 5 7 2 3" xfId="6268" xr:uid="{00000000-0005-0000-0000-00008A1F0000}"/>
    <cellStyle name="Итог 5 7 2 4" xfId="24055" xr:uid="{DFA840AC-D25C-4CE9-9EAB-6396C1ABF0D2}"/>
    <cellStyle name="Итог 5 7 3" xfId="1756" xr:uid="{00000000-0005-0000-0000-00008B1F0000}"/>
    <cellStyle name="Итог 5 7 3 2" xfId="22127" xr:uid="{00000000-0005-0000-0000-00008C1F0000}"/>
    <cellStyle name="Итог 5 7 3 2 2" xfId="38737" xr:uid="{59E0B1BC-388D-4105-9D8B-1E9494CD2D40}"/>
    <cellStyle name="Итог 5 7 3 3" xfId="7037" xr:uid="{00000000-0005-0000-0000-00008D1F0000}"/>
    <cellStyle name="Итог 5 7 3 4" xfId="24664" xr:uid="{84779534-ACB7-4F04-A9FE-09B3C68B2881}"/>
    <cellStyle name="Итог 5 7 4" xfId="2416" xr:uid="{00000000-0005-0000-0000-00008E1F0000}"/>
    <cellStyle name="Итог 5 7 4 2" xfId="22907" xr:uid="{00000000-0005-0000-0000-00008F1F0000}"/>
    <cellStyle name="Итог 5 7 4 3" xfId="39373" xr:uid="{3D4C7614-15E5-43D0-B6D8-A0C74FF56C23}"/>
    <cellStyle name="Итог 5 7 5" xfId="3556" xr:uid="{00000000-0005-0000-0000-0000901F0000}"/>
    <cellStyle name="Итог 5 7 5 2" xfId="20817" xr:uid="{00000000-0005-0000-0000-0000911F0000}"/>
    <cellStyle name="Итог 5 7 5 3" xfId="37620" xr:uid="{FE54D337-828E-4116-94A8-4ABCA2987ECC}"/>
    <cellStyle name="Итог 5 7 6" xfId="4241" xr:uid="{00000000-0005-0000-0000-0000921F0000}"/>
    <cellStyle name="Итог 5 7 7" xfId="4763" xr:uid="{00000000-0005-0000-0000-0000931F0000}"/>
    <cellStyle name="Итог 5 7 8" xfId="5244" xr:uid="{00000000-0005-0000-0000-0000941F0000}"/>
    <cellStyle name="Итог 5 8" xfId="632" xr:uid="{00000000-0005-0000-0000-0000951F0000}"/>
    <cellStyle name="Итог 5 8 2" xfId="1464" xr:uid="{00000000-0005-0000-0000-0000961F0000}"/>
    <cellStyle name="Итог 5 8 2 2" xfId="21457" xr:uid="{00000000-0005-0000-0000-0000971F0000}"/>
    <cellStyle name="Итог 5 8 2 2 2" xfId="38099" xr:uid="{90486D35-CC8D-4C6B-AAC3-6EED0906BCAB}"/>
    <cellStyle name="Итог 5 8 2 3" xfId="6220" xr:uid="{00000000-0005-0000-0000-0000981F0000}"/>
    <cellStyle name="Итог 5 8 2 4" xfId="24007" xr:uid="{FBC46EAC-1E90-435D-B72E-64CB0D10EBAA}"/>
    <cellStyle name="Итог 5 8 3" xfId="1788" xr:uid="{00000000-0005-0000-0000-0000991F0000}"/>
    <cellStyle name="Итог 5 8 3 2" xfId="22079" xr:uid="{00000000-0005-0000-0000-00009A1F0000}"/>
    <cellStyle name="Итог 5 8 3 2 2" xfId="38689" xr:uid="{2F35A237-1316-4AF2-AF85-28A10D72526B}"/>
    <cellStyle name="Итог 5 8 3 3" xfId="6989" xr:uid="{00000000-0005-0000-0000-00009B1F0000}"/>
    <cellStyle name="Итог 5 8 3 4" xfId="24616" xr:uid="{82BAADCD-6262-497F-A800-8CD031F712E3}"/>
    <cellStyle name="Итог 5 8 4" xfId="2624" xr:uid="{00000000-0005-0000-0000-00009C1F0000}"/>
    <cellStyle name="Итог 5 8 4 2" xfId="23058" xr:uid="{00000000-0005-0000-0000-00009D1F0000}"/>
    <cellStyle name="Итог 5 8 4 3" xfId="39524" xr:uid="{A6F21112-C936-4E60-922B-D0F2AE37A7D3}"/>
    <cellStyle name="Итог 5 8 5" xfId="3779" xr:uid="{00000000-0005-0000-0000-00009E1F0000}"/>
    <cellStyle name="Итог 5 8 5 2" xfId="20882" xr:uid="{00000000-0005-0000-0000-00009F1F0000}"/>
    <cellStyle name="Итог 5 8 5 3" xfId="37672" xr:uid="{DEB095C1-7CE1-41BE-A40B-AD76378D9A9D}"/>
    <cellStyle name="Итог 5 8 6" xfId="4192" xr:uid="{00000000-0005-0000-0000-0000A01F0000}"/>
    <cellStyle name="Итог 5 8 7" xfId="4714" xr:uid="{00000000-0005-0000-0000-0000A11F0000}"/>
    <cellStyle name="Итог 5 8 8" xfId="5196" xr:uid="{00000000-0005-0000-0000-0000A21F0000}"/>
    <cellStyle name="Итог 5 9" xfId="659" xr:uid="{00000000-0005-0000-0000-0000A31F0000}"/>
    <cellStyle name="Итог 5 9 2" xfId="1491" xr:uid="{00000000-0005-0000-0000-0000A41F0000}"/>
    <cellStyle name="Итог 5 9 2 2" xfId="22106" xr:uid="{00000000-0005-0000-0000-0000A51F0000}"/>
    <cellStyle name="Итог 5 9 2 2 2" xfId="38716" xr:uid="{1D6D5EAE-B558-41FA-AB40-3BB6F45250A4}"/>
    <cellStyle name="Итог 5 9 2 3" xfId="6247" xr:uid="{00000000-0005-0000-0000-0000A61F0000}"/>
    <cellStyle name="Итог 5 9 2 4" xfId="24034" xr:uid="{70298F78-6CC7-488F-96A9-C2E5C7FA812E}"/>
    <cellStyle name="Итог 5 9 3" xfId="2232" xr:uid="{00000000-0005-0000-0000-0000A71F0000}"/>
    <cellStyle name="Итог 5 9 3 2" xfId="22911" xr:uid="{00000000-0005-0000-0000-0000A81F0000}"/>
    <cellStyle name="Итог 5 9 3 2 2" xfId="39377" xr:uid="{BD09AF7F-C5FA-4BC8-B32D-F078B9E0C36B}"/>
    <cellStyle name="Итог 5 9 3 3" xfId="7016" xr:uid="{00000000-0005-0000-0000-0000A91F0000}"/>
    <cellStyle name="Итог 5 9 3 4" xfId="24643" xr:uid="{EA02CA92-411F-4AF9-BF59-6AC5C0EFC5A5}"/>
    <cellStyle name="Итог 5 9 4" xfId="2425" xr:uid="{00000000-0005-0000-0000-0000AA1F0000}"/>
    <cellStyle name="Итог 5 9 4 2" xfId="21484" xr:uid="{00000000-0005-0000-0000-0000AB1F0000}"/>
    <cellStyle name="Итог 5 9 4 3" xfId="38126" xr:uid="{ADE21BF1-8CEA-40BF-BB29-9A9DA58632CA}"/>
    <cellStyle name="Итог 5 9 5" xfId="3560" xr:uid="{00000000-0005-0000-0000-0000AC1F0000}"/>
    <cellStyle name="Итог 5 9 6" xfId="4219" xr:uid="{00000000-0005-0000-0000-0000AD1F0000}"/>
    <cellStyle name="Итог 5 9 7" xfId="4741" xr:uid="{00000000-0005-0000-0000-0000AE1F0000}"/>
    <cellStyle name="Итог 5 9 8" xfId="5223" xr:uid="{00000000-0005-0000-0000-0000AF1F0000}"/>
    <cellStyle name="Итог 6" xfId="1830" xr:uid="{00000000-0005-0000-0000-0000B01F0000}"/>
    <cellStyle name="Итог 6 2" xfId="22978" xr:uid="{00000000-0005-0000-0000-0000B11F0000}"/>
    <cellStyle name="Итог 6 2 2" xfId="39444" xr:uid="{0882EA8A-A666-4DB1-AEEE-26498B22F595}"/>
    <cellStyle name="Итог 6 3" xfId="5531" xr:uid="{00000000-0005-0000-0000-0000B21F0000}"/>
    <cellStyle name="Итог 6 4" xfId="23593" xr:uid="{71C4A227-F047-4A63-874C-51BF021DA9FD}"/>
    <cellStyle name="Итог 7" xfId="2553" xr:uid="{00000000-0005-0000-0000-0000B31F0000}"/>
    <cellStyle name="Итог 7 2" xfId="5534" xr:uid="{00000000-0005-0000-0000-0000B41F0000}"/>
    <cellStyle name="Итог 7 3" xfId="23596" xr:uid="{8EF95209-85D6-47B8-8F3D-D877482E6D93}"/>
    <cellStyle name="Итог 8" xfId="3694" xr:uid="{00000000-0005-0000-0000-0000B51F0000}"/>
    <cellStyle name="Итог 9" xfId="3723" xr:uid="{00000000-0005-0000-0000-0000B61F0000}"/>
    <cellStyle name="Контрольная ячейка" xfId="389" builtinId="23" customBuiltin="1"/>
    <cellStyle name="Контрольная ячейка 2" xfId="98" xr:uid="{00000000-0005-0000-0000-0000B81F0000}"/>
    <cellStyle name="Контрольная ячейка 2 2" xfId="7348" xr:uid="{00000000-0005-0000-0000-0000B91F0000}"/>
    <cellStyle name="Контрольная ячейка 2 3" xfId="7233" xr:uid="{00000000-0005-0000-0000-0000BA1F0000}"/>
    <cellStyle name="Контрольная ячейка 3" xfId="47" xr:uid="{00000000-0005-0000-0000-0000BB1F0000}"/>
    <cellStyle name="Название" xfId="377" builtinId="15" customBuiltin="1"/>
    <cellStyle name="Название 2" xfId="99" xr:uid="{00000000-0005-0000-0000-0000BD1F0000}"/>
    <cellStyle name="Название 2 2" xfId="7349" xr:uid="{00000000-0005-0000-0000-0000BE1F0000}"/>
    <cellStyle name="Название 2 3" xfId="7234" xr:uid="{00000000-0005-0000-0000-0000BF1F0000}"/>
    <cellStyle name="Название 3" xfId="48" xr:uid="{00000000-0005-0000-0000-0000C01F0000}"/>
    <cellStyle name="Название 3 2" xfId="7761" xr:uid="{00000000-0005-0000-0000-0000C11F0000}"/>
    <cellStyle name="Название 3 2 2" xfId="13977" xr:uid="{00000000-0005-0000-0000-0000C21F0000}"/>
    <cellStyle name="Нейтральный" xfId="384" builtinId="28" customBuiltin="1"/>
    <cellStyle name="Нейтральный 2" xfId="100" xr:uid="{00000000-0005-0000-0000-0000C41F0000}"/>
    <cellStyle name="Нейтральный 2 2" xfId="1059" xr:uid="{00000000-0005-0000-0000-0000C51F0000}"/>
    <cellStyle name="Нейтральный 2 2 2" xfId="14103" xr:uid="{00000000-0005-0000-0000-0000C61F0000}"/>
    <cellStyle name="Нейтральный 2 2 3" xfId="7350" xr:uid="{00000000-0005-0000-0000-0000C71F0000}"/>
    <cellStyle name="Нейтральный 2 3" xfId="13990" xr:uid="{00000000-0005-0000-0000-0000C81F0000}"/>
    <cellStyle name="Нейтральный 2 4" xfId="7235" xr:uid="{00000000-0005-0000-0000-0000C91F0000}"/>
    <cellStyle name="Нейтральный 3" xfId="49" xr:uid="{00000000-0005-0000-0000-0000CA1F0000}"/>
    <cellStyle name="Нейтральный 3 2" xfId="912" xr:uid="{00000000-0005-0000-0000-0000CB1F0000}"/>
    <cellStyle name="Нейтральный 3 2 2" xfId="21000" xr:uid="{00000000-0005-0000-0000-0000CC1F0000}"/>
    <cellStyle name="Нейтральный 3 3" xfId="7442" xr:uid="{00000000-0005-0000-0000-0000CD1F0000}"/>
    <cellStyle name="Нейтральный 4" xfId="868" xr:uid="{00000000-0005-0000-0000-0000CE1F0000}"/>
    <cellStyle name="Нейтральный 4 2" xfId="1231" xr:uid="{00000000-0005-0000-0000-0000CF1F0000}"/>
    <cellStyle name="Нейтральный 4 3" xfId="7311" xr:uid="{00000000-0005-0000-0000-0000D01F0000}"/>
    <cellStyle name="Обычный" xfId="0" builtinId="0"/>
    <cellStyle name="Обычный 10" xfId="109" xr:uid="{00000000-0005-0000-0000-0000D21F0000}"/>
    <cellStyle name="Обычный 10 10" xfId="7246" xr:uid="{00000000-0005-0000-0000-0000D31F0000}"/>
    <cellStyle name="Обычный 10 2" xfId="143" xr:uid="{00000000-0005-0000-0000-0000D41F0000}"/>
    <cellStyle name="Обычный 10 2 2" xfId="173" xr:uid="{00000000-0005-0000-0000-0000D51F0000}"/>
    <cellStyle name="Обычный 10 2 2 2" xfId="321" xr:uid="{00000000-0005-0000-0000-0000D61F0000}"/>
    <cellStyle name="Обычный 10 2 2 2 2" xfId="1209" xr:uid="{00000000-0005-0000-0000-0000D71F0000}"/>
    <cellStyle name="Обычный 10 2 2 2 2 2" xfId="5952" xr:uid="{00000000-0005-0000-0000-0000D81F0000}"/>
    <cellStyle name="Обычный 10 2 2 2 2 3" xfId="21174" xr:uid="{00000000-0005-0000-0000-0000D91F0000}"/>
    <cellStyle name="Обычный 10 2 2 2 3" xfId="5696" xr:uid="{00000000-0005-0000-0000-0000DA1F0000}"/>
    <cellStyle name="Обычный 10 2 2 2 4" xfId="20413" xr:uid="{00000000-0005-0000-0000-0000DB1F0000}"/>
    <cellStyle name="Обычный 10 2 2 3" xfId="1125" xr:uid="{00000000-0005-0000-0000-0000DC1F0000}"/>
    <cellStyle name="Обычный 10 2 2 3 2" xfId="5817" xr:uid="{00000000-0005-0000-0000-0000DD1F0000}"/>
    <cellStyle name="Обычный 10 2 2 3 3" xfId="21041" xr:uid="{00000000-0005-0000-0000-0000DE1F0000}"/>
    <cellStyle name="Обычный 10 2 2 4" xfId="5594" xr:uid="{00000000-0005-0000-0000-0000DF1F0000}"/>
    <cellStyle name="Обычный 10 2 2 5" xfId="7389" xr:uid="{00000000-0005-0000-0000-0000E01F0000}"/>
    <cellStyle name="Обычный 10 2 3" xfId="189" xr:uid="{00000000-0005-0000-0000-0000E11F0000}"/>
    <cellStyle name="Обычный 10 2 3 2" xfId="337" xr:uid="{00000000-0005-0000-0000-0000E21F0000}"/>
    <cellStyle name="Обычный 10 2 3 2 2" xfId="1220" xr:uid="{00000000-0005-0000-0000-0000E31F0000}"/>
    <cellStyle name="Обычный 10 2 3 2 2 2" xfId="5968" xr:uid="{00000000-0005-0000-0000-0000E41F0000}"/>
    <cellStyle name="Обычный 10 2 3 2 2 3" xfId="21188" xr:uid="{00000000-0005-0000-0000-0000E51F0000}"/>
    <cellStyle name="Обычный 10 2 3 2 3" xfId="5712" xr:uid="{00000000-0005-0000-0000-0000E61F0000}"/>
    <cellStyle name="Обычный 10 2 3 2 4" xfId="20428" xr:uid="{00000000-0005-0000-0000-0000E71F0000}"/>
    <cellStyle name="Обычный 10 2 3 3" xfId="1135" xr:uid="{00000000-0005-0000-0000-0000E81F0000}"/>
    <cellStyle name="Обычный 10 2 3 3 2" xfId="5832" xr:uid="{00000000-0005-0000-0000-0000E91F0000}"/>
    <cellStyle name="Обычный 10 2 3 3 3" xfId="21056" xr:uid="{00000000-0005-0000-0000-0000EA1F0000}"/>
    <cellStyle name="Обычный 10 2 3 4" xfId="5609" xr:uid="{00000000-0005-0000-0000-0000EB1F0000}"/>
    <cellStyle name="Обычный 10 2 3 5" xfId="7404" xr:uid="{00000000-0005-0000-0000-0000EC1F0000}"/>
    <cellStyle name="Обычный 10 2 4" xfId="209" xr:uid="{00000000-0005-0000-0000-0000ED1F0000}"/>
    <cellStyle name="Обычный 10 2 4 2" xfId="357" xr:uid="{00000000-0005-0000-0000-0000EE1F0000}"/>
    <cellStyle name="Обычный 10 2 4 2 2" xfId="1230" xr:uid="{00000000-0005-0000-0000-0000EF1F0000}"/>
    <cellStyle name="Обычный 10 2 4 2 2 2" xfId="5986" xr:uid="{00000000-0005-0000-0000-0000F01F0000}"/>
    <cellStyle name="Обычный 10 2 4 2 2 3" xfId="21205" xr:uid="{00000000-0005-0000-0000-0000F11F0000}"/>
    <cellStyle name="Обычный 10 2 4 2 3" xfId="5730" xr:uid="{00000000-0005-0000-0000-0000F21F0000}"/>
    <cellStyle name="Обычный 10 2 4 2 4" xfId="20446" xr:uid="{00000000-0005-0000-0000-0000F31F0000}"/>
    <cellStyle name="Обычный 10 2 4 3" xfId="1145" xr:uid="{00000000-0005-0000-0000-0000F41F0000}"/>
    <cellStyle name="Обычный 10 2 4 3 2" xfId="5850" xr:uid="{00000000-0005-0000-0000-0000F51F0000}"/>
    <cellStyle name="Обычный 10 2 4 3 3" xfId="21074" xr:uid="{00000000-0005-0000-0000-0000F61F0000}"/>
    <cellStyle name="Обычный 10 2 4 4" xfId="5627" xr:uid="{00000000-0005-0000-0000-0000F71F0000}"/>
    <cellStyle name="Обычный 10 2 4 5" xfId="7422" xr:uid="{00000000-0005-0000-0000-0000F81F0000}"/>
    <cellStyle name="Обычный 10 2 5" xfId="297" xr:uid="{00000000-0005-0000-0000-0000F91F0000}"/>
    <cellStyle name="Обычный 10 2 5 2" xfId="1192" xr:uid="{00000000-0005-0000-0000-0000FA1F0000}"/>
    <cellStyle name="Обычный 10 2 5 2 2" xfId="5930" xr:uid="{00000000-0005-0000-0000-0000FB1F0000}"/>
    <cellStyle name="Обычный 10 2 5 2 3" xfId="21153" xr:uid="{00000000-0005-0000-0000-0000FC1F0000}"/>
    <cellStyle name="Обычный 10 2 5 3" xfId="5674" xr:uid="{00000000-0005-0000-0000-0000FD1F0000}"/>
    <cellStyle name="Обычный 10 2 5 4" xfId="7458" xr:uid="{00000000-0005-0000-0000-0000FE1F0000}"/>
    <cellStyle name="Обычный 10 2 6" xfId="937" xr:uid="{00000000-0005-0000-0000-0000FF1F0000}"/>
    <cellStyle name="Обычный 10 2 6 2" xfId="5796" xr:uid="{00000000-0005-0000-0000-000000200000}"/>
    <cellStyle name="Обычный 10 2 6 3" xfId="7473" xr:uid="{00000000-0005-0000-0000-000001200000}"/>
    <cellStyle name="Обычный 10 2 7" xfId="5572" xr:uid="{00000000-0005-0000-0000-000002200000}"/>
    <cellStyle name="Обычный 10 2 8" xfId="7261" xr:uid="{00000000-0005-0000-0000-000003200000}"/>
    <cellStyle name="Обычный 10 3" xfId="153" xr:uid="{00000000-0005-0000-0000-000004200000}"/>
    <cellStyle name="Обычный 10 3 2" xfId="305" xr:uid="{00000000-0005-0000-0000-000005200000}"/>
    <cellStyle name="Обычный 10 3 2 2" xfId="1199" xr:uid="{00000000-0005-0000-0000-000006200000}"/>
    <cellStyle name="Обычный 10 3 2 2 2" xfId="5937" xr:uid="{00000000-0005-0000-0000-000007200000}"/>
    <cellStyle name="Обычный 10 3 2 2 3" xfId="21160" xr:uid="{00000000-0005-0000-0000-000008200000}"/>
    <cellStyle name="Обычный 10 3 2 3" xfId="5681" xr:uid="{00000000-0005-0000-0000-000009200000}"/>
    <cellStyle name="Обычный 10 3 2 4" xfId="20399" xr:uid="{00000000-0005-0000-0000-00000A200000}"/>
    <cellStyle name="Обычный 10 3 3" xfId="1115" xr:uid="{00000000-0005-0000-0000-00000B200000}"/>
    <cellStyle name="Обычный 10 3 3 2" xfId="5802" xr:uid="{00000000-0005-0000-0000-00000C200000}"/>
    <cellStyle name="Обычный 10 3 3 3" xfId="21026" xr:uid="{00000000-0005-0000-0000-00000D200000}"/>
    <cellStyle name="Обычный 10 3 4" xfId="5579" xr:uid="{00000000-0005-0000-0000-00000E200000}"/>
    <cellStyle name="Обычный 10 3 5" xfId="7251" xr:uid="{00000000-0005-0000-0000-00000F200000}"/>
    <cellStyle name="Обычный 10 4" xfId="160" xr:uid="{00000000-0005-0000-0000-000010200000}"/>
    <cellStyle name="Обычный 10 4 2" xfId="311" xr:uid="{00000000-0005-0000-0000-000011200000}"/>
    <cellStyle name="Обычный 10 4 2 2" xfId="1204" xr:uid="{00000000-0005-0000-0000-000012200000}"/>
    <cellStyle name="Обычный 10 4 2 2 2" xfId="5942" xr:uid="{00000000-0005-0000-0000-000013200000}"/>
    <cellStyle name="Обычный 10 4 2 2 3" xfId="21165" xr:uid="{00000000-0005-0000-0000-000014200000}"/>
    <cellStyle name="Обычный 10 4 2 3" xfId="5686" xr:uid="{00000000-0005-0000-0000-000015200000}"/>
    <cellStyle name="Обычный 10 4 2 4" xfId="20404" xr:uid="{00000000-0005-0000-0000-000016200000}"/>
    <cellStyle name="Обычный 10 4 3" xfId="1120" xr:uid="{00000000-0005-0000-0000-000017200000}"/>
    <cellStyle name="Обычный 10 4 3 2" xfId="5807" xr:uid="{00000000-0005-0000-0000-000018200000}"/>
    <cellStyle name="Обычный 10 4 3 3" xfId="21031" xr:uid="{00000000-0005-0000-0000-000019200000}"/>
    <cellStyle name="Обычный 10 4 4" xfId="5584" xr:uid="{00000000-0005-0000-0000-00001A200000}"/>
    <cellStyle name="Обычный 10 4 5" xfId="7380" xr:uid="{00000000-0005-0000-0000-00001B200000}"/>
    <cellStyle name="Обычный 10 5" xfId="179" xr:uid="{00000000-0005-0000-0000-00001C200000}"/>
    <cellStyle name="Обычный 10 5 2" xfId="327" xr:uid="{00000000-0005-0000-0000-00001D200000}"/>
    <cellStyle name="Обычный 10 5 2 2" xfId="1215" xr:uid="{00000000-0005-0000-0000-00001E200000}"/>
    <cellStyle name="Обычный 10 5 2 2 2" xfId="5958" xr:uid="{00000000-0005-0000-0000-00001F200000}"/>
    <cellStyle name="Обычный 10 5 2 2 3" xfId="21178" xr:uid="{00000000-0005-0000-0000-000020200000}"/>
    <cellStyle name="Обычный 10 5 2 3" xfId="5702" xr:uid="{00000000-0005-0000-0000-000021200000}"/>
    <cellStyle name="Обычный 10 5 2 4" xfId="20418" xr:uid="{00000000-0005-0000-0000-000022200000}"/>
    <cellStyle name="Обычный 10 5 3" xfId="1130" xr:uid="{00000000-0005-0000-0000-000023200000}"/>
    <cellStyle name="Обычный 10 5 3 2" xfId="5822" xr:uid="{00000000-0005-0000-0000-000024200000}"/>
    <cellStyle name="Обычный 10 5 3 3" xfId="21046" xr:uid="{00000000-0005-0000-0000-000025200000}"/>
    <cellStyle name="Обычный 10 5 4" xfId="5599" xr:uid="{00000000-0005-0000-0000-000026200000}"/>
    <cellStyle name="Обычный 10 5 5" xfId="7394" xr:uid="{00000000-0005-0000-0000-000027200000}"/>
    <cellStyle name="Обычный 10 6" xfId="201" xr:uid="{00000000-0005-0000-0000-000028200000}"/>
    <cellStyle name="Обычный 10 6 2" xfId="349" xr:uid="{00000000-0005-0000-0000-000029200000}"/>
    <cellStyle name="Обычный 10 6 2 2" xfId="1225" xr:uid="{00000000-0005-0000-0000-00002A200000}"/>
    <cellStyle name="Обычный 10 6 2 2 2" xfId="5978" xr:uid="{00000000-0005-0000-0000-00002B200000}"/>
    <cellStyle name="Обычный 10 6 2 2 3" xfId="21197" xr:uid="{00000000-0005-0000-0000-00002C200000}"/>
    <cellStyle name="Обычный 10 6 2 3" xfId="5722" xr:uid="{00000000-0005-0000-0000-00002D200000}"/>
    <cellStyle name="Обычный 10 6 2 4" xfId="20438" xr:uid="{00000000-0005-0000-0000-00002E200000}"/>
    <cellStyle name="Обычный 10 6 3" xfId="1140" xr:uid="{00000000-0005-0000-0000-00002F200000}"/>
    <cellStyle name="Обычный 10 6 3 2" xfId="5842" xr:uid="{00000000-0005-0000-0000-000030200000}"/>
    <cellStyle name="Обычный 10 6 3 3" xfId="21066" xr:uid="{00000000-0005-0000-0000-000031200000}"/>
    <cellStyle name="Обычный 10 6 4" xfId="5619" xr:uid="{00000000-0005-0000-0000-000032200000}"/>
    <cellStyle name="Обычный 10 6 5" xfId="7414" xr:uid="{00000000-0005-0000-0000-000033200000}"/>
    <cellStyle name="Обычный 10 7" xfId="273" xr:uid="{00000000-0005-0000-0000-000034200000}"/>
    <cellStyle name="Обычный 10 7 2" xfId="1177" xr:uid="{00000000-0005-0000-0000-000035200000}"/>
    <cellStyle name="Обычный 10 7 2 2" xfId="5911" xr:uid="{00000000-0005-0000-0000-000036200000}"/>
    <cellStyle name="Обычный 10 7 2 3" xfId="21134" xr:uid="{00000000-0005-0000-0000-000037200000}"/>
    <cellStyle name="Обычный 10 7 3" xfId="5653" xr:uid="{00000000-0005-0000-0000-000038200000}"/>
    <cellStyle name="Обычный 10 7 4" xfId="7450" xr:uid="{00000000-0005-0000-0000-000039200000}"/>
    <cellStyle name="Обычный 10 8" xfId="927" xr:uid="{00000000-0005-0000-0000-00003A200000}"/>
    <cellStyle name="Обычный 10 8 2" xfId="5777" xr:uid="{00000000-0005-0000-0000-00003B200000}"/>
    <cellStyle name="Обычный 10 8 3" xfId="7463" xr:uid="{00000000-0005-0000-0000-00003C200000}"/>
    <cellStyle name="Обычный 10 9" xfId="5552" xr:uid="{00000000-0005-0000-0000-00003D200000}"/>
    <cellStyle name="Обычный 11" xfId="110" xr:uid="{00000000-0005-0000-0000-00003E200000}"/>
    <cellStyle name="Обычный 11 2" xfId="144" xr:uid="{00000000-0005-0000-0000-00003F200000}"/>
    <cellStyle name="Обычный 11 3" xfId="274" xr:uid="{00000000-0005-0000-0000-000040200000}"/>
    <cellStyle name="Обычный 11 3 2" xfId="1178" xr:uid="{00000000-0005-0000-0000-000041200000}"/>
    <cellStyle name="Обычный 11 3 2 2" xfId="5912" xr:uid="{00000000-0005-0000-0000-000042200000}"/>
    <cellStyle name="Обычный 11 3 2 3" xfId="21135" xr:uid="{00000000-0005-0000-0000-000043200000}"/>
    <cellStyle name="Обычный 11 3 3" xfId="5654" xr:uid="{00000000-0005-0000-0000-000044200000}"/>
    <cellStyle name="Обычный 11 3 4" xfId="7359" xr:uid="{00000000-0005-0000-0000-000045200000}"/>
    <cellStyle name="Обычный 11 4" xfId="1097" xr:uid="{00000000-0005-0000-0000-000046200000}"/>
    <cellStyle name="Обычный 11 4 2" xfId="5778" xr:uid="{00000000-0005-0000-0000-000047200000}"/>
    <cellStyle name="Обычный 11 4 3" xfId="21007" xr:uid="{00000000-0005-0000-0000-000048200000}"/>
    <cellStyle name="Обычный 11 5" xfId="5554" xr:uid="{00000000-0005-0000-0000-000049200000}"/>
    <cellStyle name="Обычный 12" xfId="58" xr:uid="{00000000-0005-0000-0000-00004A200000}"/>
    <cellStyle name="Обычный 12 2" xfId="7762" xr:uid="{00000000-0005-0000-0000-00004B200000}"/>
    <cellStyle name="Обычный 13" xfId="112" xr:uid="{00000000-0005-0000-0000-00004C200000}"/>
    <cellStyle name="Обычный 13 2" xfId="154" xr:uid="{00000000-0005-0000-0000-00004D200000}"/>
    <cellStyle name="Обычный 13 3" xfId="276" xr:uid="{00000000-0005-0000-0000-00004E200000}"/>
    <cellStyle name="Обычный 13 3 2" xfId="1180" xr:uid="{00000000-0005-0000-0000-00004F200000}"/>
    <cellStyle name="Обычный 13 3 2 2" xfId="5914" xr:uid="{00000000-0005-0000-0000-000050200000}"/>
    <cellStyle name="Обычный 13 3 2 3" xfId="21137" xr:uid="{00000000-0005-0000-0000-000051200000}"/>
    <cellStyle name="Обычный 13 3 3" xfId="5656" xr:uid="{00000000-0005-0000-0000-000052200000}"/>
    <cellStyle name="Обычный 13 3 4" xfId="7361" xr:uid="{00000000-0005-0000-0000-000053200000}"/>
    <cellStyle name="Обычный 13 4" xfId="1099" xr:uid="{00000000-0005-0000-0000-000054200000}"/>
    <cellStyle name="Обычный 13 4 2" xfId="5780" xr:uid="{00000000-0005-0000-0000-000055200000}"/>
    <cellStyle name="Обычный 13 4 3" xfId="21009" xr:uid="{00000000-0005-0000-0000-000056200000}"/>
    <cellStyle name="Обычный 13 5" xfId="5556" xr:uid="{00000000-0005-0000-0000-000057200000}"/>
    <cellStyle name="Обычный 14" xfId="113" xr:uid="{00000000-0005-0000-0000-000058200000}"/>
    <cellStyle name="Обычный 14 2" xfId="174" xr:uid="{00000000-0005-0000-0000-000059200000}"/>
    <cellStyle name="Обычный 14 3" xfId="277" xr:uid="{00000000-0005-0000-0000-00005A200000}"/>
    <cellStyle name="Обычный 14 3 2" xfId="1181" xr:uid="{00000000-0005-0000-0000-00005B200000}"/>
    <cellStyle name="Обычный 14 3 2 2" xfId="5915" xr:uid="{00000000-0005-0000-0000-00005C200000}"/>
    <cellStyle name="Обычный 14 3 2 3" xfId="21138" xr:uid="{00000000-0005-0000-0000-00005D200000}"/>
    <cellStyle name="Обычный 14 3 3" xfId="5657" xr:uid="{00000000-0005-0000-0000-00005E200000}"/>
    <cellStyle name="Обычный 14 3 4" xfId="7362" xr:uid="{00000000-0005-0000-0000-00005F200000}"/>
    <cellStyle name="Обычный 14 4" xfId="1100" xr:uid="{00000000-0005-0000-0000-000060200000}"/>
    <cellStyle name="Обычный 14 4 2" xfId="5781" xr:uid="{00000000-0005-0000-0000-000061200000}"/>
    <cellStyle name="Обычный 14 4 3" xfId="21010" xr:uid="{00000000-0005-0000-0000-000062200000}"/>
    <cellStyle name="Обычный 14 5" xfId="5557" xr:uid="{00000000-0005-0000-0000-000063200000}"/>
    <cellStyle name="Обычный 14 6" xfId="7200" xr:uid="{00000000-0005-0000-0000-000064200000}"/>
    <cellStyle name="Обычный 15" xfId="114" xr:uid="{00000000-0005-0000-0000-000065200000}"/>
    <cellStyle name="Обычный 15 2" xfId="278" xr:uid="{00000000-0005-0000-0000-000066200000}"/>
    <cellStyle name="Обычный 15 2 2" xfId="922" xr:uid="{00000000-0005-0000-0000-000067200000}"/>
    <cellStyle name="Обычный 15 2 2 2" xfId="1182" xr:uid="{00000000-0005-0000-0000-000068200000}"/>
    <cellStyle name="Обычный 15 2 2 3" xfId="20381" xr:uid="{00000000-0005-0000-0000-000069200000}"/>
    <cellStyle name="Обычный 15 2 3" xfId="5658" xr:uid="{00000000-0005-0000-0000-00006A200000}"/>
    <cellStyle name="Обычный 15 2 4" xfId="7459" xr:uid="{00000000-0005-0000-0000-00006B200000}"/>
    <cellStyle name="Обычный 15 3" xfId="1101" xr:uid="{00000000-0005-0000-0000-00006C200000}"/>
    <cellStyle name="Обычный 15 3 2" xfId="5782" xr:uid="{00000000-0005-0000-0000-00006D200000}"/>
    <cellStyle name="Обычный 15 3 3" xfId="21011" xr:uid="{00000000-0005-0000-0000-00006E200000}"/>
    <cellStyle name="Обычный 15 4" xfId="5558" xr:uid="{00000000-0005-0000-0000-00006F200000}"/>
    <cellStyle name="Обычный 15 5" xfId="7363" xr:uid="{00000000-0005-0000-0000-000070200000}"/>
    <cellStyle name="Обычный 16" xfId="59" xr:uid="{00000000-0005-0000-0000-000071200000}"/>
    <cellStyle name="Обычный 17" xfId="115" xr:uid="{00000000-0005-0000-0000-000072200000}"/>
    <cellStyle name="Обычный 17 2" xfId="1048" xr:uid="{00000000-0005-0000-0000-000073200000}"/>
    <cellStyle name="Обычный 18" xfId="116" xr:uid="{00000000-0005-0000-0000-000074200000}"/>
    <cellStyle name="Обычный 18 2" xfId="280" xr:uid="{00000000-0005-0000-0000-000075200000}"/>
    <cellStyle name="Обычный 19" xfId="117" xr:uid="{00000000-0005-0000-0000-000076200000}"/>
    <cellStyle name="Обычный 19 2" xfId="281" xr:uid="{00000000-0005-0000-0000-000077200000}"/>
    <cellStyle name="Обычный 19 2 2" xfId="1065" xr:uid="{00000000-0005-0000-0000-000078200000}"/>
    <cellStyle name="Обычный 19 2 2 2" xfId="20383" xr:uid="{00000000-0005-0000-0000-000079200000}"/>
    <cellStyle name="Обычный 19 2 3" xfId="14109" xr:uid="{00000000-0005-0000-0000-00007A200000}"/>
    <cellStyle name="Обычный 2" xfId="1" xr:uid="{00000000-0005-0000-0000-00007B200000}"/>
    <cellStyle name="Обычный 2 2" xfId="4" xr:uid="{00000000-0005-0000-0000-00007C200000}"/>
    <cellStyle name="Обычный 2 2 2" xfId="123" xr:uid="{00000000-0005-0000-0000-00007D200000}"/>
    <cellStyle name="Обычный 2 2 2 2" xfId="7766" xr:uid="{00000000-0005-0000-0000-00007E200000}"/>
    <cellStyle name="Обычный 2 2 2 3" xfId="7765" xr:uid="{00000000-0005-0000-0000-00007F200000}"/>
    <cellStyle name="Обычный 2 2 2 3 2" xfId="13993" xr:uid="{00000000-0005-0000-0000-000080200000}"/>
    <cellStyle name="Обычный 2 2 3" xfId="7767" xr:uid="{00000000-0005-0000-0000-000081200000}"/>
    <cellStyle name="Обычный 2 2 4" xfId="7764" xr:uid="{00000000-0005-0000-0000-000082200000}"/>
    <cellStyle name="Обычный 2 3" xfId="120" xr:uid="{00000000-0005-0000-0000-000083200000}"/>
    <cellStyle name="Обычный 2 3 2" xfId="7768" xr:uid="{00000000-0005-0000-0000-000084200000}"/>
    <cellStyle name="Обычный 2 3 2 2" xfId="13992" xr:uid="{00000000-0005-0000-0000-000085200000}"/>
    <cellStyle name="Обычный 2 4" xfId="50" xr:uid="{00000000-0005-0000-0000-000086200000}"/>
    <cellStyle name="Обычный 2 4 2" xfId="21001" xr:uid="{00000000-0005-0000-0000-000087200000}"/>
    <cellStyle name="Обычный 2 4 3" xfId="7763" xr:uid="{00000000-0005-0000-0000-000088200000}"/>
    <cellStyle name="Обычный 2 5" xfId="5404" xr:uid="{00000000-0005-0000-0000-000089200000}"/>
    <cellStyle name="Обычный 2 5 2" xfId="6488" xr:uid="{00000000-0005-0000-0000-00008A200000}"/>
    <cellStyle name="Обычный 2 5 3" xfId="23455" xr:uid="{00000000-0005-0000-0000-00008B200000}"/>
    <cellStyle name="Обычный 2 6" xfId="5481" xr:uid="{00000000-0005-0000-0000-00008C200000}"/>
    <cellStyle name="Обычный 2 6 2" xfId="6552" xr:uid="{00000000-0005-0000-0000-00008D200000}"/>
    <cellStyle name="Обычный 2 6 3" xfId="23502" xr:uid="{00000000-0005-0000-0000-00008E200000}"/>
    <cellStyle name="Обычный 20" xfId="118" xr:uid="{00000000-0005-0000-0000-00008F200000}"/>
    <cellStyle name="Обычный 20 2" xfId="282" xr:uid="{00000000-0005-0000-0000-000090200000}"/>
    <cellStyle name="Обычный 20 2 2" xfId="1184" xr:uid="{00000000-0005-0000-0000-000091200000}"/>
    <cellStyle name="Обычный 20 2 2 2" xfId="5917" xr:uid="{00000000-0005-0000-0000-000092200000}"/>
    <cellStyle name="Обычный 20 2 2 3" xfId="21140" xr:uid="{00000000-0005-0000-0000-000093200000}"/>
    <cellStyle name="Обычный 20 2 3" xfId="5661" xr:uid="{00000000-0005-0000-0000-000094200000}"/>
    <cellStyle name="Обычный 20 2 4" xfId="20384" xr:uid="{00000000-0005-0000-0000-000095200000}"/>
    <cellStyle name="Обычный 20 3" xfId="1102" xr:uid="{00000000-0005-0000-0000-000096200000}"/>
    <cellStyle name="Обычный 20 3 2" xfId="5783" xr:uid="{00000000-0005-0000-0000-000097200000}"/>
    <cellStyle name="Обычный 20 3 3" xfId="21012" xr:uid="{00000000-0005-0000-0000-000098200000}"/>
    <cellStyle name="Обычный 20 4" xfId="5559" xr:uid="{00000000-0005-0000-0000-000099200000}"/>
    <cellStyle name="Обычный 20 5" xfId="7364" xr:uid="{00000000-0005-0000-0000-00009A200000}"/>
    <cellStyle name="Обычный 21" xfId="125" xr:uid="{00000000-0005-0000-0000-00009B200000}"/>
    <cellStyle name="Обычный 21 2" xfId="283" xr:uid="{00000000-0005-0000-0000-00009C200000}"/>
    <cellStyle name="Обычный 21 2 2" xfId="1185" xr:uid="{00000000-0005-0000-0000-00009D200000}"/>
    <cellStyle name="Обычный 21 2 2 2" xfId="5918" xr:uid="{00000000-0005-0000-0000-00009E200000}"/>
    <cellStyle name="Обычный 21 2 2 3" xfId="21141" xr:uid="{00000000-0005-0000-0000-00009F200000}"/>
    <cellStyle name="Обычный 21 2 3" xfId="5662" xr:uid="{00000000-0005-0000-0000-0000A0200000}"/>
    <cellStyle name="Обычный 21 2 4" xfId="20385" xr:uid="{00000000-0005-0000-0000-0000A1200000}"/>
    <cellStyle name="Обычный 21 3" xfId="1103" xr:uid="{00000000-0005-0000-0000-0000A2200000}"/>
    <cellStyle name="Обычный 21 3 2" xfId="5784" xr:uid="{00000000-0005-0000-0000-0000A3200000}"/>
    <cellStyle name="Обычный 21 3 3" xfId="21013" xr:uid="{00000000-0005-0000-0000-0000A4200000}"/>
    <cellStyle name="Обычный 21 4" xfId="5560" xr:uid="{00000000-0005-0000-0000-0000A5200000}"/>
    <cellStyle name="Обычный 21 5" xfId="7367" xr:uid="{00000000-0005-0000-0000-0000A6200000}"/>
    <cellStyle name="Обычный 22" xfId="126" xr:uid="{00000000-0005-0000-0000-0000A7200000}"/>
    <cellStyle name="Обычный 22 2" xfId="284" xr:uid="{00000000-0005-0000-0000-0000A8200000}"/>
    <cellStyle name="Обычный 22 2 2" xfId="1068" xr:uid="{00000000-0005-0000-0000-0000A9200000}"/>
    <cellStyle name="Обычный 22 2 2 2" xfId="20386" xr:uid="{00000000-0005-0000-0000-0000AA200000}"/>
    <cellStyle name="Обычный 22 2 3" xfId="14110" xr:uid="{00000000-0005-0000-0000-0000AB200000}"/>
    <cellStyle name="Обычный 23" xfId="127" xr:uid="{00000000-0005-0000-0000-0000AC200000}"/>
    <cellStyle name="Обычный 23 2" xfId="285" xr:uid="{00000000-0005-0000-0000-0000AD200000}"/>
    <cellStyle name="Обычный 23 2 2" xfId="1186" xr:uid="{00000000-0005-0000-0000-0000AE200000}"/>
    <cellStyle name="Обычный 23 2 2 2" xfId="5919" xr:uid="{00000000-0005-0000-0000-0000AF200000}"/>
    <cellStyle name="Обычный 23 2 2 3" xfId="21142" xr:uid="{00000000-0005-0000-0000-0000B0200000}"/>
    <cellStyle name="Обычный 23 2 3" xfId="5663" xr:uid="{00000000-0005-0000-0000-0000B1200000}"/>
    <cellStyle name="Обычный 23 2 4" xfId="20387" xr:uid="{00000000-0005-0000-0000-0000B2200000}"/>
    <cellStyle name="Обычный 23 3" xfId="1104" xr:uid="{00000000-0005-0000-0000-0000B3200000}"/>
    <cellStyle name="Обычный 23 3 2" xfId="5785" xr:uid="{00000000-0005-0000-0000-0000B4200000}"/>
    <cellStyle name="Обычный 23 3 3" xfId="21014" xr:uid="{00000000-0005-0000-0000-0000B5200000}"/>
    <cellStyle name="Обычный 23 4" xfId="5561" xr:uid="{00000000-0005-0000-0000-0000B6200000}"/>
    <cellStyle name="Обычный 23 5" xfId="7368" xr:uid="{00000000-0005-0000-0000-0000B7200000}"/>
    <cellStyle name="Обычный 24" xfId="128" xr:uid="{00000000-0005-0000-0000-0000B8200000}"/>
    <cellStyle name="Обычный 25" xfId="129" xr:uid="{00000000-0005-0000-0000-0000B9200000}"/>
    <cellStyle name="Обычный 25 2" xfId="286" xr:uid="{00000000-0005-0000-0000-0000BA200000}"/>
    <cellStyle name="Обычный 25 2 2" xfId="1187" xr:uid="{00000000-0005-0000-0000-0000BB200000}"/>
    <cellStyle name="Обычный 25 2 2 2" xfId="5920" xr:uid="{00000000-0005-0000-0000-0000BC200000}"/>
    <cellStyle name="Обычный 25 2 2 3" xfId="21143" xr:uid="{00000000-0005-0000-0000-0000BD200000}"/>
    <cellStyle name="Обычный 25 2 3" xfId="5664" xr:uid="{00000000-0005-0000-0000-0000BE200000}"/>
    <cellStyle name="Обычный 25 2 4" xfId="20388" xr:uid="{00000000-0005-0000-0000-0000BF200000}"/>
    <cellStyle name="Обычный 25 3" xfId="1105" xr:uid="{00000000-0005-0000-0000-0000C0200000}"/>
    <cellStyle name="Обычный 25 3 2" xfId="5786" xr:uid="{00000000-0005-0000-0000-0000C1200000}"/>
    <cellStyle name="Обычный 25 3 3" xfId="21015" xr:uid="{00000000-0005-0000-0000-0000C2200000}"/>
    <cellStyle name="Обычный 25 4" xfId="5562" xr:uid="{00000000-0005-0000-0000-0000C3200000}"/>
    <cellStyle name="Обычный 25 5" xfId="7369" xr:uid="{00000000-0005-0000-0000-0000C4200000}"/>
    <cellStyle name="Обычный 26" xfId="130" xr:uid="{00000000-0005-0000-0000-0000C5200000}"/>
    <cellStyle name="Обычный 26 2" xfId="287" xr:uid="{00000000-0005-0000-0000-0000C6200000}"/>
    <cellStyle name="Обычный 27" xfId="145" xr:uid="{00000000-0005-0000-0000-0000C7200000}"/>
    <cellStyle name="Обычный 27 2" xfId="298" xr:uid="{00000000-0005-0000-0000-0000C8200000}"/>
    <cellStyle name="Обычный 27 2 2" xfId="1193" xr:uid="{00000000-0005-0000-0000-0000C9200000}"/>
    <cellStyle name="Обычный 27 2 2 2" xfId="5931" xr:uid="{00000000-0005-0000-0000-0000CA200000}"/>
    <cellStyle name="Обычный 27 2 2 3" xfId="21154" xr:uid="{00000000-0005-0000-0000-0000CB200000}"/>
    <cellStyle name="Обычный 27 2 3" xfId="5675" xr:uid="{00000000-0005-0000-0000-0000CC200000}"/>
    <cellStyle name="Обычный 27 2 4" xfId="20395" xr:uid="{00000000-0005-0000-0000-0000CD200000}"/>
    <cellStyle name="Обычный 27 3" xfId="1110" xr:uid="{00000000-0005-0000-0000-0000CE200000}"/>
    <cellStyle name="Обычный 27 3 2" xfId="5797" xr:uid="{00000000-0005-0000-0000-0000CF200000}"/>
    <cellStyle name="Обычный 27 3 3" xfId="21021" xr:uid="{00000000-0005-0000-0000-0000D0200000}"/>
    <cellStyle name="Обычный 27 4" xfId="5573" xr:uid="{00000000-0005-0000-0000-0000D1200000}"/>
    <cellStyle name="Обычный 27 5" xfId="7375" xr:uid="{00000000-0005-0000-0000-0000D2200000}"/>
    <cellStyle name="Обычный 28" xfId="146" xr:uid="{00000000-0005-0000-0000-0000D3200000}"/>
    <cellStyle name="Обычный 29" xfId="147" xr:uid="{00000000-0005-0000-0000-0000D4200000}"/>
    <cellStyle name="Обычный 29 2" xfId="299" xr:uid="{00000000-0005-0000-0000-0000D5200000}"/>
    <cellStyle name="Обычный 3" xfId="61" xr:uid="{00000000-0005-0000-0000-0000D6200000}"/>
    <cellStyle name="Обычный 3 10" xfId="7769" xr:uid="{00000000-0005-0000-0000-0000D7200000}"/>
    <cellStyle name="Обычный 3 2" xfId="119" xr:uid="{00000000-0005-0000-0000-0000D8200000}"/>
    <cellStyle name="Обычный 3 2 2" xfId="139" xr:uid="{00000000-0005-0000-0000-0000D9200000}"/>
    <cellStyle name="Обычный 3 2 3" xfId="7365" xr:uid="{00000000-0005-0000-0000-0000DA200000}"/>
    <cellStyle name="Обычный 3 3" xfId="136" xr:uid="{00000000-0005-0000-0000-0000DB200000}"/>
    <cellStyle name="Обычный 3 3 2" xfId="168" xr:uid="{00000000-0005-0000-0000-0000DC200000}"/>
    <cellStyle name="Обычный 3 3 2 2" xfId="317" xr:uid="{00000000-0005-0000-0000-0000DD200000}"/>
    <cellStyle name="Обычный 3 3 2 2 2" xfId="1205" xr:uid="{00000000-0005-0000-0000-0000DE200000}"/>
    <cellStyle name="Обычный 3 3 2 2 2 2" xfId="5948" xr:uid="{00000000-0005-0000-0000-0000DF200000}"/>
    <cellStyle name="Обычный 3 3 2 2 2 3" xfId="21171" xr:uid="{00000000-0005-0000-0000-0000E0200000}"/>
    <cellStyle name="Обычный 3 3 2 2 3" xfId="5692" xr:uid="{00000000-0005-0000-0000-0000E1200000}"/>
    <cellStyle name="Обычный 3 3 2 2 4" xfId="20410" xr:uid="{00000000-0005-0000-0000-0000E2200000}"/>
    <cellStyle name="Обычный 3 3 2 3" xfId="1121" xr:uid="{00000000-0005-0000-0000-0000E3200000}"/>
    <cellStyle name="Обычный 3 3 2 3 2" xfId="5813" xr:uid="{00000000-0005-0000-0000-0000E4200000}"/>
    <cellStyle name="Обычный 3 3 2 3 3" xfId="21037" xr:uid="{00000000-0005-0000-0000-0000E5200000}"/>
    <cellStyle name="Обычный 3 3 2 4" xfId="5590" xr:uid="{00000000-0005-0000-0000-0000E6200000}"/>
    <cellStyle name="Обычный 3 3 2 5" xfId="7257" xr:uid="{00000000-0005-0000-0000-0000E7200000}"/>
    <cellStyle name="Обычный 3 3 3" xfId="185" xr:uid="{00000000-0005-0000-0000-0000E8200000}"/>
    <cellStyle name="Обычный 3 3 3 2" xfId="333" xr:uid="{00000000-0005-0000-0000-0000E9200000}"/>
    <cellStyle name="Обычный 3 3 3 2 2" xfId="1216" xr:uid="{00000000-0005-0000-0000-0000EA200000}"/>
    <cellStyle name="Обычный 3 3 3 2 2 2" xfId="5964" xr:uid="{00000000-0005-0000-0000-0000EB200000}"/>
    <cellStyle name="Обычный 3 3 3 2 2 3" xfId="21184" xr:uid="{00000000-0005-0000-0000-0000EC200000}"/>
    <cellStyle name="Обычный 3 3 3 2 3" xfId="5708" xr:uid="{00000000-0005-0000-0000-0000ED200000}"/>
    <cellStyle name="Обычный 3 3 3 2 4" xfId="20424" xr:uid="{00000000-0005-0000-0000-0000EE200000}"/>
    <cellStyle name="Обычный 3 3 3 3" xfId="1131" xr:uid="{00000000-0005-0000-0000-0000EF200000}"/>
    <cellStyle name="Обычный 3 3 3 3 2" xfId="5828" xr:uid="{00000000-0005-0000-0000-0000F0200000}"/>
    <cellStyle name="Обычный 3 3 3 3 3" xfId="21052" xr:uid="{00000000-0005-0000-0000-0000F1200000}"/>
    <cellStyle name="Обычный 3 3 3 4" xfId="5605" xr:uid="{00000000-0005-0000-0000-0000F2200000}"/>
    <cellStyle name="Обычный 3 3 3 5" xfId="7400" xr:uid="{00000000-0005-0000-0000-0000F3200000}"/>
    <cellStyle name="Обычный 3 3 4" xfId="205" xr:uid="{00000000-0005-0000-0000-0000F4200000}"/>
    <cellStyle name="Обычный 3 3 4 2" xfId="353" xr:uid="{00000000-0005-0000-0000-0000F5200000}"/>
    <cellStyle name="Обычный 3 3 4 2 2" xfId="1226" xr:uid="{00000000-0005-0000-0000-0000F6200000}"/>
    <cellStyle name="Обычный 3 3 4 2 2 2" xfId="5982" xr:uid="{00000000-0005-0000-0000-0000F7200000}"/>
    <cellStyle name="Обычный 3 3 4 2 2 3" xfId="21201" xr:uid="{00000000-0005-0000-0000-0000F8200000}"/>
    <cellStyle name="Обычный 3 3 4 2 3" xfId="5726" xr:uid="{00000000-0005-0000-0000-0000F9200000}"/>
    <cellStyle name="Обычный 3 3 4 2 4" xfId="20442" xr:uid="{00000000-0005-0000-0000-0000FA200000}"/>
    <cellStyle name="Обычный 3 3 4 3" xfId="1141" xr:uid="{00000000-0005-0000-0000-0000FB200000}"/>
    <cellStyle name="Обычный 3 3 4 3 2" xfId="5846" xr:uid="{00000000-0005-0000-0000-0000FC200000}"/>
    <cellStyle name="Обычный 3 3 4 3 3" xfId="21070" xr:uid="{00000000-0005-0000-0000-0000FD200000}"/>
    <cellStyle name="Обычный 3 3 4 4" xfId="5623" xr:uid="{00000000-0005-0000-0000-0000FE200000}"/>
    <cellStyle name="Обычный 3 3 4 5" xfId="7418" xr:uid="{00000000-0005-0000-0000-0000FF200000}"/>
    <cellStyle name="Обычный 3 3 5" xfId="293" xr:uid="{00000000-0005-0000-0000-000000210000}"/>
    <cellStyle name="Обычный 3 3 5 2" xfId="1188" xr:uid="{00000000-0005-0000-0000-000001210000}"/>
    <cellStyle name="Обычный 3 3 5 2 2" xfId="5926" xr:uid="{00000000-0005-0000-0000-000002210000}"/>
    <cellStyle name="Обычный 3 3 5 2 3" xfId="21149" xr:uid="{00000000-0005-0000-0000-000003210000}"/>
    <cellStyle name="Обычный 3 3 5 3" xfId="5670" xr:uid="{00000000-0005-0000-0000-000004210000}"/>
    <cellStyle name="Обычный 3 3 5 4" xfId="7454" xr:uid="{00000000-0005-0000-0000-000005210000}"/>
    <cellStyle name="Обычный 3 3 6" xfId="933" xr:uid="{00000000-0005-0000-0000-000006210000}"/>
    <cellStyle name="Обычный 3 3 6 2" xfId="5792" xr:uid="{00000000-0005-0000-0000-000007210000}"/>
    <cellStyle name="Обычный 3 3 6 3" xfId="7469" xr:uid="{00000000-0005-0000-0000-000008210000}"/>
    <cellStyle name="Обычный 3 3 7" xfId="5568" xr:uid="{00000000-0005-0000-0000-000009210000}"/>
    <cellStyle name="Обычный 3 3 8" xfId="7242" xr:uid="{00000000-0005-0000-0000-00000A210000}"/>
    <cellStyle name="Обычный 3 4" xfId="149" xr:uid="{00000000-0005-0000-0000-00000B210000}"/>
    <cellStyle name="Обычный 3 4 2" xfId="166" xr:uid="{00000000-0005-0000-0000-00000C210000}"/>
    <cellStyle name="Обычный 3 4 3" xfId="301" xr:uid="{00000000-0005-0000-0000-00000D210000}"/>
    <cellStyle name="Обычный 3 4 3 2" xfId="1195" xr:uid="{00000000-0005-0000-0000-00000E210000}"/>
    <cellStyle name="Обычный 3 4 3 2 2" xfId="5933" xr:uid="{00000000-0005-0000-0000-00000F210000}"/>
    <cellStyle name="Обычный 3 4 3 2 3" xfId="21156" xr:uid="{00000000-0005-0000-0000-000010210000}"/>
    <cellStyle name="Обычный 3 4 3 3" xfId="5677" xr:uid="{00000000-0005-0000-0000-000011210000}"/>
    <cellStyle name="Обычный 3 4 3 4" xfId="7377" xr:uid="{00000000-0005-0000-0000-000012210000}"/>
    <cellStyle name="Обычный 3 4 4" xfId="1112" xr:uid="{00000000-0005-0000-0000-000013210000}"/>
    <cellStyle name="Обычный 3 4 4 2" xfId="5799" xr:uid="{00000000-0005-0000-0000-000014210000}"/>
    <cellStyle name="Обычный 3 4 4 3" xfId="21023" xr:uid="{00000000-0005-0000-0000-000015210000}"/>
    <cellStyle name="Обычный 3 4 5" xfId="5575" xr:uid="{00000000-0005-0000-0000-000016210000}"/>
    <cellStyle name="Обычный 3 5" xfId="156" xr:uid="{00000000-0005-0000-0000-000017210000}"/>
    <cellStyle name="Обычный 3 5 2" xfId="307" xr:uid="{00000000-0005-0000-0000-000018210000}"/>
    <cellStyle name="Обычный 3 5 2 2" xfId="1200" xr:uid="{00000000-0005-0000-0000-000019210000}"/>
    <cellStyle name="Обычный 3 5 2 2 2" xfId="5938" xr:uid="{00000000-0005-0000-0000-00001A210000}"/>
    <cellStyle name="Обычный 3 5 2 2 3" xfId="21161" xr:uid="{00000000-0005-0000-0000-00001B210000}"/>
    <cellStyle name="Обычный 3 5 2 3" xfId="5682" xr:uid="{00000000-0005-0000-0000-00001C210000}"/>
    <cellStyle name="Обычный 3 5 2 4" xfId="20400" xr:uid="{00000000-0005-0000-0000-00001D210000}"/>
    <cellStyle name="Обычный 3 5 3" xfId="1116" xr:uid="{00000000-0005-0000-0000-00001E210000}"/>
    <cellStyle name="Обычный 3 5 3 2" xfId="5803" xr:uid="{00000000-0005-0000-0000-00001F210000}"/>
    <cellStyle name="Обычный 3 5 3 3" xfId="21027" xr:uid="{00000000-0005-0000-0000-000020210000}"/>
    <cellStyle name="Обычный 3 5 4" xfId="5580" xr:uid="{00000000-0005-0000-0000-000021210000}"/>
    <cellStyle name="Обычный 3 5 5" xfId="7247" xr:uid="{00000000-0005-0000-0000-000022210000}"/>
    <cellStyle name="Обычный 3 6" xfId="175" xr:uid="{00000000-0005-0000-0000-000023210000}"/>
    <cellStyle name="Обычный 3 6 2" xfId="323" xr:uid="{00000000-0005-0000-0000-000024210000}"/>
    <cellStyle name="Обычный 3 6 2 2" xfId="1211" xr:uid="{00000000-0005-0000-0000-000025210000}"/>
    <cellStyle name="Обычный 3 6 2 2 2" xfId="5954" xr:uid="{00000000-0005-0000-0000-000026210000}"/>
    <cellStyle name="Обычный 3 6 2 2 3" xfId="13999" xr:uid="{00000000-0005-0000-0000-000027210000}"/>
    <cellStyle name="Обычный 3 6 2 3" xfId="5698" xr:uid="{00000000-0005-0000-0000-000028210000}"/>
    <cellStyle name="Обычный 3 6 2 4" xfId="7770" xr:uid="{00000000-0005-0000-0000-000029210000}"/>
    <cellStyle name="Обычный 3 6 3" xfId="1126" xr:uid="{00000000-0005-0000-0000-00002A210000}"/>
    <cellStyle name="Обычный 3 6 3 2" xfId="5818" xr:uid="{00000000-0005-0000-0000-00002B210000}"/>
    <cellStyle name="Обычный 3 6 3 3" xfId="21042" xr:uid="{00000000-0005-0000-0000-00002C210000}"/>
    <cellStyle name="Обычный 3 6 4" xfId="5595" xr:uid="{00000000-0005-0000-0000-00002D210000}"/>
    <cellStyle name="Обычный 3 6 5" xfId="7390" xr:uid="{00000000-0005-0000-0000-00002E210000}"/>
    <cellStyle name="Обычный 3 7" xfId="197" xr:uid="{00000000-0005-0000-0000-00002F210000}"/>
    <cellStyle name="Обычный 3 7 2" xfId="345" xr:uid="{00000000-0005-0000-0000-000030210000}"/>
    <cellStyle name="Обычный 3 7 2 2" xfId="1221" xr:uid="{00000000-0005-0000-0000-000031210000}"/>
    <cellStyle name="Обычный 3 7 2 2 2" xfId="5974" xr:uid="{00000000-0005-0000-0000-000032210000}"/>
    <cellStyle name="Обычный 3 7 2 2 3" xfId="21194" xr:uid="{00000000-0005-0000-0000-000033210000}"/>
    <cellStyle name="Обычный 3 7 2 3" xfId="5718" xr:uid="{00000000-0005-0000-0000-000034210000}"/>
    <cellStyle name="Обычный 3 7 2 4" xfId="20434" xr:uid="{00000000-0005-0000-0000-000035210000}"/>
    <cellStyle name="Обычный 3 7 3" xfId="1136" xr:uid="{00000000-0005-0000-0000-000036210000}"/>
    <cellStyle name="Обычный 3 7 3 2" xfId="5838" xr:uid="{00000000-0005-0000-0000-000037210000}"/>
    <cellStyle name="Обычный 3 7 3 3" xfId="21062" xr:uid="{00000000-0005-0000-0000-000038210000}"/>
    <cellStyle name="Обычный 3 7 4" xfId="5615" xr:uid="{00000000-0005-0000-0000-000039210000}"/>
    <cellStyle name="Обычный 3 7 5" xfId="7410" xr:uid="{00000000-0005-0000-0000-00003A210000}"/>
    <cellStyle name="Обычный 3 8" xfId="916" xr:uid="{00000000-0005-0000-0000-00003B210000}"/>
    <cellStyle name="Обычный 3 8 2" xfId="6491" xr:uid="{00000000-0005-0000-0000-00003C210000}"/>
    <cellStyle name="Обычный 3 8 3" xfId="7446" xr:uid="{00000000-0005-0000-0000-00003D210000}"/>
    <cellStyle name="Обычный 3 9" xfId="923" xr:uid="{00000000-0005-0000-0000-00003E210000}"/>
    <cellStyle name="Обычный 3 9 2" xfId="6555" xr:uid="{00000000-0005-0000-0000-00003F210000}"/>
    <cellStyle name="Обычный 3 9 3" xfId="7460" xr:uid="{00000000-0005-0000-0000-000040210000}"/>
    <cellStyle name="Обычный 30" xfId="148" xr:uid="{00000000-0005-0000-0000-000041210000}"/>
    <cellStyle name="Обычный 30 2" xfId="300" xr:uid="{00000000-0005-0000-0000-000042210000}"/>
    <cellStyle name="Обычный 30 2 2" xfId="1194" xr:uid="{00000000-0005-0000-0000-000043210000}"/>
    <cellStyle name="Обычный 30 2 2 2" xfId="5932" xr:uid="{00000000-0005-0000-0000-000044210000}"/>
    <cellStyle name="Обычный 30 2 2 3" xfId="21155" xr:uid="{00000000-0005-0000-0000-000045210000}"/>
    <cellStyle name="Обычный 30 2 3" xfId="5676" xr:uid="{00000000-0005-0000-0000-000046210000}"/>
    <cellStyle name="Обычный 30 2 4" xfId="20396" xr:uid="{00000000-0005-0000-0000-000047210000}"/>
    <cellStyle name="Обычный 30 3" xfId="1111" xr:uid="{00000000-0005-0000-0000-000048210000}"/>
    <cellStyle name="Обычный 30 3 2" xfId="5798" xr:uid="{00000000-0005-0000-0000-000049210000}"/>
    <cellStyle name="Обычный 30 3 3" xfId="21022" xr:uid="{00000000-0005-0000-0000-00004A210000}"/>
    <cellStyle name="Обычный 30 4" xfId="5574" xr:uid="{00000000-0005-0000-0000-00004B210000}"/>
    <cellStyle name="Обычный 30 5" xfId="7376" xr:uid="{00000000-0005-0000-0000-00004C210000}"/>
    <cellStyle name="Обычный 31" xfId="155" xr:uid="{00000000-0005-0000-0000-00004D210000}"/>
    <cellStyle name="Обычный 31 2" xfId="306" xr:uid="{00000000-0005-0000-0000-00004E210000}"/>
    <cellStyle name="Обычный 32" xfId="195" xr:uid="{00000000-0005-0000-0000-00004F210000}"/>
    <cellStyle name="Обычный 32 2" xfId="343" xr:uid="{00000000-0005-0000-0000-000050210000}"/>
    <cellStyle name="Обычный 33" xfId="196" xr:uid="{00000000-0005-0000-0000-000051210000}"/>
    <cellStyle name="Обычный 33 2" xfId="344" xr:uid="{00000000-0005-0000-0000-000052210000}"/>
    <cellStyle name="Обычный 34" xfId="210" xr:uid="{00000000-0005-0000-0000-000053210000}"/>
    <cellStyle name="Обычный 34 10" xfId="39912" xr:uid="{97A867D8-03FB-480E-8333-5D987C0B6912}"/>
    <cellStyle name="Обычный 34 2" xfId="893" xr:uid="{00000000-0005-0000-0000-000054210000}"/>
    <cellStyle name="Обычный 34 2 2" xfId="20319" xr:uid="{00000000-0005-0000-0000-000055210000}"/>
    <cellStyle name="Обычный 34 2 3" xfId="7196" xr:uid="{00000000-0005-0000-0000-000056210000}"/>
    <cellStyle name="Обычный 34 3" xfId="7423" xr:uid="{00000000-0005-0000-0000-000057210000}"/>
    <cellStyle name="Обычный 35" xfId="5" xr:uid="{00000000-0005-0000-0000-000058210000}"/>
    <cellStyle name="Обычный 35 2" xfId="914" xr:uid="{00000000-0005-0000-0000-000059210000}"/>
    <cellStyle name="Обычный 35 2 2" xfId="20995" xr:uid="{00000000-0005-0000-0000-00005A210000}"/>
    <cellStyle name="Обычный 35 2 3" xfId="7197" xr:uid="{00000000-0005-0000-0000-00005B210000}"/>
    <cellStyle name="Обычный 35 3" xfId="7444" xr:uid="{00000000-0005-0000-0000-00005C210000}"/>
    <cellStyle name="Обычный 36" xfId="915" xr:uid="{00000000-0005-0000-0000-00005D210000}"/>
    <cellStyle name="Обычный 36 2" xfId="1076" xr:uid="{00000000-0005-0000-0000-00005E210000}"/>
    <cellStyle name="Обычный 36 2 2" xfId="20992" xr:uid="{00000000-0005-0000-0000-00005F210000}"/>
    <cellStyle name="Обычный 36 3" xfId="7445" xr:uid="{00000000-0005-0000-0000-000060210000}"/>
    <cellStyle name="Обычный 36 4" xfId="5414" xr:uid="{00000000-0005-0000-0000-000061210000}"/>
    <cellStyle name="Обычный 37" xfId="969" xr:uid="{00000000-0005-0000-0000-000062210000}"/>
    <cellStyle name="Обычный 37 2" xfId="1041" xr:uid="{00000000-0005-0000-0000-000063210000}"/>
    <cellStyle name="Обычный 37 2 2" xfId="14087" xr:uid="{00000000-0005-0000-0000-000064210000}"/>
    <cellStyle name="Обычный 37 2 3" xfId="6427" xr:uid="{00000000-0005-0000-0000-000065210000}"/>
    <cellStyle name="Обычный 37 3" xfId="1671" xr:uid="{00000000-0005-0000-0000-000066210000}"/>
    <cellStyle name="Обычный 37 4" xfId="7505" xr:uid="{00000000-0005-0000-0000-000067210000}"/>
    <cellStyle name="Обычный 37 5" xfId="23566" xr:uid="{DF3BBB1A-AFEE-457C-AFFC-F575810D51F6}"/>
    <cellStyle name="Обычный 38" xfId="2303" xr:uid="{00000000-0005-0000-0000-000068210000}"/>
    <cellStyle name="Обычный 38 2" xfId="6448" xr:uid="{00000000-0005-0000-0000-000069210000}"/>
    <cellStyle name="Обычный 38 3" xfId="22388" xr:uid="{00000000-0005-0000-0000-00006A210000}"/>
    <cellStyle name="Обычный 38 4" xfId="23567" xr:uid="{D024EFAC-BDA8-4B35-B8F7-4D1DFA766E9A}"/>
    <cellStyle name="Обычный 39" xfId="7198" xr:uid="{00000000-0005-0000-0000-00006B210000}"/>
    <cellStyle name="Обычный 39 2" xfId="39909" xr:uid="{25715326-1845-4A64-9D5A-56C3355025DF}"/>
    <cellStyle name="Обычный 4" xfId="62" xr:uid="{00000000-0005-0000-0000-00006C210000}"/>
    <cellStyle name="Обычный 4 2" xfId="121" xr:uid="{00000000-0005-0000-0000-00006D210000}"/>
    <cellStyle name="Обычный 4 2 2" xfId="171" xr:uid="{00000000-0005-0000-0000-00006E210000}"/>
    <cellStyle name="Обычный 4 2 3" xfId="7366" xr:uid="{00000000-0005-0000-0000-00006F210000}"/>
    <cellStyle name="Обычный 4 3" xfId="167" xr:uid="{00000000-0005-0000-0000-000070210000}"/>
    <cellStyle name="Обычный 4 4" xfId="5407" xr:uid="{00000000-0005-0000-0000-000071210000}"/>
    <cellStyle name="Обычный 4 4 2" xfId="6512" xr:uid="{00000000-0005-0000-0000-000072210000}"/>
    <cellStyle name="Обычный 4 4 2 2" xfId="23459" xr:uid="{00000000-0005-0000-0000-000073210000}"/>
    <cellStyle name="Обычный 4 4 3" xfId="7772" xr:uid="{00000000-0005-0000-0000-000074210000}"/>
    <cellStyle name="Обычный 4 5" xfId="5504" xr:uid="{00000000-0005-0000-0000-000075210000}"/>
    <cellStyle name="Обычный 4 5 2" xfId="6576" xr:uid="{00000000-0005-0000-0000-000076210000}"/>
    <cellStyle name="Обычный 4 5 2 2" xfId="23513" xr:uid="{00000000-0005-0000-0000-000077210000}"/>
    <cellStyle name="Обычный 4 5 3" xfId="7771" xr:uid="{00000000-0005-0000-0000-000078210000}"/>
    <cellStyle name="Обычный 40" xfId="39910" xr:uid="{8185BD91-ED13-453B-B2D1-26F25DC66166}"/>
    <cellStyle name="Обычный 40 2" xfId="39915" xr:uid="{3D406CB9-6B44-4A03-AF20-A421B41024BB}"/>
    <cellStyle name="Обычный 41" xfId="39926" xr:uid="{F5062370-FBFF-41A4-987B-CADAF95F80B2}"/>
    <cellStyle name="Обычный 41 2" xfId="39911" xr:uid="{280576EB-E801-495A-A398-ABBC164BC59C}"/>
    <cellStyle name="Обычный 42 7" xfId="39913" xr:uid="{E879A417-B9A6-4242-A22F-3ED7513369D2}"/>
    <cellStyle name="Обычный 43 9" xfId="39914" xr:uid="{12FAAF6C-A465-414C-BCE4-768140DB2AE9}"/>
    <cellStyle name="Обычный 44 8" xfId="39916" xr:uid="{0E0136AC-FB44-4FE5-AB8F-8C942B323A66}"/>
    <cellStyle name="Обычный 45" xfId="39917" xr:uid="{3608ABFA-C259-4CC0-9B75-EFE6414DA1C2}"/>
    <cellStyle name="Обычный 45 7" xfId="39918" xr:uid="{7E141D39-2AD3-410C-96F6-C62009807F04}"/>
    <cellStyle name="Обычный 46" xfId="39919" xr:uid="{E0D14712-1843-4B5B-BACB-74E2C42B8111}"/>
    <cellStyle name="Обычный 46 6" xfId="39920" xr:uid="{55C3C0DD-8D01-44BA-B71C-031798E7E628}"/>
    <cellStyle name="Обычный 47 6" xfId="39921" xr:uid="{517A9ABD-6912-4EC6-AB4D-E2328AD2F187}"/>
    <cellStyle name="Обычный 48 5" xfId="39922" xr:uid="{AF1E3EB4-828F-4645-AC5D-16CB2EFF7710}"/>
    <cellStyle name="Обычный 49 3" xfId="39925" xr:uid="{E48905F1-62EB-448C-A2B6-7A858DF8B26B}"/>
    <cellStyle name="Обычный 5" xfId="63" xr:uid="{00000000-0005-0000-0000-000079210000}"/>
    <cellStyle name="Обычный 5 2" xfId="122" xr:uid="{00000000-0005-0000-0000-00007A210000}"/>
    <cellStyle name="Обычный 5 3" xfId="253" xr:uid="{00000000-0005-0000-0000-00007B210000}"/>
    <cellStyle name="Обычный 5 3 2" xfId="1159" xr:uid="{00000000-0005-0000-0000-00007C210000}"/>
    <cellStyle name="Обычный 5 3 2 2" xfId="5892" xr:uid="{00000000-0005-0000-0000-00007D210000}"/>
    <cellStyle name="Обычный 5 3 2 3" xfId="21116" xr:uid="{00000000-0005-0000-0000-00007E210000}"/>
    <cellStyle name="Обычный 5 3 3" xfId="5634" xr:uid="{00000000-0005-0000-0000-00007F210000}"/>
    <cellStyle name="Обычный 5 3 4" xfId="7313" xr:uid="{00000000-0005-0000-0000-000080210000}"/>
    <cellStyle name="Обычный 5 4" xfId="1080" xr:uid="{00000000-0005-0000-0000-000081210000}"/>
    <cellStyle name="Обычный 5 4 2" xfId="5760" xr:uid="{00000000-0005-0000-0000-000082210000}"/>
    <cellStyle name="Обычный 5 4 2 2" xfId="21004" xr:uid="{00000000-0005-0000-0000-000083210000}"/>
    <cellStyle name="Обычный 5 4 3" xfId="7773" xr:uid="{00000000-0005-0000-0000-000084210000}"/>
    <cellStyle name="Обычный 5 5" xfId="5535" xr:uid="{00000000-0005-0000-0000-000085210000}"/>
    <cellStyle name="Обычный 50 3" xfId="39927" xr:uid="{2572B390-1178-45F5-8DE9-C60F07F16B50}"/>
    <cellStyle name="Обычный 51 3" xfId="39928" xr:uid="{DFEC8342-E16C-4E7F-9EE8-B322DA940959}"/>
    <cellStyle name="Обычный 52 3" xfId="39929" xr:uid="{AA6FADC9-642D-4D9E-8ABD-4C7BA5C660FD}"/>
    <cellStyle name="Обычный 6" xfId="64" xr:uid="{00000000-0005-0000-0000-000086210000}"/>
    <cellStyle name="Обычный 6 2" xfId="124" xr:uid="{00000000-0005-0000-0000-000087210000}"/>
    <cellStyle name="Обычный 6 3" xfId="254" xr:uid="{00000000-0005-0000-0000-000088210000}"/>
    <cellStyle name="Обычный 6 3 2" xfId="1160" xr:uid="{00000000-0005-0000-0000-000089210000}"/>
    <cellStyle name="Обычный 6 3 2 2" xfId="5893" xr:uid="{00000000-0005-0000-0000-00008A210000}"/>
    <cellStyle name="Обычный 6 3 2 2 2" xfId="21117" xr:uid="{00000000-0005-0000-0000-00008B210000}"/>
    <cellStyle name="Обычный 6 3 2 3" xfId="7775" xr:uid="{00000000-0005-0000-0000-00008C210000}"/>
    <cellStyle name="Обычный 6 3 3" xfId="5635" xr:uid="{00000000-0005-0000-0000-00008D210000}"/>
    <cellStyle name="Обычный 6 3 4" xfId="7314" xr:uid="{00000000-0005-0000-0000-00008E210000}"/>
    <cellStyle name="Обычный 6 4" xfId="1081" xr:uid="{00000000-0005-0000-0000-00008F210000}"/>
    <cellStyle name="Обычный 6 4 2" xfId="5761" xr:uid="{00000000-0005-0000-0000-000090210000}"/>
    <cellStyle name="Обычный 6 4 2 2" xfId="13979" xr:uid="{00000000-0005-0000-0000-000091210000}"/>
    <cellStyle name="Обычный 6 4 3" xfId="7774" xr:uid="{00000000-0005-0000-0000-000092210000}"/>
    <cellStyle name="Обычный 6 5" xfId="5536" xr:uid="{00000000-0005-0000-0000-000093210000}"/>
    <cellStyle name="Обычный 7" xfId="65" xr:uid="{00000000-0005-0000-0000-000094210000}"/>
    <cellStyle name="Обычный 7 2" xfId="140" xr:uid="{00000000-0005-0000-0000-000095210000}"/>
    <cellStyle name="Обычный 7 3" xfId="255" xr:uid="{00000000-0005-0000-0000-000096210000}"/>
    <cellStyle name="Обычный 7 3 2" xfId="1161" xr:uid="{00000000-0005-0000-0000-000097210000}"/>
    <cellStyle name="Обычный 7 3 2 2" xfId="5894" xr:uid="{00000000-0005-0000-0000-000098210000}"/>
    <cellStyle name="Обычный 7 3 2 3" xfId="21118" xr:uid="{00000000-0005-0000-0000-000099210000}"/>
    <cellStyle name="Обычный 7 3 3" xfId="5636" xr:uid="{00000000-0005-0000-0000-00009A210000}"/>
    <cellStyle name="Обычный 7 3 4" xfId="7315" xr:uid="{00000000-0005-0000-0000-00009B210000}"/>
    <cellStyle name="Обычный 7 4" xfId="1082" xr:uid="{00000000-0005-0000-0000-00009C210000}"/>
    <cellStyle name="Обычный 7 4 2" xfId="5762" xr:uid="{00000000-0005-0000-0000-00009D210000}"/>
    <cellStyle name="Обычный 7 4 3" xfId="21005" xr:uid="{00000000-0005-0000-0000-00009E210000}"/>
    <cellStyle name="Обычный 7 5" xfId="5537" xr:uid="{00000000-0005-0000-0000-00009F210000}"/>
    <cellStyle name="Обычный 8" xfId="107" xr:uid="{00000000-0005-0000-0000-0000A0210000}"/>
    <cellStyle name="Обычный 8 10" xfId="7245" xr:uid="{00000000-0005-0000-0000-0000A1210000}"/>
    <cellStyle name="Обычный 8 2" xfId="141" xr:uid="{00000000-0005-0000-0000-0000A2210000}"/>
    <cellStyle name="Обычный 8 2 2" xfId="172" xr:uid="{00000000-0005-0000-0000-0000A3210000}"/>
    <cellStyle name="Обычный 8 2 2 2" xfId="320" xr:uid="{00000000-0005-0000-0000-0000A4210000}"/>
    <cellStyle name="Обычный 8 2 2 2 2" xfId="1208" xr:uid="{00000000-0005-0000-0000-0000A5210000}"/>
    <cellStyle name="Обычный 8 2 2 2 2 2" xfId="5951" xr:uid="{00000000-0005-0000-0000-0000A6210000}"/>
    <cellStyle name="Обычный 8 2 2 2 2 3" xfId="21173" xr:uid="{00000000-0005-0000-0000-0000A7210000}"/>
    <cellStyle name="Обычный 8 2 2 2 3" xfId="5695" xr:uid="{00000000-0005-0000-0000-0000A8210000}"/>
    <cellStyle name="Обычный 8 2 2 2 4" xfId="20412" xr:uid="{00000000-0005-0000-0000-0000A9210000}"/>
    <cellStyle name="Обычный 8 2 2 3" xfId="1124" xr:uid="{00000000-0005-0000-0000-0000AA210000}"/>
    <cellStyle name="Обычный 8 2 2 3 2" xfId="5816" xr:uid="{00000000-0005-0000-0000-0000AB210000}"/>
    <cellStyle name="Обычный 8 2 2 3 3" xfId="21040" xr:uid="{00000000-0005-0000-0000-0000AC210000}"/>
    <cellStyle name="Обычный 8 2 2 4" xfId="5593" xr:uid="{00000000-0005-0000-0000-0000AD210000}"/>
    <cellStyle name="Обычный 8 2 2 5" xfId="7388" xr:uid="{00000000-0005-0000-0000-0000AE210000}"/>
    <cellStyle name="Обычный 8 2 3" xfId="188" xr:uid="{00000000-0005-0000-0000-0000AF210000}"/>
    <cellStyle name="Обычный 8 2 3 2" xfId="336" xr:uid="{00000000-0005-0000-0000-0000B0210000}"/>
    <cellStyle name="Обычный 8 2 3 2 2" xfId="1219" xr:uid="{00000000-0005-0000-0000-0000B1210000}"/>
    <cellStyle name="Обычный 8 2 3 2 2 2" xfId="5967" xr:uid="{00000000-0005-0000-0000-0000B2210000}"/>
    <cellStyle name="Обычный 8 2 3 2 2 3" xfId="21187" xr:uid="{00000000-0005-0000-0000-0000B3210000}"/>
    <cellStyle name="Обычный 8 2 3 2 3" xfId="5711" xr:uid="{00000000-0005-0000-0000-0000B4210000}"/>
    <cellStyle name="Обычный 8 2 3 2 4" xfId="20427" xr:uid="{00000000-0005-0000-0000-0000B5210000}"/>
    <cellStyle name="Обычный 8 2 3 3" xfId="1134" xr:uid="{00000000-0005-0000-0000-0000B6210000}"/>
    <cellStyle name="Обычный 8 2 3 3 2" xfId="5831" xr:uid="{00000000-0005-0000-0000-0000B7210000}"/>
    <cellStyle name="Обычный 8 2 3 3 3" xfId="21055" xr:uid="{00000000-0005-0000-0000-0000B8210000}"/>
    <cellStyle name="Обычный 8 2 3 4" xfId="5608" xr:uid="{00000000-0005-0000-0000-0000B9210000}"/>
    <cellStyle name="Обычный 8 2 3 5" xfId="7403" xr:uid="{00000000-0005-0000-0000-0000BA210000}"/>
    <cellStyle name="Обычный 8 2 4" xfId="208" xr:uid="{00000000-0005-0000-0000-0000BB210000}"/>
    <cellStyle name="Обычный 8 2 4 2" xfId="356" xr:uid="{00000000-0005-0000-0000-0000BC210000}"/>
    <cellStyle name="Обычный 8 2 4 2 2" xfId="1229" xr:uid="{00000000-0005-0000-0000-0000BD210000}"/>
    <cellStyle name="Обычный 8 2 4 2 2 2" xfId="5985" xr:uid="{00000000-0005-0000-0000-0000BE210000}"/>
    <cellStyle name="Обычный 8 2 4 2 2 3" xfId="21204" xr:uid="{00000000-0005-0000-0000-0000BF210000}"/>
    <cellStyle name="Обычный 8 2 4 2 3" xfId="5729" xr:uid="{00000000-0005-0000-0000-0000C0210000}"/>
    <cellStyle name="Обычный 8 2 4 2 4" xfId="20445" xr:uid="{00000000-0005-0000-0000-0000C1210000}"/>
    <cellStyle name="Обычный 8 2 4 3" xfId="1144" xr:uid="{00000000-0005-0000-0000-0000C2210000}"/>
    <cellStyle name="Обычный 8 2 4 3 2" xfId="5849" xr:uid="{00000000-0005-0000-0000-0000C3210000}"/>
    <cellStyle name="Обычный 8 2 4 3 3" xfId="21073" xr:uid="{00000000-0005-0000-0000-0000C4210000}"/>
    <cellStyle name="Обычный 8 2 4 4" xfId="5626" xr:uid="{00000000-0005-0000-0000-0000C5210000}"/>
    <cellStyle name="Обычный 8 2 4 5" xfId="7421" xr:uid="{00000000-0005-0000-0000-0000C6210000}"/>
    <cellStyle name="Обычный 8 2 5" xfId="296" xr:uid="{00000000-0005-0000-0000-0000C7210000}"/>
    <cellStyle name="Обычный 8 2 5 2" xfId="1191" xr:uid="{00000000-0005-0000-0000-0000C8210000}"/>
    <cellStyle name="Обычный 8 2 5 2 2" xfId="5929" xr:uid="{00000000-0005-0000-0000-0000C9210000}"/>
    <cellStyle name="Обычный 8 2 5 2 3" xfId="21152" xr:uid="{00000000-0005-0000-0000-0000CA210000}"/>
    <cellStyle name="Обычный 8 2 5 3" xfId="5673" xr:uid="{00000000-0005-0000-0000-0000CB210000}"/>
    <cellStyle name="Обычный 8 2 5 4" xfId="7457" xr:uid="{00000000-0005-0000-0000-0000CC210000}"/>
    <cellStyle name="Обычный 8 2 6" xfId="936" xr:uid="{00000000-0005-0000-0000-0000CD210000}"/>
    <cellStyle name="Обычный 8 2 6 2" xfId="5795" xr:uid="{00000000-0005-0000-0000-0000CE210000}"/>
    <cellStyle name="Обычный 8 2 6 3" xfId="7472" xr:uid="{00000000-0005-0000-0000-0000CF210000}"/>
    <cellStyle name="Обычный 8 2 7" xfId="5571" xr:uid="{00000000-0005-0000-0000-0000D0210000}"/>
    <cellStyle name="Обычный 8 2 8" xfId="7260" xr:uid="{00000000-0005-0000-0000-0000D1210000}"/>
    <cellStyle name="Обычный 8 3" xfId="152" xr:uid="{00000000-0005-0000-0000-0000D2210000}"/>
    <cellStyle name="Обычный 8 3 2" xfId="304" xr:uid="{00000000-0005-0000-0000-0000D3210000}"/>
    <cellStyle name="Обычный 8 3 2 2" xfId="1198" xr:uid="{00000000-0005-0000-0000-0000D4210000}"/>
    <cellStyle name="Обычный 8 3 2 2 2" xfId="5936" xr:uid="{00000000-0005-0000-0000-0000D5210000}"/>
    <cellStyle name="Обычный 8 3 2 2 3" xfId="21159" xr:uid="{00000000-0005-0000-0000-0000D6210000}"/>
    <cellStyle name="Обычный 8 3 2 3" xfId="5680" xr:uid="{00000000-0005-0000-0000-0000D7210000}"/>
    <cellStyle name="Обычный 8 3 2 4" xfId="20398" xr:uid="{00000000-0005-0000-0000-0000D8210000}"/>
    <cellStyle name="Обычный 8 3 3" xfId="1114" xr:uid="{00000000-0005-0000-0000-0000D9210000}"/>
    <cellStyle name="Обычный 8 3 3 2" xfId="5801" xr:uid="{00000000-0005-0000-0000-0000DA210000}"/>
    <cellStyle name="Обычный 8 3 3 3" xfId="21025" xr:uid="{00000000-0005-0000-0000-0000DB210000}"/>
    <cellStyle name="Обычный 8 3 4" xfId="5578" xr:uid="{00000000-0005-0000-0000-0000DC210000}"/>
    <cellStyle name="Обычный 8 3 5" xfId="7250" xr:uid="{00000000-0005-0000-0000-0000DD210000}"/>
    <cellStyle name="Обычный 8 4" xfId="159" xr:uid="{00000000-0005-0000-0000-0000DE210000}"/>
    <cellStyle name="Обычный 8 4 2" xfId="310" xr:uid="{00000000-0005-0000-0000-0000DF210000}"/>
    <cellStyle name="Обычный 8 4 2 2" xfId="1203" xr:uid="{00000000-0005-0000-0000-0000E0210000}"/>
    <cellStyle name="Обычный 8 4 2 2 2" xfId="5941" xr:uid="{00000000-0005-0000-0000-0000E1210000}"/>
    <cellStyle name="Обычный 8 4 2 2 3" xfId="21164" xr:uid="{00000000-0005-0000-0000-0000E2210000}"/>
    <cellStyle name="Обычный 8 4 2 3" xfId="5685" xr:uid="{00000000-0005-0000-0000-0000E3210000}"/>
    <cellStyle name="Обычный 8 4 2 4" xfId="20403" xr:uid="{00000000-0005-0000-0000-0000E4210000}"/>
    <cellStyle name="Обычный 8 4 3" xfId="1119" xr:uid="{00000000-0005-0000-0000-0000E5210000}"/>
    <cellStyle name="Обычный 8 4 3 2" xfId="5806" xr:uid="{00000000-0005-0000-0000-0000E6210000}"/>
    <cellStyle name="Обычный 8 4 3 3" xfId="21030" xr:uid="{00000000-0005-0000-0000-0000E7210000}"/>
    <cellStyle name="Обычный 8 4 4" xfId="5583" xr:uid="{00000000-0005-0000-0000-0000E8210000}"/>
    <cellStyle name="Обычный 8 4 5" xfId="7379" xr:uid="{00000000-0005-0000-0000-0000E9210000}"/>
    <cellStyle name="Обычный 8 5" xfId="178" xr:uid="{00000000-0005-0000-0000-0000EA210000}"/>
    <cellStyle name="Обычный 8 5 2" xfId="326" xr:uid="{00000000-0005-0000-0000-0000EB210000}"/>
    <cellStyle name="Обычный 8 5 2 2" xfId="1214" xr:uid="{00000000-0005-0000-0000-0000EC210000}"/>
    <cellStyle name="Обычный 8 5 2 2 2" xfId="5957" xr:uid="{00000000-0005-0000-0000-0000ED210000}"/>
    <cellStyle name="Обычный 8 5 2 2 3" xfId="21177" xr:uid="{00000000-0005-0000-0000-0000EE210000}"/>
    <cellStyle name="Обычный 8 5 2 3" xfId="5701" xr:uid="{00000000-0005-0000-0000-0000EF210000}"/>
    <cellStyle name="Обычный 8 5 2 4" xfId="20417" xr:uid="{00000000-0005-0000-0000-0000F0210000}"/>
    <cellStyle name="Обычный 8 5 3" xfId="1129" xr:uid="{00000000-0005-0000-0000-0000F1210000}"/>
    <cellStyle name="Обычный 8 5 3 2" xfId="5821" xr:uid="{00000000-0005-0000-0000-0000F2210000}"/>
    <cellStyle name="Обычный 8 5 3 3" xfId="21045" xr:uid="{00000000-0005-0000-0000-0000F3210000}"/>
    <cellStyle name="Обычный 8 5 4" xfId="5598" xr:uid="{00000000-0005-0000-0000-0000F4210000}"/>
    <cellStyle name="Обычный 8 5 5" xfId="7393" xr:uid="{00000000-0005-0000-0000-0000F5210000}"/>
    <cellStyle name="Обычный 8 6" xfId="200" xr:uid="{00000000-0005-0000-0000-0000F6210000}"/>
    <cellStyle name="Обычный 8 6 2" xfId="348" xr:uid="{00000000-0005-0000-0000-0000F7210000}"/>
    <cellStyle name="Обычный 8 6 2 2" xfId="1224" xr:uid="{00000000-0005-0000-0000-0000F8210000}"/>
    <cellStyle name="Обычный 8 6 2 2 2" xfId="5977" xr:uid="{00000000-0005-0000-0000-0000F9210000}"/>
    <cellStyle name="Обычный 8 6 2 2 3" xfId="21196" xr:uid="{00000000-0005-0000-0000-0000FA210000}"/>
    <cellStyle name="Обычный 8 6 2 3" xfId="5721" xr:uid="{00000000-0005-0000-0000-0000FB210000}"/>
    <cellStyle name="Обычный 8 6 2 4" xfId="20437" xr:uid="{00000000-0005-0000-0000-0000FC210000}"/>
    <cellStyle name="Обычный 8 6 3" xfId="1139" xr:uid="{00000000-0005-0000-0000-0000FD210000}"/>
    <cellStyle name="Обычный 8 6 3 2" xfId="5841" xr:uid="{00000000-0005-0000-0000-0000FE210000}"/>
    <cellStyle name="Обычный 8 6 3 3" xfId="21065" xr:uid="{00000000-0005-0000-0000-0000FF210000}"/>
    <cellStyle name="Обычный 8 6 4" xfId="5618" xr:uid="{00000000-0005-0000-0000-000000220000}"/>
    <cellStyle name="Обычный 8 6 5" xfId="7413" xr:uid="{00000000-0005-0000-0000-000001220000}"/>
    <cellStyle name="Обычный 8 7" xfId="271" xr:uid="{00000000-0005-0000-0000-000002220000}"/>
    <cellStyle name="Обычный 8 7 2" xfId="918" xr:uid="{00000000-0005-0000-0000-000003220000}"/>
    <cellStyle name="Обычный 8 7 2 2" xfId="20380" xr:uid="{00000000-0005-0000-0000-000004220000}"/>
    <cellStyle name="Обычный 8 7 3" xfId="7449" xr:uid="{00000000-0005-0000-0000-000005220000}"/>
    <cellStyle name="Обычный 8 8" xfId="926" xr:uid="{00000000-0005-0000-0000-000006220000}"/>
    <cellStyle name="Обычный 8 9" xfId="7357" xr:uid="{00000000-0005-0000-0000-000007220000}"/>
    <cellStyle name="Обычный 9" xfId="108" xr:uid="{00000000-0005-0000-0000-000008220000}"/>
    <cellStyle name="Обычный 9 2" xfId="142" xr:uid="{00000000-0005-0000-0000-000009220000}"/>
    <cellStyle name="Обычный 9 3" xfId="272" xr:uid="{00000000-0005-0000-0000-00000A220000}"/>
    <cellStyle name="Обычный 9 3 2" xfId="1176" xr:uid="{00000000-0005-0000-0000-00000B220000}"/>
    <cellStyle name="Обычный 9 3 2 2" xfId="5910" xr:uid="{00000000-0005-0000-0000-00000C220000}"/>
    <cellStyle name="Обычный 9 3 2 3" xfId="21133" xr:uid="{00000000-0005-0000-0000-00000D220000}"/>
    <cellStyle name="Обычный 9 3 3" xfId="5652" xr:uid="{00000000-0005-0000-0000-00000E220000}"/>
    <cellStyle name="Обычный 9 3 4" xfId="7358" xr:uid="{00000000-0005-0000-0000-00000F220000}"/>
    <cellStyle name="Обычный 9 4" xfId="1096" xr:uid="{00000000-0005-0000-0000-000010220000}"/>
    <cellStyle name="Обычный 9 4 2" xfId="5776" xr:uid="{00000000-0005-0000-0000-000011220000}"/>
    <cellStyle name="Обычный 9 4 3" xfId="21006" xr:uid="{00000000-0005-0000-0000-000012220000}"/>
    <cellStyle name="Обычный 9 5" xfId="5551" xr:uid="{00000000-0005-0000-0000-000013220000}"/>
    <cellStyle name="Обычный_Лист2" xfId="23565" xr:uid="{8EBACAA7-3B83-43B6-8634-D9CF67E5C8C7}"/>
    <cellStyle name="Плохой" xfId="383" builtinId="27" customBuiltin="1"/>
    <cellStyle name="Плохой 2" xfId="101" xr:uid="{00000000-0005-0000-0000-000017220000}"/>
    <cellStyle name="Плохой 2 2" xfId="7351" xr:uid="{00000000-0005-0000-0000-000018220000}"/>
    <cellStyle name="Плохой 2 3" xfId="7236" xr:uid="{00000000-0005-0000-0000-000019220000}"/>
    <cellStyle name="Плохой 3" xfId="51" xr:uid="{00000000-0005-0000-0000-00001A220000}"/>
    <cellStyle name="Пояснение" xfId="392" builtinId="53" customBuiltin="1"/>
    <cellStyle name="Пояснение 2" xfId="102" xr:uid="{00000000-0005-0000-0000-00001C220000}"/>
    <cellStyle name="Пояснение 2 2" xfId="7352" xr:uid="{00000000-0005-0000-0000-00001D220000}"/>
    <cellStyle name="Пояснение 2 3" xfId="7237" xr:uid="{00000000-0005-0000-0000-00001E220000}"/>
    <cellStyle name="Пояснение 3" xfId="52" xr:uid="{00000000-0005-0000-0000-00001F220000}"/>
    <cellStyle name="Примечание" xfId="391" builtinId="10" customBuiltin="1"/>
    <cellStyle name="Примечание 10" xfId="1968" xr:uid="{00000000-0005-0000-0000-000021220000}"/>
    <cellStyle name="Примечание 10 2" xfId="22508" xr:uid="{00000000-0005-0000-0000-000022220000}"/>
    <cellStyle name="Примечание 10 2 2" xfId="39000" xr:uid="{3A543DB0-926B-4F32-B592-9E29043B0D1D}"/>
    <cellStyle name="Примечание 10 3" xfId="5533" xr:uid="{00000000-0005-0000-0000-000023220000}"/>
    <cellStyle name="Примечание 10 4" xfId="23595" xr:uid="{2FB44190-3AF3-4F60-B447-17EDE5DB80BD}"/>
    <cellStyle name="Примечание 11" xfId="2415" xr:uid="{00000000-0005-0000-0000-000024220000}"/>
    <cellStyle name="Примечание 11 2" xfId="5758" xr:uid="{00000000-0005-0000-0000-000025220000}"/>
    <cellStyle name="Примечание 11 3" xfId="23682" xr:uid="{53A34AB4-CB56-47CD-9F91-2A3A699E508D}"/>
    <cellStyle name="Примечание 12" xfId="2998" xr:uid="{00000000-0005-0000-0000-000026220000}"/>
    <cellStyle name="Примечание 12 2" xfId="7262" xr:uid="{00000000-0005-0000-0000-000027220000}"/>
    <cellStyle name="Примечание 13" xfId="3296" xr:uid="{00000000-0005-0000-0000-000028220000}"/>
    <cellStyle name="Примечание 14" xfId="3059" xr:uid="{00000000-0005-0000-0000-000029220000}"/>
    <cellStyle name="Примечание 15" xfId="3504" xr:uid="{00000000-0005-0000-0000-00002A220000}"/>
    <cellStyle name="Примечание 2" xfId="103" xr:uid="{00000000-0005-0000-0000-00002B220000}"/>
    <cellStyle name="Примечание 2 10" xfId="5550" xr:uid="{00000000-0005-0000-0000-00002C220000}"/>
    <cellStyle name="Примечание 2 10 2" xfId="13991" xr:uid="{00000000-0005-0000-0000-00002D220000}"/>
    <cellStyle name="Примечание 2 11" xfId="7256" xr:uid="{00000000-0005-0000-0000-00002E220000}"/>
    <cellStyle name="Примечание 2 11 2" xfId="24832" xr:uid="{A3BDE1E2-DD3D-4522-830B-B2D965B2E674}"/>
    <cellStyle name="Примечание 2 2" xfId="165" xr:uid="{00000000-0005-0000-0000-00002F220000}"/>
    <cellStyle name="Примечание 2 2 10" xfId="3617" xr:uid="{00000000-0005-0000-0000-000030220000}"/>
    <cellStyle name="Примечание 2 2 2" xfId="226" xr:uid="{00000000-0005-0000-0000-000031220000}"/>
    <cellStyle name="Примечание 2 2 2 10" xfId="648" xr:uid="{00000000-0005-0000-0000-000032220000}"/>
    <cellStyle name="Примечание 2 2 2 10 2" xfId="1480" xr:uid="{00000000-0005-0000-0000-000033220000}"/>
    <cellStyle name="Примечание 2 2 2 10 2 2" xfId="21473" xr:uid="{00000000-0005-0000-0000-000034220000}"/>
    <cellStyle name="Примечание 2 2 2 10 2 2 2" xfId="38115" xr:uid="{35A5BF73-7FA2-43ED-BF1C-11F6D048EC5B}"/>
    <cellStyle name="Примечание 2 2 2 10 2 3" xfId="6236" xr:uid="{00000000-0005-0000-0000-000035220000}"/>
    <cellStyle name="Примечание 2 2 2 10 2 4" xfId="24023" xr:uid="{BE74477E-5FB1-4C15-BDDC-55F04FA7EBF5}"/>
    <cellStyle name="Примечание 2 2 2 10 3" xfId="2101" xr:uid="{00000000-0005-0000-0000-000036220000}"/>
    <cellStyle name="Примечание 2 2 2 10 3 2" xfId="22095" xr:uid="{00000000-0005-0000-0000-000037220000}"/>
    <cellStyle name="Примечание 2 2 2 10 3 2 2" xfId="38705" xr:uid="{45932EB0-17B2-40D2-B483-8316D40CD337}"/>
    <cellStyle name="Примечание 2 2 2 10 3 3" xfId="7005" xr:uid="{00000000-0005-0000-0000-000038220000}"/>
    <cellStyle name="Примечание 2 2 2 10 3 4" xfId="24632" xr:uid="{5F358770-F734-40A5-AAF1-FA36CCB1968A}"/>
    <cellStyle name="Примечание 2 2 2 10 4" xfId="2877" xr:uid="{00000000-0005-0000-0000-000039220000}"/>
    <cellStyle name="Примечание 2 2 2 10 4 2" xfId="22782" xr:uid="{00000000-0005-0000-0000-00003A220000}"/>
    <cellStyle name="Примечание 2 2 2 10 4 3" xfId="39249" xr:uid="{F5F847E5-A477-45B7-B528-7A8E69F27B0F}"/>
    <cellStyle name="Примечание 2 2 2 10 5" xfId="3353" xr:uid="{00000000-0005-0000-0000-00003B220000}"/>
    <cellStyle name="Примечание 2 2 2 10 5 2" xfId="20893" xr:uid="{00000000-0005-0000-0000-00003C220000}"/>
    <cellStyle name="Примечание 2 2 2 10 5 3" xfId="37683" xr:uid="{57BBB9DE-4798-46C2-A643-80B61A336C77}"/>
    <cellStyle name="Примечание 2 2 2 10 6" xfId="4208" xr:uid="{00000000-0005-0000-0000-00003D220000}"/>
    <cellStyle name="Примечание 2 2 2 10 7" xfId="4730" xr:uid="{00000000-0005-0000-0000-00003E220000}"/>
    <cellStyle name="Примечание 2 2 2 10 8" xfId="5212" xr:uid="{00000000-0005-0000-0000-00003F220000}"/>
    <cellStyle name="Примечание 2 2 2 11" xfId="947" xr:uid="{00000000-0005-0000-0000-000040220000}"/>
    <cellStyle name="Примечание 2 2 2 11 2" xfId="2108" xr:uid="{00000000-0005-0000-0000-000041220000}"/>
    <cellStyle name="Примечание 2 2 2 11 2 2" xfId="21793" xr:uid="{00000000-0005-0000-0000-000042220000}"/>
    <cellStyle name="Примечание 2 2 2 11 2 2 2" xfId="38403" xr:uid="{4393B174-8ED2-4326-AAFD-A5A28FAE12FC}"/>
    <cellStyle name="Примечание 2 2 2 11 2 3" xfId="5865" xr:uid="{00000000-0005-0000-0000-000043220000}"/>
    <cellStyle name="Примечание 2 2 2 11 2 4" xfId="23721" xr:uid="{6E0E1A2D-FEC3-41A9-B9D4-867BC1254A3C}"/>
    <cellStyle name="Примечание 2 2 2 11 3" xfId="2884" xr:uid="{00000000-0005-0000-0000-000044220000}"/>
    <cellStyle name="Примечание 2 2 2 11 3 2" xfId="22763" xr:uid="{00000000-0005-0000-0000-000045220000}"/>
    <cellStyle name="Примечание 2 2 2 11 3 2 2" xfId="39232" xr:uid="{4E1B7212-6F6E-4F50-B887-429698BA6CF8}"/>
    <cellStyle name="Примечание 2 2 2 11 3 3" xfId="6709" xr:uid="{00000000-0005-0000-0000-000046220000}"/>
    <cellStyle name="Примечание 2 2 2 11 3 4" xfId="24336" xr:uid="{AF379B78-BB66-4F91-828D-9A22CCC57E97}"/>
    <cellStyle name="Примечание 2 2 2 11 4" xfId="3344" xr:uid="{00000000-0005-0000-0000-000047220000}"/>
    <cellStyle name="Примечание 2 2 2 11 4 2" xfId="21089" xr:uid="{00000000-0005-0000-0000-000048220000}"/>
    <cellStyle name="Примечание 2 2 2 11 4 3" xfId="37813" xr:uid="{6BFEF7A1-8B68-4E7A-84A9-A2B10C2CE25F}"/>
    <cellStyle name="Примечание 2 2 2 11 5" xfId="3841" xr:uid="{00000000-0005-0000-0000-000049220000}"/>
    <cellStyle name="Примечание 2 2 2 11 6" xfId="3795" xr:uid="{00000000-0005-0000-0000-00004A220000}"/>
    <cellStyle name="Примечание 2 2 2 11 7" xfId="3986" xr:uid="{00000000-0005-0000-0000-00004B220000}"/>
    <cellStyle name="Примечание 2 2 2 12" xfId="1856" xr:uid="{00000000-0005-0000-0000-00004C220000}"/>
    <cellStyle name="Примечание 2 2 2 12 2" xfId="20958" xr:uid="{00000000-0005-0000-0000-00004D220000}"/>
    <cellStyle name="Примечание 2 2 2 12 2 2" xfId="37735" xr:uid="{F1A804C8-ADCD-4B3E-95E5-F755ABDFB895}"/>
    <cellStyle name="Примечание 2 2 2 12 3" xfId="5691" xr:uid="{00000000-0005-0000-0000-00004E220000}"/>
    <cellStyle name="Примечание 2 2 2 12 4" xfId="23640" xr:uid="{C59AEE36-7694-49D8-AF0A-14AF511151A2}"/>
    <cellStyle name="Примечание 2 2 2 13" xfId="2402" xr:uid="{00000000-0005-0000-0000-00004F220000}"/>
    <cellStyle name="Примечание 2 2 2 13 2" xfId="21715" xr:uid="{00000000-0005-0000-0000-000050220000}"/>
    <cellStyle name="Примечание 2 2 2 13 2 2" xfId="38325" xr:uid="{9F811B41-E471-4BF1-AF18-6CA749B448AD}"/>
    <cellStyle name="Примечание 2 2 2 13 3" xfId="6633" xr:uid="{00000000-0005-0000-0000-000051220000}"/>
    <cellStyle name="Примечание 2 2 2 13 4" xfId="24260" xr:uid="{86554973-49D0-429E-A223-D7AA5007C068}"/>
    <cellStyle name="Примечание 2 2 2 14" xfId="3130" xr:uid="{00000000-0005-0000-0000-000052220000}"/>
    <cellStyle name="Примечание 2 2 2 14 2" xfId="22746" xr:uid="{00000000-0005-0000-0000-000053220000}"/>
    <cellStyle name="Примечание 2 2 2 14 3" xfId="39215" xr:uid="{6B6DAB7B-8A25-4BB1-A7B7-AC4C96B593E6}"/>
    <cellStyle name="Примечание 2 2 2 15" xfId="3510" xr:uid="{00000000-0005-0000-0000-000054220000}"/>
    <cellStyle name="Примечание 2 2 2 15 2" xfId="7483" xr:uid="{00000000-0005-0000-0000-000055220000}"/>
    <cellStyle name="Примечание 2 2 2 15 3" xfId="24885" xr:uid="{B1767667-BBBB-4BB3-AAF2-DA1313B3174F}"/>
    <cellStyle name="Примечание 2 2 2 16" xfId="3326" xr:uid="{00000000-0005-0000-0000-000056220000}"/>
    <cellStyle name="Примечание 2 2 2 17" xfId="4411" xr:uid="{00000000-0005-0000-0000-000057220000}"/>
    <cellStyle name="Примечание 2 2 2 2" xfId="316" xr:uid="{00000000-0005-0000-0000-000058220000}"/>
    <cellStyle name="Примечание 2 2 2 2 2" xfId="1019" xr:uid="{00000000-0005-0000-0000-000059220000}"/>
    <cellStyle name="Примечание 2 2 2 2 2 2" xfId="21170" xr:uid="{00000000-0005-0000-0000-00005A220000}"/>
    <cellStyle name="Примечание 2 2 2 2 2 2 2" xfId="37852" xr:uid="{79183FC5-5FFD-4DA7-85F8-66C38131EA7F}"/>
    <cellStyle name="Примечание 2 2 2 2 2 3" xfId="5947" xr:uid="{00000000-0005-0000-0000-00005B220000}"/>
    <cellStyle name="Примечание 2 2 2 2 2 4" xfId="23760" xr:uid="{13315896-F865-4073-AEA6-3F07550A038D}"/>
    <cellStyle name="Примечание 2 2 2 2 3" xfId="2022" xr:uid="{00000000-0005-0000-0000-00005C220000}"/>
    <cellStyle name="Примечание 2 2 2 2 3 2" xfId="21832" xr:uid="{00000000-0005-0000-0000-00005D220000}"/>
    <cellStyle name="Примечание 2 2 2 2 3 2 2" xfId="38442" xr:uid="{B1EA70A1-FEF6-48DE-8D2C-C451C1638034}"/>
    <cellStyle name="Примечание 2 2 2 2 3 3" xfId="6746" xr:uid="{00000000-0005-0000-0000-00005E220000}"/>
    <cellStyle name="Примечание 2 2 2 2 3 4" xfId="24373" xr:uid="{D6892A37-C079-4461-9844-3EA2DB02E652}"/>
    <cellStyle name="Примечание 2 2 2 2 4" xfId="2791" xr:uid="{00000000-0005-0000-0000-00005F220000}"/>
    <cellStyle name="Примечание 2 2 2 2 4 2" xfId="22538" xr:uid="{00000000-0005-0000-0000-000060220000}"/>
    <cellStyle name="Примечание 2 2 2 2 4 3" xfId="39017" xr:uid="{2A21246A-D2A1-4450-A3A8-33AEC1ACBEF1}"/>
    <cellStyle name="Примечание 2 2 2 2 5" xfId="2989" xr:uid="{00000000-0005-0000-0000-000061220000}"/>
    <cellStyle name="Примечание 2 2 2 2 5 2" xfId="14065" xr:uid="{00000000-0005-0000-0000-000062220000}"/>
    <cellStyle name="Примечание 2 2 2 2 5 3" xfId="31104" xr:uid="{EDE59D4F-B440-4720-AB81-ED26F42FFC5A}"/>
    <cellStyle name="Примечание 2 2 2 2 6" xfId="3926" xr:uid="{00000000-0005-0000-0000-000063220000}"/>
    <cellStyle name="Примечание 2 2 2 2 7" xfId="4459" xr:uid="{00000000-0005-0000-0000-000064220000}"/>
    <cellStyle name="Примечание 2 2 2 2 8" xfId="4953" xr:uid="{00000000-0005-0000-0000-000065220000}"/>
    <cellStyle name="Примечание 2 2 2 3" xfId="447" xr:uid="{00000000-0005-0000-0000-000066220000}"/>
    <cellStyle name="Примечание 2 2 2 3 2" xfId="1279" xr:uid="{00000000-0005-0000-0000-000067220000}"/>
    <cellStyle name="Примечание 2 2 2 3 2 2" xfId="21272" xr:uid="{00000000-0005-0000-0000-000068220000}"/>
    <cellStyle name="Примечание 2 2 2 3 2 2 2" xfId="37914" xr:uid="{C898852D-2BB3-4929-8BBD-64CB051C61A5}"/>
    <cellStyle name="Примечание 2 2 2 3 2 3" xfId="6035" xr:uid="{00000000-0005-0000-0000-000069220000}"/>
    <cellStyle name="Примечание 2 2 2 3 2 4" xfId="23822" xr:uid="{6DEA3C25-225E-4423-A406-0159E15278DF}"/>
    <cellStyle name="Примечание 2 2 2 3 3" xfId="2054" xr:uid="{00000000-0005-0000-0000-00006A220000}"/>
    <cellStyle name="Примечание 2 2 2 3 3 2" xfId="21894" xr:uid="{00000000-0005-0000-0000-00006B220000}"/>
    <cellStyle name="Примечание 2 2 2 3 3 2 2" xfId="38504" xr:uid="{649CB5A5-6DA2-4440-8AB5-9F7BE5218B60}"/>
    <cellStyle name="Примечание 2 2 2 3 3 3" xfId="6805" xr:uid="{00000000-0005-0000-0000-00006C220000}"/>
    <cellStyle name="Примечание 2 2 2 3 3 4" xfId="24432" xr:uid="{40CF163A-BA73-4D11-85D8-D57F59154FBE}"/>
    <cellStyle name="Примечание 2 2 2 3 4" xfId="2844" xr:uid="{00000000-0005-0000-0000-00006D220000}"/>
    <cellStyle name="Примечание 2 2 2 3 4 2" xfId="23048" xr:uid="{00000000-0005-0000-0000-00006E220000}"/>
    <cellStyle name="Примечание 2 2 2 3 4 3" xfId="39514" xr:uid="{99C7FA37-115B-409B-B80B-1F3BBF79830A}"/>
    <cellStyle name="Примечание 2 2 2 3 5" xfId="3759" xr:uid="{00000000-0005-0000-0000-00006F220000}"/>
    <cellStyle name="Примечание 2 2 2 3 5 2" xfId="20409" xr:uid="{00000000-0005-0000-0000-000070220000}"/>
    <cellStyle name="Примечание 2 2 2 3 5 3" xfId="37324" xr:uid="{25BE8DB7-F6F9-491B-BE68-82AB4BDAB9FE}"/>
    <cellStyle name="Примечание 2 2 2 3 6" xfId="4008" xr:uid="{00000000-0005-0000-0000-000071220000}"/>
    <cellStyle name="Примечание 2 2 2 3 7" xfId="4530" xr:uid="{00000000-0005-0000-0000-000072220000}"/>
    <cellStyle name="Примечание 2 2 2 3 8" xfId="5012" xr:uid="{00000000-0005-0000-0000-000073220000}"/>
    <cellStyle name="Примечание 2 2 2 4" xfId="493" xr:uid="{00000000-0005-0000-0000-000074220000}"/>
    <cellStyle name="Примечание 2 2 2 4 2" xfId="1325" xr:uid="{00000000-0005-0000-0000-000075220000}"/>
    <cellStyle name="Примечание 2 2 2 4 2 2" xfId="21318" xr:uid="{00000000-0005-0000-0000-000076220000}"/>
    <cellStyle name="Примечание 2 2 2 4 2 2 2" xfId="37960" xr:uid="{7DC1200B-4A9C-4DF1-91D1-04AF388E006D}"/>
    <cellStyle name="Примечание 2 2 2 4 2 3" xfId="6081" xr:uid="{00000000-0005-0000-0000-000077220000}"/>
    <cellStyle name="Примечание 2 2 2 4 2 4" xfId="23868" xr:uid="{412BF8F2-8C54-442E-B207-5901C46B7C19}"/>
    <cellStyle name="Примечание 2 2 2 4 3" xfId="2063" xr:uid="{00000000-0005-0000-0000-000078220000}"/>
    <cellStyle name="Примечание 2 2 2 4 3 2" xfId="21940" xr:uid="{00000000-0005-0000-0000-000079220000}"/>
    <cellStyle name="Примечание 2 2 2 4 3 2 2" xfId="38550" xr:uid="{AA07F4C2-9B74-4AF7-B36B-FE1DB2D1034D}"/>
    <cellStyle name="Примечание 2 2 2 4 3 3" xfId="6850" xr:uid="{00000000-0005-0000-0000-00007A220000}"/>
    <cellStyle name="Примечание 2 2 2 4 3 4" xfId="24477" xr:uid="{65E69455-DA4D-4E91-8CDD-2D4A209EAE82}"/>
    <cellStyle name="Примечание 2 2 2 4 4" xfId="2797" xr:uid="{00000000-0005-0000-0000-00007B220000}"/>
    <cellStyle name="Примечание 2 2 2 4 4 2" xfId="23033" xr:uid="{00000000-0005-0000-0000-00007C220000}"/>
    <cellStyle name="Примечание 2 2 2 4 4 3" xfId="39499" xr:uid="{266B1C2A-EE13-4C4C-AFA3-9EC4007323A5}"/>
    <cellStyle name="Примечание 2 2 2 4 5" xfId="3127" xr:uid="{00000000-0005-0000-0000-00007D220000}"/>
    <cellStyle name="Примечание 2 2 2 4 5 2" xfId="20479" xr:uid="{00000000-0005-0000-0000-00007E220000}"/>
    <cellStyle name="Примечание 2 2 2 4 5 3" xfId="37371" xr:uid="{4AA0FD48-7FE5-4408-B522-1E110D339E4B}"/>
    <cellStyle name="Примечание 2 2 2 4 6" xfId="4053" xr:uid="{00000000-0005-0000-0000-00007F220000}"/>
    <cellStyle name="Примечание 2 2 2 4 7" xfId="4575" xr:uid="{00000000-0005-0000-0000-000080220000}"/>
    <cellStyle name="Примечание 2 2 2 4 8" xfId="5057" xr:uid="{00000000-0005-0000-0000-000081220000}"/>
    <cellStyle name="Примечание 2 2 2 5" xfId="545" xr:uid="{00000000-0005-0000-0000-000082220000}"/>
    <cellStyle name="Примечание 2 2 2 5 2" xfId="1377" xr:uid="{00000000-0005-0000-0000-000083220000}"/>
    <cellStyle name="Примечание 2 2 2 5 2 2" xfId="21370" xr:uid="{00000000-0005-0000-0000-000084220000}"/>
    <cellStyle name="Примечание 2 2 2 5 2 2 2" xfId="38012" xr:uid="{9D1BCF0B-D2CF-4C50-B74A-50621AFF4578}"/>
    <cellStyle name="Примечание 2 2 2 5 2 3" xfId="6133" xr:uid="{00000000-0005-0000-0000-000085220000}"/>
    <cellStyle name="Примечание 2 2 2 5 2 4" xfId="23920" xr:uid="{39316C81-B1C3-447D-96D2-2F62A2629FA6}"/>
    <cellStyle name="Примечание 2 2 2 5 3" xfId="2094" xr:uid="{00000000-0005-0000-0000-000086220000}"/>
    <cellStyle name="Примечание 2 2 2 5 3 2" xfId="21992" xr:uid="{00000000-0005-0000-0000-000087220000}"/>
    <cellStyle name="Примечание 2 2 2 5 3 2 2" xfId="38602" xr:uid="{0E7191FA-BFE7-4DCB-8371-03ABC4859653}"/>
    <cellStyle name="Примечание 2 2 2 5 3 3" xfId="6902" xr:uid="{00000000-0005-0000-0000-000088220000}"/>
    <cellStyle name="Примечание 2 2 2 5 3 4" xfId="24529" xr:uid="{7AEB24B0-F458-4EE1-9780-576438E40815}"/>
    <cellStyle name="Примечание 2 2 2 5 4" xfId="2832" xr:uid="{00000000-0005-0000-0000-000089220000}"/>
    <cellStyle name="Примечание 2 2 2 5 4 2" xfId="22570" xr:uid="{00000000-0005-0000-0000-00008A220000}"/>
    <cellStyle name="Примечание 2 2 2 5 4 3" xfId="39048" xr:uid="{BD55313A-48C8-422A-AAC1-641240BAC38D}"/>
    <cellStyle name="Примечание 2 2 2 5 5" xfId="3302" xr:uid="{00000000-0005-0000-0000-00008B220000}"/>
    <cellStyle name="Примечание 2 2 2 5 5 2" xfId="20589" xr:uid="{00000000-0005-0000-0000-00008C220000}"/>
    <cellStyle name="Примечание 2 2 2 5 5 3" xfId="37437" xr:uid="{762A9256-46F5-4663-8F15-B239C6DC9372}"/>
    <cellStyle name="Примечание 2 2 2 5 6" xfId="4105" xr:uid="{00000000-0005-0000-0000-00008D220000}"/>
    <cellStyle name="Примечание 2 2 2 5 7" xfId="4627" xr:uid="{00000000-0005-0000-0000-00008E220000}"/>
    <cellStyle name="Примечание 2 2 2 5 8" xfId="5109" xr:uid="{00000000-0005-0000-0000-00008F220000}"/>
    <cellStyle name="Примечание 2 2 2 6" xfId="597" xr:uid="{00000000-0005-0000-0000-000090220000}"/>
    <cellStyle name="Примечание 2 2 2 6 2" xfId="1429" xr:uid="{00000000-0005-0000-0000-000091220000}"/>
    <cellStyle name="Примечание 2 2 2 6 2 2" xfId="21422" xr:uid="{00000000-0005-0000-0000-000092220000}"/>
    <cellStyle name="Примечание 2 2 2 6 2 2 2" xfId="38064" xr:uid="{BA813999-A54D-4CDF-B386-D57945E8BB99}"/>
    <cellStyle name="Примечание 2 2 2 6 2 3" xfId="6185" xr:uid="{00000000-0005-0000-0000-000093220000}"/>
    <cellStyle name="Примечание 2 2 2 6 2 4" xfId="23972" xr:uid="{AE01120D-6A59-4E91-B5D5-D09F7245C1E4}"/>
    <cellStyle name="Примечание 2 2 2 6 3" xfId="1853" xr:uid="{00000000-0005-0000-0000-000094220000}"/>
    <cellStyle name="Примечание 2 2 2 6 3 2" xfId="22044" xr:uid="{00000000-0005-0000-0000-000095220000}"/>
    <cellStyle name="Примечание 2 2 2 6 3 2 2" xfId="38654" xr:uid="{D2E1CB0D-6E21-487C-8E10-5E1DE265FF29}"/>
    <cellStyle name="Примечание 2 2 2 6 3 3" xfId="6954" xr:uid="{00000000-0005-0000-0000-000096220000}"/>
    <cellStyle name="Примечание 2 2 2 6 3 4" xfId="24581" xr:uid="{7EB3D7D8-FC8E-4FF8-9E5C-B2C32E787DCB}"/>
    <cellStyle name="Примечание 2 2 2 6 4" xfId="2753" xr:uid="{00000000-0005-0000-0000-000097220000}"/>
    <cellStyle name="Примечание 2 2 2 6 4 2" xfId="22988" xr:uid="{00000000-0005-0000-0000-000098220000}"/>
    <cellStyle name="Примечание 2 2 2 6 4 3" xfId="39454" xr:uid="{9A769601-A4C2-401D-8BD8-D8228C057DC4}"/>
    <cellStyle name="Примечание 2 2 2 6 5" xfId="3623" xr:uid="{00000000-0005-0000-0000-000099220000}"/>
    <cellStyle name="Примечание 2 2 2 6 5 2" xfId="20633" xr:uid="{00000000-0005-0000-0000-00009A220000}"/>
    <cellStyle name="Примечание 2 2 2 6 5 3" xfId="37475" xr:uid="{7701DFC7-74F1-4F9E-93B5-B90D2988FBBE}"/>
    <cellStyle name="Примечание 2 2 2 6 6" xfId="4157" xr:uid="{00000000-0005-0000-0000-00009B220000}"/>
    <cellStyle name="Примечание 2 2 2 6 7" xfId="4679" xr:uid="{00000000-0005-0000-0000-00009C220000}"/>
    <cellStyle name="Примечание 2 2 2 6 8" xfId="5161" xr:uid="{00000000-0005-0000-0000-00009D220000}"/>
    <cellStyle name="Примечание 2 2 2 7" xfId="696" xr:uid="{00000000-0005-0000-0000-00009E220000}"/>
    <cellStyle name="Примечание 2 2 2 7 2" xfId="1526" xr:uid="{00000000-0005-0000-0000-00009F220000}"/>
    <cellStyle name="Примечание 2 2 2 7 2 2" xfId="21519" xr:uid="{00000000-0005-0000-0000-0000A0220000}"/>
    <cellStyle name="Примечание 2 2 2 7 2 2 2" xfId="38161" xr:uid="{E2C49AE4-9E60-4D34-A39C-368B8F6D97CA}"/>
    <cellStyle name="Примечание 2 2 2 7 2 3" xfId="6282" xr:uid="{00000000-0005-0000-0000-0000A1220000}"/>
    <cellStyle name="Примечание 2 2 2 7 2 4" xfId="24069" xr:uid="{C21F607B-0C2F-4154-A839-9E6910A0D1C9}"/>
    <cellStyle name="Примечание 2 2 2 7 3" xfId="1877" xr:uid="{00000000-0005-0000-0000-0000A2220000}"/>
    <cellStyle name="Примечание 2 2 2 7 3 2" xfId="22141" xr:uid="{00000000-0005-0000-0000-0000A3220000}"/>
    <cellStyle name="Примечание 2 2 2 7 3 2 2" xfId="38751" xr:uid="{BC8142C6-FA22-4FFC-8F6F-C6D69F73F67D}"/>
    <cellStyle name="Примечание 2 2 2 7 3 3" xfId="7051" xr:uid="{00000000-0005-0000-0000-0000A4220000}"/>
    <cellStyle name="Примечание 2 2 2 7 3 4" xfId="24678" xr:uid="{696727AF-EF4A-431E-A290-9981ACC8D428}"/>
    <cellStyle name="Примечание 2 2 2 7 4" xfId="2359" xr:uid="{00000000-0005-0000-0000-0000A5220000}"/>
    <cellStyle name="Примечание 2 2 2 7 4 2" xfId="22992" xr:uid="{00000000-0005-0000-0000-0000A6220000}"/>
    <cellStyle name="Примечание 2 2 2 7 4 3" xfId="39458" xr:uid="{21D94887-1920-4B78-B3BD-65AA5A1F1583}"/>
    <cellStyle name="Примечание 2 2 2 7 5" xfId="3177" xr:uid="{00000000-0005-0000-0000-0000A7220000}"/>
    <cellStyle name="Примечание 2 2 2 7 5 2" xfId="20698" xr:uid="{00000000-0005-0000-0000-0000A8220000}"/>
    <cellStyle name="Примечание 2 2 2 7 5 3" xfId="37527" xr:uid="{5DD57BDD-9AB9-4F49-BDF1-05F90B19375D}"/>
    <cellStyle name="Примечание 2 2 2 7 6" xfId="4255" xr:uid="{00000000-0005-0000-0000-0000A9220000}"/>
    <cellStyle name="Примечание 2 2 2 7 7" xfId="4777" xr:uid="{00000000-0005-0000-0000-0000AA220000}"/>
    <cellStyle name="Примечание 2 2 2 7 8" xfId="5258" xr:uid="{00000000-0005-0000-0000-0000AB220000}"/>
    <cellStyle name="Примечание 2 2 2 8" xfId="739" xr:uid="{00000000-0005-0000-0000-0000AC220000}"/>
    <cellStyle name="Примечание 2 2 2 8 2" xfId="1569" xr:uid="{00000000-0005-0000-0000-0000AD220000}"/>
    <cellStyle name="Примечание 2 2 2 8 2 2" xfId="21562" xr:uid="{00000000-0005-0000-0000-0000AE220000}"/>
    <cellStyle name="Примечание 2 2 2 8 2 2 2" xfId="38204" xr:uid="{C15B9458-3EC9-49B7-AC34-9122513C9A89}"/>
    <cellStyle name="Примечание 2 2 2 8 2 3" xfId="6325" xr:uid="{00000000-0005-0000-0000-0000AF220000}"/>
    <cellStyle name="Примечание 2 2 2 8 2 4" xfId="24112" xr:uid="{114AB3FC-2DF9-4681-AC88-B1893A38DFED}"/>
    <cellStyle name="Примечание 2 2 2 8 3" xfId="2017" xr:uid="{00000000-0005-0000-0000-0000B0220000}"/>
    <cellStyle name="Примечание 2 2 2 8 3 2" xfId="22184" xr:uid="{00000000-0005-0000-0000-0000B1220000}"/>
    <cellStyle name="Примечание 2 2 2 8 3 2 2" xfId="38794" xr:uid="{AA3AA122-3C8B-4D94-8227-C29A89AFDBA9}"/>
    <cellStyle name="Примечание 2 2 2 8 3 3" xfId="7094" xr:uid="{00000000-0005-0000-0000-0000B2220000}"/>
    <cellStyle name="Примечание 2 2 2 8 3 4" xfId="24721" xr:uid="{419AC7E3-89BB-4366-AF2C-7417C325418D}"/>
    <cellStyle name="Примечание 2 2 2 8 4" xfId="2515" xr:uid="{00000000-0005-0000-0000-0000B3220000}"/>
    <cellStyle name="Примечание 2 2 2 8 4 2" xfId="22485" xr:uid="{00000000-0005-0000-0000-0000B4220000}"/>
    <cellStyle name="Примечание 2 2 2 8 4 3" xfId="38977" xr:uid="{FBED7F5F-44E6-4A3F-B974-36AFA65B72DD}"/>
    <cellStyle name="Примечание 2 2 2 8 5" xfId="3865" xr:uid="{00000000-0005-0000-0000-0000B5220000}"/>
    <cellStyle name="Примечание 2 2 2 8 5 2" xfId="20763" xr:uid="{00000000-0005-0000-0000-0000B6220000}"/>
    <cellStyle name="Примечание 2 2 2 8 5 3" xfId="37579" xr:uid="{B15545D5-EED9-4DA3-9D9F-238F351BEDD4}"/>
    <cellStyle name="Примечание 2 2 2 8 6" xfId="4298" xr:uid="{00000000-0005-0000-0000-0000B7220000}"/>
    <cellStyle name="Примечание 2 2 2 8 7" xfId="4820" xr:uid="{00000000-0005-0000-0000-0000B8220000}"/>
    <cellStyle name="Примечание 2 2 2 8 8" xfId="5301" xr:uid="{00000000-0005-0000-0000-0000B9220000}"/>
    <cellStyle name="Примечание 2 2 2 9" xfId="663" xr:uid="{00000000-0005-0000-0000-0000BA220000}"/>
    <cellStyle name="Примечание 2 2 2 9 2" xfId="1494" xr:uid="{00000000-0005-0000-0000-0000BB220000}"/>
    <cellStyle name="Примечание 2 2 2 9 2 2" xfId="21487" xr:uid="{00000000-0005-0000-0000-0000BC220000}"/>
    <cellStyle name="Примечание 2 2 2 9 2 2 2" xfId="38129" xr:uid="{4D4404C1-2DAD-4CA9-BC39-9314D97491D0}"/>
    <cellStyle name="Примечание 2 2 2 9 2 3" xfId="6250" xr:uid="{00000000-0005-0000-0000-0000BD220000}"/>
    <cellStyle name="Примечание 2 2 2 9 2 4" xfId="24037" xr:uid="{C86367F7-D54A-498C-972B-454D41973645}"/>
    <cellStyle name="Примечание 2 2 2 9 3" xfId="2082" xr:uid="{00000000-0005-0000-0000-0000BE220000}"/>
    <cellStyle name="Примечание 2 2 2 9 3 2" xfId="22109" xr:uid="{00000000-0005-0000-0000-0000BF220000}"/>
    <cellStyle name="Примечание 2 2 2 9 3 2 2" xfId="38719" xr:uid="{EB37CDB6-7A7C-4415-B253-6D10ED02A616}"/>
    <cellStyle name="Примечание 2 2 2 9 3 3" xfId="7019" xr:uid="{00000000-0005-0000-0000-0000C0220000}"/>
    <cellStyle name="Примечание 2 2 2 9 3 4" xfId="24646" xr:uid="{E132363C-7FC0-4906-B40C-3C7060A93B40}"/>
    <cellStyle name="Примечание 2 2 2 9 4" xfId="2870" xr:uid="{00000000-0005-0000-0000-0000C1220000}"/>
    <cellStyle name="Примечание 2 2 2 9 4 2" xfId="22642" xr:uid="{00000000-0005-0000-0000-0000C2220000}"/>
    <cellStyle name="Примечание 2 2 2 9 4 3" xfId="39114" xr:uid="{2E5D3201-D388-4D39-A9CA-205831B7A60E}"/>
    <cellStyle name="Примечание 2 2 2 9 5" xfId="3785" xr:uid="{00000000-0005-0000-0000-0000C3220000}"/>
    <cellStyle name="Примечание 2 2 2 9 5 2" xfId="20828" xr:uid="{00000000-0005-0000-0000-0000C4220000}"/>
    <cellStyle name="Примечание 2 2 2 9 5 3" xfId="37631" xr:uid="{DA1E33D5-AB71-41D8-8D81-A6D169914146}"/>
    <cellStyle name="Примечание 2 2 2 9 6" xfId="4222" xr:uid="{00000000-0005-0000-0000-0000C5220000}"/>
    <cellStyle name="Примечание 2 2 2 9 7" xfId="4744" xr:uid="{00000000-0005-0000-0000-0000C6220000}"/>
    <cellStyle name="Примечание 2 2 2 9 8" xfId="5226" xr:uid="{00000000-0005-0000-0000-0000C7220000}"/>
    <cellStyle name="Примечание 2 2 3" xfId="365" xr:uid="{00000000-0005-0000-0000-0000C8220000}"/>
    <cellStyle name="Примечание 2 2 3 10" xfId="988" xr:uid="{00000000-0005-0000-0000-0000C9220000}"/>
    <cellStyle name="Примечание 2 2 3 10 2" xfId="2078" xr:uid="{00000000-0005-0000-0000-0000CA220000}"/>
    <cellStyle name="Примечание 2 2 3 10 2 2" xfId="21854" xr:uid="{00000000-0005-0000-0000-0000CB220000}"/>
    <cellStyle name="Примечание 2 2 3 10 2 2 2" xfId="38464" xr:uid="{CC91BBAD-2505-4710-A84E-2746DA10009C}"/>
    <cellStyle name="Примечание 2 2 3 10 2 3" xfId="5994" xr:uid="{00000000-0005-0000-0000-0000CC220000}"/>
    <cellStyle name="Примечание 2 2 3 10 2 4" xfId="23782" xr:uid="{BE874641-5B97-4ADA-9558-DF3CC48D54B6}"/>
    <cellStyle name="Примечание 2 2 3 10 3" xfId="2866" xr:uid="{00000000-0005-0000-0000-0000CD220000}"/>
    <cellStyle name="Примечание 2 2 3 10 3 2" xfId="22721" xr:uid="{00000000-0005-0000-0000-0000CE220000}"/>
    <cellStyle name="Примечание 2 2 3 10 3 2 2" xfId="39190" xr:uid="{AE9F8D0D-7E0A-4161-B74E-A6EE2ACC8901}"/>
    <cellStyle name="Примечание 2 2 3 10 3 3" xfId="6768" xr:uid="{00000000-0005-0000-0000-0000CF220000}"/>
    <cellStyle name="Примечание 2 2 3 10 3 4" xfId="24395" xr:uid="{596E6004-8B66-4986-A6BF-AC2E6B3BED9E}"/>
    <cellStyle name="Примечание 2 2 3 10 4" xfId="3680" xr:uid="{00000000-0005-0000-0000-0000D0220000}"/>
    <cellStyle name="Примечание 2 2 3 10 4 2" xfId="21213" xr:uid="{00000000-0005-0000-0000-0000D1220000}"/>
    <cellStyle name="Примечание 2 2 3 10 4 3" xfId="37874" xr:uid="{CFCA3A06-C1D4-4245-B843-4B03F6F7F02A}"/>
    <cellStyle name="Примечание 2 2 3 10 5" xfId="3958" xr:uid="{00000000-0005-0000-0000-0000D2220000}"/>
    <cellStyle name="Примечание 2 2 3 10 6" xfId="4486" xr:uid="{00000000-0005-0000-0000-0000D3220000}"/>
    <cellStyle name="Примечание 2 2 3 10 7" xfId="4975" xr:uid="{00000000-0005-0000-0000-0000D4220000}"/>
    <cellStyle name="Примечание 2 2 3 11" xfId="1820" xr:uid="{00000000-0005-0000-0000-0000D5220000}"/>
    <cellStyle name="Примечание 2 2 3 11 2" xfId="20980" xr:uid="{00000000-0005-0000-0000-0000D6220000}"/>
    <cellStyle name="Примечание 2 2 3 11 2 2" xfId="37757" xr:uid="{21305BD8-D406-4841-9929-6F93B9849F73}"/>
    <cellStyle name="Примечание 2 2 3 11 3" xfId="5738" xr:uid="{00000000-0005-0000-0000-0000D7220000}"/>
    <cellStyle name="Примечание 2 2 3 11 4" xfId="23662" xr:uid="{E3E1E98D-F72F-48DA-A0E6-8749AB58B5DB}"/>
    <cellStyle name="Примечание 2 2 3 12" xfId="2408" xr:uid="{00000000-0005-0000-0000-0000D8220000}"/>
    <cellStyle name="Примечание 2 2 3 12 2" xfId="21737" xr:uid="{00000000-0005-0000-0000-0000D9220000}"/>
    <cellStyle name="Примечание 2 2 3 12 2 2" xfId="38347" xr:uid="{1FE6D8E8-A14C-4EA3-B2B5-DF9B0538D8CC}"/>
    <cellStyle name="Примечание 2 2 3 12 3" xfId="6655" xr:uid="{00000000-0005-0000-0000-0000DA220000}"/>
    <cellStyle name="Примечание 2 2 3 12 4" xfId="24282" xr:uid="{D2F8EE84-8642-4362-B10D-EF33F33CC772}"/>
    <cellStyle name="Примечание 2 2 3 13" xfId="3290" xr:uid="{00000000-0005-0000-0000-0000DB220000}"/>
    <cellStyle name="Примечание 2 2 3 13 2" xfId="22555" xr:uid="{00000000-0005-0000-0000-0000DC220000}"/>
    <cellStyle name="Примечание 2 2 3 13 3" xfId="39034" xr:uid="{13AC01A0-F5A4-44DA-8B48-84BFF6EB85A7}"/>
    <cellStyle name="Примечание 2 2 3 14" xfId="3068" xr:uid="{00000000-0005-0000-0000-0000DD220000}"/>
    <cellStyle name="Примечание 2 2 3 14 2" xfId="14034" xr:uid="{00000000-0005-0000-0000-0000DE220000}"/>
    <cellStyle name="Примечание 2 2 3 14 3" xfId="31073" xr:uid="{87CF711B-7ABA-4604-969C-010BC288D411}"/>
    <cellStyle name="Примечание 2 2 3 15" xfId="3061" xr:uid="{00000000-0005-0000-0000-0000DF220000}"/>
    <cellStyle name="Примечание 2 2 3 16" xfId="3268" xr:uid="{00000000-0005-0000-0000-0000E0220000}"/>
    <cellStyle name="Примечание 2 2 3 2" xfId="470" xr:uid="{00000000-0005-0000-0000-0000E1220000}"/>
    <cellStyle name="Примечание 2 2 3 2 2" xfId="1302" xr:uid="{00000000-0005-0000-0000-0000E2220000}"/>
    <cellStyle name="Примечание 2 2 3 2 2 2" xfId="21295" xr:uid="{00000000-0005-0000-0000-0000E3220000}"/>
    <cellStyle name="Примечание 2 2 3 2 2 2 2" xfId="37937" xr:uid="{4243E158-A021-410C-852D-66101CE14B00}"/>
    <cellStyle name="Примечание 2 2 3 2 2 3" xfId="6058" xr:uid="{00000000-0005-0000-0000-0000E4220000}"/>
    <cellStyle name="Примечание 2 2 3 2 2 4" xfId="23845" xr:uid="{EBC5E7FF-DFE4-4182-B8ED-B9CED3352350}"/>
    <cellStyle name="Примечание 2 2 3 2 3" xfId="2026" xr:uid="{00000000-0005-0000-0000-0000E5220000}"/>
    <cellStyle name="Примечание 2 2 3 2 3 2" xfId="21917" xr:uid="{00000000-0005-0000-0000-0000E6220000}"/>
    <cellStyle name="Примечание 2 2 3 2 3 2 2" xfId="38527" xr:uid="{4A4DC879-5A03-4981-B9B8-9186031867F6}"/>
    <cellStyle name="Примечание 2 2 3 2 3 3" xfId="6827" xr:uid="{00000000-0005-0000-0000-0000E7220000}"/>
    <cellStyle name="Примечание 2 2 3 2 3 4" xfId="24454" xr:uid="{202D344C-FB1D-42FE-8D3C-E740D53D54C4}"/>
    <cellStyle name="Примечание 2 2 3 2 4" xfId="2812" xr:uid="{00000000-0005-0000-0000-0000E8220000}"/>
    <cellStyle name="Примечание 2 2 3 2 4 2" xfId="22961" xr:uid="{00000000-0005-0000-0000-0000E9220000}"/>
    <cellStyle name="Примечание 2 2 3 2 4 3" xfId="39427" xr:uid="{1B29885E-2CD4-49E7-B26A-B67459A93854}"/>
    <cellStyle name="Примечание 2 2 3 2 5" xfId="3751" xr:uid="{00000000-0005-0000-0000-0000EA220000}"/>
    <cellStyle name="Примечание 2 2 3 2 5 2" xfId="20454" xr:uid="{00000000-0005-0000-0000-0000EB220000}"/>
    <cellStyle name="Примечание 2 2 3 2 5 3" xfId="37346" xr:uid="{6560ADA9-FBFE-4671-9391-81DD09B87C8C}"/>
    <cellStyle name="Примечание 2 2 3 2 6" xfId="4030" xr:uid="{00000000-0005-0000-0000-0000EC220000}"/>
    <cellStyle name="Примечание 2 2 3 2 7" xfId="4552" xr:uid="{00000000-0005-0000-0000-0000ED220000}"/>
    <cellStyle name="Примечание 2 2 3 2 8" xfId="5034" xr:uid="{00000000-0005-0000-0000-0000EE220000}"/>
    <cellStyle name="Примечание 2 2 3 3" xfId="515" xr:uid="{00000000-0005-0000-0000-0000EF220000}"/>
    <cellStyle name="Примечание 2 2 3 3 2" xfId="1347" xr:uid="{00000000-0005-0000-0000-0000F0220000}"/>
    <cellStyle name="Примечание 2 2 3 3 2 2" xfId="21340" xr:uid="{00000000-0005-0000-0000-0000F1220000}"/>
    <cellStyle name="Примечание 2 2 3 3 2 2 2" xfId="37982" xr:uid="{32A20E1F-67A7-4BC0-A0B9-6B87613ACA0B}"/>
    <cellStyle name="Примечание 2 2 3 3 2 3" xfId="6103" xr:uid="{00000000-0005-0000-0000-0000F2220000}"/>
    <cellStyle name="Примечание 2 2 3 3 2 4" xfId="23890" xr:uid="{09FFE395-D5BE-4934-8297-1B173A625189}"/>
    <cellStyle name="Примечание 2 2 3 3 3" xfId="2221" xr:uid="{00000000-0005-0000-0000-0000F3220000}"/>
    <cellStyle name="Примечание 2 2 3 3 3 2" xfId="21962" xr:uid="{00000000-0005-0000-0000-0000F4220000}"/>
    <cellStyle name="Примечание 2 2 3 3 3 2 2" xfId="38572" xr:uid="{0FF6CA5E-050A-4C83-84E0-CFE12B1AC6F5}"/>
    <cellStyle name="Примечание 2 2 3 3 3 3" xfId="6872" xr:uid="{00000000-0005-0000-0000-0000F5220000}"/>
    <cellStyle name="Примечание 2 2 3 3 3 4" xfId="24499" xr:uid="{5CAC4E5E-96F6-4A40-ACFD-F97FC0FA61B4}"/>
    <cellStyle name="Примечание 2 2 3 3 4" xfId="2480" xr:uid="{00000000-0005-0000-0000-0000F6220000}"/>
    <cellStyle name="Примечание 2 2 3 3 4 2" xfId="22761" xr:uid="{00000000-0005-0000-0000-0000F7220000}"/>
    <cellStyle name="Примечание 2 2 3 3 4 3" xfId="39230" xr:uid="{B9993CB9-5000-4AA2-9DBE-146C03669ACC}"/>
    <cellStyle name="Примечание 2 2 3 3 5" xfId="3342" xr:uid="{00000000-0005-0000-0000-0000F8220000}"/>
    <cellStyle name="Примечание 2 2 3 3 5 2" xfId="20501" xr:uid="{00000000-0005-0000-0000-0000F9220000}"/>
    <cellStyle name="Примечание 2 2 3 3 5 3" xfId="37393" xr:uid="{7A04D389-E169-4861-89BF-82CB898DCE4B}"/>
    <cellStyle name="Примечание 2 2 3 3 6" xfId="4075" xr:uid="{00000000-0005-0000-0000-0000FA220000}"/>
    <cellStyle name="Примечание 2 2 3 3 7" xfId="4597" xr:uid="{00000000-0005-0000-0000-0000FB220000}"/>
    <cellStyle name="Примечание 2 2 3 3 8" xfId="5079" xr:uid="{00000000-0005-0000-0000-0000FC220000}"/>
    <cellStyle name="Примечание 2 2 3 4" xfId="567" xr:uid="{00000000-0005-0000-0000-0000FD220000}"/>
    <cellStyle name="Примечание 2 2 3 4 2" xfId="1399" xr:uid="{00000000-0005-0000-0000-0000FE220000}"/>
    <cellStyle name="Примечание 2 2 3 4 2 2" xfId="21392" xr:uid="{00000000-0005-0000-0000-0000FF220000}"/>
    <cellStyle name="Примечание 2 2 3 4 2 2 2" xfId="38034" xr:uid="{0FB666F2-2212-4B77-A2AB-0A12BEA465A2}"/>
    <cellStyle name="Примечание 2 2 3 4 2 3" xfId="6155" xr:uid="{00000000-0005-0000-0000-000000230000}"/>
    <cellStyle name="Примечание 2 2 3 4 2 4" xfId="23942" xr:uid="{DEFAF665-88F0-4FF3-8C97-308296460640}"/>
    <cellStyle name="Примечание 2 2 3 4 3" xfId="2231" xr:uid="{00000000-0005-0000-0000-000001230000}"/>
    <cellStyle name="Примечание 2 2 3 4 3 2" xfId="22014" xr:uid="{00000000-0005-0000-0000-000002230000}"/>
    <cellStyle name="Примечание 2 2 3 4 3 2 2" xfId="38624" xr:uid="{46EF8B0D-F188-466F-9CE2-9D96042D77C4}"/>
    <cellStyle name="Примечание 2 2 3 4 3 3" xfId="6924" xr:uid="{00000000-0005-0000-0000-000003230000}"/>
    <cellStyle name="Примечание 2 2 3 4 3 4" xfId="24551" xr:uid="{EE11D639-5807-4DB1-A3E0-2E8EFA47A4E9}"/>
    <cellStyle name="Примечание 2 2 3 4 4" xfId="2440" xr:uid="{00000000-0005-0000-0000-000004230000}"/>
    <cellStyle name="Примечание 2 2 3 4 4 2" xfId="22824" xr:uid="{00000000-0005-0000-0000-000005230000}"/>
    <cellStyle name="Примечание 2 2 3 4 4 3" xfId="39290" xr:uid="{46E21577-DAEC-4D3B-988B-C47FD454780D}"/>
    <cellStyle name="Примечание 2 2 3 4 5" xfId="3394" xr:uid="{00000000-0005-0000-0000-000006230000}"/>
    <cellStyle name="Примечание 2 2 3 4 5 2" xfId="20617" xr:uid="{00000000-0005-0000-0000-000007230000}"/>
    <cellStyle name="Примечание 2 2 3 4 5 3" xfId="37459" xr:uid="{C13A23D3-CFE1-4652-B5E6-9592DE876B6F}"/>
    <cellStyle name="Примечание 2 2 3 4 6" xfId="4127" xr:uid="{00000000-0005-0000-0000-000008230000}"/>
    <cellStyle name="Примечание 2 2 3 4 7" xfId="4649" xr:uid="{00000000-0005-0000-0000-000009230000}"/>
    <cellStyle name="Примечание 2 2 3 4 8" xfId="5131" xr:uid="{00000000-0005-0000-0000-00000A230000}"/>
    <cellStyle name="Примечание 2 2 3 5" xfId="619" xr:uid="{00000000-0005-0000-0000-00000B230000}"/>
    <cellStyle name="Примечание 2 2 3 5 2" xfId="1451" xr:uid="{00000000-0005-0000-0000-00000C230000}"/>
    <cellStyle name="Примечание 2 2 3 5 2 2" xfId="21444" xr:uid="{00000000-0005-0000-0000-00000D230000}"/>
    <cellStyle name="Примечание 2 2 3 5 2 2 2" xfId="38086" xr:uid="{D99CC784-F9EF-4606-97AA-A46264738443}"/>
    <cellStyle name="Примечание 2 2 3 5 2 3" xfId="6207" xr:uid="{00000000-0005-0000-0000-00000E230000}"/>
    <cellStyle name="Примечание 2 2 3 5 2 4" xfId="23994" xr:uid="{6727A17E-D5C1-4D19-B843-3F4785BFAFED}"/>
    <cellStyle name="Примечание 2 2 3 5 3" xfId="1997" xr:uid="{00000000-0005-0000-0000-00000F230000}"/>
    <cellStyle name="Примечание 2 2 3 5 3 2" xfId="22066" xr:uid="{00000000-0005-0000-0000-000010230000}"/>
    <cellStyle name="Примечание 2 2 3 5 3 2 2" xfId="38676" xr:uid="{6D4321E1-9BE0-4480-A627-6D71EE18ACE5}"/>
    <cellStyle name="Примечание 2 2 3 5 3 3" xfId="6976" xr:uid="{00000000-0005-0000-0000-000011230000}"/>
    <cellStyle name="Примечание 2 2 3 5 3 4" xfId="24603" xr:uid="{01BBD57D-E20A-4951-B40C-783A4AADCA10}"/>
    <cellStyle name="Примечание 2 2 3 5 4" xfId="2783" xr:uid="{00000000-0005-0000-0000-000012230000}"/>
    <cellStyle name="Примечание 2 2 3 5 4 2" xfId="23034" xr:uid="{00000000-0005-0000-0000-000013230000}"/>
    <cellStyle name="Примечание 2 2 3 5 4 3" xfId="39500" xr:uid="{EEE2C4B8-CA2C-4F9E-9584-51443F61BED4}"/>
    <cellStyle name="Примечание 2 2 3 5 5" xfId="3728" xr:uid="{00000000-0005-0000-0000-000014230000}"/>
    <cellStyle name="Примечание 2 2 3 5 5 2" xfId="20655" xr:uid="{00000000-0005-0000-0000-000015230000}"/>
    <cellStyle name="Примечание 2 2 3 5 5 3" xfId="37497" xr:uid="{AE6AD251-B9E2-401B-A434-6E8878129F59}"/>
    <cellStyle name="Примечание 2 2 3 5 6" xfId="4179" xr:uid="{00000000-0005-0000-0000-000016230000}"/>
    <cellStyle name="Примечание 2 2 3 5 7" xfId="4701" xr:uid="{00000000-0005-0000-0000-000017230000}"/>
    <cellStyle name="Примечание 2 2 3 5 8" xfId="5183" xr:uid="{00000000-0005-0000-0000-000018230000}"/>
    <cellStyle name="Примечание 2 2 3 6" xfId="722" xr:uid="{00000000-0005-0000-0000-000019230000}"/>
    <cellStyle name="Примечание 2 2 3 6 2" xfId="1552" xr:uid="{00000000-0005-0000-0000-00001A230000}"/>
    <cellStyle name="Примечание 2 2 3 6 2 2" xfId="21545" xr:uid="{00000000-0005-0000-0000-00001B230000}"/>
    <cellStyle name="Примечание 2 2 3 6 2 2 2" xfId="38187" xr:uid="{DF6DB235-2024-46B9-9A12-DD753ACAB07D}"/>
    <cellStyle name="Примечание 2 2 3 6 2 3" xfId="6308" xr:uid="{00000000-0005-0000-0000-00001C230000}"/>
    <cellStyle name="Примечание 2 2 3 6 2 4" xfId="24095" xr:uid="{EF210CFB-0C15-4331-A9ED-4EF6B4B526A1}"/>
    <cellStyle name="Примечание 2 2 3 6 3" xfId="1707" xr:uid="{00000000-0005-0000-0000-00001D230000}"/>
    <cellStyle name="Примечание 2 2 3 6 3 2" xfId="22167" xr:uid="{00000000-0005-0000-0000-00001E230000}"/>
    <cellStyle name="Примечание 2 2 3 6 3 2 2" xfId="38777" xr:uid="{A7D20F99-2BA6-41D4-90C7-628BE0DEE2D1}"/>
    <cellStyle name="Примечание 2 2 3 6 3 3" xfId="7077" xr:uid="{00000000-0005-0000-0000-00001F230000}"/>
    <cellStyle name="Примечание 2 2 3 6 3 4" xfId="24704" xr:uid="{BEC8C4C2-DB60-4C57-BEF1-6EC514D795A2}"/>
    <cellStyle name="Примечание 2 2 3 6 4" xfId="2385" xr:uid="{00000000-0005-0000-0000-000020230000}"/>
    <cellStyle name="Примечание 2 2 3 6 4 2" xfId="22492" xr:uid="{00000000-0005-0000-0000-000021230000}"/>
    <cellStyle name="Примечание 2 2 3 6 4 3" xfId="38984" xr:uid="{225FF851-8FBD-447D-9F78-4FA1D42CA131}"/>
    <cellStyle name="Примечание 2 2 3 6 5" xfId="2974" xr:uid="{00000000-0005-0000-0000-000022230000}"/>
    <cellStyle name="Примечание 2 2 3 6 5 2" xfId="20720" xr:uid="{00000000-0005-0000-0000-000023230000}"/>
    <cellStyle name="Примечание 2 2 3 6 5 3" xfId="37549" xr:uid="{DF7614F6-20FC-4B3D-BC3F-1AD4CECA121F}"/>
    <cellStyle name="Примечание 2 2 3 6 6" xfId="4281" xr:uid="{00000000-0005-0000-0000-000024230000}"/>
    <cellStyle name="Примечание 2 2 3 6 7" xfId="4803" xr:uid="{00000000-0005-0000-0000-000025230000}"/>
    <cellStyle name="Примечание 2 2 3 6 8" xfId="5284" xr:uid="{00000000-0005-0000-0000-000026230000}"/>
    <cellStyle name="Примечание 2 2 3 7" xfId="766" xr:uid="{00000000-0005-0000-0000-000027230000}"/>
    <cellStyle name="Примечание 2 2 3 7 2" xfId="1595" xr:uid="{00000000-0005-0000-0000-000028230000}"/>
    <cellStyle name="Примечание 2 2 3 7 2 2" xfId="21588" xr:uid="{00000000-0005-0000-0000-000029230000}"/>
    <cellStyle name="Примечание 2 2 3 7 2 2 2" xfId="38230" xr:uid="{CF5146E7-11B8-4E0B-8CA0-7C097423935E}"/>
    <cellStyle name="Примечание 2 2 3 7 2 3" xfId="6351" xr:uid="{00000000-0005-0000-0000-00002A230000}"/>
    <cellStyle name="Примечание 2 2 3 7 2 4" xfId="24138" xr:uid="{ACC21F4A-E7E0-4519-97F0-E46157C39C50}"/>
    <cellStyle name="Примечание 2 2 3 7 3" xfId="1955" xr:uid="{00000000-0005-0000-0000-00002B230000}"/>
    <cellStyle name="Примечание 2 2 3 7 3 2" xfId="22210" xr:uid="{00000000-0005-0000-0000-00002C230000}"/>
    <cellStyle name="Примечание 2 2 3 7 3 2 2" xfId="38820" xr:uid="{F6FC218C-B035-4409-96EB-3CF33B82C116}"/>
    <cellStyle name="Примечание 2 2 3 7 3 3" xfId="7120" xr:uid="{00000000-0005-0000-0000-00002D230000}"/>
    <cellStyle name="Примечание 2 2 3 7 3 4" xfId="24747" xr:uid="{7FDE0070-77A7-4B56-BAC3-74B1967B7348}"/>
    <cellStyle name="Примечание 2 2 3 7 4" xfId="2944" xr:uid="{00000000-0005-0000-0000-00002E230000}"/>
    <cellStyle name="Примечание 2 2 3 7 4 2" xfId="22814" xr:uid="{00000000-0005-0000-0000-00002F230000}"/>
    <cellStyle name="Примечание 2 2 3 7 4 3" xfId="39280" xr:uid="{EA3B5C26-2F73-4E79-869C-C470A11A4E9C}"/>
    <cellStyle name="Примечание 2 2 3 7 5" xfId="3241" xr:uid="{00000000-0005-0000-0000-000030230000}"/>
    <cellStyle name="Примечание 2 2 3 7 5 2" xfId="20785" xr:uid="{00000000-0005-0000-0000-000031230000}"/>
    <cellStyle name="Примечание 2 2 3 7 5 3" xfId="37601" xr:uid="{1C1514AD-4B45-4494-97DC-97E16CDA161C}"/>
    <cellStyle name="Примечание 2 2 3 7 6" xfId="4324" xr:uid="{00000000-0005-0000-0000-000032230000}"/>
    <cellStyle name="Примечание 2 2 3 7 7" xfId="4846" xr:uid="{00000000-0005-0000-0000-000033230000}"/>
    <cellStyle name="Примечание 2 2 3 7 8" xfId="5327" xr:uid="{00000000-0005-0000-0000-000034230000}"/>
    <cellStyle name="Примечание 2 2 3 8" xfId="798" xr:uid="{00000000-0005-0000-0000-000035230000}"/>
    <cellStyle name="Примечание 2 2 3 8 2" xfId="1627" xr:uid="{00000000-0005-0000-0000-000036230000}"/>
    <cellStyle name="Примечание 2 2 3 8 2 2" xfId="21620" xr:uid="{00000000-0005-0000-0000-000037230000}"/>
    <cellStyle name="Примечание 2 2 3 8 2 2 2" xfId="38262" xr:uid="{59C588E0-D635-4969-9169-373398358703}"/>
    <cellStyle name="Примечание 2 2 3 8 2 3" xfId="6383" xr:uid="{00000000-0005-0000-0000-000038230000}"/>
    <cellStyle name="Примечание 2 2 3 8 2 4" xfId="24170" xr:uid="{5CA6CA42-15F5-4C54-A75F-26B51FDF387E}"/>
    <cellStyle name="Примечание 2 2 3 8 3" xfId="1951" xr:uid="{00000000-0005-0000-0000-000039230000}"/>
    <cellStyle name="Примечание 2 2 3 8 3 2" xfId="22242" xr:uid="{00000000-0005-0000-0000-00003A230000}"/>
    <cellStyle name="Примечание 2 2 3 8 3 2 2" xfId="38852" xr:uid="{C1AE1F60-2DD1-44B3-AC0B-548C091F98AB}"/>
    <cellStyle name="Примечание 2 2 3 8 3 3" xfId="7152" xr:uid="{00000000-0005-0000-0000-00003B230000}"/>
    <cellStyle name="Примечание 2 2 3 8 3 4" xfId="24779" xr:uid="{21499870-2F53-49D5-831F-CA5CD18EFC60}"/>
    <cellStyle name="Примечание 2 2 3 8 4" xfId="2596" xr:uid="{00000000-0005-0000-0000-00003C230000}"/>
    <cellStyle name="Примечание 2 2 3 8 4 2" xfId="22803" xr:uid="{00000000-0005-0000-0000-00003D230000}"/>
    <cellStyle name="Примечание 2 2 3 8 4 3" xfId="39269" xr:uid="{B37D0157-F58C-44A7-AF31-350876F4F588}"/>
    <cellStyle name="Примечание 2 2 3 8 5" xfId="2960" xr:uid="{00000000-0005-0000-0000-00003E230000}"/>
    <cellStyle name="Примечание 2 2 3 8 5 2" xfId="20850" xr:uid="{00000000-0005-0000-0000-00003F230000}"/>
    <cellStyle name="Примечание 2 2 3 8 5 3" xfId="37653" xr:uid="{BE5237CD-496C-4DA7-9F6E-227F6204770D}"/>
    <cellStyle name="Примечание 2 2 3 8 6" xfId="4356" xr:uid="{00000000-0005-0000-0000-000040230000}"/>
    <cellStyle name="Примечание 2 2 3 8 7" xfId="4878" xr:uid="{00000000-0005-0000-0000-000041230000}"/>
    <cellStyle name="Примечание 2 2 3 8 8" xfId="5359" xr:uid="{00000000-0005-0000-0000-000042230000}"/>
    <cellStyle name="Примечание 2 2 3 9" xfId="830" xr:uid="{00000000-0005-0000-0000-000043230000}"/>
    <cellStyle name="Примечание 2 2 3 9 2" xfId="1659" xr:uid="{00000000-0005-0000-0000-000044230000}"/>
    <cellStyle name="Примечание 2 2 3 9 2 2" xfId="21652" xr:uid="{00000000-0005-0000-0000-000045230000}"/>
    <cellStyle name="Примечание 2 2 3 9 2 2 2" xfId="38294" xr:uid="{9CCDEC7D-512D-469B-B3C6-6513E5D23C97}"/>
    <cellStyle name="Примечание 2 2 3 9 2 3" xfId="6415" xr:uid="{00000000-0005-0000-0000-000046230000}"/>
    <cellStyle name="Примечание 2 2 3 9 2 4" xfId="24202" xr:uid="{12DB0A00-7549-4A8F-AE9B-CBDD85FD14C9}"/>
    <cellStyle name="Примечание 2 2 3 9 3" xfId="1947" xr:uid="{00000000-0005-0000-0000-000047230000}"/>
    <cellStyle name="Примечание 2 2 3 9 3 2" xfId="22274" xr:uid="{00000000-0005-0000-0000-000048230000}"/>
    <cellStyle name="Примечание 2 2 3 9 3 2 2" xfId="38884" xr:uid="{316EF1FD-FE7B-4462-B9B8-2AD929CA11CC}"/>
    <cellStyle name="Примечание 2 2 3 9 3 3" xfId="7184" xr:uid="{00000000-0005-0000-0000-000049230000}"/>
    <cellStyle name="Примечание 2 2 3 9 3 4" xfId="24811" xr:uid="{94E82C7B-AC8C-46CF-9E91-5AF87846974D}"/>
    <cellStyle name="Примечание 2 2 3 9 4" xfId="2922" xr:uid="{00000000-0005-0000-0000-00004A230000}"/>
    <cellStyle name="Примечание 2 2 3 9 4 2" xfId="22807" xr:uid="{00000000-0005-0000-0000-00004B230000}"/>
    <cellStyle name="Примечание 2 2 3 9 4 3" xfId="39273" xr:uid="{61117E46-5646-48AF-9106-2C341C2079DB}"/>
    <cellStyle name="Примечание 2 2 3 9 5" xfId="3272" xr:uid="{00000000-0005-0000-0000-00004C230000}"/>
    <cellStyle name="Примечание 2 2 3 9 5 2" xfId="20915" xr:uid="{00000000-0005-0000-0000-00004D230000}"/>
    <cellStyle name="Примечание 2 2 3 9 5 3" xfId="37705" xr:uid="{30186455-5942-458C-BDAF-936A14529A57}"/>
    <cellStyle name="Примечание 2 2 3 9 6" xfId="4388" xr:uid="{00000000-0005-0000-0000-00004E230000}"/>
    <cellStyle name="Примечание 2 2 3 9 7" xfId="4910" xr:uid="{00000000-0005-0000-0000-00004F230000}"/>
    <cellStyle name="Примечание 2 2 3 9 8" xfId="5391" xr:uid="{00000000-0005-0000-0000-000050230000}"/>
    <cellStyle name="Примечание 2 2 4" xfId="879" xr:uid="{00000000-0005-0000-0000-000051230000}"/>
    <cellStyle name="Примечание 2 2 4 2" xfId="1959" xr:uid="{00000000-0005-0000-0000-000052230000}"/>
    <cellStyle name="Примечание 2 2 4 2 2" xfId="21036" xr:uid="{00000000-0005-0000-0000-000053230000}"/>
    <cellStyle name="Примечание 2 2 4 2 2 2" xfId="37785" xr:uid="{B8F02D22-B7AA-4CA2-B162-8C2F86B3AD29}"/>
    <cellStyle name="Примечание 2 2 4 2 3" xfId="5812" xr:uid="{00000000-0005-0000-0000-000054230000}"/>
    <cellStyle name="Примечание 2 2 4 2 4" xfId="23693" xr:uid="{1FB041A0-3D2D-4662-9631-ED74CBA0FA7E}"/>
    <cellStyle name="Примечание 2 2 4 3" xfId="2758" xr:uid="{00000000-0005-0000-0000-000055230000}"/>
    <cellStyle name="Примечание 2 2 4 3 2" xfId="21765" xr:uid="{00000000-0005-0000-0000-000056230000}"/>
    <cellStyle name="Примечание 2 2 4 3 2 2" xfId="38375" xr:uid="{879F4002-D929-468F-A59A-B529790EDD3A}"/>
    <cellStyle name="Примечание 2 2 4 3 3" xfId="6681" xr:uid="{00000000-0005-0000-0000-000057230000}"/>
    <cellStyle name="Примечание 2 2 4 3 4" xfId="24308" xr:uid="{5234EA90-A18D-49C0-B7C4-337EA06CB977}"/>
    <cellStyle name="Примечание 2 2 4 4" xfId="3045" xr:uid="{00000000-0005-0000-0000-000058230000}"/>
    <cellStyle name="Примечание 2 2 4 4 2" xfId="22554" xr:uid="{00000000-0005-0000-0000-000059230000}"/>
    <cellStyle name="Примечание 2 2 4 4 3" xfId="39033" xr:uid="{C4DFDD0D-5A40-48F2-AA72-82AC7CE1CBA1}"/>
    <cellStyle name="Примечание 2 2 4 5" xfId="3462" xr:uid="{00000000-0005-0000-0000-00005A230000}"/>
    <cellStyle name="Примечание 2 2 4 5 2" xfId="13997" xr:uid="{00000000-0005-0000-0000-00005B230000}"/>
    <cellStyle name="Примечание 2 2 4 5 3" xfId="31058" xr:uid="{4140106D-EF6C-43D0-802A-F162886D7FD0}"/>
    <cellStyle name="Примечание 2 2 4 6" xfId="3596" xr:uid="{00000000-0005-0000-0000-00005C230000}"/>
    <cellStyle name="Примечание 2 2 4 7" xfId="3551" xr:uid="{00000000-0005-0000-0000-00005D230000}"/>
    <cellStyle name="Примечание 2 2 5" xfId="1840" xr:uid="{00000000-0005-0000-0000-00005E230000}"/>
    <cellStyle name="Примечание 2 2 5 2" xfId="23043" xr:uid="{00000000-0005-0000-0000-00005F230000}"/>
    <cellStyle name="Примечание 2 2 5 2 2" xfId="39509" xr:uid="{017434A5-B1D8-4330-8F09-BCE28D0E69A2}"/>
    <cellStyle name="Примечание 2 2 5 3" xfId="5589" xr:uid="{00000000-0005-0000-0000-000060230000}"/>
    <cellStyle name="Примечание 2 2 5 4" xfId="23607" xr:uid="{1B9F81F1-BF79-4C85-B5C4-5FFC06C4A1AC}"/>
    <cellStyle name="Примечание 2 2 6" xfId="2627" xr:uid="{00000000-0005-0000-0000-000061230000}"/>
    <cellStyle name="Примечание 2 2 6 2" xfId="6601" xr:uid="{00000000-0005-0000-0000-000062230000}"/>
    <cellStyle name="Примечание 2 2 6 3" xfId="24228" xr:uid="{1F9CD6E0-E6E2-432F-8998-09D4E344D90E}"/>
    <cellStyle name="Примечание 2 2 7" xfId="3781" xr:uid="{00000000-0005-0000-0000-000063230000}"/>
    <cellStyle name="Примечание 2 2 7 2" xfId="7385" xr:uid="{00000000-0005-0000-0000-000064230000}"/>
    <cellStyle name="Примечание 2 2 7 3" xfId="24854" xr:uid="{EC7D4A4B-6955-4554-96BB-EBB3B44F744F}"/>
    <cellStyle name="Примечание 2 2 8" xfId="3292" xr:uid="{00000000-0005-0000-0000-000065230000}"/>
    <cellStyle name="Примечание 2 2 9" xfId="3320" xr:uid="{00000000-0005-0000-0000-000066230000}"/>
    <cellStyle name="Примечание 2 3" xfId="184" xr:uid="{00000000-0005-0000-0000-000067230000}"/>
    <cellStyle name="Примечание 2 3 10" xfId="3128" xr:uid="{00000000-0005-0000-0000-000068230000}"/>
    <cellStyle name="Примечание 2 3 2" xfId="231" xr:uid="{00000000-0005-0000-0000-000069230000}"/>
    <cellStyle name="Примечание 2 3 2 10" xfId="814" xr:uid="{00000000-0005-0000-0000-00006A230000}"/>
    <cellStyle name="Примечание 2 3 2 10 2" xfId="1643" xr:uid="{00000000-0005-0000-0000-00006B230000}"/>
    <cellStyle name="Примечание 2 3 2 10 2 2" xfId="21636" xr:uid="{00000000-0005-0000-0000-00006C230000}"/>
    <cellStyle name="Примечание 2 3 2 10 2 2 2" xfId="38278" xr:uid="{4B401A13-116F-4CB7-AE73-AAAAFA1348BE}"/>
    <cellStyle name="Примечание 2 3 2 10 2 3" xfId="6399" xr:uid="{00000000-0005-0000-0000-00006D230000}"/>
    <cellStyle name="Примечание 2 3 2 10 2 4" xfId="24186" xr:uid="{7A306834-1615-4F10-990F-81F682CB97FF}"/>
    <cellStyle name="Примечание 2 3 2 10 3" xfId="1949" xr:uid="{00000000-0005-0000-0000-00006E230000}"/>
    <cellStyle name="Примечание 2 3 2 10 3 2" xfId="22258" xr:uid="{00000000-0005-0000-0000-00006F230000}"/>
    <cellStyle name="Примечание 2 3 2 10 3 2 2" xfId="38868" xr:uid="{C66D1138-E5DA-4283-B644-848019CEC2E4}"/>
    <cellStyle name="Примечание 2 3 2 10 3 3" xfId="7168" xr:uid="{00000000-0005-0000-0000-000070230000}"/>
    <cellStyle name="Примечание 2 3 2 10 3 4" xfId="24795" xr:uid="{8CC126F6-8317-43B6-8CEE-BE86A90EF93D}"/>
    <cellStyle name="Примечание 2 3 2 10 4" xfId="2506" xr:uid="{00000000-0005-0000-0000-000071230000}"/>
    <cellStyle name="Примечание 2 3 2 10 4 2" xfId="22813" xr:uid="{00000000-0005-0000-0000-000072230000}"/>
    <cellStyle name="Примечание 2 3 2 10 4 3" xfId="39279" xr:uid="{DEF73894-1346-42E7-A5A8-D8FF06084475}"/>
    <cellStyle name="Примечание 2 3 2 10 5" xfId="3136" xr:uid="{00000000-0005-0000-0000-000073230000}"/>
    <cellStyle name="Примечание 2 3 2 10 5 2" xfId="20899" xr:uid="{00000000-0005-0000-0000-000074230000}"/>
    <cellStyle name="Примечание 2 3 2 10 5 3" xfId="37689" xr:uid="{6F0E2608-FAD2-417F-92A7-1F3347C27F03}"/>
    <cellStyle name="Примечание 2 3 2 10 6" xfId="4372" xr:uid="{00000000-0005-0000-0000-000075230000}"/>
    <cellStyle name="Примечание 2 3 2 10 7" xfId="4894" xr:uid="{00000000-0005-0000-0000-000076230000}"/>
    <cellStyle name="Примечание 2 3 2 10 8" xfId="5375" xr:uid="{00000000-0005-0000-0000-000077230000}"/>
    <cellStyle name="Примечание 2 3 2 11" xfId="952" xr:uid="{00000000-0005-0000-0000-000078230000}"/>
    <cellStyle name="Примечание 2 3 2 11 2" xfId="2269" xr:uid="{00000000-0005-0000-0000-000079230000}"/>
    <cellStyle name="Примечание 2 3 2 11 2 2" xfId="21798" xr:uid="{00000000-0005-0000-0000-00007A230000}"/>
    <cellStyle name="Примечание 2 3 2 11 2 2 2" xfId="38408" xr:uid="{9F916F04-00C5-46F8-BD95-71A1D80AD197}"/>
    <cellStyle name="Примечание 2 3 2 11 2 3" xfId="5870" xr:uid="{00000000-0005-0000-0000-00007B230000}"/>
    <cellStyle name="Примечание 2 3 2 11 2 4" xfId="23726" xr:uid="{F8D15A23-03DC-4574-B75F-BDB33C5CD598}"/>
    <cellStyle name="Примечание 2 3 2 11 3" xfId="2710" xr:uid="{00000000-0005-0000-0000-00007C230000}"/>
    <cellStyle name="Примечание 2 3 2 11 3 2" xfId="22709" xr:uid="{00000000-0005-0000-0000-00007D230000}"/>
    <cellStyle name="Примечание 2 3 2 11 3 2 2" xfId="39179" xr:uid="{72D5AA23-C5BD-4B64-8D27-A05F76D4A2A5}"/>
    <cellStyle name="Примечание 2 3 2 11 3 3" xfId="6714" xr:uid="{00000000-0005-0000-0000-00007E230000}"/>
    <cellStyle name="Примечание 2 3 2 11 3 4" xfId="24341" xr:uid="{C18B5EDB-A81F-42FD-BE49-7C09E7239C5E}"/>
    <cellStyle name="Примечание 2 3 2 11 4" xfId="3829" xr:uid="{00000000-0005-0000-0000-00007F230000}"/>
    <cellStyle name="Примечание 2 3 2 11 4 2" xfId="21094" xr:uid="{00000000-0005-0000-0000-000080230000}"/>
    <cellStyle name="Примечание 2 3 2 11 4 3" xfId="37818" xr:uid="{E9586ED5-B17A-4CAE-8CC0-417B6437B1B6}"/>
    <cellStyle name="Примечание 2 3 2 11 5" xfId="3753" xr:uid="{00000000-0005-0000-0000-000081230000}"/>
    <cellStyle name="Примечание 2 3 2 11 6" xfId="3287" xr:uid="{00000000-0005-0000-0000-000082230000}"/>
    <cellStyle name="Примечание 2 3 2 11 7" xfId="3566" xr:uid="{00000000-0005-0000-0000-000083230000}"/>
    <cellStyle name="Примечание 2 3 2 12" xfId="1792" xr:uid="{00000000-0005-0000-0000-000084230000}"/>
    <cellStyle name="Примечание 2 3 2 12 2" xfId="20964" xr:uid="{00000000-0005-0000-0000-000085230000}"/>
    <cellStyle name="Примечание 2 3 2 12 2 2" xfId="37741" xr:uid="{A4E7B041-9BCA-4722-B6B9-72F1C4783631}"/>
    <cellStyle name="Примечание 2 3 2 12 3" xfId="5707" xr:uid="{00000000-0005-0000-0000-000086230000}"/>
    <cellStyle name="Примечание 2 3 2 12 4" xfId="23646" xr:uid="{DAA51BC7-B0D0-40B7-9702-78B3E84DCA45}"/>
    <cellStyle name="Примечание 2 3 2 13" xfId="2413" xr:uid="{00000000-0005-0000-0000-000087230000}"/>
    <cellStyle name="Примечание 2 3 2 13 2" xfId="21721" xr:uid="{00000000-0005-0000-0000-000088230000}"/>
    <cellStyle name="Примечание 2 3 2 13 2 2" xfId="38331" xr:uid="{2F49F70A-D2AC-491A-AA15-25CE04DB4D0D}"/>
    <cellStyle name="Примечание 2 3 2 13 3" xfId="6639" xr:uid="{00000000-0005-0000-0000-000089230000}"/>
    <cellStyle name="Примечание 2 3 2 13 4" xfId="24266" xr:uid="{FF227A67-6E9D-4883-B0BF-CD4799E7AD80}"/>
    <cellStyle name="Примечание 2 3 2 14" xfId="3005" xr:uid="{00000000-0005-0000-0000-00008A230000}"/>
    <cellStyle name="Примечание 2 3 2 14 2" xfId="22545" xr:uid="{00000000-0005-0000-0000-00008B230000}"/>
    <cellStyle name="Примечание 2 3 2 14 3" xfId="39024" xr:uid="{8A7F56EE-75F2-4B62-8FD6-3AFC633F4111}"/>
    <cellStyle name="Примечание 2 3 2 15" xfId="3338" xr:uid="{00000000-0005-0000-0000-00008C230000}"/>
    <cellStyle name="Примечание 2 3 2 15 2" xfId="7488" xr:uid="{00000000-0005-0000-0000-00008D230000}"/>
    <cellStyle name="Примечание 2 3 2 15 3" xfId="24890" xr:uid="{EF8E4ACD-C18A-43E2-9EB7-F45F71DDA25A}"/>
    <cellStyle name="Примечание 2 3 2 16" xfId="3872" xr:uid="{00000000-0005-0000-0000-00008E230000}"/>
    <cellStyle name="Примечание 2 3 2 17" xfId="3834" xr:uid="{00000000-0005-0000-0000-00008F230000}"/>
    <cellStyle name="Примечание 2 3 2 2" xfId="332" xr:uid="{00000000-0005-0000-0000-000090230000}"/>
    <cellStyle name="Примечание 2 3 2 2 2" xfId="1024" xr:uid="{00000000-0005-0000-0000-000091230000}"/>
    <cellStyle name="Примечание 2 3 2 2 2 2" xfId="21183" xr:uid="{00000000-0005-0000-0000-000092230000}"/>
    <cellStyle name="Примечание 2 3 2 2 2 2 2" xfId="37858" xr:uid="{3ED9659F-170F-47D2-BBA7-931A254FCBB9}"/>
    <cellStyle name="Примечание 2 3 2 2 2 3" xfId="5963" xr:uid="{00000000-0005-0000-0000-000093230000}"/>
    <cellStyle name="Примечание 2 3 2 2 2 4" xfId="23766" xr:uid="{B7E2238E-5D8E-4EB3-8653-BC587D720515}"/>
    <cellStyle name="Примечание 2 3 2 2 3" xfId="2051" xr:uid="{00000000-0005-0000-0000-000094230000}"/>
    <cellStyle name="Примечание 2 3 2 2 3 2" xfId="21838" xr:uid="{00000000-0005-0000-0000-000095230000}"/>
    <cellStyle name="Примечание 2 3 2 2 3 2 2" xfId="38448" xr:uid="{6AD22E7E-4FDE-40B6-9AE6-51183368848A}"/>
    <cellStyle name="Примечание 2 3 2 2 3 3" xfId="6752" xr:uid="{00000000-0005-0000-0000-000096230000}"/>
    <cellStyle name="Примечание 2 3 2 2 3 4" xfId="24379" xr:uid="{70D568E4-3C73-4893-BB90-337592CD684E}"/>
    <cellStyle name="Примечание 2 3 2 2 4" xfId="2841" xr:uid="{00000000-0005-0000-0000-000097230000}"/>
    <cellStyle name="Примечание 2 3 2 2 4 2" xfId="22958" xr:uid="{00000000-0005-0000-0000-000098230000}"/>
    <cellStyle name="Примечание 2 3 2 2 4 3" xfId="39424" xr:uid="{D822432D-7338-4AE0-A8D7-423850F5E272}"/>
    <cellStyle name="Примечание 2 3 2 2 5" xfId="3697" xr:uid="{00000000-0005-0000-0000-000099230000}"/>
    <cellStyle name="Примечание 2 3 2 2 5 2" xfId="14070" xr:uid="{00000000-0005-0000-0000-00009A230000}"/>
    <cellStyle name="Примечание 2 3 2 2 5 3" xfId="31109" xr:uid="{89CDB6B8-3F13-4E8B-BED6-B720A5E92481}"/>
    <cellStyle name="Примечание 2 3 2 2 6" xfId="3936" xr:uid="{00000000-0005-0000-0000-00009B230000}"/>
    <cellStyle name="Примечание 2 3 2 2 7" xfId="4468" xr:uid="{00000000-0005-0000-0000-00009C230000}"/>
    <cellStyle name="Примечание 2 3 2 2 8" xfId="4959" xr:uid="{00000000-0005-0000-0000-00009D230000}"/>
    <cellStyle name="Примечание 2 3 2 3" xfId="453" xr:uid="{00000000-0005-0000-0000-00009E230000}"/>
    <cellStyle name="Примечание 2 3 2 3 2" xfId="1285" xr:uid="{00000000-0005-0000-0000-00009F230000}"/>
    <cellStyle name="Примечание 2 3 2 3 2 2" xfId="21278" xr:uid="{00000000-0005-0000-0000-0000A0230000}"/>
    <cellStyle name="Примечание 2 3 2 3 2 2 2" xfId="37920" xr:uid="{ADC562CD-52A3-4BC4-B64D-EB3F9066C2E3}"/>
    <cellStyle name="Примечание 2 3 2 3 2 3" xfId="6041" xr:uid="{00000000-0005-0000-0000-0000A1230000}"/>
    <cellStyle name="Примечание 2 3 2 3 2 4" xfId="23828" xr:uid="{7202635C-6B31-412B-A161-9359F6FEF16A}"/>
    <cellStyle name="Примечание 2 3 2 3 3" xfId="2131" xr:uid="{00000000-0005-0000-0000-0000A2230000}"/>
    <cellStyle name="Примечание 2 3 2 3 3 2" xfId="21900" xr:uid="{00000000-0005-0000-0000-0000A3230000}"/>
    <cellStyle name="Примечание 2 3 2 3 3 2 2" xfId="38510" xr:uid="{28B903B9-0C79-46AD-99C6-472E843A7267}"/>
    <cellStyle name="Примечание 2 3 2 3 3 3" xfId="6811" xr:uid="{00000000-0005-0000-0000-0000A4230000}"/>
    <cellStyle name="Примечание 2 3 2 3 3 4" xfId="24438" xr:uid="{5F8A94C7-E04F-4F49-9B4F-6326401CBEA4}"/>
    <cellStyle name="Примечание 2 3 2 3 4" xfId="2490" xr:uid="{00000000-0005-0000-0000-0000A5230000}"/>
    <cellStyle name="Примечание 2 3 2 3 4 2" xfId="22835" xr:uid="{00000000-0005-0000-0000-0000A6230000}"/>
    <cellStyle name="Примечание 2 3 2 3 4 3" xfId="39301" xr:uid="{C5C8B99A-99B6-4745-9E03-6B996D6A0E56}"/>
    <cellStyle name="Примечание 2 3 2 3 5" xfId="3428" xr:uid="{00000000-0005-0000-0000-0000A7230000}"/>
    <cellStyle name="Примечание 2 3 2 3 5 2" xfId="20423" xr:uid="{00000000-0005-0000-0000-0000A8230000}"/>
    <cellStyle name="Примечание 2 3 2 3 5 3" xfId="37330" xr:uid="{759D816D-6F92-4340-B317-78DB75F97035}"/>
    <cellStyle name="Примечание 2 3 2 3 6" xfId="4014" xr:uid="{00000000-0005-0000-0000-0000A9230000}"/>
    <cellStyle name="Примечание 2 3 2 3 7" xfId="4536" xr:uid="{00000000-0005-0000-0000-0000AA230000}"/>
    <cellStyle name="Примечание 2 3 2 3 8" xfId="5018" xr:uid="{00000000-0005-0000-0000-0000AB230000}"/>
    <cellStyle name="Примечание 2 3 2 4" xfId="499" xr:uid="{00000000-0005-0000-0000-0000AC230000}"/>
    <cellStyle name="Примечание 2 3 2 4 2" xfId="1331" xr:uid="{00000000-0005-0000-0000-0000AD230000}"/>
    <cellStyle name="Примечание 2 3 2 4 2 2" xfId="21324" xr:uid="{00000000-0005-0000-0000-0000AE230000}"/>
    <cellStyle name="Примечание 2 3 2 4 2 2 2" xfId="37966" xr:uid="{D98075D1-EFD6-41A7-AF0E-38FCA82F44A5}"/>
    <cellStyle name="Примечание 2 3 2 4 2 3" xfId="6087" xr:uid="{00000000-0005-0000-0000-0000AF230000}"/>
    <cellStyle name="Примечание 2 3 2 4 2 4" xfId="23874" xr:uid="{6AFA50FE-7254-4B59-869F-612E68B9FA55}"/>
    <cellStyle name="Примечание 2 3 2 4 3" xfId="1769" xr:uid="{00000000-0005-0000-0000-0000B0230000}"/>
    <cellStyle name="Примечание 2 3 2 4 3 2" xfId="21946" xr:uid="{00000000-0005-0000-0000-0000B1230000}"/>
    <cellStyle name="Примечание 2 3 2 4 3 2 2" xfId="38556" xr:uid="{36C586E7-05D7-410B-8C8B-470449EEBAFE}"/>
    <cellStyle name="Примечание 2 3 2 4 3 3" xfId="6856" xr:uid="{00000000-0005-0000-0000-0000B2230000}"/>
    <cellStyle name="Примечание 2 3 2 4 3 4" xfId="24483" xr:uid="{AE5A04F7-9DED-40CC-ADF5-15A395425BDF}"/>
    <cellStyle name="Примечание 2 3 2 4 4" xfId="2604" xr:uid="{00000000-0005-0000-0000-0000B3230000}"/>
    <cellStyle name="Примечание 2 3 2 4 4 2" xfId="22823" xr:uid="{00000000-0005-0000-0000-0000B4230000}"/>
    <cellStyle name="Примечание 2 3 2 4 4 3" xfId="39289" xr:uid="{7E347BD7-1042-430E-8B3C-E0F11296D0C2}"/>
    <cellStyle name="Примечание 2 3 2 4 5" xfId="3482" xr:uid="{00000000-0005-0000-0000-0000B5230000}"/>
    <cellStyle name="Примечание 2 3 2 4 5 2" xfId="20485" xr:uid="{00000000-0005-0000-0000-0000B6230000}"/>
    <cellStyle name="Примечание 2 3 2 4 5 3" xfId="37377" xr:uid="{8C863409-1517-4276-945C-DE96D7843E1A}"/>
    <cellStyle name="Примечание 2 3 2 4 6" xfId="4059" xr:uid="{00000000-0005-0000-0000-0000B7230000}"/>
    <cellStyle name="Примечание 2 3 2 4 7" xfId="4581" xr:uid="{00000000-0005-0000-0000-0000B8230000}"/>
    <cellStyle name="Примечание 2 3 2 4 8" xfId="5063" xr:uid="{00000000-0005-0000-0000-0000B9230000}"/>
    <cellStyle name="Примечание 2 3 2 5" xfId="551" xr:uid="{00000000-0005-0000-0000-0000BA230000}"/>
    <cellStyle name="Примечание 2 3 2 5 2" xfId="1383" xr:uid="{00000000-0005-0000-0000-0000BB230000}"/>
    <cellStyle name="Примечание 2 3 2 5 2 2" xfId="21376" xr:uid="{00000000-0005-0000-0000-0000BC230000}"/>
    <cellStyle name="Примечание 2 3 2 5 2 2 2" xfId="38018" xr:uid="{D4FD3C9C-B225-43FB-972D-64FEEF6EC7EB}"/>
    <cellStyle name="Примечание 2 3 2 5 2 3" xfId="6139" xr:uid="{00000000-0005-0000-0000-0000BD230000}"/>
    <cellStyle name="Примечание 2 3 2 5 2 4" xfId="23926" xr:uid="{B3491289-A747-47FD-ACF8-83EF716C97A7}"/>
    <cellStyle name="Примечание 2 3 2 5 3" xfId="1813" xr:uid="{00000000-0005-0000-0000-0000BE230000}"/>
    <cellStyle name="Примечание 2 3 2 5 3 2" xfId="21998" xr:uid="{00000000-0005-0000-0000-0000BF230000}"/>
    <cellStyle name="Примечание 2 3 2 5 3 2 2" xfId="38608" xr:uid="{AAD9FE05-B4BB-42F5-AB99-FD1722B5ECD8}"/>
    <cellStyle name="Примечание 2 3 2 5 3 3" xfId="6908" xr:uid="{00000000-0005-0000-0000-0000C0230000}"/>
    <cellStyle name="Примечание 2 3 2 5 3 4" xfId="24535" xr:uid="{7754A585-18E9-4EB9-A000-819F3079091D}"/>
    <cellStyle name="Примечание 2 3 2 5 4" xfId="2669" xr:uid="{00000000-0005-0000-0000-0000C1230000}"/>
    <cellStyle name="Примечание 2 3 2 5 4 2" xfId="22893" xr:uid="{00000000-0005-0000-0000-0000C2230000}"/>
    <cellStyle name="Примечание 2 3 2 5 4 3" xfId="39359" xr:uid="{08D3ACE5-4663-4D7A-9C98-ACF44861552F}"/>
    <cellStyle name="Примечание 2 3 2 5 5" xfId="3537" xr:uid="{00000000-0005-0000-0000-0000C3230000}"/>
    <cellStyle name="Примечание 2 3 2 5 5 2" xfId="20597" xr:uid="{00000000-0005-0000-0000-0000C4230000}"/>
    <cellStyle name="Примечание 2 3 2 5 5 3" xfId="37443" xr:uid="{2BB999C9-1CB9-4F75-9B06-3DD389C56784}"/>
    <cellStyle name="Примечание 2 3 2 5 6" xfId="4111" xr:uid="{00000000-0005-0000-0000-0000C5230000}"/>
    <cellStyle name="Примечание 2 3 2 5 7" xfId="4633" xr:uid="{00000000-0005-0000-0000-0000C6230000}"/>
    <cellStyle name="Примечание 2 3 2 5 8" xfId="5115" xr:uid="{00000000-0005-0000-0000-0000C7230000}"/>
    <cellStyle name="Примечание 2 3 2 6" xfId="603" xr:uid="{00000000-0005-0000-0000-0000C8230000}"/>
    <cellStyle name="Примечание 2 3 2 6 2" xfId="1435" xr:uid="{00000000-0005-0000-0000-0000C9230000}"/>
    <cellStyle name="Примечание 2 3 2 6 2 2" xfId="21428" xr:uid="{00000000-0005-0000-0000-0000CA230000}"/>
    <cellStyle name="Примечание 2 3 2 6 2 2 2" xfId="38070" xr:uid="{581E5450-8875-4549-B9B0-CBD5B8925A19}"/>
    <cellStyle name="Примечание 2 3 2 6 2 3" xfId="6191" xr:uid="{00000000-0005-0000-0000-0000CB230000}"/>
    <cellStyle name="Примечание 2 3 2 6 2 4" xfId="23978" xr:uid="{3645A648-0020-458C-A740-2E21DCE345E6}"/>
    <cellStyle name="Примечание 2 3 2 6 3" xfId="2077" xr:uid="{00000000-0005-0000-0000-0000CC230000}"/>
    <cellStyle name="Примечание 2 3 2 6 3 2" xfId="22050" xr:uid="{00000000-0005-0000-0000-0000CD230000}"/>
    <cellStyle name="Примечание 2 3 2 6 3 2 2" xfId="38660" xr:uid="{D7C8F210-4A39-4A14-A58D-C04AA58A0ABF}"/>
    <cellStyle name="Примечание 2 3 2 6 3 3" xfId="6960" xr:uid="{00000000-0005-0000-0000-0000CE230000}"/>
    <cellStyle name="Примечание 2 3 2 6 3 4" xfId="24587" xr:uid="{C4F24B8A-BB50-4B11-8954-C02FB6C17EC1}"/>
    <cellStyle name="Примечание 2 3 2 6 4" xfId="2865" xr:uid="{00000000-0005-0000-0000-0000CF230000}"/>
    <cellStyle name="Примечание 2 3 2 6 4 2" xfId="22719" xr:uid="{00000000-0005-0000-0000-0000D0230000}"/>
    <cellStyle name="Примечание 2 3 2 6 4 3" xfId="39188" xr:uid="{D19ADF89-EECD-4B6A-9343-1C7D4F3FF72F}"/>
    <cellStyle name="Примечание 2 3 2 6 5" xfId="3693" xr:uid="{00000000-0005-0000-0000-0000D1230000}"/>
    <cellStyle name="Примечание 2 3 2 6 5 2" xfId="20639" xr:uid="{00000000-0005-0000-0000-0000D2230000}"/>
    <cellStyle name="Примечание 2 3 2 6 5 3" xfId="37481" xr:uid="{A501BFC7-FA95-4092-8AD3-563F9F547A0D}"/>
    <cellStyle name="Примечание 2 3 2 6 6" xfId="4163" xr:uid="{00000000-0005-0000-0000-0000D3230000}"/>
    <cellStyle name="Примечание 2 3 2 6 7" xfId="4685" xr:uid="{00000000-0005-0000-0000-0000D4230000}"/>
    <cellStyle name="Примечание 2 3 2 6 8" xfId="5167" xr:uid="{00000000-0005-0000-0000-0000D5230000}"/>
    <cellStyle name="Примечание 2 3 2 7" xfId="702" xr:uid="{00000000-0005-0000-0000-0000D6230000}"/>
    <cellStyle name="Примечание 2 3 2 7 2" xfId="1532" xr:uid="{00000000-0005-0000-0000-0000D7230000}"/>
    <cellStyle name="Примечание 2 3 2 7 2 2" xfId="21525" xr:uid="{00000000-0005-0000-0000-0000D8230000}"/>
    <cellStyle name="Примечание 2 3 2 7 2 2 2" xfId="38167" xr:uid="{F4F81F71-C55A-406F-88A8-074F3E3CB9D8}"/>
    <cellStyle name="Примечание 2 3 2 7 2 3" xfId="6288" xr:uid="{00000000-0005-0000-0000-0000D9230000}"/>
    <cellStyle name="Примечание 2 3 2 7 2 4" xfId="24075" xr:uid="{777E4E89-4A64-4200-B837-B8DC10F7B646}"/>
    <cellStyle name="Примечание 2 3 2 7 3" xfId="1715" xr:uid="{00000000-0005-0000-0000-0000DA230000}"/>
    <cellStyle name="Примечание 2 3 2 7 3 2" xfId="22147" xr:uid="{00000000-0005-0000-0000-0000DB230000}"/>
    <cellStyle name="Примечание 2 3 2 7 3 2 2" xfId="38757" xr:uid="{F647BC2F-DB48-4F8F-A145-6224AC544442}"/>
    <cellStyle name="Примечание 2 3 2 7 3 3" xfId="7057" xr:uid="{00000000-0005-0000-0000-0000DC230000}"/>
    <cellStyle name="Примечание 2 3 2 7 3 4" xfId="24684" xr:uid="{CACE0041-3099-4B4F-922A-9810D4785765}"/>
    <cellStyle name="Примечание 2 3 2 7 4" xfId="2357" xr:uid="{00000000-0005-0000-0000-0000DD230000}"/>
    <cellStyle name="Примечание 2 3 2 7 4 2" xfId="22534" xr:uid="{00000000-0005-0000-0000-0000DE230000}"/>
    <cellStyle name="Примечание 2 3 2 7 4 3" xfId="39013" xr:uid="{6C6C091F-6E45-41C2-96B9-C9B2492905D8}"/>
    <cellStyle name="Примечание 2 3 2 7 5" xfId="2984" xr:uid="{00000000-0005-0000-0000-0000DF230000}"/>
    <cellStyle name="Примечание 2 3 2 7 5 2" xfId="20704" xr:uid="{00000000-0005-0000-0000-0000E0230000}"/>
    <cellStyle name="Примечание 2 3 2 7 5 3" xfId="37533" xr:uid="{58BADCBB-49B5-42EA-90F0-98B76A5537B6}"/>
    <cellStyle name="Примечание 2 3 2 7 6" xfId="4261" xr:uid="{00000000-0005-0000-0000-0000E1230000}"/>
    <cellStyle name="Примечание 2 3 2 7 7" xfId="4783" xr:uid="{00000000-0005-0000-0000-0000E2230000}"/>
    <cellStyle name="Примечание 2 3 2 7 8" xfId="5264" xr:uid="{00000000-0005-0000-0000-0000E3230000}"/>
    <cellStyle name="Примечание 2 3 2 8" xfId="748" xr:uid="{00000000-0005-0000-0000-0000E4230000}"/>
    <cellStyle name="Примечание 2 3 2 8 2" xfId="1578" xr:uid="{00000000-0005-0000-0000-0000E5230000}"/>
    <cellStyle name="Примечание 2 3 2 8 2 2" xfId="21571" xr:uid="{00000000-0005-0000-0000-0000E6230000}"/>
    <cellStyle name="Примечание 2 3 2 8 2 2 2" xfId="38213" xr:uid="{2C097589-69BB-4058-BB9D-963E375D632C}"/>
    <cellStyle name="Примечание 2 3 2 8 2 3" xfId="6334" xr:uid="{00000000-0005-0000-0000-0000E7230000}"/>
    <cellStyle name="Примечание 2 3 2 8 2 4" xfId="24121" xr:uid="{14579DEE-DCCD-4FAB-8F06-7A14E5BE0078}"/>
    <cellStyle name="Примечание 2 3 2 8 3" xfId="1869" xr:uid="{00000000-0005-0000-0000-0000E8230000}"/>
    <cellStyle name="Примечание 2 3 2 8 3 2" xfId="22193" xr:uid="{00000000-0005-0000-0000-0000E9230000}"/>
    <cellStyle name="Примечание 2 3 2 8 3 2 2" xfId="38803" xr:uid="{ADE84032-2E5F-4F58-8072-8304412779B3}"/>
    <cellStyle name="Примечание 2 3 2 8 3 3" xfId="7103" xr:uid="{00000000-0005-0000-0000-0000EA230000}"/>
    <cellStyle name="Примечание 2 3 2 8 3 4" xfId="24730" xr:uid="{B5D5D23B-DE75-477A-9F2D-CCDF10E93016}"/>
    <cellStyle name="Примечание 2 3 2 8 4" xfId="2950" xr:uid="{00000000-0005-0000-0000-0000EB230000}"/>
    <cellStyle name="Примечание 2 3 2 8 4 2" xfId="22806" xr:uid="{00000000-0005-0000-0000-0000EC230000}"/>
    <cellStyle name="Примечание 2 3 2 8 4 3" xfId="39272" xr:uid="{63E1CAE7-986F-4B52-B053-844235CB4F1C}"/>
    <cellStyle name="Примечание 2 3 2 8 5" xfId="3244" xr:uid="{00000000-0005-0000-0000-0000ED230000}"/>
    <cellStyle name="Примечание 2 3 2 8 5 2" xfId="20769" xr:uid="{00000000-0005-0000-0000-0000EE230000}"/>
    <cellStyle name="Примечание 2 3 2 8 5 3" xfId="37585" xr:uid="{FC3EF075-E51D-4A6D-AA68-937863E0F77B}"/>
    <cellStyle name="Примечание 2 3 2 8 6" xfId="4307" xr:uid="{00000000-0005-0000-0000-0000EF230000}"/>
    <cellStyle name="Примечание 2 3 2 8 7" xfId="4829" xr:uid="{00000000-0005-0000-0000-0000F0230000}"/>
    <cellStyle name="Примечание 2 3 2 8 8" xfId="5310" xr:uid="{00000000-0005-0000-0000-0000F1230000}"/>
    <cellStyle name="Примечание 2 3 2 9" xfId="782" xr:uid="{00000000-0005-0000-0000-0000F2230000}"/>
    <cellStyle name="Примечание 2 3 2 9 2" xfId="1611" xr:uid="{00000000-0005-0000-0000-0000F3230000}"/>
    <cellStyle name="Примечание 2 3 2 9 2 2" xfId="21604" xr:uid="{00000000-0005-0000-0000-0000F4230000}"/>
    <cellStyle name="Примечание 2 3 2 9 2 2 2" xfId="38246" xr:uid="{5A097624-BACF-4632-B336-74DF41D7BA25}"/>
    <cellStyle name="Примечание 2 3 2 9 2 3" xfId="6367" xr:uid="{00000000-0005-0000-0000-0000F5230000}"/>
    <cellStyle name="Примечание 2 3 2 9 2 4" xfId="24154" xr:uid="{BDC25F80-5884-4A7C-AD5C-92F0BBEFF5B4}"/>
    <cellStyle name="Примечание 2 3 2 9 3" xfId="1953" xr:uid="{00000000-0005-0000-0000-0000F6230000}"/>
    <cellStyle name="Примечание 2 3 2 9 3 2" xfId="22226" xr:uid="{00000000-0005-0000-0000-0000F7230000}"/>
    <cellStyle name="Примечание 2 3 2 9 3 2 2" xfId="38836" xr:uid="{00BA5C7F-464D-46F6-87FF-59D2C0A547DD}"/>
    <cellStyle name="Примечание 2 3 2 9 3 3" xfId="7136" xr:uid="{00000000-0005-0000-0000-0000F8230000}"/>
    <cellStyle name="Примечание 2 3 2 9 3 4" xfId="24763" xr:uid="{655C83AE-0144-4512-8CFC-DCB80F8F6D76}"/>
    <cellStyle name="Примечание 2 3 2 9 4" xfId="2377" xr:uid="{00000000-0005-0000-0000-0000F9230000}"/>
    <cellStyle name="Примечание 2 3 2 9 4 2" xfId="22808" xr:uid="{00000000-0005-0000-0000-0000FA230000}"/>
    <cellStyle name="Примечание 2 3 2 9 4 3" xfId="39274" xr:uid="{F842033A-87AE-4691-AC7E-11382F360062}"/>
    <cellStyle name="Примечание 2 3 2 9 5" xfId="3845" xr:uid="{00000000-0005-0000-0000-0000FB230000}"/>
    <cellStyle name="Примечание 2 3 2 9 5 2" xfId="20834" xr:uid="{00000000-0005-0000-0000-0000FC230000}"/>
    <cellStyle name="Примечание 2 3 2 9 5 3" xfId="37637" xr:uid="{2414D9E3-CF8E-4037-8CD5-CB113DF79E82}"/>
    <cellStyle name="Примечание 2 3 2 9 6" xfId="4340" xr:uid="{00000000-0005-0000-0000-0000FD230000}"/>
    <cellStyle name="Примечание 2 3 2 9 7" xfId="4862" xr:uid="{00000000-0005-0000-0000-0000FE230000}"/>
    <cellStyle name="Примечание 2 3 2 9 8" xfId="5343" xr:uid="{00000000-0005-0000-0000-0000FF230000}"/>
    <cellStyle name="Примечание 2 3 3" xfId="369" xr:uid="{00000000-0005-0000-0000-000000240000}"/>
    <cellStyle name="Примечание 2 3 3 10" xfId="993" xr:uid="{00000000-0005-0000-0000-000001240000}"/>
    <cellStyle name="Примечание 2 3 3 10 2" xfId="2272" xr:uid="{00000000-0005-0000-0000-000002240000}"/>
    <cellStyle name="Примечание 2 3 3 10 2 2" xfId="21858" xr:uid="{00000000-0005-0000-0000-000003240000}"/>
    <cellStyle name="Примечание 2 3 3 10 2 2 2" xfId="38468" xr:uid="{CAAF0449-66DA-4C84-A2F4-855EF9CF36A2}"/>
    <cellStyle name="Примечание 2 3 3 10 2 3" xfId="5998" xr:uid="{00000000-0005-0000-0000-000004240000}"/>
    <cellStyle name="Примечание 2 3 3 10 2 4" xfId="23786" xr:uid="{EB0E149A-9BD9-497D-8076-53339B9DE7DA}"/>
    <cellStyle name="Примечание 2 3 3 10 3" xfId="2713" xr:uid="{00000000-0005-0000-0000-000005240000}"/>
    <cellStyle name="Примечание 2 3 3 10 3 2" xfId="22712" xr:uid="{00000000-0005-0000-0000-000006240000}"/>
    <cellStyle name="Примечание 2 3 3 10 3 2 2" xfId="39182" xr:uid="{4B68B1E7-577F-4FBE-9E92-948A74846025}"/>
    <cellStyle name="Примечание 2 3 3 10 3 3" xfId="6772" xr:uid="{00000000-0005-0000-0000-000007240000}"/>
    <cellStyle name="Примечание 2 3 3 10 3 4" xfId="24399" xr:uid="{A929CDD6-45E9-4F09-A8D1-F7C3F35ABCCF}"/>
    <cellStyle name="Примечание 2 3 3 10 4" xfId="3832" xr:uid="{00000000-0005-0000-0000-000008240000}"/>
    <cellStyle name="Примечание 2 3 3 10 4 2" xfId="21217" xr:uid="{00000000-0005-0000-0000-000009240000}"/>
    <cellStyle name="Примечание 2 3 3 10 4 3" xfId="37878" xr:uid="{15E0F1D6-AD01-4F02-AE0D-323C2C9529C0}"/>
    <cellStyle name="Примечание 2 3 3 10 5" xfId="3962" xr:uid="{00000000-0005-0000-0000-00000A240000}"/>
    <cellStyle name="Примечание 2 3 3 10 6" xfId="4490" xr:uid="{00000000-0005-0000-0000-00000B240000}"/>
    <cellStyle name="Примечание 2 3 3 10 7" xfId="4979" xr:uid="{00000000-0005-0000-0000-00000C240000}"/>
    <cellStyle name="Примечание 2 3 3 11" xfId="1966" xr:uid="{00000000-0005-0000-0000-00000D240000}"/>
    <cellStyle name="Примечание 2 3 3 11 2" xfId="20984" xr:uid="{00000000-0005-0000-0000-00000E240000}"/>
    <cellStyle name="Примечание 2 3 3 11 2 2" xfId="37761" xr:uid="{D2F7A627-96CA-4941-86E3-8787FAE7B465}"/>
    <cellStyle name="Примечание 2 3 3 11 3" xfId="5742" xr:uid="{00000000-0005-0000-0000-00000F240000}"/>
    <cellStyle name="Примечание 2 3 3 11 4" xfId="23666" xr:uid="{DF052189-EF98-4393-BBD5-425A4CCFE1D5}"/>
    <cellStyle name="Примечание 2 3 3 12" xfId="2462" xr:uid="{00000000-0005-0000-0000-000010240000}"/>
    <cellStyle name="Примечание 2 3 3 12 2" xfId="21741" xr:uid="{00000000-0005-0000-0000-000011240000}"/>
    <cellStyle name="Примечание 2 3 3 12 2 2" xfId="38351" xr:uid="{42F2B46F-6C28-4218-AE52-9375E4ED26A3}"/>
    <cellStyle name="Примечание 2 3 3 12 3" xfId="6659" xr:uid="{00000000-0005-0000-0000-000012240000}"/>
    <cellStyle name="Примечание 2 3 3 12 4" xfId="24286" xr:uid="{C55E192B-F748-4BA5-B9CD-F3227ACCFFA1}"/>
    <cellStyle name="Примечание 2 3 3 13" xfId="3442" xr:uid="{00000000-0005-0000-0000-000013240000}"/>
    <cellStyle name="Примечание 2 3 3 13 2" xfId="22713" xr:uid="{00000000-0005-0000-0000-000014240000}"/>
    <cellStyle name="Примечание 2 3 3 13 3" xfId="39183" xr:uid="{8A67532C-25F7-4881-A4CC-C46223CC5B78}"/>
    <cellStyle name="Примечание 2 3 3 14" xfId="3286" xr:uid="{00000000-0005-0000-0000-000015240000}"/>
    <cellStyle name="Примечание 2 3 3 14 2" xfId="14039" xr:uid="{00000000-0005-0000-0000-000016240000}"/>
    <cellStyle name="Примечание 2 3 3 14 3" xfId="31078" xr:uid="{E61EED3A-D93C-4835-9206-CD4FE398954B}"/>
    <cellStyle name="Примечание 2 3 3 15" xfId="3487" xr:uid="{00000000-0005-0000-0000-000017240000}"/>
    <cellStyle name="Примечание 2 3 3 16" xfId="4400" xr:uid="{00000000-0005-0000-0000-000018240000}"/>
    <cellStyle name="Примечание 2 3 3 2" xfId="474" xr:uid="{00000000-0005-0000-0000-000019240000}"/>
    <cellStyle name="Примечание 2 3 3 2 2" xfId="1306" xr:uid="{00000000-0005-0000-0000-00001A240000}"/>
    <cellStyle name="Примечание 2 3 3 2 2 2" xfId="21299" xr:uid="{00000000-0005-0000-0000-00001B240000}"/>
    <cellStyle name="Примечание 2 3 3 2 2 2 2" xfId="37941" xr:uid="{3E39E7F3-E53C-43C1-AF40-1445B8171A6B}"/>
    <cellStyle name="Примечание 2 3 3 2 2 3" xfId="6062" xr:uid="{00000000-0005-0000-0000-00001C240000}"/>
    <cellStyle name="Примечание 2 3 3 2 2 4" xfId="23849" xr:uid="{458776DE-1343-42F0-A213-72F57971BBA2}"/>
    <cellStyle name="Примечание 2 3 3 2 3" xfId="1799" xr:uid="{00000000-0005-0000-0000-00001D240000}"/>
    <cellStyle name="Примечание 2 3 3 2 3 2" xfId="21921" xr:uid="{00000000-0005-0000-0000-00001E240000}"/>
    <cellStyle name="Примечание 2 3 3 2 3 2 2" xfId="38531" xr:uid="{F4AEF72F-C715-4936-B81C-A9C1C6DA6FD2}"/>
    <cellStyle name="Примечание 2 3 3 2 3 3" xfId="6831" xr:uid="{00000000-0005-0000-0000-00001F240000}"/>
    <cellStyle name="Примечание 2 3 3 2 3 4" xfId="24458" xr:uid="{56AF5E33-E47E-49CA-8854-8B3979F88AD4}"/>
    <cellStyle name="Примечание 2 3 3 2 4" xfId="2667" xr:uid="{00000000-0005-0000-0000-000020240000}"/>
    <cellStyle name="Примечание 2 3 3 2 4 2" xfId="22894" xr:uid="{00000000-0005-0000-0000-000021240000}"/>
    <cellStyle name="Примечание 2 3 3 2 4 3" xfId="39360" xr:uid="{3223F570-A97F-4454-B6EF-EC14C7F818EF}"/>
    <cellStyle name="Примечание 2 3 3 2 5" xfId="3538" xr:uid="{00000000-0005-0000-0000-000022240000}"/>
    <cellStyle name="Примечание 2 3 3 2 5 2" xfId="20458" xr:uid="{00000000-0005-0000-0000-000023240000}"/>
    <cellStyle name="Примечание 2 3 3 2 5 3" xfId="37350" xr:uid="{69CE39BA-2AD9-45CB-B902-B843BAF1158D}"/>
    <cellStyle name="Примечание 2 3 3 2 6" xfId="4034" xr:uid="{00000000-0005-0000-0000-000024240000}"/>
    <cellStyle name="Примечание 2 3 3 2 7" xfId="4556" xr:uid="{00000000-0005-0000-0000-000025240000}"/>
    <cellStyle name="Примечание 2 3 3 2 8" xfId="5038" xr:uid="{00000000-0005-0000-0000-000026240000}"/>
    <cellStyle name="Примечание 2 3 3 3" xfId="519" xr:uid="{00000000-0005-0000-0000-000027240000}"/>
    <cellStyle name="Примечание 2 3 3 3 2" xfId="1351" xr:uid="{00000000-0005-0000-0000-000028240000}"/>
    <cellStyle name="Примечание 2 3 3 3 2 2" xfId="21344" xr:uid="{00000000-0005-0000-0000-000029240000}"/>
    <cellStyle name="Примечание 2 3 3 3 2 2 2" xfId="37986" xr:uid="{7265892C-4A86-4F79-B774-CF19AB0987D1}"/>
    <cellStyle name="Примечание 2 3 3 3 2 3" xfId="6107" xr:uid="{00000000-0005-0000-0000-00002A240000}"/>
    <cellStyle name="Примечание 2 3 3 3 2 4" xfId="23894" xr:uid="{02CB9600-385A-496B-81F6-BE5A25872492}"/>
    <cellStyle name="Примечание 2 3 3 3 3" xfId="2070" xr:uid="{00000000-0005-0000-0000-00002B240000}"/>
    <cellStyle name="Примечание 2 3 3 3 3 2" xfId="21966" xr:uid="{00000000-0005-0000-0000-00002C240000}"/>
    <cellStyle name="Примечание 2 3 3 3 3 2 2" xfId="38576" xr:uid="{5885CE1E-C98F-4490-B282-74882D411EDF}"/>
    <cellStyle name="Примечание 2 3 3 3 3 3" xfId="6876" xr:uid="{00000000-0005-0000-0000-00002D240000}"/>
    <cellStyle name="Примечание 2 3 3 3 3 4" xfId="24503" xr:uid="{C17D1A2C-188C-4177-AE53-356198691DED}"/>
    <cellStyle name="Примечание 2 3 3 3 4" xfId="2857" xr:uid="{00000000-0005-0000-0000-00002E240000}"/>
    <cellStyle name="Примечание 2 3 3 3 4 2" xfId="22548" xr:uid="{00000000-0005-0000-0000-00002F240000}"/>
    <cellStyle name="Примечание 2 3 3 3 4 3" xfId="39027" xr:uid="{5A23706F-91CA-426F-9465-5154A33FC2BC}"/>
    <cellStyle name="Примечание 2 3 3 3 5" xfId="3323" xr:uid="{00000000-0005-0000-0000-000030240000}"/>
    <cellStyle name="Примечание 2 3 3 3 5 2" xfId="20505" xr:uid="{00000000-0005-0000-0000-000031240000}"/>
    <cellStyle name="Примечание 2 3 3 3 5 3" xfId="37397" xr:uid="{478F998E-F96C-482F-80E7-EDA1E39AC33E}"/>
    <cellStyle name="Примечание 2 3 3 3 6" xfId="4079" xr:uid="{00000000-0005-0000-0000-000032240000}"/>
    <cellStyle name="Примечание 2 3 3 3 7" xfId="4601" xr:uid="{00000000-0005-0000-0000-000033240000}"/>
    <cellStyle name="Примечание 2 3 3 3 8" xfId="5083" xr:uid="{00000000-0005-0000-0000-000034240000}"/>
    <cellStyle name="Примечание 2 3 3 4" xfId="571" xr:uid="{00000000-0005-0000-0000-000035240000}"/>
    <cellStyle name="Примечание 2 3 3 4 2" xfId="1403" xr:uid="{00000000-0005-0000-0000-000036240000}"/>
    <cellStyle name="Примечание 2 3 3 4 2 2" xfId="21396" xr:uid="{00000000-0005-0000-0000-000037240000}"/>
    <cellStyle name="Примечание 2 3 3 4 2 2 2" xfId="38038" xr:uid="{59AFF65F-2FD8-41B5-A4C3-7ACFEEF1DE55}"/>
    <cellStyle name="Примечание 2 3 3 4 2 3" xfId="6159" xr:uid="{00000000-0005-0000-0000-000038240000}"/>
    <cellStyle name="Примечание 2 3 3 4 2 4" xfId="23946" xr:uid="{60EAFF57-B24D-427D-9957-C3B3B41C35BB}"/>
    <cellStyle name="Примечание 2 3 3 4 3" xfId="2079" xr:uid="{00000000-0005-0000-0000-000039240000}"/>
    <cellStyle name="Примечание 2 3 3 4 3 2" xfId="22018" xr:uid="{00000000-0005-0000-0000-00003A240000}"/>
    <cellStyle name="Примечание 2 3 3 4 3 2 2" xfId="38628" xr:uid="{6E76B39B-BB04-4773-BAB1-0FDA3F0782B1}"/>
    <cellStyle name="Примечание 2 3 3 4 3 3" xfId="6928" xr:uid="{00000000-0005-0000-0000-00003B240000}"/>
    <cellStyle name="Примечание 2 3 3 4 3 4" xfId="24555" xr:uid="{51ED0C44-1EC5-410E-A06E-4C8CE5F319AF}"/>
    <cellStyle name="Примечание 2 3 3 4 4" xfId="2867" xr:uid="{00000000-0005-0000-0000-00003C240000}"/>
    <cellStyle name="Примечание 2 3 3 4 4 2" xfId="22601" xr:uid="{00000000-0005-0000-0000-00003D240000}"/>
    <cellStyle name="Примечание 2 3 3 4 4 3" xfId="39077" xr:uid="{BB4F5625-8F9C-49E2-A7AD-97D9FB03E7C1}"/>
    <cellStyle name="Примечание 2 3 3 4 5" xfId="3679" xr:uid="{00000000-0005-0000-0000-00003E240000}"/>
    <cellStyle name="Примечание 2 3 3 4 5 2" xfId="20621" xr:uid="{00000000-0005-0000-0000-00003F240000}"/>
    <cellStyle name="Примечание 2 3 3 4 5 3" xfId="37463" xr:uid="{BC761DEF-F5AB-44F9-8BCE-DC63F4AD05A8}"/>
    <cellStyle name="Примечание 2 3 3 4 6" xfId="4131" xr:uid="{00000000-0005-0000-0000-000040240000}"/>
    <cellStyle name="Примечание 2 3 3 4 7" xfId="4653" xr:uid="{00000000-0005-0000-0000-000041240000}"/>
    <cellStyle name="Примечание 2 3 3 4 8" xfId="5135" xr:uid="{00000000-0005-0000-0000-000042240000}"/>
    <cellStyle name="Примечание 2 3 3 5" xfId="623" xr:uid="{00000000-0005-0000-0000-000043240000}"/>
    <cellStyle name="Примечание 2 3 3 5 2" xfId="1455" xr:uid="{00000000-0005-0000-0000-000044240000}"/>
    <cellStyle name="Примечание 2 3 3 5 2 2" xfId="21448" xr:uid="{00000000-0005-0000-0000-000045240000}"/>
    <cellStyle name="Примечание 2 3 3 5 2 2 2" xfId="38090" xr:uid="{BFF99092-488A-46C0-8CF6-973C4390A13F}"/>
    <cellStyle name="Примечание 2 3 3 5 2 3" xfId="6211" xr:uid="{00000000-0005-0000-0000-000046240000}"/>
    <cellStyle name="Примечание 2 3 3 5 2 4" xfId="23998" xr:uid="{974B38B0-4F4C-4E8D-BCC7-E538946F9F5D}"/>
    <cellStyle name="Примечание 2 3 3 5 3" xfId="2192" xr:uid="{00000000-0005-0000-0000-000047240000}"/>
    <cellStyle name="Примечание 2 3 3 5 3 2" xfId="22070" xr:uid="{00000000-0005-0000-0000-000048240000}"/>
    <cellStyle name="Примечание 2 3 3 5 3 2 2" xfId="38680" xr:uid="{A3E7C568-4131-46FF-865E-1ECA3454569D}"/>
    <cellStyle name="Примечание 2 3 3 5 3 3" xfId="6980" xr:uid="{00000000-0005-0000-0000-000049240000}"/>
    <cellStyle name="Примечание 2 3 3 5 3 4" xfId="24607" xr:uid="{ECF98661-9A76-4007-BBDC-4F15724F2278}"/>
    <cellStyle name="Примечание 2 3 3 5 4" xfId="2637" xr:uid="{00000000-0005-0000-0000-00004A240000}"/>
    <cellStyle name="Примечание 2 3 3 5 4 2" xfId="22869" xr:uid="{00000000-0005-0000-0000-00004B240000}"/>
    <cellStyle name="Примечание 2 3 3 5 4 3" xfId="39335" xr:uid="{603F1E8A-04EA-4378-94B0-E01F2403A89A}"/>
    <cellStyle name="Примечание 2 3 3 5 5" xfId="3511" xr:uid="{00000000-0005-0000-0000-00004C240000}"/>
    <cellStyle name="Примечание 2 3 3 5 5 2" xfId="20659" xr:uid="{00000000-0005-0000-0000-00004D240000}"/>
    <cellStyle name="Примечание 2 3 3 5 5 3" xfId="37501" xr:uid="{24F571AC-B90E-4B93-A018-CA8879311048}"/>
    <cellStyle name="Примечание 2 3 3 5 6" xfId="4183" xr:uid="{00000000-0005-0000-0000-00004E240000}"/>
    <cellStyle name="Примечание 2 3 3 5 7" xfId="4705" xr:uid="{00000000-0005-0000-0000-00004F240000}"/>
    <cellStyle name="Примечание 2 3 3 5 8" xfId="5187" xr:uid="{00000000-0005-0000-0000-000050240000}"/>
    <cellStyle name="Примечание 2 3 3 6" xfId="726" xr:uid="{00000000-0005-0000-0000-000051240000}"/>
    <cellStyle name="Примечание 2 3 3 6 2" xfId="1556" xr:uid="{00000000-0005-0000-0000-000052240000}"/>
    <cellStyle name="Примечание 2 3 3 6 2 2" xfId="21549" xr:uid="{00000000-0005-0000-0000-000053240000}"/>
    <cellStyle name="Примечание 2 3 3 6 2 2 2" xfId="38191" xr:uid="{F9614516-A484-4B1D-A48C-F24BBFF9CCA0}"/>
    <cellStyle name="Примечание 2 3 3 6 2 3" xfId="6312" xr:uid="{00000000-0005-0000-0000-000054240000}"/>
    <cellStyle name="Примечание 2 3 3 6 2 4" xfId="24099" xr:uid="{0697C1BD-CF2A-4B17-9540-E0993C75F1CE}"/>
    <cellStyle name="Примечание 2 3 3 6 3" xfId="1747" xr:uid="{00000000-0005-0000-0000-000055240000}"/>
    <cellStyle name="Примечание 2 3 3 6 3 2" xfId="22171" xr:uid="{00000000-0005-0000-0000-000056240000}"/>
    <cellStyle name="Примечание 2 3 3 6 3 2 2" xfId="38781" xr:uid="{B8EF494D-3CC6-4ED1-8C28-71308B319F37}"/>
    <cellStyle name="Примечание 2 3 3 6 3 3" xfId="7081" xr:uid="{00000000-0005-0000-0000-000057240000}"/>
    <cellStyle name="Примечание 2 3 3 6 3 4" xfId="24708" xr:uid="{9F7CA1AD-20B3-4079-A02C-9912422CC6BA}"/>
    <cellStyle name="Примечание 2 3 3 6 4" xfId="2652" xr:uid="{00000000-0005-0000-0000-000058240000}"/>
    <cellStyle name="Примечание 2 3 3 6 4 2" xfId="22488" xr:uid="{00000000-0005-0000-0000-000059240000}"/>
    <cellStyle name="Примечание 2 3 3 6 4 3" xfId="38980" xr:uid="{BDC92D65-4DB6-4001-AC54-1AD231C4C6EA}"/>
    <cellStyle name="Примечание 2 3 3 6 5" xfId="2970" xr:uid="{00000000-0005-0000-0000-00005A240000}"/>
    <cellStyle name="Примечание 2 3 3 6 5 2" xfId="20724" xr:uid="{00000000-0005-0000-0000-00005B240000}"/>
    <cellStyle name="Примечание 2 3 3 6 5 3" xfId="37553" xr:uid="{AEA9A8EB-45BB-4136-90BE-A0D33D48C308}"/>
    <cellStyle name="Примечание 2 3 3 6 6" xfId="4285" xr:uid="{00000000-0005-0000-0000-00005C240000}"/>
    <cellStyle name="Примечание 2 3 3 6 7" xfId="4807" xr:uid="{00000000-0005-0000-0000-00005D240000}"/>
    <cellStyle name="Примечание 2 3 3 6 8" xfId="5288" xr:uid="{00000000-0005-0000-0000-00005E240000}"/>
    <cellStyle name="Примечание 2 3 3 7" xfId="770" xr:uid="{00000000-0005-0000-0000-00005F240000}"/>
    <cellStyle name="Примечание 2 3 3 7 2" xfId="1599" xr:uid="{00000000-0005-0000-0000-000060240000}"/>
    <cellStyle name="Примечание 2 3 3 7 2 2" xfId="21592" xr:uid="{00000000-0005-0000-0000-000061240000}"/>
    <cellStyle name="Примечание 2 3 3 7 2 2 2" xfId="38234" xr:uid="{2D0E65D6-5F3F-4ABE-9D84-8E5C3848C2EC}"/>
    <cellStyle name="Примечание 2 3 3 7 2 3" xfId="6355" xr:uid="{00000000-0005-0000-0000-000062240000}"/>
    <cellStyle name="Примечание 2 3 3 7 2 4" xfId="24142" xr:uid="{023374E5-9CE1-44B2-8BDE-0FFA66D47BDA}"/>
    <cellStyle name="Примечание 2 3 3 7 3" xfId="2290" xr:uid="{00000000-0005-0000-0000-000063240000}"/>
    <cellStyle name="Примечание 2 3 3 7 3 2" xfId="22214" xr:uid="{00000000-0005-0000-0000-000064240000}"/>
    <cellStyle name="Примечание 2 3 3 7 3 2 2" xfId="38824" xr:uid="{37A4BF29-A9CA-45E3-B0A1-8DF1AD4CEE57}"/>
    <cellStyle name="Примечание 2 3 3 7 3 3" xfId="7124" xr:uid="{00000000-0005-0000-0000-000065240000}"/>
    <cellStyle name="Примечание 2 3 3 7 3 4" xfId="24751" xr:uid="{3AF9374E-3D1F-44B4-880B-EA485B43E48C}"/>
    <cellStyle name="Примечание 2 3 3 7 4" xfId="2536" xr:uid="{00000000-0005-0000-0000-000066240000}"/>
    <cellStyle name="Примечание 2 3 3 7 4 2" xfId="22598" xr:uid="{00000000-0005-0000-0000-000067240000}"/>
    <cellStyle name="Примечание 2 3 3 7 4 3" xfId="39074" xr:uid="{29D9A84B-0B73-4AB4-82DD-481CE278630B}"/>
    <cellStyle name="Примечание 2 3 3 7 5" xfId="3017" xr:uid="{00000000-0005-0000-0000-000068240000}"/>
    <cellStyle name="Примечание 2 3 3 7 5 2" xfId="20789" xr:uid="{00000000-0005-0000-0000-000069240000}"/>
    <cellStyle name="Примечание 2 3 3 7 5 3" xfId="37605" xr:uid="{8E8F1719-B118-4C45-B834-C8D136415B7D}"/>
    <cellStyle name="Примечание 2 3 3 7 6" xfId="4328" xr:uid="{00000000-0005-0000-0000-00006A240000}"/>
    <cellStyle name="Примечание 2 3 3 7 7" xfId="4850" xr:uid="{00000000-0005-0000-0000-00006B240000}"/>
    <cellStyle name="Примечание 2 3 3 7 8" xfId="5331" xr:uid="{00000000-0005-0000-0000-00006C240000}"/>
    <cellStyle name="Примечание 2 3 3 8" xfId="802" xr:uid="{00000000-0005-0000-0000-00006D240000}"/>
    <cellStyle name="Примечание 2 3 3 8 2" xfId="1631" xr:uid="{00000000-0005-0000-0000-00006E240000}"/>
    <cellStyle name="Примечание 2 3 3 8 2 2" xfId="21624" xr:uid="{00000000-0005-0000-0000-00006F240000}"/>
    <cellStyle name="Примечание 2 3 3 8 2 2 2" xfId="38266" xr:uid="{70A2C39A-9B10-43E6-860B-7BFB36F6E44A}"/>
    <cellStyle name="Примечание 2 3 3 8 2 3" xfId="6387" xr:uid="{00000000-0005-0000-0000-000070240000}"/>
    <cellStyle name="Примечание 2 3 3 8 2 4" xfId="24174" xr:uid="{5050D866-0BEB-4D0A-A9EE-1FC7702EFB40}"/>
    <cellStyle name="Примечание 2 3 3 8 3" xfId="2295" xr:uid="{00000000-0005-0000-0000-000071240000}"/>
    <cellStyle name="Примечание 2 3 3 8 3 2" xfId="22246" xr:uid="{00000000-0005-0000-0000-000072240000}"/>
    <cellStyle name="Примечание 2 3 3 8 3 2 2" xfId="38856" xr:uid="{C9EFE920-DFB8-49B3-9EFA-57D797B14091}"/>
    <cellStyle name="Примечание 2 3 3 8 3 3" xfId="7156" xr:uid="{00000000-0005-0000-0000-000073240000}"/>
    <cellStyle name="Примечание 2 3 3 8 3 4" xfId="24783" xr:uid="{EE86D290-B6F1-4185-88FB-C71C036245E3}"/>
    <cellStyle name="Примечание 2 3 3 8 4" xfId="2949" xr:uid="{00000000-0005-0000-0000-000074240000}"/>
    <cellStyle name="Примечание 2 3 3 8 4 2" xfId="22594" xr:uid="{00000000-0005-0000-0000-000075240000}"/>
    <cellStyle name="Примечание 2 3 3 8 4 3" xfId="39070" xr:uid="{968C4908-801C-493E-84AA-DF8598125FD9}"/>
    <cellStyle name="Примечание 2 3 3 8 5" xfId="3237" xr:uid="{00000000-0005-0000-0000-000076240000}"/>
    <cellStyle name="Примечание 2 3 3 8 5 2" xfId="20854" xr:uid="{00000000-0005-0000-0000-000077240000}"/>
    <cellStyle name="Примечание 2 3 3 8 5 3" xfId="37657" xr:uid="{25AF61F1-DAF3-4969-9E42-16E78AAFBAA0}"/>
    <cellStyle name="Примечание 2 3 3 8 6" xfId="4360" xr:uid="{00000000-0005-0000-0000-000078240000}"/>
    <cellStyle name="Примечание 2 3 3 8 7" xfId="4882" xr:uid="{00000000-0005-0000-0000-000079240000}"/>
    <cellStyle name="Примечание 2 3 3 8 8" xfId="5363" xr:uid="{00000000-0005-0000-0000-00007A240000}"/>
    <cellStyle name="Примечание 2 3 3 9" xfId="834" xr:uid="{00000000-0005-0000-0000-00007B240000}"/>
    <cellStyle name="Примечание 2 3 3 9 2" xfId="1663" xr:uid="{00000000-0005-0000-0000-00007C240000}"/>
    <cellStyle name="Примечание 2 3 3 9 2 2" xfId="21656" xr:uid="{00000000-0005-0000-0000-00007D240000}"/>
    <cellStyle name="Примечание 2 3 3 9 2 2 2" xfId="38298" xr:uid="{2663B49D-5BD3-4AE6-9BA6-054F4C47C200}"/>
    <cellStyle name="Примечание 2 3 3 9 2 3" xfId="6419" xr:uid="{00000000-0005-0000-0000-00007E240000}"/>
    <cellStyle name="Примечание 2 3 3 9 2 4" xfId="24206" xr:uid="{08B8111E-EC0D-47B5-B903-A03787B7D5C5}"/>
    <cellStyle name="Примечание 2 3 3 9 3" xfId="2324" xr:uid="{00000000-0005-0000-0000-00007F240000}"/>
    <cellStyle name="Примечание 2 3 3 9 3 2" xfId="22278" xr:uid="{00000000-0005-0000-0000-000080240000}"/>
    <cellStyle name="Примечание 2 3 3 9 3 2 2" xfId="38888" xr:uid="{BDBB9B65-6BCF-4317-897B-6B5A400CA58E}"/>
    <cellStyle name="Примечание 2 3 3 9 3 3" xfId="7188" xr:uid="{00000000-0005-0000-0000-000081240000}"/>
    <cellStyle name="Примечание 2 3 3 9 3 4" xfId="24815" xr:uid="{CC723D91-CCCC-4403-9E92-055A2442CDA2}"/>
    <cellStyle name="Примечание 2 3 3 9 4" xfId="2592" xr:uid="{00000000-0005-0000-0000-000082240000}"/>
    <cellStyle name="Примечание 2 3 3 9 4 2" xfId="22590" xr:uid="{00000000-0005-0000-0000-000083240000}"/>
    <cellStyle name="Примечание 2 3 3 9 4 3" xfId="39066" xr:uid="{35D120FE-C970-49F3-BBFD-750A80EE7B42}"/>
    <cellStyle name="Примечание 2 3 3 9 5" xfId="2956" xr:uid="{00000000-0005-0000-0000-000084240000}"/>
    <cellStyle name="Примечание 2 3 3 9 5 2" xfId="20919" xr:uid="{00000000-0005-0000-0000-000085240000}"/>
    <cellStyle name="Примечание 2 3 3 9 5 3" xfId="37709" xr:uid="{FAAA523C-0E11-4449-841F-6EFDD1D9C385}"/>
    <cellStyle name="Примечание 2 3 3 9 6" xfId="4392" xr:uid="{00000000-0005-0000-0000-000086240000}"/>
    <cellStyle name="Примечание 2 3 3 9 7" xfId="4914" xr:uid="{00000000-0005-0000-0000-000087240000}"/>
    <cellStyle name="Примечание 2 3 3 9 8" xfId="5395" xr:uid="{00000000-0005-0000-0000-000088240000}"/>
    <cellStyle name="Примечание 2 3 4" xfId="884" xr:uid="{00000000-0005-0000-0000-000089240000}"/>
    <cellStyle name="Примечание 2 3 4 2" xfId="1798" xr:uid="{00000000-0005-0000-0000-00008A240000}"/>
    <cellStyle name="Примечание 2 3 4 2 2" xfId="21770" xr:uid="{00000000-0005-0000-0000-00008B240000}"/>
    <cellStyle name="Примечание 2 3 4 2 2 2" xfId="38380" xr:uid="{207BA060-1EF5-4A85-A15A-D24FF643B454}"/>
    <cellStyle name="Примечание 2 3 4 2 3" xfId="5827" xr:uid="{00000000-0005-0000-0000-00008C240000}"/>
    <cellStyle name="Примечание 2 3 4 2 4" xfId="23698" xr:uid="{03ED630F-22ED-4C88-9EAA-9BCC1DAAF181}"/>
    <cellStyle name="Примечание 2 3 4 3" xfId="2586" xr:uid="{00000000-0005-0000-0000-00008D240000}"/>
    <cellStyle name="Примечание 2 3 4 3 2" xfId="22986" xr:uid="{00000000-0005-0000-0000-00008E240000}"/>
    <cellStyle name="Примечание 2 3 4 3 2 2" xfId="39452" xr:uid="{382459EA-F79F-4422-8296-C8785485E5B4}"/>
    <cellStyle name="Примечание 2 3 4 3 3" xfId="6686" xr:uid="{00000000-0005-0000-0000-00008F240000}"/>
    <cellStyle name="Примечание 2 3 4 3 4" xfId="24313" xr:uid="{D83E7A24-7511-40D8-A1A9-E8FFBC769DB4}"/>
    <cellStyle name="Примечание 2 3 4 4" xfId="3621" xr:uid="{00000000-0005-0000-0000-000090240000}"/>
    <cellStyle name="Примечание 2 3 4 4 2" xfId="21051" xr:uid="{00000000-0005-0000-0000-000091240000}"/>
    <cellStyle name="Примечание 2 3 4 4 3" xfId="37790" xr:uid="{B385842F-AD44-4EE4-A2C8-EF567BAC8B4B}"/>
    <cellStyle name="Примечание 2 3 4 5" xfId="3443" xr:uid="{00000000-0005-0000-0000-000092240000}"/>
    <cellStyle name="Примечание 2 3 4 6" xfId="3900" xr:uid="{00000000-0005-0000-0000-000093240000}"/>
    <cellStyle name="Примечание 2 3 4 7" xfId="4438" xr:uid="{00000000-0005-0000-0000-000094240000}"/>
    <cellStyle name="Примечание 2 3 5" xfId="2042" xr:uid="{00000000-0005-0000-0000-000095240000}"/>
    <cellStyle name="Примечание 2 3 5 2" xfId="22577" xr:uid="{00000000-0005-0000-0000-000096240000}"/>
    <cellStyle name="Примечание 2 3 5 2 2" xfId="39054" xr:uid="{ADB9F47E-B394-43C3-A83B-10E2D0694EB6}"/>
    <cellStyle name="Примечание 2 3 5 3" xfId="5604" xr:uid="{00000000-0005-0000-0000-000097240000}"/>
    <cellStyle name="Примечание 2 3 5 4" xfId="23612" xr:uid="{C0698950-4B00-45C3-98BE-1FAA9AF3BAFE}"/>
    <cellStyle name="Примечание 2 3 6" xfId="2770" xr:uid="{00000000-0005-0000-0000-000098240000}"/>
    <cellStyle name="Примечание 2 3 6 2" xfId="6606" xr:uid="{00000000-0005-0000-0000-000099240000}"/>
    <cellStyle name="Примечание 2 3 6 3" xfId="24233" xr:uid="{75FE8AC0-49AE-4F79-9366-355FAD94B63C}"/>
    <cellStyle name="Примечание 2 3 7" xfId="3110" xr:uid="{00000000-0005-0000-0000-00009A240000}"/>
    <cellStyle name="Примечание 2 3 7 2" xfId="7399" xr:uid="{00000000-0005-0000-0000-00009B240000}"/>
    <cellStyle name="Примечание 2 3 7 3" xfId="24859" xr:uid="{A579D77E-09EB-4098-BD20-E472FF258635}"/>
    <cellStyle name="Примечание 2 3 8" xfId="2992" xr:uid="{00000000-0005-0000-0000-00009C240000}"/>
    <cellStyle name="Примечание 2 3 9" xfId="3439" xr:uid="{00000000-0005-0000-0000-00009D240000}"/>
    <cellStyle name="Примечание 2 4" xfId="194" xr:uid="{00000000-0005-0000-0000-00009E240000}"/>
    <cellStyle name="Примечание 2 4 10" xfId="3194" xr:uid="{00000000-0005-0000-0000-00009F240000}"/>
    <cellStyle name="Примечание 2 4 2" xfId="236" xr:uid="{00000000-0005-0000-0000-0000A0240000}"/>
    <cellStyle name="Примечание 2 4 2 10" xfId="819" xr:uid="{00000000-0005-0000-0000-0000A1240000}"/>
    <cellStyle name="Примечание 2 4 2 10 2" xfId="1648" xr:uid="{00000000-0005-0000-0000-0000A2240000}"/>
    <cellStyle name="Примечание 2 4 2 10 2 2" xfId="21641" xr:uid="{00000000-0005-0000-0000-0000A3240000}"/>
    <cellStyle name="Примечание 2 4 2 10 2 2 2" xfId="38283" xr:uid="{1DFF2687-958A-4744-8DA8-4825EC93ED73}"/>
    <cellStyle name="Примечание 2 4 2 10 2 3" xfId="6404" xr:uid="{00000000-0005-0000-0000-0000A4240000}"/>
    <cellStyle name="Примечание 2 4 2 10 2 4" xfId="24191" xr:uid="{D24CE32C-E80C-4E80-800B-7F016895B5E7}"/>
    <cellStyle name="Примечание 2 4 2 10 3" xfId="2004" xr:uid="{00000000-0005-0000-0000-0000A5240000}"/>
    <cellStyle name="Примечание 2 4 2 10 3 2" xfId="22263" xr:uid="{00000000-0005-0000-0000-0000A6240000}"/>
    <cellStyle name="Примечание 2 4 2 10 3 2 2" xfId="38873" xr:uid="{26122353-277E-4CE8-904E-5B9D4FFFA83E}"/>
    <cellStyle name="Примечание 2 4 2 10 3 3" xfId="7173" xr:uid="{00000000-0005-0000-0000-0000A7240000}"/>
    <cellStyle name="Примечание 2 4 2 10 3 4" xfId="24800" xr:uid="{E525B9AC-35B2-4D89-A17B-E45E270851F0}"/>
    <cellStyle name="Примечание 2 4 2 10 4" xfId="2334" xr:uid="{00000000-0005-0000-0000-0000A8240000}"/>
    <cellStyle name="Примечание 2 4 2 10 4 2" xfId="22474" xr:uid="{00000000-0005-0000-0000-0000A9240000}"/>
    <cellStyle name="Примечание 2 4 2 10 4 3" xfId="38966" xr:uid="{24426760-1AC3-472E-9367-F686F4D4DE70}"/>
    <cellStyle name="Примечание 2 4 2 10 5" xfId="3471" xr:uid="{00000000-0005-0000-0000-0000AA240000}"/>
    <cellStyle name="Примечание 2 4 2 10 5 2" xfId="20904" xr:uid="{00000000-0005-0000-0000-0000AB240000}"/>
    <cellStyle name="Примечание 2 4 2 10 5 3" xfId="37694" xr:uid="{6299797C-3F22-4251-8E15-E924AA65C442}"/>
    <cellStyle name="Примечание 2 4 2 10 6" xfId="4377" xr:uid="{00000000-0005-0000-0000-0000AC240000}"/>
    <cellStyle name="Примечание 2 4 2 10 7" xfId="4899" xr:uid="{00000000-0005-0000-0000-0000AD240000}"/>
    <cellStyle name="Примечание 2 4 2 10 8" xfId="5380" xr:uid="{00000000-0005-0000-0000-0000AE240000}"/>
    <cellStyle name="Примечание 2 4 2 11" xfId="957" xr:uid="{00000000-0005-0000-0000-0000AF240000}"/>
    <cellStyle name="Примечание 2 4 2 11 2" xfId="2258" xr:uid="{00000000-0005-0000-0000-0000B0240000}"/>
    <cellStyle name="Примечание 2 4 2 11 2 2" xfId="21803" xr:uid="{00000000-0005-0000-0000-0000B1240000}"/>
    <cellStyle name="Примечание 2 4 2 11 2 2 2" xfId="38413" xr:uid="{92B2A663-D760-4886-8BDC-BA56A78C20FD}"/>
    <cellStyle name="Примечание 2 4 2 11 2 3" xfId="5875" xr:uid="{00000000-0005-0000-0000-0000B2240000}"/>
    <cellStyle name="Примечание 2 4 2 11 2 4" xfId="23731" xr:uid="{AAF41C25-8D02-4614-B43A-86CFA3D22F49}"/>
    <cellStyle name="Примечание 2 4 2 11 3" xfId="2482" xr:uid="{00000000-0005-0000-0000-0000B3240000}"/>
    <cellStyle name="Примечание 2 4 2 11 3 2" xfId="22949" xr:uid="{00000000-0005-0000-0000-0000B4240000}"/>
    <cellStyle name="Примечание 2 4 2 11 3 2 2" xfId="39415" xr:uid="{E1A38750-9890-4F63-A9F8-662760F072F5}"/>
    <cellStyle name="Примечание 2 4 2 11 3 3" xfId="6719" xr:uid="{00000000-0005-0000-0000-0000B5240000}"/>
    <cellStyle name="Примечание 2 4 2 11 3 4" xfId="24346" xr:uid="{7B841AB4-A4B3-4058-81CA-31F661F796C4}"/>
    <cellStyle name="Примечание 2 4 2 11 4" xfId="3611" xr:uid="{00000000-0005-0000-0000-0000B6240000}"/>
    <cellStyle name="Примечание 2 4 2 11 4 2" xfId="21099" xr:uid="{00000000-0005-0000-0000-0000B7240000}"/>
    <cellStyle name="Примечание 2 4 2 11 4 3" xfId="37823" xr:uid="{62313B71-3D24-4775-9EB2-3850BA460DD8}"/>
    <cellStyle name="Примечание 2 4 2 11 5" xfId="3879" xr:uid="{00000000-0005-0000-0000-0000B8240000}"/>
    <cellStyle name="Примечание 2 4 2 11 6" xfId="4413" xr:uid="{00000000-0005-0000-0000-0000B9240000}"/>
    <cellStyle name="Примечание 2 4 2 11 7" xfId="4927" xr:uid="{00000000-0005-0000-0000-0000BA240000}"/>
    <cellStyle name="Примечание 2 4 2 12" xfId="1967" xr:uid="{00000000-0005-0000-0000-0000BB240000}"/>
    <cellStyle name="Примечание 2 4 2 12 2" xfId="20969" xr:uid="{00000000-0005-0000-0000-0000BC240000}"/>
    <cellStyle name="Примечание 2 4 2 12 2 2" xfId="37746" xr:uid="{A9473C15-1393-40DD-9DE8-E52632FE6C9A}"/>
    <cellStyle name="Примечание 2 4 2 12 3" xfId="5717" xr:uid="{00000000-0005-0000-0000-0000BD240000}"/>
    <cellStyle name="Примечание 2 4 2 12 4" xfId="23651" xr:uid="{44D6A698-DF43-4BE7-A72E-5B437E0F6AFF}"/>
    <cellStyle name="Примечание 2 4 2 13" xfId="2610" xr:uid="{00000000-0005-0000-0000-0000BE240000}"/>
    <cellStyle name="Примечание 2 4 2 13 2" xfId="21726" xr:uid="{00000000-0005-0000-0000-0000BF240000}"/>
    <cellStyle name="Примечание 2 4 2 13 2 2" xfId="38336" xr:uid="{96BA3E81-7E3A-4DAA-A7F1-01F96CC2C2BA}"/>
    <cellStyle name="Примечание 2 4 2 13 3" xfId="6644" xr:uid="{00000000-0005-0000-0000-0000C0240000}"/>
    <cellStyle name="Примечание 2 4 2 13 4" xfId="24271" xr:uid="{669B1D0A-8A5C-4C07-B076-00E081AFE631}"/>
    <cellStyle name="Примечание 2 4 2 14" xfId="3171" xr:uid="{00000000-0005-0000-0000-0000C1240000}"/>
    <cellStyle name="Примечание 2 4 2 14 2" xfId="22578" xr:uid="{00000000-0005-0000-0000-0000C2240000}"/>
    <cellStyle name="Примечание 2 4 2 14 3" xfId="39055" xr:uid="{69FD4D86-C38F-4ECB-B9F1-4C2F4E2A02A0}"/>
    <cellStyle name="Примечание 2 4 2 15" xfId="3264" xr:uid="{00000000-0005-0000-0000-0000C3240000}"/>
    <cellStyle name="Примечание 2 4 2 15 2" xfId="7493" xr:uid="{00000000-0005-0000-0000-0000C4240000}"/>
    <cellStyle name="Примечание 2 4 2 15 3" xfId="24895" xr:uid="{8032008D-43D1-4AD4-BA2D-5578835C4AD7}"/>
    <cellStyle name="Примечание 2 4 2 16" xfId="3214" xr:uid="{00000000-0005-0000-0000-0000C5240000}"/>
    <cellStyle name="Примечание 2 4 2 17" xfId="3070" xr:uid="{00000000-0005-0000-0000-0000C6240000}"/>
    <cellStyle name="Примечание 2 4 2 2" xfId="342" xr:uid="{00000000-0005-0000-0000-0000C7240000}"/>
    <cellStyle name="Примечание 2 4 2 2 2" xfId="1029" xr:uid="{00000000-0005-0000-0000-0000C8240000}"/>
    <cellStyle name="Примечание 2 4 2 2 2 2" xfId="21193" xr:uid="{00000000-0005-0000-0000-0000C9240000}"/>
    <cellStyle name="Примечание 2 4 2 2 2 2 2" xfId="37863" xr:uid="{3B2F27EE-ABC1-4052-B408-E5B27F8DAE03}"/>
    <cellStyle name="Примечание 2 4 2 2 2 3" xfId="5973" xr:uid="{00000000-0005-0000-0000-0000CA240000}"/>
    <cellStyle name="Примечание 2 4 2 2 2 4" xfId="23771" xr:uid="{FE7FE092-3276-4D95-A7CD-909497962118}"/>
    <cellStyle name="Примечание 2 4 2 2 3" xfId="1965" xr:uid="{00000000-0005-0000-0000-0000CB240000}"/>
    <cellStyle name="Примечание 2 4 2 2 3 2" xfId="21843" xr:uid="{00000000-0005-0000-0000-0000CC240000}"/>
    <cellStyle name="Примечание 2 4 2 2 3 2 2" xfId="38453" xr:uid="{B109561E-531A-48A0-BA11-35BB3981AACA}"/>
    <cellStyle name="Примечание 2 4 2 2 3 3" xfId="6757" xr:uid="{00000000-0005-0000-0000-0000CD240000}"/>
    <cellStyle name="Примечание 2 4 2 2 3 4" xfId="24384" xr:uid="{FB6643D8-A751-4DA8-9CFA-9ECAA4CAE962}"/>
    <cellStyle name="Примечание 2 4 2 2 4" xfId="2762" xr:uid="{00000000-0005-0000-0000-0000CE240000}"/>
    <cellStyle name="Примечание 2 4 2 2 4 2" xfId="22960" xr:uid="{00000000-0005-0000-0000-0000CF240000}"/>
    <cellStyle name="Примечание 2 4 2 2 4 3" xfId="39426" xr:uid="{E1109B03-25B2-4B6E-AF0E-A92E3ECE0ADE}"/>
    <cellStyle name="Примечание 2 4 2 2 5" xfId="3125" xr:uid="{00000000-0005-0000-0000-0000D0240000}"/>
    <cellStyle name="Примечание 2 4 2 2 5 2" xfId="14075" xr:uid="{00000000-0005-0000-0000-0000D1240000}"/>
    <cellStyle name="Примечание 2 4 2 2 5 3" xfId="31114" xr:uid="{FE0E76C7-3D67-462A-961A-4CF386A9BA71}"/>
    <cellStyle name="Примечание 2 4 2 2 6" xfId="3944" xr:uid="{00000000-0005-0000-0000-0000D2240000}"/>
    <cellStyle name="Примечание 2 4 2 2 7" xfId="4474" xr:uid="{00000000-0005-0000-0000-0000D3240000}"/>
    <cellStyle name="Примечание 2 4 2 2 8" xfId="4964" xr:uid="{00000000-0005-0000-0000-0000D4240000}"/>
    <cellStyle name="Примечание 2 4 2 3" xfId="458" xr:uid="{00000000-0005-0000-0000-0000D5240000}"/>
    <cellStyle name="Примечание 2 4 2 3 2" xfId="1290" xr:uid="{00000000-0005-0000-0000-0000D6240000}"/>
    <cellStyle name="Примечание 2 4 2 3 2 2" xfId="21283" xr:uid="{00000000-0005-0000-0000-0000D7240000}"/>
    <cellStyle name="Примечание 2 4 2 3 2 2 2" xfId="37925" xr:uid="{72632715-1BA1-417D-B3CD-4E7228B9B94F}"/>
    <cellStyle name="Примечание 2 4 2 3 2 3" xfId="6046" xr:uid="{00000000-0005-0000-0000-0000D8240000}"/>
    <cellStyle name="Примечание 2 4 2 3 2 4" xfId="23833" xr:uid="{85CF9ED8-609E-43C6-8C38-AB0A29BC09B1}"/>
    <cellStyle name="Примечание 2 4 2 3 3" xfId="1929" xr:uid="{00000000-0005-0000-0000-0000D9240000}"/>
    <cellStyle name="Примечание 2 4 2 3 3 2" xfId="21905" xr:uid="{00000000-0005-0000-0000-0000DA240000}"/>
    <cellStyle name="Примечание 2 4 2 3 3 2 2" xfId="38515" xr:uid="{3D7C5F32-3118-4413-ABFC-FB9B75CB3D78}"/>
    <cellStyle name="Примечание 2 4 2 3 3 3" xfId="6816" xr:uid="{00000000-0005-0000-0000-0000DB240000}"/>
    <cellStyle name="Примечание 2 4 2 3 3 4" xfId="24443" xr:uid="{20F9D3D1-0897-42FC-9263-7A52C01CEE94}"/>
    <cellStyle name="Примечание 2 4 2 3 4" xfId="2735" xr:uid="{00000000-0005-0000-0000-0000DC240000}"/>
    <cellStyle name="Примечание 2 4 2 3 4 2" xfId="22571" xr:uid="{00000000-0005-0000-0000-0000DD240000}"/>
    <cellStyle name="Примечание 2 4 2 3 4 3" xfId="39049" xr:uid="{56465FC7-01EB-43DD-B2FE-7306F2D76636}"/>
    <cellStyle name="Примечание 2 4 2 3 5" xfId="3303" xr:uid="{00000000-0005-0000-0000-0000DE240000}"/>
    <cellStyle name="Примечание 2 4 2 3 5 2" xfId="20433" xr:uid="{00000000-0005-0000-0000-0000DF240000}"/>
    <cellStyle name="Примечание 2 4 2 3 5 3" xfId="37335" xr:uid="{4FDB120A-2771-4946-B782-D53E805B5DC7}"/>
    <cellStyle name="Примечание 2 4 2 3 6" xfId="4019" xr:uid="{00000000-0005-0000-0000-0000E0240000}"/>
    <cellStyle name="Примечание 2 4 2 3 7" xfId="4541" xr:uid="{00000000-0005-0000-0000-0000E1240000}"/>
    <cellStyle name="Примечание 2 4 2 3 8" xfId="5023" xr:uid="{00000000-0005-0000-0000-0000E2240000}"/>
    <cellStyle name="Примечание 2 4 2 4" xfId="504" xr:uid="{00000000-0005-0000-0000-0000E3240000}"/>
    <cellStyle name="Примечание 2 4 2 4 2" xfId="1336" xr:uid="{00000000-0005-0000-0000-0000E4240000}"/>
    <cellStyle name="Примечание 2 4 2 4 2 2" xfId="21329" xr:uid="{00000000-0005-0000-0000-0000E5240000}"/>
    <cellStyle name="Примечание 2 4 2 4 2 2 2" xfId="37971" xr:uid="{C6829179-31F7-4181-AB0D-AEA0ECBFB142}"/>
    <cellStyle name="Примечание 2 4 2 4 2 3" xfId="6092" xr:uid="{00000000-0005-0000-0000-0000E6240000}"/>
    <cellStyle name="Примечание 2 4 2 4 2 4" xfId="23879" xr:uid="{58FB8E10-3BDA-4053-BE9D-41D25399ED40}"/>
    <cellStyle name="Примечание 2 4 2 4 3" xfId="2139" xr:uid="{00000000-0005-0000-0000-0000E7240000}"/>
    <cellStyle name="Примечание 2 4 2 4 3 2" xfId="21951" xr:uid="{00000000-0005-0000-0000-0000E8240000}"/>
    <cellStyle name="Примечание 2 4 2 4 3 2 2" xfId="38561" xr:uid="{602E8983-83C6-47C1-9AC1-33D9E1FBD748}"/>
    <cellStyle name="Примечание 2 4 2 4 3 3" xfId="6861" xr:uid="{00000000-0005-0000-0000-0000E9240000}"/>
    <cellStyle name="Примечание 2 4 2 4 3 4" xfId="24488" xr:uid="{67101244-C93D-4692-B4A0-3462BFCD2CA5}"/>
    <cellStyle name="Примечание 2 4 2 4 4" xfId="2561" xr:uid="{00000000-0005-0000-0000-0000EA240000}"/>
    <cellStyle name="Примечание 2 4 2 4 4 2" xfId="22973" xr:uid="{00000000-0005-0000-0000-0000EB240000}"/>
    <cellStyle name="Примечание 2 4 2 4 4 3" xfId="39439" xr:uid="{EB07CA33-88B1-4EE0-9E42-EFA438A8E4FA}"/>
    <cellStyle name="Примечание 2 4 2 4 5" xfId="3685" xr:uid="{00000000-0005-0000-0000-0000EC240000}"/>
    <cellStyle name="Примечание 2 4 2 4 5 2" xfId="20490" xr:uid="{00000000-0005-0000-0000-0000ED240000}"/>
    <cellStyle name="Примечание 2 4 2 4 5 3" xfId="37382" xr:uid="{CA9B7B72-0272-4C62-984C-40A53C09D026}"/>
    <cellStyle name="Примечание 2 4 2 4 6" xfId="4064" xr:uid="{00000000-0005-0000-0000-0000EE240000}"/>
    <cellStyle name="Примечание 2 4 2 4 7" xfId="4586" xr:uid="{00000000-0005-0000-0000-0000EF240000}"/>
    <cellStyle name="Примечание 2 4 2 4 8" xfId="5068" xr:uid="{00000000-0005-0000-0000-0000F0240000}"/>
    <cellStyle name="Примечание 2 4 2 5" xfId="556" xr:uid="{00000000-0005-0000-0000-0000F1240000}"/>
    <cellStyle name="Примечание 2 4 2 5 2" xfId="1388" xr:uid="{00000000-0005-0000-0000-0000F2240000}"/>
    <cellStyle name="Примечание 2 4 2 5 2 2" xfId="21381" xr:uid="{00000000-0005-0000-0000-0000F3240000}"/>
    <cellStyle name="Примечание 2 4 2 5 2 2 2" xfId="38023" xr:uid="{49FB3767-F086-4F24-8CB8-BED62DFD7E63}"/>
    <cellStyle name="Примечание 2 4 2 5 2 3" xfId="6144" xr:uid="{00000000-0005-0000-0000-0000F4240000}"/>
    <cellStyle name="Примечание 2 4 2 5 2 4" xfId="23931" xr:uid="{C3ADCE9C-9175-4ECE-BEEC-42E234324A7F}"/>
    <cellStyle name="Примечание 2 4 2 5 3" xfId="2019" xr:uid="{00000000-0005-0000-0000-0000F5240000}"/>
    <cellStyle name="Примечание 2 4 2 5 3 2" xfId="22003" xr:uid="{00000000-0005-0000-0000-0000F6240000}"/>
    <cellStyle name="Примечание 2 4 2 5 3 2 2" xfId="38613" xr:uid="{2FF9F1AE-30B5-4CC0-92FD-E79022A7C4D8}"/>
    <cellStyle name="Примечание 2 4 2 5 3 3" xfId="6913" xr:uid="{00000000-0005-0000-0000-0000F7240000}"/>
    <cellStyle name="Примечание 2 4 2 5 3 4" xfId="24540" xr:uid="{0D452C34-D0A6-438C-A48E-908A3CD8D237}"/>
    <cellStyle name="Примечание 2 4 2 5 4" xfId="2799" xr:uid="{00000000-0005-0000-0000-0000F8240000}"/>
    <cellStyle name="Примечание 2 4 2 5 4 2" xfId="23007" xr:uid="{00000000-0005-0000-0000-0000F9240000}"/>
    <cellStyle name="Примечание 2 4 2 5 4 3" xfId="39473" xr:uid="{2BEE8616-4301-4E67-A2A0-CAFAA3EC171B}"/>
    <cellStyle name="Примечание 2 4 2 5 5" xfId="3178" xr:uid="{00000000-0005-0000-0000-0000FA240000}"/>
    <cellStyle name="Примечание 2 4 2 5 5 2" xfId="20603" xr:uid="{00000000-0005-0000-0000-0000FB240000}"/>
    <cellStyle name="Примечание 2 4 2 5 5 3" xfId="37448" xr:uid="{3CBEB6D1-87C0-4F08-B328-51BCCEE76A01}"/>
    <cellStyle name="Примечание 2 4 2 5 6" xfId="4116" xr:uid="{00000000-0005-0000-0000-0000FC240000}"/>
    <cellStyle name="Примечание 2 4 2 5 7" xfId="4638" xr:uid="{00000000-0005-0000-0000-0000FD240000}"/>
    <cellStyle name="Примечание 2 4 2 5 8" xfId="5120" xr:uid="{00000000-0005-0000-0000-0000FE240000}"/>
    <cellStyle name="Примечание 2 4 2 6" xfId="608" xr:uid="{00000000-0005-0000-0000-0000FF240000}"/>
    <cellStyle name="Примечание 2 4 2 6 2" xfId="1440" xr:uid="{00000000-0005-0000-0000-000000250000}"/>
    <cellStyle name="Примечание 2 4 2 6 2 2" xfId="21433" xr:uid="{00000000-0005-0000-0000-000001250000}"/>
    <cellStyle name="Примечание 2 4 2 6 2 2 2" xfId="38075" xr:uid="{28CEB8C1-C7A6-4FD4-B6AA-158CE78699EE}"/>
    <cellStyle name="Примечание 2 4 2 6 2 3" xfId="6196" xr:uid="{00000000-0005-0000-0000-000002250000}"/>
    <cellStyle name="Примечание 2 4 2 6 2 4" xfId="23983" xr:uid="{78F843DD-D8C8-47F8-872B-AB5079E095E8}"/>
    <cellStyle name="Примечание 2 4 2 6 3" xfId="1842" xr:uid="{00000000-0005-0000-0000-000003250000}"/>
    <cellStyle name="Примечание 2 4 2 6 3 2" xfId="22055" xr:uid="{00000000-0005-0000-0000-000004250000}"/>
    <cellStyle name="Примечание 2 4 2 6 3 2 2" xfId="38665" xr:uid="{CCC53D04-6E02-434C-A50A-2534EB096577}"/>
    <cellStyle name="Примечание 2 4 2 6 3 3" xfId="6965" xr:uid="{00000000-0005-0000-0000-000005250000}"/>
    <cellStyle name="Примечание 2 4 2 6 3 4" xfId="24592" xr:uid="{82D499AC-6D91-4CB2-944D-CD6CCF06242F}"/>
    <cellStyle name="Примечание 2 4 2 6 4" xfId="2684" xr:uid="{00000000-0005-0000-0000-000006250000}"/>
    <cellStyle name="Примечание 2 4 2 6 4 2" xfId="23081" xr:uid="{00000000-0005-0000-0000-000007250000}"/>
    <cellStyle name="Примечание 2 4 2 6 4 3" xfId="39547" xr:uid="{9B01970E-ACD5-4A88-95ED-40D8F4577A57}"/>
    <cellStyle name="Примечание 2 4 2 6 5" xfId="3806" xr:uid="{00000000-0005-0000-0000-000008250000}"/>
    <cellStyle name="Примечание 2 4 2 6 5 2" xfId="20644" xr:uid="{00000000-0005-0000-0000-000009250000}"/>
    <cellStyle name="Примечание 2 4 2 6 5 3" xfId="37486" xr:uid="{C74A1D73-246A-484C-B377-EF4A70B7DAA0}"/>
    <cellStyle name="Примечание 2 4 2 6 6" xfId="4168" xr:uid="{00000000-0005-0000-0000-00000A250000}"/>
    <cellStyle name="Примечание 2 4 2 6 7" xfId="4690" xr:uid="{00000000-0005-0000-0000-00000B250000}"/>
    <cellStyle name="Примечание 2 4 2 6 8" xfId="5172" xr:uid="{00000000-0005-0000-0000-00000C250000}"/>
    <cellStyle name="Примечание 2 4 2 7" xfId="708" xr:uid="{00000000-0005-0000-0000-00000D250000}"/>
    <cellStyle name="Примечание 2 4 2 7 2" xfId="1538" xr:uid="{00000000-0005-0000-0000-00000E250000}"/>
    <cellStyle name="Примечание 2 4 2 7 2 2" xfId="21531" xr:uid="{00000000-0005-0000-0000-00000F250000}"/>
    <cellStyle name="Примечание 2 4 2 7 2 2 2" xfId="38173" xr:uid="{B3FE8F90-20A9-425F-9239-B779B1B99B6C}"/>
    <cellStyle name="Примечание 2 4 2 7 2 3" xfId="6294" xr:uid="{00000000-0005-0000-0000-000010250000}"/>
    <cellStyle name="Примечание 2 4 2 7 2 4" xfId="24081" xr:uid="{056B8C05-3BBD-4D65-8D53-CA7DBDC1817D}"/>
    <cellStyle name="Примечание 2 4 2 7 3" xfId="2302" xr:uid="{00000000-0005-0000-0000-000011250000}"/>
    <cellStyle name="Примечание 2 4 2 7 3 2" xfId="22153" xr:uid="{00000000-0005-0000-0000-000012250000}"/>
    <cellStyle name="Примечание 2 4 2 7 3 2 2" xfId="38763" xr:uid="{8C4BEDBC-ADF5-4CED-B424-F651A2F3C703}"/>
    <cellStyle name="Примечание 2 4 2 7 3 3" xfId="7063" xr:uid="{00000000-0005-0000-0000-000013250000}"/>
    <cellStyle name="Примечание 2 4 2 7 3 4" xfId="24690" xr:uid="{BDEA435A-2823-49FF-9C96-2FB058A2C029}"/>
    <cellStyle name="Примечание 2 4 2 7 4" xfId="2351" xr:uid="{00000000-0005-0000-0000-000014250000}"/>
    <cellStyle name="Примечание 2 4 2 7 4 2" xfId="22532" xr:uid="{00000000-0005-0000-0000-000015250000}"/>
    <cellStyle name="Примечание 2 4 2 7 4 3" xfId="39011" xr:uid="{90227F88-3375-4367-A31E-8F357CBFDA02}"/>
    <cellStyle name="Примечание 2 4 2 7 5" xfId="2982" xr:uid="{00000000-0005-0000-0000-000016250000}"/>
    <cellStyle name="Примечание 2 4 2 7 5 2" xfId="20709" xr:uid="{00000000-0005-0000-0000-000017250000}"/>
    <cellStyle name="Примечание 2 4 2 7 5 3" xfId="37538" xr:uid="{CE30E541-6EDE-416E-9195-F7F4ED6A1C5E}"/>
    <cellStyle name="Примечание 2 4 2 7 6" xfId="4267" xr:uid="{00000000-0005-0000-0000-000018250000}"/>
    <cellStyle name="Примечание 2 4 2 7 7" xfId="4789" xr:uid="{00000000-0005-0000-0000-000019250000}"/>
    <cellStyle name="Примечание 2 4 2 7 8" xfId="5270" xr:uid="{00000000-0005-0000-0000-00001A250000}"/>
    <cellStyle name="Примечание 2 4 2 8" xfId="753" xr:uid="{00000000-0005-0000-0000-00001B250000}"/>
    <cellStyle name="Примечание 2 4 2 8 2" xfId="1583" xr:uid="{00000000-0005-0000-0000-00001C250000}"/>
    <cellStyle name="Примечание 2 4 2 8 2 2" xfId="21576" xr:uid="{00000000-0005-0000-0000-00001D250000}"/>
    <cellStyle name="Примечание 2 4 2 8 2 2 2" xfId="38218" xr:uid="{6CE4C713-AA91-45EC-B3FA-39C94CEE8BEF}"/>
    <cellStyle name="Примечание 2 4 2 8 2 3" xfId="6339" xr:uid="{00000000-0005-0000-0000-00001E250000}"/>
    <cellStyle name="Примечание 2 4 2 8 2 4" xfId="24126" xr:uid="{BAB4E86E-AB47-43F9-9721-3016B6673203}"/>
    <cellStyle name="Примечание 2 4 2 8 3" xfId="1702" xr:uid="{00000000-0005-0000-0000-00001F250000}"/>
    <cellStyle name="Примечание 2 4 2 8 3 2" xfId="22198" xr:uid="{00000000-0005-0000-0000-000020250000}"/>
    <cellStyle name="Примечание 2 4 2 8 3 2 2" xfId="38808" xr:uid="{DBD87C5C-9975-4B37-B23B-2D9F7363A222}"/>
    <cellStyle name="Примечание 2 4 2 8 3 3" xfId="7108" xr:uid="{00000000-0005-0000-0000-000021250000}"/>
    <cellStyle name="Примечание 2 4 2 8 3 4" xfId="24735" xr:uid="{C39F18FF-09B3-4A0E-BC88-FFA64C0340FB}"/>
    <cellStyle name="Примечание 2 4 2 8 4" xfId="2601" xr:uid="{00000000-0005-0000-0000-000022250000}"/>
    <cellStyle name="Примечание 2 4 2 8 4 2" xfId="23087" xr:uid="{00000000-0005-0000-0000-000023250000}"/>
    <cellStyle name="Примечание 2 4 2 8 4 3" xfId="39553" xr:uid="{4EDF1A5B-0CF9-429C-AEA4-F22E69586D78}"/>
    <cellStyle name="Примечание 2 4 2 8 5" xfId="3461" xr:uid="{00000000-0005-0000-0000-000024250000}"/>
    <cellStyle name="Примечание 2 4 2 8 5 2" xfId="20774" xr:uid="{00000000-0005-0000-0000-000025250000}"/>
    <cellStyle name="Примечание 2 4 2 8 5 3" xfId="37590" xr:uid="{C1B0DC04-F1C4-4917-915E-4E1B584B472E}"/>
    <cellStyle name="Примечание 2 4 2 8 6" xfId="4312" xr:uid="{00000000-0005-0000-0000-000026250000}"/>
    <cellStyle name="Примечание 2 4 2 8 7" xfId="4834" xr:uid="{00000000-0005-0000-0000-000027250000}"/>
    <cellStyle name="Примечание 2 4 2 8 8" xfId="5315" xr:uid="{00000000-0005-0000-0000-000028250000}"/>
    <cellStyle name="Примечание 2 4 2 9" xfId="787" xr:uid="{00000000-0005-0000-0000-000029250000}"/>
    <cellStyle name="Примечание 2 4 2 9 2" xfId="1616" xr:uid="{00000000-0005-0000-0000-00002A250000}"/>
    <cellStyle name="Примечание 2 4 2 9 2 2" xfId="21609" xr:uid="{00000000-0005-0000-0000-00002B250000}"/>
    <cellStyle name="Примечание 2 4 2 9 2 2 2" xfId="38251" xr:uid="{22CC0A1C-23BC-4C03-9791-75A69E9B17FC}"/>
    <cellStyle name="Примечание 2 4 2 9 2 3" xfId="6372" xr:uid="{00000000-0005-0000-0000-00002C250000}"/>
    <cellStyle name="Примечание 2 4 2 9 2 4" xfId="24159" xr:uid="{0DC13B79-E1AD-4906-8CD4-A9EB0244E1B7}"/>
    <cellStyle name="Примечание 2 4 2 9 3" xfId="2016" xr:uid="{00000000-0005-0000-0000-00002D250000}"/>
    <cellStyle name="Примечание 2 4 2 9 3 2" xfId="22231" xr:uid="{00000000-0005-0000-0000-00002E250000}"/>
    <cellStyle name="Примечание 2 4 2 9 3 2 2" xfId="38841" xr:uid="{C3936C8D-15FC-42A4-BDAA-43248EB2FEF6}"/>
    <cellStyle name="Примечание 2 4 2 9 3 3" xfId="7141" xr:uid="{00000000-0005-0000-0000-00002F250000}"/>
    <cellStyle name="Примечание 2 4 2 9 3 4" xfId="24768" xr:uid="{8E4F765F-3BF3-4EB9-BE33-C8D9A19CFD1C}"/>
    <cellStyle name="Примечание 2 4 2 9 4" xfId="2509" xr:uid="{00000000-0005-0000-0000-000030250000}"/>
    <cellStyle name="Примечание 2 4 2 9 4 2" xfId="22478" xr:uid="{00000000-0005-0000-0000-000031250000}"/>
    <cellStyle name="Примечание 2 4 2 9 4 3" xfId="38970" xr:uid="{FE173D2E-DA91-4C76-B0AD-CAC0C32376D3}"/>
    <cellStyle name="Примечание 2 4 2 9 5" xfId="3139" xr:uid="{00000000-0005-0000-0000-000032250000}"/>
    <cellStyle name="Примечание 2 4 2 9 5 2" xfId="20839" xr:uid="{00000000-0005-0000-0000-000033250000}"/>
    <cellStyle name="Примечание 2 4 2 9 5 3" xfId="37642" xr:uid="{496CDF2A-156F-49E2-98E2-428B1C059584}"/>
    <cellStyle name="Примечание 2 4 2 9 6" xfId="4345" xr:uid="{00000000-0005-0000-0000-000034250000}"/>
    <cellStyle name="Примечание 2 4 2 9 7" xfId="4867" xr:uid="{00000000-0005-0000-0000-000035250000}"/>
    <cellStyle name="Примечание 2 4 2 9 8" xfId="5348" xr:uid="{00000000-0005-0000-0000-000036250000}"/>
    <cellStyle name="Примечание 2 4 3" xfId="373" xr:uid="{00000000-0005-0000-0000-000037250000}"/>
    <cellStyle name="Примечание 2 4 3 10" xfId="998" xr:uid="{00000000-0005-0000-0000-000038250000}"/>
    <cellStyle name="Примечание 2 4 3 10 2" xfId="2280" xr:uid="{00000000-0005-0000-0000-000039250000}"/>
    <cellStyle name="Примечание 2 4 3 10 2 2" xfId="21862" xr:uid="{00000000-0005-0000-0000-00003A250000}"/>
    <cellStyle name="Примечание 2 4 3 10 2 2 2" xfId="38472" xr:uid="{0473BB09-F26F-4636-82E2-7EE2A51CAC3E}"/>
    <cellStyle name="Примечание 2 4 3 10 2 3" xfId="6002" xr:uid="{00000000-0005-0000-0000-00003B250000}"/>
    <cellStyle name="Примечание 2 4 3 10 2 4" xfId="23790" xr:uid="{F47F5558-02E6-4022-8342-8F6AF73281C0}"/>
    <cellStyle name="Примечание 2 4 3 10 3" xfId="2905" xr:uid="{00000000-0005-0000-0000-00003C250000}"/>
    <cellStyle name="Примечание 2 4 3 10 3 2" xfId="23019" xr:uid="{00000000-0005-0000-0000-00003D250000}"/>
    <cellStyle name="Примечание 2 4 3 10 3 2 2" xfId="39485" xr:uid="{7946CF65-EF64-4225-9FEE-EFE790F30CDE}"/>
    <cellStyle name="Примечание 2 4 3 10 3 3" xfId="6776" xr:uid="{00000000-0005-0000-0000-00003E250000}"/>
    <cellStyle name="Примечание 2 4 3 10 3 4" xfId="24403" xr:uid="{3CBB6161-1E4A-4C79-BD9D-A4354245B048}"/>
    <cellStyle name="Примечание 2 4 3 10 4" xfId="3658" xr:uid="{00000000-0005-0000-0000-00003F250000}"/>
    <cellStyle name="Примечание 2 4 3 10 4 2" xfId="21221" xr:uid="{00000000-0005-0000-0000-000040250000}"/>
    <cellStyle name="Примечание 2 4 3 10 4 3" xfId="37882" xr:uid="{14D00685-C303-44AA-AB18-B3567B560DF7}"/>
    <cellStyle name="Примечание 2 4 3 10 5" xfId="3966" xr:uid="{00000000-0005-0000-0000-000041250000}"/>
    <cellStyle name="Примечание 2 4 3 10 6" xfId="4494" xr:uid="{00000000-0005-0000-0000-000042250000}"/>
    <cellStyle name="Примечание 2 4 3 10 7" xfId="4983" xr:uid="{00000000-0005-0000-0000-000043250000}"/>
    <cellStyle name="Примечание 2 4 3 11" xfId="1767" xr:uid="{00000000-0005-0000-0000-000044250000}"/>
    <cellStyle name="Примечание 2 4 3 11 2" xfId="20988" xr:uid="{00000000-0005-0000-0000-000045250000}"/>
    <cellStyle name="Примечание 2 4 3 11 2 2" xfId="37765" xr:uid="{0CFC14B2-9A05-4110-BFF4-277344A3B87A}"/>
    <cellStyle name="Примечание 2 4 3 11 3" xfId="5746" xr:uid="{00000000-0005-0000-0000-000046250000}"/>
    <cellStyle name="Примечание 2 4 3 11 4" xfId="23670" xr:uid="{0FDCCEDE-33A8-4BE7-ACA9-C074EA41A9B6}"/>
    <cellStyle name="Примечание 2 4 3 12" xfId="2607" xr:uid="{00000000-0005-0000-0000-000047250000}"/>
    <cellStyle name="Примечание 2 4 3 12 2" xfId="21745" xr:uid="{00000000-0005-0000-0000-000048250000}"/>
    <cellStyle name="Примечание 2 4 3 12 2 2" xfId="38355" xr:uid="{EEB642FC-B8EA-4F7B-AEA7-E6C63DC0DB8F}"/>
    <cellStyle name="Примечание 2 4 3 12 3" xfId="6663" xr:uid="{00000000-0005-0000-0000-000049250000}"/>
    <cellStyle name="Примечание 2 4 3 12 4" xfId="24290" xr:uid="{FCC75006-F71C-4A22-9F12-DE53B0F22656}"/>
    <cellStyle name="Примечание 2 4 3 13" xfId="3430" xr:uid="{00000000-0005-0000-0000-00004A250000}"/>
    <cellStyle name="Примечание 2 4 3 13 2" xfId="22705" xr:uid="{00000000-0005-0000-0000-00004B250000}"/>
    <cellStyle name="Примечание 2 4 3 13 3" xfId="39176" xr:uid="{193D7632-252D-4717-9271-4C0346FF03D7}"/>
    <cellStyle name="Примечание 2 4 3 14" xfId="3676" xr:uid="{00000000-0005-0000-0000-00004C250000}"/>
    <cellStyle name="Примечание 2 4 3 14 2" xfId="14044" xr:uid="{00000000-0005-0000-0000-00004D250000}"/>
    <cellStyle name="Примечание 2 4 3 14 3" xfId="31083" xr:uid="{4D99A74F-42F7-4AEC-8DCD-719AFAB9D7A3}"/>
    <cellStyle name="Примечание 2 4 3 15" xfId="3243" xr:uid="{00000000-0005-0000-0000-00004E250000}"/>
    <cellStyle name="Примечание 2 4 3 16" xfId="3740" xr:uid="{00000000-0005-0000-0000-00004F250000}"/>
    <cellStyle name="Примечание 2 4 3 2" xfId="478" xr:uid="{00000000-0005-0000-0000-000050250000}"/>
    <cellStyle name="Примечание 2 4 3 2 2" xfId="1310" xr:uid="{00000000-0005-0000-0000-000051250000}"/>
    <cellStyle name="Примечание 2 4 3 2 2 2" xfId="21303" xr:uid="{00000000-0005-0000-0000-000052250000}"/>
    <cellStyle name="Примечание 2 4 3 2 2 2 2" xfId="37945" xr:uid="{E3F356E4-5C3F-4986-802A-CC3D2490E187}"/>
    <cellStyle name="Примечание 2 4 3 2 2 3" xfId="6066" xr:uid="{00000000-0005-0000-0000-000053250000}"/>
    <cellStyle name="Примечание 2 4 3 2 2 4" xfId="23853" xr:uid="{1973A08E-7166-4809-B77F-FBAB389DCB10}"/>
    <cellStyle name="Примечание 2 4 3 2 3" xfId="2090" xr:uid="{00000000-0005-0000-0000-000054250000}"/>
    <cellStyle name="Примечание 2 4 3 2 3 2" xfId="21925" xr:uid="{00000000-0005-0000-0000-000055250000}"/>
    <cellStyle name="Примечание 2 4 3 2 3 2 2" xfId="38535" xr:uid="{B1FA94A4-4671-4947-85C6-0CE694AA44FB}"/>
    <cellStyle name="Примечание 2 4 3 2 3 3" xfId="6835" xr:uid="{00000000-0005-0000-0000-000056250000}"/>
    <cellStyle name="Примечание 2 4 3 2 3 4" xfId="24462" xr:uid="{170E7723-68F3-45E6-AA76-F6F64CAD496A}"/>
    <cellStyle name="Примечание 2 4 3 2 4" xfId="2442" xr:uid="{00000000-0005-0000-0000-000057250000}"/>
    <cellStyle name="Примечание 2 4 3 2 4 2" xfId="22725" xr:uid="{00000000-0005-0000-0000-000058250000}"/>
    <cellStyle name="Примечание 2 4 3 2 4 3" xfId="39194" xr:uid="{1782AD8B-6CC5-4296-AE8B-8C237F6B440C}"/>
    <cellStyle name="Примечание 2 4 3 2 5" xfId="3756" xr:uid="{00000000-0005-0000-0000-000059250000}"/>
    <cellStyle name="Примечание 2 4 3 2 5 2" xfId="20462" xr:uid="{00000000-0005-0000-0000-00005A250000}"/>
    <cellStyle name="Примечание 2 4 3 2 5 3" xfId="37354" xr:uid="{23C746BC-9F5B-46A5-A03C-12757D4D265C}"/>
    <cellStyle name="Примечание 2 4 3 2 6" xfId="4038" xr:uid="{00000000-0005-0000-0000-00005B250000}"/>
    <cellStyle name="Примечание 2 4 3 2 7" xfId="4560" xr:uid="{00000000-0005-0000-0000-00005C250000}"/>
    <cellStyle name="Примечание 2 4 3 2 8" xfId="5042" xr:uid="{00000000-0005-0000-0000-00005D250000}"/>
    <cellStyle name="Примечание 2 4 3 3" xfId="523" xr:uid="{00000000-0005-0000-0000-00005E250000}"/>
    <cellStyle name="Примечание 2 4 3 3 2" xfId="1355" xr:uid="{00000000-0005-0000-0000-00005F250000}"/>
    <cellStyle name="Примечание 2 4 3 3 2 2" xfId="21348" xr:uid="{00000000-0005-0000-0000-000060250000}"/>
    <cellStyle name="Примечание 2 4 3 3 2 2 2" xfId="37990" xr:uid="{61376523-85CC-4801-9A14-4DBB9E992632}"/>
    <cellStyle name="Примечание 2 4 3 3 2 3" xfId="6111" xr:uid="{00000000-0005-0000-0000-000061250000}"/>
    <cellStyle name="Примечание 2 4 3 3 2 4" xfId="23898" xr:uid="{3B1255DA-70A5-4E58-9597-C62C9C274172}"/>
    <cellStyle name="Примечание 2 4 3 3 3" xfId="2265" xr:uid="{00000000-0005-0000-0000-000062250000}"/>
    <cellStyle name="Примечание 2 4 3 3 3 2" xfId="21970" xr:uid="{00000000-0005-0000-0000-000063250000}"/>
    <cellStyle name="Примечание 2 4 3 3 3 2 2" xfId="38580" xr:uid="{DCA8B9A1-370C-49AE-A79F-825AB6F18742}"/>
    <cellStyle name="Примечание 2 4 3 3 3 3" xfId="6880" xr:uid="{00000000-0005-0000-0000-000064250000}"/>
    <cellStyle name="Примечание 2 4 3 3 3 4" xfId="24507" xr:uid="{819D9C14-282D-493A-98F4-266B7FE1E002}"/>
    <cellStyle name="Примечание 2 4 3 3 4" xfId="2706" xr:uid="{00000000-0005-0000-0000-000065250000}"/>
    <cellStyle name="Примечание 2 4 3 3 4 2" xfId="23001" xr:uid="{00000000-0005-0000-0000-000066250000}"/>
    <cellStyle name="Примечание 2 4 3 3 4 3" xfId="39467" xr:uid="{B96C7178-15DF-437F-9136-0E5333867E0D}"/>
    <cellStyle name="Примечание 2 4 3 3 5" xfId="3637" xr:uid="{00000000-0005-0000-0000-000067250000}"/>
    <cellStyle name="Примечание 2 4 3 3 5 2" xfId="20509" xr:uid="{00000000-0005-0000-0000-000068250000}"/>
    <cellStyle name="Примечание 2 4 3 3 5 3" xfId="37401" xr:uid="{0A7920B3-BBC4-46B7-BD1B-C74EF4A8F6E1}"/>
    <cellStyle name="Примечание 2 4 3 3 6" xfId="4083" xr:uid="{00000000-0005-0000-0000-000069250000}"/>
    <cellStyle name="Примечание 2 4 3 3 7" xfId="4605" xr:uid="{00000000-0005-0000-0000-00006A250000}"/>
    <cellStyle name="Примечание 2 4 3 3 8" xfId="5087" xr:uid="{00000000-0005-0000-0000-00006B250000}"/>
    <cellStyle name="Примечание 2 4 3 4" xfId="575" xr:uid="{00000000-0005-0000-0000-00006C250000}"/>
    <cellStyle name="Примечание 2 4 3 4 2" xfId="1407" xr:uid="{00000000-0005-0000-0000-00006D250000}"/>
    <cellStyle name="Примечание 2 4 3 4 2 2" xfId="21400" xr:uid="{00000000-0005-0000-0000-00006E250000}"/>
    <cellStyle name="Примечание 2 4 3 4 2 2 2" xfId="38042" xr:uid="{742541D8-57E2-456B-9429-4EB9D8A3D40B}"/>
    <cellStyle name="Примечание 2 4 3 4 2 3" xfId="6163" xr:uid="{00000000-0005-0000-0000-00006F250000}"/>
    <cellStyle name="Примечание 2 4 3 4 2 4" xfId="23950" xr:uid="{F322D555-38A4-45AF-A548-9A3A626A59D1}"/>
    <cellStyle name="Примечание 2 4 3 4 3" xfId="2153" xr:uid="{00000000-0005-0000-0000-000070250000}"/>
    <cellStyle name="Примечание 2 4 3 4 3 2" xfId="22022" xr:uid="{00000000-0005-0000-0000-000071250000}"/>
    <cellStyle name="Примечание 2 4 3 4 3 2 2" xfId="38632" xr:uid="{9A455128-5D18-4B81-913D-B15164ABD775}"/>
    <cellStyle name="Примечание 2 4 3 4 3 3" xfId="6932" xr:uid="{00000000-0005-0000-0000-000072250000}"/>
    <cellStyle name="Примечание 2 4 3 4 3 4" xfId="24559" xr:uid="{7237A867-D812-4464-92DA-79F7E7E67322}"/>
    <cellStyle name="Примечание 2 4 3 4 4" xfId="2714" xr:uid="{00000000-0005-0000-0000-000073250000}"/>
    <cellStyle name="Примечание 2 4 3 4 4 2" xfId="22884" xr:uid="{00000000-0005-0000-0000-000074250000}"/>
    <cellStyle name="Примечание 2 4 3 4 4 3" xfId="39350" xr:uid="{7DD5986F-8F71-45D1-81FA-85FC5F2BABC9}"/>
    <cellStyle name="Примечание 2 4 3 4 5" xfId="3476" xr:uid="{00000000-0005-0000-0000-000075250000}"/>
    <cellStyle name="Примечание 2 4 3 4 5 2" xfId="20625" xr:uid="{00000000-0005-0000-0000-000076250000}"/>
    <cellStyle name="Примечание 2 4 3 4 5 3" xfId="37467" xr:uid="{C9016808-5D22-4CD5-9C86-12F4808CB4CE}"/>
    <cellStyle name="Примечание 2 4 3 4 6" xfId="4135" xr:uid="{00000000-0005-0000-0000-000077250000}"/>
    <cellStyle name="Примечание 2 4 3 4 7" xfId="4657" xr:uid="{00000000-0005-0000-0000-000078250000}"/>
    <cellStyle name="Примечание 2 4 3 4 8" xfId="5139" xr:uid="{00000000-0005-0000-0000-000079250000}"/>
    <cellStyle name="Примечание 2 4 3 5" xfId="627" xr:uid="{00000000-0005-0000-0000-00007A250000}"/>
    <cellStyle name="Примечание 2 4 3 5 2" xfId="1459" xr:uid="{00000000-0005-0000-0000-00007B250000}"/>
    <cellStyle name="Примечание 2 4 3 5 2 2" xfId="21452" xr:uid="{00000000-0005-0000-0000-00007C250000}"/>
    <cellStyle name="Примечание 2 4 3 5 2 2 2" xfId="38094" xr:uid="{83DAEE11-9F1C-4464-8CB5-B630A2A5B2C3}"/>
    <cellStyle name="Примечание 2 4 3 5 2 3" xfId="6215" xr:uid="{00000000-0005-0000-0000-00007D250000}"/>
    <cellStyle name="Примечание 2 4 3 5 2 4" xfId="24002" xr:uid="{962409DA-6A95-4F1A-8058-E17FEC9CB79F}"/>
    <cellStyle name="Примечание 2 4 3 5 3" xfId="2043" xr:uid="{00000000-0005-0000-0000-00007E250000}"/>
    <cellStyle name="Примечание 2 4 3 5 3 2" xfId="22074" xr:uid="{00000000-0005-0000-0000-00007F250000}"/>
    <cellStyle name="Примечание 2 4 3 5 3 2 2" xfId="38684" xr:uid="{3D5AC71C-F969-4800-A49B-FC5296D233D8}"/>
    <cellStyle name="Примечание 2 4 3 5 3 3" xfId="6984" xr:uid="{00000000-0005-0000-0000-000080250000}"/>
    <cellStyle name="Примечание 2 4 3 5 3 4" xfId="24611" xr:uid="{E3D730AF-F0B8-47F5-870D-5164F666E258}"/>
    <cellStyle name="Примечание 2 4 3 5 4" xfId="2833" xr:uid="{00000000-0005-0000-0000-000081250000}"/>
    <cellStyle name="Примечание 2 4 3 5 4 2" xfId="23071" xr:uid="{00000000-0005-0000-0000-000082250000}"/>
    <cellStyle name="Примечание 2 4 3 5 4 3" xfId="39537" xr:uid="{B4BABF77-4C4D-48FA-831D-29F0350A7ABA}"/>
    <cellStyle name="Примечание 2 4 3 5 5" xfId="3206" xr:uid="{00000000-0005-0000-0000-000083250000}"/>
    <cellStyle name="Примечание 2 4 3 5 5 2" xfId="20663" xr:uid="{00000000-0005-0000-0000-000084250000}"/>
    <cellStyle name="Примечание 2 4 3 5 5 3" xfId="37505" xr:uid="{D5F8CB17-49A2-4B29-8253-C010D1C80A0A}"/>
    <cellStyle name="Примечание 2 4 3 5 6" xfId="4187" xr:uid="{00000000-0005-0000-0000-000085250000}"/>
    <cellStyle name="Примечание 2 4 3 5 7" xfId="4709" xr:uid="{00000000-0005-0000-0000-000086250000}"/>
    <cellStyle name="Примечание 2 4 3 5 8" xfId="5191" xr:uid="{00000000-0005-0000-0000-000087250000}"/>
    <cellStyle name="Примечание 2 4 3 6" xfId="730" xr:uid="{00000000-0005-0000-0000-000088250000}"/>
    <cellStyle name="Примечание 2 4 3 6 2" xfId="1560" xr:uid="{00000000-0005-0000-0000-000089250000}"/>
    <cellStyle name="Примечание 2 4 3 6 2 2" xfId="21553" xr:uid="{00000000-0005-0000-0000-00008A250000}"/>
    <cellStyle name="Примечание 2 4 3 6 2 2 2" xfId="38195" xr:uid="{9C9148A1-5F67-416C-A840-3C6BA44F2F92}"/>
    <cellStyle name="Примечание 2 4 3 6 2 3" xfId="6316" xr:uid="{00000000-0005-0000-0000-00008B250000}"/>
    <cellStyle name="Примечание 2 4 3 6 2 4" xfId="24103" xr:uid="{DEAEB4DF-5417-4B1C-BC1D-2376FF459CAC}"/>
    <cellStyle name="Примечание 2 4 3 6 3" xfId="1872" xr:uid="{00000000-0005-0000-0000-00008C250000}"/>
    <cellStyle name="Примечание 2 4 3 6 3 2" xfId="22175" xr:uid="{00000000-0005-0000-0000-00008D250000}"/>
    <cellStyle name="Примечание 2 4 3 6 3 2 2" xfId="38785" xr:uid="{97BF8648-ACC6-4147-95E1-DD6CCB8AF7C1}"/>
    <cellStyle name="Примечание 2 4 3 6 3 3" xfId="7085" xr:uid="{00000000-0005-0000-0000-00008E250000}"/>
    <cellStyle name="Примечание 2 4 3 6 3 4" xfId="24712" xr:uid="{4864448B-2FB8-4D3E-BAED-CB806526D7E4}"/>
    <cellStyle name="Примечание 2 4 3 6 4" xfId="2942" xr:uid="{00000000-0005-0000-0000-00008F250000}"/>
    <cellStyle name="Примечание 2 4 3 6 4 2" xfId="22815" xr:uid="{00000000-0005-0000-0000-000090250000}"/>
    <cellStyle name="Примечание 2 4 3 6 4 3" xfId="39281" xr:uid="{7FA2CDF4-662D-4E63-BA71-878D363A94CD}"/>
    <cellStyle name="Примечание 2 4 3 6 5" xfId="3247" xr:uid="{00000000-0005-0000-0000-000091250000}"/>
    <cellStyle name="Примечание 2 4 3 6 5 2" xfId="20728" xr:uid="{00000000-0005-0000-0000-000092250000}"/>
    <cellStyle name="Примечание 2 4 3 6 5 3" xfId="37557" xr:uid="{7318FEF0-2B5B-442B-B5CF-790AB04C9E54}"/>
    <cellStyle name="Примечание 2 4 3 6 6" xfId="4289" xr:uid="{00000000-0005-0000-0000-000093250000}"/>
    <cellStyle name="Примечание 2 4 3 6 7" xfId="4811" xr:uid="{00000000-0005-0000-0000-000094250000}"/>
    <cellStyle name="Примечание 2 4 3 6 8" xfId="5292" xr:uid="{00000000-0005-0000-0000-000095250000}"/>
    <cellStyle name="Примечание 2 4 3 7" xfId="774" xr:uid="{00000000-0005-0000-0000-000096250000}"/>
    <cellStyle name="Примечание 2 4 3 7 2" xfId="1603" xr:uid="{00000000-0005-0000-0000-000097250000}"/>
    <cellStyle name="Примечание 2 4 3 7 2 2" xfId="21596" xr:uid="{00000000-0005-0000-0000-000098250000}"/>
    <cellStyle name="Примечание 2 4 3 7 2 2 2" xfId="38238" xr:uid="{AE75C376-705C-4268-98D5-4B2FD070D131}"/>
    <cellStyle name="Примечание 2 4 3 7 2 3" xfId="6359" xr:uid="{00000000-0005-0000-0000-000099250000}"/>
    <cellStyle name="Примечание 2 4 3 7 2 4" xfId="24146" xr:uid="{AC6B879D-1BC7-4C0D-B04D-FDF1F0CFD569}"/>
    <cellStyle name="Примечание 2 4 3 7 3" xfId="1954" xr:uid="{00000000-0005-0000-0000-00009A250000}"/>
    <cellStyle name="Примечание 2 4 3 7 3 2" xfId="22218" xr:uid="{00000000-0005-0000-0000-00009B250000}"/>
    <cellStyle name="Примечание 2 4 3 7 3 2 2" xfId="38828" xr:uid="{4BB5EAC2-030D-4DA6-A671-7503DE66A0E8}"/>
    <cellStyle name="Примечание 2 4 3 7 3 3" xfId="7128" xr:uid="{00000000-0005-0000-0000-00009C250000}"/>
    <cellStyle name="Примечание 2 4 3 7 3 4" xfId="24755" xr:uid="{BA9A42F0-159D-4043-BB50-31277675960F}"/>
    <cellStyle name="Примечание 2 4 3 7 4" xfId="2339" xr:uid="{00000000-0005-0000-0000-00009D250000}"/>
    <cellStyle name="Примечание 2 4 3 7 4 2" xfId="22811" xr:uid="{00000000-0005-0000-0000-00009E250000}"/>
    <cellStyle name="Примечание 2 4 3 7 4 3" xfId="39277" xr:uid="{DB71EEBB-CE76-451D-A9CD-DD9F7ABA07D9}"/>
    <cellStyle name="Примечание 2 4 3 7 5" xfId="3469" xr:uid="{00000000-0005-0000-0000-00009F250000}"/>
    <cellStyle name="Примечание 2 4 3 7 5 2" xfId="20793" xr:uid="{00000000-0005-0000-0000-0000A0250000}"/>
    <cellStyle name="Примечание 2 4 3 7 5 3" xfId="37609" xr:uid="{16D4918C-1F1C-4771-BA1E-8579B1D3BE30}"/>
    <cellStyle name="Примечание 2 4 3 7 6" xfId="4332" xr:uid="{00000000-0005-0000-0000-0000A1250000}"/>
    <cellStyle name="Примечание 2 4 3 7 7" xfId="4854" xr:uid="{00000000-0005-0000-0000-0000A2250000}"/>
    <cellStyle name="Примечание 2 4 3 7 8" xfId="5335" xr:uid="{00000000-0005-0000-0000-0000A3250000}"/>
    <cellStyle name="Примечание 2 4 3 8" xfId="806" xr:uid="{00000000-0005-0000-0000-0000A4250000}"/>
    <cellStyle name="Примечание 2 4 3 8 2" xfId="1635" xr:uid="{00000000-0005-0000-0000-0000A5250000}"/>
    <cellStyle name="Примечание 2 4 3 8 2 2" xfId="21628" xr:uid="{00000000-0005-0000-0000-0000A6250000}"/>
    <cellStyle name="Примечание 2 4 3 8 2 2 2" xfId="38270" xr:uid="{F7689DD4-2497-4ADA-9520-A6EA91298DC5}"/>
    <cellStyle name="Примечание 2 4 3 8 2 3" xfId="6391" xr:uid="{00000000-0005-0000-0000-0000A7250000}"/>
    <cellStyle name="Примечание 2 4 3 8 2 4" xfId="24178" xr:uid="{0494E42F-8F89-4240-B3C8-A24827E79BFA}"/>
    <cellStyle name="Примечание 2 4 3 8 3" xfId="1950" xr:uid="{00000000-0005-0000-0000-0000A8250000}"/>
    <cellStyle name="Примечание 2 4 3 8 3 2" xfId="22250" xr:uid="{00000000-0005-0000-0000-0000A9250000}"/>
    <cellStyle name="Примечание 2 4 3 8 3 2 2" xfId="38860" xr:uid="{6A7673F4-0678-410F-A240-70D6FE807554}"/>
    <cellStyle name="Примечание 2 4 3 8 3 3" xfId="7160" xr:uid="{00000000-0005-0000-0000-0000AA250000}"/>
    <cellStyle name="Примечание 2 4 3 8 3 4" xfId="24787" xr:uid="{59C2DB1C-8064-4CB7-BBDA-9475AA644762}"/>
    <cellStyle name="Примечание 2 4 3 8 4" xfId="2532" xr:uid="{00000000-0005-0000-0000-0000AB250000}"/>
    <cellStyle name="Примечание 2 4 3 8 4 2" xfId="22801" xr:uid="{00000000-0005-0000-0000-0000AC250000}"/>
    <cellStyle name="Примечание 2 4 3 8 4 3" xfId="39267" xr:uid="{46C5BF62-A60E-4484-8F7F-45E00293D86E}"/>
    <cellStyle name="Примечание 2 4 3 8 5" xfId="3013" xr:uid="{00000000-0005-0000-0000-0000AD250000}"/>
    <cellStyle name="Примечание 2 4 3 8 5 2" xfId="20858" xr:uid="{00000000-0005-0000-0000-0000AE250000}"/>
    <cellStyle name="Примечание 2 4 3 8 5 3" xfId="37661" xr:uid="{24D020C9-CEE5-42DA-B84F-F0E717120E11}"/>
    <cellStyle name="Примечание 2 4 3 8 6" xfId="4364" xr:uid="{00000000-0005-0000-0000-0000AF250000}"/>
    <cellStyle name="Примечание 2 4 3 8 7" xfId="4886" xr:uid="{00000000-0005-0000-0000-0000B0250000}"/>
    <cellStyle name="Примечание 2 4 3 8 8" xfId="5367" xr:uid="{00000000-0005-0000-0000-0000B1250000}"/>
    <cellStyle name="Примечание 2 4 3 9" xfId="838" xr:uid="{00000000-0005-0000-0000-0000B2250000}"/>
    <cellStyle name="Примечание 2 4 3 9 2" xfId="1667" xr:uid="{00000000-0005-0000-0000-0000B3250000}"/>
    <cellStyle name="Примечание 2 4 3 9 2 2" xfId="21660" xr:uid="{00000000-0005-0000-0000-0000B4250000}"/>
    <cellStyle name="Примечание 2 4 3 9 2 2 2" xfId="38302" xr:uid="{C3F87F40-85BE-4554-A4E2-6966A9638C02}"/>
    <cellStyle name="Примечание 2 4 3 9 2 3" xfId="6423" xr:uid="{00000000-0005-0000-0000-0000B5250000}"/>
    <cellStyle name="Примечание 2 4 3 9 2 4" xfId="24210" xr:uid="{707CF4E5-A69E-411B-968D-88A6393F4DF8}"/>
    <cellStyle name="Примечание 2 4 3 9 3" xfId="2328" xr:uid="{00000000-0005-0000-0000-0000B6250000}"/>
    <cellStyle name="Примечание 2 4 3 9 3 2" xfId="22282" xr:uid="{00000000-0005-0000-0000-0000B7250000}"/>
    <cellStyle name="Примечание 2 4 3 9 3 2 2" xfId="38892" xr:uid="{7BD9CF40-D756-43A8-A01F-49E577D70320}"/>
    <cellStyle name="Примечание 2 4 3 9 3 3" xfId="7192" xr:uid="{00000000-0005-0000-0000-0000B8250000}"/>
    <cellStyle name="Примечание 2 4 3 9 3 4" xfId="24819" xr:uid="{B281C3E2-F326-45B1-A0CD-09B22FAAA43D}"/>
    <cellStyle name="Примечание 2 4 3 9 4" xfId="2937" xr:uid="{00000000-0005-0000-0000-0000B9250000}"/>
    <cellStyle name="Примечание 2 4 3 9 4 2" xfId="22804" xr:uid="{00000000-0005-0000-0000-0000BA250000}"/>
    <cellStyle name="Примечание 2 4 3 9 4 3" xfId="39270" xr:uid="{FBBC1B0E-B901-4CF2-A444-59A8EB6F96C0}"/>
    <cellStyle name="Примечание 2 4 3 9 5" xfId="3233" xr:uid="{00000000-0005-0000-0000-0000BB250000}"/>
    <cellStyle name="Примечание 2 4 3 9 5 2" xfId="20923" xr:uid="{00000000-0005-0000-0000-0000BC250000}"/>
    <cellStyle name="Примечание 2 4 3 9 5 3" xfId="37713" xr:uid="{AD6BF21A-02C7-4CE2-AFA5-3AC76E01EE7F}"/>
    <cellStyle name="Примечание 2 4 3 9 6" xfId="4396" xr:uid="{00000000-0005-0000-0000-0000BD250000}"/>
    <cellStyle name="Примечание 2 4 3 9 7" xfId="4918" xr:uid="{00000000-0005-0000-0000-0000BE250000}"/>
    <cellStyle name="Примечание 2 4 3 9 8" xfId="5399" xr:uid="{00000000-0005-0000-0000-0000BF250000}"/>
    <cellStyle name="Примечание 2 4 4" xfId="889" xr:uid="{00000000-0005-0000-0000-0000C0250000}"/>
    <cellStyle name="Примечание 2 4 4 2" xfId="1992" xr:uid="{00000000-0005-0000-0000-0000C1250000}"/>
    <cellStyle name="Примечание 2 4 4 2 2" xfId="21775" xr:uid="{00000000-0005-0000-0000-0000C2250000}"/>
    <cellStyle name="Примечание 2 4 4 2 2 2" xfId="38385" xr:uid="{567C01B6-C1F2-43BD-B0B4-2CF7040FD8DC}"/>
    <cellStyle name="Примечание 2 4 4 2 3" xfId="5837" xr:uid="{00000000-0005-0000-0000-0000C3250000}"/>
    <cellStyle name="Примечание 2 4 4 2 4" xfId="23703" xr:uid="{C424B7DF-0D42-4473-8F6C-A2D84A1760A6}"/>
    <cellStyle name="Примечание 2 4 4 3" xfId="2778" xr:uid="{00000000-0005-0000-0000-0000C4250000}"/>
    <cellStyle name="Примечание 2 4 4 3 2" xfId="22981" xr:uid="{00000000-0005-0000-0000-0000C5250000}"/>
    <cellStyle name="Примечание 2 4 4 3 2 2" xfId="39447" xr:uid="{8DDCEA47-6088-4FBC-9697-018FEA3B4DDE}"/>
    <cellStyle name="Примечание 2 4 4 3 3" xfId="6691" xr:uid="{00000000-0005-0000-0000-0000C6250000}"/>
    <cellStyle name="Примечание 2 4 4 3 4" xfId="24318" xr:uid="{60B449DE-7675-4400-AD8B-D77095E507D6}"/>
    <cellStyle name="Примечание 2 4 4 4" xfId="3618" xr:uid="{00000000-0005-0000-0000-0000C7250000}"/>
    <cellStyle name="Примечание 2 4 4 4 2" xfId="21061" xr:uid="{00000000-0005-0000-0000-0000C8250000}"/>
    <cellStyle name="Примечание 2 4 4 4 3" xfId="37795" xr:uid="{DC411FBF-7336-4F5D-B8B7-A7A52D336EA9}"/>
    <cellStyle name="Примечание 2 4 4 5" xfId="3265" xr:uid="{00000000-0005-0000-0000-0000C9250000}"/>
    <cellStyle name="Примечание 2 4 4 6" xfId="3312" xr:uid="{00000000-0005-0000-0000-0000CA250000}"/>
    <cellStyle name="Примечание 2 4 4 7" xfId="3164" xr:uid="{00000000-0005-0000-0000-0000CB250000}"/>
    <cellStyle name="Примечание 2 4 5" xfId="2205" xr:uid="{00000000-0005-0000-0000-0000CC250000}"/>
    <cellStyle name="Примечание 2 4 5 2" xfId="22797" xr:uid="{00000000-0005-0000-0000-0000CD250000}"/>
    <cellStyle name="Примечание 2 4 5 2 2" xfId="39263" xr:uid="{9B23DE62-DD0F-4055-864C-29DDEF3609BA}"/>
    <cellStyle name="Примечание 2 4 5 3" xfId="5614" xr:uid="{00000000-0005-0000-0000-0000CE250000}"/>
    <cellStyle name="Примечание 2 4 5 4" xfId="23617" xr:uid="{9AB80C1D-BB0D-4CDD-87BD-6281A0CA676A}"/>
    <cellStyle name="Примечание 2 4 6" xfId="2911" xr:uid="{00000000-0005-0000-0000-0000CF250000}"/>
    <cellStyle name="Примечание 2 4 6 2" xfId="6611" xr:uid="{00000000-0005-0000-0000-0000D0250000}"/>
    <cellStyle name="Примечание 2 4 6 3" xfId="24238" xr:uid="{EF0FDF35-C179-4F93-8766-AAE593F5093B}"/>
    <cellStyle name="Примечание 2 4 7" xfId="3452" xr:uid="{00000000-0005-0000-0000-0000D1250000}"/>
    <cellStyle name="Примечание 2 4 7 2" xfId="7409" xr:uid="{00000000-0005-0000-0000-0000D2250000}"/>
    <cellStyle name="Примечание 2 4 7 3" xfId="24864" xr:uid="{0D660972-14FE-42C7-9D61-1B65FB8DC1AC}"/>
    <cellStyle name="Примечание 2 4 8" xfId="3295" xr:uid="{00000000-0005-0000-0000-0000D3250000}"/>
    <cellStyle name="Примечание 2 4 9" xfId="3376" xr:uid="{00000000-0005-0000-0000-0000D4250000}"/>
    <cellStyle name="Примечание 2 5" xfId="204" xr:uid="{00000000-0005-0000-0000-0000D5250000}"/>
    <cellStyle name="Примечание 2 5 10" xfId="4451" xr:uid="{00000000-0005-0000-0000-0000D6250000}"/>
    <cellStyle name="Примечание 2 5 2" xfId="239" xr:uid="{00000000-0005-0000-0000-0000D7250000}"/>
    <cellStyle name="Примечание 2 5 2 10" xfId="822" xr:uid="{00000000-0005-0000-0000-0000D8250000}"/>
    <cellStyle name="Примечание 2 5 2 10 2" xfId="1651" xr:uid="{00000000-0005-0000-0000-0000D9250000}"/>
    <cellStyle name="Примечание 2 5 2 10 2 2" xfId="21644" xr:uid="{00000000-0005-0000-0000-0000DA250000}"/>
    <cellStyle name="Примечание 2 5 2 10 2 2 2" xfId="38286" xr:uid="{6C2F8879-A177-45DA-86E4-59C580A62FA3}"/>
    <cellStyle name="Примечание 2 5 2 10 2 3" xfId="6407" xr:uid="{00000000-0005-0000-0000-0000DB250000}"/>
    <cellStyle name="Примечание 2 5 2 10 2 4" xfId="24194" xr:uid="{7A58B0A4-EC1F-4590-A708-DC1B79564A40}"/>
    <cellStyle name="Примечание 2 5 2 10 3" xfId="1948" xr:uid="{00000000-0005-0000-0000-0000DC250000}"/>
    <cellStyle name="Примечание 2 5 2 10 3 2" xfId="22266" xr:uid="{00000000-0005-0000-0000-0000DD250000}"/>
    <cellStyle name="Примечание 2 5 2 10 3 2 2" xfId="38876" xr:uid="{639737C3-F332-44AE-9D0C-22720CE6CE40}"/>
    <cellStyle name="Примечание 2 5 2 10 3 3" xfId="7176" xr:uid="{00000000-0005-0000-0000-0000DE250000}"/>
    <cellStyle name="Примечание 2 5 2 10 3 4" xfId="24803" xr:uid="{0F3ED0D1-0E13-4238-9A6F-A7A3AD70D8F8}"/>
    <cellStyle name="Примечание 2 5 2 10 4" xfId="2650" xr:uid="{00000000-0005-0000-0000-0000DF250000}"/>
    <cellStyle name="Примечание 2 5 2 10 4 2" xfId="22810" xr:uid="{00000000-0005-0000-0000-0000E0250000}"/>
    <cellStyle name="Примечание 2 5 2 10 4 3" xfId="39276" xr:uid="{7263734B-7F4A-4E89-A22E-3722E09678D8}"/>
    <cellStyle name="Примечание 2 5 2 10 5" xfId="3379" xr:uid="{00000000-0005-0000-0000-0000E1250000}"/>
    <cellStyle name="Примечание 2 5 2 10 5 2" xfId="20907" xr:uid="{00000000-0005-0000-0000-0000E2250000}"/>
    <cellStyle name="Примечание 2 5 2 10 5 3" xfId="37697" xr:uid="{D0482306-F8BB-476E-86AC-F766257151E9}"/>
    <cellStyle name="Примечание 2 5 2 10 6" xfId="4380" xr:uid="{00000000-0005-0000-0000-0000E3250000}"/>
    <cellStyle name="Примечание 2 5 2 10 7" xfId="4902" xr:uid="{00000000-0005-0000-0000-0000E4250000}"/>
    <cellStyle name="Примечание 2 5 2 10 8" xfId="5383" xr:uid="{00000000-0005-0000-0000-0000E5250000}"/>
    <cellStyle name="Примечание 2 5 2 11" xfId="960" xr:uid="{00000000-0005-0000-0000-0000E6250000}"/>
    <cellStyle name="Примечание 2 5 2 11 2" xfId="2150" xr:uid="{00000000-0005-0000-0000-0000E7250000}"/>
    <cellStyle name="Примечание 2 5 2 11 2 2" xfId="21806" xr:uid="{00000000-0005-0000-0000-0000E8250000}"/>
    <cellStyle name="Примечание 2 5 2 11 2 2 2" xfId="38416" xr:uid="{5A1DA9A6-14B3-4524-9E83-7DF2971997AF}"/>
    <cellStyle name="Примечание 2 5 2 11 2 3" xfId="5878" xr:uid="{00000000-0005-0000-0000-0000E9250000}"/>
    <cellStyle name="Примечание 2 5 2 11 2 4" xfId="23734" xr:uid="{A14E4B8B-73CD-47F2-B3A0-21CAC2E504BA}"/>
    <cellStyle name="Примечание 2 5 2 11 3" xfId="2913" xr:uid="{00000000-0005-0000-0000-0000EA250000}"/>
    <cellStyle name="Примечание 2 5 2 11 3 2" xfId="22852" xr:uid="{00000000-0005-0000-0000-0000EB250000}"/>
    <cellStyle name="Примечание 2 5 2 11 3 2 2" xfId="39318" xr:uid="{5E82E6B0-D5CF-4AED-9F96-A7E936B3A7EE}"/>
    <cellStyle name="Примечание 2 5 2 11 3 3" xfId="6722" xr:uid="{00000000-0005-0000-0000-0000EC250000}"/>
    <cellStyle name="Примечание 2 5 2 11 3 4" xfId="24349" xr:uid="{27C3682A-2CB2-432A-9024-A69C020D50E0}"/>
    <cellStyle name="Примечание 2 5 2 11 4" xfId="3454" xr:uid="{00000000-0005-0000-0000-0000ED250000}"/>
    <cellStyle name="Примечание 2 5 2 11 4 2" xfId="21102" xr:uid="{00000000-0005-0000-0000-0000EE250000}"/>
    <cellStyle name="Примечание 2 5 2 11 4 3" xfId="37826" xr:uid="{0A00C2BB-DE6C-4324-9053-64DA60BE61DF}"/>
    <cellStyle name="Примечание 2 5 2 11 5" xfId="3882" xr:uid="{00000000-0005-0000-0000-0000EF250000}"/>
    <cellStyle name="Примечание 2 5 2 11 6" xfId="3154" xr:uid="{00000000-0005-0000-0000-0000F0250000}"/>
    <cellStyle name="Примечание 2 5 2 11 7" xfId="3796" xr:uid="{00000000-0005-0000-0000-0000F1250000}"/>
    <cellStyle name="Примечание 2 5 2 12" xfId="1795" xr:uid="{00000000-0005-0000-0000-0000F2250000}"/>
    <cellStyle name="Примечание 2 5 2 12 2" xfId="20972" xr:uid="{00000000-0005-0000-0000-0000F3250000}"/>
    <cellStyle name="Примечание 2 5 2 12 2 2" xfId="37749" xr:uid="{27C2970E-6C80-4712-8AEB-4EB0385251DD}"/>
    <cellStyle name="Примечание 2 5 2 12 3" xfId="5725" xr:uid="{00000000-0005-0000-0000-0000F4250000}"/>
    <cellStyle name="Примечание 2 5 2 12 4" xfId="23654" xr:uid="{1E2F85E9-B771-4C40-83E0-4E4A7F016706}"/>
    <cellStyle name="Примечание 2 5 2 13" xfId="2459" xr:uid="{00000000-0005-0000-0000-0000F5250000}"/>
    <cellStyle name="Примечание 2 5 2 13 2" xfId="21729" xr:uid="{00000000-0005-0000-0000-0000F6250000}"/>
    <cellStyle name="Примечание 2 5 2 13 2 2" xfId="38339" xr:uid="{F1223429-6563-499B-9F3F-419A4D35D5CF}"/>
    <cellStyle name="Примечание 2 5 2 13 3" xfId="6647" xr:uid="{00000000-0005-0000-0000-0000F7250000}"/>
    <cellStyle name="Примечание 2 5 2 13 4" xfId="24274" xr:uid="{7A4428DF-1154-4E67-B1D3-9590E0477017}"/>
    <cellStyle name="Примечание 2 5 2 14" xfId="3310" xr:uid="{00000000-0005-0000-0000-0000F8250000}"/>
    <cellStyle name="Примечание 2 5 2 14 2" xfId="22580" xr:uid="{00000000-0005-0000-0000-0000F9250000}"/>
    <cellStyle name="Примечание 2 5 2 14 3" xfId="39057" xr:uid="{849DE83E-04FB-4746-8244-FE4528471BDA}"/>
    <cellStyle name="Примечание 2 5 2 15" xfId="3480" xr:uid="{00000000-0005-0000-0000-0000FA250000}"/>
    <cellStyle name="Примечание 2 5 2 15 2" xfId="7496" xr:uid="{00000000-0005-0000-0000-0000FB250000}"/>
    <cellStyle name="Примечание 2 5 2 15 3" xfId="24898" xr:uid="{91EDFC60-7503-4F12-A2DC-F8B568222C5A}"/>
    <cellStyle name="Примечание 2 5 2 16" xfId="3369" xr:uid="{00000000-0005-0000-0000-0000FC250000}"/>
    <cellStyle name="Примечание 2 5 2 17" xfId="3311" xr:uid="{00000000-0005-0000-0000-0000FD250000}"/>
    <cellStyle name="Примечание 2 5 2 2" xfId="352" xr:uid="{00000000-0005-0000-0000-0000FE250000}"/>
    <cellStyle name="Примечание 2 5 2 2 2" xfId="1032" xr:uid="{00000000-0005-0000-0000-0000FF250000}"/>
    <cellStyle name="Примечание 2 5 2 2 2 2" xfId="21200" xr:uid="{00000000-0005-0000-0000-000000260000}"/>
    <cellStyle name="Примечание 2 5 2 2 2 2 2" xfId="37866" xr:uid="{34619131-B2E2-471B-BBAD-AFD44CE35BF0}"/>
    <cellStyle name="Примечание 2 5 2 2 2 3" xfId="5981" xr:uid="{00000000-0005-0000-0000-000001260000}"/>
    <cellStyle name="Примечание 2 5 2 2 2 4" xfId="23774" xr:uid="{599B6076-18A1-4A58-9CA2-E580DB5ABBEC}"/>
    <cellStyle name="Примечание 2 5 2 2 3" xfId="2241" xr:uid="{00000000-0005-0000-0000-000002260000}"/>
    <cellStyle name="Примечание 2 5 2 2 3 2" xfId="21846" xr:uid="{00000000-0005-0000-0000-000003260000}"/>
    <cellStyle name="Примечание 2 5 2 2 3 2 2" xfId="38456" xr:uid="{11C6A978-A128-48C5-9E19-FD82C08DDFFC}"/>
    <cellStyle name="Примечание 2 5 2 2 3 3" xfId="6760" xr:uid="{00000000-0005-0000-0000-000004260000}"/>
    <cellStyle name="Примечание 2 5 2 2 3 4" xfId="24387" xr:uid="{6E6D8741-349C-4BF5-9BEB-2F20319A2BEA}"/>
    <cellStyle name="Примечание 2 5 2 2 4" xfId="2406" xr:uid="{00000000-0005-0000-0000-000005260000}"/>
    <cellStyle name="Примечание 2 5 2 2 4 2" xfId="22905" xr:uid="{00000000-0005-0000-0000-000006260000}"/>
    <cellStyle name="Примечание 2 5 2 2 4 3" xfId="39371" xr:uid="{141CF322-F8F0-4197-9BFE-7E6887DA3071}"/>
    <cellStyle name="Примечание 2 5 2 2 5" xfId="3554" xr:uid="{00000000-0005-0000-0000-000007260000}"/>
    <cellStyle name="Примечание 2 5 2 2 5 2" xfId="14078" xr:uid="{00000000-0005-0000-0000-000008260000}"/>
    <cellStyle name="Примечание 2 5 2 2 5 3" xfId="31117" xr:uid="{D385F9B9-CCFF-4AB5-81F2-6846DF3269ED}"/>
    <cellStyle name="Примечание 2 5 2 2 6" xfId="3948" xr:uid="{00000000-0005-0000-0000-000009260000}"/>
    <cellStyle name="Примечание 2 5 2 2 7" xfId="4477" xr:uid="{00000000-0005-0000-0000-00000A260000}"/>
    <cellStyle name="Примечание 2 5 2 2 8" xfId="4967" xr:uid="{00000000-0005-0000-0000-00000B260000}"/>
    <cellStyle name="Примечание 2 5 2 3" xfId="461" xr:uid="{00000000-0005-0000-0000-00000C260000}"/>
    <cellStyle name="Примечание 2 5 2 3 2" xfId="1293" xr:uid="{00000000-0005-0000-0000-00000D260000}"/>
    <cellStyle name="Примечание 2 5 2 3 2 2" xfId="21286" xr:uid="{00000000-0005-0000-0000-00000E260000}"/>
    <cellStyle name="Примечание 2 5 2 3 2 2 2" xfId="37928" xr:uid="{8B1C6B8D-1700-450C-8CFC-5D94B276E966}"/>
    <cellStyle name="Примечание 2 5 2 3 2 3" xfId="6049" xr:uid="{00000000-0005-0000-0000-00000F260000}"/>
    <cellStyle name="Примечание 2 5 2 3 2 4" xfId="23836" xr:uid="{31215A86-DDCF-499C-AB6C-35EBF830351F}"/>
    <cellStyle name="Примечание 2 5 2 3 3" xfId="1779" xr:uid="{00000000-0005-0000-0000-000010260000}"/>
    <cellStyle name="Примечание 2 5 2 3 3 2" xfId="21908" xr:uid="{00000000-0005-0000-0000-000011260000}"/>
    <cellStyle name="Примечание 2 5 2 3 3 2 2" xfId="38518" xr:uid="{9CEA9BF6-6F0F-4E03-82DE-5B2F432CA155}"/>
    <cellStyle name="Примечание 2 5 2 3 3 3" xfId="6819" xr:uid="{00000000-0005-0000-0000-000012260000}"/>
    <cellStyle name="Примечание 2 5 2 3 3 4" xfId="24446" xr:uid="{2B701980-05CB-450B-B1C7-7205CA0B799F}"/>
    <cellStyle name="Примечание 2 5 2 3 4" xfId="2613" xr:uid="{00000000-0005-0000-0000-000013260000}"/>
    <cellStyle name="Примечание 2 5 2 3 4 2" xfId="23055" xr:uid="{00000000-0005-0000-0000-000014260000}"/>
    <cellStyle name="Примечание 2 5 2 3 4 3" xfId="39521" xr:uid="{ED1C3D3C-37E4-4FBE-9C71-E01E7559E102}"/>
    <cellStyle name="Примечание 2 5 2 3 5" xfId="3773" xr:uid="{00000000-0005-0000-0000-000015260000}"/>
    <cellStyle name="Примечание 2 5 2 3 5 2" xfId="20441" xr:uid="{00000000-0005-0000-0000-000016260000}"/>
    <cellStyle name="Примечание 2 5 2 3 5 3" xfId="37338" xr:uid="{23CF332B-9E36-4E79-B474-02BFC928A98B}"/>
    <cellStyle name="Примечание 2 5 2 3 6" xfId="4022" xr:uid="{00000000-0005-0000-0000-000017260000}"/>
    <cellStyle name="Примечание 2 5 2 3 7" xfId="4544" xr:uid="{00000000-0005-0000-0000-000018260000}"/>
    <cellStyle name="Примечание 2 5 2 3 8" xfId="5026" xr:uid="{00000000-0005-0000-0000-000019260000}"/>
    <cellStyle name="Примечание 2 5 2 4" xfId="507" xr:uid="{00000000-0005-0000-0000-00001A260000}"/>
    <cellStyle name="Примечание 2 5 2 4 2" xfId="1339" xr:uid="{00000000-0005-0000-0000-00001B260000}"/>
    <cellStyle name="Примечание 2 5 2 4 2 2" xfId="21332" xr:uid="{00000000-0005-0000-0000-00001C260000}"/>
    <cellStyle name="Примечание 2 5 2 4 2 2 2" xfId="37974" xr:uid="{EB31427F-4C72-447C-AA7D-C98ED28B80A3}"/>
    <cellStyle name="Примечание 2 5 2 4 2 3" xfId="6095" xr:uid="{00000000-0005-0000-0000-00001D260000}"/>
    <cellStyle name="Примечание 2 5 2 4 2 4" xfId="23882" xr:uid="{BF4D560F-F43D-4163-97E5-65CCD91D2752}"/>
    <cellStyle name="Примечание 2 5 2 4 3" xfId="2044" xr:uid="{00000000-0005-0000-0000-00001E260000}"/>
    <cellStyle name="Примечание 2 5 2 4 3 2" xfId="21954" xr:uid="{00000000-0005-0000-0000-00001F260000}"/>
    <cellStyle name="Примечание 2 5 2 4 3 2 2" xfId="38564" xr:uid="{1C35326E-6FD2-476A-820C-61DC8FC91CC7}"/>
    <cellStyle name="Примечание 2 5 2 4 3 3" xfId="6864" xr:uid="{00000000-0005-0000-0000-000020260000}"/>
    <cellStyle name="Примечание 2 5 2 4 3 4" xfId="24491" xr:uid="{10268E15-DC7E-4AA6-94EF-93B549462890}"/>
    <cellStyle name="Примечание 2 5 2 4 4" xfId="2834" xr:uid="{00000000-0005-0000-0000-000021260000}"/>
    <cellStyle name="Примечание 2 5 2 4 4 2" xfId="22692" xr:uid="{00000000-0005-0000-0000-000022260000}"/>
    <cellStyle name="Примечание 2 5 2 4 4 3" xfId="39164" xr:uid="{A29618FF-7207-45C2-BBAF-12EC23C37572}"/>
    <cellStyle name="Примечание 2 5 2 4 5" xfId="3726" xr:uid="{00000000-0005-0000-0000-000023260000}"/>
    <cellStyle name="Примечание 2 5 2 4 5 2" xfId="20493" xr:uid="{00000000-0005-0000-0000-000024260000}"/>
    <cellStyle name="Примечание 2 5 2 4 5 3" xfId="37385" xr:uid="{00AF1780-06D4-41CE-A858-A4909142C657}"/>
    <cellStyle name="Примечание 2 5 2 4 6" xfId="4067" xr:uid="{00000000-0005-0000-0000-000025260000}"/>
    <cellStyle name="Примечание 2 5 2 4 7" xfId="4589" xr:uid="{00000000-0005-0000-0000-000026260000}"/>
    <cellStyle name="Примечание 2 5 2 4 8" xfId="5071" xr:uid="{00000000-0005-0000-0000-000027260000}"/>
    <cellStyle name="Примечание 2 5 2 5" xfId="559" xr:uid="{00000000-0005-0000-0000-000028260000}"/>
    <cellStyle name="Примечание 2 5 2 5 2" xfId="1391" xr:uid="{00000000-0005-0000-0000-000029260000}"/>
    <cellStyle name="Примечание 2 5 2 5 2 2" xfId="21384" xr:uid="{00000000-0005-0000-0000-00002A260000}"/>
    <cellStyle name="Примечание 2 5 2 5 2 2 2" xfId="38026" xr:uid="{488D2CCE-F5AE-4CD7-A627-DBBC65345443}"/>
    <cellStyle name="Примечание 2 5 2 5 2 3" xfId="6147" xr:uid="{00000000-0005-0000-0000-00002B260000}"/>
    <cellStyle name="Примечание 2 5 2 5 2 4" xfId="23934" xr:uid="{3A5DBA45-90EC-482F-A06A-E85E766EA862}"/>
    <cellStyle name="Примечание 2 5 2 5 3" xfId="1941" xr:uid="{00000000-0005-0000-0000-00002C260000}"/>
    <cellStyle name="Примечание 2 5 2 5 3 2" xfId="22006" xr:uid="{00000000-0005-0000-0000-00002D260000}"/>
    <cellStyle name="Примечание 2 5 2 5 3 2 2" xfId="38616" xr:uid="{3CEDBDE5-9733-4B03-9E53-B70BA001F9EA}"/>
    <cellStyle name="Примечание 2 5 2 5 3 3" xfId="6916" xr:uid="{00000000-0005-0000-0000-00002E260000}"/>
    <cellStyle name="Примечание 2 5 2 5 3 4" xfId="24543" xr:uid="{614DBB88-0B95-4ACA-9844-E755244757ED}"/>
    <cellStyle name="Примечание 2 5 2 5 4" xfId="2726" xr:uid="{00000000-0005-0000-0000-00002F260000}"/>
    <cellStyle name="Примечание 2 5 2 5 4 2" xfId="22536" xr:uid="{00000000-0005-0000-0000-000030260000}"/>
    <cellStyle name="Примечание 2 5 2 5 4 3" xfId="39015" xr:uid="{6BC0C76F-8D6C-40D7-86F0-5053DAE75132}"/>
    <cellStyle name="Примечание 2 5 2 5 5" xfId="2986" xr:uid="{00000000-0005-0000-0000-000031260000}"/>
    <cellStyle name="Примечание 2 5 2 5 5 2" xfId="20607" xr:uid="{00000000-0005-0000-0000-000032260000}"/>
    <cellStyle name="Примечание 2 5 2 5 5 3" xfId="37451" xr:uid="{FDCC6DD3-34E4-4C03-A0E9-9ADBC41BED97}"/>
    <cellStyle name="Примечание 2 5 2 5 6" xfId="4119" xr:uid="{00000000-0005-0000-0000-000033260000}"/>
    <cellStyle name="Примечание 2 5 2 5 7" xfId="4641" xr:uid="{00000000-0005-0000-0000-000034260000}"/>
    <cellStyle name="Примечание 2 5 2 5 8" xfId="5123" xr:uid="{00000000-0005-0000-0000-000035260000}"/>
    <cellStyle name="Примечание 2 5 2 6" xfId="611" xr:uid="{00000000-0005-0000-0000-000036260000}"/>
    <cellStyle name="Примечание 2 5 2 6 2" xfId="1443" xr:uid="{00000000-0005-0000-0000-000037260000}"/>
    <cellStyle name="Примечание 2 5 2 6 2 2" xfId="21436" xr:uid="{00000000-0005-0000-0000-000038260000}"/>
    <cellStyle name="Примечание 2 5 2 6 2 2 2" xfId="38078" xr:uid="{F992E598-0683-497A-BBA4-1E98AF92731A}"/>
    <cellStyle name="Примечание 2 5 2 6 2 3" xfId="6199" xr:uid="{00000000-0005-0000-0000-000039260000}"/>
    <cellStyle name="Примечание 2 5 2 6 2 4" xfId="23986" xr:uid="{6585B259-D76A-4A50-850B-2A53D3B9B1D3}"/>
    <cellStyle name="Примечание 2 5 2 6 3" xfId="2279" xr:uid="{00000000-0005-0000-0000-00003A260000}"/>
    <cellStyle name="Примечание 2 5 2 6 3 2" xfId="22058" xr:uid="{00000000-0005-0000-0000-00003B260000}"/>
    <cellStyle name="Примечание 2 5 2 6 3 2 2" xfId="38668" xr:uid="{0B4ABE76-EAFF-4DE8-ABA5-F82187F01DBF}"/>
    <cellStyle name="Примечание 2 5 2 6 3 3" xfId="6968" xr:uid="{00000000-0005-0000-0000-00003C260000}"/>
    <cellStyle name="Примечание 2 5 2 6 3 4" xfId="24595" xr:uid="{CA54D2CE-BD7B-4195-9672-0E449EF48F61}"/>
    <cellStyle name="Примечание 2 5 2 6 4" xfId="2904" xr:uid="{00000000-0005-0000-0000-00003D260000}"/>
    <cellStyle name="Примечание 2 5 2 6 4 2" xfId="23018" xr:uid="{00000000-0005-0000-0000-00003E260000}"/>
    <cellStyle name="Примечание 2 5 2 6 4 3" xfId="39484" xr:uid="{3A20A050-A1B5-438F-80EC-986072F234D2}"/>
    <cellStyle name="Примечание 2 5 2 6 5" xfId="3657" xr:uid="{00000000-0005-0000-0000-00003F260000}"/>
    <cellStyle name="Примечание 2 5 2 6 5 2" xfId="20647" xr:uid="{00000000-0005-0000-0000-000040260000}"/>
    <cellStyle name="Примечание 2 5 2 6 5 3" xfId="37489" xr:uid="{5A9451A4-215A-4BF3-9D7D-565FC40C8036}"/>
    <cellStyle name="Примечание 2 5 2 6 6" xfId="4171" xr:uid="{00000000-0005-0000-0000-000041260000}"/>
    <cellStyle name="Примечание 2 5 2 6 7" xfId="4693" xr:uid="{00000000-0005-0000-0000-000042260000}"/>
    <cellStyle name="Примечание 2 5 2 6 8" xfId="5175" xr:uid="{00000000-0005-0000-0000-000043260000}"/>
    <cellStyle name="Примечание 2 5 2 7" xfId="713" xr:uid="{00000000-0005-0000-0000-000044260000}"/>
    <cellStyle name="Примечание 2 5 2 7 2" xfId="1543" xr:uid="{00000000-0005-0000-0000-000045260000}"/>
    <cellStyle name="Примечание 2 5 2 7 2 2" xfId="21536" xr:uid="{00000000-0005-0000-0000-000046260000}"/>
    <cellStyle name="Примечание 2 5 2 7 2 2 2" xfId="38178" xr:uid="{0A567F3A-2041-4197-90F1-2E5848F1DA41}"/>
    <cellStyle name="Примечание 2 5 2 7 2 3" xfId="6299" xr:uid="{00000000-0005-0000-0000-000047260000}"/>
    <cellStyle name="Примечание 2 5 2 7 2 4" xfId="24086" xr:uid="{A0D1706B-1A75-4597-8A2E-03356EA34694}"/>
    <cellStyle name="Примечание 2 5 2 7 3" xfId="2299" xr:uid="{00000000-0005-0000-0000-000048260000}"/>
    <cellStyle name="Примечание 2 5 2 7 3 2" xfId="22158" xr:uid="{00000000-0005-0000-0000-000049260000}"/>
    <cellStyle name="Примечание 2 5 2 7 3 2 2" xfId="38768" xr:uid="{D98A5B9E-2B81-49A9-9780-93A1F064427A}"/>
    <cellStyle name="Примечание 2 5 2 7 3 3" xfId="7068" xr:uid="{00000000-0005-0000-0000-00004A260000}"/>
    <cellStyle name="Примечание 2 5 2 7 3 4" xfId="24695" xr:uid="{E193605C-38AA-4979-B102-2F89441E664C}"/>
    <cellStyle name="Примечание 2 5 2 7 4" xfId="2933" xr:uid="{00000000-0005-0000-0000-00004B260000}"/>
    <cellStyle name="Примечание 2 5 2 7 4 2" xfId="22666" xr:uid="{00000000-0005-0000-0000-00004C260000}"/>
    <cellStyle name="Примечание 2 5 2 7 4 3" xfId="39138" xr:uid="{573E2834-9CDE-4431-B8A9-AF2370B43005}"/>
    <cellStyle name="Примечание 2 5 2 7 5" xfId="3025" xr:uid="{00000000-0005-0000-0000-00004D260000}"/>
    <cellStyle name="Примечание 2 5 2 7 5 2" xfId="20712" xr:uid="{00000000-0005-0000-0000-00004E260000}"/>
    <cellStyle name="Примечание 2 5 2 7 5 3" xfId="37541" xr:uid="{F7195D7F-6E1D-4D7F-B4D0-127B084B895D}"/>
    <cellStyle name="Примечание 2 5 2 7 6" xfId="4272" xr:uid="{00000000-0005-0000-0000-00004F260000}"/>
    <cellStyle name="Примечание 2 5 2 7 7" xfId="4794" xr:uid="{00000000-0005-0000-0000-000050260000}"/>
    <cellStyle name="Примечание 2 5 2 7 8" xfId="5275" xr:uid="{00000000-0005-0000-0000-000051260000}"/>
    <cellStyle name="Примечание 2 5 2 8" xfId="758" xr:uid="{00000000-0005-0000-0000-000052260000}"/>
    <cellStyle name="Примечание 2 5 2 8 2" xfId="1587" xr:uid="{00000000-0005-0000-0000-000053260000}"/>
    <cellStyle name="Примечание 2 5 2 8 2 2" xfId="21580" xr:uid="{00000000-0005-0000-0000-000054260000}"/>
    <cellStyle name="Примечание 2 5 2 8 2 2 2" xfId="38222" xr:uid="{3BED433A-0CDB-4935-B834-A406F8F0DF24}"/>
    <cellStyle name="Примечание 2 5 2 8 2 3" xfId="6343" xr:uid="{00000000-0005-0000-0000-000055260000}"/>
    <cellStyle name="Примечание 2 5 2 8 2 4" xfId="24130" xr:uid="{CF354066-6EDE-4C9B-87CD-EC060F632786}"/>
    <cellStyle name="Примечание 2 5 2 8 3" xfId="1956" xr:uid="{00000000-0005-0000-0000-000056260000}"/>
    <cellStyle name="Примечание 2 5 2 8 3 2" xfId="22202" xr:uid="{00000000-0005-0000-0000-000057260000}"/>
    <cellStyle name="Примечание 2 5 2 8 3 2 2" xfId="38812" xr:uid="{0E47CBDB-2201-4DA8-B1A4-CA16A76E3679}"/>
    <cellStyle name="Примечание 2 5 2 8 3 3" xfId="7112" xr:uid="{00000000-0005-0000-0000-000058260000}"/>
    <cellStyle name="Примечание 2 5 2 8 3 4" xfId="24739" xr:uid="{D6E6D073-336C-466F-9E14-1E7D9F64BEE3}"/>
    <cellStyle name="Примечание 2 5 2 8 4" xfId="2929" xr:uid="{00000000-0005-0000-0000-000059260000}"/>
    <cellStyle name="Примечание 2 5 2 8 4 2" xfId="23102" xr:uid="{00000000-0005-0000-0000-00005A260000}"/>
    <cellStyle name="Примечание 2 5 2 8 4 3" xfId="39568" xr:uid="{DF7ADCFB-0712-461D-A88C-7FEEA4A56029}"/>
    <cellStyle name="Примечание 2 5 2 8 5" xfId="3838" xr:uid="{00000000-0005-0000-0000-00005B260000}"/>
    <cellStyle name="Примечание 2 5 2 8 5 2" xfId="20777" xr:uid="{00000000-0005-0000-0000-00005C260000}"/>
    <cellStyle name="Примечание 2 5 2 8 5 3" xfId="37593" xr:uid="{E50C040B-6FC4-4BCE-91AD-7A6A33CB8DBE}"/>
    <cellStyle name="Примечание 2 5 2 8 6" xfId="4316" xr:uid="{00000000-0005-0000-0000-00005D260000}"/>
    <cellStyle name="Примечание 2 5 2 8 7" xfId="4838" xr:uid="{00000000-0005-0000-0000-00005E260000}"/>
    <cellStyle name="Примечание 2 5 2 8 8" xfId="5319" xr:uid="{00000000-0005-0000-0000-00005F260000}"/>
    <cellStyle name="Примечание 2 5 2 9" xfId="790" xr:uid="{00000000-0005-0000-0000-000060260000}"/>
    <cellStyle name="Примечание 2 5 2 9 2" xfId="1619" xr:uid="{00000000-0005-0000-0000-000061260000}"/>
    <cellStyle name="Примечание 2 5 2 9 2 2" xfId="21612" xr:uid="{00000000-0005-0000-0000-000062260000}"/>
    <cellStyle name="Примечание 2 5 2 9 2 2 2" xfId="38254" xr:uid="{4160BA53-140C-449A-A4F6-331C03C58AAB}"/>
    <cellStyle name="Примечание 2 5 2 9 2 3" xfId="6375" xr:uid="{00000000-0005-0000-0000-000063260000}"/>
    <cellStyle name="Примечание 2 5 2 9 2 4" xfId="24162" xr:uid="{D7B41EAA-BCBC-485F-84DC-14186BF3C5E4}"/>
    <cellStyle name="Примечание 2 5 2 9 3" xfId="1952" xr:uid="{00000000-0005-0000-0000-000064260000}"/>
    <cellStyle name="Примечание 2 5 2 9 3 2" xfId="22234" xr:uid="{00000000-0005-0000-0000-000065260000}"/>
    <cellStyle name="Примечание 2 5 2 9 3 2 2" xfId="38844" xr:uid="{340A7007-DFBF-46ED-8285-0BD96AB265B1}"/>
    <cellStyle name="Примечание 2 5 2 9 3 3" xfId="7144" xr:uid="{00000000-0005-0000-0000-000066260000}"/>
    <cellStyle name="Примечание 2 5 2 9 3 4" xfId="24771" xr:uid="{5A676BE9-A842-4632-B34B-9601BF03BEFC}"/>
    <cellStyle name="Примечание 2 5 2 9 4" xfId="2448" xr:uid="{00000000-0005-0000-0000-000067260000}"/>
    <cellStyle name="Примечание 2 5 2 9 4 2" xfId="22805" xr:uid="{00000000-0005-0000-0000-000068260000}"/>
    <cellStyle name="Примечание 2 5 2 9 4 3" xfId="39271" xr:uid="{2FFA94C5-81EA-415A-ABC6-AD9D14A69397}"/>
    <cellStyle name="Примечание 2 5 2 9 5" xfId="3861" xr:uid="{00000000-0005-0000-0000-000069260000}"/>
    <cellStyle name="Примечание 2 5 2 9 5 2" xfId="20842" xr:uid="{00000000-0005-0000-0000-00006A260000}"/>
    <cellStyle name="Примечание 2 5 2 9 5 3" xfId="37645" xr:uid="{8819E77E-D8FC-40B6-B33B-E022D2F5C76E}"/>
    <cellStyle name="Примечание 2 5 2 9 6" xfId="4348" xr:uid="{00000000-0005-0000-0000-00006B260000}"/>
    <cellStyle name="Примечание 2 5 2 9 7" xfId="4870" xr:uid="{00000000-0005-0000-0000-00006C260000}"/>
    <cellStyle name="Примечание 2 5 2 9 8" xfId="5351" xr:uid="{00000000-0005-0000-0000-00006D260000}"/>
    <cellStyle name="Примечание 2 5 3" xfId="376" xr:uid="{00000000-0005-0000-0000-00006E260000}"/>
    <cellStyle name="Примечание 2 5 3 10" xfId="1001" xr:uid="{00000000-0005-0000-0000-00006F260000}"/>
    <cellStyle name="Примечание 2 5 3 10 2" xfId="2210" xr:uid="{00000000-0005-0000-0000-000070260000}"/>
    <cellStyle name="Примечание 2 5 3 10 2 2" xfId="21865" xr:uid="{00000000-0005-0000-0000-000071260000}"/>
    <cellStyle name="Примечание 2 5 3 10 2 2 2" xfId="38475" xr:uid="{2C6CBF80-DBB8-46A6-AA23-8A9E300DE60F}"/>
    <cellStyle name="Примечание 2 5 3 10 2 3" xfId="6005" xr:uid="{00000000-0005-0000-0000-000072260000}"/>
    <cellStyle name="Примечание 2 5 3 10 2 4" xfId="23793" xr:uid="{B6D25337-664C-41C6-AD15-60BF60993846}"/>
    <cellStyle name="Примечание 2 5 3 10 3" xfId="2562" xr:uid="{00000000-0005-0000-0000-000073260000}"/>
    <cellStyle name="Примечание 2 5 3 10 3 2" xfId="22883" xr:uid="{00000000-0005-0000-0000-000074260000}"/>
    <cellStyle name="Примечание 2 5 3 10 3 2 2" xfId="39349" xr:uid="{F0AB5460-2775-4514-8D2F-3FF8D4FA49C7}"/>
    <cellStyle name="Примечание 2 5 3 10 3 3" xfId="6779" xr:uid="{00000000-0005-0000-0000-000075260000}"/>
    <cellStyle name="Примечание 2 5 3 10 3 4" xfId="24406" xr:uid="{D4C53EB4-55ED-4DC4-B364-E962D37E5FA2}"/>
    <cellStyle name="Примечание 2 5 3 10 4" xfId="3529" xr:uid="{00000000-0005-0000-0000-000076260000}"/>
    <cellStyle name="Примечание 2 5 3 10 4 2" xfId="21224" xr:uid="{00000000-0005-0000-0000-000077260000}"/>
    <cellStyle name="Примечание 2 5 3 10 4 3" xfId="37885" xr:uid="{9A109522-8DF5-440F-985D-7C154737989E}"/>
    <cellStyle name="Примечание 2 5 3 10 5" xfId="3969" xr:uid="{00000000-0005-0000-0000-000078260000}"/>
    <cellStyle name="Примечание 2 5 3 10 6" xfId="4497" xr:uid="{00000000-0005-0000-0000-000079260000}"/>
    <cellStyle name="Примечание 2 5 3 10 7" xfId="4986" xr:uid="{00000000-0005-0000-0000-00007A260000}"/>
    <cellStyle name="Примечание 2 5 3 11" xfId="1814" xr:uid="{00000000-0005-0000-0000-00007B260000}"/>
    <cellStyle name="Примечание 2 5 3 11 2" xfId="20991" xr:uid="{00000000-0005-0000-0000-00007C260000}"/>
    <cellStyle name="Примечание 2 5 3 11 2 2" xfId="37768" xr:uid="{CBE27F4E-0789-45A7-9159-83E8A267DCBF}"/>
    <cellStyle name="Примечание 2 5 3 11 3" xfId="5749" xr:uid="{00000000-0005-0000-0000-00007D260000}"/>
    <cellStyle name="Примечание 2 5 3 11 4" xfId="23673" xr:uid="{D3958DF3-A49B-4E8E-BC8B-EBC1B9AAB15E}"/>
    <cellStyle name="Примечание 2 5 3 12" xfId="2454" xr:uid="{00000000-0005-0000-0000-00007E260000}"/>
    <cellStyle name="Примечание 2 5 3 12 2" xfId="21748" xr:uid="{00000000-0005-0000-0000-00007F260000}"/>
    <cellStyle name="Примечание 2 5 3 12 2 2" xfId="38358" xr:uid="{DD93AD26-61B4-487C-9B21-DB69B3C0D41C}"/>
    <cellStyle name="Примечание 2 5 3 12 3" xfId="6666" xr:uid="{00000000-0005-0000-0000-000080260000}"/>
    <cellStyle name="Примечание 2 5 3 12 4" xfId="24293" xr:uid="{238D1FE2-DABC-4838-BA09-8B25405F4F47}"/>
    <cellStyle name="Примечание 2 5 3 13" xfId="3305" xr:uid="{00000000-0005-0000-0000-000081260000}"/>
    <cellStyle name="Примечание 2 5 3 13 2" xfId="22572" xr:uid="{00000000-0005-0000-0000-000082260000}"/>
    <cellStyle name="Примечание 2 5 3 13 3" xfId="39050" xr:uid="{2125DA2C-5B22-429A-8E47-6E024D2D840F}"/>
    <cellStyle name="Примечание 2 5 3 14" xfId="3705" xr:uid="{00000000-0005-0000-0000-000083260000}"/>
    <cellStyle name="Примечание 2 5 3 14 2" xfId="14047" xr:uid="{00000000-0005-0000-0000-000084260000}"/>
    <cellStyle name="Примечание 2 5 3 14 3" xfId="31086" xr:uid="{655D0EFA-63CA-44BB-89E4-31AC34FD5042}"/>
    <cellStyle name="Примечание 2 5 3 15" xfId="3182" xr:uid="{00000000-0005-0000-0000-000085260000}"/>
    <cellStyle name="Примечание 2 5 3 16" xfId="3938" xr:uid="{00000000-0005-0000-0000-000086260000}"/>
    <cellStyle name="Примечание 2 5 3 2" xfId="481" xr:uid="{00000000-0005-0000-0000-000087260000}"/>
    <cellStyle name="Примечание 2 5 3 2 2" xfId="1313" xr:uid="{00000000-0005-0000-0000-000088260000}"/>
    <cellStyle name="Примечание 2 5 3 2 2 2" xfId="21306" xr:uid="{00000000-0005-0000-0000-000089260000}"/>
    <cellStyle name="Примечание 2 5 3 2 2 2 2" xfId="37948" xr:uid="{C17DB50E-2358-4D39-B5A1-4B9206D02229}"/>
    <cellStyle name="Примечание 2 5 3 2 2 3" xfId="6069" xr:uid="{00000000-0005-0000-0000-00008A260000}"/>
    <cellStyle name="Примечание 2 5 3 2 2 4" xfId="23856" xr:uid="{E955F836-E201-472A-AC13-9CD383BBEEB1}"/>
    <cellStyle name="Примечание 2 5 3 2 3" xfId="1945" xr:uid="{00000000-0005-0000-0000-00008B260000}"/>
    <cellStyle name="Примечание 2 5 3 2 3 2" xfId="21928" xr:uid="{00000000-0005-0000-0000-00008C260000}"/>
    <cellStyle name="Примечание 2 5 3 2 3 2 2" xfId="38538" xr:uid="{87B7EDE8-9CEA-4A36-85A5-56FB5CB6932E}"/>
    <cellStyle name="Примечание 2 5 3 2 3 3" xfId="6838" xr:uid="{00000000-0005-0000-0000-00008D260000}"/>
    <cellStyle name="Примечание 2 5 3 2 3 4" xfId="24465" xr:uid="{5B60F71B-36A4-40B7-B809-EF7167AD8338}"/>
    <cellStyle name="Примечание 2 5 3 2 4" xfId="2756" xr:uid="{00000000-0005-0000-0000-00008E260000}"/>
    <cellStyle name="Примечание 2 5 3 2 4 2" xfId="22560" xr:uid="{00000000-0005-0000-0000-00008F260000}"/>
    <cellStyle name="Примечание 2 5 3 2 4 3" xfId="39038" xr:uid="{EFA3BB46-1C4E-4CD2-A0E5-28067F2377E7}"/>
    <cellStyle name="Примечание 2 5 3 2 5" xfId="3032" xr:uid="{00000000-0005-0000-0000-000090260000}"/>
    <cellStyle name="Примечание 2 5 3 2 5 2" xfId="20465" xr:uid="{00000000-0005-0000-0000-000091260000}"/>
    <cellStyle name="Примечание 2 5 3 2 5 3" xfId="37357" xr:uid="{98BB67C5-1ECB-428C-8CD3-4DFDC0D99359}"/>
    <cellStyle name="Примечание 2 5 3 2 6" xfId="4041" xr:uid="{00000000-0005-0000-0000-000092260000}"/>
    <cellStyle name="Примечание 2 5 3 2 7" xfId="4563" xr:uid="{00000000-0005-0000-0000-000093260000}"/>
    <cellStyle name="Примечание 2 5 3 2 8" xfId="5045" xr:uid="{00000000-0005-0000-0000-000094260000}"/>
    <cellStyle name="Примечание 2 5 3 3" xfId="526" xr:uid="{00000000-0005-0000-0000-000095260000}"/>
    <cellStyle name="Примечание 2 5 3 3 2" xfId="1358" xr:uid="{00000000-0005-0000-0000-000096260000}"/>
    <cellStyle name="Примечание 2 5 3 3 2 2" xfId="21351" xr:uid="{00000000-0005-0000-0000-000097260000}"/>
    <cellStyle name="Примечание 2 5 3 3 2 2 2" xfId="37993" xr:uid="{1B3D59C6-47D5-41CB-9266-5E5BB6566C1F}"/>
    <cellStyle name="Примечание 2 5 3 3 2 3" xfId="6114" xr:uid="{00000000-0005-0000-0000-000098260000}"/>
    <cellStyle name="Примечание 2 5 3 3 2 4" xfId="23901" xr:uid="{7EFDA49F-5E80-4B5B-A440-F07F63F8096E}"/>
    <cellStyle name="Примечание 2 5 3 3 3" xfId="1908" xr:uid="{00000000-0005-0000-0000-000099260000}"/>
    <cellStyle name="Примечание 2 5 3 3 3 2" xfId="21973" xr:uid="{00000000-0005-0000-0000-00009A260000}"/>
    <cellStyle name="Примечание 2 5 3 3 3 2 2" xfId="38583" xr:uid="{1EBD29C1-E291-402D-B5D2-B5A114B2D9F4}"/>
    <cellStyle name="Примечание 2 5 3 3 3 3" xfId="6883" xr:uid="{00000000-0005-0000-0000-00009B260000}"/>
    <cellStyle name="Примечание 2 5 3 3 3 4" xfId="24510" xr:uid="{9CF011B4-7180-4ADD-BEC6-59878D01E0FA}"/>
    <cellStyle name="Примечание 2 5 3 3 4" xfId="2575" xr:uid="{00000000-0005-0000-0000-00009C260000}"/>
    <cellStyle name="Примечание 2 5 3 3 4 2" xfId="22866" xr:uid="{00000000-0005-0000-0000-00009D260000}"/>
    <cellStyle name="Примечание 2 5 3 3 4 3" xfId="39332" xr:uid="{3F42F3E2-ACE4-4E14-A465-94B19418028E}"/>
    <cellStyle name="Примечание 2 5 3 3 5" xfId="3507" xr:uid="{00000000-0005-0000-0000-00009E260000}"/>
    <cellStyle name="Примечание 2 5 3 3 5 2" xfId="20512" xr:uid="{00000000-0005-0000-0000-00009F260000}"/>
    <cellStyle name="Примечание 2 5 3 3 5 3" xfId="37404" xr:uid="{F27C4B33-35F0-4037-8B70-6E376CEC93E3}"/>
    <cellStyle name="Примечание 2 5 3 3 6" xfId="4086" xr:uid="{00000000-0005-0000-0000-0000A0260000}"/>
    <cellStyle name="Примечание 2 5 3 3 7" xfId="4608" xr:uid="{00000000-0005-0000-0000-0000A1260000}"/>
    <cellStyle name="Примечание 2 5 3 3 8" xfId="5090" xr:uid="{00000000-0005-0000-0000-0000A2260000}"/>
    <cellStyle name="Примечание 2 5 3 4" xfId="578" xr:uid="{00000000-0005-0000-0000-0000A3260000}"/>
    <cellStyle name="Примечание 2 5 3 4 2" xfId="1410" xr:uid="{00000000-0005-0000-0000-0000A4260000}"/>
    <cellStyle name="Примечание 2 5 3 4 2 2" xfId="21403" xr:uid="{00000000-0005-0000-0000-0000A5260000}"/>
    <cellStyle name="Примечание 2 5 3 4 2 2 2" xfId="38045" xr:uid="{62AAC5E4-959A-4B8C-B583-19D9A6184D11}"/>
    <cellStyle name="Примечание 2 5 3 4 2 3" xfId="6166" xr:uid="{00000000-0005-0000-0000-0000A6260000}"/>
    <cellStyle name="Примечание 2 5 3 4 2 4" xfId="23953" xr:uid="{8FCE8F9C-4312-4178-B412-E8822F6C216C}"/>
    <cellStyle name="Примечание 2 5 3 4 3" xfId="2126" xr:uid="{00000000-0005-0000-0000-0000A7260000}"/>
    <cellStyle name="Примечание 2 5 3 4 3 2" xfId="22025" xr:uid="{00000000-0005-0000-0000-0000A8260000}"/>
    <cellStyle name="Примечание 2 5 3 4 3 2 2" xfId="38635" xr:uid="{AF247D7D-43B5-45EF-A123-529ECFA69ECC}"/>
    <cellStyle name="Примечание 2 5 3 4 3 3" xfId="6935" xr:uid="{00000000-0005-0000-0000-0000A9260000}"/>
    <cellStyle name="Примечание 2 5 3 4 3 4" xfId="24562" xr:uid="{44779DCC-6523-44F6-85AE-23A33A015A3D}"/>
    <cellStyle name="Примечание 2 5 3 4 4" xfId="2487" xr:uid="{00000000-0005-0000-0000-0000AA260000}"/>
    <cellStyle name="Примечание 2 5 3 4 4 2" xfId="22742" xr:uid="{00000000-0005-0000-0000-0000AB260000}"/>
    <cellStyle name="Примечание 2 5 3 4 4 3" xfId="39211" xr:uid="{18C54DA5-6D1D-4070-AD11-EAC45B76E25C}"/>
    <cellStyle name="Примечание 2 5 3 4 5" xfId="3362" xr:uid="{00000000-0005-0000-0000-0000AC260000}"/>
    <cellStyle name="Примечание 2 5 3 4 5 2" xfId="20628" xr:uid="{00000000-0005-0000-0000-0000AD260000}"/>
    <cellStyle name="Примечание 2 5 3 4 5 3" xfId="37470" xr:uid="{1F10D035-D153-49C3-941C-37E6D2EB77F9}"/>
    <cellStyle name="Примечание 2 5 3 4 6" xfId="4138" xr:uid="{00000000-0005-0000-0000-0000AE260000}"/>
    <cellStyle name="Примечание 2 5 3 4 7" xfId="4660" xr:uid="{00000000-0005-0000-0000-0000AF260000}"/>
    <cellStyle name="Примечание 2 5 3 4 8" xfId="5142" xr:uid="{00000000-0005-0000-0000-0000B0260000}"/>
    <cellStyle name="Примечание 2 5 3 5" xfId="630" xr:uid="{00000000-0005-0000-0000-0000B1260000}"/>
    <cellStyle name="Примечание 2 5 3 5 2" xfId="1462" xr:uid="{00000000-0005-0000-0000-0000B2260000}"/>
    <cellStyle name="Примечание 2 5 3 5 2 2" xfId="21455" xr:uid="{00000000-0005-0000-0000-0000B3260000}"/>
    <cellStyle name="Примечание 2 5 3 5 2 2 2" xfId="38097" xr:uid="{603209DE-42ED-4055-9DE0-F4F86BE96DA7}"/>
    <cellStyle name="Примечание 2 5 3 5 2 3" xfId="6218" xr:uid="{00000000-0005-0000-0000-0000B4260000}"/>
    <cellStyle name="Примечание 2 5 3 5 2 4" xfId="24005" xr:uid="{33BE8D71-F8F2-475D-9229-B65E186DA8DD}"/>
    <cellStyle name="Примечание 2 5 3 5 3" xfId="2267" xr:uid="{00000000-0005-0000-0000-0000B5260000}"/>
    <cellStyle name="Примечание 2 5 3 5 3 2" xfId="22077" xr:uid="{00000000-0005-0000-0000-0000B6260000}"/>
    <cellStyle name="Примечание 2 5 3 5 3 2 2" xfId="38687" xr:uid="{4AB234B2-ED83-4F8F-852E-51D7E49D8E16}"/>
    <cellStyle name="Примечание 2 5 3 5 3 3" xfId="6987" xr:uid="{00000000-0005-0000-0000-0000B7260000}"/>
    <cellStyle name="Примечание 2 5 3 5 3 4" xfId="24614" xr:uid="{0AC01C88-AD15-46D0-8655-327B9A1C7DAD}"/>
    <cellStyle name="Примечание 2 5 3 5 4" xfId="2708" xr:uid="{00000000-0005-0000-0000-0000B8260000}"/>
    <cellStyle name="Примечание 2 5 3 5 4 2" xfId="22707" xr:uid="{00000000-0005-0000-0000-0000B9260000}"/>
    <cellStyle name="Примечание 2 5 3 5 4 3" xfId="39177" xr:uid="{0B71313C-95C3-4B72-82C4-FB61B6A6CF3B}"/>
    <cellStyle name="Примечание 2 5 3 5 5" xfId="3827" xr:uid="{00000000-0005-0000-0000-0000BA260000}"/>
    <cellStyle name="Примечание 2 5 3 5 5 2" xfId="20666" xr:uid="{00000000-0005-0000-0000-0000BB260000}"/>
    <cellStyle name="Примечание 2 5 3 5 5 3" xfId="37508" xr:uid="{8F09E5D4-FD86-4177-AE55-24956F29376A}"/>
    <cellStyle name="Примечание 2 5 3 5 6" xfId="4190" xr:uid="{00000000-0005-0000-0000-0000BC260000}"/>
    <cellStyle name="Примечание 2 5 3 5 7" xfId="4712" xr:uid="{00000000-0005-0000-0000-0000BD260000}"/>
    <cellStyle name="Примечание 2 5 3 5 8" xfId="5194" xr:uid="{00000000-0005-0000-0000-0000BE260000}"/>
    <cellStyle name="Примечание 2 5 3 6" xfId="733" xr:uid="{00000000-0005-0000-0000-0000BF260000}"/>
    <cellStyle name="Примечание 2 5 3 6 2" xfId="1563" xr:uid="{00000000-0005-0000-0000-0000C0260000}"/>
    <cellStyle name="Примечание 2 5 3 6 2 2" xfId="21556" xr:uid="{00000000-0005-0000-0000-0000C1260000}"/>
    <cellStyle name="Примечание 2 5 3 6 2 2 2" xfId="38198" xr:uid="{2D64B7E0-01F9-48F8-AA80-75ED24445A1D}"/>
    <cellStyle name="Примечание 2 5 3 6 2 3" xfId="6319" xr:uid="{00000000-0005-0000-0000-0000C2260000}"/>
    <cellStyle name="Примечание 2 5 3 6 2 4" xfId="24106" xr:uid="{73F3E0F8-6239-434D-9ECE-F5C18F902585}"/>
    <cellStyle name="Примечание 2 5 3 6 3" xfId="2288" xr:uid="{00000000-0005-0000-0000-0000C3260000}"/>
    <cellStyle name="Примечание 2 5 3 6 3 2" xfId="22178" xr:uid="{00000000-0005-0000-0000-0000C4260000}"/>
    <cellStyle name="Примечание 2 5 3 6 3 2 2" xfId="38788" xr:uid="{004ABE0A-0A84-4250-8499-9FDEB9F947AE}"/>
    <cellStyle name="Примечание 2 5 3 6 3 3" xfId="7088" xr:uid="{00000000-0005-0000-0000-0000C5260000}"/>
    <cellStyle name="Примечание 2 5 3 6 3 4" xfId="24715" xr:uid="{3F129715-A5C3-486B-B408-99A6BC695BC8}"/>
    <cellStyle name="Примечание 2 5 3 6 4" xfId="2516" xr:uid="{00000000-0005-0000-0000-0000C6260000}"/>
    <cellStyle name="Примечание 2 5 3 6 4 2" xfId="22486" xr:uid="{00000000-0005-0000-0000-0000C7260000}"/>
    <cellStyle name="Примечание 2 5 3 6 4 3" xfId="38978" xr:uid="{6EBD2B93-F2FC-4C8D-ACD8-5FF897872EBF}"/>
    <cellStyle name="Примечание 2 5 3 6 5" xfId="3868" xr:uid="{00000000-0005-0000-0000-0000C8260000}"/>
    <cellStyle name="Примечание 2 5 3 6 5 2" xfId="20731" xr:uid="{00000000-0005-0000-0000-0000C9260000}"/>
    <cellStyle name="Примечание 2 5 3 6 5 3" xfId="37560" xr:uid="{0403AC81-44EC-4684-B079-FC5307745DFB}"/>
    <cellStyle name="Примечание 2 5 3 6 6" xfId="4292" xr:uid="{00000000-0005-0000-0000-0000CA260000}"/>
    <cellStyle name="Примечание 2 5 3 6 7" xfId="4814" xr:uid="{00000000-0005-0000-0000-0000CB260000}"/>
    <cellStyle name="Примечание 2 5 3 6 8" xfId="5295" xr:uid="{00000000-0005-0000-0000-0000CC260000}"/>
    <cellStyle name="Примечание 2 5 3 7" xfId="777" xr:uid="{00000000-0005-0000-0000-0000CD260000}"/>
    <cellStyle name="Примечание 2 5 3 7 2" xfId="1606" xr:uid="{00000000-0005-0000-0000-0000CE260000}"/>
    <cellStyle name="Примечание 2 5 3 7 2 2" xfId="21599" xr:uid="{00000000-0005-0000-0000-0000CF260000}"/>
    <cellStyle name="Примечание 2 5 3 7 2 2 2" xfId="38241" xr:uid="{EF372C74-FA82-44BF-B4FA-14AFA685E994}"/>
    <cellStyle name="Примечание 2 5 3 7 2 3" xfId="6362" xr:uid="{00000000-0005-0000-0000-0000D0260000}"/>
    <cellStyle name="Примечание 2 5 3 7 2 4" xfId="24149" xr:uid="{E09B778C-3D9A-4A66-93E4-BDB1B04E1010}"/>
    <cellStyle name="Примечание 2 5 3 7 3" xfId="1699" xr:uid="{00000000-0005-0000-0000-0000D1260000}"/>
    <cellStyle name="Примечание 2 5 3 7 3 2" xfId="22221" xr:uid="{00000000-0005-0000-0000-0000D2260000}"/>
    <cellStyle name="Примечание 2 5 3 7 3 2 2" xfId="38831" xr:uid="{A18FF20E-0EDC-4BA1-AE59-593A458DE8D0}"/>
    <cellStyle name="Примечание 2 5 3 7 3 3" xfId="7131" xr:uid="{00000000-0005-0000-0000-0000D3260000}"/>
    <cellStyle name="Примечание 2 5 3 7 3 4" xfId="24758" xr:uid="{71FEB7F7-A448-4BC5-8FB7-7FFE4957B786}"/>
    <cellStyle name="Примечание 2 5 3 7 4" xfId="2648" xr:uid="{00000000-0005-0000-0000-0000D4260000}"/>
    <cellStyle name="Примечание 2 5 3 7 4 2" xfId="22755" xr:uid="{00000000-0005-0000-0000-0000D5260000}"/>
    <cellStyle name="Примечание 2 5 3 7 4 3" xfId="39224" xr:uid="{2279255E-9AB8-42F9-83D4-578764EC6696}"/>
    <cellStyle name="Примечание 2 5 3 7 5" xfId="3384" xr:uid="{00000000-0005-0000-0000-0000D6260000}"/>
    <cellStyle name="Примечание 2 5 3 7 5 2" xfId="20796" xr:uid="{00000000-0005-0000-0000-0000D7260000}"/>
    <cellStyle name="Примечание 2 5 3 7 5 3" xfId="37612" xr:uid="{C3B0CA4D-AB8C-4300-835F-B1FF5F777516}"/>
    <cellStyle name="Примечание 2 5 3 7 6" xfId="4335" xr:uid="{00000000-0005-0000-0000-0000D8260000}"/>
    <cellStyle name="Примечание 2 5 3 7 7" xfId="4857" xr:uid="{00000000-0005-0000-0000-0000D9260000}"/>
    <cellStyle name="Примечание 2 5 3 7 8" xfId="5338" xr:uid="{00000000-0005-0000-0000-0000DA260000}"/>
    <cellStyle name="Примечание 2 5 3 8" xfId="809" xr:uid="{00000000-0005-0000-0000-0000DB260000}"/>
    <cellStyle name="Примечание 2 5 3 8 2" xfId="1638" xr:uid="{00000000-0005-0000-0000-0000DC260000}"/>
    <cellStyle name="Примечание 2 5 3 8 2 2" xfId="21631" xr:uid="{00000000-0005-0000-0000-0000DD260000}"/>
    <cellStyle name="Примечание 2 5 3 8 2 2 2" xfId="38273" xr:uid="{88F7BA45-3D65-4AC2-9D61-EDF1F1055CB3}"/>
    <cellStyle name="Примечание 2 5 3 8 2 3" xfId="6394" xr:uid="{00000000-0005-0000-0000-0000DE260000}"/>
    <cellStyle name="Примечание 2 5 3 8 2 4" xfId="24181" xr:uid="{767BC9B3-6B3A-4598-B2EB-82A7FFA380A2}"/>
    <cellStyle name="Примечание 2 5 3 8 3" xfId="1695" xr:uid="{00000000-0005-0000-0000-0000DF260000}"/>
    <cellStyle name="Примечание 2 5 3 8 3 2" xfId="22253" xr:uid="{00000000-0005-0000-0000-0000E0260000}"/>
    <cellStyle name="Примечание 2 5 3 8 3 2 2" xfId="38863" xr:uid="{6BEFC675-7130-40C1-9919-AC6D6BF2EC77}"/>
    <cellStyle name="Примечание 2 5 3 8 3 3" xfId="7163" xr:uid="{00000000-0005-0000-0000-0000E1260000}"/>
    <cellStyle name="Примечание 2 5 3 8 3 4" xfId="24790" xr:uid="{16E65307-F3DD-4E9D-92FF-7E4174436730}"/>
    <cellStyle name="Примечание 2 5 3 8 4" xfId="2374" xr:uid="{00000000-0005-0000-0000-0000E2260000}"/>
    <cellStyle name="Примечание 2 5 3 8 4 2" xfId="22751" xr:uid="{00000000-0005-0000-0000-0000E3260000}"/>
    <cellStyle name="Примечание 2 5 3 8 4 3" xfId="39220" xr:uid="{7DF6D72B-71C8-4BB5-BE45-B7A2F6E64458}"/>
    <cellStyle name="Примечание 2 5 3 8 5" xfId="3837" xr:uid="{00000000-0005-0000-0000-0000E4260000}"/>
    <cellStyle name="Примечание 2 5 3 8 5 2" xfId="20861" xr:uid="{00000000-0005-0000-0000-0000E5260000}"/>
    <cellStyle name="Примечание 2 5 3 8 5 3" xfId="37664" xr:uid="{6715B825-2667-4B37-8297-D9AF9925B4CB}"/>
    <cellStyle name="Примечание 2 5 3 8 6" xfId="4367" xr:uid="{00000000-0005-0000-0000-0000E6260000}"/>
    <cellStyle name="Примечание 2 5 3 8 7" xfId="4889" xr:uid="{00000000-0005-0000-0000-0000E7260000}"/>
    <cellStyle name="Примечание 2 5 3 8 8" xfId="5370" xr:uid="{00000000-0005-0000-0000-0000E8260000}"/>
    <cellStyle name="Примечание 2 5 3 9" xfId="841" xr:uid="{00000000-0005-0000-0000-0000E9260000}"/>
    <cellStyle name="Примечание 2 5 3 9 2" xfId="1670" xr:uid="{00000000-0005-0000-0000-0000EA260000}"/>
    <cellStyle name="Примечание 2 5 3 9 2 2" xfId="21663" xr:uid="{00000000-0005-0000-0000-0000EB260000}"/>
    <cellStyle name="Примечание 2 5 3 9 2 2 2" xfId="38305" xr:uid="{8913CA38-4A29-4C19-99AC-FF4209499D5E}"/>
    <cellStyle name="Примечание 2 5 3 9 2 3" xfId="6426" xr:uid="{00000000-0005-0000-0000-0000EC260000}"/>
    <cellStyle name="Примечание 2 5 3 9 2 4" xfId="24213" xr:uid="{EAC4D7D3-F3E8-45A6-A9A0-4288CFA37D6D}"/>
    <cellStyle name="Примечание 2 5 3 9 3" xfId="2331" xr:uid="{00000000-0005-0000-0000-0000ED260000}"/>
    <cellStyle name="Примечание 2 5 3 9 3 2" xfId="22285" xr:uid="{00000000-0005-0000-0000-0000EE260000}"/>
    <cellStyle name="Примечание 2 5 3 9 3 2 2" xfId="38895" xr:uid="{E028CF29-25C1-49DD-AECB-DD3501DC7E9B}"/>
    <cellStyle name="Примечание 2 5 3 9 3 3" xfId="7195" xr:uid="{00000000-0005-0000-0000-0000EF260000}"/>
    <cellStyle name="Примечание 2 5 3 9 3 4" xfId="24822" xr:uid="{06775FF2-FCDB-4DF4-AA90-D825290CD069}"/>
    <cellStyle name="Примечание 2 5 3 9 4" xfId="2503" xr:uid="{00000000-0005-0000-0000-0000F0260000}"/>
    <cellStyle name="Примечание 2 5 3 9 4 2" xfId="22747" xr:uid="{00000000-0005-0000-0000-0000F1260000}"/>
    <cellStyle name="Примечание 2 5 3 9 4 3" xfId="39216" xr:uid="{E808708C-EE66-4D04-9D56-CD35ED96C053}"/>
    <cellStyle name="Примечание 2 5 3 9 5" xfId="3133" xr:uid="{00000000-0005-0000-0000-0000F2260000}"/>
    <cellStyle name="Примечание 2 5 3 9 5 2" xfId="20926" xr:uid="{00000000-0005-0000-0000-0000F3260000}"/>
    <cellStyle name="Примечание 2 5 3 9 5 3" xfId="37716" xr:uid="{ECC9020A-1BCF-401D-8A2A-51AC2F7A518C}"/>
    <cellStyle name="Примечание 2 5 3 9 6" xfId="4399" xr:uid="{00000000-0005-0000-0000-0000F4260000}"/>
    <cellStyle name="Примечание 2 5 3 9 7" xfId="4921" xr:uid="{00000000-0005-0000-0000-0000F5260000}"/>
    <cellStyle name="Примечание 2 5 3 9 8" xfId="5402" xr:uid="{00000000-0005-0000-0000-0000F6260000}"/>
    <cellStyle name="Примечание 2 5 4" xfId="892" xr:uid="{00000000-0005-0000-0000-0000F7260000}"/>
    <cellStyle name="Примечание 2 5 4 2" xfId="2033" xr:uid="{00000000-0005-0000-0000-0000F8260000}"/>
    <cellStyle name="Примечание 2 5 4 2 2" xfId="21778" xr:uid="{00000000-0005-0000-0000-0000F9260000}"/>
    <cellStyle name="Примечание 2 5 4 2 2 2" xfId="38388" xr:uid="{AE314ECB-D17C-4FF8-A874-4B652E67707E}"/>
    <cellStyle name="Примечание 2 5 4 2 3" xfId="5845" xr:uid="{00000000-0005-0000-0000-0000FA260000}"/>
    <cellStyle name="Примечание 2 5 4 2 4" xfId="23706" xr:uid="{93C56217-E534-4AE9-ADCA-6BA772B69A72}"/>
    <cellStyle name="Примечание 2 5 4 3" xfId="2821" xr:uid="{00000000-0005-0000-0000-0000FB260000}"/>
    <cellStyle name="Примечание 2 5 4 3 2" xfId="23005" xr:uid="{00000000-0005-0000-0000-0000FC260000}"/>
    <cellStyle name="Примечание 2 5 4 3 2 2" xfId="39471" xr:uid="{9508CD34-7F98-42EF-9DC4-9554CF62ACFB}"/>
    <cellStyle name="Примечание 2 5 4 3 3" xfId="6694" xr:uid="{00000000-0005-0000-0000-0000FD260000}"/>
    <cellStyle name="Примечание 2 5 4 3 4" xfId="24321" xr:uid="{00D519F0-3E39-43B3-8146-C35568096FD1}"/>
    <cellStyle name="Примечание 2 5 4 4" xfId="3690" xr:uid="{00000000-0005-0000-0000-0000FE260000}"/>
    <cellStyle name="Примечание 2 5 4 4 2" xfId="21069" xr:uid="{00000000-0005-0000-0000-0000FF260000}"/>
    <cellStyle name="Примечание 2 5 4 4 3" xfId="37798" xr:uid="{E75F5A70-262E-493E-A992-B0FACED80AD2}"/>
    <cellStyle name="Примечание 2 5 4 5" xfId="3167" xr:uid="{00000000-0005-0000-0000-000000270000}"/>
    <cellStyle name="Примечание 2 5 4 6" xfId="3898" xr:uid="{00000000-0005-0000-0000-000001270000}"/>
    <cellStyle name="Примечание 2 5 4 7" xfId="4436" xr:uid="{00000000-0005-0000-0000-000002270000}"/>
    <cellStyle name="Примечание 2 5 5" xfId="2132" xr:uid="{00000000-0005-0000-0000-000003270000}"/>
    <cellStyle name="Примечание 2 5 5 2" xfId="22729" xr:uid="{00000000-0005-0000-0000-000004270000}"/>
    <cellStyle name="Примечание 2 5 5 2 2" xfId="39198" xr:uid="{FE87407A-991D-4728-9F50-4EE08F9845BC}"/>
    <cellStyle name="Примечание 2 5 5 3" xfId="5622" xr:uid="{00000000-0005-0000-0000-000005270000}"/>
    <cellStyle name="Примечание 2 5 5 4" xfId="23620" xr:uid="{147310E9-4B6C-4849-AE92-2688403F9181}"/>
    <cellStyle name="Примечание 2 5 6" xfId="2807" xr:uid="{00000000-0005-0000-0000-000006270000}"/>
    <cellStyle name="Примечание 2 5 6 2" xfId="6614" xr:uid="{00000000-0005-0000-0000-000007270000}"/>
    <cellStyle name="Примечание 2 5 6 3" xfId="24241" xr:uid="{42F9057A-63D7-482B-AE7E-6040C50627CB}"/>
    <cellStyle name="Примечание 2 5 7" xfId="3352" xr:uid="{00000000-0005-0000-0000-000008270000}"/>
    <cellStyle name="Примечание 2 5 7 2" xfId="7417" xr:uid="{00000000-0005-0000-0000-000009270000}"/>
    <cellStyle name="Примечание 2 5 7 3" xfId="24867" xr:uid="{243DFCB3-2E5A-441E-BC35-713031DE072B}"/>
    <cellStyle name="Примечание 2 5 8" xfId="3257" xr:uid="{00000000-0005-0000-0000-00000A270000}"/>
    <cellStyle name="Примечание 2 5 9" xfId="3916" xr:uid="{00000000-0005-0000-0000-00000B270000}"/>
    <cellStyle name="Примечание 2 6" xfId="270" xr:uid="{00000000-0005-0000-0000-00000C270000}"/>
    <cellStyle name="Примечание 2 6 2" xfId="963" xr:uid="{00000000-0005-0000-0000-00000D270000}"/>
    <cellStyle name="Примечание 2 6 2 2" xfId="1035" xr:uid="{00000000-0005-0000-0000-00000E270000}"/>
    <cellStyle name="Примечание 2 6 2 2 2" xfId="14081" xr:uid="{00000000-0005-0000-0000-00000F270000}"/>
    <cellStyle name="Примечание 2 6 2 2 2 2" xfId="31120" xr:uid="{A9F214E8-36C3-41A2-98F1-397CD56A1701}"/>
    <cellStyle name="Примечание 2 6 2 2 3" xfId="5909" xr:uid="{00000000-0005-0000-0000-000010270000}"/>
    <cellStyle name="Примечание 2 6 2 3" xfId="1175" xr:uid="{00000000-0005-0000-0000-000011270000}"/>
    <cellStyle name="Примечание 2 6 2 4" xfId="7499" xr:uid="{00000000-0005-0000-0000-000012270000}"/>
    <cellStyle name="Примечание 2 6 2 4 2" xfId="24901" xr:uid="{BABA93A0-5822-4063-98F9-5BF8F5C187AC}"/>
    <cellStyle name="Примечание 2 6 3" xfId="1004" xr:uid="{00000000-0005-0000-0000-000013270000}"/>
    <cellStyle name="Примечание 2 6 3 2" xfId="14050" xr:uid="{00000000-0005-0000-0000-000014270000}"/>
    <cellStyle name="Примечание 2 6 3 2 2" xfId="31089" xr:uid="{C48907F2-DDD3-4067-B514-AA6BF601AC90}"/>
    <cellStyle name="Примечание 2 6 3 3" xfId="5651" xr:uid="{00000000-0005-0000-0000-000015270000}"/>
    <cellStyle name="Примечание 2 6 4" xfId="921" xr:uid="{00000000-0005-0000-0000-000016270000}"/>
    <cellStyle name="Примечание 2 6 4 2" xfId="20379" xr:uid="{00000000-0005-0000-0000-000017270000}"/>
    <cellStyle name="Примечание 2 6 5" xfId="7453" xr:uid="{00000000-0005-0000-0000-000018270000}"/>
    <cellStyle name="Примечание 2 6 5 2" xfId="24870" xr:uid="{5CA336EC-3387-438D-B348-13794EAF17DA}"/>
    <cellStyle name="Примечание 2 7" xfId="932" xr:uid="{00000000-0005-0000-0000-000019270000}"/>
    <cellStyle name="Примечание 2 7 2" xfId="968" xr:uid="{00000000-0005-0000-0000-00001A270000}"/>
    <cellStyle name="Примечание 2 7 2 2" xfId="1040" xr:uid="{00000000-0005-0000-0000-00001B270000}"/>
    <cellStyle name="Примечание 2 7 2 2 2" xfId="14086" xr:uid="{00000000-0005-0000-0000-00001C270000}"/>
    <cellStyle name="Примечание 2 7 2 2 3" xfId="31125" xr:uid="{124DB9A5-BDDE-453C-8C5E-6C7A8D7B4745}"/>
    <cellStyle name="Примечание 2 7 2 3" xfId="7504" xr:uid="{00000000-0005-0000-0000-00001D270000}"/>
    <cellStyle name="Примечание 2 7 2 3 2" xfId="24906" xr:uid="{E69E78E8-CB6B-4F6A-88A1-344083AB8280}"/>
    <cellStyle name="Примечание 2 7 2 4" xfId="5775" xr:uid="{00000000-0005-0000-0000-00001E270000}"/>
    <cellStyle name="Примечание 2 7 3" xfId="1009" xr:uid="{00000000-0005-0000-0000-00001F270000}"/>
    <cellStyle name="Примечание 2 7 3 2" xfId="14055" xr:uid="{00000000-0005-0000-0000-000020270000}"/>
    <cellStyle name="Примечание 2 7 3 3" xfId="31094" xr:uid="{2CEA70EC-84DE-42FE-99F1-16A16C94FF1F}"/>
    <cellStyle name="Примечание 2 7 4" xfId="1095" xr:uid="{00000000-0005-0000-0000-000021270000}"/>
    <cellStyle name="Примечание 2 7 5" xfId="7468" xr:uid="{00000000-0005-0000-0000-000022270000}"/>
    <cellStyle name="Примечание 2 7 5 2" xfId="24875" xr:uid="{8CA21B28-6216-4154-BD8A-DB9D89377285}"/>
    <cellStyle name="Примечание 2 8" xfId="1047" xr:uid="{00000000-0005-0000-0000-000023270000}"/>
    <cellStyle name="Примечание 2 8 2" xfId="6490" xr:uid="{00000000-0005-0000-0000-000024270000}"/>
    <cellStyle name="Примечание 2 8 2 2" xfId="14092" xr:uid="{00000000-0005-0000-0000-000025270000}"/>
    <cellStyle name="Примечание 2 8 2 2 2" xfId="31130" xr:uid="{AF4C493F-CD95-478F-A8CF-41A9F0EC7E8C}"/>
    <cellStyle name="Примечание 2 8 3" xfId="7353" xr:uid="{00000000-0005-0000-0000-000026270000}"/>
    <cellStyle name="Примечание 2 8 4" xfId="5445" xr:uid="{00000000-0005-0000-0000-000027270000}"/>
    <cellStyle name="Примечание 2 9" xfId="1064" xr:uid="{00000000-0005-0000-0000-000028270000}"/>
    <cellStyle name="Примечание 2 9 2" xfId="6554" xr:uid="{00000000-0005-0000-0000-000029270000}"/>
    <cellStyle name="Примечание 2 9 2 2" xfId="23504" xr:uid="{00000000-0005-0000-0000-00002A270000}"/>
    <cellStyle name="Примечание 2 9 3" xfId="14108" xr:uid="{00000000-0005-0000-0000-00002B270000}"/>
    <cellStyle name="Примечание 2 9 3 2" xfId="31135" xr:uid="{03969424-83FF-403A-BB0F-281FCE4E4F6D}"/>
    <cellStyle name="Примечание 2 9 4" xfId="5483" xr:uid="{00000000-0005-0000-0000-00002C270000}"/>
    <cellStyle name="Примечание 3" xfId="111" xr:uid="{00000000-0005-0000-0000-00002D270000}"/>
    <cellStyle name="Примечание 3 2" xfId="275" xr:uid="{00000000-0005-0000-0000-00002E270000}"/>
    <cellStyle name="Примечание 3 2 2" xfId="1179" xr:uid="{00000000-0005-0000-0000-00002F270000}"/>
    <cellStyle name="Примечание 3 2 2 2" xfId="5913" xr:uid="{00000000-0005-0000-0000-000030270000}"/>
    <cellStyle name="Примечание 3 2 2 3" xfId="21136" xr:uid="{00000000-0005-0000-0000-000031270000}"/>
    <cellStyle name="Примечание 3 2 3" xfId="5655" xr:uid="{00000000-0005-0000-0000-000032270000}"/>
    <cellStyle name="Примечание 3 2 4" xfId="7360" xr:uid="{00000000-0005-0000-0000-000033270000}"/>
    <cellStyle name="Примечание 3 3" xfId="1098" xr:uid="{00000000-0005-0000-0000-000034270000}"/>
    <cellStyle name="Примечание 3 3 2" xfId="5779" xr:uid="{00000000-0005-0000-0000-000035270000}"/>
    <cellStyle name="Примечание 3 3 2 2" xfId="21008" xr:uid="{00000000-0005-0000-0000-000036270000}"/>
    <cellStyle name="Примечание 3 3 3" xfId="7776" xr:uid="{00000000-0005-0000-0000-000037270000}"/>
    <cellStyle name="Примечание 3 3 3 2" xfId="24907" xr:uid="{C860FE58-5711-4805-94AC-BFAD0AF98EBB}"/>
    <cellStyle name="Примечание 3 4" xfId="5447" xr:uid="{00000000-0005-0000-0000-000038270000}"/>
    <cellStyle name="Примечание 3 4 2" xfId="6493" xr:uid="{00000000-0005-0000-0000-000039270000}"/>
    <cellStyle name="Примечание 3 4 3" xfId="23458" xr:uid="{00000000-0005-0000-0000-00003A270000}"/>
    <cellStyle name="Примечание 3 5" xfId="5485" xr:uid="{00000000-0005-0000-0000-00003B270000}"/>
    <cellStyle name="Примечание 3 5 2" xfId="6557" xr:uid="{00000000-0005-0000-0000-00003C270000}"/>
    <cellStyle name="Примечание 3 5 3" xfId="23506" xr:uid="{00000000-0005-0000-0000-00003D270000}"/>
    <cellStyle name="Примечание 3 6" xfId="5555" xr:uid="{00000000-0005-0000-0000-00003E270000}"/>
    <cellStyle name="Примечание 3 7" xfId="7238" xr:uid="{00000000-0005-0000-0000-00003F270000}"/>
    <cellStyle name="Примечание 3 7 2" xfId="24827" xr:uid="{1E5A0E7E-E991-4F5D-84DA-80EE690B699B}"/>
    <cellStyle name="Примечание 4" xfId="135" xr:uid="{00000000-0005-0000-0000-000040270000}"/>
    <cellStyle name="Примечание 4 10" xfId="3035" xr:uid="{00000000-0005-0000-0000-000041270000}"/>
    <cellStyle name="Примечание 4 11" xfId="5409" xr:uid="{00000000-0005-0000-0000-000042270000}"/>
    <cellStyle name="Примечание 4 2" xfId="221" xr:uid="{00000000-0005-0000-0000-000043270000}"/>
    <cellStyle name="Примечание 4 2 10" xfId="642" xr:uid="{00000000-0005-0000-0000-000044270000}"/>
    <cellStyle name="Примечание 4 2 10 2" xfId="1474" xr:uid="{00000000-0005-0000-0000-000045270000}"/>
    <cellStyle name="Примечание 4 2 10 2 2" xfId="21467" xr:uid="{00000000-0005-0000-0000-000046270000}"/>
    <cellStyle name="Примечание 4 2 10 2 2 2" xfId="38109" xr:uid="{1B38151B-AA39-457C-A77F-43497A886A3F}"/>
    <cellStyle name="Примечание 4 2 10 2 3" xfId="6230" xr:uid="{00000000-0005-0000-0000-000047270000}"/>
    <cellStyle name="Примечание 4 2 10 2 4" xfId="24017" xr:uid="{548FE836-0499-4EE4-9D25-951FF4E50AE6}"/>
    <cellStyle name="Примечание 4 2 10 3" xfId="1995" xr:uid="{00000000-0005-0000-0000-000048270000}"/>
    <cellStyle name="Примечание 4 2 10 3 2" xfId="22089" xr:uid="{00000000-0005-0000-0000-000049270000}"/>
    <cellStyle name="Примечание 4 2 10 3 2 2" xfId="38699" xr:uid="{5A3912B4-3256-495E-A031-76EF81BCDD78}"/>
    <cellStyle name="Примечание 4 2 10 3 3" xfId="6999" xr:uid="{00000000-0005-0000-0000-00004A270000}"/>
    <cellStyle name="Примечание 4 2 10 3 4" xfId="24626" xr:uid="{5D9D37E2-3734-48BB-9A39-1DE44C606769}"/>
    <cellStyle name="Примечание 4 2 10 4" xfId="2781" xr:uid="{00000000-0005-0000-0000-00004B270000}"/>
    <cellStyle name="Примечание 4 2 10 4 2" xfId="23030" xr:uid="{00000000-0005-0000-0000-00004C270000}"/>
    <cellStyle name="Примечание 4 2 10 4 3" xfId="39496" xr:uid="{6E037FFD-9422-4DE5-ABD4-99B98C5C54A7}"/>
    <cellStyle name="Примечание 4 2 10 5" xfId="3721" xr:uid="{00000000-0005-0000-0000-00004D270000}"/>
    <cellStyle name="Примечание 4 2 10 5 2" xfId="20888" xr:uid="{00000000-0005-0000-0000-00004E270000}"/>
    <cellStyle name="Примечание 4 2 10 5 3" xfId="37678" xr:uid="{E1E2FDCE-723C-4C5B-B0DF-4D5336BFF528}"/>
    <cellStyle name="Примечание 4 2 10 6" xfId="4202" xr:uid="{00000000-0005-0000-0000-00004F270000}"/>
    <cellStyle name="Примечание 4 2 10 7" xfId="4724" xr:uid="{00000000-0005-0000-0000-000050270000}"/>
    <cellStyle name="Примечание 4 2 10 8" xfId="5206" xr:uid="{00000000-0005-0000-0000-000051270000}"/>
    <cellStyle name="Примечание 4 2 11" xfId="942" xr:uid="{00000000-0005-0000-0000-000052270000}"/>
    <cellStyle name="Примечание 4 2 11 2" xfId="1852" xr:uid="{00000000-0005-0000-0000-000053270000}"/>
    <cellStyle name="Примечание 4 2 11 2 2" xfId="21788" xr:uid="{00000000-0005-0000-0000-000054270000}"/>
    <cellStyle name="Примечание 4 2 11 2 2 2" xfId="38398" xr:uid="{78A4D5E5-8D2D-435E-82C0-7BA5A53E106E}"/>
    <cellStyle name="Примечание 4 2 11 2 3" xfId="5860" xr:uid="{00000000-0005-0000-0000-000055270000}"/>
    <cellStyle name="Примечание 4 2 11 2 4" xfId="23716" xr:uid="{3032808D-01D9-4F66-97F6-BDD89E88A9D3}"/>
    <cellStyle name="Примечание 4 2 11 3" xfId="2752" xr:uid="{00000000-0005-0000-0000-000056270000}"/>
    <cellStyle name="Примечание 4 2 11 3 2" xfId="22991" xr:uid="{00000000-0005-0000-0000-000057270000}"/>
    <cellStyle name="Примечание 4 2 11 3 2 2" xfId="39457" xr:uid="{CB99B9F4-9BF9-4878-9626-BB8A8541492D}"/>
    <cellStyle name="Примечание 4 2 11 3 3" xfId="6704" xr:uid="{00000000-0005-0000-0000-000058270000}"/>
    <cellStyle name="Примечание 4 2 11 3 4" xfId="24331" xr:uid="{B5DD3658-144D-4EE5-B41D-01C91E35960C}"/>
    <cellStyle name="Примечание 4 2 11 4" xfId="3626" xr:uid="{00000000-0005-0000-0000-000059270000}"/>
    <cellStyle name="Примечание 4 2 11 4 2" xfId="21084" xr:uid="{00000000-0005-0000-0000-00005A270000}"/>
    <cellStyle name="Примечание 4 2 11 4 3" xfId="37808" xr:uid="{1BBD48D0-D6F5-4E75-9B8E-8BB800D5BF18}"/>
    <cellStyle name="Примечание 4 2 11 5" xfId="3739" xr:uid="{00000000-0005-0000-0000-00005B270000}"/>
    <cellStyle name="Примечание 4 2 11 6" xfId="3319" xr:uid="{00000000-0005-0000-0000-00005C270000}"/>
    <cellStyle name="Примечание 4 2 11 7" xfId="3132" xr:uid="{00000000-0005-0000-0000-00005D270000}"/>
    <cellStyle name="Примечание 4 2 12" xfId="1828" xr:uid="{00000000-0005-0000-0000-00005E270000}"/>
    <cellStyle name="Примечание 4 2 12 2" xfId="20953" xr:uid="{00000000-0005-0000-0000-00005F270000}"/>
    <cellStyle name="Примечание 4 2 12 2 2" xfId="37730" xr:uid="{C8841179-3F58-4F56-9BB5-00B8C7C7E974}"/>
    <cellStyle name="Примечание 4 2 12 3" xfId="5669" xr:uid="{00000000-0005-0000-0000-000060270000}"/>
    <cellStyle name="Примечание 4 2 12 4" xfId="23635" xr:uid="{52E52296-2250-41F5-82E6-093056A45186}"/>
    <cellStyle name="Примечание 4 2 13" xfId="2429" xr:uid="{00000000-0005-0000-0000-000061270000}"/>
    <cellStyle name="Примечание 4 2 13 2" xfId="21710" xr:uid="{00000000-0005-0000-0000-000062270000}"/>
    <cellStyle name="Примечание 4 2 13 2 2" xfId="38320" xr:uid="{9BB90988-8A22-47EC-A010-7947CF0BAFF6}"/>
    <cellStyle name="Примечание 4 2 13 3" xfId="6628" xr:uid="{00000000-0005-0000-0000-000063270000}"/>
    <cellStyle name="Примечание 4 2 13 4" xfId="24255" xr:uid="{C509B36A-1987-486B-8557-C3D33E38250D}"/>
    <cellStyle name="Примечание 4 2 14" xfId="3083" xr:uid="{00000000-0005-0000-0000-000064270000}"/>
    <cellStyle name="Примечание 4 2 14 2" xfId="22612" xr:uid="{00000000-0005-0000-0000-000065270000}"/>
    <cellStyle name="Примечание 4 2 14 3" xfId="39086" xr:uid="{868DD389-D1FF-4DD4-9151-44459A3EF5E9}"/>
    <cellStyle name="Примечание 4 2 15" xfId="3144" xr:uid="{00000000-0005-0000-0000-000066270000}"/>
    <cellStyle name="Примечание 4 2 15 2" xfId="7478" xr:uid="{00000000-0005-0000-0000-000067270000}"/>
    <cellStyle name="Примечание 4 2 15 3" xfId="24880" xr:uid="{BF58F623-62AA-4745-929A-E360C420B717}"/>
    <cellStyle name="Примечание 4 2 16" xfId="2991" xr:uid="{00000000-0005-0000-0000-000068270000}"/>
    <cellStyle name="Примечание 4 2 17" xfId="2996" xr:uid="{00000000-0005-0000-0000-000069270000}"/>
    <cellStyle name="Примечание 4 2 2" xfId="292" xr:uid="{00000000-0005-0000-0000-00006A270000}"/>
    <cellStyle name="Примечание 4 2 2 2" xfId="1014" xr:uid="{00000000-0005-0000-0000-00006B270000}"/>
    <cellStyle name="Примечание 4 2 2 2 2" xfId="21148" xr:uid="{00000000-0005-0000-0000-00006C270000}"/>
    <cellStyle name="Примечание 4 2 2 2 2 2" xfId="37847" xr:uid="{20ACF8EA-417D-43D4-88EF-FDE2AEC4AFB4}"/>
    <cellStyle name="Примечание 4 2 2 2 3" xfId="5925" xr:uid="{00000000-0005-0000-0000-00006D270000}"/>
    <cellStyle name="Примечание 4 2 2 2 4" xfId="23755" xr:uid="{CB8BD271-ED33-4818-87A5-35C5E3B790B8}"/>
    <cellStyle name="Примечание 4 2 2 3" xfId="1728" xr:uid="{00000000-0005-0000-0000-00006E270000}"/>
    <cellStyle name="Примечание 4 2 2 3 2" xfId="21827" xr:uid="{00000000-0005-0000-0000-00006F270000}"/>
    <cellStyle name="Примечание 4 2 2 3 2 2" xfId="38437" xr:uid="{A504A49E-6DE7-4CA3-ACA8-64BF25D89EF5}"/>
    <cellStyle name="Примечание 4 2 2 3 3" xfId="6741" xr:uid="{00000000-0005-0000-0000-000070270000}"/>
    <cellStyle name="Примечание 4 2 2 3 4" xfId="24368" xr:uid="{7E095E4C-B3D1-4DA2-9349-94C9F6233AAD}"/>
    <cellStyle name="Примечание 4 2 2 4" xfId="2396" xr:uid="{00000000-0005-0000-0000-000071270000}"/>
    <cellStyle name="Примечание 4 2 2 4 2" xfId="22641" xr:uid="{00000000-0005-0000-0000-000072270000}"/>
    <cellStyle name="Примечание 4 2 2 4 3" xfId="39113" xr:uid="{830FA8DA-7136-4A42-83DA-352C8A0202E4}"/>
    <cellStyle name="Примечание 4 2 2 5" xfId="3678" xr:uid="{00000000-0005-0000-0000-000073270000}"/>
    <cellStyle name="Примечание 4 2 2 5 2" xfId="14060" xr:uid="{00000000-0005-0000-0000-000074270000}"/>
    <cellStyle name="Примечание 4 2 2 5 3" xfId="31099" xr:uid="{003AE174-5B1F-4AC4-989C-1A1677EC72E1}"/>
    <cellStyle name="Примечание 4 2 2 6" xfId="3915" xr:uid="{00000000-0005-0000-0000-000075270000}"/>
    <cellStyle name="Примечание 4 2 2 7" xfId="4450" xr:uid="{00000000-0005-0000-0000-000076270000}"/>
    <cellStyle name="Примечание 4 2 2 8" xfId="4948" xr:uid="{00000000-0005-0000-0000-000077270000}"/>
    <cellStyle name="Примечание 4 2 3" xfId="441" xr:uid="{00000000-0005-0000-0000-000078270000}"/>
    <cellStyle name="Примечание 4 2 3 2" xfId="1273" xr:uid="{00000000-0005-0000-0000-000079270000}"/>
    <cellStyle name="Примечание 4 2 3 2 2" xfId="21266" xr:uid="{00000000-0005-0000-0000-00007A270000}"/>
    <cellStyle name="Примечание 4 2 3 2 2 2" xfId="37908" xr:uid="{032D98CD-825B-494C-802F-C74C4AD1EB1D}"/>
    <cellStyle name="Примечание 4 2 3 2 3" xfId="6029" xr:uid="{00000000-0005-0000-0000-00007B270000}"/>
    <cellStyle name="Примечание 4 2 3 2 4" xfId="23816" xr:uid="{CA601146-CC5F-42E9-BA30-4F702718429C}"/>
    <cellStyle name="Примечание 4 2 3 3" xfId="2254" xr:uid="{00000000-0005-0000-0000-00007C270000}"/>
    <cellStyle name="Примечание 4 2 3 3 2" xfId="21888" xr:uid="{00000000-0005-0000-0000-00007D270000}"/>
    <cellStyle name="Примечание 4 2 3 3 2 2" xfId="38498" xr:uid="{50DBBB64-8A76-46A5-9943-8F613A4D8544}"/>
    <cellStyle name="Примечание 4 2 3 3 3" xfId="6800" xr:uid="{00000000-0005-0000-0000-00007E270000}"/>
    <cellStyle name="Примечание 4 2 3 3 4" xfId="24427" xr:uid="{2147B5E5-2BFE-4C09-9C2B-2DF1FA5E8850}"/>
    <cellStyle name="Примечание 4 2 3 4" xfId="2474" xr:uid="{00000000-0005-0000-0000-00007F270000}"/>
    <cellStyle name="Примечание 4 2 3 4 2" xfId="22945" xr:uid="{00000000-0005-0000-0000-000080270000}"/>
    <cellStyle name="Примечание 4 2 3 4 3" xfId="39411" xr:uid="{596AE74C-AE82-47EF-8812-55A9DEF66F6D}"/>
    <cellStyle name="Примечание 4 2 3 5" xfId="3606" xr:uid="{00000000-0005-0000-0000-000081270000}"/>
    <cellStyle name="Примечание 4 2 3 5 2" xfId="20393" xr:uid="{00000000-0005-0000-0000-000082270000}"/>
    <cellStyle name="Примечание 4 2 3 5 3" xfId="37319" xr:uid="{7AF62733-E469-4E80-965A-2D63CD8BC2E3}"/>
    <cellStyle name="Примечание 4 2 3 6" xfId="4002" xr:uid="{00000000-0005-0000-0000-000083270000}"/>
    <cellStyle name="Примечание 4 2 3 7" xfId="4525" xr:uid="{00000000-0005-0000-0000-000084270000}"/>
    <cellStyle name="Примечание 4 2 3 8" xfId="5007" xr:uid="{00000000-0005-0000-0000-000085270000}"/>
    <cellStyle name="Примечание 4 2 4" xfId="488" xr:uid="{00000000-0005-0000-0000-000086270000}"/>
    <cellStyle name="Примечание 4 2 4 2" xfId="1320" xr:uid="{00000000-0005-0000-0000-000087270000}"/>
    <cellStyle name="Примечание 4 2 4 2 2" xfId="21313" xr:uid="{00000000-0005-0000-0000-000088270000}"/>
    <cellStyle name="Примечание 4 2 4 2 2 2" xfId="37955" xr:uid="{49DEBA84-4B32-4EFD-BD8D-B75D64D0F85C}"/>
    <cellStyle name="Примечание 4 2 4 2 3" xfId="6076" xr:uid="{00000000-0005-0000-0000-000089270000}"/>
    <cellStyle name="Примечание 4 2 4 2 4" xfId="23863" xr:uid="{7A77654E-95C3-4FBE-9CCA-5F1E7739C3A2}"/>
    <cellStyle name="Примечание 4 2 4 3" xfId="2195" xr:uid="{00000000-0005-0000-0000-00008A270000}"/>
    <cellStyle name="Примечание 4 2 4 3 2" xfId="21935" xr:uid="{00000000-0005-0000-0000-00008B270000}"/>
    <cellStyle name="Примечание 4 2 4 3 2 2" xfId="38545" xr:uid="{FED54322-AF15-4B0A-A83E-CDAE6CACA7BC}"/>
    <cellStyle name="Примечание 4 2 4 3 3" xfId="6845" xr:uid="{00000000-0005-0000-0000-00008C270000}"/>
    <cellStyle name="Примечание 4 2 4 3 4" xfId="24472" xr:uid="{530930ED-4758-4717-9557-4C82409E6AFC}"/>
    <cellStyle name="Примечание 4 2 4 4" xfId="2806" xr:uid="{00000000-0005-0000-0000-00008D270000}"/>
    <cellStyle name="Примечание 4 2 4 4 2" xfId="22886" xr:uid="{00000000-0005-0000-0000-00008E270000}"/>
    <cellStyle name="Примечание 4 2 4 4 3" xfId="39352" xr:uid="{0B3CE11F-B246-453B-ACEA-4376CFDAF588}"/>
    <cellStyle name="Примечание 4 2 4 5" xfId="3478" xr:uid="{00000000-0005-0000-0000-00008F270000}"/>
    <cellStyle name="Примечание 4 2 4 5 2" xfId="20474" xr:uid="{00000000-0005-0000-0000-000090270000}"/>
    <cellStyle name="Примечание 4 2 4 5 3" xfId="37366" xr:uid="{092E95EE-917C-485A-9FC0-400E6E72EA0E}"/>
    <cellStyle name="Примечание 4 2 4 6" xfId="4048" xr:uid="{00000000-0005-0000-0000-000091270000}"/>
    <cellStyle name="Примечание 4 2 4 7" xfId="4570" xr:uid="{00000000-0005-0000-0000-000092270000}"/>
    <cellStyle name="Примечание 4 2 4 8" xfId="5052" xr:uid="{00000000-0005-0000-0000-000093270000}"/>
    <cellStyle name="Примечание 4 2 5" xfId="540" xr:uid="{00000000-0005-0000-0000-000094270000}"/>
    <cellStyle name="Примечание 4 2 5 2" xfId="1372" xr:uid="{00000000-0005-0000-0000-000095270000}"/>
    <cellStyle name="Примечание 4 2 5 2 2" xfId="21365" xr:uid="{00000000-0005-0000-0000-000096270000}"/>
    <cellStyle name="Примечание 4 2 5 2 2 2" xfId="38007" xr:uid="{4B67BDA4-AFE7-48CC-9C1C-4AFEBE91BCAE}"/>
    <cellStyle name="Примечание 4 2 5 2 3" xfId="6128" xr:uid="{00000000-0005-0000-0000-000097270000}"/>
    <cellStyle name="Примечание 4 2 5 2 4" xfId="23915" xr:uid="{96003256-9BA4-4ECE-BB49-B46021C4E61C}"/>
    <cellStyle name="Примечание 4 2 5 3" xfId="1726" xr:uid="{00000000-0005-0000-0000-000098270000}"/>
    <cellStyle name="Примечание 4 2 5 3 2" xfId="21987" xr:uid="{00000000-0005-0000-0000-000099270000}"/>
    <cellStyle name="Примечание 4 2 5 3 2 2" xfId="38597" xr:uid="{A83C052A-E3F8-4AAE-B798-9D93FF060755}"/>
    <cellStyle name="Примечание 4 2 5 3 3" xfId="6897" xr:uid="{00000000-0005-0000-0000-00009A270000}"/>
    <cellStyle name="Примечание 4 2 5 3 4" xfId="24524" xr:uid="{6D8B37E0-5950-4E9C-9F4B-D699FC5472F3}"/>
    <cellStyle name="Примечание 4 2 5 4" xfId="2839" xr:uid="{00000000-0005-0000-0000-00009B270000}"/>
    <cellStyle name="Примечание 4 2 5 4 2" xfId="22834" xr:uid="{00000000-0005-0000-0000-00009C270000}"/>
    <cellStyle name="Примечание 4 2 5 4 3" xfId="39300" xr:uid="{0B634FA4-25F0-410C-ABC5-D6D1BAB443DD}"/>
    <cellStyle name="Примечание 4 2 5 5" xfId="3427" xr:uid="{00000000-0005-0000-0000-00009D270000}"/>
    <cellStyle name="Примечание 4 2 5 5 2" xfId="20579" xr:uid="{00000000-0005-0000-0000-00009E270000}"/>
    <cellStyle name="Примечание 4 2 5 5 3" xfId="37432" xr:uid="{A9E66757-584E-4FCB-9C3C-EDB870A25CD8}"/>
    <cellStyle name="Примечание 4 2 5 6" xfId="4100" xr:uid="{00000000-0005-0000-0000-00009F270000}"/>
    <cellStyle name="Примечание 4 2 5 7" xfId="4622" xr:uid="{00000000-0005-0000-0000-0000A0270000}"/>
    <cellStyle name="Примечание 4 2 5 8" xfId="5104" xr:uid="{00000000-0005-0000-0000-0000A1270000}"/>
    <cellStyle name="Примечание 4 2 6" xfId="592" xr:uid="{00000000-0005-0000-0000-0000A2270000}"/>
    <cellStyle name="Примечание 4 2 6 2" xfId="1424" xr:uid="{00000000-0005-0000-0000-0000A3270000}"/>
    <cellStyle name="Примечание 4 2 6 2 2" xfId="21417" xr:uid="{00000000-0005-0000-0000-0000A4270000}"/>
    <cellStyle name="Примечание 4 2 6 2 2 2" xfId="38059" xr:uid="{870E8A1D-3586-4FA8-8A56-572F3CD498C0}"/>
    <cellStyle name="Примечание 4 2 6 2 3" xfId="6180" xr:uid="{00000000-0005-0000-0000-0000A5270000}"/>
    <cellStyle name="Примечание 4 2 6 2 4" xfId="23967" xr:uid="{F2C5AF66-6FD9-436E-97F3-3D2AC2086420}"/>
    <cellStyle name="Примечание 4 2 6 3" xfId="2152" xr:uid="{00000000-0005-0000-0000-0000A6270000}"/>
    <cellStyle name="Примечание 4 2 6 3 2" xfId="22039" xr:uid="{00000000-0005-0000-0000-0000A7270000}"/>
    <cellStyle name="Примечание 4 2 6 3 2 2" xfId="38649" xr:uid="{F510E3F8-8BA6-4A15-85CC-3AF66130394F}"/>
    <cellStyle name="Примечание 4 2 6 3 3" xfId="6949" xr:uid="{00000000-0005-0000-0000-0000A8270000}"/>
    <cellStyle name="Примечание 4 2 6 3 4" xfId="24576" xr:uid="{ADE42720-36F0-4EDF-A6BA-41395BF9C419}"/>
    <cellStyle name="Примечание 4 2 6 4" xfId="2915" xr:uid="{00000000-0005-0000-0000-0000A9270000}"/>
    <cellStyle name="Примечание 4 2 6 4 2" xfId="22843" xr:uid="{00000000-0005-0000-0000-0000AA270000}"/>
    <cellStyle name="Примечание 4 2 6 4 3" xfId="39309" xr:uid="{49B9960A-F8BC-4A53-B285-5CF60C62AFD2}"/>
    <cellStyle name="Примечание 4 2 6 5" xfId="3445" xr:uid="{00000000-0005-0000-0000-0000AB270000}"/>
    <cellStyle name="Примечание 4 2 6 5 2" xfId="20567" xr:uid="{00000000-0005-0000-0000-0000AC270000}"/>
    <cellStyle name="Примечание 4 2 6 5 3" xfId="37420" xr:uid="{0E877473-BC2E-478C-AF6D-833A40DC0E73}"/>
    <cellStyle name="Примечание 4 2 6 6" xfId="4152" xr:uid="{00000000-0005-0000-0000-0000AD270000}"/>
    <cellStyle name="Примечание 4 2 6 7" xfId="4674" xr:uid="{00000000-0005-0000-0000-0000AE270000}"/>
    <cellStyle name="Примечание 4 2 6 8" xfId="5156" xr:uid="{00000000-0005-0000-0000-0000AF270000}"/>
    <cellStyle name="Примечание 4 2 7" xfId="689" xr:uid="{00000000-0005-0000-0000-0000B0270000}"/>
    <cellStyle name="Примечание 4 2 7 2" xfId="1519" xr:uid="{00000000-0005-0000-0000-0000B1270000}"/>
    <cellStyle name="Примечание 4 2 7 2 2" xfId="21512" xr:uid="{00000000-0005-0000-0000-0000B2270000}"/>
    <cellStyle name="Примечание 4 2 7 2 2 2" xfId="38154" xr:uid="{90DBE3E7-0334-40F7-9C8A-6A5E3DC57154}"/>
    <cellStyle name="Примечание 4 2 7 2 3" xfId="6275" xr:uid="{00000000-0005-0000-0000-0000B3270000}"/>
    <cellStyle name="Примечание 4 2 7 2 4" xfId="24062" xr:uid="{47B1349D-C96A-46DE-AE40-C636E34E8221}"/>
    <cellStyle name="Примечание 4 2 7 3" xfId="1722" xr:uid="{00000000-0005-0000-0000-0000B4270000}"/>
    <cellStyle name="Примечание 4 2 7 3 2" xfId="22134" xr:uid="{00000000-0005-0000-0000-0000B5270000}"/>
    <cellStyle name="Примечание 4 2 7 3 2 2" xfId="38744" xr:uid="{630227B6-38EB-400C-B1AA-C92B9DD57CEB}"/>
    <cellStyle name="Примечание 4 2 7 3 3" xfId="7044" xr:uid="{00000000-0005-0000-0000-0000B6270000}"/>
    <cellStyle name="Примечание 4 2 7 3 4" xfId="24671" xr:uid="{881F0533-CE8F-4183-85DD-E83AD144B078}"/>
    <cellStyle name="Примечание 4 2 7 4" xfId="2391" xr:uid="{00000000-0005-0000-0000-0000B7270000}"/>
    <cellStyle name="Примечание 4 2 7 4 2" xfId="22993" xr:uid="{00000000-0005-0000-0000-0000B8270000}"/>
    <cellStyle name="Примечание 4 2 7 4 3" xfId="39459" xr:uid="{F7E5289A-1E57-433E-9848-2296268399F8}"/>
    <cellStyle name="Примечание 4 2 7 5" xfId="3627" xr:uid="{00000000-0005-0000-0000-0000B9270000}"/>
    <cellStyle name="Примечание 4 2 7 5 2" xfId="20693" xr:uid="{00000000-0005-0000-0000-0000BA270000}"/>
    <cellStyle name="Примечание 4 2 7 5 3" xfId="37522" xr:uid="{99F998C2-E3CD-494C-BD6C-2716DD7F5918}"/>
    <cellStyle name="Примечание 4 2 7 6" xfId="4248" xr:uid="{00000000-0005-0000-0000-0000BB270000}"/>
    <cellStyle name="Примечание 4 2 7 7" xfId="4770" xr:uid="{00000000-0005-0000-0000-0000BC270000}"/>
    <cellStyle name="Примечание 4 2 7 8" xfId="5251" xr:uid="{00000000-0005-0000-0000-0000BD270000}"/>
    <cellStyle name="Примечание 4 2 8" xfId="649" xr:uid="{00000000-0005-0000-0000-0000BE270000}"/>
    <cellStyle name="Примечание 4 2 8 2" xfId="1481" xr:uid="{00000000-0005-0000-0000-0000BF270000}"/>
    <cellStyle name="Примечание 4 2 8 2 2" xfId="21474" xr:uid="{00000000-0005-0000-0000-0000C0270000}"/>
    <cellStyle name="Примечание 4 2 8 2 2 2" xfId="38116" xr:uid="{5086BDF0-3CAF-41B1-A8F3-7A1EE33F5E70}"/>
    <cellStyle name="Примечание 4 2 8 2 3" xfId="6237" xr:uid="{00000000-0005-0000-0000-0000C1270000}"/>
    <cellStyle name="Примечание 4 2 8 2 4" xfId="24024" xr:uid="{680D2289-0D1F-4C70-817A-2334054AF7F5}"/>
    <cellStyle name="Примечание 4 2 8 3" xfId="2069" xr:uid="{00000000-0005-0000-0000-0000C2270000}"/>
    <cellStyle name="Примечание 4 2 8 3 2" xfId="22096" xr:uid="{00000000-0005-0000-0000-0000C3270000}"/>
    <cellStyle name="Примечание 4 2 8 3 2 2" xfId="38706" xr:uid="{2F0E7500-482D-40EC-A17B-6DC358EDF62A}"/>
    <cellStyle name="Примечание 4 2 8 3 3" xfId="7006" xr:uid="{00000000-0005-0000-0000-0000C4270000}"/>
    <cellStyle name="Примечание 4 2 8 3 4" xfId="24633" xr:uid="{7410FDDF-F654-4BCE-A012-C9FC984EDBF3}"/>
    <cellStyle name="Примечание 4 2 8 4" xfId="2856" xr:uid="{00000000-0005-0000-0000-0000C5270000}"/>
    <cellStyle name="Примечание 4 2 8 4 2" xfId="22730" xr:uid="{00000000-0005-0000-0000-0000C6270000}"/>
    <cellStyle name="Примечание 4 2 8 4 3" xfId="39199" xr:uid="{56A3A1A9-EA6D-4D9C-B3EC-0A1E1FAA07CB}"/>
    <cellStyle name="Примечание 4 2 8 5" xfId="3812" xr:uid="{00000000-0005-0000-0000-0000C7270000}"/>
    <cellStyle name="Примечание 4 2 8 5 2" xfId="20758" xr:uid="{00000000-0005-0000-0000-0000C8270000}"/>
    <cellStyle name="Примечание 4 2 8 5 3" xfId="37574" xr:uid="{08D8BC87-A5C3-4791-8AA4-41609FA4BC3A}"/>
    <cellStyle name="Примечание 4 2 8 6" xfId="4209" xr:uid="{00000000-0005-0000-0000-0000C9270000}"/>
    <cellStyle name="Примечание 4 2 8 7" xfId="4731" xr:uid="{00000000-0005-0000-0000-0000CA270000}"/>
    <cellStyle name="Примечание 4 2 8 8" xfId="5213" xr:uid="{00000000-0005-0000-0000-0000CB270000}"/>
    <cellStyle name="Примечание 4 2 9" xfId="668" xr:uid="{00000000-0005-0000-0000-0000CC270000}"/>
    <cellStyle name="Примечание 4 2 9 2" xfId="1499" xr:uid="{00000000-0005-0000-0000-0000CD270000}"/>
    <cellStyle name="Примечание 4 2 9 2 2" xfId="21492" xr:uid="{00000000-0005-0000-0000-0000CE270000}"/>
    <cellStyle name="Примечание 4 2 9 2 2 2" xfId="38134" xr:uid="{725972B7-31B1-48D3-8B97-3D553AD40FE4}"/>
    <cellStyle name="Примечание 4 2 9 2 3" xfId="6255" xr:uid="{00000000-0005-0000-0000-0000CF270000}"/>
    <cellStyle name="Примечание 4 2 9 2 4" xfId="24042" xr:uid="{FBB22CDB-1542-49AD-95B6-E5843FF6B9A8}"/>
    <cellStyle name="Примечание 4 2 9 3" xfId="2213" xr:uid="{00000000-0005-0000-0000-0000D0270000}"/>
    <cellStyle name="Примечание 4 2 9 3 2" xfId="22114" xr:uid="{00000000-0005-0000-0000-0000D1270000}"/>
    <cellStyle name="Примечание 4 2 9 3 2 2" xfId="38724" xr:uid="{D3AF0979-2A85-4CF7-BB26-A7906FA918FB}"/>
    <cellStyle name="Примечание 4 2 9 3 3" xfId="7024" xr:uid="{00000000-0005-0000-0000-0000D2270000}"/>
    <cellStyle name="Примечание 4 2 9 3 4" xfId="24651" xr:uid="{481844BF-37D3-49B0-ABD8-98652B9D5F9C}"/>
    <cellStyle name="Примечание 4 2 9 4" xfId="2688" xr:uid="{00000000-0005-0000-0000-0000D3270000}"/>
    <cellStyle name="Примечание 4 2 9 4 2" xfId="22895" xr:uid="{00000000-0005-0000-0000-0000D4270000}"/>
    <cellStyle name="Примечание 4 2 9 4 3" xfId="39361" xr:uid="{63B6913E-2747-457F-B011-59D425ADD622}"/>
    <cellStyle name="Примечание 4 2 9 5" xfId="3541" xr:uid="{00000000-0005-0000-0000-0000D5270000}"/>
    <cellStyle name="Примечание 4 2 9 5 2" xfId="20823" xr:uid="{00000000-0005-0000-0000-0000D6270000}"/>
    <cellStyle name="Примечание 4 2 9 5 3" xfId="37626" xr:uid="{9ED13ED1-18B3-46BA-AC06-CE87EC4DC9CB}"/>
    <cellStyle name="Примечание 4 2 9 6" xfId="4227" xr:uid="{00000000-0005-0000-0000-0000D7270000}"/>
    <cellStyle name="Примечание 4 2 9 7" xfId="4749" xr:uid="{00000000-0005-0000-0000-0000D8270000}"/>
    <cellStyle name="Примечание 4 2 9 8" xfId="5231" xr:uid="{00000000-0005-0000-0000-0000D9270000}"/>
    <cellStyle name="Примечание 4 3" xfId="361" xr:uid="{00000000-0005-0000-0000-0000DA270000}"/>
    <cellStyle name="Примечание 4 3 10" xfId="983" xr:uid="{00000000-0005-0000-0000-0000DB270000}"/>
    <cellStyle name="Примечание 4 3 10 2" xfId="2229" xr:uid="{00000000-0005-0000-0000-0000DC270000}"/>
    <cellStyle name="Примечание 4 3 10 2 2" xfId="21209" xr:uid="{00000000-0005-0000-0000-0000DD270000}"/>
    <cellStyle name="Примечание 4 3 10 2 2 2" xfId="37870" xr:uid="{DFEC338D-1BD9-4F9B-B5CD-71BA97337140}"/>
    <cellStyle name="Примечание 4 3 10 2 3" xfId="5990" xr:uid="{00000000-0005-0000-0000-0000DE270000}"/>
    <cellStyle name="Примечание 4 3 10 2 4" xfId="23778" xr:uid="{800D4765-9F35-4BFB-8ACF-1AA64BECA5D0}"/>
    <cellStyle name="Примечание 4 3 10 3" xfId="2697" xr:uid="{00000000-0005-0000-0000-0000DF270000}"/>
    <cellStyle name="Примечание 4 3 10 3 2" xfId="21850" xr:uid="{00000000-0005-0000-0000-0000E0270000}"/>
    <cellStyle name="Примечание 4 3 10 3 2 2" xfId="38460" xr:uid="{0EADD834-0CAC-4A62-AD97-5D0C16DE6060}"/>
    <cellStyle name="Примечание 4 3 10 3 3" xfId="6764" xr:uid="{00000000-0005-0000-0000-0000E1270000}"/>
    <cellStyle name="Примечание 4 3 10 3 4" xfId="24391" xr:uid="{0B758093-EF18-42C7-A4A1-01C0CFCC4034}"/>
    <cellStyle name="Примечание 4 3 10 4" xfId="3534" xr:uid="{00000000-0005-0000-0000-0000E2270000}"/>
    <cellStyle name="Примечание 4 3 10 4 2" xfId="22890" xr:uid="{00000000-0005-0000-0000-0000E3270000}"/>
    <cellStyle name="Примечание 4 3 10 4 3" xfId="39356" xr:uid="{89DDA308-581E-48A0-88D1-78C8A30F5387}"/>
    <cellStyle name="Примечание 4 3 10 5" xfId="3954" xr:uid="{00000000-0005-0000-0000-0000E4270000}"/>
    <cellStyle name="Примечание 4 3 10 5 2" xfId="20911" xr:uid="{00000000-0005-0000-0000-0000E5270000}"/>
    <cellStyle name="Примечание 4 3 10 5 3" xfId="37701" xr:uid="{82B57082-70B0-4437-B1B9-742AD045061A}"/>
    <cellStyle name="Примечание 4 3 10 6" xfId="4482" xr:uid="{00000000-0005-0000-0000-0000E6270000}"/>
    <cellStyle name="Примечание 4 3 10 7" xfId="4971" xr:uid="{00000000-0005-0000-0000-0000E7270000}"/>
    <cellStyle name="Примечание 4 3 11" xfId="1770" xr:uid="{00000000-0005-0000-0000-0000E8270000}"/>
    <cellStyle name="Примечание 4 3 11 2" xfId="20976" xr:uid="{00000000-0005-0000-0000-0000E9270000}"/>
    <cellStyle name="Примечание 4 3 11 2 2" xfId="37753" xr:uid="{BF2D0109-50AC-4D35-AC0B-DA98A0F0A8C1}"/>
    <cellStyle name="Примечание 4 3 11 3" xfId="5734" xr:uid="{00000000-0005-0000-0000-0000EA270000}"/>
    <cellStyle name="Примечание 4 3 11 4" xfId="23658" xr:uid="{E34AB2CE-1A68-421B-87FE-CE996F68F893}"/>
    <cellStyle name="Примечание 4 3 12" xfId="2552" xr:uid="{00000000-0005-0000-0000-0000EB270000}"/>
    <cellStyle name="Примечание 4 3 12 2" xfId="21733" xr:uid="{00000000-0005-0000-0000-0000EC270000}"/>
    <cellStyle name="Примечание 4 3 12 2 2" xfId="38343" xr:uid="{286756D0-84FD-44AD-99F6-945C0B7FCBC5}"/>
    <cellStyle name="Примечание 4 3 12 3" xfId="6651" xr:uid="{00000000-0005-0000-0000-0000ED270000}"/>
    <cellStyle name="Примечание 4 3 12 4" xfId="24278" xr:uid="{6AB12809-DC48-4024-A513-6B0671092CEC}"/>
    <cellStyle name="Примечание 4 3 13" xfId="3408" xr:uid="{00000000-0005-0000-0000-0000EE270000}"/>
    <cellStyle name="Примечание 4 3 13 2" xfId="22694" xr:uid="{00000000-0005-0000-0000-0000EF270000}"/>
    <cellStyle name="Примечание 4 3 13 3" xfId="39166" xr:uid="{7119BC79-5546-4D44-9362-30AB91D7113E}"/>
    <cellStyle name="Примечание 4 3 14" xfId="3386" xr:uid="{00000000-0005-0000-0000-0000F0270000}"/>
    <cellStyle name="Примечание 4 3 14 2" xfId="7777" xr:uid="{00000000-0005-0000-0000-0000F1270000}"/>
    <cellStyle name="Примечание 4 3 15" xfId="3174" xr:uid="{00000000-0005-0000-0000-0000F2270000}"/>
    <cellStyle name="Примечание 4 3 16" xfId="4421" xr:uid="{00000000-0005-0000-0000-0000F3270000}"/>
    <cellStyle name="Примечание 4 3 2" xfId="466" xr:uid="{00000000-0005-0000-0000-0000F4270000}"/>
    <cellStyle name="Примечание 4 3 2 2" xfId="1298" xr:uid="{00000000-0005-0000-0000-0000F5270000}"/>
    <cellStyle name="Примечание 4 3 2 2 2" xfId="21291" xr:uid="{00000000-0005-0000-0000-0000F6270000}"/>
    <cellStyle name="Примечание 4 3 2 2 2 2" xfId="37933" xr:uid="{762DE43C-3C87-40F6-9F0C-0B6A3C3EA828}"/>
    <cellStyle name="Примечание 4 3 2 2 3" xfId="6054" xr:uid="{00000000-0005-0000-0000-0000F7270000}"/>
    <cellStyle name="Примечание 4 3 2 2 4" xfId="23841" xr:uid="{CB55F9CE-4794-46E9-82B5-C10093359E6B}"/>
    <cellStyle name="Примечание 4 3 2 3" xfId="2175" xr:uid="{00000000-0005-0000-0000-0000F8270000}"/>
    <cellStyle name="Примечание 4 3 2 3 2" xfId="21913" xr:uid="{00000000-0005-0000-0000-0000F9270000}"/>
    <cellStyle name="Примечание 4 3 2 3 2 2" xfId="38523" xr:uid="{A87FB20D-22A4-4924-A859-8856438CB170}"/>
    <cellStyle name="Примечание 4 3 2 3 3" xfId="6823" xr:uid="{00000000-0005-0000-0000-0000FA270000}"/>
    <cellStyle name="Примечание 4 3 2 3 4" xfId="24450" xr:uid="{7611ACA7-E7FF-4E8B-8171-BBF31BEE58FB}"/>
    <cellStyle name="Примечание 4 3 2 4" xfId="2395" xr:uid="{00000000-0005-0000-0000-0000FB270000}"/>
    <cellStyle name="Примечание 4 3 2 4 2" xfId="22873" xr:uid="{00000000-0005-0000-0000-0000FC270000}"/>
    <cellStyle name="Примечание 4 3 2 4 3" xfId="39339" xr:uid="{D661872B-B786-4C04-9868-E58A22CD931C}"/>
    <cellStyle name="Примечание 4 3 2 5" xfId="3517" xr:uid="{00000000-0005-0000-0000-0000FD270000}"/>
    <cellStyle name="Примечание 4 3 2 5 2" xfId="14029" xr:uid="{00000000-0005-0000-0000-0000FE270000}"/>
    <cellStyle name="Примечание 4 3 2 5 3" xfId="31068" xr:uid="{ED0492E8-1958-425D-85C2-43ACD2175002}"/>
    <cellStyle name="Примечание 4 3 2 6" xfId="4026" xr:uid="{00000000-0005-0000-0000-0000FF270000}"/>
    <cellStyle name="Примечание 4 3 2 7" xfId="4548" xr:uid="{00000000-0005-0000-0000-000000280000}"/>
    <cellStyle name="Примечание 4 3 2 8" xfId="5030" xr:uid="{00000000-0005-0000-0000-000001280000}"/>
    <cellStyle name="Примечание 4 3 3" xfId="511" xr:uid="{00000000-0005-0000-0000-000002280000}"/>
    <cellStyle name="Примечание 4 3 3 2" xfId="1343" xr:uid="{00000000-0005-0000-0000-000003280000}"/>
    <cellStyle name="Примечание 4 3 3 2 2" xfId="21336" xr:uid="{00000000-0005-0000-0000-000004280000}"/>
    <cellStyle name="Примечание 4 3 3 2 2 2" xfId="37978" xr:uid="{5A7CF46C-E7E6-493B-A2E9-EC4D62C41ABF}"/>
    <cellStyle name="Примечание 4 3 3 2 3" xfId="6099" xr:uid="{00000000-0005-0000-0000-000005280000}"/>
    <cellStyle name="Примечание 4 3 3 2 4" xfId="23886" xr:uid="{08C048B8-8A0C-4662-8F04-CCCAF1298995}"/>
    <cellStyle name="Примечание 4 3 3 3" xfId="1838" xr:uid="{00000000-0005-0000-0000-000006280000}"/>
    <cellStyle name="Примечание 4 3 3 3 2" xfId="21958" xr:uid="{00000000-0005-0000-0000-000007280000}"/>
    <cellStyle name="Примечание 4 3 3 3 2 2" xfId="38568" xr:uid="{16A4727D-E19C-49F4-A67D-22D1E4AC8B7D}"/>
    <cellStyle name="Примечание 4 3 3 3 3" xfId="6868" xr:uid="{00000000-0005-0000-0000-000008280000}"/>
    <cellStyle name="Примечание 4 3 3 3 4" xfId="24495" xr:uid="{16ED7F95-16A5-4A3A-864E-09FC64AB2F81}"/>
    <cellStyle name="Примечание 4 3 3 4" xfId="2681" xr:uid="{00000000-0005-0000-0000-000009280000}"/>
    <cellStyle name="Примечание 4 3 3 4 2" xfId="22923" xr:uid="{00000000-0005-0000-0000-00000A280000}"/>
    <cellStyle name="Примечание 4 3 3 4 3" xfId="39389" xr:uid="{1ACED0FA-0E77-4CC6-A3F5-5BFCCB181239}"/>
    <cellStyle name="Примечание 4 3 3 5" xfId="3579" xr:uid="{00000000-0005-0000-0000-00000B280000}"/>
    <cellStyle name="Примечание 4 3 3 5 2" xfId="20450" xr:uid="{00000000-0005-0000-0000-00000C280000}"/>
    <cellStyle name="Примечание 4 3 3 5 3" xfId="37342" xr:uid="{484809ED-CBAD-4353-ACE5-BB4CB8905D3D}"/>
    <cellStyle name="Примечание 4 3 3 6" xfId="4071" xr:uid="{00000000-0005-0000-0000-00000D280000}"/>
    <cellStyle name="Примечание 4 3 3 7" xfId="4593" xr:uid="{00000000-0005-0000-0000-00000E280000}"/>
    <cellStyle name="Примечание 4 3 3 8" xfId="5075" xr:uid="{00000000-0005-0000-0000-00000F280000}"/>
    <cellStyle name="Примечание 4 3 4" xfId="563" xr:uid="{00000000-0005-0000-0000-000010280000}"/>
    <cellStyle name="Примечание 4 3 4 2" xfId="1395" xr:uid="{00000000-0005-0000-0000-000011280000}"/>
    <cellStyle name="Примечание 4 3 4 2 2" xfId="21388" xr:uid="{00000000-0005-0000-0000-000012280000}"/>
    <cellStyle name="Примечание 4 3 4 2 2 2" xfId="38030" xr:uid="{1E2A6926-80A5-4147-930D-8B043E89CC8D}"/>
    <cellStyle name="Примечание 4 3 4 2 3" xfId="6151" xr:uid="{00000000-0005-0000-0000-000013280000}"/>
    <cellStyle name="Примечание 4 3 4 2 4" xfId="23938" xr:uid="{B7C7A194-24DF-4E58-8FD7-1A715C5DD545}"/>
    <cellStyle name="Примечание 4 3 4 3" xfId="1796" xr:uid="{00000000-0005-0000-0000-000014280000}"/>
    <cellStyle name="Примечание 4 3 4 3 2" xfId="22010" xr:uid="{00000000-0005-0000-0000-000015280000}"/>
    <cellStyle name="Примечание 4 3 4 3 2 2" xfId="38620" xr:uid="{6CE81D83-DE2C-4975-8664-05F880BEF07B}"/>
    <cellStyle name="Примечание 4 3 4 3 3" xfId="6920" xr:uid="{00000000-0005-0000-0000-000016280000}"/>
    <cellStyle name="Примечание 4 3 4 3 4" xfId="24547" xr:uid="{6739FB1E-7A77-4AF5-9644-305C0C91F31C}"/>
    <cellStyle name="Примечание 4 3 4 4" xfId="2584" xr:uid="{00000000-0005-0000-0000-000017280000}"/>
    <cellStyle name="Примечание 4 3 4 4 2" xfId="22987" xr:uid="{00000000-0005-0000-0000-000018280000}"/>
    <cellStyle name="Примечание 4 3 4 4 3" xfId="39453" xr:uid="{CBC93F0E-4869-47EB-9947-1D92E70CAE18}"/>
    <cellStyle name="Примечание 4 3 4 5" xfId="3622" xr:uid="{00000000-0005-0000-0000-000019280000}"/>
    <cellStyle name="Примечание 4 3 4 5 2" xfId="20497" xr:uid="{00000000-0005-0000-0000-00001A280000}"/>
    <cellStyle name="Примечание 4 3 4 5 3" xfId="37389" xr:uid="{950519D4-9154-4655-8F62-4A4157F216CE}"/>
    <cellStyle name="Примечание 4 3 4 6" xfId="4123" xr:uid="{00000000-0005-0000-0000-00001B280000}"/>
    <cellStyle name="Примечание 4 3 4 7" xfId="4645" xr:uid="{00000000-0005-0000-0000-00001C280000}"/>
    <cellStyle name="Примечание 4 3 4 8" xfId="5127" xr:uid="{00000000-0005-0000-0000-00001D280000}"/>
    <cellStyle name="Примечание 4 3 5" xfId="615" xr:uid="{00000000-0005-0000-0000-00001E280000}"/>
    <cellStyle name="Примечание 4 3 5 2" xfId="1447" xr:uid="{00000000-0005-0000-0000-00001F280000}"/>
    <cellStyle name="Примечание 4 3 5 2 2" xfId="21440" xr:uid="{00000000-0005-0000-0000-000020280000}"/>
    <cellStyle name="Примечание 4 3 5 2 2 2" xfId="38082" xr:uid="{9DB06231-6251-4DC1-BDEB-2A51856FCF27}"/>
    <cellStyle name="Примечание 4 3 5 2 3" xfId="6203" xr:uid="{00000000-0005-0000-0000-000021280000}"/>
    <cellStyle name="Примечание 4 3 5 2 4" xfId="23990" xr:uid="{F1BC5A12-664A-42EE-878A-35B8F46C4846}"/>
    <cellStyle name="Примечание 4 3 5 3" xfId="2151" xr:uid="{00000000-0005-0000-0000-000022280000}"/>
    <cellStyle name="Примечание 4 3 5 3 2" xfId="22062" xr:uid="{00000000-0005-0000-0000-000023280000}"/>
    <cellStyle name="Примечание 4 3 5 3 2 2" xfId="38672" xr:uid="{C5996E02-4DE3-4552-BF36-078471E92EF9}"/>
    <cellStyle name="Примечание 4 3 5 3 3" xfId="6972" xr:uid="{00000000-0005-0000-0000-000024280000}"/>
    <cellStyle name="Примечание 4 3 5 3 4" xfId="24599" xr:uid="{5A0F7CE0-BA80-47EF-BB31-7FC9979EC13C}"/>
    <cellStyle name="Примечание 4 3 5 4" xfId="2914" xr:uid="{00000000-0005-0000-0000-000025280000}"/>
    <cellStyle name="Примечание 4 3 5 4 2" xfId="22853" xr:uid="{00000000-0005-0000-0000-000026280000}"/>
    <cellStyle name="Примечание 4 3 5 4 3" xfId="39319" xr:uid="{9301A6A3-D48E-4398-8ED2-962B67BD9179}"/>
    <cellStyle name="Примечание 4 3 5 5" xfId="3455" xr:uid="{00000000-0005-0000-0000-000027280000}"/>
    <cellStyle name="Примечание 4 3 5 5 2" xfId="20613" xr:uid="{00000000-0005-0000-0000-000028280000}"/>
    <cellStyle name="Примечание 4 3 5 5 3" xfId="37455" xr:uid="{8BB9BAA7-C7C7-4B58-B888-6E245DEF5292}"/>
    <cellStyle name="Примечание 4 3 5 6" xfId="4175" xr:uid="{00000000-0005-0000-0000-000029280000}"/>
    <cellStyle name="Примечание 4 3 5 7" xfId="4697" xr:uid="{00000000-0005-0000-0000-00002A280000}"/>
    <cellStyle name="Примечание 4 3 5 8" xfId="5179" xr:uid="{00000000-0005-0000-0000-00002B280000}"/>
    <cellStyle name="Примечание 4 3 6" xfId="718" xr:uid="{00000000-0005-0000-0000-00002C280000}"/>
    <cellStyle name="Примечание 4 3 6 2" xfId="1548" xr:uid="{00000000-0005-0000-0000-00002D280000}"/>
    <cellStyle name="Примечание 4 3 6 2 2" xfId="21541" xr:uid="{00000000-0005-0000-0000-00002E280000}"/>
    <cellStyle name="Примечание 4 3 6 2 2 2" xfId="38183" xr:uid="{D401A506-8A11-405C-8D73-318B2A0375A9}"/>
    <cellStyle name="Примечание 4 3 6 2 3" xfId="6304" xr:uid="{00000000-0005-0000-0000-00002F280000}"/>
    <cellStyle name="Примечание 4 3 6 2 4" xfId="24091" xr:uid="{2FD12B96-086F-457B-AA4C-A6894199E49E}"/>
    <cellStyle name="Примечание 4 3 6 3" xfId="2296" xr:uid="{00000000-0005-0000-0000-000030280000}"/>
    <cellStyle name="Примечание 4 3 6 3 2" xfId="22163" xr:uid="{00000000-0005-0000-0000-000031280000}"/>
    <cellStyle name="Примечание 4 3 6 3 2 2" xfId="38773" xr:uid="{F6F23A6F-6387-4409-BD21-2A2B39A65983}"/>
    <cellStyle name="Примечание 4 3 6 3 3" xfId="7073" xr:uid="{00000000-0005-0000-0000-000032280000}"/>
    <cellStyle name="Примечание 4 3 6 3 4" xfId="24700" xr:uid="{85F427F5-48B1-431C-A8BE-B3780100636F}"/>
    <cellStyle name="Примечание 4 3 6 4" xfId="2948" xr:uid="{00000000-0005-0000-0000-000033280000}"/>
    <cellStyle name="Примечание 4 3 6 4 2" xfId="22496" xr:uid="{00000000-0005-0000-0000-000034280000}"/>
    <cellStyle name="Примечание 4 3 6 4 3" xfId="38988" xr:uid="{AE584B77-D69E-4E9E-8C7A-2F64E4980BEC}"/>
    <cellStyle name="Примечание 4 3 6 5" xfId="2978" xr:uid="{00000000-0005-0000-0000-000035280000}"/>
    <cellStyle name="Примечание 4 3 6 5 2" xfId="20651" xr:uid="{00000000-0005-0000-0000-000036280000}"/>
    <cellStyle name="Примечание 4 3 6 5 3" xfId="37493" xr:uid="{51AD12C1-7690-4758-8831-7C28F16D8B8F}"/>
    <cellStyle name="Примечание 4 3 6 6" xfId="4277" xr:uid="{00000000-0005-0000-0000-000037280000}"/>
    <cellStyle name="Примечание 4 3 6 7" xfId="4799" xr:uid="{00000000-0005-0000-0000-000038280000}"/>
    <cellStyle name="Примечание 4 3 6 8" xfId="5280" xr:uid="{00000000-0005-0000-0000-000039280000}"/>
    <cellStyle name="Примечание 4 3 7" xfId="762" xr:uid="{00000000-0005-0000-0000-00003A280000}"/>
    <cellStyle name="Примечание 4 3 7 2" xfId="1591" xr:uid="{00000000-0005-0000-0000-00003B280000}"/>
    <cellStyle name="Примечание 4 3 7 2 2" xfId="21584" xr:uid="{00000000-0005-0000-0000-00003C280000}"/>
    <cellStyle name="Примечание 4 3 7 2 2 2" xfId="38226" xr:uid="{AF6E49C7-B7E9-49C4-8FCB-77FD6C890658}"/>
    <cellStyle name="Примечание 4 3 7 2 3" xfId="6347" xr:uid="{00000000-0005-0000-0000-00003D280000}"/>
    <cellStyle name="Примечание 4 3 7 2 4" xfId="24134" xr:uid="{32B846FD-727D-45A1-AB2C-62F479E72E13}"/>
    <cellStyle name="Примечание 4 3 7 3" xfId="2293" xr:uid="{00000000-0005-0000-0000-00003E280000}"/>
    <cellStyle name="Примечание 4 3 7 3 2" xfId="22206" xr:uid="{00000000-0005-0000-0000-00003F280000}"/>
    <cellStyle name="Примечание 4 3 7 3 2 2" xfId="38816" xr:uid="{C2B5D10B-695E-460D-8841-693BD04EE33D}"/>
    <cellStyle name="Примечание 4 3 7 3 3" xfId="7116" xr:uid="{00000000-0005-0000-0000-000040280000}"/>
    <cellStyle name="Примечание 4 3 7 3 4" xfId="24743" xr:uid="{C86A1EF2-75CE-42C1-B60F-A92BF6067D74}"/>
    <cellStyle name="Примечание 4 3 7 4" xfId="2600" xr:uid="{00000000-0005-0000-0000-000041280000}"/>
    <cellStyle name="Примечание 4 3 7 4 2" xfId="22523" xr:uid="{00000000-0005-0000-0000-000042280000}"/>
    <cellStyle name="Примечание 4 3 7 4 3" xfId="39002" xr:uid="{7FA4FBE1-5F9B-4E28-9DC0-7F7663FE4629}"/>
    <cellStyle name="Примечание 4 3 7 5" xfId="2964" xr:uid="{00000000-0005-0000-0000-000043280000}"/>
    <cellStyle name="Примечание 4 3 7 5 2" xfId="20716" xr:uid="{00000000-0005-0000-0000-000044280000}"/>
    <cellStyle name="Примечание 4 3 7 5 3" xfId="37545" xr:uid="{4900EA40-296A-418F-BE4C-D7122DD715B3}"/>
    <cellStyle name="Примечание 4 3 7 6" xfId="4320" xr:uid="{00000000-0005-0000-0000-000045280000}"/>
    <cellStyle name="Примечание 4 3 7 7" xfId="4842" xr:uid="{00000000-0005-0000-0000-000046280000}"/>
    <cellStyle name="Примечание 4 3 7 8" xfId="5323" xr:uid="{00000000-0005-0000-0000-000047280000}"/>
    <cellStyle name="Примечание 4 3 8" xfId="794" xr:uid="{00000000-0005-0000-0000-000048280000}"/>
    <cellStyle name="Примечание 4 3 8 2" xfId="1623" xr:uid="{00000000-0005-0000-0000-000049280000}"/>
    <cellStyle name="Примечание 4 3 8 2 2" xfId="21616" xr:uid="{00000000-0005-0000-0000-00004A280000}"/>
    <cellStyle name="Примечание 4 3 8 2 2 2" xfId="38258" xr:uid="{49C824BC-A730-4CD6-963E-34459E18C1F2}"/>
    <cellStyle name="Примечание 4 3 8 2 3" xfId="6379" xr:uid="{00000000-0005-0000-0000-00004B280000}"/>
    <cellStyle name="Примечание 4 3 8 2 4" xfId="24166" xr:uid="{D15BF5CE-D04B-4E62-8D51-C97F84F9EF35}"/>
    <cellStyle name="Примечание 4 3 8 3" xfId="2297" xr:uid="{00000000-0005-0000-0000-00004C280000}"/>
    <cellStyle name="Примечание 4 3 8 3 2" xfId="22238" xr:uid="{00000000-0005-0000-0000-00004D280000}"/>
    <cellStyle name="Примечание 4 3 8 3 2 2" xfId="38848" xr:uid="{986EDF3F-A91F-4585-97EE-5061F840C392}"/>
    <cellStyle name="Примечание 4 3 8 3 3" xfId="7148" xr:uid="{00000000-0005-0000-0000-00004E280000}"/>
    <cellStyle name="Примечание 4 3 8 3 4" xfId="24775" xr:uid="{3CD7F823-CCC1-4E5E-9A09-9139BB92EF63}"/>
    <cellStyle name="Примечание 4 3 8 4" xfId="2917" xr:uid="{00000000-0005-0000-0000-00004F280000}"/>
    <cellStyle name="Примечание 4 3 8 4 2" xfId="22595" xr:uid="{00000000-0005-0000-0000-000050280000}"/>
    <cellStyle name="Примечание 4 3 8 4 3" xfId="39071" xr:uid="{A4655B76-9601-4C26-B18C-F4B7C75F54D7}"/>
    <cellStyle name="Примечание 4 3 8 5" xfId="3276" xr:uid="{00000000-0005-0000-0000-000051280000}"/>
    <cellStyle name="Примечание 4 3 8 5 2" xfId="20781" xr:uid="{00000000-0005-0000-0000-000052280000}"/>
    <cellStyle name="Примечание 4 3 8 5 3" xfId="37597" xr:uid="{84B1ADB5-896B-4021-A9A6-7F605125FC97}"/>
    <cellStyle name="Примечание 4 3 8 6" xfId="4352" xr:uid="{00000000-0005-0000-0000-000053280000}"/>
    <cellStyle name="Примечание 4 3 8 7" xfId="4874" xr:uid="{00000000-0005-0000-0000-000054280000}"/>
    <cellStyle name="Примечание 4 3 8 8" xfId="5355" xr:uid="{00000000-0005-0000-0000-000055280000}"/>
    <cellStyle name="Примечание 4 3 9" xfId="826" xr:uid="{00000000-0005-0000-0000-000056280000}"/>
    <cellStyle name="Примечание 4 3 9 2" xfId="1655" xr:uid="{00000000-0005-0000-0000-000057280000}"/>
    <cellStyle name="Примечание 4 3 9 2 2" xfId="21648" xr:uid="{00000000-0005-0000-0000-000058280000}"/>
    <cellStyle name="Примечание 4 3 9 2 2 2" xfId="38290" xr:uid="{218DC6EF-4D4B-4F88-9B71-9784FFD4FB63}"/>
    <cellStyle name="Примечание 4 3 9 2 3" xfId="6411" xr:uid="{00000000-0005-0000-0000-000059280000}"/>
    <cellStyle name="Примечание 4 3 9 2 4" xfId="24198" xr:uid="{F2086339-AAB9-42B1-9173-78660049A12A}"/>
    <cellStyle name="Примечание 4 3 9 3" xfId="2286" xr:uid="{00000000-0005-0000-0000-00005A280000}"/>
    <cellStyle name="Примечание 4 3 9 3 2" xfId="22270" xr:uid="{00000000-0005-0000-0000-00005B280000}"/>
    <cellStyle name="Примечание 4 3 9 3 2 2" xfId="38880" xr:uid="{EDDFCA9E-9A35-4AC7-B035-A796CEBF0F6D}"/>
    <cellStyle name="Примечание 4 3 9 3 3" xfId="7180" xr:uid="{00000000-0005-0000-0000-00005C280000}"/>
    <cellStyle name="Примечание 4 3 9 3 4" xfId="24807" xr:uid="{93D96B9B-9182-4FEC-8230-6938D36F4FE4}"/>
    <cellStyle name="Примечание 4 3 9 4" xfId="2444" xr:uid="{00000000-0005-0000-0000-00005D280000}"/>
    <cellStyle name="Примечание 4 3 9 4 2" xfId="22591" xr:uid="{00000000-0005-0000-0000-00005E280000}"/>
    <cellStyle name="Примечание 4 3 9 4 3" xfId="39067" xr:uid="{09FD4D83-2721-42BC-A449-ADEBC76BAD2B}"/>
    <cellStyle name="Примечание 4 3 9 5" xfId="3866" xr:uid="{00000000-0005-0000-0000-00005F280000}"/>
    <cellStyle name="Примечание 4 3 9 5 2" xfId="20846" xr:uid="{00000000-0005-0000-0000-000060280000}"/>
    <cellStyle name="Примечание 4 3 9 5 3" xfId="37649" xr:uid="{233A8903-D3EE-4666-A5C2-4A6B44260596}"/>
    <cellStyle name="Примечание 4 3 9 6" xfId="4384" xr:uid="{00000000-0005-0000-0000-000061280000}"/>
    <cellStyle name="Примечание 4 3 9 7" xfId="4906" xr:uid="{00000000-0005-0000-0000-000062280000}"/>
    <cellStyle name="Примечание 4 3 9 8" xfId="5387" xr:uid="{00000000-0005-0000-0000-000063280000}"/>
    <cellStyle name="Примечание 4 4" xfId="874" xr:uid="{00000000-0005-0000-0000-000064280000}"/>
    <cellStyle name="Примечание 4 4 2" xfId="1829" xr:uid="{00000000-0005-0000-0000-000065280000}"/>
    <cellStyle name="Примечание 4 4 2 2" xfId="21020" xr:uid="{00000000-0005-0000-0000-000066280000}"/>
    <cellStyle name="Примечание 4 4 2 2 2" xfId="37780" xr:uid="{14451E14-EFAB-445F-9107-5C1B1274ECB0}"/>
    <cellStyle name="Примечание 4 4 2 3" xfId="5791" xr:uid="{00000000-0005-0000-0000-000067280000}"/>
    <cellStyle name="Примечание 4 4 2 4" xfId="23688" xr:uid="{83B2A975-32BB-4CD0-96EB-6D65135B9E4C}"/>
    <cellStyle name="Примечание 4 4 3" xfId="2478" xr:uid="{00000000-0005-0000-0000-000068280000}"/>
    <cellStyle name="Примечание 4 4 3 2" xfId="21760" xr:uid="{00000000-0005-0000-0000-000069280000}"/>
    <cellStyle name="Примечание 4 4 3 2 2" xfId="38370" xr:uid="{02CFB11D-2DF4-4276-8142-DC5669AA0425}"/>
    <cellStyle name="Примечание 4 4 3 3" xfId="6676" xr:uid="{00000000-0005-0000-0000-00006A280000}"/>
    <cellStyle name="Примечание 4 4 3 4" xfId="24303" xr:uid="{37EBB490-9226-458E-8190-B839A1E7B4BC}"/>
    <cellStyle name="Примечание 4 4 4" xfId="3176" xr:uid="{00000000-0005-0000-0000-00006B280000}"/>
    <cellStyle name="Примечание 4 4 4 2" xfId="22769" xr:uid="{00000000-0005-0000-0000-00006C280000}"/>
    <cellStyle name="Примечание 4 4 4 3" xfId="39237" xr:uid="{B67E3F7C-05F4-4108-A128-3E8EEF4FF8E4}"/>
    <cellStyle name="Примечание 4 4 5" xfId="3181" xr:uid="{00000000-0005-0000-0000-00006D280000}"/>
    <cellStyle name="Примечание 4 4 5 2" xfId="13995" xr:uid="{00000000-0005-0000-0000-00006E280000}"/>
    <cellStyle name="Примечание 4 4 5 3" xfId="31057" xr:uid="{11F22540-8436-4E85-97B6-8DBB14CF0340}"/>
    <cellStyle name="Примечание 4 4 6" xfId="3039" xr:uid="{00000000-0005-0000-0000-00006F280000}"/>
    <cellStyle name="Примечание 4 4 7" xfId="4403" xr:uid="{00000000-0005-0000-0000-000070280000}"/>
    <cellStyle name="Примечание 4 5" xfId="2143" xr:uid="{00000000-0005-0000-0000-000071280000}"/>
    <cellStyle name="Примечание 4 5 2" xfId="6514" xr:uid="{00000000-0005-0000-0000-000072280000}"/>
    <cellStyle name="Примечание 4 5 2 2" xfId="23461" xr:uid="{00000000-0005-0000-0000-000073280000}"/>
    <cellStyle name="Примечание 4 5 3" xfId="22542" xr:uid="{00000000-0005-0000-0000-000074280000}"/>
    <cellStyle name="Примечание 4 5 3 2" xfId="39021" xr:uid="{B94BC38E-0538-4851-9550-361D802042CD}"/>
    <cellStyle name="Примечание 4 5 4" xfId="5461" xr:uid="{00000000-0005-0000-0000-000075280000}"/>
    <cellStyle name="Примечание 4 6" xfId="2887" xr:uid="{00000000-0005-0000-0000-000076280000}"/>
    <cellStyle name="Примечание 4 6 2" xfId="6578" xr:uid="{00000000-0005-0000-0000-000077280000}"/>
    <cellStyle name="Примечание 4 6 3" xfId="23515" xr:uid="{00000000-0005-0000-0000-000078280000}"/>
    <cellStyle name="Примечание 4 6 4" xfId="5506" xr:uid="{00000000-0005-0000-0000-000079280000}"/>
    <cellStyle name="Примечание 4 7" xfId="3047" xr:uid="{00000000-0005-0000-0000-00007A280000}"/>
    <cellStyle name="Примечание 4 7 2" xfId="5567" xr:uid="{00000000-0005-0000-0000-00007B280000}"/>
    <cellStyle name="Примечание 4 7 3" xfId="23602" xr:uid="{571A4C5B-A7DE-472D-9FF1-625A2EC21742}"/>
    <cellStyle name="Примечание 4 8" xfId="3038" xr:uid="{00000000-0005-0000-0000-00007C280000}"/>
    <cellStyle name="Примечание 4 8 2" xfId="5525" xr:uid="{00000000-0005-0000-0000-00007D280000}"/>
    <cellStyle name="Примечание 4 8 3" xfId="23587" xr:uid="{9086BF01-E4C9-4DB3-8076-A417DCFA1A94}"/>
    <cellStyle name="Примечание 4 9" xfId="2954" xr:uid="{00000000-0005-0000-0000-00007E280000}"/>
    <cellStyle name="Примечание 4 9 2" xfId="7374" xr:uid="{00000000-0005-0000-0000-00007F280000}"/>
    <cellStyle name="Примечание 4 9 3" xfId="24849" xr:uid="{B198A092-DD67-4340-A456-E398A8B689F6}"/>
    <cellStyle name="Примечание 5" xfId="53" xr:uid="{00000000-0005-0000-0000-000080280000}"/>
    <cellStyle name="Примечание 5 10" xfId="641" xr:uid="{00000000-0005-0000-0000-000081280000}"/>
    <cellStyle name="Примечание 5 10 2" xfId="1473" xr:uid="{00000000-0005-0000-0000-000082280000}"/>
    <cellStyle name="Примечание 5 10 2 2" xfId="22088" xr:uid="{00000000-0005-0000-0000-000083280000}"/>
    <cellStyle name="Примечание 5 10 2 2 2" xfId="38698" xr:uid="{6028B926-364E-4AC6-816A-50CD0886C858}"/>
    <cellStyle name="Примечание 5 10 2 3" xfId="6229" xr:uid="{00000000-0005-0000-0000-000084280000}"/>
    <cellStyle name="Примечание 5 10 2 4" xfId="24016" xr:uid="{FA576DF3-D388-410C-88D1-C51283D5EBAA}"/>
    <cellStyle name="Примечание 5 10 3" xfId="2055" xr:uid="{00000000-0005-0000-0000-000085280000}"/>
    <cellStyle name="Примечание 5 10 3 2" xfId="23049" xr:uid="{00000000-0005-0000-0000-000086280000}"/>
    <cellStyle name="Примечание 5 10 3 2 2" xfId="39515" xr:uid="{5AEC1B0C-C3EE-462E-A7ED-70FAC3ACCA47}"/>
    <cellStyle name="Примечание 5 10 3 3" xfId="6998" xr:uid="{00000000-0005-0000-0000-000087280000}"/>
    <cellStyle name="Примечание 5 10 3 4" xfId="24625" xr:uid="{C292767A-5AB6-4B12-8597-E8870691FDD4}"/>
    <cellStyle name="Примечание 5 10 4" xfId="2845" xr:uid="{00000000-0005-0000-0000-000088280000}"/>
    <cellStyle name="Примечание 5 10 4 2" xfId="21466" xr:uid="{00000000-0005-0000-0000-000089280000}"/>
    <cellStyle name="Примечание 5 10 4 3" xfId="38108" xr:uid="{71D6D97E-4270-4694-A227-4742AFA15833}"/>
    <cellStyle name="Примечание 5 10 5" xfId="3761" xr:uid="{00000000-0005-0000-0000-00008A280000}"/>
    <cellStyle name="Примечание 5 10 6" xfId="4201" xr:uid="{00000000-0005-0000-0000-00008B280000}"/>
    <cellStyle name="Примечание 5 10 7" xfId="4723" xr:uid="{00000000-0005-0000-0000-00008C280000}"/>
    <cellStyle name="Примечание 5 10 8" xfId="5205" xr:uid="{00000000-0005-0000-0000-00008D280000}"/>
    <cellStyle name="Примечание 5 11" xfId="665" xr:uid="{00000000-0005-0000-0000-00008E280000}"/>
    <cellStyle name="Примечание 5 11 2" xfId="1496" xr:uid="{00000000-0005-0000-0000-00008F280000}"/>
    <cellStyle name="Примечание 5 11 2 2" xfId="22111" xr:uid="{00000000-0005-0000-0000-000090280000}"/>
    <cellStyle name="Примечание 5 11 2 2 2" xfId="38721" xr:uid="{F90D2F94-6931-4AC0-9A7B-B509867E6466}"/>
    <cellStyle name="Примечание 5 11 2 3" xfId="6252" xr:uid="{00000000-0005-0000-0000-000091280000}"/>
    <cellStyle name="Примечание 5 11 2 4" xfId="24039" xr:uid="{87837CD0-588D-4053-9841-95CB1BBEEABE}"/>
    <cellStyle name="Примечание 5 11 3" xfId="1993" xr:uid="{00000000-0005-0000-0000-000092280000}"/>
    <cellStyle name="Примечание 5 11 3 2" xfId="23027" xr:uid="{00000000-0005-0000-0000-000093280000}"/>
    <cellStyle name="Примечание 5 11 3 2 2" xfId="39493" xr:uid="{6D7D2245-7040-4C98-BBB5-2E0CAD390547}"/>
    <cellStyle name="Примечание 5 11 3 3" xfId="7021" xr:uid="{00000000-0005-0000-0000-000094280000}"/>
    <cellStyle name="Примечание 5 11 3 4" xfId="24648" xr:uid="{F200BF95-F5BC-4161-A1B9-A7C75DC49DC7}"/>
    <cellStyle name="Примечание 5 11 4" xfId="2779" xr:uid="{00000000-0005-0000-0000-000095280000}"/>
    <cellStyle name="Примечание 5 11 4 2" xfId="21489" xr:uid="{00000000-0005-0000-0000-000096280000}"/>
    <cellStyle name="Примечание 5 11 4 3" xfId="38131" xr:uid="{DF7E0C94-A5CE-4C1E-BBBF-986C4B7F39BE}"/>
    <cellStyle name="Примечание 5 11 5" xfId="3717" xr:uid="{00000000-0005-0000-0000-000097280000}"/>
    <cellStyle name="Примечание 5 11 6" xfId="4224" xr:uid="{00000000-0005-0000-0000-000098280000}"/>
    <cellStyle name="Примечание 5 11 7" xfId="4746" xr:uid="{00000000-0005-0000-0000-000099280000}"/>
    <cellStyle name="Примечание 5 11 8" xfId="5228" xr:uid="{00000000-0005-0000-0000-00009A280000}"/>
    <cellStyle name="Примечание 5 12" xfId="913" xr:uid="{00000000-0005-0000-0000-00009B280000}"/>
    <cellStyle name="Примечание 5 12 2" xfId="1079" xr:uid="{00000000-0005-0000-0000-00009C280000}"/>
    <cellStyle name="Примечание 5 12 2 2" xfId="21755" xr:uid="{00000000-0005-0000-0000-00009D280000}"/>
    <cellStyle name="Примечание 5 12 2 2 2" xfId="38365" xr:uid="{B0E7F515-2E3D-4428-BC45-037DF02CAAA6}"/>
    <cellStyle name="Примечание 5 12 2 3" xfId="5759" xr:uid="{00000000-0005-0000-0000-00009E280000}"/>
    <cellStyle name="Примечание 5 12 2 4" xfId="23683" xr:uid="{8E947BEA-39B1-4AAF-92C1-1326E2759A10}"/>
    <cellStyle name="Примечание 5 12 3" xfId="1900" xr:uid="{00000000-0005-0000-0000-00009F280000}"/>
    <cellStyle name="Примечание 5 12 3 2" xfId="22543" xr:uid="{00000000-0005-0000-0000-0000A0280000}"/>
    <cellStyle name="Примечание 5 12 3 2 2" xfId="39022" xr:uid="{07C289F2-3F8A-4C3D-910F-8523DCBCE18C}"/>
    <cellStyle name="Примечание 5 12 3 3" xfId="6671" xr:uid="{00000000-0005-0000-0000-0000A1280000}"/>
    <cellStyle name="Примечание 5 12 3 4" xfId="24298" xr:uid="{CBCE6D9C-8D4E-4CD6-869A-73D41DE23821}"/>
    <cellStyle name="Примечание 5 12 4" xfId="2452" xr:uid="{00000000-0005-0000-0000-0000A2280000}"/>
    <cellStyle name="Примечание 5 12 4 2" xfId="21002" xr:uid="{00000000-0005-0000-0000-0000A3280000}"/>
    <cellStyle name="Примечание 5 12 4 3" xfId="37775" xr:uid="{202DCB98-E459-44B5-9C9B-92693024CC46}"/>
    <cellStyle name="Примечание 5 12 5" xfId="3149" xr:uid="{00000000-0005-0000-0000-0000A4280000}"/>
    <cellStyle name="Примечание 5 12 6" xfId="3412" xr:uid="{00000000-0005-0000-0000-0000A5280000}"/>
    <cellStyle name="Примечание 5 12 7" xfId="4419" xr:uid="{00000000-0005-0000-0000-0000A6280000}"/>
    <cellStyle name="Примечание 5 12 8" xfId="4930" xr:uid="{00000000-0005-0000-0000-0000A7280000}"/>
    <cellStyle name="Примечание 5 13" xfId="1071" xr:uid="{00000000-0005-0000-0000-0000A8280000}"/>
    <cellStyle name="Примечание 5 13 2" xfId="20944" xr:uid="{00000000-0005-0000-0000-0000A9280000}"/>
    <cellStyle name="Примечание 5 13 2 2" xfId="37721" xr:uid="{90192187-4EB4-41D7-91A0-EC2FB411F02E}"/>
    <cellStyle name="Примечание 5 13 3" xfId="5632" xr:uid="{00000000-0005-0000-0000-0000AA280000}"/>
    <cellStyle name="Примечание 5 13 4" xfId="23625" xr:uid="{73B89694-DBD3-40B2-9E08-7C14267B504D}"/>
    <cellStyle name="Примечание 5 14" xfId="1887" xr:uid="{00000000-0005-0000-0000-0000AB280000}"/>
    <cellStyle name="Примечание 5 14 2" xfId="21701" xr:uid="{00000000-0005-0000-0000-0000AC280000}"/>
    <cellStyle name="Примечание 5 14 2 2" xfId="38311" xr:uid="{C9B7C19D-ADCD-4F23-B36E-E10E4C4E641A}"/>
    <cellStyle name="Примечание 5 14 3" xfId="6619" xr:uid="{00000000-0005-0000-0000-0000AD280000}"/>
    <cellStyle name="Примечание 5 14 4" xfId="24246" xr:uid="{02AAD8D4-1BFD-483D-A505-563E9F0DDE44}"/>
    <cellStyle name="Примечание 5 15" xfId="2420" xr:uid="{00000000-0005-0000-0000-0000AE280000}"/>
    <cellStyle name="Примечание 5 15 2" xfId="22875" xr:uid="{00000000-0005-0000-0000-0000AF280000}"/>
    <cellStyle name="Примечание 5 15 3" xfId="39341" xr:uid="{DCA00587-05D3-491F-B54B-CBE7999AB1C2}"/>
    <cellStyle name="Примечание 5 16" xfId="3559" xr:uid="{00000000-0005-0000-0000-0000B0280000}"/>
    <cellStyle name="Примечание 5 16 2" xfId="7443" xr:uid="{00000000-0005-0000-0000-0000B1280000}"/>
    <cellStyle name="Примечание 5 17" xfId="3499" xr:uid="{00000000-0005-0000-0000-0000B2280000}"/>
    <cellStyle name="Примечание 5 18" xfId="3927" xr:uid="{00000000-0005-0000-0000-0000B3280000}"/>
    <cellStyle name="Примечание 5 19" xfId="4460" xr:uid="{00000000-0005-0000-0000-0000B4280000}"/>
    <cellStyle name="Примечание 5 2" xfId="246" xr:uid="{00000000-0005-0000-0000-0000B5280000}"/>
    <cellStyle name="Примечание 5 2 2" xfId="1152" xr:uid="{00000000-0005-0000-0000-0000B6280000}"/>
    <cellStyle name="Примечание 5 2 2 2" xfId="21109" xr:uid="{00000000-0005-0000-0000-0000B7280000}"/>
    <cellStyle name="Примечание 5 2 2 2 2" xfId="37833" xr:uid="{EC3200B9-13FC-445B-91DD-4C48B59B7AD6}"/>
    <cellStyle name="Примечание 5 2 2 3" xfId="5885" xr:uid="{00000000-0005-0000-0000-0000B8280000}"/>
    <cellStyle name="Примечание 5 2 2 4" xfId="23741" xr:uid="{07FDD14D-BE33-4132-A7F3-B6DF204E9D90}"/>
    <cellStyle name="Примечание 5 2 3" xfId="2223" xr:uid="{00000000-0005-0000-0000-0000B9280000}"/>
    <cellStyle name="Примечание 5 2 3 2" xfId="21813" xr:uid="{00000000-0005-0000-0000-0000BA280000}"/>
    <cellStyle name="Примечание 5 2 3 2 2" xfId="38423" xr:uid="{95567EB3-8F9F-4024-B2F7-5E97664B0728}"/>
    <cellStyle name="Примечание 5 2 3 3" xfId="6727" xr:uid="{00000000-0005-0000-0000-0000BB280000}"/>
    <cellStyle name="Примечание 5 2 3 4" xfId="24354" xr:uid="{300C5EB7-9F31-460E-80CF-1D6F729EC898}"/>
    <cellStyle name="Примечание 5 2 4" xfId="2693" xr:uid="{00000000-0005-0000-0000-0000BC280000}"/>
    <cellStyle name="Примечание 5 2 4 2" xfId="22902" xr:uid="{00000000-0005-0000-0000-0000BD280000}"/>
    <cellStyle name="Примечание 5 2 4 3" xfId="39368" xr:uid="{E0FFB01D-41FC-4E3C-AF0B-992B45231145}"/>
    <cellStyle name="Примечание 5 2 5" xfId="3549" xr:uid="{00000000-0005-0000-0000-0000BE280000}"/>
    <cellStyle name="Примечание 5 2 5 2" xfId="20370" xr:uid="{00000000-0005-0000-0000-0000BF280000}"/>
    <cellStyle name="Примечание 5 2 5 3" xfId="37305" xr:uid="{1044283B-B491-483B-8B44-D2F94FDFF5B0}"/>
    <cellStyle name="Примечание 5 2 6" xfId="3887" xr:uid="{00000000-0005-0000-0000-0000C0280000}"/>
    <cellStyle name="Примечание 5 2 7" xfId="4425" xr:uid="{00000000-0005-0000-0000-0000C1280000}"/>
    <cellStyle name="Примечание 5 2 8" xfId="4934" xr:uid="{00000000-0005-0000-0000-0000C2280000}"/>
    <cellStyle name="Примечание 5 3" xfId="251" xr:uid="{00000000-0005-0000-0000-0000C3280000}"/>
    <cellStyle name="Примечание 5 3 2" xfId="1157" xr:uid="{00000000-0005-0000-0000-0000C4280000}"/>
    <cellStyle name="Примечание 5 3 2 2" xfId="21114" xr:uid="{00000000-0005-0000-0000-0000C5280000}"/>
    <cellStyle name="Примечание 5 3 2 2 2" xfId="37838" xr:uid="{53D10591-F8D2-4695-9A2C-F9D1F27FABE5}"/>
    <cellStyle name="Примечание 5 3 2 3" xfId="5890" xr:uid="{00000000-0005-0000-0000-0000C6280000}"/>
    <cellStyle name="Примечание 5 3 2 4" xfId="23746" xr:uid="{ECCDFDC0-63B3-43FA-B7A3-29CC7B163D82}"/>
    <cellStyle name="Примечание 5 3 3" xfId="2041" xr:uid="{00000000-0005-0000-0000-0000C7280000}"/>
    <cellStyle name="Примечание 5 3 3 2" xfId="21818" xr:uid="{00000000-0005-0000-0000-0000C8280000}"/>
    <cellStyle name="Примечание 5 3 3 2 2" xfId="38428" xr:uid="{CE2ADCD9-1351-47CF-B82F-E05218C892E4}"/>
    <cellStyle name="Примечание 5 3 3 3" xfId="6732" xr:uid="{00000000-0005-0000-0000-0000C9280000}"/>
    <cellStyle name="Примечание 5 3 3 4" xfId="24359" xr:uid="{EF9D9498-55B7-4B63-93E6-A0E04047F9EB}"/>
    <cellStyle name="Примечание 5 3 4" xfId="2830" xr:uid="{00000000-0005-0000-0000-0000CA280000}"/>
    <cellStyle name="Примечание 5 3 4 2" xfId="23069" xr:uid="{00000000-0005-0000-0000-0000CB280000}"/>
    <cellStyle name="Примечание 5 3 4 3" xfId="39535" xr:uid="{B41C1930-277F-4748-A8FF-145EDCD58F47}"/>
    <cellStyle name="Примечание 5 3 5" xfId="3198" xr:uid="{00000000-0005-0000-0000-0000CC280000}"/>
    <cellStyle name="Примечание 5 3 5 2" xfId="20372" xr:uid="{00000000-0005-0000-0000-0000CD280000}"/>
    <cellStyle name="Примечание 5 3 5 3" xfId="37307" xr:uid="{3C16C353-5B82-4F7E-9464-EB6A2B5D5771}"/>
    <cellStyle name="Примечание 5 3 6" xfId="3892" xr:uid="{00000000-0005-0000-0000-0000CE280000}"/>
    <cellStyle name="Примечание 5 3 7" xfId="4430" xr:uid="{00000000-0005-0000-0000-0000CF280000}"/>
    <cellStyle name="Примечание 5 3 8" xfId="4939" xr:uid="{00000000-0005-0000-0000-0000D0280000}"/>
    <cellStyle name="Примечание 5 4" xfId="430" xr:uid="{00000000-0005-0000-0000-0000D1280000}"/>
    <cellStyle name="Примечание 5 4 2" xfId="1262" xr:uid="{00000000-0005-0000-0000-0000D2280000}"/>
    <cellStyle name="Примечание 5 4 2 2" xfId="21255" xr:uid="{00000000-0005-0000-0000-0000D3280000}"/>
    <cellStyle name="Примечание 5 4 2 2 2" xfId="37897" xr:uid="{27DC5035-72CC-4F04-8FB3-F9823C64B803}"/>
    <cellStyle name="Примечание 5 4 2 3" xfId="6018" xr:uid="{00000000-0005-0000-0000-0000D4280000}"/>
    <cellStyle name="Примечание 5 4 2 4" xfId="23805" xr:uid="{C0FC2425-AD59-47B8-B063-204E93DF6DCE}"/>
    <cellStyle name="Примечание 5 4 3" xfId="2135" xr:uid="{00000000-0005-0000-0000-0000D5280000}"/>
    <cellStyle name="Примечание 5 4 3 2" xfId="21877" xr:uid="{00000000-0005-0000-0000-0000D6280000}"/>
    <cellStyle name="Примечание 5 4 3 2 2" xfId="38487" xr:uid="{38702694-1300-4950-81EA-5AF2DFD9DC17}"/>
    <cellStyle name="Примечание 5 4 3 3" xfId="6789" xr:uid="{00000000-0005-0000-0000-0000D7280000}"/>
    <cellStyle name="Примечание 5 4 3 4" xfId="24416" xr:uid="{C2C8488F-2035-432D-9C44-70DB16A7C20E}"/>
    <cellStyle name="Примечание 5 4 4" xfId="2493" xr:uid="{00000000-0005-0000-0000-0000D8280000}"/>
    <cellStyle name="Примечание 5 4 4 2" xfId="22839" xr:uid="{00000000-0005-0000-0000-0000D9280000}"/>
    <cellStyle name="Примечание 5 4 4 3" xfId="39305" xr:uid="{FEDB7CAF-BBFE-4A1D-8779-A3A86ABD8C98}"/>
    <cellStyle name="Примечание 5 4 5" xfId="3435" xr:uid="{00000000-0005-0000-0000-0000DA280000}"/>
    <cellStyle name="Примечание 5 4 5 2" xfId="20564" xr:uid="{00000000-0005-0000-0000-0000DB280000}"/>
    <cellStyle name="Примечание 5 4 5 3" xfId="37418" xr:uid="{4E4E1CC0-D9EE-405D-9F46-954BE81D52AF}"/>
    <cellStyle name="Примечание 5 4 6" xfId="3991" xr:uid="{00000000-0005-0000-0000-0000DC280000}"/>
    <cellStyle name="Примечание 5 4 7" xfId="4514" xr:uid="{00000000-0005-0000-0000-0000DD280000}"/>
    <cellStyle name="Примечание 5 4 8" xfId="4996" xr:uid="{00000000-0005-0000-0000-0000DE280000}"/>
    <cellStyle name="Примечание 5 5" xfId="432" xr:uid="{00000000-0005-0000-0000-0000DF280000}"/>
    <cellStyle name="Примечание 5 5 2" xfId="1264" xr:uid="{00000000-0005-0000-0000-0000E0280000}"/>
    <cellStyle name="Примечание 5 5 2 2" xfId="21257" xr:uid="{00000000-0005-0000-0000-0000E1280000}"/>
    <cellStyle name="Примечание 5 5 2 2 2" xfId="37899" xr:uid="{3745F60D-8FD9-4240-B661-429B819B0B24}"/>
    <cellStyle name="Примечание 5 5 2 3" xfId="6020" xr:uid="{00000000-0005-0000-0000-0000E2280000}"/>
    <cellStyle name="Примечание 5 5 2 4" xfId="23807" xr:uid="{BC124EE1-874E-4E0F-8FC7-81C27DE5E3B3}"/>
    <cellStyle name="Примечание 5 5 3" xfId="2071" xr:uid="{00000000-0005-0000-0000-0000E3280000}"/>
    <cellStyle name="Примечание 5 5 3 2" xfId="21879" xr:uid="{00000000-0005-0000-0000-0000E4280000}"/>
    <cellStyle name="Примечание 5 5 3 2 2" xfId="38489" xr:uid="{EEA6A4C8-7D7F-4D9B-9DDE-3281AF7C44F1}"/>
    <cellStyle name="Примечание 5 5 3 3" xfId="6791" xr:uid="{00000000-0005-0000-0000-0000E5280000}"/>
    <cellStyle name="Примечание 5 5 3 4" xfId="24418" xr:uid="{BE2D21A9-557D-43D6-862D-DB6EEC6081F2}"/>
    <cellStyle name="Примечание 5 5 4" xfId="2858" xr:uid="{00000000-0005-0000-0000-0000E6280000}"/>
    <cellStyle name="Примечание 5 5 4 2" xfId="22732" xr:uid="{00000000-0005-0000-0000-0000E7280000}"/>
    <cellStyle name="Примечание 5 5 4 3" xfId="39201" xr:uid="{549F9D67-0718-4E77-8317-EA4E89A3609D}"/>
    <cellStyle name="Примечание 5 5 5" xfId="3814" xr:uid="{00000000-0005-0000-0000-0000E8280000}"/>
    <cellStyle name="Примечание 5 5 5 2" xfId="20527" xr:uid="{00000000-0005-0000-0000-0000E9280000}"/>
    <cellStyle name="Примечание 5 5 5 3" xfId="37407" xr:uid="{521F39D4-BE44-474D-9760-E8CCEE8DA862}"/>
    <cellStyle name="Примечание 5 5 6" xfId="3993" xr:uid="{00000000-0005-0000-0000-0000EA280000}"/>
    <cellStyle name="Примечание 5 5 7" xfId="4516" xr:uid="{00000000-0005-0000-0000-0000EB280000}"/>
    <cellStyle name="Примечание 5 5 8" xfId="4998" xr:uid="{00000000-0005-0000-0000-0000EC280000}"/>
    <cellStyle name="Примечание 5 6" xfId="531" xr:uid="{00000000-0005-0000-0000-0000ED280000}"/>
    <cellStyle name="Примечание 5 6 2" xfId="1363" xr:uid="{00000000-0005-0000-0000-0000EE280000}"/>
    <cellStyle name="Примечание 5 6 2 2" xfId="21356" xr:uid="{00000000-0005-0000-0000-0000EF280000}"/>
    <cellStyle name="Примечание 5 6 2 2 2" xfId="37998" xr:uid="{1338A122-2827-4138-ABEA-B0499B06B401}"/>
    <cellStyle name="Примечание 5 6 2 3" xfId="6119" xr:uid="{00000000-0005-0000-0000-0000F0280000}"/>
    <cellStyle name="Примечание 5 6 2 4" xfId="23906" xr:uid="{8F4E8604-F263-450A-BFBA-6F6737D7AA4C}"/>
    <cellStyle name="Примечание 5 6 3" xfId="2099" xr:uid="{00000000-0005-0000-0000-0000F1280000}"/>
    <cellStyle name="Примечание 5 6 3 2" xfId="21978" xr:uid="{00000000-0005-0000-0000-0000F2280000}"/>
    <cellStyle name="Примечание 5 6 3 2 2" xfId="38588" xr:uid="{EED8EE03-99C6-4E35-AFD8-78BAB1B98A81}"/>
    <cellStyle name="Примечание 5 6 3 3" xfId="6888" xr:uid="{00000000-0005-0000-0000-0000F3280000}"/>
    <cellStyle name="Примечание 5 6 3 4" xfId="24515" xr:uid="{0ECD7B1F-7895-4443-80BA-F28595749339}"/>
    <cellStyle name="Примечание 5 6 4" xfId="2795" xr:uid="{00000000-0005-0000-0000-0000F4280000}"/>
    <cellStyle name="Примечание 5 6 4 2" xfId="22627" xr:uid="{00000000-0005-0000-0000-0000F5280000}"/>
    <cellStyle name="Примечание 5 6 4 3" xfId="39100" xr:uid="{CE092AAE-FD0E-4D8D-A794-0601851A4D8B}"/>
    <cellStyle name="Примечание 5 6 5" xfId="3107" xr:uid="{00000000-0005-0000-0000-0000F6280000}"/>
    <cellStyle name="Примечание 5 6 5 2" xfId="20684" xr:uid="{00000000-0005-0000-0000-0000F7280000}"/>
    <cellStyle name="Примечание 5 6 5 3" xfId="37513" xr:uid="{8A5973F5-997E-4F19-B459-28605AE5FA96}"/>
    <cellStyle name="Примечание 5 6 6" xfId="4091" xr:uid="{00000000-0005-0000-0000-0000F8280000}"/>
    <cellStyle name="Примечание 5 6 7" xfId="4613" xr:uid="{00000000-0005-0000-0000-0000F9280000}"/>
    <cellStyle name="Примечание 5 6 8" xfId="5095" xr:uid="{00000000-0005-0000-0000-0000FA280000}"/>
    <cellStyle name="Примечание 5 7" xfId="583" xr:uid="{00000000-0005-0000-0000-0000FB280000}"/>
    <cellStyle name="Примечание 5 7 2" xfId="1415" xr:uid="{00000000-0005-0000-0000-0000FC280000}"/>
    <cellStyle name="Примечание 5 7 2 2" xfId="21408" xr:uid="{00000000-0005-0000-0000-0000FD280000}"/>
    <cellStyle name="Примечание 5 7 2 2 2" xfId="38050" xr:uid="{D62BB999-6F35-48A5-8247-100C15BF1A06}"/>
    <cellStyle name="Примечание 5 7 2 3" xfId="6171" xr:uid="{00000000-0005-0000-0000-0000FE280000}"/>
    <cellStyle name="Примечание 5 7 2 4" xfId="23958" xr:uid="{63178E82-1D81-4D23-9673-F399F5D8942D}"/>
    <cellStyle name="Примечание 5 7 3" xfId="1925" xr:uid="{00000000-0005-0000-0000-0000FF280000}"/>
    <cellStyle name="Примечание 5 7 3 2" xfId="22030" xr:uid="{00000000-0005-0000-0000-000000290000}"/>
    <cellStyle name="Примечание 5 7 3 2 2" xfId="38640" xr:uid="{1926585B-0C18-49C6-BC3E-47A663428432}"/>
    <cellStyle name="Примечание 5 7 3 3" xfId="6940" xr:uid="{00000000-0005-0000-0000-000001290000}"/>
    <cellStyle name="Примечание 5 7 3 4" xfId="24567" xr:uid="{9E011169-FBFA-445F-BA5E-8D918439DE7F}"/>
    <cellStyle name="Примечание 5 7 4" xfId="2731" xr:uid="{00000000-0005-0000-0000-000002290000}"/>
    <cellStyle name="Примечание 5 7 4 2" xfId="22586" xr:uid="{00000000-0005-0000-0000-000003290000}"/>
    <cellStyle name="Примечание 5 7 4 3" xfId="39062" xr:uid="{3257050E-F6A5-4AE0-9494-9B43A7DA53B0}"/>
    <cellStyle name="Примечание 5 7 5" xfId="3288" xr:uid="{00000000-0005-0000-0000-000004290000}"/>
    <cellStyle name="Примечание 5 7 5 2" xfId="20749" xr:uid="{00000000-0005-0000-0000-000005290000}"/>
    <cellStyle name="Примечание 5 7 5 3" xfId="37565" xr:uid="{E044EFEE-9AC6-4314-9BBB-A859B471B6F4}"/>
    <cellStyle name="Примечание 5 7 6" xfId="4143" xr:uid="{00000000-0005-0000-0000-000006290000}"/>
    <cellStyle name="Примечание 5 7 7" xfId="4665" xr:uid="{00000000-0005-0000-0000-000007290000}"/>
    <cellStyle name="Примечание 5 7 8" xfId="5147" xr:uid="{00000000-0005-0000-0000-000008290000}"/>
    <cellStyle name="Примечание 5 8" xfId="676" xr:uid="{00000000-0005-0000-0000-000009290000}"/>
    <cellStyle name="Примечание 5 8 2" xfId="1506" xr:uid="{00000000-0005-0000-0000-00000A290000}"/>
    <cellStyle name="Примечание 5 8 2 2" xfId="21499" xr:uid="{00000000-0005-0000-0000-00000B290000}"/>
    <cellStyle name="Примечание 5 8 2 2 2" xfId="38141" xr:uid="{B3D59D83-2303-4DC4-B97C-9B428725CB75}"/>
    <cellStyle name="Примечание 5 8 2 3" xfId="6262" xr:uid="{00000000-0005-0000-0000-00000C290000}"/>
    <cellStyle name="Примечание 5 8 2 4" xfId="24049" xr:uid="{2D5F5191-B2D8-4E27-A00E-E87781D4277D}"/>
    <cellStyle name="Примечание 5 8 3" xfId="2181" xr:uid="{00000000-0005-0000-0000-00000D290000}"/>
    <cellStyle name="Примечание 5 8 3 2" xfId="22121" xr:uid="{00000000-0005-0000-0000-00000E290000}"/>
    <cellStyle name="Примечание 5 8 3 2 2" xfId="38731" xr:uid="{27E3AA53-7A85-404B-B92A-7885CE9FA85C}"/>
    <cellStyle name="Примечание 5 8 3 3" xfId="7031" xr:uid="{00000000-0005-0000-0000-00000F290000}"/>
    <cellStyle name="Примечание 5 8 3 4" xfId="24658" xr:uid="{E4C3CB26-2956-4168-92F3-BCA63E403616}"/>
    <cellStyle name="Примечание 5 8 4" xfId="2702" xr:uid="{00000000-0005-0000-0000-000010290000}"/>
    <cellStyle name="Примечание 5 8 4 2" xfId="22698" xr:uid="{00000000-0005-0000-0000-000011290000}"/>
    <cellStyle name="Примечание 5 8 4 3" xfId="39169" xr:uid="{D2A5B1F2-3EF5-4397-A87D-847B168E24F5}"/>
    <cellStyle name="Примечание 5 8 5" xfId="3821" xr:uid="{00000000-0005-0000-0000-000012290000}"/>
    <cellStyle name="Примечание 5 8 5 2" xfId="20814" xr:uid="{00000000-0005-0000-0000-000013290000}"/>
    <cellStyle name="Примечание 5 8 5 3" xfId="37617" xr:uid="{45D8C0D1-482E-49A0-BA7B-3D2E40567DB8}"/>
    <cellStyle name="Примечание 5 8 6" xfId="4235" xr:uid="{00000000-0005-0000-0000-000014290000}"/>
    <cellStyle name="Примечание 5 8 7" xfId="4757" xr:uid="{00000000-0005-0000-0000-000015290000}"/>
    <cellStyle name="Примечание 5 8 8" xfId="5238" xr:uid="{00000000-0005-0000-0000-000016290000}"/>
    <cellStyle name="Примечание 5 9" xfId="636" xr:uid="{00000000-0005-0000-0000-000017290000}"/>
    <cellStyle name="Примечание 5 9 2" xfId="1468" xr:uid="{00000000-0005-0000-0000-000018290000}"/>
    <cellStyle name="Примечание 5 9 2 2" xfId="21461" xr:uid="{00000000-0005-0000-0000-000019290000}"/>
    <cellStyle name="Примечание 5 9 2 2 2" xfId="38103" xr:uid="{3FF7E434-A9C1-4D88-8245-5DD249AE8A0A}"/>
    <cellStyle name="Примечание 5 9 2 3" xfId="6224" xr:uid="{00000000-0005-0000-0000-00001A290000}"/>
    <cellStyle name="Примечание 5 9 2 4" xfId="24011" xr:uid="{00B93377-484E-411A-8B20-B30504FB60CC}"/>
    <cellStyle name="Примечание 5 9 3" xfId="2234" xr:uid="{00000000-0005-0000-0000-00001B290000}"/>
    <cellStyle name="Примечание 5 9 3 2" xfId="22083" xr:uid="{00000000-0005-0000-0000-00001C290000}"/>
    <cellStyle name="Примечание 5 9 3 2 2" xfId="38693" xr:uid="{0ACEF79E-8D56-40AD-9A14-C3F3BDEAF8C2}"/>
    <cellStyle name="Примечание 5 9 3 3" xfId="6993" xr:uid="{00000000-0005-0000-0000-00001D290000}"/>
    <cellStyle name="Примечание 5 9 3 4" xfId="24620" xr:uid="{F5544DC1-9416-40AC-8BE7-1C92D9D821A7}"/>
    <cellStyle name="Примечание 5 9 4" xfId="2430" xr:uid="{00000000-0005-0000-0000-00001E290000}"/>
    <cellStyle name="Примечание 5 9 4 2" xfId="22913" xr:uid="{00000000-0005-0000-0000-00001F290000}"/>
    <cellStyle name="Примечание 5 9 4 3" xfId="39379" xr:uid="{C94270F8-FF95-4BDB-A083-AA5A88B26686}"/>
    <cellStyle name="Примечание 5 9 5" xfId="3563" xr:uid="{00000000-0005-0000-0000-000020290000}"/>
    <cellStyle name="Примечание 5 9 5 2" xfId="20879" xr:uid="{00000000-0005-0000-0000-000021290000}"/>
    <cellStyle name="Примечание 5 9 5 3" xfId="37669" xr:uid="{937B534E-0AC2-413C-A3F9-DD8F27DE1487}"/>
    <cellStyle name="Примечание 5 9 6" xfId="4196" xr:uid="{00000000-0005-0000-0000-000022290000}"/>
    <cellStyle name="Примечание 5 9 7" xfId="4718" xr:uid="{00000000-0005-0000-0000-000023290000}"/>
    <cellStyle name="Примечание 5 9 8" xfId="5200" xr:uid="{00000000-0005-0000-0000-000024290000}"/>
    <cellStyle name="Примечание 6" xfId="215" xr:uid="{00000000-0005-0000-0000-000025290000}"/>
    <cellStyle name="Примечание 6 10" xfId="742" xr:uid="{00000000-0005-0000-0000-000026290000}"/>
    <cellStyle name="Примечание 6 10 2" xfId="1572" xr:uid="{00000000-0005-0000-0000-000027290000}"/>
    <cellStyle name="Примечание 6 10 2 2" xfId="21565" xr:uid="{00000000-0005-0000-0000-000028290000}"/>
    <cellStyle name="Примечание 6 10 2 2 2" xfId="38207" xr:uid="{F2D1E097-8061-4C1D-A06C-C978CFDA88A8}"/>
    <cellStyle name="Примечание 6 10 2 3" xfId="6328" xr:uid="{00000000-0005-0000-0000-000029290000}"/>
    <cellStyle name="Примечание 6 10 2 4" xfId="24115" xr:uid="{19565A69-E481-4FE5-A6E4-76039463BF4B}"/>
    <cellStyle name="Примечание 6 10 3" xfId="1958" xr:uid="{00000000-0005-0000-0000-00002A290000}"/>
    <cellStyle name="Примечание 6 10 3 2" xfId="22187" xr:uid="{00000000-0005-0000-0000-00002B290000}"/>
    <cellStyle name="Примечание 6 10 3 2 2" xfId="38797" xr:uid="{E1EB9040-9086-4363-B783-32BD871A0E7D}"/>
    <cellStyle name="Примечание 6 10 3 3" xfId="7097" xr:uid="{00000000-0005-0000-0000-00002C290000}"/>
    <cellStyle name="Примечание 6 10 3 4" xfId="24724" xr:uid="{46331B4C-2036-4DDB-A237-97677496BA4F}"/>
    <cellStyle name="Примечание 6 10 4" xfId="2936" xr:uid="{00000000-0005-0000-0000-00002D290000}"/>
    <cellStyle name="Примечание 6 10 4 2" xfId="22809" xr:uid="{00000000-0005-0000-0000-00002E290000}"/>
    <cellStyle name="Примечание 6 10 4 3" xfId="39275" xr:uid="{19538928-04FC-426B-8D23-4FE08B614FE9}"/>
    <cellStyle name="Примечание 6 10 5" xfId="3245" xr:uid="{00000000-0005-0000-0000-00002F290000}"/>
    <cellStyle name="Примечание 6 10 5 2" xfId="20881" xr:uid="{00000000-0005-0000-0000-000030290000}"/>
    <cellStyle name="Примечание 6 10 5 3" xfId="37671" xr:uid="{AF2BDE34-34D7-4846-AC9F-2117B5368A47}"/>
    <cellStyle name="Примечание 6 10 6" xfId="4301" xr:uid="{00000000-0005-0000-0000-000031290000}"/>
    <cellStyle name="Примечание 6 10 7" xfId="4823" xr:uid="{00000000-0005-0000-0000-000032290000}"/>
    <cellStyle name="Примечание 6 10 8" xfId="5304" xr:uid="{00000000-0005-0000-0000-000033290000}"/>
    <cellStyle name="Примечание 6 11" xfId="869" xr:uid="{00000000-0005-0000-0000-000034290000}"/>
    <cellStyle name="Примечание 6 11 2" xfId="2211" xr:uid="{00000000-0005-0000-0000-000035290000}"/>
    <cellStyle name="Примечание 6 11 2 2" xfId="21783" xr:uid="{00000000-0005-0000-0000-000036290000}"/>
    <cellStyle name="Примечание 6 11 2 2 2" xfId="38393" xr:uid="{4814F135-A5A3-45B2-B4F9-4EDCDD7258B9}"/>
    <cellStyle name="Примечание 6 11 2 3" xfId="5855" xr:uid="{00000000-0005-0000-0000-000037290000}"/>
    <cellStyle name="Примечание 6 11 2 4" xfId="23711" xr:uid="{49525B2F-BEEE-45E3-A24C-0F756F298E14}"/>
    <cellStyle name="Примечание 6 11 3" xfId="2563" xr:uid="{00000000-0005-0000-0000-000038290000}"/>
    <cellStyle name="Примечание 6 11 3 2" xfId="22871" xr:uid="{00000000-0005-0000-0000-000039290000}"/>
    <cellStyle name="Примечание 6 11 3 2 2" xfId="39337" xr:uid="{908C1A87-A3BA-4BB6-A25C-7DF0DD620AE5}"/>
    <cellStyle name="Примечание 6 11 3 3" xfId="6699" xr:uid="{00000000-0005-0000-0000-00003A290000}"/>
    <cellStyle name="Примечание 6 11 3 4" xfId="24326" xr:uid="{50136983-8926-487D-A73B-C08105EDB565}"/>
    <cellStyle name="Примечание 6 11 4" xfId="3514" xr:uid="{00000000-0005-0000-0000-00003B290000}"/>
    <cellStyle name="Примечание 6 11 4 2" xfId="21079" xr:uid="{00000000-0005-0000-0000-00003C290000}"/>
    <cellStyle name="Примечание 6 11 4 3" xfId="37803" xr:uid="{314AF853-B6D8-467F-83EF-6B98DEDA6616}"/>
    <cellStyle name="Примечание 6 11 5" xfId="3340" xr:uid="{00000000-0005-0000-0000-00003D290000}"/>
    <cellStyle name="Примечание 6 11 6" xfId="3670" xr:uid="{00000000-0005-0000-0000-00003E290000}"/>
    <cellStyle name="Примечание 6 11 7" xfId="3826" xr:uid="{00000000-0005-0000-0000-00003F290000}"/>
    <cellStyle name="Примечание 6 12" xfId="1976" xr:uid="{00000000-0005-0000-0000-000040290000}"/>
    <cellStyle name="Примечание 6 12 2" xfId="20946" xr:uid="{00000000-0005-0000-0000-000041290000}"/>
    <cellStyle name="Примечание 6 12 2 2" xfId="37723" xr:uid="{F0164ED7-D506-457F-A1D6-B78544B7CDCC}"/>
    <cellStyle name="Примечание 6 12 3" xfId="5649" xr:uid="{00000000-0005-0000-0000-000042290000}"/>
    <cellStyle name="Примечание 6 12 4" xfId="23627" xr:uid="{DE0A9576-F555-463C-AE95-90F3D2AC07D5}"/>
    <cellStyle name="Примечание 6 13" xfId="2483" xr:uid="{00000000-0005-0000-0000-000043290000}"/>
    <cellStyle name="Примечание 6 13 2" xfId="21703" xr:uid="{00000000-0005-0000-0000-000044290000}"/>
    <cellStyle name="Примечание 6 13 2 2" xfId="38313" xr:uid="{6C8BDA7F-A79A-45EC-A886-3C1CC0668172}"/>
    <cellStyle name="Примечание 6 13 3" xfId="6621" xr:uid="{00000000-0005-0000-0000-000045290000}"/>
    <cellStyle name="Примечание 6 13 4" xfId="24248" xr:uid="{CD45B489-B0E5-40B9-9A6B-56556210B2FB}"/>
    <cellStyle name="Примечание 6 14" xfId="2997" xr:uid="{00000000-0005-0000-0000-000046290000}"/>
    <cellStyle name="Примечание 6 14 2" xfId="22507" xr:uid="{00000000-0005-0000-0000-000047290000}"/>
    <cellStyle name="Примечание 6 14 3" xfId="38999" xr:uid="{24917505-FCE0-4F76-84DB-F52CAEA7C548}"/>
    <cellStyle name="Примечание 6 15" xfId="3735" xr:uid="{00000000-0005-0000-0000-000048290000}"/>
    <cellStyle name="Примечание 6 15 2" xfId="7312" xr:uid="{00000000-0005-0000-0000-000049290000}"/>
    <cellStyle name="Примечание 6 15 3" xfId="24844" xr:uid="{1DC79471-D34E-4907-A8CE-FEDB883F40B7}"/>
    <cellStyle name="Примечание 6 16" xfId="3910" xr:uid="{00000000-0005-0000-0000-00004A290000}"/>
    <cellStyle name="Примечание 6 17" xfId="4445" xr:uid="{00000000-0005-0000-0000-00004B290000}"/>
    <cellStyle name="Примечание 6 2" xfId="268" xr:uid="{00000000-0005-0000-0000-00004C290000}"/>
    <cellStyle name="Примечание 6 2 2" xfId="978" xr:uid="{00000000-0005-0000-0000-00004D290000}"/>
    <cellStyle name="Примечание 6 2 2 2" xfId="21131" xr:uid="{00000000-0005-0000-0000-00004E290000}"/>
    <cellStyle name="Примечание 6 2 2 2 2" xfId="37840" xr:uid="{7F8E8304-2809-4D09-B4D7-C544AE524DBC}"/>
    <cellStyle name="Примечание 6 2 2 3" xfId="5907" xr:uid="{00000000-0005-0000-0000-00004F290000}"/>
    <cellStyle name="Примечание 6 2 2 4" xfId="23748" xr:uid="{AC352BB7-D874-49E0-84CF-9B2707F5139D}"/>
    <cellStyle name="Примечание 6 2 3" xfId="2163" xr:uid="{00000000-0005-0000-0000-000050290000}"/>
    <cellStyle name="Примечание 6 2 3 2" xfId="21820" xr:uid="{00000000-0005-0000-0000-000051290000}"/>
    <cellStyle name="Примечание 6 2 3 2 2" xfId="38430" xr:uid="{CEEAC7B7-A175-44C0-8C0C-F35DAC6B2696}"/>
    <cellStyle name="Примечание 6 2 3 3" xfId="6734" xr:uid="{00000000-0005-0000-0000-000052290000}"/>
    <cellStyle name="Примечание 6 2 3 4" xfId="24361" xr:uid="{B33E5A01-7789-43C2-922F-93B71D9A1F62}"/>
    <cellStyle name="Примечание 6 2 4" xfId="2717" xr:uid="{00000000-0005-0000-0000-000053290000}"/>
    <cellStyle name="Примечание 6 2 4 2" xfId="22932" xr:uid="{00000000-0005-0000-0000-000054290000}"/>
    <cellStyle name="Примечание 6 2 4 3" xfId="39398" xr:uid="{298E47D2-0709-43C5-82DF-5973CA55E372}"/>
    <cellStyle name="Примечание 6 2 5" xfId="3591" xr:uid="{00000000-0005-0000-0000-000055290000}"/>
    <cellStyle name="Примечание 6 2 5 2" xfId="14028" xr:uid="{00000000-0005-0000-0000-000056290000}"/>
    <cellStyle name="Примечание 6 2 5 3" xfId="31067" xr:uid="{CD970611-7F56-4769-922B-3738823DEACF}"/>
    <cellStyle name="Примечание 6 2 6" xfId="3904" xr:uid="{00000000-0005-0000-0000-000057290000}"/>
    <cellStyle name="Примечание 6 2 7" xfId="4440" xr:uid="{00000000-0005-0000-0000-000058290000}"/>
    <cellStyle name="Примечание 6 2 8" xfId="4941" xr:uid="{00000000-0005-0000-0000-000059290000}"/>
    <cellStyle name="Примечание 6 3" xfId="434" xr:uid="{00000000-0005-0000-0000-00005A290000}"/>
    <cellStyle name="Примечание 6 3 2" xfId="1266" xr:uid="{00000000-0005-0000-0000-00005B290000}"/>
    <cellStyle name="Примечание 6 3 2 2" xfId="21259" xr:uid="{00000000-0005-0000-0000-00005C290000}"/>
    <cellStyle name="Примечание 6 3 2 2 2" xfId="37901" xr:uid="{3E8D67AE-ED74-4542-9132-C7686DE9A220}"/>
    <cellStyle name="Примечание 6 3 2 3" xfId="6022" xr:uid="{00000000-0005-0000-0000-00005D290000}"/>
    <cellStyle name="Примечание 6 3 2 4" xfId="23809" xr:uid="{8765B576-A631-43AC-91BB-8DA8066B2439}"/>
    <cellStyle name="Примечание 6 3 3" xfId="1979" xr:uid="{00000000-0005-0000-0000-00005E290000}"/>
    <cellStyle name="Примечание 6 3 3 2" xfId="21881" xr:uid="{00000000-0005-0000-0000-00005F290000}"/>
    <cellStyle name="Примечание 6 3 3 2 2" xfId="38491" xr:uid="{89FE37EC-C49A-4E21-BEAE-F30FCAA53ECD}"/>
    <cellStyle name="Примечание 6 3 3 3" xfId="6793" xr:uid="{00000000-0005-0000-0000-000060290000}"/>
    <cellStyle name="Примечание 6 3 3 4" xfId="24420" xr:uid="{C5E9D087-E9F4-49C3-AC4B-BB291B70CFCF}"/>
    <cellStyle name="Примечание 6 3 4" xfId="2768" xr:uid="{00000000-0005-0000-0000-000061290000}"/>
    <cellStyle name="Примечание 6 3 4 2" xfId="22628" xr:uid="{00000000-0005-0000-0000-000062290000}"/>
    <cellStyle name="Примечание 6 3 4 3" xfId="39101" xr:uid="{C76C707A-21B4-49BE-8140-44EC4C5D96FA}"/>
    <cellStyle name="Примечание 6 3 5" xfId="3108" xr:uid="{00000000-0005-0000-0000-000063290000}"/>
    <cellStyle name="Примечание 6 3 5 2" xfId="20377" xr:uid="{00000000-0005-0000-0000-000064290000}"/>
    <cellStyle name="Примечание 6 3 5 3" xfId="37312" xr:uid="{5A94F01F-6C64-47F2-AAB5-D13B8AB786C5}"/>
    <cellStyle name="Примечание 6 3 6" xfId="3995" xr:uid="{00000000-0005-0000-0000-000065290000}"/>
    <cellStyle name="Примечание 6 3 7" xfId="4518" xr:uid="{00000000-0005-0000-0000-000066290000}"/>
    <cellStyle name="Примечание 6 3 8" xfId="5000" xr:uid="{00000000-0005-0000-0000-000067290000}"/>
    <cellStyle name="Примечание 6 4" xfId="418" xr:uid="{00000000-0005-0000-0000-000068290000}"/>
    <cellStyle name="Примечание 6 4 2" xfId="1251" xr:uid="{00000000-0005-0000-0000-000069290000}"/>
    <cellStyle name="Примечание 6 4 2 2" xfId="21244" xr:uid="{00000000-0005-0000-0000-00006A290000}"/>
    <cellStyle name="Примечание 6 4 2 2 2" xfId="37886" xr:uid="{6E40B8ED-1D64-4553-A943-D0A65EE137A5}"/>
    <cellStyle name="Примечание 6 4 2 3" xfId="6007" xr:uid="{00000000-0005-0000-0000-00006B290000}"/>
    <cellStyle name="Примечание 6 4 2 4" xfId="23794" xr:uid="{1A2141E6-9358-4532-819D-CC156AE445CC}"/>
    <cellStyle name="Примечание 6 4 3" xfId="2257" xr:uid="{00000000-0005-0000-0000-00006C290000}"/>
    <cellStyle name="Примечание 6 4 3 2" xfId="21866" xr:uid="{00000000-0005-0000-0000-00006D290000}"/>
    <cellStyle name="Примечание 6 4 3 2 2" xfId="38476" xr:uid="{93A3545C-DED3-46FF-80E3-3DA2DD43B872}"/>
    <cellStyle name="Примечание 6 4 3 3" xfId="6780" xr:uid="{00000000-0005-0000-0000-00006E290000}"/>
    <cellStyle name="Примечание 6 4 3 4" xfId="24407" xr:uid="{0E3888F9-AE96-4909-BCB8-D5CE9758D130}"/>
    <cellStyle name="Примечание 6 4 4" xfId="2481" xr:uid="{00000000-0005-0000-0000-00006F290000}"/>
    <cellStyle name="Примечание 6 4 4 2" xfId="22948" xr:uid="{00000000-0005-0000-0000-000070290000}"/>
    <cellStyle name="Примечание 6 4 4 3" xfId="39414" xr:uid="{3193972F-E677-4331-9E7D-A540C4BF8054}"/>
    <cellStyle name="Примечание 6 4 5" xfId="3610" xr:uid="{00000000-0005-0000-0000-000071290000}"/>
    <cellStyle name="Примечание 6 4 5 2" xfId="20467" xr:uid="{00000000-0005-0000-0000-000072290000}"/>
    <cellStyle name="Примечание 6 4 5 3" xfId="37359" xr:uid="{E8EB0D72-395E-452F-A418-874D4F5A50D6}"/>
    <cellStyle name="Примечание 6 4 6" xfId="3981" xr:uid="{00000000-0005-0000-0000-000073290000}"/>
    <cellStyle name="Примечание 6 4 7" xfId="4505" xr:uid="{00000000-0005-0000-0000-000074290000}"/>
    <cellStyle name="Примечание 6 4 8" xfId="4987" xr:uid="{00000000-0005-0000-0000-000075290000}"/>
    <cellStyle name="Примечание 6 5" xfId="533" xr:uid="{00000000-0005-0000-0000-000076290000}"/>
    <cellStyle name="Примечание 6 5 2" xfId="1365" xr:uid="{00000000-0005-0000-0000-000077290000}"/>
    <cellStyle name="Примечание 6 5 2 2" xfId="21358" xr:uid="{00000000-0005-0000-0000-000078290000}"/>
    <cellStyle name="Примечание 6 5 2 2 2" xfId="38000" xr:uid="{3394B319-C493-4A9B-83EC-753DB48089C5}"/>
    <cellStyle name="Примечание 6 5 2 3" xfId="6121" xr:uid="{00000000-0005-0000-0000-000079290000}"/>
    <cellStyle name="Примечание 6 5 2 4" xfId="23908" xr:uid="{BF0ACBCC-17E7-4229-8CB5-07A49ED8EFD2}"/>
    <cellStyle name="Примечание 6 5 3" xfId="2036" xr:uid="{00000000-0005-0000-0000-00007A290000}"/>
    <cellStyle name="Примечание 6 5 3 2" xfId="21980" xr:uid="{00000000-0005-0000-0000-00007B290000}"/>
    <cellStyle name="Примечание 6 5 3 2 2" xfId="38590" xr:uid="{72E6A62B-5D80-482B-80A4-8F633E9F270B}"/>
    <cellStyle name="Примечание 6 5 3 3" xfId="6890" xr:uid="{00000000-0005-0000-0000-00007C290000}"/>
    <cellStyle name="Примечание 6 5 3 4" xfId="24517" xr:uid="{0C989EDF-3563-4883-9477-8ECA3334D9E4}"/>
    <cellStyle name="Примечание 6 5 4" xfId="2825" xr:uid="{00000000-0005-0000-0000-00007D290000}"/>
    <cellStyle name="Примечание 6 5 4 2" xfId="22703" xr:uid="{00000000-0005-0000-0000-00007E290000}"/>
    <cellStyle name="Примечание 6 5 4 3" xfId="39174" xr:uid="{18E692F8-F063-4A8C-A69F-F01ACE035EF9}"/>
    <cellStyle name="Примечание 6 5 5" xfId="3786" xr:uid="{00000000-0005-0000-0000-00007F290000}"/>
    <cellStyle name="Примечание 6 5 5 2" xfId="20572" xr:uid="{00000000-0005-0000-0000-000080290000}"/>
    <cellStyle name="Примечание 6 5 5 3" xfId="37425" xr:uid="{662420BA-7DAA-413D-ACAC-85DB2BB59F2C}"/>
    <cellStyle name="Примечание 6 5 6" xfId="4093" xr:uid="{00000000-0005-0000-0000-000081290000}"/>
    <cellStyle name="Примечание 6 5 7" xfId="4615" xr:uid="{00000000-0005-0000-0000-000082290000}"/>
    <cellStyle name="Примечание 6 5 8" xfId="5097" xr:uid="{00000000-0005-0000-0000-000083290000}"/>
    <cellStyle name="Примечание 6 6" xfId="585" xr:uid="{00000000-0005-0000-0000-000084290000}"/>
    <cellStyle name="Примечание 6 6 2" xfId="1417" xr:uid="{00000000-0005-0000-0000-000085290000}"/>
    <cellStyle name="Примечание 6 6 2 2" xfId="21410" xr:uid="{00000000-0005-0000-0000-000086290000}"/>
    <cellStyle name="Примечание 6 6 2 2 2" xfId="38052" xr:uid="{F7708111-CB6C-4BE1-9EF2-4109B5ABE1F6}"/>
    <cellStyle name="Примечание 6 6 2 3" xfId="6173" xr:uid="{00000000-0005-0000-0000-000087290000}"/>
    <cellStyle name="Примечание 6 6 2 4" xfId="23960" xr:uid="{B117C77A-D6FF-4013-86AA-D3EDE1347C3E}"/>
    <cellStyle name="Примечание 6 6 3" xfId="1816" xr:uid="{00000000-0005-0000-0000-000088290000}"/>
    <cellStyle name="Примечание 6 6 3 2" xfId="22032" xr:uid="{00000000-0005-0000-0000-000089290000}"/>
    <cellStyle name="Примечание 6 6 3 2 2" xfId="38642" xr:uid="{C6D3CF20-F6BC-40BF-A99C-D69A0FE7BD38}"/>
    <cellStyle name="Примечание 6 6 3 3" xfId="6942" xr:uid="{00000000-0005-0000-0000-00008A290000}"/>
    <cellStyle name="Примечание 6 6 3 4" xfId="24569" xr:uid="{FDABD3E3-8A54-4D69-852E-6F0853576695}"/>
    <cellStyle name="Примечание 6 6 4" xfId="2670" xr:uid="{00000000-0005-0000-0000-00008B290000}"/>
    <cellStyle name="Примечание 6 6 4 2" xfId="23072" xr:uid="{00000000-0005-0000-0000-00008C290000}"/>
    <cellStyle name="Примечание 6 6 4 3" xfId="39538" xr:uid="{EA0F55BC-3B7E-4999-9979-FD39FC27485A}"/>
    <cellStyle name="Примечание 6 6 5" xfId="3794" xr:uid="{00000000-0005-0000-0000-00008D290000}"/>
    <cellStyle name="Примечание 6 6 5 2" xfId="20526" xr:uid="{00000000-0005-0000-0000-00008E290000}"/>
    <cellStyle name="Примечание 6 6 5 3" xfId="37406" xr:uid="{E8444F26-FE14-4F0C-83C8-191480D9A935}"/>
    <cellStyle name="Примечание 6 6 6" xfId="4145" xr:uid="{00000000-0005-0000-0000-00008F290000}"/>
    <cellStyle name="Примечание 6 6 7" xfId="4667" xr:uid="{00000000-0005-0000-0000-000090290000}"/>
    <cellStyle name="Примечание 6 6 8" xfId="5149" xr:uid="{00000000-0005-0000-0000-000091290000}"/>
    <cellStyle name="Примечание 6 7" xfId="681" xr:uid="{00000000-0005-0000-0000-000092290000}"/>
    <cellStyle name="Примечание 6 7 2" xfId="1511" xr:uid="{00000000-0005-0000-0000-000093290000}"/>
    <cellStyle name="Примечание 6 7 2 2" xfId="21504" xr:uid="{00000000-0005-0000-0000-000094290000}"/>
    <cellStyle name="Примечание 6 7 2 2 2" xfId="38146" xr:uid="{084116F6-0E9F-40FF-83DF-459A1B9F8A91}"/>
    <cellStyle name="Примечание 6 7 2 3" xfId="6267" xr:uid="{00000000-0005-0000-0000-000095290000}"/>
    <cellStyle name="Примечание 6 7 2 4" xfId="24054" xr:uid="{348E1BDE-81D4-492D-A824-DBA9C6A682F1}"/>
    <cellStyle name="Примечание 6 7 3" xfId="1882" xr:uid="{00000000-0005-0000-0000-000096290000}"/>
    <cellStyle name="Примечание 6 7 3 2" xfId="22126" xr:uid="{00000000-0005-0000-0000-000097290000}"/>
    <cellStyle name="Примечание 6 7 3 2 2" xfId="38736" xr:uid="{F1C49D41-4DA9-443A-B45B-3A4FBF117AE1}"/>
    <cellStyle name="Примечание 6 7 3 3" xfId="7036" xr:uid="{00000000-0005-0000-0000-000098290000}"/>
    <cellStyle name="Примечание 6 7 3 4" xfId="24663" xr:uid="{6C60CA30-EB33-4B86-B0DB-155CEC9A967A}"/>
    <cellStyle name="Примечание 6 7 4" xfId="2465" xr:uid="{00000000-0005-0000-0000-000099290000}"/>
    <cellStyle name="Примечание 6 7 4 2" xfId="22941" xr:uid="{00000000-0005-0000-0000-00009A290000}"/>
    <cellStyle name="Примечание 6 7 4 3" xfId="39407" xr:uid="{4196E1D1-AD01-498D-B739-F9C4119897EC}"/>
    <cellStyle name="Примечание 6 7 5" xfId="3601" xr:uid="{00000000-0005-0000-0000-00009B290000}"/>
    <cellStyle name="Примечание 6 7 5 2" xfId="20686" xr:uid="{00000000-0005-0000-0000-00009C290000}"/>
    <cellStyle name="Примечание 6 7 5 3" xfId="37515" xr:uid="{36ED86FE-A784-4B1D-AAA5-D3EF12C1303B}"/>
    <cellStyle name="Примечание 6 7 6" xfId="4240" xr:uid="{00000000-0005-0000-0000-00009D290000}"/>
    <cellStyle name="Примечание 6 7 7" xfId="4762" xr:uid="{00000000-0005-0000-0000-00009E290000}"/>
    <cellStyle name="Примечание 6 7 8" xfId="5243" xr:uid="{00000000-0005-0000-0000-00009F290000}"/>
    <cellStyle name="Примечание 6 8" xfId="651" xr:uid="{00000000-0005-0000-0000-0000A0290000}"/>
    <cellStyle name="Примечание 6 8 2" xfId="1483" xr:uid="{00000000-0005-0000-0000-0000A1290000}"/>
    <cellStyle name="Примечание 6 8 2 2" xfId="21476" xr:uid="{00000000-0005-0000-0000-0000A2290000}"/>
    <cellStyle name="Примечание 6 8 2 2 2" xfId="38118" xr:uid="{B1BE63DF-3F3D-4A8D-9807-31A5387FCD33}"/>
    <cellStyle name="Примечание 6 8 2 3" xfId="6239" xr:uid="{00000000-0005-0000-0000-0000A3290000}"/>
    <cellStyle name="Примечание 6 8 2 4" xfId="24026" xr:uid="{70F65EA6-343B-4362-8F3C-F13E50CB5F2B}"/>
    <cellStyle name="Примечание 6 8 3" xfId="1977" xr:uid="{00000000-0005-0000-0000-0000A4290000}"/>
    <cellStyle name="Примечание 6 8 3 2" xfId="22098" xr:uid="{00000000-0005-0000-0000-0000A5290000}"/>
    <cellStyle name="Примечание 6 8 3 2 2" xfId="38708" xr:uid="{3079F087-F316-4856-A701-A1126183DBC5}"/>
    <cellStyle name="Примечание 6 8 3 3" xfId="7008" xr:uid="{00000000-0005-0000-0000-0000A6290000}"/>
    <cellStyle name="Примечание 6 8 3 4" xfId="24635" xr:uid="{4CA7541F-ADD7-43FB-B7F2-1A3552AE1F91}"/>
    <cellStyle name="Примечание 6 8 4" xfId="2766" xr:uid="{00000000-0005-0000-0000-0000A7290000}"/>
    <cellStyle name="Примечание 6 8 4 2" xfId="22626" xr:uid="{00000000-0005-0000-0000-0000A8290000}"/>
    <cellStyle name="Примечание 6 8 4 3" xfId="39099" xr:uid="{4349934D-374A-41F2-946D-EE62CE601B56}"/>
    <cellStyle name="Примечание 6 8 5" xfId="3106" xr:uid="{00000000-0005-0000-0000-0000A9290000}"/>
    <cellStyle name="Примечание 6 8 5 2" xfId="20751" xr:uid="{00000000-0005-0000-0000-0000AA290000}"/>
    <cellStyle name="Примечание 6 8 5 3" xfId="37567" xr:uid="{F6C1437D-096F-4F5B-8C4B-A1AFAAC4BE4D}"/>
    <cellStyle name="Примечание 6 8 6" xfId="4211" xr:uid="{00000000-0005-0000-0000-0000AB290000}"/>
    <cellStyle name="Примечание 6 8 7" xfId="4733" xr:uid="{00000000-0005-0000-0000-0000AC290000}"/>
    <cellStyle name="Примечание 6 8 8" xfId="5215" xr:uid="{00000000-0005-0000-0000-0000AD290000}"/>
    <cellStyle name="Примечание 6 9" xfId="683" xr:uid="{00000000-0005-0000-0000-0000AE290000}"/>
    <cellStyle name="Примечание 6 9 2" xfId="1513" xr:uid="{00000000-0005-0000-0000-0000AF290000}"/>
    <cellStyle name="Примечание 6 9 2 2" xfId="21506" xr:uid="{00000000-0005-0000-0000-0000B0290000}"/>
    <cellStyle name="Примечание 6 9 2 2 2" xfId="38148" xr:uid="{231A2842-9B70-4CAF-8407-1353671FD321}"/>
    <cellStyle name="Примечание 6 9 2 3" xfId="6269" xr:uid="{00000000-0005-0000-0000-0000B1290000}"/>
    <cellStyle name="Примечание 6 9 2 4" xfId="24056" xr:uid="{36D7EB9F-CA86-4B68-97C0-86F38DAF1B61}"/>
    <cellStyle name="Примечание 6 9 3" xfId="1724" xr:uid="{00000000-0005-0000-0000-0000B2290000}"/>
    <cellStyle name="Примечание 6 9 3 2" xfId="22128" xr:uid="{00000000-0005-0000-0000-0000B3290000}"/>
    <cellStyle name="Примечание 6 9 3 2 2" xfId="38738" xr:uid="{49FEACF5-F66C-4422-9859-C7AE34690C9B}"/>
    <cellStyle name="Примечание 6 9 3 3" xfId="7038" xr:uid="{00000000-0005-0000-0000-0000B4290000}"/>
    <cellStyle name="Примечание 6 9 3 4" xfId="24665" xr:uid="{FA3DBFF6-6753-43CA-881F-B7D2A2E70473}"/>
    <cellStyle name="Примечание 6 9 4" xfId="2393" xr:uid="{00000000-0005-0000-0000-0000B5290000}"/>
    <cellStyle name="Примечание 6 9 4 2" xfId="22872" xr:uid="{00000000-0005-0000-0000-0000B6290000}"/>
    <cellStyle name="Примечание 6 9 4 3" xfId="39338" xr:uid="{6882F998-AD6D-427E-BA2F-9901BEC6CD05}"/>
    <cellStyle name="Примечание 6 9 5" xfId="3516" xr:uid="{00000000-0005-0000-0000-0000B7290000}"/>
    <cellStyle name="Примечание 6 9 5 2" xfId="20816" xr:uid="{00000000-0005-0000-0000-0000B8290000}"/>
    <cellStyle name="Примечание 6 9 5 3" xfId="37619" xr:uid="{40AE408F-21AA-46CC-BF1B-920DE8FCAF62}"/>
    <cellStyle name="Примечание 6 9 6" xfId="4242" xr:uid="{00000000-0005-0000-0000-0000B9290000}"/>
    <cellStyle name="Примечание 6 9 7" xfId="4764" xr:uid="{00000000-0005-0000-0000-0000BA290000}"/>
    <cellStyle name="Примечание 6 9 8" xfId="5245" xr:uid="{00000000-0005-0000-0000-0000BB290000}"/>
    <cellStyle name="Примечание 7" xfId="1232" xr:uid="{00000000-0005-0000-0000-0000BC290000}"/>
    <cellStyle name="Примечание 7 2" xfId="6006" xr:uid="{00000000-0005-0000-0000-0000BD290000}"/>
    <cellStyle name="Примечание 7 3" xfId="21225" xr:uid="{00000000-0005-0000-0000-0000BE290000}"/>
    <cellStyle name="Примечание 8" xfId="1673" xr:uid="{00000000-0005-0000-0000-0000BF290000}"/>
    <cellStyle name="Примечание 8 2" xfId="6429" xr:uid="{00000000-0005-0000-0000-0000C0290000}"/>
    <cellStyle name="Примечание 8 3" xfId="21665" xr:uid="{00000000-0005-0000-0000-0000C1290000}"/>
    <cellStyle name="Примечание 9" xfId="2305" xr:uid="{00000000-0005-0000-0000-0000C2290000}"/>
    <cellStyle name="Примечание 9 2" xfId="6450" xr:uid="{00000000-0005-0000-0000-0000C3290000}"/>
    <cellStyle name="Примечание 9 3" xfId="22390" xr:uid="{00000000-0005-0000-0000-0000C4290000}"/>
    <cellStyle name="Процентный 2" xfId="137" xr:uid="{00000000-0005-0000-0000-0000C5290000}"/>
    <cellStyle name="Процентный 2 2" xfId="150" xr:uid="{00000000-0005-0000-0000-0000C6290000}"/>
    <cellStyle name="Процентный 2 2 2" xfId="169" xr:uid="{00000000-0005-0000-0000-0000C7290000}"/>
    <cellStyle name="Процентный 2 2 2 2" xfId="318" xr:uid="{00000000-0005-0000-0000-0000C8290000}"/>
    <cellStyle name="Процентный 2 2 2 2 2" xfId="1206" xr:uid="{00000000-0005-0000-0000-0000C9290000}"/>
    <cellStyle name="Процентный 2 2 2 2 2 2" xfId="5949" xr:uid="{00000000-0005-0000-0000-0000CA290000}"/>
    <cellStyle name="Процентный 2 2 2 2 2 3" xfId="13998" xr:uid="{00000000-0005-0000-0000-0000CB290000}"/>
    <cellStyle name="Процентный 2 2 2 2 3" xfId="5693" xr:uid="{00000000-0005-0000-0000-0000CC290000}"/>
    <cellStyle name="Процентный 2 2 2 2 4" xfId="7780" xr:uid="{00000000-0005-0000-0000-0000CD290000}"/>
    <cellStyle name="Процентный 2 2 2 3" xfId="1122" xr:uid="{00000000-0005-0000-0000-0000CE290000}"/>
    <cellStyle name="Процентный 2 2 2 3 2" xfId="5814" xr:uid="{00000000-0005-0000-0000-0000CF290000}"/>
    <cellStyle name="Процентный 2 2 2 3 3" xfId="21038" xr:uid="{00000000-0005-0000-0000-0000D0290000}"/>
    <cellStyle name="Процентный 2 2 2 4" xfId="5591" xr:uid="{00000000-0005-0000-0000-0000D1290000}"/>
    <cellStyle name="Процентный 2 2 2 5" xfId="7386" xr:uid="{00000000-0005-0000-0000-0000D2290000}"/>
    <cellStyle name="Процентный 2 2 3" xfId="186" xr:uid="{00000000-0005-0000-0000-0000D3290000}"/>
    <cellStyle name="Процентный 2 2 3 2" xfId="334" xr:uid="{00000000-0005-0000-0000-0000D4290000}"/>
    <cellStyle name="Процентный 2 2 3 2 2" xfId="1217" xr:uid="{00000000-0005-0000-0000-0000D5290000}"/>
    <cellStyle name="Процентный 2 2 3 2 2 2" xfId="5965" xr:uid="{00000000-0005-0000-0000-0000D6290000}"/>
    <cellStyle name="Процентный 2 2 3 2 2 3" xfId="21185" xr:uid="{00000000-0005-0000-0000-0000D7290000}"/>
    <cellStyle name="Процентный 2 2 3 2 3" xfId="5709" xr:uid="{00000000-0005-0000-0000-0000D8290000}"/>
    <cellStyle name="Процентный 2 2 3 2 4" xfId="20425" xr:uid="{00000000-0005-0000-0000-0000D9290000}"/>
    <cellStyle name="Процентный 2 2 3 3" xfId="1132" xr:uid="{00000000-0005-0000-0000-0000DA290000}"/>
    <cellStyle name="Процентный 2 2 3 3 2" xfId="5829" xr:uid="{00000000-0005-0000-0000-0000DB290000}"/>
    <cellStyle name="Процентный 2 2 3 3 3" xfId="21053" xr:uid="{00000000-0005-0000-0000-0000DC290000}"/>
    <cellStyle name="Процентный 2 2 3 4" xfId="5606" xr:uid="{00000000-0005-0000-0000-0000DD290000}"/>
    <cellStyle name="Процентный 2 2 3 5" xfId="7401" xr:uid="{00000000-0005-0000-0000-0000DE290000}"/>
    <cellStyle name="Процентный 2 2 4" xfId="206" xr:uid="{00000000-0005-0000-0000-0000DF290000}"/>
    <cellStyle name="Процентный 2 2 4 2" xfId="354" xr:uid="{00000000-0005-0000-0000-0000E0290000}"/>
    <cellStyle name="Процентный 2 2 4 2 2" xfId="1227" xr:uid="{00000000-0005-0000-0000-0000E1290000}"/>
    <cellStyle name="Процентный 2 2 4 2 2 2" xfId="5983" xr:uid="{00000000-0005-0000-0000-0000E2290000}"/>
    <cellStyle name="Процентный 2 2 4 2 2 3" xfId="21202" xr:uid="{00000000-0005-0000-0000-0000E3290000}"/>
    <cellStyle name="Процентный 2 2 4 2 3" xfId="5727" xr:uid="{00000000-0005-0000-0000-0000E4290000}"/>
    <cellStyle name="Процентный 2 2 4 2 4" xfId="20443" xr:uid="{00000000-0005-0000-0000-0000E5290000}"/>
    <cellStyle name="Процентный 2 2 4 3" xfId="1142" xr:uid="{00000000-0005-0000-0000-0000E6290000}"/>
    <cellStyle name="Процентный 2 2 4 3 2" xfId="5847" xr:uid="{00000000-0005-0000-0000-0000E7290000}"/>
    <cellStyle name="Процентный 2 2 4 3 3" xfId="21071" xr:uid="{00000000-0005-0000-0000-0000E8290000}"/>
    <cellStyle name="Процентный 2 2 4 4" xfId="5624" xr:uid="{00000000-0005-0000-0000-0000E9290000}"/>
    <cellStyle name="Процентный 2 2 4 5" xfId="7419" xr:uid="{00000000-0005-0000-0000-0000EA290000}"/>
    <cellStyle name="Процентный 2 2 5" xfId="302" xr:uid="{00000000-0005-0000-0000-0000EB290000}"/>
    <cellStyle name="Процентный 2 2 5 2" xfId="1196" xr:uid="{00000000-0005-0000-0000-0000EC290000}"/>
    <cellStyle name="Процентный 2 2 5 2 2" xfId="5934" xr:uid="{00000000-0005-0000-0000-0000ED290000}"/>
    <cellStyle name="Процентный 2 2 5 2 3" xfId="21157" xr:uid="{00000000-0005-0000-0000-0000EE290000}"/>
    <cellStyle name="Процентный 2 2 5 3" xfId="5678" xr:uid="{00000000-0005-0000-0000-0000EF290000}"/>
    <cellStyle name="Процентный 2 2 5 4" xfId="7455" xr:uid="{00000000-0005-0000-0000-0000F0290000}"/>
    <cellStyle name="Процентный 2 2 6" xfId="934" xr:uid="{00000000-0005-0000-0000-0000F1290000}"/>
    <cellStyle name="Процентный 2 2 6 2" xfId="5800" xr:uid="{00000000-0005-0000-0000-0000F2290000}"/>
    <cellStyle name="Процентный 2 2 6 3" xfId="7470" xr:uid="{00000000-0005-0000-0000-0000F3290000}"/>
    <cellStyle name="Процентный 2 2 7" xfId="5576" xr:uid="{00000000-0005-0000-0000-0000F4290000}"/>
    <cellStyle name="Процентный 2 2 7 2" xfId="7779" xr:uid="{00000000-0005-0000-0000-0000F5290000}"/>
    <cellStyle name="Процентный 2 2 8" xfId="7258" xr:uid="{00000000-0005-0000-0000-0000F6290000}"/>
    <cellStyle name="Процентный 2 3" xfId="157" xr:uid="{00000000-0005-0000-0000-0000F7290000}"/>
    <cellStyle name="Процентный 2 3 2" xfId="308" xr:uid="{00000000-0005-0000-0000-0000F8290000}"/>
    <cellStyle name="Процентный 2 3 2 2" xfId="1201" xr:uid="{00000000-0005-0000-0000-0000F9290000}"/>
    <cellStyle name="Процентный 2 3 2 2 2" xfId="5939" xr:uid="{00000000-0005-0000-0000-0000FA290000}"/>
    <cellStyle name="Процентный 2 3 2 2 3" xfId="21162" xr:uid="{00000000-0005-0000-0000-0000FB290000}"/>
    <cellStyle name="Процентный 2 3 2 3" xfId="5683" xr:uid="{00000000-0005-0000-0000-0000FC290000}"/>
    <cellStyle name="Процентный 2 3 2 4" xfId="20401" xr:uid="{00000000-0005-0000-0000-0000FD290000}"/>
    <cellStyle name="Процентный 2 3 3" xfId="1117" xr:uid="{00000000-0005-0000-0000-0000FE290000}"/>
    <cellStyle name="Процентный 2 3 3 2" xfId="5804" xr:uid="{00000000-0005-0000-0000-0000FF290000}"/>
    <cellStyle name="Процентный 2 3 3 3" xfId="21028" xr:uid="{00000000-0005-0000-0000-0000002A0000}"/>
    <cellStyle name="Процентный 2 3 4" xfId="5581" xr:uid="{00000000-0005-0000-0000-0000012A0000}"/>
    <cellStyle name="Процентный 2 3 5" xfId="7248" xr:uid="{00000000-0005-0000-0000-0000022A0000}"/>
    <cellStyle name="Процентный 2 4" xfId="176" xr:uid="{00000000-0005-0000-0000-0000032A0000}"/>
    <cellStyle name="Процентный 2 4 2" xfId="324" xr:uid="{00000000-0005-0000-0000-0000042A0000}"/>
    <cellStyle name="Процентный 2 4 2 2" xfId="1212" xr:uid="{00000000-0005-0000-0000-0000052A0000}"/>
    <cellStyle name="Процентный 2 4 2 2 2" xfId="5955" xr:uid="{00000000-0005-0000-0000-0000062A0000}"/>
    <cellStyle name="Процентный 2 4 2 2 3" xfId="21176" xr:uid="{00000000-0005-0000-0000-0000072A0000}"/>
    <cellStyle name="Процентный 2 4 2 3" xfId="5699" xr:uid="{00000000-0005-0000-0000-0000082A0000}"/>
    <cellStyle name="Процентный 2 4 2 4" xfId="20415" xr:uid="{00000000-0005-0000-0000-0000092A0000}"/>
    <cellStyle name="Процентный 2 4 3" xfId="1127" xr:uid="{00000000-0005-0000-0000-00000A2A0000}"/>
    <cellStyle name="Процентный 2 4 3 2" xfId="5819" xr:uid="{00000000-0005-0000-0000-00000B2A0000}"/>
    <cellStyle name="Процентный 2 4 3 3" xfId="21043" xr:uid="{00000000-0005-0000-0000-00000C2A0000}"/>
    <cellStyle name="Процентный 2 4 4" xfId="5596" xr:uid="{00000000-0005-0000-0000-00000D2A0000}"/>
    <cellStyle name="Процентный 2 4 5" xfId="7391" xr:uid="{00000000-0005-0000-0000-00000E2A0000}"/>
    <cellStyle name="Процентный 2 5" xfId="198" xr:uid="{00000000-0005-0000-0000-00000F2A0000}"/>
    <cellStyle name="Процентный 2 5 2" xfId="346" xr:uid="{00000000-0005-0000-0000-0000102A0000}"/>
    <cellStyle name="Процентный 2 5 2 2" xfId="1222" xr:uid="{00000000-0005-0000-0000-0000112A0000}"/>
    <cellStyle name="Процентный 2 5 2 2 2" xfId="5975" xr:uid="{00000000-0005-0000-0000-0000122A0000}"/>
    <cellStyle name="Процентный 2 5 2 2 3" xfId="21195" xr:uid="{00000000-0005-0000-0000-0000132A0000}"/>
    <cellStyle name="Процентный 2 5 2 3" xfId="5719" xr:uid="{00000000-0005-0000-0000-0000142A0000}"/>
    <cellStyle name="Процентный 2 5 2 4" xfId="20435" xr:uid="{00000000-0005-0000-0000-0000152A0000}"/>
    <cellStyle name="Процентный 2 5 3" xfId="1137" xr:uid="{00000000-0005-0000-0000-0000162A0000}"/>
    <cellStyle name="Процентный 2 5 3 2" xfId="5839" xr:uid="{00000000-0005-0000-0000-0000172A0000}"/>
    <cellStyle name="Процентный 2 5 3 3" xfId="21063" xr:uid="{00000000-0005-0000-0000-0000182A0000}"/>
    <cellStyle name="Процентный 2 5 4" xfId="5616" xr:uid="{00000000-0005-0000-0000-0000192A0000}"/>
    <cellStyle name="Процентный 2 5 5" xfId="7411" xr:uid="{00000000-0005-0000-0000-00001A2A0000}"/>
    <cellStyle name="Процентный 2 6" xfId="294" xr:uid="{00000000-0005-0000-0000-00001B2A0000}"/>
    <cellStyle name="Процентный 2 6 2" xfId="1189" xr:uid="{00000000-0005-0000-0000-00001C2A0000}"/>
    <cellStyle name="Процентный 2 6 2 2" xfId="5927" xr:uid="{00000000-0005-0000-0000-00001D2A0000}"/>
    <cellStyle name="Процентный 2 6 2 3" xfId="21150" xr:uid="{00000000-0005-0000-0000-00001E2A0000}"/>
    <cellStyle name="Процентный 2 6 3" xfId="5671" xr:uid="{00000000-0005-0000-0000-00001F2A0000}"/>
    <cellStyle name="Процентный 2 6 4" xfId="7447" xr:uid="{00000000-0005-0000-0000-0000202A0000}"/>
    <cellStyle name="Процентный 2 7" xfId="924" xr:uid="{00000000-0005-0000-0000-0000212A0000}"/>
    <cellStyle name="Процентный 2 7 2" xfId="5793" xr:uid="{00000000-0005-0000-0000-0000222A0000}"/>
    <cellStyle name="Процентный 2 7 3" xfId="7461" xr:uid="{00000000-0005-0000-0000-0000232A0000}"/>
    <cellStyle name="Процентный 2 8" xfId="5569" xr:uid="{00000000-0005-0000-0000-0000242A0000}"/>
    <cellStyle name="Процентный 2 8 2" xfId="7778" xr:uid="{00000000-0005-0000-0000-0000252A0000}"/>
    <cellStyle name="Процентный 2 9" xfId="7243" xr:uid="{00000000-0005-0000-0000-0000262A0000}"/>
    <cellStyle name="Процентный 3" xfId="1042" xr:uid="{00000000-0005-0000-0000-0000272A0000}"/>
    <cellStyle name="Связанная ячейка" xfId="388" builtinId="24" customBuiltin="1"/>
    <cellStyle name="Связанная ячейка 2" xfId="104" xr:uid="{00000000-0005-0000-0000-0000292A0000}"/>
    <cellStyle name="Связанная ячейка 2 2" xfId="7354" xr:uid="{00000000-0005-0000-0000-00002A2A0000}"/>
    <cellStyle name="Связанная ячейка 2 3" xfId="7239" xr:uid="{00000000-0005-0000-0000-00002B2A0000}"/>
    <cellStyle name="Связанная ячейка 3" xfId="54" xr:uid="{00000000-0005-0000-0000-00002C2A0000}"/>
    <cellStyle name="Текст предупреждения" xfId="390" builtinId="11" customBuiltin="1"/>
    <cellStyle name="Текст предупреждения 2" xfId="105" xr:uid="{00000000-0005-0000-0000-00002E2A0000}"/>
    <cellStyle name="Текст предупреждения 2 2" xfId="7355" xr:uid="{00000000-0005-0000-0000-00002F2A0000}"/>
    <cellStyle name="Текст предупреждения 2 3" xfId="7240" xr:uid="{00000000-0005-0000-0000-0000302A0000}"/>
    <cellStyle name="Текст предупреждения 3" xfId="55" xr:uid="{00000000-0005-0000-0000-0000312A0000}"/>
    <cellStyle name="Тысячи [0]_Birga" xfId="7781" xr:uid="{00000000-0005-0000-0000-0000322A0000}"/>
    <cellStyle name="Тысячи_Birga" xfId="7782" xr:uid="{00000000-0005-0000-0000-0000332A0000}"/>
    <cellStyle name="Финансовый" xfId="2" builtinId="3"/>
    <cellStyle name="Финансовый [0] 2" xfId="7783" xr:uid="{00000000-0005-0000-0000-0000352A0000}"/>
    <cellStyle name="Финансовый [0] 2 2" xfId="7784" xr:uid="{00000000-0005-0000-0000-0000362A0000}"/>
    <cellStyle name="Финансовый 10" xfId="425" xr:uid="{00000000-0005-0000-0000-0000372A0000}"/>
    <cellStyle name="Финансовый 11" xfId="671" xr:uid="{00000000-0005-0000-0000-0000382A0000}"/>
    <cellStyle name="Финансовый 12" xfId="662" xr:uid="{00000000-0005-0000-0000-0000392A0000}"/>
    <cellStyle name="Финансовый 13" xfId="754" xr:uid="{00000000-0005-0000-0000-00003A2A0000}"/>
    <cellStyle name="Финансовый 14" xfId="842" xr:uid="{00000000-0005-0000-0000-00003B2A0000}"/>
    <cellStyle name="Финансовый 14 10" xfId="22462" xr:uid="{00000000-0005-0000-0000-00003C2A0000}"/>
    <cellStyle name="Финансовый 14 10 2" xfId="38954" xr:uid="{3F1C2E1B-4F66-4B61-8532-F5CC9F448199}"/>
    <cellStyle name="Финансовый 14 11" xfId="22647" xr:uid="{00000000-0005-0000-0000-00003D2A0000}"/>
    <cellStyle name="Финансовый 14 11 2" xfId="39119" xr:uid="{BAC93FAE-7F87-42AE-AA33-A7A94DD2441B}"/>
    <cellStyle name="Финансовый 14 12" xfId="23145" xr:uid="{00000000-0005-0000-0000-00003E2A0000}"/>
    <cellStyle name="Финансовый 14 12 2" xfId="39591" xr:uid="{5B639104-6A9F-4ADC-BD60-1DE3992E68C6}"/>
    <cellStyle name="Финансовый 14 13" xfId="23190" xr:uid="{00000000-0005-0000-0000-00003F2A0000}"/>
    <cellStyle name="Финансовый 14 13 2" xfId="39617" xr:uid="{6B19BE9C-F95C-46EE-96F9-DBF690A661DB}"/>
    <cellStyle name="Финансовый 14 14" xfId="23475" xr:uid="{00000000-0005-0000-0000-0000402A0000}"/>
    <cellStyle name="Финансовый 14 14 2" xfId="39873" xr:uid="{91972294-4F99-48F3-97F5-899AB69771D2}"/>
    <cellStyle name="Финансовый 14 15" xfId="23547" xr:uid="{00000000-0005-0000-0000-0000412A0000}"/>
    <cellStyle name="Финансовый 14 15 2" xfId="39891" xr:uid="{6BD286DA-CD72-4D6E-9D58-F9564B57C3CF}"/>
    <cellStyle name="Финансовый 14 16" xfId="7785" xr:uid="{00000000-0005-0000-0000-0000422A0000}"/>
    <cellStyle name="Финансовый 14 17" xfId="5415" xr:uid="{00000000-0005-0000-0000-0000432A0000}"/>
    <cellStyle name="Финансовый 14 18" xfId="23569" xr:uid="{6243D93B-E8AC-4B3B-BA2F-CBFBE9BCFDDD}"/>
    <cellStyle name="Финансовый 14 2" xfId="1077" xr:uid="{00000000-0005-0000-0000-0000442A0000}"/>
    <cellStyle name="Финансовый 14 2 2" xfId="20993" xr:uid="{00000000-0005-0000-0000-0000452A0000}"/>
    <cellStyle name="Финансовый 14 2 2 2" xfId="37769" xr:uid="{D48D614F-AE2F-46A6-9EFE-A6A69C116B74}"/>
    <cellStyle name="Финансовый 14 2 3" xfId="5750" xr:uid="{00000000-0005-0000-0000-0000462A0000}"/>
    <cellStyle name="Финансовый 14 2 4" xfId="23674" xr:uid="{D1BE533E-0895-4A96-9A48-6136A9DC9641}"/>
    <cellStyle name="Финансовый 14 3" xfId="1857" xr:uid="{00000000-0005-0000-0000-0000472A0000}"/>
    <cellStyle name="Финансовый 14 3 2" xfId="21749" xr:uid="{00000000-0005-0000-0000-0000482A0000}"/>
    <cellStyle name="Финансовый 14 3 3" xfId="38359" xr:uid="{EB8EFB3E-F8CA-4A12-B757-3CE814830284}"/>
    <cellStyle name="Финансовый 14 4" xfId="2501" xr:uid="{00000000-0005-0000-0000-0000492A0000}"/>
    <cellStyle name="Финансовый 14 4 2" xfId="22302" xr:uid="{00000000-0005-0000-0000-00004A2A0000}"/>
    <cellStyle name="Финансовый 14 4 3" xfId="38897" xr:uid="{491751A4-CED7-440B-A8D1-A2091DEBCAF6}"/>
    <cellStyle name="Финансовый 14 5" xfId="3227" xr:uid="{00000000-0005-0000-0000-00004B2A0000}"/>
    <cellStyle name="Финансовый 14 5 2" xfId="22335" xr:uid="{00000000-0005-0000-0000-00004C2A0000}"/>
    <cellStyle name="Финансовый 14 5 3" xfId="38906" xr:uid="{BE649D69-BA64-40B7-B5FF-E35F9002A42F}"/>
    <cellStyle name="Финансовый 14 6" xfId="22357" xr:uid="{00000000-0005-0000-0000-00004D2A0000}"/>
    <cellStyle name="Финансовый 14 6 2" xfId="38915" xr:uid="{FC384FC0-D318-45A7-AEDF-B34001760617}"/>
    <cellStyle name="Финансовый 14 7" xfId="22379" xr:uid="{00000000-0005-0000-0000-00004E2A0000}"/>
    <cellStyle name="Финансовый 14 7 2" xfId="38924" xr:uid="{EFEB2950-4A2D-4E0B-960D-FDC9E78CD4A8}"/>
    <cellStyle name="Финансовый 14 8" xfId="22416" xr:uid="{00000000-0005-0000-0000-00004F2A0000}"/>
    <cellStyle name="Финансовый 14 8 2" xfId="38934" xr:uid="{4AB49B01-C849-4201-ACEE-F883C44BEDB0}"/>
    <cellStyle name="Финансовый 14 9" xfId="22439" xr:uid="{00000000-0005-0000-0000-0000502A0000}"/>
    <cellStyle name="Финансовый 14 9 2" xfId="38944" xr:uid="{92712C4D-B06A-49D3-BEDD-526B14834DAA}"/>
    <cellStyle name="Финансовый 15" xfId="1672" xr:uid="{00000000-0005-0000-0000-0000512A0000}"/>
    <cellStyle name="Финансовый 15 10" xfId="22470" xr:uid="{00000000-0005-0000-0000-0000522A0000}"/>
    <cellStyle name="Финансовый 15 10 2" xfId="38962" xr:uid="{3AC1F5F5-35D3-4773-94A2-85856CB77C2A}"/>
    <cellStyle name="Финансовый 15 11" xfId="23083" xr:uid="{00000000-0005-0000-0000-0000532A0000}"/>
    <cellStyle name="Финансовый 15 11 2" xfId="39549" xr:uid="{2D74BA11-2B49-4DDD-A377-D216444B47DD}"/>
    <cellStyle name="Финансовый 15 12" xfId="23163" xr:uid="{00000000-0005-0000-0000-0000542A0000}"/>
    <cellStyle name="Финансовый 15 12 2" xfId="39603" xr:uid="{B9DCB3DA-C096-4464-A4AD-C6DEE82F3093}"/>
    <cellStyle name="Финансовый 15 13" xfId="23440" xr:uid="{00000000-0005-0000-0000-0000552A0000}"/>
    <cellStyle name="Финансовый 15 13 2" xfId="39867" xr:uid="{138A338E-B22E-4BF3-B56D-47629881D611}"/>
    <cellStyle name="Финансовый 15 14" xfId="23483" xr:uid="{00000000-0005-0000-0000-0000562A0000}"/>
    <cellStyle name="Финансовый 15 14 2" xfId="39881" xr:uid="{929DEFD7-1F8B-42F4-B311-B3E8CF043B1E}"/>
    <cellStyle name="Финансовый 15 15" xfId="23555" xr:uid="{00000000-0005-0000-0000-0000572A0000}"/>
    <cellStyle name="Финансовый 15 15 2" xfId="39899" xr:uid="{44EA4248-871B-48DF-948C-68F18F0351E4}"/>
    <cellStyle name="Финансовый 15 16" xfId="7786" xr:uid="{00000000-0005-0000-0000-0000582A0000}"/>
    <cellStyle name="Финансовый 15 17" xfId="5423" xr:uid="{00000000-0005-0000-0000-0000592A0000}"/>
    <cellStyle name="Финансовый 15 18" xfId="23577" xr:uid="{E0CAAB5E-B6E9-4613-BB8E-67B573B23CAB}"/>
    <cellStyle name="Финансовый 15 2" xfId="2285" xr:uid="{00000000-0005-0000-0000-00005A2A0000}"/>
    <cellStyle name="Финансовый 15 2 2" xfId="21664" xr:uid="{00000000-0005-0000-0000-00005B2A0000}"/>
    <cellStyle name="Финансовый 15 2 2 2" xfId="38306" xr:uid="{0C346B27-A259-49E1-A040-6014709C3E0E}"/>
    <cellStyle name="Финансовый 15 2 3" xfId="6428" xr:uid="{00000000-0005-0000-0000-00005C2A0000}"/>
    <cellStyle name="Финансовый 15 2 4" xfId="24214" xr:uid="{0C5F5FA4-443E-40A2-BABE-2955D84870F3}"/>
    <cellStyle name="Финансовый 15 3" xfId="2916" xr:uid="{00000000-0005-0000-0000-00005D2A0000}"/>
    <cellStyle name="Финансовый 15 3 2" xfId="22286" xr:uid="{00000000-0005-0000-0000-00005E2A0000}"/>
    <cellStyle name="Финансовый 15 3 3" xfId="38896" xr:uid="{4B336FB3-E5C9-4D23-BA08-8284409D9D56}"/>
    <cellStyle name="Финансовый 15 4" xfId="3835" xr:uid="{00000000-0005-0000-0000-00005F2A0000}"/>
    <cellStyle name="Финансовый 15 4 2" xfId="22321" xr:uid="{00000000-0005-0000-0000-0000602A0000}"/>
    <cellStyle name="Финансовый 15 4 3" xfId="38905" xr:uid="{616AC59A-5A85-4D12-97C5-26A4A169B81F}"/>
    <cellStyle name="Финансовый 15 5" xfId="22343" xr:uid="{00000000-0005-0000-0000-0000612A0000}"/>
    <cellStyle name="Финансовый 15 5 2" xfId="38914" xr:uid="{050DC87A-12D0-4AEC-9045-D327E38291CA}"/>
    <cellStyle name="Финансовый 15 6" xfId="22365" xr:uid="{00000000-0005-0000-0000-0000622A0000}"/>
    <cellStyle name="Финансовый 15 6 2" xfId="38923" xr:uid="{A98D9096-3174-4BFA-90F6-DC9AC3BD5B2D}"/>
    <cellStyle name="Финансовый 15 7" xfId="22387" xr:uid="{00000000-0005-0000-0000-0000632A0000}"/>
    <cellStyle name="Финансовый 15 7 2" xfId="38932" xr:uid="{BECF0B36-3BD8-419D-B32C-2D55563D5CC6}"/>
    <cellStyle name="Финансовый 15 8" xfId="22424" xr:uid="{00000000-0005-0000-0000-0000642A0000}"/>
    <cellStyle name="Финансовый 15 8 2" xfId="38942" xr:uid="{BDBE5851-75CA-45B7-9BEB-6557C87BA84F}"/>
    <cellStyle name="Финансовый 15 9" xfId="22447" xr:uid="{00000000-0005-0000-0000-0000652A0000}"/>
    <cellStyle name="Финансовый 15 9 2" xfId="38952" xr:uid="{988F973A-3A88-417E-AE50-3BDB757BFB13}"/>
    <cellStyle name="Финансовый 16" xfId="1109" xr:uid="{00000000-0005-0000-0000-0000662A0000}"/>
    <cellStyle name="Финансовый 16 10" xfId="23556" xr:uid="{00000000-0005-0000-0000-0000672A0000}"/>
    <cellStyle name="Финансовый 16 10 2" xfId="39900" xr:uid="{4FDA268B-9E5C-4BA3-8C6E-6720793D6E0F}"/>
    <cellStyle name="Финансовый 16 11" xfId="7787" xr:uid="{00000000-0005-0000-0000-0000682A0000}"/>
    <cellStyle name="Финансовый 16 12" xfId="5424" xr:uid="{00000000-0005-0000-0000-0000692A0000}"/>
    <cellStyle name="Финансовый 16 13" xfId="23578" xr:uid="{595C85D1-62AF-408F-871C-B178D8D66A71}"/>
    <cellStyle name="Финансовый 16 2" xfId="2304" xr:uid="{00000000-0005-0000-0000-00006A2A0000}"/>
    <cellStyle name="Финансовый 16 2 2" xfId="22389" xr:uid="{00000000-0005-0000-0000-00006B2A0000}"/>
    <cellStyle name="Финансовый 16 2 2 2" xfId="38933" xr:uid="{09A5C5C9-A2BE-4ABB-92AF-9D7F0DC49E7B}"/>
    <cellStyle name="Финансовый 16 2 3" xfId="6449" xr:uid="{00000000-0005-0000-0000-00006C2A0000}"/>
    <cellStyle name="Финансовый 16 2 4" xfId="24215" xr:uid="{9A03B9CA-7234-4E2D-9622-F4202FE7B14E}"/>
    <cellStyle name="Финансовый 16 3" xfId="2934" xr:uid="{00000000-0005-0000-0000-00006D2A0000}"/>
    <cellStyle name="Финансовый 16 3 2" xfId="22425" xr:uid="{00000000-0005-0000-0000-00006E2A0000}"/>
    <cellStyle name="Финансовый 16 3 3" xfId="38943" xr:uid="{213BB1A8-0958-4AA2-97C2-A14A7C949E49}"/>
    <cellStyle name="Финансовый 16 4" xfId="3854" xr:uid="{00000000-0005-0000-0000-00006F2A0000}"/>
    <cellStyle name="Финансовый 16 4 2" xfId="22448" xr:uid="{00000000-0005-0000-0000-0000702A0000}"/>
    <cellStyle name="Финансовый 16 4 3" xfId="38953" xr:uid="{3598E2CC-FA8E-4613-AB99-232E2FA5A7B6}"/>
    <cellStyle name="Финансовый 16 5" xfId="22471" xr:uid="{00000000-0005-0000-0000-0000712A0000}"/>
    <cellStyle name="Финансовый 16 5 2" xfId="38963" xr:uid="{C4568554-82BC-4AA3-AC49-21E1EC2560A6}"/>
    <cellStyle name="Финансовый 16 6" xfId="23100" xr:uid="{00000000-0005-0000-0000-0000722A0000}"/>
    <cellStyle name="Финансовый 16 6 2" xfId="39566" xr:uid="{433FB107-D955-41A5-9ECF-B579D27790D9}"/>
    <cellStyle name="Финансовый 16 7" xfId="23164" xr:uid="{00000000-0005-0000-0000-0000732A0000}"/>
    <cellStyle name="Финансовый 16 7 2" xfId="39604" xr:uid="{5AEF846E-00EE-4CBF-A99F-89CB011129FD}"/>
    <cellStyle name="Финансовый 16 8" xfId="23441" xr:uid="{00000000-0005-0000-0000-0000742A0000}"/>
    <cellStyle name="Финансовый 16 8 2" xfId="39868" xr:uid="{9F42069B-09DE-45D3-BF99-EBE5B7AB66A5}"/>
    <cellStyle name="Финансовый 16 9" xfId="23484" xr:uid="{00000000-0005-0000-0000-0000752A0000}"/>
    <cellStyle name="Финансовый 16 9 2" xfId="39882" xr:uid="{B0FBF90A-6962-465C-8484-9AAE941426B9}"/>
    <cellStyle name="Финансовый 17" xfId="1990" xr:uid="{00000000-0005-0000-0000-0000762A0000}"/>
    <cellStyle name="Финансовый 17 2" xfId="6469" xr:uid="{00000000-0005-0000-0000-0000772A0000}"/>
    <cellStyle name="Финансовый 17 2 2" xfId="23442" xr:uid="{00000000-0005-0000-0000-0000782A0000}"/>
    <cellStyle name="Финансовый 17 2 2 2" xfId="39869" xr:uid="{E0586A38-A201-43AA-94B9-A1BD935B4B21}"/>
    <cellStyle name="Финансовый 17 2 3" xfId="24216" xr:uid="{F5D2084E-63DF-43FA-97AB-B93E98B80532}"/>
    <cellStyle name="Финансовый 17 3" xfId="23485" xr:uid="{00000000-0005-0000-0000-0000792A0000}"/>
    <cellStyle name="Финансовый 17 3 2" xfId="39883" xr:uid="{7468E048-A306-4495-B530-F58E3B3BA3E5}"/>
    <cellStyle name="Финансовый 17 4" xfId="23557" xr:uid="{00000000-0005-0000-0000-00007A2A0000}"/>
    <cellStyle name="Финансовый 17 4 2" xfId="39901" xr:uid="{8286019A-BFE2-4D84-8868-89A25E2D5665}"/>
    <cellStyle name="Финансовый 17 5" xfId="7788" xr:uid="{00000000-0005-0000-0000-00007B2A0000}"/>
    <cellStyle name="Финансовый 17 6" xfId="5425" xr:uid="{00000000-0005-0000-0000-00007C2A0000}"/>
    <cellStyle name="Финансовый 17 7" xfId="23579" xr:uid="{405AAB4B-3AAC-4618-8C93-783049B3BDE5}"/>
    <cellStyle name="Финансовый 18" xfId="2464" xr:uid="{00000000-0005-0000-0000-00007D2A0000}"/>
    <cellStyle name="Финансовый 18 2" xfId="6533" xr:uid="{00000000-0005-0000-0000-00007E2A0000}"/>
    <cellStyle name="Финансовый 18 2 2" xfId="23489" xr:uid="{00000000-0005-0000-0000-00007F2A0000}"/>
    <cellStyle name="Финансовый 18 2 2 2" xfId="39887" xr:uid="{590E1CBF-66FD-48C1-B2F4-F57D9A2A0B33}"/>
    <cellStyle name="Финансовый 18 2 3" xfId="24220" xr:uid="{7541716B-FA5A-4D45-94B0-C47842863E1D}"/>
    <cellStyle name="Финансовый 18 3" xfId="23561" xr:uid="{00000000-0005-0000-0000-0000802A0000}"/>
    <cellStyle name="Финансовый 18 3 2" xfId="39905" xr:uid="{07B01EE6-51F0-449D-AA2D-9C6161507E72}"/>
    <cellStyle name="Финансовый 18 4" xfId="7789" xr:uid="{00000000-0005-0000-0000-0000812A0000}"/>
    <cellStyle name="Финансовый 18 5" xfId="5462" xr:uid="{00000000-0005-0000-0000-0000822A0000}"/>
    <cellStyle name="Финансовый 18 6" xfId="23583" xr:uid="{5892BA1D-CA7F-4740-9DCA-2DC8B235E8C7}"/>
    <cellStyle name="Финансовый 19" xfId="3000" xr:uid="{00000000-0005-0000-0000-0000832A0000}"/>
    <cellStyle name="Финансовый 19 2 2 2" xfId="1070" xr:uid="{00000000-0005-0000-0000-0000842A0000}"/>
    <cellStyle name="Финансовый 2" xfId="3" xr:uid="{00000000-0005-0000-0000-0000852A0000}"/>
    <cellStyle name="Финансовый 2 10" xfId="5405" xr:uid="{00000000-0005-0000-0000-0000862A0000}"/>
    <cellStyle name="Финансовый 2 10 2" xfId="6489" xr:uid="{00000000-0005-0000-0000-0000872A0000}"/>
    <cellStyle name="Финансовый 2 10 2 2" xfId="23456" xr:uid="{00000000-0005-0000-0000-0000882A0000}"/>
    <cellStyle name="Финансовый 2 10 2 2 2" xfId="39870" xr:uid="{BA2BFF2D-F058-4B92-B518-6A3AE481186C}"/>
    <cellStyle name="Финансовый 2 10 2 3" xfId="24217" xr:uid="{E64BE925-71B6-4AD7-90A8-75838B52131E}"/>
    <cellStyle name="Финансовый 2 10 3" xfId="23486" xr:uid="{00000000-0005-0000-0000-0000892A0000}"/>
    <cellStyle name="Финансовый 2 10 3 2" xfId="39884" xr:uid="{A57EE7E4-6DB9-42B6-8C8F-06FD513063DE}"/>
    <cellStyle name="Финансовый 2 10 4" xfId="23558" xr:uid="{00000000-0005-0000-0000-00008A2A0000}"/>
    <cellStyle name="Финансовый 2 10 4 2" xfId="39902" xr:uid="{45510C50-7407-4147-B4C8-EB3B08A35317}"/>
    <cellStyle name="Финансовый 2 10 5" xfId="20287" xr:uid="{00000000-0005-0000-0000-00008B2A0000}"/>
    <cellStyle name="Финансовый 2 10 5 2" xfId="37300" xr:uid="{63B01C9D-9C29-4B39-AFBC-883DF57BFC76}"/>
    <cellStyle name="Финансовый 2 10 6" xfId="5444" xr:uid="{00000000-0005-0000-0000-00008C2A0000}"/>
    <cellStyle name="Финансовый 2 10 7" xfId="23580" xr:uid="{ADB5F7FE-35C4-4516-80B5-6ADABF6CA1E1}"/>
    <cellStyle name="Финансовый 2 11" xfId="5411" xr:uid="{00000000-0005-0000-0000-00008D2A0000}"/>
    <cellStyle name="Финансовый 2 11 2" xfId="6553" xr:uid="{00000000-0005-0000-0000-00008E2A0000}"/>
    <cellStyle name="Финансовый 2 11 2 2" xfId="23562" xr:uid="{00000000-0005-0000-0000-00008F2A0000}"/>
    <cellStyle name="Финансовый 2 11 2 2 2" xfId="39906" xr:uid="{D818E569-3EA0-4D77-8E02-1507116BF988}"/>
    <cellStyle name="Финансовый 2 11 2 3" xfId="24221" xr:uid="{7B740674-E18C-4698-9FA9-0174E2FFDAD4}"/>
    <cellStyle name="Финансовый 2 11 3" xfId="23503" xr:uid="{00000000-0005-0000-0000-0000902A0000}"/>
    <cellStyle name="Финансовый 2 11 3 2" xfId="39888" xr:uid="{8D34DE53-873E-413E-8C90-07B6988F51C7}"/>
    <cellStyle name="Финансовый 2 11 4" xfId="5482" xr:uid="{00000000-0005-0000-0000-0000912A0000}"/>
    <cellStyle name="Финансовый 2 11 5" xfId="23584" xr:uid="{2747C2B7-9709-42B1-AB1C-E19B7B865040}"/>
    <cellStyle name="Финансовый 2 12" xfId="7244" xr:uid="{00000000-0005-0000-0000-0000922A0000}"/>
    <cellStyle name="Финансовый 2 2" xfId="138" xr:uid="{00000000-0005-0000-0000-0000932A0000}"/>
    <cellStyle name="Финансовый 2 2 2" xfId="170" xr:uid="{00000000-0005-0000-0000-0000942A0000}"/>
    <cellStyle name="Финансовый 2 2 2 2" xfId="319" xr:uid="{00000000-0005-0000-0000-0000952A0000}"/>
    <cellStyle name="Финансовый 2 2 2 2 2" xfId="1207" xr:uid="{00000000-0005-0000-0000-0000962A0000}"/>
    <cellStyle name="Финансовый 2 2 2 2 2 2" xfId="5950" xr:uid="{00000000-0005-0000-0000-0000972A0000}"/>
    <cellStyle name="Финансовый 2 2 2 2 2 3" xfId="21172" xr:uid="{00000000-0005-0000-0000-0000982A0000}"/>
    <cellStyle name="Финансовый 2 2 2 2 3" xfId="5694" xr:uid="{00000000-0005-0000-0000-0000992A0000}"/>
    <cellStyle name="Финансовый 2 2 2 2 4" xfId="20411" xr:uid="{00000000-0005-0000-0000-00009A2A0000}"/>
    <cellStyle name="Финансовый 2 2 2 3" xfId="1123" xr:uid="{00000000-0005-0000-0000-00009B2A0000}"/>
    <cellStyle name="Финансовый 2 2 2 3 2" xfId="5815" xr:uid="{00000000-0005-0000-0000-00009C2A0000}"/>
    <cellStyle name="Финансовый 2 2 2 3 3" xfId="21039" xr:uid="{00000000-0005-0000-0000-00009D2A0000}"/>
    <cellStyle name="Финансовый 2 2 2 4" xfId="5592" xr:uid="{00000000-0005-0000-0000-00009E2A0000}"/>
    <cellStyle name="Финансовый 2 2 2 5" xfId="7387" xr:uid="{00000000-0005-0000-0000-00009F2A0000}"/>
    <cellStyle name="Финансовый 2 2 3" xfId="187" xr:uid="{00000000-0005-0000-0000-0000A02A0000}"/>
    <cellStyle name="Финансовый 2 2 3 2" xfId="335" xr:uid="{00000000-0005-0000-0000-0000A12A0000}"/>
    <cellStyle name="Финансовый 2 2 3 2 2" xfId="1218" xr:uid="{00000000-0005-0000-0000-0000A22A0000}"/>
    <cellStyle name="Финансовый 2 2 3 2 2 2" xfId="5966" xr:uid="{00000000-0005-0000-0000-0000A32A0000}"/>
    <cellStyle name="Финансовый 2 2 3 2 2 3" xfId="21186" xr:uid="{00000000-0005-0000-0000-0000A42A0000}"/>
    <cellStyle name="Финансовый 2 2 3 2 3" xfId="5710" xr:uid="{00000000-0005-0000-0000-0000A52A0000}"/>
    <cellStyle name="Финансовый 2 2 3 2 4" xfId="20426" xr:uid="{00000000-0005-0000-0000-0000A62A0000}"/>
    <cellStyle name="Финансовый 2 2 3 3" xfId="1133" xr:uid="{00000000-0005-0000-0000-0000A72A0000}"/>
    <cellStyle name="Финансовый 2 2 3 3 2" xfId="5830" xr:uid="{00000000-0005-0000-0000-0000A82A0000}"/>
    <cellStyle name="Финансовый 2 2 3 3 3" xfId="21054" xr:uid="{00000000-0005-0000-0000-0000A92A0000}"/>
    <cellStyle name="Финансовый 2 2 3 4" xfId="5607" xr:uid="{00000000-0005-0000-0000-0000AA2A0000}"/>
    <cellStyle name="Финансовый 2 2 3 5" xfId="7402" xr:uid="{00000000-0005-0000-0000-0000AB2A0000}"/>
    <cellStyle name="Финансовый 2 2 4" xfId="207" xr:uid="{00000000-0005-0000-0000-0000AC2A0000}"/>
    <cellStyle name="Финансовый 2 2 4 2" xfId="355" xr:uid="{00000000-0005-0000-0000-0000AD2A0000}"/>
    <cellStyle name="Финансовый 2 2 4 2 2" xfId="1228" xr:uid="{00000000-0005-0000-0000-0000AE2A0000}"/>
    <cellStyle name="Финансовый 2 2 4 2 2 2" xfId="5984" xr:uid="{00000000-0005-0000-0000-0000AF2A0000}"/>
    <cellStyle name="Финансовый 2 2 4 2 2 3" xfId="21203" xr:uid="{00000000-0005-0000-0000-0000B02A0000}"/>
    <cellStyle name="Финансовый 2 2 4 2 3" xfId="5728" xr:uid="{00000000-0005-0000-0000-0000B12A0000}"/>
    <cellStyle name="Финансовый 2 2 4 2 4" xfId="20444" xr:uid="{00000000-0005-0000-0000-0000B22A0000}"/>
    <cellStyle name="Финансовый 2 2 4 3" xfId="1143" xr:uid="{00000000-0005-0000-0000-0000B32A0000}"/>
    <cellStyle name="Финансовый 2 2 4 3 2" xfId="5848" xr:uid="{00000000-0005-0000-0000-0000B42A0000}"/>
    <cellStyle name="Финансовый 2 2 4 3 3" xfId="21072" xr:uid="{00000000-0005-0000-0000-0000B52A0000}"/>
    <cellStyle name="Финансовый 2 2 4 4" xfId="5625" xr:uid="{00000000-0005-0000-0000-0000B62A0000}"/>
    <cellStyle name="Финансовый 2 2 4 5" xfId="7420" xr:uid="{00000000-0005-0000-0000-0000B72A0000}"/>
    <cellStyle name="Финансовый 2 2 5" xfId="295" xr:uid="{00000000-0005-0000-0000-0000B82A0000}"/>
    <cellStyle name="Финансовый 2 2 5 2" xfId="1190" xr:uid="{00000000-0005-0000-0000-0000B92A0000}"/>
    <cellStyle name="Финансовый 2 2 5 2 2" xfId="5928" xr:uid="{00000000-0005-0000-0000-0000BA2A0000}"/>
    <cellStyle name="Финансовый 2 2 5 2 3" xfId="21151" xr:uid="{00000000-0005-0000-0000-0000BB2A0000}"/>
    <cellStyle name="Финансовый 2 2 5 3" xfId="5672" xr:uid="{00000000-0005-0000-0000-0000BC2A0000}"/>
    <cellStyle name="Финансовый 2 2 5 4" xfId="7456" xr:uid="{00000000-0005-0000-0000-0000BD2A0000}"/>
    <cellStyle name="Финансовый 2 2 6" xfId="935" xr:uid="{00000000-0005-0000-0000-0000BE2A0000}"/>
    <cellStyle name="Финансовый 2 2 6 2" xfId="5794" xr:uid="{00000000-0005-0000-0000-0000BF2A0000}"/>
    <cellStyle name="Финансовый 2 2 6 3" xfId="7471" xr:uid="{00000000-0005-0000-0000-0000C02A0000}"/>
    <cellStyle name="Финансовый 2 2 7" xfId="5570" xr:uid="{00000000-0005-0000-0000-0000C12A0000}"/>
    <cellStyle name="Финансовый 2 2 7 2" xfId="7791" xr:uid="{00000000-0005-0000-0000-0000C22A0000}"/>
    <cellStyle name="Финансовый 2 2 8" xfId="7259" xr:uid="{00000000-0005-0000-0000-0000C32A0000}"/>
    <cellStyle name="Финансовый 2 3" xfId="151" xr:uid="{00000000-0005-0000-0000-0000C42A0000}"/>
    <cellStyle name="Финансовый 2 3 2" xfId="303" xr:uid="{00000000-0005-0000-0000-0000C52A0000}"/>
    <cellStyle name="Финансовый 2 3 2 2" xfId="1197" xr:uid="{00000000-0005-0000-0000-0000C62A0000}"/>
    <cellStyle name="Финансовый 2 3 2 2 2" xfId="5935" xr:uid="{00000000-0005-0000-0000-0000C72A0000}"/>
    <cellStyle name="Финансовый 2 3 2 2 3" xfId="21158" xr:uid="{00000000-0005-0000-0000-0000C82A0000}"/>
    <cellStyle name="Финансовый 2 3 2 3" xfId="5679" xr:uid="{00000000-0005-0000-0000-0000C92A0000}"/>
    <cellStyle name="Финансовый 2 3 2 4" xfId="20397" xr:uid="{00000000-0005-0000-0000-0000CA2A0000}"/>
    <cellStyle name="Финансовый 2 3 3" xfId="1069" xr:uid="{00000000-0005-0000-0000-0000CB2A0000}"/>
    <cellStyle name="Финансовый 2 3 3 2" xfId="1113" xr:uid="{00000000-0005-0000-0000-0000CC2A0000}"/>
    <cellStyle name="Финансовый 2 3 3 3" xfId="21024" xr:uid="{00000000-0005-0000-0000-0000CD2A0000}"/>
    <cellStyle name="Финансовый 2 3 4" xfId="5577" xr:uid="{00000000-0005-0000-0000-0000CE2A0000}"/>
    <cellStyle name="Финансовый 2 3 5" xfId="7249" xr:uid="{00000000-0005-0000-0000-0000CF2A0000}"/>
    <cellStyle name="Финансовый 2 4" xfId="158" xr:uid="{00000000-0005-0000-0000-0000D02A0000}"/>
    <cellStyle name="Финансовый 2 4 2" xfId="309" xr:uid="{00000000-0005-0000-0000-0000D12A0000}"/>
    <cellStyle name="Финансовый 2 4 2 2" xfId="1202" xr:uid="{00000000-0005-0000-0000-0000D22A0000}"/>
    <cellStyle name="Финансовый 2 4 2 2 2" xfId="5940" xr:uid="{00000000-0005-0000-0000-0000D32A0000}"/>
    <cellStyle name="Финансовый 2 4 2 2 3" xfId="21163" xr:uid="{00000000-0005-0000-0000-0000D42A0000}"/>
    <cellStyle name="Финансовый 2 4 2 3" xfId="5684" xr:uid="{00000000-0005-0000-0000-0000D52A0000}"/>
    <cellStyle name="Финансовый 2 4 2 4" xfId="7378" xr:uid="{00000000-0005-0000-0000-0000D62A0000}"/>
    <cellStyle name="Финансовый 2 4 3" xfId="1118" xr:uid="{00000000-0005-0000-0000-0000D72A0000}"/>
    <cellStyle name="Финансовый 2 4 3 2" xfId="5805" xr:uid="{00000000-0005-0000-0000-0000D82A0000}"/>
    <cellStyle name="Финансовый 2 4 3 3" xfId="21029" xr:uid="{00000000-0005-0000-0000-0000D92A0000}"/>
    <cellStyle name="Финансовый 2 4 4" xfId="5582" xr:uid="{00000000-0005-0000-0000-0000DA2A0000}"/>
    <cellStyle name="Финансовый 2 4 5" xfId="7282" xr:uid="{00000000-0005-0000-0000-0000DB2A0000}"/>
    <cellStyle name="Финансовый 2 5" xfId="177" xr:uid="{00000000-0005-0000-0000-0000DC2A0000}"/>
    <cellStyle name="Финансовый 2 5 2" xfId="325" xr:uid="{00000000-0005-0000-0000-0000DD2A0000}"/>
    <cellStyle name="Финансовый 2 5 2 2" xfId="1213" xr:uid="{00000000-0005-0000-0000-0000DE2A0000}"/>
    <cellStyle name="Финансовый 2 5 2 2 2" xfId="5956" xr:uid="{00000000-0005-0000-0000-0000DF2A0000}"/>
    <cellStyle name="Финансовый 2 5 2 2 3" xfId="14000" xr:uid="{00000000-0005-0000-0000-0000E02A0000}"/>
    <cellStyle name="Финансовый 2 5 2 3" xfId="5700" xr:uid="{00000000-0005-0000-0000-0000E12A0000}"/>
    <cellStyle name="Финансовый 2 5 2 4" xfId="7792" xr:uid="{00000000-0005-0000-0000-0000E22A0000}"/>
    <cellStyle name="Финансовый 2 5 3" xfId="1128" xr:uid="{00000000-0005-0000-0000-0000E32A0000}"/>
    <cellStyle name="Финансовый 2 5 3 2" xfId="5820" xr:uid="{00000000-0005-0000-0000-0000E42A0000}"/>
    <cellStyle name="Финансовый 2 5 3 3" xfId="21044" xr:uid="{00000000-0005-0000-0000-0000E52A0000}"/>
    <cellStyle name="Финансовый 2 5 4" xfId="5597" xr:uid="{00000000-0005-0000-0000-0000E62A0000}"/>
    <cellStyle name="Финансовый 2 5 5" xfId="7392" xr:uid="{00000000-0005-0000-0000-0000E72A0000}"/>
    <cellStyle name="Финансовый 2 6" xfId="199" xr:uid="{00000000-0005-0000-0000-0000E82A0000}"/>
    <cellStyle name="Финансовый 2 6 2" xfId="347" xr:uid="{00000000-0005-0000-0000-0000E92A0000}"/>
    <cellStyle name="Финансовый 2 6 2 2" xfId="1223" xr:uid="{00000000-0005-0000-0000-0000EA2A0000}"/>
    <cellStyle name="Финансовый 2 6 2 2 2" xfId="5976" xr:uid="{00000000-0005-0000-0000-0000EB2A0000}"/>
    <cellStyle name="Финансовый 2 6 2 2 3" xfId="14001" xr:uid="{00000000-0005-0000-0000-0000EC2A0000}"/>
    <cellStyle name="Финансовый 2 6 2 3" xfId="5720" xr:uid="{00000000-0005-0000-0000-0000ED2A0000}"/>
    <cellStyle name="Финансовый 2 6 2 4" xfId="7793" xr:uid="{00000000-0005-0000-0000-0000EE2A0000}"/>
    <cellStyle name="Финансовый 2 6 3" xfId="1138" xr:uid="{00000000-0005-0000-0000-0000EF2A0000}"/>
    <cellStyle name="Финансовый 2 6 3 2" xfId="5840" xr:uid="{00000000-0005-0000-0000-0000F02A0000}"/>
    <cellStyle name="Финансовый 2 6 3 3" xfId="21064" xr:uid="{00000000-0005-0000-0000-0000F12A0000}"/>
    <cellStyle name="Финансовый 2 6 4" xfId="5617" xr:uid="{00000000-0005-0000-0000-0000F22A0000}"/>
    <cellStyle name="Финансовый 2 6 5" xfId="7412" xr:uid="{00000000-0005-0000-0000-0000F32A0000}"/>
    <cellStyle name="Финансовый 2 7" xfId="60" xr:uid="{00000000-0005-0000-0000-0000F42A0000}"/>
    <cellStyle name="Финансовый 2 7 2" xfId="917" xr:uid="{00000000-0005-0000-0000-0000F52A0000}"/>
    <cellStyle name="Финансовый 2 7 2 2" xfId="21003" xr:uid="{00000000-0005-0000-0000-0000F62A0000}"/>
    <cellStyle name="Финансовый 2 7 3" xfId="7448" xr:uid="{00000000-0005-0000-0000-0000F72A0000}"/>
    <cellStyle name="Финансовый 2 8" xfId="241" xr:uid="{00000000-0005-0000-0000-0000F82A0000}"/>
    <cellStyle name="Финансовый 2 8 10" xfId="22465" xr:uid="{00000000-0005-0000-0000-0000F92A0000}"/>
    <cellStyle name="Финансовый 2 8 10 2" xfId="38957" xr:uid="{2F18B34A-3E72-46AF-BDD6-DD1F00E8CECB}"/>
    <cellStyle name="Финансовый 2 8 11" xfId="22737" xr:uid="{00000000-0005-0000-0000-0000FA2A0000}"/>
    <cellStyle name="Финансовый 2 8 11 2" xfId="39206" xr:uid="{FA4413FB-DD97-4E1F-A239-4F573A4DA6D4}"/>
    <cellStyle name="Финансовый 2 8 12" xfId="23152" xr:uid="{00000000-0005-0000-0000-0000FB2A0000}"/>
    <cellStyle name="Финансовый 2 8 12 2" xfId="39595" xr:uid="{DD169479-FDE3-4C9D-A215-0B3323E670C8}"/>
    <cellStyle name="Финансовый 2 8 13" xfId="23217" xr:uid="{00000000-0005-0000-0000-0000FC2A0000}"/>
    <cellStyle name="Финансовый 2 8 13 2" xfId="39644" xr:uid="{8E2011A8-A47D-4352-919C-466BD55B1673}"/>
    <cellStyle name="Финансовый 2 8 14" xfId="23478" xr:uid="{00000000-0005-0000-0000-0000FD2A0000}"/>
    <cellStyle name="Финансовый 2 8 14 2" xfId="39876" xr:uid="{EC235E29-7D7B-45B4-9993-6B67568BBDAA}"/>
    <cellStyle name="Финансовый 2 8 15" xfId="23550" xr:uid="{00000000-0005-0000-0000-0000FE2A0000}"/>
    <cellStyle name="Финансовый 2 8 15 2" xfId="39894" xr:uid="{2DC191D8-45C0-44FF-BFC5-4B58C42C2F90}"/>
    <cellStyle name="Финансовый 2 8 16" xfId="7462" xr:uid="{00000000-0005-0000-0000-0000FF2A0000}"/>
    <cellStyle name="Финансовый 2 8 17" xfId="5418" xr:uid="{00000000-0005-0000-0000-0000002B0000}"/>
    <cellStyle name="Финансовый 2 8 18" xfId="23572" xr:uid="{CFE4D85A-F0C6-4B95-A8F5-7C7C0B96C447}"/>
    <cellStyle name="Финансовый 2 8 2" xfId="925" xr:uid="{00000000-0005-0000-0000-0000012B0000}"/>
    <cellStyle name="Финансовый 2 8 2 2" xfId="21104" xr:uid="{00000000-0005-0000-0000-0000022B0000}"/>
    <cellStyle name="Финансовый 2 8 2 2 2" xfId="37828" xr:uid="{6EF2DD58-4FF9-429A-B364-452FA3C41433}"/>
    <cellStyle name="Финансовый 2 8 2 3" xfId="5880" xr:uid="{00000000-0005-0000-0000-0000032B0000}"/>
    <cellStyle name="Финансовый 2 8 2 4" xfId="23736" xr:uid="{5A5313FE-C5A0-49B3-BF1F-AEA36004E7A3}"/>
    <cellStyle name="Финансовый 2 8 3" xfId="1151" xr:uid="{00000000-0005-0000-0000-0000042B0000}"/>
    <cellStyle name="Финансовый 2 8 3 2" xfId="21808" xr:uid="{00000000-0005-0000-0000-0000052B0000}"/>
    <cellStyle name="Финансовый 2 8 3 3" xfId="38418" xr:uid="{2044744E-9C09-460E-BA71-D33B9E5EAB24}"/>
    <cellStyle name="Финансовый 2 8 4" xfId="1940" xr:uid="{00000000-0005-0000-0000-0000062B0000}"/>
    <cellStyle name="Финансовый 2 8 4 2" xfId="22308" xr:uid="{00000000-0005-0000-0000-0000072B0000}"/>
    <cellStyle name="Финансовый 2 8 4 3" xfId="38900" xr:uid="{5BA256F6-F5AA-4B3B-81B9-345387AA0421}"/>
    <cellStyle name="Финансовый 2 8 5" xfId="2583" xr:uid="{00000000-0005-0000-0000-0000082B0000}"/>
    <cellStyle name="Финансовый 2 8 5 2" xfId="22338" xr:uid="{00000000-0005-0000-0000-0000092B0000}"/>
    <cellStyle name="Финансовый 2 8 5 3" xfId="38909" xr:uid="{37EB2AAC-63C9-4B6F-AAB0-D0C4EB0E6D1A}"/>
    <cellStyle name="Финансовый 2 8 6" xfId="3361" xr:uid="{00000000-0005-0000-0000-00000A2B0000}"/>
    <cellStyle name="Финансовый 2 8 6 2" xfId="22360" xr:uid="{00000000-0005-0000-0000-00000B2B0000}"/>
    <cellStyle name="Финансовый 2 8 6 3" xfId="38918" xr:uid="{AAA53952-DD0F-440F-8759-8A2D74EE89C8}"/>
    <cellStyle name="Финансовый 2 8 7" xfId="22382" xr:uid="{00000000-0005-0000-0000-00000C2B0000}"/>
    <cellStyle name="Финансовый 2 8 7 2" xfId="38927" xr:uid="{0A081518-3C8C-447C-946D-9ACC70183FC9}"/>
    <cellStyle name="Финансовый 2 8 8" xfId="22419" xr:uid="{00000000-0005-0000-0000-00000D2B0000}"/>
    <cellStyle name="Финансовый 2 8 8 2" xfId="38937" xr:uid="{D70A324D-5D67-434E-98F7-C6761EF83D95}"/>
    <cellStyle name="Финансовый 2 8 9" xfId="22442" xr:uid="{00000000-0005-0000-0000-00000E2B0000}"/>
    <cellStyle name="Финансовый 2 8 9 2" xfId="38947" xr:uid="{7780137E-98DD-4F69-8AB8-575BF7A1D113}"/>
    <cellStyle name="Финансовый 2 9" xfId="1078" xr:uid="{00000000-0005-0000-0000-00000F2B0000}"/>
    <cellStyle name="Финансовый 2 9 10" xfId="22463" xr:uid="{00000000-0005-0000-0000-0000102B0000}"/>
    <cellStyle name="Финансовый 2 9 10 2" xfId="38955" xr:uid="{5716FB25-0D8F-4B6C-9925-AD6CE3CACD87}"/>
    <cellStyle name="Финансовый 2 9 11" xfId="22648" xr:uid="{00000000-0005-0000-0000-0000112B0000}"/>
    <cellStyle name="Финансовый 2 9 11 2" xfId="39120" xr:uid="{2C46A257-B52A-4F3A-AC51-3D7FBC62CF96}"/>
    <cellStyle name="Финансовый 2 9 12" xfId="23146" xr:uid="{00000000-0005-0000-0000-0000122B0000}"/>
    <cellStyle name="Финансовый 2 9 12 2" xfId="39592" xr:uid="{D9487647-08AA-42A5-9686-4BADA1AC8A85}"/>
    <cellStyle name="Финансовый 2 9 13" xfId="23191" xr:uid="{00000000-0005-0000-0000-0000132B0000}"/>
    <cellStyle name="Финансовый 2 9 13 2" xfId="39618" xr:uid="{FDBA0E75-FDD5-420D-AC0B-B279ED37EE75}"/>
    <cellStyle name="Финансовый 2 9 14" xfId="23476" xr:uid="{00000000-0005-0000-0000-0000142B0000}"/>
    <cellStyle name="Финансовый 2 9 14 2" xfId="39874" xr:uid="{749A9522-4ED7-4904-B934-82271EB8DE78}"/>
    <cellStyle name="Финансовый 2 9 15" xfId="23548" xr:uid="{00000000-0005-0000-0000-0000152B0000}"/>
    <cellStyle name="Финансовый 2 9 15 2" xfId="39892" xr:uid="{05640262-596E-4C2E-85AF-17E61F22F66B}"/>
    <cellStyle name="Финансовый 2 9 16" xfId="7790" xr:uid="{00000000-0005-0000-0000-0000162B0000}"/>
    <cellStyle name="Финансовый 2 9 17" xfId="5416" xr:uid="{00000000-0005-0000-0000-0000172B0000}"/>
    <cellStyle name="Финансовый 2 9 18" xfId="23570" xr:uid="{1BEC3D03-B6EB-4DC2-8496-D4E9596C911F}"/>
    <cellStyle name="Финансовый 2 9 2" xfId="1858" xr:uid="{00000000-0005-0000-0000-0000182B0000}"/>
    <cellStyle name="Финансовый 2 9 2 2" xfId="20994" xr:uid="{00000000-0005-0000-0000-0000192B0000}"/>
    <cellStyle name="Финансовый 2 9 2 2 2" xfId="37770" xr:uid="{55751212-CA96-4B4B-B247-1499EC5E91A7}"/>
    <cellStyle name="Финансовый 2 9 2 3" xfId="5751" xr:uid="{00000000-0005-0000-0000-00001A2B0000}"/>
    <cellStyle name="Финансовый 2 9 2 4" xfId="23675" xr:uid="{F209E99C-3A36-44B2-8564-F78D5ADF6805}"/>
    <cellStyle name="Финансовый 2 9 3" xfId="2502" xr:uid="{00000000-0005-0000-0000-00001B2B0000}"/>
    <cellStyle name="Финансовый 2 9 3 2" xfId="21750" xr:uid="{00000000-0005-0000-0000-00001C2B0000}"/>
    <cellStyle name="Финансовый 2 9 3 3" xfId="38360" xr:uid="{FE636F38-0E9D-45CC-9134-207BEFDE4E55}"/>
    <cellStyle name="Финансовый 2 9 4" xfId="3228" xr:uid="{00000000-0005-0000-0000-00001D2B0000}"/>
    <cellStyle name="Финансовый 2 9 4 2" xfId="22303" xr:uid="{00000000-0005-0000-0000-00001E2B0000}"/>
    <cellStyle name="Финансовый 2 9 4 3" xfId="38898" xr:uid="{89E36D37-2B46-4042-9BC0-D8FAF09D90B9}"/>
    <cellStyle name="Финансовый 2 9 5" xfId="22336" xr:uid="{00000000-0005-0000-0000-00001F2B0000}"/>
    <cellStyle name="Финансовый 2 9 5 2" xfId="38907" xr:uid="{FA63CEB1-E8E6-4677-9D9C-21CFFC92E3BA}"/>
    <cellStyle name="Финансовый 2 9 6" xfId="22358" xr:uid="{00000000-0005-0000-0000-0000202B0000}"/>
    <cellStyle name="Финансовый 2 9 6 2" xfId="38916" xr:uid="{D4CF0A8C-E860-4AD7-B568-22A1378C9868}"/>
    <cellStyle name="Финансовый 2 9 7" xfId="22380" xr:uid="{00000000-0005-0000-0000-0000212B0000}"/>
    <cellStyle name="Финансовый 2 9 7 2" xfId="38925" xr:uid="{54E4A271-4700-4B45-8DEA-F96381AA4D76}"/>
    <cellStyle name="Финансовый 2 9 8" xfId="22417" xr:uid="{00000000-0005-0000-0000-0000222B0000}"/>
    <cellStyle name="Финансовый 2 9 8 2" xfId="38935" xr:uid="{AAF12225-6F82-4AC6-AF9E-99E77F04B20F}"/>
    <cellStyle name="Финансовый 2 9 9" xfId="22440" xr:uid="{00000000-0005-0000-0000-0000232B0000}"/>
    <cellStyle name="Финансовый 2 9 9 2" xfId="38945" xr:uid="{352F3307-FEBE-416A-8191-A190F54DF742}"/>
    <cellStyle name="Финансовый 20" xfId="3161" xr:uid="{00000000-0005-0000-0000-0000242B0000}"/>
    <cellStyle name="Финансовый 21" xfId="3475" xr:uid="{00000000-0005-0000-0000-0000252B0000}"/>
    <cellStyle name="Финансовый 22" xfId="4230" xr:uid="{00000000-0005-0000-0000-0000262B0000}"/>
    <cellStyle name="Финансовый 23" xfId="4752" xr:uid="{00000000-0005-0000-0000-0000272B0000}"/>
    <cellStyle name="Финансовый 24" xfId="5403" xr:uid="{00000000-0005-0000-0000-0000282B0000}"/>
    <cellStyle name="Финансовый 24 2" xfId="7794" xr:uid="{00000000-0005-0000-0000-0000292B0000}"/>
    <cellStyle name="Финансовый 25" xfId="5410" xr:uid="{00000000-0005-0000-0000-00002A2B0000}"/>
    <cellStyle name="Финансовый 25 2" xfId="7795" xr:uid="{00000000-0005-0000-0000-00002B2B0000}"/>
    <cellStyle name="Финансовый 26" xfId="7796" xr:uid="{00000000-0005-0000-0000-00002C2B0000}"/>
    <cellStyle name="Финансовый 27" xfId="7797" xr:uid="{00000000-0005-0000-0000-00002D2B0000}"/>
    <cellStyle name="Финансовый 28" xfId="7798" xr:uid="{00000000-0005-0000-0000-00002E2B0000}"/>
    <cellStyle name="Финансовый 29" xfId="7799" xr:uid="{00000000-0005-0000-0000-00002F2B0000}"/>
    <cellStyle name="Финансовый 3" xfId="56" xr:uid="{00000000-0005-0000-0000-0000302B0000}"/>
    <cellStyle name="Финансовый 3 2" xfId="845" xr:uid="{00000000-0005-0000-0000-0000312B0000}"/>
    <cellStyle name="Финансовый 3 2 2" xfId="973" xr:uid="{00000000-0005-0000-0000-0000322B0000}"/>
    <cellStyle name="Финансовый 3 2 2 2" xfId="14023" xr:uid="{00000000-0005-0000-0000-0000332B0000}"/>
    <cellStyle name="Финансовый 3 2 2 2 2" xfId="31062" xr:uid="{0360B4A6-3E87-4731-8D5F-E930EA9F8765}"/>
    <cellStyle name="Финансовый 3 2 2 3" xfId="17203" xr:uid="{00000000-0005-0000-0000-0000342B0000}"/>
    <cellStyle name="Финансовый 3 2 2 3 2" xfId="34216" xr:uid="{7DAB4A83-CFCA-48E5-B867-E9F0740FA8B3}"/>
    <cellStyle name="Финансовый 3 2 2 4" xfId="20284" xr:uid="{00000000-0005-0000-0000-0000352B0000}"/>
    <cellStyle name="Финансовый 3 2 2 4 2" xfId="37297" xr:uid="{40FB1CFF-ED08-48DC-9A0C-42168187F00A}"/>
    <cellStyle name="Финансовый 3 2 2 5" xfId="7288" xr:uid="{00000000-0005-0000-0000-0000362B0000}"/>
    <cellStyle name="Финансовый 3 2 2 5 2" xfId="24839" xr:uid="{DA83B228-BB31-4989-B617-F77CC1B2DDC4}"/>
    <cellStyle name="Финансовый 3 2 2 6" xfId="6492" xr:uid="{00000000-0005-0000-0000-0000372B0000}"/>
    <cellStyle name="Финансовый 3 2 2 7" xfId="24218" xr:uid="{0EFAF426-149C-4CBE-804C-9F1E199E22D6}"/>
    <cellStyle name="Финансовый 3 2 3" xfId="7800" xr:uid="{00000000-0005-0000-0000-0000382B0000}"/>
    <cellStyle name="Финансовый 3 2 3 2" xfId="13976" xr:uid="{00000000-0005-0000-0000-0000392B0000}"/>
    <cellStyle name="Финансовый 3 2 3 2 2" xfId="31056" xr:uid="{2190FBE7-7D86-4C60-B939-456AAC41823A}"/>
    <cellStyle name="Финансовый 3 2 3 3" xfId="17199" xr:uid="{00000000-0005-0000-0000-00003A2B0000}"/>
    <cellStyle name="Финансовый 3 2 3 3 2" xfId="34212" xr:uid="{AE37B57A-E9B0-4481-B2ED-60B3C4382D5D}"/>
    <cellStyle name="Финансовый 3 2 3 4" xfId="20280" xr:uid="{00000000-0005-0000-0000-00003B2B0000}"/>
    <cellStyle name="Финансовый 3 2 3 4 2" xfId="37293" xr:uid="{8A7E6F0A-E0E2-42DE-B205-E3D0F46DC83E}"/>
    <cellStyle name="Финансовый 3 2 4" xfId="23457" xr:uid="{00000000-0005-0000-0000-00003C2B0000}"/>
    <cellStyle name="Финансовый 3 2 4 2" xfId="39871" xr:uid="{2DD8950A-4293-4055-9DDB-87BC60A8E86E}"/>
    <cellStyle name="Финансовый 3 2 5" xfId="23487" xr:uid="{00000000-0005-0000-0000-00003D2B0000}"/>
    <cellStyle name="Финансовый 3 2 5 2" xfId="39885" xr:uid="{454863B4-93C3-4FF4-A7E7-9A05C63B7E63}"/>
    <cellStyle name="Финансовый 3 2 6" xfId="23559" xr:uid="{00000000-0005-0000-0000-00003E2B0000}"/>
    <cellStyle name="Финансовый 3 2 6 2" xfId="39903" xr:uid="{E3D46626-24EF-4356-80FA-01FFFEDC25CC}"/>
    <cellStyle name="Финансовый 3 2 7" xfId="7284" xr:uid="{00000000-0005-0000-0000-00003F2B0000}"/>
    <cellStyle name="Финансовый 3 2 7 2" xfId="24835" xr:uid="{E2FA30F5-8FC6-4E1F-BBA6-4FF75732887E}"/>
    <cellStyle name="Финансовый 3 2 8" xfId="5446" xr:uid="{00000000-0005-0000-0000-0000402B0000}"/>
    <cellStyle name="Финансовый 3 2 9" xfId="23581" xr:uid="{B80AE9A4-13E8-4FAD-8E37-4A79240EB7D0}"/>
    <cellStyle name="Финансовый 3 3" xfId="971" xr:uid="{00000000-0005-0000-0000-0000412B0000}"/>
    <cellStyle name="Финансовый 3 3 10" xfId="7802" xr:uid="{00000000-0005-0000-0000-0000422B0000}"/>
    <cellStyle name="Финансовый 3 3 10 2" xfId="7803" xr:uid="{00000000-0005-0000-0000-0000432B0000}"/>
    <cellStyle name="Финансовый 3 3 10 2 2" xfId="10894" xr:uid="{00000000-0005-0000-0000-0000442B0000}"/>
    <cellStyle name="Финансовый 3 3 10 2 2 2" xfId="27983" xr:uid="{2B01B437-5BCB-4059-9536-7AD94860C39E}"/>
    <cellStyle name="Финансовый 3 3 10 2 3" xfId="14126" xr:uid="{00000000-0005-0000-0000-0000452B0000}"/>
    <cellStyle name="Финансовый 3 3 10 2 3 2" xfId="31139" xr:uid="{D6AE7A0C-A81C-4F39-98BD-0DCF88A35D4D}"/>
    <cellStyle name="Финансовый 3 3 10 2 4" xfId="17207" xr:uid="{00000000-0005-0000-0000-0000462B0000}"/>
    <cellStyle name="Финансовый 3 3 10 2 4 2" xfId="34220" xr:uid="{B26E3DED-6B7E-41FF-BEEF-8678B8534B70}"/>
    <cellStyle name="Финансовый 3 3 10 2 5" xfId="24910" xr:uid="{28A74547-C95B-4941-B21B-2711CB0557E6}"/>
    <cellStyle name="Финансовый 3 3 10 3" xfId="10893" xr:uid="{00000000-0005-0000-0000-0000472B0000}"/>
    <cellStyle name="Финансовый 3 3 10 3 2" xfId="27982" xr:uid="{7DCBC568-08FC-4997-BF1E-0E5E633FB2D5}"/>
    <cellStyle name="Финансовый 3 3 10 4" xfId="14125" xr:uid="{00000000-0005-0000-0000-0000482B0000}"/>
    <cellStyle name="Финансовый 3 3 10 4 2" xfId="31138" xr:uid="{15FED8F5-3852-434B-A2DC-82152EE80B40}"/>
    <cellStyle name="Финансовый 3 3 10 5" xfId="17206" xr:uid="{00000000-0005-0000-0000-0000492B0000}"/>
    <cellStyle name="Финансовый 3 3 10 5 2" xfId="34219" xr:uid="{C50A2AEC-9BD9-45BB-BBCD-1C4EB0DE1495}"/>
    <cellStyle name="Финансовый 3 3 10 6" xfId="24909" xr:uid="{36CD1AFF-500C-44E5-9671-30952D883AC5}"/>
    <cellStyle name="Финансовый 3 3 11" xfId="7804" xr:uid="{00000000-0005-0000-0000-00004A2B0000}"/>
    <cellStyle name="Финансовый 3 3 11 2" xfId="10895" xr:uid="{00000000-0005-0000-0000-00004B2B0000}"/>
    <cellStyle name="Финансовый 3 3 11 2 2" xfId="27984" xr:uid="{E5B72F13-CB71-4772-83E0-76CDC385742B}"/>
    <cellStyle name="Финансовый 3 3 11 3" xfId="14127" xr:uid="{00000000-0005-0000-0000-00004C2B0000}"/>
    <cellStyle name="Финансовый 3 3 11 3 2" xfId="31140" xr:uid="{954A9CEB-8095-4DA1-A5DE-5CB942A6C8B6}"/>
    <cellStyle name="Финансовый 3 3 11 4" xfId="17208" xr:uid="{00000000-0005-0000-0000-00004D2B0000}"/>
    <cellStyle name="Финансовый 3 3 11 4 2" xfId="34221" xr:uid="{6A5B6443-8D6C-4299-9E27-50B403CADC0A}"/>
    <cellStyle name="Финансовый 3 3 11 5" xfId="24911" xr:uid="{E4E135B9-4468-4D54-8B72-657A25C42DBF}"/>
    <cellStyle name="Финансовый 3 3 12" xfId="7801" xr:uid="{00000000-0005-0000-0000-00004E2B0000}"/>
    <cellStyle name="Финансовый 3 3 12 2" xfId="24908" xr:uid="{5C9FB1F3-7A9D-4328-AF79-4FB201E03F44}"/>
    <cellStyle name="Финансовый 3 3 13" xfId="10892" xr:uid="{00000000-0005-0000-0000-00004F2B0000}"/>
    <cellStyle name="Финансовый 3 3 13 2" xfId="27981" xr:uid="{BE705B6E-635D-4998-826B-03D997A1F2F1}"/>
    <cellStyle name="Финансовый 3 3 14" xfId="14124" xr:uid="{00000000-0005-0000-0000-0000502B0000}"/>
    <cellStyle name="Финансовый 3 3 14 2" xfId="31137" xr:uid="{268B780F-7CC4-4925-9E9D-CA896A83640E}"/>
    <cellStyle name="Финансовый 3 3 15" xfId="17205" xr:uid="{00000000-0005-0000-0000-0000512B0000}"/>
    <cellStyle name="Финансовый 3 3 15 2" xfId="34218" xr:uid="{5E81C9DE-4F52-488B-803C-C1462A39FB36}"/>
    <cellStyle name="Финансовый 3 3 16" xfId="23505" xr:uid="{00000000-0005-0000-0000-0000522B0000}"/>
    <cellStyle name="Финансовый 3 3 16 2" xfId="39889" xr:uid="{8B197C97-0EE5-4921-A089-4AD7BDAA5976}"/>
    <cellStyle name="Финансовый 3 3 17" xfId="23563" xr:uid="{00000000-0005-0000-0000-0000532B0000}"/>
    <cellStyle name="Финансовый 3 3 17 2" xfId="39907" xr:uid="{044E1D95-1CED-47DA-A22E-E92B2143812C}"/>
    <cellStyle name="Финансовый 3 3 18" xfId="7286" xr:uid="{00000000-0005-0000-0000-0000542B0000}"/>
    <cellStyle name="Финансовый 3 3 18 2" xfId="24837" xr:uid="{CF80776A-E35F-4216-8E66-B560D3812BFC}"/>
    <cellStyle name="Финансовый 3 3 19" xfId="5484" xr:uid="{00000000-0005-0000-0000-0000552B0000}"/>
    <cellStyle name="Финансовый 3 3 2" xfId="6556" xr:uid="{00000000-0005-0000-0000-0000562B0000}"/>
    <cellStyle name="Финансовый 3 3 2 10" xfId="7806" xr:uid="{00000000-0005-0000-0000-0000572B0000}"/>
    <cellStyle name="Финансовый 3 3 2 10 2" xfId="10897" xr:uid="{00000000-0005-0000-0000-0000582B0000}"/>
    <cellStyle name="Финансовый 3 3 2 10 2 2" xfId="27986" xr:uid="{7AFF0C08-D9B1-4BB2-9BC2-BECDB2C18050}"/>
    <cellStyle name="Финансовый 3 3 2 10 3" xfId="14129" xr:uid="{00000000-0005-0000-0000-0000592B0000}"/>
    <cellStyle name="Финансовый 3 3 2 10 3 2" xfId="31142" xr:uid="{D8C325FB-A919-4F45-AA09-BAE76C9025DA}"/>
    <cellStyle name="Финансовый 3 3 2 10 4" xfId="17210" xr:uid="{00000000-0005-0000-0000-00005A2B0000}"/>
    <cellStyle name="Финансовый 3 3 2 10 4 2" xfId="34223" xr:uid="{BF22D887-67E1-4F2C-9BED-10921F5ABA04}"/>
    <cellStyle name="Финансовый 3 3 2 10 5" xfId="24913" xr:uid="{CE70EF92-B623-4B0E-AA6B-D1F66331EE44}"/>
    <cellStyle name="Финансовый 3 3 2 11" xfId="10896" xr:uid="{00000000-0005-0000-0000-00005B2B0000}"/>
    <cellStyle name="Финансовый 3 3 2 11 2" xfId="27985" xr:uid="{0D720045-E792-44A2-820C-CC1238D0E820}"/>
    <cellStyle name="Финансовый 3 3 2 12" xfId="14128" xr:uid="{00000000-0005-0000-0000-00005C2B0000}"/>
    <cellStyle name="Финансовый 3 3 2 12 2" xfId="31141" xr:uid="{4C901C44-2761-479D-ADBF-F588FFD3FBE6}"/>
    <cellStyle name="Финансовый 3 3 2 13" xfId="17209" xr:uid="{00000000-0005-0000-0000-00005D2B0000}"/>
    <cellStyle name="Финансовый 3 3 2 13 2" xfId="34222" xr:uid="{908A5C2A-F4CD-4775-B416-E3BD7A9CF8EE}"/>
    <cellStyle name="Финансовый 3 3 2 14" xfId="7805" xr:uid="{00000000-0005-0000-0000-00005E2B0000}"/>
    <cellStyle name="Финансовый 3 3 2 14 2" xfId="24912" xr:uid="{9DC0A619-B76B-4CA7-A71D-DAF21DCFDA2C}"/>
    <cellStyle name="Финансовый 3 3 2 15" xfId="24222" xr:uid="{B42D26BC-0089-4079-852F-A03F04D41392}"/>
    <cellStyle name="Финансовый 3 3 2 2" xfId="7807" xr:uid="{00000000-0005-0000-0000-00005F2B0000}"/>
    <cellStyle name="Финансовый 3 3 2 2 10" xfId="10898" xr:uid="{00000000-0005-0000-0000-0000602B0000}"/>
    <cellStyle name="Финансовый 3 3 2 2 10 2" xfId="27987" xr:uid="{6A7FD79D-4DEE-471D-A755-F7769A2E3E87}"/>
    <cellStyle name="Финансовый 3 3 2 2 11" xfId="14130" xr:uid="{00000000-0005-0000-0000-0000612B0000}"/>
    <cellStyle name="Финансовый 3 3 2 2 11 2" xfId="31143" xr:uid="{5BA003D8-A43C-454C-8F96-F85D8D1A1AC2}"/>
    <cellStyle name="Финансовый 3 3 2 2 12" xfId="17211" xr:uid="{00000000-0005-0000-0000-0000622B0000}"/>
    <cellStyle name="Финансовый 3 3 2 2 12 2" xfId="34224" xr:uid="{FA379489-02D7-4410-988A-67E7641F6D99}"/>
    <cellStyle name="Финансовый 3 3 2 2 13" xfId="24914" xr:uid="{A16F7E91-1C32-4315-A81D-3557C9E4C650}"/>
    <cellStyle name="Финансовый 3 3 2 2 2" xfId="7808" xr:uid="{00000000-0005-0000-0000-0000632B0000}"/>
    <cellStyle name="Финансовый 3 3 2 2 2 10" xfId="14131" xr:uid="{00000000-0005-0000-0000-0000642B0000}"/>
    <cellStyle name="Финансовый 3 3 2 2 2 10 2" xfId="31144" xr:uid="{33087B0F-B662-4EFB-B730-540432371F1D}"/>
    <cellStyle name="Финансовый 3 3 2 2 2 11" xfId="17212" xr:uid="{00000000-0005-0000-0000-0000652B0000}"/>
    <cellStyle name="Финансовый 3 3 2 2 2 11 2" xfId="34225" xr:uid="{246DD5CC-31BA-4550-ADF7-A1CCDE5A8CEF}"/>
    <cellStyle name="Финансовый 3 3 2 2 2 12" xfId="24915" xr:uid="{687D4DCF-D69B-414B-8D06-0E73FA0C7E06}"/>
    <cellStyle name="Финансовый 3 3 2 2 2 2" xfId="7809" xr:uid="{00000000-0005-0000-0000-0000662B0000}"/>
    <cellStyle name="Финансовый 3 3 2 2 2 2 10" xfId="17213" xr:uid="{00000000-0005-0000-0000-0000672B0000}"/>
    <cellStyle name="Финансовый 3 3 2 2 2 2 10 2" xfId="34226" xr:uid="{8124FC82-75BE-4511-88E4-FE348F140BEB}"/>
    <cellStyle name="Финансовый 3 3 2 2 2 2 11" xfId="24916" xr:uid="{35EA45DB-FE49-4A71-8990-1F0E83EEF00F}"/>
    <cellStyle name="Финансовый 3 3 2 2 2 2 2" xfId="7810" xr:uid="{00000000-0005-0000-0000-0000682B0000}"/>
    <cellStyle name="Финансовый 3 3 2 2 2 2 2 10" xfId="24917" xr:uid="{CF9DF143-1A6F-4F03-88E8-2CE2A0F38247}"/>
    <cellStyle name="Финансовый 3 3 2 2 2 2 2 2" xfId="7811" xr:uid="{00000000-0005-0000-0000-0000692B0000}"/>
    <cellStyle name="Финансовый 3 3 2 2 2 2 2 2 2" xfId="7812" xr:uid="{00000000-0005-0000-0000-00006A2B0000}"/>
    <cellStyle name="Финансовый 3 3 2 2 2 2 2 2 2 2" xfId="7813" xr:uid="{00000000-0005-0000-0000-00006B2B0000}"/>
    <cellStyle name="Финансовый 3 3 2 2 2 2 2 2 2 2 2" xfId="7814" xr:uid="{00000000-0005-0000-0000-00006C2B0000}"/>
    <cellStyle name="Финансовый 3 3 2 2 2 2 2 2 2 2 2 2" xfId="7815" xr:uid="{00000000-0005-0000-0000-00006D2B0000}"/>
    <cellStyle name="Финансовый 3 3 2 2 2 2 2 2 2 2 2 2 2" xfId="10906" xr:uid="{00000000-0005-0000-0000-00006E2B0000}"/>
    <cellStyle name="Финансовый 3 3 2 2 2 2 2 2 2 2 2 2 2 2" xfId="27995" xr:uid="{D25F053A-2708-4411-904E-946D7E3F79DE}"/>
    <cellStyle name="Финансовый 3 3 2 2 2 2 2 2 2 2 2 2 3" xfId="14138" xr:uid="{00000000-0005-0000-0000-00006F2B0000}"/>
    <cellStyle name="Финансовый 3 3 2 2 2 2 2 2 2 2 2 2 3 2" xfId="31151" xr:uid="{0B34BF0E-7F0D-465D-BECD-5E81955B7DFE}"/>
    <cellStyle name="Финансовый 3 3 2 2 2 2 2 2 2 2 2 2 4" xfId="17219" xr:uid="{00000000-0005-0000-0000-0000702B0000}"/>
    <cellStyle name="Финансовый 3 3 2 2 2 2 2 2 2 2 2 2 4 2" xfId="34232" xr:uid="{004A2C35-A6B5-467D-A330-4B0578673D1C}"/>
    <cellStyle name="Финансовый 3 3 2 2 2 2 2 2 2 2 2 2 5" xfId="24922" xr:uid="{3376E6AD-02F3-46D2-B078-9B843B0D8A92}"/>
    <cellStyle name="Финансовый 3 3 2 2 2 2 2 2 2 2 2 3" xfId="10905" xr:uid="{00000000-0005-0000-0000-0000712B0000}"/>
    <cellStyle name="Финансовый 3 3 2 2 2 2 2 2 2 2 2 3 2" xfId="27994" xr:uid="{C4B98833-F682-4106-8756-F930E30CC180}"/>
    <cellStyle name="Финансовый 3 3 2 2 2 2 2 2 2 2 2 4" xfId="14137" xr:uid="{00000000-0005-0000-0000-0000722B0000}"/>
    <cellStyle name="Финансовый 3 3 2 2 2 2 2 2 2 2 2 4 2" xfId="31150" xr:uid="{E617C981-6BC5-455D-998F-3BB3739DFFE5}"/>
    <cellStyle name="Финансовый 3 3 2 2 2 2 2 2 2 2 2 5" xfId="17218" xr:uid="{00000000-0005-0000-0000-0000732B0000}"/>
    <cellStyle name="Финансовый 3 3 2 2 2 2 2 2 2 2 2 5 2" xfId="34231" xr:uid="{8B7334B7-757C-44FC-990E-7B51E7349585}"/>
    <cellStyle name="Финансовый 3 3 2 2 2 2 2 2 2 2 2 6" xfId="24921" xr:uid="{9A9D74E2-9480-4C47-A804-B863FFA23731}"/>
    <cellStyle name="Финансовый 3 3 2 2 2 2 2 2 2 2 3" xfId="7816" xr:uid="{00000000-0005-0000-0000-0000742B0000}"/>
    <cellStyle name="Финансовый 3 3 2 2 2 2 2 2 2 2 3 2" xfId="10907" xr:uid="{00000000-0005-0000-0000-0000752B0000}"/>
    <cellStyle name="Финансовый 3 3 2 2 2 2 2 2 2 2 3 2 2" xfId="27996" xr:uid="{6D78D573-A7CD-4341-B519-74CCB8722480}"/>
    <cellStyle name="Финансовый 3 3 2 2 2 2 2 2 2 2 3 3" xfId="14139" xr:uid="{00000000-0005-0000-0000-0000762B0000}"/>
    <cellStyle name="Финансовый 3 3 2 2 2 2 2 2 2 2 3 3 2" xfId="31152" xr:uid="{AD52CE71-0478-40F4-8D9E-CB129D6BACBF}"/>
    <cellStyle name="Финансовый 3 3 2 2 2 2 2 2 2 2 3 4" xfId="17220" xr:uid="{00000000-0005-0000-0000-0000772B0000}"/>
    <cellStyle name="Финансовый 3 3 2 2 2 2 2 2 2 2 3 4 2" xfId="34233" xr:uid="{0495120C-A56B-43A6-991E-C3583D6F5421}"/>
    <cellStyle name="Финансовый 3 3 2 2 2 2 2 2 2 2 3 5" xfId="24923" xr:uid="{87EB7CB7-4DD7-4E33-8361-28113BBF46AF}"/>
    <cellStyle name="Финансовый 3 3 2 2 2 2 2 2 2 2 4" xfId="10904" xr:uid="{00000000-0005-0000-0000-0000782B0000}"/>
    <cellStyle name="Финансовый 3 3 2 2 2 2 2 2 2 2 4 2" xfId="27993" xr:uid="{1902E09D-7C5F-4344-85E4-A88F8E6BC20E}"/>
    <cellStyle name="Финансовый 3 3 2 2 2 2 2 2 2 2 5" xfId="14136" xr:uid="{00000000-0005-0000-0000-0000792B0000}"/>
    <cellStyle name="Финансовый 3 3 2 2 2 2 2 2 2 2 5 2" xfId="31149" xr:uid="{101311DA-A72E-47DC-B2BD-044E711A516D}"/>
    <cellStyle name="Финансовый 3 3 2 2 2 2 2 2 2 2 6" xfId="17217" xr:uid="{00000000-0005-0000-0000-00007A2B0000}"/>
    <cellStyle name="Финансовый 3 3 2 2 2 2 2 2 2 2 6 2" xfId="34230" xr:uid="{DDE5A16A-F9BB-4290-B523-394204CD87A1}"/>
    <cellStyle name="Финансовый 3 3 2 2 2 2 2 2 2 2 7" xfId="24920" xr:uid="{2C382C65-777A-4046-9680-3B3532E0A640}"/>
    <cellStyle name="Финансовый 3 3 2 2 2 2 2 2 2 3" xfId="7817" xr:uid="{00000000-0005-0000-0000-00007B2B0000}"/>
    <cellStyle name="Финансовый 3 3 2 2 2 2 2 2 2 3 2" xfId="7818" xr:uid="{00000000-0005-0000-0000-00007C2B0000}"/>
    <cellStyle name="Финансовый 3 3 2 2 2 2 2 2 2 3 2 2" xfId="10909" xr:uid="{00000000-0005-0000-0000-00007D2B0000}"/>
    <cellStyle name="Финансовый 3 3 2 2 2 2 2 2 2 3 2 2 2" xfId="27998" xr:uid="{70B1859B-8959-4E89-8D66-CA5BC1B7278F}"/>
    <cellStyle name="Финансовый 3 3 2 2 2 2 2 2 2 3 2 3" xfId="14141" xr:uid="{00000000-0005-0000-0000-00007E2B0000}"/>
    <cellStyle name="Финансовый 3 3 2 2 2 2 2 2 2 3 2 3 2" xfId="31154" xr:uid="{1738C149-D43D-4A5D-A16F-5F31D398135E}"/>
    <cellStyle name="Финансовый 3 3 2 2 2 2 2 2 2 3 2 4" xfId="17222" xr:uid="{00000000-0005-0000-0000-00007F2B0000}"/>
    <cellStyle name="Финансовый 3 3 2 2 2 2 2 2 2 3 2 4 2" xfId="34235" xr:uid="{FCAC424C-E9F2-4989-A54C-AA3C1850DE1B}"/>
    <cellStyle name="Финансовый 3 3 2 2 2 2 2 2 2 3 2 5" xfId="24925" xr:uid="{5F2F1EBE-7815-46E4-8535-DBD4F1EF2616}"/>
    <cellStyle name="Финансовый 3 3 2 2 2 2 2 2 2 3 3" xfId="10908" xr:uid="{00000000-0005-0000-0000-0000802B0000}"/>
    <cellStyle name="Финансовый 3 3 2 2 2 2 2 2 2 3 3 2" xfId="27997" xr:uid="{FFA614DA-DBFE-450F-98A6-D89F3D5DA7FC}"/>
    <cellStyle name="Финансовый 3 3 2 2 2 2 2 2 2 3 4" xfId="14140" xr:uid="{00000000-0005-0000-0000-0000812B0000}"/>
    <cellStyle name="Финансовый 3 3 2 2 2 2 2 2 2 3 4 2" xfId="31153" xr:uid="{E55110D1-4655-4FAF-832B-EE182B5A32FD}"/>
    <cellStyle name="Финансовый 3 3 2 2 2 2 2 2 2 3 5" xfId="17221" xr:uid="{00000000-0005-0000-0000-0000822B0000}"/>
    <cellStyle name="Финансовый 3 3 2 2 2 2 2 2 2 3 5 2" xfId="34234" xr:uid="{5B1C3A3B-C466-4BB2-8AD6-E54F2EB31D55}"/>
    <cellStyle name="Финансовый 3 3 2 2 2 2 2 2 2 3 6" xfId="24924" xr:uid="{0D3293D7-A81D-4013-BE84-3310B04055C0}"/>
    <cellStyle name="Финансовый 3 3 2 2 2 2 2 2 2 4" xfId="7819" xr:uid="{00000000-0005-0000-0000-0000832B0000}"/>
    <cellStyle name="Финансовый 3 3 2 2 2 2 2 2 2 4 2" xfId="10910" xr:uid="{00000000-0005-0000-0000-0000842B0000}"/>
    <cellStyle name="Финансовый 3 3 2 2 2 2 2 2 2 4 2 2" xfId="27999" xr:uid="{210B2FBA-61AD-41C7-8C5D-ACADAA40FCF1}"/>
    <cellStyle name="Финансовый 3 3 2 2 2 2 2 2 2 4 3" xfId="14142" xr:uid="{00000000-0005-0000-0000-0000852B0000}"/>
    <cellStyle name="Финансовый 3 3 2 2 2 2 2 2 2 4 3 2" xfId="31155" xr:uid="{B4C5E2EC-6A58-4693-AD71-33CC4C669EA9}"/>
    <cellStyle name="Финансовый 3 3 2 2 2 2 2 2 2 4 4" xfId="17223" xr:uid="{00000000-0005-0000-0000-0000862B0000}"/>
    <cellStyle name="Финансовый 3 3 2 2 2 2 2 2 2 4 4 2" xfId="34236" xr:uid="{445D252C-DC6F-4077-A19D-47DBA36529E0}"/>
    <cellStyle name="Финансовый 3 3 2 2 2 2 2 2 2 4 5" xfId="24926" xr:uid="{F125F27E-7326-4302-9ACF-866107EC2435}"/>
    <cellStyle name="Финансовый 3 3 2 2 2 2 2 2 2 5" xfId="10903" xr:uid="{00000000-0005-0000-0000-0000872B0000}"/>
    <cellStyle name="Финансовый 3 3 2 2 2 2 2 2 2 5 2" xfId="27992" xr:uid="{6FDDBE43-04F0-4F48-9E24-6FDDCDFB8F7A}"/>
    <cellStyle name="Финансовый 3 3 2 2 2 2 2 2 2 6" xfId="14135" xr:uid="{00000000-0005-0000-0000-0000882B0000}"/>
    <cellStyle name="Финансовый 3 3 2 2 2 2 2 2 2 6 2" xfId="31148" xr:uid="{A6CE80C4-27EE-4761-AC25-D14BE72F898F}"/>
    <cellStyle name="Финансовый 3 3 2 2 2 2 2 2 2 7" xfId="17216" xr:uid="{00000000-0005-0000-0000-0000892B0000}"/>
    <cellStyle name="Финансовый 3 3 2 2 2 2 2 2 2 7 2" xfId="34229" xr:uid="{62F59A05-A973-435B-9872-0DC98F9D570E}"/>
    <cellStyle name="Финансовый 3 3 2 2 2 2 2 2 2 8" xfId="24919" xr:uid="{17714E3A-B800-426E-86FC-57A19AD2E746}"/>
    <cellStyle name="Финансовый 3 3 2 2 2 2 2 2 3" xfId="7820" xr:uid="{00000000-0005-0000-0000-00008A2B0000}"/>
    <cellStyle name="Финансовый 3 3 2 2 2 2 2 2 3 2" xfId="7821" xr:uid="{00000000-0005-0000-0000-00008B2B0000}"/>
    <cellStyle name="Финансовый 3 3 2 2 2 2 2 2 3 2 2" xfId="7822" xr:uid="{00000000-0005-0000-0000-00008C2B0000}"/>
    <cellStyle name="Финансовый 3 3 2 2 2 2 2 2 3 2 2 2" xfId="10913" xr:uid="{00000000-0005-0000-0000-00008D2B0000}"/>
    <cellStyle name="Финансовый 3 3 2 2 2 2 2 2 3 2 2 2 2" xfId="28002" xr:uid="{110BFA16-C724-4F8C-A82B-6B930D4C84BC}"/>
    <cellStyle name="Финансовый 3 3 2 2 2 2 2 2 3 2 2 3" xfId="14145" xr:uid="{00000000-0005-0000-0000-00008E2B0000}"/>
    <cellStyle name="Финансовый 3 3 2 2 2 2 2 2 3 2 2 3 2" xfId="31158" xr:uid="{6C8AD422-E114-4DBF-B77A-BDF40C0734CC}"/>
    <cellStyle name="Финансовый 3 3 2 2 2 2 2 2 3 2 2 4" xfId="17226" xr:uid="{00000000-0005-0000-0000-00008F2B0000}"/>
    <cellStyle name="Финансовый 3 3 2 2 2 2 2 2 3 2 2 4 2" xfId="34239" xr:uid="{3276BFB0-5DB7-4989-A7CF-EDDD3663541F}"/>
    <cellStyle name="Финансовый 3 3 2 2 2 2 2 2 3 2 2 5" xfId="24929" xr:uid="{C00EA2E1-4311-4654-9F1E-B0E4727EF570}"/>
    <cellStyle name="Финансовый 3 3 2 2 2 2 2 2 3 2 3" xfId="10912" xr:uid="{00000000-0005-0000-0000-0000902B0000}"/>
    <cellStyle name="Финансовый 3 3 2 2 2 2 2 2 3 2 3 2" xfId="28001" xr:uid="{FAEC4FDF-EF5F-4DAD-A194-9B682CD35075}"/>
    <cellStyle name="Финансовый 3 3 2 2 2 2 2 2 3 2 4" xfId="14144" xr:uid="{00000000-0005-0000-0000-0000912B0000}"/>
    <cellStyle name="Финансовый 3 3 2 2 2 2 2 2 3 2 4 2" xfId="31157" xr:uid="{DE1F100D-44BE-48C1-A175-68AC105BC43E}"/>
    <cellStyle name="Финансовый 3 3 2 2 2 2 2 2 3 2 5" xfId="17225" xr:uid="{00000000-0005-0000-0000-0000922B0000}"/>
    <cellStyle name="Финансовый 3 3 2 2 2 2 2 2 3 2 5 2" xfId="34238" xr:uid="{32DC824A-6584-476D-944A-D7D9688E94CE}"/>
    <cellStyle name="Финансовый 3 3 2 2 2 2 2 2 3 2 6" xfId="24928" xr:uid="{3B573B79-CDEA-4A49-844D-F8B397C60DD3}"/>
    <cellStyle name="Финансовый 3 3 2 2 2 2 2 2 3 3" xfId="7823" xr:uid="{00000000-0005-0000-0000-0000932B0000}"/>
    <cellStyle name="Финансовый 3 3 2 2 2 2 2 2 3 3 2" xfId="10914" xr:uid="{00000000-0005-0000-0000-0000942B0000}"/>
    <cellStyle name="Финансовый 3 3 2 2 2 2 2 2 3 3 2 2" xfId="28003" xr:uid="{DB2AE487-637E-49EE-87B7-9F277DEF1A46}"/>
    <cellStyle name="Финансовый 3 3 2 2 2 2 2 2 3 3 3" xfId="14146" xr:uid="{00000000-0005-0000-0000-0000952B0000}"/>
    <cellStyle name="Финансовый 3 3 2 2 2 2 2 2 3 3 3 2" xfId="31159" xr:uid="{66B5F9C0-59F2-4F6B-ADB6-49767E9BEF6A}"/>
    <cellStyle name="Финансовый 3 3 2 2 2 2 2 2 3 3 4" xfId="17227" xr:uid="{00000000-0005-0000-0000-0000962B0000}"/>
    <cellStyle name="Финансовый 3 3 2 2 2 2 2 2 3 3 4 2" xfId="34240" xr:uid="{63E861B4-8E20-4D97-8487-1DA7F1CC61EF}"/>
    <cellStyle name="Финансовый 3 3 2 2 2 2 2 2 3 3 5" xfId="24930" xr:uid="{EEE6E4CA-BFC5-4BDF-80AC-9B0007232CBA}"/>
    <cellStyle name="Финансовый 3 3 2 2 2 2 2 2 3 4" xfId="10911" xr:uid="{00000000-0005-0000-0000-0000972B0000}"/>
    <cellStyle name="Финансовый 3 3 2 2 2 2 2 2 3 4 2" xfId="28000" xr:uid="{D14EF2FA-12A2-4DE4-AF52-A1A30CE80734}"/>
    <cellStyle name="Финансовый 3 3 2 2 2 2 2 2 3 5" xfId="14143" xr:uid="{00000000-0005-0000-0000-0000982B0000}"/>
    <cellStyle name="Финансовый 3 3 2 2 2 2 2 2 3 5 2" xfId="31156" xr:uid="{9EC6C4AB-DADA-48E9-8CBC-1CBA20B64C1E}"/>
    <cellStyle name="Финансовый 3 3 2 2 2 2 2 2 3 6" xfId="17224" xr:uid="{00000000-0005-0000-0000-0000992B0000}"/>
    <cellStyle name="Финансовый 3 3 2 2 2 2 2 2 3 6 2" xfId="34237" xr:uid="{D2CA3524-DE4B-499A-872C-8E2DA781F6D0}"/>
    <cellStyle name="Финансовый 3 3 2 2 2 2 2 2 3 7" xfId="24927" xr:uid="{33F13515-DB15-4782-BBF8-675D95377F49}"/>
    <cellStyle name="Финансовый 3 3 2 2 2 2 2 2 4" xfId="7824" xr:uid="{00000000-0005-0000-0000-00009A2B0000}"/>
    <cellStyle name="Финансовый 3 3 2 2 2 2 2 2 4 2" xfId="7825" xr:uid="{00000000-0005-0000-0000-00009B2B0000}"/>
    <cellStyle name="Финансовый 3 3 2 2 2 2 2 2 4 2 2" xfId="10916" xr:uid="{00000000-0005-0000-0000-00009C2B0000}"/>
    <cellStyle name="Финансовый 3 3 2 2 2 2 2 2 4 2 2 2" xfId="28005" xr:uid="{EEA126FD-1071-4AFB-A9FD-C0818A4E20A0}"/>
    <cellStyle name="Финансовый 3 3 2 2 2 2 2 2 4 2 3" xfId="14148" xr:uid="{00000000-0005-0000-0000-00009D2B0000}"/>
    <cellStyle name="Финансовый 3 3 2 2 2 2 2 2 4 2 3 2" xfId="31161" xr:uid="{1AB49BE0-552A-4ED1-AE28-C278221EF5A9}"/>
    <cellStyle name="Финансовый 3 3 2 2 2 2 2 2 4 2 4" xfId="17229" xr:uid="{00000000-0005-0000-0000-00009E2B0000}"/>
    <cellStyle name="Финансовый 3 3 2 2 2 2 2 2 4 2 4 2" xfId="34242" xr:uid="{8818CB1D-B14B-409E-9116-384249B3D951}"/>
    <cellStyle name="Финансовый 3 3 2 2 2 2 2 2 4 2 5" xfId="24932" xr:uid="{E8FB09F5-6CBE-4A07-8219-AC6D517D229F}"/>
    <cellStyle name="Финансовый 3 3 2 2 2 2 2 2 4 3" xfId="10915" xr:uid="{00000000-0005-0000-0000-00009F2B0000}"/>
    <cellStyle name="Финансовый 3 3 2 2 2 2 2 2 4 3 2" xfId="28004" xr:uid="{CCC0C42B-F6C4-4F19-BFBA-1D291CF9CB8B}"/>
    <cellStyle name="Финансовый 3 3 2 2 2 2 2 2 4 4" xfId="14147" xr:uid="{00000000-0005-0000-0000-0000A02B0000}"/>
    <cellStyle name="Финансовый 3 3 2 2 2 2 2 2 4 4 2" xfId="31160" xr:uid="{E37DB699-455D-4F97-9439-64522BEB12FC}"/>
    <cellStyle name="Финансовый 3 3 2 2 2 2 2 2 4 5" xfId="17228" xr:uid="{00000000-0005-0000-0000-0000A12B0000}"/>
    <cellStyle name="Финансовый 3 3 2 2 2 2 2 2 4 5 2" xfId="34241" xr:uid="{72903C43-C632-4DAA-BED3-4F77163E90D7}"/>
    <cellStyle name="Финансовый 3 3 2 2 2 2 2 2 4 6" xfId="24931" xr:uid="{6CDC42B8-E880-4A41-ADAB-3E248B1F0842}"/>
    <cellStyle name="Финансовый 3 3 2 2 2 2 2 2 5" xfId="7826" xr:uid="{00000000-0005-0000-0000-0000A22B0000}"/>
    <cellStyle name="Финансовый 3 3 2 2 2 2 2 2 5 2" xfId="10917" xr:uid="{00000000-0005-0000-0000-0000A32B0000}"/>
    <cellStyle name="Финансовый 3 3 2 2 2 2 2 2 5 2 2" xfId="28006" xr:uid="{BDAB60BD-7398-4EE4-BBDB-A66C71C52A63}"/>
    <cellStyle name="Финансовый 3 3 2 2 2 2 2 2 5 3" xfId="14149" xr:uid="{00000000-0005-0000-0000-0000A42B0000}"/>
    <cellStyle name="Финансовый 3 3 2 2 2 2 2 2 5 3 2" xfId="31162" xr:uid="{082B3C3A-97F3-4CFB-9811-A0ADF6E79A8F}"/>
    <cellStyle name="Финансовый 3 3 2 2 2 2 2 2 5 4" xfId="17230" xr:uid="{00000000-0005-0000-0000-0000A52B0000}"/>
    <cellStyle name="Финансовый 3 3 2 2 2 2 2 2 5 4 2" xfId="34243" xr:uid="{49F2BA69-27EC-4BE5-9B38-9D49DD1134F4}"/>
    <cellStyle name="Финансовый 3 3 2 2 2 2 2 2 5 5" xfId="24933" xr:uid="{06397AAC-0386-4342-A355-0830FDDF3093}"/>
    <cellStyle name="Финансовый 3 3 2 2 2 2 2 2 6" xfId="10902" xr:uid="{00000000-0005-0000-0000-0000A62B0000}"/>
    <cellStyle name="Финансовый 3 3 2 2 2 2 2 2 6 2" xfId="27991" xr:uid="{35E0D586-6ECA-4EF5-8FDC-D2C6855BB6C5}"/>
    <cellStyle name="Финансовый 3 3 2 2 2 2 2 2 7" xfId="14134" xr:uid="{00000000-0005-0000-0000-0000A72B0000}"/>
    <cellStyle name="Финансовый 3 3 2 2 2 2 2 2 7 2" xfId="31147" xr:uid="{0FD1B02B-06BF-49E1-A8CB-1A8192ABC3A6}"/>
    <cellStyle name="Финансовый 3 3 2 2 2 2 2 2 8" xfId="17215" xr:uid="{00000000-0005-0000-0000-0000A82B0000}"/>
    <cellStyle name="Финансовый 3 3 2 2 2 2 2 2 8 2" xfId="34228" xr:uid="{DA64EC4C-737F-451F-BCC0-1C06E8A56944}"/>
    <cellStyle name="Финансовый 3 3 2 2 2 2 2 2 9" xfId="24918" xr:uid="{B0F865E1-2B88-4AF7-866E-6F3C9AC7E7E3}"/>
    <cellStyle name="Финансовый 3 3 2 2 2 2 2 3" xfId="7827" xr:uid="{00000000-0005-0000-0000-0000A92B0000}"/>
    <cellStyle name="Финансовый 3 3 2 2 2 2 2 3 2" xfId="7828" xr:uid="{00000000-0005-0000-0000-0000AA2B0000}"/>
    <cellStyle name="Финансовый 3 3 2 2 2 2 2 3 2 2" xfId="7829" xr:uid="{00000000-0005-0000-0000-0000AB2B0000}"/>
    <cellStyle name="Финансовый 3 3 2 2 2 2 2 3 2 2 2" xfId="7830" xr:uid="{00000000-0005-0000-0000-0000AC2B0000}"/>
    <cellStyle name="Финансовый 3 3 2 2 2 2 2 3 2 2 2 2" xfId="10921" xr:uid="{00000000-0005-0000-0000-0000AD2B0000}"/>
    <cellStyle name="Финансовый 3 3 2 2 2 2 2 3 2 2 2 2 2" xfId="28010" xr:uid="{478139B9-E430-4982-AAB5-D873BFFAEFE3}"/>
    <cellStyle name="Финансовый 3 3 2 2 2 2 2 3 2 2 2 3" xfId="14153" xr:uid="{00000000-0005-0000-0000-0000AE2B0000}"/>
    <cellStyle name="Финансовый 3 3 2 2 2 2 2 3 2 2 2 3 2" xfId="31166" xr:uid="{70683407-5DD0-44C5-B694-D830A50DB7A5}"/>
    <cellStyle name="Финансовый 3 3 2 2 2 2 2 3 2 2 2 4" xfId="17234" xr:uid="{00000000-0005-0000-0000-0000AF2B0000}"/>
    <cellStyle name="Финансовый 3 3 2 2 2 2 2 3 2 2 2 4 2" xfId="34247" xr:uid="{4BC3EFAB-1FCB-4D87-A66F-2E05A04F6A8A}"/>
    <cellStyle name="Финансовый 3 3 2 2 2 2 2 3 2 2 2 5" xfId="24937" xr:uid="{007F8C0A-3373-4E3C-A56E-F1A11C06A4D1}"/>
    <cellStyle name="Финансовый 3 3 2 2 2 2 2 3 2 2 3" xfId="10920" xr:uid="{00000000-0005-0000-0000-0000B02B0000}"/>
    <cellStyle name="Финансовый 3 3 2 2 2 2 2 3 2 2 3 2" xfId="28009" xr:uid="{3BAFB280-1DFE-4759-A3D4-682D444F687C}"/>
    <cellStyle name="Финансовый 3 3 2 2 2 2 2 3 2 2 4" xfId="14152" xr:uid="{00000000-0005-0000-0000-0000B12B0000}"/>
    <cellStyle name="Финансовый 3 3 2 2 2 2 2 3 2 2 4 2" xfId="31165" xr:uid="{AC7C492F-23BC-420D-A915-F8838BC458B2}"/>
    <cellStyle name="Финансовый 3 3 2 2 2 2 2 3 2 2 5" xfId="17233" xr:uid="{00000000-0005-0000-0000-0000B22B0000}"/>
    <cellStyle name="Финансовый 3 3 2 2 2 2 2 3 2 2 5 2" xfId="34246" xr:uid="{53897834-26BD-49D4-9BFE-DD9803D57849}"/>
    <cellStyle name="Финансовый 3 3 2 2 2 2 2 3 2 2 6" xfId="24936" xr:uid="{CD546723-C3A1-415E-88A2-0ED1A25FAAC8}"/>
    <cellStyle name="Финансовый 3 3 2 2 2 2 2 3 2 3" xfId="7831" xr:uid="{00000000-0005-0000-0000-0000B32B0000}"/>
    <cellStyle name="Финансовый 3 3 2 2 2 2 2 3 2 3 2" xfId="10922" xr:uid="{00000000-0005-0000-0000-0000B42B0000}"/>
    <cellStyle name="Финансовый 3 3 2 2 2 2 2 3 2 3 2 2" xfId="28011" xr:uid="{47D60EE8-3CEE-4903-B8FA-C939CC58A6ED}"/>
    <cellStyle name="Финансовый 3 3 2 2 2 2 2 3 2 3 3" xfId="14154" xr:uid="{00000000-0005-0000-0000-0000B52B0000}"/>
    <cellStyle name="Финансовый 3 3 2 2 2 2 2 3 2 3 3 2" xfId="31167" xr:uid="{B3E912E6-E47A-4D2E-BCC5-ADDF3DAD6D5A}"/>
    <cellStyle name="Финансовый 3 3 2 2 2 2 2 3 2 3 4" xfId="17235" xr:uid="{00000000-0005-0000-0000-0000B62B0000}"/>
    <cellStyle name="Финансовый 3 3 2 2 2 2 2 3 2 3 4 2" xfId="34248" xr:uid="{7BA89DFC-912D-499E-8A72-248B57D63063}"/>
    <cellStyle name="Финансовый 3 3 2 2 2 2 2 3 2 3 5" xfId="24938" xr:uid="{4E2365FE-AD45-4281-97BA-AFF865FF05FB}"/>
    <cellStyle name="Финансовый 3 3 2 2 2 2 2 3 2 4" xfId="10919" xr:uid="{00000000-0005-0000-0000-0000B72B0000}"/>
    <cellStyle name="Финансовый 3 3 2 2 2 2 2 3 2 4 2" xfId="28008" xr:uid="{AF721105-3779-4378-B29C-0ACE786D5AB4}"/>
    <cellStyle name="Финансовый 3 3 2 2 2 2 2 3 2 5" xfId="14151" xr:uid="{00000000-0005-0000-0000-0000B82B0000}"/>
    <cellStyle name="Финансовый 3 3 2 2 2 2 2 3 2 5 2" xfId="31164" xr:uid="{C00A68E7-B437-4AF9-8019-F41C765D821A}"/>
    <cellStyle name="Финансовый 3 3 2 2 2 2 2 3 2 6" xfId="17232" xr:uid="{00000000-0005-0000-0000-0000B92B0000}"/>
    <cellStyle name="Финансовый 3 3 2 2 2 2 2 3 2 6 2" xfId="34245" xr:uid="{0CB83F4C-639A-4DF5-8114-50DFA0E28D48}"/>
    <cellStyle name="Финансовый 3 3 2 2 2 2 2 3 2 7" xfId="24935" xr:uid="{C871DAA9-4FCF-44BC-BC0F-57BF1064A683}"/>
    <cellStyle name="Финансовый 3 3 2 2 2 2 2 3 3" xfId="7832" xr:uid="{00000000-0005-0000-0000-0000BA2B0000}"/>
    <cellStyle name="Финансовый 3 3 2 2 2 2 2 3 3 2" xfId="7833" xr:uid="{00000000-0005-0000-0000-0000BB2B0000}"/>
    <cellStyle name="Финансовый 3 3 2 2 2 2 2 3 3 2 2" xfId="10924" xr:uid="{00000000-0005-0000-0000-0000BC2B0000}"/>
    <cellStyle name="Финансовый 3 3 2 2 2 2 2 3 3 2 2 2" xfId="28013" xr:uid="{30CB5B97-C7C4-42E0-BEDB-6276141859F9}"/>
    <cellStyle name="Финансовый 3 3 2 2 2 2 2 3 3 2 3" xfId="14156" xr:uid="{00000000-0005-0000-0000-0000BD2B0000}"/>
    <cellStyle name="Финансовый 3 3 2 2 2 2 2 3 3 2 3 2" xfId="31169" xr:uid="{50323BFB-4E83-450B-B2D5-E240A9A062E1}"/>
    <cellStyle name="Финансовый 3 3 2 2 2 2 2 3 3 2 4" xfId="17237" xr:uid="{00000000-0005-0000-0000-0000BE2B0000}"/>
    <cellStyle name="Финансовый 3 3 2 2 2 2 2 3 3 2 4 2" xfId="34250" xr:uid="{3B1EF7D9-73A0-413A-BE25-5A3721B50F97}"/>
    <cellStyle name="Финансовый 3 3 2 2 2 2 2 3 3 2 5" xfId="24940" xr:uid="{305DEA75-528C-4493-8394-859750217B56}"/>
    <cellStyle name="Финансовый 3 3 2 2 2 2 2 3 3 3" xfId="10923" xr:uid="{00000000-0005-0000-0000-0000BF2B0000}"/>
    <cellStyle name="Финансовый 3 3 2 2 2 2 2 3 3 3 2" xfId="28012" xr:uid="{DA0D796D-E320-410E-A2CC-24B99B3D04C3}"/>
    <cellStyle name="Финансовый 3 3 2 2 2 2 2 3 3 4" xfId="14155" xr:uid="{00000000-0005-0000-0000-0000C02B0000}"/>
    <cellStyle name="Финансовый 3 3 2 2 2 2 2 3 3 4 2" xfId="31168" xr:uid="{DC7F56B8-5BA7-499F-94F9-ABB604023B17}"/>
    <cellStyle name="Финансовый 3 3 2 2 2 2 2 3 3 5" xfId="17236" xr:uid="{00000000-0005-0000-0000-0000C12B0000}"/>
    <cellStyle name="Финансовый 3 3 2 2 2 2 2 3 3 5 2" xfId="34249" xr:uid="{8B790D34-1C17-4AEB-B6CF-C18F76E73AC4}"/>
    <cellStyle name="Финансовый 3 3 2 2 2 2 2 3 3 6" xfId="24939" xr:uid="{0BCFD092-C733-4A2B-A0FB-B71B838192F7}"/>
    <cellStyle name="Финансовый 3 3 2 2 2 2 2 3 4" xfId="7834" xr:uid="{00000000-0005-0000-0000-0000C22B0000}"/>
    <cellStyle name="Финансовый 3 3 2 2 2 2 2 3 4 2" xfId="10925" xr:uid="{00000000-0005-0000-0000-0000C32B0000}"/>
    <cellStyle name="Финансовый 3 3 2 2 2 2 2 3 4 2 2" xfId="28014" xr:uid="{83461F6A-2B4E-4284-9C11-82A533DCF3AC}"/>
    <cellStyle name="Финансовый 3 3 2 2 2 2 2 3 4 3" xfId="14157" xr:uid="{00000000-0005-0000-0000-0000C42B0000}"/>
    <cellStyle name="Финансовый 3 3 2 2 2 2 2 3 4 3 2" xfId="31170" xr:uid="{E78E59AD-D721-4B33-A60A-4ECE67829A7F}"/>
    <cellStyle name="Финансовый 3 3 2 2 2 2 2 3 4 4" xfId="17238" xr:uid="{00000000-0005-0000-0000-0000C52B0000}"/>
    <cellStyle name="Финансовый 3 3 2 2 2 2 2 3 4 4 2" xfId="34251" xr:uid="{0C89E6D0-21C5-4AE4-A0EE-C443594104E2}"/>
    <cellStyle name="Финансовый 3 3 2 2 2 2 2 3 4 5" xfId="24941" xr:uid="{77289E3C-5EC1-47B3-AE6D-102203DAF2E0}"/>
    <cellStyle name="Финансовый 3 3 2 2 2 2 2 3 5" xfId="10918" xr:uid="{00000000-0005-0000-0000-0000C62B0000}"/>
    <cellStyle name="Финансовый 3 3 2 2 2 2 2 3 5 2" xfId="28007" xr:uid="{C070DB46-EB0E-4AC1-8909-51366FA5B536}"/>
    <cellStyle name="Финансовый 3 3 2 2 2 2 2 3 6" xfId="14150" xr:uid="{00000000-0005-0000-0000-0000C72B0000}"/>
    <cellStyle name="Финансовый 3 3 2 2 2 2 2 3 6 2" xfId="31163" xr:uid="{C464C1F6-F7C1-43E4-A3D7-A1387033ED33}"/>
    <cellStyle name="Финансовый 3 3 2 2 2 2 2 3 7" xfId="17231" xr:uid="{00000000-0005-0000-0000-0000C82B0000}"/>
    <cellStyle name="Финансовый 3 3 2 2 2 2 2 3 7 2" xfId="34244" xr:uid="{98D01FE4-6A33-44A2-BFE1-EF399527F09C}"/>
    <cellStyle name="Финансовый 3 3 2 2 2 2 2 3 8" xfId="24934" xr:uid="{F1109405-D59D-4ED6-A76E-17FDBCF7887F}"/>
    <cellStyle name="Финансовый 3 3 2 2 2 2 2 4" xfId="7835" xr:uid="{00000000-0005-0000-0000-0000C92B0000}"/>
    <cellStyle name="Финансовый 3 3 2 2 2 2 2 4 2" xfId="7836" xr:uid="{00000000-0005-0000-0000-0000CA2B0000}"/>
    <cellStyle name="Финансовый 3 3 2 2 2 2 2 4 2 2" xfId="7837" xr:uid="{00000000-0005-0000-0000-0000CB2B0000}"/>
    <cellStyle name="Финансовый 3 3 2 2 2 2 2 4 2 2 2" xfId="10928" xr:uid="{00000000-0005-0000-0000-0000CC2B0000}"/>
    <cellStyle name="Финансовый 3 3 2 2 2 2 2 4 2 2 2 2" xfId="28017" xr:uid="{FFBFACB5-ACB7-47F3-A824-D516E568F498}"/>
    <cellStyle name="Финансовый 3 3 2 2 2 2 2 4 2 2 3" xfId="14160" xr:uid="{00000000-0005-0000-0000-0000CD2B0000}"/>
    <cellStyle name="Финансовый 3 3 2 2 2 2 2 4 2 2 3 2" xfId="31173" xr:uid="{6404E004-697F-453F-A94D-5DD87F9E5F16}"/>
    <cellStyle name="Финансовый 3 3 2 2 2 2 2 4 2 2 4" xfId="17241" xr:uid="{00000000-0005-0000-0000-0000CE2B0000}"/>
    <cellStyle name="Финансовый 3 3 2 2 2 2 2 4 2 2 4 2" xfId="34254" xr:uid="{A89FD751-2174-4D48-B3DC-265856CE39D4}"/>
    <cellStyle name="Финансовый 3 3 2 2 2 2 2 4 2 2 5" xfId="24944" xr:uid="{45340F9C-8B30-490B-B563-B4285403F191}"/>
    <cellStyle name="Финансовый 3 3 2 2 2 2 2 4 2 3" xfId="10927" xr:uid="{00000000-0005-0000-0000-0000CF2B0000}"/>
    <cellStyle name="Финансовый 3 3 2 2 2 2 2 4 2 3 2" xfId="28016" xr:uid="{E1DC1EBE-BC49-495E-991B-0C2772C3C73B}"/>
    <cellStyle name="Финансовый 3 3 2 2 2 2 2 4 2 4" xfId="14159" xr:uid="{00000000-0005-0000-0000-0000D02B0000}"/>
    <cellStyle name="Финансовый 3 3 2 2 2 2 2 4 2 4 2" xfId="31172" xr:uid="{22072F86-7B2A-4E0F-9787-6103F9CB32EA}"/>
    <cellStyle name="Финансовый 3 3 2 2 2 2 2 4 2 5" xfId="17240" xr:uid="{00000000-0005-0000-0000-0000D12B0000}"/>
    <cellStyle name="Финансовый 3 3 2 2 2 2 2 4 2 5 2" xfId="34253" xr:uid="{6FDD91FD-35CC-43E0-BDCB-60F5CECA0C2D}"/>
    <cellStyle name="Финансовый 3 3 2 2 2 2 2 4 2 6" xfId="24943" xr:uid="{42AB4460-9FB4-446A-8DCC-CAA615DA6654}"/>
    <cellStyle name="Финансовый 3 3 2 2 2 2 2 4 3" xfId="7838" xr:uid="{00000000-0005-0000-0000-0000D22B0000}"/>
    <cellStyle name="Финансовый 3 3 2 2 2 2 2 4 3 2" xfId="10929" xr:uid="{00000000-0005-0000-0000-0000D32B0000}"/>
    <cellStyle name="Финансовый 3 3 2 2 2 2 2 4 3 2 2" xfId="28018" xr:uid="{C9B2EC35-8A10-4BA5-B2CD-DE9C8409739C}"/>
    <cellStyle name="Финансовый 3 3 2 2 2 2 2 4 3 3" xfId="14161" xr:uid="{00000000-0005-0000-0000-0000D42B0000}"/>
    <cellStyle name="Финансовый 3 3 2 2 2 2 2 4 3 3 2" xfId="31174" xr:uid="{8BD0DB7C-ECD0-4AD2-BCD0-6CBC118F40FD}"/>
    <cellStyle name="Финансовый 3 3 2 2 2 2 2 4 3 4" xfId="17242" xr:uid="{00000000-0005-0000-0000-0000D52B0000}"/>
    <cellStyle name="Финансовый 3 3 2 2 2 2 2 4 3 4 2" xfId="34255" xr:uid="{7D63EE5E-5092-49E7-8AC8-7989BA7CF1F6}"/>
    <cellStyle name="Финансовый 3 3 2 2 2 2 2 4 3 5" xfId="24945" xr:uid="{9ABADF8A-6A24-4A36-9739-0BCD6A5CEDEF}"/>
    <cellStyle name="Финансовый 3 3 2 2 2 2 2 4 4" xfId="10926" xr:uid="{00000000-0005-0000-0000-0000D62B0000}"/>
    <cellStyle name="Финансовый 3 3 2 2 2 2 2 4 4 2" xfId="28015" xr:uid="{B9FF7F2B-6200-45B9-83C2-1F99C1748BCE}"/>
    <cellStyle name="Финансовый 3 3 2 2 2 2 2 4 5" xfId="14158" xr:uid="{00000000-0005-0000-0000-0000D72B0000}"/>
    <cellStyle name="Финансовый 3 3 2 2 2 2 2 4 5 2" xfId="31171" xr:uid="{66C1A5E0-3363-4FE0-BF69-C4060F2AE3EE}"/>
    <cellStyle name="Финансовый 3 3 2 2 2 2 2 4 6" xfId="17239" xr:uid="{00000000-0005-0000-0000-0000D82B0000}"/>
    <cellStyle name="Финансовый 3 3 2 2 2 2 2 4 6 2" xfId="34252" xr:uid="{5804E2C7-D0E7-4449-9430-4D39334FF83A}"/>
    <cellStyle name="Финансовый 3 3 2 2 2 2 2 4 7" xfId="24942" xr:uid="{1C1C9FDC-E2A5-4624-B7D0-C4008464FD09}"/>
    <cellStyle name="Финансовый 3 3 2 2 2 2 2 5" xfId="7839" xr:uid="{00000000-0005-0000-0000-0000D92B0000}"/>
    <cellStyle name="Финансовый 3 3 2 2 2 2 2 5 2" xfId="7840" xr:uid="{00000000-0005-0000-0000-0000DA2B0000}"/>
    <cellStyle name="Финансовый 3 3 2 2 2 2 2 5 2 2" xfId="10931" xr:uid="{00000000-0005-0000-0000-0000DB2B0000}"/>
    <cellStyle name="Финансовый 3 3 2 2 2 2 2 5 2 2 2" xfId="28020" xr:uid="{5A90BA17-A593-4B51-BF97-92770A2CF6DC}"/>
    <cellStyle name="Финансовый 3 3 2 2 2 2 2 5 2 3" xfId="14163" xr:uid="{00000000-0005-0000-0000-0000DC2B0000}"/>
    <cellStyle name="Финансовый 3 3 2 2 2 2 2 5 2 3 2" xfId="31176" xr:uid="{0F3DD048-FCAB-4627-9C7E-E8E87F73E6EA}"/>
    <cellStyle name="Финансовый 3 3 2 2 2 2 2 5 2 4" xfId="17244" xr:uid="{00000000-0005-0000-0000-0000DD2B0000}"/>
    <cellStyle name="Финансовый 3 3 2 2 2 2 2 5 2 4 2" xfId="34257" xr:uid="{958A3D91-5CA9-44AC-AC23-0B2A2F503462}"/>
    <cellStyle name="Финансовый 3 3 2 2 2 2 2 5 2 5" xfId="24947" xr:uid="{57CA544D-285E-4076-89D6-FFE4601C31F5}"/>
    <cellStyle name="Финансовый 3 3 2 2 2 2 2 5 3" xfId="10930" xr:uid="{00000000-0005-0000-0000-0000DE2B0000}"/>
    <cellStyle name="Финансовый 3 3 2 2 2 2 2 5 3 2" xfId="28019" xr:uid="{98FECFF7-6172-4302-9F02-FD32CB0488F4}"/>
    <cellStyle name="Финансовый 3 3 2 2 2 2 2 5 4" xfId="14162" xr:uid="{00000000-0005-0000-0000-0000DF2B0000}"/>
    <cellStyle name="Финансовый 3 3 2 2 2 2 2 5 4 2" xfId="31175" xr:uid="{37A3CDCE-0720-459E-8759-133E4DBCF598}"/>
    <cellStyle name="Финансовый 3 3 2 2 2 2 2 5 5" xfId="17243" xr:uid="{00000000-0005-0000-0000-0000E02B0000}"/>
    <cellStyle name="Финансовый 3 3 2 2 2 2 2 5 5 2" xfId="34256" xr:uid="{9D6CF08B-F39E-46AC-94AA-254E99716FB8}"/>
    <cellStyle name="Финансовый 3 3 2 2 2 2 2 5 6" xfId="24946" xr:uid="{16AE8DF4-FFBF-46D2-B3BD-8EB2A6AF043C}"/>
    <cellStyle name="Финансовый 3 3 2 2 2 2 2 6" xfId="7841" xr:uid="{00000000-0005-0000-0000-0000E12B0000}"/>
    <cellStyle name="Финансовый 3 3 2 2 2 2 2 6 2" xfId="10932" xr:uid="{00000000-0005-0000-0000-0000E22B0000}"/>
    <cellStyle name="Финансовый 3 3 2 2 2 2 2 6 2 2" xfId="28021" xr:uid="{193B2FC3-08D3-4D8F-934F-16B8D81B9532}"/>
    <cellStyle name="Финансовый 3 3 2 2 2 2 2 6 3" xfId="14164" xr:uid="{00000000-0005-0000-0000-0000E32B0000}"/>
    <cellStyle name="Финансовый 3 3 2 2 2 2 2 6 3 2" xfId="31177" xr:uid="{283BB253-0A67-4397-88CA-7EEF593DB7CC}"/>
    <cellStyle name="Финансовый 3 3 2 2 2 2 2 6 4" xfId="17245" xr:uid="{00000000-0005-0000-0000-0000E42B0000}"/>
    <cellStyle name="Финансовый 3 3 2 2 2 2 2 6 4 2" xfId="34258" xr:uid="{DB69A4B0-CFC7-4406-8E98-E99116120176}"/>
    <cellStyle name="Финансовый 3 3 2 2 2 2 2 6 5" xfId="24948" xr:uid="{BC27BCCC-CD1B-4914-A942-60D25A26748A}"/>
    <cellStyle name="Финансовый 3 3 2 2 2 2 2 7" xfId="10901" xr:uid="{00000000-0005-0000-0000-0000E52B0000}"/>
    <cellStyle name="Финансовый 3 3 2 2 2 2 2 7 2" xfId="27990" xr:uid="{4F5C7409-0335-42CF-A22E-6DFD7AA8BF84}"/>
    <cellStyle name="Финансовый 3 3 2 2 2 2 2 8" xfId="14133" xr:uid="{00000000-0005-0000-0000-0000E62B0000}"/>
    <cellStyle name="Финансовый 3 3 2 2 2 2 2 8 2" xfId="31146" xr:uid="{37A6F794-59C7-4EE3-AC33-C8981DBA59FC}"/>
    <cellStyle name="Финансовый 3 3 2 2 2 2 2 9" xfId="17214" xr:uid="{00000000-0005-0000-0000-0000E72B0000}"/>
    <cellStyle name="Финансовый 3 3 2 2 2 2 2 9 2" xfId="34227" xr:uid="{12257421-6228-476A-9A69-67E000A43ECE}"/>
    <cellStyle name="Финансовый 3 3 2 2 2 2 3" xfId="7842" xr:uid="{00000000-0005-0000-0000-0000E82B0000}"/>
    <cellStyle name="Финансовый 3 3 2 2 2 2 3 2" xfId="7843" xr:uid="{00000000-0005-0000-0000-0000E92B0000}"/>
    <cellStyle name="Финансовый 3 3 2 2 2 2 3 2 2" xfId="7844" xr:uid="{00000000-0005-0000-0000-0000EA2B0000}"/>
    <cellStyle name="Финансовый 3 3 2 2 2 2 3 2 2 2" xfId="7845" xr:uid="{00000000-0005-0000-0000-0000EB2B0000}"/>
    <cellStyle name="Финансовый 3 3 2 2 2 2 3 2 2 2 2" xfId="7846" xr:uid="{00000000-0005-0000-0000-0000EC2B0000}"/>
    <cellStyle name="Финансовый 3 3 2 2 2 2 3 2 2 2 2 2" xfId="10937" xr:uid="{00000000-0005-0000-0000-0000ED2B0000}"/>
    <cellStyle name="Финансовый 3 3 2 2 2 2 3 2 2 2 2 2 2" xfId="28026" xr:uid="{54F49B23-B903-4FDB-8B99-F8AF54A61646}"/>
    <cellStyle name="Финансовый 3 3 2 2 2 2 3 2 2 2 2 3" xfId="14169" xr:uid="{00000000-0005-0000-0000-0000EE2B0000}"/>
    <cellStyle name="Финансовый 3 3 2 2 2 2 3 2 2 2 2 3 2" xfId="31182" xr:uid="{B128C8CD-855D-4C70-ABD5-7D740E385F0C}"/>
    <cellStyle name="Финансовый 3 3 2 2 2 2 3 2 2 2 2 4" xfId="17250" xr:uid="{00000000-0005-0000-0000-0000EF2B0000}"/>
    <cellStyle name="Финансовый 3 3 2 2 2 2 3 2 2 2 2 4 2" xfId="34263" xr:uid="{78910BC7-275C-4DAF-A185-E89DD8CC32DC}"/>
    <cellStyle name="Финансовый 3 3 2 2 2 2 3 2 2 2 2 5" xfId="24953" xr:uid="{A8A4078E-CD96-4CBA-B47F-8C12E10B66FB}"/>
    <cellStyle name="Финансовый 3 3 2 2 2 2 3 2 2 2 3" xfId="10936" xr:uid="{00000000-0005-0000-0000-0000F02B0000}"/>
    <cellStyle name="Финансовый 3 3 2 2 2 2 3 2 2 2 3 2" xfId="28025" xr:uid="{836591EA-2E95-4812-B09C-95027EFBDC7D}"/>
    <cellStyle name="Финансовый 3 3 2 2 2 2 3 2 2 2 4" xfId="14168" xr:uid="{00000000-0005-0000-0000-0000F12B0000}"/>
    <cellStyle name="Финансовый 3 3 2 2 2 2 3 2 2 2 4 2" xfId="31181" xr:uid="{42E7E1AB-0267-4850-8194-53398B9C8A83}"/>
    <cellStyle name="Финансовый 3 3 2 2 2 2 3 2 2 2 5" xfId="17249" xr:uid="{00000000-0005-0000-0000-0000F22B0000}"/>
    <cellStyle name="Финансовый 3 3 2 2 2 2 3 2 2 2 5 2" xfId="34262" xr:uid="{E8440590-B4DB-421F-85F5-5854097A2196}"/>
    <cellStyle name="Финансовый 3 3 2 2 2 2 3 2 2 2 6" xfId="24952" xr:uid="{E6B6C2EF-19AF-482B-A3D6-2BD129127D96}"/>
    <cellStyle name="Финансовый 3 3 2 2 2 2 3 2 2 3" xfId="7847" xr:uid="{00000000-0005-0000-0000-0000F32B0000}"/>
    <cellStyle name="Финансовый 3 3 2 2 2 2 3 2 2 3 2" xfId="10938" xr:uid="{00000000-0005-0000-0000-0000F42B0000}"/>
    <cellStyle name="Финансовый 3 3 2 2 2 2 3 2 2 3 2 2" xfId="28027" xr:uid="{3B2B50F4-CACC-47A4-8264-13A9DD56E0D8}"/>
    <cellStyle name="Финансовый 3 3 2 2 2 2 3 2 2 3 3" xfId="14170" xr:uid="{00000000-0005-0000-0000-0000F52B0000}"/>
    <cellStyle name="Финансовый 3 3 2 2 2 2 3 2 2 3 3 2" xfId="31183" xr:uid="{C35B9749-8A3B-442C-81EE-FB58D6024AA5}"/>
    <cellStyle name="Финансовый 3 3 2 2 2 2 3 2 2 3 4" xfId="17251" xr:uid="{00000000-0005-0000-0000-0000F62B0000}"/>
    <cellStyle name="Финансовый 3 3 2 2 2 2 3 2 2 3 4 2" xfId="34264" xr:uid="{DF4CC9F8-7536-4BAD-92DA-12EEBC9AB302}"/>
    <cellStyle name="Финансовый 3 3 2 2 2 2 3 2 2 3 5" xfId="24954" xr:uid="{7226EF57-4E82-4E50-B5D3-34010684CACD}"/>
    <cellStyle name="Финансовый 3 3 2 2 2 2 3 2 2 4" xfId="10935" xr:uid="{00000000-0005-0000-0000-0000F72B0000}"/>
    <cellStyle name="Финансовый 3 3 2 2 2 2 3 2 2 4 2" xfId="28024" xr:uid="{F6720699-34D7-4113-AB53-29A7DDC2A24A}"/>
    <cellStyle name="Финансовый 3 3 2 2 2 2 3 2 2 5" xfId="14167" xr:uid="{00000000-0005-0000-0000-0000F82B0000}"/>
    <cellStyle name="Финансовый 3 3 2 2 2 2 3 2 2 5 2" xfId="31180" xr:uid="{07C15FB8-00A4-4790-8A18-BA678914EFE3}"/>
    <cellStyle name="Финансовый 3 3 2 2 2 2 3 2 2 6" xfId="17248" xr:uid="{00000000-0005-0000-0000-0000F92B0000}"/>
    <cellStyle name="Финансовый 3 3 2 2 2 2 3 2 2 6 2" xfId="34261" xr:uid="{34A0B467-F3EF-4185-AE57-D5847E22F54E}"/>
    <cellStyle name="Финансовый 3 3 2 2 2 2 3 2 2 7" xfId="24951" xr:uid="{AE0235BC-706B-41C1-93D4-394BCC7B2C40}"/>
    <cellStyle name="Финансовый 3 3 2 2 2 2 3 2 3" xfId="7848" xr:uid="{00000000-0005-0000-0000-0000FA2B0000}"/>
    <cellStyle name="Финансовый 3 3 2 2 2 2 3 2 3 2" xfId="7849" xr:uid="{00000000-0005-0000-0000-0000FB2B0000}"/>
    <cellStyle name="Финансовый 3 3 2 2 2 2 3 2 3 2 2" xfId="10940" xr:uid="{00000000-0005-0000-0000-0000FC2B0000}"/>
    <cellStyle name="Финансовый 3 3 2 2 2 2 3 2 3 2 2 2" xfId="28029" xr:uid="{DBD0E078-4E19-455F-A276-0560618E8369}"/>
    <cellStyle name="Финансовый 3 3 2 2 2 2 3 2 3 2 3" xfId="14172" xr:uid="{00000000-0005-0000-0000-0000FD2B0000}"/>
    <cellStyle name="Финансовый 3 3 2 2 2 2 3 2 3 2 3 2" xfId="31185" xr:uid="{74AAA8D1-DCA5-4756-B609-6E34727C1D9E}"/>
    <cellStyle name="Финансовый 3 3 2 2 2 2 3 2 3 2 4" xfId="17253" xr:uid="{00000000-0005-0000-0000-0000FE2B0000}"/>
    <cellStyle name="Финансовый 3 3 2 2 2 2 3 2 3 2 4 2" xfId="34266" xr:uid="{657C699E-8AC6-4297-AC1D-E9884B32AFF0}"/>
    <cellStyle name="Финансовый 3 3 2 2 2 2 3 2 3 2 5" xfId="24956" xr:uid="{4482001E-CAB3-44AC-8B51-EE89ACC0BBC8}"/>
    <cellStyle name="Финансовый 3 3 2 2 2 2 3 2 3 3" xfId="10939" xr:uid="{00000000-0005-0000-0000-0000FF2B0000}"/>
    <cellStyle name="Финансовый 3 3 2 2 2 2 3 2 3 3 2" xfId="28028" xr:uid="{430E1A60-6229-45A5-85DA-DCA667BFC8E3}"/>
    <cellStyle name="Финансовый 3 3 2 2 2 2 3 2 3 4" xfId="14171" xr:uid="{00000000-0005-0000-0000-0000002C0000}"/>
    <cellStyle name="Финансовый 3 3 2 2 2 2 3 2 3 4 2" xfId="31184" xr:uid="{B7591C6F-BE83-4B75-850E-73FA16A34E52}"/>
    <cellStyle name="Финансовый 3 3 2 2 2 2 3 2 3 5" xfId="17252" xr:uid="{00000000-0005-0000-0000-0000012C0000}"/>
    <cellStyle name="Финансовый 3 3 2 2 2 2 3 2 3 5 2" xfId="34265" xr:uid="{43FA8F61-0AF3-4162-8F68-31A1078E2750}"/>
    <cellStyle name="Финансовый 3 3 2 2 2 2 3 2 3 6" xfId="24955" xr:uid="{4A338A4D-56A4-4522-B723-1C2551F66E98}"/>
    <cellStyle name="Финансовый 3 3 2 2 2 2 3 2 4" xfId="7850" xr:uid="{00000000-0005-0000-0000-0000022C0000}"/>
    <cellStyle name="Финансовый 3 3 2 2 2 2 3 2 4 2" xfId="10941" xr:uid="{00000000-0005-0000-0000-0000032C0000}"/>
    <cellStyle name="Финансовый 3 3 2 2 2 2 3 2 4 2 2" xfId="28030" xr:uid="{8501DB4A-02A7-4A0E-8A1C-A6173B0F8345}"/>
    <cellStyle name="Финансовый 3 3 2 2 2 2 3 2 4 3" xfId="14173" xr:uid="{00000000-0005-0000-0000-0000042C0000}"/>
    <cellStyle name="Финансовый 3 3 2 2 2 2 3 2 4 3 2" xfId="31186" xr:uid="{C60DF5A4-DBE8-44DD-879E-47AF186FCB96}"/>
    <cellStyle name="Финансовый 3 3 2 2 2 2 3 2 4 4" xfId="17254" xr:uid="{00000000-0005-0000-0000-0000052C0000}"/>
    <cellStyle name="Финансовый 3 3 2 2 2 2 3 2 4 4 2" xfId="34267" xr:uid="{E1E1F743-4CDB-4CF0-9DCF-68625E9C6FF3}"/>
    <cellStyle name="Финансовый 3 3 2 2 2 2 3 2 4 5" xfId="24957" xr:uid="{E76E2BE7-DC33-476D-8BEB-80B30DA4E966}"/>
    <cellStyle name="Финансовый 3 3 2 2 2 2 3 2 5" xfId="10934" xr:uid="{00000000-0005-0000-0000-0000062C0000}"/>
    <cellStyle name="Финансовый 3 3 2 2 2 2 3 2 5 2" xfId="28023" xr:uid="{2C8AB5A4-15A8-4224-AFE5-2E8852939488}"/>
    <cellStyle name="Финансовый 3 3 2 2 2 2 3 2 6" xfId="14166" xr:uid="{00000000-0005-0000-0000-0000072C0000}"/>
    <cellStyle name="Финансовый 3 3 2 2 2 2 3 2 6 2" xfId="31179" xr:uid="{37BC8C51-B9B5-42F8-B61E-077CDA1D13FC}"/>
    <cellStyle name="Финансовый 3 3 2 2 2 2 3 2 7" xfId="17247" xr:uid="{00000000-0005-0000-0000-0000082C0000}"/>
    <cellStyle name="Финансовый 3 3 2 2 2 2 3 2 7 2" xfId="34260" xr:uid="{67E08A3B-F8AE-4A12-9CB4-D72986403264}"/>
    <cellStyle name="Финансовый 3 3 2 2 2 2 3 2 8" xfId="24950" xr:uid="{F03CAD41-D33F-462F-92DD-E4191EC7FE5A}"/>
    <cellStyle name="Финансовый 3 3 2 2 2 2 3 3" xfId="7851" xr:uid="{00000000-0005-0000-0000-0000092C0000}"/>
    <cellStyle name="Финансовый 3 3 2 2 2 2 3 3 2" xfId="7852" xr:uid="{00000000-0005-0000-0000-00000A2C0000}"/>
    <cellStyle name="Финансовый 3 3 2 2 2 2 3 3 2 2" xfId="7853" xr:uid="{00000000-0005-0000-0000-00000B2C0000}"/>
    <cellStyle name="Финансовый 3 3 2 2 2 2 3 3 2 2 2" xfId="10944" xr:uid="{00000000-0005-0000-0000-00000C2C0000}"/>
    <cellStyle name="Финансовый 3 3 2 2 2 2 3 3 2 2 2 2" xfId="28033" xr:uid="{CD4DB8D9-7727-4C0C-A46D-1A50ED71948A}"/>
    <cellStyle name="Финансовый 3 3 2 2 2 2 3 3 2 2 3" xfId="14176" xr:uid="{00000000-0005-0000-0000-00000D2C0000}"/>
    <cellStyle name="Финансовый 3 3 2 2 2 2 3 3 2 2 3 2" xfId="31189" xr:uid="{CB85AC9C-C8AB-4498-A80B-1F44A62EEE1A}"/>
    <cellStyle name="Финансовый 3 3 2 2 2 2 3 3 2 2 4" xfId="17257" xr:uid="{00000000-0005-0000-0000-00000E2C0000}"/>
    <cellStyle name="Финансовый 3 3 2 2 2 2 3 3 2 2 4 2" xfId="34270" xr:uid="{5BDBBAEA-D50D-47D4-9C53-7316971D6B58}"/>
    <cellStyle name="Финансовый 3 3 2 2 2 2 3 3 2 2 5" xfId="24960" xr:uid="{9E8BD7E6-C00F-46AC-B35D-29553CB82FD3}"/>
    <cellStyle name="Финансовый 3 3 2 2 2 2 3 3 2 3" xfId="10943" xr:uid="{00000000-0005-0000-0000-00000F2C0000}"/>
    <cellStyle name="Финансовый 3 3 2 2 2 2 3 3 2 3 2" xfId="28032" xr:uid="{41EA3C7E-EA01-411E-AE22-7AC8DB04717D}"/>
    <cellStyle name="Финансовый 3 3 2 2 2 2 3 3 2 4" xfId="14175" xr:uid="{00000000-0005-0000-0000-0000102C0000}"/>
    <cellStyle name="Финансовый 3 3 2 2 2 2 3 3 2 4 2" xfId="31188" xr:uid="{DD3680EF-0D95-4A23-88D1-B8D1A6D1CF34}"/>
    <cellStyle name="Финансовый 3 3 2 2 2 2 3 3 2 5" xfId="17256" xr:uid="{00000000-0005-0000-0000-0000112C0000}"/>
    <cellStyle name="Финансовый 3 3 2 2 2 2 3 3 2 5 2" xfId="34269" xr:uid="{E9074DCA-627F-4574-BBAD-62A20C7441DA}"/>
    <cellStyle name="Финансовый 3 3 2 2 2 2 3 3 2 6" xfId="24959" xr:uid="{1DD756B1-8A47-4D2B-9A1C-0F9F46302E7B}"/>
    <cellStyle name="Финансовый 3 3 2 2 2 2 3 3 3" xfId="7854" xr:uid="{00000000-0005-0000-0000-0000122C0000}"/>
    <cellStyle name="Финансовый 3 3 2 2 2 2 3 3 3 2" xfId="10945" xr:uid="{00000000-0005-0000-0000-0000132C0000}"/>
    <cellStyle name="Финансовый 3 3 2 2 2 2 3 3 3 2 2" xfId="28034" xr:uid="{865E92FA-E6F1-442C-852B-C5477DAA9226}"/>
    <cellStyle name="Финансовый 3 3 2 2 2 2 3 3 3 3" xfId="14177" xr:uid="{00000000-0005-0000-0000-0000142C0000}"/>
    <cellStyle name="Финансовый 3 3 2 2 2 2 3 3 3 3 2" xfId="31190" xr:uid="{22AF39D1-E92C-41F5-BE46-2A6FDABE70E4}"/>
    <cellStyle name="Финансовый 3 3 2 2 2 2 3 3 3 4" xfId="17258" xr:uid="{00000000-0005-0000-0000-0000152C0000}"/>
    <cellStyle name="Финансовый 3 3 2 2 2 2 3 3 3 4 2" xfId="34271" xr:uid="{8D0987B8-2E59-47DF-B225-D167D14387C0}"/>
    <cellStyle name="Финансовый 3 3 2 2 2 2 3 3 3 5" xfId="24961" xr:uid="{F2791369-08DF-449F-93A7-13781D16CE48}"/>
    <cellStyle name="Финансовый 3 3 2 2 2 2 3 3 4" xfId="10942" xr:uid="{00000000-0005-0000-0000-0000162C0000}"/>
    <cellStyle name="Финансовый 3 3 2 2 2 2 3 3 4 2" xfId="28031" xr:uid="{DE6B9E7A-3AA5-45D1-A84F-205EB4FA072A}"/>
    <cellStyle name="Финансовый 3 3 2 2 2 2 3 3 5" xfId="14174" xr:uid="{00000000-0005-0000-0000-0000172C0000}"/>
    <cellStyle name="Финансовый 3 3 2 2 2 2 3 3 5 2" xfId="31187" xr:uid="{95AC0E48-1CFF-4AA3-B05B-83D44DA51EC1}"/>
    <cellStyle name="Финансовый 3 3 2 2 2 2 3 3 6" xfId="17255" xr:uid="{00000000-0005-0000-0000-0000182C0000}"/>
    <cellStyle name="Финансовый 3 3 2 2 2 2 3 3 6 2" xfId="34268" xr:uid="{867EAEF8-875E-47CD-BCCB-69B5E272D95A}"/>
    <cellStyle name="Финансовый 3 3 2 2 2 2 3 3 7" xfId="24958" xr:uid="{906022F1-43DD-41F2-B6FE-50413BBA0CD9}"/>
    <cellStyle name="Финансовый 3 3 2 2 2 2 3 4" xfId="7855" xr:uid="{00000000-0005-0000-0000-0000192C0000}"/>
    <cellStyle name="Финансовый 3 3 2 2 2 2 3 4 2" xfId="7856" xr:uid="{00000000-0005-0000-0000-00001A2C0000}"/>
    <cellStyle name="Финансовый 3 3 2 2 2 2 3 4 2 2" xfId="10947" xr:uid="{00000000-0005-0000-0000-00001B2C0000}"/>
    <cellStyle name="Финансовый 3 3 2 2 2 2 3 4 2 2 2" xfId="28036" xr:uid="{D2DA162D-07AA-4F79-9F3B-1909C49EF751}"/>
    <cellStyle name="Финансовый 3 3 2 2 2 2 3 4 2 3" xfId="14179" xr:uid="{00000000-0005-0000-0000-00001C2C0000}"/>
    <cellStyle name="Финансовый 3 3 2 2 2 2 3 4 2 3 2" xfId="31192" xr:uid="{B3435FD4-4518-4F44-823B-2CB0603BF897}"/>
    <cellStyle name="Финансовый 3 3 2 2 2 2 3 4 2 4" xfId="17260" xr:uid="{00000000-0005-0000-0000-00001D2C0000}"/>
    <cellStyle name="Финансовый 3 3 2 2 2 2 3 4 2 4 2" xfId="34273" xr:uid="{1B1BB63E-BB2F-4F29-8ED3-90A70B95BD35}"/>
    <cellStyle name="Финансовый 3 3 2 2 2 2 3 4 2 5" xfId="24963" xr:uid="{A2C1A73E-F532-4B3F-89E9-72F1364460F0}"/>
    <cellStyle name="Финансовый 3 3 2 2 2 2 3 4 3" xfId="10946" xr:uid="{00000000-0005-0000-0000-00001E2C0000}"/>
    <cellStyle name="Финансовый 3 3 2 2 2 2 3 4 3 2" xfId="28035" xr:uid="{26DB3C44-12B2-4471-9950-9B5EA914CB43}"/>
    <cellStyle name="Финансовый 3 3 2 2 2 2 3 4 4" xfId="14178" xr:uid="{00000000-0005-0000-0000-00001F2C0000}"/>
    <cellStyle name="Финансовый 3 3 2 2 2 2 3 4 4 2" xfId="31191" xr:uid="{FA770DD5-B967-460D-9C88-8833C011A327}"/>
    <cellStyle name="Финансовый 3 3 2 2 2 2 3 4 5" xfId="17259" xr:uid="{00000000-0005-0000-0000-0000202C0000}"/>
    <cellStyle name="Финансовый 3 3 2 2 2 2 3 4 5 2" xfId="34272" xr:uid="{192F50FB-7190-439F-B199-20861C550E6D}"/>
    <cellStyle name="Финансовый 3 3 2 2 2 2 3 4 6" xfId="24962" xr:uid="{7FDFD195-3BA9-45D2-8AEE-81F2F4DAFD35}"/>
    <cellStyle name="Финансовый 3 3 2 2 2 2 3 5" xfId="7857" xr:uid="{00000000-0005-0000-0000-0000212C0000}"/>
    <cellStyle name="Финансовый 3 3 2 2 2 2 3 5 2" xfId="10948" xr:uid="{00000000-0005-0000-0000-0000222C0000}"/>
    <cellStyle name="Финансовый 3 3 2 2 2 2 3 5 2 2" xfId="28037" xr:uid="{E2A7E5FE-0B27-4FD9-8DC9-EFC6D7C059BF}"/>
    <cellStyle name="Финансовый 3 3 2 2 2 2 3 5 3" xfId="14180" xr:uid="{00000000-0005-0000-0000-0000232C0000}"/>
    <cellStyle name="Финансовый 3 3 2 2 2 2 3 5 3 2" xfId="31193" xr:uid="{4FC76F3A-C4C3-444F-A85A-D54BF67D2F67}"/>
    <cellStyle name="Финансовый 3 3 2 2 2 2 3 5 4" xfId="17261" xr:uid="{00000000-0005-0000-0000-0000242C0000}"/>
    <cellStyle name="Финансовый 3 3 2 2 2 2 3 5 4 2" xfId="34274" xr:uid="{129A92BA-C88A-471C-8D70-711F0AF47E54}"/>
    <cellStyle name="Финансовый 3 3 2 2 2 2 3 5 5" xfId="24964" xr:uid="{C27AA11A-D156-46DF-8E3B-5B111907FAA6}"/>
    <cellStyle name="Финансовый 3 3 2 2 2 2 3 6" xfId="10933" xr:uid="{00000000-0005-0000-0000-0000252C0000}"/>
    <cellStyle name="Финансовый 3 3 2 2 2 2 3 6 2" xfId="28022" xr:uid="{4AE6DA5E-68E2-43A4-BF3D-450652CED89C}"/>
    <cellStyle name="Финансовый 3 3 2 2 2 2 3 7" xfId="14165" xr:uid="{00000000-0005-0000-0000-0000262C0000}"/>
    <cellStyle name="Финансовый 3 3 2 2 2 2 3 7 2" xfId="31178" xr:uid="{C9C823C4-5F98-46D1-8493-4ADDDE7632D4}"/>
    <cellStyle name="Финансовый 3 3 2 2 2 2 3 8" xfId="17246" xr:uid="{00000000-0005-0000-0000-0000272C0000}"/>
    <cellStyle name="Финансовый 3 3 2 2 2 2 3 8 2" xfId="34259" xr:uid="{2999DD12-21C3-4ADF-B5FD-F1A0CFCB2B03}"/>
    <cellStyle name="Финансовый 3 3 2 2 2 2 3 9" xfId="24949" xr:uid="{85DFDA57-63CC-4B09-B5DF-8D1BCEDE44E9}"/>
    <cellStyle name="Финансовый 3 3 2 2 2 2 4" xfId="7858" xr:uid="{00000000-0005-0000-0000-0000282C0000}"/>
    <cellStyle name="Финансовый 3 3 2 2 2 2 4 2" xfId="7859" xr:uid="{00000000-0005-0000-0000-0000292C0000}"/>
    <cellStyle name="Финансовый 3 3 2 2 2 2 4 2 2" xfId="7860" xr:uid="{00000000-0005-0000-0000-00002A2C0000}"/>
    <cellStyle name="Финансовый 3 3 2 2 2 2 4 2 2 2" xfId="7861" xr:uid="{00000000-0005-0000-0000-00002B2C0000}"/>
    <cellStyle name="Финансовый 3 3 2 2 2 2 4 2 2 2 2" xfId="10952" xr:uid="{00000000-0005-0000-0000-00002C2C0000}"/>
    <cellStyle name="Финансовый 3 3 2 2 2 2 4 2 2 2 2 2" xfId="28041" xr:uid="{51F5C9E7-DF8B-4944-857E-33648DEF7EA1}"/>
    <cellStyle name="Финансовый 3 3 2 2 2 2 4 2 2 2 3" xfId="14184" xr:uid="{00000000-0005-0000-0000-00002D2C0000}"/>
    <cellStyle name="Финансовый 3 3 2 2 2 2 4 2 2 2 3 2" xfId="31197" xr:uid="{3FA88690-F234-4E5E-BEBC-044AC357FB40}"/>
    <cellStyle name="Финансовый 3 3 2 2 2 2 4 2 2 2 4" xfId="17265" xr:uid="{00000000-0005-0000-0000-00002E2C0000}"/>
    <cellStyle name="Финансовый 3 3 2 2 2 2 4 2 2 2 4 2" xfId="34278" xr:uid="{AFBAEA4B-7702-4A88-8DC5-BBC6A4599C72}"/>
    <cellStyle name="Финансовый 3 3 2 2 2 2 4 2 2 2 5" xfId="24968" xr:uid="{62508BA6-25FD-445E-B40A-7BEDA68C3F81}"/>
    <cellStyle name="Финансовый 3 3 2 2 2 2 4 2 2 3" xfId="10951" xr:uid="{00000000-0005-0000-0000-00002F2C0000}"/>
    <cellStyle name="Финансовый 3 3 2 2 2 2 4 2 2 3 2" xfId="28040" xr:uid="{0DC6E430-BD7D-4C5B-8540-9BBD33871842}"/>
    <cellStyle name="Финансовый 3 3 2 2 2 2 4 2 2 4" xfId="14183" xr:uid="{00000000-0005-0000-0000-0000302C0000}"/>
    <cellStyle name="Финансовый 3 3 2 2 2 2 4 2 2 4 2" xfId="31196" xr:uid="{7DEC9F30-DD74-4A02-B6C0-3B6BEF955E67}"/>
    <cellStyle name="Финансовый 3 3 2 2 2 2 4 2 2 5" xfId="17264" xr:uid="{00000000-0005-0000-0000-0000312C0000}"/>
    <cellStyle name="Финансовый 3 3 2 2 2 2 4 2 2 5 2" xfId="34277" xr:uid="{DD8BECB7-37B6-4B69-B45A-9EDD0D59F63D}"/>
    <cellStyle name="Финансовый 3 3 2 2 2 2 4 2 2 6" xfId="24967" xr:uid="{23488E9B-E003-41C4-AC75-9CD433A2A75F}"/>
    <cellStyle name="Финансовый 3 3 2 2 2 2 4 2 3" xfId="7862" xr:uid="{00000000-0005-0000-0000-0000322C0000}"/>
    <cellStyle name="Финансовый 3 3 2 2 2 2 4 2 3 2" xfId="10953" xr:uid="{00000000-0005-0000-0000-0000332C0000}"/>
    <cellStyle name="Финансовый 3 3 2 2 2 2 4 2 3 2 2" xfId="28042" xr:uid="{84860478-8E76-4CC4-9575-45E520738D93}"/>
    <cellStyle name="Финансовый 3 3 2 2 2 2 4 2 3 3" xfId="14185" xr:uid="{00000000-0005-0000-0000-0000342C0000}"/>
    <cellStyle name="Финансовый 3 3 2 2 2 2 4 2 3 3 2" xfId="31198" xr:uid="{65C45657-C1C5-401A-AD04-F92A54179F14}"/>
    <cellStyle name="Финансовый 3 3 2 2 2 2 4 2 3 4" xfId="17266" xr:uid="{00000000-0005-0000-0000-0000352C0000}"/>
    <cellStyle name="Финансовый 3 3 2 2 2 2 4 2 3 4 2" xfId="34279" xr:uid="{D2AFB980-ECE5-490B-87D0-47741D04B7BC}"/>
    <cellStyle name="Финансовый 3 3 2 2 2 2 4 2 3 5" xfId="24969" xr:uid="{DB112C13-A03E-4B16-B959-39600D356716}"/>
    <cellStyle name="Финансовый 3 3 2 2 2 2 4 2 4" xfId="10950" xr:uid="{00000000-0005-0000-0000-0000362C0000}"/>
    <cellStyle name="Финансовый 3 3 2 2 2 2 4 2 4 2" xfId="28039" xr:uid="{68E03F67-FD5A-4E75-9F95-B4835413987D}"/>
    <cellStyle name="Финансовый 3 3 2 2 2 2 4 2 5" xfId="14182" xr:uid="{00000000-0005-0000-0000-0000372C0000}"/>
    <cellStyle name="Финансовый 3 3 2 2 2 2 4 2 5 2" xfId="31195" xr:uid="{29E41CA7-8E0B-4FE4-B0D7-33A4C75823CD}"/>
    <cellStyle name="Финансовый 3 3 2 2 2 2 4 2 6" xfId="17263" xr:uid="{00000000-0005-0000-0000-0000382C0000}"/>
    <cellStyle name="Финансовый 3 3 2 2 2 2 4 2 6 2" xfId="34276" xr:uid="{4BDE539E-C4FA-4252-8983-40CF90B0330B}"/>
    <cellStyle name="Финансовый 3 3 2 2 2 2 4 2 7" xfId="24966" xr:uid="{FBDEDF86-14DB-47BF-B201-6549C94CA091}"/>
    <cellStyle name="Финансовый 3 3 2 2 2 2 4 3" xfId="7863" xr:uid="{00000000-0005-0000-0000-0000392C0000}"/>
    <cellStyle name="Финансовый 3 3 2 2 2 2 4 3 2" xfId="7864" xr:uid="{00000000-0005-0000-0000-00003A2C0000}"/>
    <cellStyle name="Финансовый 3 3 2 2 2 2 4 3 2 2" xfId="10955" xr:uid="{00000000-0005-0000-0000-00003B2C0000}"/>
    <cellStyle name="Финансовый 3 3 2 2 2 2 4 3 2 2 2" xfId="28044" xr:uid="{D60EAC40-5AB7-4260-AD94-CC266D32DF30}"/>
    <cellStyle name="Финансовый 3 3 2 2 2 2 4 3 2 3" xfId="14187" xr:uid="{00000000-0005-0000-0000-00003C2C0000}"/>
    <cellStyle name="Финансовый 3 3 2 2 2 2 4 3 2 3 2" xfId="31200" xr:uid="{D0CFE8BA-4219-4C24-B591-35504DF100E9}"/>
    <cellStyle name="Финансовый 3 3 2 2 2 2 4 3 2 4" xfId="17268" xr:uid="{00000000-0005-0000-0000-00003D2C0000}"/>
    <cellStyle name="Финансовый 3 3 2 2 2 2 4 3 2 4 2" xfId="34281" xr:uid="{AC31680D-DE34-4237-A066-2458DAE14B61}"/>
    <cellStyle name="Финансовый 3 3 2 2 2 2 4 3 2 5" xfId="24971" xr:uid="{41988FBB-2AC3-4AF4-A86E-12E805C3A63C}"/>
    <cellStyle name="Финансовый 3 3 2 2 2 2 4 3 3" xfId="10954" xr:uid="{00000000-0005-0000-0000-00003E2C0000}"/>
    <cellStyle name="Финансовый 3 3 2 2 2 2 4 3 3 2" xfId="28043" xr:uid="{53EFC89C-A238-42B7-84CF-3900A7AB372A}"/>
    <cellStyle name="Финансовый 3 3 2 2 2 2 4 3 4" xfId="14186" xr:uid="{00000000-0005-0000-0000-00003F2C0000}"/>
    <cellStyle name="Финансовый 3 3 2 2 2 2 4 3 4 2" xfId="31199" xr:uid="{56CFFA2B-CCC3-41E0-B401-F084987953DA}"/>
    <cellStyle name="Финансовый 3 3 2 2 2 2 4 3 5" xfId="17267" xr:uid="{00000000-0005-0000-0000-0000402C0000}"/>
    <cellStyle name="Финансовый 3 3 2 2 2 2 4 3 5 2" xfId="34280" xr:uid="{F09623CA-2442-4CD1-BB70-5A9C926B317E}"/>
    <cellStyle name="Финансовый 3 3 2 2 2 2 4 3 6" xfId="24970" xr:uid="{5E900020-6A43-494A-B95F-4D0744E490CF}"/>
    <cellStyle name="Финансовый 3 3 2 2 2 2 4 4" xfId="7865" xr:uid="{00000000-0005-0000-0000-0000412C0000}"/>
    <cellStyle name="Финансовый 3 3 2 2 2 2 4 4 2" xfId="10956" xr:uid="{00000000-0005-0000-0000-0000422C0000}"/>
    <cellStyle name="Финансовый 3 3 2 2 2 2 4 4 2 2" xfId="28045" xr:uid="{DDAD09FF-3594-4FE4-AA8F-2F3B4204B86C}"/>
    <cellStyle name="Финансовый 3 3 2 2 2 2 4 4 3" xfId="14188" xr:uid="{00000000-0005-0000-0000-0000432C0000}"/>
    <cellStyle name="Финансовый 3 3 2 2 2 2 4 4 3 2" xfId="31201" xr:uid="{7BF7C044-48D8-4981-9157-EC7A330A3D4E}"/>
    <cellStyle name="Финансовый 3 3 2 2 2 2 4 4 4" xfId="17269" xr:uid="{00000000-0005-0000-0000-0000442C0000}"/>
    <cellStyle name="Финансовый 3 3 2 2 2 2 4 4 4 2" xfId="34282" xr:uid="{89347133-D0A3-4C73-A257-40ECE27D1C9F}"/>
    <cellStyle name="Финансовый 3 3 2 2 2 2 4 4 5" xfId="24972" xr:uid="{926B64F4-03CB-4808-8669-4C1E6F4E0C61}"/>
    <cellStyle name="Финансовый 3 3 2 2 2 2 4 5" xfId="10949" xr:uid="{00000000-0005-0000-0000-0000452C0000}"/>
    <cellStyle name="Финансовый 3 3 2 2 2 2 4 5 2" xfId="28038" xr:uid="{46C204F0-AB06-487A-BA5C-B14E1E4061DC}"/>
    <cellStyle name="Финансовый 3 3 2 2 2 2 4 6" xfId="14181" xr:uid="{00000000-0005-0000-0000-0000462C0000}"/>
    <cellStyle name="Финансовый 3 3 2 2 2 2 4 6 2" xfId="31194" xr:uid="{E647BA9B-0983-4AE8-9F45-3A4AFE853C19}"/>
    <cellStyle name="Финансовый 3 3 2 2 2 2 4 7" xfId="17262" xr:uid="{00000000-0005-0000-0000-0000472C0000}"/>
    <cellStyle name="Финансовый 3 3 2 2 2 2 4 7 2" xfId="34275" xr:uid="{99D6706F-566C-4C32-AC5A-EDB3658147F8}"/>
    <cellStyle name="Финансовый 3 3 2 2 2 2 4 8" xfId="24965" xr:uid="{B967CAD2-7444-4BC7-8423-5D7FD0833FC1}"/>
    <cellStyle name="Финансовый 3 3 2 2 2 2 5" xfId="7866" xr:uid="{00000000-0005-0000-0000-0000482C0000}"/>
    <cellStyle name="Финансовый 3 3 2 2 2 2 5 2" xfId="7867" xr:uid="{00000000-0005-0000-0000-0000492C0000}"/>
    <cellStyle name="Финансовый 3 3 2 2 2 2 5 2 2" xfId="7868" xr:uid="{00000000-0005-0000-0000-00004A2C0000}"/>
    <cellStyle name="Финансовый 3 3 2 2 2 2 5 2 2 2" xfId="10959" xr:uid="{00000000-0005-0000-0000-00004B2C0000}"/>
    <cellStyle name="Финансовый 3 3 2 2 2 2 5 2 2 2 2" xfId="28048" xr:uid="{CBA19D9D-B55B-4585-A43A-70627DBC78F1}"/>
    <cellStyle name="Финансовый 3 3 2 2 2 2 5 2 2 3" xfId="14191" xr:uid="{00000000-0005-0000-0000-00004C2C0000}"/>
    <cellStyle name="Финансовый 3 3 2 2 2 2 5 2 2 3 2" xfId="31204" xr:uid="{40928308-5C57-4B1C-A1E2-490BD64F2CEA}"/>
    <cellStyle name="Финансовый 3 3 2 2 2 2 5 2 2 4" xfId="17272" xr:uid="{00000000-0005-0000-0000-00004D2C0000}"/>
    <cellStyle name="Финансовый 3 3 2 2 2 2 5 2 2 4 2" xfId="34285" xr:uid="{FE056DFD-08CF-4364-A1C6-50EAFBB02A22}"/>
    <cellStyle name="Финансовый 3 3 2 2 2 2 5 2 2 5" xfId="24975" xr:uid="{C0F81CBD-FA46-4C05-922A-4B1B0167A5EE}"/>
    <cellStyle name="Финансовый 3 3 2 2 2 2 5 2 3" xfId="10958" xr:uid="{00000000-0005-0000-0000-00004E2C0000}"/>
    <cellStyle name="Финансовый 3 3 2 2 2 2 5 2 3 2" xfId="28047" xr:uid="{947CBEDB-E1C6-4176-B230-3E365A4C3D6E}"/>
    <cellStyle name="Финансовый 3 3 2 2 2 2 5 2 4" xfId="14190" xr:uid="{00000000-0005-0000-0000-00004F2C0000}"/>
    <cellStyle name="Финансовый 3 3 2 2 2 2 5 2 4 2" xfId="31203" xr:uid="{F75F604A-0746-4311-A207-4D949E0E54BA}"/>
    <cellStyle name="Финансовый 3 3 2 2 2 2 5 2 5" xfId="17271" xr:uid="{00000000-0005-0000-0000-0000502C0000}"/>
    <cellStyle name="Финансовый 3 3 2 2 2 2 5 2 5 2" xfId="34284" xr:uid="{38E4EA0D-D2A3-46E2-B796-D9289EE92F01}"/>
    <cellStyle name="Финансовый 3 3 2 2 2 2 5 2 6" xfId="24974" xr:uid="{965CF314-2D81-4E40-9A62-2F7D435239C9}"/>
    <cellStyle name="Финансовый 3 3 2 2 2 2 5 3" xfId="7869" xr:uid="{00000000-0005-0000-0000-0000512C0000}"/>
    <cellStyle name="Финансовый 3 3 2 2 2 2 5 3 2" xfId="10960" xr:uid="{00000000-0005-0000-0000-0000522C0000}"/>
    <cellStyle name="Финансовый 3 3 2 2 2 2 5 3 2 2" xfId="28049" xr:uid="{68A8B6CF-CE35-4466-883B-3B1F583B3B97}"/>
    <cellStyle name="Финансовый 3 3 2 2 2 2 5 3 3" xfId="14192" xr:uid="{00000000-0005-0000-0000-0000532C0000}"/>
    <cellStyle name="Финансовый 3 3 2 2 2 2 5 3 3 2" xfId="31205" xr:uid="{7C8C2288-0028-4996-91DD-EDB15E9FB02D}"/>
    <cellStyle name="Финансовый 3 3 2 2 2 2 5 3 4" xfId="17273" xr:uid="{00000000-0005-0000-0000-0000542C0000}"/>
    <cellStyle name="Финансовый 3 3 2 2 2 2 5 3 4 2" xfId="34286" xr:uid="{A6A071EF-31C6-4E22-BEB5-FA1BEF1C4A2A}"/>
    <cellStyle name="Финансовый 3 3 2 2 2 2 5 3 5" xfId="24976" xr:uid="{ED24F3C6-3F84-4A7C-86A5-736B8CC36FAB}"/>
    <cellStyle name="Финансовый 3 3 2 2 2 2 5 4" xfId="10957" xr:uid="{00000000-0005-0000-0000-0000552C0000}"/>
    <cellStyle name="Финансовый 3 3 2 2 2 2 5 4 2" xfId="28046" xr:uid="{EBC7A187-4B36-4F8A-BED2-5934332B6FEC}"/>
    <cellStyle name="Финансовый 3 3 2 2 2 2 5 5" xfId="14189" xr:uid="{00000000-0005-0000-0000-0000562C0000}"/>
    <cellStyle name="Финансовый 3 3 2 2 2 2 5 5 2" xfId="31202" xr:uid="{FF4C2E58-67F5-4373-842F-BD7A508EEC57}"/>
    <cellStyle name="Финансовый 3 3 2 2 2 2 5 6" xfId="17270" xr:uid="{00000000-0005-0000-0000-0000572C0000}"/>
    <cellStyle name="Финансовый 3 3 2 2 2 2 5 6 2" xfId="34283" xr:uid="{020C97F6-5258-4CFA-AB2A-237D2FB3A6DE}"/>
    <cellStyle name="Финансовый 3 3 2 2 2 2 5 7" xfId="24973" xr:uid="{344A6917-4A61-4852-9568-C40489D011FB}"/>
    <cellStyle name="Финансовый 3 3 2 2 2 2 6" xfId="7870" xr:uid="{00000000-0005-0000-0000-0000582C0000}"/>
    <cellStyle name="Финансовый 3 3 2 2 2 2 6 2" xfId="7871" xr:uid="{00000000-0005-0000-0000-0000592C0000}"/>
    <cellStyle name="Финансовый 3 3 2 2 2 2 6 2 2" xfId="10962" xr:uid="{00000000-0005-0000-0000-00005A2C0000}"/>
    <cellStyle name="Финансовый 3 3 2 2 2 2 6 2 2 2" xfId="28051" xr:uid="{4F12D741-FE92-48A3-982D-8F8B8C9B269D}"/>
    <cellStyle name="Финансовый 3 3 2 2 2 2 6 2 3" xfId="14194" xr:uid="{00000000-0005-0000-0000-00005B2C0000}"/>
    <cellStyle name="Финансовый 3 3 2 2 2 2 6 2 3 2" xfId="31207" xr:uid="{8A7FC935-0EF1-4E2E-B5A5-5617EC99FDAE}"/>
    <cellStyle name="Финансовый 3 3 2 2 2 2 6 2 4" xfId="17275" xr:uid="{00000000-0005-0000-0000-00005C2C0000}"/>
    <cellStyle name="Финансовый 3 3 2 2 2 2 6 2 4 2" xfId="34288" xr:uid="{63B620FC-F22D-492D-BFBA-3DA311BF7AB6}"/>
    <cellStyle name="Финансовый 3 3 2 2 2 2 6 2 5" xfId="24978" xr:uid="{FFFF486A-6BDC-4AC9-84AE-7D54F2BEFED1}"/>
    <cellStyle name="Финансовый 3 3 2 2 2 2 6 3" xfId="10961" xr:uid="{00000000-0005-0000-0000-00005D2C0000}"/>
    <cellStyle name="Финансовый 3 3 2 2 2 2 6 3 2" xfId="28050" xr:uid="{1BA778ED-BE50-4E5D-88CF-D266CDEF9D5C}"/>
    <cellStyle name="Финансовый 3 3 2 2 2 2 6 4" xfId="14193" xr:uid="{00000000-0005-0000-0000-00005E2C0000}"/>
    <cellStyle name="Финансовый 3 3 2 2 2 2 6 4 2" xfId="31206" xr:uid="{CCB1D92E-ACEA-4B38-A34A-02FC4F7D009E}"/>
    <cellStyle name="Финансовый 3 3 2 2 2 2 6 5" xfId="17274" xr:uid="{00000000-0005-0000-0000-00005F2C0000}"/>
    <cellStyle name="Финансовый 3 3 2 2 2 2 6 5 2" xfId="34287" xr:uid="{0F10CDD4-C151-49DC-99B6-90F546B5A25E}"/>
    <cellStyle name="Финансовый 3 3 2 2 2 2 6 6" xfId="24977" xr:uid="{306427D0-6E86-42DA-B6B2-5F71D2AF7960}"/>
    <cellStyle name="Финансовый 3 3 2 2 2 2 7" xfId="7872" xr:uid="{00000000-0005-0000-0000-0000602C0000}"/>
    <cellStyle name="Финансовый 3 3 2 2 2 2 7 2" xfId="10963" xr:uid="{00000000-0005-0000-0000-0000612C0000}"/>
    <cellStyle name="Финансовый 3 3 2 2 2 2 7 2 2" xfId="28052" xr:uid="{D77037B6-1B3B-4B6C-83C0-804CC178343B}"/>
    <cellStyle name="Финансовый 3 3 2 2 2 2 7 3" xfId="14195" xr:uid="{00000000-0005-0000-0000-0000622C0000}"/>
    <cellStyle name="Финансовый 3 3 2 2 2 2 7 3 2" xfId="31208" xr:uid="{B77EF07C-DE80-49C9-8BEF-7125A1AC1B56}"/>
    <cellStyle name="Финансовый 3 3 2 2 2 2 7 4" xfId="17276" xr:uid="{00000000-0005-0000-0000-0000632C0000}"/>
    <cellStyle name="Финансовый 3 3 2 2 2 2 7 4 2" xfId="34289" xr:uid="{57A920CC-0558-45D8-932B-0923B68C3CA0}"/>
    <cellStyle name="Финансовый 3 3 2 2 2 2 7 5" xfId="24979" xr:uid="{AF086EFB-376A-4D0D-ABD4-0DEED30CC051}"/>
    <cellStyle name="Финансовый 3 3 2 2 2 2 8" xfId="10900" xr:uid="{00000000-0005-0000-0000-0000642C0000}"/>
    <cellStyle name="Финансовый 3 3 2 2 2 2 8 2" xfId="27989" xr:uid="{F58EE7D8-9562-4F95-989C-2BE7BA13B7C5}"/>
    <cellStyle name="Финансовый 3 3 2 2 2 2 9" xfId="14132" xr:uid="{00000000-0005-0000-0000-0000652C0000}"/>
    <cellStyle name="Финансовый 3 3 2 2 2 2 9 2" xfId="31145" xr:uid="{95797190-C417-4BF3-9ED5-B932DA309D25}"/>
    <cellStyle name="Финансовый 3 3 2 2 2 3" xfId="7873" xr:uid="{00000000-0005-0000-0000-0000662C0000}"/>
    <cellStyle name="Финансовый 3 3 2 2 2 3 10" xfId="24980" xr:uid="{CCFB0ED3-6D2C-4B45-A776-1662A674383E}"/>
    <cellStyle name="Финансовый 3 3 2 2 2 3 2" xfId="7874" xr:uid="{00000000-0005-0000-0000-0000672C0000}"/>
    <cellStyle name="Финансовый 3 3 2 2 2 3 2 2" xfId="7875" xr:uid="{00000000-0005-0000-0000-0000682C0000}"/>
    <cellStyle name="Финансовый 3 3 2 2 2 3 2 2 2" xfId="7876" xr:uid="{00000000-0005-0000-0000-0000692C0000}"/>
    <cellStyle name="Финансовый 3 3 2 2 2 3 2 2 2 2" xfId="7877" xr:uid="{00000000-0005-0000-0000-00006A2C0000}"/>
    <cellStyle name="Финансовый 3 3 2 2 2 3 2 2 2 2 2" xfId="7878" xr:uid="{00000000-0005-0000-0000-00006B2C0000}"/>
    <cellStyle name="Финансовый 3 3 2 2 2 3 2 2 2 2 2 2" xfId="10969" xr:uid="{00000000-0005-0000-0000-00006C2C0000}"/>
    <cellStyle name="Финансовый 3 3 2 2 2 3 2 2 2 2 2 2 2" xfId="28058" xr:uid="{C5052781-19A1-462D-A599-BC3B242F3D0D}"/>
    <cellStyle name="Финансовый 3 3 2 2 2 3 2 2 2 2 2 3" xfId="14201" xr:uid="{00000000-0005-0000-0000-00006D2C0000}"/>
    <cellStyle name="Финансовый 3 3 2 2 2 3 2 2 2 2 2 3 2" xfId="31214" xr:uid="{59FE4EF7-5D19-45DB-B2E3-9F7B7C657436}"/>
    <cellStyle name="Финансовый 3 3 2 2 2 3 2 2 2 2 2 4" xfId="17282" xr:uid="{00000000-0005-0000-0000-00006E2C0000}"/>
    <cellStyle name="Финансовый 3 3 2 2 2 3 2 2 2 2 2 4 2" xfId="34295" xr:uid="{C4900679-B0B7-4C61-AAF2-107BB8075804}"/>
    <cellStyle name="Финансовый 3 3 2 2 2 3 2 2 2 2 2 5" xfId="24985" xr:uid="{46967A79-DDEA-4D45-8EED-2E9CA0C18D77}"/>
    <cellStyle name="Финансовый 3 3 2 2 2 3 2 2 2 2 3" xfId="10968" xr:uid="{00000000-0005-0000-0000-00006F2C0000}"/>
    <cellStyle name="Финансовый 3 3 2 2 2 3 2 2 2 2 3 2" xfId="28057" xr:uid="{EBB65DCA-DF19-4BE1-B8C6-7B8EEBD1FC91}"/>
    <cellStyle name="Финансовый 3 3 2 2 2 3 2 2 2 2 4" xfId="14200" xr:uid="{00000000-0005-0000-0000-0000702C0000}"/>
    <cellStyle name="Финансовый 3 3 2 2 2 3 2 2 2 2 4 2" xfId="31213" xr:uid="{7229A02C-5DCA-49A4-9034-82957CA1C7BC}"/>
    <cellStyle name="Финансовый 3 3 2 2 2 3 2 2 2 2 5" xfId="17281" xr:uid="{00000000-0005-0000-0000-0000712C0000}"/>
    <cellStyle name="Финансовый 3 3 2 2 2 3 2 2 2 2 5 2" xfId="34294" xr:uid="{C74A84C4-A82C-478A-8818-599C4DF0E0F1}"/>
    <cellStyle name="Финансовый 3 3 2 2 2 3 2 2 2 2 6" xfId="24984" xr:uid="{D38DD344-7AD8-465A-BC0A-4B9B17576B14}"/>
    <cellStyle name="Финансовый 3 3 2 2 2 3 2 2 2 3" xfId="7879" xr:uid="{00000000-0005-0000-0000-0000722C0000}"/>
    <cellStyle name="Финансовый 3 3 2 2 2 3 2 2 2 3 2" xfId="10970" xr:uid="{00000000-0005-0000-0000-0000732C0000}"/>
    <cellStyle name="Финансовый 3 3 2 2 2 3 2 2 2 3 2 2" xfId="28059" xr:uid="{29368E6A-C956-4249-ADA3-DA29412DDA6C}"/>
    <cellStyle name="Финансовый 3 3 2 2 2 3 2 2 2 3 3" xfId="14202" xr:uid="{00000000-0005-0000-0000-0000742C0000}"/>
    <cellStyle name="Финансовый 3 3 2 2 2 3 2 2 2 3 3 2" xfId="31215" xr:uid="{580DEF63-CEF6-4C7D-A609-70DEF94EF68E}"/>
    <cellStyle name="Финансовый 3 3 2 2 2 3 2 2 2 3 4" xfId="17283" xr:uid="{00000000-0005-0000-0000-0000752C0000}"/>
    <cellStyle name="Финансовый 3 3 2 2 2 3 2 2 2 3 4 2" xfId="34296" xr:uid="{85D36DE4-C604-4F1E-86EA-694FC8607D08}"/>
    <cellStyle name="Финансовый 3 3 2 2 2 3 2 2 2 3 5" xfId="24986" xr:uid="{99F94EF7-1D50-4819-BBB8-FF6B9B8D40E0}"/>
    <cellStyle name="Финансовый 3 3 2 2 2 3 2 2 2 4" xfId="10967" xr:uid="{00000000-0005-0000-0000-0000762C0000}"/>
    <cellStyle name="Финансовый 3 3 2 2 2 3 2 2 2 4 2" xfId="28056" xr:uid="{ECDA5DD1-FA46-4658-B66C-5907ED53A687}"/>
    <cellStyle name="Финансовый 3 3 2 2 2 3 2 2 2 5" xfId="14199" xr:uid="{00000000-0005-0000-0000-0000772C0000}"/>
    <cellStyle name="Финансовый 3 3 2 2 2 3 2 2 2 5 2" xfId="31212" xr:uid="{0A85F59C-1158-4890-BA7C-8A267F404F99}"/>
    <cellStyle name="Финансовый 3 3 2 2 2 3 2 2 2 6" xfId="17280" xr:uid="{00000000-0005-0000-0000-0000782C0000}"/>
    <cellStyle name="Финансовый 3 3 2 2 2 3 2 2 2 6 2" xfId="34293" xr:uid="{8C62EB9B-5A94-45C4-B52B-D8228740F23C}"/>
    <cellStyle name="Финансовый 3 3 2 2 2 3 2 2 2 7" xfId="24983" xr:uid="{95E71160-31E7-4B22-A2D9-1637F135A8DB}"/>
    <cellStyle name="Финансовый 3 3 2 2 2 3 2 2 3" xfId="7880" xr:uid="{00000000-0005-0000-0000-0000792C0000}"/>
    <cellStyle name="Финансовый 3 3 2 2 2 3 2 2 3 2" xfId="7881" xr:uid="{00000000-0005-0000-0000-00007A2C0000}"/>
    <cellStyle name="Финансовый 3 3 2 2 2 3 2 2 3 2 2" xfId="10972" xr:uid="{00000000-0005-0000-0000-00007B2C0000}"/>
    <cellStyle name="Финансовый 3 3 2 2 2 3 2 2 3 2 2 2" xfId="28061" xr:uid="{6561D148-7400-448E-A492-FD6462D4041F}"/>
    <cellStyle name="Финансовый 3 3 2 2 2 3 2 2 3 2 3" xfId="14204" xr:uid="{00000000-0005-0000-0000-00007C2C0000}"/>
    <cellStyle name="Финансовый 3 3 2 2 2 3 2 2 3 2 3 2" xfId="31217" xr:uid="{066B06EC-28CF-4AF8-9DC6-1B5DC32243AA}"/>
    <cellStyle name="Финансовый 3 3 2 2 2 3 2 2 3 2 4" xfId="17285" xr:uid="{00000000-0005-0000-0000-00007D2C0000}"/>
    <cellStyle name="Финансовый 3 3 2 2 2 3 2 2 3 2 4 2" xfId="34298" xr:uid="{1FFF537D-F15C-4416-97BB-AE918717824D}"/>
    <cellStyle name="Финансовый 3 3 2 2 2 3 2 2 3 2 5" xfId="24988" xr:uid="{7A296B05-922A-418D-9DA7-C1F721BA5317}"/>
    <cellStyle name="Финансовый 3 3 2 2 2 3 2 2 3 3" xfId="10971" xr:uid="{00000000-0005-0000-0000-00007E2C0000}"/>
    <cellStyle name="Финансовый 3 3 2 2 2 3 2 2 3 3 2" xfId="28060" xr:uid="{37B86337-D4AC-46DF-9C97-68BAB8D93158}"/>
    <cellStyle name="Финансовый 3 3 2 2 2 3 2 2 3 4" xfId="14203" xr:uid="{00000000-0005-0000-0000-00007F2C0000}"/>
    <cellStyle name="Финансовый 3 3 2 2 2 3 2 2 3 4 2" xfId="31216" xr:uid="{36703A4E-2F09-40B0-9921-A3F3248F0020}"/>
    <cellStyle name="Финансовый 3 3 2 2 2 3 2 2 3 5" xfId="17284" xr:uid="{00000000-0005-0000-0000-0000802C0000}"/>
    <cellStyle name="Финансовый 3 3 2 2 2 3 2 2 3 5 2" xfId="34297" xr:uid="{1C34AEEE-B6A8-4F8E-AF02-53C20F842EF2}"/>
    <cellStyle name="Финансовый 3 3 2 2 2 3 2 2 3 6" xfId="24987" xr:uid="{BD4963D4-065E-4260-8BC0-724A6561D50B}"/>
    <cellStyle name="Финансовый 3 3 2 2 2 3 2 2 4" xfId="7882" xr:uid="{00000000-0005-0000-0000-0000812C0000}"/>
    <cellStyle name="Финансовый 3 3 2 2 2 3 2 2 4 2" xfId="10973" xr:uid="{00000000-0005-0000-0000-0000822C0000}"/>
    <cellStyle name="Финансовый 3 3 2 2 2 3 2 2 4 2 2" xfId="28062" xr:uid="{A207DE74-934A-44D0-B9F8-B4F4CD1AF858}"/>
    <cellStyle name="Финансовый 3 3 2 2 2 3 2 2 4 3" xfId="14205" xr:uid="{00000000-0005-0000-0000-0000832C0000}"/>
    <cellStyle name="Финансовый 3 3 2 2 2 3 2 2 4 3 2" xfId="31218" xr:uid="{E9BBE59D-DDAD-4BD5-9608-95F594A2EDC8}"/>
    <cellStyle name="Финансовый 3 3 2 2 2 3 2 2 4 4" xfId="17286" xr:uid="{00000000-0005-0000-0000-0000842C0000}"/>
    <cellStyle name="Финансовый 3 3 2 2 2 3 2 2 4 4 2" xfId="34299" xr:uid="{DA557E83-244F-4FE1-BCA3-9B822F2E62B6}"/>
    <cellStyle name="Финансовый 3 3 2 2 2 3 2 2 4 5" xfId="24989" xr:uid="{51FA925A-421E-4F93-8536-4A54CC67A176}"/>
    <cellStyle name="Финансовый 3 3 2 2 2 3 2 2 5" xfId="10966" xr:uid="{00000000-0005-0000-0000-0000852C0000}"/>
    <cellStyle name="Финансовый 3 3 2 2 2 3 2 2 5 2" xfId="28055" xr:uid="{7807A9FB-08C4-411E-9DF0-6ACF9197D9E2}"/>
    <cellStyle name="Финансовый 3 3 2 2 2 3 2 2 6" xfId="14198" xr:uid="{00000000-0005-0000-0000-0000862C0000}"/>
    <cellStyle name="Финансовый 3 3 2 2 2 3 2 2 6 2" xfId="31211" xr:uid="{C7B0D75F-23D4-4F55-8AAB-FD6A5F043483}"/>
    <cellStyle name="Финансовый 3 3 2 2 2 3 2 2 7" xfId="17279" xr:uid="{00000000-0005-0000-0000-0000872C0000}"/>
    <cellStyle name="Финансовый 3 3 2 2 2 3 2 2 7 2" xfId="34292" xr:uid="{C17C17E8-C1BE-499C-BA01-007DBA945CC9}"/>
    <cellStyle name="Финансовый 3 3 2 2 2 3 2 2 8" xfId="24982" xr:uid="{F867817F-A39C-4EB0-8A49-F1474E91A976}"/>
    <cellStyle name="Финансовый 3 3 2 2 2 3 2 3" xfId="7883" xr:uid="{00000000-0005-0000-0000-0000882C0000}"/>
    <cellStyle name="Финансовый 3 3 2 2 2 3 2 3 2" xfId="7884" xr:uid="{00000000-0005-0000-0000-0000892C0000}"/>
    <cellStyle name="Финансовый 3 3 2 2 2 3 2 3 2 2" xfId="7885" xr:uid="{00000000-0005-0000-0000-00008A2C0000}"/>
    <cellStyle name="Финансовый 3 3 2 2 2 3 2 3 2 2 2" xfId="10976" xr:uid="{00000000-0005-0000-0000-00008B2C0000}"/>
    <cellStyle name="Финансовый 3 3 2 2 2 3 2 3 2 2 2 2" xfId="28065" xr:uid="{C1560F73-3EB1-488A-99C7-DB163D37E276}"/>
    <cellStyle name="Финансовый 3 3 2 2 2 3 2 3 2 2 3" xfId="14208" xr:uid="{00000000-0005-0000-0000-00008C2C0000}"/>
    <cellStyle name="Финансовый 3 3 2 2 2 3 2 3 2 2 3 2" xfId="31221" xr:uid="{03B56FB5-7596-49F8-99E0-BE79FF216B0B}"/>
    <cellStyle name="Финансовый 3 3 2 2 2 3 2 3 2 2 4" xfId="17289" xr:uid="{00000000-0005-0000-0000-00008D2C0000}"/>
    <cellStyle name="Финансовый 3 3 2 2 2 3 2 3 2 2 4 2" xfId="34302" xr:uid="{A8B8C210-1367-4529-8CF8-3DBDB50A1828}"/>
    <cellStyle name="Финансовый 3 3 2 2 2 3 2 3 2 2 5" xfId="24992" xr:uid="{F0945BA9-228C-4DB9-B3FA-86DDD6D6432A}"/>
    <cellStyle name="Финансовый 3 3 2 2 2 3 2 3 2 3" xfId="10975" xr:uid="{00000000-0005-0000-0000-00008E2C0000}"/>
    <cellStyle name="Финансовый 3 3 2 2 2 3 2 3 2 3 2" xfId="28064" xr:uid="{5A28D498-930D-4B66-88C1-93597AE97408}"/>
    <cellStyle name="Финансовый 3 3 2 2 2 3 2 3 2 4" xfId="14207" xr:uid="{00000000-0005-0000-0000-00008F2C0000}"/>
    <cellStyle name="Финансовый 3 3 2 2 2 3 2 3 2 4 2" xfId="31220" xr:uid="{B59CC2A4-7220-4CEA-B235-ECC18CA680D2}"/>
    <cellStyle name="Финансовый 3 3 2 2 2 3 2 3 2 5" xfId="17288" xr:uid="{00000000-0005-0000-0000-0000902C0000}"/>
    <cellStyle name="Финансовый 3 3 2 2 2 3 2 3 2 5 2" xfId="34301" xr:uid="{7394CFBF-A145-4675-AA04-F8EF575BC02E}"/>
    <cellStyle name="Финансовый 3 3 2 2 2 3 2 3 2 6" xfId="24991" xr:uid="{1FF50E7A-5A40-47ED-8915-1AC51E01E6FD}"/>
    <cellStyle name="Финансовый 3 3 2 2 2 3 2 3 3" xfId="7886" xr:uid="{00000000-0005-0000-0000-0000912C0000}"/>
    <cellStyle name="Финансовый 3 3 2 2 2 3 2 3 3 2" xfId="10977" xr:uid="{00000000-0005-0000-0000-0000922C0000}"/>
    <cellStyle name="Финансовый 3 3 2 2 2 3 2 3 3 2 2" xfId="28066" xr:uid="{A03F1780-2394-45FB-9631-65605F08A3E5}"/>
    <cellStyle name="Финансовый 3 3 2 2 2 3 2 3 3 3" xfId="14209" xr:uid="{00000000-0005-0000-0000-0000932C0000}"/>
    <cellStyle name="Финансовый 3 3 2 2 2 3 2 3 3 3 2" xfId="31222" xr:uid="{D1EF88AD-4BEA-421A-86EE-1A5DB3FF1E1D}"/>
    <cellStyle name="Финансовый 3 3 2 2 2 3 2 3 3 4" xfId="17290" xr:uid="{00000000-0005-0000-0000-0000942C0000}"/>
    <cellStyle name="Финансовый 3 3 2 2 2 3 2 3 3 4 2" xfId="34303" xr:uid="{AA037FCE-8815-4228-9B60-1CC3FD6C99A5}"/>
    <cellStyle name="Финансовый 3 3 2 2 2 3 2 3 3 5" xfId="24993" xr:uid="{FDCCE507-05A7-4091-990E-C2C0471A710F}"/>
    <cellStyle name="Финансовый 3 3 2 2 2 3 2 3 4" xfId="10974" xr:uid="{00000000-0005-0000-0000-0000952C0000}"/>
    <cellStyle name="Финансовый 3 3 2 2 2 3 2 3 4 2" xfId="28063" xr:uid="{8EBDA6B0-8D0C-4A29-8097-BFA7C3C473CE}"/>
    <cellStyle name="Финансовый 3 3 2 2 2 3 2 3 5" xfId="14206" xr:uid="{00000000-0005-0000-0000-0000962C0000}"/>
    <cellStyle name="Финансовый 3 3 2 2 2 3 2 3 5 2" xfId="31219" xr:uid="{AE6B5683-6969-4824-9A26-8FEF05EF98C4}"/>
    <cellStyle name="Финансовый 3 3 2 2 2 3 2 3 6" xfId="17287" xr:uid="{00000000-0005-0000-0000-0000972C0000}"/>
    <cellStyle name="Финансовый 3 3 2 2 2 3 2 3 6 2" xfId="34300" xr:uid="{22C3748D-2301-4D7B-AE26-A971C3485789}"/>
    <cellStyle name="Финансовый 3 3 2 2 2 3 2 3 7" xfId="24990" xr:uid="{C72DB511-861C-4BB3-94C6-C4B2F66A7F24}"/>
    <cellStyle name="Финансовый 3 3 2 2 2 3 2 4" xfId="7887" xr:uid="{00000000-0005-0000-0000-0000982C0000}"/>
    <cellStyle name="Финансовый 3 3 2 2 2 3 2 4 2" xfId="7888" xr:uid="{00000000-0005-0000-0000-0000992C0000}"/>
    <cellStyle name="Финансовый 3 3 2 2 2 3 2 4 2 2" xfId="10979" xr:uid="{00000000-0005-0000-0000-00009A2C0000}"/>
    <cellStyle name="Финансовый 3 3 2 2 2 3 2 4 2 2 2" xfId="28068" xr:uid="{342B6408-E07C-4D7F-B6C6-6CBCB6CA5A58}"/>
    <cellStyle name="Финансовый 3 3 2 2 2 3 2 4 2 3" xfId="14211" xr:uid="{00000000-0005-0000-0000-00009B2C0000}"/>
    <cellStyle name="Финансовый 3 3 2 2 2 3 2 4 2 3 2" xfId="31224" xr:uid="{AA5E8813-9E30-4B7D-9F85-E37DC898302F}"/>
    <cellStyle name="Финансовый 3 3 2 2 2 3 2 4 2 4" xfId="17292" xr:uid="{00000000-0005-0000-0000-00009C2C0000}"/>
    <cellStyle name="Финансовый 3 3 2 2 2 3 2 4 2 4 2" xfId="34305" xr:uid="{9FABEC9A-0EBA-41DC-8CD3-2B8D935DB8AA}"/>
    <cellStyle name="Финансовый 3 3 2 2 2 3 2 4 2 5" xfId="24995" xr:uid="{C747545B-EB31-4571-822A-213360FE52F7}"/>
    <cellStyle name="Финансовый 3 3 2 2 2 3 2 4 3" xfId="10978" xr:uid="{00000000-0005-0000-0000-00009D2C0000}"/>
    <cellStyle name="Финансовый 3 3 2 2 2 3 2 4 3 2" xfId="28067" xr:uid="{F5517B48-383F-4DC5-9FF4-F222F7D348DE}"/>
    <cellStyle name="Финансовый 3 3 2 2 2 3 2 4 4" xfId="14210" xr:uid="{00000000-0005-0000-0000-00009E2C0000}"/>
    <cellStyle name="Финансовый 3 3 2 2 2 3 2 4 4 2" xfId="31223" xr:uid="{66BD2E57-F541-44B2-AA55-58F60BDFE07A}"/>
    <cellStyle name="Финансовый 3 3 2 2 2 3 2 4 5" xfId="17291" xr:uid="{00000000-0005-0000-0000-00009F2C0000}"/>
    <cellStyle name="Финансовый 3 3 2 2 2 3 2 4 5 2" xfId="34304" xr:uid="{14E92D26-F6B8-4A72-8A01-B61FB4126A15}"/>
    <cellStyle name="Финансовый 3 3 2 2 2 3 2 4 6" xfId="24994" xr:uid="{6513BF69-407D-4D6A-905D-30916F8A31CC}"/>
    <cellStyle name="Финансовый 3 3 2 2 2 3 2 5" xfId="7889" xr:uid="{00000000-0005-0000-0000-0000A02C0000}"/>
    <cellStyle name="Финансовый 3 3 2 2 2 3 2 5 2" xfId="10980" xr:uid="{00000000-0005-0000-0000-0000A12C0000}"/>
    <cellStyle name="Финансовый 3 3 2 2 2 3 2 5 2 2" xfId="28069" xr:uid="{355B38D8-04C9-4A94-A53D-44D36400AC44}"/>
    <cellStyle name="Финансовый 3 3 2 2 2 3 2 5 3" xfId="14212" xr:uid="{00000000-0005-0000-0000-0000A22C0000}"/>
    <cellStyle name="Финансовый 3 3 2 2 2 3 2 5 3 2" xfId="31225" xr:uid="{B4D0E184-7C6B-459E-A338-C32DE4ABCBC4}"/>
    <cellStyle name="Финансовый 3 3 2 2 2 3 2 5 4" xfId="17293" xr:uid="{00000000-0005-0000-0000-0000A32C0000}"/>
    <cellStyle name="Финансовый 3 3 2 2 2 3 2 5 4 2" xfId="34306" xr:uid="{9E49606B-ABD1-4F2E-AB4F-DBFD45D742B6}"/>
    <cellStyle name="Финансовый 3 3 2 2 2 3 2 5 5" xfId="24996" xr:uid="{218FAB6B-4D15-4E15-AC56-DAECEEC54FEB}"/>
    <cellStyle name="Финансовый 3 3 2 2 2 3 2 6" xfId="10965" xr:uid="{00000000-0005-0000-0000-0000A42C0000}"/>
    <cellStyle name="Финансовый 3 3 2 2 2 3 2 6 2" xfId="28054" xr:uid="{9BF19658-FEB9-4989-9A47-1280B5EB6A65}"/>
    <cellStyle name="Финансовый 3 3 2 2 2 3 2 7" xfId="14197" xr:uid="{00000000-0005-0000-0000-0000A52C0000}"/>
    <cellStyle name="Финансовый 3 3 2 2 2 3 2 7 2" xfId="31210" xr:uid="{16205BDA-E484-4A4D-84AF-51085362B733}"/>
    <cellStyle name="Финансовый 3 3 2 2 2 3 2 8" xfId="17278" xr:uid="{00000000-0005-0000-0000-0000A62C0000}"/>
    <cellStyle name="Финансовый 3 3 2 2 2 3 2 8 2" xfId="34291" xr:uid="{BCC945B4-5787-457B-AEC9-F6162DE110F4}"/>
    <cellStyle name="Финансовый 3 3 2 2 2 3 2 9" xfId="24981" xr:uid="{F3B4C8AA-E9CC-4969-9881-B87B51DDE61D}"/>
    <cellStyle name="Финансовый 3 3 2 2 2 3 3" xfId="7890" xr:uid="{00000000-0005-0000-0000-0000A72C0000}"/>
    <cellStyle name="Финансовый 3 3 2 2 2 3 3 2" xfId="7891" xr:uid="{00000000-0005-0000-0000-0000A82C0000}"/>
    <cellStyle name="Финансовый 3 3 2 2 2 3 3 2 2" xfId="7892" xr:uid="{00000000-0005-0000-0000-0000A92C0000}"/>
    <cellStyle name="Финансовый 3 3 2 2 2 3 3 2 2 2" xfId="7893" xr:uid="{00000000-0005-0000-0000-0000AA2C0000}"/>
    <cellStyle name="Финансовый 3 3 2 2 2 3 3 2 2 2 2" xfId="10984" xr:uid="{00000000-0005-0000-0000-0000AB2C0000}"/>
    <cellStyle name="Финансовый 3 3 2 2 2 3 3 2 2 2 2 2" xfId="28073" xr:uid="{BCC721E1-C529-4FB5-A3F7-6DDF34A6CCBD}"/>
    <cellStyle name="Финансовый 3 3 2 2 2 3 3 2 2 2 3" xfId="14216" xr:uid="{00000000-0005-0000-0000-0000AC2C0000}"/>
    <cellStyle name="Финансовый 3 3 2 2 2 3 3 2 2 2 3 2" xfId="31229" xr:uid="{92848EE8-3628-4E22-9463-4F6A40F2CCEA}"/>
    <cellStyle name="Финансовый 3 3 2 2 2 3 3 2 2 2 4" xfId="17297" xr:uid="{00000000-0005-0000-0000-0000AD2C0000}"/>
    <cellStyle name="Финансовый 3 3 2 2 2 3 3 2 2 2 4 2" xfId="34310" xr:uid="{F23A18F4-14F8-49C4-B77A-6AE248EFF0EA}"/>
    <cellStyle name="Финансовый 3 3 2 2 2 3 3 2 2 2 5" xfId="25000" xr:uid="{AD27568D-F986-42F0-80C6-669BFF9F43C8}"/>
    <cellStyle name="Финансовый 3 3 2 2 2 3 3 2 2 3" xfId="10983" xr:uid="{00000000-0005-0000-0000-0000AE2C0000}"/>
    <cellStyle name="Финансовый 3 3 2 2 2 3 3 2 2 3 2" xfId="28072" xr:uid="{2C9AEE3A-DC6A-425A-A18F-34FA91262EB4}"/>
    <cellStyle name="Финансовый 3 3 2 2 2 3 3 2 2 4" xfId="14215" xr:uid="{00000000-0005-0000-0000-0000AF2C0000}"/>
    <cellStyle name="Финансовый 3 3 2 2 2 3 3 2 2 4 2" xfId="31228" xr:uid="{D56D899C-EA54-4BB7-AEBF-E4EE5E111A8E}"/>
    <cellStyle name="Финансовый 3 3 2 2 2 3 3 2 2 5" xfId="17296" xr:uid="{00000000-0005-0000-0000-0000B02C0000}"/>
    <cellStyle name="Финансовый 3 3 2 2 2 3 3 2 2 5 2" xfId="34309" xr:uid="{29F55929-ECBA-4922-862B-B6F3AAB7833F}"/>
    <cellStyle name="Финансовый 3 3 2 2 2 3 3 2 2 6" xfId="24999" xr:uid="{21F8AEC5-E969-4D05-BC38-8D416DA52B68}"/>
    <cellStyle name="Финансовый 3 3 2 2 2 3 3 2 3" xfId="7894" xr:uid="{00000000-0005-0000-0000-0000B12C0000}"/>
    <cellStyle name="Финансовый 3 3 2 2 2 3 3 2 3 2" xfId="10985" xr:uid="{00000000-0005-0000-0000-0000B22C0000}"/>
    <cellStyle name="Финансовый 3 3 2 2 2 3 3 2 3 2 2" xfId="28074" xr:uid="{4B5374A4-8047-47DD-8416-1194D372050F}"/>
    <cellStyle name="Финансовый 3 3 2 2 2 3 3 2 3 3" xfId="14217" xr:uid="{00000000-0005-0000-0000-0000B32C0000}"/>
    <cellStyle name="Финансовый 3 3 2 2 2 3 3 2 3 3 2" xfId="31230" xr:uid="{E6F45B49-9565-4F9E-9379-2F1C6C6CB250}"/>
    <cellStyle name="Финансовый 3 3 2 2 2 3 3 2 3 4" xfId="17298" xr:uid="{00000000-0005-0000-0000-0000B42C0000}"/>
    <cellStyle name="Финансовый 3 3 2 2 2 3 3 2 3 4 2" xfId="34311" xr:uid="{FDBA7563-E12C-4A17-9109-487A6E67CB2E}"/>
    <cellStyle name="Финансовый 3 3 2 2 2 3 3 2 3 5" xfId="25001" xr:uid="{CB977A5B-B0B1-4236-BE6A-CDA1E0626B2C}"/>
    <cellStyle name="Финансовый 3 3 2 2 2 3 3 2 4" xfId="10982" xr:uid="{00000000-0005-0000-0000-0000B52C0000}"/>
    <cellStyle name="Финансовый 3 3 2 2 2 3 3 2 4 2" xfId="28071" xr:uid="{734B8CD4-91CE-4C2E-A12E-16CF3DB30533}"/>
    <cellStyle name="Финансовый 3 3 2 2 2 3 3 2 5" xfId="14214" xr:uid="{00000000-0005-0000-0000-0000B62C0000}"/>
    <cellStyle name="Финансовый 3 3 2 2 2 3 3 2 5 2" xfId="31227" xr:uid="{64D3E705-A3F6-444A-9750-DC65ACE9E97A}"/>
    <cellStyle name="Финансовый 3 3 2 2 2 3 3 2 6" xfId="17295" xr:uid="{00000000-0005-0000-0000-0000B72C0000}"/>
    <cellStyle name="Финансовый 3 3 2 2 2 3 3 2 6 2" xfId="34308" xr:uid="{598B4BCC-0E4D-4EF0-8753-52FF3B5065CB}"/>
    <cellStyle name="Финансовый 3 3 2 2 2 3 3 2 7" xfId="24998" xr:uid="{0E8D9FA6-E2C7-4B99-B430-D953CC9A8802}"/>
    <cellStyle name="Финансовый 3 3 2 2 2 3 3 3" xfId="7895" xr:uid="{00000000-0005-0000-0000-0000B82C0000}"/>
    <cellStyle name="Финансовый 3 3 2 2 2 3 3 3 2" xfId="7896" xr:uid="{00000000-0005-0000-0000-0000B92C0000}"/>
    <cellStyle name="Финансовый 3 3 2 2 2 3 3 3 2 2" xfId="10987" xr:uid="{00000000-0005-0000-0000-0000BA2C0000}"/>
    <cellStyle name="Финансовый 3 3 2 2 2 3 3 3 2 2 2" xfId="28076" xr:uid="{2D337CF7-7594-4F87-8985-B917C9720CB1}"/>
    <cellStyle name="Финансовый 3 3 2 2 2 3 3 3 2 3" xfId="14219" xr:uid="{00000000-0005-0000-0000-0000BB2C0000}"/>
    <cellStyle name="Финансовый 3 3 2 2 2 3 3 3 2 3 2" xfId="31232" xr:uid="{AF33298E-5C59-40A9-80F1-C0A880C7941F}"/>
    <cellStyle name="Финансовый 3 3 2 2 2 3 3 3 2 4" xfId="17300" xr:uid="{00000000-0005-0000-0000-0000BC2C0000}"/>
    <cellStyle name="Финансовый 3 3 2 2 2 3 3 3 2 4 2" xfId="34313" xr:uid="{834FCB30-988B-4B9F-B268-54CAD44AB3F8}"/>
    <cellStyle name="Финансовый 3 3 2 2 2 3 3 3 2 5" xfId="25003" xr:uid="{0DC7ABEB-1AA2-47FB-9D37-0F35A0C7DB87}"/>
    <cellStyle name="Финансовый 3 3 2 2 2 3 3 3 3" xfId="10986" xr:uid="{00000000-0005-0000-0000-0000BD2C0000}"/>
    <cellStyle name="Финансовый 3 3 2 2 2 3 3 3 3 2" xfId="28075" xr:uid="{0BC3F489-082D-4934-9500-2EEAD226B38C}"/>
    <cellStyle name="Финансовый 3 3 2 2 2 3 3 3 4" xfId="14218" xr:uid="{00000000-0005-0000-0000-0000BE2C0000}"/>
    <cellStyle name="Финансовый 3 3 2 2 2 3 3 3 4 2" xfId="31231" xr:uid="{A0C87010-51BE-41A0-9F7E-B1F5BA1A1115}"/>
    <cellStyle name="Финансовый 3 3 2 2 2 3 3 3 5" xfId="17299" xr:uid="{00000000-0005-0000-0000-0000BF2C0000}"/>
    <cellStyle name="Финансовый 3 3 2 2 2 3 3 3 5 2" xfId="34312" xr:uid="{5618FC10-10C2-46EB-AAEB-AA79720C6385}"/>
    <cellStyle name="Финансовый 3 3 2 2 2 3 3 3 6" xfId="25002" xr:uid="{679CF901-849B-455A-A36C-300AD4029404}"/>
    <cellStyle name="Финансовый 3 3 2 2 2 3 3 4" xfId="7897" xr:uid="{00000000-0005-0000-0000-0000C02C0000}"/>
    <cellStyle name="Финансовый 3 3 2 2 2 3 3 4 2" xfId="10988" xr:uid="{00000000-0005-0000-0000-0000C12C0000}"/>
    <cellStyle name="Финансовый 3 3 2 2 2 3 3 4 2 2" xfId="28077" xr:uid="{E559B35D-7053-4E37-ACE3-4760F84B3F55}"/>
    <cellStyle name="Финансовый 3 3 2 2 2 3 3 4 3" xfId="14220" xr:uid="{00000000-0005-0000-0000-0000C22C0000}"/>
    <cellStyle name="Финансовый 3 3 2 2 2 3 3 4 3 2" xfId="31233" xr:uid="{8889046A-305F-4B8E-9410-EDCBD469399F}"/>
    <cellStyle name="Финансовый 3 3 2 2 2 3 3 4 4" xfId="17301" xr:uid="{00000000-0005-0000-0000-0000C32C0000}"/>
    <cellStyle name="Финансовый 3 3 2 2 2 3 3 4 4 2" xfId="34314" xr:uid="{84EBF1D9-B9E9-459D-B679-EBA752FBA64C}"/>
    <cellStyle name="Финансовый 3 3 2 2 2 3 3 4 5" xfId="25004" xr:uid="{082D3424-7597-4A12-B437-1584F9503F73}"/>
    <cellStyle name="Финансовый 3 3 2 2 2 3 3 5" xfId="10981" xr:uid="{00000000-0005-0000-0000-0000C42C0000}"/>
    <cellStyle name="Финансовый 3 3 2 2 2 3 3 5 2" xfId="28070" xr:uid="{90396E3C-1589-4584-AA5D-A4659A088F54}"/>
    <cellStyle name="Финансовый 3 3 2 2 2 3 3 6" xfId="14213" xr:uid="{00000000-0005-0000-0000-0000C52C0000}"/>
    <cellStyle name="Финансовый 3 3 2 2 2 3 3 6 2" xfId="31226" xr:uid="{90666EDA-6036-41F6-91D4-E9965B12ECC2}"/>
    <cellStyle name="Финансовый 3 3 2 2 2 3 3 7" xfId="17294" xr:uid="{00000000-0005-0000-0000-0000C62C0000}"/>
    <cellStyle name="Финансовый 3 3 2 2 2 3 3 7 2" xfId="34307" xr:uid="{EA286418-02D6-4858-9623-24AE8830E7E8}"/>
    <cellStyle name="Финансовый 3 3 2 2 2 3 3 8" xfId="24997" xr:uid="{3595B594-DB32-4648-A228-F29DAC6D2E35}"/>
    <cellStyle name="Финансовый 3 3 2 2 2 3 4" xfId="7898" xr:uid="{00000000-0005-0000-0000-0000C72C0000}"/>
    <cellStyle name="Финансовый 3 3 2 2 2 3 4 2" xfId="7899" xr:uid="{00000000-0005-0000-0000-0000C82C0000}"/>
    <cellStyle name="Финансовый 3 3 2 2 2 3 4 2 2" xfId="7900" xr:uid="{00000000-0005-0000-0000-0000C92C0000}"/>
    <cellStyle name="Финансовый 3 3 2 2 2 3 4 2 2 2" xfId="10991" xr:uid="{00000000-0005-0000-0000-0000CA2C0000}"/>
    <cellStyle name="Финансовый 3 3 2 2 2 3 4 2 2 2 2" xfId="28080" xr:uid="{8882C815-3EB5-48A7-9E07-E561649B063C}"/>
    <cellStyle name="Финансовый 3 3 2 2 2 3 4 2 2 3" xfId="14223" xr:uid="{00000000-0005-0000-0000-0000CB2C0000}"/>
    <cellStyle name="Финансовый 3 3 2 2 2 3 4 2 2 3 2" xfId="31236" xr:uid="{07DFC749-D18E-4D56-AFAC-9946A6981712}"/>
    <cellStyle name="Финансовый 3 3 2 2 2 3 4 2 2 4" xfId="17304" xr:uid="{00000000-0005-0000-0000-0000CC2C0000}"/>
    <cellStyle name="Финансовый 3 3 2 2 2 3 4 2 2 4 2" xfId="34317" xr:uid="{A3F40F6C-E933-4CFF-B12C-06BD1BEBF717}"/>
    <cellStyle name="Финансовый 3 3 2 2 2 3 4 2 2 5" xfId="25007" xr:uid="{89BDE682-0B23-4AC5-BA2C-FCB92E8A9FDE}"/>
    <cellStyle name="Финансовый 3 3 2 2 2 3 4 2 3" xfId="10990" xr:uid="{00000000-0005-0000-0000-0000CD2C0000}"/>
    <cellStyle name="Финансовый 3 3 2 2 2 3 4 2 3 2" xfId="28079" xr:uid="{9B89C564-41DA-4B8B-BE6E-C8030C95DE2D}"/>
    <cellStyle name="Финансовый 3 3 2 2 2 3 4 2 4" xfId="14222" xr:uid="{00000000-0005-0000-0000-0000CE2C0000}"/>
    <cellStyle name="Финансовый 3 3 2 2 2 3 4 2 4 2" xfId="31235" xr:uid="{762C61D7-5883-4D7C-A0F0-1B061CB7F3B9}"/>
    <cellStyle name="Финансовый 3 3 2 2 2 3 4 2 5" xfId="17303" xr:uid="{00000000-0005-0000-0000-0000CF2C0000}"/>
    <cellStyle name="Финансовый 3 3 2 2 2 3 4 2 5 2" xfId="34316" xr:uid="{452083C0-5ECD-41F1-921A-E6C0ADC31FD1}"/>
    <cellStyle name="Финансовый 3 3 2 2 2 3 4 2 6" xfId="25006" xr:uid="{FD9D3E70-0409-4704-9A72-50561A5D520D}"/>
    <cellStyle name="Финансовый 3 3 2 2 2 3 4 3" xfId="7901" xr:uid="{00000000-0005-0000-0000-0000D02C0000}"/>
    <cellStyle name="Финансовый 3 3 2 2 2 3 4 3 2" xfId="10992" xr:uid="{00000000-0005-0000-0000-0000D12C0000}"/>
    <cellStyle name="Финансовый 3 3 2 2 2 3 4 3 2 2" xfId="28081" xr:uid="{C781F3F1-67DB-420F-B2E3-EF57B52B4B33}"/>
    <cellStyle name="Финансовый 3 3 2 2 2 3 4 3 3" xfId="14224" xr:uid="{00000000-0005-0000-0000-0000D22C0000}"/>
    <cellStyle name="Финансовый 3 3 2 2 2 3 4 3 3 2" xfId="31237" xr:uid="{E859C296-0F35-46BF-B85F-5751631F5D0D}"/>
    <cellStyle name="Финансовый 3 3 2 2 2 3 4 3 4" xfId="17305" xr:uid="{00000000-0005-0000-0000-0000D32C0000}"/>
    <cellStyle name="Финансовый 3 3 2 2 2 3 4 3 4 2" xfId="34318" xr:uid="{B32675EA-1B7F-43F7-95D4-0BC21AB190D6}"/>
    <cellStyle name="Финансовый 3 3 2 2 2 3 4 3 5" xfId="25008" xr:uid="{75C6890B-2D40-4F0D-9A09-5C7EE4C634A8}"/>
    <cellStyle name="Финансовый 3 3 2 2 2 3 4 4" xfId="10989" xr:uid="{00000000-0005-0000-0000-0000D42C0000}"/>
    <cellStyle name="Финансовый 3 3 2 2 2 3 4 4 2" xfId="28078" xr:uid="{C64B5BFC-7461-4810-BE63-28F387BA0AAD}"/>
    <cellStyle name="Финансовый 3 3 2 2 2 3 4 5" xfId="14221" xr:uid="{00000000-0005-0000-0000-0000D52C0000}"/>
    <cellStyle name="Финансовый 3 3 2 2 2 3 4 5 2" xfId="31234" xr:uid="{A230F6ED-BE5A-4B9F-A306-DA70947325D1}"/>
    <cellStyle name="Финансовый 3 3 2 2 2 3 4 6" xfId="17302" xr:uid="{00000000-0005-0000-0000-0000D62C0000}"/>
    <cellStyle name="Финансовый 3 3 2 2 2 3 4 6 2" xfId="34315" xr:uid="{4A4B7946-40B5-4247-BCB6-31E6DB0FD48B}"/>
    <cellStyle name="Финансовый 3 3 2 2 2 3 4 7" xfId="25005" xr:uid="{A84F069B-0F9D-4EE0-A9CC-D3900D8E42D4}"/>
    <cellStyle name="Финансовый 3 3 2 2 2 3 5" xfId="7902" xr:uid="{00000000-0005-0000-0000-0000D72C0000}"/>
    <cellStyle name="Финансовый 3 3 2 2 2 3 5 2" xfId="7903" xr:uid="{00000000-0005-0000-0000-0000D82C0000}"/>
    <cellStyle name="Финансовый 3 3 2 2 2 3 5 2 2" xfId="10994" xr:uid="{00000000-0005-0000-0000-0000D92C0000}"/>
    <cellStyle name="Финансовый 3 3 2 2 2 3 5 2 2 2" xfId="28083" xr:uid="{C3C4DAD8-4B3B-40EC-8D83-4B5A126AB216}"/>
    <cellStyle name="Финансовый 3 3 2 2 2 3 5 2 3" xfId="14226" xr:uid="{00000000-0005-0000-0000-0000DA2C0000}"/>
    <cellStyle name="Финансовый 3 3 2 2 2 3 5 2 3 2" xfId="31239" xr:uid="{026527AE-B06E-49A1-92E5-11307BDBD0CA}"/>
    <cellStyle name="Финансовый 3 3 2 2 2 3 5 2 4" xfId="17307" xr:uid="{00000000-0005-0000-0000-0000DB2C0000}"/>
    <cellStyle name="Финансовый 3 3 2 2 2 3 5 2 4 2" xfId="34320" xr:uid="{F778BD9C-115F-48E4-A332-181513A10B4C}"/>
    <cellStyle name="Финансовый 3 3 2 2 2 3 5 2 5" xfId="25010" xr:uid="{F632D451-B62B-426B-9088-321651303BE2}"/>
    <cellStyle name="Финансовый 3 3 2 2 2 3 5 3" xfId="10993" xr:uid="{00000000-0005-0000-0000-0000DC2C0000}"/>
    <cellStyle name="Финансовый 3 3 2 2 2 3 5 3 2" xfId="28082" xr:uid="{2D28F748-4719-4827-8A19-2D44AC0818B0}"/>
    <cellStyle name="Финансовый 3 3 2 2 2 3 5 4" xfId="14225" xr:uid="{00000000-0005-0000-0000-0000DD2C0000}"/>
    <cellStyle name="Финансовый 3 3 2 2 2 3 5 4 2" xfId="31238" xr:uid="{1A90055B-C19B-40F9-AC8D-0ABC3AFB224B}"/>
    <cellStyle name="Финансовый 3 3 2 2 2 3 5 5" xfId="17306" xr:uid="{00000000-0005-0000-0000-0000DE2C0000}"/>
    <cellStyle name="Финансовый 3 3 2 2 2 3 5 5 2" xfId="34319" xr:uid="{65061E8B-D604-45D9-8FB7-10FFAD3E7049}"/>
    <cellStyle name="Финансовый 3 3 2 2 2 3 5 6" xfId="25009" xr:uid="{0D88DC9D-BA2F-4E46-95B3-DAF5CBEA433A}"/>
    <cellStyle name="Финансовый 3 3 2 2 2 3 6" xfId="7904" xr:uid="{00000000-0005-0000-0000-0000DF2C0000}"/>
    <cellStyle name="Финансовый 3 3 2 2 2 3 6 2" xfId="10995" xr:uid="{00000000-0005-0000-0000-0000E02C0000}"/>
    <cellStyle name="Финансовый 3 3 2 2 2 3 6 2 2" xfId="28084" xr:uid="{993728AF-D030-4B4D-8AB1-5418E52D57A5}"/>
    <cellStyle name="Финансовый 3 3 2 2 2 3 6 3" xfId="14227" xr:uid="{00000000-0005-0000-0000-0000E12C0000}"/>
    <cellStyle name="Финансовый 3 3 2 2 2 3 6 3 2" xfId="31240" xr:uid="{20DE74C6-3FA3-42C8-96D6-2FD40FD7EE3A}"/>
    <cellStyle name="Финансовый 3 3 2 2 2 3 6 4" xfId="17308" xr:uid="{00000000-0005-0000-0000-0000E22C0000}"/>
    <cellStyle name="Финансовый 3 3 2 2 2 3 6 4 2" xfId="34321" xr:uid="{64661204-4065-43A7-814E-63C3F8807038}"/>
    <cellStyle name="Финансовый 3 3 2 2 2 3 6 5" xfId="25011" xr:uid="{4CD0F72F-7600-4E9F-A3A8-82744B74EB00}"/>
    <cellStyle name="Финансовый 3 3 2 2 2 3 7" xfId="10964" xr:uid="{00000000-0005-0000-0000-0000E32C0000}"/>
    <cellStyle name="Финансовый 3 3 2 2 2 3 7 2" xfId="28053" xr:uid="{78D16915-0D93-474C-8468-58DBA8D132FB}"/>
    <cellStyle name="Финансовый 3 3 2 2 2 3 8" xfId="14196" xr:uid="{00000000-0005-0000-0000-0000E42C0000}"/>
    <cellStyle name="Финансовый 3 3 2 2 2 3 8 2" xfId="31209" xr:uid="{4C035021-A6CC-492D-A33F-05577B0A8750}"/>
    <cellStyle name="Финансовый 3 3 2 2 2 3 9" xfId="17277" xr:uid="{00000000-0005-0000-0000-0000E52C0000}"/>
    <cellStyle name="Финансовый 3 3 2 2 2 3 9 2" xfId="34290" xr:uid="{C4B6A1F1-3654-4B31-B966-745A1332D977}"/>
    <cellStyle name="Финансовый 3 3 2 2 2 4" xfId="7905" xr:uid="{00000000-0005-0000-0000-0000E62C0000}"/>
    <cellStyle name="Финансовый 3 3 2 2 2 4 2" xfId="7906" xr:uid="{00000000-0005-0000-0000-0000E72C0000}"/>
    <cellStyle name="Финансовый 3 3 2 2 2 4 2 2" xfId="7907" xr:uid="{00000000-0005-0000-0000-0000E82C0000}"/>
    <cellStyle name="Финансовый 3 3 2 2 2 4 2 2 2" xfId="7908" xr:uid="{00000000-0005-0000-0000-0000E92C0000}"/>
    <cellStyle name="Финансовый 3 3 2 2 2 4 2 2 2 2" xfId="7909" xr:uid="{00000000-0005-0000-0000-0000EA2C0000}"/>
    <cellStyle name="Финансовый 3 3 2 2 2 4 2 2 2 2 2" xfId="11000" xr:uid="{00000000-0005-0000-0000-0000EB2C0000}"/>
    <cellStyle name="Финансовый 3 3 2 2 2 4 2 2 2 2 2 2" xfId="28089" xr:uid="{1D3088D3-E7C4-48CC-9D0D-8B5EFE945EDA}"/>
    <cellStyle name="Финансовый 3 3 2 2 2 4 2 2 2 2 3" xfId="14232" xr:uid="{00000000-0005-0000-0000-0000EC2C0000}"/>
    <cellStyle name="Финансовый 3 3 2 2 2 4 2 2 2 2 3 2" xfId="31245" xr:uid="{CB1283B1-ECCD-4107-93B5-4830AF6D5D08}"/>
    <cellStyle name="Финансовый 3 3 2 2 2 4 2 2 2 2 4" xfId="17313" xr:uid="{00000000-0005-0000-0000-0000ED2C0000}"/>
    <cellStyle name="Финансовый 3 3 2 2 2 4 2 2 2 2 4 2" xfId="34326" xr:uid="{A0459140-5CF5-4748-9AE6-46A5BF4C4A24}"/>
    <cellStyle name="Финансовый 3 3 2 2 2 4 2 2 2 2 5" xfId="25016" xr:uid="{D200861A-D010-467D-9A0A-464CCE04BA66}"/>
    <cellStyle name="Финансовый 3 3 2 2 2 4 2 2 2 3" xfId="10999" xr:uid="{00000000-0005-0000-0000-0000EE2C0000}"/>
    <cellStyle name="Финансовый 3 3 2 2 2 4 2 2 2 3 2" xfId="28088" xr:uid="{4CC7F965-5E0C-45AD-AFB4-F7550C4548C0}"/>
    <cellStyle name="Финансовый 3 3 2 2 2 4 2 2 2 4" xfId="14231" xr:uid="{00000000-0005-0000-0000-0000EF2C0000}"/>
    <cellStyle name="Финансовый 3 3 2 2 2 4 2 2 2 4 2" xfId="31244" xr:uid="{C4FDEC4F-0ADC-4B31-AC8D-E585FD841D6E}"/>
    <cellStyle name="Финансовый 3 3 2 2 2 4 2 2 2 5" xfId="17312" xr:uid="{00000000-0005-0000-0000-0000F02C0000}"/>
    <cellStyle name="Финансовый 3 3 2 2 2 4 2 2 2 5 2" xfId="34325" xr:uid="{3A1D3BDB-F39E-4B5F-80A5-952C82E18DD6}"/>
    <cellStyle name="Финансовый 3 3 2 2 2 4 2 2 2 6" xfId="25015" xr:uid="{6FD0889F-7E2F-41C9-8208-8FF4DE63CAA8}"/>
    <cellStyle name="Финансовый 3 3 2 2 2 4 2 2 3" xfId="7910" xr:uid="{00000000-0005-0000-0000-0000F12C0000}"/>
    <cellStyle name="Финансовый 3 3 2 2 2 4 2 2 3 2" xfId="11001" xr:uid="{00000000-0005-0000-0000-0000F22C0000}"/>
    <cellStyle name="Финансовый 3 3 2 2 2 4 2 2 3 2 2" xfId="28090" xr:uid="{7F94DBA5-D34E-4906-BA45-5D72AF0059AE}"/>
    <cellStyle name="Финансовый 3 3 2 2 2 4 2 2 3 3" xfId="14233" xr:uid="{00000000-0005-0000-0000-0000F32C0000}"/>
    <cellStyle name="Финансовый 3 3 2 2 2 4 2 2 3 3 2" xfId="31246" xr:uid="{42CDCAF3-E439-43DC-A2FC-7779DB804B8E}"/>
    <cellStyle name="Финансовый 3 3 2 2 2 4 2 2 3 4" xfId="17314" xr:uid="{00000000-0005-0000-0000-0000F42C0000}"/>
    <cellStyle name="Финансовый 3 3 2 2 2 4 2 2 3 4 2" xfId="34327" xr:uid="{144E3C62-B058-4604-B697-DA3B61B0170C}"/>
    <cellStyle name="Финансовый 3 3 2 2 2 4 2 2 3 5" xfId="25017" xr:uid="{DC6487B6-D048-4CCF-BFB4-B6A850F73395}"/>
    <cellStyle name="Финансовый 3 3 2 2 2 4 2 2 4" xfId="10998" xr:uid="{00000000-0005-0000-0000-0000F52C0000}"/>
    <cellStyle name="Финансовый 3 3 2 2 2 4 2 2 4 2" xfId="28087" xr:uid="{E91F8C57-8C91-4B48-926F-8A9C0A5079D4}"/>
    <cellStyle name="Финансовый 3 3 2 2 2 4 2 2 5" xfId="14230" xr:uid="{00000000-0005-0000-0000-0000F62C0000}"/>
    <cellStyle name="Финансовый 3 3 2 2 2 4 2 2 5 2" xfId="31243" xr:uid="{93C66570-36F1-42A0-A587-60401C35721D}"/>
    <cellStyle name="Финансовый 3 3 2 2 2 4 2 2 6" xfId="17311" xr:uid="{00000000-0005-0000-0000-0000F72C0000}"/>
    <cellStyle name="Финансовый 3 3 2 2 2 4 2 2 6 2" xfId="34324" xr:uid="{4E2B2546-A822-4BC6-B487-92FA4B43F388}"/>
    <cellStyle name="Финансовый 3 3 2 2 2 4 2 2 7" xfId="25014" xr:uid="{CFD0FD10-C439-414E-B3BF-5B69A3084991}"/>
    <cellStyle name="Финансовый 3 3 2 2 2 4 2 3" xfId="7911" xr:uid="{00000000-0005-0000-0000-0000F82C0000}"/>
    <cellStyle name="Финансовый 3 3 2 2 2 4 2 3 2" xfId="7912" xr:uid="{00000000-0005-0000-0000-0000F92C0000}"/>
    <cellStyle name="Финансовый 3 3 2 2 2 4 2 3 2 2" xfId="11003" xr:uid="{00000000-0005-0000-0000-0000FA2C0000}"/>
    <cellStyle name="Финансовый 3 3 2 2 2 4 2 3 2 2 2" xfId="28092" xr:uid="{7E878B55-40F9-4AAB-B03B-2CE0E541B307}"/>
    <cellStyle name="Финансовый 3 3 2 2 2 4 2 3 2 3" xfId="14235" xr:uid="{00000000-0005-0000-0000-0000FB2C0000}"/>
    <cellStyle name="Финансовый 3 3 2 2 2 4 2 3 2 3 2" xfId="31248" xr:uid="{A156440C-4904-429D-9BD8-915B5176289B}"/>
    <cellStyle name="Финансовый 3 3 2 2 2 4 2 3 2 4" xfId="17316" xr:uid="{00000000-0005-0000-0000-0000FC2C0000}"/>
    <cellStyle name="Финансовый 3 3 2 2 2 4 2 3 2 4 2" xfId="34329" xr:uid="{46571C53-3082-4D91-BB61-72298C92544C}"/>
    <cellStyle name="Финансовый 3 3 2 2 2 4 2 3 2 5" xfId="25019" xr:uid="{8D5955D0-AD60-42AE-BBB2-1C016DD45137}"/>
    <cellStyle name="Финансовый 3 3 2 2 2 4 2 3 3" xfId="11002" xr:uid="{00000000-0005-0000-0000-0000FD2C0000}"/>
    <cellStyle name="Финансовый 3 3 2 2 2 4 2 3 3 2" xfId="28091" xr:uid="{2E17F86A-C39F-489E-8192-F70BD845C5C6}"/>
    <cellStyle name="Финансовый 3 3 2 2 2 4 2 3 4" xfId="14234" xr:uid="{00000000-0005-0000-0000-0000FE2C0000}"/>
    <cellStyle name="Финансовый 3 3 2 2 2 4 2 3 4 2" xfId="31247" xr:uid="{AC7944C4-0766-4223-A9E4-4D12CA4B6C06}"/>
    <cellStyle name="Финансовый 3 3 2 2 2 4 2 3 5" xfId="17315" xr:uid="{00000000-0005-0000-0000-0000FF2C0000}"/>
    <cellStyle name="Финансовый 3 3 2 2 2 4 2 3 5 2" xfId="34328" xr:uid="{4E3A4B59-C58F-4590-9525-65556DB13C36}"/>
    <cellStyle name="Финансовый 3 3 2 2 2 4 2 3 6" xfId="25018" xr:uid="{6FBFDE6B-EC2E-41F4-8770-9BB2E62104AB}"/>
    <cellStyle name="Финансовый 3 3 2 2 2 4 2 4" xfId="7913" xr:uid="{00000000-0005-0000-0000-0000002D0000}"/>
    <cellStyle name="Финансовый 3 3 2 2 2 4 2 4 2" xfId="11004" xr:uid="{00000000-0005-0000-0000-0000012D0000}"/>
    <cellStyle name="Финансовый 3 3 2 2 2 4 2 4 2 2" xfId="28093" xr:uid="{EA780129-2E3B-488D-A4A7-61E09B4696DF}"/>
    <cellStyle name="Финансовый 3 3 2 2 2 4 2 4 3" xfId="14236" xr:uid="{00000000-0005-0000-0000-0000022D0000}"/>
    <cellStyle name="Финансовый 3 3 2 2 2 4 2 4 3 2" xfId="31249" xr:uid="{5A6AC464-B58F-4785-9719-93D7074CB409}"/>
    <cellStyle name="Финансовый 3 3 2 2 2 4 2 4 4" xfId="17317" xr:uid="{00000000-0005-0000-0000-0000032D0000}"/>
    <cellStyle name="Финансовый 3 3 2 2 2 4 2 4 4 2" xfId="34330" xr:uid="{79D57EE5-4271-4EA8-86AA-2B4B1A256E7D}"/>
    <cellStyle name="Финансовый 3 3 2 2 2 4 2 4 5" xfId="25020" xr:uid="{4B9C6A75-BDFA-41D5-9DA9-0BCAC0477D16}"/>
    <cellStyle name="Финансовый 3 3 2 2 2 4 2 5" xfId="10997" xr:uid="{00000000-0005-0000-0000-0000042D0000}"/>
    <cellStyle name="Финансовый 3 3 2 2 2 4 2 5 2" xfId="28086" xr:uid="{258742D7-E08C-4832-9900-7D8A2B3F53B4}"/>
    <cellStyle name="Финансовый 3 3 2 2 2 4 2 6" xfId="14229" xr:uid="{00000000-0005-0000-0000-0000052D0000}"/>
    <cellStyle name="Финансовый 3 3 2 2 2 4 2 6 2" xfId="31242" xr:uid="{1315E546-8177-4DBF-BA7A-6B142C452924}"/>
    <cellStyle name="Финансовый 3 3 2 2 2 4 2 7" xfId="17310" xr:uid="{00000000-0005-0000-0000-0000062D0000}"/>
    <cellStyle name="Финансовый 3 3 2 2 2 4 2 7 2" xfId="34323" xr:uid="{9C34C205-76D5-431F-ACF8-5F0D94B1C858}"/>
    <cellStyle name="Финансовый 3 3 2 2 2 4 2 8" xfId="25013" xr:uid="{292E24BB-C333-4F42-8FBA-281D13EFF4D9}"/>
    <cellStyle name="Финансовый 3 3 2 2 2 4 3" xfId="7914" xr:uid="{00000000-0005-0000-0000-0000072D0000}"/>
    <cellStyle name="Финансовый 3 3 2 2 2 4 3 2" xfId="7915" xr:uid="{00000000-0005-0000-0000-0000082D0000}"/>
    <cellStyle name="Финансовый 3 3 2 2 2 4 3 2 2" xfId="7916" xr:uid="{00000000-0005-0000-0000-0000092D0000}"/>
    <cellStyle name="Финансовый 3 3 2 2 2 4 3 2 2 2" xfId="11007" xr:uid="{00000000-0005-0000-0000-00000A2D0000}"/>
    <cellStyle name="Финансовый 3 3 2 2 2 4 3 2 2 2 2" xfId="28096" xr:uid="{40C27742-B705-4968-BAF7-B4307D9A6F18}"/>
    <cellStyle name="Финансовый 3 3 2 2 2 4 3 2 2 3" xfId="14239" xr:uid="{00000000-0005-0000-0000-00000B2D0000}"/>
    <cellStyle name="Финансовый 3 3 2 2 2 4 3 2 2 3 2" xfId="31252" xr:uid="{EFC5B969-7BF3-463D-A96A-B7C479F7B138}"/>
    <cellStyle name="Финансовый 3 3 2 2 2 4 3 2 2 4" xfId="17320" xr:uid="{00000000-0005-0000-0000-00000C2D0000}"/>
    <cellStyle name="Финансовый 3 3 2 2 2 4 3 2 2 4 2" xfId="34333" xr:uid="{0C60EEF3-D2FD-45C8-B05B-71CA7BEE11CB}"/>
    <cellStyle name="Финансовый 3 3 2 2 2 4 3 2 2 5" xfId="25023" xr:uid="{F134A73C-9C28-4AEF-8B50-95557A63D06C}"/>
    <cellStyle name="Финансовый 3 3 2 2 2 4 3 2 3" xfId="11006" xr:uid="{00000000-0005-0000-0000-00000D2D0000}"/>
    <cellStyle name="Финансовый 3 3 2 2 2 4 3 2 3 2" xfId="28095" xr:uid="{270DCA18-6388-46A7-9D1B-6A5C54F946E3}"/>
    <cellStyle name="Финансовый 3 3 2 2 2 4 3 2 4" xfId="14238" xr:uid="{00000000-0005-0000-0000-00000E2D0000}"/>
    <cellStyle name="Финансовый 3 3 2 2 2 4 3 2 4 2" xfId="31251" xr:uid="{AABB4DF4-7EBC-41A6-BE97-BBA177F578D6}"/>
    <cellStyle name="Финансовый 3 3 2 2 2 4 3 2 5" xfId="17319" xr:uid="{00000000-0005-0000-0000-00000F2D0000}"/>
    <cellStyle name="Финансовый 3 3 2 2 2 4 3 2 5 2" xfId="34332" xr:uid="{332DE14C-D069-4A93-AD32-379E871F8B37}"/>
    <cellStyle name="Финансовый 3 3 2 2 2 4 3 2 6" xfId="25022" xr:uid="{036EB7AB-25A6-486E-AD1D-9A23A4070525}"/>
    <cellStyle name="Финансовый 3 3 2 2 2 4 3 3" xfId="7917" xr:uid="{00000000-0005-0000-0000-0000102D0000}"/>
    <cellStyle name="Финансовый 3 3 2 2 2 4 3 3 2" xfId="11008" xr:uid="{00000000-0005-0000-0000-0000112D0000}"/>
    <cellStyle name="Финансовый 3 3 2 2 2 4 3 3 2 2" xfId="28097" xr:uid="{38F78D0F-FA1A-4238-8F37-551807B04DB6}"/>
    <cellStyle name="Финансовый 3 3 2 2 2 4 3 3 3" xfId="14240" xr:uid="{00000000-0005-0000-0000-0000122D0000}"/>
    <cellStyle name="Финансовый 3 3 2 2 2 4 3 3 3 2" xfId="31253" xr:uid="{9F7A04B0-594E-402B-B56A-AF62AA97B005}"/>
    <cellStyle name="Финансовый 3 3 2 2 2 4 3 3 4" xfId="17321" xr:uid="{00000000-0005-0000-0000-0000132D0000}"/>
    <cellStyle name="Финансовый 3 3 2 2 2 4 3 3 4 2" xfId="34334" xr:uid="{99618CE0-F9A0-4CCE-8BFC-A9B942A2E050}"/>
    <cellStyle name="Финансовый 3 3 2 2 2 4 3 3 5" xfId="25024" xr:uid="{C5721E67-3648-49C1-A6D0-AA98B8A7A094}"/>
    <cellStyle name="Финансовый 3 3 2 2 2 4 3 4" xfId="11005" xr:uid="{00000000-0005-0000-0000-0000142D0000}"/>
    <cellStyle name="Финансовый 3 3 2 2 2 4 3 4 2" xfId="28094" xr:uid="{6BDB88DA-70AD-410E-B3F8-FAD4F460B487}"/>
    <cellStyle name="Финансовый 3 3 2 2 2 4 3 5" xfId="14237" xr:uid="{00000000-0005-0000-0000-0000152D0000}"/>
    <cellStyle name="Финансовый 3 3 2 2 2 4 3 5 2" xfId="31250" xr:uid="{4102BC19-1C29-47E6-BABD-46CCB2F8A1F6}"/>
    <cellStyle name="Финансовый 3 3 2 2 2 4 3 6" xfId="17318" xr:uid="{00000000-0005-0000-0000-0000162D0000}"/>
    <cellStyle name="Финансовый 3 3 2 2 2 4 3 6 2" xfId="34331" xr:uid="{B36732BB-05E3-4F9F-B190-F1B69123B788}"/>
    <cellStyle name="Финансовый 3 3 2 2 2 4 3 7" xfId="25021" xr:uid="{57314E82-AC25-4197-B0A1-ABA228F51669}"/>
    <cellStyle name="Финансовый 3 3 2 2 2 4 4" xfId="7918" xr:uid="{00000000-0005-0000-0000-0000172D0000}"/>
    <cellStyle name="Финансовый 3 3 2 2 2 4 4 2" xfId="7919" xr:uid="{00000000-0005-0000-0000-0000182D0000}"/>
    <cellStyle name="Финансовый 3 3 2 2 2 4 4 2 2" xfId="11010" xr:uid="{00000000-0005-0000-0000-0000192D0000}"/>
    <cellStyle name="Финансовый 3 3 2 2 2 4 4 2 2 2" xfId="28099" xr:uid="{DF99FDCE-ADF0-4A3F-81AD-A72C3489760F}"/>
    <cellStyle name="Финансовый 3 3 2 2 2 4 4 2 3" xfId="14242" xr:uid="{00000000-0005-0000-0000-00001A2D0000}"/>
    <cellStyle name="Финансовый 3 3 2 2 2 4 4 2 3 2" xfId="31255" xr:uid="{4EC97E6A-E13C-408E-ACB8-E99CE5E27A79}"/>
    <cellStyle name="Финансовый 3 3 2 2 2 4 4 2 4" xfId="17323" xr:uid="{00000000-0005-0000-0000-00001B2D0000}"/>
    <cellStyle name="Финансовый 3 3 2 2 2 4 4 2 4 2" xfId="34336" xr:uid="{67CC2081-C303-4432-8907-3996FE9B7976}"/>
    <cellStyle name="Финансовый 3 3 2 2 2 4 4 2 5" xfId="25026" xr:uid="{243E1190-6C6D-482C-8A31-1690A480AF96}"/>
    <cellStyle name="Финансовый 3 3 2 2 2 4 4 3" xfId="11009" xr:uid="{00000000-0005-0000-0000-00001C2D0000}"/>
    <cellStyle name="Финансовый 3 3 2 2 2 4 4 3 2" xfId="28098" xr:uid="{147810EA-ED50-4EB2-A8EF-B5007198E259}"/>
    <cellStyle name="Финансовый 3 3 2 2 2 4 4 4" xfId="14241" xr:uid="{00000000-0005-0000-0000-00001D2D0000}"/>
    <cellStyle name="Финансовый 3 3 2 2 2 4 4 4 2" xfId="31254" xr:uid="{6153B9E9-7259-4071-BAAC-D45E41561170}"/>
    <cellStyle name="Финансовый 3 3 2 2 2 4 4 5" xfId="17322" xr:uid="{00000000-0005-0000-0000-00001E2D0000}"/>
    <cellStyle name="Финансовый 3 3 2 2 2 4 4 5 2" xfId="34335" xr:uid="{7017BB89-B8A7-4B74-B46B-8C1868856B1B}"/>
    <cellStyle name="Финансовый 3 3 2 2 2 4 4 6" xfId="25025" xr:uid="{1F0D977F-B312-4D50-872C-294D4874C7D0}"/>
    <cellStyle name="Финансовый 3 3 2 2 2 4 5" xfId="7920" xr:uid="{00000000-0005-0000-0000-00001F2D0000}"/>
    <cellStyle name="Финансовый 3 3 2 2 2 4 5 2" xfId="11011" xr:uid="{00000000-0005-0000-0000-0000202D0000}"/>
    <cellStyle name="Финансовый 3 3 2 2 2 4 5 2 2" xfId="28100" xr:uid="{69ADDD35-7574-4346-86CB-232E85625558}"/>
    <cellStyle name="Финансовый 3 3 2 2 2 4 5 3" xfId="14243" xr:uid="{00000000-0005-0000-0000-0000212D0000}"/>
    <cellStyle name="Финансовый 3 3 2 2 2 4 5 3 2" xfId="31256" xr:uid="{ED3CDF8D-9E85-4B14-AED8-21B3AF852B91}"/>
    <cellStyle name="Финансовый 3 3 2 2 2 4 5 4" xfId="17324" xr:uid="{00000000-0005-0000-0000-0000222D0000}"/>
    <cellStyle name="Финансовый 3 3 2 2 2 4 5 4 2" xfId="34337" xr:uid="{7E36F317-051C-4EE7-B85B-470B5E04B7C7}"/>
    <cellStyle name="Финансовый 3 3 2 2 2 4 5 5" xfId="25027" xr:uid="{0125FA25-F237-4C2B-B933-A55CCF863EC4}"/>
    <cellStyle name="Финансовый 3 3 2 2 2 4 6" xfId="10996" xr:uid="{00000000-0005-0000-0000-0000232D0000}"/>
    <cellStyle name="Финансовый 3 3 2 2 2 4 6 2" xfId="28085" xr:uid="{DB19A6AD-ABCA-4F6E-B687-5846EC5BFE57}"/>
    <cellStyle name="Финансовый 3 3 2 2 2 4 7" xfId="14228" xr:uid="{00000000-0005-0000-0000-0000242D0000}"/>
    <cellStyle name="Финансовый 3 3 2 2 2 4 7 2" xfId="31241" xr:uid="{F223542C-6444-41B3-A532-A29FD37BAAF5}"/>
    <cellStyle name="Финансовый 3 3 2 2 2 4 8" xfId="17309" xr:uid="{00000000-0005-0000-0000-0000252D0000}"/>
    <cellStyle name="Финансовый 3 3 2 2 2 4 8 2" xfId="34322" xr:uid="{F729E01B-9A10-4DFC-9617-9DE7A4D19104}"/>
    <cellStyle name="Финансовый 3 3 2 2 2 4 9" xfId="25012" xr:uid="{91DF8B25-558B-422E-9E82-EEADA451BE17}"/>
    <cellStyle name="Финансовый 3 3 2 2 2 5" xfId="7921" xr:uid="{00000000-0005-0000-0000-0000262D0000}"/>
    <cellStyle name="Финансовый 3 3 2 2 2 5 2" xfId="7922" xr:uid="{00000000-0005-0000-0000-0000272D0000}"/>
    <cellStyle name="Финансовый 3 3 2 2 2 5 2 2" xfId="7923" xr:uid="{00000000-0005-0000-0000-0000282D0000}"/>
    <cellStyle name="Финансовый 3 3 2 2 2 5 2 2 2" xfId="7924" xr:uid="{00000000-0005-0000-0000-0000292D0000}"/>
    <cellStyle name="Финансовый 3 3 2 2 2 5 2 2 2 2" xfId="11015" xr:uid="{00000000-0005-0000-0000-00002A2D0000}"/>
    <cellStyle name="Финансовый 3 3 2 2 2 5 2 2 2 2 2" xfId="28104" xr:uid="{CC320138-59B4-4438-988E-899B076B8B48}"/>
    <cellStyle name="Финансовый 3 3 2 2 2 5 2 2 2 3" xfId="14247" xr:uid="{00000000-0005-0000-0000-00002B2D0000}"/>
    <cellStyle name="Финансовый 3 3 2 2 2 5 2 2 2 3 2" xfId="31260" xr:uid="{FF0C2174-F211-4E5E-8CB2-452840340BE6}"/>
    <cellStyle name="Финансовый 3 3 2 2 2 5 2 2 2 4" xfId="17328" xr:uid="{00000000-0005-0000-0000-00002C2D0000}"/>
    <cellStyle name="Финансовый 3 3 2 2 2 5 2 2 2 4 2" xfId="34341" xr:uid="{37B009FC-5E0E-4F38-ADD6-8F7E95A3E7A6}"/>
    <cellStyle name="Финансовый 3 3 2 2 2 5 2 2 2 5" xfId="25031" xr:uid="{0C8714BF-CB4F-4379-A75F-FC7445EAD9FD}"/>
    <cellStyle name="Финансовый 3 3 2 2 2 5 2 2 3" xfId="11014" xr:uid="{00000000-0005-0000-0000-00002D2D0000}"/>
    <cellStyle name="Финансовый 3 3 2 2 2 5 2 2 3 2" xfId="28103" xr:uid="{F9D4E670-3F34-4C33-981D-072410ECB162}"/>
    <cellStyle name="Финансовый 3 3 2 2 2 5 2 2 4" xfId="14246" xr:uid="{00000000-0005-0000-0000-00002E2D0000}"/>
    <cellStyle name="Финансовый 3 3 2 2 2 5 2 2 4 2" xfId="31259" xr:uid="{9168F58A-162A-415F-933C-BFCF5E748464}"/>
    <cellStyle name="Финансовый 3 3 2 2 2 5 2 2 5" xfId="17327" xr:uid="{00000000-0005-0000-0000-00002F2D0000}"/>
    <cellStyle name="Финансовый 3 3 2 2 2 5 2 2 5 2" xfId="34340" xr:uid="{45824FBF-B209-4591-8ED1-5460960643ED}"/>
    <cellStyle name="Финансовый 3 3 2 2 2 5 2 2 6" xfId="25030" xr:uid="{AADC9F2E-4F29-44E8-A1F3-7B7C3E291055}"/>
    <cellStyle name="Финансовый 3 3 2 2 2 5 2 3" xfId="7925" xr:uid="{00000000-0005-0000-0000-0000302D0000}"/>
    <cellStyle name="Финансовый 3 3 2 2 2 5 2 3 2" xfId="11016" xr:uid="{00000000-0005-0000-0000-0000312D0000}"/>
    <cellStyle name="Финансовый 3 3 2 2 2 5 2 3 2 2" xfId="28105" xr:uid="{21BCD9A7-9AFB-48EF-AB53-375E0D37FAD0}"/>
    <cellStyle name="Финансовый 3 3 2 2 2 5 2 3 3" xfId="14248" xr:uid="{00000000-0005-0000-0000-0000322D0000}"/>
    <cellStyle name="Финансовый 3 3 2 2 2 5 2 3 3 2" xfId="31261" xr:uid="{0270D019-35F5-4178-9635-EF6B1AD500A5}"/>
    <cellStyle name="Финансовый 3 3 2 2 2 5 2 3 4" xfId="17329" xr:uid="{00000000-0005-0000-0000-0000332D0000}"/>
    <cellStyle name="Финансовый 3 3 2 2 2 5 2 3 4 2" xfId="34342" xr:uid="{0DFF84EF-3930-47A6-98CF-864449CB8067}"/>
    <cellStyle name="Финансовый 3 3 2 2 2 5 2 3 5" xfId="25032" xr:uid="{6289D7A6-7940-47A6-9207-3B7C1F22977B}"/>
    <cellStyle name="Финансовый 3 3 2 2 2 5 2 4" xfId="11013" xr:uid="{00000000-0005-0000-0000-0000342D0000}"/>
    <cellStyle name="Финансовый 3 3 2 2 2 5 2 4 2" xfId="28102" xr:uid="{34BC0795-9543-491F-800B-E2F7F2A2E413}"/>
    <cellStyle name="Финансовый 3 3 2 2 2 5 2 5" xfId="14245" xr:uid="{00000000-0005-0000-0000-0000352D0000}"/>
    <cellStyle name="Финансовый 3 3 2 2 2 5 2 5 2" xfId="31258" xr:uid="{94277D9E-12AF-4644-A80F-2A993D59A5AA}"/>
    <cellStyle name="Финансовый 3 3 2 2 2 5 2 6" xfId="17326" xr:uid="{00000000-0005-0000-0000-0000362D0000}"/>
    <cellStyle name="Финансовый 3 3 2 2 2 5 2 6 2" xfId="34339" xr:uid="{EBC61F1A-255C-40C6-8985-69781C8FD4C8}"/>
    <cellStyle name="Финансовый 3 3 2 2 2 5 2 7" xfId="25029" xr:uid="{D5CB3B0F-F8B2-4BF3-9B6A-12CEB014E7D9}"/>
    <cellStyle name="Финансовый 3 3 2 2 2 5 3" xfId="7926" xr:uid="{00000000-0005-0000-0000-0000372D0000}"/>
    <cellStyle name="Финансовый 3 3 2 2 2 5 3 2" xfId="7927" xr:uid="{00000000-0005-0000-0000-0000382D0000}"/>
    <cellStyle name="Финансовый 3 3 2 2 2 5 3 2 2" xfId="11018" xr:uid="{00000000-0005-0000-0000-0000392D0000}"/>
    <cellStyle name="Финансовый 3 3 2 2 2 5 3 2 2 2" xfId="28107" xr:uid="{196DC096-4557-4B52-B3B4-C76B90D23B54}"/>
    <cellStyle name="Финансовый 3 3 2 2 2 5 3 2 3" xfId="14250" xr:uid="{00000000-0005-0000-0000-00003A2D0000}"/>
    <cellStyle name="Финансовый 3 3 2 2 2 5 3 2 3 2" xfId="31263" xr:uid="{A34F9ACF-7545-46C5-8DBB-29E1EBA43C25}"/>
    <cellStyle name="Финансовый 3 3 2 2 2 5 3 2 4" xfId="17331" xr:uid="{00000000-0005-0000-0000-00003B2D0000}"/>
    <cellStyle name="Финансовый 3 3 2 2 2 5 3 2 4 2" xfId="34344" xr:uid="{C0415777-30A7-4CD9-92A8-105DB325AC7C}"/>
    <cellStyle name="Финансовый 3 3 2 2 2 5 3 2 5" xfId="25034" xr:uid="{74BE48FC-D954-4641-BA71-1B8E6D21DD99}"/>
    <cellStyle name="Финансовый 3 3 2 2 2 5 3 3" xfId="11017" xr:uid="{00000000-0005-0000-0000-00003C2D0000}"/>
    <cellStyle name="Финансовый 3 3 2 2 2 5 3 3 2" xfId="28106" xr:uid="{57835DAD-9D41-4DE2-B3C6-FDAAE177A555}"/>
    <cellStyle name="Финансовый 3 3 2 2 2 5 3 4" xfId="14249" xr:uid="{00000000-0005-0000-0000-00003D2D0000}"/>
    <cellStyle name="Финансовый 3 3 2 2 2 5 3 4 2" xfId="31262" xr:uid="{E9D7242C-1536-47D3-AD11-BDEE72ADD8EA}"/>
    <cellStyle name="Финансовый 3 3 2 2 2 5 3 5" xfId="17330" xr:uid="{00000000-0005-0000-0000-00003E2D0000}"/>
    <cellStyle name="Финансовый 3 3 2 2 2 5 3 5 2" xfId="34343" xr:uid="{6F6FABF7-35B0-4485-8ACF-D0872AE9EB25}"/>
    <cellStyle name="Финансовый 3 3 2 2 2 5 3 6" xfId="25033" xr:uid="{6C01058D-A269-404D-984C-4F860F410330}"/>
    <cellStyle name="Финансовый 3 3 2 2 2 5 4" xfId="7928" xr:uid="{00000000-0005-0000-0000-00003F2D0000}"/>
    <cellStyle name="Финансовый 3 3 2 2 2 5 4 2" xfId="11019" xr:uid="{00000000-0005-0000-0000-0000402D0000}"/>
    <cellStyle name="Финансовый 3 3 2 2 2 5 4 2 2" xfId="28108" xr:uid="{84B88585-251D-46A2-B526-F17AC0570A0C}"/>
    <cellStyle name="Финансовый 3 3 2 2 2 5 4 3" xfId="14251" xr:uid="{00000000-0005-0000-0000-0000412D0000}"/>
    <cellStyle name="Финансовый 3 3 2 2 2 5 4 3 2" xfId="31264" xr:uid="{31ACDACA-6DE5-45C6-B5FB-C9330C801DC6}"/>
    <cellStyle name="Финансовый 3 3 2 2 2 5 4 4" xfId="17332" xr:uid="{00000000-0005-0000-0000-0000422D0000}"/>
    <cellStyle name="Финансовый 3 3 2 2 2 5 4 4 2" xfId="34345" xr:uid="{9315E240-1B8A-4737-B5AA-E1018BDE9B43}"/>
    <cellStyle name="Финансовый 3 3 2 2 2 5 4 5" xfId="25035" xr:uid="{0A080B69-DE19-4229-B453-6B82507ACC83}"/>
    <cellStyle name="Финансовый 3 3 2 2 2 5 5" xfId="11012" xr:uid="{00000000-0005-0000-0000-0000432D0000}"/>
    <cellStyle name="Финансовый 3 3 2 2 2 5 5 2" xfId="28101" xr:uid="{45A181BB-9F06-4FDC-9CCF-096001F5E1F4}"/>
    <cellStyle name="Финансовый 3 3 2 2 2 5 6" xfId="14244" xr:uid="{00000000-0005-0000-0000-0000442D0000}"/>
    <cellStyle name="Финансовый 3 3 2 2 2 5 6 2" xfId="31257" xr:uid="{FD33B9C1-ADF9-43DB-8CE9-5B95A5A62AB6}"/>
    <cellStyle name="Финансовый 3 3 2 2 2 5 7" xfId="17325" xr:uid="{00000000-0005-0000-0000-0000452D0000}"/>
    <cellStyle name="Финансовый 3 3 2 2 2 5 7 2" xfId="34338" xr:uid="{D66D8386-88BE-47B2-9469-2811EA0F47D5}"/>
    <cellStyle name="Финансовый 3 3 2 2 2 5 8" xfId="25028" xr:uid="{E3D23548-64CC-4BA8-99C3-487D4810A507}"/>
    <cellStyle name="Финансовый 3 3 2 2 2 6" xfId="7929" xr:uid="{00000000-0005-0000-0000-0000462D0000}"/>
    <cellStyle name="Финансовый 3 3 2 2 2 6 2" xfId="7930" xr:uid="{00000000-0005-0000-0000-0000472D0000}"/>
    <cellStyle name="Финансовый 3 3 2 2 2 6 2 2" xfId="7931" xr:uid="{00000000-0005-0000-0000-0000482D0000}"/>
    <cellStyle name="Финансовый 3 3 2 2 2 6 2 2 2" xfId="11022" xr:uid="{00000000-0005-0000-0000-0000492D0000}"/>
    <cellStyle name="Финансовый 3 3 2 2 2 6 2 2 2 2" xfId="28111" xr:uid="{2D8DCBC5-7D59-4C0F-8C3A-B8E97252CE0E}"/>
    <cellStyle name="Финансовый 3 3 2 2 2 6 2 2 3" xfId="14254" xr:uid="{00000000-0005-0000-0000-00004A2D0000}"/>
    <cellStyle name="Финансовый 3 3 2 2 2 6 2 2 3 2" xfId="31267" xr:uid="{AC359A31-50C9-4677-93A2-D875FA520015}"/>
    <cellStyle name="Финансовый 3 3 2 2 2 6 2 2 4" xfId="17335" xr:uid="{00000000-0005-0000-0000-00004B2D0000}"/>
    <cellStyle name="Финансовый 3 3 2 2 2 6 2 2 4 2" xfId="34348" xr:uid="{7617BC75-BDB2-4695-B5DD-44FDD5F28F36}"/>
    <cellStyle name="Финансовый 3 3 2 2 2 6 2 2 5" xfId="25038" xr:uid="{99219BD9-86F6-45BF-8C3B-D38AB01DA4E5}"/>
    <cellStyle name="Финансовый 3 3 2 2 2 6 2 3" xfId="11021" xr:uid="{00000000-0005-0000-0000-00004C2D0000}"/>
    <cellStyle name="Финансовый 3 3 2 2 2 6 2 3 2" xfId="28110" xr:uid="{82E163CE-451C-442E-90B2-F3382D9EB93F}"/>
    <cellStyle name="Финансовый 3 3 2 2 2 6 2 4" xfId="14253" xr:uid="{00000000-0005-0000-0000-00004D2D0000}"/>
    <cellStyle name="Финансовый 3 3 2 2 2 6 2 4 2" xfId="31266" xr:uid="{25670995-4828-471B-9648-FFFA19133F68}"/>
    <cellStyle name="Финансовый 3 3 2 2 2 6 2 5" xfId="17334" xr:uid="{00000000-0005-0000-0000-00004E2D0000}"/>
    <cellStyle name="Финансовый 3 3 2 2 2 6 2 5 2" xfId="34347" xr:uid="{910BA471-9AE3-4B45-ACB6-DC423A50F811}"/>
    <cellStyle name="Финансовый 3 3 2 2 2 6 2 6" xfId="25037" xr:uid="{FD55DA74-2D0B-445C-B195-83A4B455DCF8}"/>
    <cellStyle name="Финансовый 3 3 2 2 2 6 3" xfId="7932" xr:uid="{00000000-0005-0000-0000-00004F2D0000}"/>
    <cellStyle name="Финансовый 3 3 2 2 2 6 3 2" xfId="11023" xr:uid="{00000000-0005-0000-0000-0000502D0000}"/>
    <cellStyle name="Финансовый 3 3 2 2 2 6 3 2 2" xfId="28112" xr:uid="{2E4A9C05-4D8B-4337-ACB7-E9595D1E47A0}"/>
    <cellStyle name="Финансовый 3 3 2 2 2 6 3 3" xfId="14255" xr:uid="{00000000-0005-0000-0000-0000512D0000}"/>
    <cellStyle name="Финансовый 3 3 2 2 2 6 3 3 2" xfId="31268" xr:uid="{D1F28314-6217-4C7C-AFEC-BC37F6A75D06}"/>
    <cellStyle name="Финансовый 3 3 2 2 2 6 3 4" xfId="17336" xr:uid="{00000000-0005-0000-0000-0000522D0000}"/>
    <cellStyle name="Финансовый 3 3 2 2 2 6 3 4 2" xfId="34349" xr:uid="{C3A58AA9-D45B-4AE3-BAAF-30FF4E0CE29C}"/>
    <cellStyle name="Финансовый 3 3 2 2 2 6 3 5" xfId="25039" xr:uid="{355047B0-7B74-449A-A959-0ECE6CEB0FAF}"/>
    <cellStyle name="Финансовый 3 3 2 2 2 6 4" xfId="11020" xr:uid="{00000000-0005-0000-0000-0000532D0000}"/>
    <cellStyle name="Финансовый 3 3 2 2 2 6 4 2" xfId="28109" xr:uid="{8AA22291-ABAB-4B64-85B9-8CB571B00997}"/>
    <cellStyle name="Финансовый 3 3 2 2 2 6 5" xfId="14252" xr:uid="{00000000-0005-0000-0000-0000542D0000}"/>
    <cellStyle name="Финансовый 3 3 2 2 2 6 5 2" xfId="31265" xr:uid="{18633862-1053-4B76-8B52-56B8D3E73AC0}"/>
    <cellStyle name="Финансовый 3 3 2 2 2 6 6" xfId="17333" xr:uid="{00000000-0005-0000-0000-0000552D0000}"/>
    <cellStyle name="Финансовый 3 3 2 2 2 6 6 2" xfId="34346" xr:uid="{CC6CA64A-FE02-4CB5-8F28-C90D0A8EAF9A}"/>
    <cellStyle name="Финансовый 3 3 2 2 2 6 7" xfId="25036" xr:uid="{8C56A24A-C9EF-4AAA-A3A1-4F0D6DB8D9F4}"/>
    <cellStyle name="Финансовый 3 3 2 2 2 7" xfId="7933" xr:uid="{00000000-0005-0000-0000-0000562D0000}"/>
    <cellStyle name="Финансовый 3 3 2 2 2 7 2" xfId="7934" xr:uid="{00000000-0005-0000-0000-0000572D0000}"/>
    <cellStyle name="Финансовый 3 3 2 2 2 7 2 2" xfId="11025" xr:uid="{00000000-0005-0000-0000-0000582D0000}"/>
    <cellStyle name="Финансовый 3 3 2 2 2 7 2 2 2" xfId="28114" xr:uid="{F3B15008-9B09-4F26-AB78-28F0D44CD641}"/>
    <cellStyle name="Финансовый 3 3 2 2 2 7 2 3" xfId="14257" xr:uid="{00000000-0005-0000-0000-0000592D0000}"/>
    <cellStyle name="Финансовый 3 3 2 2 2 7 2 3 2" xfId="31270" xr:uid="{3F3C5A51-7D76-4E0C-A4ED-DA94CB3A2502}"/>
    <cellStyle name="Финансовый 3 3 2 2 2 7 2 4" xfId="17338" xr:uid="{00000000-0005-0000-0000-00005A2D0000}"/>
    <cellStyle name="Финансовый 3 3 2 2 2 7 2 4 2" xfId="34351" xr:uid="{B13918CF-4EDB-4C60-A889-FC233DA4F0FB}"/>
    <cellStyle name="Финансовый 3 3 2 2 2 7 2 5" xfId="25041" xr:uid="{197A082C-E570-41DC-B207-492292C716E0}"/>
    <cellStyle name="Финансовый 3 3 2 2 2 7 3" xfId="11024" xr:uid="{00000000-0005-0000-0000-00005B2D0000}"/>
    <cellStyle name="Финансовый 3 3 2 2 2 7 3 2" xfId="28113" xr:uid="{4666FFDC-DAF4-4503-9F03-E07BAFB95488}"/>
    <cellStyle name="Финансовый 3 3 2 2 2 7 4" xfId="14256" xr:uid="{00000000-0005-0000-0000-00005C2D0000}"/>
    <cellStyle name="Финансовый 3 3 2 2 2 7 4 2" xfId="31269" xr:uid="{03DD6FBA-7704-4CA7-A4E5-F64FF49F9EBA}"/>
    <cellStyle name="Финансовый 3 3 2 2 2 7 5" xfId="17337" xr:uid="{00000000-0005-0000-0000-00005D2D0000}"/>
    <cellStyle name="Финансовый 3 3 2 2 2 7 5 2" xfId="34350" xr:uid="{B8C57139-0F68-4F82-B758-D53CDA6EF337}"/>
    <cellStyle name="Финансовый 3 3 2 2 2 7 6" xfId="25040" xr:uid="{7D58DF7C-BE2A-4BEC-B93C-6D17A2FBE505}"/>
    <cellStyle name="Финансовый 3 3 2 2 2 8" xfId="7935" xr:uid="{00000000-0005-0000-0000-00005E2D0000}"/>
    <cellStyle name="Финансовый 3 3 2 2 2 8 2" xfId="11026" xr:uid="{00000000-0005-0000-0000-00005F2D0000}"/>
    <cellStyle name="Финансовый 3 3 2 2 2 8 2 2" xfId="28115" xr:uid="{2F419ED2-267E-44F0-9E66-8546D942CACB}"/>
    <cellStyle name="Финансовый 3 3 2 2 2 8 3" xfId="14258" xr:uid="{00000000-0005-0000-0000-0000602D0000}"/>
    <cellStyle name="Финансовый 3 3 2 2 2 8 3 2" xfId="31271" xr:uid="{0469FB19-6DB9-4D97-B0F8-92002E6C31FF}"/>
    <cellStyle name="Финансовый 3 3 2 2 2 8 4" xfId="17339" xr:uid="{00000000-0005-0000-0000-0000612D0000}"/>
    <cellStyle name="Финансовый 3 3 2 2 2 8 4 2" xfId="34352" xr:uid="{50D7BFF7-0352-41CF-ACB8-D09A8AB547CE}"/>
    <cellStyle name="Финансовый 3 3 2 2 2 8 5" xfId="25042" xr:uid="{FD1BEA4E-2E17-43C6-82D0-95A4533B1C10}"/>
    <cellStyle name="Финансовый 3 3 2 2 2 9" xfId="10899" xr:uid="{00000000-0005-0000-0000-0000622D0000}"/>
    <cellStyle name="Финансовый 3 3 2 2 2 9 2" xfId="27988" xr:uid="{02906110-1B8D-4A08-9B96-90F043884535}"/>
    <cellStyle name="Финансовый 3 3 2 2 3" xfId="7936" xr:uid="{00000000-0005-0000-0000-0000632D0000}"/>
    <cellStyle name="Финансовый 3 3 2 2 3 10" xfId="17340" xr:uid="{00000000-0005-0000-0000-0000642D0000}"/>
    <cellStyle name="Финансовый 3 3 2 2 3 10 2" xfId="34353" xr:uid="{FEB08B1D-C88C-4A5D-A3CC-3655C7DBC3B3}"/>
    <cellStyle name="Финансовый 3 3 2 2 3 11" xfId="25043" xr:uid="{8E9AD720-A436-4381-9609-A491AA97A8D6}"/>
    <cellStyle name="Финансовый 3 3 2 2 3 2" xfId="7937" xr:uid="{00000000-0005-0000-0000-0000652D0000}"/>
    <cellStyle name="Финансовый 3 3 2 2 3 2 10" xfId="25044" xr:uid="{2ED4ADDD-5F5D-498B-9632-0DE49F26D501}"/>
    <cellStyle name="Финансовый 3 3 2 2 3 2 2" xfId="7938" xr:uid="{00000000-0005-0000-0000-0000662D0000}"/>
    <cellStyle name="Финансовый 3 3 2 2 3 2 2 2" xfId="7939" xr:uid="{00000000-0005-0000-0000-0000672D0000}"/>
    <cellStyle name="Финансовый 3 3 2 2 3 2 2 2 2" xfId="7940" xr:uid="{00000000-0005-0000-0000-0000682D0000}"/>
    <cellStyle name="Финансовый 3 3 2 2 3 2 2 2 2 2" xfId="7941" xr:uid="{00000000-0005-0000-0000-0000692D0000}"/>
    <cellStyle name="Финансовый 3 3 2 2 3 2 2 2 2 2 2" xfId="7942" xr:uid="{00000000-0005-0000-0000-00006A2D0000}"/>
    <cellStyle name="Финансовый 3 3 2 2 3 2 2 2 2 2 2 2" xfId="11033" xr:uid="{00000000-0005-0000-0000-00006B2D0000}"/>
    <cellStyle name="Финансовый 3 3 2 2 3 2 2 2 2 2 2 2 2" xfId="28122" xr:uid="{5241B0EE-CB09-4A23-9F44-066252AB9153}"/>
    <cellStyle name="Финансовый 3 3 2 2 3 2 2 2 2 2 2 3" xfId="14265" xr:uid="{00000000-0005-0000-0000-00006C2D0000}"/>
    <cellStyle name="Финансовый 3 3 2 2 3 2 2 2 2 2 2 3 2" xfId="31278" xr:uid="{20C4BE11-9026-49E1-B5E0-2E78423ABCBF}"/>
    <cellStyle name="Финансовый 3 3 2 2 3 2 2 2 2 2 2 4" xfId="17346" xr:uid="{00000000-0005-0000-0000-00006D2D0000}"/>
    <cellStyle name="Финансовый 3 3 2 2 3 2 2 2 2 2 2 4 2" xfId="34359" xr:uid="{FAA3F100-0F46-4DC9-8F4C-C2F207321BF8}"/>
    <cellStyle name="Финансовый 3 3 2 2 3 2 2 2 2 2 2 5" xfId="25049" xr:uid="{662FAC86-5417-4AC7-A8AC-98FCD1D0771C}"/>
    <cellStyle name="Финансовый 3 3 2 2 3 2 2 2 2 2 3" xfId="11032" xr:uid="{00000000-0005-0000-0000-00006E2D0000}"/>
    <cellStyle name="Финансовый 3 3 2 2 3 2 2 2 2 2 3 2" xfId="28121" xr:uid="{65F218C4-6452-4273-B46E-629C9AE2FCD8}"/>
    <cellStyle name="Финансовый 3 3 2 2 3 2 2 2 2 2 4" xfId="14264" xr:uid="{00000000-0005-0000-0000-00006F2D0000}"/>
    <cellStyle name="Финансовый 3 3 2 2 3 2 2 2 2 2 4 2" xfId="31277" xr:uid="{B1F20053-D8AA-4A3C-A555-012B27B3AA26}"/>
    <cellStyle name="Финансовый 3 3 2 2 3 2 2 2 2 2 5" xfId="17345" xr:uid="{00000000-0005-0000-0000-0000702D0000}"/>
    <cellStyle name="Финансовый 3 3 2 2 3 2 2 2 2 2 5 2" xfId="34358" xr:uid="{9C3E4BC8-21ED-4EB4-AF7E-ADFA22597029}"/>
    <cellStyle name="Финансовый 3 3 2 2 3 2 2 2 2 2 6" xfId="25048" xr:uid="{F18ABAC6-279E-452D-A28E-D2264833D5F6}"/>
    <cellStyle name="Финансовый 3 3 2 2 3 2 2 2 2 3" xfId="7943" xr:uid="{00000000-0005-0000-0000-0000712D0000}"/>
    <cellStyle name="Финансовый 3 3 2 2 3 2 2 2 2 3 2" xfId="11034" xr:uid="{00000000-0005-0000-0000-0000722D0000}"/>
    <cellStyle name="Финансовый 3 3 2 2 3 2 2 2 2 3 2 2" xfId="28123" xr:uid="{65F1BF36-ECA6-4EB3-8DA9-EA1FF50E69D3}"/>
    <cellStyle name="Финансовый 3 3 2 2 3 2 2 2 2 3 3" xfId="14266" xr:uid="{00000000-0005-0000-0000-0000732D0000}"/>
    <cellStyle name="Финансовый 3 3 2 2 3 2 2 2 2 3 3 2" xfId="31279" xr:uid="{BEFF7CE3-7CC7-404E-956B-B96B88D33345}"/>
    <cellStyle name="Финансовый 3 3 2 2 3 2 2 2 2 3 4" xfId="17347" xr:uid="{00000000-0005-0000-0000-0000742D0000}"/>
    <cellStyle name="Финансовый 3 3 2 2 3 2 2 2 2 3 4 2" xfId="34360" xr:uid="{42851BE2-DD9E-4431-B746-66569BF28C5E}"/>
    <cellStyle name="Финансовый 3 3 2 2 3 2 2 2 2 3 5" xfId="25050" xr:uid="{5704D0D6-B0C7-4E71-AD16-C4A20F90FBA6}"/>
    <cellStyle name="Финансовый 3 3 2 2 3 2 2 2 2 4" xfId="11031" xr:uid="{00000000-0005-0000-0000-0000752D0000}"/>
    <cellStyle name="Финансовый 3 3 2 2 3 2 2 2 2 4 2" xfId="28120" xr:uid="{61CEB94A-3394-40E2-A50C-A792DEFD4413}"/>
    <cellStyle name="Финансовый 3 3 2 2 3 2 2 2 2 5" xfId="14263" xr:uid="{00000000-0005-0000-0000-0000762D0000}"/>
    <cellStyle name="Финансовый 3 3 2 2 3 2 2 2 2 5 2" xfId="31276" xr:uid="{90A635F6-4F50-420D-8BA6-8E2F51F88C5A}"/>
    <cellStyle name="Финансовый 3 3 2 2 3 2 2 2 2 6" xfId="17344" xr:uid="{00000000-0005-0000-0000-0000772D0000}"/>
    <cellStyle name="Финансовый 3 3 2 2 3 2 2 2 2 6 2" xfId="34357" xr:uid="{8D41DE53-3745-422F-B21E-40ECFE5C0FE6}"/>
    <cellStyle name="Финансовый 3 3 2 2 3 2 2 2 2 7" xfId="25047" xr:uid="{21DE9EF8-F3D2-4FC2-B15B-AF5C80C1B9B0}"/>
    <cellStyle name="Финансовый 3 3 2 2 3 2 2 2 3" xfId="7944" xr:uid="{00000000-0005-0000-0000-0000782D0000}"/>
    <cellStyle name="Финансовый 3 3 2 2 3 2 2 2 3 2" xfId="7945" xr:uid="{00000000-0005-0000-0000-0000792D0000}"/>
    <cellStyle name="Финансовый 3 3 2 2 3 2 2 2 3 2 2" xfId="11036" xr:uid="{00000000-0005-0000-0000-00007A2D0000}"/>
    <cellStyle name="Финансовый 3 3 2 2 3 2 2 2 3 2 2 2" xfId="28125" xr:uid="{73D9B043-CF23-4CF8-B833-4787C9FEE6ED}"/>
    <cellStyle name="Финансовый 3 3 2 2 3 2 2 2 3 2 3" xfId="14268" xr:uid="{00000000-0005-0000-0000-00007B2D0000}"/>
    <cellStyle name="Финансовый 3 3 2 2 3 2 2 2 3 2 3 2" xfId="31281" xr:uid="{84BB2A10-D45E-426F-ACE1-099060872768}"/>
    <cellStyle name="Финансовый 3 3 2 2 3 2 2 2 3 2 4" xfId="17349" xr:uid="{00000000-0005-0000-0000-00007C2D0000}"/>
    <cellStyle name="Финансовый 3 3 2 2 3 2 2 2 3 2 4 2" xfId="34362" xr:uid="{1FB7A689-EA36-4311-887C-A0F969A3CED0}"/>
    <cellStyle name="Финансовый 3 3 2 2 3 2 2 2 3 2 5" xfId="25052" xr:uid="{D5327C9D-45AF-42F5-B9BD-BD8AB3EAEAE6}"/>
    <cellStyle name="Финансовый 3 3 2 2 3 2 2 2 3 3" xfId="11035" xr:uid="{00000000-0005-0000-0000-00007D2D0000}"/>
    <cellStyle name="Финансовый 3 3 2 2 3 2 2 2 3 3 2" xfId="28124" xr:uid="{3B648325-D426-413D-9DD3-BE5B3331756E}"/>
    <cellStyle name="Финансовый 3 3 2 2 3 2 2 2 3 4" xfId="14267" xr:uid="{00000000-0005-0000-0000-00007E2D0000}"/>
    <cellStyle name="Финансовый 3 3 2 2 3 2 2 2 3 4 2" xfId="31280" xr:uid="{4DF63A33-09F2-40DE-90DE-38C432C5E84E}"/>
    <cellStyle name="Финансовый 3 3 2 2 3 2 2 2 3 5" xfId="17348" xr:uid="{00000000-0005-0000-0000-00007F2D0000}"/>
    <cellStyle name="Финансовый 3 3 2 2 3 2 2 2 3 5 2" xfId="34361" xr:uid="{331B62D9-88AC-45F2-8A2E-24B36471B215}"/>
    <cellStyle name="Финансовый 3 3 2 2 3 2 2 2 3 6" xfId="25051" xr:uid="{583D53F2-5A73-4837-BD4A-A3FEC9C69E28}"/>
    <cellStyle name="Финансовый 3 3 2 2 3 2 2 2 4" xfId="7946" xr:uid="{00000000-0005-0000-0000-0000802D0000}"/>
    <cellStyle name="Финансовый 3 3 2 2 3 2 2 2 4 2" xfId="11037" xr:uid="{00000000-0005-0000-0000-0000812D0000}"/>
    <cellStyle name="Финансовый 3 3 2 2 3 2 2 2 4 2 2" xfId="28126" xr:uid="{E6954E4E-B34A-4C19-B811-3EFA61D93AFF}"/>
    <cellStyle name="Финансовый 3 3 2 2 3 2 2 2 4 3" xfId="14269" xr:uid="{00000000-0005-0000-0000-0000822D0000}"/>
    <cellStyle name="Финансовый 3 3 2 2 3 2 2 2 4 3 2" xfId="31282" xr:uid="{C1F807A3-B826-431B-87DE-87293C0C2262}"/>
    <cellStyle name="Финансовый 3 3 2 2 3 2 2 2 4 4" xfId="17350" xr:uid="{00000000-0005-0000-0000-0000832D0000}"/>
    <cellStyle name="Финансовый 3 3 2 2 3 2 2 2 4 4 2" xfId="34363" xr:uid="{14FAFA9A-A5FF-4C72-8CD5-EB7CB47AE3FC}"/>
    <cellStyle name="Финансовый 3 3 2 2 3 2 2 2 4 5" xfId="25053" xr:uid="{72B7104C-8329-44CA-BE96-B0516FD87907}"/>
    <cellStyle name="Финансовый 3 3 2 2 3 2 2 2 5" xfId="11030" xr:uid="{00000000-0005-0000-0000-0000842D0000}"/>
    <cellStyle name="Финансовый 3 3 2 2 3 2 2 2 5 2" xfId="28119" xr:uid="{FAD7FEF1-D369-4021-BCAA-BE18F88F3247}"/>
    <cellStyle name="Финансовый 3 3 2 2 3 2 2 2 6" xfId="14262" xr:uid="{00000000-0005-0000-0000-0000852D0000}"/>
    <cellStyle name="Финансовый 3 3 2 2 3 2 2 2 6 2" xfId="31275" xr:uid="{9C0A8B42-48CF-490A-ABC6-FF4BE39A1D2A}"/>
    <cellStyle name="Финансовый 3 3 2 2 3 2 2 2 7" xfId="17343" xr:uid="{00000000-0005-0000-0000-0000862D0000}"/>
    <cellStyle name="Финансовый 3 3 2 2 3 2 2 2 7 2" xfId="34356" xr:uid="{9DF5920C-1A5D-4EE0-8FF0-4D057EC8E6FD}"/>
    <cellStyle name="Финансовый 3 3 2 2 3 2 2 2 8" xfId="25046" xr:uid="{99B87F17-3FB7-4813-A68D-1E913769445D}"/>
    <cellStyle name="Финансовый 3 3 2 2 3 2 2 3" xfId="7947" xr:uid="{00000000-0005-0000-0000-0000872D0000}"/>
    <cellStyle name="Финансовый 3 3 2 2 3 2 2 3 2" xfId="7948" xr:uid="{00000000-0005-0000-0000-0000882D0000}"/>
    <cellStyle name="Финансовый 3 3 2 2 3 2 2 3 2 2" xfId="7949" xr:uid="{00000000-0005-0000-0000-0000892D0000}"/>
    <cellStyle name="Финансовый 3 3 2 2 3 2 2 3 2 2 2" xfId="11040" xr:uid="{00000000-0005-0000-0000-00008A2D0000}"/>
    <cellStyle name="Финансовый 3 3 2 2 3 2 2 3 2 2 2 2" xfId="28129" xr:uid="{7CEF8FA4-B29A-487C-8039-CC6A03C6B4C1}"/>
    <cellStyle name="Финансовый 3 3 2 2 3 2 2 3 2 2 3" xfId="14272" xr:uid="{00000000-0005-0000-0000-00008B2D0000}"/>
    <cellStyle name="Финансовый 3 3 2 2 3 2 2 3 2 2 3 2" xfId="31285" xr:uid="{BEBC556B-C3FB-4EFD-AF94-33185AB206E5}"/>
    <cellStyle name="Финансовый 3 3 2 2 3 2 2 3 2 2 4" xfId="17353" xr:uid="{00000000-0005-0000-0000-00008C2D0000}"/>
    <cellStyle name="Финансовый 3 3 2 2 3 2 2 3 2 2 4 2" xfId="34366" xr:uid="{F167F921-669C-4BFB-8A81-6FEF6F843C39}"/>
    <cellStyle name="Финансовый 3 3 2 2 3 2 2 3 2 2 5" xfId="25056" xr:uid="{4600A6BA-E299-4592-B4D0-26A182CC9CB6}"/>
    <cellStyle name="Финансовый 3 3 2 2 3 2 2 3 2 3" xfId="11039" xr:uid="{00000000-0005-0000-0000-00008D2D0000}"/>
    <cellStyle name="Финансовый 3 3 2 2 3 2 2 3 2 3 2" xfId="28128" xr:uid="{45904672-153C-4B25-97F5-17DCFD41DA9E}"/>
    <cellStyle name="Финансовый 3 3 2 2 3 2 2 3 2 4" xfId="14271" xr:uid="{00000000-0005-0000-0000-00008E2D0000}"/>
    <cellStyle name="Финансовый 3 3 2 2 3 2 2 3 2 4 2" xfId="31284" xr:uid="{136ED1DF-B0F1-454F-8DDC-71DC69D7ABB3}"/>
    <cellStyle name="Финансовый 3 3 2 2 3 2 2 3 2 5" xfId="17352" xr:uid="{00000000-0005-0000-0000-00008F2D0000}"/>
    <cellStyle name="Финансовый 3 3 2 2 3 2 2 3 2 5 2" xfId="34365" xr:uid="{4A4109CD-9615-4256-BE1E-8A33ED207F50}"/>
    <cellStyle name="Финансовый 3 3 2 2 3 2 2 3 2 6" xfId="25055" xr:uid="{A1F2A366-3154-467C-9A92-6115CF7B3CBE}"/>
    <cellStyle name="Финансовый 3 3 2 2 3 2 2 3 3" xfId="7950" xr:uid="{00000000-0005-0000-0000-0000902D0000}"/>
    <cellStyle name="Финансовый 3 3 2 2 3 2 2 3 3 2" xfId="11041" xr:uid="{00000000-0005-0000-0000-0000912D0000}"/>
    <cellStyle name="Финансовый 3 3 2 2 3 2 2 3 3 2 2" xfId="28130" xr:uid="{720329F6-9456-4040-B1F2-F495E66AA4CC}"/>
    <cellStyle name="Финансовый 3 3 2 2 3 2 2 3 3 3" xfId="14273" xr:uid="{00000000-0005-0000-0000-0000922D0000}"/>
    <cellStyle name="Финансовый 3 3 2 2 3 2 2 3 3 3 2" xfId="31286" xr:uid="{EA232595-7AC5-4146-8AA6-1302AB515C31}"/>
    <cellStyle name="Финансовый 3 3 2 2 3 2 2 3 3 4" xfId="17354" xr:uid="{00000000-0005-0000-0000-0000932D0000}"/>
    <cellStyle name="Финансовый 3 3 2 2 3 2 2 3 3 4 2" xfId="34367" xr:uid="{E6DB8314-5990-4489-B896-BEECA647E028}"/>
    <cellStyle name="Финансовый 3 3 2 2 3 2 2 3 3 5" xfId="25057" xr:uid="{6157D646-8E86-4FCD-B050-EDEB5846F1EB}"/>
    <cellStyle name="Финансовый 3 3 2 2 3 2 2 3 4" xfId="11038" xr:uid="{00000000-0005-0000-0000-0000942D0000}"/>
    <cellStyle name="Финансовый 3 3 2 2 3 2 2 3 4 2" xfId="28127" xr:uid="{C5F0DC79-3FB9-4BC2-9E24-A2815E3177A8}"/>
    <cellStyle name="Финансовый 3 3 2 2 3 2 2 3 5" xfId="14270" xr:uid="{00000000-0005-0000-0000-0000952D0000}"/>
    <cellStyle name="Финансовый 3 3 2 2 3 2 2 3 5 2" xfId="31283" xr:uid="{4A6BD63A-B061-4F9D-9AD3-AFABA423EFDB}"/>
    <cellStyle name="Финансовый 3 3 2 2 3 2 2 3 6" xfId="17351" xr:uid="{00000000-0005-0000-0000-0000962D0000}"/>
    <cellStyle name="Финансовый 3 3 2 2 3 2 2 3 6 2" xfId="34364" xr:uid="{53E83525-5629-49DE-9343-8FF9D2498889}"/>
    <cellStyle name="Финансовый 3 3 2 2 3 2 2 3 7" xfId="25054" xr:uid="{009209BB-7DDE-423F-B0E2-B4348B4F81DB}"/>
    <cellStyle name="Финансовый 3 3 2 2 3 2 2 4" xfId="7951" xr:uid="{00000000-0005-0000-0000-0000972D0000}"/>
    <cellStyle name="Финансовый 3 3 2 2 3 2 2 4 2" xfId="7952" xr:uid="{00000000-0005-0000-0000-0000982D0000}"/>
    <cellStyle name="Финансовый 3 3 2 2 3 2 2 4 2 2" xfId="11043" xr:uid="{00000000-0005-0000-0000-0000992D0000}"/>
    <cellStyle name="Финансовый 3 3 2 2 3 2 2 4 2 2 2" xfId="28132" xr:uid="{B836BABF-740F-41E5-B288-D15C6FAA294E}"/>
    <cellStyle name="Финансовый 3 3 2 2 3 2 2 4 2 3" xfId="14275" xr:uid="{00000000-0005-0000-0000-00009A2D0000}"/>
    <cellStyle name="Финансовый 3 3 2 2 3 2 2 4 2 3 2" xfId="31288" xr:uid="{957703C4-92EA-4409-9E5E-125DCB4CC3D4}"/>
    <cellStyle name="Финансовый 3 3 2 2 3 2 2 4 2 4" xfId="17356" xr:uid="{00000000-0005-0000-0000-00009B2D0000}"/>
    <cellStyle name="Финансовый 3 3 2 2 3 2 2 4 2 4 2" xfId="34369" xr:uid="{F4B71B49-C9E5-46C2-8D42-0F58A64A85DF}"/>
    <cellStyle name="Финансовый 3 3 2 2 3 2 2 4 2 5" xfId="25059" xr:uid="{1FC39C5F-D92D-4289-B92A-4205B7BD1B15}"/>
    <cellStyle name="Финансовый 3 3 2 2 3 2 2 4 3" xfId="11042" xr:uid="{00000000-0005-0000-0000-00009C2D0000}"/>
    <cellStyle name="Финансовый 3 3 2 2 3 2 2 4 3 2" xfId="28131" xr:uid="{F8D11516-8F6E-4F7D-B2AC-ABEFDA0D4480}"/>
    <cellStyle name="Финансовый 3 3 2 2 3 2 2 4 4" xfId="14274" xr:uid="{00000000-0005-0000-0000-00009D2D0000}"/>
    <cellStyle name="Финансовый 3 3 2 2 3 2 2 4 4 2" xfId="31287" xr:uid="{6678C7C8-E797-4EC2-81F6-4B68A9F7A250}"/>
    <cellStyle name="Финансовый 3 3 2 2 3 2 2 4 5" xfId="17355" xr:uid="{00000000-0005-0000-0000-00009E2D0000}"/>
    <cellStyle name="Финансовый 3 3 2 2 3 2 2 4 5 2" xfId="34368" xr:uid="{094B7FC4-8ADC-45A4-97EE-3EDAC2DEA39D}"/>
    <cellStyle name="Финансовый 3 3 2 2 3 2 2 4 6" xfId="25058" xr:uid="{904A207D-441F-49E8-AE9A-92918FBF199F}"/>
    <cellStyle name="Финансовый 3 3 2 2 3 2 2 5" xfId="7953" xr:uid="{00000000-0005-0000-0000-00009F2D0000}"/>
    <cellStyle name="Финансовый 3 3 2 2 3 2 2 5 2" xfId="11044" xr:uid="{00000000-0005-0000-0000-0000A02D0000}"/>
    <cellStyle name="Финансовый 3 3 2 2 3 2 2 5 2 2" xfId="28133" xr:uid="{E27A93E9-56AF-4382-B8D7-90377FB011EB}"/>
    <cellStyle name="Финансовый 3 3 2 2 3 2 2 5 3" xfId="14276" xr:uid="{00000000-0005-0000-0000-0000A12D0000}"/>
    <cellStyle name="Финансовый 3 3 2 2 3 2 2 5 3 2" xfId="31289" xr:uid="{994A8FA0-F822-4590-B712-674CB68F4DC1}"/>
    <cellStyle name="Финансовый 3 3 2 2 3 2 2 5 4" xfId="17357" xr:uid="{00000000-0005-0000-0000-0000A22D0000}"/>
    <cellStyle name="Финансовый 3 3 2 2 3 2 2 5 4 2" xfId="34370" xr:uid="{93339737-885A-4D0F-9CC1-1B4B6AA2F2E6}"/>
    <cellStyle name="Финансовый 3 3 2 2 3 2 2 5 5" xfId="25060" xr:uid="{0D505FDB-A605-451B-9470-678DFFAE408F}"/>
    <cellStyle name="Финансовый 3 3 2 2 3 2 2 6" xfId="11029" xr:uid="{00000000-0005-0000-0000-0000A32D0000}"/>
    <cellStyle name="Финансовый 3 3 2 2 3 2 2 6 2" xfId="28118" xr:uid="{0EEE538E-AB45-4815-B8C5-35BDDEC8E6CD}"/>
    <cellStyle name="Финансовый 3 3 2 2 3 2 2 7" xfId="14261" xr:uid="{00000000-0005-0000-0000-0000A42D0000}"/>
    <cellStyle name="Финансовый 3 3 2 2 3 2 2 7 2" xfId="31274" xr:uid="{216936EE-2D31-4E81-B07D-E3FCD08DD328}"/>
    <cellStyle name="Финансовый 3 3 2 2 3 2 2 8" xfId="17342" xr:uid="{00000000-0005-0000-0000-0000A52D0000}"/>
    <cellStyle name="Финансовый 3 3 2 2 3 2 2 8 2" xfId="34355" xr:uid="{084B3064-A9B9-48C2-961F-1D88A01E86A4}"/>
    <cellStyle name="Финансовый 3 3 2 2 3 2 2 9" xfId="25045" xr:uid="{8EB19C2F-B1AB-4E76-9A1A-7D66000576BA}"/>
    <cellStyle name="Финансовый 3 3 2 2 3 2 3" xfId="7954" xr:uid="{00000000-0005-0000-0000-0000A62D0000}"/>
    <cellStyle name="Финансовый 3 3 2 2 3 2 3 2" xfId="7955" xr:uid="{00000000-0005-0000-0000-0000A72D0000}"/>
    <cellStyle name="Финансовый 3 3 2 2 3 2 3 2 2" xfId="7956" xr:uid="{00000000-0005-0000-0000-0000A82D0000}"/>
    <cellStyle name="Финансовый 3 3 2 2 3 2 3 2 2 2" xfId="7957" xr:uid="{00000000-0005-0000-0000-0000A92D0000}"/>
    <cellStyle name="Финансовый 3 3 2 2 3 2 3 2 2 2 2" xfId="11048" xr:uid="{00000000-0005-0000-0000-0000AA2D0000}"/>
    <cellStyle name="Финансовый 3 3 2 2 3 2 3 2 2 2 2 2" xfId="28137" xr:uid="{FEEBF59D-BEA2-4B69-8394-4D33AF20E076}"/>
    <cellStyle name="Финансовый 3 3 2 2 3 2 3 2 2 2 3" xfId="14280" xr:uid="{00000000-0005-0000-0000-0000AB2D0000}"/>
    <cellStyle name="Финансовый 3 3 2 2 3 2 3 2 2 2 3 2" xfId="31293" xr:uid="{2CA8EFB2-21D1-4EC9-920D-CBEF14765C34}"/>
    <cellStyle name="Финансовый 3 3 2 2 3 2 3 2 2 2 4" xfId="17361" xr:uid="{00000000-0005-0000-0000-0000AC2D0000}"/>
    <cellStyle name="Финансовый 3 3 2 2 3 2 3 2 2 2 4 2" xfId="34374" xr:uid="{5A3CEF67-9FC9-4D1F-98FE-366E29236C3D}"/>
    <cellStyle name="Финансовый 3 3 2 2 3 2 3 2 2 2 5" xfId="25064" xr:uid="{8F471716-3D85-4353-BE9F-DF58EE8AFF51}"/>
    <cellStyle name="Финансовый 3 3 2 2 3 2 3 2 2 3" xfId="11047" xr:uid="{00000000-0005-0000-0000-0000AD2D0000}"/>
    <cellStyle name="Финансовый 3 3 2 2 3 2 3 2 2 3 2" xfId="28136" xr:uid="{6FC61F48-9931-4504-9121-0FC3593F390F}"/>
    <cellStyle name="Финансовый 3 3 2 2 3 2 3 2 2 4" xfId="14279" xr:uid="{00000000-0005-0000-0000-0000AE2D0000}"/>
    <cellStyle name="Финансовый 3 3 2 2 3 2 3 2 2 4 2" xfId="31292" xr:uid="{21218A82-504D-4747-9A0A-F76DE9B98539}"/>
    <cellStyle name="Финансовый 3 3 2 2 3 2 3 2 2 5" xfId="17360" xr:uid="{00000000-0005-0000-0000-0000AF2D0000}"/>
    <cellStyle name="Финансовый 3 3 2 2 3 2 3 2 2 5 2" xfId="34373" xr:uid="{0253EBC9-4483-4BE7-9400-704B6F7FB837}"/>
    <cellStyle name="Финансовый 3 3 2 2 3 2 3 2 2 6" xfId="25063" xr:uid="{D3ED7BA0-4C0A-4DFC-A2F5-FDB615DE9DC6}"/>
    <cellStyle name="Финансовый 3 3 2 2 3 2 3 2 3" xfId="7958" xr:uid="{00000000-0005-0000-0000-0000B02D0000}"/>
    <cellStyle name="Финансовый 3 3 2 2 3 2 3 2 3 2" xfId="11049" xr:uid="{00000000-0005-0000-0000-0000B12D0000}"/>
    <cellStyle name="Финансовый 3 3 2 2 3 2 3 2 3 2 2" xfId="28138" xr:uid="{EE834DB9-917E-43A1-841F-5CCAE2FF00DF}"/>
    <cellStyle name="Финансовый 3 3 2 2 3 2 3 2 3 3" xfId="14281" xr:uid="{00000000-0005-0000-0000-0000B22D0000}"/>
    <cellStyle name="Финансовый 3 3 2 2 3 2 3 2 3 3 2" xfId="31294" xr:uid="{53E6B47E-3F8C-420C-A3EF-91E279CE3110}"/>
    <cellStyle name="Финансовый 3 3 2 2 3 2 3 2 3 4" xfId="17362" xr:uid="{00000000-0005-0000-0000-0000B32D0000}"/>
    <cellStyle name="Финансовый 3 3 2 2 3 2 3 2 3 4 2" xfId="34375" xr:uid="{170787EB-29A2-47A0-A352-A81200D761EA}"/>
    <cellStyle name="Финансовый 3 3 2 2 3 2 3 2 3 5" xfId="25065" xr:uid="{426FCD6F-3B28-47FF-9C51-731CC42C5FAA}"/>
    <cellStyle name="Финансовый 3 3 2 2 3 2 3 2 4" xfId="11046" xr:uid="{00000000-0005-0000-0000-0000B42D0000}"/>
    <cellStyle name="Финансовый 3 3 2 2 3 2 3 2 4 2" xfId="28135" xr:uid="{E2E4D230-B081-4ABE-8C83-4643AE129288}"/>
    <cellStyle name="Финансовый 3 3 2 2 3 2 3 2 5" xfId="14278" xr:uid="{00000000-0005-0000-0000-0000B52D0000}"/>
    <cellStyle name="Финансовый 3 3 2 2 3 2 3 2 5 2" xfId="31291" xr:uid="{3948BD28-86BA-4DA2-871A-5A8350AB3090}"/>
    <cellStyle name="Финансовый 3 3 2 2 3 2 3 2 6" xfId="17359" xr:uid="{00000000-0005-0000-0000-0000B62D0000}"/>
    <cellStyle name="Финансовый 3 3 2 2 3 2 3 2 6 2" xfId="34372" xr:uid="{BAD90849-6471-4FF2-93DF-CE05F5A9E984}"/>
    <cellStyle name="Финансовый 3 3 2 2 3 2 3 2 7" xfId="25062" xr:uid="{D0B1DC18-DC31-409F-8971-52C72A1A84E8}"/>
    <cellStyle name="Финансовый 3 3 2 2 3 2 3 3" xfId="7959" xr:uid="{00000000-0005-0000-0000-0000B72D0000}"/>
    <cellStyle name="Финансовый 3 3 2 2 3 2 3 3 2" xfId="7960" xr:uid="{00000000-0005-0000-0000-0000B82D0000}"/>
    <cellStyle name="Финансовый 3 3 2 2 3 2 3 3 2 2" xfId="11051" xr:uid="{00000000-0005-0000-0000-0000B92D0000}"/>
    <cellStyle name="Финансовый 3 3 2 2 3 2 3 3 2 2 2" xfId="28140" xr:uid="{33DB9F9A-7366-4E0C-AB96-4D8E8A3D4B7F}"/>
    <cellStyle name="Финансовый 3 3 2 2 3 2 3 3 2 3" xfId="14283" xr:uid="{00000000-0005-0000-0000-0000BA2D0000}"/>
    <cellStyle name="Финансовый 3 3 2 2 3 2 3 3 2 3 2" xfId="31296" xr:uid="{C964A150-29E9-434D-B72E-1595808581EC}"/>
    <cellStyle name="Финансовый 3 3 2 2 3 2 3 3 2 4" xfId="17364" xr:uid="{00000000-0005-0000-0000-0000BB2D0000}"/>
    <cellStyle name="Финансовый 3 3 2 2 3 2 3 3 2 4 2" xfId="34377" xr:uid="{D970E880-BDA8-4DC9-906D-E244F62FE66A}"/>
    <cellStyle name="Финансовый 3 3 2 2 3 2 3 3 2 5" xfId="25067" xr:uid="{93AEB0A9-90FE-4FD4-B7B5-8538E99B2BF5}"/>
    <cellStyle name="Финансовый 3 3 2 2 3 2 3 3 3" xfId="11050" xr:uid="{00000000-0005-0000-0000-0000BC2D0000}"/>
    <cellStyle name="Финансовый 3 3 2 2 3 2 3 3 3 2" xfId="28139" xr:uid="{88CACB4C-D748-4DEE-B9BC-22BC0CEABE68}"/>
    <cellStyle name="Финансовый 3 3 2 2 3 2 3 3 4" xfId="14282" xr:uid="{00000000-0005-0000-0000-0000BD2D0000}"/>
    <cellStyle name="Финансовый 3 3 2 2 3 2 3 3 4 2" xfId="31295" xr:uid="{9A47BB3E-B416-4ACC-B3FB-34BFA15B1327}"/>
    <cellStyle name="Финансовый 3 3 2 2 3 2 3 3 5" xfId="17363" xr:uid="{00000000-0005-0000-0000-0000BE2D0000}"/>
    <cellStyle name="Финансовый 3 3 2 2 3 2 3 3 5 2" xfId="34376" xr:uid="{F1644E60-D424-4A24-B257-B2C415907B7E}"/>
    <cellStyle name="Финансовый 3 3 2 2 3 2 3 3 6" xfId="25066" xr:uid="{80C5314F-591B-41E5-99BB-55CE02CAE081}"/>
    <cellStyle name="Финансовый 3 3 2 2 3 2 3 4" xfId="7961" xr:uid="{00000000-0005-0000-0000-0000BF2D0000}"/>
    <cellStyle name="Финансовый 3 3 2 2 3 2 3 4 2" xfId="11052" xr:uid="{00000000-0005-0000-0000-0000C02D0000}"/>
    <cellStyle name="Финансовый 3 3 2 2 3 2 3 4 2 2" xfId="28141" xr:uid="{3132AF6A-943E-4ED4-A99F-012C6FCED002}"/>
    <cellStyle name="Финансовый 3 3 2 2 3 2 3 4 3" xfId="14284" xr:uid="{00000000-0005-0000-0000-0000C12D0000}"/>
    <cellStyle name="Финансовый 3 3 2 2 3 2 3 4 3 2" xfId="31297" xr:uid="{A0ABAC2A-EA52-4746-BB48-32080C3BBC12}"/>
    <cellStyle name="Финансовый 3 3 2 2 3 2 3 4 4" xfId="17365" xr:uid="{00000000-0005-0000-0000-0000C22D0000}"/>
    <cellStyle name="Финансовый 3 3 2 2 3 2 3 4 4 2" xfId="34378" xr:uid="{6D1F2276-8552-4E9A-A9E6-81926441D459}"/>
    <cellStyle name="Финансовый 3 3 2 2 3 2 3 4 5" xfId="25068" xr:uid="{DB36B76F-B7E5-4939-9C3D-A2594BA87DAE}"/>
    <cellStyle name="Финансовый 3 3 2 2 3 2 3 5" xfId="11045" xr:uid="{00000000-0005-0000-0000-0000C32D0000}"/>
    <cellStyle name="Финансовый 3 3 2 2 3 2 3 5 2" xfId="28134" xr:uid="{E829312C-D8BA-44D7-B43E-7B63257E868F}"/>
    <cellStyle name="Финансовый 3 3 2 2 3 2 3 6" xfId="14277" xr:uid="{00000000-0005-0000-0000-0000C42D0000}"/>
    <cellStyle name="Финансовый 3 3 2 2 3 2 3 6 2" xfId="31290" xr:uid="{CD74827D-A436-41A4-88A3-1CD98B02F725}"/>
    <cellStyle name="Финансовый 3 3 2 2 3 2 3 7" xfId="17358" xr:uid="{00000000-0005-0000-0000-0000C52D0000}"/>
    <cellStyle name="Финансовый 3 3 2 2 3 2 3 7 2" xfId="34371" xr:uid="{6004CEE7-84F8-430C-BDCD-C1781EB15A26}"/>
    <cellStyle name="Финансовый 3 3 2 2 3 2 3 8" xfId="25061" xr:uid="{875EF684-FC97-4959-AB92-A7E06BCD5641}"/>
    <cellStyle name="Финансовый 3 3 2 2 3 2 4" xfId="7962" xr:uid="{00000000-0005-0000-0000-0000C62D0000}"/>
    <cellStyle name="Финансовый 3 3 2 2 3 2 4 2" xfId="7963" xr:uid="{00000000-0005-0000-0000-0000C72D0000}"/>
    <cellStyle name="Финансовый 3 3 2 2 3 2 4 2 2" xfId="7964" xr:uid="{00000000-0005-0000-0000-0000C82D0000}"/>
    <cellStyle name="Финансовый 3 3 2 2 3 2 4 2 2 2" xfId="11055" xr:uid="{00000000-0005-0000-0000-0000C92D0000}"/>
    <cellStyle name="Финансовый 3 3 2 2 3 2 4 2 2 2 2" xfId="28144" xr:uid="{9872A170-28EE-4B4F-A449-B1E53F260F33}"/>
    <cellStyle name="Финансовый 3 3 2 2 3 2 4 2 2 3" xfId="14287" xr:uid="{00000000-0005-0000-0000-0000CA2D0000}"/>
    <cellStyle name="Финансовый 3 3 2 2 3 2 4 2 2 3 2" xfId="31300" xr:uid="{73E8C3BC-15C5-49B4-9BA3-AF1638FD5474}"/>
    <cellStyle name="Финансовый 3 3 2 2 3 2 4 2 2 4" xfId="17368" xr:uid="{00000000-0005-0000-0000-0000CB2D0000}"/>
    <cellStyle name="Финансовый 3 3 2 2 3 2 4 2 2 4 2" xfId="34381" xr:uid="{C9FAD924-B284-401D-867F-9691C8E61BAE}"/>
    <cellStyle name="Финансовый 3 3 2 2 3 2 4 2 2 5" xfId="25071" xr:uid="{BBAF76A1-D428-431F-B45D-42261FE0CEFB}"/>
    <cellStyle name="Финансовый 3 3 2 2 3 2 4 2 3" xfId="11054" xr:uid="{00000000-0005-0000-0000-0000CC2D0000}"/>
    <cellStyle name="Финансовый 3 3 2 2 3 2 4 2 3 2" xfId="28143" xr:uid="{00ACD15B-EBAB-485E-B9AD-57B824B97873}"/>
    <cellStyle name="Финансовый 3 3 2 2 3 2 4 2 4" xfId="14286" xr:uid="{00000000-0005-0000-0000-0000CD2D0000}"/>
    <cellStyle name="Финансовый 3 3 2 2 3 2 4 2 4 2" xfId="31299" xr:uid="{B86659CD-2789-4E57-9284-2FBC942C15A4}"/>
    <cellStyle name="Финансовый 3 3 2 2 3 2 4 2 5" xfId="17367" xr:uid="{00000000-0005-0000-0000-0000CE2D0000}"/>
    <cellStyle name="Финансовый 3 3 2 2 3 2 4 2 5 2" xfId="34380" xr:uid="{90B07F5D-9C55-4A78-9A32-76C7BB11BEC7}"/>
    <cellStyle name="Финансовый 3 3 2 2 3 2 4 2 6" xfId="25070" xr:uid="{D24F1C93-0D93-44C1-A4F5-0829B35A8F2F}"/>
    <cellStyle name="Финансовый 3 3 2 2 3 2 4 3" xfId="7965" xr:uid="{00000000-0005-0000-0000-0000CF2D0000}"/>
    <cellStyle name="Финансовый 3 3 2 2 3 2 4 3 2" xfId="11056" xr:uid="{00000000-0005-0000-0000-0000D02D0000}"/>
    <cellStyle name="Финансовый 3 3 2 2 3 2 4 3 2 2" xfId="28145" xr:uid="{416511EA-F8F4-4937-A0C7-B0CC9CF1E86B}"/>
    <cellStyle name="Финансовый 3 3 2 2 3 2 4 3 3" xfId="14288" xr:uid="{00000000-0005-0000-0000-0000D12D0000}"/>
    <cellStyle name="Финансовый 3 3 2 2 3 2 4 3 3 2" xfId="31301" xr:uid="{3EE2F972-E785-471E-9422-44F9146DCA0B}"/>
    <cellStyle name="Финансовый 3 3 2 2 3 2 4 3 4" xfId="17369" xr:uid="{00000000-0005-0000-0000-0000D22D0000}"/>
    <cellStyle name="Финансовый 3 3 2 2 3 2 4 3 4 2" xfId="34382" xr:uid="{00C360F4-1B40-4C3D-A434-4980AB863DE8}"/>
    <cellStyle name="Финансовый 3 3 2 2 3 2 4 3 5" xfId="25072" xr:uid="{31601152-DD51-4AFE-A535-67DCDE92CA68}"/>
    <cellStyle name="Финансовый 3 3 2 2 3 2 4 4" xfId="11053" xr:uid="{00000000-0005-0000-0000-0000D32D0000}"/>
    <cellStyle name="Финансовый 3 3 2 2 3 2 4 4 2" xfId="28142" xr:uid="{CE31B9CC-9BF8-4E42-99F9-EF4F2D868E2F}"/>
    <cellStyle name="Финансовый 3 3 2 2 3 2 4 5" xfId="14285" xr:uid="{00000000-0005-0000-0000-0000D42D0000}"/>
    <cellStyle name="Финансовый 3 3 2 2 3 2 4 5 2" xfId="31298" xr:uid="{55D1F258-566F-462F-88EE-7196922347CE}"/>
    <cellStyle name="Финансовый 3 3 2 2 3 2 4 6" xfId="17366" xr:uid="{00000000-0005-0000-0000-0000D52D0000}"/>
    <cellStyle name="Финансовый 3 3 2 2 3 2 4 6 2" xfId="34379" xr:uid="{4780B719-9095-4EB6-9640-4B9C021578B8}"/>
    <cellStyle name="Финансовый 3 3 2 2 3 2 4 7" xfId="25069" xr:uid="{8B01F012-5705-4F6B-B15D-07002CBC45F1}"/>
    <cellStyle name="Финансовый 3 3 2 2 3 2 5" xfId="7966" xr:uid="{00000000-0005-0000-0000-0000D62D0000}"/>
    <cellStyle name="Финансовый 3 3 2 2 3 2 5 2" xfId="7967" xr:uid="{00000000-0005-0000-0000-0000D72D0000}"/>
    <cellStyle name="Финансовый 3 3 2 2 3 2 5 2 2" xfId="11058" xr:uid="{00000000-0005-0000-0000-0000D82D0000}"/>
    <cellStyle name="Финансовый 3 3 2 2 3 2 5 2 2 2" xfId="28147" xr:uid="{539CC8C7-B270-4AA3-92F4-76BEFF79E609}"/>
    <cellStyle name="Финансовый 3 3 2 2 3 2 5 2 3" xfId="14290" xr:uid="{00000000-0005-0000-0000-0000D92D0000}"/>
    <cellStyle name="Финансовый 3 3 2 2 3 2 5 2 3 2" xfId="31303" xr:uid="{6E5B74F3-0DB0-4161-B454-806B92C8B359}"/>
    <cellStyle name="Финансовый 3 3 2 2 3 2 5 2 4" xfId="17371" xr:uid="{00000000-0005-0000-0000-0000DA2D0000}"/>
    <cellStyle name="Финансовый 3 3 2 2 3 2 5 2 4 2" xfId="34384" xr:uid="{F47F818C-CAE6-410F-98CF-116CA996546D}"/>
    <cellStyle name="Финансовый 3 3 2 2 3 2 5 2 5" xfId="25074" xr:uid="{B4494797-F090-40FE-8C9D-3A240566F63D}"/>
    <cellStyle name="Финансовый 3 3 2 2 3 2 5 3" xfId="11057" xr:uid="{00000000-0005-0000-0000-0000DB2D0000}"/>
    <cellStyle name="Финансовый 3 3 2 2 3 2 5 3 2" xfId="28146" xr:uid="{21C162AA-34D4-4763-A6CF-4B4B32CCA1D8}"/>
    <cellStyle name="Финансовый 3 3 2 2 3 2 5 4" xfId="14289" xr:uid="{00000000-0005-0000-0000-0000DC2D0000}"/>
    <cellStyle name="Финансовый 3 3 2 2 3 2 5 4 2" xfId="31302" xr:uid="{39407234-B3DF-4001-BA1B-CF313892578F}"/>
    <cellStyle name="Финансовый 3 3 2 2 3 2 5 5" xfId="17370" xr:uid="{00000000-0005-0000-0000-0000DD2D0000}"/>
    <cellStyle name="Финансовый 3 3 2 2 3 2 5 5 2" xfId="34383" xr:uid="{9424140A-8EBA-4783-BF21-9D9083CE79A9}"/>
    <cellStyle name="Финансовый 3 3 2 2 3 2 5 6" xfId="25073" xr:uid="{328A4415-DC10-4C07-B87F-8B6D7EB357C3}"/>
    <cellStyle name="Финансовый 3 3 2 2 3 2 6" xfId="7968" xr:uid="{00000000-0005-0000-0000-0000DE2D0000}"/>
    <cellStyle name="Финансовый 3 3 2 2 3 2 6 2" xfId="11059" xr:uid="{00000000-0005-0000-0000-0000DF2D0000}"/>
    <cellStyle name="Финансовый 3 3 2 2 3 2 6 2 2" xfId="28148" xr:uid="{97812F6E-E54F-4E1E-84BB-7793B134A503}"/>
    <cellStyle name="Финансовый 3 3 2 2 3 2 6 3" xfId="14291" xr:uid="{00000000-0005-0000-0000-0000E02D0000}"/>
    <cellStyle name="Финансовый 3 3 2 2 3 2 6 3 2" xfId="31304" xr:uid="{B37FF889-B84A-41A8-98A9-A89A03318765}"/>
    <cellStyle name="Финансовый 3 3 2 2 3 2 6 4" xfId="17372" xr:uid="{00000000-0005-0000-0000-0000E12D0000}"/>
    <cellStyle name="Финансовый 3 3 2 2 3 2 6 4 2" xfId="34385" xr:uid="{6CEF9AA3-7AAA-44D1-BD5F-DAB3F0B35FBF}"/>
    <cellStyle name="Финансовый 3 3 2 2 3 2 6 5" xfId="25075" xr:uid="{403C0B1F-A5D3-4222-931F-C93F8E33EC1A}"/>
    <cellStyle name="Финансовый 3 3 2 2 3 2 7" xfId="11028" xr:uid="{00000000-0005-0000-0000-0000E22D0000}"/>
    <cellStyle name="Финансовый 3 3 2 2 3 2 7 2" xfId="28117" xr:uid="{F50ECF02-8D80-40A5-A3D2-9AC055D91F19}"/>
    <cellStyle name="Финансовый 3 3 2 2 3 2 8" xfId="14260" xr:uid="{00000000-0005-0000-0000-0000E32D0000}"/>
    <cellStyle name="Финансовый 3 3 2 2 3 2 8 2" xfId="31273" xr:uid="{463F9866-68EB-4125-AF48-5BF04353643F}"/>
    <cellStyle name="Финансовый 3 3 2 2 3 2 9" xfId="17341" xr:uid="{00000000-0005-0000-0000-0000E42D0000}"/>
    <cellStyle name="Финансовый 3 3 2 2 3 2 9 2" xfId="34354" xr:uid="{2E7C6A61-5798-4041-9459-B19F9F560D43}"/>
    <cellStyle name="Финансовый 3 3 2 2 3 3" xfId="7969" xr:uid="{00000000-0005-0000-0000-0000E52D0000}"/>
    <cellStyle name="Финансовый 3 3 2 2 3 3 2" xfId="7970" xr:uid="{00000000-0005-0000-0000-0000E62D0000}"/>
    <cellStyle name="Финансовый 3 3 2 2 3 3 2 2" xfId="7971" xr:uid="{00000000-0005-0000-0000-0000E72D0000}"/>
    <cellStyle name="Финансовый 3 3 2 2 3 3 2 2 2" xfId="7972" xr:uid="{00000000-0005-0000-0000-0000E82D0000}"/>
    <cellStyle name="Финансовый 3 3 2 2 3 3 2 2 2 2" xfId="7973" xr:uid="{00000000-0005-0000-0000-0000E92D0000}"/>
    <cellStyle name="Финансовый 3 3 2 2 3 3 2 2 2 2 2" xfId="11064" xr:uid="{00000000-0005-0000-0000-0000EA2D0000}"/>
    <cellStyle name="Финансовый 3 3 2 2 3 3 2 2 2 2 2 2" xfId="28153" xr:uid="{74897675-161D-4279-93B8-DC404835D559}"/>
    <cellStyle name="Финансовый 3 3 2 2 3 3 2 2 2 2 3" xfId="14296" xr:uid="{00000000-0005-0000-0000-0000EB2D0000}"/>
    <cellStyle name="Финансовый 3 3 2 2 3 3 2 2 2 2 3 2" xfId="31309" xr:uid="{2AB5B72A-210A-4EF5-8943-D170B9473152}"/>
    <cellStyle name="Финансовый 3 3 2 2 3 3 2 2 2 2 4" xfId="17377" xr:uid="{00000000-0005-0000-0000-0000EC2D0000}"/>
    <cellStyle name="Финансовый 3 3 2 2 3 3 2 2 2 2 4 2" xfId="34390" xr:uid="{D5CBB338-809A-4D4C-90C0-BB0C3501D86F}"/>
    <cellStyle name="Финансовый 3 3 2 2 3 3 2 2 2 2 5" xfId="25080" xr:uid="{17B922D0-D8BE-4A49-A6FA-1D23CA261032}"/>
    <cellStyle name="Финансовый 3 3 2 2 3 3 2 2 2 3" xfId="11063" xr:uid="{00000000-0005-0000-0000-0000ED2D0000}"/>
    <cellStyle name="Финансовый 3 3 2 2 3 3 2 2 2 3 2" xfId="28152" xr:uid="{E47849E3-A2F1-41DF-AB36-D809DE4BFAAA}"/>
    <cellStyle name="Финансовый 3 3 2 2 3 3 2 2 2 4" xfId="14295" xr:uid="{00000000-0005-0000-0000-0000EE2D0000}"/>
    <cellStyle name="Финансовый 3 3 2 2 3 3 2 2 2 4 2" xfId="31308" xr:uid="{0E2EDD85-ECCE-4EF0-8211-63CE2BD9B725}"/>
    <cellStyle name="Финансовый 3 3 2 2 3 3 2 2 2 5" xfId="17376" xr:uid="{00000000-0005-0000-0000-0000EF2D0000}"/>
    <cellStyle name="Финансовый 3 3 2 2 3 3 2 2 2 5 2" xfId="34389" xr:uid="{27275840-FFED-4F21-B6EE-620782036E73}"/>
    <cellStyle name="Финансовый 3 3 2 2 3 3 2 2 2 6" xfId="25079" xr:uid="{F491B2E8-42C0-40A6-8FCA-9F69AE050ACE}"/>
    <cellStyle name="Финансовый 3 3 2 2 3 3 2 2 3" xfId="7974" xr:uid="{00000000-0005-0000-0000-0000F02D0000}"/>
    <cellStyle name="Финансовый 3 3 2 2 3 3 2 2 3 2" xfId="11065" xr:uid="{00000000-0005-0000-0000-0000F12D0000}"/>
    <cellStyle name="Финансовый 3 3 2 2 3 3 2 2 3 2 2" xfId="28154" xr:uid="{B74BE0AA-DE1B-47BA-A2D1-B7C1230E3237}"/>
    <cellStyle name="Финансовый 3 3 2 2 3 3 2 2 3 3" xfId="14297" xr:uid="{00000000-0005-0000-0000-0000F22D0000}"/>
    <cellStyle name="Финансовый 3 3 2 2 3 3 2 2 3 3 2" xfId="31310" xr:uid="{DEB9F5B7-C222-4CF7-9F6B-AD83E41F6C23}"/>
    <cellStyle name="Финансовый 3 3 2 2 3 3 2 2 3 4" xfId="17378" xr:uid="{00000000-0005-0000-0000-0000F32D0000}"/>
    <cellStyle name="Финансовый 3 3 2 2 3 3 2 2 3 4 2" xfId="34391" xr:uid="{366431CD-F2FD-429D-945C-1B007ED95337}"/>
    <cellStyle name="Финансовый 3 3 2 2 3 3 2 2 3 5" xfId="25081" xr:uid="{CEC69B28-63E3-4A9C-AEDC-7D63EC4C3E4F}"/>
    <cellStyle name="Финансовый 3 3 2 2 3 3 2 2 4" xfId="11062" xr:uid="{00000000-0005-0000-0000-0000F42D0000}"/>
    <cellStyle name="Финансовый 3 3 2 2 3 3 2 2 4 2" xfId="28151" xr:uid="{6238F495-7809-4577-971A-2C2A2BB4A942}"/>
    <cellStyle name="Финансовый 3 3 2 2 3 3 2 2 5" xfId="14294" xr:uid="{00000000-0005-0000-0000-0000F52D0000}"/>
    <cellStyle name="Финансовый 3 3 2 2 3 3 2 2 5 2" xfId="31307" xr:uid="{A757E11D-3DDB-4A0F-8A70-034132F21353}"/>
    <cellStyle name="Финансовый 3 3 2 2 3 3 2 2 6" xfId="17375" xr:uid="{00000000-0005-0000-0000-0000F62D0000}"/>
    <cellStyle name="Финансовый 3 3 2 2 3 3 2 2 6 2" xfId="34388" xr:uid="{09CA99FC-E762-41FD-8F88-09D66EDDA232}"/>
    <cellStyle name="Финансовый 3 3 2 2 3 3 2 2 7" xfId="25078" xr:uid="{417627BE-33C1-4EFB-8027-CFA1A5431AA8}"/>
    <cellStyle name="Финансовый 3 3 2 2 3 3 2 3" xfId="7975" xr:uid="{00000000-0005-0000-0000-0000F72D0000}"/>
    <cellStyle name="Финансовый 3 3 2 2 3 3 2 3 2" xfId="7976" xr:uid="{00000000-0005-0000-0000-0000F82D0000}"/>
    <cellStyle name="Финансовый 3 3 2 2 3 3 2 3 2 2" xfId="11067" xr:uid="{00000000-0005-0000-0000-0000F92D0000}"/>
    <cellStyle name="Финансовый 3 3 2 2 3 3 2 3 2 2 2" xfId="28156" xr:uid="{C16ADB72-F19B-405C-A1E9-0BF69517EBB2}"/>
    <cellStyle name="Финансовый 3 3 2 2 3 3 2 3 2 3" xfId="14299" xr:uid="{00000000-0005-0000-0000-0000FA2D0000}"/>
    <cellStyle name="Финансовый 3 3 2 2 3 3 2 3 2 3 2" xfId="31312" xr:uid="{928CC0BF-F497-491C-9A0F-24DBC7F120CE}"/>
    <cellStyle name="Финансовый 3 3 2 2 3 3 2 3 2 4" xfId="17380" xr:uid="{00000000-0005-0000-0000-0000FB2D0000}"/>
    <cellStyle name="Финансовый 3 3 2 2 3 3 2 3 2 4 2" xfId="34393" xr:uid="{5F929814-AC68-40AD-B8E8-2BA5DCCD999E}"/>
    <cellStyle name="Финансовый 3 3 2 2 3 3 2 3 2 5" xfId="25083" xr:uid="{415A46BB-B06C-4D77-9006-BC6CCA0BA494}"/>
    <cellStyle name="Финансовый 3 3 2 2 3 3 2 3 3" xfId="11066" xr:uid="{00000000-0005-0000-0000-0000FC2D0000}"/>
    <cellStyle name="Финансовый 3 3 2 2 3 3 2 3 3 2" xfId="28155" xr:uid="{0F2B6B42-3813-48ED-B3DC-D46950E32BA5}"/>
    <cellStyle name="Финансовый 3 3 2 2 3 3 2 3 4" xfId="14298" xr:uid="{00000000-0005-0000-0000-0000FD2D0000}"/>
    <cellStyle name="Финансовый 3 3 2 2 3 3 2 3 4 2" xfId="31311" xr:uid="{C99DD931-813A-46DD-8DA9-9F64AF22CEDA}"/>
    <cellStyle name="Финансовый 3 3 2 2 3 3 2 3 5" xfId="17379" xr:uid="{00000000-0005-0000-0000-0000FE2D0000}"/>
    <cellStyle name="Финансовый 3 3 2 2 3 3 2 3 5 2" xfId="34392" xr:uid="{A7C3DB9C-8B83-4A27-BC05-3E484A551953}"/>
    <cellStyle name="Финансовый 3 3 2 2 3 3 2 3 6" xfId="25082" xr:uid="{5365C34C-6CD8-40D5-88C4-14B8A7612B39}"/>
    <cellStyle name="Финансовый 3 3 2 2 3 3 2 4" xfId="7977" xr:uid="{00000000-0005-0000-0000-0000FF2D0000}"/>
    <cellStyle name="Финансовый 3 3 2 2 3 3 2 4 2" xfId="11068" xr:uid="{00000000-0005-0000-0000-0000002E0000}"/>
    <cellStyle name="Финансовый 3 3 2 2 3 3 2 4 2 2" xfId="28157" xr:uid="{52B12B84-6D4A-4BA7-940A-24F71786D054}"/>
    <cellStyle name="Финансовый 3 3 2 2 3 3 2 4 3" xfId="14300" xr:uid="{00000000-0005-0000-0000-0000012E0000}"/>
    <cellStyle name="Финансовый 3 3 2 2 3 3 2 4 3 2" xfId="31313" xr:uid="{B78E5949-2937-4EC0-B7B8-BF4B32EFB552}"/>
    <cellStyle name="Финансовый 3 3 2 2 3 3 2 4 4" xfId="17381" xr:uid="{00000000-0005-0000-0000-0000022E0000}"/>
    <cellStyle name="Финансовый 3 3 2 2 3 3 2 4 4 2" xfId="34394" xr:uid="{142CDA6C-9728-4CDF-9371-93A1E65816F2}"/>
    <cellStyle name="Финансовый 3 3 2 2 3 3 2 4 5" xfId="25084" xr:uid="{B5DDE51C-CE12-46FF-A08D-955D38AA34D2}"/>
    <cellStyle name="Финансовый 3 3 2 2 3 3 2 5" xfId="11061" xr:uid="{00000000-0005-0000-0000-0000032E0000}"/>
    <cellStyle name="Финансовый 3 3 2 2 3 3 2 5 2" xfId="28150" xr:uid="{1FCF2F41-55C4-4000-912B-BA2EA88457C0}"/>
    <cellStyle name="Финансовый 3 3 2 2 3 3 2 6" xfId="14293" xr:uid="{00000000-0005-0000-0000-0000042E0000}"/>
    <cellStyle name="Финансовый 3 3 2 2 3 3 2 6 2" xfId="31306" xr:uid="{33EFBBD3-181F-4BA6-836A-BB931B05204A}"/>
    <cellStyle name="Финансовый 3 3 2 2 3 3 2 7" xfId="17374" xr:uid="{00000000-0005-0000-0000-0000052E0000}"/>
    <cellStyle name="Финансовый 3 3 2 2 3 3 2 7 2" xfId="34387" xr:uid="{29669759-036E-4981-9661-DADB5C2AB096}"/>
    <cellStyle name="Финансовый 3 3 2 2 3 3 2 8" xfId="25077" xr:uid="{B4735D46-0E9D-4170-B60F-3144D2E94052}"/>
    <cellStyle name="Финансовый 3 3 2 2 3 3 3" xfId="7978" xr:uid="{00000000-0005-0000-0000-0000062E0000}"/>
    <cellStyle name="Финансовый 3 3 2 2 3 3 3 2" xfId="7979" xr:uid="{00000000-0005-0000-0000-0000072E0000}"/>
    <cellStyle name="Финансовый 3 3 2 2 3 3 3 2 2" xfId="7980" xr:uid="{00000000-0005-0000-0000-0000082E0000}"/>
    <cellStyle name="Финансовый 3 3 2 2 3 3 3 2 2 2" xfId="11071" xr:uid="{00000000-0005-0000-0000-0000092E0000}"/>
    <cellStyle name="Финансовый 3 3 2 2 3 3 3 2 2 2 2" xfId="28160" xr:uid="{826EA22A-E1E8-4D51-858D-1EC67BF7B820}"/>
    <cellStyle name="Финансовый 3 3 2 2 3 3 3 2 2 3" xfId="14303" xr:uid="{00000000-0005-0000-0000-00000A2E0000}"/>
    <cellStyle name="Финансовый 3 3 2 2 3 3 3 2 2 3 2" xfId="31316" xr:uid="{29437FD5-26F5-48D8-A9A2-ABB4BB81DC7B}"/>
    <cellStyle name="Финансовый 3 3 2 2 3 3 3 2 2 4" xfId="17384" xr:uid="{00000000-0005-0000-0000-00000B2E0000}"/>
    <cellStyle name="Финансовый 3 3 2 2 3 3 3 2 2 4 2" xfId="34397" xr:uid="{178C48A8-D3F2-4A1F-B18E-71FE1D2321FB}"/>
    <cellStyle name="Финансовый 3 3 2 2 3 3 3 2 2 5" xfId="25087" xr:uid="{E4C12CEF-BE98-4520-A7F6-78BC044D035B}"/>
    <cellStyle name="Финансовый 3 3 2 2 3 3 3 2 3" xfId="11070" xr:uid="{00000000-0005-0000-0000-00000C2E0000}"/>
    <cellStyle name="Финансовый 3 3 2 2 3 3 3 2 3 2" xfId="28159" xr:uid="{DF6A6FB3-CA55-4C9E-B146-1400B8B7A46F}"/>
    <cellStyle name="Финансовый 3 3 2 2 3 3 3 2 4" xfId="14302" xr:uid="{00000000-0005-0000-0000-00000D2E0000}"/>
    <cellStyle name="Финансовый 3 3 2 2 3 3 3 2 4 2" xfId="31315" xr:uid="{762741E7-63B0-4871-953A-354646291A37}"/>
    <cellStyle name="Финансовый 3 3 2 2 3 3 3 2 5" xfId="17383" xr:uid="{00000000-0005-0000-0000-00000E2E0000}"/>
    <cellStyle name="Финансовый 3 3 2 2 3 3 3 2 5 2" xfId="34396" xr:uid="{4396D2F4-C868-41CB-87D7-1580F4A1E641}"/>
    <cellStyle name="Финансовый 3 3 2 2 3 3 3 2 6" xfId="25086" xr:uid="{2F0DAD6E-3FB0-4690-BBE6-9E83C08C9D5E}"/>
    <cellStyle name="Финансовый 3 3 2 2 3 3 3 3" xfId="7981" xr:uid="{00000000-0005-0000-0000-00000F2E0000}"/>
    <cellStyle name="Финансовый 3 3 2 2 3 3 3 3 2" xfId="11072" xr:uid="{00000000-0005-0000-0000-0000102E0000}"/>
    <cellStyle name="Финансовый 3 3 2 2 3 3 3 3 2 2" xfId="28161" xr:uid="{85EE66E2-4484-4454-9CEE-FE3021EF9FEF}"/>
    <cellStyle name="Финансовый 3 3 2 2 3 3 3 3 3" xfId="14304" xr:uid="{00000000-0005-0000-0000-0000112E0000}"/>
    <cellStyle name="Финансовый 3 3 2 2 3 3 3 3 3 2" xfId="31317" xr:uid="{B82817EC-C798-43EA-9918-316B1BCC0971}"/>
    <cellStyle name="Финансовый 3 3 2 2 3 3 3 3 4" xfId="17385" xr:uid="{00000000-0005-0000-0000-0000122E0000}"/>
    <cellStyle name="Финансовый 3 3 2 2 3 3 3 3 4 2" xfId="34398" xr:uid="{6DD84FC3-082D-46AC-BBAB-61D05DD72AD0}"/>
    <cellStyle name="Финансовый 3 3 2 2 3 3 3 3 5" xfId="25088" xr:uid="{66198F8C-51D2-4511-9F9E-61C743ECA384}"/>
    <cellStyle name="Финансовый 3 3 2 2 3 3 3 4" xfId="11069" xr:uid="{00000000-0005-0000-0000-0000132E0000}"/>
    <cellStyle name="Финансовый 3 3 2 2 3 3 3 4 2" xfId="28158" xr:uid="{BE021940-661D-4342-845B-6751CEB5A686}"/>
    <cellStyle name="Финансовый 3 3 2 2 3 3 3 5" xfId="14301" xr:uid="{00000000-0005-0000-0000-0000142E0000}"/>
    <cellStyle name="Финансовый 3 3 2 2 3 3 3 5 2" xfId="31314" xr:uid="{8FD0ADDA-9292-4B0E-A2BF-9E96546860AA}"/>
    <cellStyle name="Финансовый 3 3 2 2 3 3 3 6" xfId="17382" xr:uid="{00000000-0005-0000-0000-0000152E0000}"/>
    <cellStyle name="Финансовый 3 3 2 2 3 3 3 6 2" xfId="34395" xr:uid="{B652244A-E5D1-4254-B877-AAA7B8970CDF}"/>
    <cellStyle name="Финансовый 3 3 2 2 3 3 3 7" xfId="25085" xr:uid="{89B2A0B0-9951-49AC-A9F8-D0DDCC0B25D4}"/>
    <cellStyle name="Финансовый 3 3 2 2 3 3 4" xfId="7982" xr:uid="{00000000-0005-0000-0000-0000162E0000}"/>
    <cellStyle name="Финансовый 3 3 2 2 3 3 4 2" xfId="7983" xr:uid="{00000000-0005-0000-0000-0000172E0000}"/>
    <cellStyle name="Финансовый 3 3 2 2 3 3 4 2 2" xfId="11074" xr:uid="{00000000-0005-0000-0000-0000182E0000}"/>
    <cellStyle name="Финансовый 3 3 2 2 3 3 4 2 2 2" xfId="28163" xr:uid="{FE15FA63-A083-46BF-A145-B2F3A9FAC189}"/>
    <cellStyle name="Финансовый 3 3 2 2 3 3 4 2 3" xfId="14306" xr:uid="{00000000-0005-0000-0000-0000192E0000}"/>
    <cellStyle name="Финансовый 3 3 2 2 3 3 4 2 3 2" xfId="31319" xr:uid="{3914FC6C-A0EC-45FA-9F82-FF17A102D88E}"/>
    <cellStyle name="Финансовый 3 3 2 2 3 3 4 2 4" xfId="17387" xr:uid="{00000000-0005-0000-0000-00001A2E0000}"/>
    <cellStyle name="Финансовый 3 3 2 2 3 3 4 2 4 2" xfId="34400" xr:uid="{188D1561-B09E-469F-B6EA-DB9E3FDA684B}"/>
    <cellStyle name="Финансовый 3 3 2 2 3 3 4 2 5" xfId="25090" xr:uid="{AB600AB7-F5D3-46DD-A2BA-BFB8C42CBB37}"/>
    <cellStyle name="Финансовый 3 3 2 2 3 3 4 3" xfId="11073" xr:uid="{00000000-0005-0000-0000-00001B2E0000}"/>
    <cellStyle name="Финансовый 3 3 2 2 3 3 4 3 2" xfId="28162" xr:uid="{554404DE-E51E-442C-8063-C1AA6BB95CE0}"/>
    <cellStyle name="Финансовый 3 3 2 2 3 3 4 4" xfId="14305" xr:uid="{00000000-0005-0000-0000-00001C2E0000}"/>
    <cellStyle name="Финансовый 3 3 2 2 3 3 4 4 2" xfId="31318" xr:uid="{0664CE62-DA96-4246-9AD3-0E956A2CE110}"/>
    <cellStyle name="Финансовый 3 3 2 2 3 3 4 5" xfId="17386" xr:uid="{00000000-0005-0000-0000-00001D2E0000}"/>
    <cellStyle name="Финансовый 3 3 2 2 3 3 4 5 2" xfId="34399" xr:uid="{402315CD-248F-46CE-B1F5-D0924A79D1B8}"/>
    <cellStyle name="Финансовый 3 3 2 2 3 3 4 6" xfId="25089" xr:uid="{D8DD9A8E-1EA8-4FBB-9D2A-EC9E48D1D11B}"/>
    <cellStyle name="Финансовый 3 3 2 2 3 3 5" xfId="7984" xr:uid="{00000000-0005-0000-0000-00001E2E0000}"/>
    <cellStyle name="Финансовый 3 3 2 2 3 3 5 2" xfId="11075" xr:uid="{00000000-0005-0000-0000-00001F2E0000}"/>
    <cellStyle name="Финансовый 3 3 2 2 3 3 5 2 2" xfId="28164" xr:uid="{AB9D1852-80BA-4404-BC1D-C5EFA5E5BB8B}"/>
    <cellStyle name="Финансовый 3 3 2 2 3 3 5 3" xfId="14307" xr:uid="{00000000-0005-0000-0000-0000202E0000}"/>
    <cellStyle name="Финансовый 3 3 2 2 3 3 5 3 2" xfId="31320" xr:uid="{25318BCC-3538-4AF8-BF94-17ECC903D555}"/>
    <cellStyle name="Финансовый 3 3 2 2 3 3 5 4" xfId="17388" xr:uid="{00000000-0005-0000-0000-0000212E0000}"/>
    <cellStyle name="Финансовый 3 3 2 2 3 3 5 4 2" xfId="34401" xr:uid="{F946B0A4-9D9F-43BA-AB0D-79035296D7D6}"/>
    <cellStyle name="Финансовый 3 3 2 2 3 3 5 5" xfId="25091" xr:uid="{04460B0E-1E0A-4E3E-A3D6-BB45E0D84D1C}"/>
    <cellStyle name="Финансовый 3 3 2 2 3 3 6" xfId="11060" xr:uid="{00000000-0005-0000-0000-0000222E0000}"/>
    <cellStyle name="Финансовый 3 3 2 2 3 3 6 2" xfId="28149" xr:uid="{F6EC9739-432E-44A5-8347-A3773FF215E6}"/>
    <cellStyle name="Финансовый 3 3 2 2 3 3 7" xfId="14292" xr:uid="{00000000-0005-0000-0000-0000232E0000}"/>
    <cellStyle name="Финансовый 3 3 2 2 3 3 7 2" xfId="31305" xr:uid="{C5E486F3-9C7D-4F53-B4D1-34714FFD652B}"/>
    <cellStyle name="Финансовый 3 3 2 2 3 3 8" xfId="17373" xr:uid="{00000000-0005-0000-0000-0000242E0000}"/>
    <cellStyle name="Финансовый 3 3 2 2 3 3 8 2" xfId="34386" xr:uid="{98D3BDBE-7488-470D-B96B-5C41FA8491DD}"/>
    <cellStyle name="Финансовый 3 3 2 2 3 3 9" xfId="25076" xr:uid="{DC3EE6AA-7B9E-4370-A264-AFFD9299F8F1}"/>
    <cellStyle name="Финансовый 3 3 2 2 3 4" xfId="7985" xr:uid="{00000000-0005-0000-0000-0000252E0000}"/>
    <cellStyle name="Финансовый 3 3 2 2 3 4 2" xfId="7986" xr:uid="{00000000-0005-0000-0000-0000262E0000}"/>
    <cellStyle name="Финансовый 3 3 2 2 3 4 2 2" xfId="7987" xr:uid="{00000000-0005-0000-0000-0000272E0000}"/>
    <cellStyle name="Финансовый 3 3 2 2 3 4 2 2 2" xfId="7988" xr:uid="{00000000-0005-0000-0000-0000282E0000}"/>
    <cellStyle name="Финансовый 3 3 2 2 3 4 2 2 2 2" xfId="11079" xr:uid="{00000000-0005-0000-0000-0000292E0000}"/>
    <cellStyle name="Финансовый 3 3 2 2 3 4 2 2 2 2 2" xfId="28168" xr:uid="{5C4CD403-72AB-421A-8059-DC8898489DC1}"/>
    <cellStyle name="Финансовый 3 3 2 2 3 4 2 2 2 3" xfId="14311" xr:uid="{00000000-0005-0000-0000-00002A2E0000}"/>
    <cellStyle name="Финансовый 3 3 2 2 3 4 2 2 2 3 2" xfId="31324" xr:uid="{6D173435-BB94-4CAC-8BF7-D50ED771CA31}"/>
    <cellStyle name="Финансовый 3 3 2 2 3 4 2 2 2 4" xfId="17392" xr:uid="{00000000-0005-0000-0000-00002B2E0000}"/>
    <cellStyle name="Финансовый 3 3 2 2 3 4 2 2 2 4 2" xfId="34405" xr:uid="{0A9C0FDB-BD9C-436A-9AE9-3C13681BBC72}"/>
    <cellStyle name="Финансовый 3 3 2 2 3 4 2 2 2 5" xfId="25095" xr:uid="{78279BD5-93FD-4232-9C17-65D826A21F3E}"/>
    <cellStyle name="Финансовый 3 3 2 2 3 4 2 2 3" xfId="11078" xr:uid="{00000000-0005-0000-0000-00002C2E0000}"/>
    <cellStyle name="Финансовый 3 3 2 2 3 4 2 2 3 2" xfId="28167" xr:uid="{D0A375C0-9341-48AE-B849-C543F8ADFCC9}"/>
    <cellStyle name="Финансовый 3 3 2 2 3 4 2 2 4" xfId="14310" xr:uid="{00000000-0005-0000-0000-00002D2E0000}"/>
    <cellStyle name="Финансовый 3 3 2 2 3 4 2 2 4 2" xfId="31323" xr:uid="{B0F1341F-2640-4792-A0CD-38FCC924BDCC}"/>
    <cellStyle name="Финансовый 3 3 2 2 3 4 2 2 5" xfId="17391" xr:uid="{00000000-0005-0000-0000-00002E2E0000}"/>
    <cellStyle name="Финансовый 3 3 2 2 3 4 2 2 5 2" xfId="34404" xr:uid="{3F87DC11-F87D-4553-BB01-A369B431434C}"/>
    <cellStyle name="Финансовый 3 3 2 2 3 4 2 2 6" xfId="25094" xr:uid="{C7C877E5-5ECC-40B3-BD6F-C7333C78287F}"/>
    <cellStyle name="Финансовый 3 3 2 2 3 4 2 3" xfId="7989" xr:uid="{00000000-0005-0000-0000-00002F2E0000}"/>
    <cellStyle name="Финансовый 3 3 2 2 3 4 2 3 2" xfId="11080" xr:uid="{00000000-0005-0000-0000-0000302E0000}"/>
    <cellStyle name="Финансовый 3 3 2 2 3 4 2 3 2 2" xfId="28169" xr:uid="{EC369536-87EA-4D6B-9389-7A9A26451A9D}"/>
    <cellStyle name="Финансовый 3 3 2 2 3 4 2 3 3" xfId="14312" xr:uid="{00000000-0005-0000-0000-0000312E0000}"/>
    <cellStyle name="Финансовый 3 3 2 2 3 4 2 3 3 2" xfId="31325" xr:uid="{483AC044-1780-433F-A70B-20BD9CCD44F7}"/>
    <cellStyle name="Финансовый 3 3 2 2 3 4 2 3 4" xfId="17393" xr:uid="{00000000-0005-0000-0000-0000322E0000}"/>
    <cellStyle name="Финансовый 3 3 2 2 3 4 2 3 4 2" xfId="34406" xr:uid="{F4D42852-E162-4A01-AF05-E4186488FCCA}"/>
    <cellStyle name="Финансовый 3 3 2 2 3 4 2 3 5" xfId="25096" xr:uid="{43B494B3-BE31-4FD2-A8B6-FE1323A568B6}"/>
    <cellStyle name="Финансовый 3 3 2 2 3 4 2 4" xfId="11077" xr:uid="{00000000-0005-0000-0000-0000332E0000}"/>
    <cellStyle name="Финансовый 3 3 2 2 3 4 2 4 2" xfId="28166" xr:uid="{CB7F556F-053D-45AE-8E06-CFA77AAAF4E5}"/>
    <cellStyle name="Финансовый 3 3 2 2 3 4 2 5" xfId="14309" xr:uid="{00000000-0005-0000-0000-0000342E0000}"/>
    <cellStyle name="Финансовый 3 3 2 2 3 4 2 5 2" xfId="31322" xr:uid="{B65ED3D2-B099-40DC-97D1-B0BE5F734AE5}"/>
    <cellStyle name="Финансовый 3 3 2 2 3 4 2 6" xfId="17390" xr:uid="{00000000-0005-0000-0000-0000352E0000}"/>
    <cellStyle name="Финансовый 3 3 2 2 3 4 2 6 2" xfId="34403" xr:uid="{2664463A-FCC7-41A2-89DC-BFE073985257}"/>
    <cellStyle name="Финансовый 3 3 2 2 3 4 2 7" xfId="25093" xr:uid="{7256FDEB-A7EF-4627-85C8-CB2D98150B50}"/>
    <cellStyle name="Финансовый 3 3 2 2 3 4 3" xfId="7990" xr:uid="{00000000-0005-0000-0000-0000362E0000}"/>
    <cellStyle name="Финансовый 3 3 2 2 3 4 3 2" xfId="7991" xr:uid="{00000000-0005-0000-0000-0000372E0000}"/>
    <cellStyle name="Финансовый 3 3 2 2 3 4 3 2 2" xfId="11082" xr:uid="{00000000-0005-0000-0000-0000382E0000}"/>
    <cellStyle name="Финансовый 3 3 2 2 3 4 3 2 2 2" xfId="28171" xr:uid="{FED4790F-1975-47AD-A9B1-B07441ECC0FA}"/>
    <cellStyle name="Финансовый 3 3 2 2 3 4 3 2 3" xfId="14314" xr:uid="{00000000-0005-0000-0000-0000392E0000}"/>
    <cellStyle name="Финансовый 3 3 2 2 3 4 3 2 3 2" xfId="31327" xr:uid="{7FFCC787-F959-4E6D-A97E-2C9540DF4FCF}"/>
    <cellStyle name="Финансовый 3 3 2 2 3 4 3 2 4" xfId="17395" xr:uid="{00000000-0005-0000-0000-00003A2E0000}"/>
    <cellStyle name="Финансовый 3 3 2 2 3 4 3 2 4 2" xfId="34408" xr:uid="{E06DB3AA-D612-47FC-9168-65AC1B18E5E1}"/>
    <cellStyle name="Финансовый 3 3 2 2 3 4 3 2 5" xfId="25098" xr:uid="{BE02BF25-708F-4414-A27B-83A543A08850}"/>
    <cellStyle name="Финансовый 3 3 2 2 3 4 3 3" xfId="11081" xr:uid="{00000000-0005-0000-0000-00003B2E0000}"/>
    <cellStyle name="Финансовый 3 3 2 2 3 4 3 3 2" xfId="28170" xr:uid="{800E845E-22BE-4D7C-9644-263746DE31A0}"/>
    <cellStyle name="Финансовый 3 3 2 2 3 4 3 4" xfId="14313" xr:uid="{00000000-0005-0000-0000-00003C2E0000}"/>
    <cellStyle name="Финансовый 3 3 2 2 3 4 3 4 2" xfId="31326" xr:uid="{4EC67AB1-C511-47F8-A509-3A935B3AB7E1}"/>
    <cellStyle name="Финансовый 3 3 2 2 3 4 3 5" xfId="17394" xr:uid="{00000000-0005-0000-0000-00003D2E0000}"/>
    <cellStyle name="Финансовый 3 3 2 2 3 4 3 5 2" xfId="34407" xr:uid="{90B8ADFD-8146-484A-9B05-C43D115696C6}"/>
    <cellStyle name="Финансовый 3 3 2 2 3 4 3 6" xfId="25097" xr:uid="{16112BA5-9622-4403-9054-716E06D511C5}"/>
    <cellStyle name="Финансовый 3 3 2 2 3 4 4" xfId="7992" xr:uid="{00000000-0005-0000-0000-00003E2E0000}"/>
    <cellStyle name="Финансовый 3 3 2 2 3 4 4 2" xfId="11083" xr:uid="{00000000-0005-0000-0000-00003F2E0000}"/>
    <cellStyle name="Финансовый 3 3 2 2 3 4 4 2 2" xfId="28172" xr:uid="{99DF6D21-BBBC-4CE2-B6CD-14385D987D08}"/>
    <cellStyle name="Финансовый 3 3 2 2 3 4 4 3" xfId="14315" xr:uid="{00000000-0005-0000-0000-0000402E0000}"/>
    <cellStyle name="Финансовый 3 3 2 2 3 4 4 3 2" xfId="31328" xr:uid="{61784A26-6ED3-44A2-A4DA-8921AEF38207}"/>
    <cellStyle name="Финансовый 3 3 2 2 3 4 4 4" xfId="17396" xr:uid="{00000000-0005-0000-0000-0000412E0000}"/>
    <cellStyle name="Финансовый 3 3 2 2 3 4 4 4 2" xfId="34409" xr:uid="{7DB61665-7126-45BD-879D-D8761DCBD96A}"/>
    <cellStyle name="Финансовый 3 3 2 2 3 4 4 5" xfId="25099" xr:uid="{30CD306B-8019-457A-A3D0-B304CB998CE2}"/>
    <cellStyle name="Финансовый 3 3 2 2 3 4 5" xfId="11076" xr:uid="{00000000-0005-0000-0000-0000422E0000}"/>
    <cellStyle name="Финансовый 3 3 2 2 3 4 5 2" xfId="28165" xr:uid="{D9E9E4E1-B71D-479A-B0D4-753FBC3F1FF8}"/>
    <cellStyle name="Финансовый 3 3 2 2 3 4 6" xfId="14308" xr:uid="{00000000-0005-0000-0000-0000432E0000}"/>
    <cellStyle name="Финансовый 3 3 2 2 3 4 6 2" xfId="31321" xr:uid="{AF4874F3-1051-42AB-981A-69930822CB90}"/>
    <cellStyle name="Финансовый 3 3 2 2 3 4 7" xfId="17389" xr:uid="{00000000-0005-0000-0000-0000442E0000}"/>
    <cellStyle name="Финансовый 3 3 2 2 3 4 7 2" xfId="34402" xr:uid="{01E57C39-04F8-4F0C-8461-9C19E298BA1F}"/>
    <cellStyle name="Финансовый 3 3 2 2 3 4 8" xfId="25092" xr:uid="{3B9A22BE-B91F-4F60-B13F-7AF5CFE66F86}"/>
    <cellStyle name="Финансовый 3 3 2 2 3 5" xfId="7993" xr:uid="{00000000-0005-0000-0000-0000452E0000}"/>
    <cellStyle name="Финансовый 3 3 2 2 3 5 2" xfId="7994" xr:uid="{00000000-0005-0000-0000-0000462E0000}"/>
    <cellStyle name="Финансовый 3 3 2 2 3 5 2 2" xfId="7995" xr:uid="{00000000-0005-0000-0000-0000472E0000}"/>
    <cellStyle name="Финансовый 3 3 2 2 3 5 2 2 2" xfId="11086" xr:uid="{00000000-0005-0000-0000-0000482E0000}"/>
    <cellStyle name="Финансовый 3 3 2 2 3 5 2 2 2 2" xfId="28175" xr:uid="{F5D12F99-E7E5-4E94-86D8-07D3AA366DE0}"/>
    <cellStyle name="Финансовый 3 3 2 2 3 5 2 2 3" xfId="14318" xr:uid="{00000000-0005-0000-0000-0000492E0000}"/>
    <cellStyle name="Финансовый 3 3 2 2 3 5 2 2 3 2" xfId="31331" xr:uid="{9D26BC94-51C8-4534-973E-B1AC59EC8E4B}"/>
    <cellStyle name="Финансовый 3 3 2 2 3 5 2 2 4" xfId="17399" xr:uid="{00000000-0005-0000-0000-00004A2E0000}"/>
    <cellStyle name="Финансовый 3 3 2 2 3 5 2 2 4 2" xfId="34412" xr:uid="{14185440-E8AD-42F1-9AF8-17ABBC020665}"/>
    <cellStyle name="Финансовый 3 3 2 2 3 5 2 2 5" xfId="25102" xr:uid="{9821E729-8493-4C2E-87BE-FB43CFD7107C}"/>
    <cellStyle name="Финансовый 3 3 2 2 3 5 2 3" xfId="11085" xr:uid="{00000000-0005-0000-0000-00004B2E0000}"/>
    <cellStyle name="Финансовый 3 3 2 2 3 5 2 3 2" xfId="28174" xr:uid="{D84EBE73-3707-49C7-81AB-3BA13DA00C6B}"/>
    <cellStyle name="Финансовый 3 3 2 2 3 5 2 4" xfId="14317" xr:uid="{00000000-0005-0000-0000-00004C2E0000}"/>
    <cellStyle name="Финансовый 3 3 2 2 3 5 2 4 2" xfId="31330" xr:uid="{64BF54E4-886D-43CA-B290-6AA75823E359}"/>
    <cellStyle name="Финансовый 3 3 2 2 3 5 2 5" xfId="17398" xr:uid="{00000000-0005-0000-0000-00004D2E0000}"/>
    <cellStyle name="Финансовый 3 3 2 2 3 5 2 5 2" xfId="34411" xr:uid="{C8993749-D111-4290-B887-8250E56F3CEA}"/>
    <cellStyle name="Финансовый 3 3 2 2 3 5 2 6" xfId="25101" xr:uid="{120DE397-F6E0-47FB-A8E6-34E8A4E610A8}"/>
    <cellStyle name="Финансовый 3 3 2 2 3 5 3" xfId="7996" xr:uid="{00000000-0005-0000-0000-00004E2E0000}"/>
    <cellStyle name="Финансовый 3 3 2 2 3 5 3 2" xfId="11087" xr:uid="{00000000-0005-0000-0000-00004F2E0000}"/>
    <cellStyle name="Финансовый 3 3 2 2 3 5 3 2 2" xfId="28176" xr:uid="{989DFC32-3B38-4BFE-B76E-F2BFF0C91471}"/>
    <cellStyle name="Финансовый 3 3 2 2 3 5 3 3" xfId="14319" xr:uid="{00000000-0005-0000-0000-0000502E0000}"/>
    <cellStyle name="Финансовый 3 3 2 2 3 5 3 3 2" xfId="31332" xr:uid="{B865E001-F296-412A-8F35-A4F814992FF9}"/>
    <cellStyle name="Финансовый 3 3 2 2 3 5 3 4" xfId="17400" xr:uid="{00000000-0005-0000-0000-0000512E0000}"/>
    <cellStyle name="Финансовый 3 3 2 2 3 5 3 4 2" xfId="34413" xr:uid="{1DAE4821-8C3F-46E2-9929-FF4186A755DD}"/>
    <cellStyle name="Финансовый 3 3 2 2 3 5 3 5" xfId="25103" xr:uid="{06694BC5-F1C3-406A-A32A-BD8F1A342F0F}"/>
    <cellStyle name="Финансовый 3 3 2 2 3 5 4" xfId="11084" xr:uid="{00000000-0005-0000-0000-0000522E0000}"/>
    <cellStyle name="Финансовый 3 3 2 2 3 5 4 2" xfId="28173" xr:uid="{2570BA28-0515-4196-B671-B4175529A1EB}"/>
    <cellStyle name="Финансовый 3 3 2 2 3 5 5" xfId="14316" xr:uid="{00000000-0005-0000-0000-0000532E0000}"/>
    <cellStyle name="Финансовый 3 3 2 2 3 5 5 2" xfId="31329" xr:uid="{F878D2C9-E45E-44D7-813C-CD585F566299}"/>
    <cellStyle name="Финансовый 3 3 2 2 3 5 6" xfId="17397" xr:uid="{00000000-0005-0000-0000-0000542E0000}"/>
    <cellStyle name="Финансовый 3 3 2 2 3 5 6 2" xfId="34410" xr:uid="{35D7B8CC-A45E-43C8-A791-540A2284E5F8}"/>
    <cellStyle name="Финансовый 3 3 2 2 3 5 7" xfId="25100" xr:uid="{DE532B5D-81B8-4E65-8D98-5162C5B54FC3}"/>
    <cellStyle name="Финансовый 3 3 2 2 3 6" xfId="7997" xr:uid="{00000000-0005-0000-0000-0000552E0000}"/>
    <cellStyle name="Финансовый 3 3 2 2 3 6 2" xfId="7998" xr:uid="{00000000-0005-0000-0000-0000562E0000}"/>
    <cellStyle name="Финансовый 3 3 2 2 3 6 2 2" xfId="11089" xr:uid="{00000000-0005-0000-0000-0000572E0000}"/>
    <cellStyle name="Финансовый 3 3 2 2 3 6 2 2 2" xfId="28178" xr:uid="{6C4C5517-4FB0-4CE7-AF21-139C14AE11FD}"/>
    <cellStyle name="Финансовый 3 3 2 2 3 6 2 3" xfId="14321" xr:uid="{00000000-0005-0000-0000-0000582E0000}"/>
    <cellStyle name="Финансовый 3 3 2 2 3 6 2 3 2" xfId="31334" xr:uid="{66E97837-CC81-4B9A-B2C5-EB8791CFC7E2}"/>
    <cellStyle name="Финансовый 3 3 2 2 3 6 2 4" xfId="17402" xr:uid="{00000000-0005-0000-0000-0000592E0000}"/>
    <cellStyle name="Финансовый 3 3 2 2 3 6 2 4 2" xfId="34415" xr:uid="{612A8AA5-53D8-4AC4-AF91-D50D0292694C}"/>
    <cellStyle name="Финансовый 3 3 2 2 3 6 2 5" xfId="25105" xr:uid="{92BD48EE-AE75-42F7-86A8-FBE829FDCBF9}"/>
    <cellStyle name="Финансовый 3 3 2 2 3 6 3" xfId="11088" xr:uid="{00000000-0005-0000-0000-00005A2E0000}"/>
    <cellStyle name="Финансовый 3 3 2 2 3 6 3 2" xfId="28177" xr:uid="{2BFC485F-BA0B-4A29-9809-36A3B1621C2A}"/>
    <cellStyle name="Финансовый 3 3 2 2 3 6 4" xfId="14320" xr:uid="{00000000-0005-0000-0000-00005B2E0000}"/>
    <cellStyle name="Финансовый 3 3 2 2 3 6 4 2" xfId="31333" xr:uid="{25755E6F-8B1A-4F60-8133-36AF7B51347A}"/>
    <cellStyle name="Финансовый 3 3 2 2 3 6 5" xfId="17401" xr:uid="{00000000-0005-0000-0000-00005C2E0000}"/>
    <cellStyle name="Финансовый 3 3 2 2 3 6 5 2" xfId="34414" xr:uid="{23F94074-F961-4DCC-8A9C-3E1B951BF510}"/>
    <cellStyle name="Финансовый 3 3 2 2 3 6 6" xfId="25104" xr:uid="{8FC8151C-3C98-4101-8FD3-3D3325BCD2A5}"/>
    <cellStyle name="Финансовый 3 3 2 2 3 7" xfId="7999" xr:uid="{00000000-0005-0000-0000-00005D2E0000}"/>
    <cellStyle name="Финансовый 3 3 2 2 3 7 2" xfId="11090" xr:uid="{00000000-0005-0000-0000-00005E2E0000}"/>
    <cellStyle name="Финансовый 3 3 2 2 3 7 2 2" xfId="28179" xr:uid="{5B18ECAD-2960-4630-BFCC-DFF799607777}"/>
    <cellStyle name="Финансовый 3 3 2 2 3 7 3" xfId="14322" xr:uid="{00000000-0005-0000-0000-00005F2E0000}"/>
    <cellStyle name="Финансовый 3 3 2 2 3 7 3 2" xfId="31335" xr:uid="{B1308A69-93D7-49FB-957D-44A3DE31EE4E}"/>
    <cellStyle name="Финансовый 3 3 2 2 3 7 4" xfId="17403" xr:uid="{00000000-0005-0000-0000-0000602E0000}"/>
    <cellStyle name="Финансовый 3 3 2 2 3 7 4 2" xfId="34416" xr:uid="{84046EE6-0DE9-4A2B-B598-E5421365F1D9}"/>
    <cellStyle name="Финансовый 3 3 2 2 3 7 5" xfId="25106" xr:uid="{D5C7DA44-CAA1-4FF5-A575-F86C95DF665E}"/>
    <cellStyle name="Финансовый 3 3 2 2 3 8" xfId="11027" xr:uid="{00000000-0005-0000-0000-0000612E0000}"/>
    <cellStyle name="Финансовый 3 3 2 2 3 8 2" xfId="28116" xr:uid="{B5E711D4-D392-457D-BC48-F76A7924951B}"/>
    <cellStyle name="Финансовый 3 3 2 2 3 9" xfId="14259" xr:uid="{00000000-0005-0000-0000-0000622E0000}"/>
    <cellStyle name="Финансовый 3 3 2 2 3 9 2" xfId="31272" xr:uid="{0F9574B4-F3AE-4609-80D9-A6B43CB82B5C}"/>
    <cellStyle name="Финансовый 3 3 2 2 4" xfId="8000" xr:uid="{00000000-0005-0000-0000-0000632E0000}"/>
    <cellStyle name="Финансовый 3 3 2 2 4 10" xfId="25107" xr:uid="{D9B2FEA8-C4E0-4ACB-A8AF-7A00D8642699}"/>
    <cellStyle name="Финансовый 3 3 2 2 4 2" xfId="8001" xr:uid="{00000000-0005-0000-0000-0000642E0000}"/>
    <cellStyle name="Финансовый 3 3 2 2 4 2 2" xfId="8002" xr:uid="{00000000-0005-0000-0000-0000652E0000}"/>
    <cellStyle name="Финансовый 3 3 2 2 4 2 2 2" xfId="8003" xr:uid="{00000000-0005-0000-0000-0000662E0000}"/>
    <cellStyle name="Финансовый 3 3 2 2 4 2 2 2 2" xfId="8004" xr:uid="{00000000-0005-0000-0000-0000672E0000}"/>
    <cellStyle name="Финансовый 3 3 2 2 4 2 2 2 2 2" xfId="8005" xr:uid="{00000000-0005-0000-0000-0000682E0000}"/>
    <cellStyle name="Финансовый 3 3 2 2 4 2 2 2 2 2 2" xfId="11096" xr:uid="{00000000-0005-0000-0000-0000692E0000}"/>
    <cellStyle name="Финансовый 3 3 2 2 4 2 2 2 2 2 2 2" xfId="28185" xr:uid="{E475FCC6-519D-4570-A8AF-63C9EBD22C22}"/>
    <cellStyle name="Финансовый 3 3 2 2 4 2 2 2 2 2 3" xfId="14328" xr:uid="{00000000-0005-0000-0000-00006A2E0000}"/>
    <cellStyle name="Финансовый 3 3 2 2 4 2 2 2 2 2 3 2" xfId="31341" xr:uid="{4FFBD9FE-2803-48D1-A98E-77D7908B4EF0}"/>
    <cellStyle name="Финансовый 3 3 2 2 4 2 2 2 2 2 4" xfId="17409" xr:uid="{00000000-0005-0000-0000-00006B2E0000}"/>
    <cellStyle name="Финансовый 3 3 2 2 4 2 2 2 2 2 4 2" xfId="34422" xr:uid="{0A4C273B-672F-4B2E-973D-2BD6D3261AE9}"/>
    <cellStyle name="Финансовый 3 3 2 2 4 2 2 2 2 2 5" xfId="25112" xr:uid="{6B2F3B94-16A7-49BC-9452-5E9178371702}"/>
    <cellStyle name="Финансовый 3 3 2 2 4 2 2 2 2 3" xfId="11095" xr:uid="{00000000-0005-0000-0000-00006C2E0000}"/>
    <cellStyle name="Финансовый 3 3 2 2 4 2 2 2 2 3 2" xfId="28184" xr:uid="{EFA34362-3DF7-4408-859A-05F925AFE0B9}"/>
    <cellStyle name="Финансовый 3 3 2 2 4 2 2 2 2 4" xfId="14327" xr:uid="{00000000-0005-0000-0000-00006D2E0000}"/>
    <cellStyle name="Финансовый 3 3 2 2 4 2 2 2 2 4 2" xfId="31340" xr:uid="{F3CD9824-7235-4763-AF99-18AB83E09868}"/>
    <cellStyle name="Финансовый 3 3 2 2 4 2 2 2 2 5" xfId="17408" xr:uid="{00000000-0005-0000-0000-00006E2E0000}"/>
    <cellStyle name="Финансовый 3 3 2 2 4 2 2 2 2 5 2" xfId="34421" xr:uid="{75C86824-6630-4F70-8BA4-AA736729E0B7}"/>
    <cellStyle name="Финансовый 3 3 2 2 4 2 2 2 2 6" xfId="25111" xr:uid="{8164AB2E-BE29-4DDE-B143-74A930EB04A4}"/>
    <cellStyle name="Финансовый 3 3 2 2 4 2 2 2 3" xfId="8006" xr:uid="{00000000-0005-0000-0000-00006F2E0000}"/>
    <cellStyle name="Финансовый 3 3 2 2 4 2 2 2 3 2" xfId="11097" xr:uid="{00000000-0005-0000-0000-0000702E0000}"/>
    <cellStyle name="Финансовый 3 3 2 2 4 2 2 2 3 2 2" xfId="28186" xr:uid="{1A3E601E-83D6-4741-913F-9EEE280864E1}"/>
    <cellStyle name="Финансовый 3 3 2 2 4 2 2 2 3 3" xfId="14329" xr:uid="{00000000-0005-0000-0000-0000712E0000}"/>
    <cellStyle name="Финансовый 3 3 2 2 4 2 2 2 3 3 2" xfId="31342" xr:uid="{86781823-BEC5-4777-8622-A148D5D89273}"/>
    <cellStyle name="Финансовый 3 3 2 2 4 2 2 2 3 4" xfId="17410" xr:uid="{00000000-0005-0000-0000-0000722E0000}"/>
    <cellStyle name="Финансовый 3 3 2 2 4 2 2 2 3 4 2" xfId="34423" xr:uid="{ED62EC52-2017-488C-89BA-87419F858916}"/>
    <cellStyle name="Финансовый 3 3 2 2 4 2 2 2 3 5" xfId="25113" xr:uid="{805BBAD6-529F-45E1-B13A-1659097C02C3}"/>
    <cellStyle name="Финансовый 3 3 2 2 4 2 2 2 4" xfId="11094" xr:uid="{00000000-0005-0000-0000-0000732E0000}"/>
    <cellStyle name="Финансовый 3 3 2 2 4 2 2 2 4 2" xfId="28183" xr:uid="{F1EAEE15-9DD9-4E40-A0E1-94944FA6AD82}"/>
    <cellStyle name="Финансовый 3 3 2 2 4 2 2 2 5" xfId="14326" xr:uid="{00000000-0005-0000-0000-0000742E0000}"/>
    <cellStyle name="Финансовый 3 3 2 2 4 2 2 2 5 2" xfId="31339" xr:uid="{4FDE375C-0B9E-4E6F-8764-3BA1FF2C9F11}"/>
    <cellStyle name="Финансовый 3 3 2 2 4 2 2 2 6" xfId="17407" xr:uid="{00000000-0005-0000-0000-0000752E0000}"/>
    <cellStyle name="Финансовый 3 3 2 2 4 2 2 2 6 2" xfId="34420" xr:uid="{7C2E5F9B-D451-46F1-A99F-E22B2F2FD178}"/>
    <cellStyle name="Финансовый 3 3 2 2 4 2 2 2 7" xfId="25110" xr:uid="{57EC37E4-6DA6-400D-AD09-08DAC0720B05}"/>
    <cellStyle name="Финансовый 3 3 2 2 4 2 2 3" xfId="8007" xr:uid="{00000000-0005-0000-0000-0000762E0000}"/>
    <cellStyle name="Финансовый 3 3 2 2 4 2 2 3 2" xfId="8008" xr:uid="{00000000-0005-0000-0000-0000772E0000}"/>
    <cellStyle name="Финансовый 3 3 2 2 4 2 2 3 2 2" xfId="11099" xr:uid="{00000000-0005-0000-0000-0000782E0000}"/>
    <cellStyle name="Финансовый 3 3 2 2 4 2 2 3 2 2 2" xfId="28188" xr:uid="{B01EA92F-34C1-4877-9F58-446FC029625E}"/>
    <cellStyle name="Финансовый 3 3 2 2 4 2 2 3 2 3" xfId="14331" xr:uid="{00000000-0005-0000-0000-0000792E0000}"/>
    <cellStyle name="Финансовый 3 3 2 2 4 2 2 3 2 3 2" xfId="31344" xr:uid="{8B903E31-75B9-47C4-BF5C-8578FC8C9E78}"/>
    <cellStyle name="Финансовый 3 3 2 2 4 2 2 3 2 4" xfId="17412" xr:uid="{00000000-0005-0000-0000-00007A2E0000}"/>
    <cellStyle name="Финансовый 3 3 2 2 4 2 2 3 2 4 2" xfId="34425" xr:uid="{E2FB773D-57C6-4B15-805B-EB731178C769}"/>
    <cellStyle name="Финансовый 3 3 2 2 4 2 2 3 2 5" xfId="25115" xr:uid="{8E1E340B-04CB-47B9-8F83-F60C79B8726A}"/>
    <cellStyle name="Финансовый 3 3 2 2 4 2 2 3 3" xfId="11098" xr:uid="{00000000-0005-0000-0000-00007B2E0000}"/>
    <cellStyle name="Финансовый 3 3 2 2 4 2 2 3 3 2" xfId="28187" xr:uid="{486AFEDB-7DD8-4BFA-A6C1-11290F4B57BB}"/>
    <cellStyle name="Финансовый 3 3 2 2 4 2 2 3 4" xfId="14330" xr:uid="{00000000-0005-0000-0000-00007C2E0000}"/>
    <cellStyle name="Финансовый 3 3 2 2 4 2 2 3 4 2" xfId="31343" xr:uid="{32915CCB-7EDD-4F2A-9DDA-0FC60F432ABD}"/>
    <cellStyle name="Финансовый 3 3 2 2 4 2 2 3 5" xfId="17411" xr:uid="{00000000-0005-0000-0000-00007D2E0000}"/>
    <cellStyle name="Финансовый 3 3 2 2 4 2 2 3 5 2" xfId="34424" xr:uid="{E52E9090-724D-4F0B-997E-4B0297067182}"/>
    <cellStyle name="Финансовый 3 3 2 2 4 2 2 3 6" xfId="25114" xr:uid="{3BF273D4-8E68-4800-8483-BFBB965063DD}"/>
    <cellStyle name="Финансовый 3 3 2 2 4 2 2 4" xfId="8009" xr:uid="{00000000-0005-0000-0000-00007E2E0000}"/>
    <cellStyle name="Финансовый 3 3 2 2 4 2 2 4 2" xfId="11100" xr:uid="{00000000-0005-0000-0000-00007F2E0000}"/>
    <cellStyle name="Финансовый 3 3 2 2 4 2 2 4 2 2" xfId="28189" xr:uid="{76F18365-1ECE-49DE-861E-9C2FBD52832F}"/>
    <cellStyle name="Финансовый 3 3 2 2 4 2 2 4 3" xfId="14332" xr:uid="{00000000-0005-0000-0000-0000802E0000}"/>
    <cellStyle name="Финансовый 3 3 2 2 4 2 2 4 3 2" xfId="31345" xr:uid="{72C75EAE-B5AA-4662-BE05-7778644F50EF}"/>
    <cellStyle name="Финансовый 3 3 2 2 4 2 2 4 4" xfId="17413" xr:uid="{00000000-0005-0000-0000-0000812E0000}"/>
    <cellStyle name="Финансовый 3 3 2 2 4 2 2 4 4 2" xfId="34426" xr:uid="{6415E2E3-ECC9-4815-9329-92C67645DDD5}"/>
    <cellStyle name="Финансовый 3 3 2 2 4 2 2 4 5" xfId="25116" xr:uid="{F45C0278-FBA1-4F8F-B125-44273EDA2559}"/>
    <cellStyle name="Финансовый 3 3 2 2 4 2 2 5" xfId="11093" xr:uid="{00000000-0005-0000-0000-0000822E0000}"/>
    <cellStyle name="Финансовый 3 3 2 2 4 2 2 5 2" xfId="28182" xr:uid="{41CD4FF7-05B6-4A7B-9C45-0171765B9644}"/>
    <cellStyle name="Финансовый 3 3 2 2 4 2 2 6" xfId="14325" xr:uid="{00000000-0005-0000-0000-0000832E0000}"/>
    <cellStyle name="Финансовый 3 3 2 2 4 2 2 6 2" xfId="31338" xr:uid="{EB8FE3C1-C606-49C0-BF20-5CD7A681F890}"/>
    <cellStyle name="Финансовый 3 3 2 2 4 2 2 7" xfId="17406" xr:uid="{00000000-0005-0000-0000-0000842E0000}"/>
    <cellStyle name="Финансовый 3 3 2 2 4 2 2 7 2" xfId="34419" xr:uid="{5E0D6893-3982-4B10-B098-20EDF6C6EB21}"/>
    <cellStyle name="Финансовый 3 3 2 2 4 2 2 8" xfId="25109" xr:uid="{ADCB0259-3D20-4ACF-A044-6418B3085047}"/>
    <cellStyle name="Финансовый 3 3 2 2 4 2 3" xfId="8010" xr:uid="{00000000-0005-0000-0000-0000852E0000}"/>
    <cellStyle name="Финансовый 3 3 2 2 4 2 3 2" xfId="8011" xr:uid="{00000000-0005-0000-0000-0000862E0000}"/>
    <cellStyle name="Финансовый 3 3 2 2 4 2 3 2 2" xfId="8012" xr:uid="{00000000-0005-0000-0000-0000872E0000}"/>
    <cellStyle name="Финансовый 3 3 2 2 4 2 3 2 2 2" xfId="11103" xr:uid="{00000000-0005-0000-0000-0000882E0000}"/>
    <cellStyle name="Финансовый 3 3 2 2 4 2 3 2 2 2 2" xfId="28192" xr:uid="{D7899576-BB45-485E-B100-52E223738F71}"/>
    <cellStyle name="Финансовый 3 3 2 2 4 2 3 2 2 3" xfId="14335" xr:uid="{00000000-0005-0000-0000-0000892E0000}"/>
    <cellStyle name="Финансовый 3 3 2 2 4 2 3 2 2 3 2" xfId="31348" xr:uid="{ECA89042-7E28-4007-B3A5-0BE9E19A2527}"/>
    <cellStyle name="Финансовый 3 3 2 2 4 2 3 2 2 4" xfId="17416" xr:uid="{00000000-0005-0000-0000-00008A2E0000}"/>
    <cellStyle name="Финансовый 3 3 2 2 4 2 3 2 2 4 2" xfId="34429" xr:uid="{A61C1E88-D29E-4D9A-A4DB-B79315FFDE27}"/>
    <cellStyle name="Финансовый 3 3 2 2 4 2 3 2 2 5" xfId="25119" xr:uid="{424CDC9F-A7B7-465F-8729-A00F727A8DC4}"/>
    <cellStyle name="Финансовый 3 3 2 2 4 2 3 2 3" xfId="11102" xr:uid="{00000000-0005-0000-0000-00008B2E0000}"/>
    <cellStyle name="Финансовый 3 3 2 2 4 2 3 2 3 2" xfId="28191" xr:uid="{2506E04B-D037-42DC-8CFD-2DB172AA4FD1}"/>
    <cellStyle name="Финансовый 3 3 2 2 4 2 3 2 4" xfId="14334" xr:uid="{00000000-0005-0000-0000-00008C2E0000}"/>
    <cellStyle name="Финансовый 3 3 2 2 4 2 3 2 4 2" xfId="31347" xr:uid="{AF8FFCEF-C655-4729-888F-B80F54EB3581}"/>
    <cellStyle name="Финансовый 3 3 2 2 4 2 3 2 5" xfId="17415" xr:uid="{00000000-0005-0000-0000-00008D2E0000}"/>
    <cellStyle name="Финансовый 3 3 2 2 4 2 3 2 5 2" xfId="34428" xr:uid="{D3B6E21E-FEFF-4D34-97DB-DAF9C3E2D010}"/>
    <cellStyle name="Финансовый 3 3 2 2 4 2 3 2 6" xfId="25118" xr:uid="{D00785FB-760F-4893-9BD9-50A96101C7CA}"/>
    <cellStyle name="Финансовый 3 3 2 2 4 2 3 3" xfId="8013" xr:uid="{00000000-0005-0000-0000-00008E2E0000}"/>
    <cellStyle name="Финансовый 3 3 2 2 4 2 3 3 2" xfId="11104" xr:uid="{00000000-0005-0000-0000-00008F2E0000}"/>
    <cellStyle name="Финансовый 3 3 2 2 4 2 3 3 2 2" xfId="28193" xr:uid="{F7E526CE-5786-4848-8977-B4CED8AA1783}"/>
    <cellStyle name="Финансовый 3 3 2 2 4 2 3 3 3" xfId="14336" xr:uid="{00000000-0005-0000-0000-0000902E0000}"/>
    <cellStyle name="Финансовый 3 3 2 2 4 2 3 3 3 2" xfId="31349" xr:uid="{E965BE62-3276-4D35-A042-04F82D1847A9}"/>
    <cellStyle name="Финансовый 3 3 2 2 4 2 3 3 4" xfId="17417" xr:uid="{00000000-0005-0000-0000-0000912E0000}"/>
    <cellStyle name="Финансовый 3 3 2 2 4 2 3 3 4 2" xfId="34430" xr:uid="{1F99C02C-DB9A-4155-9CE8-315A1B90297C}"/>
    <cellStyle name="Финансовый 3 3 2 2 4 2 3 3 5" xfId="25120" xr:uid="{D7CC7F48-E2E4-4A46-A860-C5E1B4193FEF}"/>
    <cellStyle name="Финансовый 3 3 2 2 4 2 3 4" xfId="11101" xr:uid="{00000000-0005-0000-0000-0000922E0000}"/>
    <cellStyle name="Финансовый 3 3 2 2 4 2 3 4 2" xfId="28190" xr:uid="{C7A9986A-293E-4045-99F1-F176B77EEFCF}"/>
    <cellStyle name="Финансовый 3 3 2 2 4 2 3 5" xfId="14333" xr:uid="{00000000-0005-0000-0000-0000932E0000}"/>
    <cellStyle name="Финансовый 3 3 2 2 4 2 3 5 2" xfId="31346" xr:uid="{470B8FC8-2250-48F1-8EF0-2445540F381B}"/>
    <cellStyle name="Финансовый 3 3 2 2 4 2 3 6" xfId="17414" xr:uid="{00000000-0005-0000-0000-0000942E0000}"/>
    <cellStyle name="Финансовый 3 3 2 2 4 2 3 6 2" xfId="34427" xr:uid="{2BACFAE7-EF86-412D-BE24-D6470092D10C}"/>
    <cellStyle name="Финансовый 3 3 2 2 4 2 3 7" xfId="25117" xr:uid="{05461AF4-E864-4B13-8065-8A5D25393AC3}"/>
    <cellStyle name="Финансовый 3 3 2 2 4 2 4" xfId="8014" xr:uid="{00000000-0005-0000-0000-0000952E0000}"/>
    <cellStyle name="Финансовый 3 3 2 2 4 2 4 2" xfId="8015" xr:uid="{00000000-0005-0000-0000-0000962E0000}"/>
    <cellStyle name="Финансовый 3 3 2 2 4 2 4 2 2" xfId="11106" xr:uid="{00000000-0005-0000-0000-0000972E0000}"/>
    <cellStyle name="Финансовый 3 3 2 2 4 2 4 2 2 2" xfId="28195" xr:uid="{0B957D7B-EC2B-43EB-9E12-8F09FD613204}"/>
    <cellStyle name="Финансовый 3 3 2 2 4 2 4 2 3" xfId="14338" xr:uid="{00000000-0005-0000-0000-0000982E0000}"/>
    <cellStyle name="Финансовый 3 3 2 2 4 2 4 2 3 2" xfId="31351" xr:uid="{12DA69B4-6156-4532-8569-AE4FE371461C}"/>
    <cellStyle name="Финансовый 3 3 2 2 4 2 4 2 4" xfId="17419" xr:uid="{00000000-0005-0000-0000-0000992E0000}"/>
    <cellStyle name="Финансовый 3 3 2 2 4 2 4 2 4 2" xfId="34432" xr:uid="{E3DD2D86-56CA-47C0-8914-222D12A7FDE2}"/>
    <cellStyle name="Финансовый 3 3 2 2 4 2 4 2 5" xfId="25122" xr:uid="{9F28BA66-2BCA-435A-81AB-FA2F8AE0C7D6}"/>
    <cellStyle name="Финансовый 3 3 2 2 4 2 4 3" xfId="11105" xr:uid="{00000000-0005-0000-0000-00009A2E0000}"/>
    <cellStyle name="Финансовый 3 3 2 2 4 2 4 3 2" xfId="28194" xr:uid="{9EC81612-F582-491A-BE5B-902A1C1256B3}"/>
    <cellStyle name="Финансовый 3 3 2 2 4 2 4 4" xfId="14337" xr:uid="{00000000-0005-0000-0000-00009B2E0000}"/>
    <cellStyle name="Финансовый 3 3 2 2 4 2 4 4 2" xfId="31350" xr:uid="{29A67616-518C-43DD-B329-18D297D87BE2}"/>
    <cellStyle name="Финансовый 3 3 2 2 4 2 4 5" xfId="17418" xr:uid="{00000000-0005-0000-0000-00009C2E0000}"/>
    <cellStyle name="Финансовый 3 3 2 2 4 2 4 5 2" xfId="34431" xr:uid="{6201CB32-CB44-4393-B58C-1E09DC40B132}"/>
    <cellStyle name="Финансовый 3 3 2 2 4 2 4 6" xfId="25121" xr:uid="{A8D01767-3B63-4C72-9C00-5976A8217801}"/>
    <cellStyle name="Финансовый 3 3 2 2 4 2 5" xfId="8016" xr:uid="{00000000-0005-0000-0000-00009D2E0000}"/>
    <cellStyle name="Финансовый 3 3 2 2 4 2 5 2" xfId="11107" xr:uid="{00000000-0005-0000-0000-00009E2E0000}"/>
    <cellStyle name="Финансовый 3 3 2 2 4 2 5 2 2" xfId="28196" xr:uid="{6B167C7F-D935-4276-BAE1-53FC61CFE468}"/>
    <cellStyle name="Финансовый 3 3 2 2 4 2 5 3" xfId="14339" xr:uid="{00000000-0005-0000-0000-00009F2E0000}"/>
    <cellStyle name="Финансовый 3 3 2 2 4 2 5 3 2" xfId="31352" xr:uid="{4DD3F0CA-4B38-4267-AFE6-E508468900B6}"/>
    <cellStyle name="Финансовый 3 3 2 2 4 2 5 4" xfId="17420" xr:uid="{00000000-0005-0000-0000-0000A02E0000}"/>
    <cellStyle name="Финансовый 3 3 2 2 4 2 5 4 2" xfId="34433" xr:uid="{105C30BD-BB83-4D88-A8F8-00A3E46CEEA2}"/>
    <cellStyle name="Финансовый 3 3 2 2 4 2 5 5" xfId="25123" xr:uid="{A9B50B7B-5F23-4B09-9F92-2B6CFF033C34}"/>
    <cellStyle name="Финансовый 3 3 2 2 4 2 6" xfId="11092" xr:uid="{00000000-0005-0000-0000-0000A12E0000}"/>
    <cellStyle name="Финансовый 3 3 2 2 4 2 6 2" xfId="28181" xr:uid="{E83907CA-8D88-4F93-9CA1-6099F2448131}"/>
    <cellStyle name="Финансовый 3 3 2 2 4 2 7" xfId="14324" xr:uid="{00000000-0005-0000-0000-0000A22E0000}"/>
    <cellStyle name="Финансовый 3 3 2 2 4 2 7 2" xfId="31337" xr:uid="{7620685D-9508-490F-AED1-D8352F058CFA}"/>
    <cellStyle name="Финансовый 3 3 2 2 4 2 8" xfId="17405" xr:uid="{00000000-0005-0000-0000-0000A32E0000}"/>
    <cellStyle name="Финансовый 3 3 2 2 4 2 8 2" xfId="34418" xr:uid="{D79D7286-B7C7-4D99-A3CF-588A41B8C5C5}"/>
    <cellStyle name="Финансовый 3 3 2 2 4 2 9" xfId="25108" xr:uid="{3DEA3E32-7FF0-438D-A7AC-FEFAC66CDBB5}"/>
    <cellStyle name="Финансовый 3 3 2 2 4 3" xfId="8017" xr:uid="{00000000-0005-0000-0000-0000A42E0000}"/>
    <cellStyle name="Финансовый 3 3 2 2 4 3 2" xfId="8018" xr:uid="{00000000-0005-0000-0000-0000A52E0000}"/>
    <cellStyle name="Финансовый 3 3 2 2 4 3 2 2" xfId="8019" xr:uid="{00000000-0005-0000-0000-0000A62E0000}"/>
    <cellStyle name="Финансовый 3 3 2 2 4 3 2 2 2" xfId="8020" xr:uid="{00000000-0005-0000-0000-0000A72E0000}"/>
    <cellStyle name="Финансовый 3 3 2 2 4 3 2 2 2 2" xfId="11111" xr:uid="{00000000-0005-0000-0000-0000A82E0000}"/>
    <cellStyle name="Финансовый 3 3 2 2 4 3 2 2 2 2 2" xfId="28200" xr:uid="{E73C003D-A56F-4AD8-9CF6-311A3B858D78}"/>
    <cellStyle name="Финансовый 3 3 2 2 4 3 2 2 2 3" xfId="14343" xr:uid="{00000000-0005-0000-0000-0000A92E0000}"/>
    <cellStyle name="Финансовый 3 3 2 2 4 3 2 2 2 3 2" xfId="31356" xr:uid="{FA74DFC2-AA94-4C49-B7BE-C4DADE892E7E}"/>
    <cellStyle name="Финансовый 3 3 2 2 4 3 2 2 2 4" xfId="17424" xr:uid="{00000000-0005-0000-0000-0000AA2E0000}"/>
    <cellStyle name="Финансовый 3 3 2 2 4 3 2 2 2 4 2" xfId="34437" xr:uid="{55FA838B-CBAD-4412-B1AF-990BDB72A41E}"/>
    <cellStyle name="Финансовый 3 3 2 2 4 3 2 2 2 5" xfId="25127" xr:uid="{D25A05D4-4DD7-4825-A80F-77B5C3977F92}"/>
    <cellStyle name="Финансовый 3 3 2 2 4 3 2 2 3" xfId="11110" xr:uid="{00000000-0005-0000-0000-0000AB2E0000}"/>
    <cellStyle name="Финансовый 3 3 2 2 4 3 2 2 3 2" xfId="28199" xr:uid="{B64797C6-5764-4A59-872F-C4225701C6AF}"/>
    <cellStyle name="Финансовый 3 3 2 2 4 3 2 2 4" xfId="14342" xr:uid="{00000000-0005-0000-0000-0000AC2E0000}"/>
    <cellStyle name="Финансовый 3 3 2 2 4 3 2 2 4 2" xfId="31355" xr:uid="{E6E5726D-F480-4FAD-9818-01512FE8E10E}"/>
    <cellStyle name="Финансовый 3 3 2 2 4 3 2 2 5" xfId="17423" xr:uid="{00000000-0005-0000-0000-0000AD2E0000}"/>
    <cellStyle name="Финансовый 3 3 2 2 4 3 2 2 5 2" xfId="34436" xr:uid="{ADE92C06-EC59-45EB-840E-5A5017A6988C}"/>
    <cellStyle name="Финансовый 3 3 2 2 4 3 2 2 6" xfId="25126" xr:uid="{6308E547-699C-4417-965A-74DA8E901CEA}"/>
    <cellStyle name="Финансовый 3 3 2 2 4 3 2 3" xfId="8021" xr:uid="{00000000-0005-0000-0000-0000AE2E0000}"/>
    <cellStyle name="Финансовый 3 3 2 2 4 3 2 3 2" xfId="11112" xr:uid="{00000000-0005-0000-0000-0000AF2E0000}"/>
    <cellStyle name="Финансовый 3 3 2 2 4 3 2 3 2 2" xfId="28201" xr:uid="{F387590C-9A3E-49EC-A5B4-D1BE92F8B9AC}"/>
    <cellStyle name="Финансовый 3 3 2 2 4 3 2 3 3" xfId="14344" xr:uid="{00000000-0005-0000-0000-0000B02E0000}"/>
    <cellStyle name="Финансовый 3 3 2 2 4 3 2 3 3 2" xfId="31357" xr:uid="{127C820D-4A39-4CED-8537-94B4C22BC566}"/>
    <cellStyle name="Финансовый 3 3 2 2 4 3 2 3 4" xfId="17425" xr:uid="{00000000-0005-0000-0000-0000B12E0000}"/>
    <cellStyle name="Финансовый 3 3 2 2 4 3 2 3 4 2" xfId="34438" xr:uid="{B049BFD8-0844-4521-A88D-F5517830B6F7}"/>
    <cellStyle name="Финансовый 3 3 2 2 4 3 2 3 5" xfId="25128" xr:uid="{8FFC4DD1-94D8-4D4B-83E7-9D471C29BB94}"/>
    <cellStyle name="Финансовый 3 3 2 2 4 3 2 4" xfId="11109" xr:uid="{00000000-0005-0000-0000-0000B22E0000}"/>
    <cellStyle name="Финансовый 3 3 2 2 4 3 2 4 2" xfId="28198" xr:uid="{FB6FF4A3-D6F2-4C9B-B308-E4ACF82A98CB}"/>
    <cellStyle name="Финансовый 3 3 2 2 4 3 2 5" xfId="14341" xr:uid="{00000000-0005-0000-0000-0000B32E0000}"/>
    <cellStyle name="Финансовый 3 3 2 2 4 3 2 5 2" xfId="31354" xr:uid="{EFB740E5-DD75-4857-8CB2-C62A920A7175}"/>
    <cellStyle name="Финансовый 3 3 2 2 4 3 2 6" xfId="17422" xr:uid="{00000000-0005-0000-0000-0000B42E0000}"/>
    <cellStyle name="Финансовый 3 3 2 2 4 3 2 6 2" xfId="34435" xr:uid="{682E9343-EA3C-4107-8E0A-1EF87E79AA9B}"/>
    <cellStyle name="Финансовый 3 3 2 2 4 3 2 7" xfId="25125" xr:uid="{64F5F4A9-64CD-44E3-B497-984E1826EF7F}"/>
    <cellStyle name="Финансовый 3 3 2 2 4 3 3" xfId="8022" xr:uid="{00000000-0005-0000-0000-0000B52E0000}"/>
    <cellStyle name="Финансовый 3 3 2 2 4 3 3 2" xfId="8023" xr:uid="{00000000-0005-0000-0000-0000B62E0000}"/>
    <cellStyle name="Финансовый 3 3 2 2 4 3 3 2 2" xfId="11114" xr:uid="{00000000-0005-0000-0000-0000B72E0000}"/>
    <cellStyle name="Финансовый 3 3 2 2 4 3 3 2 2 2" xfId="28203" xr:uid="{0B3F0937-B14F-4069-BFFD-DD69EBD046DC}"/>
    <cellStyle name="Финансовый 3 3 2 2 4 3 3 2 3" xfId="14346" xr:uid="{00000000-0005-0000-0000-0000B82E0000}"/>
    <cellStyle name="Финансовый 3 3 2 2 4 3 3 2 3 2" xfId="31359" xr:uid="{027441B4-3306-48F4-9696-C5357023FA87}"/>
    <cellStyle name="Финансовый 3 3 2 2 4 3 3 2 4" xfId="17427" xr:uid="{00000000-0005-0000-0000-0000B92E0000}"/>
    <cellStyle name="Финансовый 3 3 2 2 4 3 3 2 4 2" xfId="34440" xr:uid="{5CBBA482-F790-4282-B5F0-C8C8CE523FFF}"/>
    <cellStyle name="Финансовый 3 3 2 2 4 3 3 2 5" xfId="25130" xr:uid="{D23D27EA-7024-4D79-A3CA-989629FF6778}"/>
    <cellStyle name="Финансовый 3 3 2 2 4 3 3 3" xfId="11113" xr:uid="{00000000-0005-0000-0000-0000BA2E0000}"/>
    <cellStyle name="Финансовый 3 3 2 2 4 3 3 3 2" xfId="28202" xr:uid="{C61E445F-118B-4F70-8798-BED341DB2D1F}"/>
    <cellStyle name="Финансовый 3 3 2 2 4 3 3 4" xfId="14345" xr:uid="{00000000-0005-0000-0000-0000BB2E0000}"/>
    <cellStyle name="Финансовый 3 3 2 2 4 3 3 4 2" xfId="31358" xr:uid="{F8A735A6-DB35-4530-9925-4208EACDEDF3}"/>
    <cellStyle name="Финансовый 3 3 2 2 4 3 3 5" xfId="17426" xr:uid="{00000000-0005-0000-0000-0000BC2E0000}"/>
    <cellStyle name="Финансовый 3 3 2 2 4 3 3 5 2" xfId="34439" xr:uid="{3D268EFE-50BD-4CF6-B2AD-6585BB00D58C}"/>
    <cellStyle name="Финансовый 3 3 2 2 4 3 3 6" xfId="25129" xr:uid="{6453FEDA-59C4-44EC-AEB1-5C331F968C17}"/>
    <cellStyle name="Финансовый 3 3 2 2 4 3 4" xfId="8024" xr:uid="{00000000-0005-0000-0000-0000BD2E0000}"/>
    <cellStyle name="Финансовый 3 3 2 2 4 3 4 2" xfId="11115" xr:uid="{00000000-0005-0000-0000-0000BE2E0000}"/>
    <cellStyle name="Финансовый 3 3 2 2 4 3 4 2 2" xfId="28204" xr:uid="{C5583A65-0290-4956-9062-B548857AB3DC}"/>
    <cellStyle name="Финансовый 3 3 2 2 4 3 4 3" xfId="14347" xr:uid="{00000000-0005-0000-0000-0000BF2E0000}"/>
    <cellStyle name="Финансовый 3 3 2 2 4 3 4 3 2" xfId="31360" xr:uid="{C333265D-42E2-4551-B3FE-80BFDEFC6DFA}"/>
    <cellStyle name="Финансовый 3 3 2 2 4 3 4 4" xfId="17428" xr:uid="{00000000-0005-0000-0000-0000C02E0000}"/>
    <cellStyle name="Финансовый 3 3 2 2 4 3 4 4 2" xfId="34441" xr:uid="{FD51A3C3-F211-4113-97EC-DA3E64612F34}"/>
    <cellStyle name="Финансовый 3 3 2 2 4 3 4 5" xfId="25131" xr:uid="{EC2B3480-2BAE-4DB9-A04D-52602E5ABA8E}"/>
    <cellStyle name="Финансовый 3 3 2 2 4 3 5" xfId="11108" xr:uid="{00000000-0005-0000-0000-0000C12E0000}"/>
    <cellStyle name="Финансовый 3 3 2 2 4 3 5 2" xfId="28197" xr:uid="{A63060A0-EE03-47EF-A9AF-FAAD3D85B239}"/>
    <cellStyle name="Финансовый 3 3 2 2 4 3 6" xfId="14340" xr:uid="{00000000-0005-0000-0000-0000C22E0000}"/>
    <cellStyle name="Финансовый 3 3 2 2 4 3 6 2" xfId="31353" xr:uid="{CBB1B08E-F057-41B8-8622-C7408E1C96C5}"/>
    <cellStyle name="Финансовый 3 3 2 2 4 3 7" xfId="17421" xr:uid="{00000000-0005-0000-0000-0000C32E0000}"/>
    <cellStyle name="Финансовый 3 3 2 2 4 3 7 2" xfId="34434" xr:uid="{9D491DCB-E6EB-4E0E-B503-D8D561F757ED}"/>
    <cellStyle name="Финансовый 3 3 2 2 4 3 8" xfId="25124" xr:uid="{75124534-0A15-494D-AE76-9C8423C1BB98}"/>
    <cellStyle name="Финансовый 3 3 2 2 4 4" xfId="8025" xr:uid="{00000000-0005-0000-0000-0000C42E0000}"/>
    <cellStyle name="Финансовый 3 3 2 2 4 4 2" xfId="8026" xr:uid="{00000000-0005-0000-0000-0000C52E0000}"/>
    <cellStyle name="Финансовый 3 3 2 2 4 4 2 2" xfId="8027" xr:uid="{00000000-0005-0000-0000-0000C62E0000}"/>
    <cellStyle name="Финансовый 3 3 2 2 4 4 2 2 2" xfId="11118" xr:uid="{00000000-0005-0000-0000-0000C72E0000}"/>
    <cellStyle name="Финансовый 3 3 2 2 4 4 2 2 2 2" xfId="28207" xr:uid="{1DB6BC20-4D8E-4E98-A304-9BC066259DEE}"/>
    <cellStyle name="Финансовый 3 3 2 2 4 4 2 2 3" xfId="14350" xr:uid="{00000000-0005-0000-0000-0000C82E0000}"/>
    <cellStyle name="Финансовый 3 3 2 2 4 4 2 2 3 2" xfId="31363" xr:uid="{9981461D-55C0-497A-8558-7284ABB208B0}"/>
    <cellStyle name="Финансовый 3 3 2 2 4 4 2 2 4" xfId="17431" xr:uid="{00000000-0005-0000-0000-0000C92E0000}"/>
    <cellStyle name="Финансовый 3 3 2 2 4 4 2 2 4 2" xfId="34444" xr:uid="{D6277BD3-7E3B-4E99-BF34-FEA5C1C8066D}"/>
    <cellStyle name="Финансовый 3 3 2 2 4 4 2 2 5" xfId="25134" xr:uid="{D8E2690F-2DA7-4845-BC10-662C944C84D4}"/>
    <cellStyle name="Финансовый 3 3 2 2 4 4 2 3" xfId="11117" xr:uid="{00000000-0005-0000-0000-0000CA2E0000}"/>
    <cellStyle name="Финансовый 3 3 2 2 4 4 2 3 2" xfId="28206" xr:uid="{37C8EE54-6653-49FD-B976-41939C87AB7D}"/>
    <cellStyle name="Финансовый 3 3 2 2 4 4 2 4" xfId="14349" xr:uid="{00000000-0005-0000-0000-0000CB2E0000}"/>
    <cellStyle name="Финансовый 3 3 2 2 4 4 2 4 2" xfId="31362" xr:uid="{722F616E-D9A6-4557-8A1A-4FD7DEEC078A}"/>
    <cellStyle name="Финансовый 3 3 2 2 4 4 2 5" xfId="17430" xr:uid="{00000000-0005-0000-0000-0000CC2E0000}"/>
    <cellStyle name="Финансовый 3 3 2 2 4 4 2 5 2" xfId="34443" xr:uid="{8F4586AC-EC47-4FCB-ADCF-E64679B3AFCF}"/>
    <cellStyle name="Финансовый 3 3 2 2 4 4 2 6" xfId="25133" xr:uid="{FCC31E09-1979-464E-9353-FA238ED3B86A}"/>
    <cellStyle name="Финансовый 3 3 2 2 4 4 3" xfId="8028" xr:uid="{00000000-0005-0000-0000-0000CD2E0000}"/>
    <cellStyle name="Финансовый 3 3 2 2 4 4 3 2" xfId="11119" xr:uid="{00000000-0005-0000-0000-0000CE2E0000}"/>
    <cellStyle name="Финансовый 3 3 2 2 4 4 3 2 2" xfId="28208" xr:uid="{B396C60F-E6C4-41C6-B7EC-B935B735D22A}"/>
    <cellStyle name="Финансовый 3 3 2 2 4 4 3 3" xfId="14351" xr:uid="{00000000-0005-0000-0000-0000CF2E0000}"/>
    <cellStyle name="Финансовый 3 3 2 2 4 4 3 3 2" xfId="31364" xr:uid="{D05DA140-AFE3-4B73-8CBE-17BAD2C4EF92}"/>
    <cellStyle name="Финансовый 3 3 2 2 4 4 3 4" xfId="17432" xr:uid="{00000000-0005-0000-0000-0000D02E0000}"/>
    <cellStyle name="Финансовый 3 3 2 2 4 4 3 4 2" xfId="34445" xr:uid="{26B35DCF-241B-4D4B-A975-FD0BDBBB098E}"/>
    <cellStyle name="Финансовый 3 3 2 2 4 4 3 5" xfId="25135" xr:uid="{4225FC5B-BABB-44E6-9F9D-56F382E06816}"/>
    <cellStyle name="Финансовый 3 3 2 2 4 4 4" xfId="11116" xr:uid="{00000000-0005-0000-0000-0000D12E0000}"/>
    <cellStyle name="Финансовый 3 3 2 2 4 4 4 2" xfId="28205" xr:uid="{641FF947-20A1-42E4-B936-6C042F097C08}"/>
    <cellStyle name="Финансовый 3 3 2 2 4 4 5" xfId="14348" xr:uid="{00000000-0005-0000-0000-0000D22E0000}"/>
    <cellStyle name="Финансовый 3 3 2 2 4 4 5 2" xfId="31361" xr:uid="{E7F67B7B-AF1C-498F-9A79-3739F62F6213}"/>
    <cellStyle name="Финансовый 3 3 2 2 4 4 6" xfId="17429" xr:uid="{00000000-0005-0000-0000-0000D32E0000}"/>
    <cellStyle name="Финансовый 3 3 2 2 4 4 6 2" xfId="34442" xr:uid="{EDBDCAF6-1550-4528-8FA5-44EC6F45755A}"/>
    <cellStyle name="Финансовый 3 3 2 2 4 4 7" xfId="25132" xr:uid="{B3632F48-7238-41A0-AE62-D5C713A4C066}"/>
    <cellStyle name="Финансовый 3 3 2 2 4 5" xfId="8029" xr:uid="{00000000-0005-0000-0000-0000D42E0000}"/>
    <cellStyle name="Финансовый 3 3 2 2 4 5 2" xfId="8030" xr:uid="{00000000-0005-0000-0000-0000D52E0000}"/>
    <cellStyle name="Финансовый 3 3 2 2 4 5 2 2" xfId="11121" xr:uid="{00000000-0005-0000-0000-0000D62E0000}"/>
    <cellStyle name="Финансовый 3 3 2 2 4 5 2 2 2" xfId="28210" xr:uid="{65171AC2-C5A6-4B2E-949F-3262937D049F}"/>
    <cellStyle name="Финансовый 3 3 2 2 4 5 2 3" xfId="14353" xr:uid="{00000000-0005-0000-0000-0000D72E0000}"/>
    <cellStyle name="Финансовый 3 3 2 2 4 5 2 3 2" xfId="31366" xr:uid="{5DCB1FBA-05AF-4705-AF20-EE4F1F59A199}"/>
    <cellStyle name="Финансовый 3 3 2 2 4 5 2 4" xfId="17434" xr:uid="{00000000-0005-0000-0000-0000D82E0000}"/>
    <cellStyle name="Финансовый 3 3 2 2 4 5 2 4 2" xfId="34447" xr:uid="{ED3FB0E1-2E1E-4E5E-B9D9-2D4474FA9632}"/>
    <cellStyle name="Финансовый 3 3 2 2 4 5 2 5" xfId="25137" xr:uid="{F75247F6-9A34-4104-A12C-5091A05CE885}"/>
    <cellStyle name="Финансовый 3 3 2 2 4 5 3" xfId="11120" xr:uid="{00000000-0005-0000-0000-0000D92E0000}"/>
    <cellStyle name="Финансовый 3 3 2 2 4 5 3 2" xfId="28209" xr:uid="{CD69861A-6C1D-46B9-B60F-34CEF21678EF}"/>
    <cellStyle name="Финансовый 3 3 2 2 4 5 4" xfId="14352" xr:uid="{00000000-0005-0000-0000-0000DA2E0000}"/>
    <cellStyle name="Финансовый 3 3 2 2 4 5 4 2" xfId="31365" xr:uid="{29388880-83A9-4279-8085-3E6D632BEAB8}"/>
    <cellStyle name="Финансовый 3 3 2 2 4 5 5" xfId="17433" xr:uid="{00000000-0005-0000-0000-0000DB2E0000}"/>
    <cellStyle name="Финансовый 3 3 2 2 4 5 5 2" xfId="34446" xr:uid="{3AB233E1-96DA-41E5-962F-17C116B1C31D}"/>
    <cellStyle name="Финансовый 3 3 2 2 4 5 6" xfId="25136" xr:uid="{25C5C219-6F1E-432B-A3B5-CB21D00F9DC9}"/>
    <cellStyle name="Финансовый 3 3 2 2 4 6" xfId="8031" xr:uid="{00000000-0005-0000-0000-0000DC2E0000}"/>
    <cellStyle name="Финансовый 3 3 2 2 4 6 2" xfId="11122" xr:uid="{00000000-0005-0000-0000-0000DD2E0000}"/>
    <cellStyle name="Финансовый 3 3 2 2 4 6 2 2" xfId="28211" xr:uid="{ADCFDAB7-C46D-4DA8-A6FC-58E4B1225731}"/>
    <cellStyle name="Финансовый 3 3 2 2 4 6 3" xfId="14354" xr:uid="{00000000-0005-0000-0000-0000DE2E0000}"/>
    <cellStyle name="Финансовый 3 3 2 2 4 6 3 2" xfId="31367" xr:uid="{CDC29E41-576A-43F8-A47E-35D6D9B2DC8D}"/>
    <cellStyle name="Финансовый 3 3 2 2 4 6 4" xfId="17435" xr:uid="{00000000-0005-0000-0000-0000DF2E0000}"/>
    <cellStyle name="Финансовый 3 3 2 2 4 6 4 2" xfId="34448" xr:uid="{84E2D385-EF39-4DAE-899F-CA2FB7240830}"/>
    <cellStyle name="Финансовый 3 3 2 2 4 6 5" xfId="25138" xr:uid="{657DF409-C74D-4A6D-A784-7740D4054BA3}"/>
    <cellStyle name="Финансовый 3 3 2 2 4 7" xfId="11091" xr:uid="{00000000-0005-0000-0000-0000E02E0000}"/>
    <cellStyle name="Финансовый 3 3 2 2 4 7 2" xfId="28180" xr:uid="{D132EB6C-4DE2-4F50-8E64-D0E7EA327555}"/>
    <cellStyle name="Финансовый 3 3 2 2 4 8" xfId="14323" xr:uid="{00000000-0005-0000-0000-0000E12E0000}"/>
    <cellStyle name="Финансовый 3 3 2 2 4 8 2" xfId="31336" xr:uid="{B700091B-E4A2-4592-86DA-48F3F9ECB604}"/>
    <cellStyle name="Финансовый 3 3 2 2 4 9" xfId="17404" xr:uid="{00000000-0005-0000-0000-0000E22E0000}"/>
    <cellStyle name="Финансовый 3 3 2 2 4 9 2" xfId="34417" xr:uid="{C27A9272-B1E2-4E4D-AD2F-A8F2F7F5EEFB}"/>
    <cellStyle name="Финансовый 3 3 2 2 5" xfId="8032" xr:uid="{00000000-0005-0000-0000-0000E32E0000}"/>
    <cellStyle name="Финансовый 3 3 2 2 5 2" xfId="8033" xr:uid="{00000000-0005-0000-0000-0000E42E0000}"/>
    <cellStyle name="Финансовый 3 3 2 2 5 2 2" xfId="8034" xr:uid="{00000000-0005-0000-0000-0000E52E0000}"/>
    <cellStyle name="Финансовый 3 3 2 2 5 2 2 2" xfId="8035" xr:uid="{00000000-0005-0000-0000-0000E62E0000}"/>
    <cellStyle name="Финансовый 3 3 2 2 5 2 2 2 2" xfId="8036" xr:uid="{00000000-0005-0000-0000-0000E72E0000}"/>
    <cellStyle name="Финансовый 3 3 2 2 5 2 2 2 2 2" xfId="11127" xr:uid="{00000000-0005-0000-0000-0000E82E0000}"/>
    <cellStyle name="Финансовый 3 3 2 2 5 2 2 2 2 2 2" xfId="28216" xr:uid="{4014ED3A-F104-4DA3-826E-2BE00A8BC68F}"/>
    <cellStyle name="Финансовый 3 3 2 2 5 2 2 2 2 3" xfId="14359" xr:uid="{00000000-0005-0000-0000-0000E92E0000}"/>
    <cellStyle name="Финансовый 3 3 2 2 5 2 2 2 2 3 2" xfId="31372" xr:uid="{E9EBB392-FEB1-4F35-95FC-DDE600C5EA6B}"/>
    <cellStyle name="Финансовый 3 3 2 2 5 2 2 2 2 4" xfId="17440" xr:uid="{00000000-0005-0000-0000-0000EA2E0000}"/>
    <cellStyle name="Финансовый 3 3 2 2 5 2 2 2 2 4 2" xfId="34453" xr:uid="{CF664700-13B4-439B-B467-7CF7E2A31B54}"/>
    <cellStyle name="Финансовый 3 3 2 2 5 2 2 2 2 5" xfId="25143" xr:uid="{63B41F6C-F4EB-4D46-9EA5-90273120C618}"/>
    <cellStyle name="Финансовый 3 3 2 2 5 2 2 2 3" xfId="11126" xr:uid="{00000000-0005-0000-0000-0000EB2E0000}"/>
    <cellStyle name="Финансовый 3 3 2 2 5 2 2 2 3 2" xfId="28215" xr:uid="{764C0DA7-94C0-44BD-B1BC-E9EF49FFFB27}"/>
    <cellStyle name="Финансовый 3 3 2 2 5 2 2 2 4" xfId="14358" xr:uid="{00000000-0005-0000-0000-0000EC2E0000}"/>
    <cellStyle name="Финансовый 3 3 2 2 5 2 2 2 4 2" xfId="31371" xr:uid="{616CE764-6F70-4FA4-9002-FA425FA58060}"/>
    <cellStyle name="Финансовый 3 3 2 2 5 2 2 2 5" xfId="17439" xr:uid="{00000000-0005-0000-0000-0000ED2E0000}"/>
    <cellStyle name="Финансовый 3 3 2 2 5 2 2 2 5 2" xfId="34452" xr:uid="{50B4C9EA-46C8-4A80-BE6D-C42D75A692D2}"/>
    <cellStyle name="Финансовый 3 3 2 2 5 2 2 2 6" xfId="25142" xr:uid="{3005FC2A-F86A-400A-9636-C5990A43BF15}"/>
    <cellStyle name="Финансовый 3 3 2 2 5 2 2 3" xfId="8037" xr:uid="{00000000-0005-0000-0000-0000EE2E0000}"/>
    <cellStyle name="Финансовый 3 3 2 2 5 2 2 3 2" xfId="11128" xr:uid="{00000000-0005-0000-0000-0000EF2E0000}"/>
    <cellStyle name="Финансовый 3 3 2 2 5 2 2 3 2 2" xfId="28217" xr:uid="{4CFB362B-2B28-4B51-A818-E1236CF60912}"/>
    <cellStyle name="Финансовый 3 3 2 2 5 2 2 3 3" xfId="14360" xr:uid="{00000000-0005-0000-0000-0000F02E0000}"/>
    <cellStyle name="Финансовый 3 3 2 2 5 2 2 3 3 2" xfId="31373" xr:uid="{5505CB18-C18C-49D5-9E9A-B504C946BE53}"/>
    <cellStyle name="Финансовый 3 3 2 2 5 2 2 3 4" xfId="17441" xr:uid="{00000000-0005-0000-0000-0000F12E0000}"/>
    <cellStyle name="Финансовый 3 3 2 2 5 2 2 3 4 2" xfId="34454" xr:uid="{0C3F937A-FA9C-42C9-B37A-8C779C30A5A3}"/>
    <cellStyle name="Финансовый 3 3 2 2 5 2 2 3 5" xfId="25144" xr:uid="{0FE829E9-680C-4BE4-B796-6D33B7E401D7}"/>
    <cellStyle name="Финансовый 3 3 2 2 5 2 2 4" xfId="11125" xr:uid="{00000000-0005-0000-0000-0000F22E0000}"/>
    <cellStyle name="Финансовый 3 3 2 2 5 2 2 4 2" xfId="28214" xr:uid="{EA4E8CE7-0E88-449D-AE07-BC7AD8AE18E9}"/>
    <cellStyle name="Финансовый 3 3 2 2 5 2 2 5" xfId="14357" xr:uid="{00000000-0005-0000-0000-0000F32E0000}"/>
    <cellStyle name="Финансовый 3 3 2 2 5 2 2 5 2" xfId="31370" xr:uid="{9461B9CD-D334-4AF0-A663-1CDE7A6EFF33}"/>
    <cellStyle name="Финансовый 3 3 2 2 5 2 2 6" xfId="17438" xr:uid="{00000000-0005-0000-0000-0000F42E0000}"/>
    <cellStyle name="Финансовый 3 3 2 2 5 2 2 6 2" xfId="34451" xr:uid="{ACB2E1E2-09C3-404D-AC13-2A740D2DEDD3}"/>
    <cellStyle name="Финансовый 3 3 2 2 5 2 2 7" xfId="25141" xr:uid="{B8587FDA-4007-49D7-A7B0-99D2D0D527DA}"/>
    <cellStyle name="Финансовый 3 3 2 2 5 2 3" xfId="8038" xr:uid="{00000000-0005-0000-0000-0000F52E0000}"/>
    <cellStyle name="Финансовый 3 3 2 2 5 2 3 2" xfId="8039" xr:uid="{00000000-0005-0000-0000-0000F62E0000}"/>
    <cellStyle name="Финансовый 3 3 2 2 5 2 3 2 2" xfId="11130" xr:uid="{00000000-0005-0000-0000-0000F72E0000}"/>
    <cellStyle name="Финансовый 3 3 2 2 5 2 3 2 2 2" xfId="28219" xr:uid="{B882CFA7-34A0-4AE3-9FA7-55E03C8EBE2D}"/>
    <cellStyle name="Финансовый 3 3 2 2 5 2 3 2 3" xfId="14362" xr:uid="{00000000-0005-0000-0000-0000F82E0000}"/>
    <cellStyle name="Финансовый 3 3 2 2 5 2 3 2 3 2" xfId="31375" xr:uid="{1DD9F0FE-50C6-402E-9075-1C3800638583}"/>
    <cellStyle name="Финансовый 3 3 2 2 5 2 3 2 4" xfId="17443" xr:uid="{00000000-0005-0000-0000-0000F92E0000}"/>
    <cellStyle name="Финансовый 3 3 2 2 5 2 3 2 4 2" xfId="34456" xr:uid="{1C39AD6A-26D9-47EC-B3BD-7E8E80B29B1F}"/>
    <cellStyle name="Финансовый 3 3 2 2 5 2 3 2 5" xfId="25146" xr:uid="{20CC9971-4F37-46DA-AF40-58862E93FE4C}"/>
    <cellStyle name="Финансовый 3 3 2 2 5 2 3 3" xfId="11129" xr:uid="{00000000-0005-0000-0000-0000FA2E0000}"/>
    <cellStyle name="Финансовый 3 3 2 2 5 2 3 3 2" xfId="28218" xr:uid="{FD2FAF20-B533-4D75-8F0C-39DA0C483D55}"/>
    <cellStyle name="Финансовый 3 3 2 2 5 2 3 4" xfId="14361" xr:uid="{00000000-0005-0000-0000-0000FB2E0000}"/>
    <cellStyle name="Финансовый 3 3 2 2 5 2 3 4 2" xfId="31374" xr:uid="{C15DD87B-1F3B-4C86-9AC5-922CC0DCF947}"/>
    <cellStyle name="Финансовый 3 3 2 2 5 2 3 5" xfId="17442" xr:uid="{00000000-0005-0000-0000-0000FC2E0000}"/>
    <cellStyle name="Финансовый 3 3 2 2 5 2 3 5 2" xfId="34455" xr:uid="{6A509A20-07D8-4A4D-8DB5-6DCE7AF995A5}"/>
    <cellStyle name="Финансовый 3 3 2 2 5 2 3 6" xfId="25145" xr:uid="{B1684995-C511-42B0-92C5-509E8699E8E4}"/>
    <cellStyle name="Финансовый 3 3 2 2 5 2 4" xfId="8040" xr:uid="{00000000-0005-0000-0000-0000FD2E0000}"/>
    <cellStyle name="Финансовый 3 3 2 2 5 2 4 2" xfId="11131" xr:uid="{00000000-0005-0000-0000-0000FE2E0000}"/>
    <cellStyle name="Финансовый 3 3 2 2 5 2 4 2 2" xfId="28220" xr:uid="{62D2C618-D9A8-49DF-AF53-50BB07A78100}"/>
    <cellStyle name="Финансовый 3 3 2 2 5 2 4 3" xfId="14363" xr:uid="{00000000-0005-0000-0000-0000FF2E0000}"/>
    <cellStyle name="Финансовый 3 3 2 2 5 2 4 3 2" xfId="31376" xr:uid="{176A4333-958D-4D46-9A7F-26B6D1E2258F}"/>
    <cellStyle name="Финансовый 3 3 2 2 5 2 4 4" xfId="17444" xr:uid="{00000000-0005-0000-0000-0000002F0000}"/>
    <cellStyle name="Финансовый 3 3 2 2 5 2 4 4 2" xfId="34457" xr:uid="{01B6FCB5-DEDD-4D05-9704-DC33A6857B09}"/>
    <cellStyle name="Финансовый 3 3 2 2 5 2 4 5" xfId="25147" xr:uid="{C731079A-586D-45B6-842E-D64D7ADBBD3D}"/>
    <cellStyle name="Финансовый 3 3 2 2 5 2 5" xfId="11124" xr:uid="{00000000-0005-0000-0000-0000012F0000}"/>
    <cellStyle name="Финансовый 3 3 2 2 5 2 5 2" xfId="28213" xr:uid="{E9F11DCD-FAD9-4AC0-8108-3363AF0AAC85}"/>
    <cellStyle name="Финансовый 3 3 2 2 5 2 6" xfId="14356" xr:uid="{00000000-0005-0000-0000-0000022F0000}"/>
    <cellStyle name="Финансовый 3 3 2 2 5 2 6 2" xfId="31369" xr:uid="{E04BFE80-6BB3-4344-9674-E659DAF0E3BA}"/>
    <cellStyle name="Финансовый 3 3 2 2 5 2 7" xfId="17437" xr:uid="{00000000-0005-0000-0000-0000032F0000}"/>
    <cellStyle name="Финансовый 3 3 2 2 5 2 7 2" xfId="34450" xr:uid="{B2AE9FA6-FC24-4FF5-B880-8F86908E0F20}"/>
    <cellStyle name="Финансовый 3 3 2 2 5 2 8" xfId="25140" xr:uid="{9A056454-EEFE-40B7-AAA7-9DE7D656557C}"/>
    <cellStyle name="Финансовый 3 3 2 2 5 3" xfId="8041" xr:uid="{00000000-0005-0000-0000-0000042F0000}"/>
    <cellStyle name="Финансовый 3 3 2 2 5 3 2" xfId="8042" xr:uid="{00000000-0005-0000-0000-0000052F0000}"/>
    <cellStyle name="Финансовый 3 3 2 2 5 3 2 2" xfId="8043" xr:uid="{00000000-0005-0000-0000-0000062F0000}"/>
    <cellStyle name="Финансовый 3 3 2 2 5 3 2 2 2" xfId="11134" xr:uid="{00000000-0005-0000-0000-0000072F0000}"/>
    <cellStyle name="Финансовый 3 3 2 2 5 3 2 2 2 2" xfId="28223" xr:uid="{56DB90F3-CCF9-46AE-9769-7CC732079F60}"/>
    <cellStyle name="Финансовый 3 3 2 2 5 3 2 2 3" xfId="14366" xr:uid="{00000000-0005-0000-0000-0000082F0000}"/>
    <cellStyle name="Финансовый 3 3 2 2 5 3 2 2 3 2" xfId="31379" xr:uid="{7B776DF2-DBD6-42D3-A599-50EA4A624242}"/>
    <cellStyle name="Финансовый 3 3 2 2 5 3 2 2 4" xfId="17447" xr:uid="{00000000-0005-0000-0000-0000092F0000}"/>
    <cellStyle name="Финансовый 3 3 2 2 5 3 2 2 4 2" xfId="34460" xr:uid="{62FB2409-F980-4005-AB27-836B8DE994E4}"/>
    <cellStyle name="Финансовый 3 3 2 2 5 3 2 2 5" xfId="25150" xr:uid="{CF4DD7E7-315D-412C-B117-EC16A360BA5E}"/>
    <cellStyle name="Финансовый 3 3 2 2 5 3 2 3" xfId="11133" xr:uid="{00000000-0005-0000-0000-00000A2F0000}"/>
    <cellStyle name="Финансовый 3 3 2 2 5 3 2 3 2" xfId="28222" xr:uid="{D16F30DC-2AC0-43CA-94AB-612523C20C2F}"/>
    <cellStyle name="Финансовый 3 3 2 2 5 3 2 4" xfId="14365" xr:uid="{00000000-0005-0000-0000-00000B2F0000}"/>
    <cellStyle name="Финансовый 3 3 2 2 5 3 2 4 2" xfId="31378" xr:uid="{9C09ADBD-B118-4F44-BEC3-5F350B16D1FB}"/>
    <cellStyle name="Финансовый 3 3 2 2 5 3 2 5" xfId="17446" xr:uid="{00000000-0005-0000-0000-00000C2F0000}"/>
    <cellStyle name="Финансовый 3 3 2 2 5 3 2 5 2" xfId="34459" xr:uid="{56D74C4E-45B5-4AB3-A53A-DF82F1DC05A8}"/>
    <cellStyle name="Финансовый 3 3 2 2 5 3 2 6" xfId="25149" xr:uid="{E841A7B8-3EC6-4347-B86C-FFDA3956FF08}"/>
    <cellStyle name="Финансовый 3 3 2 2 5 3 3" xfId="8044" xr:uid="{00000000-0005-0000-0000-00000D2F0000}"/>
    <cellStyle name="Финансовый 3 3 2 2 5 3 3 2" xfId="11135" xr:uid="{00000000-0005-0000-0000-00000E2F0000}"/>
    <cellStyle name="Финансовый 3 3 2 2 5 3 3 2 2" xfId="28224" xr:uid="{812C87B1-C9F6-4FAB-95A0-B1BD3145C1D1}"/>
    <cellStyle name="Финансовый 3 3 2 2 5 3 3 3" xfId="14367" xr:uid="{00000000-0005-0000-0000-00000F2F0000}"/>
    <cellStyle name="Финансовый 3 3 2 2 5 3 3 3 2" xfId="31380" xr:uid="{57050F82-9DDD-45CA-930A-4ECB4FE0CBED}"/>
    <cellStyle name="Финансовый 3 3 2 2 5 3 3 4" xfId="17448" xr:uid="{00000000-0005-0000-0000-0000102F0000}"/>
    <cellStyle name="Финансовый 3 3 2 2 5 3 3 4 2" xfId="34461" xr:uid="{793B6368-3874-4D6D-B566-4D17B7A68FFD}"/>
    <cellStyle name="Финансовый 3 3 2 2 5 3 3 5" xfId="25151" xr:uid="{9279DADE-5BE0-4D64-8F5E-DEA7BB7775D5}"/>
    <cellStyle name="Финансовый 3 3 2 2 5 3 4" xfId="11132" xr:uid="{00000000-0005-0000-0000-0000112F0000}"/>
    <cellStyle name="Финансовый 3 3 2 2 5 3 4 2" xfId="28221" xr:uid="{9F925B6F-D6E1-43FB-B649-165DD0D14399}"/>
    <cellStyle name="Финансовый 3 3 2 2 5 3 5" xfId="14364" xr:uid="{00000000-0005-0000-0000-0000122F0000}"/>
    <cellStyle name="Финансовый 3 3 2 2 5 3 5 2" xfId="31377" xr:uid="{3BCA2467-935D-4FBC-9AF9-9CF78CD7CF3D}"/>
    <cellStyle name="Финансовый 3 3 2 2 5 3 6" xfId="17445" xr:uid="{00000000-0005-0000-0000-0000132F0000}"/>
    <cellStyle name="Финансовый 3 3 2 2 5 3 6 2" xfId="34458" xr:uid="{63F23DCE-E229-48E4-9F0A-0F66CA0C8AEA}"/>
    <cellStyle name="Финансовый 3 3 2 2 5 3 7" xfId="25148" xr:uid="{823D9E64-CCBD-497C-86A3-A04698A098B4}"/>
    <cellStyle name="Финансовый 3 3 2 2 5 4" xfId="8045" xr:uid="{00000000-0005-0000-0000-0000142F0000}"/>
    <cellStyle name="Финансовый 3 3 2 2 5 4 2" xfId="8046" xr:uid="{00000000-0005-0000-0000-0000152F0000}"/>
    <cellStyle name="Финансовый 3 3 2 2 5 4 2 2" xfId="11137" xr:uid="{00000000-0005-0000-0000-0000162F0000}"/>
    <cellStyle name="Финансовый 3 3 2 2 5 4 2 2 2" xfId="28226" xr:uid="{13D4EEE0-3451-4E63-A1AC-9242AB9A755B}"/>
    <cellStyle name="Финансовый 3 3 2 2 5 4 2 3" xfId="14369" xr:uid="{00000000-0005-0000-0000-0000172F0000}"/>
    <cellStyle name="Финансовый 3 3 2 2 5 4 2 3 2" xfId="31382" xr:uid="{76AA2CFA-62E5-4258-ACE6-DB0696DBBA16}"/>
    <cellStyle name="Финансовый 3 3 2 2 5 4 2 4" xfId="17450" xr:uid="{00000000-0005-0000-0000-0000182F0000}"/>
    <cellStyle name="Финансовый 3 3 2 2 5 4 2 4 2" xfId="34463" xr:uid="{AD27D568-EEB5-4B51-80DF-F6E1B8D0143B}"/>
    <cellStyle name="Финансовый 3 3 2 2 5 4 2 5" xfId="25153" xr:uid="{6E1968FD-95A3-4423-B1C6-ED7E6B074810}"/>
    <cellStyle name="Финансовый 3 3 2 2 5 4 3" xfId="11136" xr:uid="{00000000-0005-0000-0000-0000192F0000}"/>
    <cellStyle name="Финансовый 3 3 2 2 5 4 3 2" xfId="28225" xr:uid="{F5FFF009-4AA3-4B01-85E1-2726BC1F8232}"/>
    <cellStyle name="Финансовый 3 3 2 2 5 4 4" xfId="14368" xr:uid="{00000000-0005-0000-0000-00001A2F0000}"/>
    <cellStyle name="Финансовый 3 3 2 2 5 4 4 2" xfId="31381" xr:uid="{8F1CF03E-D6B2-4992-92B7-9ADF6C0C0C28}"/>
    <cellStyle name="Финансовый 3 3 2 2 5 4 5" xfId="17449" xr:uid="{00000000-0005-0000-0000-00001B2F0000}"/>
    <cellStyle name="Финансовый 3 3 2 2 5 4 5 2" xfId="34462" xr:uid="{B2CD2BCB-093D-4773-B151-3FFAC6428C52}"/>
    <cellStyle name="Финансовый 3 3 2 2 5 4 6" xfId="25152" xr:uid="{0262DB3A-1E0D-4791-832D-ECA5BBDF9FA2}"/>
    <cellStyle name="Финансовый 3 3 2 2 5 5" xfId="8047" xr:uid="{00000000-0005-0000-0000-00001C2F0000}"/>
    <cellStyle name="Финансовый 3 3 2 2 5 5 2" xfId="11138" xr:uid="{00000000-0005-0000-0000-00001D2F0000}"/>
    <cellStyle name="Финансовый 3 3 2 2 5 5 2 2" xfId="28227" xr:uid="{5179A2EE-DB56-41D8-8E43-052377093DCD}"/>
    <cellStyle name="Финансовый 3 3 2 2 5 5 3" xfId="14370" xr:uid="{00000000-0005-0000-0000-00001E2F0000}"/>
    <cellStyle name="Финансовый 3 3 2 2 5 5 3 2" xfId="31383" xr:uid="{E10D2FBF-097E-466E-BB31-FE49252055BD}"/>
    <cellStyle name="Финансовый 3 3 2 2 5 5 4" xfId="17451" xr:uid="{00000000-0005-0000-0000-00001F2F0000}"/>
    <cellStyle name="Финансовый 3 3 2 2 5 5 4 2" xfId="34464" xr:uid="{B1D8C58F-206C-40E4-A8FF-5A04E8E3C71F}"/>
    <cellStyle name="Финансовый 3 3 2 2 5 5 5" xfId="25154" xr:uid="{73837BE9-13F4-4561-8285-085ACBCB6ABE}"/>
    <cellStyle name="Финансовый 3 3 2 2 5 6" xfId="11123" xr:uid="{00000000-0005-0000-0000-0000202F0000}"/>
    <cellStyle name="Финансовый 3 3 2 2 5 6 2" xfId="28212" xr:uid="{06B28F02-6CB1-4F86-B20A-1DB21FC8BB25}"/>
    <cellStyle name="Финансовый 3 3 2 2 5 7" xfId="14355" xr:uid="{00000000-0005-0000-0000-0000212F0000}"/>
    <cellStyle name="Финансовый 3 3 2 2 5 7 2" xfId="31368" xr:uid="{7A88E4ED-E2B0-4AAD-BC81-8F79E8037EA2}"/>
    <cellStyle name="Финансовый 3 3 2 2 5 8" xfId="17436" xr:uid="{00000000-0005-0000-0000-0000222F0000}"/>
    <cellStyle name="Финансовый 3 3 2 2 5 8 2" xfId="34449" xr:uid="{5ADB1CCA-302B-4941-9AA6-48F69094789F}"/>
    <cellStyle name="Финансовый 3 3 2 2 5 9" xfId="25139" xr:uid="{AA0F5F6D-8EC1-41AB-870E-713E43FE9BCF}"/>
    <cellStyle name="Финансовый 3 3 2 2 6" xfId="8048" xr:uid="{00000000-0005-0000-0000-0000232F0000}"/>
    <cellStyle name="Финансовый 3 3 2 2 6 2" xfId="8049" xr:uid="{00000000-0005-0000-0000-0000242F0000}"/>
    <cellStyle name="Финансовый 3 3 2 2 6 2 2" xfId="8050" xr:uid="{00000000-0005-0000-0000-0000252F0000}"/>
    <cellStyle name="Финансовый 3 3 2 2 6 2 2 2" xfId="8051" xr:uid="{00000000-0005-0000-0000-0000262F0000}"/>
    <cellStyle name="Финансовый 3 3 2 2 6 2 2 2 2" xfId="11142" xr:uid="{00000000-0005-0000-0000-0000272F0000}"/>
    <cellStyle name="Финансовый 3 3 2 2 6 2 2 2 2 2" xfId="28231" xr:uid="{29C6325E-A8E5-4E69-9D30-0CD2F0226073}"/>
    <cellStyle name="Финансовый 3 3 2 2 6 2 2 2 3" xfId="14374" xr:uid="{00000000-0005-0000-0000-0000282F0000}"/>
    <cellStyle name="Финансовый 3 3 2 2 6 2 2 2 3 2" xfId="31387" xr:uid="{53EBBC90-F89E-4878-AF97-A7AAD1A2BD06}"/>
    <cellStyle name="Финансовый 3 3 2 2 6 2 2 2 4" xfId="17455" xr:uid="{00000000-0005-0000-0000-0000292F0000}"/>
    <cellStyle name="Финансовый 3 3 2 2 6 2 2 2 4 2" xfId="34468" xr:uid="{C1E724BC-1D80-4945-8730-3EBF8359401E}"/>
    <cellStyle name="Финансовый 3 3 2 2 6 2 2 2 5" xfId="25158" xr:uid="{7A862AF7-3BF9-4575-94F7-F335912EE727}"/>
    <cellStyle name="Финансовый 3 3 2 2 6 2 2 3" xfId="11141" xr:uid="{00000000-0005-0000-0000-00002A2F0000}"/>
    <cellStyle name="Финансовый 3 3 2 2 6 2 2 3 2" xfId="28230" xr:uid="{27EED395-5CA5-4DA1-9AF2-19DA2A350AA1}"/>
    <cellStyle name="Финансовый 3 3 2 2 6 2 2 4" xfId="14373" xr:uid="{00000000-0005-0000-0000-00002B2F0000}"/>
    <cellStyle name="Финансовый 3 3 2 2 6 2 2 4 2" xfId="31386" xr:uid="{68DAE192-F131-463B-ABD9-BC17F13CE4FE}"/>
    <cellStyle name="Финансовый 3 3 2 2 6 2 2 5" xfId="17454" xr:uid="{00000000-0005-0000-0000-00002C2F0000}"/>
    <cellStyle name="Финансовый 3 3 2 2 6 2 2 5 2" xfId="34467" xr:uid="{11B516BA-78D5-4317-9567-08597498C358}"/>
    <cellStyle name="Финансовый 3 3 2 2 6 2 2 6" xfId="25157" xr:uid="{6992B721-C0D7-4437-AE7A-5341EC41F437}"/>
    <cellStyle name="Финансовый 3 3 2 2 6 2 3" xfId="8052" xr:uid="{00000000-0005-0000-0000-00002D2F0000}"/>
    <cellStyle name="Финансовый 3 3 2 2 6 2 3 2" xfId="11143" xr:uid="{00000000-0005-0000-0000-00002E2F0000}"/>
    <cellStyle name="Финансовый 3 3 2 2 6 2 3 2 2" xfId="28232" xr:uid="{4870C9E8-8555-41FA-BD7E-85CF1781B4F8}"/>
    <cellStyle name="Финансовый 3 3 2 2 6 2 3 3" xfId="14375" xr:uid="{00000000-0005-0000-0000-00002F2F0000}"/>
    <cellStyle name="Финансовый 3 3 2 2 6 2 3 3 2" xfId="31388" xr:uid="{ED5CCB33-3C51-423F-8863-ED32FFD23F94}"/>
    <cellStyle name="Финансовый 3 3 2 2 6 2 3 4" xfId="17456" xr:uid="{00000000-0005-0000-0000-0000302F0000}"/>
    <cellStyle name="Финансовый 3 3 2 2 6 2 3 4 2" xfId="34469" xr:uid="{D2E571DF-A9D6-4D7D-8211-BD7C49871E47}"/>
    <cellStyle name="Финансовый 3 3 2 2 6 2 3 5" xfId="25159" xr:uid="{9FD28C6D-4767-487A-AE48-3B65A03EB783}"/>
    <cellStyle name="Финансовый 3 3 2 2 6 2 4" xfId="11140" xr:uid="{00000000-0005-0000-0000-0000312F0000}"/>
    <cellStyle name="Финансовый 3 3 2 2 6 2 4 2" xfId="28229" xr:uid="{1960AF1D-A2F9-4BFD-B1B4-9CE8472D58F4}"/>
    <cellStyle name="Финансовый 3 3 2 2 6 2 5" xfId="14372" xr:uid="{00000000-0005-0000-0000-0000322F0000}"/>
    <cellStyle name="Финансовый 3 3 2 2 6 2 5 2" xfId="31385" xr:uid="{A6BED473-DF9B-4399-8BB7-F07A08B7F673}"/>
    <cellStyle name="Финансовый 3 3 2 2 6 2 6" xfId="17453" xr:uid="{00000000-0005-0000-0000-0000332F0000}"/>
    <cellStyle name="Финансовый 3 3 2 2 6 2 6 2" xfId="34466" xr:uid="{573382C8-DC59-45BA-97C7-569882C4B4A2}"/>
    <cellStyle name="Финансовый 3 3 2 2 6 2 7" xfId="25156" xr:uid="{735328A2-D97E-453E-9951-F0563B3E40EF}"/>
    <cellStyle name="Финансовый 3 3 2 2 6 3" xfId="8053" xr:uid="{00000000-0005-0000-0000-0000342F0000}"/>
    <cellStyle name="Финансовый 3 3 2 2 6 3 2" xfId="8054" xr:uid="{00000000-0005-0000-0000-0000352F0000}"/>
    <cellStyle name="Финансовый 3 3 2 2 6 3 2 2" xfId="11145" xr:uid="{00000000-0005-0000-0000-0000362F0000}"/>
    <cellStyle name="Финансовый 3 3 2 2 6 3 2 2 2" xfId="28234" xr:uid="{B41DEF7E-CBB5-4A1B-896A-82A103281027}"/>
    <cellStyle name="Финансовый 3 3 2 2 6 3 2 3" xfId="14377" xr:uid="{00000000-0005-0000-0000-0000372F0000}"/>
    <cellStyle name="Финансовый 3 3 2 2 6 3 2 3 2" xfId="31390" xr:uid="{6F138352-71E5-48B9-B5E7-7574C3DC6389}"/>
    <cellStyle name="Финансовый 3 3 2 2 6 3 2 4" xfId="17458" xr:uid="{00000000-0005-0000-0000-0000382F0000}"/>
    <cellStyle name="Финансовый 3 3 2 2 6 3 2 4 2" xfId="34471" xr:uid="{3ED75B1F-D1B4-43F6-85FE-CBDF016CC302}"/>
    <cellStyle name="Финансовый 3 3 2 2 6 3 2 5" xfId="25161" xr:uid="{F96E5605-9FD9-4109-8523-0AF9E788C2B6}"/>
    <cellStyle name="Финансовый 3 3 2 2 6 3 3" xfId="11144" xr:uid="{00000000-0005-0000-0000-0000392F0000}"/>
    <cellStyle name="Финансовый 3 3 2 2 6 3 3 2" xfId="28233" xr:uid="{D8D8B9B7-F841-4E28-8068-94AF01514577}"/>
    <cellStyle name="Финансовый 3 3 2 2 6 3 4" xfId="14376" xr:uid="{00000000-0005-0000-0000-00003A2F0000}"/>
    <cellStyle name="Финансовый 3 3 2 2 6 3 4 2" xfId="31389" xr:uid="{797CE57A-D809-4158-8A50-F0350AFCA085}"/>
    <cellStyle name="Финансовый 3 3 2 2 6 3 5" xfId="17457" xr:uid="{00000000-0005-0000-0000-00003B2F0000}"/>
    <cellStyle name="Финансовый 3 3 2 2 6 3 5 2" xfId="34470" xr:uid="{EB72FBFD-F092-45CE-8C97-24B893227D87}"/>
    <cellStyle name="Финансовый 3 3 2 2 6 3 6" xfId="25160" xr:uid="{F51691F7-C914-47B9-9CE7-CEB3743DD7DC}"/>
    <cellStyle name="Финансовый 3 3 2 2 6 4" xfId="8055" xr:uid="{00000000-0005-0000-0000-00003C2F0000}"/>
    <cellStyle name="Финансовый 3 3 2 2 6 4 2" xfId="11146" xr:uid="{00000000-0005-0000-0000-00003D2F0000}"/>
    <cellStyle name="Финансовый 3 3 2 2 6 4 2 2" xfId="28235" xr:uid="{3510F844-44BC-45CA-B7D7-0775B21F466B}"/>
    <cellStyle name="Финансовый 3 3 2 2 6 4 3" xfId="14378" xr:uid="{00000000-0005-0000-0000-00003E2F0000}"/>
    <cellStyle name="Финансовый 3 3 2 2 6 4 3 2" xfId="31391" xr:uid="{5A420ACC-B883-4B40-AC87-B94889F70CCC}"/>
    <cellStyle name="Финансовый 3 3 2 2 6 4 4" xfId="17459" xr:uid="{00000000-0005-0000-0000-00003F2F0000}"/>
    <cellStyle name="Финансовый 3 3 2 2 6 4 4 2" xfId="34472" xr:uid="{29B19A23-0821-419E-8132-EE8AA09D551F}"/>
    <cellStyle name="Финансовый 3 3 2 2 6 4 5" xfId="25162" xr:uid="{CDCA34B9-73A9-45EE-A045-774CC642D73A}"/>
    <cellStyle name="Финансовый 3 3 2 2 6 5" xfId="11139" xr:uid="{00000000-0005-0000-0000-0000402F0000}"/>
    <cellStyle name="Финансовый 3 3 2 2 6 5 2" xfId="28228" xr:uid="{6B726012-0AB0-4111-BA21-D76EB169C229}"/>
    <cellStyle name="Финансовый 3 3 2 2 6 6" xfId="14371" xr:uid="{00000000-0005-0000-0000-0000412F0000}"/>
    <cellStyle name="Финансовый 3 3 2 2 6 6 2" xfId="31384" xr:uid="{2AE074F2-E00A-45AB-B9AA-AAB1C7A8A743}"/>
    <cellStyle name="Финансовый 3 3 2 2 6 7" xfId="17452" xr:uid="{00000000-0005-0000-0000-0000422F0000}"/>
    <cellStyle name="Финансовый 3 3 2 2 6 7 2" xfId="34465" xr:uid="{AED41A64-416A-4F56-A01D-956783E02D9B}"/>
    <cellStyle name="Финансовый 3 3 2 2 6 8" xfId="25155" xr:uid="{72EF57CB-9080-4C10-ABA8-0659C2626E09}"/>
    <cellStyle name="Финансовый 3 3 2 2 7" xfId="8056" xr:uid="{00000000-0005-0000-0000-0000432F0000}"/>
    <cellStyle name="Финансовый 3 3 2 2 7 2" xfId="8057" xr:uid="{00000000-0005-0000-0000-0000442F0000}"/>
    <cellStyle name="Финансовый 3 3 2 2 7 2 2" xfId="8058" xr:uid="{00000000-0005-0000-0000-0000452F0000}"/>
    <cellStyle name="Финансовый 3 3 2 2 7 2 2 2" xfId="11149" xr:uid="{00000000-0005-0000-0000-0000462F0000}"/>
    <cellStyle name="Финансовый 3 3 2 2 7 2 2 2 2" xfId="28238" xr:uid="{B7C30291-C910-4B27-825F-5487BE6DEA93}"/>
    <cellStyle name="Финансовый 3 3 2 2 7 2 2 3" xfId="14381" xr:uid="{00000000-0005-0000-0000-0000472F0000}"/>
    <cellStyle name="Финансовый 3 3 2 2 7 2 2 3 2" xfId="31394" xr:uid="{0E783AA2-04E7-448F-B1FE-DFD758B74958}"/>
    <cellStyle name="Финансовый 3 3 2 2 7 2 2 4" xfId="17462" xr:uid="{00000000-0005-0000-0000-0000482F0000}"/>
    <cellStyle name="Финансовый 3 3 2 2 7 2 2 4 2" xfId="34475" xr:uid="{F8975506-E444-4260-B6C5-35D1118F4921}"/>
    <cellStyle name="Финансовый 3 3 2 2 7 2 2 5" xfId="25165" xr:uid="{EF11F0B0-95FC-4FB2-ACEA-3AF916A1F900}"/>
    <cellStyle name="Финансовый 3 3 2 2 7 2 3" xfId="11148" xr:uid="{00000000-0005-0000-0000-0000492F0000}"/>
    <cellStyle name="Финансовый 3 3 2 2 7 2 3 2" xfId="28237" xr:uid="{DFC28D42-6C23-45ED-B9CA-7EAED6DE9D58}"/>
    <cellStyle name="Финансовый 3 3 2 2 7 2 4" xfId="14380" xr:uid="{00000000-0005-0000-0000-00004A2F0000}"/>
    <cellStyle name="Финансовый 3 3 2 2 7 2 4 2" xfId="31393" xr:uid="{D7280D05-F5CD-4977-95C4-06E3A7B35BA6}"/>
    <cellStyle name="Финансовый 3 3 2 2 7 2 5" xfId="17461" xr:uid="{00000000-0005-0000-0000-00004B2F0000}"/>
    <cellStyle name="Финансовый 3 3 2 2 7 2 5 2" xfId="34474" xr:uid="{04DC057D-6B7D-4D9D-AE76-1ED775911789}"/>
    <cellStyle name="Финансовый 3 3 2 2 7 2 6" xfId="25164" xr:uid="{AE077DE8-D28B-4D01-9D30-C5943DFB7EAF}"/>
    <cellStyle name="Финансовый 3 3 2 2 7 3" xfId="8059" xr:uid="{00000000-0005-0000-0000-00004C2F0000}"/>
    <cellStyle name="Финансовый 3 3 2 2 7 3 2" xfId="11150" xr:uid="{00000000-0005-0000-0000-00004D2F0000}"/>
    <cellStyle name="Финансовый 3 3 2 2 7 3 2 2" xfId="28239" xr:uid="{9BF26134-2803-4971-B4E6-8CAAEBCD77AE}"/>
    <cellStyle name="Финансовый 3 3 2 2 7 3 3" xfId="14382" xr:uid="{00000000-0005-0000-0000-00004E2F0000}"/>
    <cellStyle name="Финансовый 3 3 2 2 7 3 3 2" xfId="31395" xr:uid="{BB8CF9B4-E85F-4F5B-A14B-923604334A09}"/>
    <cellStyle name="Финансовый 3 3 2 2 7 3 4" xfId="17463" xr:uid="{00000000-0005-0000-0000-00004F2F0000}"/>
    <cellStyle name="Финансовый 3 3 2 2 7 3 4 2" xfId="34476" xr:uid="{D051213B-6C0B-4984-9858-8BC8B74C197D}"/>
    <cellStyle name="Финансовый 3 3 2 2 7 3 5" xfId="25166" xr:uid="{8C69C3A6-1C5F-40BB-A8D0-B6D519243427}"/>
    <cellStyle name="Финансовый 3 3 2 2 7 4" xfId="11147" xr:uid="{00000000-0005-0000-0000-0000502F0000}"/>
    <cellStyle name="Финансовый 3 3 2 2 7 4 2" xfId="28236" xr:uid="{F6E3FCA8-A1A9-467E-A418-622C53110035}"/>
    <cellStyle name="Финансовый 3 3 2 2 7 5" xfId="14379" xr:uid="{00000000-0005-0000-0000-0000512F0000}"/>
    <cellStyle name="Финансовый 3 3 2 2 7 5 2" xfId="31392" xr:uid="{B753DAE5-2577-469C-8251-90E98871D6F7}"/>
    <cellStyle name="Финансовый 3 3 2 2 7 6" xfId="17460" xr:uid="{00000000-0005-0000-0000-0000522F0000}"/>
    <cellStyle name="Финансовый 3 3 2 2 7 6 2" xfId="34473" xr:uid="{04C25F76-EFA7-40A9-9730-53941723913E}"/>
    <cellStyle name="Финансовый 3 3 2 2 7 7" xfId="25163" xr:uid="{E5D35364-5C52-45AD-825B-8226E54A2CC0}"/>
    <cellStyle name="Финансовый 3 3 2 2 8" xfId="8060" xr:uid="{00000000-0005-0000-0000-0000532F0000}"/>
    <cellStyle name="Финансовый 3 3 2 2 8 2" xfId="8061" xr:uid="{00000000-0005-0000-0000-0000542F0000}"/>
    <cellStyle name="Финансовый 3 3 2 2 8 2 2" xfId="11152" xr:uid="{00000000-0005-0000-0000-0000552F0000}"/>
    <cellStyle name="Финансовый 3 3 2 2 8 2 2 2" xfId="28241" xr:uid="{15691383-0494-417C-96C9-6339C5621DC1}"/>
    <cellStyle name="Финансовый 3 3 2 2 8 2 3" xfId="14384" xr:uid="{00000000-0005-0000-0000-0000562F0000}"/>
    <cellStyle name="Финансовый 3 3 2 2 8 2 3 2" xfId="31397" xr:uid="{5E9266A5-5293-4938-B075-6E584CAB8211}"/>
    <cellStyle name="Финансовый 3 3 2 2 8 2 4" xfId="17465" xr:uid="{00000000-0005-0000-0000-0000572F0000}"/>
    <cellStyle name="Финансовый 3 3 2 2 8 2 4 2" xfId="34478" xr:uid="{1545EF2D-9287-421D-8DA1-1794025DDE79}"/>
    <cellStyle name="Финансовый 3 3 2 2 8 2 5" xfId="25168" xr:uid="{76D7B3BD-ABB3-4529-84C7-0CC443758155}"/>
    <cellStyle name="Финансовый 3 3 2 2 8 3" xfId="11151" xr:uid="{00000000-0005-0000-0000-0000582F0000}"/>
    <cellStyle name="Финансовый 3 3 2 2 8 3 2" xfId="28240" xr:uid="{C80A277D-845D-4867-AA7B-A572181F2E66}"/>
    <cellStyle name="Финансовый 3 3 2 2 8 4" xfId="14383" xr:uid="{00000000-0005-0000-0000-0000592F0000}"/>
    <cellStyle name="Финансовый 3 3 2 2 8 4 2" xfId="31396" xr:uid="{92626E33-40BF-4B44-A919-450272E821F8}"/>
    <cellStyle name="Финансовый 3 3 2 2 8 5" xfId="17464" xr:uid="{00000000-0005-0000-0000-00005A2F0000}"/>
    <cellStyle name="Финансовый 3 3 2 2 8 5 2" xfId="34477" xr:uid="{49E4F8DD-4588-43AA-AF83-9B594C46A4F0}"/>
    <cellStyle name="Финансовый 3 3 2 2 8 6" xfId="25167" xr:uid="{09478D71-BB04-46B3-9AC5-EF2E73F2EBF9}"/>
    <cellStyle name="Финансовый 3 3 2 2 9" xfId="8062" xr:uid="{00000000-0005-0000-0000-00005B2F0000}"/>
    <cellStyle name="Финансовый 3 3 2 2 9 2" xfId="11153" xr:uid="{00000000-0005-0000-0000-00005C2F0000}"/>
    <cellStyle name="Финансовый 3 3 2 2 9 2 2" xfId="28242" xr:uid="{7FAC941E-B7B8-442B-ABD4-095CE98B164A}"/>
    <cellStyle name="Финансовый 3 3 2 2 9 3" xfId="14385" xr:uid="{00000000-0005-0000-0000-00005D2F0000}"/>
    <cellStyle name="Финансовый 3 3 2 2 9 3 2" xfId="31398" xr:uid="{6F4CCEBD-5D0B-4AB1-A5FC-7E66DC0B8EDB}"/>
    <cellStyle name="Финансовый 3 3 2 2 9 4" xfId="17466" xr:uid="{00000000-0005-0000-0000-00005E2F0000}"/>
    <cellStyle name="Финансовый 3 3 2 2 9 4 2" xfId="34479" xr:uid="{B87772DD-AB87-4DFA-8800-DB82EB66361C}"/>
    <cellStyle name="Финансовый 3 3 2 2 9 5" xfId="25169" xr:uid="{24496C0D-2B09-4284-9BD6-D8BE7257A759}"/>
    <cellStyle name="Финансовый 3 3 2 3" xfId="8063" xr:uid="{00000000-0005-0000-0000-00005F2F0000}"/>
    <cellStyle name="Финансовый 3 3 2 3 10" xfId="14386" xr:uid="{00000000-0005-0000-0000-0000602F0000}"/>
    <cellStyle name="Финансовый 3 3 2 3 10 2" xfId="31399" xr:uid="{6DD072BD-11B4-4872-AB28-A02559D9D6D3}"/>
    <cellStyle name="Финансовый 3 3 2 3 11" xfId="17467" xr:uid="{00000000-0005-0000-0000-0000612F0000}"/>
    <cellStyle name="Финансовый 3 3 2 3 11 2" xfId="34480" xr:uid="{498FE246-5515-44EC-BEAE-AFC9600AE956}"/>
    <cellStyle name="Финансовый 3 3 2 3 12" xfId="25170" xr:uid="{03059A5B-DAE5-4B48-AE69-111F0237DE31}"/>
    <cellStyle name="Финансовый 3 3 2 3 2" xfId="8064" xr:uid="{00000000-0005-0000-0000-0000622F0000}"/>
    <cellStyle name="Финансовый 3 3 2 3 2 10" xfId="17468" xr:uid="{00000000-0005-0000-0000-0000632F0000}"/>
    <cellStyle name="Финансовый 3 3 2 3 2 10 2" xfId="34481" xr:uid="{BB8267CB-5931-4409-B8F0-851091EF0868}"/>
    <cellStyle name="Финансовый 3 3 2 3 2 11" xfId="25171" xr:uid="{37985B68-A3A2-4910-88B5-8D78D7B0BCB7}"/>
    <cellStyle name="Финансовый 3 3 2 3 2 2" xfId="8065" xr:uid="{00000000-0005-0000-0000-0000642F0000}"/>
    <cellStyle name="Финансовый 3 3 2 3 2 2 10" xfId="25172" xr:uid="{30A91A1B-37FA-44FD-8B94-518D30145A09}"/>
    <cellStyle name="Финансовый 3 3 2 3 2 2 2" xfId="8066" xr:uid="{00000000-0005-0000-0000-0000652F0000}"/>
    <cellStyle name="Финансовый 3 3 2 3 2 2 2 2" xfId="8067" xr:uid="{00000000-0005-0000-0000-0000662F0000}"/>
    <cellStyle name="Финансовый 3 3 2 3 2 2 2 2 2" xfId="8068" xr:uid="{00000000-0005-0000-0000-0000672F0000}"/>
    <cellStyle name="Финансовый 3 3 2 3 2 2 2 2 2 2" xfId="8069" xr:uid="{00000000-0005-0000-0000-0000682F0000}"/>
    <cellStyle name="Финансовый 3 3 2 3 2 2 2 2 2 2 2" xfId="8070" xr:uid="{00000000-0005-0000-0000-0000692F0000}"/>
    <cellStyle name="Финансовый 3 3 2 3 2 2 2 2 2 2 2 2" xfId="11161" xr:uid="{00000000-0005-0000-0000-00006A2F0000}"/>
    <cellStyle name="Финансовый 3 3 2 3 2 2 2 2 2 2 2 2 2" xfId="28250" xr:uid="{AF97B4F3-6992-4271-9C99-BC7B39A26E55}"/>
    <cellStyle name="Финансовый 3 3 2 3 2 2 2 2 2 2 2 3" xfId="14393" xr:uid="{00000000-0005-0000-0000-00006B2F0000}"/>
    <cellStyle name="Финансовый 3 3 2 3 2 2 2 2 2 2 2 3 2" xfId="31406" xr:uid="{5EEFA759-70E4-468D-8772-F8F77F095F54}"/>
    <cellStyle name="Финансовый 3 3 2 3 2 2 2 2 2 2 2 4" xfId="17474" xr:uid="{00000000-0005-0000-0000-00006C2F0000}"/>
    <cellStyle name="Финансовый 3 3 2 3 2 2 2 2 2 2 2 4 2" xfId="34487" xr:uid="{7F49808D-F5CC-4ECA-BAB2-A948A10252ED}"/>
    <cellStyle name="Финансовый 3 3 2 3 2 2 2 2 2 2 2 5" xfId="25177" xr:uid="{53FC9DA3-6C69-41D4-845B-706365A33E59}"/>
    <cellStyle name="Финансовый 3 3 2 3 2 2 2 2 2 2 3" xfId="11160" xr:uid="{00000000-0005-0000-0000-00006D2F0000}"/>
    <cellStyle name="Финансовый 3 3 2 3 2 2 2 2 2 2 3 2" xfId="28249" xr:uid="{AC4B7F1E-4C41-4500-A748-A77B94244AA4}"/>
    <cellStyle name="Финансовый 3 3 2 3 2 2 2 2 2 2 4" xfId="14392" xr:uid="{00000000-0005-0000-0000-00006E2F0000}"/>
    <cellStyle name="Финансовый 3 3 2 3 2 2 2 2 2 2 4 2" xfId="31405" xr:uid="{2396E4E3-FEA2-4632-A0AF-D0C93989B81E}"/>
    <cellStyle name="Финансовый 3 3 2 3 2 2 2 2 2 2 5" xfId="17473" xr:uid="{00000000-0005-0000-0000-00006F2F0000}"/>
    <cellStyle name="Финансовый 3 3 2 3 2 2 2 2 2 2 5 2" xfId="34486" xr:uid="{599B2F7E-A412-4268-8E77-25AF8D73C7FA}"/>
    <cellStyle name="Финансовый 3 3 2 3 2 2 2 2 2 2 6" xfId="25176" xr:uid="{4A9AC291-6CB2-4B24-A62C-EE99F2B9BE91}"/>
    <cellStyle name="Финансовый 3 3 2 3 2 2 2 2 2 3" xfId="8071" xr:uid="{00000000-0005-0000-0000-0000702F0000}"/>
    <cellStyle name="Финансовый 3 3 2 3 2 2 2 2 2 3 2" xfId="11162" xr:uid="{00000000-0005-0000-0000-0000712F0000}"/>
    <cellStyle name="Финансовый 3 3 2 3 2 2 2 2 2 3 2 2" xfId="28251" xr:uid="{DC1AF913-C3D0-42D0-81B6-1160548F3B67}"/>
    <cellStyle name="Финансовый 3 3 2 3 2 2 2 2 2 3 3" xfId="14394" xr:uid="{00000000-0005-0000-0000-0000722F0000}"/>
    <cellStyle name="Финансовый 3 3 2 3 2 2 2 2 2 3 3 2" xfId="31407" xr:uid="{A8B97E08-1DF9-499C-8DA9-D57522D3BA87}"/>
    <cellStyle name="Финансовый 3 3 2 3 2 2 2 2 2 3 4" xfId="17475" xr:uid="{00000000-0005-0000-0000-0000732F0000}"/>
    <cellStyle name="Финансовый 3 3 2 3 2 2 2 2 2 3 4 2" xfId="34488" xr:uid="{567C9549-8612-4A28-A6D1-69C3EFDC2FF4}"/>
    <cellStyle name="Финансовый 3 3 2 3 2 2 2 2 2 3 5" xfId="25178" xr:uid="{F33DA660-A5B9-476F-A839-BCBF1A8C739C}"/>
    <cellStyle name="Финансовый 3 3 2 3 2 2 2 2 2 4" xfId="11159" xr:uid="{00000000-0005-0000-0000-0000742F0000}"/>
    <cellStyle name="Финансовый 3 3 2 3 2 2 2 2 2 4 2" xfId="28248" xr:uid="{9D7EE61F-39BC-49A0-90EE-0EF000CC866D}"/>
    <cellStyle name="Финансовый 3 3 2 3 2 2 2 2 2 5" xfId="14391" xr:uid="{00000000-0005-0000-0000-0000752F0000}"/>
    <cellStyle name="Финансовый 3 3 2 3 2 2 2 2 2 5 2" xfId="31404" xr:uid="{626F437E-4643-475F-800D-BAC0830C5934}"/>
    <cellStyle name="Финансовый 3 3 2 3 2 2 2 2 2 6" xfId="17472" xr:uid="{00000000-0005-0000-0000-0000762F0000}"/>
    <cellStyle name="Финансовый 3 3 2 3 2 2 2 2 2 6 2" xfId="34485" xr:uid="{ECDDD6ED-2598-493C-A462-AF8BA1915FFE}"/>
    <cellStyle name="Финансовый 3 3 2 3 2 2 2 2 2 7" xfId="25175" xr:uid="{42231C34-28F9-4C2D-AF95-654C8D511499}"/>
    <cellStyle name="Финансовый 3 3 2 3 2 2 2 2 3" xfId="8072" xr:uid="{00000000-0005-0000-0000-0000772F0000}"/>
    <cellStyle name="Финансовый 3 3 2 3 2 2 2 2 3 2" xfId="8073" xr:uid="{00000000-0005-0000-0000-0000782F0000}"/>
    <cellStyle name="Финансовый 3 3 2 3 2 2 2 2 3 2 2" xfId="11164" xr:uid="{00000000-0005-0000-0000-0000792F0000}"/>
    <cellStyle name="Финансовый 3 3 2 3 2 2 2 2 3 2 2 2" xfId="28253" xr:uid="{CEB30F4E-92E6-4579-BA6D-84FC34AF1EF4}"/>
    <cellStyle name="Финансовый 3 3 2 3 2 2 2 2 3 2 3" xfId="14396" xr:uid="{00000000-0005-0000-0000-00007A2F0000}"/>
    <cellStyle name="Финансовый 3 3 2 3 2 2 2 2 3 2 3 2" xfId="31409" xr:uid="{CB640011-F9E6-47BF-B676-277210D4A906}"/>
    <cellStyle name="Финансовый 3 3 2 3 2 2 2 2 3 2 4" xfId="17477" xr:uid="{00000000-0005-0000-0000-00007B2F0000}"/>
    <cellStyle name="Финансовый 3 3 2 3 2 2 2 2 3 2 4 2" xfId="34490" xr:uid="{93DBBE83-8F3F-4940-943B-E45D13BBD644}"/>
    <cellStyle name="Финансовый 3 3 2 3 2 2 2 2 3 2 5" xfId="25180" xr:uid="{6EAA148F-427D-49FF-83BD-D8D6F515CBA7}"/>
    <cellStyle name="Финансовый 3 3 2 3 2 2 2 2 3 3" xfId="11163" xr:uid="{00000000-0005-0000-0000-00007C2F0000}"/>
    <cellStyle name="Финансовый 3 3 2 3 2 2 2 2 3 3 2" xfId="28252" xr:uid="{117D4DFD-0B92-4AEA-93C5-1ED26609C760}"/>
    <cellStyle name="Финансовый 3 3 2 3 2 2 2 2 3 4" xfId="14395" xr:uid="{00000000-0005-0000-0000-00007D2F0000}"/>
    <cellStyle name="Финансовый 3 3 2 3 2 2 2 2 3 4 2" xfId="31408" xr:uid="{646DB733-8A3E-49F5-BD59-AC6EB0BFFD10}"/>
    <cellStyle name="Финансовый 3 3 2 3 2 2 2 2 3 5" xfId="17476" xr:uid="{00000000-0005-0000-0000-00007E2F0000}"/>
    <cellStyle name="Финансовый 3 3 2 3 2 2 2 2 3 5 2" xfId="34489" xr:uid="{C17B678A-F2C5-4943-B1F2-B7B8FD72062C}"/>
    <cellStyle name="Финансовый 3 3 2 3 2 2 2 2 3 6" xfId="25179" xr:uid="{A8D3F474-455E-4154-A6A5-565B7EF07CA8}"/>
    <cellStyle name="Финансовый 3 3 2 3 2 2 2 2 4" xfId="8074" xr:uid="{00000000-0005-0000-0000-00007F2F0000}"/>
    <cellStyle name="Финансовый 3 3 2 3 2 2 2 2 4 2" xfId="11165" xr:uid="{00000000-0005-0000-0000-0000802F0000}"/>
    <cellStyle name="Финансовый 3 3 2 3 2 2 2 2 4 2 2" xfId="28254" xr:uid="{09030772-FA45-4D88-92B2-99FDD25B9A64}"/>
    <cellStyle name="Финансовый 3 3 2 3 2 2 2 2 4 3" xfId="14397" xr:uid="{00000000-0005-0000-0000-0000812F0000}"/>
    <cellStyle name="Финансовый 3 3 2 3 2 2 2 2 4 3 2" xfId="31410" xr:uid="{6F27A902-D0DB-4DE1-A6BB-FC43BEF836A8}"/>
    <cellStyle name="Финансовый 3 3 2 3 2 2 2 2 4 4" xfId="17478" xr:uid="{00000000-0005-0000-0000-0000822F0000}"/>
    <cellStyle name="Финансовый 3 3 2 3 2 2 2 2 4 4 2" xfId="34491" xr:uid="{DB97884B-B648-4E9B-8D83-226F7DBA2086}"/>
    <cellStyle name="Финансовый 3 3 2 3 2 2 2 2 4 5" xfId="25181" xr:uid="{E2CC0C43-7A0F-443D-9480-E4580F69ED0D}"/>
    <cellStyle name="Финансовый 3 3 2 3 2 2 2 2 5" xfId="11158" xr:uid="{00000000-0005-0000-0000-0000832F0000}"/>
    <cellStyle name="Финансовый 3 3 2 3 2 2 2 2 5 2" xfId="28247" xr:uid="{893FA82E-0CB8-46E2-A29F-311A1A32F4B1}"/>
    <cellStyle name="Финансовый 3 3 2 3 2 2 2 2 6" xfId="14390" xr:uid="{00000000-0005-0000-0000-0000842F0000}"/>
    <cellStyle name="Финансовый 3 3 2 3 2 2 2 2 6 2" xfId="31403" xr:uid="{FBDEEC38-B61F-44FB-912B-96815A0DCC5D}"/>
    <cellStyle name="Финансовый 3 3 2 3 2 2 2 2 7" xfId="17471" xr:uid="{00000000-0005-0000-0000-0000852F0000}"/>
    <cellStyle name="Финансовый 3 3 2 3 2 2 2 2 7 2" xfId="34484" xr:uid="{437902B1-CFC4-49AC-BF4C-03AE2FA74831}"/>
    <cellStyle name="Финансовый 3 3 2 3 2 2 2 2 8" xfId="25174" xr:uid="{73A93500-74E3-44FC-AABD-6EBED015BE58}"/>
    <cellStyle name="Финансовый 3 3 2 3 2 2 2 3" xfId="8075" xr:uid="{00000000-0005-0000-0000-0000862F0000}"/>
    <cellStyle name="Финансовый 3 3 2 3 2 2 2 3 2" xfId="8076" xr:uid="{00000000-0005-0000-0000-0000872F0000}"/>
    <cellStyle name="Финансовый 3 3 2 3 2 2 2 3 2 2" xfId="8077" xr:uid="{00000000-0005-0000-0000-0000882F0000}"/>
    <cellStyle name="Финансовый 3 3 2 3 2 2 2 3 2 2 2" xfId="11168" xr:uid="{00000000-0005-0000-0000-0000892F0000}"/>
    <cellStyle name="Финансовый 3 3 2 3 2 2 2 3 2 2 2 2" xfId="28257" xr:uid="{753622BD-570E-4AC3-88B1-8E0ECB2246C5}"/>
    <cellStyle name="Финансовый 3 3 2 3 2 2 2 3 2 2 3" xfId="14400" xr:uid="{00000000-0005-0000-0000-00008A2F0000}"/>
    <cellStyle name="Финансовый 3 3 2 3 2 2 2 3 2 2 3 2" xfId="31413" xr:uid="{537D0368-9F0D-4AAA-8849-CC40C3F4779E}"/>
    <cellStyle name="Финансовый 3 3 2 3 2 2 2 3 2 2 4" xfId="17481" xr:uid="{00000000-0005-0000-0000-00008B2F0000}"/>
    <cellStyle name="Финансовый 3 3 2 3 2 2 2 3 2 2 4 2" xfId="34494" xr:uid="{2FE62F8F-37B3-4752-94B3-0861F09E76F2}"/>
    <cellStyle name="Финансовый 3 3 2 3 2 2 2 3 2 2 5" xfId="25184" xr:uid="{A82031B7-493D-42A3-85F7-F7C5E82E94AB}"/>
    <cellStyle name="Финансовый 3 3 2 3 2 2 2 3 2 3" xfId="11167" xr:uid="{00000000-0005-0000-0000-00008C2F0000}"/>
    <cellStyle name="Финансовый 3 3 2 3 2 2 2 3 2 3 2" xfId="28256" xr:uid="{078A24F8-755D-48DE-987F-F5C1A8C88BD4}"/>
    <cellStyle name="Финансовый 3 3 2 3 2 2 2 3 2 4" xfId="14399" xr:uid="{00000000-0005-0000-0000-00008D2F0000}"/>
    <cellStyle name="Финансовый 3 3 2 3 2 2 2 3 2 4 2" xfId="31412" xr:uid="{291F02C3-12C1-4504-86CF-51B192FDAE33}"/>
    <cellStyle name="Финансовый 3 3 2 3 2 2 2 3 2 5" xfId="17480" xr:uid="{00000000-0005-0000-0000-00008E2F0000}"/>
    <cellStyle name="Финансовый 3 3 2 3 2 2 2 3 2 5 2" xfId="34493" xr:uid="{BFA271F9-60A2-4054-B6FA-79B6958391A7}"/>
    <cellStyle name="Финансовый 3 3 2 3 2 2 2 3 2 6" xfId="25183" xr:uid="{74D291C3-793A-4B37-9414-6F127F2096CA}"/>
    <cellStyle name="Финансовый 3 3 2 3 2 2 2 3 3" xfId="8078" xr:uid="{00000000-0005-0000-0000-00008F2F0000}"/>
    <cellStyle name="Финансовый 3 3 2 3 2 2 2 3 3 2" xfId="11169" xr:uid="{00000000-0005-0000-0000-0000902F0000}"/>
    <cellStyle name="Финансовый 3 3 2 3 2 2 2 3 3 2 2" xfId="28258" xr:uid="{C903C63A-B25F-414C-9D63-E393CCF14013}"/>
    <cellStyle name="Финансовый 3 3 2 3 2 2 2 3 3 3" xfId="14401" xr:uid="{00000000-0005-0000-0000-0000912F0000}"/>
    <cellStyle name="Финансовый 3 3 2 3 2 2 2 3 3 3 2" xfId="31414" xr:uid="{DCA1AE21-C2BA-40EF-B80D-C7F8C6E01C0B}"/>
    <cellStyle name="Финансовый 3 3 2 3 2 2 2 3 3 4" xfId="17482" xr:uid="{00000000-0005-0000-0000-0000922F0000}"/>
    <cellStyle name="Финансовый 3 3 2 3 2 2 2 3 3 4 2" xfId="34495" xr:uid="{62560CE9-8951-439E-B626-23CAF7396D75}"/>
    <cellStyle name="Финансовый 3 3 2 3 2 2 2 3 3 5" xfId="25185" xr:uid="{A6092261-26FC-4207-955A-90710BDFD0A7}"/>
    <cellStyle name="Финансовый 3 3 2 3 2 2 2 3 4" xfId="11166" xr:uid="{00000000-0005-0000-0000-0000932F0000}"/>
    <cellStyle name="Финансовый 3 3 2 3 2 2 2 3 4 2" xfId="28255" xr:uid="{2E354B7D-0F47-4D0E-B78B-D21574652725}"/>
    <cellStyle name="Финансовый 3 3 2 3 2 2 2 3 5" xfId="14398" xr:uid="{00000000-0005-0000-0000-0000942F0000}"/>
    <cellStyle name="Финансовый 3 3 2 3 2 2 2 3 5 2" xfId="31411" xr:uid="{A19E53E9-FC1C-45C6-9B77-42E1A2AC3239}"/>
    <cellStyle name="Финансовый 3 3 2 3 2 2 2 3 6" xfId="17479" xr:uid="{00000000-0005-0000-0000-0000952F0000}"/>
    <cellStyle name="Финансовый 3 3 2 3 2 2 2 3 6 2" xfId="34492" xr:uid="{EA744A69-1670-4719-AC66-52B9B301E407}"/>
    <cellStyle name="Финансовый 3 3 2 3 2 2 2 3 7" xfId="25182" xr:uid="{ACD4236E-F0FE-48FD-BE74-CC33FB82A500}"/>
    <cellStyle name="Финансовый 3 3 2 3 2 2 2 4" xfId="8079" xr:uid="{00000000-0005-0000-0000-0000962F0000}"/>
    <cellStyle name="Финансовый 3 3 2 3 2 2 2 4 2" xfId="8080" xr:uid="{00000000-0005-0000-0000-0000972F0000}"/>
    <cellStyle name="Финансовый 3 3 2 3 2 2 2 4 2 2" xfId="11171" xr:uid="{00000000-0005-0000-0000-0000982F0000}"/>
    <cellStyle name="Финансовый 3 3 2 3 2 2 2 4 2 2 2" xfId="28260" xr:uid="{B95077A1-B0CB-49F9-BA7B-41D8D54FE184}"/>
    <cellStyle name="Финансовый 3 3 2 3 2 2 2 4 2 3" xfId="14403" xr:uid="{00000000-0005-0000-0000-0000992F0000}"/>
    <cellStyle name="Финансовый 3 3 2 3 2 2 2 4 2 3 2" xfId="31416" xr:uid="{D7D94021-6D02-4009-960A-C1D1CB43285F}"/>
    <cellStyle name="Финансовый 3 3 2 3 2 2 2 4 2 4" xfId="17484" xr:uid="{00000000-0005-0000-0000-00009A2F0000}"/>
    <cellStyle name="Финансовый 3 3 2 3 2 2 2 4 2 4 2" xfId="34497" xr:uid="{46CDCE4A-4A0E-448A-9709-AD9B3465E723}"/>
    <cellStyle name="Финансовый 3 3 2 3 2 2 2 4 2 5" xfId="25187" xr:uid="{2B8706A0-918E-4131-A3C6-5A5FF7AB3CC2}"/>
    <cellStyle name="Финансовый 3 3 2 3 2 2 2 4 3" xfId="11170" xr:uid="{00000000-0005-0000-0000-00009B2F0000}"/>
    <cellStyle name="Финансовый 3 3 2 3 2 2 2 4 3 2" xfId="28259" xr:uid="{B8EDE088-3F05-438E-9EC6-6F5B9F1E78CB}"/>
    <cellStyle name="Финансовый 3 3 2 3 2 2 2 4 4" xfId="14402" xr:uid="{00000000-0005-0000-0000-00009C2F0000}"/>
    <cellStyle name="Финансовый 3 3 2 3 2 2 2 4 4 2" xfId="31415" xr:uid="{68A1B528-598E-47FC-B8D7-91A2BC82D101}"/>
    <cellStyle name="Финансовый 3 3 2 3 2 2 2 4 5" xfId="17483" xr:uid="{00000000-0005-0000-0000-00009D2F0000}"/>
    <cellStyle name="Финансовый 3 3 2 3 2 2 2 4 5 2" xfId="34496" xr:uid="{580C81AA-4257-4071-BE19-20A3BDEAF3EA}"/>
    <cellStyle name="Финансовый 3 3 2 3 2 2 2 4 6" xfId="25186" xr:uid="{D9393AA3-F4CB-4232-8F81-F3FBA92912A2}"/>
    <cellStyle name="Финансовый 3 3 2 3 2 2 2 5" xfId="8081" xr:uid="{00000000-0005-0000-0000-00009E2F0000}"/>
    <cellStyle name="Финансовый 3 3 2 3 2 2 2 5 2" xfId="11172" xr:uid="{00000000-0005-0000-0000-00009F2F0000}"/>
    <cellStyle name="Финансовый 3 3 2 3 2 2 2 5 2 2" xfId="28261" xr:uid="{D950C490-EEC3-4022-9302-AA299F755781}"/>
    <cellStyle name="Финансовый 3 3 2 3 2 2 2 5 3" xfId="14404" xr:uid="{00000000-0005-0000-0000-0000A02F0000}"/>
    <cellStyle name="Финансовый 3 3 2 3 2 2 2 5 3 2" xfId="31417" xr:uid="{1D4E20E6-2117-4884-A2F8-066485037387}"/>
    <cellStyle name="Финансовый 3 3 2 3 2 2 2 5 4" xfId="17485" xr:uid="{00000000-0005-0000-0000-0000A12F0000}"/>
    <cellStyle name="Финансовый 3 3 2 3 2 2 2 5 4 2" xfId="34498" xr:uid="{E97ECAF0-5CD3-4390-86D9-CBCA21732D77}"/>
    <cellStyle name="Финансовый 3 3 2 3 2 2 2 5 5" xfId="25188" xr:uid="{CC890E08-BCE6-41F0-8FC3-B6D3CD38019F}"/>
    <cellStyle name="Финансовый 3 3 2 3 2 2 2 6" xfId="11157" xr:uid="{00000000-0005-0000-0000-0000A22F0000}"/>
    <cellStyle name="Финансовый 3 3 2 3 2 2 2 6 2" xfId="28246" xr:uid="{2FA56E96-B2FF-47A8-A7CF-AAF0090B33C4}"/>
    <cellStyle name="Финансовый 3 3 2 3 2 2 2 7" xfId="14389" xr:uid="{00000000-0005-0000-0000-0000A32F0000}"/>
    <cellStyle name="Финансовый 3 3 2 3 2 2 2 7 2" xfId="31402" xr:uid="{8D50413D-730D-4114-BEDB-D6721FE5D8CB}"/>
    <cellStyle name="Финансовый 3 3 2 3 2 2 2 8" xfId="17470" xr:uid="{00000000-0005-0000-0000-0000A42F0000}"/>
    <cellStyle name="Финансовый 3 3 2 3 2 2 2 8 2" xfId="34483" xr:uid="{99015465-8B6E-4271-BBA8-50DDFC4AB827}"/>
    <cellStyle name="Финансовый 3 3 2 3 2 2 2 9" xfId="25173" xr:uid="{EF8856EA-4BEA-4FAA-808D-8DB63CFDEAE7}"/>
    <cellStyle name="Финансовый 3 3 2 3 2 2 3" xfId="8082" xr:uid="{00000000-0005-0000-0000-0000A52F0000}"/>
    <cellStyle name="Финансовый 3 3 2 3 2 2 3 2" xfId="8083" xr:uid="{00000000-0005-0000-0000-0000A62F0000}"/>
    <cellStyle name="Финансовый 3 3 2 3 2 2 3 2 2" xfId="8084" xr:uid="{00000000-0005-0000-0000-0000A72F0000}"/>
    <cellStyle name="Финансовый 3 3 2 3 2 2 3 2 2 2" xfId="8085" xr:uid="{00000000-0005-0000-0000-0000A82F0000}"/>
    <cellStyle name="Финансовый 3 3 2 3 2 2 3 2 2 2 2" xfId="11176" xr:uid="{00000000-0005-0000-0000-0000A92F0000}"/>
    <cellStyle name="Финансовый 3 3 2 3 2 2 3 2 2 2 2 2" xfId="28265" xr:uid="{FA3BF771-6BDC-4417-9230-62C2C5DE0F46}"/>
    <cellStyle name="Финансовый 3 3 2 3 2 2 3 2 2 2 3" xfId="14408" xr:uid="{00000000-0005-0000-0000-0000AA2F0000}"/>
    <cellStyle name="Финансовый 3 3 2 3 2 2 3 2 2 2 3 2" xfId="31421" xr:uid="{EBB1F23E-35A6-473F-BD1B-5065843AD8E6}"/>
    <cellStyle name="Финансовый 3 3 2 3 2 2 3 2 2 2 4" xfId="17489" xr:uid="{00000000-0005-0000-0000-0000AB2F0000}"/>
    <cellStyle name="Финансовый 3 3 2 3 2 2 3 2 2 2 4 2" xfId="34502" xr:uid="{5B06156E-8B51-417F-88EF-E38C2DF36FA6}"/>
    <cellStyle name="Финансовый 3 3 2 3 2 2 3 2 2 2 5" xfId="25192" xr:uid="{6466806E-A29E-4090-BE42-10D5D14E7EBF}"/>
    <cellStyle name="Финансовый 3 3 2 3 2 2 3 2 2 3" xfId="11175" xr:uid="{00000000-0005-0000-0000-0000AC2F0000}"/>
    <cellStyle name="Финансовый 3 3 2 3 2 2 3 2 2 3 2" xfId="28264" xr:uid="{9A249F98-6881-4B13-901D-447D869DF562}"/>
    <cellStyle name="Финансовый 3 3 2 3 2 2 3 2 2 4" xfId="14407" xr:uid="{00000000-0005-0000-0000-0000AD2F0000}"/>
    <cellStyle name="Финансовый 3 3 2 3 2 2 3 2 2 4 2" xfId="31420" xr:uid="{7B42A633-6085-4AA5-B9D2-DEC03C9F05D7}"/>
    <cellStyle name="Финансовый 3 3 2 3 2 2 3 2 2 5" xfId="17488" xr:uid="{00000000-0005-0000-0000-0000AE2F0000}"/>
    <cellStyle name="Финансовый 3 3 2 3 2 2 3 2 2 5 2" xfId="34501" xr:uid="{DFB72226-9D1A-4FFC-BA40-ECEC49A03DD9}"/>
    <cellStyle name="Финансовый 3 3 2 3 2 2 3 2 2 6" xfId="25191" xr:uid="{8CC7F240-2670-4CA5-8881-A3B5BA33B6BF}"/>
    <cellStyle name="Финансовый 3 3 2 3 2 2 3 2 3" xfId="8086" xr:uid="{00000000-0005-0000-0000-0000AF2F0000}"/>
    <cellStyle name="Финансовый 3 3 2 3 2 2 3 2 3 2" xfId="11177" xr:uid="{00000000-0005-0000-0000-0000B02F0000}"/>
    <cellStyle name="Финансовый 3 3 2 3 2 2 3 2 3 2 2" xfId="28266" xr:uid="{E375384F-5C26-442B-9B54-834618136FAA}"/>
    <cellStyle name="Финансовый 3 3 2 3 2 2 3 2 3 3" xfId="14409" xr:uid="{00000000-0005-0000-0000-0000B12F0000}"/>
    <cellStyle name="Финансовый 3 3 2 3 2 2 3 2 3 3 2" xfId="31422" xr:uid="{B5E9052C-AB87-4FD5-836B-CDAF09174247}"/>
    <cellStyle name="Финансовый 3 3 2 3 2 2 3 2 3 4" xfId="17490" xr:uid="{00000000-0005-0000-0000-0000B22F0000}"/>
    <cellStyle name="Финансовый 3 3 2 3 2 2 3 2 3 4 2" xfId="34503" xr:uid="{B1461746-A027-4E78-A355-DC9D9221147A}"/>
    <cellStyle name="Финансовый 3 3 2 3 2 2 3 2 3 5" xfId="25193" xr:uid="{13193FEB-FD0B-4B21-8C53-4AD8551B9A86}"/>
    <cellStyle name="Финансовый 3 3 2 3 2 2 3 2 4" xfId="11174" xr:uid="{00000000-0005-0000-0000-0000B32F0000}"/>
    <cellStyle name="Финансовый 3 3 2 3 2 2 3 2 4 2" xfId="28263" xr:uid="{977A8210-84C0-437A-8C22-128079EF66DD}"/>
    <cellStyle name="Финансовый 3 3 2 3 2 2 3 2 5" xfId="14406" xr:uid="{00000000-0005-0000-0000-0000B42F0000}"/>
    <cellStyle name="Финансовый 3 3 2 3 2 2 3 2 5 2" xfId="31419" xr:uid="{50FE3E52-52B0-490A-8C5E-5954697A2C41}"/>
    <cellStyle name="Финансовый 3 3 2 3 2 2 3 2 6" xfId="17487" xr:uid="{00000000-0005-0000-0000-0000B52F0000}"/>
    <cellStyle name="Финансовый 3 3 2 3 2 2 3 2 6 2" xfId="34500" xr:uid="{D19EE97D-1F3A-44AF-951C-5169825E9B43}"/>
    <cellStyle name="Финансовый 3 3 2 3 2 2 3 2 7" xfId="25190" xr:uid="{1755CC33-828A-40CB-AF66-E31E9B60088E}"/>
    <cellStyle name="Финансовый 3 3 2 3 2 2 3 3" xfId="8087" xr:uid="{00000000-0005-0000-0000-0000B62F0000}"/>
    <cellStyle name="Финансовый 3 3 2 3 2 2 3 3 2" xfId="8088" xr:uid="{00000000-0005-0000-0000-0000B72F0000}"/>
    <cellStyle name="Финансовый 3 3 2 3 2 2 3 3 2 2" xfId="11179" xr:uid="{00000000-0005-0000-0000-0000B82F0000}"/>
    <cellStyle name="Финансовый 3 3 2 3 2 2 3 3 2 2 2" xfId="28268" xr:uid="{4909EE17-C565-4E9B-B0BF-D5BF937299E5}"/>
    <cellStyle name="Финансовый 3 3 2 3 2 2 3 3 2 3" xfId="14411" xr:uid="{00000000-0005-0000-0000-0000B92F0000}"/>
    <cellStyle name="Финансовый 3 3 2 3 2 2 3 3 2 3 2" xfId="31424" xr:uid="{66785EA7-F8E0-44E9-BFCC-12AE5EC5BB0A}"/>
    <cellStyle name="Финансовый 3 3 2 3 2 2 3 3 2 4" xfId="17492" xr:uid="{00000000-0005-0000-0000-0000BA2F0000}"/>
    <cellStyle name="Финансовый 3 3 2 3 2 2 3 3 2 4 2" xfId="34505" xr:uid="{7DE8E896-C5EE-477D-B430-12C8E72BCE2E}"/>
    <cellStyle name="Финансовый 3 3 2 3 2 2 3 3 2 5" xfId="25195" xr:uid="{F0CA134E-5DC4-4B2C-AB49-E0DAC2B8F72F}"/>
    <cellStyle name="Финансовый 3 3 2 3 2 2 3 3 3" xfId="11178" xr:uid="{00000000-0005-0000-0000-0000BB2F0000}"/>
    <cellStyle name="Финансовый 3 3 2 3 2 2 3 3 3 2" xfId="28267" xr:uid="{2E7404DA-0B55-4F6E-AE78-7BCBE54FB177}"/>
    <cellStyle name="Финансовый 3 3 2 3 2 2 3 3 4" xfId="14410" xr:uid="{00000000-0005-0000-0000-0000BC2F0000}"/>
    <cellStyle name="Финансовый 3 3 2 3 2 2 3 3 4 2" xfId="31423" xr:uid="{39681AD6-4BA2-425D-A0C6-E4292875DDA1}"/>
    <cellStyle name="Финансовый 3 3 2 3 2 2 3 3 5" xfId="17491" xr:uid="{00000000-0005-0000-0000-0000BD2F0000}"/>
    <cellStyle name="Финансовый 3 3 2 3 2 2 3 3 5 2" xfId="34504" xr:uid="{5A3469CD-6E96-468E-A8AD-EC6C5AC8891A}"/>
    <cellStyle name="Финансовый 3 3 2 3 2 2 3 3 6" xfId="25194" xr:uid="{F988A577-7EEF-44E8-AE14-FA3B889AA77E}"/>
    <cellStyle name="Финансовый 3 3 2 3 2 2 3 4" xfId="8089" xr:uid="{00000000-0005-0000-0000-0000BE2F0000}"/>
    <cellStyle name="Финансовый 3 3 2 3 2 2 3 4 2" xfId="11180" xr:uid="{00000000-0005-0000-0000-0000BF2F0000}"/>
    <cellStyle name="Финансовый 3 3 2 3 2 2 3 4 2 2" xfId="28269" xr:uid="{6F141048-A30B-4CC9-BF49-AB9879F1E93E}"/>
    <cellStyle name="Финансовый 3 3 2 3 2 2 3 4 3" xfId="14412" xr:uid="{00000000-0005-0000-0000-0000C02F0000}"/>
    <cellStyle name="Финансовый 3 3 2 3 2 2 3 4 3 2" xfId="31425" xr:uid="{8FF5E28C-1FD2-45D1-A220-79EA668444CF}"/>
    <cellStyle name="Финансовый 3 3 2 3 2 2 3 4 4" xfId="17493" xr:uid="{00000000-0005-0000-0000-0000C12F0000}"/>
    <cellStyle name="Финансовый 3 3 2 3 2 2 3 4 4 2" xfId="34506" xr:uid="{7FF524D4-9984-466C-851E-0EBB203508F9}"/>
    <cellStyle name="Финансовый 3 3 2 3 2 2 3 4 5" xfId="25196" xr:uid="{B16B742A-4EA8-4F6F-A78F-E95887B694F9}"/>
    <cellStyle name="Финансовый 3 3 2 3 2 2 3 5" xfId="11173" xr:uid="{00000000-0005-0000-0000-0000C22F0000}"/>
    <cellStyle name="Финансовый 3 3 2 3 2 2 3 5 2" xfId="28262" xr:uid="{D90D6E51-F326-4195-B458-C7B645EEAA3A}"/>
    <cellStyle name="Финансовый 3 3 2 3 2 2 3 6" xfId="14405" xr:uid="{00000000-0005-0000-0000-0000C32F0000}"/>
    <cellStyle name="Финансовый 3 3 2 3 2 2 3 6 2" xfId="31418" xr:uid="{673A47B9-EB2A-4C5E-A96A-98BD5AB29E54}"/>
    <cellStyle name="Финансовый 3 3 2 3 2 2 3 7" xfId="17486" xr:uid="{00000000-0005-0000-0000-0000C42F0000}"/>
    <cellStyle name="Финансовый 3 3 2 3 2 2 3 7 2" xfId="34499" xr:uid="{B4618237-B7CE-4873-92F3-67F535935DE2}"/>
    <cellStyle name="Финансовый 3 3 2 3 2 2 3 8" xfId="25189" xr:uid="{1B9A7F94-1EA1-42E0-BA0C-D2E3E92778FF}"/>
    <cellStyle name="Финансовый 3 3 2 3 2 2 4" xfId="8090" xr:uid="{00000000-0005-0000-0000-0000C52F0000}"/>
    <cellStyle name="Финансовый 3 3 2 3 2 2 4 2" xfId="8091" xr:uid="{00000000-0005-0000-0000-0000C62F0000}"/>
    <cellStyle name="Финансовый 3 3 2 3 2 2 4 2 2" xfId="8092" xr:uid="{00000000-0005-0000-0000-0000C72F0000}"/>
    <cellStyle name="Финансовый 3 3 2 3 2 2 4 2 2 2" xfId="11183" xr:uid="{00000000-0005-0000-0000-0000C82F0000}"/>
    <cellStyle name="Финансовый 3 3 2 3 2 2 4 2 2 2 2" xfId="28272" xr:uid="{1EEC430C-E18D-4599-8BC1-F8F3CFD3C062}"/>
    <cellStyle name="Финансовый 3 3 2 3 2 2 4 2 2 3" xfId="14415" xr:uid="{00000000-0005-0000-0000-0000C92F0000}"/>
    <cellStyle name="Финансовый 3 3 2 3 2 2 4 2 2 3 2" xfId="31428" xr:uid="{A9FA651C-86B2-4952-B4BA-2617F945310E}"/>
    <cellStyle name="Финансовый 3 3 2 3 2 2 4 2 2 4" xfId="17496" xr:uid="{00000000-0005-0000-0000-0000CA2F0000}"/>
    <cellStyle name="Финансовый 3 3 2 3 2 2 4 2 2 4 2" xfId="34509" xr:uid="{A91DB70C-FB25-4F28-BC26-4C412C807C79}"/>
    <cellStyle name="Финансовый 3 3 2 3 2 2 4 2 2 5" xfId="25199" xr:uid="{503AC7D9-934A-4E27-B97A-772D23DFCF1B}"/>
    <cellStyle name="Финансовый 3 3 2 3 2 2 4 2 3" xfId="11182" xr:uid="{00000000-0005-0000-0000-0000CB2F0000}"/>
    <cellStyle name="Финансовый 3 3 2 3 2 2 4 2 3 2" xfId="28271" xr:uid="{94A191A6-1DBD-463E-A890-446F5D3273C9}"/>
    <cellStyle name="Финансовый 3 3 2 3 2 2 4 2 4" xfId="14414" xr:uid="{00000000-0005-0000-0000-0000CC2F0000}"/>
    <cellStyle name="Финансовый 3 3 2 3 2 2 4 2 4 2" xfId="31427" xr:uid="{2605866F-A8F1-42EF-B655-F5F91FB6707C}"/>
    <cellStyle name="Финансовый 3 3 2 3 2 2 4 2 5" xfId="17495" xr:uid="{00000000-0005-0000-0000-0000CD2F0000}"/>
    <cellStyle name="Финансовый 3 3 2 3 2 2 4 2 5 2" xfId="34508" xr:uid="{225B9910-3F8E-432E-9798-E85E71DE6C41}"/>
    <cellStyle name="Финансовый 3 3 2 3 2 2 4 2 6" xfId="25198" xr:uid="{3706FFA2-73EB-43BA-B906-47E9D370DBE8}"/>
    <cellStyle name="Финансовый 3 3 2 3 2 2 4 3" xfId="8093" xr:uid="{00000000-0005-0000-0000-0000CE2F0000}"/>
    <cellStyle name="Финансовый 3 3 2 3 2 2 4 3 2" xfId="11184" xr:uid="{00000000-0005-0000-0000-0000CF2F0000}"/>
    <cellStyle name="Финансовый 3 3 2 3 2 2 4 3 2 2" xfId="28273" xr:uid="{ECDB8E61-DACB-4292-A301-5A86E3709B6D}"/>
    <cellStyle name="Финансовый 3 3 2 3 2 2 4 3 3" xfId="14416" xr:uid="{00000000-0005-0000-0000-0000D02F0000}"/>
    <cellStyle name="Финансовый 3 3 2 3 2 2 4 3 3 2" xfId="31429" xr:uid="{5BA42CB6-9F89-4579-B713-617713432736}"/>
    <cellStyle name="Финансовый 3 3 2 3 2 2 4 3 4" xfId="17497" xr:uid="{00000000-0005-0000-0000-0000D12F0000}"/>
    <cellStyle name="Финансовый 3 3 2 3 2 2 4 3 4 2" xfId="34510" xr:uid="{A3138306-401F-46A6-89B2-C55491EA7079}"/>
    <cellStyle name="Финансовый 3 3 2 3 2 2 4 3 5" xfId="25200" xr:uid="{5F6DFBF1-301F-4BA0-AD63-B9DD6314712B}"/>
    <cellStyle name="Финансовый 3 3 2 3 2 2 4 4" xfId="11181" xr:uid="{00000000-0005-0000-0000-0000D22F0000}"/>
    <cellStyle name="Финансовый 3 3 2 3 2 2 4 4 2" xfId="28270" xr:uid="{72273E8E-2A38-4886-A743-CBE580E63E76}"/>
    <cellStyle name="Финансовый 3 3 2 3 2 2 4 5" xfId="14413" xr:uid="{00000000-0005-0000-0000-0000D32F0000}"/>
    <cellStyle name="Финансовый 3 3 2 3 2 2 4 5 2" xfId="31426" xr:uid="{B248ACCB-EB8E-46D9-B898-942B123E179E}"/>
    <cellStyle name="Финансовый 3 3 2 3 2 2 4 6" xfId="17494" xr:uid="{00000000-0005-0000-0000-0000D42F0000}"/>
    <cellStyle name="Финансовый 3 3 2 3 2 2 4 6 2" xfId="34507" xr:uid="{86E2CDBD-A44E-4F29-98D6-A7CC3736B082}"/>
    <cellStyle name="Финансовый 3 3 2 3 2 2 4 7" xfId="25197" xr:uid="{8624016C-2564-4C7E-9413-80DEDD5A12BC}"/>
    <cellStyle name="Финансовый 3 3 2 3 2 2 5" xfId="8094" xr:uid="{00000000-0005-0000-0000-0000D52F0000}"/>
    <cellStyle name="Финансовый 3 3 2 3 2 2 5 2" xfId="8095" xr:uid="{00000000-0005-0000-0000-0000D62F0000}"/>
    <cellStyle name="Финансовый 3 3 2 3 2 2 5 2 2" xfId="11186" xr:uid="{00000000-0005-0000-0000-0000D72F0000}"/>
    <cellStyle name="Финансовый 3 3 2 3 2 2 5 2 2 2" xfId="28275" xr:uid="{5FA0437C-06A0-490C-82F1-2EC37094005C}"/>
    <cellStyle name="Финансовый 3 3 2 3 2 2 5 2 3" xfId="14418" xr:uid="{00000000-0005-0000-0000-0000D82F0000}"/>
    <cellStyle name="Финансовый 3 3 2 3 2 2 5 2 3 2" xfId="31431" xr:uid="{1144D980-7DBA-4F50-AB7D-93A9F27E29FA}"/>
    <cellStyle name="Финансовый 3 3 2 3 2 2 5 2 4" xfId="17499" xr:uid="{00000000-0005-0000-0000-0000D92F0000}"/>
    <cellStyle name="Финансовый 3 3 2 3 2 2 5 2 4 2" xfId="34512" xr:uid="{C583182F-DEDF-43F3-B7F2-1935583741A1}"/>
    <cellStyle name="Финансовый 3 3 2 3 2 2 5 2 5" xfId="25202" xr:uid="{4DE398D8-11BB-46AB-92B8-15D021CA2F4C}"/>
    <cellStyle name="Финансовый 3 3 2 3 2 2 5 3" xfId="11185" xr:uid="{00000000-0005-0000-0000-0000DA2F0000}"/>
    <cellStyle name="Финансовый 3 3 2 3 2 2 5 3 2" xfId="28274" xr:uid="{56E78555-33B3-4FBE-BDF9-B5BE7205B384}"/>
    <cellStyle name="Финансовый 3 3 2 3 2 2 5 4" xfId="14417" xr:uid="{00000000-0005-0000-0000-0000DB2F0000}"/>
    <cellStyle name="Финансовый 3 3 2 3 2 2 5 4 2" xfId="31430" xr:uid="{74DF33D2-507A-4807-96AB-F5D5A8ED47AA}"/>
    <cellStyle name="Финансовый 3 3 2 3 2 2 5 5" xfId="17498" xr:uid="{00000000-0005-0000-0000-0000DC2F0000}"/>
    <cellStyle name="Финансовый 3 3 2 3 2 2 5 5 2" xfId="34511" xr:uid="{49400896-36F6-4CC3-A1B1-6546912E5339}"/>
    <cellStyle name="Финансовый 3 3 2 3 2 2 5 6" xfId="25201" xr:uid="{D3E46221-6038-4040-BD76-FCDEE9C8620C}"/>
    <cellStyle name="Финансовый 3 3 2 3 2 2 6" xfId="8096" xr:uid="{00000000-0005-0000-0000-0000DD2F0000}"/>
    <cellStyle name="Финансовый 3 3 2 3 2 2 6 2" xfId="11187" xr:uid="{00000000-0005-0000-0000-0000DE2F0000}"/>
    <cellStyle name="Финансовый 3 3 2 3 2 2 6 2 2" xfId="28276" xr:uid="{607ABF15-35E9-4761-9C34-73B86E7F84B1}"/>
    <cellStyle name="Финансовый 3 3 2 3 2 2 6 3" xfId="14419" xr:uid="{00000000-0005-0000-0000-0000DF2F0000}"/>
    <cellStyle name="Финансовый 3 3 2 3 2 2 6 3 2" xfId="31432" xr:uid="{A505AD28-2F8B-4B3D-9006-787765163C3B}"/>
    <cellStyle name="Финансовый 3 3 2 3 2 2 6 4" xfId="17500" xr:uid="{00000000-0005-0000-0000-0000E02F0000}"/>
    <cellStyle name="Финансовый 3 3 2 3 2 2 6 4 2" xfId="34513" xr:uid="{172302CC-9CC3-48C6-A4F6-587FA6EE7AB4}"/>
    <cellStyle name="Финансовый 3 3 2 3 2 2 6 5" xfId="25203" xr:uid="{A4898E2F-4EAA-4172-961E-168805A0526D}"/>
    <cellStyle name="Финансовый 3 3 2 3 2 2 7" xfId="11156" xr:uid="{00000000-0005-0000-0000-0000E12F0000}"/>
    <cellStyle name="Финансовый 3 3 2 3 2 2 7 2" xfId="28245" xr:uid="{EDF6C90F-8700-4B27-8118-EBEEB50C52F6}"/>
    <cellStyle name="Финансовый 3 3 2 3 2 2 8" xfId="14388" xr:uid="{00000000-0005-0000-0000-0000E22F0000}"/>
    <cellStyle name="Финансовый 3 3 2 3 2 2 8 2" xfId="31401" xr:uid="{DA7B1A1E-DF44-464F-8F9E-1F84C9DEF54E}"/>
    <cellStyle name="Финансовый 3 3 2 3 2 2 9" xfId="17469" xr:uid="{00000000-0005-0000-0000-0000E32F0000}"/>
    <cellStyle name="Финансовый 3 3 2 3 2 2 9 2" xfId="34482" xr:uid="{81E02BDD-490D-4F9D-8D3E-BE659BC2AF09}"/>
    <cellStyle name="Финансовый 3 3 2 3 2 3" xfId="8097" xr:uid="{00000000-0005-0000-0000-0000E42F0000}"/>
    <cellStyle name="Финансовый 3 3 2 3 2 3 2" xfId="8098" xr:uid="{00000000-0005-0000-0000-0000E52F0000}"/>
    <cellStyle name="Финансовый 3 3 2 3 2 3 2 2" xfId="8099" xr:uid="{00000000-0005-0000-0000-0000E62F0000}"/>
    <cellStyle name="Финансовый 3 3 2 3 2 3 2 2 2" xfId="8100" xr:uid="{00000000-0005-0000-0000-0000E72F0000}"/>
    <cellStyle name="Финансовый 3 3 2 3 2 3 2 2 2 2" xfId="8101" xr:uid="{00000000-0005-0000-0000-0000E82F0000}"/>
    <cellStyle name="Финансовый 3 3 2 3 2 3 2 2 2 2 2" xfId="11192" xr:uid="{00000000-0005-0000-0000-0000E92F0000}"/>
    <cellStyle name="Финансовый 3 3 2 3 2 3 2 2 2 2 2 2" xfId="28281" xr:uid="{AFD8CCC4-069C-414E-8C2A-C28D02D98C43}"/>
    <cellStyle name="Финансовый 3 3 2 3 2 3 2 2 2 2 3" xfId="14424" xr:uid="{00000000-0005-0000-0000-0000EA2F0000}"/>
    <cellStyle name="Финансовый 3 3 2 3 2 3 2 2 2 2 3 2" xfId="31437" xr:uid="{5D638230-B181-4474-9B47-45C853CC9848}"/>
    <cellStyle name="Финансовый 3 3 2 3 2 3 2 2 2 2 4" xfId="17505" xr:uid="{00000000-0005-0000-0000-0000EB2F0000}"/>
    <cellStyle name="Финансовый 3 3 2 3 2 3 2 2 2 2 4 2" xfId="34518" xr:uid="{AC7A698E-7AD5-41B9-B3FA-B10F9282F3F2}"/>
    <cellStyle name="Финансовый 3 3 2 3 2 3 2 2 2 2 5" xfId="25208" xr:uid="{7977E051-FA1E-4C90-B92D-109493479A3F}"/>
    <cellStyle name="Финансовый 3 3 2 3 2 3 2 2 2 3" xfId="11191" xr:uid="{00000000-0005-0000-0000-0000EC2F0000}"/>
    <cellStyle name="Финансовый 3 3 2 3 2 3 2 2 2 3 2" xfId="28280" xr:uid="{22A3C922-27CF-41C7-98AF-FB6B40E05AB3}"/>
    <cellStyle name="Финансовый 3 3 2 3 2 3 2 2 2 4" xfId="14423" xr:uid="{00000000-0005-0000-0000-0000ED2F0000}"/>
    <cellStyle name="Финансовый 3 3 2 3 2 3 2 2 2 4 2" xfId="31436" xr:uid="{8A2D729A-3F22-4114-BA11-8977EFA9496F}"/>
    <cellStyle name="Финансовый 3 3 2 3 2 3 2 2 2 5" xfId="17504" xr:uid="{00000000-0005-0000-0000-0000EE2F0000}"/>
    <cellStyle name="Финансовый 3 3 2 3 2 3 2 2 2 5 2" xfId="34517" xr:uid="{69CC6397-6C30-415F-8192-54EA957F08CB}"/>
    <cellStyle name="Финансовый 3 3 2 3 2 3 2 2 2 6" xfId="25207" xr:uid="{F516BDCB-7BC5-4836-A1A6-8C8484CBC41D}"/>
    <cellStyle name="Финансовый 3 3 2 3 2 3 2 2 3" xfId="8102" xr:uid="{00000000-0005-0000-0000-0000EF2F0000}"/>
    <cellStyle name="Финансовый 3 3 2 3 2 3 2 2 3 2" xfId="11193" xr:uid="{00000000-0005-0000-0000-0000F02F0000}"/>
    <cellStyle name="Финансовый 3 3 2 3 2 3 2 2 3 2 2" xfId="28282" xr:uid="{C56A6608-6F56-48CA-882D-868081BE3012}"/>
    <cellStyle name="Финансовый 3 3 2 3 2 3 2 2 3 3" xfId="14425" xr:uid="{00000000-0005-0000-0000-0000F12F0000}"/>
    <cellStyle name="Финансовый 3 3 2 3 2 3 2 2 3 3 2" xfId="31438" xr:uid="{BACAA189-3CB9-42D2-8383-7CFEBC353623}"/>
    <cellStyle name="Финансовый 3 3 2 3 2 3 2 2 3 4" xfId="17506" xr:uid="{00000000-0005-0000-0000-0000F22F0000}"/>
    <cellStyle name="Финансовый 3 3 2 3 2 3 2 2 3 4 2" xfId="34519" xr:uid="{D518F83D-7D33-4B83-9F44-601DD07E158A}"/>
    <cellStyle name="Финансовый 3 3 2 3 2 3 2 2 3 5" xfId="25209" xr:uid="{1AED9789-6D49-4983-B54E-AC72FF0DD89A}"/>
    <cellStyle name="Финансовый 3 3 2 3 2 3 2 2 4" xfId="11190" xr:uid="{00000000-0005-0000-0000-0000F32F0000}"/>
    <cellStyle name="Финансовый 3 3 2 3 2 3 2 2 4 2" xfId="28279" xr:uid="{888EF829-C9E5-4639-A990-2A0D72E0804E}"/>
    <cellStyle name="Финансовый 3 3 2 3 2 3 2 2 5" xfId="14422" xr:uid="{00000000-0005-0000-0000-0000F42F0000}"/>
    <cellStyle name="Финансовый 3 3 2 3 2 3 2 2 5 2" xfId="31435" xr:uid="{1795022A-A7D7-4710-8EB3-1366F2CE1AE1}"/>
    <cellStyle name="Финансовый 3 3 2 3 2 3 2 2 6" xfId="17503" xr:uid="{00000000-0005-0000-0000-0000F52F0000}"/>
    <cellStyle name="Финансовый 3 3 2 3 2 3 2 2 6 2" xfId="34516" xr:uid="{15539386-90D9-4A02-ABAE-AB5F3804B9F8}"/>
    <cellStyle name="Финансовый 3 3 2 3 2 3 2 2 7" xfId="25206" xr:uid="{23D44231-D290-41BF-94FD-339EE3161F64}"/>
    <cellStyle name="Финансовый 3 3 2 3 2 3 2 3" xfId="8103" xr:uid="{00000000-0005-0000-0000-0000F62F0000}"/>
    <cellStyle name="Финансовый 3 3 2 3 2 3 2 3 2" xfId="8104" xr:uid="{00000000-0005-0000-0000-0000F72F0000}"/>
    <cellStyle name="Финансовый 3 3 2 3 2 3 2 3 2 2" xfId="11195" xr:uid="{00000000-0005-0000-0000-0000F82F0000}"/>
    <cellStyle name="Финансовый 3 3 2 3 2 3 2 3 2 2 2" xfId="28284" xr:uid="{4B308A6F-EF0D-43C4-B370-43E8AC1807CF}"/>
    <cellStyle name="Финансовый 3 3 2 3 2 3 2 3 2 3" xfId="14427" xr:uid="{00000000-0005-0000-0000-0000F92F0000}"/>
    <cellStyle name="Финансовый 3 3 2 3 2 3 2 3 2 3 2" xfId="31440" xr:uid="{40AFC972-20F7-4D79-AFAD-9173A8DE0832}"/>
    <cellStyle name="Финансовый 3 3 2 3 2 3 2 3 2 4" xfId="17508" xr:uid="{00000000-0005-0000-0000-0000FA2F0000}"/>
    <cellStyle name="Финансовый 3 3 2 3 2 3 2 3 2 4 2" xfId="34521" xr:uid="{9C05F6FF-D01B-41F3-8311-F3EA5492EB74}"/>
    <cellStyle name="Финансовый 3 3 2 3 2 3 2 3 2 5" xfId="25211" xr:uid="{4D9E958E-512B-4FC3-A873-FAD54F95C3A0}"/>
    <cellStyle name="Финансовый 3 3 2 3 2 3 2 3 3" xfId="11194" xr:uid="{00000000-0005-0000-0000-0000FB2F0000}"/>
    <cellStyle name="Финансовый 3 3 2 3 2 3 2 3 3 2" xfId="28283" xr:uid="{6188AF8F-220D-41E8-AB85-7DC04BF168A5}"/>
    <cellStyle name="Финансовый 3 3 2 3 2 3 2 3 4" xfId="14426" xr:uid="{00000000-0005-0000-0000-0000FC2F0000}"/>
    <cellStyle name="Финансовый 3 3 2 3 2 3 2 3 4 2" xfId="31439" xr:uid="{C78D6F9E-5AEF-448B-8D55-D2E122BE7ABC}"/>
    <cellStyle name="Финансовый 3 3 2 3 2 3 2 3 5" xfId="17507" xr:uid="{00000000-0005-0000-0000-0000FD2F0000}"/>
    <cellStyle name="Финансовый 3 3 2 3 2 3 2 3 5 2" xfId="34520" xr:uid="{94DDDC29-200C-4103-BB23-76D0092DAC6A}"/>
    <cellStyle name="Финансовый 3 3 2 3 2 3 2 3 6" xfId="25210" xr:uid="{7680AF55-957A-4B45-8C5A-02272D65C98C}"/>
    <cellStyle name="Финансовый 3 3 2 3 2 3 2 4" xfId="8105" xr:uid="{00000000-0005-0000-0000-0000FE2F0000}"/>
    <cellStyle name="Финансовый 3 3 2 3 2 3 2 4 2" xfId="11196" xr:uid="{00000000-0005-0000-0000-0000FF2F0000}"/>
    <cellStyle name="Финансовый 3 3 2 3 2 3 2 4 2 2" xfId="28285" xr:uid="{4B488CE3-A5AD-4BA0-9EA1-48C47DE9DADD}"/>
    <cellStyle name="Финансовый 3 3 2 3 2 3 2 4 3" xfId="14428" xr:uid="{00000000-0005-0000-0000-000000300000}"/>
    <cellStyle name="Финансовый 3 3 2 3 2 3 2 4 3 2" xfId="31441" xr:uid="{16169BCD-D010-4529-A1DF-7C8AB9FB1A89}"/>
    <cellStyle name="Финансовый 3 3 2 3 2 3 2 4 4" xfId="17509" xr:uid="{00000000-0005-0000-0000-000001300000}"/>
    <cellStyle name="Финансовый 3 3 2 3 2 3 2 4 4 2" xfId="34522" xr:uid="{48AF4BE7-9B09-4BD7-8615-E3357C7E74B8}"/>
    <cellStyle name="Финансовый 3 3 2 3 2 3 2 4 5" xfId="25212" xr:uid="{C014C59C-817C-4C98-84F8-12983D9E8BB0}"/>
    <cellStyle name="Финансовый 3 3 2 3 2 3 2 5" xfId="11189" xr:uid="{00000000-0005-0000-0000-000002300000}"/>
    <cellStyle name="Финансовый 3 3 2 3 2 3 2 5 2" xfId="28278" xr:uid="{B8B4247F-2DD0-4E9E-BBEB-FF938FCF2AC7}"/>
    <cellStyle name="Финансовый 3 3 2 3 2 3 2 6" xfId="14421" xr:uid="{00000000-0005-0000-0000-000003300000}"/>
    <cellStyle name="Финансовый 3 3 2 3 2 3 2 6 2" xfId="31434" xr:uid="{A85657E7-08BC-4609-BA2F-EBFE60DBF0E6}"/>
    <cellStyle name="Финансовый 3 3 2 3 2 3 2 7" xfId="17502" xr:uid="{00000000-0005-0000-0000-000004300000}"/>
    <cellStyle name="Финансовый 3 3 2 3 2 3 2 7 2" xfId="34515" xr:uid="{C80B9D09-1BAE-48CB-BDA7-7DD0FE92DB96}"/>
    <cellStyle name="Финансовый 3 3 2 3 2 3 2 8" xfId="25205" xr:uid="{8318D5C5-A7FD-4D9E-82F0-FDE23D0D5753}"/>
    <cellStyle name="Финансовый 3 3 2 3 2 3 3" xfId="8106" xr:uid="{00000000-0005-0000-0000-000005300000}"/>
    <cellStyle name="Финансовый 3 3 2 3 2 3 3 2" xfId="8107" xr:uid="{00000000-0005-0000-0000-000006300000}"/>
    <cellStyle name="Финансовый 3 3 2 3 2 3 3 2 2" xfId="8108" xr:uid="{00000000-0005-0000-0000-000007300000}"/>
    <cellStyle name="Финансовый 3 3 2 3 2 3 3 2 2 2" xfId="11199" xr:uid="{00000000-0005-0000-0000-000008300000}"/>
    <cellStyle name="Финансовый 3 3 2 3 2 3 3 2 2 2 2" xfId="28288" xr:uid="{AA3D2780-5DE4-407C-A654-4A8E415EA074}"/>
    <cellStyle name="Финансовый 3 3 2 3 2 3 3 2 2 3" xfId="14431" xr:uid="{00000000-0005-0000-0000-000009300000}"/>
    <cellStyle name="Финансовый 3 3 2 3 2 3 3 2 2 3 2" xfId="31444" xr:uid="{05BBDFD3-26A8-490E-8799-3703E84962F7}"/>
    <cellStyle name="Финансовый 3 3 2 3 2 3 3 2 2 4" xfId="17512" xr:uid="{00000000-0005-0000-0000-00000A300000}"/>
    <cellStyle name="Финансовый 3 3 2 3 2 3 3 2 2 4 2" xfId="34525" xr:uid="{6790F41F-154B-4FC7-ACA9-0B4AC124AC14}"/>
    <cellStyle name="Финансовый 3 3 2 3 2 3 3 2 2 5" xfId="25215" xr:uid="{02BD69AF-21C4-45A4-BDAB-DEFCE0634636}"/>
    <cellStyle name="Финансовый 3 3 2 3 2 3 3 2 3" xfId="11198" xr:uid="{00000000-0005-0000-0000-00000B300000}"/>
    <cellStyle name="Финансовый 3 3 2 3 2 3 3 2 3 2" xfId="28287" xr:uid="{1A3CCB1C-0FE7-4768-941F-A4D5E6A8FCAC}"/>
    <cellStyle name="Финансовый 3 3 2 3 2 3 3 2 4" xfId="14430" xr:uid="{00000000-0005-0000-0000-00000C300000}"/>
    <cellStyle name="Финансовый 3 3 2 3 2 3 3 2 4 2" xfId="31443" xr:uid="{92C84BE4-AFF2-4112-8EE8-2392690149D8}"/>
    <cellStyle name="Финансовый 3 3 2 3 2 3 3 2 5" xfId="17511" xr:uid="{00000000-0005-0000-0000-00000D300000}"/>
    <cellStyle name="Финансовый 3 3 2 3 2 3 3 2 5 2" xfId="34524" xr:uid="{8A5A5E7A-D993-4134-A0DB-4948AE35033D}"/>
    <cellStyle name="Финансовый 3 3 2 3 2 3 3 2 6" xfId="25214" xr:uid="{FEC67414-7868-43A2-9C15-84F0F8C31B68}"/>
    <cellStyle name="Финансовый 3 3 2 3 2 3 3 3" xfId="8109" xr:uid="{00000000-0005-0000-0000-00000E300000}"/>
    <cellStyle name="Финансовый 3 3 2 3 2 3 3 3 2" xfId="11200" xr:uid="{00000000-0005-0000-0000-00000F300000}"/>
    <cellStyle name="Финансовый 3 3 2 3 2 3 3 3 2 2" xfId="28289" xr:uid="{B3AD4F92-91C7-4DC6-BB62-74C480808CCA}"/>
    <cellStyle name="Финансовый 3 3 2 3 2 3 3 3 3" xfId="14432" xr:uid="{00000000-0005-0000-0000-000010300000}"/>
    <cellStyle name="Финансовый 3 3 2 3 2 3 3 3 3 2" xfId="31445" xr:uid="{DCDDD20D-3A63-450C-AA6D-5A5E676C70BB}"/>
    <cellStyle name="Финансовый 3 3 2 3 2 3 3 3 4" xfId="17513" xr:uid="{00000000-0005-0000-0000-000011300000}"/>
    <cellStyle name="Финансовый 3 3 2 3 2 3 3 3 4 2" xfId="34526" xr:uid="{941ECA19-B0EC-4EB5-BEA3-823E195CE3ED}"/>
    <cellStyle name="Финансовый 3 3 2 3 2 3 3 3 5" xfId="25216" xr:uid="{D3BDF4BF-FA14-49D2-A7F2-C43A9E710396}"/>
    <cellStyle name="Финансовый 3 3 2 3 2 3 3 4" xfId="11197" xr:uid="{00000000-0005-0000-0000-000012300000}"/>
    <cellStyle name="Финансовый 3 3 2 3 2 3 3 4 2" xfId="28286" xr:uid="{AB8CC0FF-E675-4A23-8B0F-A108466DF1B6}"/>
    <cellStyle name="Финансовый 3 3 2 3 2 3 3 5" xfId="14429" xr:uid="{00000000-0005-0000-0000-000013300000}"/>
    <cellStyle name="Финансовый 3 3 2 3 2 3 3 5 2" xfId="31442" xr:uid="{CDB57F42-E7C2-44F5-A41E-7BBD5927268A}"/>
    <cellStyle name="Финансовый 3 3 2 3 2 3 3 6" xfId="17510" xr:uid="{00000000-0005-0000-0000-000014300000}"/>
    <cellStyle name="Финансовый 3 3 2 3 2 3 3 6 2" xfId="34523" xr:uid="{CC3E016F-AA84-46BD-A9CD-CA3F3C24E843}"/>
    <cellStyle name="Финансовый 3 3 2 3 2 3 3 7" xfId="25213" xr:uid="{E0182E4B-0B55-495B-9979-8E74B1D531E0}"/>
    <cellStyle name="Финансовый 3 3 2 3 2 3 4" xfId="8110" xr:uid="{00000000-0005-0000-0000-000015300000}"/>
    <cellStyle name="Финансовый 3 3 2 3 2 3 4 2" xfId="8111" xr:uid="{00000000-0005-0000-0000-000016300000}"/>
    <cellStyle name="Финансовый 3 3 2 3 2 3 4 2 2" xfId="11202" xr:uid="{00000000-0005-0000-0000-000017300000}"/>
    <cellStyle name="Финансовый 3 3 2 3 2 3 4 2 2 2" xfId="28291" xr:uid="{80D3F223-0A2E-468A-8001-6E66884A085F}"/>
    <cellStyle name="Финансовый 3 3 2 3 2 3 4 2 3" xfId="14434" xr:uid="{00000000-0005-0000-0000-000018300000}"/>
    <cellStyle name="Финансовый 3 3 2 3 2 3 4 2 3 2" xfId="31447" xr:uid="{9DE88210-6850-4036-B423-3C9449A77D07}"/>
    <cellStyle name="Финансовый 3 3 2 3 2 3 4 2 4" xfId="17515" xr:uid="{00000000-0005-0000-0000-000019300000}"/>
    <cellStyle name="Финансовый 3 3 2 3 2 3 4 2 4 2" xfId="34528" xr:uid="{425D7D47-66E9-4917-8BBC-FDAF114BED21}"/>
    <cellStyle name="Финансовый 3 3 2 3 2 3 4 2 5" xfId="25218" xr:uid="{946933C3-45CC-4634-A97C-54F01E64DFB8}"/>
    <cellStyle name="Финансовый 3 3 2 3 2 3 4 3" xfId="11201" xr:uid="{00000000-0005-0000-0000-00001A300000}"/>
    <cellStyle name="Финансовый 3 3 2 3 2 3 4 3 2" xfId="28290" xr:uid="{C84B0839-436E-4E0B-A7D6-93D179E753AA}"/>
    <cellStyle name="Финансовый 3 3 2 3 2 3 4 4" xfId="14433" xr:uid="{00000000-0005-0000-0000-00001B300000}"/>
    <cellStyle name="Финансовый 3 3 2 3 2 3 4 4 2" xfId="31446" xr:uid="{85D39527-D688-41A5-B2C3-28B4C53134A2}"/>
    <cellStyle name="Финансовый 3 3 2 3 2 3 4 5" xfId="17514" xr:uid="{00000000-0005-0000-0000-00001C300000}"/>
    <cellStyle name="Финансовый 3 3 2 3 2 3 4 5 2" xfId="34527" xr:uid="{F335EBA6-FF10-4096-B731-666AAF1930C2}"/>
    <cellStyle name="Финансовый 3 3 2 3 2 3 4 6" xfId="25217" xr:uid="{69BEC242-D2C4-4312-862D-BC7F0C1523DB}"/>
    <cellStyle name="Финансовый 3 3 2 3 2 3 5" xfId="8112" xr:uid="{00000000-0005-0000-0000-00001D300000}"/>
    <cellStyle name="Финансовый 3 3 2 3 2 3 5 2" xfId="11203" xr:uid="{00000000-0005-0000-0000-00001E300000}"/>
    <cellStyle name="Финансовый 3 3 2 3 2 3 5 2 2" xfId="28292" xr:uid="{783F7287-0BE7-4586-ACBF-636D681FF6E1}"/>
    <cellStyle name="Финансовый 3 3 2 3 2 3 5 3" xfId="14435" xr:uid="{00000000-0005-0000-0000-00001F300000}"/>
    <cellStyle name="Финансовый 3 3 2 3 2 3 5 3 2" xfId="31448" xr:uid="{3ADB3F3C-D02A-478B-BF1C-5866C0394E1F}"/>
    <cellStyle name="Финансовый 3 3 2 3 2 3 5 4" xfId="17516" xr:uid="{00000000-0005-0000-0000-000020300000}"/>
    <cellStyle name="Финансовый 3 3 2 3 2 3 5 4 2" xfId="34529" xr:uid="{A41CBA8A-877C-4035-851E-5BBFCF1A5658}"/>
    <cellStyle name="Финансовый 3 3 2 3 2 3 5 5" xfId="25219" xr:uid="{04F1CD51-E2C0-4AFF-9629-0865AF3113A2}"/>
    <cellStyle name="Финансовый 3 3 2 3 2 3 6" xfId="11188" xr:uid="{00000000-0005-0000-0000-000021300000}"/>
    <cellStyle name="Финансовый 3 3 2 3 2 3 6 2" xfId="28277" xr:uid="{CC932E7A-7B6D-4367-A25B-C0762D513DCD}"/>
    <cellStyle name="Финансовый 3 3 2 3 2 3 7" xfId="14420" xr:uid="{00000000-0005-0000-0000-000022300000}"/>
    <cellStyle name="Финансовый 3 3 2 3 2 3 7 2" xfId="31433" xr:uid="{E749A3F3-F1DF-472F-A793-E2F5ED45447E}"/>
    <cellStyle name="Финансовый 3 3 2 3 2 3 8" xfId="17501" xr:uid="{00000000-0005-0000-0000-000023300000}"/>
    <cellStyle name="Финансовый 3 3 2 3 2 3 8 2" xfId="34514" xr:uid="{9C97C05D-6318-408B-9518-4F3F0BDDA5BD}"/>
    <cellStyle name="Финансовый 3 3 2 3 2 3 9" xfId="25204" xr:uid="{95A5197E-2EE6-4139-A314-842F6C27C975}"/>
    <cellStyle name="Финансовый 3 3 2 3 2 4" xfId="8113" xr:uid="{00000000-0005-0000-0000-000024300000}"/>
    <cellStyle name="Финансовый 3 3 2 3 2 4 2" xfId="8114" xr:uid="{00000000-0005-0000-0000-000025300000}"/>
    <cellStyle name="Финансовый 3 3 2 3 2 4 2 2" xfId="8115" xr:uid="{00000000-0005-0000-0000-000026300000}"/>
    <cellStyle name="Финансовый 3 3 2 3 2 4 2 2 2" xfId="8116" xr:uid="{00000000-0005-0000-0000-000027300000}"/>
    <cellStyle name="Финансовый 3 3 2 3 2 4 2 2 2 2" xfId="11207" xr:uid="{00000000-0005-0000-0000-000028300000}"/>
    <cellStyle name="Финансовый 3 3 2 3 2 4 2 2 2 2 2" xfId="28296" xr:uid="{88F6EAD9-0298-412B-A846-E403C21D28CD}"/>
    <cellStyle name="Финансовый 3 3 2 3 2 4 2 2 2 3" xfId="14439" xr:uid="{00000000-0005-0000-0000-000029300000}"/>
    <cellStyle name="Финансовый 3 3 2 3 2 4 2 2 2 3 2" xfId="31452" xr:uid="{347DD7B0-10DD-4135-8ED1-AF02975D0ADE}"/>
    <cellStyle name="Финансовый 3 3 2 3 2 4 2 2 2 4" xfId="17520" xr:uid="{00000000-0005-0000-0000-00002A300000}"/>
    <cellStyle name="Финансовый 3 3 2 3 2 4 2 2 2 4 2" xfId="34533" xr:uid="{E3A8DEC3-B9B5-4021-817B-E2EA98827521}"/>
    <cellStyle name="Финансовый 3 3 2 3 2 4 2 2 2 5" xfId="25223" xr:uid="{1D1F0D96-9322-40B4-AADF-29292D31CF53}"/>
    <cellStyle name="Финансовый 3 3 2 3 2 4 2 2 3" xfId="11206" xr:uid="{00000000-0005-0000-0000-00002B300000}"/>
    <cellStyle name="Финансовый 3 3 2 3 2 4 2 2 3 2" xfId="28295" xr:uid="{B66FCB61-1E3E-4EFA-AB88-B2D19F4BE065}"/>
    <cellStyle name="Финансовый 3 3 2 3 2 4 2 2 4" xfId="14438" xr:uid="{00000000-0005-0000-0000-00002C300000}"/>
    <cellStyle name="Финансовый 3 3 2 3 2 4 2 2 4 2" xfId="31451" xr:uid="{F603FEFB-43CB-4E1E-8E50-088D19EAABF7}"/>
    <cellStyle name="Финансовый 3 3 2 3 2 4 2 2 5" xfId="17519" xr:uid="{00000000-0005-0000-0000-00002D300000}"/>
    <cellStyle name="Финансовый 3 3 2 3 2 4 2 2 5 2" xfId="34532" xr:uid="{BC408B38-22D0-474E-BC53-C2D0613DB5EE}"/>
    <cellStyle name="Финансовый 3 3 2 3 2 4 2 2 6" xfId="25222" xr:uid="{4EF77300-E704-46AA-B6EA-ABFB22A62FDC}"/>
    <cellStyle name="Финансовый 3 3 2 3 2 4 2 3" xfId="8117" xr:uid="{00000000-0005-0000-0000-00002E300000}"/>
    <cellStyle name="Финансовый 3 3 2 3 2 4 2 3 2" xfId="11208" xr:uid="{00000000-0005-0000-0000-00002F300000}"/>
    <cellStyle name="Финансовый 3 3 2 3 2 4 2 3 2 2" xfId="28297" xr:uid="{0978E34B-236B-4651-9648-CB9AA8B2FD5D}"/>
    <cellStyle name="Финансовый 3 3 2 3 2 4 2 3 3" xfId="14440" xr:uid="{00000000-0005-0000-0000-000030300000}"/>
    <cellStyle name="Финансовый 3 3 2 3 2 4 2 3 3 2" xfId="31453" xr:uid="{6C2C92AF-B2EC-4AC1-89D4-3D3F7D2FBC3C}"/>
    <cellStyle name="Финансовый 3 3 2 3 2 4 2 3 4" xfId="17521" xr:uid="{00000000-0005-0000-0000-000031300000}"/>
    <cellStyle name="Финансовый 3 3 2 3 2 4 2 3 4 2" xfId="34534" xr:uid="{DA110977-DE63-40A5-86F7-51E6B8A68A6A}"/>
    <cellStyle name="Финансовый 3 3 2 3 2 4 2 3 5" xfId="25224" xr:uid="{E47F2C43-1667-4D72-8806-3EE17AB94FE7}"/>
    <cellStyle name="Финансовый 3 3 2 3 2 4 2 4" xfId="11205" xr:uid="{00000000-0005-0000-0000-000032300000}"/>
    <cellStyle name="Финансовый 3 3 2 3 2 4 2 4 2" xfId="28294" xr:uid="{D8D0F392-5B13-4975-AFE2-BE1FC790C408}"/>
    <cellStyle name="Финансовый 3 3 2 3 2 4 2 5" xfId="14437" xr:uid="{00000000-0005-0000-0000-000033300000}"/>
    <cellStyle name="Финансовый 3 3 2 3 2 4 2 5 2" xfId="31450" xr:uid="{5466BE42-259E-47C9-B784-78EC84366B61}"/>
    <cellStyle name="Финансовый 3 3 2 3 2 4 2 6" xfId="17518" xr:uid="{00000000-0005-0000-0000-000034300000}"/>
    <cellStyle name="Финансовый 3 3 2 3 2 4 2 6 2" xfId="34531" xr:uid="{9ECF875B-075D-4D59-9656-19232232378C}"/>
    <cellStyle name="Финансовый 3 3 2 3 2 4 2 7" xfId="25221" xr:uid="{9ED77E98-04FB-4ADD-A942-131B52B266EF}"/>
    <cellStyle name="Финансовый 3 3 2 3 2 4 3" xfId="8118" xr:uid="{00000000-0005-0000-0000-000035300000}"/>
    <cellStyle name="Финансовый 3 3 2 3 2 4 3 2" xfId="8119" xr:uid="{00000000-0005-0000-0000-000036300000}"/>
    <cellStyle name="Финансовый 3 3 2 3 2 4 3 2 2" xfId="11210" xr:uid="{00000000-0005-0000-0000-000037300000}"/>
    <cellStyle name="Финансовый 3 3 2 3 2 4 3 2 2 2" xfId="28299" xr:uid="{C8460E71-792B-416F-A380-9CDA96BAEE12}"/>
    <cellStyle name="Финансовый 3 3 2 3 2 4 3 2 3" xfId="14442" xr:uid="{00000000-0005-0000-0000-000038300000}"/>
    <cellStyle name="Финансовый 3 3 2 3 2 4 3 2 3 2" xfId="31455" xr:uid="{DD17D942-8BFC-4326-8556-114D7447657B}"/>
    <cellStyle name="Финансовый 3 3 2 3 2 4 3 2 4" xfId="17523" xr:uid="{00000000-0005-0000-0000-000039300000}"/>
    <cellStyle name="Финансовый 3 3 2 3 2 4 3 2 4 2" xfId="34536" xr:uid="{48563C49-FA70-43C0-B015-D4F5E9AA4797}"/>
    <cellStyle name="Финансовый 3 3 2 3 2 4 3 2 5" xfId="25226" xr:uid="{E5C88127-BB4E-4CAD-848D-567AB68C2346}"/>
    <cellStyle name="Финансовый 3 3 2 3 2 4 3 3" xfId="11209" xr:uid="{00000000-0005-0000-0000-00003A300000}"/>
    <cellStyle name="Финансовый 3 3 2 3 2 4 3 3 2" xfId="28298" xr:uid="{B5FB27BD-40E7-451B-AF98-A68C32037F6A}"/>
    <cellStyle name="Финансовый 3 3 2 3 2 4 3 4" xfId="14441" xr:uid="{00000000-0005-0000-0000-00003B300000}"/>
    <cellStyle name="Финансовый 3 3 2 3 2 4 3 4 2" xfId="31454" xr:uid="{889E0230-E253-4EB7-9B56-769F451CD665}"/>
    <cellStyle name="Финансовый 3 3 2 3 2 4 3 5" xfId="17522" xr:uid="{00000000-0005-0000-0000-00003C300000}"/>
    <cellStyle name="Финансовый 3 3 2 3 2 4 3 5 2" xfId="34535" xr:uid="{20133266-CC76-431D-B6FC-39FD04B91491}"/>
    <cellStyle name="Финансовый 3 3 2 3 2 4 3 6" xfId="25225" xr:uid="{9B5E1AC6-A008-430C-86CA-AC4433D84959}"/>
    <cellStyle name="Финансовый 3 3 2 3 2 4 4" xfId="8120" xr:uid="{00000000-0005-0000-0000-00003D300000}"/>
    <cellStyle name="Финансовый 3 3 2 3 2 4 4 2" xfId="11211" xr:uid="{00000000-0005-0000-0000-00003E300000}"/>
    <cellStyle name="Финансовый 3 3 2 3 2 4 4 2 2" xfId="28300" xr:uid="{922C7920-EBCF-466C-99F2-FC291924D393}"/>
    <cellStyle name="Финансовый 3 3 2 3 2 4 4 3" xfId="14443" xr:uid="{00000000-0005-0000-0000-00003F300000}"/>
    <cellStyle name="Финансовый 3 3 2 3 2 4 4 3 2" xfId="31456" xr:uid="{F34080A1-8D7A-47F6-8E8F-D87418D3DE1E}"/>
    <cellStyle name="Финансовый 3 3 2 3 2 4 4 4" xfId="17524" xr:uid="{00000000-0005-0000-0000-000040300000}"/>
    <cellStyle name="Финансовый 3 3 2 3 2 4 4 4 2" xfId="34537" xr:uid="{FD32705E-BDBC-4A4C-8353-CD36492B93ED}"/>
    <cellStyle name="Финансовый 3 3 2 3 2 4 4 5" xfId="25227" xr:uid="{A2FB8E9A-C4BC-48A2-9771-6DACE691851E}"/>
    <cellStyle name="Финансовый 3 3 2 3 2 4 5" xfId="11204" xr:uid="{00000000-0005-0000-0000-000041300000}"/>
    <cellStyle name="Финансовый 3 3 2 3 2 4 5 2" xfId="28293" xr:uid="{DF04293B-F72B-4852-A6B5-89CC3490595B}"/>
    <cellStyle name="Финансовый 3 3 2 3 2 4 6" xfId="14436" xr:uid="{00000000-0005-0000-0000-000042300000}"/>
    <cellStyle name="Финансовый 3 3 2 3 2 4 6 2" xfId="31449" xr:uid="{35190F3C-1AD9-487E-A19A-E354726082B3}"/>
    <cellStyle name="Финансовый 3 3 2 3 2 4 7" xfId="17517" xr:uid="{00000000-0005-0000-0000-000043300000}"/>
    <cellStyle name="Финансовый 3 3 2 3 2 4 7 2" xfId="34530" xr:uid="{6D60B0E4-F6B7-4CA0-AAF6-8B8F93C33EEE}"/>
    <cellStyle name="Финансовый 3 3 2 3 2 4 8" xfId="25220" xr:uid="{E1993781-867E-4076-9675-1BF3587DD8C3}"/>
    <cellStyle name="Финансовый 3 3 2 3 2 5" xfId="8121" xr:uid="{00000000-0005-0000-0000-000044300000}"/>
    <cellStyle name="Финансовый 3 3 2 3 2 5 2" xfId="8122" xr:uid="{00000000-0005-0000-0000-000045300000}"/>
    <cellStyle name="Финансовый 3 3 2 3 2 5 2 2" xfId="8123" xr:uid="{00000000-0005-0000-0000-000046300000}"/>
    <cellStyle name="Финансовый 3 3 2 3 2 5 2 2 2" xfId="11214" xr:uid="{00000000-0005-0000-0000-000047300000}"/>
    <cellStyle name="Финансовый 3 3 2 3 2 5 2 2 2 2" xfId="28303" xr:uid="{2BAEB114-BE8C-4101-A0C2-C0F3CCBD4FAD}"/>
    <cellStyle name="Финансовый 3 3 2 3 2 5 2 2 3" xfId="14446" xr:uid="{00000000-0005-0000-0000-000048300000}"/>
    <cellStyle name="Финансовый 3 3 2 3 2 5 2 2 3 2" xfId="31459" xr:uid="{B21978EB-222E-4AEA-8D7F-58ABA421E0E9}"/>
    <cellStyle name="Финансовый 3 3 2 3 2 5 2 2 4" xfId="17527" xr:uid="{00000000-0005-0000-0000-000049300000}"/>
    <cellStyle name="Финансовый 3 3 2 3 2 5 2 2 4 2" xfId="34540" xr:uid="{1EB823F6-953E-4C5D-8381-FD2B4089519B}"/>
    <cellStyle name="Финансовый 3 3 2 3 2 5 2 2 5" xfId="25230" xr:uid="{BF83C57C-888A-4A80-A4F8-50ADF5B26186}"/>
    <cellStyle name="Финансовый 3 3 2 3 2 5 2 3" xfId="11213" xr:uid="{00000000-0005-0000-0000-00004A300000}"/>
    <cellStyle name="Финансовый 3 3 2 3 2 5 2 3 2" xfId="28302" xr:uid="{EE685830-B551-45C1-BA9D-FE867614EF6B}"/>
    <cellStyle name="Финансовый 3 3 2 3 2 5 2 4" xfId="14445" xr:uid="{00000000-0005-0000-0000-00004B300000}"/>
    <cellStyle name="Финансовый 3 3 2 3 2 5 2 4 2" xfId="31458" xr:uid="{D5AB45D0-21D6-46DC-A16A-FCB3A141527A}"/>
    <cellStyle name="Финансовый 3 3 2 3 2 5 2 5" xfId="17526" xr:uid="{00000000-0005-0000-0000-00004C300000}"/>
    <cellStyle name="Финансовый 3 3 2 3 2 5 2 5 2" xfId="34539" xr:uid="{B2B4CA4A-2F0F-420A-9652-7572F8B05920}"/>
    <cellStyle name="Финансовый 3 3 2 3 2 5 2 6" xfId="25229" xr:uid="{CE08F76D-5E87-4133-81FF-69FEEC9C9AFB}"/>
    <cellStyle name="Финансовый 3 3 2 3 2 5 3" xfId="8124" xr:uid="{00000000-0005-0000-0000-00004D300000}"/>
    <cellStyle name="Финансовый 3 3 2 3 2 5 3 2" xfId="11215" xr:uid="{00000000-0005-0000-0000-00004E300000}"/>
    <cellStyle name="Финансовый 3 3 2 3 2 5 3 2 2" xfId="28304" xr:uid="{DDA0D0AF-F588-4B4B-8096-A5C9DB2B3C2B}"/>
    <cellStyle name="Финансовый 3 3 2 3 2 5 3 3" xfId="14447" xr:uid="{00000000-0005-0000-0000-00004F300000}"/>
    <cellStyle name="Финансовый 3 3 2 3 2 5 3 3 2" xfId="31460" xr:uid="{87962DE1-F204-4B77-B68D-904F7B8B2767}"/>
    <cellStyle name="Финансовый 3 3 2 3 2 5 3 4" xfId="17528" xr:uid="{00000000-0005-0000-0000-000050300000}"/>
    <cellStyle name="Финансовый 3 3 2 3 2 5 3 4 2" xfId="34541" xr:uid="{2097F49B-24C1-48A4-8781-BF70B9F08862}"/>
    <cellStyle name="Финансовый 3 3 2 3 2 5 3 5" xfId="25231" xr:uid="{C8133D4C-1D80-4AD8-84B9-D2AB48874FCB}"/>
    <cellStyle name="Финансовый 3 3 2 3 2 5 4" xfId="11212" xr:uid="{00000000-0005-0000-0000-000051300000}"/>
    <cellStyle name="Финансовый 3 3 2 3 2 5 4 2" xfId="28301" xr:uid="{99F55520-C036-4E67-920D-2C5E2D561692}"/>
    <cellStyle name="Финансовый 3 3 2 3 2 5 5" xfId="14444" xr:uid="{00000000-0005-0000-0000-000052300000}"/>
    <cellStyle name="Финансовый 3 3 2 3 2 5 5 2" xfId="31457" xr:uid="{107DB388-044C-45FE-924F-6E1D211BADD1}"/>
    <cellStyle name="Финансовый 3 3 2 3 2 5 6" xfId="17525" xr:uid="{00000000-0005-0000-0000-000053300000}"/>
    <cellStyle name="Финансовый 3 3 2 3 2 5 6 2" xfId="34538" xr:uid="{FA752AD6-7BC6-4F86-99F7-1CEA45A048BB}"/>
    <cellStyle name="Финансовый 3 3 2 3 2 5 7" xfId="25228" xr:uid="{3542DB48-947E-4303-A32C-9CEC07337AEB}"/>
    <cellStyle name="Финансовый 3 3 2 3 2 6" xfId="8125" xr:uid="{00000000-0005-0000-0000-000054300000}"/>
    <cellStyle name="Финансовый 3 3 2 3 2 6 2" xfId="8126" xr:uid="{00000000-0005-0000-0000-000055300000}"/>
    <cellStyle name="Финансовый 3 3 2 3 2 6 2 2" xfId="11217" xr:uid="{00000000-0005-0000-0000-000056300000}"/>
    <cellStyle name="Финансовый 3 3 2 3 2 6 2 2 2" xfId="28306" xr:uid="{85614CC4-28CD-44AD-ABC9-BCA41F9BB3B6}"/>
    <cellStyle name="Финансовый 3 3 2 3 2 6 2 3" xfId="14449" xr:uid="{00000000-0005-0000-0000-000057300000}"/>
    <cellStyle name="Финансовый 3 3 2 3 2 6 2 3 2" xfId="31462" xr:uid="{B5C61F87-2960-4576-A512-6B7C622B9CD7}"/>
    <cellStyle name="Финансовый 3 3 2 3 2 6 2 4" xfId="17530" xr:uid="{00000000-0005-0000-0000-000058300000}"/>
    <cellStyle name="Финансовый 3 3 2 3 2 6 2 4 2" xfId="34543" xr:uid="{DD79398F-A844-43FC-ABCA-7304219457A3}"/>
    <cellStyle name="Финансовый 3 3 2 3 2 6 2 5" xfId="25233" xr:uid="{8ED602DF-93B8-47C6-9348-FF3EFB041DAB}"/>
    <cellStyle name="Финансовый 3 3 2 3 2 6 3" xfId="11216" xr:uid="{00000000-0005-0000-0000-000059300000}"/>
    <cellStyle name="Финансовый 3 3 2 3 2 6 3 2" xfId="28305" xr:uid="{C68E1EBF-193E-4424-A312-20D7C8659BE8}"/>
    <cellStyle name="Финансовый 3 3 2 3 2 6 4" xfId="14448" xr:uid="{00000000-0005-0000-0000-00005A300000}"/>
    <cellStyle name="Финансовый 3 3 2 3 2 6 4 2" xfId="31461" xr:uid="{D6BDDEE9-58DB-4324-8392-D278E09D55CC}"/>
    <cellStyle name="Финансовый 3 3 2 3 2 6 5" xfId="17529" xr:uid="{00000000-0005-0000-0000-00005B300000}"/>
    <cellStyle name="Финансовый 3 3 2 3 2 6 5 2" xfId="34542" xr:uid="{D3D67934-C14A-4B63-B699-B3944798E7DC}"/>
    <cellStyle name="Финансовый 3 3 2 3 2 6 6" xfId="25232" xr:uid="{5D439056-A356-4940-BB9A-3F6A9C4A2A22}"/>
    <cellStyle name="Финансовый 3 3 2 3 2 7" xfId="8127" xr:uid="{00000000-0005-0000-0000-00005C300000}"/>
    <cellStyle name="Финансовый 3 3 2 3 2 7 2" xfId="11218" xr:uid="{00000000-0005-0000-0000-00005D300000}"/>
    <cellStyle name="Финансовый 3 3 2 3 2 7 2 2" xfId="28307" xr:uid="{513AB28A-F34C-453C-AB72-9398493D0697}"/>
    <cellStyle name="Финансовый 3 3 2 3 2 7 3" xfId="14450" xr:uid="{00000000-0005-0000-0000-00005E300000}"/>
    <cellStyle name="Финансовый 3 3 2 3 2 7 3 2" xfId="31463" xr:uid="{15F0056A-3636-4ACC-BD5B-ACB350E51058}"/>
    <cellStyle name="Финансовый 3 3 2 3 2 7 4" xfId="17531" xr:uid="{00000000-0005-0000-0000-00005F300000}"/>
    <cellStyle name="Финансовый 3 3 2 3 2 7 4 2" xfId="34544" xr:uid="{25459B0B-14D7-41D6-B4AB-518A53665241}"/>
    <cellStyle name="Финансовый 3 3 2 3 2 7 5" xfId="25234" xr:uid="{62D34935-C269-42F0-BA51-850FF628FC0D}"/>
    <cellStyle name="Финансовый 3 3 2 3 2 8" xfId="11155" xr:uid="{00000000-0005-0000-0000-000060300000}"/>
    <cellStyle name="Финансовый 3 3 2 3 2 8 2" xfId="28244" xr:uid="{37779154-31E7-428A-BDB2-D4A0B693EB0B}"/>
    <cellStyle name="Финансовый 3 3 2 3 2 9" xfId="14387" xr:uid="{00000000-0005-0000-0000-000061300000}"/>
    <cellStyle name="Финансовый 3 3 2 3 2 9 2" xfId="31400" xr:uid="{8E72F5C4-D9A5-4FED-ADC3-940018468371}"/>
    <cellStyle name="Финансовый 3 3 2 3 3" xfId="8128" xr:uid="{00000000-0005-0000-0000-000062300000}"/>
    <cellStyle name="Финансовый 3 3 2 3 3 10" xfId="25235" xr:uid="{406509C7-0352-4811-BAA2-C75A08A32066}"/>
    <cellStyle name="Финансовый 3 3 2 3 3 2" xfId="8129" xr:uid="{00000000-0005-0000-0000-000063300000}"/>
    <cellStyle name="Финансовый 3 3 2 3 3 2 2" xfId="8130" xr:uid="{00000000-0005-0000-0000-000064300000}"/>
    <cellStyle name="Финансовый 3 3 2 3 3 2 2 2" xfId="8131" xr:uid="{00000000-0005-0000-0000-000065300000}"/>
    <cellStyle name="Финансовый 3 3 2 3 3 2 2 2 2" xfId="8132" xr:uid="{00000000-0005-0000-0000-000066300000}"/>
    <cellStyle name="Финансовый 3 3 2 3 3 2 2 2 2 2" xfId="8133" xr:uid="{00000000-0005-0000-0000-000067300000}"/>
    <cellStyle name="Финансовый 3 3 2 3 3 2 2 2 2 2 2" xfId="11224" xr:uid="{00000000-0005-0000-0000-000068300000}"/>
    <cellStyle name="Финансовый 3 3 2 3 3 2 2 2 2 2 2 2" xfId="28313" xr:uid="{02974767-8ABC-4F0F-A757-AE90D1B335DA}"/>
    <cellStyle name="Финансовый 3 3 2 3 3 2 2 2 2 2 3" xfId="14456" xr:uid="{00000000-0005-0000-0000-000069300000}"/>
    <cellStyle name="Финансовый 3 3 2 3 3 2 2 2 2 2 3 2" xfId="31469" xr:uid="{4CCE0A9B-F35B-405B-A03D-D640E6D2AE22}"/>
    <cellStyle name="Финансовый 3 3 2 3 3 2 2 2 2 2 4" xfId="17537" xr:uid="{00000000-0005-0000-0000-00006A300000}"/>
    <cellStyle name="Финансовый 3 3 2 3 3 2 2 2 2 2 4 2" xfId="34550" xr:uid="{BE6A8884-9111-4FE5-A398-81F8FDC4FF78}"/>
    <cellStyle name="Финансовый 3 3 2 3 3 2 2 2 2 2 5" xfId="25240" xr:uid="{533BB04C-70D1-4C26-941A-294204B2624A}"/>
    <cellStyle name="Финансовый 3 3 2 3 3 2 2 2 2 3" xfId="11223" xr:uid="{00000000-0005-0000-0000-00006B300000}"/>
    <cellStyle name="Финансовый 3 3 2 3 3 2 2 2 2 3 2" xfId="28312" xr:uid="{DA969925-43A7-4568-A73E-881C22D51B39}"/>
    <cellStyle name="Финансовый 3 3 2 3 3 2 2 2 2 4" xfId="14455" xr:uid="{00000000-0005-0000-0000-00006C300000}"/>
    <cellStyle name="Финансовый 3 3 2 3 3 2 2 2 2 4 2" xfId="31468" xr:uid="{CA66C912-E50C-4EF9-B394-F59A1A9EC414}"/>
    <cellStyle name="Финансовый 3 3 2 3 3 2 2 2 2 5" xfId="17536" xr:uid="{00000000-0005-0000-0000-00006D300000}"/>
    <cellStyle name="Финансовый 3 3 2 3 3 2 2 2 2 5 2" xfId="34549" xr:uid="{0973BE5B-05E7-4C50-BC39-B5488DEDC900}"/>
    <cellStyle name="Финансовый 3 3 2 3 3 2 2 2 2 6" xfId="25239" xr:uid="{CBF8DFDB-955E-4A47-B430-C2B59E277091}"/>
    <cellStyle name="Финансовый 3 3 2 3 3 2 2 2 3" xfId="8134" xr:uid="{00000000-0005-0000-0000-00006E300000}"/>
    <cellStyle name="Финансовый 3 3 2 3 3 2 2 2 3 2" xfId="11225" xr:uid="{00000000-0005-0000-0000-00006F300000}"/>
    <cellStyle name="Финансовый 3 3 2 3 3 2 2 2 3 2 2" xfId="28314" xr:uid="{510A6ABD-5368-4B85-ACA0-1E36A0EA04AF}"/>
    <cellStyle name="Финансовый 3 3 2 3 3 2 2 2 3 3" xfId="14457" xr:uid="{00000000-0005-0000-0000-000070300000}"/>
    <cellStyle name="Финансовый 3 3 2 3 3 2 2 2 3 3 2" xfId="31470" xr:uid="{107C5800-CD7B-4C53-8749-0F3377BCC6EF}"/>
    <cellStyle name="Финансовый 3 3 2 3 3 2 2 2 3 4" xfId="17538" xr:uid="{00000000-0005-0000-0000-000071300000}"/>
    <cellStyle name="Финансовый 3 3 2 3 3 2 2 2 3 4 2" xfId="34551" xr:uid="{46F5002D-C62E-45E5-ACA9-09F81DCE97E2}"/>
    <cellStyle name="Финансовый 3 3 2 3 3 2 2 2 3 5" xfId="25241" xr:uid="{58D54985-8DD7-49BA-9FC3-A63FE6685796}"/>
    <cellStyle name="Финансовый 3 3 2 3 3 2 2 2 4" xfId="11222" xr:uid="{00000000-0005-0000-0000-000072300000}"/>
    <cellStyle name="Финансовый 3 3 2 3 3 2 2 2 4 2" xfId="28311" xr:uid="{AA063B6C-1F6F-4721-9450-B98D48D0D973}"/>
    <cellStyle name="Финансовый 3 3 2 3 3 2 2 2 5" xfId="14454" xr:uid="{00000000-0005-0000-0000-000073300000}"/>
    <cellStyle name="Финансовый 3 3 2 3 3 2 2 2 5 2" xfId="31467" xr:uid="{CB2D9E66-61A5-463D-8EBA-6E48AA1B3607}"/>
    <cellStyle name="Финансовый 3 3 2 3 3 2 2 2 6" xfId="17535" xr:uid="{00000000-0005-0000-0000-000074300000}"/>
    <cellStyle name="Финансовый 3 3 2 3 3 2 2 2 6 2" xfId="34548" xr:uid="{B8DD88AA-608C-493C-8AFC-84C054B27666}"/>
    <cellStyle name="Финансовый 3 3 2 3 3 2 2 2 7" xfId="25238" xr:uid="{52B904A3-66CC-417D-B7E8-2A4F5113D944}"/>
    <cellStyle name="Финансовый 3 3 2 3 3 2 2 3" xfId="8135" xr:uid="{00000000-0005-0000-0000-000075300000}"/>
    <cellStyle name="Финансовый 3 3 2 3 3 2 2 3 2" xfId="8136" xr:uid="{00000000-0005-0000-0000-000076300000}"/>
    <cellStyle name="Финансовый 3 3 2 3 3 2 2 3 2 2" xfId="11227" xr:uid="{00000000-0005-0000-0000-000077300000}"/>
    <cellStyle name="Финансовый 3 3 2 3 3 2 2 3 2 2 2" xfId="28316" xr:uid="{B5E484BC-06FA-48F6-859D-DA571CB74FFF}"/>
    <cellStyle name="Финансовый 3 3 2 3 3 2 2 3 2 3" xfId="14459" xr:uid="{00000000-0005-0000-0000-000078300000}"/>
    <cellStyle name="Финансовый 3 3 2 3 3 2 2 3 2 3 2" xfId="31472" xr:uid="{5FD05297-259D-4767-B4E4-48D17348C912}"/>
    <cellStyle name="Финансовый 3 3 2 3 3 2 2 3 2 4" xfId="17540" xr:uid="{00000000-0005-0000-0000-000079300000}"/>
    <cellStyle name="Финансовый 3 3 2 3 3 2 2 3 2 4 2" xfId="34553" xr:uid="{75D66EDA-4EFF-433A-B4D3-40A5BA602E55}"/>
    <cellStyle name="Финансовый 3 3 2 3 3 2 2 3 2 5" xfId="25243" xr:uid="{4977E047-AE50-4637-AD7C-BA49B9C74D60}"/>
    <cellStyle name="Финансовый 3 3 2 3 3 2 2 3 3" xfId="11226" xr:uid="{00000000-0005-0000-0000-00007A300000}"/>
    <cellStyle name="Финансовый 3 3 2 3 3 2 2 3 3 2" xfId="28315" xr:uid="{108AAB3F-F6F1-475B-B8DE-906C98F0F1D5}"/>
    <cellStyle name="Финансовый 3 3 2 3 3 2 2 3 4" xfId="14458" xr:uid="{00000000-0005-0000-0000-00007B300000}"/>
    <cellStyle name="Финансовый 3 3 2 3 3 2 2 3 4 2" xfId="31471" xr:uid="{7778A352-7E60-4632-A605-037CDD976928}"/>
    <cellStyle name="Финансовый 3 3 2 3 3 2 2 3 5" xfId="17539" xr:uid="{00000000-0005-0000-0000-00007C300000}"/>
    <cellStyle name="Финансовый 3 3 2 3 3 2 2 3 5 2" xfId="34552" xr:uid="{45BD7048-503D-4D9B-B852-A4781A24E006}"/>
    <cellStyle name="Финансовый 3 3 2 3 3 2 2 3 6" xfId="25242" xr:uid="{CB11C3B7-88DD-4F1C-88A6-9234C4A20C2C}"/>
    <cellStyle name="Финансовый 3 3 2 3 3 2 2 4" xfId="8137" xr:uid="{00000000-0005-0000-0000-00007D300000}"/>
    <cellStyle name="Финансовый 3 3 2 3 3 2 2 4 2" xfId="11228" xr:uid="{00000000-0005-0000-0000-00007E300000}"/>
    <cellStyle name="Финансовый 3 3 2 3 3 2 2 4 2 2" xfId="28317" xr:uid="{81543A0C-6583-498D-B552-B6F16975BB65}"/>
    <cellStyle name="Финансовый 3 3 2 3 3 2 2 4 3" xfId="14460" xr:uid="{00000000-0005-0000-0000-00007F300000}"/>
    <cellStyle name="Финансовый 3 3 2 3 3 2 2 4 3 2" xfId="31473" xr:uid="{6371985D-0ACC-4BA2-A3BA-EA900F1E2A34}"/>
    <cellStyle name="Финансовый 3 3 2 3 3 2 2 4 4" xfId="17541" xr:uid="{00000000-0005-0000-0000-000080300000}"/>
    <cellStyle name="Финансовый 3 3 2 3 3 2 2 4 4 2" xfId="34554" xr:uid="{221485BE-175E-46EF-9A2C-45F7A7675970}"/>
    <cellStyle name="Финансовый 3 3 2 3 3 2 2 4 5" xfId="25244" xr:uid="{1E275F60-D0B0-4DA7-A541-6EB180DEB63E}"/>
    <cellStyle name="Финансовый 3 3 2 3 3 2 2 5" xfId="11221" xr:uid="{00000000-0005-0000-0000-000081300000}"/>
    <cellStyle name="Финансовый 3 3 2 3 3 2 2 5 2" xfId="28310" xr:uid="{C9534E04-F9D6-4EFB-8D24-123FDAB2CFE9}"/>
    <cellStyle name="Финансовый 3 3 2 3 3 2 2 6" xfId="14453" xr:uid="{00000000-0005-0000-0000-000082300000}"/>
    <cellStyle name="Финансовый 3 3 2 3 3 2 2 6 2" xfId="31466" xr:uid="{58D7A755-6FE6-4AB3-B2ED-CDA4F7534D3F}"/>
    <cellStyle name="Финансовый 3 3 2 3 3 2 2 7" xfId="17534" xr:uid="{00000000-0005-0000-0000-000083300000}"/>
    <cellStyle name="Финансовый 3 3 2 3 3 2 2 7 2" xfId="34547" xr:uid="{4F867417-8738-4A85-97BE-31A798880045}"/>
    <cellStyle name="Финансовый 3 3 2 3 3 2 2 8" xfId="25237" xr:uid="{5AAE1DA8-F0EB-4847-853A-58E2CD08ED7C}"/>
    <cellStyle name="Финансовый 3 3 2 3 3 2 3" xfId="8138" xr:uid="{00000000-0005-0000-0000-000084300000}"/>
    <cellStyle name="Финансовый 3 3 2 3 3 2 3 2" xfId="8139" xr:uid="{00000000-0005-0000-0000-000085300000}"/>
    <cellStyle name="Финансовый 3 3 2 3 3 2 3 2 2" xfId="8140" xr:uid="{00000000-0005-0000-0000-000086300000}"/>
    <cellStyle name="Финансовый 3 3 2 3 3 2 3 2 2 2" xfId="11231" xr:uid="{00000000-0005-0000-0000-000087300000}"/>
    <cellStyle name="Финансовый 3 3 2 3 3 2 3 2 2 2 2" xfId="28320" xr:uid="{E078E700-D0FB-4915-8FC8-2F2D01C4CCC3}"/>
    <cellStyle name="Финансовый 3 3 2 3 3 2 3 2 2 3" xfId="14463" xr:uid="{00000000-0005-0000-0000-000088300000}"/>
    <cellStyle name="Финансовый 3 3 2 3 3 2 3 2 2 3 2" xfId="31476" xr:uid="{7D2A8B24-EE90-4BF5-8F0B-ADB0982BADBA}"/>
    <cellStyle name="Финансовый 3 3 2 3 3 2 3 2 2 4" xfId="17544" xr:uid="{00000000-0005-0000-0000-000089300000}"/>
    <cellStyle name="Финансовый 3 3 2 3 3 2 3 2 2 4 2" xfId="34557" xr:uid="{10B8C13F-A8EC-4F33-91AD-FB374C27E6FC}"/>
    <cellStyle name="Финансовый 3 3 2 3 3 2 3 2 2 5" xfId="25247" xr:uid="{7D1A85AF-42EB-4B49-A974-E0D75DD5C66C}"/>
    <cellStyle name="Финансовый 3 3 2 3 3 2 3 2 3" xfId="11230" xr:uid="{00000000-0005-0000-0000-00008A300000}"/>
    <cellStyle name="Финансовый 3 3 2 3 3 2 3 2 3 2" xfId="28319" xr:uid="{60155846-7530-4B32-ACD2-C263132601AF}"/>
    <cellStyle name="Финансовый 3 3 2 3 3 2 3 2 4" xfId="14462" xr:uid="{00000000-0005-0000-0000-00008B300000}"/>
    <cellStyle name="Финансовый 3 3 2 3 3 2 3 2 4 2" xfId="31475" xr:uid="{FCCFF892-CD64-4301-8B83-F86224E709DB}"/>
    <cellStyle name="Финансовый 3 3 2 3 3 2 3 2 5" xfId="17543" xr:uid="{00000000-0005-0000-0000-00008C300000}"/>
    <cellStyle name="Финансовый 3 3 2 3 3 2 3 2 5 2" xfId="34556" xr:uid="{B95B5361-E206-4D8A-A1CA-7FAA6BF9798B}"/>
    <cellStyle name="Финансовый 3 3 2 3 3 2 3 2 6" xfId="25246" xr:uid="{680C03C9-3CD9-46BC-ADE3-5F09BF3E9792}"/>
    <cellStyle name="Финансовый 3 3 2 3 3 2 3 3" xfId="8141" xr:uid="{00000000-0005-0000-0000-00008D300000}"/>
    <cellStyle name="Финансовый 3 3 2 3 3 2 3 3 2" xfId="11232" xr:uid="{00000000-0005-0000-0000-00008E300000}"/>
    <cellStyle name="Финансовый 3 3 2 3 3 2 3 3 2 2" xfId="28321" xr:uid="{8D8AC9F0-6999-4C14-86F2-0977DD4C261A}"/>
    <cellStyle name="Финансовый 3 3 2 3 3 2 3 3 3" xfId="14464" xr:uid="{00000000-0005-0000-0000-00008F300000}"/>
    <cellStyle name="Финансовый 3 3 2 3 3 2 3 3 3 2" xfId="31477" xr:uid="{EFA58F6F-9DF6-4367-AB7C-2AB7D02F36C9}"/>
    <cellStyle name="Финансовый 3 3 2 3 3 2 3 3 4" xfId="17545" xr:uid="{00000000-0005-0000-0000-000090300000}"/>
    <cellStyle name="Финансовый 3 3 2 3 3 2 3 3 4 2" xfId="34558" xr:uid="{00CFE825-32DF-4334-9397-34AFE10BFA00}"/>
    <cellStyle name="Финансовый 3 3 2 3 3 2 3 3 5" xfId="25248" xr:uid="{27FAF412-5960-46BD-AB1A-979A54632093}"/>
    <cellStyle name="Финансовый 3 3 2 3 3 2 3 4" xfId="11229" xr:uid="{00000000-0005-0000-0000-000091300000}"/>
    <cellStyle name="Финансовый 3 3 2 3 3 2 3 4 2" xfId="28318" xr:uid="{F1781895-8F35-43B0-B142-D029DD219D9B}"/>
    <cellStyle name="Финансовый 3 3 2 3 3 2 3 5" xfId="14461" xr:uid="{00000000-0005-0000-0000-000092300000}"/>
    <cellStyle name="Финансовый 3 3 2 3 3 2 3 5 2" xfId="31474" xr:uid="{43179620-1FA0-4171-AFFF-852BC3BCBB68}"/>
    <cellStyle name="Финансовый 3 3 2 3 3 2 3 6" xfId="17542" xr:uid="{00000000-0005-0000-0000-000093300000}"/>
    <cellStyle name="Финансовый 3 3 2 3 3 2 3 6 2" xfId="34555" xr:uid="{675746EA-3941-4617-A502-AA7B4EF04701}"/>
    <cellStyle name="Финансовый 3 3 2 3 3 2 3 7" xfId="25245" xr:uid="{9481236A-F3B8-4F63-B85C-0299B2972865}"/>
    <cellStyle name="Финансовый 3 3 2 3 3 2 4" xfId="8142" xr:uid="{00000000-0005-0000-0000-000094300000}"/>
    <cellStyle name="Финансовый 3 3 2 3 3 2 4 2" xfId="8143" xr:uid="{00000000-0005-0000-0000-000095300000}"/>
    <cellStyle name="Финансовый 3 3 2 3 3 2 4 2 2" xfId="11234" xr:uid="{00000000-0005-0000-0000-000096300000}"/>
    <cellStyle name="Финансовый 3 3 2 3 3 2 4 2 2 2" xfId="28323" xr:uid="{144B8AA6-5854-4E5A-A405-3EDBA9525133}"/>
    <cellStyle name="Финансовый 3 3 2 3 3 2 4 2 3" xfId="14466" xr:uid="{00000000-0005-0000-0000-000097300000}"/>
    <cellStyle name="Финансовый 3 3 2 3 3 2 4 2 3 2" xfId="31479" xr:uid="{5F416406-33E7-405C-A853-1A5005A04830}"/>
    <cellStyle name="Финансовый 3 3 2 3 3 2 4 2 4" xfId="17547" xr:uid="{00000000-0005-0000-0000-000098300000}"/>
    <cellStyle name="Финансовый 3 3 2 3 3 2 4 2 4 2" xfId="34560" xr:uid="{E1F8CB2A-3F6B-4C5D-A362-69610A0E28C9}"/>
    <cellStyle name="Финансовый 3 3 2 3 3 2 4 2 5" xfId="25250" xr:uid="{280878F4-069B-4568-9772-814614A3226B}"/>
    <cellStyle name="Финансовый 3 3 2 3 3 2 4 3" xfId="11233" xr:uid="{00000000-0005-0000-0000-000099300000}"/>
    <cellStyle name="Финансовый 3 3 2 3 3 2 4 3 2" xfId="28322" xr:uid="{2DE21ECD-4757-4779-95BD-9E4D787A1414}"/>
    <cellStyle name="Финансовый 3 3 2 3 3 2 4 4" xfId="14465" xr:uid="{00000000-0005-0000-0000-00009A300000}"/>
    <cellStyle name="Финансовый 3 3 2 3 3 2 4 4 2" xfId="31478" xr:uid="{BD92399C-95B5-4D7B-B86F-D8ADBA867EDB}"/>
    <cellStyle name="Финансовый 3 3 2 3 3 2 4 5" xfId="17546" xr:uid="{00000000-0005-0000-0000-00009B300000}"/>
    <cellStyle name="Финансовый 3 3 2 3 3 2 4 5 2" xfId="34559" xr:uid="{3CFBC67E-24E8-435A-A0AA-21DF0B29C688}"/>
    <cellStyle name="Финансовый 3 3 2 3 3 2 4 6" xfId="25249" xr:uid="{FDB5372C-4B96-488C-A633-E3AA7BFE4FBC}"/>
    <cellStyle name="Финансовый 3 3 2 3 3 2 5" xfId="8144" xr:uid="{00000000-0005-0000-0000-00009C300000}"/>
    <cellStyle name="Финансовый 3 3 2 3 3 2 5 2" xfId="11235" xr:uid="{00000000-0005-0000-0000-00009D300000}"/>
    <cellStyle name="Финансовый 3 3 2 3 3 2 5 2 2" xfId="28324" xr:uid="{A00127F7-B8B6-4604-8582-79938C690624}"/>
    <cellStyle name="Финансовый 3 3 2 3 3 2 5 3" xfId="14467" xr:uid="{00000000-0005-0000-0000-00009E300000}"/>
    <cellStyle name="Финансовый 3 3 2 3 3 2 5 3 2" xfId="31480" xr:uid="{9DBD9B14-D848-4D2F-9303-AF8AFA4B52CA}"/>
    <cellStyle name="Финансовый 3 3 2 3 3 2 5 4" xfId="17548" xr:uid="{00000000-0005-0000-0000-00009F300000}"/>
    <cellStyle name="Финансовый 3 3 2 3 3 2 5 4 2" xfId="34561" xr:uid="{678D0203-757B-4DD8-B0A6-BBBBE78CB18C}"/>
    <cellStyle name="Финансовый 3 3 2 3 3 2 5 5" xfId="25251" xr:uid="{8B947526-CD16-4A82-9783-A1627D9BB114}"/>
    <cellStyle name="Финансовый 3 3 2 3 3 2 6" xfId="11220" xr:uid="{00000000-0005-0000-0000-0000A0300000}"/>
    <cellStyle name="Финансовый 3 3 2 3 3 2 6 2" xfId="28309" xr:uid="{995CA152-D3B4-4DC8-8048-48CDD1820831}"/>
    <cellStyle name="Финансовый 3 3 2 3 3 2 7" xfId="14452" xr:uid="{00000000-0005-0000-0000-0000A1300000}"/>
    <cellStyle name="Финансовый 3 3 2 3 3 2 7 2" xfId="31465" xr:uid="{3061C9BA-522A-40E8-8B0B-61AB568598FC}"/>
    <cellStyle name="Финансовый 3 3 2 3 3 2 8" xfId="17533" xr:uid="{00000000-0005-0000-0000-0000A2300000}"/>
    <cellStyle name="Финансовый 3 3 2 3 3 2 8 2" xfId="34546" xr:uid="{3878D6F5-B5C7-470C-AE50-88D64DE101E5}"/>
    <cellStyle name="Финансовый 3 3 2 3 3 2 9" xfId="25236" xr:uid="{4184901F-19A4-431E-8BCA-F29DE252A1F6}"/>
    <cellStyle name="Финансовый 3 3 2 3 3 3" xfId="8145" xr:uid="{00000000-0005-0000-0000-0000A3300000}"/>
    <cellStyle name="Финансовый 3 3 2 3 3 3 2" xfId="8146" xr:uid="{00000000-0005-0000-0000-0000A4300000}"/>
    <cellStyle name="Финансовый 3 3 2 3 3 3 2 2" xfId="8147" xr:uid="{00000000-0005-0000-0000-0000A5300000}"/>
    <cellStyle name="Финансовый 3 3 2 3 3 3 2 2 2" xfId="8148" xr:uid="{00000000-0005-0000-0000-0000A6300000}"/>
    <cellStyle name="Финансовый 3 3 2 3 3 3 2 2 2 2" xfId="11239" xr:uid="{00000000-0005-0000-0000-0000A7300000}"/>
    <cellStyle name="Финансовый 3 3 2 3 3 3 2 2 2 2 2" xfId="28328" xr:uid="{00E44F48-6C0B-414A-982B-95EF5B7845A5}"/>
    <cellStyle name="Финансовый 3 3 2 3 3 3 2 2 2 3" xfId="14471" xr:uid="{00000000-0005-0000-0000-0000A8300000}"/>
    <cellStyle name="Финансовый 3 3 2 3 3 3 2 2 2 3 2" xfId="31484" xr:uid="{1166D14F-3DA1-4DA8-B886-EB6E6C140AC8}"/>
    <cellStyle name="Финансовый 3 3 2 3 3 3 2 2 2 4" xfId="17552" xr:uid="{00000000-0005-0000-0000-0000A9300000}"/>
    <cellStyle name="Финансовый 3 3 2 3 3 3 2 2 2 4 2" xfId="34565" xr:uid="{90E9E9F2-76AC-47E8-9E1E-1B8AEC16FFDB}"/>
    <cellStyle name="Финансовый 3 3 2 3 3 3 2 2 2 5" xfId="25255" xr:uid="{4BF4E9AD-141D-4688-857F-2B172519F907}"/>
    <cellStyle name="Финансовый 3 3 2 3 3 3 2 2 3" xfId="11238" xr:uid="{00000000-0005-0000-0000-0000AA300000}"/>
    <cellStyle name="Финансовый 3 3 2 3 3 3 2 2 3 2" xfId="28327" xr:uid="{FDFE5A7C-56E5-46CF-B194-B7435787DD8E}"/>
    <cellStyle name="Финансовый 3 3 2 3 3 3 2 2 4" xfId="14470" xr:uid="{00000000-0005-0000-0000-0000AB300000}"/>
    <cellStyle name="Финансовый 3 3 2 3 3 3 2 2 4 2" xfId="31483" xr:uid="{7A0F61C6-0F97-4613-B743-F0B68249125C}"/>
    <cellStyle name="Финансовый 3 3 2 3 3 3 2 2 5" xfId="17551" xr:uid="{00000000-0005-0000-0000-0000AC300000}"/>
    <cellStyle name="Финансовый 3 3 2 3 3 3 2 2 5 2" xfId="34564" xr:uid="{D804CB32-4870-4B27-A336-0AB71F178083}"/>
    <cellStyle name="Финансовый 3 3 2 3 3 3 2 2 6" xfId="25254" xr:uid="{B13E12F3-7108-4189-A50E-F40E3F6AF99F}"/>
    <cellStyle name="Финансовый 3 3 2 3 3 3 2 3" xfId="8149" xr:uid="{00000000-0005-0000-0000-0000AD300000}"/>
    <cellStyle name="Финансовый 3 3 2 3 3 3 2 3 2" xfId="11240" xr:uid="{00000000-0005-0000-0000-0000AE300000}"/>
    <cellStyle name="Финансовый 3 3 2 3 3 3 2 3 2 2" xfId="28329" xr:uid="{E3654A26-6F70-43FE-91B9-5CC0A93D0441}"/>
    <cellStyle name="Финансовый 3 3 2 3 3 3 2 3 3" xfId="14472" xr:uid="{00000000-0005-0000-0000-0000AF300000}"/>
    <cellStyle name="Финансовый 3 3 2 3 3 3 2 3 3 2" xfId="31485" xr:uid="{F5526F54-C0D2-4EC4-AD1C-6F7583E5962D}"/>
    <cellStyle name="Финансовый 3 3 2 3 3 3 2 3 4" xfId="17553" xr:uid="{00000000-0005-0000-0000-0000B0300000}"/>
    <cellStyle name="Финансовый 3 3 2 3 3 3 2 3 4 2" xfId="34566" xr:uid="{B5F24194-79E5-48B1-84BC-AE3AC850579D}"/>
    <cellStyle name="Финансовый 3 3 2 3 3 3 2 3 5" xfId="25256" xr:uid="{61E1105C-DF73-4AB5-B585-AB4E5D4D179A}"/>
    <cellStyle name="Финансовый 3 3 2 3 3 3 2 4" xfId="11237" xr:uid="{00000000-0005-0000-0000-0000B1300000}"/>
    <cellStyle name="Финансовый 3 3 2 3 3 3 2 4 2" xfId="28326" xr:uid="{6E428E11-D6B6-4B63-89DC-1FFDFB943D6B}"/>
    <cellStyle name="Финансовый 3 3 2 3 3 3 2 5" xfId="14469" xr:uid="{00000000-0005-0000-0000-0000B2300000}"/>
    <cellStyle name="Финансовый 3 3 2 3 3 3 2 5 2" xfId="31482" xr:uid="{3E905D44-8D48-45EA-BCD6-B1C747BAD26D}"/>
    <cellStyle name="Финансовый 3 3 2 3 3 3 2 6" xfId="17550" xr:uid="{00000000-0005-0000-0000-0000B3300000}"/>
    <cellStyle name="Финансовый 3 3 2 3 3 3 2 6 2" xfId="34563" xr:uid="{3DAC7B16-AF6A-479E-B6D9-9805473E4ED0}"/>
    <cellStyle name="Финансовый 3 3 2 3 3 3 2 7" xfId="25253" xr:uid="{323193B5-762F-42CA-84B8-4E13E6AD4885}"/>
    <cellStyle name="Финансовый 3 3 2 3 3 3 3" xfId="8150" xr:uid="{00000000-0005-0000-0000-0000B4300000}"/>
    <cellStyle name="Финансовый 3 3 2 3 3 3 3 2" xfId="8151" xr:uid="{00000000-0005-0000-0000-0000B5300000}"/>
    <cellStyle name="Финансовый 3 3 2 3 3 3 3 2 2" xfId="11242" xr:uid="{00000000-0005-0000-0000-0000B6300000}"/>
    <cellStyle name="Финансовый 3 3 2 3 3 3 3 2 2 2" xfId="28331" xr:uid="{541AE257-E93A-4666-BC0A-B794E5D47754}"/>
    <cellStyle name="Финансовый 3 3 2 3 3 3 3 2 3" xfId="14474" xr:uid="{00000000-0005-0000-0000-0000B7300000}"/>
    <cellStyle name="Финансовый 3 3 2 3 3 3 3 2 3 2" xfId="31487" xr:uid="{D2AF084A-0B40-46D9-9D59-60A4D08CA546}"/>
    <cellStyle name="Финансовый 3 3 2 3 3 3 3 2 4" xfId="17555" xr:uid="{00000000-0005-0000-0000-0000B8300000}"/>
    <cellStyle name="Финансовый 3 3 2 3 3 3 3 2 4 2" xfId="34568" xr:uid="{4E92FB2A-DC0F-4979-A38A-AE578B612315}"/>
    <cellStyle name="Финансовый 3 3 2 3 3 3 3 2 5" xfId="25258" xr:uid="{99525F74-E5B5-491E-A6B3-8442EF4CA456}"/>
    <cellStyle name="Финансовый 3 3 2 3 3 3 3 3" xfId="11241" xr:uid="{00000000-0005-0000-0000-0000B9300000}"/>
    <cellStyle name="Финансовый 3 3 2 3 3 3 3 3 2" xfId="28330" xr:uid="{AD8FCECD-07E1-451E-9B89-5E5A817960F7}"/>
    <cellStyle name="Финансовый 3 3 2 3 3 3 3 4" xfId="14473" xr:uid="{00000000-0005-0000-0000-0000BA300000}"/>
    <cellStyle name="Финансовый 3 3 2 3 3 3 3 4 2" xfId="31486" xr:uid="{A6A1D4B4-ABE1-4A30-8BAE-E3AFB14C3B74}"/>
    <cellStyle name="Финансовый 3 3 2 3 3 3 3 5" xfId="17554" xr:uid="{00000000-0005-0000-0000-0000BB300000}"/>
    <cellStyle name="Финансовый 3 3 2 3 3 3 3 5 2" xfId="34567" xr:uid="{2B4A7465-A28C-4BEB-98C0-6EAE367BAB3F}"/>
    <cellStyle name="Финансовый 3 3 2 3 3 3 3 6" xfId="25257" xr:uid="{51F49686-B40E-4F8E-859F-1C4AFC208675}"/>
    <cellStyle name="Финансовый 3 3 2 3 3 3 4" xfId="8152" xr:uid="{00000000-0005-0000-0000-0000BC300000}"/>
    <cellStyle name="Финансовый 3 3 2 3 3 3 4 2" xfId="11243" xr:uid="{00000000-0005-0000-0000-0000BD300000}"/>
    <cellStyle name="Финансовый 3 3 2 3 3 3 4 2 2" xfId="28332" xr:uid="{B63E1B79-1045-458F-BB41-E9515692E75F}"/>
    <cellStyle name="Финансовый 3 3 2 3 3 3 4 3" xfId="14475" xr:uid="{00000000-0005-0000-0000-0000BE300000}"/>
    <cellStyle name="Финансовый 3 3 2 3 3 3 4 3 2" xfId="31488" xr:uid="{E163BE84-E291-4DD8-AF51-781DA5FC4D0D}"/>
    <cellStyle name="Финансовый 3 3 2 3 3 3 4 4" xfId="17556" xr:uid="{00000000-0005-0000-0000-0000BF300000}"/>
    <cellStyle name="Финансовый 3 3 2 3 3 3 4 4 2" xfId="34569" xr:uid="{0CFC025E-1B44-41CB-9DFA-85A61C768CE5}"/>
    <cellStyle name="Финансовый 3 3 2 3 3 3 4 5" xfId="25259" xr:uid="{B624FCE9-F20D-47B8-B246-47952BDC41B6}"/>
    <cellStyle name="Финансовый 3 3 2 3 3 3 5" xfId="11236" xr:uid="{00000000-0005-0000-0000-0000C0300000}"/>
    <cellStyle name="Финансовый 3 3 2 3 3 3 5 2" xfId="28325" xr:uid="{891E3772-EBD5-4EDF-B416-10AFDD5F39E7}"/>
    <cellStyle name="Финансовый 3 3 2 3 3 3 6" xfId="14468" xr:uid="{00000000-0005-0000-0000-0000C1300000}"/>
    <cellStyle name="Финансовый 3 3 2 3 3 3 6 2" xfId="31481" xr:uid="{9E31D259-B159-4F34-B851-500E1C65960B}"/>
    <cellStyle name="Финансовый 3 3 2 3 3 3 7" xfId="17549" xr:uid="{00000000-0005-0000-0000-0000C2300000}"/>
    <cellStyle name="Финансовый 3 3 2 3 3 3 7 2" xfId="34562" xr:uid="{770D15AA-8FEB-4C46-919B-7A4DF3F1DC05}"/>
    <cellStyle name="Финансовый 3 3 2 3 3 3 8" xfId="25252" xr:uid="{7799C7E3-7580-47C5-9BDB-CFB345730D29}"/>
    <cellStyle name="Финансовый 3 3 2 3 3 4" xfId="8153" xr:uid="{00000000-0005-0000-0000-0000C3300000}"/>
    <cellStyle name="Финансовый 3 3 2 3 3 4 2" xfId="8154" xr:uid="{00000000-0005-0000-0000-0000C4300000}"/>
    <cellStyle name="Финансовый 3 3 2 3 3 4 2 2" xfId="8155" xr:uid="{00000000-0005-0000-0000-0000C5300000}"/>
    <cellStyle name="Финансовый 3 3 2 3 3 4 2 2 2" xfId="11246" xr:uid="{00000000-0005-0000-0000-0000C6300000}"/>
    <cellStyle name="Финансовый 3 3 2 3 3 4 2 2 2 2" xfId="28335" xr:uid="{21BEB691-C711-4B52-9641-AB39FE229CF9}"/>
    <cellStyle name="Финансовый 3 3 2 3 3 4 2 2 3" xfId="14478" xr:uid="{00000000-0005-0000-0000-0000C7300000}"/>
    <cellStyle name="Финансовый 3 3 2 3 3 4 2 2 3 2" xfId="31491" xr:uid="{B3CD5550-BFA2-4C8A-A7D4-5189F0E35ED5}"/>
    <cellStyle name="Финансовый 3 3 2 3 3 4 2 2 4" xfId="17559" xr:uid="{00000000-0005-0000-0000-0000C8300000}"/>
    <cellStyle name="Финансовый 3 3 2 3 3 4 2 2 4 2" xfId="34572" xr:uid="{0BDD4B60-CC13-4E99-8668-9B049B4AA501}"/>
    <cellStyle name="Финансовый 3 3 2 3 3 4 2 2 5" xfId="25262" xr:uid="{193A2FCD-CB34-4924-B45C-E4AA856B3D04}"/>
    <cellStyle name="Финансовый 3 3 2 3 3 4 2 3" xfId="11245" xr:uid="{00000000-0005-0000-0000-0000C9300000}"/>
    <cellStyle name="Финансовый 3 3 2 3 3 4 2 3 2" xfId="28334" xr:uid="{FCCC8D97-DF5F-43DF-9C03-657B85ED3A64}"/>
    <cellStyle name="Финансовый 3 3 2 3 3 4 2 4" xfId="14477" xr:uid="{00000000-0005-0000-0000-0000CA300000}"/>
    <cellStyle name="Финансовый 3 3 2 3 3 4 2 4 2" xfId="31490" xr:uid="{2578AC48-F6A1-49FF-98E7-BA34E74F0E6F}"/>
    <cellStyle name="Финансовый 3 3 2 3 3 4 2 5" xfId="17558" xr:uid="{00000000-0005-0000-0000-0000CB300000}"/>
    <cellStyle name="Финансовый 3 3 2 3 3 4 2 5 2" xfId="34571" xr:uid="{E3F3C038-EBC8-430A-81A3-97D09DAF7FDE}"/>
    <cellStyle name="Финансовый 3 3 2 3 3 4 2 6" xfId="25261" xr:uid="{3CAE827C-1FA0-44EA-A115-DACB9F11E6C4}"/>
    <cellStyle name="Финансовый 3 3 2 3 3 4 3" xfId="8156" xr:uid="{00000000-0005-0000-0000-0000CC300000}"/>
    <cellStyle name="Финансовый 3 3 2 3 3 4 3 2" xfId="11247" xr:uid="{00000000-0005-0000-0000-0000CD300000}"/>
    <cellStyle name="Финансовый 3 3 2 3 3 4 3 2 2" xfId="28336" xr:uid="{1F7273CE-2911-4CC6-9F09-21151DFB568E}"/>
    <cellStyle name="Финансовый 3 3 2 3 3 4 3 3" xfId="14479" xr:uid="{00000000-0005-0000-0000-0000CE300000}"/>
    <cellStyle name="Финансовый 3 3 2 3 3 4 3 3 2" xfId="31492" xr:uid="{9322D173-E9DF-4D0D-8F76-A7CCD0B7E0BB}"/>
    <cellStyle name="Финансовый 3 3 2 3 3 4 3 4" xfId="17560" xr:uid="{00000000-0005-0000-0000-0000CF300000}"/>
    <cellStyle name="Финансовый 3 3 2 3 3 4 3 4 2" xfId="34573" xr:uid="{839923A7-F734-4DAA-B69F-29BBC50F62C1}"/>
    <cellStyle name="Финансовый 3 3 2 3 3 4 3 5" xfId="25263" xr:uid="{F54ADF9B-31B3-4888-AF7F-EBBE2A54CFB3}"/>
    <cellStyle name="Финансовый 3 3 2 3 3 4 4" xfId="11244" xr:uid="{00000000-0005-0000-0000-0000D0300000}"/>
    <cellStyle name="Финансовый 3 3 2 3 3 4 4 2" xfId="28333" xr:uid="{62D7A6AB-B715-4576-8BBB-F44AEDD2A220}"/>
    <cellStyle name="Финансовый 3 3 2 3 3 4 5" xfId="14476" xr:uid="{00000000-0005-0000-0000-0000D1300000}"/>
    <cellStyle name="Финансовый 3 3 2 3 3 4 5 2" xfId="31489" xr:uid="{E1ADE83D-7FAA-4060-B446-F06694DD0F48}"/>
    <cellStyle name="Финансовый 3 3 2 3 3 4 6" xfId="17557" xr:uid="{00000000-0005-0000-0000-0000D2300000}"/>
    <cellStyle name="Финансовый 3 3 2 3 3 4 6 2" xfId="34570" xr:uid="{6B905F65-93CD-4299-A6A2-DA516D0414E4}"/>
    <cellStyle name="Финансовый 3 3 2 3 3 4 7" xfId="25260" xr:uid="{E150B891-962C-418E-9948-425B653FC0D2}"/>
    <cellStyle name="Финансовый 3 3 2 3 3 5" xfId="8157" xr:uid="{00000000-0005-0000-0000-0000D3300000}"/>
    <cellStyle name="Финансовый 3 3 2 3 3 5 2" xfId="8158" xr:uid="{00000000-0005-0000-0000-0000D4300000}"/>
    <cellStyle name="Финансовый 3 3 2 3 3 5 2 2" xfId="11249" xr:uid="{00000000-0005-0000-0000-0000D5300000}"/>
    <cellStyle name="Финансовый 3 3 2 3 3 5 2 2 2" xfId="28338" xr:uid="{6ADE7494-7DC4-4F9C-94B8-02014C7CA51B}"/>
    <cellStyle name="Финансовый 3 3 2 3 3 5 2 3" xfId="14481" xr:uid="{00000000-0005-0000-0000-0000D6300000}"/>
    <cellStyle name="Финансовый 3 3 2 3 3 5 2 3 2" xfId="31494" xr:uid="{CC0C2529-5473-48FA-BF6A-19C0A1C1F28D}"/>
    <cellStyle name="Финансовый 3 3 2 3 3 5 2 4" xfId="17562" xr:uid="{00000000-0005-0000-0000-0000D7300000}"/>
    <cellStyle name="Финансовый 3 3 2 3 3 5 2 4 2" xfId="34575" xr:uid="{88DC07F1-10A3-4211-A541-E1C01C63FBCD}"/>
    <cellStyle name="Финансовый 3 3 2 3 3 5 2 5" xfId="25265" xr:uid="{3AACC271-6284-4446-B8D0-B1D147153D03}"/>
    <cellStyle name="Финансовый 3 3 2 3 3 5 3" xfId="11248" xr:uid="{00000000-0005-0000-0000-0000D8300000}"/>
    <cellStyle name="Финансовый 3 3 2 3 3 5 3 2" xfId="28337" xr:uid="{D3456664-08F6-46AA-ACC7-C9AF062A9744}"/>
    <cellStyle name="Финансовый 3 3 2 3 3 5 4" xfId="14480" xr:uid="{00000000-0005-0000-0000-0000D9300000}"/>
    <cellStyle name="Финансовый 3 3 2 3 3 5 4 2" xfId="31493" xr:uid="{C62BD911-6EFB-4B3B-89DE-EB37C7D4FD82}"/>
    <cellStyle name="Финансовый 3 3 2 3 3 5 5" xfId="17561" xr:uid="{00000000-0005-0000-0000-0000DA300000}"/>
    <cellStyle name="Финансовый 3 3 2 3 3 5 5 2" xfId="34574" xr:uid="{98993747-E418-4B1B-801E-CF27A55D90E3}"/>
    <cellStyle name="Финансовый 3 3 2 3 3 5 6" xfId="25264" xr:uid="{AB1064C3-2C7F-4203-A531-EA8303332917}"/>
    <cellStyle name="Финансовый 3 3 2 3 3 6" xfId="8159" xr:uid="{00000000-0005-0000-0000-0000DB300000}"/>
    <cellStyle name="Финансовый 3 3 2 3 3 6 2" xfId="11250" xr:uid="{00000000-0005-0000-0000-0000DC300000}"/>
    <cellStyle name="Финансовый 3 3 2 3 3 6 2 2" xfId="28339" xr:uid="{B2DD0BCE-452F-426C-B926-C77EEB29E54B}"/>
    <cellStyle name="Финансовый 3 3 2 3 3 6 3" xfId="14482" xr:uid="{00000000-0005-0000-0000-0000DD300000}"/>
    <cellStyle name="Финансовый 3 3 2 3 3 6 3 2" xfId="31495" xr:uid="{04D1B276-831B-4D3F-B35E-C324CFC24994}"/>
    <cellStyle name="Финансовый 3 3 2 3 3 6 4" xfId="17563" xr:uid="{00000000-0005-0000-0000-0000DE300000}"/>
    <cellStyle name="Финансовый 3 3 2 3 3 6 4 2" xfId="34576" xr:uid="{4D367CAB-B49C-4A1F-81B1-C73660BD69C8}"/>
    <cellStyle name="Финансовый 3 3 2 3 3 6 5" xfId="25266" xr:uid="{48F5E436-2F0F-4433-90D1-C2032B72C4D4}"/>
    <cellStyle name="Финансовый 3 3 2 3 3 7" xfId="11219" xr:uid="{00000000-0005-0000-0000-0000DF300000}"/>
    <cellStyle name="Финансовый 3 3 2 3 3 7 2" xfId="28308" xr:uid="{118AE31A-8568-4B42-9D0D-ADBF8FC01093}"/>
    <cellStyle name="Финансовый 3 3 2 3 3 8" xfId="14451" xr:uid="{00000000-0005-0000-0000-0000E0300000}"/>
    <cellStyle name="Финансовый 3 3 2 3 3 8 2" xfId="31464" xr:uid="{35A08BEA-716D-414C-94E6-EFCC6109497B}"/>
    <cellStyle name="Финансовый 3 3 2 3 3 9" xfId="17532" xr:uid="{00000000-0005-0000-0000-0000E1300000}"/>
    <cellStyle name="Финансовый 3 3 2 3 3 9 2" xfId="34545" xr:uid="{8DA59AE3-B7CE-4F0F-8F46-66D227C80B28}"/>
    <cellStyle name="Финансовый 3 3 2 3 4" xfId="8160" xr:uid="{00000000-0005-0000-0000-0000E2300000}"/>
    <cellStyle name="Финансовый 3 3 2 3 4 2" xfId="8161" xr:uid="{00000000-0005-0000-0000-0000E3300000}"/>
    <cellStyle name="Финансовый 3 3 2 3 4 2 2" xfId="8162" xr:uid="{00000000-0005-0000-0000-0000E4300000}"/>
    <cellStyle name="Финансовый 3 3 2 3 4 2 2 2" xfId="8163" xr:uid="{00000000-0005-0000-0000-0000E5300000}"/>
    <cellStyle name="Финансовый 3 3 2 3 4 2 2 2 2" xfId="8164" xr:uid="{00000000-0005-0000-0000-0000E6300000}"/>
    <cellStyle name="Финансовый 3 3 2 3 4 2 2 2 2 2" xfId="11255" xr:uid="{00000000-0005-0000-0000-0000E7300000}"/>
    <cellStyle name="Финансовый 3 3 2 3 4 2 2 2 2 2 2" xfId="28344" xr:uid="{EEA74FA2-6BCF-4C81-B106-964EF6B543C7}"/>
    <cellStyle name="Финансовый 3 3 2 3 4 2 2 2 2 3" xfId="14487" xr:uid="{00000000-0005-0000-0000-0000E8300000}"/>
    <cellStyle name="Финансовый 3 3 2 3 4 2 2 2 2 3 2" xfId="31500" xr:uid="{2AFBA065-3419-43B8-8BC7-152C5FE3A725}"/>
    <cellStyle name="Финансовый 3 3 2 3 4 2 2 2 2 4" xfId="17568" xr:uid="{00000000-0005-0000-0000-0000E9300000}"/>
    <cellStyle name="Финансовый 3 3 2 3 4 2 2 2 2 4 2" xfId="34581" xr:uid="{AC25597B-1696-4111-A662-3D83E503216B}"/>
    <cellStyle name="Финансовый 3 3 2 3 4 2 2 2 2 5" xfId="25271" xr:uid="{9143B498-D362-4D92-B7BA-3818FA266197}"/>
    <cellStyle name="Финансовый 3 3 2 3 4 2 2 2 3" xfId="11254" xr:uid="{00000000-0005-0000-0000-0000EA300000}"/>
    <cellStyle name="Финансовый 3 3 2 3 4 2 2 2 3 2" xfId="28343" xr:uid="{EADF5808-6166-4EE1-A680-40F84ADF6830}"/>
    <cellStyle name="Финансовый 3 3 2 3 4 2 2 2 4" xfId="14486" xr:uid="{00000000-0005-0000-0000-0000EB300000}"/>
    <cellStyle name="Финансовый 3 3 2 3 4 2 2 2 4 2" xfId="31499" xr:uid="{DEA95694-F66C-48FC-959D-C5159130E29C}"/>
    <cellStyle name="Финансовый 3 3 2 3 4 2 2 2 5" xfId="17567" xr:uid="{00000000-0005-0000-0000-0000EC300000}"/>
    <cellStyle name="Финансовый 3 3 2 3 4 2 2 2 5 2" xfId="34580" xr:uid="{166936EB-593A-4C97-A054-D37FBC4DBB23}"/>
    <cellStyle name="Финансовый 3 3 2 3 4 2 2 2 6" xfId="25270" xr:uid="{633F910B-2482-4914-B0E8-77ADFCC45D93}"/>
    <cellStyle name="Финансовый 3 3 2 3 4 2 2 3" xfId="8165" xr:uid="{00000000-0005-0000-0000-0000ED300000}"/>
    <cellStyle name="Финансовый 3 3 2 3 4 2 2 3 2" xfId="11256" xr:uid="{00000000-0005-0000-0000-0000EE300000}"/>
    <cellStyle name="Финансовый 3 3 2 3 4 2 2 3 2 2" xfId="28345" xr:uid="{791DEE34-D921-48C6-A3A9-076855CE7498}"/>
    <cellStyle name="Финансовый 3 3 2 3 4 2 2 3 3" xfId="14488" xr:uid="{00000000-0005-0000-0000-0000EF300000}"/>
    <cellStyle name="Финансовый 3 3 2 3 4 2 2 3 3 2" xfId="31501" xr:uid="{6189A132-227F-461C-87EF-8E3113D1BB6B}"/>
    <cellStyle name="Финансовый 3 3 2 3 4 2 2 3 4" xfId="17569" xr:uid="{00000000-0005-0000-0000-0000F0300000}"/>
    <cellStyle name="Финансовый 3 3 2 3 4 2 2 3 4 2" xfId="34582" xr:uid="{60231D38-2E07-4E53-A57E-2F2F78320CD6}"/>
    <cellStyle name="Финансовый 3 3 2 3 4 2 2 3 5" xfId="25272" xr:uid="{C653B9EB-4DC7-4AB3-B82E-1BF77FD72CDC}"/>
    <cellStyle name="Финансовый 3 3 2 3 4 2 2 4" xfId="11253" xr:uid="{00000000-0005-0000-0000-0000F1300000}"/>
    <cellStyle name="Финансовый 3 3 2 3 4 2 2 4 2" xfId="28342" xr:uid="{298278E9-8345-4E14-A176-9D7A2B97BD0D}"/>
    <cellStyle name="Финансовый 3 3 2 3 4 2 2 5" xfId="14485" xr:uid="{00000000-0005-0000-0000-0000F2300000}"/>
    <cellStyle name="Финансовый 3 3 2 3 4 2 2 5 2" xfId="31498" xr:uid="{5138025F-9BCC-4048-A572-717FC448B2F6}"/>
    <cellStyle name="Финансовый 3 3 2 3 4 2 2 6" xfId="17566" xr:uid="{00000000-0005-0000-0000-0000F3300000}"/>
    <cellStyle name="Финансовый 3 3 2 3 4 2 2 6 2" xfId="34579" xr:uid="{1CC46AA9-C9EA-4931-8574-85FA5995C35A}"/>
    <cellStyle name="Финансовый 3 3 2 3 4 2 2 7" xfId="25269" xr:uid="{2C46A321-BF45-47D9-A7A5-E8B3585203B6}"/>
    <cellStyle name="Финансовый 3 3 2 3 4 2 3" xfId="8166" xr:uid="{00000000-0005-0000-0000-0000F4300000}"/>
    <cellStyle name="Финансовый 3 3 2 3 4 2 3 2" xfId="8167" xr:uid="{00000000-0005-0000-0000-0000F5300000}"/>
    <cellStyle name="Финансовый 3 3 2 3 4 2 3 2 2" xfId="11258" xr:uid="{00000000-0005-0000-0000-0000F6300000}"/>
    <cellStyle name="Финансовый 3 3 2 3 4 2 3 2 2 2" xfId="28347" xr:uid="{EAEEA9F2-1253-489C-A704-512ABBF94BA0}"/>
    <cellStyle name="Финансовый 3 3 2 3 4 2 3 2 3" xfId="14490" xr:uid="{00000000-0005-0000-0000-0000F7300000}"/>
    <cellStyle name="Финансовый 3 3 2 3 4 2 3 2 3 2" xfId="31503" xr:uid="{8B1C1626-CBA9-4609-A187-1B935C5D07E3}"/>
    <cellStyle name="Финансовый 3 3 2 3 4 2 3 2 4" xfId="17571" xr:uid="{00000000-0005-0000-0000-0000F8300000}"/>
    <cellStyle name="Финансовый 3 3 2 3 4 2 3 2 4 2" xfId="34584" xr:uid="{FF92ED0B-D242-4A45-8CD0-15ADC9F00888}"/>
    <cellStyle name="Финансовый 3 3 2 3 4 2 3 2 5" xfId="25274" xr:uid="{F188D2A6-0C66-4F5F-8C9D-93DC3CE787C4}"/>
    <cellStyle name="Финансовый 3 3 2 3 4 2 3 3" xfId="11257" xr:uid="{00000000-0005-0000-0000-0000F9300000}"/>
    <cellStyle name="Финансовый 3 3 2 3 4 2 3 3 2" xfId="28346" xr:uid="{7D2FB1A3-A3D8-49A7-9F4B-1136DCA7B83E}"/>
    <cellStyle name="Финансовый 3 3 2 3 4 2 3 4" xfId="14489" xr:uid="{00000000-0005-0000-0000-0000FA300000}"/>
    <cellStyle name="Финансовый 3 3 2 3 4 2 3 4 2" xfId="31502" xr:uid="{43253031-0CE6-4C34-A0E2-3ADB331593D4}"/>
    <cellStyle name="Финансовый 3 3 2 3 4 2 3 5" xfId="17570" xr:uid="{00000000-0005-0000-0000-0000FB300000}"/>
    <cellStyle name="Финансовый 3 3 2 3 4 2 3 5 2" xfId="34583" xr:uid="{C10F59EC-ABDA-47EB-8E9F-63D6B08661C6}"/>
    <cellStyle name="Финансовый 3 3 2 3 4 2 3 6" xfId="25273" xr:uid="{B7A3E02B-C202-42BF-AD37-3ED8F95B13E4}"/>
    <cellStyle name="Финансовый 3 3 2 3 4 2 4" xfId="8168" xr:uid="{00000000-0005-0000-0000-0000FC300000}"/>
    <cellStyle name="Финансовый 3 3 2 3 4 2 4 2" xfId="11259" xr:uid="{00000000-0005-0000-0000-0000FD300000}"/>
    <cellStyle name="Финансовый 3 3 2 3 4 2 4 2 2" xfId="28348" xr:uid="{F2D8060D-989F-43CA-969F-CADC56D5106F}"/>
    <cellStyle name="Финансовый 3 3 2 3 4 2 4 3" xfId="14491" xr:uid="{00000000-0005-0000-0000-0000FE300000}"/>
    <cellStyle name="Финансовый 3 3 2 3 4 2 4 3 2" xfId="31504" xr:uid="{59554FB3-141D-4167-B478-981676E6DFB8}"/>
    <cellStyle name="Финансовый 3 3 2 3 4 2 4 4" xfId="17572" xr:uid="{00000000-0005-0000-0000-0000FF300000}"/>
    <cellStyle name="Финансовый 3 3 2 3 4 2 4 4 2" xfId="34585" xr:uid="{0B76A53E-A29A-4E6C-AE2D-6A820C181A3D}"/>
    <cellStyle name="Финансовый 3 3 2 3 4 2 4 5" xfId="25275" xr:uid="{85D46FF5-144F-401D-A4E8-8329661ED587}"/>
    <cellStyle name="Финансовый 3 3 2 3 4 2 5" xfId="11252" xr:uid="{00000000-0005-0000-0000-000000310000}"/>
    <cellStyle name="Финансовый 3 3 2 3 4 2 5 2" xfId="28341" xr:uid="{100C77C0-EF0E-4C99-BA27-8A7B8DFC252B}"/>
    <cellStyle name="Финансовый 3 3 2 3 4 2 6" xfId="14484" xr:uid="{00000000-0005-0000-0000-000001310000}"/>
    <cellStyle name="Финансовый 3 3 2 3 4 2 6 2" xfId="31497" xr:uid="{489D3078-5E6F-4274-91E1-9E1A729B38C4}"/>
    <cellStyle name="Финансовый 3 3 2 3 4 2 7" xfId="17565" xr:uid="{00000000-0005-0000-0000-000002310000}"/>
    <cellStyle name="Финансовый 3 3 2 3 4 2 7 2" xfId="34578" xr:uid="{1E366E8F-A091-48B9-AF5E-3127FEF9AA78}"/>
    <cellStyle name="Финансовый 3 3 2 3 4 2 8" xfId="25268" xr:uid="{5C593E1F-571B-44E3-947F-2EBBCA577841}"/>
    <cellStyle name="Финансовый 3 3 2 3 4 3" xfId="8169" xr:uid="{00000000-0005-0000-0000-000003310000}"/>
    <cellStyle name="Финансовый 3 3 2 3 4 3 2" xfId="8170" xr:uid="{00000000-0005-0000-0000-000004310000}"/>
    <cellStyle name="Финансовый 3 3 2 3 4 3 2 2" xfId="8171" xr:uid="{00000000-0005-0000-0000-000005310000}"/>
    <cellStyle name="Финансовый 3 3 2 3 4 3 2 2 2" xfId="11262" xr:uid="{00000000-0005-0000-0000-000006310000}"/>
    <cellStyle name="Финансовый 3 3 2 3 4 3 2 2 2 2" xfId="28351" xr:uid="{7AB45ED8-64A9-4371-8F7D-CC212DAF126A}"/>
    <cellStyle name="Финансовый 3 3 2 3 4 3 2 2 3" xfId="14494" xr:uid="{00000000-0005-0000-0000-000007310000}"/>
    <cellStyle name="Финансовый 3 3 2 3 4 3 2 2 3 2" xfId="31507" xr:uid="{7093E667-8004-460E-A85F-DD9D8136346B}"/>
    <cellStyle name="Финансовый 3 3 2 3 4 3 2 2 4" xfId="17575" xr:uid="{00000000-0005-0000-0000-000008310000}"/>
    <cellStyle name="Финансовый 3 3 2 3 4 3 2 2 4 2" xfId="34588" xr:uid="{305EB536-C971-4F5C-8ABC-5F81FFDDE5A7}"/>
    <cellStyle name="Финансовый 3 3 2 3 4 3 2 2 5" xfId="25278" xr:uid="{318CF697-097B-45A4-BE56-63DB3B087C1E}"/>
    <cellStyle name="Финансовый 3 3 2 3 4 3 2 3" xfId="11261" xr:uid="{00000000-0005-0000-0000-000009310000}"/>
    <cellStyle name="Финансовый 3 3 2 3 4 3 2 3 2" xfId="28350" xr:uid="{2AE88AAF-C8E4-4848-BC37-4A171076549F}"/>
    <cellStyle name="Финансовый 3 3 2 3 4 3 2 4" xfId="14493" xr:uid="{00000000-0005-0000-0000-00000A310000}"/>
    <cellStyle name="Финансовый 3 3 2 3 4 3 2 4 2" xfId="31506" xr:uid="{D7D9EFB0-811E-463A-B1F2-A9AE66112DF8}"/>
    <cellStyle name="Финансовый 3 3 2 3 4 3 2 5" xfId="17574" xr:uid="{00000000-0005-0000-0000-00000B310000}"/>
    <cellStyle name="Финансовый 3 3 2 3 4 3 2 5 2" xfId="34587" xr:uid="{5C804901-F40A-4415-93E9-F4EEA12356E4}"/>
    <cellStyle name="Финансовый 3 3 2 3 4 3 2 6" xfId="25277" xr:uid="{BDDCE0C9-36FB-4B72-9439-3FD2095A3F3D}"/>
    <cellStyle name="Финансовый 3 3 2 3 4 3 3" xfId="8172" xr:uid="{00000000-0005-0000-0000-00000C310000}"/>
    <cellStyle name="Финансовый 3 3 2 3 4 3 3 2" xfId="11263" xr:uid="{00000000-0005-0000-0000-00000D310000}"/>
    <cellStyle name="Финансовый 3 3 2 3 4 3 3 2 2" xfId="28352" xr:uid="{B1DBE5AA-5D6A-4A7F-A7F4-82D18F36FCAA}"/>
    <cellStyle name="Финансовый 3 3 2 3 4 3 3 3" xfId="14495" xr:uid="{00000000-0005-0000-0000-00000E310000}"/>
    <cellStyle name="Финансовый 3 3 2 3 4 3 3 3 2" xfId="31508" xr:uid="{C2EBBFD1-844E-4890-BF8D-DF1611C2AD82}"/>
    <cellStyle name="Финансовый 3 3 2 3 4 3 3 4" xfId="17576" xr:uid="{00000000-0005-0000-0000-00000F310000}"/>
    <cellStyle name="Финансовый 3 3 2 3 4 3 3 4 2" xfId="34589" xr:uid="{6DA932C5-CEBE-4151-BAAE-7E40A980954F}"/>
    <cellStyle name="Финансовый 3 3 2 3 4 3 3 5" xfId="25279" xr:uid="{9D7B36D6-86AA-4E45-9A57-36752AD3EEE9}"/>
    <cellStyle name="Финансовый 3 3 2 3 4 3 4" xfId="11260" xr:uid="{00000000-0005-0000-0000-000010310000}"/>
    <cellStyle name="Финансовый 3 3 2 3 4 3 4 2" xfId="28349" xr:uid="{10B02991-562F-4D3D-B907-68A9BF5D252A}"/>
    <cellStyle name="Финансовый 3 3 2 3 4 3 5" xfId="14492" xr:uid="{00000000-0005-0000-0000-000011310000}"/>
    <cellStyle name="Финансовый 3 3 2 3 4 3 5 2" xfId="31505" xr:uid="{9E9B3197-3005-4A86-9497-9645FA192E05}"/>
    <cellStyle name="Финансовый 3 3 2 3 4 3 6" xfId="17573" xr:uid="{00000000-0005-0000-0000-000012310000}"/>
    <cellStyle name="Финансовый 3 3 2 3 4 3 6 2" xfId="34586" xr:uid="{6E87AD22-BD0B-447D-9FBA-4A6AA63E7EB9}"/>
    <cellStyle name="Финансовый 3 3 2 3 4 3 7" xfId="25276" xr:uid="{AFD31968-67FE-4502-B453-0FD19763609B}"/>
    <cellStyle name="Финансовый 3 3 2 3 4 4" xfId="8173" xr:uid="{00000000-0005-0000-0000-000013310000}"/>
    <cellStyle name="Финансовый 3 3 2 3 4 4 2" xfId="8174" xr:uid="{00000000-0005-0000-0000-000014310000}"/>
    <cellStyle name="Финансовый 3 3 2 3 4 4 2 2" xfId="11265" xr:uid="{00000000-0005-0000-0000-000015310000}"/>
    <cellStyle name="Финансовый 3 3 2 3 4 4 2 2 2" xfId="28354" xr:uid="{4254D03F-36B6-4695-9067-BEDE007FC103}"/>
    <cellStyle name="Финансовый 3 3 2 3 4 4 2 3" xfId="14497" xr:uid="{00000000-0005-0000-0000-000016310000}"/>
    <cellStyle name="Финансовый 3 3 2 3 4 4 2 3 2" xfId="31510" xr:uid="{CEF36200-A1F4-408C-8253-B9C294792253}"/>
    <cellStyle name="Финансовый 3 3 2 3 4 4 2 4" xfId="17578" xr:uid="{00000000-0005-0000-0000-000017310000}"/>
    <cellStyle name="Финансовый 3 3 2 3 4 4 2 4 2" xfId="34591" xr:uid="{36515191-8572-47E9-A95D-93A16ABC2631}"/>
    <cellStyle name="Финансовый 3 3 2 3 4 4 2 5" xfId="25281" xr:uid="{04015083-008A-4428-B38D-E1CA10FAE145}"/>
    <cellStyle name="Финансовый 3 3 2 3 4 4 3" xfId="11264" xr:uid="{00000000-0005-0000-0000-000018310000}"/>
    <cellStyle name="Финансовый 3 3 2 3 4 4 3 2" xfId="28353" xr:uid="{4472741E-FBBC-4734-ABFB-58DE1DE576DE}"/>
    <cellStyle name="Финансовый 3 3 2 3 4 4 4" xfId="14496" xr:uid="{00000000-0005-0000-0000-000019310000}"/>
    <cellStyle name="Финансовый 3 3 2 3 4 4 4 2" xfId="31509" xr:uid="{95F36F40-3080-4724-9F6A-DF555314E141}"/>
    <cellStyle name="Финансовый 3 3 2 3 4 4 5" xfId="17577" xr:uid="{00000000-0005-0000-0000-00001A310000}"/>
    <cellStyle name="Финансовый 3 3 2 3 4 4 5 2" xfId="34590" xr:uid="{67E2BE2E-44E1-479E-8EB2-FF4AD5B95536}"/>
    <cellStyle name="Финансовый 3 3 2 3 4 4 6" xfId="25280" xr:uid="{92F08968-E5CA-47AA-A0E9-4AC404556DBB}"/>
    <cellStyle name="Финансовый 3 3 2 3 4 5" xfId="8175" xr:uid="{00000000-0005-0000-0000-00001B310000}"/>
    <cellStyle name="Финансовый 3 3 2 3 4 5 2" xfId="11266" xr:uid="{00000000-0005-0000-0000-00001C310000}"/>
    <cellStyle name="Финансовый 3 3 2 3 4 5 2 2" xfId="28355" xr:uid="{604744D7-ED21-4C4A-A496-94B11EDB9A17}"/>
    <cellStyle name="Финансовый 3 3 2 3 4 5 3" xfId="14498" xr:uid="{00000000-0005-0000-0000-00001D310000}"/>
    <cellStyle name="Финансовый 3 3 2 3 4 5 3 2" xfId="31511" xr:uid="{2F91FFF9-8E66-4D58-890A-BA2A646EBE46}"/>
    <cellStyle name="Финансовый 3 3 2 3 4 5 4" xfId="17579" xr:uid="{00000000-0005-0000-0000-00001E310000}"/>
    <cellStyle name="Финансовый 3 3 2 3 4 5 4 2" xfId="34592" xr:uid="{4B90C5A0-1F44-4DB8-90AD-60E33CAA3149}"/>
    <cellStyle name="Финансовый 3 3 2 3 4 5 5" xfId="25282" xr:uid="{360CB1B3-E0D7-4DAD-BFAD-2A9FCA241AD2}"/>
    <cellStyle name="Финансовый 3 3 2 3 4 6" xfId="11251" xr:uid="{00000000-0005-0000-0000-00001F310000}"/>
    <cellStyle name="Финансовый 3 3 2 3 4 6 2" xfId="28340" xr:uid="{338054B0-F7C9-451B-B1E0-2068B8CABC27}"/>
    <cellStyle name="Финансовый 3 3 2 3 4 7" xfId="14483" xr:uid="{00000000-0005-0000-0000-000020310000}"/>
    <cellStyle name="Финансовый 3 3 2 3 4 7 2" xfId="31496" xr:uid="{C73A4B61-133E-4027-A38C-CF8C999D75F8}"/>
    <cellStyle name="Финансовый 3 3 2 3 4 8" xfId="17564" xr:uid="{00000000-0005-0000-0000-000021310000}"/>
    <cellStyle name="Финансовый 3 3 2 3 4 8 2" xfId="34577" xr:uid="{060CB3CB-77AC-43F1-B875-45417E8044B6}"/>
    <cellStyle name="Финансовый 3 3 2 3 4 9" xfId="25267" xr:uid="{C311C77A-B781-477B-85A9-AE638BB1BEA8}"/>
    <cellStyle name="Финансовый 3 3 2 3 5" xfId="8176" xr:uid="{00000000-0005-0000-0000-000022310000}"/>
    <cellStyle name="Финансовый 3 3 2 3 5 2" xfId="8177" xr:uid="{00000000-0005-0000-0000-000023310000}"/>
    <cellStyle name="Финансовый 3 3 2 3 5 2 2" xfId="8178" xr:uid="{00000000-0005-0000-0000-000024310000}"/>
    <cellStyle name="Финансовый 3 3 2 3 5 2 2 2" xfId="8179" xr:uid="{00000000-0005-0000-0000-000025310000}"/>
    <cellStyle name="Финансовый 3 3 2 3 5 2 2 2 2" xfId="11270" xr:uid="{00000000-0005-0000-0000-000026310000}"/>
    <cellStyle name="Финансовый 3 3 2 3 5 2 2 2 2 2" xfId="28359" xr:uid="{85A76D53-DF76-422B-8305-A52D00B75671}"/>
    <cellStyle name="Финансовый 3 3 2 3 5 2 2 2 3" xfId="14502" xr:uid="{00000000-0005-0000-0000-000027310000}"/>
    <cellStyle name="Финансовый 3 3 2 3 5 2 2 2 3 2" xfId="31515" xr:uid="{8B8B6304-8D52-456B-86A1-DEADCE42BC95}"/>
    <cellStyle name="Финансовый 3 3 2 3 5 2 2 2 4" xfId="17583" xr:uid="{00000000-0005-0000-0000-000028310000}"/>
    <cellStyle name="Финансовый 3 3 2 3 5 2 2 2 4 2" xfId="34596" xr:uid="{84810F17-9275-4ACF-85A4-FEC793765818}"/>
    <cellStyle name="Финансовый 3 3 2 3 5 2 2 2 5" xfId="25286" xr:uid="{A0795953-3841-4FB4-BE9B-C60380E1E320}"/>
    <cellStyle name="Финансовый 3 3 2 3 5 2 2 3" xfId="11269" xr:uid="{00000000-0005-0000-0000-000029310000}"/>
    <cellStyle name="Финансовый 3 3 2 3 5 2 2 3 2" xfId="28358" xr:uid="{ADCDB808-6F2F-4301-8612-FA6646377145}"/>
    <cellStyle name="Финансовый 3 3 2 3 5 2 2 4" xfId="14501" xr:uid="{00000000-0005-0000-0000-00002A310000}"/>
    <cellStyle name="Финансовый 3 3 2 3 5 2 2 4 2" xfId="31514" xr:uid="{64C9CA68-FC7E-477E-A4FA-63C4D87CB4B3}"/>
    <cellStyle name="Финансовый 3 3 2 3 5 2 2 5" xfId="17582" xr:uid="{00000000-0005-0000-0000-00002B310000}"/>
    <cellStyle name="Финансовый 3 3 2 3 5 2 2 5 2" xfId="34595" xr:uid="{9F0AE876-EB78-497D-8E81-2A6504D5701C}"/>
    <cellStyle name="Финансовый 3 3 2 3 5 2 2 6" xfId="25285" xr:uid="{D844DE99-8C64-4FA6-8240-AA77628855F7}"/>
    <cellStyle name="Финансовый 3 3 2 3 5 2 3" xfId="8180" xr:uid="{00000000-0005-0000-0000-00002C310000}"/>
    <cellStyle name="Финансовый 3 3 2 3 5 2 3 2" xfId="11271" xr:uid="{00000000-0005-0000-0000-00002D310000}"/>
    <cellStyle name="Финансовый 3 3 2 3 5 2 3 2 2" xfId="28360" xr:uid="{897E15FE-44EB-4BFC-A68D-78502D541620}"/>
    <cellStyle name="Финансовый 3 3 2 3 5 2 3 3" xfId="14503" xr:uid="{00000000-0005-0000-0000-00002E310000}"/>
    <cellStyle name="Финансовый 3 3 2 3 5 2 3 3 2" xfId="31516" xr:uid="{268034B6-5FD4-44C7-8B76-37A88D70F7A8}"/>
    <cellStyle name="Финансовый 3 3 2 3 5 2 3 4" xfId="17584" xr:uid="{00000000-0005-0000-0000-00002F310000}"/>
    <cellStyle name="Финансовый 3 3 2 3 5 2 3 4 2" xfId="34597" xr:uid="{5C797BD9-6C30-4B18-91FB-3D2CAB604848}"/>
    <cellStyle name="Финансовый 3 3 2 3 5 2 3 5" xfId="25287" xr:uid="{1B748ED8-E32A-4F74-A651-2971CEABB060}"/>
    <cellStyle name="Финансовый 3 3 2 3 5 2 4" xfId="11268" xr:uid="{00000000-0005-0000-0000-000030310000}"/>
    <cellStyle name="Финансовый 3 3 2 3 5 2 4 2" xfId="28357" xr:uid="{BA36D825-62A8-4CC9-9A5A-998446807066}"/>
    <cellStyle name="Финансовый 3 3 2 3 5 2 5" xfId="14500" xr:uid="{00000000-0005-0000-0000-000031310000}"/>
    <cellStyle name="Финансовый 3 3 2 3 5 2 5 2" xfId="31513" xr:uid="{0B32BD56-BABD-45E6-9845-F7AD2AC48660}"/>
    <cellStyle name="Финансовый 3 3 2 3 5 2 6" xfId="17581" xr:uid="{00000000-0005-0000-0000-000032310000}"/>
    <cellStyle name="Финансовый 3 3 2 3 5 2 6 2" xfId="34594" xr:uid="{150FD0F7-D9C9-48EA-91E8-A091DF3CDE7C}"/>
    <cellStyle name="Финансовый 3 3 2 3 5 2 7" xfId="25284" xr:uid="{D296A99D-BF64-4018-BC3D-A3834E876992}"/>
    <cellStyle name="Финансовый 3 3 2 3 5 3" xfId="8181" xr:uid="{00000000-0005-0000-0000-000033310000}"/>
    <cellStyle name="Финансовый 3 3 2 3 5 3 2" xfId="8182" xr:uid="{00000000-0005-0000-0000-000034310000}"/>
    <cellStyle name="Финансовый 3 3 2 3 5 3 2 2" xfId="11273" xr:uid="{00000000-0005-0000-0000-000035310000}"/>
    <cellStyle name="Финансовый 3 3 2 3 5 3 2 2 2" xfId="28362" xr:uid="{6FA53719-D29C-49E4-91D7-4E29A4C138BB}"/>
    <cellStyle name="Финансовый 3 3 2 3 5 3 2 3" xfId="14505" xr:uid="{00000000-0005-0000-0000-000036310000}"/>
    <cellStyle name="Финансовый 3 3 2 3 5 3 2 3 2" xfId="31518" xr:uid="{984B7CD8-13E5-4478-8B1B-639335B36E5F}"/>
    <cellStyle name="Финансовый 3 3 2 3 5 3 2 4" xfId="17586" xr:uid="{00000000-0005-0000-0000-000037310000}"/>
    <cellStyle name="Финансовый 3 3 2 3 5 3 2 4 2" xfId="34599" xr:uid="{F3524F0C-0920-45F3-9327-CFB002A172EF}"/>
    <cellStyle name="Финансовый 3 3 2 3 5 3 2 5" xfId="25289" xr:uid="{2640ADAD-24D2-46AA-9F2F-313F77CEE83E}"/>
    <cellStyle name="Финансовый 3 3 2 3 5 3 3" xfId="11272" xr:uid="{00000000-0005-0000-0000-000038310000}"/>
    <cellStyle name="Финансовый 3 3 2 3 5 3 3 2" xfId="28361" xr:uid="{6753BFAD-D9B0-4094-ACA5-324B78447520}"/>
    <cellStyle name="Финансовый 3 3 2 3 5 3 4" xfId="14504" xr:uid="{00000000-0005-0000-0000-000039310000}"/>
    <cellStyle name="Финансовый 3 3 2 3 5 3 4 2" xfId="31517" xr:uid="{73B83891-F739-4059-A541-F211568F68AE}"/>
    <cellStyle name="Финансовый 3 3 2 3 5 3 5" xfId="17585" xr:uid="{00000000-0005-0000-0000-00003A310000}"/>
    <cellStyle name="Финансовый 3 3 2 3 5 3 5 2" xfId="34598" xr:uid="{9131DED0-EA81-45BE-A3CC-E8A62CB08FE8}"/>
    <cellStyle name="Финансовый 3 3 2 3 5 3 6" xfId="25288" xr:uid="{3D692276-01FB-49C8-AD8A-226069E48006}"/>
    <cellStyle name="Финансовый 3 3 2 3 5 4" xfId="8183" xr:uid="{00000000-0005-0000-0000-00003B310000}"/>
    <cellStyle name="Финансовый 3 3 2 3 5 4 2" xfId="11274" xr:uid="{00000000-0005-0000-0000-00003C310000}"/>
    <cellStyle name="Финансовый 3 3 2 3 5 4 2 2" xfId="28363" xr:uid="{6BA8EF3A-BD9E-4D9E-AC36-32FB537096DD}"/>
    <cellStyle name="Финансовый 3 3 2 3 5 4 3" xfId="14506" xr:uid="{00000000-0005-0000-0000-00003D310000}"/>
    <cellStyle name="Финансовый 3 3 2 3 5 4 3 2" xfId="31519" xr:uid="{FDAB7F9D-B9C9-47F1-892B-EB7399A6216A}"/>
    <cellStyle name="Финансовый 3 3 2 3 5 4 4" xfId="17587" xr:uid="{00000000-0005-0000-0000-00003E310000}"/>
    <cellStyle name="Финансовый 3 3 2 3 5 4 4 2" xfId="34600" xr:uid="{8013D3E3-9B72-44EB-A63F-E2B9675C84BD}"/>
    <cellStyle name="Финансовый 3 3 2 3 5 4 5" xfId="25290" xr:uid="{F0183C7F-0D81-4099-A8FD-37CCD4264503}"/>
    <cellStyle name="Финансовый 3 3 2 3 5 5" xfId="11267" xr:uid="{00000000-0005-0000-0000-00003F310000}"/>
    <cellStyle name="Финансовый 3 3 2 3 5 5 2" xfId="28356" xr:uid="{B6C43F83-793F-44E7-AE23-6316591BD20C}"/>
    <cellStyle name="Финансовый 3 3 2 3 5 6" xfId="14499" xr:uid="{00000000-0005-0000-0000-000040310000}"/>
    <cellStyle name="Финансовый 3 3 2 3 5 6 2" xfId="31512" xr:uid="{CDE8C8A7-1BF2-4074-8D2D-25D2ED39D363}"/>
    <cellStyle name="Финансовый 3 3 2 3 5 7" xfId="17580" xr:uid="{00000000-0005-0000-0000-000041310000}"/>
    <cellStyle name="Финансовый 3 3 2 3 5 7 2" xfId="34593" xr:uid="{63D2EFCE-DDAB-4DF1-93A3-DB101142DE95}"/>
    <cellStyle name="Финансовый 3 3 2 3 5 8" xfId="25283" xr:uid="{D17D00C6-007B-4F1D-9AE4-10737CFCFF12}"/>
    <cellStyle name="Финансовый 3 3 2 3 6" xfId="8184" xr:uid="{00000000-0005-0000-0000-000042310000}"/>
    <cellStyle name="Финансовый 3 3 2 3 6 2" xfId="8185" xr:uid="{00000000-0005-0000-0000-000043310000}"/>
    <cellStyle name="Финансовый 3 3 2 3 6 2 2" xfId="8186" xr:uid="{00000000-0005-0000-0000-000044310000}"/>
    <cellStyle name="Финансовый 3 3 2 3 6 2 2 2" xfId="11277" xr:uid="{00000000-0005-0000-0000-000045310000}"/>
    <cellStyle name="Финансовый 3 3 2 3 6 2 2 2 2" xfId="28366" xr:uid="{D13E792F-8526-4DEC-8C53-DCB7CC01A2F9}"/>
    <cellStyle name="Финансовый 3 3 2 3 6 2 2 3" xfId="14509" xr:uid="{00000000-0005-0000-0000-000046310000}"/>
    <cellStyle name="Финансовый 3 3 2 3 6 2 2 3 2" xfId="31522" xr:uid="{85316338-87A8-472C-9AAD-BBB673C9BC79}"/>
    <cellStyle name="Финансовый 3 3 2 3 6 2 2 4" xfId="17590" xr:uid="{00000000-0005-0000-0000-000047310000}"/>
    <cellStyle name="Финансовый 3 3 2 3 6 2 2 4 2" xfId="34603" xr:uid="{C5291D1A-D83D-423E-90B2-53E23B31648F}"/>
    <cellStyle name="Финансовый 3 3 2 3 6 2 2 5" xfId="25293" xr:uid="{097A051C-F3B1-4514-9719-000F192A52DF}"/>
    <cellStyle name="Финансовый 3 3 2 3 6 2 3" xfId="11276" xr:uid="{00000000-0005-0000-0000-000048310000}"/>
    <cellStyle name="Финансовый 3 3 2 3 6 2 3 2" xfId="28365" xr:uid="{C22FB1DB-4A00-4405-A84A-76B7CFA0D476}"/>
    <cellStyle name="Финансовый 3 3 2 3 6 2 4" xfId="14508" xr:uid="{00000000-0005-0000-0000-000049310000}"/>
    <cellStyle name="Финансовый 3 3 2 3 6 2 4 2" xfId="31521" xr:uid="{CA3B3199-A735-4C7C-AD71-A86D59E48C91}"/>
    <cellStyle name="Финансовый 3 3 2 3 6 2 5" xfId="17589" xr:uid="{00000000-0005-0000-0000-00004A310000}"/>
    <cellStyle name="Финансовый 3 3 2 3 6 2 5 2" xfId="34602" xr:uid="{8767F7BC-F45F-436D-BE22-5EA80897F0D4}"/>
    <cellStyle name="Финансовый 3 3 2 3 6 2 6" xfId="25292" xr:uid="{E23C2D36-D85C-4F0B-A540-BFDEED07CC29}"/>
    <cellStyle name="Финансовый 3 3 2 3 6 3" xfId="8187" xr:uid="{00000000-0005-0000-0000-00004B310000}"/>
    <cellStyle name="Финансовый 3 3 2 3 6 3 2" xfId="11278" xr:uid="{00000000-0005-0000-0000-00004C310000}"/>
    <cellStyle name="Финансовый 3 3 2 3 6 3 2 2" xfId="28367" xr:uid="{12D2DACF-0D9F-40B2-82C3-AA1ECD13F643}"/>
    <cellStyle name="Финансовый 3 3 2 3 6 3 3" xfId="14510" xr:uid="{00000000-0005-0000-0000-00004D310000}"/>
    <cellStyle name="Финансовый 3 3 2 3 6 3 3 2" xfId="31523" xr:uid="{98F54A5E-6AAF-4385-A30B-17655FFBB9D2}"/>
    <cellStyle name="Финансовый 3 3 2 3 6 3 4" xfId="17591" xr:uid="{00000000-0005-0000-0000-00004E310000}"/>
    <cellStyle name="Финансовый 3 3 2 3 6 3 4 2" xfId="34604" xr:uid="{ADC6B90C-F419-4A54-85AA-E6373C3E550F}"/>
    <cellStyle name="Финансовый 3 3 2 3 6 3 5" xfId="25294" xr:uid="{F7626761-0037-4BBE-A713-91044628EB8E}"/>
    <cellStyle name="Финансовый 3 3 2 3 6 4" xfId="11275" xr:uid="{00000000-0005-0000-0000-00004F310000}"/>
    <cellStyle name="Финансовый 3 3 2 3 6 4 2" xfId="28364" xr:uid="{2EFB792D-B302-4AD8-AA89-2C64C8457FE4}"/>
    <cellStyle name="Финансовый 3 3 2 3 6 5" xfId="14507" xr:uid="{00000000-0005-0000-0000-000050310000}"/>
    <cellStyle name="Финансовый 3 3 2 3 6 5 2" xfId="31520" xr:uid="{9C3EDD37-9D06-4BEC-ACFF-083778C63F01}"/>
    <cellStyle name="Финансовый 3 3 2 3 6 6" xfId="17588" xr:uid="{00000000-0005-0000-0000-000051310000}"/>
    <cellStyle name="Финансовый 3 3 2 3 6 6 2" xfId="34601" xr:uid="{BECD2A09-BB86-43C1-A0AC-7A8400A351DD}"/>
    <cellStyle name="Финансовый 3 3 2 3 6 7" xfId="25291" xr:uid="{4A3E65C0-9786-44C2-A5BA-E4018C443791}"/>
    <cellStyle name="Финансовый 3 3 2 3 7" xfId="8188" xr:uid="{00000000-0005-0000-0000-000052310000}"/>
    <cellStyle name="Финансовый 3 3 2 3 7 2" xfId="8189" xr:uid="{00000000-0005-0000-0000-000053310000}"/>
    <cellStyle name="Финансовый 3 3 2 3 7 2 2" xfId="11280" xr:uid="{00000000-0005-0000-0000-000054310000}"/>
    <cellStyle name="Финансовый 3 3 2 3 7 2 2 2" xfId="28369" xr:uid="{E7C18B98-4EC1-4554-9879-0E73134A2752}"/>
    <cellStyle name="Финансовый 3 3 2 3 7 2 3" xfId="14512" xr:uid="{00000000-0005-0000-0000-000055310000}"/>
    <cellStyle name="Финансовый 3 3 2 3 7 2 3 2" xfId="31525" xr:uid="{E7CAFEC8-8BE5-4361-AB59-56CB0093F08A}"/>
    <cellStyle name="Финансовый 3 3 2 3 7 2 4" xfId="17593" xr:uid="{00000000-0005-0000-0000-000056310000}"/>
    <cellStyle name="Финансовый 3 3 2 3 7 2 4 2" xfId="34606" xr:uid="{F3B65B4C-E895-43E8-93AD-BE2DA1BC6A59}"/>
    <cellStyle name="Финансовый 3 3 2 3 7 2 5" xfId="25296" xr:uid="{C250372B-9115-4575-9BD2-7C2E0A48544F}"/>
    <cellStyle name="Финансовый 3 3 2 3 7 3" xfId="11279" xr:uid="{00000000-0005-0000-0000-000057310000}"/>
    <cellStyle name="Финансовый 3 3 2 3 7 3 2" xfId="28368" xr:uid="{6A086877-7661-4D08-8403-D1851E45050F}"/>
    <cellStyle name="Финансовый 3 3 2 3 7 4" xfId="14511" xr:uid="{00000000-0005-0000-0000-000058310000}"/>
    <cellStyle name="Финансовый 3 3 2 3 7 4 2" xfId="31524" xr:uid="{4655D8B1-1E95-48A9-BEF7-E506ECBAD13C}"/>
    <cellStyle name="Финансовый 3 3 2 3 7 5" xfId="17592" xr:uid="{00000000-0005-0000-0000-000059310000}"/>
    <cellStyle name="Финансовый 3 3 2 3 7 5 2" xfId="34605" xr:uid="{1A7AEE46-593B-402F-9974-1D7B18A989F8}"/>
    <cellStyle name="Финансовый 3 3 2 3 7 6" xfId="25295" xr:uid="{FD3B0594-4E16-4BC5-B899-D07430507F1F}"/>
    <cellStyle name="Финансовый 3 3 2 3 8" xfId="8190" xr:uid="{00000000-0005-0000-0000-00005A310000}"/>
    <cellStyle name="Финансовый 3 3 2 3 8 2" xfId="11281" xr:uid="{00000000-0005-0000-0000-00005B310000}"/>
    <cellStyle name="Финансовый 3 3 2 3 8 2 2" xfId="28370" xr:uid="{66728932-1A21-40C0-919D-E02EFF59D43C}"/>
    <cellStyle name="Финансовый 3 3 2 3 8 3" xfId="14513" xr:uid="{00000000-0005-0000-0000-00005C310000}"/>
    <cellStyle name="Финансовый 3 3 2 3 8 3 2" xfId="31526" xr:uid="{A144C2E7-BF58-415F-ADCD-2E1B3B78F291}"/>
    <cellStyle name="Финансовый 3 3 2 3 8 4" xfId="17594" xr:uid="{00000000-0005-0000-0000-00005D310000}"/>
    <cellStyle name="Финансовый 3 3 2 3 8 4 2" xfId="34607" xr:uid="{A1E6BF15-7624-414E-A65B-8D3C251FF1F2}"/>
    <cellStyle name="Финансовый 3 3 2 3 8 5" xfId="25297" xr:uid="{A0C2161D-DD8B-4454-BC7D-08FBFAC0CC8B}"/>
    <cellStyle name="Финансовый 3 3 2 3 9" xfId="11154" xr:uid="{00000000-0005-0000-0000-00005E310000}"/>
    <cellStyle name="Финансовый 3 3 2 3 9 2" xfId="28243" xr:uid="{CF78B556-5970-4C7B-8273-82CDB96D18E7}"/>
    <cellStyle name="Финансовый 3 3 2 4" xfId="8191" xr:uid="{00000000-0005-0000-0000-00005F310000}"/>
    <cellStyle name="Финансовый 3 3 2 4 10" xfId="17595" xr:uid="{00000000-0005-0000-0000-000060310000}"/>
    <cellStyle name="Финансовый 3 3 2 4 10 2" xfId="34608" xr:uid="{3F77B5FE-41E3-4714-9F7C-A9CCF5A8DAEF}"/>
    <cellStyle name="Финансовый 3 3 2 4 11" xfId="25298" xr:uid="{18A42BC4-2729-4E02-8359-33BCCB1E2575}"/>
    <cellStyle name="Финансовый 3 3 2 4 2" xfId="8192" xr:uid="{00000000-0005-0000-0000-000061310000}"/>
    <cellStyle name="Финансовый 3 3 2 4 2 10" xfId="25299" xr:uid="{9199A574-EBEA-4FBF-892A-FD9F1872DB85}"/>
    <cellStyle name="Финансовый 3 3 2 4 2 2" xfId="8193" xr:uid="{00000000-0005-0000-0000-000062310000}"/>
    <cellStyle name="Финансовый 3 3 2 4 2 2 2" xfId="8194" xr:uid="{00000000-0005-0000-0000-000063310000}"/>
    <cellStyle name="Финансовый 3 3 2 4 2 2 2 2" xfId="8195" xr:uid="{00000000-0005-0000-0000-000064310000}"/>
    <cellStyle name="Финансовый 3 3 2 4 2 2 2 2 2" xfId="8196" xr:uid="{00000000-0005-0000-0000-000065310000}"/>
    <cellStyle name="Финансовый 3 3 2 4 2 2 2 2 2 2" xfId="8197" xr:uid="{00000000-0005-0000-0000-000066310000}"/>
    <cellStyle name="Финансовый 3 3 2 4 2 2 2 2 2 2 2" xfId="11288" xr:uid="{00000000-0005-0000-0000-000067310000}"/>
    <cellStyle name="Финансовый 3 3 2 4 2 2 2 2 2 2 2 2" xfId="28377" xr:uid="{186EF2D9-1AED-4DE0-8233-B236239BB3B4}"/>
    <cellStyle name="Финансовый 3 3 2 4 2 2 2 2 2 2 3" xfId="14520" xr:uid="{00000000-0005-0000-0000-000068310000}"/>
    <cellStyle name="Финансовый 3 3 2 4 2 2 2 2 2 2 3 2" xfId="31533" xr:uid="{20FB1084-7F42-4FEC-88EF-9888D6D56B4E}"/>
    <cellStyle name="Финансовый 3 3 2 4 2 2 2 2 2 2 4" xfId="17601" xr:uid="{00000000-0005-0000-0000-000069310000}"/>
    <cellStyle name="Финансовый 3 3 2 4 2 2 2 2 2 2 4 2" xfId="34614" xr:uid="{A98E9BD8-56EC-4F16-8C6B-0A52E29B29A8}"/>
    <cellStyle name="Финансовый 3 3 2 4 2 2 2 2 2 2 5" xfId="25304" xr:uid="{488C3008-B2F7-4BC0-8FBA-632537E40649}"/>
    <cellStyle name="Финансовый 3 3 2 4 2 2 2 2 2 3" xfId="11287" xr:uid="{00000000-0005-0000-0000-00006A310000}"/>
    <cellStyle name="Финансовый 3 3 2 4 2 2 2 2 2 3 2" xfId="28376" xr:uid="{9C95E95B-740B-4A27-9396-FBF50C404835}"/>
    <cellStyle name="Финансовый 3 3 2 4 2 2 2 2 2 4" xfId="14519" xr:uid="{00000000-0005-0000-0000-00006B310000}"/>
    <cellStyle name="Финансовый 3 3 2 4 2 2 2 2 2 4 2" xfId="31532" xr:uid="{CD5EF926-5E87-42C6-8985-80584A40FF37}"/>
    <cellStyle name="Финансовый 3 3 2 4 2 2 2 2 2 5" xfId="17600" xr:uid="{00000000-0005-0000-0000-00006C310000}"/>
    <cellStyle name="Финансовый 3 3 2 4 2 2 2 2 2 5 2" xfId="34613" xr:uid="{EE5292C7-6B78-47D3-99D9-33BCEF7E7931}"/>
    <cellStyle name="Финансовый 3 3 2 4 2 2 2 2 2 6" xfId="25303" xr:uid="{6F3892AD-D557-428F-A107-542F21304F78}"/>
    <cellStyle name="Финансовый 3 3 2 4 2 2 2 2 3" xfId="8198" xr:uid="{00000000-0005-0000-0000-00006D310000}"/>
    <cellStyle name="Финансовый 3 3 2 4 2 2 2 2 3 2" xfId="11289" xr:uid="{00000000-0005-0000-0000-00006E310000}"/>
    <cellStyle name="Финансовый 3 3 2 4 2 2 2 2 3 2 2" xfId="28378" xr:uid="{BC9DC578-F3DE-4024-963F-98EBEC4A26C6}"/>
    <cellStyle name="Финансовый 3 3 2 4 2 2 2 2 3 3" xfId="14521" xr:uid="{00000000-0005-0000-0000-00006F310000}"/>
    <cellStyle name="Финансовый 3 3 2 4 2 2 2 2 3 3 2" xfId="31534" xr:uid="{CCE713B4-E797-42D1-B956-A858565582CA}"/>
    <cellStyle name="Финансовый 3 3 2 4 2 2 2 2 3 4" xfId="17602" xr:uid="{00000000-0005-0000-0000-000070310000}"/>
    <cellStyle name="Финансовый 3 3 2 4 2 2 2 2 3 4 2" xfId="34615" xr:uid="{DC5AF105-13E8-4118-B8E7-A57D5B35C4AF}"/>
    <cellStyle name="Финансовый 3 3 2 4 2 2 2 2 3 5" xfId="25305" xr:uid="{45B29D79-1D8B-4938-B4BC-34AE789D691E}"/>
    <cellStyle name="Финансовый 3 3 2 4 2 2 2 2 4" xfId="11286" xr:uid="{00000000-0005-0000-0000-000071310000}"/>
    <cellStyle name="Финансовый 3 3 2 4 2 2 2 2 4 2" xfId="28375" xr:uid="{D7934445-0A56-4A03-AB06-D9A156DC3686}"/>
    <cellStyle name="Финансовый 3 3 2 4 2 2 2 2 5" xfId="14518" xr:uid="{00000000-0005-0000-0000-000072310000}"/>
    <cellStyle name="Финансовый 3 3 2 4 2 2 2 2 5 2" xfId="31531" xr:uid="{B9F2BD3A-91F9-4AA0-8678-6716C6586B9E}"/>
    <cellStyle name="Финансовый 3 3 2 4 2 2 2 2 6" xfId="17599" xr:uid="{00000000-0005-0000-0000-000073310000}"/>
    <cellStyle name="Финансовый 3 3 2 4 2 2 2 2 6 2" xfId="34612" xr:uid="{AF2CFEA5-2B94-4635-92D8-848B702ADC4F}"/>
    <cellStyle name="Финансовый 3 3 2 4 2 2 2 2 7" xfId="25302" xr:uid="{8A2C9ADC-F854-4CA7-A029-DD65BC69CFAC}"/>
    <cellStyle name="Финансовый 3 3 2 4 2 2 2 3" xfId="8199" xr:uid="{00000000-0005-0000-0000-000074310000}"/>
    <cellStyle name="Финансовый 3 3 2 4 2 2 2 3 2" xfId="8200" xr:uid="{00000000-0005-0000-0000-000075310000}"/>
    <cellStyle name="Финансовый 3 3 2 4 2 2 2 3 2 2" xfId="11291" xr:uid="{00000000-0005-0000-0000-000076310000}"/>
    <cellStyle name="Финансовый 3 3 2 4 2 2 2 3 2 2 2" xfId="28380" xr:uid="{C0EEE2CF-0C37-467D-B0F0-4F02621D6495}"/>
    <cellStyle name="Финансовый 3 3 2 4 2 2 2 3 2 3" xfId="14523" xr:uid="{00000000-0005-0000-0000-000077310000}"/>
    <cellStyle name="Финансовый 3 3 2 4 2 2 2 3 2 3 2" xfId="31536" xr:uid="{ADC1476A-BCC4-41E5-8290-139D545DCB6E}"/>
    <cellStyle name="Финансовый 3 3 2 4 2 2 2 3 2 4" xfId="17604" xr:uid="{00000000-0005-0000-0000-000078310000}"/>
    <cellStyle name="Финансовый 3 3 2 4 2 2 2 3 2 4 2" xfId="34617" xr:uid="{874A084D-FBF9-4B4B-B292-44E817795AEC}"/>
    <cellStyle name="Финансовый 3 3 2 4 2 2 2 3 2 5" xfId="25307" xr:uid="{466A0155-618D-41FB-A592-2CCCE5F0E882}"/>
    <cellStyle name="Финансовый 3 3 2 4 2 2 2 3 3" xfId="11290" xr:uid="{00000000-0005-0000-0000-000079310000}"/>
    <cellStyle name="Финансовый 3 3 2 4 2 2 2 3 3 2" xfId="28379" xr:uid="{70C84A7E-38E3-44B4-9AD5-5F7586CDB741}"/>
    <cellStyle name="Финансовый 3 3 2 4 2 2 2 3 4" xfId="14522" xr:uid="{00000000-0005-0000-0000-00007A310000}"/>
    <cellStyle name="Финансовый 3 3 2 4 2 2 2 3 4 2" xfId="31535" xr:uid="{151DC3FF-AF81-4D78-AC66-84345A0B1684}"/>
    <cellStyle name="Финансовый 3 3 2 4 2 2 2 3 5" xfId="17603" xr:uid="{00000000-0005-0000-0000-00007B310000}"/>
    <cellStyle name="Финансовый 3 3 2 4 2 2 2 3 5 2" xfId="34616" xr:uid="{30C33B0C-2A30-4941-B0AF-A6C5D25AB2D3}"/>
    <cellStyle name="Финансовый 3 3 2 4 2 2 2 3 6" xfId="25306" xr:uid="{04680688-71F5-4414-AC54-75A4E0AD5EDE}"/>
    <cellStyle name="Финансовый 3 3 2 4 2 2 2 4" xfId="8201" xr:uid="{00000000-0005-0000-0000-00007C310000}"/>
    <cellStyle name="Финансовый 3 3 2 4 2 2 2 4 2" xfId="11292" xr:uid="{00000000-0005-0000-0000-00007D310000}"/>
    <cellStyle name="Финансовый 3 3 2 4 2 2 2 4 2 2" xfId="28381" xr:uid="{E80F5538-7EB7-4632-A5F1-0DD415362DC5}"/>
    <cellStyle name="Финансовый 3 3 2 4 2 2 2 4 3" xfId="14524" xr:uid="{00000000-0005-0000-0000-00007E310000}"/>
    <cellStyle name="Финансовый 3 3 2 4 2 2 2 4 3 2" xfId="31537" xr:uid="{B72FBE85-F94F-44B0-9B38-0C1C63160075}"/>
    <cellStyle name="Финансовый 3 3 2 4 2 2 2 4 4" xfId="17605" xr:uid="{00000000-0005-0000-0000-00007F310000}"/>
    <cellStyle name="Финансовый 3 3 2 4 2 2 2 4 4 2" xfId="34618" xr:uid="{23BA09FF-E150-4944-9675-6C9C2959478A}"/>
    <cellStyle name="Финансовый 3 3 2 4 2 2 2 4 5" xfId="25308" xr:uid="{0F703C1E-4BD6-49D6-9372-1F4A03F7207F}"/>
    <cellStyle name="Финансовый 3 3 2 4 2 2 2 5" xfId="11285" xr:uid="{00000000-0005-0000-0000-000080310000}"/>
    <cellStyle name="Финансовый 3 3 2 4 2 2 2 5 2" xfId="28374" xr:uid="{5293C860-B6BD-4AE3-8C65-0AB300E2DE60}"/>
    <cellStyle name="Финансовый 3 3 2 4 2 2 2 6" xfId="14517" xr:uid="{00000000-0005-0000-0000-000081310000}"/>
    <cellStyle name="Финансовый 3 3 2 4 2 2 2 6 2" xfId="31530" xr:uid="{3B66ACA2-B0BD-42F1-B486-808D92C2664A}"/>
    <cellStyle name="Финансовый 3 3 2 4 2 2 2 7" xfId="17598" xr:uid="{00000000-0005-0000-0000-000082310000}"/>
    <cellStyle name="Финансовый 3 3 2 4 2 2 2 7 2" xfId="34611" xr:uid="{86746A50-9FB0-4A49-8A99-F3F75275DD5E}"/>
    <cellStyle name="Финансовый 3 3 2 4 2 2 2 8" xfId="25301" xr:uid="{D2C3C908-CB42-47EA-9B9C-043BFB51FA4A}"/>
    <cellStyle name="Финансовый 3 3 2 4 2 2 3" xfId="8202" xr:uid="{00000000-0005-0000-0000-000083310000}"/>
    <cellStyle name="Финансовый 3 3 2 4 2 2 3 2" xfId="8203" xr:uid="{00000000-0005-0000-0000-000084310000}"/>
    <cellStyle name="Финансовый 3 3 2 4 2 2 3 2 2" xfId="8204" xr:uid="{00000000-0005-0000-0000-000085310000}"/>
    <cellStyle name="Финансовый 3 3 2 4 2 2 3 2 2 2" xfId="11295" xr:uid="{00000000-0005-0000-0000-000086310000}"/>
    <cellStyle name="Финансовый 3 3 2 4 2 2 3 2 2 2 2" xfId="28384" xr:uid="{48A1C20C-25E8-4791-AE27-326542AD32DC}"/>
    <cellStyle name="Финансовый 3 3 2 4 2 2 3 2 2 3" xfId="14527" xr:uid="{00000000-0005-0000-0000-000087310000}"/>
    <cellStyle name="Финансовый 3 3 2 4 2 2 3 2 2 3 2" xfId="31540" xr:uid="{CB12EEEE-0B50-4FBA-A763-F8DAE2A9E663}"/>
    <cellStyle name="Финансовый 3 3 2 4 2 2 3 2 2 4" xfId="17608" xr:uid="{00000000-0005-0000-0000-000088310000}"/>
    <cellStyle name="Финансовый 3 3 2 4 2 2 3 2 2 4 2" xfId="34621" xr:uid="{61780F1A-74F7-4261-A9D2-0580FC4DBB6E}"/>
    <cellStyle name="Финансовый 3 3 2 4 2 2 3 2 2 5" xfId="25311" xr:uid="{21E98BF1-AA0B-4410-8E71-C2A014A5169A}"/>
    <cellStyle name="Финансовый 3 3 2 4 2 2 3 2 3" xfId="11294" xr:uid="{00000000-0005-0000-0000-000089310000}"/>
    <cellStyle name="Финансовый 3 3 2 4 2 2 3 2 3 2" xfId="28383" xr:uid="{B98CF6A7-1757-4A95-B441-C510A649CBAF}"/>
    <cellStyle name="Финансовый 3 3 2 4 2 2 3 2 4" xfId="14526" xr:uid="{00000000-0005-0000-0000-00008A310000}"/>
    <cellStyle name="Финансовый 3 3 2 4 2 2 3 2 4 2" xfId="31539" xr:uid="{5A4563CE-8E64-4E52-BE88-0207041CFF72}"/>
    <cellStyle name="Финансовый 3 3 2 4 2 2 3 2 5" xfId="17607" xr:uid="{00000000-0005-0000-0000-00008B310000}"/>
    <cellStyle name="Финансовый 3 3 2 4 2 2 3 2 5 2" xfId="34620" xr:uid="{580C16CC-BB79-415D-93EF-9C24F21F71F8}"/>
    <cellStyle name="Финансовый 3 3 2 4 2 2 3 2 6" xfId="25310" xr:uid="{71B0D9C4-A97B-4661-AFDB-62D3B694B432}"/>
    <cellStyle name="Финансовый 3 3 2 4 2 2 3 3" xfId="8205" xr:uid="{00000000-0005-0000-0000-00008C310000}"/>
    <cellStyle name="Финансовый 3 3 2 4 2 2 3 3 2" xfId="11296" xr:uid="{00000000-0005-0000-0000-00008D310000}"/>
    <cellStyle name="Финансовый 3 3 2 4 2 2 3 3 2 2" xfId="28385" xr:uid="{EC62A044-CEE9-4222-8709-C26B193F8585}"/>
    <cellStyle name="Финансовый 3 3 2 4 2 2 3 3 3" xfId="14528" xr:uid="{00000000-0005-0000-0000-00008E310000}"/>
    <cellStyle name="Финансовый 3 3 2 4 2 2 3 3 3 2" xfId="31541" xr:uid="{FEF2E145-F7DE-4481-8978-263B83A2D671}"/>
    <cellStyle name="Финансовый 3 3 2 4 2 2 3 3 4" xfId="17609" xr:uid="{00000000-0005-0000-0000-00008F310000}"/>
    <cellStyle name="Финансовый 3 3 2 4 2 2 3 3 4 2" xfId="34622" xr:uid="{2CF22569-7622-4A33-9160-EAF8EB363133}"/>
    <cellStyle name="Финансовый 3 3 2 4 2 2 3 3 5" xfId="25312" xr:uid="{7179373F-8335-4B3B-945A-A9E51F6389D1}"/>
    <cellStyle name="Финансовый 3 3 2 4 2 2 3 4" xfId="11293" xr:uid="{00000000-0005-0000-0000-000090310000}"/>
    <cellStyle name="Финансовый 3 3 2 4 2 2 3 4 2" xfId="28382" xr:uid="{63B2858D-D66E-4186-8677-01B1EDC7882F}"/>
    <cellStyle name="Финансовый 3 3 2 4 2 2 3 5" xfId="14525" xr:uid="{00000000-0005-0000-0000-000091310000}"/>
    <cellStyle name="Финансовый 3 3 2 4 2 2 3 5 2" xfId="31538" xr:uid="{E532F213-8341-404C-90E1-53CEDC77CA97}"/>
    <cellStyle name="Финансовый 3 3 2 4 2 2 3 6" xfId="17606" xr:uid="{00000000-0005-0000-0000-000092310000}"/>
    <cellStyle name="Финансовый 3 3 2 4 2 2 3 6 2" xfId="34619" xr:uid="{32742787-7FAE-409F-B45C-42DCC7EF2BD9}"/>
    <cellStyle name="Финансовый 3 3 2 4 2 2 3 7" xfId="25309" xr:uid="{4D76B7FE-B9CD-4B3A-9756-89ADB617F568}"/>
    <cellStyle name="Финансовый 3 3 2 4 2 2 4" xfId="8206" xr:uid="{00000000-0005-0000-0000-000093310000}"/>
    <cellStyle name="Финансовый 3 3 2 4 2 2 4 2" xfId="8207" xr:uid="{00000000-0005-0000-0000-000094310000}"/>
    <cellStyle name="Финансовый 3 3 2 4 2 2 4 2 2" xfId="11298" xr:uid="{00000000-0005-0000-0000-000095310000}"/>
    <cellStyle name="Финансовый 3 3 2 4 2 2 4 2 2 2" xfId="28387" xr:uid="{A9C8FBBD-7A6C-46AD-B8B8-748AB2ADC8FE}"/>
    <cellStyle name="Финансовый 3 3 2 4 2 2 4 2 3" xfId="14530" xr:uid="{00000000-0005-0000-0000-000096310000}"/>
    <cellStyle name="Финансовый 3 3 2 4 2 2 4 2 3 2" xfId="31543" xr:uid="{9D9192B7-B50C-484C-A253-D9950661ED30}"/>
    <cellStyle name="Финансовый 3 3 2 4 2 2 4 2 4" xfId="17611" xr:uid="{00000000-0005-0000-0000-000097310000}"/>
    <cellStyle name="Финансовый 3 3 2 4 2 2 4 2 4 2" xfId="34624" xr:uid="{46D8B238-9055-48FA-A252-D1C4B1722786}"/>
    <cellStyle name="Финансовый 3 3 2 4 2 2 4 2 5" xfId="25314" xr:uid="{6983841B-E6D4-4567-A443-C407FD758901}"/>
    <cellStyle name="Финансовый 3 3 2 4 2 2 4 3" xfId="11297" xr:uid="{00000000-0005-0000-0000-000098310000}"/>
    <cellStyle name="Финансовый 3 3 2 4 2 2 4 3 2" xfId="28386" xr:uid="{15019AED-73AE-4003-906D-BFA08FD86D56}"/>
    <cellStyle name="Финансовый 3 3 2 4 2 2 4 4" xfId="14529" xr:uid="{00000000-0005-0000-0000-000099310000}"/>
    <cellStyle name="Финансовый 3 3 2 4 2 2 4 4 2" xfId="31542" xr:uid="{085C2AB9-D2DF-4797-8179-22F70A602F0B}"/>
    <cellStyle name="Финансовый 3 3 2 4 2 2 4 5" xfId="17610" xr:uid="{00000000-0005-0000-0000-00009A310000}"/>
    <cellStyle name="Финансовый 3 3 2 4 2 2 4 5 2" xfId="34623" xr:uid="{7B92075A-18B8-48BE-AD5D-5DD841B91169}"/>
    <cellStyle name="Финансовый 3 3 2 4 2 2 4 6" xfId="25313" xr:uid="{6E54F3F2-B8E3-4698-ABF9-1D8334A259B4}"/>
    <cellStyle name="Финансовый 3 3 2 4 2 2 5" xfId="8208" xr:uid="{00000000-0005-0000-0000-00009B310000}"/>
    <cellStyle name="Финансовый 3 3 2 4 2 2 5 2" xfId="11299" xr:uid="{00000000-0005-0000-0000-00009C310000}"/>
    <cellStyle name="Финансовый 3 3 2 4 2 2 5 2 2" xfId="28388" xr:uid="{7A82EACE-5301-4B4E-ABB0-245136472209}"/>
    <cellStyle name="Финансовый 3 3 2 4 2 2 5 3" xfId="14531" xr:uid="{00000000-0005-0000-0000-00009D310000}"/>
    <cellStyle name="Финансовый 3 3 2 4 2 2 5 3 2" xfId="31544" xr:uid="{88C44BD3-C90C-4BB6-9261-5E592C3CA22A}"/>
    <cellStyle name="Финансовый 3 3 2 4 2 2 5 4" xfId="17612" xr:uid="{00000000-0005-0000-0000-00009E310000}"/>
    <cellStyle name="Финансовый 3 3 2 4 2 2 5 4 2" xfId="34625" xr:uid="{C2FC1734-6363-4996-8C0F-D2F3995314F3}"/>
    <cellStyle name="Финансовый 3 3 2 4 2 2 5 5" xfId="25315" xr:uid="{F48692D5-E2F5-49FD-9015-5C5B999BC96B}"/>
    <cellStyle name="Финансовый 3 3 2 4 2 2 6" xfId="11284" xr:uid="{00000000-0005-0000-0000-00009F310000}"/>
    <cellStyle name="Финансовый 3 3 2 4 2 2 6 2" xfId="28373" xr:uid="{B75801F1-09B3-4FAE-9B41-887147611990}"/>
    <cellStyle name="Финансовый 3 3 2 4 2 2 7" xfId="14516" xr:uid="{00000000-0005-0000-0000-0000A0310000}"/>
    <cellStyle name="Финансовый 3 3 2 4 2 2 7 2" xfId="31529" xr:uid="{9A125E15-F215-4C57-B36E-BC2298394E49}"/>
    <cellStyle name="Финансовый 3 3 2 4 2 2 8" xfId="17597" xr:uid="{00000000-0005-0000-0000-0000A1310000}"/>
    <cellStyle name="Финансовый 3 3 2 4 2 2 8 2" xfId="34610" xr:uid="{7C3B7B68-451F-4F4D-94A4-BF87A5581C26}"/>
    <cellStyle name="Финансовый 3 3 2 4 2 2 9" xfId="25300" xr:uid="{BF5C997B-5BC3-44E1-B4DC-B9892EC35572}"/>
    <cellStyle name="Финансовый 3 3 2 4 2 3" xfId="8209" xr:uid="{00000000-0005-0000-0000-0000A2310000}"/>
    <cellStyle name="Финансовый 3 3 2 4 2 3 2" xfId="8210" xr:uid="{00000000-0005-0000-0000-0000A3310000}"/>
    <cellStyle name="Финансовый 3 3 2 4 2 3 2 2" xfId="8211" xr:uid="{00000000-0005-0000-0000-0000A4310000}"/>
    <cellStyle name="Финансовый 3 3 2 4 2 3 2 2 2" xfId="8212" xr:uid="{00000000-0005-0000-0000-0000A5310000}"/>
    <cellStyle name="Финансовый 3 3 2 4 2 3 2 2 2 2" xfId="11303" xr:uid="{00000000-0005-0000-0000-0000A6310000}"/>
    <cellStyle name="Финансовый 3 3 2 4 2 3 2 2 2 2 2" xfId="28392" xr:uid="{422A507A-C21B-41F5-84CD-EC5194D44DCF}"/>
    <cellStyle name="Финансовый 3 3 2 4 2 3 2 2 2 3" xfId="14535" xr:uid="{00000000-0005-0000-0000-0000A7310000}"/>
    <cellStyle name="Финансовый 3 3 2 4 2 3 2 2 2 3 2" xfId="31548" xr:uid="{13BC1256-E168-4136-AE6A-5E78C47529C8}"/>
    <cellStyle name="Финансовый 3 3 2 4 2 3 2 2 2 4" xfId="17616" xr:uid="{00000000-0005-0000-0000-0000A8310000}"/>
    <cellStyle name="Финансовый 3 3 2 4 2 3 2 2 2 4 2" xfId="34629" xr:uid="{7093E77B-1823-4CE4-82C8-1F1FD03C02F5}"/>
    <cellStyle name="Финансовый 3 3 2 4 2 3 2 2 2 5" xfId="25319" xr:uid="{1B0E40DE-1696-4E0A-9D40-52E797102A43}"/>
    <cellStyle name="Финансовый 3 3 2 4 2 3 2 2 3" xfId="11302" xr:uid="{00000000-0005-0000-0000-0000A9310000}"/>
    <cellStyle name="Финансовый 3 3 2 4 2 3 2 2 3 2" xfId="28391" xr:uid="{AEE5C142-4626-4532-A4EC-1AF50554AC0A}"/>
    <cellStyle name="Финансовый 3 3 2 4 2 3 2 2 4" xfId="14534" xr:uid="{00000000-0005-0000-0000-0000AA310000}"/>
    <cellStyle name="Финансовый 3 3 2 4 2 3 2 2 4 2" xfId="31547" xr:uid="{272E727A-7D1E-4D72-A058-A0873CBF9B1D}"/>
    <cellStyle name="Финансовый 3 3 2 4 2 3 2 2 5" xfId="17615" xr:uid="{00000000-0005-0000-0000-0000AB310000}"/>
    <cellStyle name="Финансовый 3 3 2 4 2 3 2 2 5 2" xfId="34628" xr:uid="{47C94924-D682-494D-858A-88AF5A22068D}"/>
    <cellStyle name="Финансовый 3 3 2 4 2 3 2 2 6" xfId="25318" xr:uid="{B7B89936-C1C6-4EC7-BCCF-83A5A3022797}"/>
    <cellStyle name="Финансовый 3 3 2 4 2 3 2 3" xfId="8213" xr:uid="{00000000-0005-0000-0000-0000AC310000}"/>
    <cellStyle name="Финансовый 3 3 2 4 2 3 2 3 2" xfId="11304" xr:uid="{00000000-0005-0000-0000-0000AD310000}"/>
    <cellStyle name="Финансовый 3 3 2 4 2 3 2 3 2 2" xfId="28393" xr:uid="{CD363416-CE62-4F11-ABC2-59006FF29855}"/>
    <cellStyle name="Финансовый 3 3 2 4 2 3 2 3 3" xfId="14536" xr:uid="{00000000-0005-0000-0000-0000AE310000}"/>
    <cellStyle name="Финансовый 3 3 2 4 2 3 2 3 3 2" xfId="31549" xr:uid="{5C11FA41-C26D-473D-9D75-3CBC3DC3453A}"/>
    <cellStyle name="Финансовый 3 3 2 4 2 3 2 3 4" xfId="17617" xr:uid="{00000000-0005-0000-0000-0000AF310000}"/>
    <cellStyle name="Финансовый 3 3 2 4 2 3 2 3 4 2" xfId="34630" xr:uid="{16851350-FBD6-474F-AC2B-F6712C429CA0}"/>
    <cellStyle name="Финансовый 3 3 2 4 2 3 2 3 5" xfId="25320" xr:uid="{36932F4C-2A5A-4C7F-BCBE-786783477C9B}"/>
    <cellStyle name="Финансовый 3 3 2 4 2 3 2 4" xfId="11301" xr:uid="{00000000-0005-0000-0000-0000B0310000}"/>
    <cellStyle name="Финансовый 3 3 2 4 2 3 2 4 2" xfId="28390" xr:uid="{E86B41F1-4547-4EC9-9E48-BBF3BAEA92E0}"/>
    <cellStyle name="Финансовый 3 3 2 4 2 3 2 5" xfId="14533" xr:uid="{00000000-0005-0000-0000-0000B1310000}"/>
    <cellStyle name="Финансовый 3 3 2 4 2 3 2 5 2" xfId="31546" xr:uid="{0EA50BCB-40B6-419D-8DE8-D103FA0E0987}"/>
    <cellStyle name="Финансовый 3 3 2 4 2 3 2 6" xfId="17614" xr:uid="{00000000-0005-0000-0000-0000B2310000}"/>
    <cellStyle name="Финансовый 3 3 2 4 2 3 2 6 2" xfId="34627" xr:uid="{4D1C18C7-79D8-476E-8480-A5998B360253}"/>
    <cellStyle name="Финансовый 3 3 2 4 2 3 2 7" xfId="25317" xr:uid="{A5A7B44D-062F-47CF-AD5C-D1E3EB1792C9}"/>
    <cellStyle name="Финансовый 3 3 2 4 2 3 3" xfId="8214" xr:uid="{00000000-0005-0000-0000-0000B3310000}"/>
    <cellStyle name="Финансовый 3 3 2 4 2 3 3 2" xfId="8215" xr:uid="{00000000-0005-0000-0000-0000B4310000}"/>
    <cellStyle name="Финансовый 3 3 2 4 2 3 3 2 2" xfId="11306" xr:uid="{00000000-0005-0000-0000-0000B5310000}"/>
    <cellStyle name="Финансовый 3 3 2 4 2 3 3 2 2 2" xfId="28395" xr:uid="{684A66C2-A341-42D3-A691-2D7C12D17847}"/>
    <cellStyle name="Финансовый 3 3 2 4 2 3 3 2 3" xfId="14538" xr:uid="{00000000-0005-0000-0000-0000B6310000}"/>
    <cellStyle name="Финансовый 3 3 2 4 2 3 3 2 3 2" xfId="31551" xr:uid="{350A0815-A0B2-41ED-9D08-FCCEB9AD856B}"/>
    <cellStyle name="Финансовый 3 3 2 4 2 3 3 2 4" xfId="17619" xr:uid="{00000000-0005-0000-0000-0000B7310000}"/>
    <cellStyle name="Финансовый 3 3 2 4 2 3 3 2 4 2" xfId="34632" xr:uid="{50B1FFB2-6760-4551-86CB-20B1EC170CE6}"/>
    <cellStyle name="Финансовый 3 3 2 4 2 3 3 2 5" xfId="25322" xr:uid="{2EF584AC-8777-4C1A-954E-86C30510BAE1}"/>
    <cellStyle name="Финансовый 3 3 2 4 2 3 3 3" xfId="11305" xr:uid="{00000000-0005-0000-0000-0000B8310000}"/>
    <cellStyle name="Финансовый 3 3 2 4 2 3 3 3 2" xfId="28394" xr:uid="{B7F8E1C7-C8DC-4EF0-AC8F-BCF7D48C5C6B}"/>
    <cellStyle name="Финансовый 3 3 2 4 2 3 3 4" xfId="14537" xr:uid="{00000000-0005-0000-0000-0000B9310000}"/>
    <cellStyle name="Финансовый 3 3 2 4 2 3 3 4 2" xfId="31550" xr:uid="{8EFDFE47-00F4-4DAD-B321-C08CD68A6014}"/>
    <cellStyle name="Финансовый 3 3 2 4 2 3 3 5" xfId="17618" xr:uid="{00000000-0005-0000-0000-0000BA310000}"/>
    <cellStyle name="Финансовый 3 3 2 4 2 3 3 5 2" xfId="34631" xr:uid="{AB368F26-1140-4C38-85D9-9E1C982ED804}"/>
    <cellStyle name="Финансовый 3 3 2 4 2 3 3 6" xfId="25321" xr:uid="{9F46FFC9-1F8A-4F8E-8994-56580C658FA2}"/>
    <cellStyle name="Финансовый 3 3 2 4 2 3 4" xfId="8216" xr:uid="{00000000-0005-0000-0000-0000BB310000}"/>
    <cellStyle name="Финансовый 3 3 2 4 2 3 4 2" xfId="11307" xr:uid="{00000000-0005-0000-0000-0000BC310000}"/>
    <cellStyle name="Финансовый 3 3 2 4 2 3 4 2 2" xfId="28396" xr:uid="{1CDD2CB7-6E87-4902-A4DD-416470DC2FA8}"/>
    <cellStyle name="Финансовый 3 3 2 4 2 3 4 3" xfId="14539" xr:uid="{00000000-0005-0000-0000-0000BD310000}"/>
    <cellStyle name="Финансовый 3 3 2 4 2 3 4 3 2" xfId="31552" xr:uid="{840B0BA3-BBE1-42DA-A60E-F32B4459745E}"/>
    <cellStyle name="Финансовый 3 3 2 4 2 3 4 4" xfId="17620" xr:uid="{00000000-0005-0000-0000-0000BE310000}"/>
    <cellStyle name="Финансовый 3 3 2 4 2 3 4 4 2" xfId="34633" xr:uid="{37DFA130-2B55-4530-889B-299D65198318}"/>
    <cellStyle name="Финансовый 3 3 2 4 2 3 4 5" xfId="25323" xr:uid="{A92B7A58-3F7C-42A4-B640-E3FCC8C02123}"/>
    <cellStyle name="Финансовый 3 3 2 4 2 3 5" xfId="11300" xr:uid="{00000000-0005-0000-0000-0000BF310000}"/>
    <cellStyle name="Финансовый 3 3 2 4 2 3 5 2" xfId="28389" xr:uid="{4BBB8ACE-33AE-4F93-9BA1-33425EADF0F7}"/>
    <cellStyle name="Финансовый 3 3 2 4 2 3 6" xfId="14532" xr:uid="{00000000-0005-0000-0000-0000C0310000}"/>
    <cellStyle name="Финансовый 3 3 2 4 2 3 6 2" xfId="31545" xr:uid="{6C17F021-D587-46B8-AF94-A43F2033684E}"/>
    <cellStyle name="Финансовый 3 3 2 4 2 3 7" xfId="17613" xr:uid="{00000000-0005-0000-0000-0000C1310000}"/>
    <cellStyle name="Финансовый 3 3 2 4 2 3 7 2" xfId="34626" xr:uid="{0A26DF0B-F1C4-480E-AC2D-93DE0DF36D21}"/>
    <cellStyle name="Финансовый 3 3 2 4 2 3 8" xfId="25316" xr:uid="{E2F097FF-F746-4786-BBFB-F842EE98A179}"/>
    <cellStyle name="Финансовый 3 3 2 4 2 4" xfId="8217" xr:uid="{00000000-0005-0000-0000-0000C2310000}"/>
    <cellStyle name="Финансовый 3 3 2 4 2 4 2" xfId="8218" xr:uid="{00000000-0005-0000-0000-0000C3310000}"/>
    <cellStyle name="Финансовый 3 3 2 4 2 4 2 2" xfId="8219" xr:uid="{00000000-0005-0000-0000-0000C4310000}"/>
    <cellStyle name="Финансовый 3 3 2 4 2 4 2 2 2" xfId="11310" xr:uid="{00000000-0005-0000-0000-0000C5310000}"/>
    <cellStyle name="Финансовый 3 3 2 4 2 4 2 2 2 2" xfId="28399" xr:uid="{0B995C29-FEE0-411F-91EC-E93D231732D9}"/>
    <cellStyle name="Финансовый 3 3 2 4 2 4 2 2 3" xfId="14542" xr:uid="{00000000-0005-0000-0000-0000C6310000}"/>
    <cellStyle name="Финансовый 3 3 2 4 2 4 2 2 3 2" xfId="31555" xr:uid="{C17F23EC-E893-4927-8A1A-19CB046CF706}"/>
    <cellStyle name="Финансовый 3 3 2 4 2 4 2 2 4" xfId="17623" xr:uid="{00000000-0005-0000-0000-0000C7310000}"/>
    <cellStyle name="Финансовый 3 3 2 4 2 4 2 2 4 2" xfId="34636" xr:uid="{DEB3FB29-0427-4A61-8EE6-F988FF1E424A}"/>
    <cellStyle name="Финансовый 3 3 2 4 2 4 2 2 5" xfId="25326" xr:uid="{3B15280A-766F-4A47-94B7-F8B16834E8F7}"/>
    <cellStyle name="Финансовый 3 3 2 4 2 4 2 3" xfId="11309" xr:uid="{00000000-0005-0000-0000-0000C8310000}"/>
    <cellStyle name="Финансовый 3 3 2 4 2 4 2 3 2" xfId="28398" xr:uid="{C8E39099-73A7-4F95-BB89-812A424A62A0}"/>
    <cellStyle name="Финансовый 3 3 2 4 2 4 2 4" xfId="14541" xr:uid="{00000000-0005-0000-0000-0000C9310000}"/>
    <cellStyle name="Финансовый 3 3 2 4 2 4 2 4 2" xfId="31554" xr:uid="{1601C0DF-0B82-4DD5-B2A6-B0EA140A889E}"/>
    <cellStyle name="Финансовый 3 3 2 4 2 4 2 5" xfId="17622" xr:uid="{00000000-0005-0000-0000-0000CA310000}"/>
    <cellStyle name="Финансовый 3 3 2 4 2 4 2 5 2" xfId="34635" xr:uid="{105FEE4D-7E47-4969-8D91-D61687691140}"/>
    <cellStyle name="Финансовый 3 3 2 4 2 4 2 6" xfId="25325" xr:uid="{680D9B1F-D3F1-4CC7-923E-FD54E0C04EBE}"/>
    <cellStyle name="Финансовый 3 3 2 4 2 4 3" xfId="8220" xr:uid="{00000000-0005-0000-0000-0000CB310000}"/>
    <cellStyle name="Финансовый 3 3 2 4 2 4 3 2" xfId="11311" xr:uid="{00000000-0005-0000-0000-0000CC310000}"/>
    <cellStyle name="Финансовый 3 3 2 4 2 4 3 2 2" xfId="28400" xr:uid="{F80D6DB2-463B-4B80-A4F8-F3F2057DA68C}"/>
    <cellStyle name="Финансовый 3 3 2 4 2 4 3 3" xfId="14543" xr:uid="{00000000-0005-0000-0000-0000CD310000}"/>
    <cellStyle name="Финансовый 3 3 2 4 2 4 3 3 2" xfId="31556" xr:uid="{1AE67624-BFD2-49FE-B385-5B47EB74C0A1}"/>
    <cellStyle name="Финансовый 3 3 2 4 2 4 3 4" xfId="17624" xr:uid="{00000000-0005-0000-0000-0000CE310000}"/>
    <cellStyle name="Финансовый 3 3 2 4 2 4 3 4 2" xfId="34637" xr:uid="{C1E8493C-D820-432A-877C-DFA7D3D08B17}"/>
    <cellStyle name="Финансовый 3 3 2 4 2 4 3 5" xfId="25327" xr:uid="{106250FA-B317-4F02-A355-375085C731F7}"/>
    <cellStyle name="Финансовый 3 3 2 4 2 4 4" xfId="11308" xr:uid="{00000000-0005-0000-0000-0000CF310000}"/>
    <cellStyle name="Финансовый 3 3 2 4 2 4 4 2" xfId="28397" xr:uid="{40AF4BA2-6478-404B-85B1-EEF8C05FBEC8}"/>
    <cellStyle name="Финансовый 3 3 2 4 2 4 5" xfId="14540" xr:uid="{00000000-0005-0000-0000-0000D0310000}"/>
    <cellStyle name="Финансовый 3 3 2 4 2 4 5 2" xfId="31553" xr:uid="{FA813A85-51B7-4991-93FD-697E429B526E}"/>
    <cellStyle name="Финансовый 3 3 2 4 2 4 6" xfId="17621" xr:uid="{00000000-0005-0000-0000-0000D1310000}"/>
    <cellStyle name="Финансовый 3 3 2 4 2 4 6 2" xfId="34634" xr:uid="{65A5C9C1-EF1D-4837-8E0F-B583081CD0C8}"/>
    <cellStyle name="Финансовый 3 3 2 4 2 4 7" xfId="25324" xr:uid="{AA128B75-D3F1-4F11-9E24-D5E6881674A4}"/>
    <cellStyle name="Финансовый 3 3 2 4 2 5" xfId="8221" xr:uid="{00000000-0005-0000-0000-0000D2310000}"/>
    <cellStyle name="Финансовый 3 3 2 4 2 5 2" xfId="8222" xr:uid="{00000000-0005-0000-0000-0000D3310000}"/>
    <cellStyle name="Финансовый 3 3 2 4 2 5 2 2" xfId="11313" xr:uid="{00000000-0005-0000-0000-0000D4310000}"/>
    <cellStyle name="Финансовый 3 3 2 4 2 5 2 2 2" xfId="28402" xr:uid="{04363CCE-8A95-408A-8313-7E06BA4A52ED}"/>
    <cellStyle name="Финансовый 3 3 2 4 2 5 2 3" xfId="14545" xr:uid="{00000000-0005-0000-0000-0000D5310000}"/>
    <cellStyle name="Финансовый 3 3 2 4 2 5 2 3 2" xfId="31558" xr:uid="{8C06A981-FFCE-491E-99F2-C76580F66E72}"/>
    <cellStyle name="Финансовый 3 3 2 4 2 5 2 4" xfId="17626" xr:uid="{00000000-0005-0000-0000-0000D6310000}"/>
    <cellStyle name="Финансовый 3 3 2 4 2 5 2 4 2" xfId="34639" xr:uid="{90A03482-9D7E-4C27-9CCA-83023D9D99AA}"/>
    <cellStyle name="Финансовый 3 3 2 4 2 5 2 5" xfId="25329" xr:uid="{3786BB73-ECC7-41BA-8CFB-57750A6A6574}"/>
    <cellStyle name="Финансовый 3 3 2 4 2 5 3" xfId="11312" xr:uid="{00000000-0005-0000-0000-0000D7310000}"/>
    <cellStyle name="Финансовый 3 3 2 4 2 5 3 2" xfId="28401" xr:uid="{9E999EE7-4B5E-4D13-992D-C379C3E4022F}"/>
    <cellStyle name="Финансовый 3 3 2 4 2 5 4" xfId="14544" xr:uid="{00000000-0005-0000-0000-0000D8310000}"/>
    <cellStyle name="Финансовый 3 3 2 4 2 5 4 2" xfId="31557" xr:uid="{482B4EB2-26E6-41B9-9949-29C80ED74C32}"/>
    <cellStyle name="Финансовый 3 3 2 4 2 5 5" xfId="17625" xr:uid="{00000000-0005-0000-0000-0000D9310000}"/>
    <cellStyle name="Финансовый 3 3 2 4 2 5 5 2" xfId="34638" xr:uid="{C795BAB1-10AB-4BDA-B85B-4CD42BB28D79}"/>
    <cellStyle name="Финансовый 3 3 2 4 2 5 6" xfId="25328" xr:uid="{6A1785D1-910E-4CA4-B2A1-2A545EC17E16}"/>
    <cellStyle name="Финансовый 3 3 2 4 2 6" xfId="8223" xr:uid="{00000000-0005-0000-0000-0000DA310000}"/>
    <cellStyle name="Финансовый 3 3 2 4 2 6 2" xfId="11314" xr:uid="{00000000-0005-0000-0000-0000DB310000}"/>
    <cellStyle name="Финансовый 3 3 2 4 2 6 2 2" xfId="28403" xr:uid="{58F27790-D470-4371-9127-D9DFB84B7115}"/>
    <cellStyle name="Финансовый 3 3 2 4 2 6 3" xfId="14546" xr:uid="{00000000-0005-0000-0000-0000DC310000}"/>
    <cellStyle name="Финансовый 3 3 2 4 2 6 3 2" xfId="31559" xr:uid="{35CF4E4D-E634-4388-8FB7-4D8323740F60}"/>
    <cellStyle name="Финансовый 3 3 2 4 2 6 4" xfId="17627" xr:uid="{00000000-0005-0000-0000-0000DD310000}"/>
    <cellStyle name="Финансовый 3 3 2 4 2 6 4 2" xfId="34640" xr:uid="{34628BBC-D71B-46BE-BF88-6866A2915B0D}"/>
    <cellStyle name="Финансовый 3 3 2 4 2 6 5" xfId="25330" xr:uid="{06CAA31B-E10C-4775-9A25-59840AF7B071}"/>
    <cellStyle name="Финансовый 3 3 2 4 2 7" xfId="11283" xr:uid="{00000000-0005-0000-0000-0000DE310000}"/>
    <cellStyle name="Финансовый 3 3 2 4 2 7 2" xfId="28372" xr:uid="{A70DF2A6-389F-4A45-B248-6932A7731EAE}"/>
    <cellStyle name="Финансовый 3 3 2 4 2 8" xfId="14515" xr:uid="{00000000-0005-0000-0000-0000DF310000}"/>
    <cellStyle name="Финансовый 3 3 2 4 2 8 2" xfId="31528" xr:uid="{E6E0CA3B-8526-474E-AF01-DC28A34B871D}"/>
    <cellStyle name="Финансовый 3 3 2 4 2 9" xfId="17596" xr:uid="{00000000-0005-0000-0000-0000E0310000}"/>
    <cellStyle name="Финансовый 3 3 2 4 2 9 2" xfId="34609" xr:uid="{15044345-2D5C-4E6E-B56D-3CE5982AF94C}"/>
    <cellStyle name="Финансовый 3 3 2 4 3" xfId="8224" xr:uid="{00000000-0005-0000-0000-0000E1310000}"/>
    <cellStyle name="Финансовый 3 3 2 4 3 2" xfId="8225" xr:uid="{00000000-0005-0000-0000-0000E2310000}"/>
    <cellStyle name="Финансовый 3 3 2 4 3 2 2" xfId="8226" xr:uid="{00000000-0005-0000-0000-0000E3310000}"/>
    <cellStyle name="Финансовый 3 3 2 4 3 2 2 2" xfId="8227" xr:uid="{00000000-0005-0000-0000-0000E4310000}"/>
    <cellStyle name="Финансовый 3 3 2 4 3 2 2 2 2" xfId="8228" xr:uid="{00000000-0005-0000-0000-0000E5310000}"/>
    <cellStyle name="Финансовый 3 3 2 4 3 2 2 2 2 2" xfId="11319" xr:uid="{00000000-0005-0000-0000-0000E6310000}"/>
    <cellStyle name="Финансовый 3 3 2 4 3 2 2 2 2 2 2" xfId="28408" xr:uid="{6A07A319-BDCC-4765-8B42-D9896A6BBE3D}"/>
    <cellStyle name="Финансовый 3 3 2 4 3 2 2 2 2 3" xfId="14551" xr:uid="{00000000-0005-0000-0000-0000E7310000}"/>
    <cellStyle name="Финансовый 3 3 2 4 3 2 2 2 2 3 2" xfId="31564" xr:uid="{5F7B1F27-B3F4-489E-A561-002C9B7E0D87}"/>
    <cellStyle name="Финансовый 3 3 2 4 3 2 2 2 2 4" xfId="17632" xr:uid="{00000000-0005-0000-0000-0000E8310000}"/>
    <cellStyle name="Финансовый 3 3 2 4 3 2 2 2 2 4 2" xfId="34645" xr:uid="{7DE2DFA5-0731-4030-9175-064AF91C753E}"/>
    <cellStyle name="Финансовый 3 3 2 4 3 2 2 2 2 5" xfId="25335" xr:uid="{6D29266A-9AB9-423C-AC1B-F28AF50331C7}"/>
    <cellStyle name="Финансовый 3 3 2 4 3 2 2 2 3" xfId="11318" xr:uid="{00000000-0005-0000-0000-0000E9310000}"/>
    <cellStyle name="Финансовый 3 3 2 4 3 2 2 2 3 2" xfId="28407" xr:uid="{AB1C32C9-E021-46B1-810A-B66A157FCAAE}"/>
    <cellStyle name="Финансовый 3 3 2 4 3 2 2 2 4" xfId="14550" xr:uid="{00000000-0005-0000-0000-0000EA310000}"/>
    <cellStyle name="Финансовый 3 3 2 4 3 2 2 2 4 2" xfId="31563" xr:uid="{E4EB1C4C-4C7E-4D00-962A-C2953BAC0375}"/>
    <cellStyle name="Финансовый 3 3 2 4 3 2 2 2 5" xfId="17631" xr:uid="{00000000-0005-0000-0000-0000EB310000}"/>
    <cellStyle name="Финансовый 3 3 2 4 3 2 2 2 5 2" xfId="34644" xr:uid="{E8935AE8-5F35-4FE4-A5B3-0EEA1387CAB2}"/>
    <cellStyle name="Финансовый 3 3 2 4 3 2 2 2 6" xfId="25334" xr:uid="{E3B8F365-C642-4C6E-800E-C510A6A37D8A}"/>
    <cellStyle name="Финансовый 3 3 2 4 3 2 2 3" xfId="8229" xr:uid="{00000000-0005-0000-0000-0000EC310000}"/>
    <cellStyle name="Финансовый 3 3 2 4 3 2 2 3 2" xfId="11320" xr:uid="{00000000-0005-0000-0000-0000ED310000}"/>
    <cellStyle name="Финансовый 3 3 2 4 3 2 2 3 2 2" xfId="28409" xr:uid="{F24F2944-1EFC-48C5-9093-7FC51F10CC16}"/>
    <cellStyle name="Финансовый 3 3 2 4 3 2 2 3 3" xfId="14552" xr:uid="{00000000-0005-0000-0000-0000EE310000}"/>
    <cellStyle name="Финансовый 3 3 2 4 3 2 2 3 3 2" xfId="31565" xr:uid="{6389D04E-A3BD-4806-99E6-8CF9D3C6DA4A}"/>
    <cellStyle name="Финансовый 3 3 2 4 3 2 2 3 4" xfId="17633" xr:uid="{00000000-0005-0000-0000-0000EF310000}"/>
    <cellStyle name="Финансовый 3 3 2 4 3 2 2 3 4 2" xfId="34646" xr:uid="{8085F7EC-044B-48A5-8FEE-5A132F678536}"/>
    <cellStyle name="Финансовый 3 3 2 4 3 2 2 3 5" xfId="25336" xr:uid="{41A1460D-0DD9-4C92-881E-647724D123F5}"/>
    <cellStyle name="Финансовый 3 3 2 4 3 2 2 4" xfId="11317" xr:uid="{00000000-0005-0000-0000-0000F0310000}"/>
    <cellStyle name="Финансовый 3 3 2 4 3 2 2 4 2" xfId="28406" xr:uid="{600583A5-5942-4A29-B2DE-E62A7A2DEAE4}"/>
    <cellStyle name="Финансовый 3 3 2 4 3 2 2 5" xfId="14549" xr:uid="{00000000-0005-0000-0000-0000F1310000}"/>
    <cellStyle name="Финансовый 3 3 2 4 3 2 2 5 2" xfId="31562" xr:uid="{C7F3C93E-BCF7-462F-ADBC-552E6CA6B8C7}"/>
    <cellStyle name="Финансовый 3 3 2 4 3 2 2 6" xfId="17630" xr:uid="{00000000-0005-0000-0000-0000F2310000}"/>
    <cellStyle name="Финансовый 3 3 2 4 3 2 2 6 2" xfId="34643" xr:uid="{B62A6D0B-0293-49FE-9AA5-80D5D4B37AE7}"/>
    <cellStyle name="Финансовый 3 3 2 4 3 2 2 7" xfId="25333" xr:uid="{AB2C28B1-6400-4365-9BD3-3251A99CB8E6}"/>
    <cellStyle name="Финансовый 3 3 2 4 3 2 3" xfId="8230" xr:uid="{00000000-0005-0000-0000-0000F3310000}"/>
    <cellStyle name="Финансовый 3 3 2 4 3 2 3 2" xfId="8231" xr:uid="{00000000-0005-0000-0000-0000F4310000}"/>
    <cellStyle name="Финансовый 3 3 2 4 3 2 3 2 2" xfId="11322" xr:uid="{00000000-0005-0000-0000-0000F5310000}"/>
    <cellStyle name="Финансовый 3 3 2 4 3 2 3 2 2 2" xfId="28411" xr:uid="{F62D18AB-F354-470D-A29E-B1490F2FF5F0}"/>
    <cellStyle name="Финансовый 3 3 2 4 3 2 3 2 3" xfId="14554" xr:uid="{00000000-0005-0000-0000-0000F6310000}"/>
    <cellStyle name="Финансовый 3 3 2 4 3 2 3 2 3 2" xfId="31567" xr:uid="{DD320925-3AE1-40FA-A424-C6ECDD67D6CD}"/>
    <cellStyle name="Финансовый 3 3 2 4 3 2 3 2 4" xfId="17635" xr:uid="{00000000-0005-0000-0000-0000F7310000}"/>
    <cellStyle name="Финансовый 3 3 2 4 3 2 3 2 4 2" xfId="34648" xr:uid="{5BD03F49-B6BE-4A0A-A723-B61B6A904BA6}"/>
    <cellStyle name="Финансовый 3 3 2 4 3 2 3 2 5" xfId="25338" xr:uid="{3FBA4B75-6EF4-48B2-B9DE-CC3A886AE58F}"/>
    <cellStyle name="Финансовый 3 3 2 4 3 2 3 3" xfId="11321" xr:uid="{00000000-0005-0000-0000-0000F8310000}"/>
    <cellStyle name="Финансовый 3 3 2 4 3 2 3 3 2" xfId="28410" xr:uid="{11ED7708-38B8-49B5-A25E-CBA25467ED97}"/>
    <cellStyle name="Финансовый 3 3 2 4 3 2 3 4" xfId="14553" xr:uid="{00000000-0005-0000-0000-0000F9310000}"/>
    <cellStyle name="Финансовый 3 3 2 4 3 2 3 4 2" xfId="31566" xr:uid="{D4283F10-4B86-4419-AE53-C44CDD1CDB74}"/>
    <cellStyle name="Финансовый 3 3 2 4 3 2 3 5" xfId="17634" xr:uid="{00000000-0005-0000-0000-0000FA310000}"/>
    <cellStyle name="Финансовый 3 3 2 4 3 2 3 5 2" xfId="34647" xr:uid="{81FFFA52-7BA6-4ED5-88DC-5107601B66C8}"/>
    <cellStyle name="Финансовый 3 3 2 4 3 2 3 6" xfId="25337" xr:uid="{D61EA187-F0E9-4E7E-A843-026DFA13B0B5}"/>
    <cellStyle name="Финансовый 3 3 2 4 3 2 4" xfId="8232" xr:uid="{00000000-0005-0000-0000-0000FB310000}"/>
    <cellStyle name="Финансовый 3 3 2 4 3 2 4 2" xfId="11323" xr:uid="{00000000-0005-0000-0000-0000FC310000}"/>
    <cellStyle name="Финансовый 3 3 2 4 3 2 4 2 2" xfId="28412" xr:uid="{22675890-D514-4AEE-AC62-F8BE4765A578}"/>
    <cellStyle name="Финансовый 3 3 2 4 3 2 4 3" xfId="14555" xr:uid="{00000000-0005-0000-0000-0000FD310000}"/>
    <cellStyle name="Финансовый 3 3 2 4 3 2 4 3 2" xfId="31568" xr:uid="{D1979370-55DA-4E6D-BB0C-FC48EB699240}"/>
    <cellStyle name="Финансовый 3 3 2 4 3 2 4 4" xfId="17636" xr:uid="{00000000-0005-0000-0000-0000FE310000}"/>
    <cellStyle name="Финансовый 3 3 2 4 3 2 4 4 2" xfId="34649" xr:uid="{766C0755-EEAB-4DD4-9245-BD278765C726}"/>
    <cellStyle name="Финансовый 3 3 2 4 3 2 4 5" xfId="25339" xr:uid="{252E8212-391D-44A5-88B4-76FE94501D72}"/>
    <cellStyle name="Финансовый 3 3 2 4 3 2 5" xfId="11316" xr:uid="{00000000-0005-0000-0000-0000FF310000}"/>
    <cellStyle name="Финансовый 3 3 2 4 3 2 5 2" xfId="28405" xr:uid="{8E59D88E-8F26-4070-AD33-7565AFA5B02C}"/>
    <cellStyle name="Финансовый 3 3 2 4 3 2 6" xfId="14548" xr:uid="{00000000-0005-0000-0000-000000320000}"/>
    <cellStyle name="Финансовый 3 3 2 4 3 2 6 2" xfId="31561" xr:uid="{9360C9A5-4B2E-4BA0-BF0E-4947CA5C45EC}"/>
    <cellStyle name="Финансовый 3 3 2 4 3 2 7" xfId="17629" xr:uid="{00000000-0005-0000-0000-000001320000}"/>
    <cellStyle name="Финансовый 3 3 2 4 3 2 7 2" xfId="34642" xr:uid="{797D2BCC-C6F8-4D7F-AA11-B7DBC847F5E7}"/>
    <cellStyle name="Финансовый 3 3 2 4 3 2 8" xfId="25332" xr:uid="{88E9EC3F-6310-4DC6-9211-3CD255BA8982}"/>
    <cellStyle name="Финансовый 3 3 2 4 3 3" xfId="8233" xr:uid="{00000000-0005-0000-0000-000002320000}"/>
    <cellStyle name="Финансовый 3 3 2 4 3 3 2" xfId="8234" xr:uid="{00000000-0005-0000-0000-000003320000}"/>
    <cellStyle name="Финансовый 3 3 2 4 3 3 2 2" xfId="8235" xr:uid="{00000000-0005-0000-0000-000004320000}"/>
    <cellStyle name="Финансовый 3 3 2 4 3 3 2 2 2" xfId="11326" xr:uid="{00000000-0005-0000-0000-000005320000}"/>
    <cellStyle name="Финансовый 3 3 2 4 3 3 2 2 2 2" xfId="28415" xr:uid="{C7B343E7-923C-44AF-86A3-CCF0244DCBC4}"/>
    <cellStyle name="Финансовый 3 3 2 4 3 3 2 2 3" xfId="14558" xr:uid="{00000000-0005-0000-0000-000006320000}"/>
    <cellStyle name="Финансовый 3 3 2 4 3 3 2 2 3 2" xfId="31571" xr:uid="{F46AAB66-6721-4C0A-89CF-75ACB42A9FAF}"/>
    <cellStyle name="Финансовый 3 3 2 4 3 3 2 2 4" xfId="17639" xr:uid="{00000000-0005-0000-0000-000007320000}"/>
    <cellStyle name="Финансовый 3 3 2 4 3 3 2 2 4 2" xfId="34652" xr:uid="{8D3992FA-9C68-4F1D-8DE0-A385D9652B5A}"/>
    <cellStyle name="Финансовый 3 3 2 4 3 3 2 2 5" xfId="25342" xr:uid="{37301C05-4DFD-4FD1-9EE3-7687A3F1AAE9}"/>
    <cellStyle name="Финансовый 3 3 2 4 3 3 2 3" xfId="11325" xr:uid="{00000000-0005-0000-0000-000008320000}"/>
    <cellStyle name="Финансовый 3 3 2 4 3 3 2 3 2" xfId="28414" xr:uid="{35F74166-DB29-43FC-86C6-A2580CDB7F93}"/>
    <cellStyle name="Финансовый 3 3 2 4 3 3 2 4" xfId="14557" xr:uid="{00000000-0005-0000-0000-000009320000}"/>
    <cellStyle name="Финансовый 3 3 2 4 3 3 2 4 2" xfId="31570" xr:uid="{2B0C9286-6129-47AF-A7D3-D05347E0BAB8}"/>
    <cellStyle name="Финансовый 3 3 2 4 3 3 2 5" xfId="17638" xr:uid="{00000000-0005-0000-0000-00000A320000}"/>
    <cellStyle name="Финансовый 3 3 2 4 3 3 2 5 2" xfId="34651" xr:uid="{666DC42B-A0A5-4786-B22D-945E40EADC22}"/>
    <cellStyle name="Финансовый 3 3 2 4 3 3 2 6" xfId="25341" xr:uid="{E829AF71-7939-4D20-9432-A4BF77F26C5C}"/>
    <cellStyle name="Финансовый 3 3 2 4 3 3 3" xfId="8236" xr:uid="{00000000-0005-0000-0000-00000B320000}"/>
    <cellStyle name="Финансовый 3 3 2 4 3 3 3 2" xfId="11327" xr:uid="{00000000-0005-0000-0000-00000C320000}"/>
    <cellStyle name="Финансовый 3 3 2 4 3 3 3 2 2" xfId="28416" xr:uid="{5CA218F0-34A0-4635-9A01-51DA008AA484}"/>
    <cellStyle name="Финансовый 3 3 2 4 3 3 3 3" xfId="14559" xr:uid="{00000000-0005-0000-0000-00000D320000}"/>
    <cellStyle name="Финансовый 3 3 2 4 3 3 3 3 2" xfId="31572" xr:uid="{5ACA8A65-69BE-40F5-ADD2-63E66EAF8206}"/>
    <cellStyle name="Финансовый 3 3 2 4 3 3 3 4" xfId="17640" xr:uid="{00000000-0005-0000-0000-00000E320000}"/>
    <cellStyle name="Финансовый 3 3 2 4 3 3 3 4 2" xfId="34653" xr:uid="{FB194D1D-3552-4F74-9E51-B0C6BAAC5EC1}"/>
    <cellStyle name="Финансовый 3 3 2 4 3 3 3 5" xfId="25343" xr:uid="{042E509F-00AB-4A40-81EF-3802076DA3D4}"/>
    <cellStyle name="Финансовый 3 3 2 4 3 3 4" xfId="11324" xr:uid="{00000000-0005-0000-0000-00000F320000}"/>
    <cellStyle name="Финансовый 3 3 2 4 3 3 4 2" xfId="28413" xr:uid="{256FA32C-7624-41E7-9AD0-3D1AFC3610AC}"/>
    <cellStyle name="Финансовый 3 3 2 4 3 3 5" xfId="14556" xr:uid="{00000000-0005-0000-0000-000010320000}"/>
    <cellStyle name="Финансовый 3 3 2 4 3 3 5 2" xfId="31569" xr:uid="{5ADCDB8E-4DE6-43A4-8034-B6368D367206}"/>
    <cellStyle name="Финансовый 3 3 2 4 3 3 6" xfId="17637" xr:uid="{00000000-0005-0000-0000-000011320000}"/>
    <cellStyle name="Финансовый 3 3 2 4 3 3 6 2" xfId="34650" xr:uid="{26A4FA8C-6327-4A8B-911A-AD9D70C8250C}"/>
    <cellStyle name="Финансовый 3 3 2 4 3 3 7" xfId="25340" xr:uid="{C1C98095-C6D0-41F3-9E39-05D78B4814C0}"/>
    <cellStyle name="Финансовый 3 3 2 4 3 4" xfId="8237" xr:uid="{00000000-0005-0000-0000-000012320000}"/>
    <cellStyle name="Финансовый 3 3 2 4 3 4 2" xfId="8238" xr:uid="{00000000-0005-0000-0000-000013320000}"/>
    <cellStyle name="Финансовый 3 3 2 4 3 4 2 2" xfId="11329" xr:uid="{00000000-0005-0000-0000-000014320000}"/>
    <cellStyle name="Финансовый 3 3 2 4 3 4 2 2 2" xfId="28418" xr:uid="{A7D12265-043C-4C8C-A702-B2257ADC6D52}"/>
    <cellStyle name="Финансовый 3 3 2 4 3 4 2 3" xfId="14561" xr:uid="{00000000-0005-0000-0000-000015320000}"/>
    <cellStyle name="Финансовый 3 3 2 4 3 4 2 3 2" xfId="31574" xr:uid="{F6DCDEAF-3219-4EAE-9992-F6850887985C}"/>
    <cellStyle name="Финансовый 3 3 2 4 3 4 2 4" xfId="17642" xr:uid="{00000000-0005-0000-0000-000016320000}"/>
    <cellStyle name="Финансовый 3 3 2 4 3 4 2 4 2" xfId="34655" xr:uid="{FF16BA8F-DE64-4508-ABD6-3787E0666272}"/>
    <cellStyle name="Финансовый 3 3 2 4 3 4 2 5" xfId="25345" xr:uid="{6CB53D0D-26E3-414E-A8D5-EA6C6CA9F173}"/>
    <cellStyle name="Финансовый 3 3 2 4 3 4 3" xfId="11328" xr:uid="{00000000-0005-0000-0000-000017320000}"/>
    <cellStyle name="Финансовый 3 3 2 4 3 4 3 2" xfId="28417" xr:uid="{6FFC8DEA-7CB2-4C94-9936-91C5B894E7F0}"/>
    <cellStyle name="Финансовый 3 3 2 4 3 4 4" xfId="14560" xr:uid="{00000000-0005-0000-0000-000018320000}"/>
    <cellStyle name="Финансовый 3 3 2 4 3 4 4 2" xfId="31573" xr:uid="{9A92BC5D-E1D7-43DF-A665-0B62389FD9F0}"/>
    <cellStyle name="Финансовый 3 3 2 4 3 4 5" xfId="17641" xr:uid="{00000000-0005-0000-0000-000019320000}"/>
    <cellStyle name="Финансовый 3 3 2 4 3 4 5 2" xfId="34654" xr:uid="{654E6DA0-8C17-4C95-8FBE-A73945107074}"/>
    <cellStyle name="Финансовый 3 3 2 4 3 4 6" xfId="25344" xr:uid="{E94C9BC2-4A54-4758-B06C-F7B49230DC40}"/>
    <cellStyle name="Финансовый 3 3 2 4 3 5" xfId="8239" xr:uid="{00000000-0005-0000-0000-00001A320000}"/>
    <cellStyle name="Финансовый 3 3 2 4 3 5 2" xfId="11330" xr:uid="{00000000-0005-0000-0000-00001B320000}"/>
    <cellStyle name="Финансовый 3 3 2 4 3 5 2 2" xfId="28419" xr:uid="{3FEA2FA2-CBEC-4F64-B9A5-0998EA54509B}"/>
    <cellStyle name="Финансовый 3 3 2 4 3 5 3" xfId="14562" xr:uid="{00000000-0005-0000-0000-00001C320000}"/>
    <cellStyle name="Финансовый 3 3 2 4 3 5 3 2" xfId="31575" xr:uid="{BAE0897A-99B7-4F4A-A2A0-18E2289C9D72}"/>
    <cellStyle name="Финансовый 3 3 2 4 3 5 4" xfId="17643" xr:uid="{00000000-0005-0000-0000-00001D320000}"/>
    <cellStyle name="Финансовый 3 3 2 4 3 5 4 2" xfId="34656" xr:uid="{8273E1E6-4AEC-451A-8C85-1540547084CA}"/>
    <cellStyle name="Финансовый 3 3 2 4 3 5 5" xfId="25346" xr:uid="{C664E4A6-ECB7-49DF-A522-39CCFE1733EC}"/>
    <cellStyle name="Финансовый 3 3 2 4 3 6" xfId="11315" xr:uid="{00000000-0005-0000-0000-00001E320000}"/>
    <cellStyle name="Финансовый 3 3 2 4 3 6 2" xfId="28404" xr:uid="{33743891-5BE0-40B0-9058-F650F6E1CCB7}"/>
    <cellStyle name="Финансовый 3 3 2 4 3 7" xfId="14547" xr:uid="{00000000-0005-0000-0000-00001F320000}"/>
    <cellStyle name="Финансовый 3 3 2 4 3 7 2" xfId="31560" xr:uid="{570BA5AD-ACA9-4DCE-A917-ECBDD02723B2}"/>
    <cellStyle name="Финансовый 3 3 2 4 3 8" xfId="17628" xr:uid="{00000000-0005-0000-0000-000020320000}"/>
    <cellStyle name="Финансовый 3 3 2 4 3 8 2" xfId="34641" xr:uid="{3118E344-5E57-4BD7-B0C5-84B4E6CBB109}"/>
    <cellStyle name="Финансовый 3 3 2 4 3 9" xfId="25331" xr:uid="{F192ABFA-4FF8-4FE6-AAED-52D69AD2EF2F}"/>
    <cellStyle name="Финансовый 3 3 2 4 4" xfId="8240" xr:uid="{00000000-0005-0000-0000-000021320000}"/>
    <cellStyle name="Финансовый 3 3 2 4 4 2" xfId="8241" xr:uid="{00000000-0005-0000-0000-000022320000}"/>
    <cellStyle name="Финансовый 3 3 2 4 4 2 2" xfId="8242" xr:uid="{00000000-0005-0000-0000-000023320000}"/>
    <cellStyle name="Финансовый 3 3 2 4 4 2 2 2" xfId="8243" xr:uid="{00000000-0005-0000-0000-000024320000}"/>
    <cellStyle name="Финансовый 3 3 2 4 4 2 2 2 2" xfId="11334" xr:uid="{00000000-0005-0000-0000-000025320000}"/>
    <cellStyle name="Финансовый 3 3 2 4 4 2 2 2 2 2" xfId="28423" xr:uid="{EF419FB8-38D4-4E33-8DE4-217682486105}"/>
    <cellStyle name="Финансовый 3 3 2 4 4 2 2 2 3" xfId="14566" xr:uid="{00000000-0005-0000-0000-000026320000}"/>
    <cellStyle name="Финансовый 3 3 2 4 4 2 2 2 3 2" xfId="31579" xr:uid="{3B1BA8E5-1ABD-479B-9078-A66189C0D240}"/>
    <cellStyle name="Финансовый 3 3 2 4 4 2 2 2 4" xfId="17647" xr:uid="{00000000-0005-0000-0000-000027320000}"/>
    <cellStyle name="Финансовый 3 3 2 4 4 2 2 2 4 2" xfId="34660" xr:uid="{7FB90CCF-0EA6-4BBD-830B-F78E75FDF9F6}"/>
    <cellStyle name="Финансовый 3 3 2 4 4 2 2 2 5" xfId="25350" xr:uid="{4DF3ECDB-9153-4E56-BA93-CF65B9210B2B}"/>
    <cellStyle name="Финансовый 3 3 2 4 4 2 2 3" xfId="11333" xr:uid="{00000000-0005-0000-0000-000028320000}"/>
    <cellStyle name="Финансовый 3 3 2 4 4 2 2 3 2" xfId="28422" xr:uid="{6F0B7B4C-D5CC-403A-9602-D548EB9077AB}"/>
    <cellStyle name="Финансовый 3 3 2 4 4 2 2 4" xfId="14565" xr:uid="{00000000-0005-0000-0000-000029320000}"/>
    <cellStyle name="Финансовый 3 3 2 4 4 2 2 4 2" xfId="31578" xr:uid="{13A867F8-7DFB-46B9-B9CB-28E5338B4D85}"/>
    <cellStyle name="Финансовый 3 3 2 4 4 2 2 5" xfId="17646" xr:uid="{00000000-0005-0000-0000-00002A320000}"/>
    <cellStyle name="Финансовый 3 3 2 4 4 2 2 5 2" xfId="34659" xr:uid="{3B047BF8-48AE-4767-8E71-D7273971933B}"/>
    <cellStyle name="Финансовый 3 3 2 4 4 2 2 6" xfId="25349" xr:uid="{8A5DA164-85F8-40D1-988B-D1DCBC848626}"/>
    <cellStyle name="Финансовый 3 3 2 4 4 2 3" xfId="8244" xr:uid="{00000000-0005-0000-0000-00002B320000}"/>
    <cellStyle name="Финансовый 3 3 2 4 4 2 3 2" xfId="11335" xr:uid="{00000000-0005-0000-0000-00002C320000}"/>
    <cellStyle name="Финансовый 3 3 2 4 4 2 3 2 2" xfId="28424" xr:uid="{405E422C-DEFC-45E0-A93F-059B07D90D43}"/>
    <cellStyle name="Финансовый 3 3 2 4 4 2 3 3" xfId="14567" xr:uid="{00000000-0005-0000-0000-00002D320000}"/>
    <cellStyle name="Финансовый 3 3 2 4 4 2 3 3 2" xfId="31580" xr:uid="{3C5F43C1-B5CB-4D59-9F0B-10DDDF4C68C8}"/>
    <cellStyle name="Финансовый 3 3 2 4 4 2 3 4" xfId="17648" xr:uid="{00000000-0005-0000-0000-00002E320000}"/>
    <cellStyle name="Финансовый 3 3 2 4 4 2 3 4 2" xfId="34661" xr:uid="{36828838-759C-4679-8EB3-0A3083F2ADD7}"/>
    <cellStyle name="Финансовый 3 3 2 4 4 2 3 5" xfId="25351" xr:uid="{F7014E77-D7F1-462A-88CC-4C12DC7DE5A6}"/>
    <cellStyle name="Финансовый 3 3 2 4 4 2 4" xfId="11332" xr:uid="{00000000-0005-0000-0000-00002F320000}"/>
    <cellStyle name="Финансовый 3 3 2 4 4 2 4 2" xfId="28421" xr:uid="{6B5B7E05-F508-4AA7-B226-FF0FB804829F}"/>
    <cellStyle name="Финансовый 3 3 2 4 4 2 5" xfId="14564" xr:uid="{00000000-0005-0000-0000-000030320000}"/>
    <cellStyle name="Финансовый 3 3 2 4 4 2 5 2" xfId="31577" xr:uid="{6732AB20-0BCC-48C4-BF0B-11D2A444904C}"/>
    <cellStyle name="Финансовый 3 3 2 4 4 2 6" xfId="17645" xr:uid="{00000000-0005-0000-0000-000031320000}"/>
    <cellStyle name="Финансовый 3 3 2 4 4 2 6 2" xfId="34658" xr:uid="{31D885DB-5733-4272-9957-C24B2E3AC5C7}"/>
    <cellStyle name="Финансовый 3 3 2 4 4 2 7" xfId="25348" xr:uid="{30C6A181-4AFE-4BF9-94E4-2A7863F02C80}"/>
    <cellStyle name="Финансовый 3 3 2 4 4 3" xfId="8245" xr:uid="{00000000-0005-0000-0000-000032320000}"/>
    <cellStyle name="Финансовый 3 3 2 4 4 3 2" xfId="8246" xr:uid="{00000000-0005-0000-0000-000033320000}"/>
    <cellStyle name="Финансовый 3 3 2 4 4 3 2 2" xfId="11337" xr:uid="{00000000-0005-0000-0000-000034320000}"/>
    <cellStyle name="Финансовый 3 3 2 4 4 3 2 2 2" xfId="28426" xr:uid="{6AB34D96-D296-45C1-B0A5-A36EBB2CAC4C}"/>
    <cellStyle name="Финансовый 3 3 2 4 4 3 2 3" xfId="14569" xr:uid="{00000000-0005-0000-0000-000035320000}"/>
    <cellStyle name="Финансовый 3 3 2 4 4 3 2 3 2" xfId="31582" xr:uid="{FDC914E4-A79E-4F7E-AAF1-475CA1F006DB}"/>
    <cellStyle name="Финансовый 3 3 2 4 4 3 2 4" xfId="17650" xr:uid="{00000000-0005-0000-0000-000036320000}"/>
    <cellStyle name="Финансовый 3 3 2 4 4 3 2 4 2" xfId="34663" xr:uid="{08E4B6D1-0378-4B03-9629-5ABC0B1A7600}"/>
    <cellStyle name="Финансовый 3 3 2 4 4 3 2 5" xfId="25353" xr:uid="{5C69CB79-96D7-4DFB-ACBE-E0A040B9A6C1}"/>
    <cellStyle name="Финансовый 3 3 2 4 4 3 3" xfId="11336" xr:uid="{00000000-0005-0000-0000-000037320000}"/>
    <cellStyle name="Финансовый 3 3 2 4 4 3 3 2" xfId="28425" xr:uid="{577D7511-4172-461A-8B2D-D0A2D71DA613}"/>
    <cellStyle name="Финансовый 3 3 2 4 4 3 4" xfId="14568" xr:uid="{00000000-0005-0000-0000-000038320000}"/>
    <cellStyle name="Финансовый 3 3 2 4 4 3 4 2" xfId="31581" xr:uid="{67DAFF1B-E3FB-4665-95A1-627A43E31358}"/>
    <cellStyle name="Финансовый 3 3 2 4 4 3 5" xfId="17649" xr:uid="{00000000-0005-0000-0000-000039320000}"/>
    <cellStyle name="Финансовый 3 3 2 4 4 3 5 2" xfId="34662" xr:uid="{3DD474B5-27BF-47C2-80C2-9C0785CDA6EB}"/>
    <cellStyle name="Финансовый 3 3 2 4 4 3 6" xfId="25352" xr:uid="{04E2D78F-C527-48ED-A00E-F72CA2101DC4}"/>
    <cellStyle name="Финансовый 3 3 2 4 4 4" xfId="8247" xr:uid="{00000000-0005-0000-0000-00003A320000}"/>
    <cellStyle name="Финансовый 3 3 2 4 4 4 2" xfId="11338" xr:uid="{00000000-0005-0000-0000-00003B320000}"/>
    <cellStyle name="Финансовый 3 3 2 4 4 4 2 2" xfId="28427" xr:uid="{63A597ED-0C46-449B-A5DB-29AB689DCB7B}"/>
    <cellStyle name="Финансовый 3 3 2 4 4 4 3" xfId="14570" xr:uid="{00000000-0005-0000-0000-00003C320000}"/>
    <cellStyle name="Финансовый 3 3 2 4 4 4 3 2" xfId="31583" xr:uid="{1B180CF2-2765-4CA6-87A3-3715CEEE1F82}"/>
    <cellStyle name="Финансовый 3 3 2 4 4 4 4" xfId="17651" xr:uid="{00000000-0005-0000-0000-00003D320000}"/>
    <cellStyle name="Финансовый 3 3 2 4 4 4 4 2" xfId="34664" xr:uid="{9004FAFC-D396-41A2-B11D-334181BEDB42}"/>
    <cellStyle name="Финансовый 3 3 2 4 4 4 5" xfId="25354" xr:uid="{7CF3FAE0-2785-4877-B5A8-90C1BACC2CF2}"/>
    <cellStyle name="Финансовый 3 3 2 4 4 5" xfId="11331" xr:uid="{00000000-0005-0000-0000-00003E320000}"/>
    <cellStyle name="Финансовый 3 3 2 4 4 5 2" xfId="28420" xr:uid="{0BD85E10-B667-430C-8C48-0492AE5CF2B5}"/>
    <cellStyle name="Финансовый 3 3 2 4 4 6" xfId="14563" xr:uid="{00000000-0005-0000-0000-00003F320000}"/>
    <cellStyle name="Финансовый 3 3 2 4 4 6 2" xfId="31576" xr:uid="{1297AB4D-CAF8-4789-A63F-C625BA58FEFB}"/>
    <cellStyle name="Финансовый 3 3 2 4 4 7" xfId="17644" xr:uid="{00000000-0005-0000-0000-000040320000}"/>
    <cellStyle name="Финансовый 3 3 2 4 4 7 2" xfId="34657" xr:uid="{DF9C6243-FAEF-4BB4-BD0F-DB71A9A3C69C}"/>
    <cellStyle name="Финансовый 3 3 2 4 4 8" xfId="25347" xr:uid="{1C9A8751-21B2-477B-BC71-5B0F588AF914}"/>
    <cellStyle name="Финансовый 3 3 2 4 5" xfId="8248" xr:uid="{00000000-0005-0000-0000-000041320000}"/>
    <cellStyle name="Финансовый 3 3 2 4 5 2" xfId="8249" xr:uid="{00000000-0005-0000-0000-000042320000}"/>
    <cellStyle name="Финансовый 3 3 2 4 5 2 2" xfId="8250" xr:uid="{00000000-0005-0000-0000-000043320000}"/>
    <cellStyle name="Финансовый 3 3 2 4 5 2 2 2" xfId="11341" xr:uid="{00000000-0005-0000-0000-000044320000}"/>
    <cellStyle name="Финансовый 3 3 2 4 5 2 2 2 2" xfId="28430" xr:uid="{4ECE4C08-16BF-458E-8C13-9ADC0A8521D3}"/>
    <cellStyle name="Финансовый 3 3 2 4 5 2 2 3" xfId="14573" xr:uid="{00000000-0005-0000-0000-000045320000}"/>
    <cellStyle name="Финансовый 3 3 2 4 5 2 2 3 2" xfId="31586" xr:uid="{8B6EC719-D149-4FA4-8036-1D4413CCEB9A}"/>
    <cellStyle name="Финансовый 3 3 2 4 5 2 2 4" xfId="17654" xr:uid="{00000000-0005-0000-0000-000046320000}"/>
    <cellStyle name="Финансовый 3 3 2 4 5 2 2 4 2" xfId="34667" xr:uid="{AF5C4489-5FD4-4AC2-8FF0-E2E313C70D3D}"/>
    <cellStyle name="Финансовый 3 3 2 4 5 2 2 5" xfId="25357" xr:uid="{3288918A-EEFC-43DA-8EC5-193FBADD81D6}"/>
    <cellStyle name="Финансовый 3 3 2 4 5 2 3" xfId="11340" xr:uid="{00000000-0005-0000-0000-000047320000}"/>
    <cellStyle name="Финансовый 3 3 2 4 5 2 3 2" xfId="28429" xr:uid="{FD99BBD8-B067-456C-B79E-D88793740CD5}"/>
    <cellStyle name="Финансовый 3 3 2 4 5 2 4" xfId="14572" xr:uid="{00000000-0005-0000-0000-000048320000}"/>
    <cellStyle name="Финансовый 3 3 2 4 5 2 4 2" xfId="31585" xr:uid="{326F2CEA-F6A4-456B-A087-38D6F7B6E74A}"/>
    <cellStyle name="Финансовый 3 3 2 4 5 2 5" xfId="17653" xr:uid="{00000000-0005-0000-0000-000049320000}"/>
    <cellStyle name="Финансовый 3 3 2 4 5 2 5 2" xfId="34666" xr:uid="{2660A9DA-79C9-4D21-A912-8141890802D8}"/>
    <cellStyle name="Финансовый 3 3 2 4 5 2 6" xfId="25356" xr:uid="{B1FB60DE-FDC9-40BE-8FFA-105A96A0018E}"/>
    <cellStyle name="Финансовый 3 3 2 4 5 3" xfId="8251" xr:uid="{00000000-0005-0000-0000-00004A320000}"/>
    <cellStyle name="Финансовый 3 3 2 4 5 3 2" xfId="11342" xr:uid="{00000000-0005-0000-0000-00004B320000}"/>
    <cellStyle name="Финансовый 3 3 2 4 5 3 2 2" xfId="28431" xr:uid="{E2E44715-314D-482F-8F8D-CC8E20304FF3}"/>
    <cellStyle name="Финансовый 3 3 2 4 5 3 3" xfId="14574" xr:uid="{00000000-0005-0000-0000-00004C320000}"/>
    <cellStyle name="Финансовый 3 3 2 4 5 3 3 2" xfId="31587" xr:uid="{565CD134-12B9-4739-8E25-F91A2784F9E3}"/>
    <cellStyle name="Финансовый 3 3 2 4 5 3 4" xfId="17655" xr:uid="{00000000-0005-0000-0000-00004D320000}"/>
    <cellStyle name="Финансовый 3 3 2 4 5 3 4 2" xfId="34668" xr:uid="{1DB3EBFD-652E-4EEE-92F1-31A60C94B577}"/>
    <cellStyle name="Финансовый 3 3 2 4 5 3 5" xfId="25358" xr:uid="{2998B23B-7BDB-42A1-AFD5-FB3BA9CF24F3}"/>
    <cellStyle name="Финансовый 3 3 2 4 5 4" xfId="11339" xr:uid="{00000000-0005-0000-0000-00004E320000}"/>
    <cellStyle name="Финансовый 3 3 2 4 5 4 2" xfId="28428" xr:uid="{F09BD67C-507F-4C14-85ED-ADC8DB0FFF0E}"/>
    <cellStyle name="Финансовый 3 3 2 4 5 5" xfId="14571" xr:uid="{00000000-0005-0000-0000-00004F320000}"/>
    <cellStyle name="Финансовый 3 3 2 4 5 5 2" xfId="31584" xr:uid="{BFC91993-3AD8-4C65-81D9-9D3BBF761A88}"/>
    <cellStyle name="Финансовый 3 3 2 4 5 6" xfId="17652" xr:uid="{00000000-0005-0000-0000-000050320000}"/>
    <cellStyle name="Финансовый 3 3 2 4 5 6 2" xfId="34665" xr:uid="{40BA0783-BE15-4DE2-B218-0550869AC779}"/>
    <cellStyle name="Финансовый 3 3 2 4 5 7" xfId="25355" xr:uid="{66ED4141-BAF6-4C9A-A75B-EA33EEE63B5B}"/>
    <cellStyle name="Финансовый 3 3 2 4 6" xfId="8252" xr:uid="{00000000-0005-0000-0000-000051320000}"/>
    <cellStyle name="Финансовый 3 3 2 4 6 2" xfId="8253" xr:uid="{00000000-0005-0000-0000-000052320000}"/>
    <cellStyle name="Финансовый 3 3 2 4 6 2 2" xfId="11344" xr:uid="{00000000-0005-0000-0000-000053320000}"/>
    <cellStyle name="Финансовый 3 3 2 4 6 2 2 2" xfId="28433" xr:uid="{0D7FA104-2B51-4148-838F-65EF1414BD43}"/>
    <cellStyle name="Финансовый 3 3 2 4 6 2 3" xfId="14576" xr:uid="{00000000-0005-0000-0000-000054320000}"/>
    <cellStyle name="Финансовый 3 3 2 4 6 2 3 2" xfId="31589" xr:uid="{A72DDD02-8F8A-4DD5-938B-3F54060BC260}"/>
    <cellStyle name="Финансовый 3 3 2 4 6 2 4" xfId="17657" xr:uid="{00000000-0005-0000-0000-000055320000}"/>
    <cellStyle name="Финансовый 3 3 2 4 6 2 4 2" xfId="34670" xr:uid="{14FD6A26-3F5F-4C09-B6AE-01F0CC9656D0}"/>
    <cellStyle name="Финансовый 3 3 2 4 6 2 5" xfId="25360" xr:uid="{DC497732-E147-436D-962C-72C3A6B94EBD}"/>
    <cellStyle name="Финансовый 3 3 2 4 6 3" xfId="11343" xr:uid="{00000000-0005-0000-0000-000056320000}"/>
    <cellStyle name="Финансовый 3 3 2 4 6 3 2" xfId="28432" xr:uid="{2006AD88-1206-4EB2-86D4-C5638353A26F}"/>
    <cellStyle name="Финансовый 3 3 2 4 6 4" xfId="14575" xr:uid="{00000000-0005-0000-0000-000057320000}"/>
    <cellStyle name="Финансовый 3 3 2 4 6 4 2" xfId="31588" xr:uid="{ADD3F7FE-EA6E-4AAB-A003-44D9F85AD30B}"/>
    <cellStyle name="Финансовый 3 3 2 4 6 5" xfId="17656" xr:uid="{00000000-0005-0000-0000-000058320000}"/>
    <cellStyle name="Финансовый 3 3 2 4 6 5 2" xfId="34669" xr:uid="{3FF56E3F-3386-47F4-9DA3-F8324B8453D6}"/>
    <cellStyle name="Финансовый 3 3 2 4 6 6" xfId="25359" xr:uid="{E340D55D-686A-4E22-BB85-040F53063FCF}"/>
    <cellStyle name="Финансовый 3 3 2 4 7" xfId="8254" xr:uid="{00000000-0005-0000-0000-000059320000}"/>
    <cellStyle name="Финансовый 3 3 2 4 7 2" xfId="11345" xr:uid="{00000000-0005-0000-0000-00005A320000}"/>
    <cellStyle name="Финансовый 3 3 2 4 7 2 2" xfId="28434" xr:uid="{A126EF9F-5CEF-4B1E-8EF3-DDF92B7A8BEB}"/>
    <cellStyle name="Финансовый 3 3 2 4 7 3" xfId="14577" xr:uid="{00000000-0005-0000-0000-00005B320000}"/>
    <cellStyle name="Финансовый 3 3 2 4 7 3 2" xfId="31590" xr:uid="{9CB2BE7A-69F6-465F-8F2B-D4110DF2ED8A}"/>
    <cellStyle name="Финансовый 3 3 2 4 7 4" xfId="17658" xr:uid="{00000000-0005-0000-0000-00005C320000}"/>
    <cellStyle name="Финансовый 3 3 2 4 7 4 2" xfId="34671" xr:uid="{99561B8D-7EC4-4BA9-8E7D-F2A83E58D9C7}"/>
    <cellStyle name="Финансовый 3 3 2 4 7 5" xfId="25361" xr:uid="{507214E5-0199-4926-90F7-BCF1A8BB7D5D}"/>
    <cellStyle name="Финансовый 3 3 2 4 8" xfId="11282" xr:uid="{00000000-0005-0000-0000-00005D320000}"/>
    <cellStyle name="Финансовый 3 3 2 4 8 2" xfId="28371" xr:uid="{38F79DCF-2FD7-438D-AA98-BB9864FEBA7F}"/>
    <cellStyle name="Финансовый 3 3 2 4 9" xfId="14514" xr:uid="{00000000-0005-0000-0000-00005E320000}"/>
    <cellStyle name="Финансовый 3 3 2 4 9 2" xfId="31527" xr:uid="{4DFEF06A-73D1-4D2A-9700-7B1950C9189A}"/>
    <cellStyle name="Финансовый 3 3 2 5" xfId="8255" xr:uid="{00000000-0005-0000-0000-00005F320000}"/>
    <cellStyle name="Финансовый 3 3 2 5 10" xfId="25362" xr:uid="{2B85DB93-0F50-43B2-A5D1-2E5B5E0B664D}"/>
    <cellStyle name="Финансовый 3 3 2 5 2" xfId="8256" xr:uid="{00000000-0005-0000-0000-000060320000}"/>
    <cellStyle name="Финансовый 3 3 2 5 2 2" xfId="8257" xr:uid="{00000000-0005-0000-0000-000061320000}"/>
    <cellStyle name="Финансовый 3 3 2 5 2 2 2" xfId="8258" xr:uid="{00000000-0005-0000-0000-000062320000}"/>
    <cellStyle name="Финансовый 3 3 2 5 2 2 2 2" xfId="8259" xr:uid="{00000000-0005-0000-0000-000063320000}"/>
    <cellStyle name="Финансовый 3 3 2 5 2 2 2 2 2" xfId="8260" xr:uid="{00000000-0005-0000-0000-000064320000}"/>
    <cellStyle name="Финансовый 3 3 2 5 2 2 2 2 2 2" xfId="11351" xr:uid="{00000000-0005-0000-0000-000065320000}"/>
    <cellStyle name="Финансовый 3 3 2 5 2 2 2 2 2 2 2" xfId="28440" xr:uid="{38DDE32D-059B-416F-89F9-BF817CC1E145}"/>
    <cellStyle name="Финансовый 3 3 2 5 2 2 2 2 2 3" xfId="14583" xr:uid="{00000000-0005-0000-0000-000066320000}"/>
    <cellStyle name="Финансовый 3 3 2 5 2 2 2 2 2 3 2" xfId="31596" xr:uid="{953A105D-EFF9-4A3A-8BBA-1A1E8957D2F3}"/>
    <cellStyle name="Финансовый 3 3 2 5 2 2 2 2 2 4" xfId="17664" xr:uid="{00000000-0005-0000-0000-000067320000}"/>
    <cellStyle name="Финансовый 3 3 2 5 2 2 2 2 2 4 2" xfId="34677" xr:uid="{1D0333F2-E2E6-4E5D-AB75-5B576F83FA78}"/>
    <cellStyle name="Финансовый 3 3 2 5 2 2 2 2 2 5" xfId="25367" xr:uid="{C5730C3F-69D4-45DE-9AA6-2D1E34992E5C}"/>
    <cellStyle name="Финансовый 3 3 2 5 2 2 2 2 3" xfId="11350" xr:uid="{00000000-0005-0000-0000-000068320000}"/>
    <cellStyle name="Финансовый 3 3 2 5 2 2 2 2 3 2" xfId="28439" xr:uid="{51A4ECEF-208D-4F6E-AFAF-91DDAB92EDA0}"/>
    <cellStyle name="Финансовый 3 3 2 5 2 2 2 2 4" xfId="14582" xr:uid="{00000000-0005-0000-0000-000069320000}"/>
    <cellStyle name="Финансовый 3 3 2 5 2 2 2 2 4 2" xfId="31595" xr:uid="{B250C437-A2A9-4AC1-A93B-A69FF7B84460}"/>
    <cellStyle name="Финансовый 3 3 2 5 2 2 2 2 5" xfId="17663" xr:uid="{00000000-0005-0000-0000-00006A320000}"/>
    <cellStyle name="Финансовый 3 3 2 5 2 2 2 2 5 2" xfId="34676" xr:uid="{30E5A716-14A6-4600-ABA1-67933B6B468D}"/>
    <cellStyle name="Финансовый 3 3 2 5 2 2 2 2 6" xfId="25366" xr:uid="{F3916822-2103-49CA-8053-4CAB2B893D81}"/>
    <cellStyle name="Финансовый 3 3 2 5 2 2 2 3" xfId="8261" xr:uid="{00000000-0005-0000-0000-00006B320000}"/>
    <cellStyle name="Финансовый 3 3 2 5 2 2 2 3 2" xfId="11352" xr:uid="{00000000-0005-0000-0000-00006C320000}"/>
    <cellStyle name="Финансовый 3 3 2 5 2 2 2 3 2 2" xfId="28441" xr:uid="{6D78408C-5515-47BB-89B0-F46BFBCB75E1}"/>
    <cellStyle name="Финансовый 3 3 2 5 2 2 2 3 3" xfId="14584" xr:uid="{00000000-0005-0000-0000-00006D320000}"/>
    <cellStyle name="Финансовый 3 3 2 5 2 2 2 3 3 2" xfId="31597" xr:uid="{BFDCDB1F-E44E-4A5F-BEDD-7E50A752C29C}"/>
    <cellStyle name="Финансовый 3 3 2 5 2 2 2 3 4" xfId="17665" xr:uid="{00000000-0005-0000-0000-00006E320000}"/>
    <cellStyle name="Финансовый 3 3 2 5 2 2 2 3 4 2" xfId="34678" xr:uid="{E8E90B6D-303E-41C2-9095-2F148580F435}"/>
    <cellStyle name="Финансовый 3 3 2 5 2 2 2 3 5" xfId="25368" xr:uid="{60E7F9DC-2BAD-4B99-965D-C3473673666E}"/>
    <cellStyle name="Финансовый 3 3 2 5 2 2 2 4" xfId="11349" xr:uid="{00000000-0005-0000-0000-00006F320000}"/>
    <cellStyle name="Финансовый 3 3 2 5 2 2 2 4 2" xfId="28438" xr:uid="{2DA89C05-9735-4F47-9799-826229BC4437}"/>
    <cellStyle name="Финансовый 3 3 2 5 2 2 2 5" xfId="14581" xr:uid="{00000000-0005-0000-0000-000070320000}"/>
    <cellStyle name="Финансовый 3 3 2 5 2 2 2 5 2" xfId="31594" xr:uid="{69E356B1-6158-4B12-A1AD-0FEFD4E9CD60}"/>
    <cellStyle name="Финансовый 3 3 2 5 2 2 2 6" xfId="17662" xr:uid="{00000000-0005-0000-0000-000071320000}"/>
    <cellStyle name="Финансовый 3 3 2 5 2 2 2 6 2" xfId="34675" xr:uid="{13D38BC8-A49C-4DBB-964A-0D4D81A2F4B1}"/>
    <cellStyle name="Финансовый 3 3 2 5 2 2 2 7" xfId="25365" xr:uid="{D5BEE8B0-3D47-4C95-B249-9A8B83C5F63A}"/>
    <cellStyle name="Финансовый 3 3 2 5 2 2 3" xfId="8262" xr:uid="{00000000-0005-0000-0000-000072320000}"/>
    <cellStyle name="Финансовый 3 3 2 5 2 2 3 2" xfId="8263" xr:uid="{00000000-0005-0000-0000-000073320000}"/>
    <cellStyle name="Финансовый 3 3 2 5 2 2 3 2 2" xfId="11354" xr:uid="{00000000-0005-0000-0000-000074320000}"/>
    <cellStyle name="Финансовый 3 3 2 5 2 2 3 2 2 2" xfId="28443" xr:uid="{D5780AFD-C385-4F69-85A2-741B36E6695F}"/>
    <cellStyle name="Финансовый 3 3 2 5 2 2 3 2 3" xfId="14586" xr:uid="{00000000-0005-0000-0000-000075320000}"/>
    <cellStyle name="Финансовый 3 3 2 5 2 2 3 2 3 2" xfId="31599" xr:uid="{0CC3369A-9AB0-4ACD-8EF0-C12B3701F00D}"/>
    <cellStyle name="Финансовый 3 3 2 5 2 2 3 2 4" xfId="17667" xr:uid="{00000000-0005-0000-0000-000076320000}"/>
    <cellStyle name="Финансовый 3 3 2 5 2 2 3 2 4 2" xfId="34680" xr:uid="{CC41B39D-23A1-40C1-838A-C35AEBDA1BD2}"/>
    <cellStyle name="Финансовый 3 3 2 5 2 2 3 2 5" xfId="25370" xr:uid="{4A64A947-7488-493D-9888-B19F92CB9AA3}"/>
    <cellStyle name="Финансовый 3 3 2 5 2 2 3 3" xfId="11353" xr:uid="{00000000-0005-0000-0000-000077320000}"/>
    <cellStyle name="Финансовый 3 3 2 5 2 2 3 3 2" xfId="28442" xr:uid="{47DB7498-A2F2-4F8F-85A8-4C1B85C63882}"/>
    <cellStyle name="Финансовый 3 3 2 5 2 2 3 4" xfId="14585" xr:uid="{00000000-0005-0000-0000-000078320000}"/>
    <cellStyle name="Финансовый 3 3 2 5 2 2 3 4 2" xfId="31598" xr:uid="{049A4A15-A8E8-42E6-B325-DD60AE53F094}"/>
    <cellStyle name="Финансовый 3 3 2 5 2 2 3 5" xfId="17666" xr:uid="{00000000-0005-0000-0000-000079320000}"/>
    <cellStyle name="Финансовый 3 3 2 5 2 2 3 5 2" xfId="34679" xr:uid="{FE82F92E-F6E3-4E79-B7EC-223A99A483C3}"/>
    <cellStyle name="Финансовый 3 3 2 5 2 2 3 6" xfId="25369" xr:uid="{96291108-FB76-4EEE-9CBA-48E44138F5D7}"/>
    <cellStyle name="Финансовый 3 3 2 5 2 2 4" xfId="8264" xr:uid="{00000000-0005-0000-0000-00007A320000}"/>
    <cellStyle name="Финансовый 3 3 2 5 2 2 4 2" xfId="11355" xr:uid="{00000000-0005-0000-0000-00007B320000}"/>
    <cellStyle name="Финансовый 3 3 2 5 2 2 4 2 2" xfId="28444" xr:uid="{65018041-CA29-476D-866F-2AE04162D66C}"/>
    <cellStyle name="Финансовый 3 3 2 5 2 2 4 3" xfId="14587" xr:uid="{00000000-0005-0000-0000-00007C320000}"/>
    <cellStyle name="Финансовый 3 3 2 5 2 2 4 3 2" xfId="31600" xr:uid="{2CAD3A79-576C-474F-85B8-8EA0CC256CFD}"/>
    <cellStyle name="Финансовый 3 3 2 5 2 2 4 4" xfId="17668" xr:uid="{00000000-0005-0000-0000-00007D320000}"/>
    <cellStyle name="Финансовый 3 3 2 5 2 2 4 4 2" xfId="34681" xr:uid="{6EF572F1-9920-4733-AF69-E22888A33ACA}"/>
    <cellStyle name="Финансовый 3 3 2 5 2 2 4 5" xfId="25371" xr:uid="{716D23A9-F113-4433-8519-69F2F936625D}"/>
    <cellStyle name="Финансовый 3 3 2 5 2 2 5" xfId="11348" xr:uid="{00000000-0005-0000-0000-00007E320000}"/>
    <cellStyle name="Финансовый 3 3 2 5 2 2 5 2" xfId="28437" xr:uid="{EBD62636-263A-4282-9C69-8CFBB715FA39}"/>
    <cellStyle name="Финансовый 3 3 2 5 2 2 6" xfId="14580" xr:uid="{00000000-0005-0000-0000-00007F320000}"/>
    <cellStyle name="Финансовый 3 3 2 5 2 2 6 2" xfId="31593" xr:uid="{4FF6B035-E712-48F1-8EAA-E002FD477D9B}"/>
    <cellStyle name="Финансовый 3 3 2 5 2 2 7" xfId="17661" xr:uid="{00000000-0005-0000-0000-000080320000}"/>
    <cellStyle name="Финансовый 3 3 2 5 2 2 7 2" xfId="34674" xr:uid="{BBB86D37-3037-4499-B43D-AE0F3C3E5632}"/>
    <cellStyle name="Финансовый 3 3 2 5 2 2 8" xfId="25364" xr:uid="{EF205098-4205-4D50-A5AD-2533E285FA6B}"/>
    <cellStyle name="Финансовый 3 3 2 5 2 3" xfId="8265" xr:uid="{00000000-0005-0000-0000-000081320000}"/>
    <cellStyle name="Финансовый 3 3 2 5 2 3 2" xfId="8266" xr:uid="{00000000-0005-0000-0000-000082320000}"/>
    <cellStyle name="Финансовый 3 3 2 5 2 3 2 2" xfId="8267" xr:uid="{00000000-0005-0000-0000-000083320000}"/>
    <cellStyle name="Финансовый 3 3 2 5 2 3 2 2 2" xfId="11358" xr:uid="{00000000-0005-0000-0000-000084320000}"/>
    <cellStyle name="Финансовый 3 3 2 5 2 3 2 2 2 2" xfId="28447" xr:uid="{0E6D3D18-B474-46E5-8E0C-F2442232B90C}"/>
    <cellStyle name="Финансовый 3 3 2 5 2 3 2 2 3" xfId="14590" xr:uid="{00000000-0005-0000-0000-000085320000}"/>
    <cellStyle name="Финансовый 3 3 2 5 2 3 2 2 3 2" xfId="31603" xr:uid="{FE6E6007-C405-4A40-859F-4D6919425389}"/>
    <cellStyle name="Финансовый 3 3 2 5 2 3 2 2 4" xfId="17671" xr:uid="{00000000-0005-0000-0000-000086320000}"/>
    <cellStyle name="Финансовый 3 3 2 5 2 3 2 2 4 2" xfId="34684" xr:uid="{FF0B42E2-5A31-4418-875C-7C687E5EA4D2}"/>
    <cellStyle name="Финансовый 3 3 2 5 2 3 2 2 5" xfId="25374" xr:uid="{694E10FA-6F19-4CCB-8ABC-E91910BCFA95}"/>
    <cellStyle name="Финансовый 3 3 2 5 2 3 2 3" xfId="11357" xr:uid="{00000000-0005-0000-0000-000087320000}"/>
    <cellStyle name="Финансовый 3 3 2 5 2 3 2 3 2" xfId="28446" xr:uid="{D02A43C2-35C1-4782-AF51-F42BEC74CA82}"/>
    <cellStyle name="Финансовый 3 3 2 5 2 3 2 4" xfId="14589" xr:uid="{00000000-0005-0000-0000-000088320000}"/>
    <cellStyle name="Финансовый 3 3 2 5 2 3 2 4 2" xfId="31602" xr:uid="{561601F6-C3E8-4630-BFC1-AF8C3163459A}"/>
    <cellStyle name="Финансовый 3 3 2 5 2 3 2 5" xfId="17670" xr:uid="{00000000-0005-0000-0000-000089320000}"/>
    <cellStyle name="Финансовый 3 3 2 5 2 3 2 5 2" xfId="34683" xr:uid="{7445B2D9-EF1B-4125-A559-BDD2506C3634}"/>
    <cellStyle name="Финансовый 3 3 2 5 2 3 2 6" xfId="25373" xr:uid="{B27AE3B2-5401-43AE-91C7-35EA34E78E8F}"/>
    <cellStyle name="Финансовый 3 3 2 5 2 3 3" xfId="8268" xr:uid="{00000000-0005-0000-0000-00008A320000}"/>
    <cellStyle name="Финансовый 3 3 2 5 2 3 3 2" xfId="11359" xr:uid="{00000000-0005-0000-0000-00008B320000}"/>
    <cellStyle name="Финансовый 3 3 2 5 2 3 3 2 2" xfId="28448" xr:uid="{31E2ACB9-C4B5-4733-A9D4-3E8436EAA926}"/>
    <cellStyle name="Финансовый 3 3 2 5 2 3 3 3" xfId="14591" xr:uid="{00000000-0005-0000-0000-00008C320000}"/>
    <cellStyle name="Финансовый 3 3 2 5 2 3 3 3 2" xfId="31604" xr:uid="{DB5D5D28-30F7-4CCE-B14F-9A050A0F961E}"/>
    <cellStyle name="Финансовый 3 3 2 5 2 3 3 4" xfId="17672" xr:uid="{00000000-0005-0000-0000-00008D320000}"/>
    <cellStyle name="Финансовый 3 3 2 5 2 3 3 4 2" xfId="34685" xr:uid="{3AE310D6-2911-4CDD-8157-577E4B949B8A}"/>
    <cellStyle name="Финансовый 3 3 2 5 2 3 3 5" xfId="25375" xr:uid="{A4AEB080-6AEE-43FC-BB7E-44A1BEFB1E15}"/>
    <cellStyle name="Финансовый 3 3 2 5 2 3 4" xfId="11356" xr:uid="{00000000-0005-0000-0000-00008E320000}"/>
    <cellStyle name="Финансовый 3 3 2 5 2 3 4 2" xfId="28445" xr:uid="{738A1D9F-F88E-4174-A5F4-9296AC7D54E4}"/>
    <cellStyle name="Финансовый 3 3 2 5 2 3 5" xfId="14588" xr:uid="{00000000-0005-0000-0000-00008F320000}"/>
    <cellStyle name="Финансовый 3 3 2 5 2 3 5 2" xfId="31601" xr:uid="{6354D92B-5499-4431-A78D-4FEA8E4E16E2}"/>
    <cellStyle name="Финансовый 3 3 2 5 2 3 6" xfId="17669" xr:uid="{00000000-0005-0000-0000-000090320000}"/>
    <cellStyle name="Финансовый 3 3 2 5 2 3 6 2" xfId="34682" xr:uid="{55DD3BCB-35C3-47D6-B5AA-DA2BAC928B2E}"/>
    <cellStyle name="Финансовый 3 3 2 5 2 3 7" xfId="25372" xr:uid="{22586C1A-4082-4557-B66F-76359F1FAC65}"/>
    <cellStyle name="Финансовый 3 3 2 5 2 4" xfId="8269" xr:uid="{00000000-0005-0000-0000-000091320000}"/>
    <cellStyle name="Финансовый 3 3 2 5 2 4 2" xfId="8270" xr:uid="{00000000-0005-0000-0000-000092320000}"/>
    <cellStyle name="Финансовый 3 3 2 5 2 4 2 2" xfId="11361" xr:uid="{00000000-0005-0000-0000-000093320000}"/>
    <cellStyle name="Финансовый 3 3 2 5 2 4 2 2 2" xfId="28450" xr:uid="{4928B179-F28F-48F5-AAA4-38F1DAF7EAC2}"/>
    <cellStyle name="Финансовый 3 3 2 5 2 4 2 3" xfId="14593" xr:uid="{00000000-0005-0000-0000-000094320000}"/>
    <cellStyle name="Финансовый 3 3 2 5 2 4 2 3 2" xfId="31606" xr:uid="{26A9C04E-663B-4AEA-9295-C9CAFC483E49}"/>
    <cellStyle name="Финансовый 3 3 2 5 2 4 2 4" xfId="17674" xr:uid="{00000000-0005-0000-0000-000095320000}"/>
    <cellStyle name="Финансовый 3 3 2 5 2 4 2 4 2" xfId="34687" xr:uid="{BF874F3A-DFCE-4A01-BF4A-717F45A9D2F8}"/>
    <cellStyle name="Финансовый 3 3 2 5 2 4 2 5" xfId="25377" xr:uid="{01B35C4D-31FA-4B07-A50B-2095F0E22F11}"/>
    <cellStyle name="Финансовый 3 3 2 5 2 4 3" xfId="11360" xr:uid="{00000000-0005-0000-0000-000096320000}"/>
    <cellStyle name="Финансовый 3 3 2 5 2 4 3 2" xfId="28449" xr:uid="{15E3F6C1-4F1D-4740-850A-238AB841D5EB}"/>
    <cellStyle name="Финансовый 3 3 2 5 2 4 4" xfId="14592" xr:uid="{00000000-0005-0000-0000-000097320000}"/>
    <cellStyle name="Финансовый 3 3 2 5 2 4 4 2" xfId="31605" xr:uid="{4F16EAEF-1D03-4110-8CF4-F121A497D273}"/>
    <cellStyle name="Финансовый 3 3 2 5 2 4 5" xfId="17673" xr:uid="{00000000-0005-0000-0000-000098320000}"/>
    <cellStyle name="Финансовый 3 3 2 5 2 4 5 2" xfId="34686" xr:uid="{CC509501-A760-4B83-A36E-F4B6441BEFDF}"/>
    <cellStyle name="Финансовый 3 3 2 5 2 4 6" xfId="25376" xr:uid="{C4FF518F-D762-4649-8E9C-F4C307F30034}"/>
    <cellStyle name="Финансовый 3 3 2 5 2 5" xfId="8271" xr:uid="{00000000-0005-0000-0000-000099320000}"/>
    <cellStyle name="Финансовый 3 3 2 5 2 5 2" xfId="11362" xr:uid="{00000000-0005-0000-0000-00009A320000}"/>
    <cellStyle name="Финансовый 3 3 2 5 2 5 2 2" xfId="28451" xr:uid="{ED02E584-C71B-4C99-BE6A-177B3EDFA485}"/>
    <cellStyle name="Финансовый 3 3 2 5 2 5 3" xfId="14594" xr:uid="{00000000-0005-0000-0000-00009B320000}"/>
    <cellStyle name="Финансовый 3 3 2 5 2 5 3 2" xfId="31607" xr:uid="{82CFD9FB-08C6-43F9-B17E-7740581BF5F5}"/>
    <cellStyle name="Финансовый 3 3 2 5 2 5 4" xfId="17675" xr:uid="{00000000-0005-0000-0000-00009C320000}"/>
    <cellStyle name="Финансовый 3 3 2 5 2 5 4 2" xfId="34688" xr:uid="{5FB5C397-6731-4A60-8D76-0061C951BBA5}"/>
    <cellStyle name="Финансовый 3 3 2 5 2 5 5" xfId="25378" xr:uid="{631A05E0-3E50-445A-89D8-418E7504B00C}"/>
    <cellStyle name="Финансовый 3 3 2 5 2 6" xfId="11347" xr:uid="{00000000-0005-0000-0000-00009D320000}"/>
    <cellStyle name="Финансовый 3 3 2 5 2 6 2" xfId="28436" xr:uid="{7ECF78D4-5551-459D-AAB1-11FFCD918E9B}"/>
    <cellStyle name="Финансовый 3 3 2 5 2 7" xfId="14579" xr:uid="{00000000-0005-0000-0000-00009E320000}"/>
    <cellStyle name="Финансовый 3 3 2 5 2 7 2" xfId="31592" xr:uid="{85C4AE2A-AB91-4140-841C-B6048AB40CC7}"/>
    <cellStyle name="Финансовый 3 3 2 5 2 8" xfId="17660" xr:uid="{00000000-0005-0000-0000-00009F320000}"/>
    <cellStyle name="Финансовый 3 3 2 5 2 8 2" xfId="34673" xr:uid="{6579348E-C92B-4AAC-8F95-D2BD831EA294}"/>
    <cellStyle name="Финансовый 3 3 2 5 2 9" xfId="25363" xr:uid="{40C67079-C143-43A2-9D86-4A0B1AB78D41}"/>
    <cellStyle name="Финансовый 3 3 2 5 3" xfId="8272" xr:uid="{00000000-0005-0000-0000-0000A0320000}"/>
    <cellStyle name="Финансовый 3 3 2 5 3 2" xfId="8273" xr:uid="{00000000-0005-0000-0000-0000A1320000}"/>
    <cellStyle name="Финансовый 3 3 2 5 3 2 2" xfId="8274" xr:uid="{00000000-0005-0000-0000-0000A2320000}"/>
    <cellStyle name="Финансовый 3 3 2 5 3 2 2 2" xfId="8275" xr:uid="{00000000-0005-0000-0000-0000A3320000}"/>
    <cellStyle name="Финансовый 3 3 2 5 3 2 2 2 2" xfId="11366" xr:uid="{00000000-0005-0000-0000-0000A4320000}"/>
    <cellStyle name="Финансовый 3 3 2 5 3 2 2 2 2 2" xfId="28455" xr:uid="{6906B610-5908-4F32-8C01-8C5A9A3480C4}"/>
    <cellStyle name="Финансовый 3 3 2 5 3 2 2 2 3" xfId="14598" xr:uid="{00000000-0005-0000-0000-0000A5320000}"/>
    <cellStyle name="Финансовый 3 3 2 5 3 2 2 2 3 2" xfId="31611" xr:uid="{82D8ED49-D9C6-4DA3-A4E8-455A6E5D8D11}"/>
    <cellStyle name="Финансовый 3 3 2 5 3 2 2 2 4" xfId="17679" xr:uid="{00000000-0005-0000-0000-0000A6320000}"/>
    <cellStyle name="Финансовый 3 3 2 5 3 2 2 2 4 2" xfId="34692" xr:uid="{B037309A-C9C6-4FFC-A503-3D0EFF53F3C3}"/>
    <cellStyle name="Финансовый 3 3 2 5 3 2 2 2 5" xfId="25382" xr:uid="{D54A2D28-1DF8-4EF5-9672-26D3DC0E9284}"/>
    <cellStyle name="Финансовый 3 3 2 5 3 2 2 3" xfId="11365" xr:uid="{00000000-0005-0000-0000-0000A7320000}"/>
    <cellStyle name="Финансовый 3 3 2 5 3 2 2 3 2" xfId="28454" xr:uid="{D5A68C42-302E-4317-A454-79082840EC5E}"/>
    <cellStyle name="Финансовый 3 3 2 5 3 2 2 4" xfId="14597" xr:uid="{00000000-0005-0000-0000-0000A8320000}"/>
    <cellStyle name="Финансовый 3 3 2 5 3 2 2 4 2" xfId="31610" xr:uid="{EA804381-0B4E-4281-8B47-E0C9C8771BE4}"/>
    <cellStyle name="Финансовый 3 3 2 5 3 2 2 5" xfId="17678" xr:uid="{00000000-0005-0000-0000-0000A9320000}"/>
    <cellStyle name="Финансовый 3 3 2 5 3 2 2 5 2" xfId="34691" xr:uid="{7583E59C-33FF-4624-8004-49C91A3E18F7}"/>
    <cellStyle name="Финансовый 3 3 2 5 3 2 2 6" xfId="25381" xr:uid="{E78FD6C2-015C-489F-BF29-72BA4979913F}"/>
    <cellStyle name="Финансовый 3 3 2 5 3 2 3" xfId="8276" xr:uid="{00000000-0005-0000-0000-0000AA320000}"/>
    <cellStyle name="Финансовый 3 3 2 5 3 2 3 2" xfId="11367" xr:uid="{00000000-0005-0000-0000-0000AB320000}"/>
    <cellStyle name="Финансовый 3 3 2 5 3 2 3 2 2" xfId="28456" xr:uid="{B80F54CB-E2FF-4457-9CE6-38E28146CE57}"/>
    <cellStyle name="Финансовый 3 3 2 5 3 2 3 3" xfId="14599" xr:uid="{00000000-0005-0000-0000-0000AC320000}"/>
    <cellStyle name="Финансовый 3 3 2 5 3 2 3 3 2" xfId="31612" xr:uid="{22A5842B-3DF8-48C4-9CDD-5AD17412C00D}"/>
    <cellStyle name="Финансовый 3 3 2 5 3 2 3 4" xfId="17680" xr:uid="{00000000-0005-0000-0000-0000AD320000}"/>
    <cellStyle name="Финансовый 3 3 2 5 3 2 3 4 2" xfId="34693" xr:uid="{84374983-2C4E-4D8C-9DC4-514131DFD0BD}"/>
    <cellStyle name="Финансовый 3 3 2 5 3 2 3 5" xfId="25383" xr:uid="{6C522494-D3EE-4B40-B8DD-A82E8F47B510}"/>
    <cellStyle name="Финансовый 3 3 2 5 3 2 4" xfId="11364" xr:uid="{00000000-0005-0000-0000-0000AE320000}"/>
    <cellStyle name="Финансовый 3 3 2 5 3 2 4 2" xfId="28453" xr:uid="{213D5CE7-1770-4EBB-877D-5FC92282C898}"/>
    <cellStyle name="Финансовый 3 3 2 5 3 2 5" xfId="14596" xr:uid="{00000000-0005-0000-0000-0000AF320000}"/>
    <cellStyle name="Финансовый 3 3 2 5 3 2 5 2" xfId="31609" xr:uid="{0FDAEA0B-7524-426D-B7F7-9C72AA39A23E}"/>
    <cellStyle name="Финансовый 3 3 2 5 3 2 6" xfId="17677" xr:uid="{00000000-0005-0000-0000-0000B0320000}"/>
    <cellStyle name="Финансовый 3 3 2 5 3 2 6 2" xfId="34690" xr:uid="{93900B7C-C8EB-4999-A3CD-8DB5969C7C01}"/>
    <cellStyle name="Финансовый 3 3 2 5 3 2 7" xfId="25380" xr:uid="{4667EB60-D514-472C-8E42-FBED17DA2730}"/>
    <cellStyle name="Финансовый 3 3 2 5 3 3" xfId="8277" xr:uid="{00000000-0005-0000-0000-0000B1320000}"/>
    <cellStyle name="Финансовый 3 3 2 5 3 3 2" xfId="8278" xr:uid="{00000000-0005-0000-0000-0000B2320000}"/>
    <cellStyle name="Финансовый 3 3 2 5 3 3 2 2" xfId="11369" xr:uid="{00000000-0005-0000-0000-0000B3320000}"/>
    <cellStyle name="Финансовый 3 3 2 5 3 3 2 2 2" xfId="28458" xr:uid="{9F44BA83-7608-4351-9DAB-548C2C3B7011}"/>
    <cellStyle name="Финансовый 3 3 2 5 3 3 2 3" xfId="14601" xr:uid="{00000000-0005-0000-0000-0000B4320000}"/>
    <cellStyle name="Финансовый 3 3 2 5 3 3 2 3 2" xfId="31614" xr:uid="{DB7EFA6A-5745-483D-BD53-FD592913D326}"/>
    <cellStyle name="Финансовый 3 3 2 5 3 3 2 4" xfId="17682" xr:uid="{00000000-0005-0000-0000-0000B5320000}"/>
    <cellStyle name="Финансовый 3 3 2 5 3 3 2 4 2" xfId="34695" xr:uid="{238F777B-7C59-4288-AE82-D855439E44CB}"/>
    <cellStyle name="Финансовый 3 3 2 5 3 3 2 5" xfId="25385" xr:uid="{C2AE09DD-5CE0-4E8E-9EC1-5482F4AED2BD}"/>
    <cellStyle name="Финансовый 3 3 2 5 3 3 3" xfId="11368" xr:uid="{00000000-0005-0000-0000-0000B6320000}"/>
    <cellStyle name="Финансовый 3 3 2 5 3 3 3 2" xfId="28457" xr:uid="{49906CE9-A57C-4B1B-A685-3AC0C3A46134}"/>
    <cellStyle name="Финансовый 3 3 2 5 3 3 4" xfId="14600" xr:uid="{00000000-0005-0000-0000-0000B7320000}"/>
    <cellStyle name="Финансовый 3 3 2 5 3 3 4 2" xfId="31613" xr:uid="{33377540-A749-44D3-BD92-28C4CCC89D59}"/>
    <cellStyle name="Финансовый 3 3 2 5 3 3 5" xfId="17681" xr:uid="{00000000-0005-0000-0000-0000B8320000}"/>
    <cellStyle name="Финансовый 3 3 2 5 3 3 5 2" xfId="34694" xr:uid="{2CB89097-1252-482C-816A-FDFCC5222AFB}"/>
    <cellStyle name="Финансовый 3 3 2 5 3 3 6" xfId="25384" xr:uid="{998C80EF-0999-43C6-8840-4FE26DABD066}"/>
    <cellStyle name="Финансовый 3 3 2 5 3 4" xfId="8279" xr:uid="{00000000-0005-0000-0000-0000B9320000}"/>
    <cellStyle name="Финансовый 3 3 2 5 3 4 2" xfId="11370" xr:uid="{00000000-0005-0000-0000-0000BA320000}"/>
    <cellStyle name="Финансовый 3 3 2 5 3 4 2 2" xfId="28459" xr:uid="{98FDC4DC-D3FE-446E-B431-63BB1790C444}"/>
    <cellStyle name="Финансовый 3 3 2 5 3 4 3" xfId="14602" xr:uid="{00000000-0005-0000-0000-0000BB320000}"/>
    <cellStyle name="Финансовый 3 3 2 5 3 4 3 2" xfId="31615" xr:uid="{5E56C571-1212-4D10-91B1-6C6E1368C8FF}"/>
    <cellStyle name="Финансовый 3 3 2 5 3 4 4" xfId="17683" xr:uid="{00000000-0005-0000-0000-0000BC320000}"/>
    <cellStyle name="Финансовый 3 3 2 5 3 4 4 2" xfId="34696" xr:uid="{26F124AB-DDAF-46E3-95E2-464B7574AFB5}"/>
    <cellStyle name="Финансовый 3 3 2 5 3 4 5" xfId="25386" xr:uid="{4EEB2484-DDBB-4A23-9EEC-14E0304F6C88}"/>
    <cellStyle name="Финансовый 3 3 2 5 3 5" xfId="11363" xr:uid="{00000000-0005-0000-0000-0000BD320000}"/>
    <cellStyle name="Финансовый 3 3 2 5 3 5 2" xfId="28452" xr:uid="{0C6C5A2F-42FC-4BED-9F12-FC2AD71F26EC}"/>
    <cellStyle name="Финансовый 3 3 2 5 3 6" xfId="14595" xr:uid="{00000000-0005-0000-0000-0000BE320000}"/>
    <cellStyle name="Финансовый 3 3 2 5 3 6 2" xfId="31608" xr:uid="{6491B48C-1B5F-401C-B4D3-89AB4E4975D9}"/>
    <cellStyle name="Финансовый 3 3 2 5 3 7" xfId="17676" xr:uid="{00000000-0005-0000-0000-0000BF320000}"/>
    <cellStyle name="Финансовый 3 3 2 5 3 7 2" xfId="34689" xr:uid="{64A8ACF3-C4C2-4681-A722-7436FE1B5419}"/>
    <cellStyle name="Финансовый 3 3 2 5 3 8" xfId="25379" xr:uid="{2FCD9E81-A99C-44BC-88CB-1CE9AE4CDA32}"/>
    <cellStyle name="Финансовый 3 3 2 5 4" xfId="8280" xr:uid="{00000000-0005-0000-0000-0000C0320000}"/>
    <cellStyle name="Финансовый 3 3 2 5 4 2" xfId="8281" xr:uid="{00000000-0005-0000-0000-0000C1320000}"/>
    <cellStyle name="Финансовый 3 3 2 5 4 2 2" xfId="8282" xr:uid="{00000000-0005-0000-0000-0000C2320000}"/>
    <cellStyle name="Финансовый 3 3 2 5 4 2 2 2" xfId="11373" xr:uid="{00000000-0005-0000-0000-0000C3320000}"/>
    <cellStyle name="Финансовый 3 3 2 5 4 2 2 2 2" xfId="28462" xr:uid="{9BC9B09B-F1C9-49F9-A808-BE0C5C80CED3}"/>
    <cellStyle name="Финансовый 3 3 2 5 4 2 2 3" xfId="14605" xr:uid="{00000000-0005-0000-0000-0000C4320000}"/>
    <cellStyle name="Финансовый 3 3 2 5 4 2 2 3 2" xfId="31618" xr:uid="{ED7EC0D3-70BB-43B1-A55B-061AF4A8B751}"/>
    <cellStyle name="Финансовый 3 3 2 5 4 2 2 4" xfId="17686" xr:uid="{00000000-0005-0000-0000-0000C5320000}"/>
    <cellStyle name="Финансовый 3 3 2 5 4 2 2 4 2" xfId="34699" xr:uid="{387050A5-4E28-40B6-AE37-29CD080633BD}"/>
    <cellStyle name="Финансовый 3 3 2 5 4 2 2 5" xfId="25389" xr:uid="{A82CDC03-4EEA-4372-8E5D-3106CACEC81B}"/>
    <cellStyle name="Финансовый 3 3 2 5 4 2 3" xfId="11372" xr:uid="{00000000-0005-0000-0000-0000C6320000}"/>
    <cellStyle name="Финансовый 3 3 2 5 4 2 3 2" xfId="28461" xr:uid="{084EDF54-2B50-481C-8B17-6642B4AEE72E}"/>
    <cellStyle name="Финансовый 3 3 2 5 4 2 4" xfId="14604" xr:uid="{00000000-0005-0000-0000-0000C7320000}"/>
    <cellStyle name="Финансовый 3 3 2 5 4 2 4 2" xfId="31617" xr:uid="{50C8C60A-3E00-4805-BD3D-FE966641F817}"/>
    <cellStyle name="Финансовый 3 3 2 5 4 2 5" xfId="17685" xr:uid="{00000000-0005-0000-0000-0000C8320000}"/>
    <cellStyle name="Финансовый 3 3 2 5 4 2 5 2" xfId="34698" xr:uid="{3EC2C1E0-528E-4FC2-8A25-74207E7F9142}"/>
    <cellStyle name="Финансовый 3 3 2 5 4 2 6" xfId="25388" xr:uid="{09D5601C-69F2-4B49-81C7-36D9006CBFCA}"/>
    <cellStyle name="Финансовый 3 3 2 5 4 3" xfId="8283" xr:uid="{00000000-0005-0000-0000-0000C9320000}"/>
    <cellStyle name="Финансовый 3 3 2 5 4 3 2" xfId="11374" xr:uid="{00000000-0005-0000-0000-0000CA320000}"/>
    <cellStyle name="Финансовый 3 3 2 5 4 3 2 2" xfId="28463" xr:uid="{FCB35A43-A088-4A7A-9A99-734CD1A3526C}"/>
    <cellStyle name="Финансовый 3 3 2 5 4 3 3" xfId="14606" xr:uid="{00000000-0005-0000-0000-0000CB320000}"/>
    <cellStyle name="Финансовый 3 3 2 5 4 3 3 2" xfId="31619" xr:uid="{393E750E-49C0-41FE-9685-240E47259DFC}"/>
    <cellStyle name="Финансовый 3 3 2 5 4 3 4" xfId="17687" xr:uid="{00000000-0005-0000-0000-0000CC320000}"/>
    <cellStyle name="Финансовый 3 3 2 5 4 3 4 2" xfId="34700" xr:uid="{2261ED3E-028D-4275-8BF7-4EC507973A70}"/>
    <cellStyle name="Финансовый 3 3 2 5 4 3 5" xfId="25390" xr:uid="{ACEAB4EC-810C-4CB8-B90A-5EC39A48CC37}"/>
    <cellStyle name="Финансовый 3 3 2 5 4 4" xfId="11371" xr:uid="{00000000-0005-0000-0000-0000CD320000}"/>
    <cellStyle name="Финансовый 3 3 2 5 4 4 2" xfId="28460" xr:uid="{B628F0B6-ABA5-4F2D-8AED-562B959DB12C}"/>
    <cellStyle name="Финансовый 3 3 2 5 4 5" xfId="14603" xr:uid="{00000000-0005-0000-0000-0000CE320000}"/>
    <cellStyle name="Финансовый 3 3 2 5 4 5 2" xfId="31616" xr:uid="{F3956937-B56D-477D-8547-4D2F88AC1FBB}"/>
    <cellStyle name="Финансовый 3 3 2 5 4 6" xfId="17684" xr:uid="{00000000-0005-0000-0000-0000CF320000}"/>
    <cellStyle name="Финансовый 3 3 2 5 4 6 2" xfId="34697" xr:uid="{3BAB4734-1563-4C18-9B1D-438DDADADBF4}"/>
    <cellStyle name="Финансовый 3 3 2 5 4 7" xfId="25387" xr:uid="{149D3415-67FA-4D39-93D1-369EAA27344B}"/>
    <cellStyle name="Финансовый 3 3 2 5 5" xfId="8284" xr:uid="{00000000-0005-0000-0000-0000D0320000}"/>
    <cellStyle name="Финансовый 3 3 2 5 5 2" xfId="8285" xr:uid="{00000000-0005-0000-0000-0000D1320000}"/>
    <cellStyle name="Финансовый 3 3 2 5 5 2 2" xfId="11376" xr:uid="{00000000-0005-0000-0000-0000D2320000}"/>
    <cellStyle name="Финансовый 3 3 2 5 5 2 2 2" xfId="28465" xr:uid="{D02C79FA-6F34-4D4A-AC6B-B32CF875EF87}"/>
    <cellStyle name="Финансовый 3 3 2 5 5 2 3" xfId="14608" xr:uid="{00000000-0005-0000-0000-0000D3320000}"/>
    <cellStyle name="Финансовый 3 3 2 5 5 2 3 2" xfId="31621" xr:uid="{654E8137-EF28-46A1-BAB1-B9645E476D28}"/>
    <cellStyle name="Финансовый 3 3 2 5 5 2 4" xfId="17689" xr:uid="{00000000-0005-0000-0000-0000D4320000}"/>
    <cellStyle name="Финансовый 3 3 2 5 5 2 4 2" xfId="34702" xr:uid="{A4F3C7AE-EC3F-4E11-BB17-5782823B3314}"/>
    <cellStyle name="Финансовый 3 3 2 5 5 2 5" xfId="25392" xr:uid="{B601E6B1-D63F-44FD-8F0C-0C54C5DAFDCE}"/>
    <cellStyle name="Финансовый 3 3 2 5 5 3" xfId="11375" xr:uid="{00000000-0005-0000-0000-0000D5320000}"/>
    <cellStyle name="Финансовый 3 3 2 5 5 3 2" xfId="28464" xr:uid="{9F079328-D6C6-4E7F-BBB7-7493840874FA}"/>
    <cellStyle name="Финансовый 3 3 2 5 5 4" xfId="14607" xr:uid="{00000000-0005-0000-0000-0000D6320000}"/>
    <cellStyle name="Финансовый 3 3 2 5 5 4 2" xfId="31620" xr:uid="{E7A0864C-CB82-4B6D-AB43-B6FAB244957E}"/>
    <cellStyle name="Финансовый 3 3 2 5 5 5" xfId="17688" xr:uid="{00000000-0005-0000-0000-0000D7320000}"/>
    <cellStyle name="Финансовый 3 3 2 5 5 5 2" xfId="34701" xr:uid="{A195EA44-49D5-46C6-B8A7-8DC607D37AA2}"/>
    <cellStyle name="Финансовый 3 3 2 5 5 6" xfId="25391" xr:uid="{A7EB25A4-0D69-451C-B118-AB70794E8C08}"/>
    <cellStyle name="Финансовый 3 3 2 5 6" xfId="8286" xr:uid="{00000000-0005-0000-0000-0000D8320000}"/>
    <cellStyle name="Финансовый 3 3 2 5 6 2" xfId="11377" xr:uid="{00000000-0005-0000-0000-0000D9320000}"/>
    <cellStyle name="Финансовый 3 3 2 5 6 2 2" xfId="28466" xr:uid="{1C77A680-28EF-49F6-9A23-8D1C6A0C5370}"/>
    <cellStyle name="Финансовый 3 3 2 5 6 3" xfId="14609" xr:uid="{00000000-0005-0000-0000-0000DA320000}"/>
    <cellStyle name="Финансовый 3 3 2 5 6 3 2" xfId="31622" xr:uid="{261AC903-E0AD-4462-861B-8F6958F7C445}"/>
    <cellStyle name="Финансовый 3 3 2 5 6 4" xfId="17690" xr:uid="{00000000-0005-0000-0000-0000DB320000}"/>
    <cellStyle name="Финансовый 3 3 2 5 6 4 2" xfId="34703" xr:uid="{56BE11BA-7A30-47E6-9B51-05399E3B74DD}"/>
    <cellStyle name="Финансовый 3 3 2 5 6 5" xfId="25393" xr:uid="{6949A0C7-00C8-4209-ACEA-9F1A96730488}"/>
    <cellStyle name="Финансовый 3 3 2 5 7" xfId="11346" xr:uid="{00000000-0005-0000-0000-0000DC320000}"/>
    <cellStyle name="Финансовый 3 3 2 5 7 2" xfId="28435" xr:uid="{A147260F-E099-4C04-8F75-8853B39BD8B1}"/>
    <cellStyle name="Финансовый 3 3 2 5 8" xfId="14578" xr:uid="{00000000-0005-0000-0000-0000DD320000}"/>
    <cellStyle name="Финансовый 3 3 2 5 8 2" xfId="31591" xr:uid="{9AD55A96-6200-4745-9586-72734F35F1E7}"/>
    <cellStyle name="Финансовый 3 3 2 5 9" xfId="17659" xr:uid="{00000000-0005-0000-0000-0000DE320000}"/>
    <cellStyle name="Финансовый 3 3 2 5 9 2" xfId="34672" xr:uid="{9368AA0A-D684-44F5-A65F-12B14F71074F}"/>
    <cellStyle name="Финансовый 3 3 2 6" xfId="8287" xr:uid="{00000000-0005-0000-0000-0000DF320000}"/>
    <cellStyle name="Финансовый 3 3 2 6 2" xfId="8288" xr:uid="{00000000-0005-0000-0000-0000E0320000}"/>
    <cellStyle name="Финансовый 3 3 2 6 2 2" xfId="8289" xr:uid="{00000000-0005-0000-0000-0000E1320000}"/>
    <cellStyle name="Финансовый 3 3 2 6 2 2 2" xfId="8290" xr:uid="{00000000-0005-0000-0000-0000E2320000}"/>
    <cellStyle name="Финансовый 3 3 2 6 2 2 2 2" xfId="8291" xr:uid="{00000000-0005-0000-0000-0000E3320000}"/>
    <cellStyle name="Финансовый 3 3 2 6 2 2 2 2 2" xfId="11382" xr:uid="{00000000-0005-0000-0000-0000E4320000}"/>
    <cellStyle name="Финансовый 3 3 2 6 2 2 2 2 2 2" xfId="28471" xr:uid="{BE7057AD-410C-4065-873B-71931C6E0D53}"/>
    <cellStyle name="Финансовый 3 3 2 6 2 2 2 2 3" xfId="14614" xr:uid="{00000000-0005-0000-0000-0000E5320000}"/>
    <cellStyle name="Финансовый 3 3 2 6 2 2 2 2 3 2" xfId="31627" xr:uid="{6E080986-7749-4C7B-A054-25677044E2DC}"/>
    <cellStyle name="Финансовый 3 3 2 6 2 2 2 2 4" xfId="17695" xr:uid="{00000000-0005-0000-0000-0000E6320000}"/>
    <cellStyle name="Финансовый 3 3 2 6 2 2 2 2 4 2" xfId="34708" xr:uid="{6E956A98-A49E-4479-8BFB-8D01282C7077}"/>
    <cellStyle name="Финансовый 3 3 2 6 2 2 2 2 5" xfId="25398" xr:uid="{17A9FFB3-5A30-4BB7-B597-7260671A59E5}"/>
    <cellStyle name="Финансовый 3 3 2 6 2 2 2 3" xfId="11381" xr:uid="{00000000-0005-0000-0000-0000E7320000}"/>
    <cellStyle name="Финансовый 3 3 2 6 2 2 2 3 2" xfId="28470" xr:uid="{4AD129F1-942E-4673-8763-3C99F5F5057C}"/>
    <cellStyle name="Финансовый 3 3 2 6 2 2 2 4" xfId="14613" xr:uid="{00000000-0005-0000-0000-0000E8320000}"/>
    <cellStyle name="Финансовый 3 3 2 6 2 2 2 4 2" xfId="31626" xr:uid="{7A79410F-32B7-467D-B35D-2D35E1FE337D}"/>
    <cellStyle name="Финансовый 3 3 2 6 2 2 2 5" xfId="17694" xr:uid="{00000000-0005-0000-0000-0000E9320000}"/>
    <cellStyle name="Финансовый 3 3 2 6 2 2 2 5 2" xfId="34707" xr:uid="{4C9AF4F8-BAD6-4C87-A231-197B2078439E}"/>
    <cellStyle name="Финансовый 3 3 2 6 2 2 2 6" xfId="25397" xr:uid="{FCD1F896-20EE-46E6-83EB-747A54B19812}"/>
    <cellStyle name="Финансовый 3 3 2 6 2 2 3" xfId="8292" xr:uid="{00000000-0005-0000-0000-0000EA320000}"/>
    <cellStyle name="Финансовый 3 3 2 6 2 2 3 2" xfId="11383" xr:uid="{00000000-0005-0000-0000-0000EB320000}"/>
    <cellStyle name="Финансовый 3 3 2 6 2 2 3 2 2" xfId="28472" xr:uid="{388F8AF1-96A9-46E2-BBF2-F46B2A930980}"/>
    <cellStyle name="Финансовый 3 3 2 6 2 2 3 3" xfId="14615" xr:uid="{00000000-0005-0000-0000-0000EC320000}"/>
    <cellStyle name="Финансовый 3 3 2 6 2 2 3 3 2" xfId="31628" xr:uid="{22D96102-5A22-4D7F-AC53-660B16EE7094}"/>
    <cellStyle name="Финансовый 3 3 2 6 2 2 3 4" xfId="17696" xr:uid="{00000000-0005-0000-0000-0000ED320000}"/>
    <cellStyle name="Финансовый 3 3 2 6 2 2 3 4 2" xfId="34709" xr:uid="{11F37839-40E7-4FDA-88CA-7B3C01F8F388}"/>
    <cellStyle name="Финансовый 3 3 2 6 2 2 3 5" xfId="25399" xr:uid="{69634CEB-8FBA-4CDF-8372-BF872E2C66C3}"/>
    <cellStyle name="Финансовый 3 3 2 6 2 2 4" xfId="11380" xr:uid="{00000000-0005-0000-0000-0000EE320000}"/>
    <cellStyle name="Финансовый 3 3 2 6 2 2 4 2" xfId="28469" xr:uid="{5CEE5530-9A5F-49B0-A814-9BAC5199708F}"/>
    <cellStyle name="Финансовый 3 3 2 6 2 2 5" xfId="14612" xr:uid="{00000000-0005-0000-0000-0000EF320000}"/>
    <cellStyle name="Финансовый 3 3 2 6 2 2 5 2" xfId="31625" xr:uid="{19EF2824-2CA6-454F-B7C7-DADCB03A177D}"/>
    <cellStyle name="Финансовый 3 3 2 6 2 2 6" xfId="17693" xr:uid="{00000000-0005-0000-0000-0000F0320000}"/>
    <cellStyle name="Финансовый 3 3 2 6 2 2 6 2" xfId="34706" xr:uid="{9FE4E4D6-C1BE-4B58-9CCC-C032289B4459}"/>
    <cellStyle name="Финансовый 3 3 2 6 2 2 7" xfId="25396" xr:uid="{DBDF5B83-1A8C-4EAB-AB2D-F2F9BF549174}"/>
    <cellStyle name="Финансовый 3 3 2 6 2 3" xfId="8293" xr:uid="{00000000-0005-0000-0000-0000F1320000}"/>
    <cellStyle name="Финансовый 3 3 2 6 2 3 2" xfId="8294" xr:uid="{00000000-0005-0000-0000-0000F2320000}"/>
    <cellStyle name="Финансовый 3 3 2 6 2 3 2 2" xfId="11385" xr:uid="{00000000-0005-0000-0000-0000F3320000}"/>
    <cellStyle name="Финансовый 3 3 2 6 2 3 2 2 2" xfId="28474" xr:uid="{F86B274C-2FF0-4883-A9D2-83E6FA399D23}"/>
    <cellStyle name="Финансовый 3 3 2 6 2 3 2 3" xfId="14617" xr:uid="{00000000-0005-0000-0000-0000F4320000}"/>
    <cellStyle name="Финансовый 3 3 2 6 2 3 2 3 2" xfId="31630" xr:uid="{ADE81728-E029-4086-9FE6-A85E304AD3F6}"/>
    <cellStyle name="Финансовый 3 3 2 6 2 3 2 4" xfId="17698" xr:uid="{00000000-0005-0000-0000-0000F5320000}"/>
    <cellStyle name="Финансовый 3 3 2 6 2 3 2 4 2" xfId="34711" xr:uid="{3B190F0A-ACB4-4E52-9E93-C193DCEF72A3}"/>
    <cellStyle name="Финансовый 3 3 2 6 2 3 2 5" xfId="25401" xr:uid="{81F46228-2C80-444E-8CFE-3053FB50DFCF}"/>
    <cellStyle name="Финансовый 3 3 2 6 2 3 3" xfId="11384" xr:uid="{00000000-0005-0000-0000-0000F6320000}"/>
    <cellStyle name="Финансовый 3 3 2 6 2 3 3 2" xfId="28473" xr:uid="{89A8ED80-5623-47DF-840F-1290DEC9822D}"/>
    <cellStyle name="Финансовый 3 3 2 6 2 3 4" xfId="14616" xr:uid="{00000000-0005-0000-0000-0000F7320000}"/>
    <cellStyle name="Финансовый 3 3 2 6 2 3 4 2" xfId="31629" xr:uid="{D98562E0-4124-4F46-8200-D7A5EDBADD80}"/>
    <cellStyle name="Финансовый 3 3 2 6 2 3 5" xfId="17697" xr:uid="{00000000-0005-0000-0000-0000F8320000}"/>
    <cellStyle name="Финансовый 3 3 2 6 2 3 5 2" xfId="34710" xr:uid="{4F724381-6DB0-409D-B1C3-72399141F9A2}"/>
    <cellStyle name="Финансовый 3 3 2 6 2 3 6" xfId="25400" xr:uid="{255314ED-BB17-45EB-89F8-8C5B7B31C8DC}"/>
    <cellStyle name="Финансовый 3 3 2 6 2 4" xfId="8295" xr:uid="{00000000-0005-0000-0000-0000F9320000}"/>
    <cellStyle name="Финансовый 3 3 2 6 2 4 2" xfId="11386" xr:uid="{00000000-0005-0000-0000-0000FA320000}"/>
    <cellStyle name="Финансовый 3 3 2 6 2 4 2 2" xfId="28475" xr:uid="{B7E75AA7-2706-4C89-8C2B-180A41F116C6}"/>
    <cellStyle name="Финансовый 3 3 2 6 2 4 3" xfId="14618" xr:uid="{00000000-0005-0000-0000-0000FB320000}"/>
    <cellStyle name="Финансовый 3 3 2 6 2 4 3 2" xfId="31631" xr:uid="{A8C6FE78-D945-468F-8F91-FF429B7DA663}"/>
    <cellStyle name="Финансовый 3 3 2 6 2 4 4" xfId="17699" xr:uid="{00000000-0005-0000-0000-0000FC320000}"/>
    <cellStyle name="Финансовый 3 3 2 6 2 4 4 2" xfId="34712" xr:uid="{DB428C93-2783-4508-97EE-252CEB79BD48}"/>
    <cellStyle name="Финансовый 3 3 2 6 2 4 5" xfId="25402" xr:uid="{B39D37B8-F119-4894-87FD-91A6A4965171}"/>
    <cellStyle name="Финансовый 3 3 2 6 2 5" xfId="11379" xr:uid="{00000000-0005-0000-0000-0000FD320000}"/>
    <cellStyle name="Финансовый 3 3 2 6 2 5 2" xfId="28468" xr:uid="{432E08F5-919A-47C0-AF16-22082748EC1E}"/>
    <cellStyle name="Финансовый 3 3 2 6 2 6" xfId="14611" xr:uid="{00000000-0005-0000-0000-0000FE320000}"/>
    <cellStyle name="Финансовый 3 3 2 6 2 6 2" xfId="31624" xr:uid="{554CF52A-CA64-4EB4-A900-B196BF0C54D4}"/>
    <cellStyle name="Финансовый 3 3 2 6 2 7" xfId="17692" xr:uid="{00000000-0005-0000-0000-0000FF320000}"/>
    <cellStyle name="Финансовый 3 3 2 6 2 7 2" xfId="34705" xr:uid="{C983EA92-94DF-4D52-AE1C-4A3BE3176B81}"/>
    <cellStyle name="Финансовый 3 3 2 6 2 8" xfId="25395" xr:uid="{F14BDECA-5A11-45D8-A8E1-088831598946}"/>
    <cellStyle name="Финансовый 3 3 2 6 3" xfId="8296" xr:uid="{00000000-0005-0000-0000-000000330000}"/>
    <cellStyle name="Финансовый 3 3 2 6 3 2" xfId="8297" xr:uid="{00000000-0005-0000-0000-000001330000}"/>
    <cellStyle name="Финансовый 3 3 2 6 3 2 2" xfId="8298" xr:uid="{00000000-0005-0000-0000-000002330000}"/>
    <cellStyle name="Финансовый 3 3 2 6 3 2 2 2" xfId="11389" xr:uid="{00000000-0005-0000-0000-000003330000}"/>
    <cellStyle name="Финансовый 3 3 2 6 3 2 2 2 2" xfId="28478" xr:uid="{AB5E643D-C81F-472E-A4A6-588785DCCA25}"/>
    <cellStyle name="Финансовый 3 3 2 6 3 2 2 3" xfId="14621" xr:uid="{00000000-0005-0000-0000-000004330000}"/>
    <cellStyle name="Финансовый 3 3 2 6 3 2 2 3 2" xfId="31634" xr:uid="{09A8A3CC-F817-4243-86FC-42FD143E2A83}"/>
    <cellStyle name="Финансовый 3 3 2 6 3 2 2 4" xfId="17702" xr:uid="{00000000-0005-0000-0000-000005330000}"/>
    <cellStyle name="Финансовый 3 3 2 6 3 2 2 4 2" xfId="34715" xr:uid="{85881168-F3B8-4626-9E43-54A565894095}"/>
    <cellStyle name="Финансовый 3 3 2 6 3 2 2 5" xfId="25405" xr:uid="{9181448F-4B27-4267-A07F-E8F3A021FD0B}"/>
    <cellStyle name="Финансовый 3 3 2 6 3 2 3" xfId="11388" xr:uid="{00000000-0005-0000-0000-000006330000}"/>
    <cellStyle name="Финансовый 3 3 2 6 3 2 3 2" xfId="28477" xr:uid="{8C94A218-B8CA-47A5-9F9A-E945261A72FD}"/>
    <cellStyle name="Финансовый 3 3 2 6 3 2 4" xfId="14620" xr:uid="{00000000-0005-0000-0000-000007330000}"/>
    <cellStyle name="Финансовый 3 3 2 6 3 2 4 2" xfId="31633" xr:uid="{28C2FEE9-421A-44A4-9182-2DDC7C2806A5}"/>
    <cellStyle name="Финансовый 3 3 2 6 3 2 5" xfId="17701" xr:uid="{00000000-0005-0000-0000-000008330000}"/>
    <cellStyle name="Финансовый 3 3 2 6 3 2 5 2" xfId="34714" xr:uid="{0CD1EE31-B16E-4EC7-BC7A-605A0A6E80CE}"/>
    <cellStyle name="Финансовый 3 3 2 6 3 2 6" xfId="25404" xr:uid="{8ED5CAFB-FF0B-4B57-BEF8-D52FA19A8108}"/>
    <cellStyle name="Финансовый 3 3 2 6 3 3" xfId="8299" xr:uid="{00000000-0005-0000-0000-000009330000}"/>
    <cellStyle name="Финансовый 3 3 2 6 3 3 2" xfId="11390" xr:uid="{00000000-0005-0000-0000-00000A330000}"/>
    <cellStyle name="Финансовый 3 3 2 6 3 3 2 2" xfId="28479" xr:uid="{A8B7995D-C293-4E89-BF0F-E6F2E24C4209}"/>
    <cellStyle name="Финансовый 3 3 2 6 3 3 3" xfId="14622" xr:uid="{00000000-0005-0000-0000-00000B330000}"/>
    <cellStyle name="Финансовый 3 3 2 6 3 3 3 2" xfId="31635" xr:uid="{A24CBCA7-499D-4EE9-8E9E-70349B453C25}"/>
    <cellStyle name="Финансовый 3 3 2 6 3 3 4" xfId="17703" xr:uid="{00000000-0005-0000-0000-00000C330000}"/>
    <cellStyle name="Финансовый 3 3 2 6 3 3 4 2" xfId="34716" xr:uid="{9293D16C-6FB2-4DF4-A778-803005E39AC1}"/>
    <cellStyle name="Финансовый 3 3 2 6 3 3 5" xfId="25406" xr:uid="{C8473384-95B2-4803-B9D1-66D8294F658C}"/>
    <cellStyle name="Финансовый 3 3 2 6 3 4" xfId="11387" xr:uid="{00000000-0005-0000-0000-00000D330000}"/>
    <cellStyle name="Финансовый 3 3 2 6 3 4 2" xfId="28476" xr:uid="{616BFAD7-08A3-4EE4-B427-1D1810DF433E}"/>
    <cellStyle name="Финансовый 3 3 2 6 3 5" xfId="14619" xr:uid="{00000000-0005-0000-0000-00000E330000}"/>
    <cellStyle name="Финансовый 3 3 2 6 3 5 2" xfId="31632" xr:uid="{151F8437-BAB7-4497-9447-8A1E6445CBD7}"/>
    <cellStyle name="Финансовый 3 3 2 6 3 6" xfId="17700" xr:uid="{00000000-0005-0000-0000-00000F330000}"/>
    <cellStyle name="Финансовый 3 3 2 6 3 6 2" xfId="34713" xr:uid="{6AE318EF-1621-4800-8BE0-58DB2E0E78FB}"/>
    <cellStyle name="Финансовый 3 3 2 6 3 7" xfId="25403" xr:uid="{B848550A-EE7F-4440-B9C2-D032BF6B664A}"/>
    <cellStyle name="Финансовый 3 3 2 6 4" xfId="8300" xr:uid="{00000000-0005-0000-0000-000010330000}"/>
    <cellStyle name="Финансовый 3 3 2 6 4 2" xfId="8301" xr:uid="{00000000-0005-0000-0000-000011330000}"/>
    <cellStyle name="Финансовый 3 3 2 6 4 2 2" xfId="11392" xr:uid="{00000000-0005-0000-0000-000012330000}"/>
    <cellStyle name="Финансовый 3 3 2 6 4 2 2 2" xfId="28481" xr:uid="{C2781CD7-52DE-41BD-9B11-94B59C04D082}"/>
    <cellStyle name="Финансовый 3 3 2 6 4 2 3" xfId="14624" xr:uid="{00000000-0005-0000-0000-000013330000}"/>
    <cellStyle name="Финансовый 3 3 2 6 4 2 3 2" xfId="31637" xr:uid="{64CF622C-479C-4892-AF29-2A18E5F99AA0}"/>
    <cellStyle name="Финансовый 3 3 2 6 4 2 4" xfId="17705" xr:uid="{00000000-0005-0000-0000-000014330000}"/>
    <cellStyle name="Финансовый 3 3 2 6 4 2 4 2" xfId="34718" xr:uid="{A5CCD361-94BD-4F4C-9317-E0F8363345D8}"/>
    <cellStyle name="Финансовый 3 3 2 6 4 2 5" xfId="25408" xr:uid="{E0EE59CA-3A90-4547-B8CB-F98FB76F24AB}"/>
    <cellStyle name="Финансовый 3 3 2 6 4 3" xfId="11391" xr:uid="{00000000-0005-0000-0000-000015330000}"/>
    <cellStyle name="Финансовый 3 3 2 6 4 3 2" xfId="28480" xr:uid="{B7D876FE-9FE5-4458-942F-30780C6155CD}"/>
    <cellStyle name="Финансовый 3 3 2 6 4 4" xfId="14623" xr:uid="{00000000-0005-0000-0000-000016330000}"/>
    <cellStyle name="Финансовый 3 3 2 6 4 4 2" xfId="31636" xr:uid="{578B45C5-1693-4ED1-9F91-0859002B98C5}"/>
    <cellStyle name="Финансовый 3 3 2 6 4 5" xfId="17704" xr:uid="{00000000-0005-0000-0000-000017330000}"/>
    <cellStyle name="Финансовый 3 3 2 6 4 5 2" xfId="34717" xr:uid="{43A0EC12-B2AF-4885-844F-A1B401941876}"/>
    <cellStyle name="Финансовый 3 3 2 6 4 6" xfId="25407" xr:uid="{8B21361E-37FA-421F-8F41-22077489D9E3}"/>
    <cellStyle name="Финансовый 3 3 2 6 5" xfId="8302" xr:uid="{00000000-0005-0000-0000-000018330000}"/>
    <cellStyle name="Финансовый 3 3 2 6 5 2" xfId="11393" xr:uid="{00000000-0005-0000-0000-000019330000}"/>
    <cellStyle name="Финансовый 3 3 2 6 5 2 2" xfId="28482" xr:uid="{CA5BE188-5292-41AE-9020-C2698EEE3F2C}"/>
    <cellStyle name="Финансовый 3 3 2 6 5 3" xfId="14625" xr:uid="{00000000-0005-0000-0000-00001A330000}"/>
    <cellStyle name="Финансовый 3 3 2 6 5 3 2" xfId="31638" xr:uid="{DD9873D2-7711-4E0E-A786-619475A32B2A}"/>
    <cellStyle name="Финансовый 3 3 2 6 5 4" xfId="17706" xr:uid="{00000000-0005-0000-0000-00001B330000}"/>
    <cellStyle name="Финансовый 3 3 2 6 5 4 2" xfId="34719" xr:uid="{1B671B31-6118-43CA-A38C-569A3D73309C}"/>
    <cellStyle name="Финансовый 3 3 2 6 5 5" xfId="25409" xr:uid="{DD865BE2-779B-491C-8DC6-F829CD51F361}"/>
    <cellStyle name="Финансовый 3 3 2 6 6" xfId="11378" xr:uid="{00000000-0005-0000-0000-00001C330000}"/>
    <cellStyle name="Финансовый 3 3 2 6 6 2" xfId="28467" xr:uid="{FF8294E3-8362-4AF9-9688-77E7428FF9A4}"/>
    <cellStyle name="Финансовый 3 3 2 6 7" xfId="14610" xr:uid="{00000000-0005-0000-0000-00001D330000}"/>
    <cellStyle name="Финансовый 3 3 2 6 7 2" xfId="31623" xr:uid="{69D7B758-29D1-48F8-82B8-B0846D912948}"/>
    <cellStyle name="Финансовый 3 3 2 6 8" xfId="17691" xr:uid="{00000000-0005-0000-0000-00001E330000}"/>
    <cellStyle name="Финансовый 3 3 2 6 8 2" xfId="34704" xr:uid="{3FA5EC9B-A4E0-4966-BBB7-1BDB42A268A4}"/>
    <cellStyle name="Финансовый 3 3 2 6 9" xfId="25394" xr:uid="{61AC1634-CDFE-4808-9B6E-1AD22D420F70}"/>
    <cellStyle name="Финансовый 3 3 2 7" xfId="8303" xr:uid="{00000000-0005-0000-0000-00001F330000}"/>
    <cellStyle name="Финансовый 3 3 2 7 2" xfId="8304" xr:uid="{00000000-0005-0000-0000-000020330000}"/>
    <cellStyle name="Финансовый 3 3 2 7 2 2" xfId="8305" xr:uid="{00000000-0005-0000-0000-000021330000}"/>
    <cellStyle name="Финансовый 3 3 2 7 2 2 2" xfId="8306" xr:uid="{00000000-0005-0000-0000-000022330000}"/>
    <cellStyle name="Финансовый 3 3 2 7 2 2 2 2" xfId="11397" xr:uid="{00000000-0005-0000-0000-000023330000}"/>
    <cellStyle name="Финансовый 3 3 2 7 2 2 2 2 2" xfId="28486" xr:uid="{6A74C7C0-7A96-4309-A421-6A590480C6B1}"/>
    <cellStyle name="Финансовый 3 3 2 7 2 2 2 3" xfId="14629" xr:uid="{00000000-0005-0000-0000-000024330000}"/>
    <cellStyle name="Финансовый 3 3 2 7 2 2 2 3 2" xfId="31642" xr:uid="{8AADACE4-6F47-4230-9433-059256AB6567}"/>
    <cellStyle name="Финансовый 3 3 2 7 2 2 2 4" xfId="17710" xr:uid="{00000000-0005-0000-0000-000025330000}"/>
    <cellStyle name="Финансовый 3 3 2 7 2 2 2 4 2" xfId="34723" xr:uid="{ACEF6529-5364-4DF9-8F41-846D1DDE5190}"/>
    <cellStyle name="Финансовый 3 3 2 7 2 2 2 5" xfId="25413" xr:uid="{5C8EBC6A-F461-4678-97E5-6D52951F05A4}"/>
    <cellStyle name="Финансовый 3 3 2 7 2 2 3" xfId="11396" xr:uid="{00000000-0005-0000-0000-000026330000}"/>
    <cellStyle name="Финансовый 3 3 2 7 2 2 3 2" xfId="28485" xr:uid="{3B73A93D-8C46-46FD-A680-19DF373B34D5}"/>
    <cellStyle name="Финансовый 3 3 2 7 2 2 4" xfId="14628" xr:uid="{00000000-0005-0000-0000-000027330000}"/>
    <cellStyle name="Финансовый 3 3 2 7 2 2 4 2" xfId="31641" xr:uid="{C8546D7E-A7A1-4D0A-94DE-F69E64FF00F0}"/>
    <cellStyle name="Финансовый 3 3 2 7 2 2 5" xfId="17709" xr:uid="{00000000-0005-0000-0000-000028330000}"/>
    <cellStyle name="Финансовый 3 3 2 7 2 2 5 2" xfId="34722" xr:uid="{DEB56F1E-F338-4FE4-9038-04C28FCDD38A}"/>
    <cellStyle name="Финансовый 3 3 2 7 2 2 6" xfId="25412" xr:uid="{B99420FB-79CF-4502-B161-CD99BC137D40}"/>
    <cellStyle name="Финансовый 3 3 2 7 2 3" xfId="8307" xr:uid="{00000000-0005-0000-0000-000029330000}"/>
    <cellStyle name="Финансовый 3 3 2 7 2 3 2" xfId="11398" xr:uid="{00000000-0005-0000-0000-00002A330000}"/>
    <cellStyle name="Финансовый 3 3 2 7 2 3 2 2" xfId="28487" xr:uid="{CCE68025-F830-42E9-A9CB-ED0049005810}"/>
    <cellStyle name="Финансовый 3 3 2 7 2 3 3" xfId="14630" xr:uid="{00000000-0005-0000-0000-00002B330000}"/>
    <cellStyle name="Финансовый 3 3 2 7 2 3 3 2" xfId="31643" xr:uid="{8F42EC32-9E7D-4949-B58F-95B22E984FB5}"/>
    <cellStyle name="Финансовый 3 3 2 7 2 3 4" xfId="17711" xr:uid="{00000000-0005-0000-0000-00002C330000}"/>
    <cellStyle name="Финансовый 3 3 2 7 2 3 4 2" xfId="34724" xr:uid="{9F0CE954-D3FD-4289-BFEC-2D5817273E53}"/>
    <cellStyle name="Финансовый 3 3 2 7 2 3 5" xfId="25414" xr:uid="{420DC208-F505-422F-96C8-734B4921767C}"/>
    <cellStyle name="Финансовый 3 3 2 7 2 4" xfId="11395" xr:uid="{00000000-0005-0000-0000-00002D330000}"/>
    <cellStyle name="Финансовый 3 3 2 7 2 4 2" xfId="28484" xr:uid="{2B0DADB0-6024-4C03-8FDE-BB6A47EEB79C}"/>
    <cellStyle name="Финансовый 3 3 2 7 2 5" xfId="14627" xr:uid="{00000000-0005-0000-0000-00002E330000}"/>
    <cellStyle name="Финансовый 3 3 2 7 2 5 2" xfId="31640" xr:uid="{09754587-1EC2-435B-BFDD-F8879EE3F9BD}"/>
    <cellStyle name="Финансовый 3 3 2 7 2 6" xfId="17708" xr:uid="{00000000-0005-0000-0000-00002F330000}"/>
    <cellStyle name="Финансовый 3 3 2 7 2 6 2" xfId="34721" xr:uid="{853AE2C6-F26C-41A9-85DB-8FC7274764FE}"/>
    <cellStyle name="Финансовый 3 3 2 7 2 7" xfId="25411" xr:uid="{C3A91529-7B50-4A04-BB0E-F00E93B85F0C}"/>
    <cellStyle name="Финансовый 3 3 2 7 3" xfId="8308" xr:uid="{00000000-0005-0000-0000-000030330000}"/>
    <cellStyle name="Финансовый 3 3 2 7 3 2" xfId="8309" xr:uid="{00000000-0005-0000-0000-000031330000}"/>
    <cellStyle name="Финансовый 3 3 2 7 3 2 2" xfId="11400" xr:uid="{00000000-0005-0000-0000-000032330000}"/>
    <cellStyle name="Финансовый 3 3 2 7 3 2 2 2" xfId="28489" xr:uid="{17B3B817-991B-4F53-8D4C-ABC63F97071A}"/>
    <cellStyle name="Финансовый 3 3 2 7 3 2 3" xfId="14632" xr:uid="{00000000-0005-0000-0000-000033330000}"/>
    <cellStyle name="Финансовый 3 3 2 7 3 2 3 2" xfId="31645" xr:uid="{921FA252-F5CD-4B19-9696-15D94AB55000}"/>
    <cellStyle name="Финансовый 3 3 2 7 3 2 4" xfId="17713" xr:uid="{00000000-0005-0000-0000-000034330000}"/>
    <cellStyle name="Финансовый 3 3 2 7 3 2 4 2" xfId="34726" xr:uid="{50645334-25C0-4BC3-88A2-5FE9D17C4EC2}"/>
    <cellStyle name="Финансовый 3 3 2 7 3 2 5" xfId="25416" xr:uid="{02A30D7F-1942-4CA1-9D56-8D0D827145A3}"/>
    <cellStyle name="Финансовый 3 3 2 7 3 3" xfId="11399" xr:uid="{00000000-0005-0000-0000-000035330000}"/>
    <cellStyle name="Финансовый 3 3 2 7 3 3 2" xfId="28488" xr:uid="{3A4CD496-E378-4003-9A7A-A998111B0902}"/>
    <cellStyle name="Финансовый 3 3 2 7 3 4" xfId="14631" xr:uid="{00000000-0005-0000-0000-000036330000}"/>
    <cellStyle name="Финансовый 3 3 2 7 3 4 2" xfId="31644" xr:uid="{78A5E947-B385-4A47-8737-2F50F0E341FA}"/>
    <cellStyle name="Финансовый 3 3 2 7 3 5" xfId="17712" xr:uid="{00000000-0005-0000-0000-000037330000}"/>
    <cellStyle name="Финансовый 3 3 2 7 3 5 2" xfId="34725" xr:uid="{A7A2A20E-4891-4414-93EF-7FFF3534E1BE}"/>
    <cellStyle name="Финансовый 3 3 2 7 3 6" xfId="25415" xr:uid="{E0EA4553-26B6-437F-82A2-0E7B2CEDCF8D}"/>
    <cellStyle name="Финансовый 3 3 2 7 4" xfId="8310" xr:uid="{00000000-0005-0000-0000-000038330000}"/>
    <cellStyle name="Финансовый 3 3 2 7 4 2" xfId="11401" xr:uid="{00000000-0005-0000-0000-000039330000}"/>
    <cellStyle name="Финансовый 3 3 2 7 4 2 2" xfId="28490" xr:uid="{1C8F9606-82FE-4F7F-90B2-855B3A121F9C}"/>
    <cellStyle name="Финансовый 3 3 2 7 4 3" xfId="14633" xr:uid="{00000000-0005-0000-0000-00003A330000}"/>
    <cellStyle name="Финансовый 3 3 2 7 4 3 2" xfId="31646" xr:uid="{DE878825-AD2F-4659-B544-749679D0D2EB}"/>
    <cellStyle name="Финансовый 3 3 2 7 4 4" xfId="17714" xr:uid="{00000000-0005-0000-0000-00003B330000}"/>
    <cellStyle name="Финансовый 3 3 2 7 4 4 2" xfId="34727" xr:uid="{8174826D-9D59-4C00-934D-FEDC80086908}"/>
    <cellStyle name="Финансовый 3 3 2 7 4 5" xfId="25417" xr:uid="{F68F4C83-E1F7-4F06-9AFF-E2A61ADB1531}"/>
    <cellStyle name="Финансовый 3 3 2 7 5" xfId="11394" xr:uid="{00000000-0005-0000-0000-00003C330000}"/>
    <cellStyle name="Финансовый 3 3 2 7 5 2" xfId="28483" xr:uid="{899D736F-1C3F-4C2F-B3ED-65AE2ABCF9E0}"/>
    <cellStyle name="Финансовый 3 3 2 7 6" xfId="14626" xr:uid="{00000000-0005-0000-0000-00003D330000}"/>
    <cellStyle name="Финансовый 3 3 2 7 6 2" xfId="31639" xr:uid="{4C6F6950-7D4F-4729-8D88-AE6F83F3741E}"/>
    <cellStyle name="Финансовый 3 3 2 7 7" xfId="17707" xr:uid="{00000000-0005-0000-0000-00003E330000}"/>
    <cellStyle name="Финансовый 3 3 2 7 7 2" xfId="34720" xr:uid="{6AD95123-3269-4BC8-A195-15DCC1F82DC1}"/>
    <cellStyle name="Финансовый 3 3 2 7 8" xfId="25410" xr:uid="{C3E964AC-D8ED-4D7E-8986-B66B96E63685}"/>
    <cellStyle name="Финансовый 3 3 2 8" xfId="8311" xr:uid="{00000000-0005-0000-0000-00003F330000}"/>
    <cellStyle name="Финансовый 3 3 2 8 2" xfId="8312" xr:uid="{00000000-0005-0000-0000-000040330000}"/>
    <cellStyle name="Финансовый 3 3 2 8 2 2" xfId="8313" xr:uid="{00000000-0005-0000-0000-000041330000}"/>
    <cellStyle name="Финансовый 3 3 2 8 2 2 2" xfId="11404" xr:uid="{00000000-0005-0000-0000-000042330000}"/>
    <cellStyle name="Финансовый 3 3 2 8 2 2 2 2" xfId="28493" xr:uid="{EB8A0957-4AFC-4A56-89CF-DF0DBCE66EEF}"/>
    <cellStyle name="Финансовый 3 3 2 8 2 2 3" xfId="14636" xr:uid="{00000000-0005-0000-0000-000043330000}"/>
    <cellStyle name="Финансовый 3 3 2 8 2 2 3 2" xfId="31649" xr:uid="{136B11A8-0E37-4D08-81D0-DF9450891583}"/>
    <cellStyle name="Финансовый 3 3 2 8 2 2 4" xfId="17717" xr:uid="{00000000-0005-0000-0000-000044330000}"/>
    <cellStyle name="Финансовый 3 3 2 8 2 2 4 2" xfId="34730" xr:uid="{DF7C3149-9D2F-4B45-A43C-8F7A5D364E3B}"/>
    <cellStyle name="Финансовый 3 3 2 8 2 2 5" xfId="25420" xr:uid="{F2BFC3C5-FC27-414D-87CF-C992C37D5C4E}"/>
    <cellStyle name="Финансовый 3 3 2 8 2 3" xfId="11403" xr:uid="{00000000-0005-0000-0000-000045330000}"/>
    <cellStyle name="Финансовый 3 3 2 8 2 3 2" xfId="28492" xr:uid="{0C86A2B1-F3BD-4AF2-8C7C-EF28E92944B3}"/>
    <cellStyle name="Финансовый 3 3 2 8 2 4" xfId="14635" xr:uid="{00000000-0005-0000-0000-000046330000}"/>
    <cellStyle name="Финансовый 3 3 2 8 2 4 2" xfId="31648" xr:uid="{95E34395-82B8-41FD-9544-3CED403803E3}"/>
    <cellStyle name="Финансовый 3 3 2 8 2 5" xfId="17716" xr:uid="{00000000-0005-0000-0000-000047330000}"/>
    <cellStyle name="Финансовый 3 3 2 8 2 5 2" xfId="34729" xr:uid="{B55615F7-F2D6-4A97-B908-7A27F5886249}"/>
    <cellStyle name="Финансовый 3 3 2 8 2 6" xfId="25419" xr:uid="{C8AD8714-2550-4922-9191-D7977DD7D35B}"/>
    <cellStyle name="Финансовый 3 3 2 8 3" xfId="8314" xr:uid="{00000000-0005-0000-0000-000048330000}"/>
    <cellStyle name="Финансовый 3 3 2 8 3 2" xfId="11405" xr:uid="{00000000-0005-0000-0000-000049330000}"/>
    <cellStyle name="Финансовый 3 3 2 8 3 2 2" xfId="28494" xr:uid="{9E55A943-8A87-4866-A7FE-620FF57E3B3D}"/>
    <cellStyle name="Финансовый 3 3 2 8 3 3" xfId="14637" xr:uid="{00000000-0005-0000-0000-00004A330000}"/>
    <cellStyle name="Финансовый 3 3 2 8 3 3 2" xfId="31650" xr:uid="{1E8C3AE1-E134-48CC-84C5-2B9513416DF5}"/>
    <cellStyle name="Финансовый 3 3 2 8 3 4" xfId="17718" xr:uid="{00000000-0005-0000-0000-00004B330000}"/>
    <cellStyle name="Финансовый 3 3 2 8 3 4 2" xfId="34731" xr:uid="{C6C9DFB3-805B-4829-A2A1-F1A59A1F7126}"/>
    <cellStyle name="Финансовый 3 3 2 8 3 5" xfId="25421" xr:uid="{5E417FD0-8C3A-4A3E-A422-810127CD7908}"/>
    <cellStyle name="Финансовый 3 3 2 8 4" xfId="11402" xr:uid="{00000000-0005-0000-0000-00004C330000}"/>
    <cellStyle name="Финансовый 3 3 2 8 4 2" xfId="28491" xr:uid="{FFC9E374-1D9C-4EA0-B808-6807CB993531}"/>
    <cellStyle name="Финансовый 3 3 2 8 5" xfId="14634" xr:uid="{00000000-0005-0000-0000-00004D330000}"/>
    <cellStyle name="Финансовый 3 3 2 8 5 2" xfId="31647" xr:uid="{79A8941C-CEF7-40B1-96DD-26A777313424}"/>
    <cellStyle name="Финансовый 3 3 2 8 6" xfId="17715" xr:uid="{00000000-0005-0000-0000-00004E330000}"/>
    <cellStyle name="Финансовый 3 3 2 8 6 2" xfId="34728" xr:uid="{27A77160-E56F-4488-A755-97FC5D7DDE99}"/>
    <cellStyle name="Финансовый 3 3 2 8 7" xfId="25418" xr:uid="{B700B108-4B85-4F1D-8A1D-499DCAE8BB4F}"/>
    <cellStyle name="Финансовый 3 3 2 9" xfId="8315" xr:uid="{00000000-0005-0000-0000-00004F330000}"/>
    <cellStyle name="Финансовый 3 3 2 9 2" xfId="8316" xr:uid="{00000000-0005-0000-0000-000050330000}"/>
    <cellStyle name="Финансовый 3 3 2 9 2 2" xfId="11407" xr:uid="{00000000-0005-0000-0000-000051330000}"/>
    <cellStyle name="Финансовый 3 3 2 9 2 2 2" xfId="28496" xr:uid="{D564EC59-9233-4819-B64E-338D09C354B3}"/>
    <cellStyle name="Финансовый 3 3 2 9 2 3" xfId="14639" xr:uid="{00000000-0005-0000-0000-000052330000}"/>
    <cellStyle name="Финансовый 3 3 2 9 2 3 2" xfId="31652" xr:uid="{3EAA6C6F-C238-4AF3-A083-5C43A7CF3E9D}"/>
    <cellStyle name="Финансовый 3 3 2 9 2 4" xfId="17720" xr:uid="{00000000-0005-0000-0000-000053330000}"/>
    <cellStyle name="Финансовый 3 3 2 9 2 4 2" xfId="34733" xr:uid="{5E49AAAB-E96A-457D-B210-3D8B120D465B}"/>
    <cellStyle name="Финансовый 3 3 2 9 2 5" xfId="25423" xr:uid="{5ABA1CC9-70D9-47F3-A33C-8382F415E9AA}"/>
    <cellStyle name="Финансовый 3 3 2 9 3" xfId="11406" xr:uid="{00000000-0005-0000-0000-000054330000}"/>
    <cellStyle name="Финансовый 3 3 2 9 3 2" xfId="28495" xr:uid="{B759694A-B7DD-4A45-A20C-365F93F6BF09}"/>
    <cellStyle name="Финансовый 3 3 2 9 4" xfId="14638" xr:uid="{00000000-0005-0000-0000-000055330000}"/>
    <cellStyle name="Финансовый 3 3 2 9 4 2" xfId="31651" xr:uid="{087FC11C-4E89-438B-9122-1D03EBE26F05}"/>
    <cellStyle name="Финансовый 3 3 2 9 5" xfId="17719" xr:uid="{00000000-0005-0000-0000-000056330000}"/>
    <cellStyle name="Финансовый 3 3 2 9 5 2" xfId="34732" xr:uid="{F45B9DCD-FB02-48BC-816A-64998D325B97}"/>
    <cellStyle name="Финансовый 3 3 2 9 6" xfId="25422" xr:uid="{1B1CE302-FFA9-4ADB-8344-8D85FEE35A79}"/>
    <cellStyle name="Финансовый 3 3 20" xfId="23585" xr:uid="{26AC7946-2006-4745-8730-1AA8F3C29016}"/>
    <cellStyle name="Финансовый 3 3 3" xfId="8317" xr:uid="{00000000-0005-0000-0000-000057330000}"/>
    <cellStyle name="Финансовый 3 3 3 10" xfId="11408" xr:uid="{00000000-0005-0000-0000-000058330000}"/>
    <cellStyle name="Финансовый 3 3 3 10 2" xfId="28497" xr:uid="{3441E0FF-B559-4D98-9B01-CC643FCC4A53}"/>
    <cellStyle name="Финансовый 3 3 3 11" xfId="14640" xr:uid="{00000000-0005-0000-0000-000059330000}"/>
    <cellStyle name="Финансовый 3 3 3 11 2" xfId="31653" xr:uid="{6C012623-0B42-4CFD-85CF-38B124B54B2F}"/>
    <cellStyle name="Финансовый 3 3 3 12" xfId="17721" xr:uid="{00000000-0005-0000-0000-00005A330000}"/>
    <cellStyle name="Финансовый 3 3 3 12 2" xfId="34734" xr:uid="{5897B0B2-3F96-4016-B1A9-4EBDE082EE87}"/>
    <cellStyle name="Финансовый 3 3 3 13" xfId="25424" xr:uid="{386A5B77-ACE0-4EC3-B21E-0F19AC9A2EEA}"/>
    <cellStyle name="Финансовый 3 3 3 2" xfId="8318" xr:uid="{00000000-0005-0000-0000-00005B330000}"/>
    <cellStyle name="Финансовый 3 3 3 2 10" xfId="14641" xr:uid="{00000000-0005-0000-0000-00005C330000}"/>
    <cellStyle name="Финансовый 3 3 3 2 10 2" xfId="31654" xr:uid="{C468691D-EF06-40E2-A15B-AA92BFEE2117}"/>
    <cellStyle name="Финансовый 3 3 3 2 11" xfId="17722" xr:uid="{00000000-0005-0000-0000-00005D330000}"/>
    <cellStyle name="Финансовый 3 3 3 2 11 2" xfId="34735" xr:uid="{CE76F981-13DC-49D9-B553-5591D99A2300}"/>
    <cellStyle name="Финансовый 3 3 3 2 12" xfId="25425" xr:uid="{DC33F317-F55D-4E1D-9678-5D01CBDF6051}"/>
    <cellStyle name="Финансовый 3 3 3 2 2" xfId="8319" xr:uid="{00000000-0005-0000-0000-00005E330000}"/>
    <cellStyle name="Финансовый 3 3 3 2 2 10" xfId="17723" xr:uid="{00000000-0005-0000-0000-00005F330000}"/>
    <cellStyle name="Финансовый 3 3 3 2 2 10 2" xfId="34736" xr:uid="{BB486264-88D4-445C-AE00-9D9BF0417CDE}"/>
    <cellStyle name="Финансовый 3 3 3 2 2 11" xfId="25426" xr:uid="{5149F764-CC18-49F9-8AE3-0110228E886F}"/>
    <cellStyle name="Финансовый 3 3 3 2 2 2" xfId="8320" xr:uid="{00000000-0005-0000-0000-000060330000}"/>
    <cellStyle name="Финансовый 3 3 3 2 2 2 10" xfId="25427" xr:uid="{42179ABD-24A5-4FED-A4C1-CE86B9D13F6A}"/>
    <cellStyle name="Финансовый 3 3 3 2 2 2 2" xfId="8321" xr:uid="{00000000-0005-0000-0000-000061330000}"/>
    <cellStyle name="Финансовый 3 3 3 2 2 2 2 2" xfId="8322" xr:uid="{00000000-0005-0000-0000-000062330000}"/>
    <cellStyle name="Финансовый 3 3 3 2 2 2 2 2 2" xfId="8323" xr:uid="{00000000-0005-0000-0000-000063330000}"/>
    <cellStyle name="Финансовый 3 3 3 2 2 2 2 2 2 2" xfId="8324" xr:uid="{00000000-0005-0000-0000-000064330000}"/>
    <cellStyle name="Финансовый 3 3 3 2 2 2 2 2 2 2 2" xfId="8325" xr:uid="{00000000-0005-0000-0000-000065330000}"/>
    <cellStyle name="Финансовый 3 3 3 2 2 2 2 2 2 2 2 2" xfId="11416" xr:uid="{00000000-0005-0000-0000-000066330000}"/>
    <cellStyle name="Финансовый 3 3 3 2 2 2 2 2 2 2 2 2 2" xfId="28505" xr:uid="{B151CFE1-512E-41C8-A27B-677B724B535E}"/>
    <cellStyle name="Финансовый 3 3 3 2 2 2 2 2 2 2 2 3" xfId="14648" xr:uid="{00000000-0005-0000-0000-000067330000}"/>
    <cellStyle name="Финансовый 3 3 3 2 2 2 2 2 2 2 2 3 2" xfId="31661" xr:uid="{FDCA227D-5958-4207-BBF8-1629EFC4E1A8}"/>
    <cellStyle name="Финансовый 3 3 3 2 2 2 2 2 2 2 2 4" xfId="17729" xr:uid="{00000000-0005-0000-0000-000068330000}"/>
    <cellStyle name="Финансовый 3 3 3 2 2 2 2 2 2 2 2 4 2" xfId="34742" xr:uid="{5642F5F6-F75E-41E5-BEBB-311D72BA9CFB}"/>
    <cellStyle name="Финансовый 3 3 3 2 2 2 2 2 2 2 2 5" xfId="25432" xr:uid="{11416D11-3862-4C46-A1CA-F33A7B065279}"/>
    <cellStyle name="Финансовый 3 3 3 2 2 2 2 2 2 2 3" xfId="11415" xr:uid="{00000000-0005-0000-0000-000069330000}"/>
    <cellStyle name="Финансовый 3 3 3 2 2 2 2 2 2 2 3 2" xfId="28504" xr:uid="{FC63DE41-F223-4550-85A4-7C1C071F4FB1}"/>
    <cellStyle name="Финансовый 3 3 3 2 2 2 2 2 2 2 4" xfId="14647" xr:uid="{00000000-0005-0000-0000-00006A330000}"/>
    <cellStyle name="Финансовый 3 3 3 2 2 2 2 2 2 2 4 2" xfId="31660" xr:uid="{AF4D4271-FF6D-4AB8-80B3-A45AAC830F13}"/>
    <cellStyle name="Финансовый 3 3 3 2 2 2 2 2 2 2 5" xfId="17728" xr:uid="{00000000-0005-0000-0000-00006B330000}"/>
    <cellStyle name="Финансовый 3 3 3 2 2 2 2 2 2 2 5 2" xfId="34741" xr:uid="{B9119662-3773-487D-A33B-43735F2F4223}"/>
    <cellStyle name="Финансовый 3 3 3 2 2 2 2 2 2 2 6" xfId="25431" xr:uid="{87752736-ADFB-4155-A17A-BA63AD78EB1C}"/>
    <cellStyle name="Финансовый 3 3 3 2 2 2 2 2 2 3" xfId="8326" xr:uid="{00000000-0005-0000-0000-00006C330000}"/>
    <cellStyle name="Финансовый 3 3 3 2 2 2 2 2 2 3 2" xfId="11417" xr:uid="{00000000-0005-0000-0000-00006D330000}"/>
    <cellStyle name="Финансовый 3 3 3 2 2 2 2 2 2 3 2 2" xfId="28506" xr:uid="{13C3937D-1DAC-4D41-8292-AAB74E19DA1A}"/>
    <cellStyle name="Финансовый 3 3 3 2 2 2 2 2 2 3 3" xfId="14649" xr:uid="{00000000-0005-0000-0000-00006E330000}"/>
    <cellStyle name="Финансовый 3 3 3 2 2 2 2 2 2 3 3 2" xfId="31662" xr:uid="{43368937-B9D9-4E8C-B399-DA0B0FFBCFB4}"/>
    <cellStyle name="Финансовый 3 3 3 2 2 2 2 2 2 3 4" xfId="17730" xr:uid="{00000000-0005-0000-0000-00006F330000}"/>
    <cellStyle name="Финансовый 3 3 3 2 2 2 2 2 2 3 4 2" xfId="34743" xr:uid="{7932793C-8EDA-483E-A6C7-FF6AE4D1C515}"/>
    <cellStyle name="Финансовый 3 3 3 2 2 2 2 2 2 3 5" xfId="25433" xr:uid="{05C9E72F-D92A-4668-BADC-8A0075A90AFE}"/>
    <cellStyle name="Финансовый 3 3 3 2 2 2 2 2 2 4" xfId="11414" xr:uid="{00000000-0005-0000-0000-000070330000}"/>
    <cellStyle name="Финансовый 3 3 3 2 2 2 2 2 2 4 2" xfId="28503" xr:uid="{A0A51B2C-73F2-4948-BFFB-399DBF10E434}"/>
    <cellStyle name="Финансовый 3 3 3 2 2 2 2 2 2 5" xfId="14646" xr:uid="{00000000-0005-0000-0000-000071330000}"/>
    <cellStyle name="Финансовый 3 3 3 2 2 2 2 2 2 5 2" xfId="31659" xr:uid="{C7D2CC2F-8977-4B23-B6DB-42A2FC7BC733}"/>
    <cellStyle name="Финансовый 3 3 3 2 2 2 2 2 2 6" xfId="17727" xr:uid="{00000000-0005-0000-0000-000072330000}"/>
    <cellStyle name="Финансовый 3 3 3 2 2 2 2 2 2 6 2" xfId="34740" xr:uid="{9D996807-C88B-4595-8A77-15B02AFB4E88}"/>
    <cellStyle name="Финансовый 3 3 3 2 2 2 2 2 2 7" xfId="25430" xr:uid="{B1DE23D6-B44F-4548-B3E8-3C2FD103865F}"/>
    <cellStyle name="Финансовый 3 3 3 2 2 2 2 2 3" xfId="8327" xr:uid="{00000000-0005-0000-0000-000073330000}"/>
    <cellStyle name="Финансовый 3 3 3 2 2 2 2 2 3 2" xfId="8328" xr:uid="{00000000-0005-0000-0000-000074330000}"/>
    <cellStyle name="Финансовый 3 3 3 2 2 2 2 2 3 2 2" xfId="11419" xr:uid="{00000000-0005-0000-0000-000075330000}"/>
    <cellStyle name="Финансовый 3 3 3 2 2 2 2 2 3 2 2 2" xfId="28508" xr:uid="{96D88001-3C59-4652-ABF1-6BB27FB991F8}"/>
    <cellStyle name="Финансовый 3 3 3 2 2 2 2 2 3 2 3" xfId="14651" xr:uid="{00000000-0005-0000-0000-000076330000}"/>
    <cellStyle name="Финансовый 3 3 3 2 2 2 2 2 3 2 3 2" xfId="31664" xr:uid="{75CEB877-BE01-4C61-A67E-E55747309404}"/>
    <cellStyle name="Финансовый 3 3 3 2 2 2 2 2 3 2 4" xfId="17732" xr:uid="{00000000-0005-0000-0000-000077330000}"/>
    <cellStyle name="Финансовый 3 3 3 2 2 2 2 2 3 2 4 2" xfId="34745" xr:uid="{56FFD596-C961-4025-83E1-8F0AC308A400}"/>
    <cellStyle name="Финансовый 3 3 3 2 2 2 2 2 3 2 5" xfId="25435" xr:uid="{9C690B06-4ABF-49AA-BBFF-FAD689532BC2}"/>
    <cellStyle name="Финансовый 3 3 3 2 2 2 2 2 3 3" xfId="11418" xr:uid="{00000000-0005-0000-0000-000078330000}"/>
    <cellStyle name="Финансовый 3 3 3 2 2 2 2 2 3 3 2" xfId="28507" xr:uid="{34ECECA5-5D33-469B-A51D-73F4D41C4798}"/>
    <cellStyle name="Финансовый 3 3 3 2 2 2 2 2 3 4" xfId="14650" xr:uid="{00000000-0005-0000-0000-000079330000}"/>
    <cellStyle name="Финансовый 3 3 3 2 2 2 2 2 3 4 2" xfId="31663" xr:uid="{6EC73FBD-3934-42D6-B047-A51678D9DFED}"/>
    <cellStyle name="Финансовый 3 3 3 2 2 2 2 2 3 5" xfId="17731" xr:uid="{00000000-0005-0000-0000-00007A330000}"/>
    <cellStyle name="Финансовый 3 3 3 2 2 2 2 2 3 5 2" xfId="34744" xr:uid="{2346D998-930A-43BE-9427-9AD17A12D454}"/>
    <cellStyle name="Финансовый 3 3 3 2 2 2 2 2 3 6" xfId="25434" xr:uid="{F8804BA5-E732-4363-BFCA-3799F4AF1072}"/>
    <cellStyle name="Финансовый 3 3 3 2 2 2 2 2 4" xfId="8329" xr:uid="{00000000-0005-0000-0000-00007B330000}"/>
    <cellStyle name="Финансовый 3 3 3 2 2 2 2 2 4 2" xfId="11420" xr:uid="{00000000-0005-0000-0000-00007C330000}"/>
    <cellStyle name="Финансовый 3 3 3 2 2 2 2 2 4 2 2" xfId="28509" xr:uid="{C6D0C312-AA88-43E8-93D8-B7B35B64D4AE}"/>
    <cellStyle name="Финансовый 3 3 3 2 2 2 2 2 4 3" xfId="14652" xr:uid="{00000000-0005-0000-0000-00007D330000}"/>
    <cellStyle name="Финансовый 3 3 3 2 2 2 2 2 4 3 2" xfId="31665" xr:uid="{61037F6F-5E08-4776-948E-717EEB857C5B}"/>
    <cellStyle name="Финансовый 3 3 3 2 2 2 2 2 4 4" xfId="17733" xr:uid="{00000000-0005-0000-0000-00007E330000}"/>
    <cellStyle name="Финансовый 3 3 3 2 2 2 2 2 4 4 2" xfId="34746" xr:uid="{BA026C7D-35C0-442C-9DA9-625C0979A484}"/>
    <cellStyle name="Финансовый 3 3 3 2 2 2 2 2 4 5" xfId="25436" xr:uid="{6772827E-F0D2-45E7-BAE4-F880410FC3C3}"/>
    <cellStyle name="Финансовый 3 3 3 2 2 2 2 2 5" xfId="11413" xr:uid="{00000000-0005-0000-0000-00007F330000}"/>
    <cellStyle name="Финансовый 3 3 3 2 2 2 2 2 5 2" xfId="28502" xr:uid="{6475C1D1-F1DF-438A-968A-72AFB3085725}"/>
    <cellStyle name="Финансовый 3 3 3 2 2 2 2 2 6" xfId="14645" xr:uid="{00000000-0005-0000-0000-000080330000}"/>
    <cellStyle name="Финансовый 3 3 3 2 2 2 2 2 6 2" xfId="31658" xr:uid="{89D936E0-721F-497B-990C-14AA94F4C875}"/>
    <cellStyle name="Финансовый 3 3 3 2 2 2 2 2 7" xfId="17726" xr:uid="{00000000-0005-0000-0000-000081330000}"/>
    <cellStyle name="Финансовый 3 3 3 2 2 2 2 2 7 2" xfId="34739" xr:uid="{A6106C67-ABF4-4290-8665-8D71B1327A47}"/>
    <cellStyle name="Финансовый 3 3 3 2 2 2 2 2 8" xfId="25429" xr:uid="{C2271913-5373-41BC-9F48-CB798F30CC61}"/>
    <cellStyle name="Финансовый 3 3 3 2 2 2 2 3" xfId="8330" xr:uid="{00000000-0005-0000-0000-000082330000}"/>
    <cellStyle name="Финансовый 3 3 3 2 2 2 2 3 2" xfId="8331" xr:uid="{00000000-0005-0000-0000-000083330000}"/>
    <cellStyle name="Финансовый 3 3 3 2 2 2 2 3 2 2" xfId="8332" xr:uid="{00000000-0005-0000-0000-000084330000}"/>
    <cellStyle name="Финансовый 3 3 3 2 2 2 2 3 2 2 2" xfId="11423" xr:uid="{00000000-0005-0000-0000-000085330000}"/>
    <cellStyle name="Финансовый 3 3 3 2 2 2 2 3 2 2 2 2" xfId="28512" xr:uid="{02AE4540-1DC3-4FBA-ABCA-BB29CA216ED8}"/>
    <cellStyle name="Финансовый 3 3 3 2 2 2 2 3 2 2 3" xfId="14655" xr:uid="{00000000-0005-0000-0000-000086330000}"/>
    <cellStyle name="Финансовый 3 3 3 2 2 2 2 3 2 2 3 2" xfId="31668" xr:uid="{06E22BC2-EE16-4D4D-B49F-657D91C77703}"/>
    <cellStyle name="Финансовый 3 3 3 2 2 2 2 3 2 2 4" xfId="17736" xr:uid="{00000000-0005-0000-0000-000087330000}"/>
    <cellStyle name="Финансовый 3 3 3 2 2 2 2 3 2 2 4 2" xfId="34749" xr:uid="{65397B5F-BE98-4543-B161-B11210C01594}"/>
    <cellStyle name="Финансовый 3 3 3 2 2 2 2 3 2 2 5" xfId="25439" xr:uid="{B4D1F561-6077-4C1D-BB67-5F7893FA583D}"/>
    <cellStyle name="Финансовый 3 3 3 2 2 2 2 3 2 3" xfId="11422" xr:uid="{00000000-0005-0000-0000-000088330000}"/>
    <cellStyle name="Финансовый 3 3 3 2 2 2 2 3 2 3 2" xfId="28511" xr:uid="{4115B0C0-3454-4E90-9B86-23593C1AC6B6}"/>
    <cellStyle name="Финансовый 3 3 3 2 2 2 2 3 2 4" xfId="14654" xr:uid="{00000000-0005-0000-0000-000089330000}"/>
    <cellStyle name="Финансовый 3 3 3 2 2 2 2 3 2 4 2" xfId="31667" xr:uid="{A030ABDA-583F-4054-A6E5-322F9013751F}"/>
    <cellStyle name="Финансовый 3 3 3 2 2 2 2 3 2 5" xfId="17735" xr:uid="{00000000-0005-0000-0000-00008A330000}"/>
    <cellStyle name="Финансовый 3 3 3 2 2 2 2 3 2 5 2" xfId="34748" xr:uid="{F39779C6-9768-4A7C-AE6B-DD7FEAD7BAC1}"/>
    <cellStyle name="Финансовый 3 3 3 2 2 2 2 3 2 6" xfId="25438" xr:uid="{653D52D3-55F3-4435-9890-FD9927461A28}"/>
    <cellStyle name="Финансовый 3 3 3 2 2 2 2 3 3" xfId="8333" xr:uid="{00000000-0005-0000-0000-00008B330000}"/>
    <cellStyle name="Финансовый 3 3 3 2 2 2 2 3 3 2" xfId="11424" xr:uid="{00000000-0005-0000-0000-00008C330000}"/>
    <cellStyle name="Финансовый 3 3 3 2 2 2 2 3 3 2 2" xfId="28513" xr:uid="{4DECEE3C-F646-4C27-9053-4511B24173A1}"/>
    <cellStyle name="Финансовый 3 3 3 2 2 2 2 3 3 3" xfId="14656" xr:uid="{00000000-0005-0000-0000-00008D330000}"/>
    <cellStyle name="Финансовый 3 3 3 2 2 2 2 3 3 3 2" xfId="31669" xr:uid="{DCE689C5-A6DE-450D-BF0C-54810042BCDE}"/>
    <cellStyle name="Финансовый 3 3 3 2 2 2 2 3 3 4" xfId="17737" xr:uid="{00000000-0005-0000-0000-00008E330000}"/>
    <cellStyle name="Финансовый 3 3 3 2 2 2 2 3 3 4 2" xfId="34750" xr:uid="{087C9DA8-6221-4804-8E62-C6A056BE915B}"/>
    <cellStyle name="Финансовый 3 3 3 2 2 2 2 3 3 5" xfId="25440" xr:uid="{E8EBB259-4257-4D58-9786-B49DF7CFD0CB}"/>
    <cellStyle name="Финансовый 3 3 3 2 2 2 2 3 4" xfId="11421" xr:uid="{00000000-0005-0000-0000-00008F330000}"/>
    <cellStyle name="Финансовый 3 3 3 2 2 2 2 3 4 2" xfId="28510" xr:uid="{80F60FCE-8D37-44C7-B3D3-0768C10DED64}"/>
    <cellStyle name="Финансовый 3 3 3 2 2 2 2 3 5" xfId="14653" xr:uid="{00000000-0005-0000-0000-000090330000}"/>
    <cellStyle name="Финансовый 3 3 3 2 2 2 2 3 5 2" xfId="31666" xr:uid="{0D096E58-0977-4050-8B2D-727D2BDEA3BE}"/>
    <cellStyle name="Финансовый 3 3 3 2 2 2 2 3 6" xfId="17734" xr:uid="{00000000-0005-0000-0000-000091330000}"/>
    <cellStyle name="Финансовый 3 3 3 2 2 2 2 3 6 2" xfId="34747" xr:uid="{91BAF5E3-34D8-46B6-91B6-495F558103E8}"/>
    <cellStyle name="Финансовый 3 3 3 2 2 2 2 3 7" xfId="25437" xr:uid="{F4E544BC-E9DC-4B82-8E7F-0C156C584227}"/>
    <cellStyle name="Финансовый 3 3 3 2 2 2 2 4" xfId="8334" xr:uid="{00000000-0005-0000-0000-000092330000}"/>
    <cellStyle name="Финансовый 3 3 3 2 2 2 2 4 2" xfId="8335" xr:uid="{00000000-0005-0000-0000-000093330000}"/>
    <cellStyle name="Финансовый 3 3 3 2 2 2 2 4 2 2" xfId="11426" xr:uid="{00000000-0005-0000-0000-000094330000}"/>
    <cellStyle name="Финансовый 3 3 3 2 2 2 2 4 2 2 2" xfId="28515" xr:uid="{0188AA01-7612-4D05-9DCD-5E70C9A54179}"/>
    <cellStyle name="Финансовый 3 3 3 2 2 2 2 4 2 3" xfId="14658" xr:uid="{00000000-0005-0000-0000-000095330000}"/>
    <cellStyle name="Финансовый 3 3 3 2 2 2 2 4 2 3 2" xfId="31671" xr:uid="{5C848A32-001C-430B-B810-6311AFC47517}"/>
    <cellStyle name="Финансовый 3 3 3 2 2 2 2 4 2 4" xfId="17739" xr:uid="{00000000-0005-0000-0000-000096330000}"/>
    <cellStyle name="Финансовый 3 3 3 2 2 2 2 4 2 4 2" xfId="34752" xr:uid="{CEEA944D-4F18-408C-9B43-A00A64D76FF6}"/>
    <cellStyle name="Финансовый 3 3 3 2 2 2 2 4 2 5" xfId="25442" xr:uid="{D4E2E9B4-39C1-4D87-A2BC-FEF310420767}"/>
    <cellStyle name="Финансовый 3 3 3 2 2 2 2 4 3" xfId="11425" xr:uid="{00000000-0005-0000-0000-000097330000}"/>
    <cellStyle name="Финансовый 3 3 3 2 2 2 2 4 3 2" xfId="28514" xr:uid="{A88E85CF-D514-480F-B977-B6F082AB2621}"/>
    <cellStyle name="Финансовый 3 3 3 2 2 2 2 4 4" xfId="14657" xr:uid="{00000000-0005-0000-0000-000098330000}"/>
    <cellStyle name="Финансовый 3 3 3 2 2 2 2 4 4 2" xfId="31670" xr:uid="{3DAF5E6D-C9E9-4865-B056-065070F62C73}"/>
    <cellStyle name="Финансовый 3 3 3 2 2 2 2 4 5" xfId="17738" xr:uid="{00000000-0005-0000-0000-000099330000}"/>
    <cellStyle name="Финансовый 3 3 3 2 2 2 2 4 5 2" xfId="34751" xr:uid="{F5A5E7E5-C571-4041-B562-E43C88B19E45}"/>
    <cellStyle name="Финансовый 3 3 3 2 2 2 2 4 6" xfId="25441" xr:uid="{F77F353A-4F53-4A3E-921A-447007606A15}"/>
    <cellStyle name="Финансовый 3 3 3 2 2 2 2 5" xfId="8336" xr:uid="{00000000-0005-0000-0000-00009A330000}"/>
    <cellStyle name="Финансовый 3 3 3 2 2 2 2 5 2" xfId="11427" xr:uid="{00000000-0005-0000-0000-00009B330000}"/>
    <cellStyle name="Финансовый 3 3 3 2 2 2 2 5 2 2" xfId="28516" xr:uid="{3A19ED87-BF18-47EE-9996-25FFC98BD2D3}"/>
    <cellStyle name="Финансовый 3 3 3 2 2 2 2 5 3" xfId="14659" xr:uid="{00000000-0005-0000-0000-00009C330000}"/>
    <cellStyle name="Финансовый 3 3 3 2 2 2 2 5 3 2" xfId="31672" xr:uid="{612F5C95-F6A0-41F3-A193-D69F9E3E5C57}"/>
    <cellStyle name="Финансовый 3 3 3 2 2 2 2 5 4" xfId="17740" xr:uid="{00000000-0005-0000-0000-00009D330000}"/>
    <cellStyle name="Финансовый 3 3 3 2 2 2 2 5 4 2" xfId="34753" xr:uid="{81A31FA4-2F16-4C66-8075-B8F5AAE991E6}"/>
    <cellStyle name="Финансовый 3 3 3 2 2 2 2 5 5" xfId="25443" xr:uid="{65C45E22-887A-4731-BAF3-586245758BDE}"/>
    <cellStyle name="Финансовый 3 3 3 2 2 2 2 6" xfId="11412" xr:uid="{00000000-0005-0000-0000-00009E330000}"/>
    <cellStyle name="Финансовый 3 3 3 2 2 2 2 6 2" xfId="28501" xr:uid="{1FD5E218-4A85-4A66-8FD9-FA24E7F61B22}"/>
    <cellStyle name="Финансовый 3 3 3 2 2 2 2 7" xfId="14644" xr:uid="{00000000-0005-0000-0000-00009F330000}"/>
    <cellStyle name="Финансовый 3 3 3 2 2 2 2 7 2" xfId="31657" xr:uid="{AF1EBD76-4F93-4810-B2F4-1799A7DDF32F}"/>
    <cellStyle name="Финансовый 3 3 3 2 2 2 2 8" xfId="17725" xr:uid="{00000000-0005-0000-0000-0000A0330000}"/>
    <cellStyle name="Финансовый 3 3 3 2 2 2 2 8 2" xfId="34738" xr:uid="{2BD75B48-CF87-4154-B838-76350611F5C2}"/>
    <cellStyle name="Финансовый 3 3 3 2 2 2 2 9" xfId="25428" xr:uid="{BEF8F24C-9F0E-4227-A32A-E87AB2CF57BE}"/>
    <cellStyle name="Финансовый 3 3 3 2 2 2 3" xfId="8337" xr:uid="{00000000-0005-0000-0000-0000A1330000}"/>
    <cellStyle name="Финансовый 3 3 3 2 2 2 3 2" xfId="8338" xr:uid="{00000000-0005-0000-0000-0000A2330000}"/>
    <cellStyle name="Финансовый 3 3 3 2 2 2 3 2 2" xfId="8339" xr:uid="{00000000-0005-0000-0000-0000A3330000}"/>
    <cellStyle name="Финансовый 3 3 3 2 2 2 3 2 2 2" xfId="8340" xr:uid="{00000000-0005-0000-0000-0000A4330000}"/>
    <cellStyle name="Финансовый 3 3 3 2 2 2 3 2 2 2 2" xfId="11431" xr:uid="{00000000-0005-0000-0000-0000A5330000}"/>
    <cellStyle name="Финансовый 3 3 3 2 2 2 3 2 2 2 2 2" xfId="28520" xr:uid="{DC7465BA-52B1-4BB7-819B-051A96EABED2}"/>
    <cellStyle name="Финансовый 3 3 3 2 2 2 3 2 2 2 3" xfId="14663" xr:uid="{00000000-0005-0000-0000-0000A6330000}"/>
    <cellStyle name="Финансовый 3 3 3 2 2 2 3 2 2 2 3 2" xfId="31676" xr:uid="{6E1CD8EB-6FB9-4A4A-A4D1-54A36B074027}"/>
    <cellStyle name="Финансовый 3 3 3 2 2 2 3 2 2 2 4" xfId="17744" xr:uid="{00000000-0005-0000-0000-0000A7330000}"/>
    <cellStyle name="Финансовый 3 3 3 2 2 2 3 2 2 2 4 2" xfId="34757" xr:uid="{ADE972F5-9775-4C4C-9979-5DE76306716C}"/>
    <cellStyle name="Финансовый 3 3 3 2 2 2 3 2 2 2 5" xfId="25447" xr:uid="{9A7C90A7-EFC9-434C-BB8B-D9DB463E8001}"/>
    <cellStyle name="Финансовый 3 3 3 2 2 2 3 2 2 3" xfId="11430" xr:uid="{00000000-0005-0000-0000-0000A8330000}"/>
    <cellStyle name="Финансовый 3 3 3 2 2 2 3 2 2 3 2" xfId="28519" xr:uid="{C7A352B6-F350-43B8-8CE9-B7D9FA04FA5F}"/>
    <cellStyle name="Финансовый 3 3 3 2 2 2 3 2 2 4" xfId="14662" xr:uid="{00000000-0005-0000-0000-0000A9330000}"/>
    <cellStyle name="Финансовый 3 3 3 2 2 2 3 2 2 4 2" xfId="31675" xr:uid="{8F3925C6-2A87-483E-A95D-7582B07A532A}"/>
    <cellStyle name="Финансовый 3 3 3 2 2 2 3 2 2 5" xfId="17743" xr:uid="{00000000-0005-0000-0000-0000AA330000}"/>
    <cellStyle name="Финансовый 3 3 3 2 2 2 3 2 2 5 2" xfId="34756" xr:uid="{C2C26136-65A7-4817-8A93-811B737CF312}"/>
    <cellStyle name="Финансовый 3 3 3 2 2 2 3 2 2 6" xfId="25446" xr:uid="{F6C1F3B9-B263-4EC8-94E5-3903A1B6FEF7}"/>
    <cellStyle name="Финансовый 3 3 3 2 2 2 3 2 3" xfId="8341" xr:uid="{00000000-0005-0000-0000-0000AB330000}"/>
    <cellStyle name="Финансовый 3 3 3 2 2 2 3 2 3 2" xfId="11432" xr:uid="{00000000-0005-0000-0000-0000AC330000}"/>
    <cellStyle name="Финансовый 3 3 3 2 2 2 3 2 3 2 2" xfId="28521" xr:uid="{7BA2EC1B-7E40-421E-B76C-49C623B3815D}"/>
    <cellStyle name="Финансовый 3 3 3 2 2 2 3 2 3 3" xfId="14664" xr:uid="{00000000-0005-0000-0000-0000AD330000}"/>
    <cellStyle name="Финансовый 3 3 3 2 2 2 3 2 3 3 2" xfId="31677" xr:uid="{A861D41E-6A7B-4817-B9A0-48034AC6AFE7}"/>
    <cellStyle name="Финансовый 3 3 3 2 2 2 3 2 3 4" xfId="17745" xr:uid="{00000000-0005-0000-0000-0000AE330000}"/>
    <cellStyle name="Финансовый 3 3 3 2 2 2 3 2 3 4 2" xfId="34758" xr:uid="{72FFECFC-47EC-48C2-BAAD-CD8BD730AE9C}"/>
    <cellStyle name="Финансовый 3 3 3 2 2 2 3 2 3 5" xfId="25448" xr:uid="{18F3DA78-3B57-4E25-82B5-2E932ED4195D}"/>
    <cellStyle name="Финансовый 3 3 3 2 2 2 3 2 4" xfId="11429" xr:uid="{00000000-0005-0000-0000-0000AF330000}"/>
    <cellStyle name="Финансовый 3 3 3 2 2 2 3 2 4 2" xfId="28518" xr:uid="{F06D878E-2739-4945-8E18-C6E84E2EFF96}"/>
    <cellStyle name="Финансовый 3 3 3 2 2 2 3 2 5" xfId="14661" xr:uid="{00000000-0005-0000-0000-0000B0330000}"/>
    <cellStyle name="Финансовый 3 3 3 2 2 2 3 2 5 2" xfId="31674" xr:uid="{CACB81FD-DB86-42BC-A54B-5554F1F95FF5}"/>
    <cellStyle name="Финансовый 3 3 3 2 2 2 3 2 6" xfId="17742" xr:uid="{00000000-0005-0000-0000-0000B1330000}"/>
    <cellStyle name="Финансовый 3 3 3 2 2 2 3 2 6 2" xfId="34755" xr:uid="{02FBE7F5-B75E-4E43-9708-E8D067255F2A}"/>
    <cellStyle name="Финансовый 3 3 3 2 2 2 3 2 7" xfId="25445" xr:uid="{BC52248B-721A-4457-B866-6C137DC74BBB}"/>
    <cellStyle name="Финансовый 3 3 3 2 2 2 3 3" xfId="8342" xr:uid="{00000000-0005-0000-0000-0000B2330000}"/>
    <cellStyle name="Финансовый 3 3 3 2 2 2 3 3 2" xfId="8343" xr:uid="{00000000-0005-0000-0000-0000B3330000}"/>
    <cellStyle name="Финансовый 3 3 3 2 2 2 3 3 2 2" xfId="11434" xr:uid="{00000000-0005-0000-0000-0000B4330000}"/>
    <cellStyle name="Финансовый 3 3 3 2 2 2 3 3 2 2 2" xfId="28523" xr:uid="{A41A882B-392F-4F81-82BC-0E7DF6A40DF2}"/>
    <cellStyle name="Финансовый 3 3 3 2 2 2 3 3 2 3" xfId="14666" xr:uid="{00000000-0005-0000-0000-0000B5330000}"/>
    <cellStyle name="Финансовый 3 3 3 2 2 2 3 3 2 3 2" xfId="31679" xr:uid="{E59E75B4-0B89-43B0-8D0E-2F840719C3DC}"/>
    <cellStyle name="Финансовый 3 3 3 2 2 2 3 3 2 4" xfId="17747" xr:uid="{00000000-0005-0000-0000-0000B6330000}"/>
    <cellStyle name="Финансовый 3 3 3 2 2 2 3 3 2 4 2" xfId="34760" xr:uid="{DA1C489C-760D-4E13-B5AB-3F54392C065C}"/>
    <cellStyle name="Финансовый 3 3 3 2 2 2 3 3 2 5" xfId="25450" xr:uid="{68066627-EC13-475A-9364-0230EC020BCB}"/>
    <cellStyle name="Финансовый 3 3 3 2 2 2 3 3 3" xfId="11433" xr:uid="{00000000-0005-0000-0000-0000B7330000}"/>
    <cellStyle name="Финансовый 3 3 3 2 2 2 3 3 3 2" xfId="28522" xr:uid="{3D7917F3-B16F-4BE6-9DA7-F4D75C512F34}"/>
    <cellStyle name="Финансовый 3 3 3 2 2 2 3 3 4" xfId="14665" xr:uid="{00000000-0005-0000-0000-0000B8330000}"/>
    <cellStyle name="Финансовый 3 3 3 2 2 2 3 3 4 2" xfId="31678" xr:uid="{C574681F-CE91-42A9-9027-267C24DEE2A1}"/>
    <cellStyle name="Финансовый 3 3 3 2 2 2 3 3 5" xfId="17746" xr:uid="{00000000-0005-0000-0000-0000B9330000}"/>
    <cellStyle name="Финансовый 3 3 3 2 2 2 3 3 5 2" xfId="34759" xr:uid="{3A0347A2-0AEB-4F74-A7FE-D8A2F2F3076D}"/>
    <cellStyle name="Финансовый 3 3 3 2 2 2 3 3 6" xfId="25449" xr:uid="{9C0F8BCB-11D4-4D1A-B647-AEFB4B472360}"/>
    <cellStyle name="Финансовый 3 3 3 2 2 2 3 4" xfId="8344" xr:uid="{00000000-0005-0000-0000-0000BA330000}"/>
    <cellStyle name="Финансовый 3 3 3 2 2 2 3 4 2" xfId="11435" xr:uid="{00000000-0005-0000-0000-0000BB330000}"/>
    <cellStyle name="Финансовый 3 3 3 2 2 2 3 4 2 2" xfId="28524" xr:uid="{93F4D502-8839-4F34-9E14-52DE90E4D21B}"/>
    <cellStyle name="Финансовый 3 3 3 2 2 2 3 4 3" xfId="14667" xr:uid="{00000000-0005-0000-0000-0000BC330000}"/>
    <cellStyle name="Финансовый 3 3 3 2 2 2 3 4 3 2" xfId="31680" xr:uid="{599115A1-1DF2-4F2A-8E33-23B2010FF1D7}"/>
    <cellStyle name="Финансовый 3 3 3 2 2 2 3 4 4" xfId="17748" xr:uid="{00000000-0005-0000-0000-0000BD330000}"/>
    <cellStyle name="Финансовый 3 3 3 2 2 2 3 4 4 2" xfId="34761" xr:uid="{2EF5369B-7188-4E43-9DBB-BC7F6170DC2C}"/>
    <cellStyle name="Финансовый 3 3 3 2 2 2 3 4 5" xfId="25451" xr:uid="{4F082938-1656-4A36-9BF0-C9368FDD71D3}"/>
    <cellStyle name="Финансовый 3 3 3 2 2 2 3 5" xfId="11428" xr:uid="{00000000-0005-0000-0000-0000BE330000}"/>
    <cellStyle name="Финансовый 3 3 3 2 2 2 3 5 2" xfId="28517" xr:uid="{273FCAD9-0C4F-4CBD-9411-51CD249B81FB}"/>
    <cellStyle name="Финансовый 3 3 3 2 2 2 3 6" xfId="14660" xr:uid="{00000000-0005-0000-0000-0000BF330000}"/>
    <cellStyle name="Финансовый 3 3 3 2 2 2 3 6 2" xfId="31673" xr:uid="{C06AB78F-6B50-406D-B91A-8184D609E98E}"/>
    <cellStyle name="Финансовый 3 3 3 2 2 2 3 7" xfId="17741" xr:uid="{00000000-0005-0000-0000-0000C0330000}"/>
    <cellStyle name="Финансовый 3 3 3 2 2 2 3 7 2" xfId="34754" xr:uid="{5D9CCF87-35B6-4880-BE48-6CD7182C361D}"/>
    <cellStyle name="Финансовый 3 3 3 2 2 2 3 8" xfId="25444" xr:uid="{C411017C-FD2B-4FE4-BFF7-468A617F6661}"/>
    <cellStyle name="Финансовый 3 3 3 2 2 2 4" xfId="8345" xr:uid="{00000000-0005-0000-0000-0000C1330000}"/>
    <cellStyle name="Финансовый 3 3 3 2 2 2 4 2" xfId="8346" xr:uid="{00000000-0005-0000-0000-0000C2330000}"/>
    <cellStyle name="Финансовый 3 3 3 2 2 2 4 2 2" xfId="8347" xr:uid="{00000000-0005-0000-0000-0000C3330000}"/>
    <cellStyle name="Финансовый 3 3 3 2 2 2 4 2 2 2" xfId="11438" xr:uid="{00000000-0005-0000-0000-0000C4330000}"/>
    <cellStyle name="Финансовый 3 3 3 2 2 2 4 2 2 2 2" xfId="28527" xr:uid="{5B7C4E57-BCC1-41B6-BEEB-3077E69E25F5}"/>
    <cellStyle name="Финансовый 3 3 3 2 2 2 4 2 2 3" xfId="14670" xr:uid="{00000000-0005-0000-0000-0000C5330000}"/>
    <cellStyle name="Финансовый 3 3 3 2 2 2 4 2 2 3 2" xfId="31683" xr:uid="{AE073E48-117B-475C-BFBF-2C1DB112A92C}"/>
    <cellStyle name="Финансовый 3 3 3 2 2 2 4 2 2 4" xfId="17751" xr:uid="{00000000-0005-0000-0000-0000C6330000}"/>
    <cellStyle name="Финансовый 3 3 3 2 2 2 4 2 2 4 2" xfId="34764" xr:uid="{FC0CEE7A-9BD6-412A-8D08-059DA113FB3A}"/>
    <cellStyle name="Финансовый 3 3 3 2 2 2 4 2 2 5" xfId="25454" xr:uid="{1365E459-3793-4610-B88D-BFC7DAB7BD70}"/>
    <cellStyle name="Финансовый 3 3 3 2 2 2 4 2 3" xfId="11437" xr:uid="{00000000-0005-0000-0000-0000C7330000}"/>
    <cellStyle name="Финансовый 3 3 3 2 2 2 4 2 3 2" xfId="28526" xr:uid="{A5600305-89BB-4861-A238-0FDBC8EABD2D}"/>
    <cellStyle name="Финансовый 3 3 3 2 2 2 4 2 4" xfId="14669" xr:uid="{00000000-0005-0000-0000-0000C8330000}"/>
    <cellStyle name="Финансовый 3 3 3 2 2 2 4 2 4 2" xfId="31682" xr:uid="{EFFA8DC3-3E74-44F8-BAB8-D666177E6BE0}"/>
    <cellStyle name="Финансовый 3 3 3 2 2 2 4 2 5" xfId="17750" xr:uid="{00000000-0005-0000-0000-0000C9330000}"/>
    <cellStyle name="Финансовый 3 3 3 2 2 2 4 2 5 2" xfId="34763" xr:uid="{FB0E9457-DFD4-4EEC-BCEB-476BC717E55B}"/>
    <cellStyle name="Финансовый 3 3 3 2 2 2 4 2 6" xfId="25453" xr:uid="{2AEDB286-7996-41F9-B7E1-BF2A302D68DF}"/>
    <cellStyle name="Финансовый 3 3 3 2 2 2 4 3" xfId="8348" xr:uid="{00000000-0005-0000-0000-0000CA330000}"/>
    <cellStyle name="Финансовый 3 3 3 2 2 2 4 3 2" xfId="11439" xr:uid="{00000000-0005-0000-0000-0000CB330000}"/>
    <cellStyle name="Финансовый 3 3 3 2 2 2 4 3 2 2" xfId="28528" xr:uid="{27847D8B-6D78-4D69-B4FC-67CB0B5E7BC2}"/>
    <cellStyle name="Финансовый 3 3 3 2 2 2 4 3 3" xfId="14671" xr:uid="{00000000-0005-0000-0000-0000CC330000}"/>
    <cellStyle name="Финансовый 3 3 3 2 2 2 4 3 3 2" xfId="31684" xr:uid="{7301AA1B-5D5C-44B1-A875-973D909C917D}"/>
    <cellStyle name="Финансовый 3 3 3 2 2 2 4 3 4" xfId="17752" xr:uid="{00000000-0005-0000-0000-0000CD330000}"/>
    <cellStyle name="Финансовый 3 3 3 2 2 2 4 3 4 2" xfId="34765" xr:uid="{2A8EA6F3-0070-43A8-995F-F3CDC40564B6}"/>
    <cellStyle name="Финансовый 3 3 3 2 2 2 4 3 5" xfId="25455" xr:uid="{EE1F724F-E365-4E8A-9651-ADE8B3FAD3DA}"/>
    <cellStyle name="Финансовый 3 3 3 2 2 2 4 4" xfId="11436" xr:uid="{00000000-0005-0000-0000-0000CE330000}"/>
    <cellStyle name="Финансовый 3 3 3 2 2 2 4 4 2" xfId="28525" xr:uid="{E684CA9E-96DC-48D2-A8FF-A861DCA9EE86}"/>
    <cellStyle name="Финансовый 3 3 3 2 2 2 4 5" xfId="14668" xr:uid="{00000000-0005-0000-0000-0000CF330000}"/>
    <cellStyle name="Финансовый 3 3 3 2 2 2 4 5 2" xfId="31681" xr:uid="{BF0DEFD6-5A6E-405E-B40F-1F6C51A6BA87}"/>
    <cellStyle name="Финансовый 3 3 3 2 2 2 4 6" xfId="17749" xr:uid="{00000000-0005-0000-0000-0000D0330000}"/>
    <cellStyle name="Финансовый 3 3 3 2 2 2 4 6 2" xfId="34762" xr:uid="{474D2352-684A-4617-8090-EC2F4EBA3E5D}"/>
    <cellStyle name="Финансовый 3 3 3 2 2 2 4 7" xfId="25452" xr:uid="{E2FA36AF-79DF-4B22-B556-1BE42F8A3E29}"/>
    <cellStyle name="Финансовый 3 3 3 2 2 2 5" xfId="8349" xr:uid="{00000000-0005-0000-0000-0000D1330000}"/>
    <cellStyle name="Финансовый 3 3 3 2 2 2 5 2" xfId="8350" xr:uid="{00000000-0005-0000-0000-0000D2330000}"/>
    <cellStyle name="Финансовый 3 3 3 2 2 2 5 2 2" xfId="11441" xr:uid="{00000000-0005-0000-0000-0000D3330000}"/>
    <cellStyle name="Финансовый 3 3 3 2 2 2 5 2 2 2" xfId="28530" xr:uid="{9F237C57-D5F2-4629-8366-90F329467C36}"/>
    <cellStyle name="Финансовый 3 3 3 2 2 2 5 2 3" xfId="14673" xr:uid="{00000000-0005-0000-0000-0000D4330000}"/>
    <cellStyle name="Финансовый 3 3 3 2 2 2 5 2 3 2" xfId="31686" xr:uid="{B9A9A4C8-FA73-4CC5-869E-ECE5DF2F6B64}"/>
    <cellStyle name="Финансовый 3 3 3 2 2 2 5 2 4" xfId="17754" xr:uid="{00000000-0005-0000-0000-0000D5330000}"/>
    <cellStyle name="Финансовый 3 3 3 2 2 2 5 2 4 2" xfId="34767" xr:uid="{AAA04828-76FE-4EE8-A74E-8B0A6951DB7A}"/>
    <cellStyle name="Финансовый 3 3 3 2 2 2 5 2 5" xfId="25457" xr:uid="{B2120141-C16E-46A7-BA44-913264CAAB26}"/>
    <cellStyle name="Финансовый 3 3 3 2 2 2 5 3" xfId="11440" xr:uid="{00000000-0005-0000-0000-0000D6330000}"/>
    <cellStyle name="Финансовый 3 3 3 2 2 2 5 3 2" xfId="28529" xr:uid="{DA0E9B42-D059-4CB5-827E-49CD8043E6F9}"/>
    <cellStyle name="Финансовый 3 3 3 2 2 2 5 4" xfId="14672" xr:uid="{00000000-0005-0000-0000-0000D7330000}"/>
    <cellStyle name="Финансовый 3 3 3 2 2 2 5 4 2" xfId="31685" xr:uid="{4145BB2D-A96F-47FC-8179-94677ACC317A}"/>
    <cellStyle name="Финансовый 3 3 3 2 2 2 5 5" xfId="17753" xr:uid="{00000000-0005-0000-0000-0000D8330000}"/>
    <cellStyle name="Финансовый 3 3 3 2 2 2 5 5 2" xfId="34766" xr:uid="{FA879F8C-E59D-4E48-BB46-F52BC4A58664}"/>
    <cellStyle name="Финансовый 3 3 3 2 2 2 5 6" xfId="25456" xr:uid="{B018A275-D548-4877-9E34-13CCD96661A6}"/>
    <cellStyle name="Финансовый 3 3 3 2 2 2 6" xfId="8351" xr:uid="{00000000-0005-0000-0000-0000D9330000}"/>
    <cellStyle name="Финансовый 3 3 3 2 2 2 6 2" xfId="11442" xr:uid="{00000000-0005-0000-0000-0000DA330000}"/>
    <cellStyle name="Финансовый 3 3 3 2 2 2 6 2 2" xfId="28531" xr:uid="{97C43F0B-A715-4325-BE33-51DA77EA813F}"/>
    <cellStyle name="Финансовый 3 3 3 2 2 2 6 3" xfId="14674" xr:uid="{00000000-0005-0000-0000-0000DB330000}"/>
    <cellStyle name="Финансовый 3 3 3 2 2 2 6 3 2" xfId="31687" xr:uid="{DEE82AE2-D1BA-4ACA-BA1C-A38EAE0A5542}"/>
    <cellStyle name="Финансовый 3 3 3 2 2 2 6 4" xfId="17755" xr:uid="{00000000-0005-0000-0000-0000DC330000}"/>
    <cellStyle name="Финансовый 3 3 3 2 2 2 6 4 2" xfId="34768" xr:uid="{92416922-4E81-4CA0-AC51-870A29ED9981}"/>
    <cellStyle name="Финансовый 3 3 3 2 2 2 6 5" xfId="25458" xr:uid="{3D13B467-1D57-4E5A-B940-BE8EB19AB6A3}"/>
    <cellStyle name="Финансовый 3 3 3 2 2 2 7" xfId="11411" xr:uid="{00000000-0005-0000-0000-0000DD330000}"/>
    <cellStyle name="Финансовый 3 3 3 2 2 2 7 2" xfId="28500" xr:uid="{29CB9588-0ED9-4109-A459-6EECDC979E9E}"/>
    <cellStyle name="Финансовый 3 3 3 2 2 2 8" xfId="14643" xr:uid="{00000000-0005-0000-0000-0000DE330000}"/>
    <cellStyle name="Финансовый 3 3 3 2 2 2 8 2" xfId="31656" xr:uid="{713CB780-A84C-4633-AAC6-2751BB485868}"/>
    <cellStyle name="Финансовый 3 3 3 2 2 2 9" xfId="17724" xr:uid="{00000000-0005-0000-0000-0000DF330000}"/>
    <cellStyle name="Финансовый 3 3 3 2 2 2 9 2" xfId="34737" xr:uid="{E67975A6-E689-4AF8-9FC9-852C368F6D36}"/>
    <cellStyle name="Финансовый 3 3 3 2 2 3" xfId="8352" xr:uid="{00000000-0005-0000-0000-0000E0330000}"/>
    <cellStyle name="Финансовый 3 3 3 2 2 3 2" xfId="8353" xr:uid="{00000000-0005-0000-0000-0000E1330000}"/>
    <cellStyle name="Финансовый 3 3 3 2 2 3 2 2" xfId="8354" xr:uid="{00000000-0005-0000-0000-0000E2330000}"/>
    <cellStyle name="Финансовый 3 3 3 2 2 3 2 2 2" xfId="8355" xr:uid="{00000000-0005-0000-0000-0000E3330000}"/>
    <cellStyle name="Финансовый 3 3 3 2 2 3 2 2 2 2" xfId="8356" xr:uid="{00000000-0005-0000-0000-0000E4330000}"/>
    <cellStyle name="Финансовый 3 3 3 2 2 3 2 2 2 2 2" xfId="11447" xr:uid="{00000000-0005-0000-0000-0000E5330000}"/>
    <cellStyle name="Финансовый 3 3 3 2 2 3 2 2 2 2 2 2" xfId="28536" xr:uid="{434050A4-8ADD-4031-8968-6DF4D8797A39}"/>
    <cellStyle name="Финансовый 3 3 3 2 2 3 2 2 2 2 3" xfId="14679" xr:uid="{00000000-0005-0000-0000-0000E6330000}"/>
    <cellStyle name="Финансовый 3 3 3 2 2 3 2 2 2 2 3 2" xfId="31692" xr:uid="{16B19E13-4966-419E-B826-600545412E17}"/>
    <cellStyle name="Финансовый 3 3 3 2 2 3 2 2 2 2 4" xfId="17760" xr:uid="{00000000-0005-0000-0000-0000E7330000}"/>
    <cellStyle name="Финансовый 3 3 3 2 2 3 2 2 2 2 4 2" xfId="34773" xr:uid="{D8B1ED63-C2ED-49BE-8DB4-3BAF2281DC33}"/>
    <cellStyle name="Финансовый 3 3 3 2 2 3 2 2 2 2 5" xfId="25463" xr:uid="{002D1E9D-F2BB-4432-A940-2DAD70867D9D}"/>
    <cellStyle name="Финансовый 3 3 3 2 2 3 2 2 2 3" xfId="11446" xr:uid="{00000000-0005-0000-0000-0000E8330000}"/>
    <cellStyle name="Финансовый 3 3 3 2 2 3 2 2 2 3 2" xfId="28535" xr:uid="{64FE1C46-D0AF-46B5-B58C-CE8D0C6B9C33}"/>
    <cellStyle name="Финансовый 3 3 3 2 2 3 2 2 2 4" xfId="14678" xr:uid="{00000000-0005-0000-0000-0000E9330000}"/>
    <cellStyle name="Финансовый 3 3 3 2 2 3 2 2 2 4 2" xfId="31691" xr:uid="{4D7510FE-8E4A-4340-9272-A3D0FBFCFB90}"/>
    <cellStyle name="Финансовый 3 3 3 2 2 3 2 2 2 5" xfId="17759" xr:uid="{00000000-0005-0000-0000-0000EA330000}"/>
    <cellStyle name="Финансовый 3 3 3 2 2 3 2 2 2 5 2" xfId="34772" xr:uid="{8CDB9571-5288-46BF-8147-866A89FD4C8A}"/>
    <cellStyle name="Финансовый 3 3 3 2 2 3 2 2 2 6" xfId="25462" xr:uid="{2B137B29-E901-4EAA-BA14-F519AA09B43F}"/>
    <cellStyle name="Финансовый 3 3 3 2 2 3 2 2 3" xfId="8357" xr:uid="{00000000-0005-0000-0000-0000EB330000}"/>
    <cellStyle name="Финансовый 3 3 3 2 2 3 2 2 3 2" xfId="11448" xr:uid="{00000000-0005-0000-0000-0000EC330000}"/>
    <cellStyle name="Финансовый 3 3 3 2 2 3 2 2 3 2 2" xfId="28537" xr:uid="{DE0D8832-1D32-4FE3-ABEE-B9BBAB2954B6}"/>
    <cellStyle name="Финансовый 3 3 3 2 2 3 2 2 3 3" xfId="14680" xr:uid="{00000000-0005-0000-0000-0000ED330000}"/>
    <cellStyle name="Финансовый 3 3 3 2 2 3 2 2 3 3 2" xfId="31693" xr:uid="{34A17A06-21EC-4877-92E6-273F26203FC7}"/>
    <cellStyle name="Финансовый 3 3 3 2 2 3 2 2 3 4" xfId="17761" xr:uid="{00000000-0005-0000-0000-0000EE330000}"/>
    <cellStyle name="Финансовый 3 3 3 2 2 3 2 2 3 4 2" xfId="34774" xr:uid="{7A3FFF09-BED0-41E8-8871-1645D0623829}"/>
    <cellStyle name="Финансовый 3 3 3 2 2 3 2 2 3 5" xfId="25464" xr:uid="{C9DB75FC-4630-489B-ABAA-C7890CCD0A01}"/>
    <cellStyle name="Финансовый 3 3 3 2 2 3 2 2 4" xfId="11445" xr:uid="{00000000-0005-0000-0000-0000EF330000}"/>
    <cellStyle name="Финансовый 3 3 3 2 2 3 2 2 4 2" xfId="28534" xr:uid="{F71487EB-426C-44B4-835C-ED92657D509D}"/>
    <cellStyle name="Финансовый 3 3 3 2 2 3 2 2 5" xfId="14677" xr:uid="{00000000-0005-0000-0000-0000F0330000}"/>
    <cellStyle name="Финансовый 3 3 3 2 2 3 2 2 5 2" xfId="31690" xr:uid="{6F3860DA-A56F-4949-8A1B-F61456440943}"/>
    <cellStyle name="Финансовый 3 3 3 2 2 3 2 2 6" xfId="17758" xr:uid="{00000000-0005-0000-0000-0000F1330000}"/>
    <cellStyle name="Финансовый 3 3 3 2 2 3 2 2 6 2" xfId="34771" xr:uid="{247C8297-850A-447A-8630-57A6C1EA0836}"/>
    <cellStyle name="Финансовый 3 3 3 2 2 3 2 2 7" xfId="25461" xr:uid="{DEF1460B-CD2C-475E-9CD4-C5CB986DB8E1}"/>
    <cellStyle name="Финансовый 3 3 3 2 2 3 2 3" xfId="8358" xr:uid="{00000000-0005-0000-0000-0000F2330000}"/>
    <cellStyle name="Финансовый 3 3 3 2 2 3 2 3 2" xfId="8359" xr:uid="{00000000-0005-0000-0000-0000F3330000}"/>
    <cellStyle name="Финансовый 3 3 3 2 2 3 2 3 2 2" xfId="11450" xr:uid="{00000000-0005-0000-0000-0000F4330000}"/>
    <cellStyle name="Финансовый 3 3 3 2 2 3 2 3 2 2 2" xfId="28539" xr:uid="{129B68C6-F5AF-457D-9865-FF5A09AE46EB}"/>
    <cellStyle name="Финансовый 3 3 3 2 2 3 2 3 2 3" xfId="14682" xr:uid="{00000000-0005-0000-0000-0000F5330000}"/>
    <cellStyle name="Финансовый 3 3 3 2 2 3 2 3 2 3 2" xfId="31695" xr:uid="{B9B8D459-7B62-4344-BE65-E025C8E3C4F6}"/>
    <cellStyle name="Финансовый 3 3 3 2 2 3 2 3 2 4" xfId="17763" xr:uid="{00000000-0005-0000-0000-0000F6330000}"/>
    <cellStyle name="Финансовый 3 3 3 2 2 3 2 3 2 4 2" xfId="34776" xr:uid="{020205AB-47A4-4E26-9BC4-9CAB2B25D459}"/>
    <cellStyle name="Финансовый 3 3 3 2 2 3 2 3 2 5" xfId="25466" xr:uid="{BC78EDC1-C413-4D2B-96FF-66DF431E8065}"/>
    <cellStyle name="Финансовый 3 3 3 2 2 3 2 3 3" xfId="11449" xr:uid="{00000000-0005-0000-0000-0000F7330000}"/>
    <cellStyle name="Финансовый 3 3 3 2 2 3 2 3 3 2" xfId="28538" xr:uid="{012E27D5-EF6A-4AEB-B201-357C150A0A6A}"/>
    <cellStyle name="Финансовый 3 3 3 2 2 3 2 3 4" xfId="14681" xr:uid="{00000000-0005-0000-0000-0000F8330000}"/>
    <cellStyle name="Финансовый 3 3 3 2 2 3 2 3 4 2" xfId="31694" xr:uid="{5B50FB63-0559-482D-B097-39BDB4F5F379}"/>
    <cellStyle name="Финансовый 3 3 3 2 2 3 2 3 5" xfId="17762" xr:uid="{00000000-0005-0000-0000-0000F9330000}"/>
    <cellStyle name="Финансовый 3 3 3 2 2 3 2 3 5 2" xfId="34775" xr:uid="{FF08D30A-E222-43A1-8375-0D0B5DA9AC1A}"/>
    <cellStyle name="Финансовый 3 3 3 2 2 3 2 3 6" xfId="25465" xr:uid="{C670173E-C121-41FD-B012-C371000D8265}"/>
    <cellStyle name="Финансовый 3 3 3 2 2 3 2 4" xfId="8360" xr:uid="{00000000-0005-0000-0000-0000FA330000}"/>
    <cellStyle name="Финансовый 3 3 3 2 2 3 2 4 2" xfId="11451" xr:uid="{00000000-0005-0000-0000-0000FB330000}"/>
    <cellStyle name="Финансовый 3 3 3 2 2 3 2 4 2 2" xfId="28540" xr:uid="{E0B72455-2FF0-4E87-96F8-95C479743AFC}"/>
    <cellStyle name="Финансовый 3 3 3 2 2 3 2 4 3" xfId="14683" xr:uid="{00000000-0005-0000-0000-0000FC330000}"/>
    <cellStyle name="Финансовый 3 3 3 2 2 3 2 4 3 2" xfId="31696" xr:uid="{F4C0C477-B19A-4943-8D1A-09AA96DF2D8B}"/>
    <cellStyle name="Финансовый 3 3 3 2 2 3 2 4 4" xfId="17764" xr:uid="{00000000-0005-0000-0000-0000FD330000}"/>
    <cellStyle name="Финансовый 3 3 3 2 2 3 2 4 4 2" xfId="34777" xr:uid="{BB2245E4-B614-457B-8944-40479942A2B0}"/>
    <cellStyle name="Финансовый 3 3 3 2 2 3 2 4 5" xfId="25467" xr:uid="{395FB74B-0732-437D-B95B-5CFFA66F09E7}"/>
    <cellStyle name="Финансовый 3 3 3 2 2 3 2 5" xfId="11444" xr:uid="{00000000-0005-0000-0000-0000FE330000}"/>
    <cellStyle name="Финансовый 3 3 3 2 2 3 2 5 2" xfId="28533" xr:uid="{5E601FF4-5571-4BB8-87C1-7BF49DA8E9CF}"/>
    <cellStyle name="Финансовый 3 3 3 2 2 3 2 6" xfId="14676" xr:uid="{00000000-0005-0000-0000-0000FF330000}"/>
    <cellStyle name="Финансовый 3 3 3 2 2 3 2 6 2" xfId="31689" xr:uid="{4D158996-684A-4BCC-AA47-1026B443FAD9}"/>
    <cellStyle name="Финансовый 3 3 3 2 2 3 2 7" xfId="17757" xr:uid="{00000000-0005-0000-0000-000000340000}"/>
    <cellStyle name="Финансовый 3 3 3 2 2 3 2 7 2" xfId="34770" xr:uid="{D17E1A72-494A-4459-9F37-3875BB7917A7}"/>
    <cellStyle name="Финансовый 3 3 3 2 2 3 2 8" xfId="25460" xr:uid="{16DC1CAD-D815-4FB0-8649-3AFCCD6C2410}"/>
    <cellStyle name="Финансовый 3 3 3 2 2 3 3" xfId="8361" xr:uid="{00000000-0005-0000-0000-000001340000}"/>
    <cellStyle name="Финансовый 3 3 3 2 2 3 3 2" xfId="8362" xr:uid="{00000000-0005-0000-0000-000002340000}"/>
    <cellStyle name="Финансовый 3 3 3 2 2 3 3 2 2" xfId="8363" xr:uid="{00000000-0005-0000-0000-000003340000}"/>
    <cellStyle name="Финансовый 3 3 3 2 2 3 3 2 2 2" xfId="11454" xr:uid="{00000000-0005-0000-0000-000004340000}"/>
    <cellStyle name="Финансовый 3 3 3 2 2 3 3 2 2 2 2" xfId="28543" xr:uid="{BBB87B57-DA80-4887-98EF-8CA31FF91538}"/>
    <cellStyle name="Финансовый 3 3 3 2 2 3 3 2 2 3" xfId="14686" xr:uid="{00000000-0005-0000-0000-000005340000}"/>
    <cellStyle name="Финансовый 3 3 3 2 2 3 3 2 2 3 2" xfId="31699" xr:uid="{6EB26464-06D0-40FF-B3E7-4817B0AB09F6}"/>
    <cellStyle name="Финансовый 3 3 3 2 2 3 3 2 2 4" xfId="17767" xr:uid="{00000000-0005-0000-0000-000006340000}"/>
    <cellStyle name="Финансовый 3 3 3 2 2 3 3 2 2 4 2" xfId="34780" xr:uid="{CE074BCC-2BB0-487A-A2DC-C9AF01DD0839}"/>
    <cellStyle name="Финансовый 3 3 3 2 2 3 3 2 2 5" xfId="25470" xr:uid="{4A36F587-2D0A-4C3C-8829-B96EC0353CDE}"/>
    <cellStyle name="Финансовый 3 3 3 2 2 3 3 2 3" xfId="11453" xr:uid="{00000000-0005-0000-0000-000007340000}"/>
    <cellStyle name="Финансовый 3 3 3 2 2 3 3 2 3 2" xfId="28542" xr:uid="{07C4BE79-E68F-4BBE-93D1-D2FEE200B0FF}"/>
    <cellStyle name="Финансовый 3 3 3 2 2 3 3 2 4" xfId="14685" xr:uid="{00000000-0005-0000-0000-000008340000}"/>
    <cellStyle name="Финансовый 3 3 3 2 2 3 3 2 4 2" xfId="31698" xr:uid="{9F4755F3-30E5-45EB-BA71-1078FE50546A}"/>
    <cellStyle name="Финансовый 3 3 3 2 2 3 3 2 5" xfId="17766" xr:uid="{00000000-0005-0000-0000-000009340000}"/>
    <cellStyle name="Финансовый 3 3 3 2 2 3 3 2 5 2" xfId="34779" xr:uid="{8FD5814C-0D4D-469B-B80C-4A5360D977E0}"/>
    <cellStyle name="Финансовый 3 3 3 2 2 3 3 2 6" xfId="25469" xr:uid="{15BC3CE4-688A-4A5D-9D72-B3FE38CD7F49}"/>
    <cellStyle name="Финансовый 3 3 3 2 2 3 3 3" xfId="8364" xr:uid="{00000000-0005-0000-0000-00000A340000}"/>
    <cellStyle name="Финансовый 3 3 3 2 2 3 3 3 2" xfId="11455" xr:uid="{00000000-0005-0000-0000-00000B340000}"/>
    <cellStyle name="Финансовый 3 3 3 2 2 3 3 3 2 2" xfId="28544" xr:uid="{1E467057-5DBE-4D8B-A1A5-BA89F4C65066}"/>
    <cellStyle name="Финансовый 3 3 3 2 2 3 3 3 3" xfId="14687" xr:uid="{00000000-0005-0000-0000-00000C340000}"/>
    <cellStyle name="Финансовый 3 3 3 2 2 3 3 3 3 2" xfId="31700" xr:uid="{3D9468DC-3114-46E3-B0E8-D8DF9EABA31B}"/>
    <cellStyle name="Финансовый 3 3 3 2 2 3 3 3 4" xfId="17768" xr:uid="{00000000-0005-0000-0000-00000D340000}"/>
    <cellStyle name="Финансовый 3 3 3 2 2 3 3 3 4 2" xfId="34781" xr:uid="{9165ACF4-9758-44CB-AA72-5F9F77B94F68}"/>
    <cellStyle name="Финансовый 3 3 3 2 2 3 3 3 5" xfId="25471" xr:uid="{6EBBB186-C57F-4179-840C-8A8ADD97FA97}"/>
    <cellStyle name="Финансовый 3 3 3 2 2 3 3 4" xfId="11452" xr:uid="{00000000-0005-0000-0000-00000E340000}"/>
    <cellStyle name="Финансовый 3 3 3 2 2 3 3 4 2" xfId="28541" xr:uid="{7CF0D73E-FE85-4557-AA19-05953C8A1148}"/>
    <cellStyle name="Финансовый 3 3 3 2 2 3 3 5" xfId="14684" xr:uid="{00000000-0005-0000-0000-00000F340000}"/>
    <cellStyle name="Финансовый 3 3 3 2 2 3 3 5 2" xfId="31697" xr:uid="{AC002D17-3D61-4BE2-95D6-63A5FF858D4B}"/>
    <cellStyle name="Финансовый 3 3 3 2 2 3 3 6" xfId="17765" xr:uid="{00000000-0005-0000-0000-000010340000}"/>
    <cellStyle name="Финансовый 3 3 3 2 2 3 3 6 2" xfId="34778" xr:uid="{4DF9801A-E83D-4AE4-88BE-008B615E4EB5}"/>
    <cellStyle name="Финансовый 3 3 3 2 2 3 3 7" xfId="25468" xr:uid="{7B29B1C4-50A7-49F2-A609-2571AC867411}"/>
    <cellStyle name="Финансовый 3 3 3 2 2 3 4" xfId="8365" xr:uid="{00000000-0005-0000-0000-000011340000}"/>
    <cellStyle name="Финансовый 3 3 3 2 2 3 4 2" xfId="8366" xr:uid="{00000000-0005-0000-0000-000012340000}"/>
    <cellStyle name="Финансовый 3 3 3 2 2 3 4 2 2" xfId="11457" xr:uid="{00000000-0005-0000-0000-000013340000}"/>
    <cellStyle name="Финансовый 3 3 3 2 2 3 4 2 2 2" xfId="28546" xr:uid="{F07DFD76-BA4C-4F57-A139-4212924CB647}"/>
    <cellStyle name="Финансовый 3 3 3 2 2 3 4 2 3" xfId="14689" xr:uid="{00000000-0005-0000-0000-000014340000}"/>
    <cellStyle name="Финансовый 3 3 3 2 2 3 4 2 3 2" xfId="31702" xr:uid="{7F26EB37-9D02-451C-A9D6-42257E5992BC}"/>
    <cellStyle name="Финансовый 3 3 3 2 2 3 4 2 4" xfId="17770" xr:uid="{00000000-0005-0000-0000-000015340000}"/>
    <cellStyle name="Финансовый 3 3 3 2 2 3 4 2 4 2" xfId="34783" xr:uid="{37868910-5206-43BB-A659-D4574F092850}"/>
    <cellStyle name="Финансовый 3 3 3 2 2 3 4 2 5" xfId="25473" xr:uid="{A5B21262-0D36-4698-ADCD-38C987649D56}"/>
    <cellStyle name="Финансовый 3 3 3 2 2 3 4 3" xfId="11456" xr:uid="{00000000-0005-0000-0000-000016340000}"/>
    <cellStyle name="Финансовый 3 3 3 2 2 3 4 3 2" xfId="28545" xr:uid="{310DC051-4F86-4F9C-892D-891B2D267EF3}"/>
    <cellStyle name="Финансовый 3 3 3 2 2 3 4 4" xfId="14688" xr:uid="{00000000-0005-0000-0000-000017340000}"/>
    <cellStyle name="Финансовый 3 3 3 2 2 3 4 4 2" xfId="31701" xr:uid="{E0363133-09FA-4F9E-AE56-AB5B0C56FB53}"/>
    <cellStyle name="Финансовый 3 3 3 2 2 3 4 5" xfId="17769" xr:uid="{00000000-0005-0000-0000-000018340000}"/>
    <cellStyle name="Финансовый 3 3 3 2 2 3 4 5 2" xfId="34782" xr:uid="{9A121BCB-3505-4465-9D00-CBA8CCC0DAB1}"/>
    <cellStyle name="Финансовый 3 3 3 2 2 3 4 6" xfId="25472" xr:uid="{511036ED-EFE6-4D25-BEAB-6596B3835960}"/>
    <cellStyle name="Финансовый 3 3 3 2 2 3 5" xfId="8367" xr:uid="{00000000-0005-0000-0000-000019340000}"/>
    <cellStyle name="Финансовый 3 3 3 2 2 3 5 2" xfId="11458" xr:uid="{00000000-0005-0000-0000-00001A340000}"/>
    <cellStyle name="Финансовый 3 3 3 2 2 3 5 2 2" xfId="28547" xr:uid="{31632CEB-46DC-46B5-BA7B-B0414F8EA407}"/>
    <cellStyle name="Финансовый 3 3 3 2 2 3 5 3" xfId="14690" xr:uid="{00000000-0005-0000-0000-00001B340000}"/>
    <cellStyle name="Финансовый 3 3 3 2 2 3 5 3 2" xfId="31703" xr:uid="{675D8B2C-3EF1-4785-8F39-6927ABF6DA8B}"/>
    <cellStyle name="Финансовый 3 3 3 2 2 3 5 4" xfId="17771" xr:uid="{00000000-0005-0000-0000-00001C340000}"/>
    <cellStyle name="Финансовый 3 3 3 2 2 3 5 4 2" xfId="34784" xr:uid="{4686CB39-56AF-4119-9323-F425D29943BC}"/>
    <cellStyle name="Финансовый 3 3 3 2 2 3 5 5" xfId="25474" xr:uid="{4658F4E9-D0B2-40D2-B202-7F1A8C7552D6}"/>
    <cellStyle name="Финансовый 3 3 3 2 2 3 6" xfId="11443" xr:uid="{00000000-0005-0000-0000-00001D340000}"/>
    <cellStyle name="Финансовый 3 3 3 2 2 3 6 2" xfId="28532" xr:uid="{EBE2E9B6-A7FC-4B47-AB9B-3AD3D890DD6B}"/>
    <cellStyle name="Финансовый 3 3 3 2 2 3 7" xfId="14675" xr:uid="{00000000-0005-0000-0000-00001E340000}"/>
    <cellStyle name="Финансовый 3 3 3 2 2 3 7 2" xfId="31688" xr:uid="{6F8F76FA-D533-4A9C-AD24-569D7106F806}"/>
    <cellStyle name="Финансовый 3 3 3 2 2 3 8" xfId="17756" xr:uid="{00000000-0005-0000-0000-00001F340000}"/>
    <cellStyle name="Финансовый 3 3 3 2 2 3 8 2" xfId="34769" xr:uid="{ECDFA9E5-9A2F-4E44-A13B-6AAA69107FD2}"/>
    <cellStyle name="Финансовый 3 3 3 2 2 3 9" xfId="25459" xr:uid="{3FD5CDC9-5B59-4B9A-B5B2-908F15A69F46}"/>
    <cellStyle name="Финансовый 3 3 3 2 2 4" xfId="8368" xr:uid="{00000000-0005-0000-0000-000020340000}"/>
    <cellStyle name="Финансовый 3 3 3 2 2 4 2" xfId="8369" xr:uid="{00000000-0005-0000-0000-000021340000}"/>
    <cellStyle name="Финансовый 3 3 3 2 2 4 2 2" xfId="8370" xr:uid="{00000000-0005-0000-0000-000022340000}"/>
    <cellStyle name="Финансовый 3 3 3 2 2 4 2 2 2" xfId="8371" xr:uid="{00000000-0005-0000-0000-000023340000}"/>
    <cellStyle name="Финансовый 3 3 3 2 2 4 2 2 2 2" xfId="11462" xr:uid="{00000000-0005-0000-0000-000024340000}"/>
    <cellStyle name="Финансовый 3 3 3 2 2 4 2 2 2 2 2" xfId="28551" xr:uid="{0C5577F5-7CBF-41D8-8B62-7411A6DF0771}"/>
    <cellStyle name="Финансовый 3 3 3 2 2 4 2 2 2 3" xfId="14694" xr:uid="{00000000-0005-0000-0000-000025340000}"/>
    <cellStyle name="Финансовый 3 3 3 2 2 4 2 2 2 3 2" xfId="31707" xr:uid="{26DB6760-7FB5-4A18-BAFD-343B536986E6}"/>
    <cellStyle name="Финансовый 3 3 3 2 2 4 2 2 2 4" xfId="17775" xr:uid="{00000000-0005-0000-0000-000026340000}"/>
    <cellStyle name="Финансовый 3 3 3 2 2 4 2 2 2 4 2" xfId="34788" xr:uid="{8CA0F4CF-00AB-4B0C-BC6B-8C791D03F19D}"/>
    <cellStyle name="Финансовый 3 3 3 2 2 4 2 2 2 5" xfId="25478" xr:uid="{1D49DFBF-A551-43EA-8760-883FA723A43C}"/>
    <cellStyle name="Финансовый 3 3 3 2 2 4 2 2 3" xfId="11461" xr:uid="{00000000-0005-0000-0000-000027340000}"/>
    <cellStyle name="Финансовый 3 3 3 2 2 4 2 2 3 2" xfId="28550" xr:uid="{5B065266-7EBC-4D28-BFCF-2A208D0583EC}"/>
    <cellStyle name="Финансовый 3 3 3 2 2 4 2 2 4" xfId="14693" xr:uid="{00000000-0005-0000-0000-000028340000}"/>
    <cellStyle name="Финансовый 3 3 3 2 2 4 2 2 4 2" xfId="31706" xr:uid="{A9045AFC-1627-4406-9581-ECB666236D9A}"/>
    <cellStyle name="Финансовый 3 3 3 2 2 4 2 2 5" xfId="17774" xr:uid="{00000000-0005-0000-0000-000029340000}"/>
    <cellStyle name="Финансовый 3 3 3 2 2 4 2 2 5 2" xfId="34787" xr:uid="{F9E10928-4A70-4BAB-9375-E9A76FFD8F88}"/>
    <cellStyle name="Финансовый 3 3 3 2 2 4 2 2 6" xfId="25477" xr:uid="{18CF78A1-01EF-4EED-87FA-5DF29C814096}"/>
    <cellStyle name="Финансовый 3 3 3 2 2 4 2 3" xfId="8372" xr:uid="{00000000-0005-0000-0000-00002A340000}"/>
    <cellStyle name="Финансовый 3 3 3 2 2 4 2 3 2" xfId="11463" xr:uid="{00000000-0005-0000-0000-00002B340000}"/>
    <cellStyle name="Финансовый 3 3 3 2 2 4 2 3 2 2" xfId="28552" xr:uid="{3D212EEA-A73A-49D7-BC91-E86B8D52B20A}"/>
    <cellStyle name="Финансовый 3 3 3 2 2 4 2 3 3" xfId="14695" xr:uid="{00000000-0005-0000-0000-00002C340000}"/>
    <cellStyle name="Финансовый 3 3 3 2 2 4 2 3 3 2" xfId="31708" xr:uid="{3DF6041A-D279-4A9D-8DA7-D0A5EB0DD1E1}"/>
    <cellStyle name="Финансовый 3 3 3 2 2 4 2 3 4" xfId="17776" xr:uid="{00000000-0005-0000-0000-00002D340000}"/>
    <cellStyle name="Финансовый 3 3 3 2 2 4 2 3 4 2" xfId="34789" xr:uid="{714F6D7E-4769-4D91-B887-CEBCEBACC93D}"/>
    <cellStyle name="Финансовый 3 3 3 2 2 4 2 3 5" xfId="25479" xr:uid="{0A5AFCDD-9733-40D4-B4E2-EF860293E0AA}"/>
    <cellStyle name="Финансовый 3 3 3 2 2 4 2 4" xfId="11460" xr:uid="{00000000-0005-0000-0000-00002E340000}"/>
    <cellStyle name="Финансовый 3 3 3 2 2 4 2 4 2" xfId="28549" xr:uid="{0B70114F-8626-4997-906B-C3CD1E4A6D23}"/>
    <cellStyle name="Финансовый 3 3 3 2 2 4 2 5" xfId="14692" xr:uid="{00000000-0005-0000-0000-00002F340000}"/>
    <cellStyle name="Финансовый 3 3 3 2 2 4 2 5 2" xfId="31705" xr:uid="{1838F372-8A2C-4D62-BE78-A3251477A112}"/>
    <cellStyle name="Финансовый 3 3 3 2 2 4 2 6" xfId="17773" xr:uid="{00000000-0005-0000-0000-000030340000}"/>
    <cellStyle name="Финансовый 3 3 3 2 2 4 2 6 2" xfId="34786" xr:uid="{E18BAB53-7892-431D-B566-4DF1D435DEEA}"/>
    <cellStyle name="Финансовый 3 3 3 2 2 4 2 7" xfId="25476" xr:uid="{C54E94C5-1E5B-4C84-A863-61192FAB01A7}"/>
    <cellStyle name="Финансовый 3 3 3 2 2 4 3" xfId="8373" xr:uid="{00000000-0005-0000-0000-000031340000}"/>
    <cellStyle name="Финансовый 3 3 3 2 2 4 3 2" xfId="8374" xr:uid="{00000000-0005-0000-0000-000032340000}"/>
    <cellStyle name="Финансовый 3 3 3 2 2 4 3 2 2" xfId="11465" xr:uid="{00000000-0005-0000-0000-000033340000}"/>
    <cellStyle name="Финансовый 3 3 3 2 2 4 3 2 2 2" xfId="28554" xr:uid="{B1E2C4F3-7CE0-4800-9C22-087762142A5D}"/>
    <cellStyle name="Финансовый 3 3 3 2 2 4 3 2 3" xfId="14697" xr:uid="{00000000-0005-0000-0000-000034340000}"/>
    <cellStyle name="Финансовый 3 3 3 2 2 4 3 2 3 2" xfId="31710" xr:uid="{41BAF727-0395-4EC7-9E3A-370820C23177}"/>
    <cellStyle name="Финансовый 3 3 3 2 2 4 3 2 4" xfId="17778" xr:uid="{00000000-0005-0000-0000-000035340000}"/>
    <cellStyle name="Финансовый 3 3 3 2 2 4 3 2 4 2" xfId="34791" xr:uid="{923D86BC-4A5C-4B5C-94C3-D86887F015A7}"/>
    <cellStyle name="Финансовый 3 3 3 2 2 4 3 2 5" xfId="25481" xr:uid="{AB2D65CA-4ACE-47F4-94AE-5C2C2175590B}"/>
    <cellStyle name="Финансовый 3 3 3 2 2 4 3 3" xfId="11464" xr:uid="{00000000-0005-0000-0000-000036340000}"/>
    <cellStyle name="Финансовый 3 3 3 2 2 4 3 3 2" xfId="28553" xr:uid="{8120534A-16A8-4607-B6D3-E27BB37CA65C}"/>
    <cellStyle name="Финансовый 3 3 3 2 2 4 3 4" xfId="14696" xr:uid="{00000000-0005-0000-0000-000037340000}"/>
    <cellStyle name="Финансовый 3 3 3 2 2 4 3 4 2" xfId="31709" xr:uid="{33F136AE-6183-4F0A-A9B8-49859DAB199A}"/>
    <cellStyle name="Финансовый 3 3 3 2 2 4 3 5" xfId="17777" xr:uid="{00000000-0005-0000-0000-000038340000}"/>
    <cellStyle name="Финансовый 3 3 3 2 2 4 3 5 2" xfId="34790" xr:uid="{846DEEE1-7E92-4322-B4EE-9585BD0F685D}"/>
    <cellStyle name="Финансовый 3 3 3 2 2 4 3 6" xfId="25480" xr:uid="{201ADEF5-06BF-4C5E-BAC2-7C98B85A71DF}"/>
    <cellStyle name="Финансовый 3 3 3 2 2 4 4" xfId="8375" xr:uid="{00000000-0005-0000-0000-000039340000}"/>
    <cellStyle name="Финансовый 3 3 3 2 2 4 4 2" xfId="11466" xr:uid="{00000000-0005-0000-0000-00003A340000}"/>
    <cellStyle name="Финансовый 3 3 3 2 2 4 4 2 2" xfId="28555" xr:uid="{C4E5BFEE-2F54-47C0-B749-BD3540A19B95}"/>
    <cellStyle name="Финансовый 3 3 3 2 2 4 4 3" xfId="14698" xr:uid="{00000000-0005-0000-0000-00003B340000}"/>
    <cellStyle name="Финансовый 3 3 3 2 2 4 4 3 2" xfId="31711" xr:uid="{F9D3EFF5-EA63-4A6E-BEB1-6AB22BA16A0C}"/>
    <cellStyle name="Финансовый 3 3 3 2 2 4 4 4" xfId="17779" xr:uid="{00000000-0005-0000-0000-00003C340000}"/>
    <cellStyle name="Финансовый 3 3 3 2 2 4 4 4 2" xfId="34792" xr:uid="{713B0447-700C-47B3-8DA9-36B2F81AD1E0}"/>
    <cellStyle name="Финансовый 3 3 3 2 2 4 4 5" xfId="25482" xr:uid="{C35F912B-41E4-4CE5-9C61-51517641921C}"/>
    <cellStyle name="Финансовый 3 3 3 2 2 4 5" xfId="11459" xr:uid="{00000000-0005-0000-0000-00003D340000}"/>
    <cellStyle name="Финансовый 3 3 3 2 2 4 5 2" xfId="28548" xr:uid="{016394D3-D858-4272-8E56-A76FCC2E358D}"/>
    <cellStyle name="Финансовый 3 3 3 2 2 4 6" xfId="14691" xr:uid="{00000000-0005-0000-0000-00003E340000}"/>
    <cellStyle name="Финансовый 3 3 3 2 2 4 6 2" xfId="31704" xr:uid="{CB09D552-5C06-4DDE-A92B-18DAC24E8E78}"/>
    <cellStyle name="Финансовый 3 3 3 2 2 4 7" xfId="17772" xr:uid="{00000000-0005-0000-0000-00003F340000}"/>
    <cellStyle name="Финансовый 3 3 3 2 2 4 7 2" xfId="34785" xr:uid="{8A36593F-AC7D-4240-89F9-252E53D3ADF5}"/>
    <cellStyle name="Финансовый 3 3 3 2 2 4 8" xfId="25475" xr:uid="{94DA88AD-7C6B-4097-A470-6B3BA9B8C1D5}"/>
    <cellStyle name="Финансовый 3 3 3 2 2 5" xfId="8376" xr:uid="{00000000-0005-0000-0000-000040340000}"/>
    <cellStyle name="Финансовый 3 3 3 2 2 5 2" xfId="8377" xr:uid="{00000000-0005-0000-0000-000041340000}"/>
    <cellStyle name="Финансовый 3 3 3 2 2 5 2 2" xfId="8378" xr:uid="{00000000-0005-0000-0000-000042340000}"/>
    <cellStyle name="Финансовый 3 3 3 2 2 5 2 2 2" xfId="11469" xr:uid="{00000000-0005-0000-0000-000043340000}"/>
    <cellStyle name="Финансовый 3 3 3 2 2 5 2 2 2 2" xfId="28558" xr:uid="{33217241-26C6-4FAD-B9CE-C39F10F6895A}"/>
    <cellStyle name="Финансовый 3 3 3 2 2 5 2 2 3" xfId="14701" xr:uid="{00000000-0005-0000-0000-000044340000}"/>
    <cellStyle name="Финансовый 3 3 3 2 2 5 2 2 3 2" xfId="31714" xr:uid="{44DEF354-9A94-4D73-A5CB-6CEB72CD02D6}"/>
    <cellStyle name="Финансовый 3 3 3 2 2 5 2 2 4" xfId="17782" xr:uid="{00000000-0005-0000-0000-000045340000}"/>
    <cellStyle name="Финансовый 3 3 3 2 2 5 2 2 4 2" xfId="34795" xr:uid="{745738C1-AA8F-4C0A-B960-F695D26190D1}"/>
    <cellStyle name="Финансовый 3 3 3 2 2 5 2 2 5" xfId="25485" xr:uid="{613669FB-C0CD-4F12-97DA-B971FC0E68C5}"/>
    <cellStyle name="Финансовый 3 3 3 2 2 5 2 3" xfId="11468" xr:uid="{00000000-0005-0000-0000-000046340000}"/>
    <cellStyle name="Финансовый 3 3 3 2 2 5 2 3 2" xfId="28557" xr:uid="{58E0A3FA-35F8-4C2A-8E4C-67BB01AD0747}"/>
    <cellStyle name="Финансовый 3 3 3 2 2 5 2 4" xfId="14700" xr:uid="{00000000-0005-0000-0000-000047340000}"/>
    <cellStyle name="Финансовый 3 3 3 2 2 5 2 4 2" xfId="31713" xr:uid="{E742E74C-1842-49A2-B21B-8DD19B18352F}"/>
    <cellStyle name="Финансовый 3 3 3 2 2 5 2 5" xfId="17781" xr:uid="{00000000-0005-0000-0000-000048340000}"/>
    <cellStyle name="Финансовый 3 3 3 2 2 5 2 5 2" xfId="34794" xr:uid="{D611C8FD-11E5-472E-9EFF-71C0911F1C4A}"/>
    <cellStyle name="Финансовый 3 3 3 2 2 5 2 6" xfId="25484" xr:uid="{BDBDA2B5-9429-4475-A07E-2CB16B946C29}"/>
    <cellStyle name="Финансовый 3 3 3 2 2 5 3" xfId="8379" xr:uid="{00000000-0005-0000-0000-000049340000}"/>
    <cellStyle name="Финансовый 3 3 3 2 2 5 3 2" xfId="11470" xr:uid="{00000000-0005-0000-0000-00004A340000}"/>
    <cellStyle name="Финансовый 3 3 3 2 2 5 3 2 2" xfId="28559" xr:uid="{19DEC7C9-AFFA-48B7-9288-930109B09420}"/>
    <cellStyle name="Финансовый 3 3 3 2 2 5 3 3" xfId="14702" xr:uid="{00000000-0005-0000-0000-00004B340000}"/>
    <cellStyle name="Финансовый 3 3 3 2 2 5 3 3 2" xfId="31715" xr:uid="{4B150EDB-8229-4E8B-8D0F-2FE7C99D02B6}"/>
    <cellStyle name="Финансовый 3 3 3 2 2 5 3 4" xfId="17783" xr:uid="{00000000-0005-0000-0000-00004C340000}"/>
    <cellStyle name="Финансовый 3 3 3 2 2 5 3 4 2" xfId="34796" xr:uid="{A39C4976-9856-4E0F-8571-DD096D0AB19F}"/>
    <cellStyle name="Финансовый 3 3 3 2 2 5 3 5" xfId="25486" xr:uid="{EE466006-D268-40D4-9AD7-BFEBCA84807B}"/>
    <cellStyle name="Финансовый 3 3 3 2 2 5 4" xfId="11467" xr:uid="{00000000-0005-0000-0000-00004D340000}"/>
    <cellStyle name="Финансовый 3 3 3 2 2 5 4 2" xfId="28556" xr:uid="{D109F49D-8512-4E32-A06B-7808D44CEF27}"/>
    <cellStyle name="Финансовый 3 3 3 2 2 5 5" xfId="14699" xr:uid="{00000000-0005-0000-0000-00004E340000}"/>
    <cellStyle name="Финансовый 3 3 3 2 2 5 5 2" xfId="31712" xr:uid="{FAC5CE66-50EB-4B2C-A1C2-2589C4A52BC6}"/>
    <cellStyle name="Финансовый 3 3 3 2 2 5 6" xfId="17780" xr:uid="{00000000-0005-0000-0000-00004F340000}"/>
    <cellStyle name="Финансовый 3 3 3 2 2 5 6 2" xfId="34793" xr:uid="{BDE8C03B-A177-46A7-9AF1-C11FC1C703D1}"/>
    <cellStyle name="Финансовый 3 3 3 2 2 5 7" xfId="25483" xr:uid="{7BD2EC99-7FA3-463A-BD57-9B4FEA06184E}"/>
    <cellStyle name="Финансовый 3 3 3 2 2 6" xfId="8380" xr:uid="{00000000-0005-0000-0000-000050340000}"/>
    <cellStyle name="Финансовый 3 3 3 2 2 6 2" xfId="8381" xr:uid="{00000000-0005-0000-0000-000051340000}"/>
    <cellStyle name="Финансовый 3 3 3 2 2 6 2 2" xfId="11472" xr:uid="{00000000-0005-0000-0000-000052340000}"/>
    <cellStyle name="Финансовый 3 3 3 2 2 6 2 2 2" xfId="28561" xr:uid="{574CDB88-174D-4ACE-B0CB-89401FF14870}"/>
    <cellStyle name="Финансовый 3 3 3 2 2 6 2 3" xfId="14704" xr:uid="{00000000-0005-0000-0000-000053340000}"/>
    <cellStyle name="Финансовый 3 3 3 2 2 6 2 3 2" xfId="31717" xr:uid="{CDDD1D4B-2B47-4CDA-8F3C-1BAD397C5449}"/>
    <cellStyle name="Финансовый 3 3 3 2 2 6 2 4" xfId="17785" xr:uid="{00000000-0005-0000-0000-000054340000}"/>
    <cellStyle name="Финансовый 3 3 3 2 2 6 2 4 2" xfId="34798" xr:uid="{4E46FE0B-FD45-4259-8B10-B83C42450730}"/>
    <cellStyle name="Финансовый 3 3 3 2 2 6 2 5" xfId="25488" xr:uid="{05D40DA3-AEAA-4886-83A6-885EB3F19B68}"/>
    <cellStyle name="Финансовый 3 3 3 2 2 6 3" xfId="11471" xr:uid="{00000000-0005-0000-0000-000055340000}"/>
    <cellStyle name="Финансовый 3 3 3 2 2 6 3 2" xfId="28560" xr:uid="{C1CEBA33-645B-4ABA-9B15-778E7FC83586}"/>
    <cellStyle name="Финансовый 3 3 3 2 2 6 4" xfId="14703" xr:uid="{00000000-0005-0000-0000-000056340000}"/>
    <cellStyle name="Финансовый 3 3 3 2 2 6 4 2" xfId="31716" xr:uid="{956ECC80-D7A7-4675-938B-7898DB84DB0D}"/>
    <cellStyle name="Финансовый 3 3 3 2 2 6 5" xfId="17784" xr:uid="{00000000-0005-0000-0000-000057340000}"/>
    <cellStyle name="Финансовый 3 3 3 2 2 6 5 2" xfId="34797" xr:uid="{44AC2513-895C-4AB0-930E-7D4A8AA95A99}"/>
    <cellStyle name="Финансовый 3 3 3 2 2 6 6" xfId="25487" xr:uid="{D32517E5-081C-4C25-A0D0-F31071DFD669}"/>
    <cellStyle name="Финансовый 3 3 3 2 2 7" xfId="8382" xr:uid="{00000000-0005-0000-0000-000058340000}"/>
    <cellStyle name="Финансовый 3 3 3 2 2 7 2" xfId="11473" xr:uid="{00000000-0005-0000-0000-000059340000}"/>
    <cellStyle name="Финансовый 3 3 3 2 2 7 2 2" xfId="28562" xr:uid="{0602511A-5697-4CA3-A255-EC84E6706545}"/>
    <cellStyle name="Финансовый 3 3 3 2 2 7 3" xfId="14705" xr:uid="{00000000-0005-0000-0000-00005A340000}"/>
    <cellStyle name="Финансовый 3 3 3 2 2 7 3 2" xfId="31718" xr:uid="{59279F19-6A0C-4098-A90A-A1C138DDD1FE}"/>
    <cellStyle name="Финансовый 3 3 3 2 2 7 4" xfId="17786" xr:uid="{00000000-0005-0000-0000-00005B340000}"/>
    <cellStyle name="Финансовый 3 3 3 2 2 7 4 2" xfId="34799" xr:uid="{F35C10B6-2E9A-4D46-9152-693E15A85353}"/>
    <cellStyle name="Финансовый 3 3 3 2 2 7 5" xfId="25489" xr:uid="{4B5F375A-6720-4344-9DA0-090611D7FC62}"/>
    <cellStyle name="Финансовый 3 3 3 2 2 8" xfId="11410" xr:uid="{00000000-0005-0000-0000-00005C340000}"/>
    <cellStyle name="Финансовый 3 3 3 2 2 8 2" xfId="28499" xr:uid="{1A65E281-F556-4E7A-B7D3-7987F20F276E}"/>
    <cellStyle name="Финансовый 3 3 3 2 2 9" xfId="14642" xr:uid="{00000000-0005-0000-0000-00005D340000}"/>
    <cellStyle name="Финансовый 3 3 3 2 2 9 2" xfId="31655" xr:uid="{A256AEEE-923B-466C-A2EF-35C7E36C126B}"/>
    <cellStyle name="Финансовый 3 3 3 2 3" xfId="8383" xr:uid="{00000000-0005-0000-0000-00005E340000}"/>
    <cellStyle name="Финансовый 3 3 3 2 3 10" xfId="25490" xr:uid="{309187B1-11D9-460D-9081-27A25414C05E}"/>
    <cellStyle name="Финансовый 3 3 3 2 3 2" xfId="8384" xr:uid="{00000000-0005-0000-0000-00005F340000}"/>
    <cellStyle name="Финансовый 3 3 3 2 3 2 2" xfId="8385" xr:uid="{00000000-0005-0000-0000-000060340000}"/>
    <cellStyle name="Финансовый 3 3 3 2 3 2 2 2" xfId="8386" xr:uid="{00000000-0005-0000-0000-000061340000}"/>
    <cellStyle name="Финансовый 3 3 3 2 3 2 2 2 2" xfId="8387" xr:uid="{00000000-0005-0000-0000-000062340000}"/>
    <cellStyle name="Финансовый 3 3 3 2 3 2 2 2 2 2" xfId="8388" xr:uid="{00000000-0005-0000-0000-000063340000}"/>
    <cellStyle name="Финансовый 3 3 3 2 3 2 2 2 2 2 2" xfId="11479" xr:uid="{00000000-0005-0000-0000-000064340000}"/>
    <cellStyle name="Финансовый 3 3 3 2 3 2 2 2 2 2 2 2" xfId="28568" xr:uid="{4D6DC996-95D0-437A-868E-09268587C14F}"/>
    <cellStyle name="Финансовый 3 3 3 2 3 2 2 2 2 2 3" xfId="14711" xr:uid="{00000000-0005-0000-0000-000065340000}"/>
    <cellStyle name="Финансовый 3 3 3 2 3 2 2 2 2 2 3 2" xfId="31724" xr:uid="{D8680F21-CFC2-4C7B-A0F8-E5BAA9036EC7}"/>
    <cellStyle name="Финансовый 3 3 3 2 3 2 2 2 2 2 4" xfId="17792" xr:uid="{00000000-0005-0000-0000-000066340000}"/>
    <cellStyle name="Финансовый 3 3 3 2 3 2 2 2 2 2 4 2" xfId="34805" xr:uid="{5B37878F-16EF-4F60-9014-FBD1D1FB51F6}"/>
    <cellStyle name="Финансовый 3 3 3 2 3 2 2 2 2 2 5" xfId="25495" xr:uid="{4EE466C3-0DC5-488D-B377-9692CF62BD01}"/>
    <cellStyle name="Финансовый 3 3 3 2 3 2 2 2 2 3" xfId="11478" xr:uid="{00000000-0005-0000-0000-000067340000}"/>
    <cellStyle name="Финансовый 3 3 3 2 3 2 2 2 2 3 2" xfId="28567" xr:uid="{51929893-4D17-453D-961B-F4911CC86EE5}"/>
    <cellStyle name="Финансовый 3 3 3 2 3 2 2 2 2 4" xfId="14710" xr:uid="{00000000-0005-0000-0000-000068340000}"/>
    <cellStyle name="Финансовый 3 3 3 2 3 2 2 2 2 4 2" xfId="31723" xr:uid="{839126B8-0268-4996-B820-E945227A82ED}"/>
    <cellStyle name="Финансовый 3 3 3 2 3 2 2 2 2 5" xfId="17791" xr:uid="{00000000-0005-0000-0000-000069340000}"/>
    <cellStyle name="Финансовый 3 3 3 2 3 2 2 2 2 5 2" xfId="34804" xr:uid="{2B3A8860-84E3-4208-AF30-EB87FC744E2B}"/>
    <cellStyle name="Финансовый 3 3 3 2 3 2 2 2 2 6" xfId="25494" xr:uid="{E9B5D8B0-641E-47F1-8C73-7BB9DD30F714}"/>
    <cellStyle name="Финансовый 3 3 3 2 3 2 2 2 3" xfId="8389" xr:uid="{00000000-0005-0000-0000-00006A340000}"/>
    <cellStyle name="Финансовый 3 3 3 2 3 2 2 2 3 2" xfId="11480" xr:uid="{00000000-0005-0000-0000-00006B340000}"/>
    <cellStyle name="Финансовый 3 3 3 2 3 2 2 2 3 2 2" xfId="28569" xr:uid="{21DB6A8E-EEF8-45E7-B206-8692F9C150E8}"/>
    <cellStyle name="Финансовый 3 3 3 2 3 2 2 2 3 3" xfId="14712" xr:uid="{00000000-0005-0000-0000-00006C340000}"/>
    <cellStyle name="Финансовый 3 3 3 2 3 2 2 2 3 3 2" xfId="31725" xr:uid="{7F2DE468-A2AA-46A7-841F-8701DFC02A2F}"/>
    <cellStyle name="Финансовый 3 3 3 2 3 2 2 2 3 4" xfId="17793" xr:uid="{00000000-0005-0000-0000-00006D340000}"/>
    <cellStyle name="Финансовый 3 3 3 2 3 2 2 2 3 4 2" xfId="34806" xr:uid="{DBDFFFEC-60DF-4342-91C9-4F33057616A1}"/>
    <cellStyle name="Финансовый 3 3 3 2 3 2 2 2 3 5" xfId="25496" xr:uid="{107903F2-91F4-41B1-B7D4-8F136361BC13}"/>
    <cellStyle name="Финансовый 3 3 3 2 3 2 2 2 4" xfId="11477" xr:uid="{00000000-0005-0000-0000-00006E340000}"/>
    <cellStyle name="Финансовый 3 3 3 2 3 2 2 2 4 2" xfId="28566" xr:uid="{98E01B7F-B2B4-4287-934E-7BF6ED0D5098}"/>
    <cellStyle name="Финансовый 3 3 3 2 3 2 2 2 5" xfId="14709" xr:uid="{00000000-0005-0000-0000-00006F340000}"/>
    <cellStyle name="Финансовый 3 3 3 2 3 2 2 2 5 2" xfId="31722" xr:uid="{322A914D-AFD9-4560-8A83-775E2F57D014}"/>
    <cellStyle name="Финансовый 3 3 3 2 3 2 2 2 6" xfId="17790" xr:uid="{00000000-0005-0000-0000-000070340000}"/>
    <cellStyle name="Финансовый 3 3 3 2 3 2 2 2 6 2" xfId="34803" xr:uid="{D67EFD17-BF8B-4CB4-BEA1-5E5660C9255F}"/>
    <cellStyle name="Финансовый 3 3 3 2 3 2 2 2 7" xfId="25493" xr:uid="{808BF1D0-6D19-4464-BEAB-57DBDD56298B}"/>
    <cellStyle name="Финансовый 3 3 3 2 3 2 2 3" xfId="8390" xr:uid="{00000000-0005-0000-0000-000071340000}"/>
    <cellStyle name="Финансовый 3 3 3 2 3 2 2 3 2" xfId="8391" xr:uid="{00000000-0005-0000-0000-000072340000}"/>
    <cellStyle name="Финансовый 3 3 3 2 3 2 2 3 2 2" xfId="11482" xr:uid="{00000000-0005-0000-0000-000073340000}"/>
    <cellStyle name="Финансовый 3 3 3 2 3 2 2 3 2 2 2" xfId="28571" xr:uid="{B45A49FE-7207-49A1-9169-60BDD37844BA}"/>
    <cellStyle name="Финансовый 3 3 3 2 3 2 2 3 2 3" xfId="14714" xr:uid="{00000000-0005-0000-0000-000074340000}"/>
    <cellStyle name="Финансовый 3 3 3 2 3 2 2 3 2 3 2" xfId="31727" xr:uid="{EF62E0AE-0736-402B-A8A1-CF4CA8C78537}"/>
    <cellStyle name="Финансовый 3 3 3 2 3 2 2 3 2 4" xfId="17795" xr:uid="{00000000-0005-0000-0000-000075340000}"/>
    <cellStyle name="Финансовый 3 3 3 2 3 2 2 3 2 4 2" xfId="34808" xr:uid="{F4E9DA44-9FAA-45EA-9C0E-695DA1AC95C9}"/>
    <cellStyle name="Финансовый 3 3 3 2 3 2 2 3 2 5" xfId="25498" xr:uid="{BB8D1680-5571-4228-9B34-2535D7C61B57}"/>
    <cellStyle name="Финансовый 3 3 3 2 3 2 2 3 3" xfId="11481" xr:uid="{00000000-0005-0000-0000-000076340000}"/>
    <cellStyle name="Финансовый 3 3 3 2 3 2 2 3 3 2" xfId="28570" xr:uid="{3FFEFA45-D3BC-473B-971A-9907315AB037}"/>
    <cellStyle name="Финансовый 3 3 3 2 3 2 2 3 4" xfId="14713" xr:uid="{00000000-0005-0000-0000-000077340000}"/>
    <cellStyle name="Финансовый 3 3 3 2 3 2 2 3 4 2" xfId="31726" xr:uid="{EE24BC7E-97C9-4CB0-A8D0-C4F85CE9E408}"/>
    <cellStyle name="Финансовый 3 3 3 2 3 2 2 3 5" xfId="17794" xr:uid="{00000000-0005-0000-0000-000078340000}"/>
    <cellStyle name="Финансовый 3 3 3 2 3 2 2 3 5 2" xfId="34807" xr:uid="{915CA865-D5D2-4094-A811-6AD1C5330563}"/>
    <cellStyle name="Финансовый 3 3 3 2 3 2 2 3 6" xfId="25497" xr:uid="{A9DA68E4-A18A-4D29-88B6-B3FC669A5C22}"/>
    <cellStyle name="Финансовый 3 3 3 2 3 2 2 4" xfId="8392" xr:uid="{00000000-0005-0000-0000-000079340000}"/>
    <cellStyle name="Финансовый 3 3 3 2 3 2 2 4 2" xfId="11483" xr:uid="{00000000-0005-0000-0000-00007A340000}"/>
    <cellStyle name="Финансовый 3 3 3 2 3 2 2 4 2 2" xfId="28572" xr:uid="{B9F31D5A-392D-4EC0-8356-808637AF0B74}"/>
    <cellStyle name="Финансовый 3 3 3 2 3 2 2 4 3" xfId="14715" xr:uid="{00000000-0005-0000-0000-00007B340000}"/>
    <cellStyle name="Финансовый 3 3 3 2 3 2 2 4 3 2" xfId="31728" xr:uid="{C261C3C4-A152-4616-982E-1E143D7D3974}"/>
    <cellStyle name="Финансовый 3 3 3 2 3 2 2 4 4" xfId="17796" xr:uid="{00000000-0005-0000-0000-00007C340000}"/>
    <cellStyle name="Финансовый 3 3 3 2 3 2 2 4 4 2" xfId="34809" xr:uid="{D91D8610-1208-45B6-827B-4804B6A9AFDD}"/>
    <cellStyle name="Финансовый 3 3 3 2 3 2 2 4 5" xfId="25499" xr:uid="{72EB0420-1B86-4C37-8568-A382C09906F0}"/>
    <cellStyle name="Финансовый 3 3 3 2 3 2 2 5" xfId="11476" xr:uid="{00000000-0005-0000-0000-00007D340000}"/>
    <cellStyle name="Финансовый 3 3 3 2 3 2 2 5 2" xfId="28565" xr:uid="{018A4EA8-7D80-4EA5-99E0-4CD16EC6503B}"/>
    <cellStyle name="Финансовый 3 3 3 2 3 2 2 6" xfId="14708" xr:uid="{00000000-0005-0000-0000-00007E340000}"/>
    <cellStyle name="Финансовый 3 3 3 2 3 2 2 6 2" xfId="31721" xr:uid="{DE7C4DD8-B6D3-404C-AB5F-9334BF713DB0}"/>
    <cellStyle name="Финансовый 3 3 3 2 3 2 2 7" xfId="17789" xr:uid="{00000000-0005-0000-0000-00007F340000}"/>
    <cellStyle name="Финансовый 3 3 3 2 3 2 2 7 2" xfId="34802" xr:uid="{97F11728-0F2C-493B-AD08-97036A5843B3}"/>
    <cellStyle name="Финансовый 3 3 3 2 3 2 2 8" xfId="25492" xr:uid="{75448CE7-BD09-4011-8E2F-853D4B3B9737}"/>
    <cellStyle name="Финансовый 3 3 3 2 3 2 3" xfId="8393" xr:uid="{00000000-0005-0000-0000-000080340000}"/>
    <cellStyle name="Финансовый 3 3 3 2 3 2 3 2" xfId="8394" xr:uid="{00000000-0005-0000-0000-000081340000}"/>
    <cellStyle name="Финансовый 3 3 3 2 3 2 3 2 2" xfId="8395" xr:uid="{00000000-0005-0000-0000-000082340000}"/>
    <cellStyle name="Финансовый 3 3 3 2 3 2 3 2 2 2" xfId="11486" xr:uid="{00000000-0005-0000-0000-000083340000}"/>
    <cellStyle name="Финансовый 3 3 3 2 3 2 3 2 2 2 2" xfId="28575" xr:uid="{B496345A-F8AE-491A-9FFF-FB6992EC7AF9}"/>
    <cellStyle name="Финансовый 3 3 3 2 3 2 3 2 2 3" xfId="14718" xr:uid="{00000000-0005-0000-0000-000084340000}"/>
    <cellStyle name="Финансовый 3 3 3 2 3 2 3 2 2 3 2" xfId="31731" xr:uid="{352588A4-B298-4449-8EB6-724C902A877E}"/>
    <cellStyle name="Финансовый 3 3 3 2 3 2 3 2 2 4" xfId="17799" xr:uid="{00000000-0005-0000-0000-000085340000}"/>
    <cellStyle name="Финансовый 3 3 3 2 3 2 3 2 2 4 2" xfId="34812" xr:uid="{8FDBF9D5-76B8-4F9E-945D-658E254C1782}"/>
    <cellStyle name="Финансовый 3 3 3 2 3 2 3 2 2 5" xfId="25502" xr:uid="{FE4360DC-B19E-4CCC-A187-685D47509AFD}"/>
    <cellStyle name="Финансовый 3 3 3 2 3 2 3 2 3" xfId="11485" xr:uid="{00000000-0005-0000-0000-000086340000}"/>
    <cellStyle name="Финансовый 3 3 3 2 3 2 3 2 3 2" xfId="28574" xr:uid="{E17B4633-E119-4FC6-A115-A1C44C79A748}"/>
    <cellStyle name="Финансовый 3 3 3 2 3 2 3 2 4" xfId="14717" xr:uid="{00000000-0005-0000-0000-000087340000}"/>
    <cellStyle name="Финансовый 3 3 3 2 3 2 3 2 4 2" xfId="31730" xr:uid="{826078A1-4AA3-4AF3-8C6A-DD1720E446F3}"/>
    <cellStyle name="Финансовый 3 3 3 2 3 2 3 2 5" xfId="17798" xr:uid="{00000000-0005-0000-0000-000088340000}"/>
    <cellStyle name="Финансовый 3 3 3 2 3 2 3 2 5 2" xfId="34811" xr:uid="{7D0D229B-0153-4C0A-AC3A-29660720AD46}"/>
    <cellStyle name="Финансовый 3 3 3 2 3 2 3 2 6" xfId="25501" xr:uid="{32C4C2FA-E894-4BFF-9D4C-05D2EDD771E7}"/>
    <cellStyle name="Финансовый 3 3 3 2 3 2 3 3" xfId="8396" xr:uid="{00000000-0005-0000-0000-000089340000}"/>
    <cellStyle name="Финансовый 3 3 3 2 3 2 3 3 2" xfId="11487" xr:uid="{00000000-0005-0000-0000-00008A340000}"/>
    <cellStyle name="Финансовый 3 3 3 2 3 2 3 3 2 2" xfId="28576" xr:uid="{CB5E4494-092A-4BB5-9925-27920BFA0D38}"/>
    <cellStyle name="Финансовый 3 3 3 2 3 2 3 3 3" xfId="14719" xr:uid="{00000000-0005-0000-0000-00008B340000}"/>
    <cellStyle name="Финансовый 3 3 3 2 3 2 3 3 3 2" xfId="31732" xr:uid="{35C5B871-54BC-465E-80F4-874E1DFB31D5}"/>
    <cellStyle name="Финансовый 3 3 3 2 3 2 3 3 4" xfId="17800" xr:uid="{00000000-0005-0000-0000-00008C340000}"/>
    <cellStyle name="Финансовый 3 3 3 2 3 2 3 3 4 2" xfId="34813" xr:uid="{6AA6124A-A9DD-4E74-9769-CCC845C705A6}"/>
    <cellStyle name="Финансовый 3 3 3 2 3 2 3 3 5" xfId="25503" xr:uid="{4699E707-E134-4E9B-93CC-DD1E814D7BB0}"/>
    <cellStyle name="Финансовый 3 3 3 2 3 2 3 4" xfId="11484" xr:uid="{00000000-0005-0000-0000-00008D340000}"/>
    <cellStyle name="Финансовый 3 3 3 2 3 2 3 4 2" xfId="28573" xr:uid="{329B7BB8-FC8D-40DB-BF4F-9A6E20BD5CDB}"/>
    <cellStyle name="Финансовый 3 3 3 2 3 2 3 5" xfId="14716" xr:uid="{00000000-0005-0000-0000-00008E340000}"/>
    <cellStyle name="Финансовый 3 3 3 2 3 2 3 5 2" xfId="31729" xr:uid="{077F3D2F-A0A5-467F-BAF9-8427A6D84BC2}"/>
    <cellStyle name="Финансовый 3 3 3 2 3 2 3 6" xfId="17797" xr:uid="{00000000-0005-0000-0000-00008F340000}"/>
    <cellStyle name="Финансовый 3 3 3 2 3 2 3 6 2" xfId="34810" xr:uid="{3C5F63CD-8601-4EF7-83A8-9F1C19AA1A99}"/>
    <cellStyle name="Финансовый 3 3 3 2 3 2 3 7" xfId="25500" xr:uid="{D9C30999-8C38-4E54-9D26-FCCE10CCA920}"/>
    <cellStyle name="Финансовый 3 3 3 2 3 2 4" xfId="8397" xr:uid="{00000000-0005-0000-0000-000090340000}"/>
    <cellStyle name="Финансовый 3 3 3 2 3 2 4 2" xfId="8398" xr:uid="{00000000-0005-0000-0000-000091340000}"/>
    <cellStyle name="Финансовый 3 3 3 2 3 2 4 2 2" xfId="11489" xr:uid="{00000000-0005-0000-0000-000092340000}"/>
    <cellStyle name="Финансовый 3 3 3 2 3 2 4 2 2 2" xfId="28578" xr:uid="{6F1E6D8C-7C1B-46A3-8D2F-5FBB5727F182}"/>
    <cellStyle name="Финансовый 3 3 3 2 3 2 4 2 3" xfId="14721" xr:uid="{00000000-0005-0000-0000-000093340000}"/>
    <cellStyle name="Финансовый 3 3 3 2 3 2 4 2 3 2" xfId="31734" xr:uid="{48847559-0BEC-435A-AC5B-407D1BB7641A}"/>
    <cellStyle name="Финансовый 3 3 3 2 3 2 4 2 4" xfId="17802" xr:uid="{00000000-0005-0000-0000-000094340000}"/>
    <cellStyle name="Финансовый 3 3 3 2 3 2 4 2 4 2" xfId="34815" xr:uid="{B17C8B10-B8DA-46E9-9DD8-E9021190D577}"/>
    <cellStyle name="Финансовый 3 3 3 2 3 2 4 2 5" xfId="25505" xr:uid="{AEFA7EC5-AA00-4C74-B508-29F7B5EEE5F1}"/>
    <cellStyle name="Финансовый 3 3 3 2 3 2 4 3" xfId="11488" xr:uid="{00000000-0005-0000-0000-000095340000}"/>
    <cellStyle name="Финансовый 3 3 3 2 3 2 4 3 2" xfId="28577" xr:uid="{49BE6BCF-5188-4A9F-BD9A-38C99588F247}"/>
    <cellStyle name="Финансовый 3 3 3 2 3 2 4 4" xfId="14720" xr:uid="{00000000-0005-0000-0000-000096340000}"/>
    <cellStyle name="Финансовый 3 3 3 2 3 2 4 4 2" xfId="31733" xr:uid="{A59D5B16-4BDE-4F29-AD0F-4AF684411BE7}"/>
    <cellStyle name="Финансовый 3 3 3 2 3 2 4 5" xfId="17801" xr:uid="{00000000-0005-0000-0000-000097340000}"/>
    <cellStyle name="Финансовый 3 3 3 2 3 2 4 5 2" xfId="34814" xr:uid="{5C742F70-CBC8-42BA-81B2-ECEA5B8DF3B9}"/>
    <cellStyle name="Финансовый 3 3 3 2 3 2 4 6" xfId="25504" xr:uid="{F78CEED5-C1BC-4242-BC2E-53A0E2614AC7}"/>
    <cellStyle name="Финансовый 3 3 3 2 3 2 5" xfId="8399" xr:uid="{00000000-0005-0000-0000-000098340000}"/>
    <cellStyle name="Финансовый 3 3 3 2 3 2 5 2" xfId="11490" xr:uid="{00000000-0005-0000-0000-000099340000}"/>
    <cellStyle name="Финансовый 3 3 3 2 3 2 5 2 2" xfId="28579" xr:uid="{34A347D4-0605-463F-A30B-01AA93870C8E}"/>
    <cellStyle name="Финансовый 3 3 3 2 3 2 5 3" xfId="14722" xr:uid="{00000000-0005-0000-0000-00009A340000}"/>
    <cellStyle name="Финансовый 3 3 3 2 3 2 5 3 2" xfId="31735" xr:uid="{76F65E56-EB37-4E16-8F78-295DC44CA8DE}"/>
    <cellStyle name="Финансовый 3 3 3 2 3 2 5 4" xfId="17803" xr:uid="{00000000-0005-0000-0000-00009B340000}"/>
    <cellStyle name="Финансовый 3 3 3 2 3 2 5 4 2" xfId="34816" xr:uid="{FB534115-3423-47C7-B2C5-7647DF0E68F6}"/>
    <cellStyle name="Финансовый 3 3 3 2 3 2 5 5" xfId="25506" xr:uid="{DC5923FD-650E-4B95-A0F9-796D617D5FC4}"/>
    <cellStyle name="Финансовый 3 3 3 2 3 2 6" xfId="11475" xr:uid="{00000000-0005-0000-0000-00009C340000}"/>
    <cellStyle name="Финансовый 3 3 3 2 3 2 6 2" xfId="28564" xr:uid="{CFDE7CB2-BA44-4D75-A314-89C3A4CE614A}"/>
    <cellStyle name="Финансовый 3 3 3 2 3 2 7" xfId="14707" xr:uid="{00000000-0005-0000-0000-00009D340000}"/>
    <cellStyle name="Финансовый 3 3 3 2 3 2 7 2" xfId="31720" xr:uid="{68C578D6-2942-4AAA-A2B8-E7E1FCB4219B}"/>
    <cellStyle name="Финансовый 3 3 3 2 3 2 8" xfId="17788" xr:uid="{00000000-0005-0000-0000-00009E340000}"/>
    <cellStyle name="Финансовый 3 3 3 2 3 2 8 2" xfId="34801" xr:uid="{6DED2394-DD4E-4D3D-9989-D1000D79B092}"/>
    <cellStyle name="Финансовый 3 3 3 2 3 2 9" xfId="25491" xr:uid="{ABF32A7A-5BC2-47E4-8E3A-03D969008B1F}"/>
    <cellStyle name="Финансовый 3 3 3 2 3 3" xfId="8400" xr:uid="{00000000-0005-0000-0000-00009F340000}"/>
    <cellStyle name="Финансовый 3 3 3 2 3 3 2" xfId="8401" xr:uid="{00000000-0005-0000-0000-0000A0340000}"/>
    <cellStyle name="Финансовый 3 3 3 2 3 3 2 2" xfId="8402" xr:uid="{00000000-0005-0000-0000-0000A1340000}"/>
    <cellStyle name="Финансовый 3 3 3 2 3 3 2 2 2" xfId="8403" xr:uid="{00000000-0005-0000-0000-0000A2340000}"/>
    <cellStyle name="Финансовый 3 3 3 2 3 3 2 2 2 2" xfId="11494" xr:uid="{00000000-0005-0000-0000-0000A3340000}"/>
    <cellStyle name="Финансовый 3 3 3 2 3 3 2 2 2 2 2" xfId="28583" xr:uid="{35591D47-1245-4D0B-8DB3-00C7AD319F80}"/>
    <cellStyle name="Финансовый 3 3 3 2 3 3 2 2 2 3" xfId="14726" xr:uid="{00000000-0005-0000-0000-0000A4340000}"/>
    <cellStyle name="Финансовый 3 3 3 2 3 3 2 2 2 3 2" xfId="31739" xr:uid="{24D91D76-8E59-4704-85C2-CCC2185D3220}"/>
    <cellStyle name="Финансовый 3 3 3 2 3 3 2 2 2 4" xfId="17807" xr:uid="{00000000-0005-0000-0000-0000A5340000}"/>
    <cellStyle name="Финансовый 3 3 3 2 3 3 2 2 2 4 2" xfId="34820" xr:uid="{581C5618-2E8B-474C-B3EF-04C786EBF5E4}"/>
    <cellStyle name="Финансовый 3 3 3 2 3 3 2 2 2 5" xfId="25510" xr:uid="{66A58B05-E0FC-485B-B6CC-358073850CDF}"/>
    <cellStyle name="Финансовый 3 3 3 2 3 3 2 2 3" xfId="11493" xr:uid="{00000000-0005-0000-0000-0000A6340000}"/>
    <cellStyle name="Финансовый 3 3 3 2 3 3 2 2 3 2" xfId="28582" xr:uid="{7B5BEE41-1ABE-4C0B-913B-7C5092CF1139}"/>
    <cellStyle name="Финансовый 3 3 3 2 3 3 2 2 4" xfId="14725" xr:uid="{00000000-0005-0000-0000-0000A7340000}"/>
    <cellStyle name="Финансовый 3 3 3 2 3 3 2 2 4 2" xfId="31738" xr:uid="{DA7B6C9F-412E-4D7E-8E25-E3CBE0EF10F3}"/>
    <cellStyle name="Финансовый 3 3 3 2 3 3 2 2 5" xfId="17806" xr:uid="{00000000-0005-0000-0000-0000A8340000}"/>
    <cellStyle name="Финансовый 3 3 3 2 3 3 2 2 5 2" xfId="34819" xr:uid="{7721F42F-C531-4B3D-901E-F4062A712A24}"/>
    <cellStyle name="Финансовый 3 3 3 2 3 3 2 2 6" xfId="25509" xr:uid="{3C4462A0-DAB5-4425-A6F3-BD46E336FC36}"/>
    <cellStyle name="Финансовый 3 3 3 2 3 3 2 3" xfId="8404" xr:uid="{00000000-0005-0000-0000-0000A9340000}"/>
    <cellStyle name="Финансовый 3 3 3 2 3 3 2 3 2" xfId="11495" xr:uid="{00000000-0005-0000-0000-0000AA340000}"/>
    <cellStyle name="Финансовый 3 3 3 2 3 3 2 3 2 2" xfId="28584" xr:uid="{3EEA9780-1325-46F6-9FA5-B138EFD26342}"/>
    <cellStyle name="Финансовый 3 3 3 2 3 3 2 3 3" xfId="14727" xr:uid="{00000000-0005-0000-0000-0000AB340000}"/>
    <cellStyle name="Финансовый 3 3 3 2 3 3 2 3 3 2" xfId="31740" xr:uid="{89D7241A-B09D-43FB-A49C-DFB6A2DBB776}"/>
    <cellStyle name="Финансовый 3 3 3 2 3 3 2 3 4" xfId="17808" xr:uid="{00000000-0005-0000-0000-0000AC340000}"/>
    <cellStyle name="Финансовый 3 3 3 2 3 3 2 3 4 2" xfId="34821" xr:uid="{0AF20B8C-3F70-4516-9998-C6CFC18849CB}"/>
    <cellStyle name="Финансовый 3 3 3 2 3 3 2 3 5" xfId="25511" xr:uid="{6978D86E-2D54-4188-95D8-A308933774CE}"/>
    <cellStyle name="Финансовый 3 3 3 2 3 3 2 4" xfId="11492" xr:uid="{00000000-0005-0000-0000-0000AD340000}"/>
    <cellStyle name="Финансовый 3 3 3 2 3 3 2 4 2" xfId="28581" xr:uid="{BB598D3A-4728-49BA-9374-21C0C937CE36}"/>
    <cellStyle name="Финансовый 3 3 3 2 3 3 2 5" xfId="14724" xr:uid="{00000000-0005-0000-0000-0000AE340000}"/>
    <cellStyle name="Финансовый 3 3 3 2 3 3 2 5 2" xfId="31737" xr:uid="{017DCA14-FBD3-4B7C-BBAD-A45688EA499B}"/>
    <cellStyle name="Финансовый 3 3 3 2 3 3 2 6" xfId="17805" xr:uid="{00000000-0005-0000-0000-0000AF340000}"/>
    <cellStyle name="Финансовый 3 3 3 2 3 3 2 6 2" xfId="34818" xr:uid="{9D1E860F-B2D3-41CF-9C7B-A720521DA4B9}"/>
    <cellStyle name="Финансовый 3 3 3 2 3 3 2 7" xfId="25508" xr:uid="{C2AA7B87-98F9-4611-93C0-DDA82E774CE9}"/>
    <cellStyle name="Финансовый 3 3 3 2 3 3 3" xfId="8405" xr:uid="{00000000-0005-0000-0000-0000B0340000}"/>
    <cellStyle name="Финансовый 3 3 3 2 3 3 3 2" xfId="8406" xr:uid="{00000000-0005-0000-0000-0000B1340000}"/>
    <cellStyle name="Финансовый 3 3 3 2 3 3 3 2 2" xfId="11497" xr:uid="{00000000-0005-0000-0000-0000B2340000}"/>
    <cellStyle name="Финансовый 3 3 3 2 3 3 3 2 2 2" xfId="28586" xr:uid="{307E719A-5521-45C0-9F0D-A976B1C679AD}"/>
    <cellStyle name="Финансовый 3 3 3 2 3 3 3 2 3" xfId="14729" xr:uid="{00000000-0005-0000-0000-0000B3340000}"/>
    <cellStyle name="Финансовый 3 3 3 2 3 3 3 2 3 2" xfId="31742" xr:uid="{5E6CCE5F-57DF-47D3-AE1C-58E3C9FB94A8}"/>
    <cellStyle name="Финансовый 3 3 3 2 3 3 3 2 4" xfId="17810" xr:uid="{00000000-0005-0000-0000-0000B4340000}"/>
    <cellStyle name="Финансовый 3 3 3 2 3 3 3 2 4 2" xfId="34823" xr:uid="{B7B5D3C5-88EF-486F-A812-00D7CE712BA9}"/>
    <cellStyle name="Финансовый 3 3 3 2 3 3 3 2 5" xfId="25513" xr:uid="{96326B4C-6D03-4259-9A76-240B5FAC52AE}"/>
    <cellStyle name="Финансовый 3 3 3 2 3 3 3 3" xfId="11496" xr:uid="{00000000-0005-0000-0000-0000B5340000}"/>
    <cellStyle name="Финансовый 3 3 3 2 3 3 3 3 2" xfId="28585" xr:uid="{7AFCD294-594B-4539-9194-761A7F04B314}"/>
    <cellStyle name="Финансовый 3 3 3 2 3 3 3 4" xfId="14728" xr:uid="{00000000-0005-0000-0000-0000B6340000}"/>
    <cellStyle name="Финансовый 3 3 3 2 3 3 3 4 2" xfId="31741" xr:uid="{D512EC1B-A5FC-4F62-87C2-298AD889DBC6}"/>
    <cellStyle name="Финансовый 3 3 3 2 3 3 3 5" xfId="17809" xr:uid="{00000000-0005-0000-0000-0000B7340000}"/>
    <cellStyle name="Финансовый 3 3 3 2 3 3 3 5 2" xfId="34822" xr:uid="{F0F55445-336B-40B4-A912-45E4F44D06BA}"/>
    <cellStyle name="Финансовый 3 3 3 2 3 3 3 6" xfId="25512" xr:uid="{229BF1FE-00B6-47CF-94F7-A5560BB9D049}"/>
    <cellStyle name="Финансовый 3 3 3 2 3 3 4" xfId="8407" xr:uid="{00000000-0005-0000-0000-0000B8340000}"/>
    <cellStyle name="Финансовый 3 3 3 2 3 3 4 2" xfId="11498" xr:uid="{00000000-0005-0000-0000-0000B9340000}"/>
    <cellStyle name="Финансовый 3 3 3 2 3 3 4 2 2" xfId="28587" xr:uid="{02549FFE-6369-40EF-8CAB-03A88206032A}"/>
    <cellStyle name="Финансовый 3 3 3 2 3 3 4 3" xfId="14730" xr:uid="{00000000-0005-0000-0000-0000BA340000}"/>
    <cellStyle name="Финансовый 3 3 3 2 3 3 4 3 2" xfId="31743" xr:uid="{2FA0226F-ECB7-4057-AFEF-8BDC142EA453}"/>
    <cellStyle name="Финансовый 3 3 3 2 3 3 4 4" xfId="17811" xr:uid="{00000000-0005-0000-0000-0000BB340000}"/>
    <cellStyle name="Финансовый 3 3 3 2 3 3 4 4 2" xfId="34824" xr:uid="{FF1837C3-D060-4EA4-B37D-A341C8B65E99}"/>
    <cellStyle name="Финансовый 3 3 3 2 3 3 4 5" xfId="25514" xr:uid="{96E7B5F5-2A16-42A4-B3C5-57EB9296DCEA}"/>
    <cellStyle name="Финансовый 3 3 3 2 3 3 5" xfId="11491" xr:uid="{00000000-0005-0000-0000-0000BC340000}"/>
    <cellStyle name="Финансовый 3 3 3 2 3 3 5 2" xfId="28580" xr:uid="{71A8F358-A2BC-4AEB-AB98-1A464420F045}"/>
    <cellStyle name="Финансовый 3 3 3 2 3 3 6" xfId="14723" xr:uid="{00000000-0005-0000-0000-0000BD340000}"/>
    <cellStyle name="Финансовый 3 3 3 2 3 3 6 2" xfId="31736" xr:uid="{827B534A-A12C-4911-9E76-6C84AFC0E771}"/>
    <cellStyle name="Финансовый 3 3 3 2 3 3 7" xfId="17804" xr:uid="{00000000-0005-0000-0000-0000BE340000}"/>
    <cellStyle name="Финансовый 3 3 3 2 3 3 7 2" xfId="34817" xr:uid="{0BAC8440-D14B-41CA-A088-00CAAF8E5ACA}"/>
    <cellStyle name="Финансовый 3 3 3 2 3 3 8" xfId="25507" xr:uid="{2CB4EB24-B082-4B89-A146-08AF73D489C9}"/>
    <cellStyle name="Финансовый 3 3 3 2 3 4" xfId="8408" xr:uid="{00000000-0005-0000-0000-0000BF340000}"/>
    <cellStyle name="Финансовый 3 3 3 2 3 4 2" xfId="8409" xr:uid="{00000000-0005-0000-0000-0000C0340000}"/>
    <cellStyle name="Финансовый 3 3 3 2 3 4 2 2" xfId="8410" xr:uid="{00000000-0005-0000-0000-0000C1340000}"/>
    <cellStyle name="Финансовый 3 3 3 2 3 4 2 2 2" xfId="11501" xr:uid="{00000000-0005-0000-0000-0000C2340000}"/>
    <cellStyle name="Финансовый 3 3 3 2 3 4 2 2 2 2" xfId="28590" xr:uid="{C0AACF41-C924-46D1-B80F-51FB2811F3AB}"/>
    <cellStyle name="Финансовый 3 3 3 2 3 4 2 2 3" xfId="14733" xr:uid="{00000000-0005-0000-0000-0000C3340000}"/>
    <cellStyle name="Финансовый 3 3 3 2 3 4 2 2 3 2" xfId="31746" xr:uid="{B4055326-1358-40B2-9862-50CB43997975}"/>
    <cellStyle name="Финансовый 3 3 3 2 3 4 2 2 4" xfId="17814" xr:uid="{00000000-0005-0000-0000-0000C4340000}"/>
    <cellStyle name="Финансовый 3 3 3 2 3 4 2 2 4 2" xfId="34827" xr:uid="{C71921F2-79DB-42B7-8CDE-E71F94C801C7}"/>
    <cellStyle name="Финансовый 3 3 3 2 3 4 2 2 5" xfId="25517" xr:uid="{C1761B9D-27CD-477A-AB04-05F57998FC8A}"/>
    <cellStyle name="Финансовый 3 3 3 2 3 4 2 3" xfId="11500" xr:uid="{00000000-0005-0000-0000-0000C5340000}"/>
    <cellStyle name="Финансовый 3 3 3 2 3 4 2 3 2" xfId="28589" xr:uid="{E4A60F96-73DD-4F25-9C5C-12175AD03AA5}"/>
    <cellStyle name="Финансовый 3 3 3 2 3 4 2 4" xfId="14732" xr:uid="{00000000-0005-0000-0000-0000C6340000}"/>
    <cellStyle name="Финансовый 3 3 3 2 3 4 2 4 2" xfId="31745" xr:uid="{03EF1A0A-282F-4AAA-9FC6-797E57D351A2}"/>
    <cellStyle name="Финансовый 3 3 3 2 3 4 2 5" xfId="17813" xr:uid="{00000000-0005-0000-0000-0000C7340000}"/>
    <cellStyle name="Финансовый 3 3 3 2 3 4 2 5 2" xfId="34826" xr:uid="{C7DF85A9-A89E-4308-A180-6DB04A16F377}"/>
    <cellStyle name="Финансовый 3 3 3 2 3 4 2 6" xfId="25516" xr:uid="{C43D4BAC-23DE-4CE8-A43A-DE05AFA7205F}"/>
    <cellStyle name="Финансовый 3 3 3 2 3 4 3" xfId="8411" xr:uid="{00000000-0005-0000-0000-0000C8340000}"/>
    <cellStyle name="Финансовый 3 3 3 2 3 4 3 2" xfId="11502" xr:uid="{00000000-0005-0000-0000-0000C9340000}"/>
    <cellStyle name="Финансовый 3 3 3 2 3 4 3 2 2" xfId="28591" xr:uid="{98DD4E9D-1C5A-495E-A5AA-AF3A59DE3DBA}"/>
    <cellStyle name="Финансовый 3 3 3 2 3 4 3 3" xfId="14734" xr:uid="{00000000-0005-0000-0000-0000CA340000}"/>
    <cellStyle name="Финансовый 3 3 3 2 3 4 3 3 2" xfId="31747" xr:uid="{BFD76CAE-FDE8-4380-9D0C-040A68B7B86C}"/>
    <cellStyle name="Финансовый 3 3 3 2 3 4 3 4" xfId="17815" xr:uid="{00000000-0005-0000-0000-0000CB340000}"/>
    <cellStyle name="Финансовый 3 3 3 2 3 4 3 4 2" xfId="34828" xr:uid="{54C38A5E-2684-4286-86D9-DE7CC2B2F720}"/>
    <cellStyle name="Финансовый 3 3 3 2 3 4 3 5" xfId="25518" xr:uid="{D2BDA135-15C6-4E05-B23D-B8C16FE9BA2F}"/>
    <cellStyle name="Финансовый 3 3 3 2 3 4 4" xfId="11499" xr:uid="{00000000-0005-0000-0000-0000CC340000}"/>
    <cellStyle name="Финансовый 3 3 3 2 3 4 4 2" xfId="28588" xr:uid="{604E2CED-7C64-45EC-913F-479C892963BC}"/>
    <cellStyle name="Финансовый 3 3 3 2 3 4 5" xfId="14731" xr:uid="{00000000-0005-0000-0000-0000CD340000}"/>
    <cellStyle name="Финансовый 3 3 3 2 3 4 5 2" xfId="31744" xr:uid="{48712226-4AD1-4D8C-B7C0-A3AAA9E9BF21}"/>
    <cellStyle name="Финансовый 3 3 3 2 3 4 6" xfId="17812" xr:uid="{00000000-0005-0000-0000-0000CE340000}"/>
    <cellStyle name="Финансовый 3 3 3 2 3 4 6 2" xfId="34825" xr:uid="{847CA29B-4F2F-4AC1-B7D4-C422EC87C8C5}"/>
    <cellStyle name="Финансовый 3 3 3 2 3 4 7" xfId="25515" xr:uid="{0040D5A6-F64C-4FF6-855C-52214BCEAA24}"/>
    <cellStyle name="Финансовый 3 3 3 2 3 5" xfId="8412" xr:uid="{00000000-0005-0000-0000-0000CF340000}"/>
    <cellStyle name="Финансовый 3 3 3 2 3 5 2" xfId="8413" xr:uid="{00000000-0005-0000-0000-0000D0340000}"/>
    <cellStyle name="Финансовый 3 3 3 2 3 5 2 2" xfId="11504" xr:uid="{00000000-0005-0000-0000-0000D1340000}"/>
    <cellStyle name="Финансовый 3 3 3 2 3 5 2 2 2" xfId="28593" xr:uid="{D1747828-5324-4604-8E25-04F81A64C956}"/>
    <cellStyle name="Финансовый 3 3 3 2 3 5 2 3" xfId="14736" xr:uid="{00000000-0005-0000-0000-0000D2340000}"/>
    <cellStyle name="Финансовый 3 3 3 2 3 5 2 3 2" xfId="31749" xr:uid="{7B7B000C-0141-43D3-A7C1-8DCE8E87E945}"/>
    <cellStyle name="Финансовый 3 3 3 2 3 5 2 4" xfId="17817" xr:uid="{00000000-0005-0000-0000-0000D3340000}"/>
    <cellStyle name="Финансовый 3 3 3 2 3 5 2 4 2" xfId="34830" xr:uid="{3F41ECB2-428D-4D81-920F-F48D0F64EA54}"/>
    <cellStyle name="Финансовый 3 3 3 2 3 5 2 5" xfId="25520" xr:uid="{53CE3886-4A07-4EEC-BC56-3668F5CE8FEF}"/>
    <cellStyle name="Финансовый 3 3 3 2 3 5 3" xfId="11503" xr:uid="{00000000-0005-0000-0000-0000D4340000}"/>
    <cellStyle name="Финансовый 3 3 3 2 3 5 3 2" xfId="28592" xr:uid="{96B1FFF3-124D-4D30-BFD4-9AA96F4192CE}"/>
    <cellStyle name="Финансовый 3 3 3 2 3 5 4" xfId="14735" xr:uid="{00000000-0005-0000-0000-0000D5340000}"/>
    <cellStyle name="Финансовый 3 3 3 2 3 5 4 2" xfId="31748" xr:uid="{E0B19CA5-8B8C-43F2-99A4-6FDBDE884D19}"/>
    <cellStyle name="Финансовый 3 3 3 2 3 5 5" xfId="17816" xr:uid="{00000000-0005-0000-0000-0000D6340000}"/>
    <cellStyle name="Финансовый 3 3 3 2 3 5 5 2" xfId="34829" xr:uid="{180EBFBD-39DC-4579-91FE-139EF7DBAD80}"/>
    <cellStyle name="Финансовый 3 3 3 2 3 5 6" xfId="25519" xr:uid="{E9BB8B32-8CC4-482A-B1AB-99AD2CEBBF35}"/>
    <cellStyle name="Финансовый 3 3 3 2 3 6" xfId="8414" xr:uid="{00000000-0005-0000-0000-0000D7340000}"/>
    <cellStyle name="Финансовый 3 3 3 2 3 6 2" xfId="11505" xr:uid="{00000000-0005-0000-0000-0000D8340000}"/>
    <cellStyle name="Финансовый 3 3 3 2 3 6 2 2" xfId="28594" xr:uid="{D9B72191-8C71-4776-850A-A9061D8C2F61}"/>
    <cellStyle name="Финансовый 3 3 3 2 3 6 3" xfId="14737" xr:uid="{00000000-0005-0000-0000-0000D9340000}"/>
    <cellStyle name="Финансовый 3 3 3 2 3 6 3 2" xfId="31750" xr:uid="{35765CF7-B142-4A15-BE63-9EA8FF62990A}"/>
    <cellStyle name="Финансовый 3 3 3 2 3 6 4" xfId="17818" xr:uid="{00000000-0005-0000-0000-0000DA340000}"/>
    <cellStyle name="Финансовый 3 3 3 2 3 6 4 2" xfId="34831" xr:uid="{34B9D50E-313C-445C-B739-1506FD844909}"/>
    <cellStyle name="Финансовый 3 3 3 2 3 6 5" xfId="25521" xr:uid="{FDE4FA8F-5A1A-4480-8286-103ACDCE6F62}"/>
    <cellStyle name="Финансовый 3 3 3 2 3 7" xfId="11474" xr:uid="{00000000-0005-0000-0000-0000DB340000}"/>
    <cellStyle name="Финансовый 3 3 3 2 3 7 2" xfId="28563" xr:uid="{617806DE-EAD6-4C59-9F45-7673561AC3D1}"/>
    <cellStyle name="Финансовый 3 3 3 2 3 8" xfId="14706" xr:uid="{00000000-0005-0000-0000-0000DC340000}"/>
    <cellStyle name="Финансовый 3 3 3 2 3 8 2" xfId="31719" xr:uid="{46A72BD7-B114-4F57-8292-8C15752355AA}"/>
    <cellStyle name="Финансовый 3 3 3 2 3 9" xfId="17787" xr:uid="{00000000-0005-0000-0000-0000DD340000}"/>
    <cellStyle name="Финансовый 3 3 3 2 3 9 2" xfId="34800" xr:uid="{9E49B924-2F73-4E72-A6D5-5A464A747AEE}"/>
    <cellStyle name="Финансовый 3 3 3 2 4" xfId="8415" xr:uid="{00000000-0005-0000-0000-0000DE340000}"/>
    <cellStyle name="Финансовый 3 3 3 2 4 2" xfId="8416" xr:uid="{00000000-0005-0000-0000-0000DF340000}"/>
    <cellStyle name="Финансовый 3 3 3 2 4 2 2" xfId="8417" xr:uid="{00000000-0005-0000-0000-0000E0340000}"/>
    <cellStyle name="Финансовый 3 3 3 2 4 2 2 2" xfId="8418" xr:uid="{00000000-0005-0000-0000-0000E1340000}"/>
    <cellStyle name="Финансовый 3 3 3 2 4 2 2 2 2" xfId="8419" xr:uid="{00000000-0005-0000-0000-0000E2340000}"/>
    <cellStyle name="Финансовый 3 3 3 2 4 2 2 2 2 2" xfId="11510" xr:uid="{00000000-0005-0000-0000-0000E3340000}"/>
    <cellStyle name="Финансовый 3 3 3 2 4 2 2 2 2 2 2" xfId="28599" xr:uid="{A0F895C7-DDAA-4F2B-876F-02ED14C0BB9F}"/>
    <cellStyle name="Финансовый 3 3 3 2 4 2 2 2 2 3" xfId="14742" xr:uid="{00000000-0005-0000-0000-0000E4340000}"/>
    <cellStyle name="Финансовый 3 3 3 2 4 2 2 2 2 3 2" xfId="31755" xr:uid="{381FA73E-903B-47E2-9D77-235B24463F1F}"/>
    <cellStyle name="Финансовый 3 3 3 2 4 2 2 2 2 4" xfId="17823" xr:uid="{00000000-0005-0000-0000-0000E5340000}"/>
    <cellStyle name="Финансовый 3 3 3 2 4 2 2 2 2 4 2" xfId="34836" xr:uid="{36FC49CE-8C16-4365-AEB5-385A11089196}"/>
    <cellStyle name="Финансовый 3 3 3 2 4 2 2 2 2 5" xfId="25526" xr:uid="{8AD13DB4-F575-4555-970E-FB28074D2F7D}"/>
    <cellStyle name="Финансовый 3 3 3 2 4 2 2 2 3" xfId="11509" xr:uid="{00000000-0005-0000-0000-0000E6340000}"/>
    <cellStyle name="Финансовый 3 3 3 2 4 2 2 2 3 2" xfId="28598" xr:uid="{B53E5C5A-509E-4BFB-8EC1-2AA42EE74F09}"/>
    <cellStyle name="Финансовый 3 3 3 2 4 2 2 2 4" xfId="14741" xr:uid="{00000000-0005-0000-0000-0000E7340000}"/>
    <cellStyle name="Финансовый 3 3 3 2 4 2 2 2 4 2" xfId="31754" xr:uid="{7B89FF54-8287-4EE1-B511-19BE45F98E1F}"/>
    <cellStyle name="Финансовый 3 3 3 2 4 2 2 2 5" xfId="17822" xr:uid="{00000000-0005-0000-0000-0000E8340000}"/>
    <cellStyle name="Финансовый 3 3 3 2 4 2 2 2 5 2" xfId="34835" xr:uid="{AE78CF8E-F7EE-475A-81A1-D3C13D3AC48C}"/>
    <cellStyle name="Финансовый 3 3 3 2 4 2 2 2 6" xfId="25525" xr:uid="{4EC0ADC0-5C57-40F5-8978-37621331D37C}"/>
    <cellStyle name="Финансовый 3 3 3 2 4 2 2 3" xfId="8420" xr:uid="{00000000-0005-0000-0000-0000E9340000}"/>
    <cellStyle name="Финансовый 3 3 3 2 4 2 2 3 2" xfId="11511" xr:uid="{00000000-0005-0000-0000-0000EA340000}"/>
    <cellStyle name="Финансовый 3 3 3 2 4 2 2 3 2 2" xfId="28600" xr:uid="{04CD5F0E-5B25-42B0-AC7A-AE6C40456FDA}"/>
    <cellStyle name="Финансовый 3 3 3 2 4 2 2 3 3" xfId="14743" xr:uid="{00000000-0005-0000-0000-0000EB340000}"/>
    <cellStyle name="Финансовый 3 3 3 2 4 2 2 3 3 2" xfId="31756" xr:uid="{8A65990F-3A12-45CF-AB07-316BDB0ACA1D}"/>
    <cellStyle name="Финансовый 3 3 3 2 4 2 2 3 4" xfId="17824" xr:uid="{00000000-0005-0000-0000-0000EC340000}"/>
    <cellStyle name="Финансовый 3 3 3 2 4 2 2 3 4 2" xfId="34837" xr:uid="{79921DA6-BC46-47C8-81B4-5A6CC4A21E70}"/>
    <cellStyle name="Финансовый 3 3 3 2 4 2 2 3 5" xfId="25527" xr:uid="{2D3391CC-10F5-4330-AA89-308C3044292A}"/>
    <cellStyle name="Финансовый 3 3 3 2 4 2 2 4" xfId="11508" xr:uid="{00000000-0005-0000-0000-0000ED340000}"/>
    <cellStyle name="Финансовый 3 3 3 2 4 2 2 4 2" xfId="28597" xr:uid="{1A39ED0C-A83E-42C6-B6B0-D8F9E68049DE}"/>
    <cellStyle name="Финансовый 3 3 3 2 4 2 2 5" xfId="14740" xr:uid="{00000000-0005-0000-0000-0000EE340000}"/>
    <cellStyle name="Финансовый 3 3 3 2 4 2 2 5 2" xfId="31753" xr:uid="{7194C64D-7230-4CC7-9566-6F525800E337}"/>
    <cellStyle name="Финансовый 3 3 3 2 4 2 2 6" xfId="17821" xr:uid="{00000000-0005-0000-0000-0000EF340000}"/>
    <cellStyle name="Финансовый 3 3 3 2 4 2 2 6 2" xfId="34834" xr:uid="{4E169390-F675-464B-A021-8943319913A2}"/>
    <cellStyle name="Финансовый 3 3 3 2 4 2 2 7" xfId="25524" xr:uid="{62B52842-ED1E-4586-9CDD-C50C2D89CA8E}"/>
    <cellStyle name="Финансовый 3 3 3 2 4 2 3" xfId="8421" xr:uid="{00000000-0005-0000-0000-0000F0340000}"/>
    <cellStyle name="Финансовый 3 3 3 2 4 2 3 2" xfId="8422" xr:uid="{00000000-0005-0000-0000-0000F1340000}"/>
    <cellStyle name="Финансовый 3 3 3 2 4 2 3 2 2" xfId="11513" xr:uid="{00000000-0005-0000-0000-0000F2340000}"/>
    <cellStyle name="Финансовый 3 3 3 2 4 2 3 2 2 2" xfId="28602" xr:uid="{7B486FAE-7E18-461A-95CB-16EA7584FA9C}"/>
    <cellStyle name="Финансовый 3 3 3 2 4 2 3 2 3" xfId="14745" xr:uid="{00000000-0005-0000-0000-0000F3340000}"/>
    <cellStyle name="Финансовый 3 3 3 2 4 2 3 2 3 2" xfId="31758" xr:uid="{A12B19AA-CCDD-425F-AFF6-C8CCF9F489C2}"/>
    <cellStyle name="Финансовый 3 3 3 2 4 2 3 2 4" xfId="17826" xr:uid="{00000000-0005-0000-0000-0000F4340000}"/>
    <cellStyle name="Финансовый 3 3 3 2 4 2 3 2 4 2" xfId="34839" xr:uid="{8C296E4F-98E3-40A4-BBF5-BD75F5EBB5AB}"/>
    <cellStyle name="Финансовый 3 3 3 2 4 2 3 2 5" xfId="25529" xr:uid="{393275EB-59F4-4610-8448-C37D6ED9F117}"/>
    <cellStyle name="Финансовый 3 3 3 2 4 2 3 3" xfId="11512" xr:uid="{00000000-0005-0000-0000-0000F5340000}"/>
    <cellStyle name="Финансовый 3 3 3 2 4 2 3 3 2" xfId="28601" xr:uid="{6D10B45C-D7B8-4AAF-A7AA-66AA83B1FF2E}"/>
    <cellStyle name="Финансовый 3 3 3 2 4 2 3 4" xfId="14744" xr:uid="{00000000-0005-0000-0000-0000F6340000}"/>
    <cellStyle name="Финансовый 3 3 3 2 4 2 3 4 2" xfId="31757" xr:uid="{7E9DF83C-9615-4D6C-BBBF-B0E88623B9F2}"/>
    <cellStyle name="Финансовый 3 3 3 2 4 2 3 5" xfId="17825" xr:uid="{00000000-0005-0000-0000-0000F7340000}"/>
    <cellStyle name="Финансовый 3 3 3 2 4 2 3 5 2" xfId="34838" xr:uid="{EEE6BC23-BABC-4CCE-8270-82720165933E}"/>
    <cellStyle name="Финансовый 3 3 3 2 4 2 3 6" xfId="25528" xr:uid="{64AE5C1E-A6A6-49C0-B8EE-EB224046FB68}"/>
    <cellStyle name="Финансовый 3 3 3 2 4 2 4" xfId="8423" xr:uid="{00000000-0005-0000-0000-0000F8340000}"/>
    <cellStyle name="Финансовый 3 3 3 2 4 2 4 2" xfId="11514" xr:uid="{00000000-0005-0000-0000-0000F9340000}"/>
    <cellStyle name="Финансовый 3 3 3 2 4 2 4 2 2" xfId="28603" xr:uid="{6399DAA6-151D-4B3C-85AB-8C8B6BD963B1}"/>
    <cellStyle name="Финансовый 3 3 3 2 4 2 4 3" xfId="14746" xr:uid="{00000000-0005-0000-0000-0000FA340000}"/>
    <cellStyle name="Финансовый 3 3 3 2 4 2 4 3 2" xfId="31759" xr:uid="{E038193D-B3E1-47DC-836A-5BD57BE6AA30}"/>
    <cellStyle name="Финансовый 3 3 3 2 4 2 4 4" xfId="17827" xr:uid="{00000000-0005-0000-0000-0000FB340000}"/>
    <cellStyle name="Финансовый 3 3 3 2 4 2 4 4 2" xfId="34840" xr:uid="{D08655F8-F95E-46C4-9DB7-449C0D557EC1}"/>
    <cellStyle name="Финансовый 3 3 3 2 4 2 4 5" xfId="25530" xr:uid="{5C5E8DDA-00E7-4157-BCFA-01C17FDA0E36}"/>
    <cellStyle name="Финансовый 3 3 3 2 4 2 5" xfId="11507" xr:uid="{00000000-0005-0000-0000-0000FC340000}"/>
    <cellStyle name="Финансовый 3 3 3 2 4 2 5 2" xfId="28596" xr:uid="{8C0478AD-1263-4B70-9D6A-212FD50D271F}"/>
    <cellStyle name="Финансовый 3 3 3 2 4 2 6" xfId="14739" xr:uid="{00000000-0005-0000-0000-0000FD340000}"/>
    <cellStyle name="Финансовый 3 3 3 2 4 2 6 2" xfId="31752" xr:uid="{759D27FE-A576-47BF-B334-93167096DD0F}"/>
    <cellStyle name="Финансовый 3 3 3 2 4 2 7" xfId="17820" xr:uid="{00000000-0005-0000-0000-0000FE340000}"/>
    <cellStyle name="Финансовый 3 3 3 2 4 2 7 2" xfId="34833" xr:uid="{F88C5CA8-82AA-4D0C-8039-773E4A78606B}"/>
    <cellStyle name="Финансовый 3 3 3 2 4 2 8" xfId="25523" xr:uid="{274C95AA-9E78-49B1-A3A3-0A0F0F267FED}"/>
    <cellStyle name="Финансовый 3 3 3 2 4 3" xfId="8424" xr:uid="{00000000-0005-0000-0000-0000FF340000}"/>
    <cellStyle name="Финансовый 3 3 3 2 4 3 2" xfId="8425" xr:uid="{00000000-0005-0000-0000-000000350000}"/>
    <cellStyle name="Финансовый 3 3 3 2 4 3 2 2" xfId="8426" xr:uid="{00000000-0005-0000-0000-000001350000}"/>
    <cellStyle name="Финансовый 3 3 3 2 4 3 2 2 2" xfId="11517" xr:uid="{00000000-0005-0000-0000-000002350000}"/>
    <cellStyle name="Финансовый 3 3 3 2 4 3 2 2 2 2" xfId="28606" xr:uid="{A12FD46B-B476-46BD-8096-85A2331A3592}"/>
    <cellStyle name="Финансовый 3 3 3 2 4 3 2 2 3" xfId="14749" xr:uid="{00000000-0005-0000-0000-000003350000}"/>
    <cellStyle name="Финансовый 3 3 3 2 4 3 2 2 3 2" xfId="31762" xr:uid="{14F60E3B-5A4A-43A1-A67F-348B9C9706CD}"/>
    <cellStyle name="Финансовый 3 3 3 2 4 3 2 2 4" xfId="17830" xr:uid="{00000000-0005-0000-0000-000004350000}"/>
    <cellStyle name="Финансовый 3 3 3 2 4 3 2 2 4 2" xfId="34843" xr:uid="{FBBF1D08-8107-49E7-B194-13B736F4A8F3}"/>
    <cellStyle name="Финансовый 3 3 3 2 4 3 2 2 5" xfId="25533" xr:uid="{4AB39DFA-F697-401A-9517-D45D237AA8A4}"/>
    <cellStyle name="Финансовый 3 3 3 2 4 3 2 3" xfId="11516" xr:uid="{00000000-0005-0000-0000-000005350000}"/>
    <cellStyle name="Финансовый 3 3 3 2 4 3 2 3 2" xfId="28605" xr:uid="{FD06FE54-0C82-419F-8DEB-6D8513FA989C}"/>
    <cellStyle name="Финансовый 3 3 3 2 4 3 2 4" xfId="14748" xr:uid="{00000000-0005-0000-0000-000006350000}"/>
    <cellStyle name="Финансовый 3 3 3 2 4 3 2 4 2" xfId="31761" xr:uid="{B699F7C1-614D-42FE-9577-02120A75C8EA}"/>
    <cellStyle name="Финансовый 3 3 3 2 4 3 2 5" xfId="17829" xr:uid="{00000000-0005-0000-0000-000007350000}"/>
    <cellStyle name="Финансовый 3 3 3 2 4 3 2 5 2" xfId="34842" xr:uid="{5BB3DDB1-2F31-445B-B56E-992363B1B800}"/>
    <cellStyle name="Финансовый 3 3 3 2 4 3 2 6" xfId="25532" xr:uid="{C2521BFC-4F1D-4887-A820-FBCFA16DAD0F}"/>
    <cellStyle name="Финансовый 3 3 3 2 4 3 3" xfId="8427" xr:uid="{00000000-0005-0000-0000-000008350000}"/>
    <cellStyle name="Финансовый 3 3 3 2 4 3 3 2" xfId="11518" xr:uid="{00000000-0005-0000-0000-000009350000}"/>
    <cellStyle name="Финансовый 3 3 3 2 4 3 3 2 2" xfId="28607" xr:uid="{26A74283-A674-428C-8CB3-23BF7F6BF6EB}"/>
    <cellStyle name="Финансовый 3 3 3 2 4 3 3 3" xfId="14750" xr:uid="{00000000-0005-0000-0000-00000A350000}"/>
    <cellStyle name="Финансовый 3 3 3 2 4 3 3 3 2" xfId="31763" xr:uid="{E9A4510C-2F17-4DAD-A9FC-8D82DAECB058}"/>
    <cellStyle name="Финансовый 3 3 3 2 4 3 3 4" xfId="17831" xr:uid="{00000000-0005-0000-0000-00000B350000}"/>
    <cellStyle name="Финансовый 3 3 3 2 4 3 3 4 2" xfId="34844" xr:uid="{92C71422-0C96-4D3D-B5F4-EC277207C1DA}"/>
    <cellStyle name="Финансовый 3 3 3 2 4 3 3 5" xfId="25534" xr:uid="{74E23952-0A8A-468A-945A-83A772AC488C}"/>
    <cellStyle name="Финансовый 3 3 3 2 4 3 4" xfId="11515" xr:uid="{00000000-0005-0000-0000-00000C350000}"/>
    <cellStyle name="Финансовый 3 3 3 2 4 3 4 2" xfId="28604" xr:uid="{D5665B8B-32A7-4F98-8429-42E6277CEE6A}"/>
    <cellStyle name="Финансовый 3 3 3 2 4 3 5" xfId="14747" xr:uid="{00000000-0005-0000-0000-00000D350000}"/>
    <cellStyle name="Финансовый 3 3 3 2 4 3 5 2" xfId="31760" xr:uid="{7E336ECA-1141-4B28-A025-0AD6CEC2E207}"/>
    <cellStyle name="Финансовый 3 3 3 2 4 3 6" xfId="17828" xr:uid="{00000000-0005-0000-0000-00000E350000}"/>
    <cellStyle name="Финансовый 3 3 3 2 4 3 6 2" xfId="34841" xr:uid="{BABBAD2E-8C14-42B8-805B-2BA4722239B3}"/>
    <cellStyle name="Финансовый 3 3 3 2 4 3 7" xfId="25531" xr:uid="{2F082232-2B63-4E27-852D-660859AD9DFB}"/>
    <cellStyle name="Финансовый 3 3 3 2 4 4" xfId="8428" xr:uid="{00000000-0005-0000-0000-00000F350000}"/>
    <cellStyle name="Финансовый 3 3 3 2 4 4 2" xfId="8429" xr:uid="{00000000-0005-0000-0000-000010350000}"/>
    <cellStyle name="Финансовый 3 3 3 2 4 4 2 2" xfId="11520" xr:uid="{00000000-0005-0000-0000-000011350000}"/>
    <cellStyle name="Финансовый 3 3 3 2 4 4 2 2 2" xfId="28609" xr:uid="{612989FE-66BF-48F2-B352-5602D6B99C62}"/>
    <cellStyle name="Финансовый 3 3 3 2 4 4 2 3" xfId="14752" xr:uid="{00000000-0005-0000-0000-000012350000}"/>
    <cellStyle name="Финансовый 3 3 3 2 4 4 2 3 2" xfId="31765" xr:uid="{2EB46714-00BB-414F-A843-40B8F256467C}"/>
    <cellStyle name="Финансовый 3 3 3 2 4 4 2 4" xfId="17833" xr:uid="{00000000-0005-0000-0000-000013350000}"/>
    <cellStyle name="Финансовый 3 3 3 2 4 4 2 4 2" xfId="34846" xr:uid="{8A91189B-74C6-4FD4-912E-081F918649A4}"/>
    <cellStyle name="Финансовый 3 3 3 2 4 4 2 5" xfId="25536" xr:uid="{F3038A80-C644-4F0E-926C-EB051D6F0F5D}"/>
    <cellStyle name="Финансовый 3 3 3 2 4 4 3" xfId="11519" xr:uid="{00000000-0005-0000-0000-000014350000}"/>
    <cellStyle name="Финансовый 3 3 3 2 4 4 3 2" xfId="28608" xr:uid="{068471AA-7029-4F34-B212-CAED18E3F77A}"/>
    <cellStyle name="Финансовый 3 3 3 2 4 4 4" xfId="14751" xr:uid="{00000000-0005-0000-0000-000015350000}"/>
    <cellStyle name="Финансовый 3 3 3 2 4 4 4 2" xfId="31764" xr:uid="{AA989B64-91BC-4464-8799-BF12B91A47B9}"/>
    <cellStyle name="Финансовый 3 3 3 2 4 4 5" xfId="17832" xr:uid="{00000000-0005-0000-0000-000016350000}"/>
    <cellStyle name="Финансовый 3 3 3 2 4 4 5 2" xfId="34845" xr:uid="{F34F55E4-D80B-4A05-9DD6-A876E054FB7C}"/>
    <cellStyle name="Финансовый 3 3 3 2 4 4 6" xfId="25535" xr:uid="{4DCE2F0E-0442-4592-868F-8746B3FCDC72}"/>
    <cellStyle name="Финансовый 3 3 3 2 4 5" xfId="8430" xr:uid="{00000000-0005-0000-0000-000017350000}"/>
    <cellStyle name="Финансовый 3 3 3 2 4 5 2" xfId="11521" xr:uid="{00000000-0005-0000-0000-000018350000}"/>
    <cellStyle name="Финансовый 3 3 3 2 4 5 2 2" xfId="28610" xr:uid="{66880334-5887-4191-A68C-9EBA86DC8105}"/>
    <cellStyle name="Финансовый 3 3 3 2 4 5 3" xfId="14753" xr:uid="{00000000-0005-0000-0000-000019350000}"/>
    <cellStyle name="Финансовый 3 3 3 2 4 5 3 2" xfId="31766" xr:uid="{655C3774-4E5A-481C-8AAC-890942BE1051}"/>
    <cellStyle name="Финансовый 3 3 3 2 4 5 4" xfId="17834" xr:uid="{00000000-0005-0000-0000-00001A350000}"/>
    <cellStyle name="Финансовый 3 3 3 2 4 5 4 2" xfId="34847" xr:uid="{6F286D03-1B60-4BB5-B1B8-99D17999243A}"/>
    <cellStyle name="Финансовый 3 3 3 2 4 5 5" xfId="25537" xr:uid="{4A42B8B0-58E9-4B4E-9FF1-EDAE7CF078D5}"/>
    <cellStyle name="Финансовый 3 3 3 2 4 6" xfId="11506" xr:uid="{00000000-0005-0000-0000-00001B350000}"/>
    <cellStyle name="Финансовый 3 3 3 2 4 6 2" xfId="28595" xr:uid="{3177AB21-E74E-458A-B48C-4560C3D64B5D}"/>
    <cellStyle name="Финансовый 3 3 3 2 4 7" xfId="14738" xr:uid="{00000000-0005-0000-0000-00001C350000}"/>
    <cellStyle name="Финансовый 3 3 3 2 4 7 2" xfId="31751" xr:uid="{29034772-4397-47AB-AF6F-1159E51A24EB}"/>
    <cellStyle name="Финансовый 3 3 3 2 4 8" xfId="17819" xr:uid="{00000000-0005-0000-0000-00001D350000}"/>
    <cellStyle name="Финансовый 3 3 3 2 4 8 2" xfId="34832" xr:uid="{BF90F31D-30EE-49F9-AC8D-0EABC03A0E39}"/>
    <cellStyle name="Финансовый 3 3 3 2 4 9" xfId="25522" xr:uid="{34B5CF2A-8CFE-4B70-9686-5FE2C7678606}"/>
    <cellStyle name="Финансовый 3 3 3 2 5" xfId="8431" xr:uid="{00000000-0005-0000-0000-00001E350000}"/>
    <cellStyle name="Финансовый 3 3 3 2 5 2" xfId="8432" xr:uid="{00000000-0005-0000-0000-00001F350000}"/>
    <cellStyle name="Финансовый 3 3 3 2 5 2 2" xfId="8433" xr:uid="{00000000-0005-0000-0000-000020350000}"/>
    <cellStyle name="Финансовый 3 3 3 2 5 2 2 2" xfId="8434" xr:uid="{00000000-0005-0000-0000-000021350000}"/>
    <cellStyle name="Финансовый 3 3 3 2 5 2 2 2 2" xfId="11525" xr:uid="{00000000-0005-0000-0000-000022350000}"/>
    <cellStyle name="Финансовый 3 3 3 2 5 2 2 2 2 2" xfId="28614" xr:uid="{128BEF64-4C88-455F-81BD-32BE2AAD48CE}"/>
    <cellStyle name="Финансовый 3 3 3 2 5 2 2 2 3" xfId="14757" xr:uid="{00000000-0005-0000-0000-000023350000}"/>
    <cellStyle name="Финансовый 3 3 3 2 5 2 2 2 3 2" xfId="31770" xr:uid="{56BC4FB9-DD6E-4650-B4F8-35D7DF50E084}"/>
    <cellStyle name="Финансовый 3 3 3 2 5 2 2 2 4" xfId="17838" xr:uid="{00000000-0005-0000-0000-000024350000}"/>
    <cellStyle name="Финансовый 3 3 3 2 5 2 2 2 4 2" xfId="34851" xr:uid="{BCA0E620-361C-4136-9245-1D20A8618F82}"/>
    <cellStyle name="Финансовый 3 3 3 2 5 2 2 2 5" xfId="25541" xr:uid="{B69915C1-C7B3-49ED-957F-54D5968D8660}"/>
    <cellStyle name="Финансовый 3 3 3 2 5 2 2 3" xfId="11524" xr:uid="{00000000-0005-0000-0000-000025350000}"/>
    <cellStyle name="Финансовый 3 3 3 2 5 2 2 3 2" xfId="28613" xr:uid="{7A930263-E77F-41FA-9A3C-FB4A5C63EEFE}"/>
    <cellStyle name="Финансовый 3 3 3 2 5 2 2 4" xfId="14756" xr:uid="{00000000-0005-0000-0000-000026350000}"/>
    <cellStyle name="Финансовый 3 3 3 2 5 2 2 4 2" xfId="31769" xr:uid="{B884D2D1-A270-4DFE-998C-0C99A8B710C9}"/>
    <cellStyle name="Финансовый 3 3 3 2 5 2 2 5" xfId="17837" xr:uid="{00000000-0005-0000-0000-000027350000}"/>
    <cellStyle name="Финансовый 3 3 3 2 5 2 2 5 2" xfId="34850" xr:uid="{2874EB61-2D82-42BF-811D-26AEFDBF5BF2}"/>
    <cellStyle name="Финансовый 3 3 3 2 5 2 2 6" xfId="25540" xr:uid="{8C5A4463-B1B3-48F3-8DA3-1ACB315CB05F}"/>
    <cellStyle name="Финансовый 3 3 3 2 5 2 3" xfId="8435" xr:uid="{00000000-0005-0000-0000-000028350000}"/>
    <cellStyle name="Финансовый 3 3 3 2 5 2 3 2" xfId="11526" xr:uid="{00000000-0005-0000-0000-000029350000}"/>
    <cellStyle name="Финансовый 3 3 3 2 5 2 3 2 2" xfId="28615" xr:uid="{86446CC4-5AAC-4B94-A4B8-41F05E7D7880}"/>
    <cellStyle name="Финансовый 3 3 3 2 5 2 3 3" xfId="14758" xr:uid="{00000000-0005-0000-0000-00002A350000}"/>
    <cellStyle name="Финансовый 3 3 3 2 5 2 3 3 2" xfId="31771" xr:uid="{0FB39F72-D3D6-4C60-967B-935AC3893E12}"/>
    <cellStyle name="Финансовый 3 3 3 2 5 2 3 4" xfId="17839" xr:uid="{00000000-0005-0000-0000-00002B350000}"/>
    <cellStyle name="Финансовый 3 3 3 2 5 2 3 4 2" xfId="34852" xr:uid="{53875021-B3EF-4BBF-813F-FE3B9F290EE8}"/>
    <cellStyle name="Финансовый 3 3 3 2 5 2 3 5" xfId="25542" xr:uid="{8D80C463-A4E6-42B1-8870-984395844702}"/>
    <cellStyle name="Финансовый 3 3 3 2 5 2 4" xfId="11523" xr:uid="{00000000-0005-0000-0000-00002C350000}"/>
    <cellStyle name="Финансовый 3 3 3 2 5 2 4 2" xfId="28612" xr:uid="{551F0CF2-E288-4273-9BBA-5F93D9862AB8}"/>
    <cellStyle name="Финансовый 3 3 3 2 5 2 5" xfId="14755" xr:uid="{00000000-0005-0000-0000-00002D350000}"/>
    <cellStyle name="Финансовый 3 3 3 2 5 2 5 2" xfId="31768" xr:uid="{344CB834-CCDB-4609-ACB4-2AB479844C64}"/>
    <cellStyle name="Финансовый 3 3 3 2 5 2 6" xfId="17836" xr:uid="{00000000-0005-0000-0000-00002E350000}"/>
    <cellStyle name="Финансовый 3 3 3 2 5 2 6 2" xfId="34849" xr:uid="{5382280C-5946-46D6-B89C-56A752FB9249}"/>
    <cellStyle name="Финансовый 3 3 3 2 5 2 7" xfId="25539" xr:uid="{F11AF8C9-12F6-4AD2-8FFD-56C9E3333F38}"/>
    <cellStyle name="Финансовый 3 3 3 2 5 3" xfId="8436" xr:uid="{00000000-0005-0000-0000-00002F350000}"/>
    <cellStyle name="Финансовый 3 3 3 2 5 3 2" xfId="8437" xr:uid="{00000000-0005-0000-0000-000030350000}"/>
    <cellStyle name="Финансовый 3 3 3 2 5 3 2 2" xfId="11528" xr:uid="{00000000-0005-0000-0000-000031350000}"/>
    <cellStyle name="Финансовый 3 3 3 2 5 3 2 2 2" xfId="28617" xr:uid="{79A63650-1CF0-4224-8B0B-EAB26EC045DA}"/>
    <cellStyle name="Финансовый 3 3 3 2 5 3 2 3" xfId="14760" xr:uid="{00000000-0005-0000-0000-000032350000}"/>
    <cellStyle name="Финансовый 3 3 3 2 5 3 2 3 2" xfId="31773" xr:uid="{13BB7AC6-B39C-4F54-940D-FDC6DD67E3EA}"/>
    <cellStyle name="Финансовый 3 3 3 2 5 3 2 4" xfId="17841" xr:uid="{00000000-0005-0000-0000-000033350000}"/>
    <cellStyle name="Финансовый 3 3 3 2 5 3 2 4 2" xfId="34854" xr:uid="{AD0B7C1C-CCDF-463E-AFC2-ECAB0918A36E}"/>
    <cellStyle name="Финансовый 3 3 3 2 5 3 2 5" xfId="25544" xr:uid="{1612434B-4C86-4C07-81B2-AB96BF968485}"/>
    <cellStyle name="Финансовый 3 3 3 2 5 3 3" xfId="11527" xr:uid="{00000000-0005-0000-0000-000034350000}"/>
    <cellStyle name="Финансовый 3 3 3 2 5 3 3 2" xfId="28616" xr:uid="{E9CBF0F4-A405-4DE3-A178-CC66155DEE84}"/>
    <cellStyle name="Финансовый 3 3 3 2 5 3 4" xfId="14759" xr:uid="{00000000-0005-0000-0000-000035350000}"/>
    <cellStyle name="Финансовый 3 3 3 2 5 3 4 2" xfId="31772" xr:uid="{BFB93D73-AB73-4364-8171-39D33E04DBE4}"/>
    <cellStyle name="Финансовый 3 3 3 2 5 3 5" xfId="17840" xr:uid="{00000000-0005-0000-0000-000036350000}"/>
    <cellStyle name="Финансовый 3 3 3 2 5 3 5 2" xfId="34853" xr:uid="{7595DE9A-687B-4ECD-BC4D-34815888B422}"/>
    <cellStyle name="Финансовый 3 3 3 2 5 3 6" xfId="25543" xr:uid="{F3F37B7E-BDA8-4D87-898A-7182032BB146}"/>
    <cellStyle name="Финансовый 3 3 3 2 5 4" xfId="8438" xr:uid="{00000000-0005-0000-0000-000037350000}"/>
    <cellStyle name="Финансовый 3 3 3 2 5 4 2" xfId="11529" xr:uid="{00000000-0005-0000-0000-000038350000}"/>
    <cellStyle name="Финансовый 3 3 3 2 5 4 2 2" xfId="28618" xr:uid="{B3C67984-2ABF-4EC7-A4BC-F6E2241C00B2}"/>
    <cellStyle name="Финансовый 3 3 3 2 5 4 3" xfId="14761" xr:uid="{00000000-0005-0000-0000-000039350000}"/>
    <cellStyle name="Финансовый 3 3 3 2 5 4 3 2" xfId="31774" xr:uid="{51B2F82D-29D7-4F99-8479-5AADA978B35C}"/>
    <cellStyle name="Финансовый 3 3 3 2 5 4 4" xfId="17842" xr:uid="{00000000-0005-0000-0000-00003A350000}"/>
    <cellStyle name="Финансовый 3 3 3 2 5 4 4 2" xfId="34855" xr:uid="{D6B21634-067E-4109-875A-D1AAB2185DB4}"/>
    <cellStyle name="Финансовый 3 3 3 2 5 4 5" xfId="25545" xr:uid="{057CA768-E47C-4D13-8E49-5F330F803F93}"/>
    <cellStyle name="Финансовый 3 3 3 2 5 5" xfId="11522" xr:uid="{00000000-0005-0000-0000-00003B350000}"/>
    <cellStyle name="Финансовый 3 3 3 2 5 5 2" xfId="28611" xr:uid="{971938A8-916D-4F7B-8053-3A05D8884779}"/>
    <cellStyle name="Финансовый 3 3 3 2 5 6" xfId="14754" xr:uid="{00000000-0005-0000-0000-00003C350000}"/>
    <cellStyle name="Финансовый 3 3 3 2 5 6 2" xfId="31767" xr:uid="{0545C2D6-9325-4EF8-9BFF-514F5B426E05}"/>
    <cellStyle name="Финансовый 3 3 3 2 5 7" xfId="17835" xr:uid="{00000000-0005-0000-0000-00003D350000}"/>
    <cellStyle name="Финансовый 3 3 3 2 5 7 2" xfId="34848" xr:uid="{A7A7DE58-4D2C-440A-95EF-78604344053B}"/>
    <cellStyle name="Финансовый 3 3 3 2 5 8" xfId="25538" xr:uid="{7EFD1C44-146C-47A6-BFA6-B5D627BE9A0C}"/>
    <cellStyle name="Финансовый 3 3 3 2 6" xfId="8439" xr:uid="{00000000-0005-0000-0000-00003E350000}"/>
    <cellStyle name="Финансовый 3 3 3 2 6 2" xfId="8440" xr:uid="{00000000-0005-0000-0000-00003F350000}"/>
    <cellStyle name="Финансовый 3 3 3 2 6 2 2" xfId="8441" xr:uid="{00000000-0005-0000-0000-000040350000}"/>
    <cellStyle name="Финансовый 3 3 3 2 6 2 2 2" xfId="11532" xr:uid="{00000000-0005-0000-0000-000041350000}"/>
    <cellStyle name="Финансовый 3 3 3 2 6 2 2 2 2" xfId="28621" xr:uid="{B3DDA639-6704-4878-A7CE-72FC383FE290}"/>
    <cellStyle name="Финансовый 3 3 3 2 6 2 2 3" xfId="14764" xr:uid="{00000000-0005-0000-0000-000042350000}"/>
    <cellStyle name="Финансовый 3 3 3 2 6 2 2 3 2" xfId="31777" xr:uid="{64DBEC69-423A-4481-9ADE-2753822686AB}"/>
    <cellStyle name="Финансовый 3 3 3 2 6 2 2 4" xfId="17845" xr:uid="{00000000-0005-0000-0000-000043350000}"/>
    <cellStyle name="Финансовый 3 3 3 2 6 2 2 4 2" xfId="34858" xr:uid="{AA0A6B12-5BE0-4B9E-89E9-91929A71CE2F}"/>
    <cellStyle name="Финансовый 3 3 3 2 6 2 2 5" xfId="25548" xr:uid="{15E8B02F-1D39-48AD-A248-829F16FAFC9E}"/>
    <cellStyle name="Финансовый 3 3 3 2 6 2 3" xfId="11531" xr:uid="{00000000-0005-0000-0000-000044350000}"/>
    <cellStyle name="Финансовый 3 3 3 2 6 2 3 2" xfId="28620" xr:uid="{87728A86-B7A0-452C-82C5-DEC75384FA48}"/>
    <cellStyle name="Финансовый 3 3 3 2 6 2 4" xfId="14763" xr:uid="{00000000-0005-0000-0000-000045350000}"/>
    <cellStyle name="Финансовый 3 3 3 2 6 2 4 2" xfId="31776" xr:uid="{909BC273-A342-49AD-A45D-7D3EE4CEE1B7}"/>
    <cellStyle name="Финансовый 3 3 3 2 6 2 5" xfId="17844" xr:uid="{00000000-0005-0000-0000-000046350000}"/>
    <cellStyle name="Финансовый 3 3 3 2 6 2 5 2" xfId="34857" xr:uid="{2297BB10-0374-4176-A34F-145042F87AFA}"/>
    <cellStyle name="Финансовый 3 3 3 2 6 2 6" xfId="25547" xr:uid="{977E6097-E21C-4875-8B62-A5F825B9A511}"/>
    <cellStyle name="Финансовый 3 3 3 2 6 3" xfId="8442" xr:uid="{00000000-0005-0000-0000-000047350000}"/>
    <cellStyle name="Финансовый 3 3 3 2 6 3 2" xfId="11533" xr:uid="{00000000-0005-0000-0000-000048350000}"/>
    <cellStyle name="Финансовый 3 3 3 2 6 3 2 2" xfId="28622" xr:uid="{24D4CF1B-765E-4882-A8D0-E330C269F9E2}"/>
    <cellStyle name="Финансовый 3 3 3 2 6 3 3" xfId="14765" xr:uid="{00000000-0005-0000-0000-000049350000}"/>
    <cellStyle name="Финансовый 3 3 3 2 6 3 3 2" xfId="31778" xr:uid="{17C08761-DC5B-4C5C-92C7-14EF40077F29}"/>
    <cellStyle name="Финансовый 3 3 3 2 6 3 4" xfId="17846" xr:uid="{00000000-0005-0000-0000-00004A350000}"/>
    <cellStyle name="Финансовый 3 3 3 2 6 3 4 2" xfId="34859" xr:uid="{0E67F02F-FFAF-4DE9-9AE4-01DC215CF22F}"/>
    <cellStyle name="Финансовый 3 3 3 2 6 3 5" xfId="25549" xr:uid="{BB9EC829-E98E-4102-BA55-34CA843F0297}"/>
    <cellStyle name="Финансовый 3 3 3 2 6 4" xfId="11530" xr:uid="{00000000-0005-0000-0000-00004B350000}"/>
    <cellStyle name="Финансовый 3 3 3 2 6 4 2" xfId="28619" xr:uid="{00320DDB-6965-4071-8B46-4C7C202A4FA0}"/>
    <cellStyle name="Финансовый 3 3 3 2 6 5" xfId="14762" xr:uid="{00000000-0005-0000-0000-00004C350000}"/>
    <cellStyle name="Финансовый 3 3 3 2 6 5 2" xfId="31775" xr:uid="{54BABD25-1928-48B9-BE66-7C1E23A0EDCE}"/>
    <cellStyle name="Финансовый 3 3 3 2 6 6" xfId="17843" xr:uid="{00000000-0005-0000-0000-00004D350000}"/>
    <cellStyle name="Финансовый 3 3 3 2 6 6 2" xfId="34856" xr:uid="{9DF5E725-AE2A-404C-B5CE-EFE605EB1D4E}"/>
    <cellStyle name="Финансовый 3 3 3 2 6 7" xfId="25546" xr:uid="{0EF6624A-9D36-4255-9828-52A23403AC81}"/>
    <cellStyle name="Финансовый 3 3 3 2 7" xfId="8443" xr:uid="{00000000-0005-0000-0000-00004E350000}"/>
    <cellStyle name="Финансовый 3 3 3 2 7 2" xfId="8444" xr:uid="{00000000-0005-0000-0000-00004F350000}"/>
    <cellStyle name="Финансовый 3 3 3 2 7 2 2" xfId="11535" xr:uid="{00000000-0005-0000-0000-000050350000}"/>
    <cellStyle name="Финансовый 3 3 3 2 7 2 2 2" xfId="28624" xr:uid="{0F8E3154-9976-4EBA-ADCA-8EFD81911535}"/>
    <cellStyle name="Финансовый 3 3 3 2 7 2 3" xfId="14767" xr:uid="{00000000-0005-0000-0000-000051350000}"/>
    <cellStyle name="Финансовый 3 3 3 2 7 2 3 2" xfId="31780" xr:uid="{EFBBF265-A591-4335-8BF5-D26A04F38FC1}"/>
    <cellStyle name="Финансовый 3 3 3 2 7 2 4" xfId="17848" xr:uid="{00000000-0005-0000-0000-000052350000}"/>
    <cellStyle name="Финансовый 3 3 3 2 7 2 4 2" xfId="34861" xr:uid="{A0332E27-74A9-4BE4-9A2B-869DE31FEDEB}"/>
    <cellStyle name="Финансовый 3 3 3 2 7 2 5" xfId="25551" xr:uid="{7157A96B-BC60-4156-8E90-EA546FC51E96}"/>
    <cellStyle name="Финансовый 3 3 3 2 7 3" xfId="11534" xr:uid="{00000000-0005-0000-0000-000053350000}"/>
    <cellStyle name="Финансовый 3 3 3 2 7 3 2" xfId="28623" xr:uid="{3176C0CC-03BF-491B-9036-17EEBC40DE2C}"/>
    <cellStyle name="Финансовый 3 3 3 2 7 4" xfId="14766" xr:uid="{00000000-0005-0000-0000-000054350000}"/>
    <cellStyle name="Финансовый 3 3 3 2 7 4 2" xfId="31779" xr:uid="{FCF6CB5A-AD25-4A72-B166-68F544D56B92}"/>
    <cellStyle name="Финансовый 3 3 3 2 7 5" xfId="17847" xr:uid="{00000000-0005-0000-0000-000055350000}"/>
    <cellStyle name="Финансовый 3 3 3 2 7 5 2" xfId="34860" xr:uid="{6943ED41-1983-447C-AD69-4C1C578445A9}"/>
    <cellStyle name="Финансовый 3 3 3 2 7 6" xfId="25550" xr:uid="{DC9BC8D4-DE58-4CFA-8CAC-DE3B9554AF12}"/>
    <cellStyle name="Финансовый 3 3 3 2 8" xfId="8445" xr:uid="{00000000-0005-0000-0000-000056350000}"/>
    <cellStyle name="Финансовый 3 3 3 2 8 2" xfId="11536" xr:uid="{00000000-0005-0000-0000-000057350000}"/>
    <cellStyle name="Финансовый 3 3 3 2 8 2 2" xfId="28625" xr:uid="{1CD4704F-1A1B-4236-97BC-1CDAB070F9F3}"/>
    <cellStyle name="Финансовый 3 3 3 2 8 3" xfId="14768" xr:uid="{00000000-0005-0000-0000-000058350000}"/>
    <cellStyle name="Финансовый 3 3 3 2 8 3 2" xfId="31781" xr:uid="{8A998DB8-E56C-43BB-91FA-F5E4BF5E475C}"/>
    <cellStyle name="Финансовый 3 3 3 2 8 4" xfId="17849" xr:uid="{00000000-0005-0000-0000-000059350000}"/>
    <cellStyle name="Финансовый 3 3 3 2 8 4 2" xfId="34862" xr:uid="{BE1BA195-4682-47C6-B009-A076AEBBA6D5}"/>
    <cellStyle name="Финансовый 3 3 3 2 8 5" xfId="25552" xr:uid="{F4D047AC-1B33-4F5D-ABE2-4526CB452F1B}"/>
    <cellStyle name="Финансовый 3 3 3 2 9" xfId="11409" xr:uid="{00000000-0005-0000-0000-00005A350000}"/>
    <cellStyle name="Финансовый 3 3 3 2 9 2" xfId="28498" xr:uid="{0CC190AE-E452-4610-8D75-68E896FFC83B}"/>
    <cellStyle name="Финансовый 3 3 3 3" xfId="8446" xr:uid="{00000000-0005-0000-0000-00005B350000}"/>
    <cellStyle name="Финансовый 3 3 3 3 10" xfId="17850" xr:uid="{00000000-0005-0000-0000-00005C350000}"/>
    <cellStyle name="Финансовый 3 3 3 3 10 2" xfId="34863" xr:uid="{4ADECFC4-4771-4B4E-8431-5F7FC14F40D5}"/>
    <cellStyle name="Финансовый 3 3 3 3 11" xfId="25553" xr:uid="{886B3FE8-559A-4E7F-A3F6-6CD3762E29EF}"/>
    <cellStyle name="Финансовый 3 3 3 3 2" xfId="8447" xr:uid="{00000000-0005-0000-0000-00005D350000}"/>
    <cellStyle name="Финансовый 3 3 3 3 2 10" xfId="25554" xr:uid="{104083BA-1EFA-43BC-A9B8-DB6BA11CEA91}"/>
    <cellStyle name="Финансовый 3 3 3 3 2 2" xfId="8448" xr:uid="{00000000-0005-0000-0000-00005E350000}"/>
    <cellStyle name="Финансовый 3 3 3 3 2 2 2" xfId="8449" xr:uid="{00000000-0005-0000-0000-00005F350000}"/>
    <cellStyle name="Финансовый 3 3 3 3 2 2 2 2" xfId="8450" xr:uid="{00000000-0005-0000-0000-000060350000}"/>
    <cellStyle name="Финансовый 3 3 3 3 2 2 2 2 2" xfId="8451" xr:uid="{00000000-0005-0000-0000-000061350000}"/>
    <cellStyle name="Финансовый 3 3 3 3 2 2 2 2 2 2" xfId="8452" xr:uid="{00000000-0005-0000-0000-000062350000}"/>
    <cellStyle name="Финансовый 3 3 3 3 2 2 2 2 2 2 2" xfId="11543" xr:uid="{00000000-0005-0000-0000-000063350000}"/>
    <cellStyle name="Финансовый 3 3 3 3 2 2 2 2 2 2 2 2" xfId="28632" xr:uid="{0B321624-A6C5-44FD-9CB5-1DDB4050135E}"/>
    <cellStyle name="Финансовый 3 3 3 3 2 2 2 2 2 2 3" xfId="14775" xr:uid="{00000000-0005-0000-0000-000064350000}"/>
    <cellStyle name="Финансовый 3 3 3 3 2 2 2 2 2 2 3 2" xfId="31788" xr:uid="{F206C898-3865-431E-92CC-38C0FEBD91A6}"/>
    <cellStyle name="Финансовый 3 3 3 3 2 2 2 2 2 2 4" xfId="17856" xr:uid="{00000000-0005-0000-0000-000065350000}"/>
    <cellStyle name="Финансовый 3 3 3 3 2 2 2 2 2 2 4 2" xfId="34869" xr:uid="{EC09AD7E-ECDB-4E6A-ABD4-1271A14D1355}"/>
    <cellStyle name="Финансовый 3 3 3 3 2 2 2 2 2 2 5" xfId="25559" xr:uid="{1A1231C3-A440-4CC1-9B19-65BE3F66EADB}"/>
    <cellStyle name="Финансовый 3 3 3 3 2 2 2 2 2 3" xfId="11542" xr:uid="{00000000-0005-0000-0000-000066350000}"/>
    <cellStyle name="Финансовый 3 3 3 3 2 2 2 2 2 3 2" xfId="28631" xr:uid="{440E0B84-9766-430F-90FC-EC57B4EF6CD4}"/>
    <cellStyle name="Финансовый 3 3 3 3 2 2 2 2 2 4" xfId="14774" xr:uid="{00000000-0005-0000-0000-000067350000}"/>
    <cellStyle name="Финансовый 3 3 3 3 2 2 2 2 2 4 2" xfId="31787" xr:uid="{75D05419-02B7-410D-B9B9-A10313EF24E6}"/>
    <cellStyle name="Финансовый 3 3 3 3 2 2 2 2 2 5" xfId="17855" xr:uid="{00000000-0005-0000-0000-000068350000}"/>
    <cellStyle name="Финансовый 3 3 3 3 2 2 2 2 2 5 2" xfId="34868" xr:uid="{B2EC443E-EDF1-4F5E-9F9B-5BF5F65089A1}"/>
    <cellStyle name="Финансовый 3 3 3 3 2 2 2 2 2 6" xfId="25558" xr:uid="{78C6F1D1-1231-4763-8496-16613514DE80}"/>
    <cellStyle name="Финансовый 3 3 3 3 2 2 2 2 3" xfId="8453" xr:uid="{00000000-0005-0000-0000-000069350000}"/>
    <cellStyle name="Финансовый 3 3 3 3 2 2 2 2 3 2" xfId="11544" xr:uid="{00000000-0005-0000-0000-00006A350000}"/>
    <cellStyle name="Финансовый 3 3 3 3 2 2 2 2 3 2 2" xfId="28633" xr:uid="{A95004FD-5651-489D-9B92-B69D0ED1DDB0}"/>
    <cellStyle name="Финансовый 3 3 3 3 2 2 2 2 3 3" xfId="14776" xr:uid="{00000000-0005-0000-0000-00006B350000}"/>
    <cellStyle name="Финансовый 3 3 3 3 2 2 2 2 3 3 2" xfId="31789" xr:uid="{02D2F1F8-DE09-4469-8807-11741F2491A1}"/>
    <cellStyle name="Финансовый 3 3 3 3 2 2 2 2 3 4" xfId="17857" xr:uid="{00000000-0005-0000-0000-00006C350000}"/>
    <cellStyle name="Финансовый 3 3 3 3 2 2 2 2 3 4 2" xfId="34870" xr:uid="{3718D0BF-C2B0-46D9-B19F-448865D0EA6C}"/>
    <cellStyle name="Финансовый 3 3 3 3 2 2 2 2 3 5" xfId="25560" xr:uid="{9395DFA0-60D8-431F-894D-9A037FF22738}"/>
    <cellStyle name="Финансовый 3 3 3 3 2 2 2 2 4" xfId="11541" xr:uid="{00000000-0005-0000-0000-00006D350000}"/>
    <cellStyle name="Финансовый 3 3 3 3 2 2 2 2 4 2" xfId="28630" xr:uid="{C159A83F-7454-44D3-B873-EF44F4370785}"/>
    <cellStyle name="Финансовый 3 3 3 3 2 2 2 2 5" xfId="14773" xr:uid="{00000000-0005-0000-0000-00006E350000}"/>
    <cellStyle name="Финансовый 3 3 3 3 2 2 2 2 5 2" xfId="31786" xr:uid="{0B5E9972-A566-443C-92DD-A31C463B9A34}"/>
    <cellStyle name="Финансовый 3 3 3 3 2 2 2 2 6" xfId="17854" xr:uid="{00000000-0005-0000-0000-00006F350000}"/>
    <cellStyle name="Финансовый 3 3 3 3 2 2 2 2 6 2" xfId="34867" xr:uid="{D7EF1220-B2A4-4389-91A1-D14CCF495D16}"/>
    <cellStyle name="Финансовый 3 3 3 3 2 2 2 2 7" xfId="25557" xr:uid="{0B0F4899-0A44-41C7-A18E-C5BA4B7EE2A7}"/>
    <cellStyle name="Финансовый 3 3 3 3 2 2 2 3" xfId="8454" xr:uid="{00000000-0005-0000-0000-000070350000}"/>
    <cellStyle name="Финансовый 3 3 3 3 2 2 2 3 2" xfId="8455" xr:uid="{00000000-0005-0000-0000-000071350000}"/>
    <cellStyle name="Финансовый 3 3 3 3 2 2 2 3 2 2" xfId="11546" xr:uid="{00000000-0005-0000-0000-000072350000}"/>
    <cellStyle name="Финансовый 3 3 3 3 2 2 2 3 2 2 2" xfId="28635" xr:uid="{A166267B-4232-4353-B041-55E2908E2668}"/>
    <cellStyle name="Финансовый 3 3 3 3 2 2 2 3 2 3" xfId="14778" xr:uid="{00000000-0005-0000-0000-000073350000}"/>
    <cellStyle name="Финансовый 3 3 3 3 2 2 2 3 2 3 2" xfId="31791" xr:uid="{98A5D510-A5D3-408C-A355-E6627EDF5B13}"/>
    <cellStyle name="Финансовый 3 3 3 3 2 2 2 3 2 4" xfId="17859" xr:uid="{00000000-0005-0000-0000-000074350000}"/>
    <cellStyle name="Финансовый 3 3 3 3 2 2 2 3 2 4 2" xfId="34872" xr:uid="{3C92EF8F-5073-4EC9-864D-77A477C63ADD}"/>
    <cellStyle name="Финансовый 3 3 3 3 2 2 2 3 2 5" xfId="25562" xr:uid="{886C17FA-45C8-42AA-941D-7D72F37B8CD6}"/>
    <cellStyle name="Финансовый 3 3 3 3 2 2 2 3 3" xfId="11545" xr:uid="{00000000-0005-0000-0000-000075350000}"/>
    <cellStyle name="Финансовый 3 3 3 3 2 2 2 3 3 2" xfId="28634" xr:uid="{3C231A40-55F4-4E03-819C-CF6415A5CAF6}"/>
    <cellStyle name="Финансовый 3 3 3 3 2 2 2 3 4" xfId="14777" xr:uid="{00000000-0005-0000-0000-000076350000}"/>
    <cellStyle name="Финансовый 3 3 3 3 2 2 2 3 4 2" xfId="31790" xr:uid="{EB8EE948-5E78-46CD-BD08-5063F0741A60}"/>
    <cellStyle name="Финансовый 3 3 3 3 2 2 2 3 5" xfId="17858" xr:uid="{00000000-0005-0000-0000-000077350000}"/>
    <cellStyle name="Финансовый 3 3 3 3 2 2 2 3 5 2" xfId="34871" xr:uid="{E2589E0D-F22E-4BA3-8E85-409DD06D890B}"/>
    <cellStyle name="Финансовый 3 3 3 3 2 2 2 3 6" xfId="25561" xr:uid="{8FC682E0-D738-459E-9EDB-BA24FBFD49F1}"/>
    <cellStyle name="Финансовый 3 3 3 3 2 2 2 4" xfId="8456" xr:uid="{00000000-0005-0000-0000-000078350000}"/>
    <cellStyle name="Финансовый 3 3 3 3 2 2 2 4 2" xfId="11547" xr:uid="{00000000-0005-0000-0000-000079350000}"/>
    <cellStyle name="Финансовый 3 3 3 3 2 2 2 4 2 2" xfId="28636" xr:uid="{483EABD1-8C49-4385-8FB8-A3622E2CF8F1}"/>
    <cellStyle name="Финансовый 3 3 3 3 2 2 2 4 3" xfId="14779" xr:uid="{00000000-0005-0000-0000-00007A350000}"/>
    <cellStyle name="Финансовый 3 3 3 3 2 2 2 4 3 2" xfId="31792" xr:uid="{3EC65B07-076A-4757-98C2-B3C7353D13AB}"/>
    <cellStyle name="Финансовый 3 3 3 3 2 2 2 4 4" xfId="17860" xr:uid="{00000000-0005-0000-0000-00007B350000}"/>
    <cellStyle name="Финансовый 3 3 3 3 2 2 2 4 4 2" xfId="34873" xr:uid="{CB37613E-A916-4A9D-B995-C4C768EE8C4B}"/>
    <cellStyle name="Финансовый 3 3 3 3 2 2 2 4 5" xfId="25563" xr:uid="{FD3561FC-0298-4E1C-A9E9-B26D00A16151}"/>
    <cellStyle name="Финансовый 3 3 3 3 2 2 2 5" xfId="11540" xr:uid="{00000000-0005-0000-0000-00007C350000}"/>
    <cellStyle name="Финансовый 3 3 3 3 2 2 2 5 2" xfId="28629" xr:uid="{253CAB65-6222-492F-8D28-2A7C2F11FDEA}"/>
    <cellStyle name="Финансовый 3 3 3 3 2 2 2 6" xfId="14772" xr:uid="{00000000-0005-0000-0000-00007D350000}"/>
    <cellStyle name="Финансовый 3 3 3 3 2 2 2 6 2" xfId="31785" xr:uid="{DE379227-C13E-4CD3-A3B2-01760F7D830F}"/>
    <cellStyle name="Финансовый 3 3 3 3 2 2 2 7" xfId="17853" xr:uid="{00000000-0005-0000-0000-00007E350000}"/>
    <cellStyle name="Финансовый 3 3 3 3 2 2 2 7 2" xfId="34866" xr:uid="{2B025FE7-B76F-42F7-9C11-F8E1E3B58DC4}"/>
    <cellStyle name="Финансовый 3 3 3 3 2 2 2 8" xfId="25556" xr:uid="{E0F7D640-290A-4814-AE5F-DAFDBE35487F}"/>
    <cellStyle name="Финансовый 3 3 3 3 2 2 3" xfId="8457" xr:uid="{00000000-0005-0000-0000-00007F350000}"/>
    <cellStyle name="Финансовый 3 3 3 3 2 2 3 2" xfId="8458" xr:uid="{00000000-0005-0000-0000-000080350000}"/>
    <cellStyle name="Финансовый 3 3 3 3 2 2 3 2 2" xfId="8459" xr:uid="{00000000-0005-0000-0000-000081350000}"/>
    <cellStyle name="Финансовый 3 3 3 3 2 2 3 2 2 2" xfId="11550" xr:uid="{00000000-0005-0000-0000-000082350000}"/>
    <cellStyle name="Финансовый 3 3 3 3 2 2 3 2 2 2 2" xfId="28639" xr:uid="{0B884467-1F28-40E4-B8E9-60066263ADE7}"/>
    <cellStyle name="Финансовый 3 3 3 3 2 2 3 2 2 3" xfId="14782" xr:uid="{00000000-0005-0000-0000-000083350000}"/>
    <cellStyle name="Финансовый 3 3 3 3 2 2 3 2 2 3 2" xfId="31795" xr:uid="{BA6F07D7-B81D-4AE5-BFCD-E99AD93038C4}"/>
    <cellStyle name="Финансовый 3 3 3 3 2 2 3 2 2 4" xfId="17863" xr:uid="{00000000-0005-0000-0000-000084350000}"/>
    <cellStyle name="Финансовый 3 3 3 3 2 2 3 2 2 4 2" xfId="34876" xr:uid="{4921A44E-5989-4D5B-8FCD-F065530225A1}"/>
    <cellStyle name="Финансовый 3 3 3 3 2 2 3 2 2 5" xfId="25566" xr:uid="{6B7CE853-1818-4697-B89E-CE2047647FA0}"/>
    <cellStyle name="Финансовый 3 3 3 3 2 2 3 2 3" xfId="11549" xr:uid="{00000000-0005-0000-0000-000085350000}"/>
    <cellStyle name="Финансовый 3 3 3 3 2 2 3 2 3 2" xfId="28638" xr:uid="{84B0C03B-6469-4EBD-A564-95AB11B74A1A}"/>
    <cellStyle name="Финансовый 3 3 3 3 2 2 3 2 4" xfId="14781" xr:uid="{00000000-0005-0000-0000-000086350000}"/>
    <cellStyle name="Финансовый 3 3 3 3 2 2 3 2 4 2" xfId="31794" xr:uid="{CE792960-E8A4-4884-84E6-90569C3AA11E}"/>
    <cellStyle name="Финансовый 3 3 3 3 2 2 3 2 5" xfId="17862" xr:uid="{00000000-0005-0000-0000-000087350000}"/>
    <cellStyle name="Финансовый 3 3 3 3 2 2 3 2 5 2" xfId="34875" xr:uid="{EB21B770-D034-4C46-98E8-A6CDFA1AD920}"/>
    <cellStyle name="Финансовый 3 3 3 3 2 2 3 2 6" xfId="25565" xr:uid="{95AC6F09-2D3A-46E4-AA69-C1CEC12CA6DE}"/>
    <cellStyle name="Финансовый 3 3 3 3 2 2 3 3" xfId="8460" xr:uid="{00000000-0005-0000-0000-000088350000}"/>
    <cellStyle name="Финансовый 3 3 3 3 2 2 3 3 2" xfId="11551" xr:uid="{00000000-0005-0000-0000-000089350000}"/>
    <cellStyle name="Финансовый 3 3 3 3 2 2 3 3 2 2" xfId="28640" xr:uid="{0D7BAB9A-376F-4A0B-9E94-E4CFCAA52C46}"/>
    <cellStyle name="Финансовый 3 3 3 3 2 2 3 3 3" xfId="14783" xr:uid="{00000000-0005-0000-0000-00008A350000}"/>
    <cellStyle name="Финансовый 3 3 3 3 2 2 3 3 3 2" xfId="31796" xr:uid="{D7CB6A24-1184-40C7-B189-CB1EEF632BA7}"/>
    <cellStyle name="Финансовый 3 3 3 3 2 2 3 3 4" xfId="17864" xr:uid="{00000000-0005-0000-0000-00008B350000}"/>
    <cellStyle name="Финансовый 3 3 3 3 2 2 3 3 4 2" xfId="34877" xr:uid="{AC4D19F7-8720-496B-8504-7C049877DEE8}"/>
    <cellStyle name="Финансовый 3 3 3 3 2 2 3 3 5" xfId="25567" xr:uid="{190784A2-2209-4424-BB75-5004BD43E95B}"/>
    <cellStyle name="Финансовый 3 3 3 3 2 2 3 4" xfId="11548" xr:uid="{00000000-0005-0000-0000-00008C350000}"/>
    <cellStyle name="Финансовый 3 3 3 3 2 2 3 4 2" xfId="28637" xr:uid="{688B43CB-61BC-4087-9158-6B890AD4CAF7}"/>
    <cellStyle name="Финансовый 3 3 3 3 2 2 3 5" xfId="14780" xr:uid="{00000000-0005-0000-0000-00008D350000}"/>
    <cellStyle name="Финансовый 3 3 3 3 2 2 3 5 2" xfId="31793" xr:uid="{65893CE1-A9A5-42FD-A654-B866318906CA}"/>
    <cellStyle name="Финансовый 3 3 3 3 2 2 3 6" xfId="17861" xr:uid="{00000000-0005-0000-0000-00008E350000}"/>
    <cellStyle name="Финансовый 3 3 3 3 2 2 3 6 2" xfId="34874" xr:uid="{89222F0B-46A5-4CAF-BA4E-D3A0A5CEC78E}"/>
    <cellStyle name="Финансовый 3 3 3 3 2 2 3 7" xfId="25564" xr:uid="{1AA2E26D-F185-4EC2-9196-2804ED89C33A}"/>
    <cellStyle name="Финансовый 3 3 3 3 2 2 4" xfId="8461" xr:uid="{00000000-0005-0000-0000-00008F350000}"/>
    <cellStyle name="Финансовый 3 3 3 3 2 2 4 2" xfId="8462" xr:uid="{00000000-0005-0000-0000-000090350000}"/>
    <cellStyle name="Финансовый 3 3 3 3 2 2 4 2 2" xfId="11553" xr:uid="{00000000-0005-0000-0000-000091350000}"/>
    <cellStyle name="Финансовый 3 3 3 3 2 2 4 2 2 2" xfId="28642" xr:uid="{93893AB2-D530-4999-9F44-47B2304EA2B9}"/>
    <cellStyle name="Финансовый 3 3 3 3 2 2 4 2 3" xfId="14785" xr:uid="{00000000-0005-0000-0000-000092350000}"/>
    <cellStyle name="Финансовый 3 3 3 3 2 2 4 2 3 2" xfId="31798" xr:uid="{FD564A04-923C-44E0-986F-10A76EEE25E9}"/>
    <cellStyle name="Финансовый 3 3 3 3 2 2 4 2 4" xfId="17866" xr:uid="{00000000-0005-0000-0000-000093350000}"/>
    <cellStyle name="Финансовый 3 3 3 3 2 2 4 2 4 2" xfId="34879" xr:uid="{7BD29EA0-B172-4F80-B062-A3471934601A}"/>
    <cellStyle name="Финансовый 3 3 3 3 2 2 4 2 5" xfId="25569" xr:uid="{B174C25B-0BEE-4E20-96B6-20FEA885ACAF}"/>
    <cellStyle name="Финансовый 3 3 3 3 2 2 4 3" xfId="11552" xr:uid="{00000000-0005-0000-0000-000094350000}"/>
    <cellStyle name="Финансовый 3 3 3 3 2 2 4 3 2" xfId="28641" xr:uid="{FCE3F322-7BFF-4012-9216-6BBB673B5CE3}"/>
    <cellStyle name="Финансовый 3 3 3 3 2 2 4 4" xfId="14784" xr:uid="{00000000-0005-0000-0000-000095350000}"/>
    <cellStyle name="Финансовый 3 3 3 3 2 2 4 4 2" xfId="31797" xr:uid="{25DC997E-C413-46EC-A970-397BDDC3435C}"/>
    <cellStyle name="Финансовый 3 3 3 3 2 2 4 5" xfId="17865" xr:uid="{00000000-0005-0000-0000-000096350000}"/>
    <cellStyle name="Финансовый 3 3 3 3 2 2 4 5 2" xfId="34878" xr:uid="{3FAA5D19-F1D7-45FC-875B-DB09AF035018}"/>
    <cellStyle name="Финансовый 3 3 3 3 2 2 4 6" xfId="25568" xr:uid="{C4595422-2C8D-4DCA-9AA0-A6407261317B}"/>
    <cellStyle name="Финансовый 3 3 3 3 2 2 5" xfId="8463" xr:uid="{00000000-0005-0000-0000-000097350000}"/>
    <cellStyle name="Финансовый 3 3 3 3 2 2 5 2" xfId="11554" xr:uid="{00000000-0005-0000-0000-000098350000}"/>
    <cellStyle name="Финансовый 3 3 3 3 2 2 5 2 2" xfId="28643" xr:uid="{14E7296B-F222-4190-B161-BC9A222D21B9}"/>
    <cellStyle name="Финансовый 3 3 3 3 2 2 5 3" xfId="14786" xr:uid="{00000000-0005-0000-0000-000099350000}"/>
    <cellStyle name="Финансовый 3 3 3 3 2 2 5 3 2" xfId="31799" xr:uid="{86EF26B1-9015-4D82-94A0-D54C8D606D7A}"/>
    <cellStyle name="Финансовый 3 3 3 3 2 2 5 4" xfId="17867" xr:uid="{00000000-0005-0000-0000-00009A350000}"/>
    <cellStyle name="Финансовый 3 3 3 3 2 2 5 4 2" xfId="34880" xr:uid="{A29E6DE8-7CF5-4956-8C26-C8A6DB8C661A}"/>
    <cellStyle name="Финансовый 3 3 3 3 2 2 5 5" xfId="25570" xr:uid="{E6BAFBE4-A9C6-46DF-B06D-7C2FEB29A342}"/>
    <cellStyle name="Финансовый 3 3 3 3 2 2 6" xfId="11539" xr:uid="{00000000-0005-0000-0000-00009B350000}"/>
    <cellStyle name="Финансовый 3 3 3 3 2 2 6 2" xfId="28628" xr:uid="{A154C28E-9033-4EC4-93B8-A00AF4D6E9F0}"/>
    <cellStyle name="Финансовый 3 3 3 3 2 2 7" xfId="14771" xr:uid="{00000000-0005-0000-0000-00009C350000}"/>
    <cellStyle name="Финансовый 3 3 3 3 2 2 7 2" xfId="31784" xr:uid="{52967BC4-BA8C-42C8-BCE2-4F89F4C9FF40}"/>
    <cellStyle name="Финансовый 3 3 3 3 2 2 8" xfId="17852" xr:uid="{00000000-0005-0000-0000-00009D350000}"/>
    <cellStyle name="Финансовый 3 3 3 3 2 2 8 2" xfId="34865" xr:uid="{CF525226-E158-42ED-803D-BFE1CE79F0B6}"/>
    <cellStyle name="Финансовый 3 3 3 3 2 2 9" xfId="25555" xr:uid="{B3CB276C-CD4C-423D-84C4-6664A113E863}"/>
    <cellStyle name="Финансовый 3 3 3 3 2 3" xfId="8464" xr:uid="{00000000-0005-0000-0000-00009E350000}"/>
    <cellStyle name="Финансовый 3 3 3 3 2 3 2" xfId="8465" xr:uid="{00000000-0005-0000-0000-00009F350000}"/>
    <cellStyle name="Финансовый 3 3 3 3 2 3 2 2" xfId="8466" xr:uid="{00000000-0005-0000-0000-0000A0350000}"/>
    <cellStyle name="Финансовый 3 3 3 3 2 3 2 2 2" xfId="8467" xr:uid="{00000000-0005-0000-0000-0000A1350000}"/>
    <cellStyle name="Финансовый 3 3 3 3 2 3 2 2 2 2" xfId="11558" xr:uid="{00000000-0005-0000-0000-0000A2350000}"/>
    <cellStyle name="Финансовый 3 3 3 3 2 3 2 2 2 2 2" xfId="28647" xr:uid="{B675F7BE-AE46-45DA-8492-00D2F28BC773}"/>
    <cellStyle name="Финансовый 3 3 3 3 2 3 2 2 2 3" xfId="14790" xr:uid="{00000000-0005-0000-0000-0000A3350000}"/>
    <cellStyle name="Финансовый 3 3 3 3 2 3 2 2 2 3 2" xfId="31803" xr:uid="{6FB76EEF-8125-4745-8AB2-8493EA6FFD6D}"/>
    <cellStyle name="Финансовый 3 3 3 3 2 3 2 2 2 4" xfId="17871" xr:uid="{00000000-0005-0000-0000-0000A4350000}"/>
    <cellStyle name="Финансовый 3 3 3 3 2 3 2 2 2 4 2" xfId="34884" xr:uid="{04B2DBB2-7D86-4067-B5E7-E62426A6F84B}"/>
    <cellStyle name="Финансовый 3 3 3 3 2 3 2 2 2 5" xfId="25574" xr:uid="{270C29C7-BCE1-48AB-BB72-92E5B6359483}"/>
    <cellStyle name="Финансовый 3 3 3 3 2 3 2 2 3" xfId="11557" xr:uid="{00000000-0005-0000-0000-0000A5350000}"/>
    <cellStyle name="Финансовый 3 3 3 3 2 3 2 2 3 2" xfId="28646" xr:uid="{CFE001C6-FC92-4F61-9E62-20CA20F80060}"/>
    <cellStyle name="Финансовый 3 3 3 3 2 3 2 2 4" xfId="14789" xr:uid="{00000000-0005-0000-0000-0000A6350000}"/>
    <cellStyle name="Финансовый 3 3 3 3 2 3 2 2 4 2" xfId="31802" xr:uid="{172BEC30-36F3-4DFE-848E-F6139A12DFC3}"/>
    <cellStyle name="Финансовый 3 3 3 3 2 3 2 2 5" xfId="17870" xr:uid="{00000000-0005-0000-0000-0000A7350000}"/>
    <cellStyle name="Финансовый 3 3 3 3 2 3 2 2 5 2" xfId="34883" xr:uid="{15FFCCDB-B6C2-4E86-8580-62378E130228}"/>
    <cellStyle name="Финансовый 3 3 3 3 2 3 2 2 6" xfId="25573" xr:uid="{2FAD183C-492D-48DC-8446-B5DE5C770366}"/>
    <cellStyle name="Финансовый 3 3 3 3 2 3 2 3" xfId="8468" xr:uid="{00000000-0005-0000-0000-0000A8350000}"/>
    <cellStyle name="Финансовый 3 3 3 3 2 3 2 3 2" xfId="11559" xr:uid="{00000000-0005-0000-0000-0000A9350000}"/>
    <cellStyle name="Финансовый 3 3 3 3 2 3 2 3 2 2" xfId="28648" xr:uid="{4BBAFBA1-6788-428B-B72D-EDAA8B5F7DC9}"/>
    <cellStyle name="Финансовый 3 3 3 3 2 3 2 3 3" xfId="14791" xr:uid="{00000000-0005-0000-0000-0000AA350000}"/>
    <cellStyle name="Финансовый 3 3 3 3 2 3 2 3 3 2" xfId="31804" xr:uid="{EE3FAB9E-74F5-4B25-851F-61B9946646F5}"/>
    <cellStyle name="Финансовый 3 3 3 3 2 3 2 3 4" xfId="17872" xr:uid="{00000000-0005-0000-0000-0000AB350000}"/>
    <cellStyle name="Финансовый 3 3 3 3 2 3 2 3 4 2" xfId="34885" xr:uid="{91E458E1-3F3A-478A-95B3-242B8FB52BCD}"/>
    <cellStyle name="Финансовый 3 3 3 3 2 3 2 3 5" xfId="25575" xr:uid="{ACBCED84-3D17-47C0-B9CE-94DFF58F8DAE}"/>
    <cellStyle name="Финансовый 3 3 3 3 2 3 2 4" xfId="11556" xr:uid="{00000000-0005-0000-0000-0000AC350000}"/>
    <cellStyle name="Финансовый 3 3 3 3 2 3 2 4 2" xfId="28645" xr:uid="{AD7148C9-0448-40FC-86DC-6808DF7148BC}"/>
    <cellStyle name="Финансовый 3 3 3 3 2 3 2 5" xfId="14788" xr:uid="{00000000-0005-0000-0000-0000AD350000}"/>
    <cellStyle name="Финансовый 3 3 3 3 2 3 2 5 2" xfId="31801" xr:uid="{6B8587CB-DCFB-456D-81D8-D50C9273D4DE}"/>
    <cellStyle name="Финансовый 3 3 3 3 2 3 2 6" xfId="17869" xr:uid="{00000000-0005-0000-0000-0000AE350000}"/>
    <cellStyle name="Финансовый 3 3 3 3 2 3 2 6 2" xfId="34882" xr:uid="{33A02F87-1704-4C08-A8C1-AC576AAA5451}"/>
    <cellStyle name="Финансовый 3 3 3 3 2 3 2 7" xfId="25572" xr:uid="{84DB5993-B75E-44E5-974B-81AF2792404A}"/>
    <cellStyle name="Финансовый 3 3 3 3 2 3 3" xfId="8469" xr:uid="{00000000-0005-0000-0000-0000AF350000}"/>
    <cellStyle name="Финансовый 3 3 3 3 2 3 3 2" xfId="8470" xr:uid="{00000000-0005-0000-0000-0000B0350000}"/>
    <cellStyle name="Финансовый 3 3 3 3 2 3 3 2 2" xfId="11561" xr:uid="{00000000-0005-0000-0000-0000B1350000}"/>
    <cellStyle name="Финансовый 3 3 3 3 2 3 3 2 2 2" xfId="28650" xr:uid="{F8CC9747-E863-4C34-AB50-415F82A42777}"/>
    <cellStyle name="Финансовый 3 3 3 3 2 3 3 2 3" xfId="14793" xr:uid="{00000000-0005-0000-0000-0000B2350000}"/>
    <cellStyle name="Финансовый 3 3 3 3 2 3 3 2 3 2" xfId="31806" xr:uid="{DF00C7D2-C6CB-4F71-BEEC-5F02BF0BF3C3}"/>
    <cellStyle name="Финансовый 3 3 3 3 2 3 3 2 4" xfId="17874" xr:uid="{00000000-0005-0000-0000-0000B3350000}"/>
    <cellStyle name="Финансовый 3 3 3 3 2 3 3 2 4 2" xfId="34887" xr:uid="{D90FD1CC-5BD8-4A06-9AF6-318F562F0570}"/>
    <cellStyle name="Финансовый 3 3 3 3 2 3 3 2 5" xfId="25577" xr:uid="{7161ED3E-7882-47EB-82D1-E8C6751EB9BD}"/>
    <cellStyle name="Финансовый 3 3 3 3 2 3 3 3" xfId="11560" xr:uid="{00000000-0005-0000-0000-0000B4350000}"/>
    <cellStyle name="Финансовый 3 3 3 3 2 3 3 3 2" xfId="28649" xr:uid="{A81A1891-2164-4F51-B8B3-45E443A4F05B}"/>
    <cellStyle name="Финансовый 3 3 3 3 2 3 3 4" xfId="14792" xr:uid="{00000000-0005-0000-0000-0000B5350000}"/>
    <cellStyle name="Финансовый 3 3 3 3 2 3 3 4 2" xfId="31805" xr:uid="{EE92AE02-DF69-4B95-A4B9-BB07BCBA3909}"/>
    <cellStyle name="Финансовый 3 3 3 3 2 3 3 5" xfId="17873" xr:uid="{00000000-0005-0000-0000-0000B6350000}"/>
    <cellStyle name="Финансовый 3 3 3 3 2 3 3 5 2" xfId="34886" xr:uid="{FBD9CE68-FF26-4E68-92C3-E59CC33E7AF4}"/>
    <cellStyle name="Финансовый 3 3 3 3 2 3 3 6" xfId="25576" xr:uid="{E210611A-79D7-43F2-AFE9-12AA18B3331B}"/>
    <cellStyle name="Финансовый 3 3 3 3 2 3 4" xfId="8471" xr:uid="{00000000-0005-0000-0000-0000B7350000}"/>
    <cellStyle name="Финансовый 3 3 3 3 2 3 4 2" xfId="11562" xr:uid="{00000000-0005-0000-0000-0000B8350000}"/>
    <cellStyle name="Финансовый 3 3 3 3 2 3 4 2 2" xfId="28651" xr:uid="{BF7148F1-AD7D-46F4-BF6F-F3F87FBE35F2}"/>
    <cellStyle name="Финансовый 3 3 3 3 2 3 4 3" xfId="14794" xr:uid="{00000000-0005-0000-0000-0000B9350000}"/>
    <cellStyle name="Финансовый 3 3 3 3 2 3 4 3 2" xfId="31807" xr:uid="{832382CB-43F6-4580-BAFC-612BEC37C763}"/>
    <cellStyle name="Финансовый 3 3 3 3 2 3 4 4" xfId="17875" xr:uid="{00000000-0005-0000-0000-0000BA350000}"/>
    <cellStyle name="Финансовый 3 3 3 3 2 3 4 4 2" xfId="34888" xr:uid="{06B267DC-2FA3-4107-8979-2265A004F234}"/>
    <cellStyle name="Финансовый 3 3 3 3 2 3 4 5" xfId="25578" xr:uid="{3D9924E1-B4B6-4C4A-9F7E-489E23EAF472}"/>
    <cellStyle name="Финансовый 3 3 3 3 2 3 5" xfId="11555" xr:uid="{00000000-0005-0000-0000-0000BB350000}"/>
    <cellStyle name="Финансовый 3 3 3 3 2 3 5 2" xfId="28644" xr:uid="{5D34EBAA-5424-41F6-9153-4525345F67BC}"/>
    <cellStyle name="Финансовый 3 3 3 3 2 3 6" xfId="14787" xr:uid="{00000000-0005-0000-0000-0000BC350000}"/>
    <cellStyle name="Финансовый 3 3 3 3 2 3 6 2" xfId="31800" xr:uid="{4DB39095-BAA9-4B9C-84A7-FCDCF5849C4B}"/>
    <cellStyle name="Финансовый 3 3 3 3 2 3 7" xfId="17868" xr:uid="{00000000-0005-0000-0000-0000BD350000}"/>
    <cellStyle name="Финансовый 3 3 3 3 2 3 7 2" xfId="34881" xr:uid="{748BFF66-5855-4F35-A74F-14E19E4F7094}"/>
    <cellStyle name="Финансовый 3 3 3 3 2 3 8" xfId="25571" xr:uid="{0B16EFCE-3759-426A-93F0-5E45353D7F73}"/>
    <cellStyle name="Финансовый 3 3 3 3 2 4" xfId="8472" xr:uid="{00000000-0005-0000-0000-0000BE350000}"/>
    <cellStyle name="Финансовый 3 3 3 3 2 4 2" xfId="8473" xr:uid="{00000000-0005-0000-0000-0000BF350000}"/>
    <cellStyle name="Финансовый 3 3 3 3 2 4 2 2" xfId="8474" xr:uid="{00000000-0005-0000-0000-0000C0350000}"/>
    <cellStyle name="Финансовый 3 3 3 3 2 4 2 2 2" xfId="11565" xr:uid="{00000000-0005-0000-0000-0000C1350000}"/>
    <cellStyle name="Финансовый 3 3 3 3 2 4 2 2 2 2" xfId="28654" xr:uid="{C7356B4C-AE07-4DB2-8D11-E6D715D1B2FE}"/>
    <cellStyle name="Финансовый 3 3 3 3 2 4 2 2 3" xfId="14797" xr:uid="{00000000-0005-0000-0000-0000C2350000}"/>
    <cellStyle name="Финансовый 3 3 3 3 2 4 2 2 3 2" xfId="31810" xr:uid="{69CF2B16-C05D-4D3A-8318-9E98B6525267}"/>
    <cellStyle name="Финансовый 3 3 3 3 2 4 2 2 4" xfId="17878" xr:uid="{00000000-0005-0000-0000-0000C3350000}"/>
    <cellStyle name="Финансовый 3 3 3 3 2 4 2 2 4 2" xfId="34891" xr:uid="{8B1F9FBA-A6B7-4EC6-ADFD-ADC0C2FCCAB7}"/>
    <cellStyle name="Финансовый 3 3 3 3 2 4 2 2 5" xfId="25581" xr:uid="{C9887CCB-3848-4551-A41F-17F862E27D3B}"/>
    <cellStyle name="Финансовый 3 3 3 3 2 4 2 3" xfId="11564" xr:uid="{00000000-0005-0000-0000-0000C4350000}"/>
    <cellStyle name="Финансовый 3 3 3 3 2 4 2 3 2" xfId="28653" xr:uid="{7917949D-1528-4D2B-A17D-26783E3247F2}"/>
    <cellStyle name="Финансовый 3 3 3 3 2 4 2 4" xfId="14796" xr:uid="{00000000-0005-0000-0000-0000C5350000}"/>
    <cellStyle name="Финансовый 3 3 3 3 2 4 2 4 2" xfId="31809" xr:uid="{E69A51EF-EB66-4C7B-B68A-EAC73E490C0B}"/>
    <cellStyle name="Финансовый 3 3 3 3 2 4 2 5" xfId="17877" xr:uid="{00000000-0005-0000-0000-0000C6350000}"/>
    <cellStyle name="Финансовый 3 3 3 3 2 4 2 5 2" xfId="34890" xr:uid="{F941AB90-8090-4080-BF33-CAAA8F6746DD}"/>
    <cellStyle name="Финансовый 3 3 3 3 2 4 2 6" xfId="25580" xr:uid="{F91FACA5-EDEB-40D4-93BA-25B0F55678AD}"/>
    <cellStyle name="Финансовый 3 3 3 3 2 4 3" xfId="8475" xr:uid="{00000000-0005-0000-0000-0000C7350000}"/>
    <cellStyle name="Финансовый 3 3 3 3 2 4 3 2" xfId="11566" xr:uid="{00000000-0005-0000-0000-0000C8350000}"/>
    <cellStyle name="Финансовый 3 3 3 3 2 4 3 2 2" xfId="28655" xr:uid="{F71CBAEC-D510-441D-9072-D009023991B9}"/>
    <cellStyle name="Финансовый 3 3 3 3 2 4 3 3" xfId="14798" xr:uid="{00000000-0005-0000-0000-0000C9350000}"/>
    <cellStyle name="Финансовый 3 3 3 3 2 4 3 3 2" xfId="31811" xr:uid="{123D346E-814A-4DB4-A38C-CEEC2FED10CB}"/>
    <cellStyle name="Финансовый 3 3 3 3 2 4 3 4" xfId="17879" xr:uid="{00000000-0005-0000-0000-0000CA350000}"/>
    <cellStyle name="Финансовый 3 3 3 3 2 4 3 4 2" xfId="34892" xr:uid="{68FF5689-244C-4343-8DA6-470CD78932D6}"/>
    <cellStyle name="Финансовый 3 3 3 3 2 4 3 5" xfId="25582" xr:uid="{968BE25F-D488-40BF-9DB8-7D742DC9D277}"/>
    <cellStyle name="Финансовый 3 3 3 3 2 4 4" xfId="11563" xr:uid="{00000000-0005-0000-0000-0000CB350000}"/>
    <cellStyle name="Финансовый 3 3 3 3 2 4 4 2" xfId="28652" xr:uid="{EB0A2D15-918D-4D6A-8294-718885715C81}"/>
    <cellStyle name="Финансовый 3 3 3 3 2 4 5" xfId="14795" xr:uid="{00000000-0005-0000-0000-0000CC350000}"/>
    <cellStyle name="Финансовый 3 3 3 3 2 4 5 2" xfId="31808" xr:uid="{6BC12596-8AFF-45FF-ADAB-127E72FF15C4}"/>
    <cellStyle name="Финансовый 3 3 3 3 2 4 6" xfId="17876" xr:uid="{00000000-0005-0000-0000-0000CD350000}"/>
    <cellStyle name="Финансовый 3 3 3 3 2 4 6 2" xfId="34889" xr:uid="{0BF30F77-8A0F-4201-A9E7-4BEB2A90D89E}"/>
    <cellStyle name="Финансовый 3 3 3 3 2 4 7" xfId="25579" xr:uid="{9A9AA97B-1258-458B-94DB-987C35058D74}"/>
    <cellStyle name="Финансовый 3 3 3 3 2 5" xfId="8476" xr:uid="{00000000-0005-0000-0000-0000CE350000}"/>
    <cellStyle name="Финансовый 3 3 3 3 2 5 2" xfId="8477" xr:uid="{00000000-0005-0000-0000-0000CF350000}"/>
    <cellStyle name="Финансовый 3 3 3 3 2 5 2 2" xfId="11568" xr:uid="{00000000-0005-0000-0000-0000D0350000}"/>
    <cellStyle name="Финансовый 3 3 3 3 2 5 2 2 2" xfId="28657" xr:uid="{81F99B9A-9B84-4F35-B406-DF6A42A3CE79}"/>
    <cellStyle name="Финансовый 3 3 3 3 2 5 2 3" xfId="14800" xr:uid="{00000000-0005-0000-0000-0000D1350000}"/>
    <cellStyle name="Финансовый 3 3 3 3 2 5 2 3 2" xfId="31813" xr:uid="{93031C7F-B872-4F09-8C9B-681A7207AB94}"/>
    <cellStyle name="Финансовый 3 3 3 3 2 5 2 4" xfId="17881" xr:uid="{00000000-0005-0000-0000-0000D2350000}"/>
    <cellStyle name="Финансовый 3 3 3 3 2 5 2 4 2" xfId="34894" xr:uid="{AD1F779E-F43D-4952-ACF5-450C6B58B785}"/>
    <cellStyle name="Финансовый 3 3 3 3 2 5 2 5" xfId="25584" xr:uid="{55481615-5FFD-4D12-A715-2A144BED54F9}"/>
    <cellStyle name="Финансовый 3 3 3 3 2 5 3" xfId="11567" xr:uid="{00000000-0005-0000-0000-0000D3350000}"/>
    <cellStyle name="Финансовый 3 3 3 3 2 5 3 2" xfId="28656" xr:uid="{17E3A95F-46D8-4AEA-BBF6-BCFBED31A314}"/>
    <cellStyle name="Финансовый 3 3 3 3 2 5 4" xfId="14799" xr:uid="{00000000-0005-0000-0000-0000D4350000}"/>
    <cellStyle name="Финансовый 3 3 3 3 2 5 4 2" xfId="31812" xr:uid="{EC8D3816-CEB3-4E34-A9A0-1FB367E79EE3}"/>
    <cellStyle name="Финансовый 3 3 3 3 2 5 5" xfId="17880" xr:uid="{00000000-0005-0000-0000-0000D5350000}"/>
    <cellStyle name="Финансовый 3 3 3 3 2 5 5 2" xfId="34893" xr:uid="{912C6961-1669-465E-9970-C56C43B85766}"/>
    <cellStyle name="Финансовый 3 3 3 3 2 5 6" xfId="25583" xr:uid="{F81DE79B-B5E0-4A90-952C-554853386493}"/>
    <cellStyle name="Финансовый 3 3 3 3 2 6" xfId="8478" xr:uid="{00000000-0005-0000-0000-0000D6350000}"/>
    <cellStyle name="Финансовый 3 3 3 3 2 6 2" xfId="11569" xr:uid="{00000000-0005-0000-0000-0000D7350000}"/>
    <cellStyle name="Финансовый 3 3 3 3 2 6 2 2" xfId="28658" xr:uid="{1B50A42C-8863-4A1E-8294-8682A9560C1A}"/>
    <cellStyle name="Финансовый 3 3 3 3 2 6 3" xfId="14801" xr:uid="{00000000-0005-0000-0000-0000D8350000}"/>
    <cellStyle name="Финансовый 3 3 3 3 2 6 3 2" xfId="31814" xr:uid="{C838FA1A-6A25-4A05-88CB-D5F7FFA96127}"/>
    <cellStyle name="Финансовый 3 3 3 3 2 6 4" xfId="17882" xr:uid="{00000000-0005-0000-0000-0000D9350000}"/>
    <cellStyle name="Финансовый 3 3 3 3 2 6 4 2" xfId="34895" xr:uid="{4B4FC263-D2D0-4047-98ED-11D7A32B05E7}"/>
    <cellStyle name="Финансовый 3 3 3 3 2 6 5" xfId="25585" xr:uid="{92F57AE2-49E2-404B-94C6-2A99D41BF237}"/>
    <cellStyle name="Финансовый 3 3 3 3 2 7" xfId="11538" xr:uid="{00000000-0005-0000-0000-0000DA350000}"/>
    <cellStyle name="Финансовый 3 3 3 3 2 7 2" xfId="28627" xr:uid="{2AB07CA1-A54F-4CC0-B650-344D47703DC0}"/>
    <cellStyle name="Финансовый 3 3 3 3 2 8" xfId="14770" xr:uid="{00000000-0005-0000-0000-0000DB350000}"/>
    <cellStyle name="Финансовый 3 3 3 3 2 8 2" xfId="31783" xr:uid="{5C5549A8-B7F4-4E1B-A8BB-98F26BD4D780}"/>
    <cellStyle name="Финансовый 3 3 3 3 2 9" xfId="17851" xr:uid="{00000000-0005-0000-0000-0000DC350000}"/>
    <cellStyle name="Финансовый 3 3 3 3 2 9 2" xfId="34864" xr:uid="{E2D5D740-76CF-49B8-9E9A-173DF785AA02}"/>
    <cellStyle name="Финансовый 3 3 3 3 3" xfId="8479" xr:uid="{00000000-0005-0000-0000-0000DD350000}"/>
    <cellStyle name="Финансовый 3 3 3 3 3 2" xfId="8480" xr:uid="{00000000-0005-0000-0000-0000DE350000}"/>
    <cellStyle name="Финансовый 3 3 3 3 3 2 2" xfId="8481" xr:uid="{00000000-0005-0000-0000-0000DF350000}"/>
    <cellStyle name="Финансовый 3 3 3 3 3 2 2 2" xfId="8482" xr:uid="{00000000-0005-0000-0000-0000E0350000}"/>
    <cellStyle name="Финансовый 3 3 3 3 3 2 2 2 2" xfId="8483" xr:uid="{00000000-0005-0000-0000-0000E1350000}"/>
    <cellStyle name="Финансовый 3 3 3 3 3 2 2 2 2 2" xfId="11574" xr:uid="{00000000-0005-0000-0000-0000E2350000}"/>
    <cellStyle name="Финансовый 3 3 3 3 3 2 2 2 2 2 2" xfId="28663" xr:uid="{CB9BB603-5505-47B9-858F-11399B521E7E}"/>
    <cellStyle name="Финансовый 3 3 3 3 3 2 2 2 2 3" xfId="14806" xr:uid="{00000000-0005-0000-0000-0000E3350000}"/>
    <cellStyle name="Финансовый 3 3 3 3 3 2 2 2 2 3 2" xfId="31819" xr:uid="{BB0430F6-8BDB-450A-8881-E1E0F1AC777E}"/>
    <cellStyle name="Финансовый 3 3 3 3 3 2 2 2 2 4" xfId="17887" xr:uid="{00000000-0005-0000-0000-0000E4350000}"/>
    <cellStyle name="Финансовый 3 3 3 3 3 2 2 2 2 4 2" xfId="34900" xr:uid="{7E697019-D0A0-4BE1-B019-ED6E72FDBAC6}"/>
    <cellStyle name="Финансовый 3 3 3 3 3 2 2 2 2 5" xfId="25590" xr:uid="{FF565CE8-6E29-4D71-9F4D-457EE2AE024C}"/>
    <cellStyle name="Финансовый 3 3 3 3 3 2 2 2 3" xfId="11573" xr:uid="{00000000-0005-0000-0000-0000E5350000}"/>
    <cellStyle name="Финансовый 3 3 3 3 3 2 2 2 3 2" xfId="28662" xr:uid="{E104D24B-BDED-47C7-91EB-F07A3018A447}"/>
    <cellStyle name="Финансовый 3 3 3 3 3 2 2 2 4" xfId="14805" xr:uid="{00000000-0005-0000-0000-0000E6350000}"/>
    <cellStyle name="Финансовый 3 3 3 3 3 2 2 2 4 2" xfId="31818" xr:uid="{2DB3BA3F-7A5D-4403-8E33-12262856626F}"/>
    <cellStyle name="Финансовый 3 3 3 3 3 2 2 2 5" xfId="17886" xr:uid="{00000000-0005-0000-0000-0000E7350000}"/>
    <cellStyle name="Финансовый 3 3 3 3 3 2 2 2 5 2" xfId="34899" xr:uid="{B006197C-FFE9-4901-9B3A-A5A879DEEB22}"/>
    <cellStyle name="Финансовый 3 3 3 3 3 2 2 2 6" xfId="25589" xr:uid="{DDFBFAA3-2278-49DD-902F-FF7AF9E6E553}"/>
    <cellStyle name="Финансовый 3 3 3 3 3 2 2 3" xfId="8484" xr:uid="{00000000-0005-0000-0000-0000E8350000}"/>
    <cellStyle name="Финансовый 3 3 3 3 3 2 2 3 2" xfId="11575" xr:uid="{00000000-0005-0000-0000-0000E9350000}"/>
    <cellStyle name="Финансовый 3 3 3 3 3 2 2 3 2 2" xfId="28664" xr:uid="{E657BFEB-CF49-4B21-AB95-FB255CADAF37}"/>
    <cellStyle name="Финансовый 3 3 3 3 3 2 2 3 3" xfId="14807" xr:uid="{00000000-0005-0000-0000-0000EA350000}"/>
    <cellStyle name="Финансовый 3 3 3 3 3 2 2 3 3 2" xfId="31820" xr:uid="{7DAA749A-9ADA-4F9B-A23F-374F6CE1308F}"/>
    <cellStyle name="Финансовый 3 3 3 3 3 2 2 3 4" xfId="17888" xr:uid="{00000000-0005-0000-0000-0000EB350000}"/>
    <cellStyle name="Финансовый 3 3 3 3 3 2 2 3 4 2" xfId="34901" xr:uid="{222C1E8F-FF70-4DB9-944F-9585FC96C8EA}"/>
    <cellStyle name="Финансовый 3 3 3 3 3 2 2 3 5" xfId="25591" xr:uid="{A1455D8A-8FF7-433E-990D-F666755BBCE2}"/>
    <cellStyle name="Финансовый 3 3 3 3 3 2 2 4" xfId="11572" xr:uid="{00000000-0005-0000-0000-0000EC350000}"/>
    <cellStyle name="Финансовый 3 3 3 3 3 2 2 4 2" xfId="28661" xr:uid="{A7BC36F6-9691-4317-8854-483DC8E6D307}"/>
    <cellStyle name="Финансовый 3 3 3 3 3 2 2 5" xfId="14804" xr:uid="{00000000-0005-0000-0000-0000ED350000}"/>
    <cellStyle name="Финансовый 3 3 3 3 3 2 2 5 2" xfId="31817" xr:uid="{36D44663-CC53-4F19-AF75-0FB85CF8319A}"/>
    <cellStyle name="Финансовый 3 3 3 3 3 2 2 6" xfId="17885" xr:uid="{00000000-0005-0000-0000-0000EE350000}"/>
    <cellStyle name="Финансовый 3 3 3 3 3 2 2 6 2" xfId="34898" xr:uid="{63652E34-203F-4BFE-9207-CE9D13B4AA44}"/>
    <cellStyle name="Финансовый 3 3 3 3 3 2 2 7" xfId="25588" xr:uid="{0001C9B7-076B-4A5E-9574-EF3A05B3B35D}"/>
    <cellStyle name="Финансовый 3 3 3 3 3 2 3" xfId="8485" xr:uid="{00000000-0005-0000-0000-0000EF350000}"/>
    <cellStyle name="Финансовый 3 3 3 3 3 2 3 2" xfId="8486" xr:uid="{00000000-0005-0000-0000-0000F0350000}"/>
    <cellStyle name="Финансовый 3 3 3 3 3 2 3 2 2" xfId="11577" xr:uid="{00000000-0005-0000-0000-0000F1350000}"/>
    <cellStyle name="Финансовый 3 3 3 3 3 2 3 2 2 2" xfId="28666" xr:uid="{89674C25-9B7B-4993-AB8A-FBE2B2392DB4}"/>
    <cellStyle name="Финансовый 3 3 3 3 3 2 3 2 3" xfId="14809" xr:uid="{00000000-0005-0000-0000-0000F2350000}"/>
    <cellStyle name="Финансовый 3 3 3 3 3 2 3 2 3 2" xfId="31822" xr:uid="{7D746F16-1404-4512-AF51-E4BB4627006B}"/>
    <cellStyle name="Финансовый 3 3 3 3 3 2 3 2 4" xfId="17890" xr:uid="{00000000-0005-0000-0000-0000F3350000}"/>
    <cellStyle name="Финансовый 3 3 3 3 3 2 3 2 4 2" xfId="34903" xr:uid="{5EF734F7-1989-4E78-B4DA-D0BB8E198B1A}"/>
    <cellStyle name="Финансовый 3 3 3 3 3 2 3 2 5" xfId="25593" xr:uid="{7C22B6E6-EC7A-401D-9AF0-5559791C9FC3}"/>
    <cellStyle name="Финансовый 3 3 3 3 3 2 3 3" xfId="11576" xr:uid="{00000000-0005-0000-0000-0000F4350000}"/>
    <cellStyle name="Финансовый 3 3 3 3 3 2 3 3 2" xfId="28665" xr:uid="{F3F98891-4886-44CC-9005-57EBB49A2775}"/>
    <cellStyle name="Финансовый 3 3 3 3 3 2 3 4" xfId="14808" xr:uid="{00000000-0005-0000-0000-0000F5350000}"/>
    <cellStyle name="Финансовый 3 3 3 3 3 2 3 4 2" xfId="31821" xr:uid="{5048481F-D6B8-417D-9052-027A70CDB5E2}"/>
    <cellStyle name="Финансовый 3 3 3 3 3 2 3 5" xfId="17889" xr:uid="{00000000-0005-0000-0000-0000F6350000}"/>
    <cellStyle name="Финансовый 3 3 3 3 3 2 3 5 2" xfId="34902" xr:uid="{B2159D62-44DF-4BE8-A6A1-2DF53F2100F2}"/>
    <cellStyle name="Финансовый 3 3 3 3 3 2 3 6" xfId="25592" xr:uid="{507D3599-DDA6-4D2C-807F-8DC37A7DD780}"/>
    <cellStyle name="Финансовый 3 3 3 3 3 2 4" xfId="8487" xr:uid="{00000000-0005-0000-0000-0000F7350000}"/>
    <cellStyle name="Финансовый 3 3 3 3 3 2 4 2" xfId="11578" xr:uid="{00000000-0005-0000-0000-0000F8350000}"/>
    <cellStyle name="Финансовый 3 3 3 3 3 2 4 2 2" xfId="28667" xr:uid="{3357A039-A727-47ED-BB8B-ACA3E8BA2C6B}"/>
    <cellStyle name="Финансовый 3 3 3 3 3 2 4 3" xfId="14810" xr:uid="{00000000-0005-0000-0000-0000F9350000}"/>
    <cellStyle name="Финансовый 3 3 3 3 3 2 4 3 2" xfId="31823" xr:uid="{F0D73FF9-F180-4870-BC71-60C6B44A12B3}"/>
    <cellStyle name="Финансовый 3 3 3 3 3 2 4 4" xfId="17891" xr:uid="{00000000-0005-0000-0000-0000FA350000}"/>
    <cellStyle name="Финансовый 3 3 3 3 3 2 4 4 2" xfId="34904" xr:uid="{C0A26400-CFE9-4263-948D-77556A3AD56A}"/>
    <cellStyle name="Финансовый 3 3 3 3 3 2 4 5" xfId="25594" xr:uid="{E8C8CA15-258B-4C20-ACAE-D9C4DCEC658B}"/>
    <cellStyle name="Финансовый 3 3 3 3 3 2 5" xfId="11571" xr:uid="{00000000-0005-0000-0000-0000FB350000}"/>
    <cellStyle name="Финансовый 3 3 3 3 3 2 5 2" xfId="28660" xr:uid="{967BACA3-6628-4EEF-AD53-09C500972431}"/>
    <cellStyle name="Финансовый 3 3 3 3 3 2 6" xfId="14803" xr:uid="{00000000-0005-0000-0000-0000FC350000}"/>
    <cellStyle name="Финансовый 3 3 3 3 3 2 6 2" xfId="31816" xr:uid="{BF651ED3-DE7E-4A6E-A3B6-B58137F544CE}"/>
    <cellStyle name="Финансовый 3 3 3 3 3 2 7" xfId="17884" xr:uid="{00000000-0005-0000-0000-0000FD350000}"/>
    <cellStyle name="Финансовый 3 3 3 3 3 2 7 2" xfId="34897" xr:uid="{74B5788F-6C51-4BE7-AE25-33DB30427327}"/>
    <cellStyle name="Финансовый 3 3 3 3 3 2 8" xfId="25587" xr:uid="{42EFD761-F84A-472E-AA30-4AEB70DA5A7D}"/>
    <cellStyle name="Финансовый 3 3 3 3 3 3" xfId="8488" xr:uid="{00000000-0005-0000-0000-0000FE350000}"/>
    <cellStyle name="Финансовый 3 3 3 3 3 3 2" xfId="8489" xr:uid="{00000000-0005-0000-0000-0000FF350000}"/>
    <cellStyle name="Финансовый 3 3 3 3 3 3 2 2" xfId="8490" xr:uid="{00000000-0005-0000-0000-000000360000}"/>
    <cellStyle name="Финансовый 3 3 3 3 3 3 2 2 2" xfId="11581" xr:uid="{00000000-0005-0000-0000-000001360000}"/>
    <cellStyle name="Финансовый 3 3 3 3 3 3 2 2 2 2" xfId="28670" xr:uid="{D3355B52-E614-4C41-B1D0-BDA4F8ABABFC}"/>
    <cellStyle name="Финансовый 3 3 3 3 3 3 2 2 3" xfId="14813" xr:uid="{00000000-0005-0000-0000-000002360000}"/>
    <cellStyle name="Финансовый 3 3 3 3 3 3 2 2 3 2" xfId="31826" xr:uid="{15C55BA4-63EE-4AED-9973-E7FE42224B75}"/>
    <cellStyle name="Финансовый 3 3 3 3 3 3 2 2 4" xfId="17894" xr:uid="{00000000-0005-0000-0000-000003360000}"/>
    <cellStyle name="Финансовый 3 3 3 3 3 3 2 2 4 2" xfId="34907" xr:uid="{89218D48-F6AF-46F8-B3A2-89FD60371B25}"/>
    <cellStyle name="Финансовый 3 3 3 3 3 3 2 2 5" xfId="25597" xr:uid="{375F9061-673F-4FA7-A600-D21A57EEB7F8}"/>
    <cellStyle name="Финансовый 3 3 3 3 3 3 2 3" xfId="11580" xr:uid="{00000000-0005-0000-0000-000004360000}"/>
    <cellStyle name="Финансовый 3 3 3 3 3 3 2 3 2" xfId="28669" xr:uid="{457B7925-DF20-4DA6-B05A-A4915B6D1C6C}"/>
    <cellStyle name="Финансовый 3 3 3 3 3 3 2 4" xfId="14812" xr:uid="{00000000-0005-0000-0000-000005360000}"/>
    <cellStyle name="Финансовый 3 3 3 3 3 3 2 4 2" xfId="31825" xr:uid="{169D751B-5C8C-49B7-8DDE-08C7EE6276F0}"/>
    <cellStyle name="Финансовый 3 3 3 3 3 3 2 5" xfId="17893" xr:uid="{00000000-0005-0000-0000-000006360000}"/>
    <cellStyle name="Финансовый 3 3 3 3 3 3 2 5 2" xfId="34906" xr:uid="{930BDCBE-CBC6-4E74-8589-23FF172EFFF9}"/>
    <cellStyle name="Финансовый 3 3 3 3 3 3 2 6" xfId="25596" xr:uid="{26C977E5-0F8F-4E28-9BC5-2D65778E7B7D}"/>
    <cellStyle name="Финансовый 3 3 3 3 3 3 3" xfId="8491" xr:uid="{00000000-0005-0000-0000-000007360000}"/>
    <cellStyle name="Финансовый 3 3 3 3 3 3 3 2" xfId="11582" xr:uid="{00000000-0005-0000-0000-000008360000}"/>
    <cellStyle name="Финансовый 3 3 3 3 3 3 3 2 2" xfId="28671" xr:uid="{1BF3F5D9-020C-47A1-BA56-59703BBBC88A}"/>
    <cellStyle name="Финансовый 3 3 3 3 3 3 3 3" xfId="14814" xr:uid="{00000000-0005-0000-0000-000009360000}"/>
    <cellStyle name="Финансовый 3 3 3 3 3 3 3 3 2" xfId="31827" xr:uid="{F177881D-D720-4645-9FEF-6FAD16DE43B9}"/>
    <cellStyle name="Финансовый 3 3 3 3 3 3 3 4" xfId="17895" xr:uid="{00000000-0005-0000-0000-00000A360000}"/>
    <cellStyle name="Финансовый 3 3 3 3 3 3 3 4 2" xfId="34908" xr:uid="{9CB52252-1185-47F9-9C4B-25027C13C4C7}"/>
    <cellStyle name="Финансовый 3 3 3 3 3 3 3 5" xfId="25598" xr:uid="{D99C43FF-4466-4142-841F-6D463F50E99E}"/>
    <cellStyle name="Финансовый 3 3 3 3 3 3 4" xfId="11579" xr:uid="{00000000-0005-0000-0000-00000B360000}"/>
    <cellStyle name="Финансовый 3 3 3 3 3 3 4 2" xfId="28668" xr:uid="{09685A5E-C8F4-4EF5-AB70-312E1601E715}"/>
    <cellStyle name="Финансовый 3 3 3 3 3 3 5" xfId="14811" xr:uid="{00000000-0005-0000-0000-00000C360000}"/>
    <cellStyle name="Финансовый 3 3 3 3 3 3 5 2" xfId="31824" xr:uid="{EAE4B6AC-8415-409B-8E1B-424111AF3587}"/>
    <cellStyle name="Финансовый 3 3 3 3 3 3 6" xfId="17892" xr:uid="{00000000-0005-0000-0000-00000D360000}"/>
    <cellStyle name="Финансовый 3 3 3 3 3 3 6 2" xfId="34905" xr:uid="{7F7E0A67-78C5-4B03-B771-8FA733C68AC4}"/>
    <cellStyle name="Финансовый 3 3 3 3 3 3 7" xfId="25595" xr:uid="{0B21BB60-233D-46BC-902F-832F21F3394B}"/>
    <cellStyle name="Финансовый 3 3 3 3 3 4" xfId="8492" xr:uid="{00000000-0005-0000-0000-00000E360000}"/>
    <cellStyle name="Финансовый 3 3 3 3 3 4 2" xfId="8493" xr:uid="{00000000-0005-0000-0000-00000F360000}"/>
    <cellStyle name="Финансовый 3 3 3 3 3 4 2 2" xfId="11584" xr:uid="{00000000-0005-0000-0000-000010360000}"/>
    <cellStyle name="Финансовый 3 3 3 3 3 4 2 2 2" xfId="28673" xr:uid="{094BE5D6-653E-4212-97A5-88630ABEB89F}"/>
    <cellStyle name="Финансовый 3 3 3 3 3 4 2 3" xfId="14816" xr:uid="{00000000-0005-0000-0000-000011360000}"/>
    <cellStyle name="Финансовый 3 3 3 3 3 4 2 3 2" xfId="31829" xr:uid="{0E06344D-10ED-473A-87B6-6CD49C3E5862}"/>
    <cellStyle name="Финансовый 3 3 3 3 3 4 2 4" xfId="17897" xr:uid="{00000000-0005-0000-0000-000012360000}"/>
    <cellStyle name="Финансовый 3 3 3 3 3 4 2 4 2" xfId="34910" xr:uid="{6BADF770-1D5E-4EC0-8EB8-AF6BB708DC51}"/>
    <cellStyle name="Финансовый 3 3 3 3 3 4 2 5" xfId="25600" xr:uid="{3AA21AFB-7D7A-4E60-8034-5E590E54C0BD}"/>
    <cellStyle name="Финансовый 3 3 3 3 3 4 3" xfId="11583" xr:uid="{00000000-0005-0000-0000-000013360000}"/>
    <cellStyle name="Финансовый 3 3 3 3 3 4 3 2" xfId="28672" xr:uid="{AED9974C-126A-4732-8D75-8633E8633980}"/>
    <cellStyle name="Финансовый 3 3 3 3 3 4 4" xfId="14815" xr:uid="{00000000-0005-0000-0000-000014360000}"/>
    <cellStyle name="Финансовый 3 3 3 3 3 4 4 2" xfId="31828" xr:uid="{0965A2D8-58B6-40C0-9F7C-4283C44B63E4}"/>
    <cellStyle name="Финансовый 3 3 3 3 3 4 5" xfId="17896" xr:uid="{00000000-0005-0000-0000-000015360000}"/>
    <cellStyle name="Финансовый 3 3 3 3 3 4 5 2" xfId="34909" xr:uid="{52825F1C-6216-4733-ABE0-2E160811A4F3}"/>
    <cellStyle name="Финансовый 3 3 3 3 3 4 6" xfId="25599" xr:uid="{B497A5DD-01DD-4E36-9651-7F1BAC2312FE}"/>
    <cellStyle name="Финансовый 3 3 3 3 3 5" xfId="8494" xr:uid="{00000000-0005-0000-0000-000016360000}"/>
    <cellStyle name="Финансовый 3 3 3 3 3 5 2" xfId="11585" xr:uid="{00000000-0005-0000-0000-000017360000}"/>
    <cellStyle name="Финансовый 3 3 3 3 3 5 2 2" xfId="28674" xr:uid="{D193387E-DFE9-4662-8C23-C82D4D958358}"/>
    <cellStyle name="Финансовый 3 3 3 3 3 5 3" xfId="14817" xr:uid="{00000000-0005-0000-0000-000018360000}"/>
    <cellStyle name="Финансовый 3 3 3 3 3 5 3 2" xfId="31830" xr:uid="{DD756CAD-DED7-478F-BF0D-1ECFDCCE2A8B}"/>
    <cellStyle name="Финансовый 3 3 3 3 3 5 4" xfId="17898" xr:uid="{00000000-0005-0000-0000-000019360000}"/>
    <cellStyle name="Финансовый 3 3 3 3 3 5 4 2" xfId="34911" xr:uid="{696B523C-F7AF-4175-8278-048AA71CEF3F}"/>
    <cellStyle name="Финансовый 3 3 3 3 3 5 5" xfId="25601" xr:uid="{AC027421-34C7-49D6-A580-948737553796}"/>
    <cellStyle name="Финансовый 3 3 3 3 3 6" xfId="11570" xr:uid="{00000000-0005-0000-0000-00001A360000}"/>
    <cellStyle name="Финансовый 3 3 3 3 3 6 2" xfId="28659" xr:uid="{E36B3110-3CDD-4421-8FF6-ED3D58937A75}"/>
    <cellStyle name="Финансовый 3 3 3 3 3 7" xfId="14802" xr:uid="{00000000-0005-0000-0000-00001B360000}"/>
    <cellStyle name="Финансовый 3 3 3 3 3 7 2" xfId="31815" xr:uid="{8270FDAA-4D2F-4CA5-A3C7-21396766AD18}"/>
    <cellStyle name="Финансовый 3 3 3 3 3 8" xfId="17883" xr:uid="{00000000-0005-0000-0000-00001C360000}"/>
    <cellStyle name="Финансовый 3 3 3 3 3 8 2" xfId="34896" xr:uid="{572B6107-20F5-4AB0-9245-5669F7EB138D}"/>
    <cellStyle name="Финансовый 3 3 3 3 3 9" xfId="25586" xr:uid="{3586B626-2E5F-418E-AD4E-56A2EA917D93}"/>
    <cellStyle name="Финансовый 3 3 3 3 4" xfId="8495" xr:uid="{00000000-0005-0000-0000-00001D360000}"/>
    <cellStyle name="Финансовый 3 3 3 3 4 2" xfId="8496" xr:uid="{00000000-0005-0000-0000-00001E360000}"/>
    <cellStyle name="Финансовый 3 3 3 3 4 2 2" xfId="8497" xr:uid="{00000000-0005-0000-0000-00001F360000}"/>
    <cellStyle name="Финансовый 3 3 3 3 4 2 2 2" xfId="8498" xr:uid="{00000000-0005-0000-0000-000020360000}"/>
    <cellStyle name="Финансовый 3 3 3 3 4 2 2 2 2" xfId="11589" xr:uid="{00000000-0005-0000-0000-000021360000}"/>
    <cellStyle name="Финансовый 3 3 3 3 4 2 2 2 2 2" xfId="28678" xr:uid="{5D7C8060-D6A8-42EB-9F72-4BB3A45B4C96}"/>
    <cellStyle name="Финансовый 3 3 3 3 4 2 2 2 3" xfId="14821" xr:uid="{00000000-0005-0000-0000-000022360000}"/>
    <cellStyle name="Финансовый 3 3 3 3 4 2 2 2 3 2" xfId="31834" xr:uid="{EDAEA305-2826-44E5-9319-DB5FE4C97B5C}"/>
    <cellStyle name="Финансовый 3 3 3 3 4 2 2 2 4" xfId="17902" xr:uid="{00000000-0005-0000-0000-000023360000}"/>
    <cellStyle name="Финансовый 3 3 3 3 4 2 2 2 4 2" xfId="34915" xr:uid="{B439D50B-792A-4EB3-A67A-045819232AB7}"/>
    <cellStyle name="Финансовый 3 3 3 3 4 2 2 2 5" xfId="25605" xr:uid="{992F5DE6-CF77-4634-8764-68925DC81463}"/>
    <cellStyle name="Финансовый 3 3 3 3 4 2 2 3" xfId="11588" xr:uid="{00000000-0005-0000-0000-000024360000}"/>
    <cellStyle name="Финансовый 3 3 3 3 4 2 2 3 2" xfId="28677" xr:uid="{0BD221CC-2128-4523-8303-A9D2792EADC0}"/>
    <cellStyle name="Финансовый 3 3 3 3 4 2 2 4" xfId="14820" xr:uid="{00000000-0005-0000-0000-000025360000}"/>
    <cellStyle name="Финансовый 3 3 3 3 4 2 2 4 2" xfId="31833" xr:uid="{21A44BFB-1BC9-4FC6-BA36-AFCC8C7B6B25}"/>
    <cellStyle name="Финансовый 3 3 3 3 4 2 2 5" xfId="17901" xr:uid="{00000000-0005-0000-0000-000026360000}"/>
    <cellStyle name="Финансовый 3 3 3 3 4 2 2 5 2" xfId="34914" xr:uid="{EC411F0B-9E65-4E73-AF4A-A87DA9622394}"/>
    <cellStyle name="Финансовый 3 3 3 3 4 2 2 6" xfId="25604" xr:uid="{443C5AAA-0E9E-4BA4-9755-434E35478A89}"/>
    <cellStyle name="Финансовый 3 3 3 3 4 2 3" xfId="8499" xr:uid="{00000000-0005-0000-0000-000027360000}"/>
    <cellStyle name="Финансовый 3 3 3 3 4 2 3 2" xfId="11590" xr:uid="{00000000-0005-0000-0000-000028360000}"/>
    <cellStyle name="Финансовый 3 3 3 3 4 2 3 2 2" xfId="28679" xr:uid="{BF58A1B2-0001-4F25-B79E-57FC866FC032}"/>
    <cellStyle name="Финансовый 3 3 3 3 4 2 3 3" xfId="14822" xr:uid="{00000000-0005-0000-0000-000029360000}"/>
    <cellStyle name="Финансовый 3 3 3 3 4 2 3 3 2" xfId="31835" xr:uid="{59140FE7-23A5-4F86-987D-C7DE6F133D00}"/>
    <cellStyle name="Финансовый 3 3 3 3 4 2 3 4" xfId="17903" xr:uid="{00000000-0005-0000-0000-00002A360000}"/>
    <cellStyle name="Финансовый 3 3 3 3 4 2 3 4 2" xfId="34916" xr:uid="{2AC22CFA-54F2-4E70-A592-F1C0690DD28E}"/>
    <cellStyle name="Финансовый 3 3 3 3 4 2 3 5" xfId="25606" xr:uid="{49BF527D-09C5-4339-8816-5C659AC1F147}"/>
    <cellStyle name="Финансовый 3 3 3 3 4 2 4" xfId="11587" xr:uid="{00000000-0005-0000-0000-00002B360000}"/>
    <cellStyle name="Финансовый 3 3 3 3 4 2 4 2" xfId="28676" xr:uid="{A41327C5-9808-4D77-8585-D4CE1FE81073}"/>
    <cellStyle name="Финансовый 3 3 3 3 4 2 5" xfId="14819" xr:uid="{00000000-0005-0000-0000-00002C360000}"/>
    <cellStyle name="Финансовый 3 3 3 3 4 2 5 2" xfId="31832" xr:uid="{BC4B75C2-8E48-46DD-97F1-D01D132DC4EE}"/>
    <cellStyle name="Финансовый 3 3 3 3 4 2 6" xfId="17900" xr:uid="{00000000-0005-0000-0000-00002D360000}"/>
    <cellStyle name="Финансовый 3 3 3 3 4 2 6 2" xfId="34913" xr:uid="{355D471B-CDDF-4433-9783-E48F33BB9B28}"/>
    <cellStyle name="Финансовый 3 3 3 3 4 2 7" xfId="25603" xr:uid="{76A17AFA-74D5-44F1-A881-9A6482DE0E10}"/>
    <cellStyle name="Финансовый 3 3 3 3 4 3" xfId="8500" xr:uid="{00000000-0005-0000-0000-00002E360000}"/>
    <cellStyle name="Финансовый 3 3 3 3 4 3 2" xfId="8501" xr:uid="{00000000-0005-0000-0000-00002F360000}"/>
    <cellStyle name="Финансовый 3 3 3 3 4 3 2 2" xfId="11592" xr:uid="{00000000-0005-0000-0000-000030360000}"/>
    <cellStyle name="Финансовый 3 3 3 3 4 3 2 2 2" xfId="28681" xr:uid="{C736D613-EA01-4896-9970-187FB60CD4B3}"/>
    <cellStyle name="Финансовый 3 3 3 3 4 3 2 3" xfId="14824" xr:uid="{00000000-0005-0000-0000-000031360000}"/>
    <cellStyle name="Финансовый 3 3 3 3 4 3 2 3 2" xfId="31837" xr:uid="{2A9B0037-AA5A-4D74-8CF0-E0507DDCB94F}"/>
    <cellStyle name="Финансовый 3 3 3 3 4 3 2 4" xfId="17905" xr:uid="{00000000-0005-0000-0000-000032360000}"/>
    <cellStyle name="Финансовый 3 3 3 3 4 3 2 4 2" xfId="34918" xr:uid="{0C6739FE-0CD7-4CA2-96F0-FA5162E662F9}"/>
    <cellStyle name="Финансовый 3 3 3 3 4 3 2 5" xfId="25608" xr:uid="{3EA768CF-105B-4071-A719-48557484AC7E}"/>
    <cellStyle name="Финансовый 3 3 3 3 4 3 3" xfId="11591" xr:uid="{00000000-0005-0000-0000-000033360000}"/>
    <cellStyle name="Финансовый 3 3 3 3 4 3 3 2" xfId="28680" xr:uid="{1D05674D-CA3A-446C-93F2-F4D5267A490C}"/>
    <cellStyle name="Финансовый 3 3 3 3 4 3 4" xfId="14823" xr:uid="{00000000-0005-0000-0000-000034360000}"/>
    <cellStyle name="Финансовый 3 3 3 3 4 3 4 2" xfId="31836" xr:uid="{7BD9B9BA-9745-4423-BCF5-D8BE018630FF}"/>
    <cellStyle name="Финансовый 3 3 3 3 4 3 5" xfId="17904" xr:uid="{00000000-0005-0000-0000-000035360000}"/>
    <cellStyle name="Финансовый 3 3 3 3 4 3 5 2" xfId="34917" xr:uid="{D0382273-6411-44A8-AB28-039E94162126}"/>
    <cellStyle name="Финансовый 3 3 3 3 4 3 6" xfId="25607" xr:uid="{8A6E3CDA-67C3-4F5A-B273-59395F462EA0}"/>
    <cellStyle name="Финансовый 3 3 3 3 4 4" xfId="8502" xr:uid="{00000000-0005-0000-0000-000036360000}"/>
    <cellStyle name="Финансовый 3 3 3 3 4 4 2" xfId="11593" xr:uid="{00000000-0005-0000-0000-000037360000}"/>
    <cellStyle name="Финансовый 3 3 3 3 4 4 2 2" xfId="28682" xr:uid="{380CFA7B-A4E5-4215-81C5-0476668E6A69}"/>
    <cellStyle name="Финансовый 3 3 3 3 4 4 3" xfId="14825" xr:uid="{00000000-0005-0000-0000-000038360000}"/>
    <cellStyle name="Финансовый 3 3 3 3 4 4 3 2" xfId="31838" xr:uid="{37EB2B77-E761-4562-AD78-AE016C7302A1}"/>
    <cellStyle name="Финансовый 3 3 3 3 4 4 4" xfId="17906" xr:uid="{00000000-0005-0000-0000-000039360000}"/>
    <cellStyle name="Финансовый 3 3 3 3 4 4 4 2" xfId="34919" xr:uid="{1D3DCF74-77C2-4280-A44A-EBF0D2760FD2}"/>
    <cellStyle name="Финансовый 3 3 3 3 4 4 5" xfId="25609" xr:uid="{1E22B54E-67EF-4766-8258-704A782B9803}"/>
    <cellStyle name="Финансовый 3 3 3 3 4 5" xfId="11586" xr:uid="{00000000-0005-0000-0000-00003A360000}"/>
    <cellStyle name="Финансовый 3 3 3 3 4 5 2" xfId="28675" xr:uid="{DB2592CF-BEF2-4270-8E19-FA15048BC0CA}"/>
    <cellStyle name="Финансовый 3 3 3 3 4 6" xfId="14818" xr:uid="{00000000-0005-0000-0000-00003B360000}"/>
    <cellStyle name="Финансовый 3 3 3 3 4 6 2" xfId="31831" xr:uid="{E1139DFB-F173-4C3F-B20A-E005F3E2E679}"/>
    <cellStyle name="Финансовый 3 3 3 3 4 7" xfId="17899" xr:uid="{00000000-0005-0000-0000-00003C360000}"/>
    <cellStyle name="Финансовый 3 3 3 3 4 7 2" xfId="34912" xr:uid="{922A330E-572F-44B0-AFBF-1629220AFC83}"/>
    <cellStyle name="Финансовый 3 3 3 3 4 8" xfId="25602" xr:uid="{C59004B1-4B4A-4BA0-BF4F-F4398C0CB02B}"/>
    <cellStyle name="Финансовый 3 3 3 3 5" xfId="8503" xr:uid="{00000000-0005-0000-0000-00003D360000}"/>
    <cellStyle name="Финансовый 3 3 3 3 5 2" xfId="8504" xr:uid="{00000000-0005-0000-0000-00003E360000}"/>
    <cellStyle name="Финансовый 3 3 3 3 5 2 2" xfId="8505" xr:uid="{00000000-0005-0000-0000-00003F360000}"/>
    <cellStyle name="Финансовый 3 3 3 3 5 2 2 2" xfId="11596" xr:uid="{00000000-0005-0000-0000-000040360000}"/>
    <cellStyle name="Финансовый 3 3 3 3 5 2 2 2 2" xfId="28685" xr:uid="{8149396E-CB15-4D58-A4A2-182206943C9C}"/>
    <cellStyle name="Финансовый 3 3 3 3 5 2 2 3" xfId="14828" xr:uid="{00000000-0005-0000-0000-000041360000}"/>
    <cellStyle name="Финансовый 3 3 3 3 5 2 2 3 2" xfId="31841" xr:uid="{0F0F0B79-8671-44F2-91B8-C04E291EC1CF}"/>
    <cellStyle name="Финансовый 3 3 3 3 5 2 2 4" xfId="17909" xr:uid="{00000000-0005-0000-0000-000042360000}"/>
    <cellStyle name="Финансовый 3 3 3 3 5 2 2 4 2" xfId="34922" xr:uid="{AA9075FE-FED4-4453-9335-E6D6E6925A6A}"/>
    <cellStyle name="Финансовый 3 3 3 3 5 2 2 5" xfId="25612" xr:uid="{B93543BF-A231-4CB0-96FF-2809C4BF4AD7}"/>
    <cellStyle name="Финансовый 3 3 3 3 5 2 3" xfId="11595" xr:uid="{00000000-0005-0000-0000-000043360000}"/>
    <cellStyle name="Финансовый 3 3 3 3 5 2 3 2" xfId="28684" xr:uid="{8BE06A27-BDBA-4041-9518-A1092BF5D49A}"/>
    <cellStyle name="Финансовый 3 3 3 3 5 2 4" xfId="14827" xr:uid="{00000000-0005-0000-0000-000044360000}"/>
    <cellStyle name="Финансовый 3 3 3 3 5 2 4 2" xfId="31840" xr:uid="{F6982EF5-1BDE-4F6E-9FBE-8C33F878262C}"/>
    <cellStyle name="Финансовый 3 3 3 3 5 2 5" xfId="17908" xr:uid="{00000000-0005-0000-0000-000045360000}"/>
    <cellStyle name="Финансовый 3 3 3 3 5 2 5 2" xfId="34921" xr:uid="{0EEB9E73-AA04-4EED-9566-53F4EE857C38}"/>
    <cellStyle name="Финансовый 3 3 3 3 5 2 6" xfId="25611" xr:uid="{A8F47FD6-30CD-4772-BA5F-39C895DD7C87}"/>
    <cellStyle name="Финансовый 3 3 3 3 5 3" xfId="8506" xr:uid="{00000000-0005-0000-0000-000046360000}"/>
    <cellStyle name="Финансовый 3 3 3 3 5 3 2" xfId="11597" xr:uid="{00000000-0005-0000-0000-000047360000}"/>
    <cellStyle name="Финансовый 3 3 3 3 5 3 2 2" xfId="28686" xr:uid="{9FAF40D7-9636-4BE2-86C1-72243D9266E9}"/>
    <cellStyle name="Финансовый 3 3 3 3 5 3 3" xfId="14829" xr:uid="{00000000-0005-0000-0000-000048360000}"/>
    <cellStyle name="Финансовый 3 3 3 3 5 3 3 2" xfId="31842" xr:uid="{7AC766B5-6EE6-4339-A934-6EFB1C5899A5}"/>
    <cellStyle name="Финансовый 3 3 3 3 5 3 4" xfId="17910" xr:uid="{00000000-0005-0000-0000-000049360000}"/>
    <cellStyle name="Финансовый 3 3 3 3 5 3 4 2" xfId="34923" xr:uid="{BB01E09F-6942-4626-84A3-D78953212908}"/>
    <cellStyle name="Финансовый 3 3 3 3 5 3 5" xfId="25613" xr:uid="{2D3385CF-3898-4D37-8B65-76A7521BE80C}"/>
    <cellStyle name="Финансовый 3 3 3 3 5 4" xfId="11594" xr:uid="{00000000-0005-0000-0000-00004A360000}"/>
    <cellStyle name="Финансовый 3 3 3 3 5 4 2" xfId="28683" xr:uid="{4F10BF09-F426-4E01-AB7D-3D9573D9D83E}"/>
    <cellStyle name="Финансовый 3 3 3 3 5 5" xfId="14826" xr:uid="{00000000-0005-0000-0000-00004B360000}"/>
    <cellStyle name="Финансовый 3 3 3 3 5 5 2" xfId="31839" xr:uid="{93194D0A-CDA9-42EC-AE09-F215C674C108}"/>
    <cellStyle name="Финансовый 3 3 3 3 5 6" xfId="17907" xr:uid="{00000000-0005-0000-0000-00004C360000}"/>
    <cellStyle name="Финансовый 3 3 3 3 5 6 2" xfId="34920" xr:uid="{885A5E78-FD67-48E1-9892-DB23A4CBAF62}"/>
    <cellStyle name="Финансовый 3 3 3 3 5 7" xfId="25610" xr:uid="{CF2B9CD8-B706-4DF8-BD6D-672E76AAC03D}"/>
    <cellStyle name="Финансовый 3 3 3 3 6" xfId="8507" xr:uid="{00000000-0005-0000-0000-00004D360000}"/>
    <cellStyle name="Финансовый 3 3 3 3 6 2" xfId="8508" xr:uid="{00000000-0005-0000-0000-00004E360000}"/>
    <cellStyle name="Финансовый 3 3 3 3 6 2 2" xfId="11599" xr:uid="{00000000-0005-0000-0000-00004F360000}"/>
    <cellStyle name="Финансовый 3 3 3 3 6 2 2 2" xfId="28688" xr:uid="{18A11C51-8E84-4DF8-BAA5-0F418E9EE8B3}"/>
    <cellStyle name="Финансовый 3 3 3 3 6 2 3" xfId="14831" xr:uid="{00000000-0005-0000-0000-000050360000}"/>
    <cellStyle name="Финансовый 3 3 3 3 6 2 3 2" xfId="31844" xr:uid="{0A2648C8-0EDF-4AEA-AFF3-6179AF621952}"/>
    <cellStyle name="Финансовый 3 3 3 3 6 2 4" xfId="17912" xr:uid="{00000000-0005-0000-0000-000051360000}"/>
    <cellStyle name="Финансовый 3 3 3 3 6 2 4 2" xfId="34925" xr:uid="{06A9C6B0-7B4A-4962-8411-EEBA1AF2994A}"/>
    <cellStyle name="Финансовый 3 3 3 3 6 2 5" xfId="25615" xr:uid="{2A5F2BD5-54DC-4AEB-B30A-E9DE024EC8C2}"/>
    <cellStyle name="Финансовый 3 3 3 3 6 3" xfId="11598" xr:uid="{00000000-0005-0000-0000-000052360000}"/>
    <cellStyle name="Финансовый 3 3 3 3 6 3 2" xfId="28687" xr:uid="{C5FFEE3A-D7B5-41AD-AE03-133587A81B8C}"/>
    <cellStyle name="Финансовый 3 3 3 3 6 4" xfId="14830" xr:uid="{00000000-0005-0000-0000-000053360000}"/>
    <cellStyle name="Финансовый 3 3 3 3 6 4 2" xfId="31843" xr:uid="{FF952756-3E90-4E00-B759-A98B3C74CB66}"/>
    <cellStyle name="Финансовый 3 3 3 3 6 5" xfId="17911" xr:uid="{00000000-0005-0000-0000-000054360000}"/>
    <cellStyle name="Финансовый 3 3 3 3 6 5 2" xfId="34924" xr:uid="{8A13524D-14D8-4948-A2B9-B6B5859E1CDE}"/>
    <cellStyle name="Финансовый 3 3 3 3 6 6" xfId="25614" xr:uid="{64AB2E18-DB17-4587-A420-9B0E4B56E280}"/>
    <cellStyle name="Финансовый 3 3 3 3 7" xfId="8509" xr:uid="{00000000-0005-0000-0000-000055360000}"/>
    <cellStyle name="Финансовый 3 3 3 3 7 2" xfId="11600" xr:uid="{00000000-0005-0000-0000-000056360000}"/>
    <cellStyle name="Финансовый 3 3 3 3 7 2 2" xfId="28689" xr:uid="{242A062D-9C66-4711-B383-7DEF590BC947}"/>
    <cellStyle name="Финансовый 3 3 3 3 7 3" xfId="14832" xr:uid="{00000000-0005-0000-0000-000057360000}"/>
    <cellStyle name="Финансовый 3 3 3 3 7 3 2" xfId="31845" xr:uid="{6B864AD9-7EFC-4D65-BE9A-6884D7AB5461}"/>
    <cellStyle name="Финансовый 3 3 3 3 7 4" xfId="17913" xr:uid="{00000000-0005-0000-0000-000058360000}"/>
    <cellStyle name="Финансовый 3 3 3 3 7 4 2" xfId="34926" xr:uid="{04183147-8CA8-4EDB-9D11-4ADC645A6B72}"/>
    <cellStyle name="Финансовый 3 3 3 3 7 5" xfId="25616" xr:uid="{079C2920-D875-40C8-BA54-FDF5ABE54166}"/>
    <cellStyle name="Финансовый 3 3 3 3 8" xfId="11537" xr:uid="{00000000-0005-0000-0000-000059360000}"/>
    <cellStyle name="Финансовый 3 3 3 3 8 2" xfId="28626" xr:uid="{A6A7123C-6B46-4CCE-9F16-AA320F177735}"/>
    <cellStyle name="Финансовый 3 3 3 3 9" xfId="14769" xr:uid="{00000000-0005-0000-0000-00005A360000}"/>
    <cellStyle name="Финансовый 3 3 3 3 9 2" xfId="31782" xr:uid="{813F9C22-B1FC-4186-A025-F957636C4D7A}"/>
    <cellStyle name="Финансовый 3 3 3 4" xfId="8510" xr:uid="{00000000-0005-0000-0000-00005B360000}"/>
    <cellStyle name="Финансовый 3 3 3 4 10" xfId="25617" xr:uid="{F1A851D7-71FD-43FC-A464-C24CD7045213}"/>
    <cellStyle name="Финансовый 3 3 3 4 2" xfId="8511" xr:uid="{00000000-0005-0000-0000-00005C360000}"/>
    <cellStyle name="Финансовый 3 3 3 4 2 2" xfId="8512" xr:uid="{00000000-0005-0000-0000-00005D360000}"/>
    <cellStyle name="Финансовый 3 3 3 4 2 2 2" xfId="8513" xr:uid="{00000000-0005-0000-0000-00005E360000}"/>
    <cellStyle name="Финансовый 3 3 3 4 2 2 2 2" xfId="8514" xr:uid="{00000000-0005-0000-0000-00005F360000}"/>
    <cellStyle name="Финансовый 3 3 3 4 2 2 2 2 2" xfId="8515" xr:uid="{00000000-0005-0000-0000-000060360000}"/>
    <cellStyle name="Финансовый 3 3 3 4 2 2 2 2 2 2" xfId="11606" xr:uid="{00000000-0005-0000-0000-000061360000}"/>
    <cellStyle name="Финансовый 3 3 3 4 2 2 2 2 2 2 2" xfId="28695" xr:uid="{F5A59D4B-247D-4BC0-9331-638A8E6CBE48}"/>
    <cellStyle name="Финансовый 3 3 3 4 2 2 2 2 2 3" xfId="14838" xr:uid="{00000000-0005-0000-0000-000062360000}"/>
    <cellStyle name="Финансовый 3 3 3 4 2 2 2 2 2 3 2" xfId="31851" xr:uid="{21FBE78B-FD4E-40AD-86AE-D02B48A57206}"/>
    <cellStyle name="Финансовый 3 3 3 4 2 2 2 2 2 4" xfId="17919" xr:uid="{00000000-0005-0000-0000-000063360000}"/>
    <cellStyle name="Финансовый 3 3 3 4 2 2 2 2 2 4 2" xfId="34932" xr:uid="{AADA3D9F-04FC-468D-B9D7-0EE00B07738C}"/>
    <cellStyle name="Финансовый 3 3 3 4 2 2 2 2 2 5" xfId="25622" xr:uid="{680EF67A-80C5-4E97-9098-90F9EEBAFA7A}"/>
    <cellStyle name="Финансовый 3 3 3 4 2 2 2 2 3" xfId="11605" xr:uid="{00000000-0005-0000-0000-000064360000}"/>
    <cellStyle name="Финансовый 3 3 3 4 2 2 2 2 3 2" xfId="28694" xr:uid="{7D8C804F-65C1-47ED-B12F-3BBD45372086}"/>
    <cellStyle name="Финансовый 3 3 3 4 2 2 2 2 4" xfId="14837" xr:uid="{00000000-0005-0000-0000-000065360000}"/>
    <cellStyle name="Финансовый 3 3 3 4 2 2 2 2 4 2" xfId="31850" xr:uid="{A8BDBB20-529F-4D6C-AF2F-C63493AAE2D4}"/>
    <cellStyle name="Финансовый 3 3 3 4 2 2 2 2 5" xfId="17918" xr:uid="{00000000-0005-0000-0000-000066360000}"/>
    <cellStyle name="Финансовый 3 3 3 4 2 2 2 2 5 2" xfId="34931" xr:uid="{FD8D01BD-8C3F-4DF7-A358-9D7956E8CFEB}"/>
    <cellStyle name="Финансовый 3 3 3 4 2 2 2 2 6" xfId="25621" xr:uid="{4F1C7F5B-93DA-4CD0-B2B6-AF7C738C6EFC}"/>
    <cellStyle name="Финансовый 3 3 3 4 2 2 2 3" xfId="8516" xr:uid="{00000000-0005-0000-0000-000067360000}"/>
    <cellStyle name="Финансовый 3 3 3 4 2 2 2 3 2" xfId="11607" xr:uid="{00000000-0005-0000-0000-000068360000}"/>
    <cellStyle name="Финансовый 3 3 3 4 2 2 2 3 2 2" xfId="28696" xr:uid="{0159E360-CEAC-4C39-950B-8CA430D1F5EB}"/>
    <cellStyle name="Финансовый 3 3 3 4 2 2 2 3 3" xfId="14839" xr:uid="{00000000-0005-0000-0000-000069360000}"/>
    <cellStyle name="Финансовый 3 3 3 4 2 2 2 3 3 2" xfId="31852" xr:uid="{4C92DCE3-8369-4594-99CA-45213666B4C9}"/>
    <cellStyle name="Финансовый 3 3 3 4 2 2 2 3 4" xfId="17920" xr:uid="{00000000-0005-0000-0000-00006A360000}"/>
    <cellStyle name="Финансовый 3 3 3 4 2 2 2 3 4 2" xfId="34933" xr:uid="{34FE011F-0032-46FD-B139-933DD053D4BF}"/>
    <cellStyle name="Финансовый 3 3 3 4 2 2 2 3 5" xfId="25623" xr:uid="{55FB1175-D033-4CDE-86B8-9FAD38A9614A}"/>
    <cellStyle name="Финансовый 3 3 3 4 2 2 2 4" xfId="11604" xr:uid="{00000000-0005-0000-0000-00006B360000}"/>
    <cellStyle name="Финансовый 3 3 3 4 2 2 2 4 2" xfId="28693" xr:uid="{EDB5B777-80CF-4C24-97B7-5DB38CC4AE9B}"/>
    <cellStyle name="Финансовый 3 3 3 4 2 2 2 5" xfId="14836" xr:uid="{00000000-0005-0000-0000-00006C360000}"/>
    <cellStyle name="Финансовый 3 3 3 4 2 2 2 5 2" xfId="31849" xr:uid="{CE80ADFD-4500-4790-AE6F-CE93C1D04846}"/>
    <cellStyle name="Финансовый 3 3 3 4 2 2 2 6" xfId="17917" xr:uid="{00000000-0005-0000-0000-00006D360000}"/>
    <cellStyle name="Финансовый 3 3 3 4 2 2 2 6 2" xfId="34930" xr:uid="{F0CE3ECA-6EAC-407F-825A-784F2773ECE2}"/>
    <cellStyle name="Финансовый 3 3 3 4 2 2 2 7" xfId="25620" xr:uid="{B3354B03-EF28-42C3-B028-8F9042167691}"/>
    <cellStyle name="Финансовый 3 3 3 4 2 2 3" xfId="8517" xr:uid="{00000000-0005-0000-0000-00006E360000}"/>
    <cellStyle name="Финансовый 3 3 3 4 2 2 3 2" xfId="8518" xr:uid="{00000000-0005-0000-0000-00006F360000}"/>
    <cellStyle name="Финансовый 3 3 3 4 2 2 3 2 2" xfId="11609" xr:uid="{00000000-0005-0000-0000-000070360000}"/>
    <cellStyle name="Финансовый 3 3 3 4 2 2 3 2 2 2" xfId="28698" xr:uid="{9C7CE6D1-ACA2-4805-98B8-91664B471EC3}"/>
    <cellStyle name="Финансовый 3 3 3 4 2 2 3 2 3" xfId="14841" xr:uid="{00000000-0005-0000-0000-000071360000}"/>
    <cellStyle name="Финансовый 3 3 3 4 2 2 3 2 3 2" xfId="31854" xr:uid="{D7A203E8-0B27-486C-A3AA-0F2B9BFC1C12}"/>
    <cellStyle name="Финансовый 3 3 3 4 2 2 3 2 4" xfId="17922" xr:uid="{00000000-0005-0000-0000-000072360000}"/>
    <cellStyle name="Финансовый 3 3 3 4 2 2 3 2 4 2" xfId="34935" xr:uid="{73A61195-C0D0-4C30-9BD2-9835060B3CEC}"/>
    <cellStyle name="Финансовый 3 3 3 4 2 2 3 2 5" xfId="25625" xr:uid="{46BEC71C-1FD1-44DE-86B5-B3CD839030D0}"/>
    <cellStyle name="Финансовый 3 3 3 4 2 2 3 3" xfId="11608" xr:uid="{00000000-0005-0000-0000-000073360000}"/>
    <cellStyle name="Финансовый 3 3 3 4 2 2 3 3 2" xfId="28697" xr:uid="{9A34DA33-A08B-47EF-815E-5849A4F44696}"/>
    <cellStyle name="Финансовый 3 3 3 4 2 2 3 4" xfId="14840" xr:uid="{00000000-0005-0000-0000-000074360000}"/>
    <cellStyle name="Финансовый 3 3 3 4 2 2 3 4 2" xfId="31853" xr:uid="{F90B7704-677B-4CA9-9FF3-D4720BCC7983}"/>
    <cellStyle name="Финансовый 3 3 3 4 2 2 3 5" xfId="17921" xr:uid="{00000000-0005-0000-0000-000075360000}"/>
    <cellStyle name="Финансовый 3 3 3 4 2 2 3 5 2" xfId="34934" xr:uid="{5E32E1A6-3FBA-4EDF-AC8C-C3649120CA9E}"/>
    <cellStyle name="Финансовый 3 3 3 4 2 2 3 6" xfId="25624" xr:uid="{88E04CA0-A812-4311-859C-24269F862040}"/>
    <cellStyle name="Финансовый 3 3 3 4 2 2 4" xfId="8519" xr:uid="{00000000-0005-0000-0000-000076360000}"/>
    <cellStyle name="Финансовый 3 3 3 4 2 2 4 2" xfId="11610" xr:uid="{00000000-0005-0000-0000-000077360000}"/>
    <cellStyle name="Финансовый 3 3 3 4 2 2 4 2 2" xfId="28699" xr:uid="{A96444B0-EEB3-4F8F-9C53-5660D6434D8D}"/>
    <cellStyle name="Финансовый 3 3 3 4 2 2 4 3" xfId="14842" xr:uid="{00000000-0005-0000-0000-000078360000}"/>
    <cellStyle name="Финансовый 3 3 3 4 2 2 4 3 2" xfId="31855" xr:uid="{CCEBDCC3-9D71-4525-B87B-41833C5D1121}"/>
    <cellStyle name="Финансовый 3 3 3 4 2 2 4 4" xfId="17923" xr:uid="{00000000-0005-0000-0000-000079360000}"/>
    <cellStyle name="Финансовый 3 3 3 4 2 2 4 4 2" xfId="34936" xr:uid="{36B5FAB3-CAD5-400B-BDC3-E82848D2A85D}"/>
    <cellStyle name="Финансовый 3 3 3 4 2 2 4 5" xfId="25626" xr:uid="{9B8E42B0-E46B-409D-846F-CE2797F2E134}"/>
    <cellStyle name="Финансовый 3 3 3 4 2 2 5" xfId="11603" xr:uid="{00000000-0005-0000-0000-00007A360000}"/>
    <cellStyle name="Финансовый 3 3 3 4 2 2 5 2" xfId="28692" xr:uid="{29B80791-44D3-428E-99CA-66E1B71AA603}"/>
    <cellStyle name="Финансовый 3 3 3 4 2 2 6" xfId="14835" xr:uid="{00000000-0005-0000-0000-00007B360000}"/>
    <cellStyle name="Финансовый 3 3 3 4 2 2 6 2" xfId="31848" xr:uid="{7990C4CB-4127-4B6B-BA80-9FE6C9C14BC6}"/>
    <cellStyle name="Финансовый 3 3 3 4 2 2 7" xfId="17916" xr:uid="{00000000-0005-0000-0000-00007C360000}"/>
    <cellStyle name="Финансовый 3 3 3 4 2 2 7 2" xfId="34929" xr:uid="{3D2A2881-1E70-4885-A85A-7F4A2BC891E3}"/>
    <cellStyle name="Финансовый 3 3 3 4 2 2 8" xfId="25619" xr:uid="{9AAF3667-0928-4BA9-9E99-FB25A4350C7D}"/>
    <cellStyle name="Финансовый 3 3 3 4 2 3" xfId="8520" xr:uid="{00000000-0005-0000-0000-00007D360000}"/>
    <cellStyle name="Финансовый 3 3 3 4 2 3 2" xfId="8521" xr:uid="{00000000-0005-0000-0000-00007E360000}"/>
    <cellStyle name="Финансовый 3 3 3 4 2 3 2 2" xfId="8522" xr:uid="{00000000-0005-0000-0000-00007F360000}"/>
    <cellStyle name="Финансовый 3 3 3 4 2 3 2 2 2" xfId="11613" xr:uid="{00000000-0005-0000-0000-000080360000}"/>
    <cellStyle name="Финансовый 3 3 3 4 2 3 2 2 2 2" xfId="28702" xr:uid="{D1AA07ED-59BF-4BCD-8056-A7974B4B3F38}"/>
    <cellStyle name="Финансовый 3 3 3 4 2 3 2 2 3" xfId="14845" xr:uid="{00000000-0005-0000-0000-000081360000}"/>
    <cellStyle name="Финансовый 3 3 3 4 2 3 2 2 3 2" xfId="31858" xr:uid="{DA58F264-7998-4D73-B408-2A7391E67C52}"/>
    <cellStyle name="Финансовый 3 3 3 4 2 3 2 2 4" xfId="17926" xr:uid="{00000000-0005-0000-0000-000082360000}"/>
    <cellStyle name="Финансовый 3 3 3 4 2 3 2 2 4 2" xfId="34939" xr:uid="{0D467AA0-093D-49A5-A989-644438BF9E63}"/>
    <cellStyle name="Финансовый 3 3 3 4 2 3 2 2 5" xfId="25629" xr:uid="{4FC0AF93-D75B-49D7-A2EE-1A9B80F5D7B2}"/>
    <cellStyle name="Финансовый 3 3 3 4 2 3 2 3" xfId="11612" xr:uid="{00000000-0005-0000-0000-000083360000}"/>
    <cellStyle name="Финансовый 3 3 3 4 2 3 2 3 2" xfId="28701" xr:uid="{6702516A-8121-44D9-B583-5FCB621F0B8A}"/>
    <cellStyle name="Финансовый 3 3 3 4 2 3 2 4" xfId="14844" xr:uid="{00000000-0005-0000-0000-000084360000}"/>
    <cellStyle name="Финансовый 3 3 3 4 2 3 2 4 2" xfId="31857" xr:uid="{C79CAD24-162E-4748-8AE5-3DECD2C982EC}"/>
    <cellStyle name="Финансовый 3 3 3 4 2 3 2 5" xfId="17925" xr:uid="{00000000-0005-0000-0000-000085360000}"/>
    <cellStyle name="Финансовый 3 3 3 4 2 3 2 5 2" xfId="34938" xr:uid="{783A0EB4-9CD6-46AF-B15A-6F4D0B80AE09}"/>
    <cellStyle name="Финансовый 3 3 3 4 2 3 2 6" xfId="25628" xr:uid="{F442E71C-793E-44D9-8793-82159F5C1EEA}"/>
    <cellStyle name="Финансовый 3 3 3 4 2 3 3" xfId="8523" xr:uid="{00000000-0005-0000-0000-000086360000}"/>
    <cellStyle name="Финансовый 3 3 3 4 2 3 3 2" xfId="11614" xr:uid="{00000000-0005-0000-0000-000087360000}"/>
    <cellStyle name="Финансовый 3 3 3 4 2 3 3 2 2" xfId="28703" xr:uid="{40B5C7A1-26D1-4B90-9714-96BB14BE966D}"/>
    <cellStyle name="Финансовый 3 3 3 4 2 3 3 3" xfId="14846" xr:uid="{00000000-0005-0000-0000-000088360000}"/>
    <cellStyle name="Финансовый 3 3 3 4 2 3 3 3 2" xfId="31859" xr:uid="{31C95613-DD6D-4DB7-A3BA-FCE3BF14CE1E}"/>
    <cellStyle name="Финансовый 3 3 3 4 2 3 3 4" xfId="17927" xr:uid="{00000000-0005-0000-0000-000089360000}"/>
    <cellStyle name="Финансовый 3 3 3 4 2 3 3 4 2" xfId="34940" xr:uid="{DB3BD3A3-2535-4121-B586-4877942E33BF}"/>
    <cellStyle name="Финансовый 3 3 3 4 2 3 3 5" xfId="25630" xr:uid="{330D194D-AB0E-447E-B184-2180E930A971}"/>
    <cellStyle name="Финансовый 3 3 3 4 2 3 4" xfId="11611" xr:uid="{00000000-0005-0000-0000-00008A360000}"/>
    <cellStyle name="Финансовый 3 3 3 4 2 3 4 2" xfId="28700" xr:uid="{711B9CFD-A1B7-418F-8014-0769F0E12FCF}"/>
    <cellStyle name="Финансовый 3 3 3 4 2 3 5" xfId="14843" xr:uid="{00000000-0005-0000-0000-00008B360000}"/>
    <cellStyle name="Финансовый 3 3 3 4 2 3 5 2" xfId="31856" xr:uid="{AD291C62-3A70-403D-A739-EE49971526FF}"/>
    <cellStyle name="Финансовый 3 3 3 4 2 3 6" xfId="17924" xr:uid="{00000000-0005-0000-0000-00008C360000}"/>
    <cellStyle name="Финансовый 3 3 3 4 2 3 6 2" xfId="34937" xr:uid="{0004D08F-ECFD-41BD-8685-814AD3906D38}"/>
    <cellStyle name="Финансовый 3 3 3 4 2 3 7" xfId="25627" xr:uid="{D84D73B5-0AA2-49E4-8F95-2B68A61F7733}"/>
    <cellStyle name="Финансовый 3 3 3 4 2 4" xfId="8524" xr:uid="{00000000-0005-0000-0000-00008D360000}"/>
    <cellStyle name="Финансовый 3 3 3 4 2 4 2" xfId="8525" xr:uid="{00000000-0005-0000-0000-00008E360000}"/>
    <cellStyle name="Финансовый 3 3 3 4 2 4 2 2" xfId="11616" xr:uid="{00000000-0005-0000-0000-00008F360000}"/>
    <cellStyle name="Финансовый 3 3 3 4 2 4 2 2 2" xfId="28705" xr:uid="{DFB97472-CCEA-437A-9D1A-2698AD117F8B}"/>
    <cellStyle name="Финансовый 3 3 3 4 2 4 2 3" xfId="14848" xr:uid="{00000000-0005-0000-0000-000090360000}"/>
    <cellStyle name="Финансовый 3 3 3 4 2 4 2 3 2" xfId="31861" xr:uid="{91B193E2-1B7E-438A-B672-8662F2285992}"/>
    <cellStyle name="Финансовый 3 3 3 4 2 4 2 4" xfId="17929" xr:uid="{00000000-0005-0000-0000-000091360000}"/>
    <cellStyle name="Финансовый 3 3 3 4 2 4 2 4 2" xfId="34942" xr:uid="{4B5A0A65-9F09-4870-8248-C7ABF0E99134}"/>
    <cellStyle name="Финансовый 3 3 3 4 2 4 2 5" xfId="25632" xr:uid="{37FF924A-CE8B-4A57-AC82-EC9C8150585F}"/>
    <cellStyle name="Финансовый 3 3 3 4 2 4 3" xfId="11615" xr:uid="{00000000-0005-0000-0000-000092360000}"/>
    <cellStyle name="Финансовый 3 3 3 4 2 4 3 2" xfId="28704" xr:uid="{D75611D4-9B0E-4937-BB01-5C28CA8CD385}"/>
    <cellStyle name="Финансовый 3 3 3 4 2 4 4" xfId="14847" xr:uid="{00000000-0005-0000-0000-000093360000}"/>
    <cellStyle name="Финансовый 3 3 3 4 2 4 4 2" xfId="31860" xr:uid="{2F742B11-445A-4F8C-B580-844E37AF96B6}"/>
    <cellStyle name="Финансовый 3 3 3 4 2 4 5" xfId="17928" xr:uid="{00000000-0005-0000-0000-000094360000}"/>
    <cellStyle name="Финансовый 3 3 3 4 2 4 5 2" xfId="34941" xr:uid="{B4CB85ED-2F84-44A7-B19A-71A71162D379}"/>
    <cellStyle name="Финансовый 3 3 3 4 2 4 6" xfId="25631" xr:uid="{A86A3760-11EF-428B-858D-D5F2AB7AA7BF}"/>
    <cellStyle name="Финансовый 3 3 3 4 2 5" xfId="8526" xr:uid="{00000000-0005-0000-0000-000095360000}"/>
    <cellStyle name="Финансовый 3 3 3 4 2 5 2" xfId="11617" xr:uid="{00000000-0005-0000-0000-000096360000}"/>
    <cellStyle name="Финансовый 3 3 3 4 2 5 2 2" xfId="28706" xr:uid="{B3753705-3293-4D8C-8F50-99F2BB7DB48F}"/>
    <cellStyle name="Финансовый 3 3 3 4 2 5 3" xfId="14849" xr:uid="{00000000-0005-0000-0000-000097360000}"/>
    <cellStyle name="Финансовый 3 3 3 4 2 5 3 2" xfId="31862" xr:uid="{92CD66E7-F2CE-4F8C-A763-9BA468DFBD50}"/>
    <cellStyle name="Финансовый 3 3 3 4 2 5 4" xfId="17930" xr:uid="{00000000-0005-0000-0000-000098360000}"/>
    <cellStyle name="Финансовый 3 3 3 4 2 5 4 2" xfId="34943" xr:uid="{95C4C441-E95D-4B3C-8FFE-A70BD7D59914}"/>
    <cellStyle name="Финансовый 3 3 3 4 2 5 5" xfId="25633" xr:uid="{B354D235-E169-4877-94A9-0CCC67222046}"/>
    <cellStyle name="Финансовый 3 3 3 4 2 6" xfId="11602" xr:uid="{00000000-0005-0000-0000-000099360000}"/>
    <cellStyle name="Финансовый 3 3 3 4 2 6 2" xfId="28691" xr:uid="{0E4F44F4-F482-40F1-BB11-B53EE569AF2B}"/>
    <cellStyle name="Финансовый 3 3 3 4 2 7" xfId="14834" xr:uid="{00000000-0005-0000-0000-00009A360000}"/>
    <cellStyle name="Финансовый 3 3 3 4 2 7 2" xfId="31847" xr:uid="{83223C42-6C9F-489B-A14C-BF68B58A5184}"/>
    <cellStyle name="Финансовый 3 3 3 4 2 8" xfId="17915" xr:uid="{00000000-0005-0000-0000-00009B360000}"/>
    <cellStyle name="Финансовый 3 3 3 4 2 8 2" xfId="34928" xr:uid="{F53AC5C2-8A03-4D6E-A71B-6669249FAE1C}"/>
    <cellStyle name="Финансовый 3 3 3 4 2 9" xfId="25618" xr:uid="{F7E02250-95FB-4F63-85EE-C4CA4CBD5410}"/>
    <cellStyle name="Финансовый 3 3 3 4 3" xfId="8527" xr:uid="{00000000-0005-0000-0000-00009C360000}"/>
    <cellStyle name="Финансовый 3 3 3 4 3 2" xfId="8528" xr:uid="{00000000-0005-0000-0000-00009D360000}"/>
    <cellStyle name="Финансовый 3 3 3 4 3 2 2" xfId="8529" xr:uid="{00000000-0005-0000-0000-00009E360000}"/>
    <cellStyle name="Финансовый 3 3 3 4 3 2 2 2" xfId="8530" xr:uid="{00000000-0005-0000-0000-00009F360000}"/>
    <cellStyle name="Финансовый 3 3 3 4 3 2 2 2 2" xfId="11621" xr:uid="{00000000-0005-0000-0000-0000A0360000}"/>
    <cellStyle name="Финансовый 3 3 3 4 3 2 2 2 2 2" xfId="28710" xr:uid="{1E7EA7F4-0B83-4C2E-AE38-CA6DD46F44CB}"/>
    <cellStyle name="Финансовый 3 3 3 4 3 2 2 2 3" xfId="14853" xr:uid="{00000000-0005-0000-0000-0000A1360000}"/>
    <cellStyle name="Финансовый 3 3 3 4 3 2 2 2 3 2" xfId="31866" xr:uid="{6D5B57ED-3519-4AF1-A938-18DF5FC5DA65}"/>
    <cellStyle name="Финансовый 3 3 3 4 3 2 2 2 4" xfId="17934" xr:uid="{00000000-0005-0000-0000-0000A2360000}"/>
    <cellStyle name="Финансовый 3 3 3 4 3 2 2 2 4 2" xfId="34947" xr:uid="{7132130D-7A62-49FC-9680-ABD0E1B7D9CE}"/>
    <cellStyle name="Финансовый 3 3 3 4 3 2 2 2 5" xfId="25637" xr:uid="{551003EC-CFE1-4125-93ED-6A71FD3F3DE3}"/>
    <cellStyle name="Финансовый 3 3 3 4 3 2 2 3" xfId="11620" xr:uid="{00000000-0005-0000-0000-0000A3360000}"/>
    <cellStyle name="Финансовый 3 3 3 4 3 2 2 3 2" xfId="28709" xr:uid="{C704664B-1265-4296-81EC-6FF241C124B1}"/>
    <cellStyle name="Финансовый 3 3 3 4 3 2 2 4" xfId="14852" xr:uid="{00000000-0005-0000-0000-0000A4360000}"/>
    <cellStyle name="Финансовый 3 3 3 4 3 2 2 4 2" xfId="31865" xr:uid="{20327DEE-39B4-4429-8489-3420C5D33C5F}"/>
    <cellStyle name="Финансовый 3 3 3 4 3 2 2 5" xfId="17933" xr:uid="{00000000-0005-0000-0000-0000A5360000}"/>
    <cellStyle name="Финансовый 3 3 3 4 3 2 2 5 2" xfId="34946" xr:uid="{67F38EE3-186B-45DA-AEB0-58B7AC435211}"/>
    <cellStyle name="Финансовый 3 3 3 4 3 2 2 6" xfId="25636" xr:uid="{B8DA0DBE-9DEC-4E56-9115-BF21AF457AF1}"/>
    <cellStyle name="Финансовый 3 3 3 4 3 2 3" xfId="8531" xr:uid="{00000000-0005-0000-0000-0000A6360000}"/>
    <cellStyle name="Финансовый 3 3 3 4 3 2 3 2" xfId="11622" xr:uid="{00000000-0005-0000-0000-0000A7360000}"/>
    <cellStyle name="Финансовый 3 3 3 4 3 2 3 2 2" xfId="28711" xr:uid="{7F8D7794-6155-44D0-8CB8-21EC4429B789}"/>
    <cellStyle name="Финансовый 3 3 3 4 3 2 3 3" xfId="14854" xr:uid="{00000000-0005-0000-0000-0000A8360000}"/>
    <cellStyle name="Финансовый 3 3 3 4 3 2 3 3 2" xfId="31867" xr:uid="{099ABB3E-634A-4F45-889B-63F625B42CB1}"/>
    <cellStyle name="Финансовый 3 3 3 4 3 2 3 4" xfId="17935" xr:uid="{00000000-0005-0000-0000-0000A9360000}"/>
    <cellStyle name="Финансовый 3 3 3 4 3 2 3 4 2" xfId="34948" xr:uid="{14248484-6988-45DE-9831-4CD5AC8FC661}"/>
    <cellStyle name="Финансовый 3 3 3 4 3 2 3 5" xfId="25638" xr:uid="{C2BAF3FC-E5D1-4093-9766-31A724FB4C8D}"/>
    <cellStyle name="Финансовый 3 3 3 4 3 2 4" xfId="11619" xr:uid="{00000000-0005-0000-0000-0000AA360000}"/>
    <cellStyle name="Финансовый 3 3 3 4 3 2 4 2" xfId="28708" xr:uid="{6A716F39-C9B3-4108-B1FA-875542EA074A}"/>
    <cellStyle name="Финансовый 3 3 3 4 3 2 5" xfId="14851" xr:uid="{00000000-0005-0000-0000-0000AB360000}"/>
    <cellStyle name="Финансовый 3 3 3 4 3 2 5 2" xfId="31864" xr:uid="{728F9ED1-0AB9-49A4-9BBC-10804443496A}"/>
    <cellStyle name="Финансовый 3 3 3 4 3 2 6" xfId="17932" xr:uid="{00000000-0005-0000-0000-0000AC360000}"/>
    <cellStyle name="Финансовый 3 3 3 4 3 2 6 2" xfId="34945" xr:uid="{AC8D7BFE-17EE-4E80-B36D-A03C037D5585}"/>
    <cellStyle name="Финансовый 3 3 3 4 3 2 7" xfId="25635" xr:uid="{8BCB4B64-2B8F-4B36-8909-413C529EDB39}"/>
    <cellStyle name="Финансовый 3 3 3 4 3 3" xfId="8532" xr:uid="{00000000-0005-0000-0000-0000AD360000}"/>
    <cellStyle name="Финансовый 3 3 3 4 3 3 2" xfId="8533" xr:uid="{00000000-0005-0000-0000-0000AE360000}"/>
    <cellStyle name="Финансовый 3 3 3 4 3 3 2 2" xfId="11624" xr:uid="{00000000-0005-0000-0000-0000AF360000}"/>
    <cellStyle name="Финансовый 3 3 3 4 3 3 2 2 2" xfId="28713" xr:uid="{46FEED2F-2F24-4386-A634-9A0AE9CB3F7C}"/>
    <cellStyle name="Финансовый 3 3 3 4 3 3 2 3" xfId="14856" xr:uid="{00000000-0005-0000-0000-0000B0360000}"/>
    <cellStyle name="Финансовый 3 3 3 4 3 3 2 3 2" xfId="31869" xr:uid="{163A750A-1C86-4F76-AAC0-3B85820C61AB}"/>
    <cellStyle name="Финансовый 3 3 3 4 3 3 2 4" xfId="17937" xr:uid="{00000000-0005-0000-0000-0000B1360000}"/>
    <cellStyle name="Финансовый 3 3 3 4 3 3 2 4 2" xfId="34950" xr:uid="{2B1C58A7-8496-4CAE-A10A-3DE047AA543D}"/>
    <cellStyle name="Финансовый 3 3 3 4 3 3 2 5" xfId="25640" xr:uid="{106EF224-2510-4BC9-A52F-D7AFEB80AE8A}"/>
    <cellStyle name="Финансовый 3 3 3 4 3 3 3" xfId="11623" xr:uid="{00000000-0005-0000-0000-0000B2360000}"/>
    <cellStyle name="Финансовый 3 3 3 4 3 3 3 2" xfId="28712" xr:uid="{4663006B-FEC3-4159-8A21-79F737B2683F}"/>
    <cellStyle name="Финансовый 3 3 3 4 3 3 4" xfId="14855" xr:uid="{00000000-0005-0000-0000-0000B3360000}"/>
    <cellStyle name="Финансовый 3 3 3 4 3 3 4 2" xfId="31868" xr:uid="{7A323701-D6D2-4843-AD3D-115171D95186}"/>
    <cellStyle name="Финансовый 3 3 3 4 3 3 5" xfId="17936" xr:uid="{00000000-0005-0000-0000-0000B4360000}"/>
    <cellStyle name="Финансовый 3 3 3 4 3 3 5 2" xfId="34949" xr:uid="{4B10A5FF-95EC-4ADB-837E-41F8251A83B8}"/>
    <cellStyle name="Финансовый 3 3 3 4 3 3 6" xfId="25639" xr:uid="{6DA5A885-B1F4-4318-AD94-BFAE58E031AD}"/>
    <cellStyle name="Финансовый 3 3 3 4 3 4" xfId="8534" xr:uid="{00000000-0005-0000-0000-0000B5360000}"/>
    <cellStyle name="Финансовый 3 3 3 4 3 4 2" xfId="11625" xr:uid="{00000000-0005-0000-0000-0000B6360000}"/>
    <cellStyle name="Финансовый 3 3 3 4 3 4 2 2" xfId="28714" xr:uid="{77559009-8E70-4DCB-A4D8-703F75094723}"/>
    <cellStyle name="Финансовый 3 3 3 4 3 4 3" xfId="14857" xr:uid="{00000000-0005-0000-0000-0000B7360000}"/>
    <cellStyle name="Финансовый 3 3 3 4 3 4 3 2" xfId="31870" xr:uid="{29B3C180-E993-4790-BA11-45E20FD7044E}"/>
    <cellStyle name="Финансовый 3 3 3 4 3 4 4" xfId="17938" xr:uid="{00000000-0005-0000-0000-0000B8360000}"/>
    <cellStyle name="Финансовый 3 3 3 4 3 4 4 2" xfId="34951" xr:uid="{D5B79514-B1C0-44E3-8ED7-9F29B29D112E}"/>
    <cellStyle name="Финансовый 3 3 3 4 3 4 5" xfId="25641" xr:uid="{D54D5001-F1BB-4A19-AF1B-885978531D57}"/>
    <cellStyle name="Финансовый 3 3 3 4 3 5" xfId="11618" xr:uid="{00000000-0005-0000-0000-0000B9360000}"/>
    <cellStyle name="Финансовый 3 3 3 4 3 5 2" xfId="28707" xr:uid="{11D1EBA4-E6E7-4C51-9690-57013104993B}"/>
    <cellStyle name="Финансовый 3 3 3 4 3 6" xfId="14850" xr:uid="{00000000-0005-0000-0000-0000BA360000}"/>
    <cellStyle name="Финансовый 3 3 3 4 3 6 2" xfId="31863" xr:uid="{9DBE3D7A-F433-4E12-8F63-5BE70B9A3516}"/>
    <cellStyle name="Финансовый 3 3 3 4 3 7" xfId="17931" xr:uid="{00000000-0005-0000-0000-0000BB360000}"/>
    <cellStyle name="Финансовый 3 3 3 4 3 7 2" xfId="34944" xr:uid="{0AD2387B-A383-4401-8A42-845B3A59963C}"/>
    <cellStyle name="Финансовый 3 3 3 4 3 8" xfId="25634" xr:uid="{13F7B8F2-822A-43FC-8B21-695FB082AAD4}"/>
    <cellStyle name="Финансовый 3 3 3 4 4" xfId="8535" xr:uid="{00000000-0005-0000-0000-0000BC360000}"/>
    <cellStyle name="Финансовый 3 3 3 4 4 2" xfId="8536" xr:uid="{00000000-0005-0000-0000-0000BD360000}"/>
    <cellStyle name="Финансовый 3 3 3 4 4 2 2" xfId="8537" xr:uid="{00000000-0005-0000-0000-0000BE360000}"/>
    <cellStyle name="Финансовый 3 3 3 4 4 2 2 2" xfId="11628" xr:uid="{00000000-0005-0000-0000-0000BF360000}"/>
    <cellStyle name="Финансовый 3 3 3 4 4 2 2 2 2" xfId="28717" xr:uid="{B9C99639-EE3D-4497-BC7C-1CF554A5966A}"/>
    <cellStyle name="Финансовый 3 3 3 4 4 2 2 3" xfId="14860" xr:uid="{00000000-0005-0000-0000-0000C0360000}"/>
    <cellStyle name="Финансовый 3 3 3 4 4 2 2 3 2" xfId="31873" xr:uid="{5A4885D0-5B26-4E73-AB98-FF156EBD21B1}"/>
    <cellStyle name="Финансовый 3 3 3 4 4 2 2 4" xfId="17941" xr:uid="{00000000-0005-0000-0000-0000C1360000}"/>
    <cellStyle name="Финансовый 3 3 3 4 4 2 2 4 2" xfId="34954" xr:uid="{97EB598E-A117-4639-AACE-36BDEEC991BA}"/>
    <cellStyle name="Финансовый 3 3 3 4 4 2 2 5" xfId="25644" xr:uid="{ACBB1EFB-125B-4DF6-BF9F-DF360C98C633}"/>
    <cellStyle name="Финансовый 3 3 3 4 4 2 3" xfId="11627" xr:uid="{00000000-0005-0000-0000-0000C2360000}"/>
    <cellStyle name="Финансовый 3 3 3 4 4 2 3 2" xfId="28716" xr:uid="{07A0554D-5347-482B-8E2D-83EA35EAF77F}"/>
    <cellStyle name="Финансовый 3 3 3 4 4 2 4" xfId="14859" xr:uid="{00000000-0005-0000-0000-0000C3360000}"/>
    <cellStyle name="Финансовый 3 3 3 4 4 2 4 2" xfId="31872" xr:uid="{86F6C0E1-1250-4B0C-BD0C-5D0A2B8AB2E1}"/>
    <cellStyle name="Финансовый 3 3 3 4 4 2 5" xfId="17940" xr:uid="{00000000-0005-0000-0000-0000C4360000}"/>
    <cellStyle name="Финансовый 3 3 3 4 4 2 5 2" xfId="34953" xr:uid="{1660E0E4-EAEA-4842-AA01-EAC50E0F3C70}"/>
    <cellStyle name="Финансовый 3 3 3 4 4 2 6" xfId="25643" xr:uid="{BFC3625E-1C33-4C0E-A1CF-D2AAB906875B}"/>
    <cellStyle name="Финансовый 3 3 3 4 4 3" xfId="8538" xr:uid="{00000000-0005-0000-0000-0000C5360000}"/>
    <cellStyle name="Финансовый 3 3 3 4 4 3 2" xfId="11629" xr:uid="{00000000-0005-0000-0000-0000C6360000}"/>
    <cellStyle name="Финансовый 3 3 3 4 4 3 2 2" xfId="28718" xr:uid="{ECA3C3B7-DA8E-4176-B7D9-AB59ACD9F942}"/>
    <cellStyle name="Финансовый 3 3 3 4 4 3 3" xfId="14861" xr:uid="{00000000-0005-0000-0000-0000C7360000}"/>
    <cellStyle name="Финансовый 3 3 3 4 4 3 3 2" xfId="31874" xr:uid="{3F58619B-8AD1-4C3E-9B7F-FF34BB2D6D93}"/>
    <cellStyle name="Финансовый 3 3 3 4 4 3 4" xfId="17942" xr:uid="{00000000-0005-0000-0000-0000C8360000}"/>
    <cellStyle name="Финансовый 3 3 3 4 4 3 4 2" xfId="34955" xr:uid="{778AC270-0295-4984-89E0-A7E1F42872EB}"/>
    <cellStyle name="Финансовый 3 3 3 4 4 3 5" xfId="25645" xr:uid="{49371CE6-F403-4303-88B5-542C9F15CD6C}"/>
    <cellStyle name="Финансовый 3 3 3 4 4 4" xfId="11626" xr:uid="{00000000-0005-0000-0000-0000C9360000}"/>
    <cellStyle name="Финансовый 3 3 3 4 4 4 2" xfId="28715" xr:uid="{C32EDF4F-E8D1-4135-B157-FEE74A0B1DA9}"/>
    <cellStyle name="Финансовый 3 3 3 4 4 5" xfId="14858" xr:uid="{00000000-0005-0000-0000-0000CA360000}"/>
    <cellStyle name="Финансовый 3 3 3 4 4 5 2" xfId="31871" xr:uid="{316261DD-185A-4606-8207-1B1B2AC9FF20}"/>
    <cellStyle name="Финансовый 3 3 3 4 4 6" xfId="17939" xr:uid="{00000000-0005-0000-0000-0000CB360000}"/>
    <cellStyle name="Финансовый 3 3 3 4 4 6 2" xfId="34952" xr:uid="{75EE15FD-F941-4FA0-BD52-704E7442F15A}"/>
    <cellStyle name="Финансовый 3 3 3 4 4 7" xfId="25642" xr:uid="{0FCB1BCB-71AA-4E22-8254-E1312FF91755}"/>
    <cellStyle name="Финансовый 3 3 3 4 5" xfId="8539" xr:uid="{00000000-0005-0000-0000-0000CC360000}"/>
    <cellStyle name="Финансовый 3 3 3 4 5 2" xfId="8540" xr:uid="{00000000-0005-0000-0000-0000CD360000}"/>
    <cellStyle name="Финансовый 3 3 3 4 5 2 2" xfId="11631" xr:uid="{00000000-0005-0000-0000-0000CE360000}"/>
    <cellStyle name="Финансовый 3 3 3 4 5 2 2 2" xfId="28720" xr:uid="{70222184-81F2-412C-9284-988ABCB175AA}"/>
    <cellStyle name="Финансовый 3 3 3 4 5 2 3" xfId="14863" xr:uid="{00000000-0005-0000-0000-0000CF360000}"/>
    <cellStyle name="Финансовый 3 3 3 4 5 2 3 2" xfId="31876" xr:uid="{C986354E-2DFF-4E27-874B-8971EC5F286D}"/>
    <cellStyle name="Финансовый 3 3 3 4 5 2 4" xfId="17944" xr:uid="{00000000-0005-0000-0000-0000D0360000}"/>
    <cellStyle name="Финансовый 3 3 3 4 5 2 4 2" xfId="34957" xr:uid="{0D0170A4-64C6-4305-BAB6-7B75BB622B2F}"/>
    <cellStyle name="Финансовый 3 3 3 4 5 2 5" xfId="25647" xr:uid="{E2A27505-FCC4-43CB-ADE0-6F20906C20B9}"/>
    <cellStyle name="Финансовый 3 3 3 4 5 3" xfId="11630" xr:uid="{00000000-0005-0000-0000-0000D1360000}"/>
    <cellStyle name="Финансовый 3 3 3 4 5 3 2" xfId="28719" xr:uid="{A6B6CD90-6DA0-4FA3-A87D-5E9C82905533}"/>
    <cellStyle name="Финансовый 3 3 3 4 5 4" xfId="14862" xr:uid="{00000000-0005-0000-0000-0000D2360000}"/>
    <cellStyle name="Финансовый 3 3 3 4 5 4 2" xfId="31875" xr:uid="{E1DF8058-9290-425E-8E43-15BB5EC9E424}"/>
    <cellStyle name="Финансовый 3 3 3 4 5 5" xfId="17943" xr:uid="{00000000-0005-0000-0000-0000D3360000}"/>
    <cellStyle name="Финансовый 3 3 3 4 5 5 2" xfId="34956" xr:uid="{D38A50EA-2035-4580-8C85-270EF9DE186D}"/>
    <cellStyle name="Финансовый 3 3 3 4 5 6" xfId="25646" xr:uid="{A90029AC-A742-46B6-A873-E889700F85B3}"/>
    <cellStyle name="Финансовый 3 3 3 4 6" xfId="8541" xr:uid="{00000000-0005-0000-0000-0000D4360000}"/>
    <cellStyle name="Финансовый 3 3 3 4 6 2" xfId="11632" xr:uid="{00000000-0005-0000-0000-0000D5360000}"/>
    <cellStyle name="Финансовый 3 3 3 4 6 2 2" xfId="28721" xr:uid="{DE8403A0-DCB7-4810-9398-D5D5D350CD78}"/>
    <cellStyle name="Финансовый 3 3 3 4 6 3" xfId="14864" xr:uid="{00000000-0005-0000-0000-0000D6360000}"/>
    <cellStyle name="Финансовый 3 3 3 4 6 3 2" xfId="31877" xr:uid="{14676183-36D8-4CBB-973F-8CC880D61D11}"/>
    <cellStyle name="Финансовый 3 3 3 4 6 4" xfId="17945" xr:uid="{00000000-0005-0000-0000-0000D7360000}"/>
    <cellStyle name="Финансовый 3 3 3 4 6 4 2" xfId="34958" xr:uid="{CEA62C05-FF11-4FDE-A385-340F63AFC650}"/>
    <cellStyle name="Финансовый 3 3 3 4 6 5" xfId="25648" xr:uid="{86520E8A-74AF-41EF-B124-EE7DA658C621}"/>
    <cellStyle name="Финансовый 3 3 3 4 7" xfId="11601" xr:uid="{00000000-0005-0000-0000-0000D8360000}"/>
    <cellStyle name="Финансовый 3 3 3 4 7 2" xfId="28690" xr:uid="{6B5D2709-750A-49BD-A935-E28201716C7B}"/>
    <cellStyle name="Финансовый 3 3 3 4 8" xfId="14833" xr:uid="{00000000-0005-0000-0000-0000D9360000}"/>
    <cellStyle name="Финансовый 3 3 3 4 8 2" xfId="31846" xr:uid="{9312A3AA-79D1-48BD-8673-2FA8E1B7AFDC}"/>
    <cellStyle name="Финансовый 3 3 3 4 9" xfId="17914" xr:uid="{00000000-0005-0000-0000-0000DA360000}"/>
    <cellStyle name="Финансовый 3 3 3 4 9 2" xfId="34927" xr:uid="{A90A2498-F85A-4626-880C-13D8BD3D9BB8}"/>
    <cellStyle name="Финансовый 3 3 3 5" xfId="8542" xr:uid="{00000000-0005-0000-0000-0000DB360000}"/>
    <cellStyle name="Финансовый 3 3 3 5 2" xfId="8543" xr:uid="{00000000-0005-0000-0000-0000DC360000}"/>
    <cellStyle name="Финансовый 3 3 3 5 2 2" xfId="8544" xr:uid="{00000000-0005-0000-0000-0000DD360000}"/>
    <cellStyle name="Финансовый 3 3 3 5 2 2 2" xfId="8545" xr:uid="{00000000-0005-0000-0000-0000DE360000}"/>
    <cellStyle name="Финансовый 3 3 3 5 2 2 2 2" xfId="8546" xr:uid="{00000000-0005-0000-0000-0000DF360000}"/>
    <cellStyle name="Финансовый 3 3 3 5 2 2 2 2 2" xfId="11637" xr:uid="{00000000-0005-0000-0000-0000E0360000}"/>
    <cellStyle name="Финансовый 3 3 3 5 2 2 2 2 2 2" xfId="28726" xr:uid="{D6779BD4-0F3A-479D-B45C-B255B6CD3061}"/>
    <cellStyle name="Финансовый 3 3 3 5 2 2 2 2 3" xfId="14869" xr:uid="{00000000-0005-0000-0000-0000E1360000}"/>
    <cellStyle name="Финансовый 3 3 3 5 2 2 2 2 3 2" xfId="31882" xr:uid="{122CA43B-5B2C-4DB6-8299-10EF39E612CB}"/>
    <cellStyle name="Финансовый 3 3 3 5 2 2 2 2 4" xfId="17950" xr:uid="{00000000-0005-0000-0000-0000E2360000}"/>
    <cellStyle name="Финансовый 3 3 3 5 2 2 2 2 4 2" xfId="34963" xr:uid="{FF8DC421-991D-4C0B-B8C8-0D6ED60897CE}"/>
    <cellStyle name="Финансовый 3 3 3 5 2 2 2 2 5" xfId="25653" xr:uid="{4525A43B-B793-4FA8-9AB8-F1C87B806632}"/>
    <cellStyle name="Финансовый 3 3 3 5 2 2 2 3" xfId="11636" xr:uid="{00000000-0005-0000-0000-0000E3360000}"/>
    <cellStyle name="Финансовый 3 3 3 5 2 2 2 3 2" xfId="28725" xr:uid="{C0500B33-896E-4B9D-94F3-28861270CDAA}"/>
    <cellStyle name="Финансовый 3 3 3 5 2 2 2 4" xfId="14868" xr:uid="{00000000-0005-0000-0000-0000E4360000}"/>
    <cellStyle name="Финансовый 3 3 3 5 2 2 2 4 2" xfId="31881" xr:uid="{431A1EA8-3CF2-4240-A555-FA4B087990E9}"/>
    <cellStyle name="Финансовый 3 3 3 5 2 2 2 5" xfId="17949" xr:uid="{00000000-0005-0000-0000-0000E5360000}"/>
    <cellStyle name="Финансовый 3 3 3 5 2 2 2 5 2" xfId="34962" xr:uid="{8E462861-D7E5-4D48-B9BD-70C5B7F0AD8F}"/>
    <cellStyle name="Финансовый 3 3 3 5 2 2 2 6" xfId="25652" xr:uid="{B5E8E7FC-2B69-49A9-819B-2BAD84C0372A}"/>
    <cellStyle name="Финансовый 3 3 3 5 2 2 3" xfId="8547" xr:uid="{00000000-0005-0000-0000-0000E6360000}"/>
    <cellStyle name="Финансовый 3 3 3 5 2 2 3 2" xfId="11638" xr:uid="{00000000-0005-0000-0000-0000E7360000}"/>
    <cellStyle name="Финансовый 3 3 3 5 2 2 3 2 2" xfId="28727" xr:uid="{C99FCF6B-2A3B-4413-B437-23B2A8BE5DAA}"/>
    <cellStyle name="Финансовый 3 3 3 5 2 2 3 3" xfId="14870" xr:uid="{00000000-0005-0000-0000-0000E8360000}"/>
    <cellStyle name="Финансовый 3 3 3 5 2 2 3 3 2" xfId="31883" xr:uid="{1804F671-FCDD-44C8-9A97-6B4DF19532E3}"/>
    <cellStyle name="Финансовый 3 3 3 5 2 2 3 4" xfId="17951" xr:uid="{00000000-0005-0000-0000-0000E9360000}"/>
    <cellStyle name="Финансовый 3 3 3 5 2 2 3 4 2" xfId="34964" xr:uid="{18875EE6-FCD1-4765-AB76-50380F7223D8}"/>
    <cellStyle name="Финансовый 3 3 3 5 2 2 3 5" xfId="25654" xr:uid="{9F1CBC45-1E21-461C-B6B2-7813E7E100B3}"/>
    <cellStyle name="Финансовый 3 3 3 5 2 2 4" xfId="11635" xr:uid="{00000000-0005-0000-0000-0000EA360000}"/>
    <cellStyle name="Финансовый 3 3 3 5 2 2 4 2" xfId="28724" xr:uid="{85D53C0D-A8D3-4E09-876D-7B86ABA94385}"/>
    <cellStyle name="Финансовый 3 3 3 5 2 2 5" xfId="14867" xr:uid="{00000000-0005-0000-0000-0000EB360000}"/>
    <cellStyle name="Финансовый 3 3 3 5 2 2 5 2" xfId="31880" xr:uid="{B77A8D92-9133-41BF-88AC-B95495FFF06A}"/>
    <cellStyle name="Финансовый 3 3 3 5 2 2 6" xfId="17948" xr:uid="{00000000-0005-0000-0000-0000EC360000}"/>
    <cellStyle name="Финансовый 3 3 3 5 2 2 6 2" xfId="34961" xr:uid="{0772AE2E-A42B-457B-9CE9-20858ED5C52C}"/>
    <cellStyle name="Финансовый 3 3 3 5 2 2 7" xfId="25651" xr:uid="{D589B23B-7EE6-43A3-9876-23B397965A34}"/>
    <cellStyle name="Финансовый 3 3 3 5 2 3" xfId="8548" xr:uid="{00000000-0005-0000-0000-0000ED360000}"/>
    <cellStyle name="Финансовый 3 3 3 5 2 3 2" xfId="8549" xr:uid="{00000000-0005-0000-0000-0000EE360000}"/>
    <cellStyle name="Финансовый 3 3 3 5 2 3 2 2" xfId="11640" xr:uid="{00000000-0005-0000-0000-0000EF360000}"/>
    <cellStyle name="Финансовый 3 3 3 5 2 3 2 2 2" xfId="28729" xr:uid="{D716EEA3-BC2C-4D2D-90D9-1C074A33D884}"/>
    <cellStyle name="Финансовый 3 3 3 5 2 3 2 3" xfId="14872" xr:uid="{00000000-0005-0000-0000-0000F0360000}"/>
    <cellStyle name="Финансовый 3 3 3 5 2 3 2 3 2" xfId="31885" xr:uid="{BD03D1ED-9C81-4E88-B8DF-EC77B7C0D0F3}"/>
    <cellStyle name="Финансовый 3 3 3 5 2 3 2 4" xfId="17953" xr:uid="{00000000-0005-0000-0000-0000F1360000}"/>
    <cellStyle name="Финансовый 3 3 3 5 2 3 2 4 2" xfId="34966" xr:uid="{7D3BF023-BBDA-41EB-8533-39C10E910B21}"/>
    <cellStyle name="Финансовый 3 3 3 5 2 3 2 5" xfId="25656" xr:uid="{EE41C474-42EB-4D78-B346-6602D4CC5003}"/>
    <cellStyle name="Финансовый 3 3 3 5 2 3 3" xfId="11639" xr:uid="{00000000-0005-0000-0000-0000F2360000}"/>
    <cellStyle name="Финансовый 3 3 3 5 2 3 3 2" xfId="28728" xr:uid="{A6A10863-1027-45E8-B821-8BE15DC86B55}"/>
    <cellStyle name="Финансовый 3 3 3 5 2 3 4" xfId="14871" xr:uid="{00000000-0005-0000-0000-0000F3360000}"/>
    <cellStyle name="Финансовый 3 3 3 5 2 3 4 2" xfId="31884" xr:uid="{D9DD1EB2-CA5F-427A-872E-462B3778FEAF}"/>
    <cellStyle name="Финансовый 3 3 3 5 2 3 5" xfId="17952" xr:uid="{00000000-0005-0000-0000-0000F4360000}"/>
    <cellStyle name="Финансовый 3 3 3 5 2 3 5 2" xfId="34965" xr:uid="{447D5F82-FDF1-43D0-8A80-41CDF7000A68}"/>
    <cellStyle name="Финансовый 3 3 3 5 2 3 6" xfId="25655" xr:uid="{B37B0908-08B5-4986-AA41-35216C715FDE}"/>
    <cellStyle name="Финансовый 3 3 3 5 2 4" xfId="8550" xr:uid="{00000000-0005-0000-0000-0000F5360000}"/>
    <cellStyle name="Финансовый 3 3 3 5 2 4 2" xfId="11641" xr:uid="{00000000-0005-0000-0000-0000F6360000}"/>
    <cellStyle name="Финансовый 3 3 3 5 2 4 2 2" xfId="28730" xr:uid="{4C9F4888-9E4C-4A82-8341-47BFE6A416C5}"/>
    <cellStyle name="Финансовый 3 3 3 5 2 4 3" xfId="14873" xr:uid="{00000000-0005-0000-0000-0000F7360000}"/>
    <cellStyle name="Финансовый 3 3 3 5 2 4 3 2" xfId="31886" xr:uid="{9ECCBBFC-135F-4CF6-AFBA-BAE712584C5B}"/>
    <cellStyle name="Финансовый 3 3 3 5 2 4 4" xfId="17954" xr:uid="{00000000-0005-0000-0000-0000F8360000}"/>
    <cellStyle name="Финансовый 3 3 3 5 2 4 4 2" xfId="34967" xr:uid="{0599CB2A-D2C3-427A-963A-26FA264DE2FF}"/>
    <cellStyle name="Финансовый 3 3 3 5 2 4 5" xfId="25657" xr:uid="{D604DC15-03B0-4FB0-8C56-8BDC9F35D6B9}"/>
    <cellStyle name="Финансовый 3 3 3 5 2 5" xfId="11634" xr:uid="{00000000-0005-0000-0000-0000F9360000}"/>
    <cellStyle name="Финансовый 3 3 3 5 2 5 2" xfId="28723" xr:uid="{361D1E2D-C8C2-4F27-9AA0-1D318C76E376}"/>
    <cellStyle name="Финансовый 3 3 3 5 2 6" xfId="14866" xr:uid="{00000000-0005-0000-0000-0000FA360000}"/>
    <cellStyle name="Финансовый 3 3 3 5 2 6 2" xfId="31879" xr:uid="{C33231EE-F187-4140-A840-B3E35B3362B5}"/>
    <cellStyle name="Финансовый 3 3 3 5 2 7" xfId="17947" xr:uid="{00000000-0005-0000-0000-0000FB360000}"/>
    <cellStyle name="Финансовый 3 3 3 5 2 7 2" xfId="34960" xr:uid="{3A9A9B5C-FC73-4E24-9648-184F01D3EE72}"/>
    <cellStyle name="Финансовый 3 3 3 5 2 8" xfId="25650" xr:uid="{F2B54416-C53C-43E7-ACED-F0DE111C32FF}"/>
    <cellStyle name="Финансовый 3 3 3 5 3" xfId="8551" xr:uid="{00000000-0005-0000-0000-0000FC360000}"/>
    <cellStyle name="Финансовый 3 3 3 5 3 2" xfId="8552" xr:uid="{00000000-0005-0000-0000-0000FD360000}"/>
    <cellStyle name="Финансовый 3 3 3 5 3 2 2" xfId="8553" xr:uid="{00000000-0005-0000-0000-0000FE360000}"/>
    <cellStyle name="Финансовый 3 3 3 5 3 2 2 2" xfId="11644" xr:uid="{00000000-0005-0000-0000-0000FF360000}"/>
    <cellStyle name="Финансовый 3 3 3 5 3 2 2 2 2" xfId="28733" xr:uid="{0D4143ED-8D80-4EBA-9DA4-1141AC445706}"/>
    <cellStyle name="Финансовый 3 3 3 5 3 2 2 3" xfId="14876" xr:uid="{00000000-0005-0000-0000-000000370000}"/>
    <cellStyle name="Финансовый 3 3 3 5 3 2 2 3 2" xfId="31889" xr:uid="{2C9F856D-73AE-4CD2-94A9-8A713B16B761}"/>
    <cellStyle name="Финансовый 3 3 3 5 3 2 2 4" xfId="17957" xr:uid="{00000000-0005-0000-0000-000001370000}"/>
    <cellStyle name="Финансовый 3 3 3 5 3 2 2 4 2" xfId="34970" xr:uid="{B9FFD95E-2415-4257-A19F-8431366C3101}"/>
    <cellStyle name="Финансовый 3 3 3 5 3 2 2 5" xfId="25660" xr:uid="{AFFB5E81-692A-4FA2-BCF4-0D80F788A335}"/>
    <cellStyle name="Финансовый 3 3 3 5 3 2 3" xfId="11643" xr:uid="{00000000-0005-0000-0000-000002370000}"/>
    <cellStyle name="Финансовый 3 3 3 5 3 2 3 2" xfId="28732" xr:uid="{A1D2CB8C-C892-4CE3-AAEC-F9B2A2A585BE}"/>
    <cellStyle name="Финансовый 3 3 3 5 3 2 4" xfId="14875" xr:uid="{00000000-0005-0000-0000-000003370000}"/>
    <cellStyle name="Финансовый 3 3 3 5 3 2 4 2" xfId="31888" xr:uid="{F085454C-2092-416C-8CEB-8FA420910DA8}"/>
    <cellStyle name="Финансовый 3 3 3 5 3 2 5" xfId="17956" xr:uid="{00000000-0005-0000-0000-000004370000}"/>
    <cellStyle name="Финансовый 3 3 3 5 3 2 5 2" xfId="34969" xr:uid="{80CBF6AD-0FD9-410A-95B1-279AC4D04C8C}"/>
    <cellStyle name="Финансовый 3 3 3 5 3 2 6" xfId="25659" xr:uid="{6901C5CA-E319-495A-8EBA-2B524868B542}"/>
    <cellStyle name="Финансовый 3 3 3 5 3 3" xfId="8554" xr:uid="{00000000-0005-0000-0000-000005370000}"/>
    <cellStyle name="Финансовый 3 3 3 5 3 3 2" xfId="11645" xr:uid="{00000000-0005-0000-0000-000006370000}"/>
    <cellStyle name="Финансовый 3 3 3 5 3 3 2 2" xfId="28734" xr:uid="{FDFF38E1-2479-4524-A934-01D44DCF4C25}"/>
    <cellStyle name="Финансовый 3 3 3 5 3 3 3" xfId="14877" xr:uid="{00000000-0005-0000-0000-000007370000}"/>
    <cellStyle name="Финансовый 3 3 3 5 3 3 3 2" xfId="31890" xr:uid="{C56C1123-3B98-43F5-92AF-7B68D3A6B0B1}"/>
    <cellStyle name="Финансовый 3 3 3 5 3 3 4" xfId="17958" xr:uid="{00000000-0005-0000-0000-000008370000}"/>
    <cellStyle name="Финансовый 3 3 3 5 3 3 4 2" xfId="34971" xr:uid="{B132479B-3E86-4F62-AFA2-F3E3F2668946}"/>
    <cellStyle name="Финансовый 3 3 3 5 3 3 5" xfId="25661" xr:uid="{9484845D-A57E-47F1-83CD-253A2698A788}"/>
    <cellStyle name="Финансовый 3 3 3 5 3 4" xfId="11642" xr:uid="{00000000-0005-0000-0000-000009370000}"/>
    <cellStyle name="Финансовый 3 3 3 5 3 4 2" xfId="28731" xr:uid="{20F0BBCA-4AA4-4A66-A9EB-7B73EEF8BA6E}"/>
    <cellStyle name="Финансовый 3 3 3 5 3 5" xfId="14874" xr:uid="{00000000-0005-0000-0000-00000A370000}"/>
    <cellStyle name="Финансовый 3 3 3 5 3 5 2" xfId="31887" xr:uid="{8D80E622-215A-4597-AD47-50BD91A66ED6}"/>
    <cellStyle name="Финансовый 3 3 3 5 3 6" xfId="17955" xr:uid="{00000000-0005-0000-0000-00000B370000}"/>
    <cellStyle name="Финансовый 3 3 3 5 3 6 2" xfId="34968" xr:uid="{29E7C888-FE01-4E2B-9677-466BD85C89E4}"/>
    <cellStyle name="Финансовый 3 3 3 5 3 7" xfId="25658" xr:uid="{C9CE9855-623C-4FD3-87F7-F14F93B90EA0}"/>
    <cellStyle name="Финансовый 3 3 3 5 4" xfId="8555" xr:uid="{00000000-0005-0000-0000-00000C370000}"/>
    <cellStyle name="Финансовый 3 3 3 5 4 2" xfId="8556" xr:uid="{00000000-0005-0000-0000-00000D370000}"/>
    <cellStyle name="Финансовый 3 3 3 5 4 2 2" xfId="11647" xr:uid="{00000000-0005-0000-0000-00000E370000}"/>
    <cellStyle name="Финансовый 3 3 3 5 4 2 2 2" xfId="28736" xr:uid="{134E2BCA-319E-48EB-9436-68B7EBC5C5CC}"/>
    <cellStyle name="Финансовый 3 3 3 5 4 2 3" xfId="14879" xr:uid="{00000000-0005-0000-0000-00000F370000}"/>
    <cellStyle name="Финансовый 3 3 3 5 4 2 3 2" xfId="31892" xr:uid="{C28760FC-6F16-4B35-802A-69C013456CF5}"/>
    <cellStyle name="Финансовый 3 3 3 5 4 2 4" xfId="17960" xr:uid="{00000000-0005-0000-0000-000010370000}"/>
    <cellStyle name="Финансовый 3 3 3 5 4 2 4 2" xfId="34973" xr:uid="{E459855D-0853-4F2A-A200-D9FAE7EE1F33}"/>
    <cellStyle name="Финансовый 3 3 3 5 4 2 5" xfId="25663" xr:uid="{69A2F4F0-B74D-43EB-9857-886E82C6B184}"/>
    <cellStyle name="Финансовый 3 3 3 5 4 3" xfId="11646" xr:uid="{00000000-0005-0000-0000-000011370000}"/>
    <cellStyle name="Финансовый 3 3 3 5 4 3 2" xfId="28735" xr:uid="{635417B4-4AD2-4236-8758-A76F0D26BA44}"/>
    <cellStyle name="Финансовый 3 3 3 5 4 4" xfId="14878" xr:uid="{00000000-0005-0000-0000-000012370000}"/>
    <cellStyle name="Финансовый 3 3 3 5 4 4 2" xfId="31891" xr:uid="{E10039F2-C7AA-470F-912E-928EE7A71C45}"/>
    <cellStyle name="Финансовый 3 3 3 5 4 5" xfId="17959" xr:uid="{00000000-0005-0000-0000-000013370000}"/>
    <cellStyle name="Финансовый 3 3 3 5 4 5 2" xfId="34972" xr:uid="{01B579BF-D287-4941-9F48-E8E5097C8293}"/>
    <cellStyle name="Финансовый 3 3 3 5 4 6" xfId="25662" xr:uid="{F416950C-83FB-4E9B-83D9-C63DC42DB8EC}"/>
    <cellStyle name="Финансовый 3 3 3 5 5" xfId="8557" xr:uid="{00000000-0005-0000-0000-000014370000}"/>
    <cellStyle name="Финансовый 3 3 3 5 5 2" xfId="11648" xr:uid="{00000000-0005-0000-0000-000015370000}"/>
    <cellStyle name="Финансовый 3 3 3 5 5 2 2" xfId="28737" xr:uid="{32336F49-EFA3-4262-913C-9124CDB1625A}"/>
    <cellStyle name="Финансовый 3 3 3 5 5 3" xfId="14880" xr:uid="{00000000-0005-0000-0000-000016370000}"/>
    <cellStyle name="Финансовый 3 3 3 5 5 3 2" xfId="31893" xr:uid="{4A92BDC1-CFA3-4EFC-A8D7-4FB4D73F4FFF}"/>
    <cellStyle name="Финансовый 3 3 3 5 5 4" xfId="17961" xr:uid="{00000000-0005-0000-0000-000017370000}"/>
    <cellStyle name="Финансовый 3 3 3 5 5 4 2" xfId="34974" xr:uid="{80ADC13B-44C1-49E2-9E85-DADD344CC1C0}"/>
    <cellStyle name="Финансовый 3 3 3 5 5 5" xfId="25664" xr:uid="{F27D0529-BCC0-4AE8-8E28-DBDC74E980E5}"/>
    <cellStyle name="Финансовый 3 3 3 5 6" xfId="11633" xr:uid="{00000000-0005-0000-0000-000018370000}"/>
    <cellStyle name="Финансовый 3 3 3 5 6 2" xfId="28722" xr:uid="{43F8BB9E-B772-44A9-AB13-781085D90617}"/>
    <cellStyle name="Финансовый 3 3 3 5 7" xfId="14865" xr:uid="{00000000-0005-0000-0000-000019370000}"/>
    <cellStyle name="Финансовый 3 3 3 5 7 2" xfId="31878" xr:uid="{286DE50C-ADC9-499E-ABF9-C3C4F1A7293D}"/>
    <cellStyle name="Финансовый 3 3 3 5 8" xfId="17946" xr:uid="{00000000-0005-0000-0000-00001A370000}"/>
    <cellStyle name="Финансовый 3 3 3 5 8 2" xfId="34959" xr:uid="{B1991CFD-642F-4D61-BBC6-8B742B0666EF}"/>
    <cellStyle name="Финансовый 3 3 3 5 9" xfId="25649" xr:uid="{6891C304-F376-4886-9F35-367DCDDE30DC}"/>
    <cellStyle name="Финансовый 3 3 3 6" xfId="8558" xr:uid="{00000000-0005-0000-0000-00001B370000}"/>
    <cellStyle name="Финансовый 3 3 3 6 2" xfId="8559" xr:uid="{00000000-0005-0000-0000-00001C370000}"/>
    <cellStyle name="Финансовый 3 3 3 6 2 2" xfId="8560" xr:uid="{00000000-0005-0000-0000-00001D370000}"/>
    <cellStyle name="Финансовый 3 3 3 6 2 2 2" xfId="8561" xr:uid="{00000000-0005-0000-0000-00001E370000}"/>
    <cellStyle name="Финансовый 3 3 3 6 2 2 2 2" xfId="11652" xr:uid="{00000000-0005-0000-0000-00001F370000}"/>
    <cellStyle name="Финансовый 3 3 3 6 2 2 2 2 2" xfId="28741" xr:uid="{8640FB26-CD46-476B-932F-60A084188C20}"/>
    <cellStyle name="Финансовый 3 3 3 6 2 2 2 3" xfId="14884" xr:uid="{00000000-0005-0000-0000-000020370000}"/>
    <cellStyle name="Финансовый 3 3 3 6 2 2 2 3 2" xfId="31897" xr:uid="{D8101C2E-BC41-4982-868B-0B8996932C4C}"/>
    <cellStyle name="Финансовый 3 3 3 6 2 2 2 4" xfId="17965" xr:uid="{00000000-0005-0000-0000-000021370000}"/>
    <cellStyle name="Финансовый 3 3 3 6 2 2 2 4 2" xfId="34978" xr:uid="{E53914FD-1AC7-4A0A-9E42-E140E79CA33A}"/>
    <cellStyle name="Финансовый 3 3 3 6 2 2 2 5" xfId="25668" xr:uid="{7CD4555E-8FC2-467D-A499-D893EFB3F80C}"/>
    <cellStyle name="Финансовый 3 3 3 6 2 2 3" xfId="11651" xr:uid="{00000000-0005-0000-0000-000022370000}"/>
    <cellStyle name="Финансовый 3 3 3 6 2 2 3 2" xfId="28740" xr:uid="{B6805DC8-5921-48F6-99B8-6022D0AF381B}"/>
    <cellStyle name="Финансовый 3 3 3 6 2 2 4" xfId="14883" xr:uid="{00000000-0005-0000-0000-000023370000}"/>
    <cellStyle name="Финансовый 3 3 3 6 2 2 4 2" xfId="31896" xr:uid="{41B9031E-1457-49EC-89A6-6578605543B5}"/>
    <cellStyle name="Финансовый 3 3 3 6 2 2 5" xfId="17964" xr:uid="{00000000-0005-0000-0000-000024370000}"/>
    <cellStyle name="Финансовый 3 3 3 6 2 2 5 2" xfId="34977" xr:uid="{117E3B1D-8F17-4A19-8A96-1112F17F8F6D}"/>
    <cellStyle name="Финансовый 3 3 3 6 2 2 6" xfId="25667" xr:uid="{609467B6-A2F5-4760-82F8-53B60206FEF1}"/>
    <cellStyle name="Финансовый 3 3 3 6 2 3" xfId="8562" xr:uid="{00000000-0005-0000-0000-000025370000}"/>
    <cellStyle name="Финансовый 3 3 3 6 2 3 2" xfId="11653" xr:uid="{00000000-0005-0000-0000-000026370000}"/>
    <cellStyle name="Финансовый 3 3 3 6 2 3 2 2" xfId="28742" xr:uid="{7288003B-0EE9-4993-BB5D-3988EA9AC308}"/>
    <cellStyle name="Финансовый 3 3 3 6 2 3 3" xfId="14885" xr:uid="{00000000-0005-0000-0000-000027370000}"/>
    <cellStyle name="Финансовый 3 3 3 6 2 3 3 2" xfId="31898" xr:uid="{A1BEE098-EB1C-45A0-8431-3C088F78B85C}"/>
    <cellStyle name="Финансовый 3 3 3 6 2 3 4" xfId="17966" xr:uid="{00000000-0005-0000-0000-000028370000}"/>
    <cellStyle name="Финансовый 3 3 3 6 2 3 4 2" xfId="34979" xr:uid="{03B4584F-DDD9-4EBC-AAE5-77817E8C4988}"/>
    <cellStyle name="Финансовый 3 3 3 6 2 3 5" xfId="25669" xr:uid="{E76EF63B-2109-47A8-8F12-106B791F28CF}"/>
    <cellStyle name="Финансовый 3 3 3 6 2 4" xfId="11650" xr:uid="{00000000-0005-0000-0000-000029370000}"/>
    <cellStyle name="Финансовый 3 3 3 6 2 4 2" xfId="28739" xr:uid="{03634963-8420-4AB4-8B27-6F44C220EE96}"/>
    <cellStyle name="Финансовый 3 3 3 6 2 5" xfId="14882" xr:uid="{00000000-0005-0000-0000-00002A370000}"/>
    <cellStyle name="Финансовый 3 3 3 6 2 5 2" xfId="31895" xr:uid="{2E0810A3-CD37-4079-B2E2-A29104ED8FD1}"/>
    <cellStyle name="Финансовый 3 3 3 6 2 6" xfId="17963" xr:uid="{00000000-0005-0000-0000-00002B370000}"/>
    <cellStyle name="Финансовый 3 3 3 6 2 6 2" xfId="34976" xr:uid="{1DE9074A-5910-442A-B469-61EE16F4EF50}"/>
    <cellStyle name="Финансовый 3 3 3 6 2 7" xfId="25666" xr:uid="{30006DB3-C883-46E4-99FF-D4A86F4D193A}"/>
    <cellStyle name="Финансовый 3 3 3 6 3" xfId="8563" xr:uid="{00000000-0005-0000-0000-00002C370000}"/>
    <cellStyle name="Финансовый 3 3 3 6 3 2" xfId="8564" xr:uid="{00000000-0005-0000-0000-00002D370000}"/>
    <cellStyle name="Финансовый 3 3 3 6 3 2 2" xfId="11655" xr:uid="{00000000-0005-0000-0000-00002E370000}"/>
    <cellStyle name="Финансовый 3 3 3 6 3 2 2 2" xfId="28744" xr:uid="{1DF5F653-7EEC-47CA-B2E7-DF543AF8D652}"/>
    <cellStyle name="Финансовый 3 3 3 6 3 2 3" xfId="14887" xr:uid="{00000000-0005-0000-0000-00002F370000}"/>
    <cellStyle name="Финансовый 3 3 3 6 3 2 3 2" xfId="31900" xr:uid="{16BE730F-CA17-444D-B26C-51C3000CB42B}"/>
    <cellStyle name="Финансовый 3 3 3 6 3 2 4" xfId="17968" xr:uid="{00000000-0005-0000-0000-000030370000}"/>
    <cellStyle name="Финансовый 3 3 3 6 3 2 4 2" xfId="34981" xr:uid="{283E6A0A-7A81-476D-93C1-4F085D5E9E77}"/>
    <cellStyle name="Финансовый 3 3 3 6 3 2 5" xfId="25671" xr:uid="{AFF38494-6231-488D-B52A-0ED7036862DA}"/>
    <cellStyle name="Финансовый 3 3 3 6 3 3" xfId="11654" xr:uid="{00000000-0005-0000-0000-000031370000}"/>
    <cellStyle name="Финансовый 3 3 3 6 3 3 2" xfId="28743" xr:uid="{E84622B9-1740-4CA2-950E-00B464416C1C}"/>
    <cellStyle name="Финансовый 3 3 3 6 3 4" xfId="14886" xr:uid="{00000000-0005-0000-0000-000032370000}"/>
    <cellStyle name="Финансовый 3 3 3 6 3 4 2" xfId="31899" xr:uid="{CDFD2A4F-59C8-4E41-BCA7-26CABE865BB1}"/>
    <cellStyle name="Финансовый 3 3 3 6 3 5" xfId="17967" xr:uid="{00000000-0005-0000-0000-000033370000}"/>
    <cellStyle name="Финансовый 3 3 3 6 3 5 2" xfId="34980" xr:uid="{F8ACA2A4-AF6C-49F9-B1BE-EA380015CB37}"/>
    <cellStyle name="Финансовый 3 3 3 6 3 6" xfId="25670" xr:uid="{3D7C93CE-EB1F-4D3C-B810-C89A38D9382C}"/>
    <cellStyle name="Финансовый 3 3 3 6 4" xfId="8565" xr:uid="{00000000-0005-0000-0000-000034370000}"/>
    <cellStyle name="Финансовый 3 3 3 6 4 2" xfId="11656" xr:uid="{00000000-0005-0000-0000-000035370000}"/>
    <cellStyle name="Финансовый 3 3 3 6 4 2 2" xfId="28745" xr:uid="{23C25906-274B-427E-8EFA-A9A52D92EC04}"/>
    <cellStyle name="Финансовый 3 3 3 6 4 3" xfId="14888" xr:uid="{00000000-0005-0000-0000-000036370000}"/>
    <cellStyle name="Финансовый 3 3 3 6 4 3 2" xfId="31901" xr:uid="{C5B3ADD1-8189-4753-8DDA-2B2AE0A52C5B}"/>
    <cellStyle name="Финансовый 3 3 3 6 4 4" xfId="17969" xr:uid="{00000000-0005-0000-0000-000037370000}"/>
    <cellStyle name="Финансовый 3 3 3 6 4 4 2" xfId="34982" xr:uid="{8A9D5FF7-F549-4927-9E9B-EBA72848C34A}"/>
    <cellStyle name="Финансовый 3 3 3 6 4 5" xfId="25672" xr:uid="{E015DE82-F521-4489-9ED7-0B55C92FF1D3}"/>
    <cellStyle name="Финансовый 3 3 3 6 5" xfId="11649" xr:uid="{00000000-0005-0000-0000-000038370000}"/>
    <cellStyle name="Финансовый 3 3 3 6 5 2" xfId="28738" xr:uid="{8C137336-A9D5-419F-9249-E64A2709DEE9}"/>
    <cellStyle name="Финансовый 3 3 3 6 6" xfId="14881" xr:uid="{00000000-0005-0000-0000-000039370000}"/>
    <cellStyle name="Финансовый 3 3 3 6 6 2" xfId="31894" xr:uid="{5F865BBE-557F-4A8C-AE2C-451C53092138}"/>
    <cellStyle name="Финансовый 3 3 3 6 7" xfId="17962" xr:uid="{00000000-0005-0000-0000-00003A370000}"/>
    <cellStyle name="Финансовый 3 3 3 6 7 2" xfId="34975" xr:uid="{8E915576-EA8E-4BAF-903E-9BDF03ADFAD8}"/>
    <cellStyle name="Финансовый 3 3 3 6 8" xfId="25665" xr:uid="{A2C48185-06C5-4C2C-9198-6399E4DD0D66}"/>
    <cellStyle name="Финансовый 3 3 3 7" xfId="8566" xr:uid="{00000000-0005-0000-0000-00003B370000}"/>
    <cellStyle name="Финансовый 3 3 3 7 2" xfId="8567" xr:uid="{00000000-0005-0000-0000-00003C370000}"/>
    <cellStyle name="Финансовый 3 3 3 7 2 2" xfId="8568" xr:uid="{00000000-0005-0000-0000-00003D370000}"/>
    <cellStyle name="Финансовый 3 3 3 7 2 2 2" xfId="11659" xr:uid="{00000000-0005-0000-0000-00003E370000}"/>
    <cellStyle name="Финансовый 3 3 3 7 2 2 2 2" xfId="28748" xr:uid="{92DDF792-6B14-4FE4-BD05-0E49E19FBCC8}"/>
    <cellStyle name="Финансовый 3 3 3 7 2 2 3" xfId="14891" xr:uid="{00000000-0005-0000-0000-00003F370000}"/>
    <cellStyle name="Финансовый 3 3 3 7 2 2 3 2" xfId="31904" xr:uid="{A9B988F3-629D-497E-A615-E034C2C5D661}"/>
    <cellStyle name="Финансовый 3 3 3 7 2 2 4" xfId="17972" xr:uid="{00000000-0005-0000-0000-000040370000}"/>
    <cellStyle name="Финансовый 3 3 3 7 2 2 4 2" xfId="34985" xr:uid="{059B1DE4-824B-470B-837D-31E6A5078926}"/>
    <cellStyle name="Финансовый 3 3 3 7 2 2 5" xfId="25675" xr:uid="{C893FF2A-2E09-46EC-A694-72C6F9A77752}"/>
    <cellStyle name="Финансовый 3 3 3 7 2 3" xfId="11658" xr:uid="{00000000-0005-0000-0000-000041370000}"/>
    <cellStyle name="Финансовый 3 3 3 7 2 3 2" xfId="28747" xr:uid="{14EA9ABA-5AFC-4BAF-98C0-BA23100949E6}"/>
    <cellStyle name="Финансовый 3 3 3 7 2 4" xfId="14890" xr:uid="{00000000-0005-0000-0000-000042370000}"/>
    <cellStyle name="Финансовый 3 3 3 7 2 4 2" xfId="31903" xr:uid="{0CB2C33F-343A-4600-8496-F800DF41FC21}"/>
    <cellStyle name="Финансовый 3 3 3 7 2 5" xfId="17971" xr:uid="{00000000-0005-0000-0000-000043370000}"/>
    <cellStyle name="Финансовый 3 3 3 7 2 5 2" xfId="34984" xr:uid="{DB20B91D-7A50-4106-A353-E3E55C3AE255}"/>
    <cellStyle name="Финансовый 3 3 3 7 2 6" xfId="25674" xr:uid="{0726E20A-BF47-4D91-A8ED-6AA6E0F194D0}"/>
    <cellStyle name="Финансовый 3 3 3 7 3" xfId="8569" xr:uid="{00000000-0005-0000-0000-000044370000}"/>
    <cellStyle name="Финансовый 3 3 3 7 3 2" xfId="11660" xr:uid="{00000000-0005-0000-0000-000045370000}"/>
    <cellStyle name="Финансовый 3 3 3 7 3 2 2" xfId="28749" xr:uid="{E9DEED3D-FF7B-4667-8EA4-B8ED61F7AD25}"/>
    <cellStyle name="Финансовый 3 3 3 7 3 3" xfId="14892" xr:uid="{00000000-0005-0000-0000-000046370000}"/>
    <cellStyle name="Финансовый 3 3 3 7 3 3 2" xfId="31905" xr:uid="{3DD84F16-841F-4E8F-B890-76D4984073EC}"/>
    <cellStyle name="Финансовый 3 3 3 7 3 4" xfId="17973" xr:uid="{00000000-0005-0000-0000-000047370000}"/>
    <cellStyle name="Финансовый 3 3 3 7 3 4 2" xfId="34986" xr:uid="{0B882599-B7FC-4F7F-8931-766D8B3A67E9}"/>
    <cellStyle name="Финансовый 3 3 3 7 3 5" xfId="25676" xr:uid="{2FE82CE9-B54D-41A3-BCD6-AD24EDDB2EB6}"/>
    <cellStyle name="Финансовый 3 3 3 7 4" xfId="11657" xr:uid="{00000000-0005-0000-0000-000048370000}"/>
    <cellStyle name="Финансовый 3 3 3 7 4 2" xfId="28746" xr:uid="{4D4BD2AA-631A-4088-9254-FB4606F74DA3}"/>
    <cellStyle name="Финансовый 3 3 3 7 5" xfId="14889" xr:uid="{00000000-0005-0000-0000-000049370000}"/>
    <cellStyle name="Финансовый 3 3 3 7 5 2" xfId="31902" xr:uid="{9C5B35EF-91D3-4D32-902D-3C74C9BBD9CA}"/>
    <cellStyle name="Финансовый 3 3 3 7 6" xfId="17970" xr:uid="{00000000-0005-0000-0000-00004A370000}"/>
    <cellStyle name="Финансовый 3 3 3 7 6 2" xfId="34983" xr:uid="{98039332-BB5D-4597-93E9-FADD995B2933}"/>
    <cellStyle name="Финансовый 3 3 3 7 7" xfId="25673" xr:uid="{9FFCC4F8-6F6B-40CD-AEBD-C2C68D9FF3E4}"/>
    <cellStyle name="Финансовый 3 3 3 8" xfId="8570" xr:uid="{00000000-0005-0000-0000-00004B370000}"/>
    <cellStyle name="Финансовый 3 3 3 8 2" xfId="8571" xr:uid="{00000000-0005-0000-0000-00004C370000}"/>
    <cellStyle name="Финансовый 3 3 3 8 2 2" xfId="11662" xr:uid="{00000000-0005-0000-0000-00004D370000}"/>
    <cellStyle name="Финансовый 3 3 3 8 2 2 2" xfId="28751" xr:uid="{EB24950C-BCC6-472A-BC7D-F431503E9BAD}"/>
    <cellStyle name="Финансовый 3 3 3 8 2 3" xfId="14894" xr:uid="{00000000-0005-0000-0000-00004E370000}"/>
    <cellStyle name="Финансовый 3 3 3 8 2 3 2" xfId="31907" xr:uid="{1E5D5C82-276E-4F35-9A21-0935B2513A57}"/>
    <cellStyle name="Финансовый 3 3 3 8 2 4" xfId="17975" xr:uid="{00000000-0005-0000-0000-00004F370000}"/>
    <cellStyle name="Финансовый 3 3 3 8 2 4 2" xfId="34988" xr:uid="{7553A827-6841-477C-928A-3F09642BF7D0}"/>
    <cellStyle name="Финансовый 3 3 3 8 2 5" xfId="25678" xr:uid="{6C1D8459-890D-4CA8-8458-3BAF6F8CCEE5}"/>
    <cellStyle name="Финансовый 3 3 3 8 3" xfId="11661" xr:uid="{00000000-0005-0000-0000-000050370000}"/>
    <cellStyle name="Финансовый 3 3 3 8 3 2" xfId="28750" xr:uid="{0D3BDB05-B436-4054-9B81-84906313914A}"/>
    <cellStyle name="Финансовый 3 3 3 8 4" xfId="14893" xr:uid="{00000000-0005-0000-0000-000051370000}"/>
    <cellStyle name="Финансовый 3 3 3 8 4 2" xfId="31906" xr:uid="{743FE6E5-1C6A-43A9-A441-7171021C1CEA}"/>
    <cellStyle name="Финансовый 3 3 3 8 5" xfId="17974" xr:uid="{00000000-0005-0000-0000-000052370000}"/>
    <cellStyle name="Финансовый 3 3 3 8 5 2" xfId="34987" xr:uid="{CADDD557-973F-4619-BC32-DBBE03DF511D}"/>
    <cellStyle name="Финансовый 3 3 3 8 6" xfId="25677" xr:uid="{6C4546A4-8957-4533-AA07-ABA79DB3FE86}"/>
    <cellStyle name="Финансовый 3 3 3 9" xfId="8572" xr:uid="{00000000-0005-0000-0000-000053370000}"/>
    <cellStyle name="Финансовый 3 3 3 9 2" xfId="11663" xr:uid="{00000000-0005-0000-0000-000054370000}"/>
    <cellStyle name="Финансовый 3 3 3 9 2 2" xfId="28752" xr:uid="{67A74F09-7610-4323-A247-DC05BCCE16D3}"/>
    <cellStyle name="Финансовый 3 3 3 9 3" xfId="14895" xr:uid="{00000000-0005-0000-0000-000055370000}"/>
    <cellStyle name="Финансовый 3 3 3 9 3 2" xfId="31908" xr:uid="{C29E5987-AC0A-4C42-AB60-2E1AC460F8AE}"/>
    <cellStyle name="Финансовый 3 3 3 9 4" xfId="17976" xr:uid="{00000000-0005-0000-0000-000056370000}"/>
    <cellStyle name="Финансовый 3 3 3 9 4 2" xfId="34989" xr:uid="{A51CC37E-0776-41F3-87BB-EE2B1438C9DA}"/>
    <cellStyle name="Финансовый 3 3 3 9 5" xfId="25679" xr:uid="{2BF6DFA0-B993-4198-9FE4-EB0460276EA6}"/>
    <cellStyle name="Финансовый 3 3 4" xfId="8573" xr:uid="{00000000-0005-0000-0000-000057370000}"/>
    <cellStyle name="Финансовый 3 3 4 10" xfId="14896" xr:uid="{00000000-0005-0000-0000-000058370000}"/>
    <cellStyle name="Финансовый 3 3 4 10 2" xfId="31909" xr:uid="{0CEBE4AF-A66B-43A8-8A49-50C772FB4708}"/>
    <cellStyle name="Финансовый 3 3 4 11" xfId="17977" xr:uid="{00000000-0005-0000-0000-000059370000}"/>
    <cellStyle name="Финансовый 3 3 4 11 2" xfId="34990" xr:uid="{D389D2F9-F6B9-4F2D-9311-DB2035398CCC}"/>
    <cellStyle name="Финансовый 3 3 4 12" xfId="25680" xr:uid="{81E15AC7-46FF-4645-9E51-9FE7C2FB4E06}"/>
    <cellStyle name="Финансовый 3 3 4 2" xfId="8574" xr:uid="{00000000-0005-0000-0000-00005A370000}"/>
    <cellStyle name="Финансовый 3 3 4 2 10" xfId="17978" xr:uid="{00000000-0005-0000-0000-00005B370000}"/>
    <cellStyle name="Финансовый 3 3 4 2 10 2" xfId="34991" xr:uid="{8B2132E1-6625-4F17-843F-7EDB970DD232}"/>
    <cellStyle name="Финансовый 3 3 4 2 11" xfId="25681" xr:uid="{5EE8F3B3-BFA4-4470-91C7-5902440BE88E}"/>
    <cellStyle name="Финансовый 3 3 4 2 2" xfId="8575" xr:uid="{00000000-0005-0000-0000-00005C370000}"/>
    <cellStyle name="Финансовый 3 3 4 2 2 10" xfId="25682" xr:uid="{A494BE2E-0009-40E9-BD6A-24D796E1399B}"/>
    <cellStyle name="Финансовый 3 3 4 2 2 2" xfId="8576" xr:uid="{00000000-0005-0000-0000-00005D370000}"/>
    <cellStyle name="Финансовый 3 3 4 2 2 2 2" xfId="8577" xr:uid="{00000000-0005-0000-0000-00005E370000}"/>
    <cellStyle name="Финансовый 3 3 4 2 2 2 2 2" xfId="8578" xr:uid="{00000000-0005-0000-0000-00005F370000}"/>
    <cellStyle name="Финансовый 3 3 4 2 2 2 2 2 2" xfId="8579" xr:uid="{00000000-0005-0000-0000-000060370000}"/>
    <cellStyle name="Финансовый 3 3 4 2 2 2 2 2 2 2" xfId="8580" xr:uid="{00000000-0005-0000-0000-000061370000}"/>
    <cellStyle name="Финансовый 3 3 4 2 2 2 2 2 2 2 2" xfId="11671" xr:uid="{00000000-0005-0000-0000-000062370000}"/>
    <cellStyle name="Финансовый 3 3 4 2 2 2 2 2 2 2 2 2" xfId="28760" xr:uid="{E2C8A869-08FE-4610-A0F1-4B5888B22B36}"/>
    <cellStyle name="Финансовый 3 3 4 2 2 2 2 2 2 2 3" xfId="14903" xr:uid="{00000000-0005-0000-0000-000063370000}"/>
    <cellStyle name="Финансовый 3 3 4 2 2 2 2 2 2 2 3 2" xfId="31916" xr:uid="{0BB7EB31-FE31-414C-B2D7-E8ED2A3258F5}"/>
    <cellStyle name="Финансовый 3 3 4 2 2 2 2 2 2 2 4" xfId="17984" xr:uid="{00000000-0005-0000-0000-000064370000}"/>
    <cellStyle name="Финансовый 3 3 4 2 2 2 2 2 2 2 4 2" xfId="34997" xr:uid="{0E40DFBA-55EB-4F20-B28A-75AA8294AE9A}"/>
    <cellStyle name="Финансовый 3 3 4 2 2 2 2 2 2 2 5" xfId="25687" xr:uid="{4E4067A3-2D84-4C05-A9A2-9A39776B9FC7}"/>
    <cellStyle name="Финансовый 3 3 4 2 2 2 2 2 2 3" xfId="11670" xr:uid="{00000000-0005-0000-0000-000065370000}"/>
    <cellStyle name="Финансовый 3 3 4 2 2 2 2 2 2 3 2" xfId="28759" xr:uid="{52F2DE12-BB82-4EF0-97CB-8D2B6C4EB38F}"/>
    <cellStyle name="Финансовый 3 3 4 2 2 2 2 2 2 4" xfId="14902" xr:uid="{00000000-0005-0000-0000-000066370000}"/>
    <cellStyle name="Финансовый 3 3 4 2 2 2 2 2 2 4 2" xfId="31915" xr:uid="{BCC664C7-3D6B-41B0-AE43-61B1E5A107ED}"/>
    <cellStyle name="Финансовый 3 3 4 2 2 2 2 2 2 5" xfId="17983" xr:uid="{00000000-0005-0000-0000-000067370000}"/>
    <cellStyle name="Финансовый 3 3 4 2 2 2 2 2 2 5 2" xfId="34996" xr:uid="{6DBCB3A6-1529-40BE-A698-5D27400D7B63}"/>
    <cellStyle name="Финансовый 3 3 4 2 2 2 2 2 2 6" xfId="25686" xr:uid="{13BC2397-70BB-4583-809A-6224F75C29EF}"/>
    <cellStyle name="Финансовый 3 3 4 2 2 2 2 2 3" xfId="8581" xr:uid="{00000000-0005-0000-0000-000068370000}"/>
    <cellStyle name="Финансовый 3 3 4 2 2 2 2 2 3 2" xfId="11672" xr:uid="{00000000-0005-0000-0000-000069370000}"/>
    <cellStyle name="Финансовый 3 3 4 2 2 2 2 2 3 2 2" xfId="28761" xr:uid="{6722B7AA-A97B-46D6-82BA-5D699A3E10A5}"/>
    <cellStyle name="Финансовый 3 3 4 2 2 2 2 2 3 3" xfId="14904" xr:uid="{00000000-0005-0000-0000-00006A370000}"/>
    <cellStyle name="Финансовый 3 3 4 2 2 2 2 2 3 3 2" xfId="31917" xr:uid="{0AFDF24A-73AA-41AB-8B67-7C04620B7B60}"/>
    <cellStyle name="Финансовый 3 3 4 2 2 2 2 2 3 4" xfId="17985" xr:uid="{00000000-0005-0000-0000-00006B370000}"/>
    <cellStyle name="Финансовый 3 3 4 2 2 2 2 2 3 4 2" xfId="34998" xr:uid="{8CDD6FC8-D258-4A72-9055-097FE7689B79}"/>
    <cellStyle name="Финансовый 3 3 4 2 2 2 2 2 3 5" xfId="25688" xr:uid="{33979205-B065-478A-B190-86B984A47359}"/>
    <cellStyle name="Финансовый 3 3 4 2 2 2 2 2 4" xfId="11669" xr:uid="{00000000-0005-0000-0000-00006C370000}"/>
    <cellStyle name="Финансовый 3 3 4 2 2 2 2 2 4 2" xfId="28758" xr:uid="{5A2F7106-0EEA-4937-912C-18F4B79ECB57}"/>
    <cellStyle name="Финансовый 3 3 4 2 2 2 2 2 5" xfId="14901" xr:uid="{00000000-0005-0000-0000-00006D370000}"/>
    <cellStyle name="Финансовый 3 3 4 2 2 2 2 2 5 2" xfId="31914" xr:uid="{7DBDFB9A-2725-4B6A-85C9-6D426E9B8379}"/>
    <cellStyle name="Финансовый 3 3 4 2 2 2 2 2 6" xfId="17982" xr:uid="{00000000-0005-0000-0000-00006E370000}"/>
    <cellStyle name="Финансовый 3 3 4 2 2 2 2 2 6 2" xfId="34995" xr:uid="{0E7BA41A-7E5E-408D-9081-E3500B872FAA}"/>
    <cellStyle name="Финансовый 3 3 4 2 2 2 2 2 7" xfId="25685" xr:uid="{4616921F-4C62-4417-9B71-6B63A6452B9A}"/>
    <cellStyle name="Финансовый 3 3 4 2 2 2 2 3" xfId="8582" xr:uid="{00000000-0005-0000-0000-00006F370000}"/>
    <cellStyle name="Финансовый 3 3 4 2 2 2 2 3 2" xfId="8583" xr:uid="{00000000-0005-0000-0000-000070370000}"/>
    <cellStyle name="Финансовый 3 3 4 2 2 2 2 3 2 2" xfId="11674" xr:uid="{00000000-0005-0000-0000-000071370000}"/>
    <cellStyle name="Финансовый 3 3 4 2 2 2 2 3 2 2 2" xfId="28763" xr:uid="{6F1CE274-DDFC-457B-A759-7250C898CD73}"/>
    <cellStyle name="Финансовый 3 3 4 2 2 2 2 3 2 3" xfId="14906" xr:uid="{00000000-0005-0000-0000-000072370000}"/>
    <cellStyle name="Финансовый 3 3 4 2 2 2 2 3 2 3 2" xfId="31919" xr:uid="{5E7B2947-FE57-4076-BE41-7FAB6912CDDF}"/>
    <cellStyle name="Финансовый 3 3 4 2 2 2 2 3 2 4" xfId="17987" xr:uid="{00000000-0005-0000-0000-000073370000}"/>
    <cellStyle name="Финансовый 3 3 4 2 2 2 2 3 2 4 2" xfId="35000" xr:uid="{C6FDD510-8AB5-43CB-A8EF-C07112D19F24}"/>
    <cellStyle name="Финансовый 3 3 4 2 2 2 2 3 2 5" xfId="25690" xr:uid="{2198514A-E19E-427C-93B7-24A1DB099988}"/>
    <cellStyle name="Финансовый 3 3 4 2 2 2 2 3 3" xfId="11673" xr:uid="{00000000-0005-0000-0000-000074370000}"/>
    <cellStyle name="Финансовый 3 3 4 2 2 2 2 3 3 2" xfId="28762" xr:uid="{2DB4627B-2291-46A4-AC33-03A66659F3C9}"/>
    <cellStyle name="Финансовый 3 3 4 2 2 2 2 3 4" xfId="14905" xr:uid="{00000000-0005-0000-0000-000075370000}"/>
    <cellStyle name="Финансовый 3 3 4 2 2 2 2 3 4 2" xfId="31918" xr:uid="{68AD5E1A-7B3F-426B-B784-DCDBAD55E636}"/>
    <cellStyle name="Финансовый 3 3 4 2 2 2 2 3 5" xfId="17986" xr:uid="{00000000-0005-0000-0000-000076370000}"/>
    <cellStyle name="Финансовый 3 3 4 2 2 2 2 3 5 2" xfId="34999" xr:uid="{4FA6DB32-4153-4174-B14D-ED7EB070CDBC}"/>
    <cellStyle name="Финансовый 3 3 4 2 2 2 2 3 6" xfId="25689" xr:uid="{8B914CA6-25DA-4D8B-B94B-CADF4791E1CB}"/>
    <cellStyle name="Финансовый 3 3 4 2 2 2 2 4" xfId="8584" xr:uid="{00000000-0005-0000-0000-000077370000}"/>
    <cellStyle name="Финансовый 3 3 4 2 2 2 2 4 2" xfId="11675" xr:uid="{00000000-0005-0000-0000-000078370000}"/>
    <cellStyle name="Финансовый 3 3 4 2 2 2 2 4 2 2" xfId="28764" xr:uid="{8DE0E214-9BFC-4D55-99E4-1C13BE32F8A1}"/>
    <cellStyle name="Финансовый 3 3 4 2 2 2 2 4 3" xfId="14907" xr:uid="{00000000-0005-0000-0000-000079370000}"/>
    <cellStyle name="Финансовый 3 3 4 2 2 2 2 4 3 2" xfId="31920" xr:uid="{855B713F-43A4-48DB-AFD9-9935A37C1211}"/>
    <cellStyle name="Финансовый 3 3 4 2 2 2 2 4 4" xfId="17988" xr:uid="{00000000-0005-0000-0000-00007A370000}"/>
    <cellStyle name="Финансовый 3 3 4 2 2 2 2 4 4 2" xfId="35001" xr:uid="{123320C8-69A3-4280-A6FE-BC315BF20288}"/>
    <cellStyle name="Финансовый 3 3 4 2 2 2 2 4 5" xfId="25691" xr:uid="{7279AB59-5831-462F-B839-0E2F1755EF09}"/>
    <cellStyle name="Финансовый 3 3 4 2 2 2 2 5" xfId="11668" xr:uid="{00000000-0005-0000-0000-00007B370000}"/>
    <cellStyle name="Финансовый 3 3 4 2 2 2 2 5 2" xfId="28757" xr:uid="{C9C7655B-FAB3-4844-A1F3-EAFCB257A57F}"/>
    <cellStyle name="Финансовый 3 3 4 2 2 2 2 6" xfId="14900" xr:uid="{00000000-0005-0000-0000-00007C370000}"/>
    <cellStyle name="Финансовый 3 3 4 2 2 2 2 6 2" xfId="31913" xr:uid="{4CCFB06A-4AF6-4DB4-8780-81B472B88111}"/>
    <cellStyle name="Финансовый 3 3 4 2 2 2 2 7" xfId="17981" xr:uid="{00000000-0005-0000-0000-00007D370000}"/>
    <cellStyle name="Финансовый 3 3 4 2 2 2 2 7 2" xfId="34994" xr:uid="{4F3A3578-D64E-47FC-919F-1B9E5DAE90D4}"/>
    <cellStyle name="Финансовый 3 3 4 2 2 2 2 8" xfId="25684" xr:uid="{11A0D5C6-F2DD-4BC6-A46C-B5F5CB8ADC5D}"/>
    <cellStyle name="Финансовый 3 3 4 2 2 2 3" xfId="8585" xr:uid="{00000000-0005-0000-0000-00007E370000}"/>
    <cellStyle name="Финансовый 3 3 4 2 2 2 3 2" xfId="8586" xr:uid="{00000000-0005-0000-0000-00007F370000}"/>
    <cellStyle name="Финансовый 3 3 4 2 2 2 3 2 2" xfId="8587" xr:uid="{00000000-0005-0000-0000-000080370000}"/>
    <cellStyle name="Финансовый 3 3 4 2 2 2 3 2 2 2" xfId="11678" xr:uid="{00000000-0005-0000-0000-000081370000}"/>
    <cellStyle name="Финансовый 3 3 4 2 2 2 3 2 2 2 2" xfId="28767" xr:uid="{A1243FAA-9290-4B0E-B8FA-DB1F233E7159}"/>
    <cellStyle name="Финансовый 3 3 4 2 2 2 3 2 2 3" xfId="14910" xr:uid="{00000000-0005-0000-0000-000082370000}"/>
    <cellStyle name="Финансовый 3 3 4 2 2 2 3 2 2 3 2" xfId="31923" xr:uid="{BDA08C51-76E3-4725-B627-05098CF54E58}"/>
    <cellStyle name="Финансовый 3 3 4 2 2 2 3 2 2 4" xfId="17991" xr:uid="{00000000-0005-0000-0000-000083370000}"/>
    <cellStyle name="Финансовый 3 3 4 2 2 2 3 2 2 4 2" xfId="35004" xr:uid="{463FEAC2-C484-45BF-8CB0-C2EBC6BA23A8}"/>
    <cellStyle name="Финансовый 3 3 4 2 2 2 3 2 2 5" xfId="25694" xr:uid="{FC80CA81-A59E-45FF-B2ED-21E0F10E8112}"/>
    <cellStyle name="Финансовый 3 3 4 2 2 2 3 2 3" xfId="11677" xr:uid="{00000000-0005-0000-0000-000084370000}"/>
    <cellStyle name="Финансовый 3 3 4 2 2 2 3 2 3 2" xfId="28766" xr:uid="{D6B95CE8-1329-4B63-B27F-CEED984A6663}"/>
    <cellStyle name="Финансовый 3 3 4 2 2 2 3 2 4" xfId="14909" xr:uid="{00000000-0005-0000-0000-000085370000}"/>
    <cellStyle name="Финансовый 3 3 4 2 2 2 3 2 4 2" xfId="31922" xr:uid="{B1962D97-B995-4036-A889-3A71C02D60D8}"/>
    <cellStyle name="Финансовый 3 3 4 2 2 2 3 2 5" xfId="17990" xr:uid="{00000000-0005-0000-0000-000086370000}"/>
    <cellStyle name="Финансовый 3 3 4 2 2 2 3 2 5 2" xfId="35003" xr:uid="{8B45D200-0BBB-4D01-B2B5-ED5161A0F66E}"/>
    <cellStyle name="Финансовый 3 3 4 2 2 2 3 2 6" xfId="25693" xr:uid="{9EFF31C5-9C66-41ED-B3C7-3E78E7BF11EA}"/>
    <cellStyle name="Финансовый 3 3 4 2 2 2 3 3" xfId="8588" xr:uid="{00000000-0005-0000-0000-000087370000}"/>
    <cellStyle name="Финансовый 3 3 4 2 2 2 3 3 2" xfId="11679" xr:uid="{00000000-0005-0000-0000-000088370000}"/>
    <cellStyle name="Финансовый 3 3 4 2 2 2 3 3 2 2" xfId="28768" xr:uid="{4C519F06-187F-4B0A-94FE-A572CAA1E643}"/>
    <cellStyle name="Финансовый 3 3 4 2 2 2 3 3 3" xfId="14911" xr:uid="{00000000-0005-0000-0000-000089370000}"/>
    <cellStyle name="Финансовый 3 3 4 2 2 2 3 3 3 2" xfId="31924" xr:uid="{D8A25C2F-8CB7-45E6-92A6-6E35A4869C84}"/>
    <cellStyle name="Финансовый 3 3 4 2 2 2 3 3 4" xfId="17992" xr:uid="{00000000-0005-0000-0000-00008A370000}"/>
    <cellStyle name="Финансовый 3 3 4 2 2 2 3 3 4 2" xfId="35005" xr:uid="{93C31778-FBF2-45DE-9AA7-7D2CCD4D20C1}"/>
    <cellStyle name="Финансовый 3 3 4 2 2 2 3 3 5" xfId="25695" xr:uid="{BE196E4E-B4CD-44D6-A7C1-926C61BE37F8}"/>
    <cellStyle name="Финансовый 3 3 4 2 2 2 3 4" xfId="11676" xr:uid="{00000000-0005-0000-0000-00008B370000}"/>
    <cellStyle name="Финансовый 3 3 4 2 2 2 3 4 2" xfId="28765" xr:uid="{7744ABF3-0783-48AB-A112-84B5AD308835}"/>
    <cellStyle name="Финансовый 3 3 4 2 2 2 3 5" xfId="14908" xr:uid="{00000000-0005-0000-0000-00008C370000}"/>
    <cellStyle name="Финансовый 3 3 4 2 2 2 3 5 2" xfId="31921" xr:uid="{C629178A-A15C-4CC6-84C7-2B35CE803241}"/>
    <cellStyle name="Финансовый 3 3 4 2 2 2 3 6" xfId="17989" xr:uid="{00000000-0005-0000-0000-00008D370000}"/>
    <cellStyle name="Финансовый 3 3 4 2 2 2 3 6 2" xfId="35002" xr:uid="{0F9C29E4-D490-4DE4-AD5D-865607569A79}"/>
    <cellStyle name="Финансовый 3 3 4 2 2 2 3 7" xfId="25692" xr:uid="{9A9EE408-2D45-44CA-9C3E-873CDEA1A554}"/>
    <cellStyle name="Финансовый 3 3 4 2 2 2 4" xfId="8589" xr:uid="{00000000-0005-0000-0000-00008E370000}"/>
    <cellStyle name="Финансовый 3 3 4 2 2 2 4 2" xfId="8590" xr:uid="{00000000-0005-0000-0000-00008F370000}"/>
    <cellStyle name="Финансовый 3 3 4 2 2 2 4 2 2" xfId="11681" xr:uid="{00000000-0005-0000-0000-000090370000}"/>
    <cellStyle name="Финансовый 3 3 4 2 2 2 4 2 2 2" xfId="28770" xr:uid="{7906437B-7076-4DA8-8404-7969F1A34F39}"/>
    <cellStyle name="Финансовый 3 3 4 2 2 2 4 2 3" xfId="14913" xr:uid="{00000000-0005-0000-0000-000091370000}"/>
    <cellStyle name="Финансовый 3 3 4 2 2 2 4 2 3 2" xfId="31926" xr:uid="{750D5402-6AE7-41A3-A5A3-77ED401F1DCB}"/>
    <cellStyle name="Финансовый 3 3 4 2 2 2 4 2 4" xfId="17994" xr:uid="{00000000-0005-0000-0000-000092370000}"/>
    <cellStyle name="Финансовый 3 3 4 2 2 2 4 2 4 2" xfId="35007" xr:uid="{81516D43-4389-4EC1-A9F7-8CD0958C1AC8}"/>
    <cellStyle name="Финансовый 3 3 4 2 2 2 4 2 5" xfId="25697" xr:uid="{D9CA69BE-8035-4019-8114-956A2AFA7013}"/>
    <cellStyle name="Финансовый 3 3 4 2 2 2 4 3" xfId="11680" xr:uid="{00000000-0005-0000-0000-000093370000}"/>
    <cellStyle name="Финансовый 3 3 4 2 2 2 4 3 2" xfId="28769" xr:uid="{CAB08EEE-7F0E-47C4-B8AF-1367C324C6B5}"/>
    <cellStyle name="Финансовый 3 3 4 2 2 2 4 4" xfId="14912" xr:uid="{00000000-0005-0000-0000-000094370000}"/>
    <cellStyle name="Финансовый 3 3 4 2 2 2 4 4 2" xfId="31925" xr:uid="{74C46269-30B8-4B2A-9B8A-8F894B455EB0}"/>
    <cellStyle name="Финансовый 3 3 4 2 2 2 4 5" xfId="17993" xr:uid="{00000000-0005-0000-0000-000095370000}"/>
    <cellStyle name="Финансовый 3 3 4 2 2 2 4 5 2" xfId="35006" xr:uid="{962BDAF2-F80C-4D33-B593-2DD7EE2CA271}"/>
    <cellStyle name="Финансовый 3 3 4 2 2 2 4 6" xfId="25696" xr:uid="{B42AC1F2-64B5-4B4E-85D5-CEBCDAFBE7AE}"/>
    <cellStyle name="Финансовый 3 3 4 2 2 2 5" xfId="8591" xr:uid="{00000000-0005-0000-0000-000096370000}"/>
    <cellStyle name="Финансовый 3 3 4 2 2 2 5 2" xfId="11682" xr:uid="{00000000-0005-0000-0000-000097370000}"/>
    <cellStyle name="Финансовый 3 3 4 2 2 2 5 2 2" xfId="28771" xr:uid="{7EEF570D-6C1D-4EFF-B97D-C6883B684597}"/>
    <cellStyle name="Финансовый 3 3 4 2 2 2 5 3" xfId="14914" xr:uid="{00000000-0005-0000-0000-000098370000}"/>
    <cellStyle name="Финансовый 3 3 4 2 2 2 5 3 2" xfId="31927" xr:uid="{CB7A097B-B655-4998-8182-574A342EFB6C}"/>
    <cellStyle name="Финансовый 3 3 4 2 2 2 5 4" xfId="17995" xr:uid="{00000000-0005-0000-0000-000099370000}"/>
    <cellStyle name="Финансовый 3 3 4 2 2 2 5 4 2" xfId="35008" xr:uid="{7BE0340D-A8BC-4EBC-9A30-115721E98462}"/>
    <cellStyle name="Финансовый 3 3 4 2 2 2 5 5" xfId="25698" xr:uid="{BC2410AA-2791-4A26-AB66-8728B3D438BC}"/>
    <cellStyle name="Финансовый 3 3 4 2 2 2 6" xfId="11667" xr:uid="{00000000-0005-0000-0000-00009A370000}"/>
    <cellStyle name="Финансовый 3 3 4 2 2 2 6 2" xfId="28756" xr:uid="{F229BF1C-F20C-47D7-B0DE-48959AAC941D}"/>
    <cellStyle name="Финансовый 3 3 4 2 2 2 7" xfId="14899" xr:uid="{00000000-0005-0000-0000-00009B370000}"/>
    <cellStyle name="Финансовый 3 3 4 2 2 2 7 2" xfId="31912" xr:uid="{FBB1919A-F7FC-4A3E-934F-5DC804A6A9D0}"/>
    <cellStyle name="Финансовый 3 3 4 2 2 2 8" xfId="17980" xr:uid="{00000000-0005-0000-0000-00009C370000}"/>
    <cellStyle name="Финансовый 3 3 4 2 2 2 8 2" xfId="34993" xr:uid="{15F4AC29-6DA0-444C-8529-7DB7DF564237}"/>
    <cellStyle name="Финансовый 3 3 4 2 2 2 9" xfId="25683" xr:uid="{07E65E55-2BBE-4066-B605-B45FCDA45976}"/>
    <cellStyle name="Финансовый 3 3 4 2 2 3" xfId="8592" xr:uid="{00000000-0005-0000-0000-00009D370000}"/>
    <cellStyle name="Финансовый 3 3 4 2 2 3 2" xfId="8593" xr:uid="{00000000-0005-0000-0000-00009E370000}"/>
    <cellStyle name="Финансовый 3 3 4 2 2 3 2 2" xfId="8594" xr:uid="{00000000-0005-0000-0000-00009F370000}"/>
    <cellStyle name="Финансовый 3 3 4 2 2 3 2 2 2" xfId="8595" xr:uid="{00000000-0005-0000-0000-0000A0370000}"/>
    <cellStyle name="Финансовый 3 3 4 2 2 3 2 2 2 2" xfId="11686" xr:uid="{00000000-0005-0000-0000-0000A1370000}"/>
    <cellStyle name="Финансовый 3 3 4 2 2 3 2 2 2 2 2" xfId="28775" xr:uid="{83B943D7-8B1A-4B11-9B80-22C219EF7318}"/>
    <cellStyle name="Финансовый 3 3 4 2 2 3 2 2 2 3" xfId="14918" xr:uid="{00000000-0005-0000-0000-0000A2370000}"/>
    <cellStyle name="Финансовый 3 3 4 2 2 3 2 2 2 3 2" xfId="31931" xr:uid="{8EA4ABEB-1B59-4D50-A0EF-5277D24D1A06}"/>
    <cellStyle name="Финансовый 3 3 4 2 2 3 2 2 2 4" xfId="17999" xr:uid="{00000000-0005-0000-0000-0000A3370000}"/>
    <cellStyle name="Финансовый 3 3 4 2 2 3 2 2 2 4 2" xfId="35012" xr:uid="{4D274CAA-762D-40E5-94E2-CBB0CCDBC753}"/>
    <cellStyle name="Финансовый 3 3 4 2 2 3 2 2 2 5" xfId="25702" xr:uid="{63474D60-E5D6-4CC3-9EF4-CE98FE1DB457}"/>
    <cellStyle name="Финансовый 3 3 4 2 2 3 2 2 3" xfId="11685" xr:uid="{00000000-0005-0000-0000-0000A4370000}"/>
    <cellStyle name="Финансовый 3 3 4 2 2 3 2 2 3 2" xfId="28774" xr:uid="{C789B439-CD09-40D7-9D85-1AD94433C44C}"/>
    <cellStyle name="Финансовый 3 3 4 2 2 3 2 2 4" xfId="14917" xr:uid="{00000000-0005-0000-0000-0000A5370000}"/>
    <cellStyle name="Финансовый 3 3 4 2 2 3 2 2 4 2" xfId="31930" xr:uid="{A4BDE1DA-63CD-47A4-AA91-E423D176CA75}"/>
    <cellStyle name="Финансовый 3 3 4 2 2 3 2 2 5" xfId="17998" xr:uid="{00000000-0005-0000-0000-0000A6370000}"/>
    <cellStyle name="Финансовый 3 3 4 2 2 3 2 2 5 2" xfId="35011" xr:uid="{10C555BA-3F90-45A6-A8E6-24961BE8DF98}"/>
    <cellStyle name="Финансовый 3 3 4 2 2 3 2 2 6" xfId="25701" xr:uid="{A594A3E4-B591-43B6-A2B9-2739A7809E8D}"/>
    <cellStyle name="Финансовый 3 3 4 2 2 3 2 3" xfId="8596" xr:uid="{00000000-0005-0000-0000-0000A7370000}"/>
    <cellStyle name="Финансовый 3 3 4 2 2 3 2 3 2" xfId="11687" xr:uid="{00000000-0005-0000-0000-0000A8370000}"/>
    <cellStyle name="Финансовый 3 3 4 2 2 3 2 3 2 2" xfId="28776" xr:uid="{5C79AA3E-E065-4E82-BF7F-9531C9F13839}"/>
    <cellStyle name="Финансовый 3 3 4 2 2 3 2 3 3" xfId="14919" xr:uid="{00000000-0005-0000-0000-0000A9370000}"/>
    <cellStyle name="Финансовый 3 3 4 2 2 3 2 3 3 2" xfId="31932" xr:uid="{ABC56502-D89E-4F14-BBA5-98AB34A2BC7B}"/>
    <cellStyle name="Финансовый 3 3 4 2 2 3 2 3 4" xfId="18000" xr:uid="{00000000-0005-0000-0000-0000AA370000}"/>
    <cellStyle name="Финансовый 3 3 4 2 2 3 2 3 4 2" xfId="35013" xr:uid="{9C9E3E61-CF58-424C-9AF8-D7AFF447B104}"/>
    <cellStyle name="Финансовый 3 3 4 2 2 3 2 3 5" xfId="25703" xr:uid="{550DB8B7-C2FB-45A5-A852-3722E73B5E48}"/>
    <cellStyle name="Финансовый 3 3 4 2 2 3 2 4" xfId="11684" xr:uid="{00000000-0005-0000-0000-0000AB370000}"/>
    <cellStyle name="Финансовый 3 3 4 2 2 3 2 4 2" xfId="28773" xr:uid="{01FCFEAB-801E-4D6C-81BB-6C429502A162}"/>
    <cellStyle name="Финансовый 3 3 4 2 2 3 2 5" xfId="14916" xr:uid="{00000000-0005-0000-0000-0000AC370000}"/>
    <cellStyle name="Финансовый 3 3 4 2 2 3 2 5 2" xfId="31929" xr:uid="{55F2DD1B-464B-4889-84E1-0B201252E60E}"/>
    <cellStyle name="Финансовый 3 3 4 2 2 3 2 6" xfId="17997" xr:uid="{00000000-0005-0000-0000-0000AD370000}"/>
    <cellStyle name="Финансовый 3 3 4 2 2 3 2 6 2" xfId="35010" xr:uid="{BF4DD296-3B80-4809-99CE-E78B9A5A5B5E}"/>
    <cellStyle name="Финансовый 3 3 4 2 2 3 2 7" xfId="25700" xr:uid="{8FA34595-03BF-4D98-AADC-6504D043ACE1}"/>
    <cellStyle name="Финансовый 3 3 4 2 2 3 3" xfId="8597" xr:uid="{00000000-0005-0000-0000-0000AE370000}"/>
    <cellStyle name="Финансовый 3 3 4 2 2 3 3 2" xfId="8598" xr:uid="{00000000-0005-0000-0000-0000AF370000}"/>
    <cellStyle name="Финансовый 3 3 4 2 2 3 3 2 2" xfId="11689" xr:uid="{00000000-0005-0000-0000-0000B0370000}"/>
    <cellStyle name="Финансовый 3 3 4 2 2 3 3 2 2 2" xfId="28778" xr:uid="{9D30D15B-5DD0-491F-A661-B0C6407F661B}"/>
    <cellStyle name="Финансовый 3 3 4 2 2 3 3 2 3" xfId="14921" xr:uid="{00000000-0005-0000-0000-0000B1370000}"/>
    <cellStyle name="Финансовый 3 3 4 2 2 3 3 2 3 2" xfId="31934" xr:uid="{770EBC2F-3BC8-4E71-A432-9D53512074F1}"/>
    <cellStyle name="Финансовый 3 3 4 2 2 3 3 2 4" xfId="18002" xr:uid="{00000000-0005-0000-0000-0000B2370000}"/>
    <cellStyle name="Финансовый 3 3 4 2 2 3 3 2 4 2" xfId="35015" xr:uid="{CE94B92B-363E-46A2-9882-85A3B39F2942}"/>
    <cellStyle name="Финансовый 3 3 4 2 2 3 3 2 5" xfId="25705" xr:uid="{728DE162-F944-4AD4-A175-520F7B95E9C3}"/>
    <cellStyle name="Финансовый 3 3 4 2 2 3 3 3" xfId="11688" xr:uid="{00000000-0005-0000-0000-0000B3370000}"/>
    <cellStyle name="Финансовый 3 3 4 2 2 3 3 3 2" xfId="28777" xr:uid="{9195673A-9A3C-4B8B-BBA4-061C49B0B682}"/>
    <cellStyle name="Финансовый 3 3 4 2 2 3 3 4" xfId="14920" xr:uid="{00000000-0005-0000-0000-0000B4370000}"/>
    <cellStyle name="Финансовый 3 3 4 2 2 3 3 4 2" xfId="31933" xr:uid="{03B95538-610C-449B-8ACD-B868879CE79B}"/>
    <cellStyle name="Финансовый 3 3 4 2 2 3 3 5" xfId="18001" xr:uid="{00000000-0005-0000-0000-0000B5370000}"/>
    <cellStyle name="Финансовый 3 3 4 2 2 3 3 5 2" xfId="35014" xr:uid="{C118EE8D-C5D3-4817-A029-A3729CB7A9CA}"/>
    <cellStyle name="Финансовый 3 3 4 2 2 3 3 6" xfId="25704" xr:uid="{5BFCD78C-6DAF-443B-84D9-1BD37D078D46}"/>
    <cellStyle name="Финансовый 3 3 4 2 2 3 4" xfId="8599" xr:uid="{00000000-0005-0000-0000-0000B6370000}"/>
    <cellStyle name="Финансовый 3 3 4 2 2 3 4 2" xfId="11690" xr:uid="{00000000-0005-0000-0000-0000B7370000}"/>
    <cellStyle name="Финансовый 3 3 4 2 2 3 4 2 2" xfId="28779" xr:uid="{058A57AD-DD73-4CA8-85C3-394A9CA2EEE8}"/>
    <cellStyle name="Финансовый 3 3 4 2 2 3 4 3" xfId="14922" xr:uid="{00000000-0005-0000-0000-0000B8370000}"/>
    <cellStyle name="Финансовый 3 3 4 2 2 3 4 3 2" xfId="31935" xr:uid="{F6B644E8-DB00-4038-B146-F4CDE1BCE5B1}"/>
    <cellStyle name="Финансовый 3 3 4 2 2 3 4 4" xfId="18003" xr:uid="{00000000-0005-0000-0000-0000B9370000}"/>
    <cellStyle name="Финансовый 3 3 4 2 2 3 4 4 2" xfId="35016" xr:uid="{7104BA92-C45D-4446-B05B-C82028100A2C}"/>
    <cellStyle name="Финансовый 3 3 4 2 2 3 4 5" xfId="25706" xr:uid="{84A956A6-2D59-4516-8AF6-D9DCBB50BBB1}"/>
    <cellStyle name="Финансовый 3 3 4 2 2 3 5" xfId="11683" xr:uid="{00000000-0005-0000-0000-0000BA370000}"/>
    <cellStyle name="Финансовый 3 3 4 2 2 3 5 2" xfId="28772" xr:uid="{E06F82A3-5249-4C08-95E4-A8EEFAEBDCD3}"/>
    <cellStyle name="Финансовый 3 3 4 2 2 3 6" xfId="14915" xr:uid="{00000000-0005-0000-0000-0000BB370000}"/>
    <cellStyle name="Финансовый 3 3 4 2 2 3 6 2" xfId="31928" xr:uid="{1CEDB6F7-8A8D-4914-ABAA-CEA1E6B8B5F9}"/>
    <cellStyle name="Финансовый 3 3 4 2 2 3 7" xfId="17996" xr:uid="{00000000-0005-0000-0000-0000BC370000}"/>
    <cellStyle name="Финансовый 3 3 4 2 2 3 7 2" xfId="35009" xr:uid="{0D397AB1-6BA6-4455-AABD-6FCE2E629044}"/>
    <cellStyle name="Финансовый 3 3 4 2 2 3 8" xfId="25699" xr:uid="{4EBF8C99-354F-40F3-AB53-F6D10BE1707C}"/>
    <cellStyle name="Финансовый 3 3 4 2 2 4" xfId="8600" xr:uid="{00000000-0005-0000-0000-0000BD370000}"/>
    <cellStyle name="Финансовый 3 3 4 2 2 4 2" xfId="8601" xr:uid="{00000000-0005-0000-0000-0000BE370000}"/>
    <cellStyle name="Финансовый 3 3 4 2 2 4 2 2" xfId="8602" xr:uid="{00000000-0005-0000-0000-0000BF370000}"/>
    <cellStyle name="Финансовый 3 3 4 2 2 4 2 2 2" xfId="11693" xr:uid="{00000000-0005-0000-0000-0000C0370000}"/>
    <cellStyle name="Финансовый 3 3 4 2 2 4 2 2 2 2" xfId="28782" xr:uid="{03E5F4D1-F429-4DA3-9E29-B2F729D5477A}"/>
    <cellStyle name="Финансовый 3 3 4 2 2 4 2 2 3" xfId="14925" xr:uid="{00000000-0005-0000-0000-0000C1370000}"/>
    <cellStyle name="Финансовый 3 3 4 2 2 4 2 2 3 2" xfId="31938" xr:uid="{54097BD4-3211-4359-9392-642C73B5F623}"/>
    <cellStyle name="Финансовый 3 3 4 2 2 4 2 2 4" xfId="18006" xr:uid="{00000000-0005-0000-0000-0000C2370000}"/>
    <cellStyle name="Финансовый 3 3 4 2 2 4 2 2 4 2" xfId="35019" xr:uid="{E5007676-E514-4D82-A25D-0C503673AC77}"/>
    <cellStyle name="Финансовый 3 3 4 2 2 4 2 2 5" xfId="25709" xr:uid="{C2EE7157-B93B-4038-9BBC-93A3B23EBE73}"/>
    <cellStyle name="Финансовый 3 3 4 2 2 4 2 3" xfId="11692" xr:uid="{00000000-0005-0000-0000-0000C3370000}"/>
    <cellStyle name="Финансовый 3 3 4 2 2 4 2 3 2" xfId="28781" xr:uid="{828BB16F-2DDE-4E77-BD37-493ED0959DA7}"/>
    <cellStyle name="Финансовый 3 3 4 2 2 4 2 4" xfId="14924" xr:uid="{00000000-0005-0000-0000-0000C4370000}"/>
    <cellStyle name="Финансовый 3 3 4 2 2 4 2 4 2" xfId="31937" xr:uid="{75B3C2C2-2CEF-4079-BE1D-3C9A3B7FC14A}"/>
    <cellStyle name="Финансовый 3 3 4 2 2 4 2 5" xfId="18005" xr:uid="{00000000-0005-0000-0000-0000C5370000}"/>
    <cellStyle name="Финансовый 3 3 4 2 2 4 2 5 2" xfId="35018" xr:uid="{32AB4714-A064-41AB-89BF-E688F91679D9}"/>
    <cellStyle name="Финансовый 3 3 4 2 2 4 2 6" xfId="25708" xr:uid="{9A377C9B-38B4-4E8F-87C8-70248D7EB06B}"/>
    <cellStyle name="Финансовый 3 3 4 2 2 4 3" xfId="8603" xr:uid="{00000000-0005-0000-0000-0000C6370000}"/>
    <cellStyle name="Финансовый 3 3 4 2 2 4 3 2" xfId="11694" xr:uid="{00000000-0005-0000-0000-0000C7370000}"/>
    <cellStyle name="Финансовый 3 3 4 2 2 4 3 2 2" xfId="28783" xr:uid="{F8090C88-709E-4A02-AA42-59A8942A5242}"/>
    <cellStyle name="Финансовый 3 3 4 2 2 4 3 3" xfId="14926" xr:uid="{00000000-0005-0000-0000-0000C8370000}"/>
    <cellStyle name="Финансовый 3 3 4 2 2 4 3 3 2" xfId="31939" xr:uid="{1B3B23B2-EC5C-4523-ADD2-1C52115D1F70}"/>
    <cellStyle name="Финансовый 3 3 4 2 2 4 3 4" xfId="18007" xr:uid="{00000000-0005-0000-0000-0000C9370000}"/>
    <cellStyle name="Финансовый 3 3 4 2 2 4 3 4 2" xfId="35020" xr:uid="{3641EC66-5677-4CA2-80B2-4CEF90245967}"/>
    <cellStyle name="Финансовый 3 3 4 2 2 4 3 5" xfId="25710" xr:uid="{7741C772-D6A2-4212-96A3-93060519B2A4}"/>
    <cellStyle name="Финансовый 3 3 4 2 2 4 4" xfId="11691" xr:uid="{00000000-0005-0000-0000-0000CA370000}"/>
    <cellStyle name="Финансовый 3 3 4 2 2 4 4 2" xfId="28780" xr:uid="{EA874783-1801-41A7-9E12-706085B099DA}"/>
    <cellStyle name="Финансовый 3 3 4 2 2 4 5" xfId="14923" xr:uid="{00000000-0005-0000-0000-0000CB370000}"/>
    <cellStyle name="Финансовый 3 3 4 2 2 4 5 2" xfId="31936" xr:uid="{36E0051D-001D-424E-85E7-3649EB1D0B12}"/>
    <cellStyle name="Финансовый 3 3 4 2 2 4 6" xfId="18004" xr:uid="{00000000-0005-0000-0000-0000CC370000}"/>
    <cellStyle name="Финансовый 3 3 4 2 2 4 6 2" xfId="35017" xr:uid="{F30DA75F-CC3B-47A1-BB44-8D7CEA7467DC}"/>
    <cellStyle name="Финансовый 3 3 4 2 2 4 7" xfId="25707" xr:uid="{F307FCB1-8BD0-4826-8598-94E4724B6B60}"/>
    <cellStyle name="Финансовый 3 3 4 2 2 5" xfId="8604" xr:uid="{00000000-0005-0000-0000-0000CD370000}"/>
    <cellStyle name="Финансовый 3 3 4 2 2 5 2" xfId="8605" xr:uid="{00000000-0005-0000-0000-0000CE370000}"/>
    <cellStyle name="Финансовый 3 3 4 2 2 5 2 2" xfId="11696" xr:uid="{00000000-0005-0000-0000-0000CF370000}"/>
    <cellStyle name="Финансовый 3 3 4 2 2 5 2 2 2" xfId="28785" xr:uid="{F49434FA-032F-469A-8144-D66E727EEDFA}"/>
    <cellStyle name="Финансовый 3 3 4 2 2 5 2 3" xfId="14928" xr:uid="{00000000-0005-0000-0000-0000D0370000}"/>
    <cellStyle name="Финансовый 3 3 4 2 2 5 2 3 2" xfId="31941" xr:uid="{679E4B40-29F8-403A-8192-AB4365B3EA73}"/>
    <cellStyle name="Финансовый 3 3 4 2 2 5 2 4" xfId="18009" xr:uid="{00000000-0005-0000-0000-0000D1370000}"/>
    <cellStyle name="Финансовый 3 3 4 2 2 5 2 4 2" xfId="35022" xr:uid="{A0324154-2F64-4866-ADBC-7E9F7D06CF57}"/>
    <cellStyle name="Финансовый 3 3 4 2 2 5 2 5" xfId="25712" xr:uid="{598C5466-76F7-4FEC-A512-F3D9EE1643FD}"/>
    <cellStyle name="Финансовый 3 3 4 2 2 5 3" xfId="11695" xr:uid="{00000000-0005-0000-0000-0000D2370000}"/>
    <cellStyle name="Финансовый 3 3 4 2 2 5 3 2" xfId="28784" xr:uid="{3A7F8A3E-9F77-42CE-9660-CE4FCBABECA4}"/>
    <cellStyle name="Финансовый 3 3 4 2 2 5 4" xfId="14927" xr:uid="{00000000-0005-0000-0000-0000D3370000}"/>
    <cellStyle name="Финансовый 3 3 4 2 2 5 4 2" xfId="31940" xr:uid="{8F033BD5-030A-48FF-9653-F454719AD07B}"/>
    <cellStyle name="Финансовый 3 3 4 2 2 5 5" xfId="18008" xr:uid="{00000000-0005-0000-0000-0000D4370000}"/>
    <cellStyle name="Финансовый 3 3 4 2 2 5 5 2" xfId="35021" xr:uid="{E6DEB01D-5789-4520-88BA-AED10DFE5827}"/>
    <cellStyle name="Финансовый 3 3 4 2 2 5 6" xfId="25711" xr:uid="{570B8675-CB4A-4153-BA07-C17D137194C0}"/>
    <cellStyle name="Финансовый 3 3 4 2 2 6" xfId="8606" xr:uid="{00000000-0005-0000-0000-0000D5370000}"/>
    <cellStyle name="Финансовый 3 3 4 2 2 6 2" xfId="11697" xr:uid="{00000000-0005-0000-0000-0000D6370000}"/>
    <cellStyle name="Финансовый 3 3 4 2 2 6 2 2" xfId="28786" xr:uid="{83537867-FA2C-4F97-9A71-AC2D690DD3DD}"/>
    <cellStyle name="Финансовый 3 3 4 2 2 6 3" xfId="14929" xr:uid="{00000000-0005-0000-0000-0000D7370000}"/>
    <cellStyle name="Финансовый 3 3 4 2 2 6 3 2" xfId="31942" xr:uid="{66C772D5-34D9-4D2F-B6A1-0F77FA7CD6ED}"/>
    <cellStyle name="Финансовый 3 3 4 2 2 6 4" xfId="18010" xr:uid="{00000000-0005-0000-0000-0000D8370000}"/>
    <cellStyle name="Финансовый 3 3 4 2 2 6 4 2" xfId="35023" xr:uid="{76719ADB-5AD1-49B1-A5DA-376507237308}"/>
    <cellStyle name="Финансовый 3 3 4 2 2 6 5" xfId="25713" xr:uid="{7221ED1A-155E-491F-A44A-178F6D10A3A7}"/>
    <cellStyle name="Финансовый 3 3 4 2 2 7" xfId="11666" xr:uid="{00000000-0005-0000-0000-0000D9370000}"/>
    <cellStyle name="Финансовый 3 3 4 2 2 7 2" xfId="28755" xr:uid="{DA6D4AB8-29A8-4B3C-8F3F-DA7EA78D1E24}"/>
    <cellStyle name="Финансовый 3 3 4 2 2 8" xfId="14898" xr:uid="{00000000-0005-0000-0000-0000DA370000}"/>
    <cellStyle name="Финансовый 3 3 4 2 2 8 2" xfId="31911" xr:uid="{B16DDF4D-A776-4730-8BD1-3D5488E6FAFC}"/>
    <cellStyle name="Финансовый 3 3 4 2 2 9" xfId="17979" xr:uid="{00000000-0005-0000-0000-0000DB370000}"/>
    <cellStyle name="Финансовый 3 3 4 2 2 9 2" xfId="34992" xr:uid="{2890280E-4364-4B5B-AA32-CF91BE6AA727}"/>
    <cellStyle name="Финансовый 3 3 4 2 3" xfId="8607" xr:uid="{00000000-0005-0000-0000-0000DC370000}"/>
    <cellStyle name="Финансовый 3 3 4 2 3 2" xfId="8608" xr:uid="{00000000-0005-0000-0000-0000DD370000}"/>
    <cellStyle name="Финансовый 3 3 4 2 3 2 2" xfId="8609" xr:uid="{00000000-0005-0000-0000-0000DE370000}"/>
    <cellStyle name="Финансовый 3 3 4 2 3 2 2 2" xfId="8610" xr:uid="{00000000-0005-0000-0000-0000DF370000}"/>
    <cellStyle name="Финансовый 3 3 4 2 3 2 2 2 2" xfId="8611" xr:uid="{00000000-0005-0000-0000-0000E0370000}"/>
    <cellStyle name="Финансовый 3 3 4 2 3 2 2 2 2 2" xfId="11702" xr:uid="{00000000-0005-0000-0000-0000E1370000}"/>
    <cellStyle name="Финансовый 3 3 4 2 3 2 2 2 2 2 2" xfId="28791" xr:uid="{3AE0E5C8-A224-4055-982B-D83FFFF4A4F3}"/>
    <cellStyle name="Финансовый 3 3 4 2 3 2 2 2 2 3" xfId="14934" xr:uid="{00000000-0005-0000-0000-0000E2370000}"/>
    <cellStyle name="Финансовый 3 3 4 2 3 2 2 2 2 3 2" xfId="31947" xr:uid="{DA62A70F-FDE5-46FC-BDA9-02DDB78979F9}"/>
    <cellStyle name="Финансовый 3 3 4 2 3 2 2 2 2 4" xfId="18015" xr:uid="{00000000-0005-0000-0000-0000E3370000}"/>
    <cellStyle name="Финансовый 3 3 4 2 3 2 2 2 2 4 2" xfId="35028" xr:uid="{4023CBA8-C504-46C5-A841-35BD648C4B57}"/>
    <cellStyle name="Финансовый 3 3 4 2 3 2 2 2 2 5" xfId="25718" xr:uid="{E4BA866A-3A94-40B6-B1D6-563564EB3C9B}"/>
    <cellStyle name="Финансовый 3 3 4 2 3 2 2 2 3" xfId="11701" xr:uid="{00000000-0005-0000-0000-0000E4370000}"/>
    <cellStyle name="Финансовый 3 3 4 2 3 2 2 2 3 2" xfId="28790" xr:uid="{2BED3591-5AD5-47FF-B041-C30690898463}"/>
    <cellStyle name="Финансовый 3 3 4 2 3 2 2 2 4" xfId="14933" xr:uid="{00000000-0005-0000-0000-0000E5370000}"/>
    <cellStyle name="Финансовый 3 3 4 2 3 2 2 2 4 2" xfId="31946" xr:uid="{D66455EB-AAFC-4C1F-BBF0-3D251792DC29}"/>
    <cellStyle name="Финансовый 3 3 4 2 3 2 2 2 5" xfId="18014" xr:uid="{00000000-0005-0000-0000-0000E6370000}"/>
    <cellStyle name="Финансовый 3 3 4 2 3 2 2 2 5 2" xfId="35027" xr:uid="{7A932C0F-DDB0-4651-A7CA-35A7CCACDCD3}"/>
    <cellStyle name="Финансовый 3 3 4 2 3 2 2 2 6" xfId="25717" xr:uid="{AC7DE281-9F83-41BE-A950-B87C28E07EE8}"/>
    <cellStyle name="Финансовый 3 3 4 2 3 2 2 3" xfId="8612" xr:uid="{00000000-0005-0000-0000-0000E7370000}"/>
    <cellStyle name="Финансовый 3 3 4 2 3 2 2 3 2" xfId="11703" xr:uid="{00000000-0005-0000-0000-0000E8370000}"/>
    <cellStyle name="Финансовый 3 3 4 2 3 2 2 3 2 2" xfId="28792" xr:uid="{78CDD7F5-671E-47FE-9D2C-0F27FCFD9FCE}"/>
    <cellStyle name="Финансовый 3 3 4 2 3 2 2 3 3" xfId="14935" xr:uid="{00000000-0005-0000-0000-0000E9370000}"/>
    <cellStyle name="Финансовый 3 3 4 2 3 2 2 3 3 2" xfId="31948" xr:uid="{E79F632A-251C-4E7C-9E21-091DE7651B72}"/>
    <cellStyle name="Финансовый 3 3 4 2 3 2 2 3 4" xfId="18016" xr:uid="{00000000-0005-0000-0000-0000EA370000}"/>
    <cellStyle name="Финансовый 3 3 4 2 3 2 2 3 4 2" xfId="35029" xr:uid="{258D9258-CDDC-4F9E-86D3-1426CA23ED66}"/>
    <cellStyle name="Финансовый 3 3 4 2 3 2 2 3 5" xfId="25719" xr:uid="{8D45A41E-F6F3-4E42-A77F-CD2C2C1CF9A5}"/>
    <cellStyle name="Финансовый 3 3 4 2 3 2 2 4" xfId="11700" xr:uid="{00000000-0005-0000-0000-0000EB370000}"/>
    <cellStyle name="Финансовый 3 3 4 2 3 2 2 4 2" xfId="28789" xr:uid="{76C4318C-560E-4B6E-96BA-32A34ECCEB0B}"/>
    <cellStyle name="Финансовый 3 3 4 2 3 2 2 5" xfId="14932" xr:uid="{00000000-0005-0000-0000-0000EC370000}"/>
    <cellStyle name="Финансовый 3 3 4 2 3 2 2 5 2" xfId="31945" xr:uid="{E2BC9F07-746B-40F7-B9D7-DF48AC6E7ADF}"/>
    <cellStyle name="Финансовый 3 3 4 2 3 2 2 6" xfId="18013" xr:uid="{00000000-0005-0000-0000-0000ED370000}"/>
    <cellStyle name="Финансовый 3 3 4 2 3 2 2 6 2" xfId="35026" xr:uid="{D3C5B77B-B8B0-4502-B9E6-0A824128B1BC}"/>
    <cellStyle name="Финансовый 3 3 4 2 3 2 2 7" xfId="25716" xr:uid="{C2330742-2C23-485C-A6E7-78E24F6192F4}"/>
    <cellStyle name="Финансовый 3 3 4 2 3 2 3" xfId="8613" xr:uid="{00000000-0005-0000-0000-0000EE370000}"/>
    <cellStyle name="Финансовый 3 3 4 2 3 2 3 2" xfId="8614" xr:uid="{00000000-0005-0000-0000-0000EF370000}"/>
    <cellStyle name="Финансовый 3 3 4 2 3 2 3 2 2" xfId="11705" xr:uid="{00000000-0005-0000-0000-0000F0370000}"/>
    <cellStyle name="Финансовый 3 3 4 2 3 2 3 2 2 2" xfId="28794" xr:uid="{11A0CBE2-D1E8-4112-83E0-E5A1D7C0746C}"/>
    <cellStyle name="Финансовый 3 3 4 2 3 2 3 2 3" xfId="14937" xr:uid="{00000000-0005-0000-0000-0000F1370000}"/>
    <cellStyle name="Финансовый 3 3 4 2 3 2 3 2 3 2" xfId="31950" xr:uid="{AC49AD01-BCEA-409F-95F8-7AA501CC875A}"/>
    <cellStyle name="Финансовый 3 3 4 2 3 2 3 2 4" xfId="18018" xr:uid="{00000000-0005-0000-0000-0000F2370000}"/>
    <cellStyle name="Финансовый 3 3 4 2 3 2 3 2 4 2" xfId="35031" xr:uid="{6285A2DC-FD2A-4A05-AFC7-DD122A4A4DCB}"/>
    <cellStyle name="Финансовый 3 3 4 2 3 2 3 2 5" xfId="25721" xr:uid="{DA17C251-0834-4045-89A4-9FF714F61D5E}"/>
    <cellStyle name="Финансовый 3 3 4 2 3 2 3 3" xfId="11704" xr:uid="{00000000-0005-0000-0000-0000F3370000}"/>
    <cellStyle name="Финансовый 3 3 4 2 3 2 3 3 2" xfId="28793" xr:uid="{FE1FC5AC-8838-406E-A471-3432A4472E81}"/>
    <cellStyle name="Финансовый 3 3 4 2 3 2 3 4" xfId="14936" xr:uid="{00000000-0005-0000-0000-0000F4370000}"/>
    <cellStyle name="Финансовый 3 3 4 2 3 2 3 4 2" xfId="31949" xr:uid="{404A61BC-028B-4CC7-9CC5-C4C624DC71A2}"/>
    <cellStyle name="Финансовый 3 3 4 2 3 2 3 5" xfId="18017" xr:uid="{00000000-0005-0000-0000-0000F5370000}"/>
    <cellStyle name="Финансовый 3 3 4 2 3 2 3 5 2" xfId="35030" xr:uid="{D7ADC619-7AB2-4B4D-9021-970A6A7AC311}"/>
    <cellStyle name="Финансовый 3 3 4 2 3 2 3 6" xfId="25720" xr:uid="{1D824F08-23B0-4079-A4AE-8A41CDE6ADD2}"/>
    <cellStyle name="Финансовый 3 3 4 2 3 2 4" xfId="8615" xr:uid="{00000000-0005-0000-0000-0000F6370000}"/>
    <cellStyle name="Финансовый 3 3 4 2 3 2 4 2" xfId="11706" xr:uid="{00000000-0005-0000-0000-0000F7370000}"/>
    <cellStyle name="Финансовый 3 3 4 2 3 2 4 2 2" xfId="28795" xr:uid="{CC77D4BA-447F-43D7-932A-C5B9F392A374}"/>
    <cellStyle name="Финансовый 3 3 4 2 3 2 4 3" xfId="14938" xr:uid="{00000000-0005-0000-0000-0000F8370000}"/>
    <cellStyle name="Финансовый 3 3 4 2 3 2 4 3 2" xfId="31951" xr:uid="{ADC91BC1-A4E7-4D15-AFCF-04EAE9C54128}"/>
    <cellStyle name="Финансовый 3 3 4 2 3 2 4 4" xfId="18019" xr:uid="{00000000-0005-0000-0000-0000F9370000}"/>
    <cellStyle name="Финансовый 3 3 4 2 3 2 4 4 2" xfId="35032" xr:uid="{967FEB8A-EED8-4A58-9CF6-8245CD3CA3B7}"/>
    <cellStyle name="Финансовый 3 3 4 2 3 2 4 5" xfId="25722" xr:uid="{46265153-61CE-43A8-BED5-189E182C5DC3}"/>
    <cellStyle name="Финансовый 3 3 4 2 3 2 5" xfId="11699" xr:uid="{00000000-0005-0000-0000-0000FA370000}"/>
    <cellStyle name="Финансовый 3 3 4 2 3 2 5 2" xfId="28788" xr:uid="{A0864A8B-FEF6-49A6-B392-339AFB34FF68}"/>
    <cellStyle name="Финансовый 3 3 4 2 3 2 6" xfId="14931" xr:uid="{00000000-0005-0000-0000-0000FB370000}"/>
    <cellStyle name="Финансовый 3 3 4 2 3 2 6 2" xfId="31944" xr:uid="{90B817AF-A513-4167-A438-47F3EB2499E1}"/>
    <cellStyle name="Финансовый 3 3 4 2 3 2 7" xfId="18012" xr:uid="{00000000-0005-0000-0000-0000FC370000}"/>
    <cellStyle name="Финансовый 3 3 4 2 3 2 7 2" xfId="35025" xr:uid="{77420039-174A-4285-8A8C-C7599C37102B}"/>
    <cellStyle name="Финансовый 3 3 4 2 3 2 8" xfId="25715" xr:uid="{19BBDDA1-C8DD-4D2B-AC55-266B073A0F41}"/>
    <cellStyle name="Финансовый 3 3 4 2 3 3" xfId="8616" xr:uid="{00000000-0005-0000-0000-0000FD370000}"/>
    <cellStyle name="Финансовый 3 3 4 2 3 3 2" xfId="8617" xr:uid="{00000000-0005-0000-0000-0000FE370000}"/>
    <cellStyle name="Финансовый 3 3 4 2 3 3 2 2" xfId="8618" xr:uid="{00000000-0005-0000-0000-0000FF370000}"/>
    <cellStyle name="Финансовый 3 3 4 2 3 3 2 2 2" xfId="11709" xr:uid="{00000000-0005-0000-0000-000000380000}"/>
    <cellStyle name="Финансовый 3 3 4 2 3 3 2 2 2 2" xfId="28798" xr:uid="{B7A7C79E-AFBA-4453-ADBD-80063C1622D3}"/>
    <cellStyle name="Финансовый 3 3 4 2 3 3 2 2 3" xfId="14941" xr:uid="{00000000-0005-0000-0000-000001380000}"/>
    <cellStyle name="Финансовый 3 3 4 2 3 3 2 2 3 2" xfId="31954" xr:uid="{37ECCED9-8A02-4944-849C-627D32F28925}"/>
    <cellStyle name="Финансовый 3 3 4 2 3 3 2 2 4" xfId="18022" xr:uid="{00000000-0005-0000-0000-000002380000}"/>
    <cellStyle name="Финансовый 3 3 4 2 3 3 2 2 4 2" xfId="35035" xr:uid="{26ACB0A6-8628-4017-B0B2-7644F3A5CCCF}"/>
    <cellStyle name="Финансовый 3 3 4 2 3 3 2 2 5" xfId="25725" xr:uid="{6B3EB20B-0B5F-433F-AFC4-7087FDCB24BC}"/>
    <cellStyle name="Финансовый 3 3 4 2 3 3 2 3" xfId="11708" xr:uid="{00000000-0005-0000-0000-000003380000}"/>
    <cellStyle name="Финансовый 3 3 4 2 3 3 2 3 2" xfId="28797" xr:uid="{1371A233-4063-4FD8-B9B7-E9E71AC1B1F3}"/>
    <cellStyle name="Финансовый 3 3 4 2 3 3 2 4" xfId="14940" xr:uid="{00000000-0005-0000-0000-000004380000}"/>
    <cellStyle name="Финансовый 3 3 4 2 3 3 2 4 2" xfId="31953" xr:uid="{A255FF42-CFA2-44CE-9AAD-ACFB43B743C9}"/>
    <cellStyle name="Финансовый 3 3 4 2 3 3 2 5" xfId="18021" xr:uid="{00000000-0005-0000-0000-000005380000}"/>
    <cellStyle name="Финансовый 3 3 4 2 3 3 2 5 2" xfId="35034" xr:uid="{E57A389C-915B-4936-AE8F-6E8BEFBCD1EB}"/>
    <cellStyle name="Финансовый 3 3 4 2 3 3 2 6" xfId="25724" xr:uid="{742AE250-841D-4E7D-9A72-8BF73349A3E4}"/>
    <cellStyle name="Финансовый 3 3 4 2 3 3 3" xfId="8619" xr:uid="{00000000-0005-0000-0000-000006380000}"/>
    <cellStyle name="Финансовый 3 3 4 2 3 3 3 2" xfId="11710" xr:uid="{00000000-0005-0000-0000-000007380000}"/>
    <cellStyle name="Финансовый 3 3 4 2 3 3 3 2 2" xfId="28799" xr:uid="{83D646F0-50B2-4911-B074-579B3994EDDF}"/>
    <cellStyle name="Финансовый 3 3 4 2 3 3 3 3" xfId="14942" xr:uid="{00000000-0005-0000-0000-000008380000}"/>
    <cellStyle name="Финансовый 3 3 4 2 3 3 3 3 2" xfId="31955" xr:uid="{6F2C6401-F130-4D0E-8F84-CE2A794E8139}"/>
    <cellStyle name="Финансовый 3 3 4 2 3 3 3 4" xfId="18023" xr:uid="{00000000-0005-0000-0000-000009380000}"/>
    <cellStyle name="Финансовый 3 3 4 2 3 3 3 4 2" xfId="35036" xr:uid="{DF8CA482-ED34-4138-82DB-23B465B99067}"/>
    <cellStyle name="Финансовый 3 3 4 2 3 3 3 5" xfId="25726" xr:uid="{FE4B92F0-F109-4168-8BA8-88883C7B3D0B}"/>
    <cellStyle name="Финансовый 3 3 4 2 3 3 4" xfId="11707" xr:uid="{00000000-0005-0000-0000-00000A380000}"/>
    <cellStyle name="Финансовый 3 3 4 2 3 3 4 2" xfId="28796" xr:uid="{F7A3CF63-0EFC-4282-8EF9-F87A5CFDAD48}"/>
    <cellStyle name="Финансовый 3 3 4 2 3 3 5" xfId="14939" xr:uid="{00000000-0005-0000-0000-00000B380000}"/>
    <cellStyle name="Финансовый 3 3 4 2 3 3 5 2" xfId="31952" xr:uid="{BF1A03DB-4487-44A2-9C36-FB802DD9E9F7}"/>
    <cellStyle name="Финансовый 3 3 4 2 3 3 6" xfId="18020" xr:uid="{00000000-0005-0000-0000-00000C380000}"/>
    <cellStyle name="Финансовый 3 3 4 2 3 3 6 2" xfId="35033" xr:uid="{D9AC8ACC-89E5-4C5F-9790-86885F1E1129}"/>
    <cellStyle name="Финансовый 3 3 4 2 3 3 7" xfId="25723" xr:uid="{83712905-5D8B-44BB-B761-ECF292BD666E}"/>
    <cellStyle name="Финансовый 3 3 4 2 3 4" xfId="8620" xr:uid="{00000000-0005-0000-0000-00000D380000}"/>
    <cellStyle name="Финансовый 3 3 4 2 3 4 2" xfId="8621" xr:uid="{00000000-0005-0000-0000-00000E380000}"/>
    <cellStyle name="Финансовый 3 3 4 2 3 4 2 2" xfId="11712" xr:uid="{00000000-0005-0000-0000-00000F380000}"/>
    <cellStyle name="Финансовый 3 3 4 2 3 4 2 2 2" xfId="28801" xr:uid="{755E4015-827A-4938-A195-1FCC4395D4C0}"/>
    <cellStyle name="Финансовый 3 3 4 2 3 4 2 3" xfId="14944" xr:uid="{00000000-0005-0000-0000-000010380000}"/>
    <cellStyle name="Финансовый 3 3 4 2 3 4 2 3 2" xfId="31957" xr:uid="{DFDE703B-6667-4BD1-AD1D-9C339BAB2293}"/>
    <cellStyle name="Финансовый 3 3 4 2 3 4 2 4" xfId="18025" xr:uid="{00000000-0005-0000-0000-000011380000}"/>
    <cellStyle name="Финансовый 3 3 4 2 3 4 2 4 2" xfId="35038" xr:uid="{C9B9CEC5-D621-4AE3-A7CA-4E60FBD33960}"/>
    <cellStyle name="Финансовый 3 3 4 2 3 4 2 5" xfId="25728" xr:uid="{ED5B769C-C666-4706-B5C5-EA64EA15676C}"/>
    <cellStyle name="Финансовый 3 3 4 2 3 4 3" xfId="11711" xr:uid="{00000000-0005-0000-0000-000012380000}"/>
    <cellStyle name="Финансовый 3 3 4 2 3 4 3 2" xfId="28800" xr:uid="{5CCA7428-CC19-4892-9759-8A907791AF42}"/>
    <cellStyle name="Финансовый 3 3 4 2 3 4 4" xfId="14943" xr:uid="{00000000-0005-0000-0000-000013380000}"/>
    <cellStyle name="Финансовый 3 3 4 2 3 4 4 2" xfId="31956" xr:uid="{531AC3F8-305C-4B3E-85D8-6D5478EF2B74}"/>
    <cellStyle name="Финансовый 3 3 4 2 3 4 5" xfId="18024" xr:uid="{00000000-0005-0000-0000-000014380000}"/>
    <cellStyle name="Финансовый 3 3 4 2 3 4 5 2" xfId="35037" xr:uid="{70A5A6D5-4257-42B1-A06D-996DC11F8A3A}"/>
    <cellStyle name="Финансовый 3 3 4 2 3 4 6" xfId="25727" xr:uid="{88E85968-7C18-4992-B925-D932247D6F7C}"/>
    <cellStyle name="Финансовый 3 3 4 2 3 5" xfId="8622" xr:uid="{00000000-0005-0000-0000-000015380000}"/>
    <cellStyle name="Финансовый 3 3 4 2 3 5 2" xfId="11713" xr:uid="{00000000-0005-0000-0000-000016380000}"/>
    <cellStyle name="Финансовый 3 3 4 2 3 5 2 2" xfId="28802" xr:uid="{A2241142-0468-4CBC-BEF4-EEBF574BC7E7}"/>
    <cellStyle name="Финансовый 3 3 4 2 3 5 3" xfId="14945" xr:uid="{00000000-0005-0000-0000-000017380000}"/>
    <cellStyle name="Финансовый 3 3 4 2 3 5 3 2" xfId="31958" xr:uid="{5380182B-8D6A-4202-BCA2-E1C275FF55C9}"/>
    <cellStyle name="Финансовый 3 3 4 2 3 5 4" xfId="18026" xr:uid="{00000000-0005-0000-0000-000018380000}"/>
    <cellStyle name="Финансовый 3 3 4 2 3 5 4 2" xfId="35039" xr:uid="{5908B375-54C0-4CB3-BF38-958562237F23}"/>
    <cellStyle name="Финансовый 3 3 4 2 3 5 5" xfId="25729" xr:uid="{1B4F4E81-31DE-4BB5-8566-91DC3FFA7384}"/>
    <cellStyle name="Финансовый 3 3 4 2 3 6" xfId="11698" xr:uid="{00000000-0005-0000-0000-000019380000}"/>
    <cellStyle name="Финансовый 3 3 4 2 3 6 2" xfId="28787" xr:uid="{AA539C3F-F933-4FAA-9889-C6F1871FCE96}"/>
    <cellStyle name="Финансовый 3 3 4 2 3 7" xfId="14930" xr:uid="{00000000-0005-0000-0000-00001A380000}"/>
    <cellStyle name="Финансовый 3 3 4 2 3 7 2" xfId="31943" xr:uid="{505AE981-2501-40A5-BA5C-F12811041D89}"/>
    <cellStyle name="Финансовый 3 3 4 2 3 8" xfId="18011" xr:uid="{00000000-0005-0000-0000-00001B380000}"/>
    <cellStyle name="Финансовый 3 3 4 2 3 8 2" xfId="35024" xr:uid="{9F601890-E479-4829-AA68-E85D9112CF40}"/>
    <cellStyle name="Финансовый 3 3 4 2 3 9" xfId="25714" xr:uid="{122CFEEE-F047-4CE2-BF73-E9B7975EAE12}"/>
    <cellStyle name="Финансовый 3 3 4 2 4" xfId="8623" xr:uid="{00000000-0005-0000-0000-00001C380000}"/>
    <cellStyle name="Финансовый 3 3 4 2 4 2" xfId="8624" xr:uid="{00000000-0005-0000-0000-00001D380000}"/>
    <cellStyle name="Финансовый 3 3 4 2 4 2 2" xfId="8625" xr:uid="{00000000-0005-0000-0000-00001E380000}"/>
    <cellStyle name="Финансовый 3 3 4 2 4 2 2 2" xfId="8626" xr:uid="{00000000-0005-0000-0000-00001F380000}"/>
    <cellStyle name="Финансовый 3 3 4 2 4 2 2 2 2" xfId="11717" xr:uid="{00000000-0005-0000-0000-000020380000}"/>
    <cellStyle name="Финансовый 3 3 4 2 4 2 2 2 2 2" xfId="28806" xr:uid="{F40706E0-BC77-4D97-9484-DC69656AE1BE}"/>
    <cellStyle name="Финансовый 3 3 4 2 4 2 2 2 3" xfId="14949" xr:uid="{00000000-0005-0000-0000-000021380000}"/>
    <cellStyle name="Финансовый 3 3 4 2 4 2 2 2 3 2" xfId="31962" xr:uid="{4745A268-3172-4C82-9D4F-9B84AE044E4A}"/>
    <cellStyle name="Финансовый 3 3 4 2 4 2 2 2 4" xfId="18030" xr:uid="{00000000-0005-0000-0000-000022380000}"/>
    <cellStyle name="Финансовый 3 3 4 2 4 2 2 2 4 2" xfId="35043" xr:uid="{F84A408F-20D0-4102-B7BF-944BFE5C8BDE}"/>
    <cellStyle name="Финансовый 3 3 4 2 4 2 2 2 5" xfId="25733" xr:uid="{85E00A55-D37C-4572-B92E-4B23FE28EA34}"/>
    <cellStyle name="Финансовый 3 3 4 2 4 2 2 3" xfId="11716" xr:uid="{00000000-0005-0000-0000-000023380000}"/>
    <cellStyle name="Финансовый 3 3 4 2 4 2 2 3 2" xfId="28805" xr:uid="{E89C47EB-741E-4777-B2E7-C6EBC663C9F2}"/>
    <cellStyle name="Финансовый 3 3 4 2 4 2 2 4" xfId="14948" xr:uid="{00000000-0005-0000-0000-000024380000}"/>
    <cellStyle name="Финансовый 3 3 4 2 4 2 2 4 2" xfId="31961" xr:uid="{DDB5D8BC-5C83-4204-A32B-5F6E41EFB684}"/>
    <cellStyle name="Финансовый 3 3 4 2 4 2 2 5" xfId="18029" xr:uid="{00000000-0005-0000-0000-000025380000}"/>
    <cellStyle name="Финансовый 3 3 4 2 4 2 2 5 2" xfId="35042" xr:uid="{272F6F0B-CE21-4E41-815E-FFCACB1D3FAA}"/>
    <cellStyle name="Финансовый 3 3 4 2 4 2 2 6" xfId="25732" xr:uid="{EE09EB7A-FB65-43C2-A08A-24E05897563B}"/>
    <cellStyle name="Финансовый 3 3 4 2 4 2 3" xfId="8627" xr:uid="{00000000-0005-0000-0000-000026380000}"/>
    <cellStyle name="Финансовый 3 3 4 2 4 2 3 2" xfId="11718" xr:uid="{00000000-0005-0000-0000-000027380000}"/>
    <cellStyle name="Финансовый 3 3 4 2 4 2 3 2 2" xfId="28807" xr:uid="{32D6EC03-13E2-4172-96CB-BB6860EB365F}"/>
    <cellStyle name="Финансовый 3 3 4 2 4 2 3 3" xfId="14950" xr:uid="{00000000-0005-0000-0000-000028380000}"/>
    <cellStyle name="Финансовый 3 3 4 2 4 2 3 3 2" xfId="31963" xr:uid="{9F6C0E96-3797-45FA-B87E-BBEEC3DDCB34}"/>
    <cellStyle name="Финансовый 3 3 4 2 4 2 3 4" xfId="18031" xr:uid="{00000000-0005-0000-0000-000029380000}"/>
    <cellStyle name="Финансовый 3 3 4 2 4 2 3 4 2" xfId="35044" xr:uid="{9033C3EB-7F2A-40AE-B6F8-581C9A0A9B5E}"/>
    <cellStyle name="Финансовый 3 3 4 2 4 2 3 5" xfId="25734" xr:uid="{C6B87CFC-3740-4054-82C0-A0609220DA60}"/>
    <cellStyle name="Финансовый 3 3 4 2 4 2 4" xfId="11715" xr:uid="{00000000-0005-0000-0000-00002A380000}"/>
    <cellStyle name="Финансовый 3 3 4 2 4 2 4 2" xfId="28804" xr:uid="{88575071-ECF5-4CEE-9384-EA061447D5D3}"/>
    <cellStyle name="Финансовый 3 3 4 2 4 2 5" xfId="14947" xr:uid="{00000000-0005-0000-0000-00002B380000}"/>
    <cellStyle name="Финансовый 3 3 4 2 4 2 5 2" xfId="31960" xr:uid="{B4EC8BCF-8E23-4747-9814-0842004935E9}"/>
    <cellStyle name="Финансовый 3 3 4 2 4 2 6" xfId="18028" xr:uid="{00000000-0005-0000-0000-00002C380000}"/>
    <cellStyle name="Финансовый 3 3 4 2 4 2 6 2" xfId="35041" xr:uid="{A6F0D466-C856-49D6-A635-AA64FE20E933}"/>
    <cellStyle name="Финансовый 3 3 4 2 4 2 7" xfId="25731" xr:uid="{F29028AC-28CA-4C49-8BF8-D213E8CF04E0}"/>
    <cellStyle name="Финансовый 3 3 4 2 4 3" xfId="8628" xr:uid="{00000000-0005-0000-0000-00002D380000}"/>
    <cellStyle name="Финансовый 3 3 4 2 4 3 2" xfId="8629" xr:uid="{00000000-0005-0000-0000-00002E380000}"/>
    <cellStyle name="Финансовый 3 3 4 2 4 3 2 2" xfId="11720" xr:uid="{00000000-0005-0000-0000-00002F380000}"/>
    <cellStyle name="Финансовый 3 3 4 2 4 3 2 2 2" xfId="28809" xr:uid="{F553386C-2964-4C68-A2FB-1744562EB74D}"/>
    <cellStyle name="Финансовый 3 3 4 2 4 3 2 3" xfId="14952" xr:uid="{00000000-0005-0000-0000-000030380000}"/>
    <cellStyle name="Финансовый 3 3 4 2 4 3 2 3 2" xfId="31965" xr:uid="{E49F25AD-934B-4838-9B55-268915575142}"/>
    <cellStyle name="Финансовый 3 3 4 2 4 3 2 4" xfId="18033" xr:uid="{00000000-0005-0000-0000-000031380000}"/>
    <cellStyle name="Финансовый 3 3 4 2 4 3 2 4 2" xfId="35046" xr:uid="{B0D417EA-9E2A-492E-AE47-962208BAB95D}"/>
    <cellStyle name="Финансовый 3 3 4 2 4 3 2 5" xfId="25736" xr:uid="{A041DA3B-5E99-400D-98CF-BD9AEEEC6DD2}"/>
    <cellStyle name="Финансовый 3 3 4 2 4 3 3" xfId="11719" xr:uid="{00000000-0005-0000-0000-000032380000}"/>
    <cellStyle name="Финансовый 3 3 4 2 4 3 3 2" xfId="28808" xr:uid="{51E2D72F-4551-4F21-8A96-BA8D7EB3475A}"/>
    <cellStyle name="Финансовый 3 3 4 2 4 3 4" xfId="14951" xr:uid="{00000000-0005-0000-0000-000033380000}"/>
    <cellStyle name="Финансовый 3 3 4 2 4 3 4 2" xfId="31964" xr:uid="{D314260E-AAC8-4864-834B-F2085A8919AB}"/>
    <cellStyle name="Финансовый 3 3 4 2 4 3 5" xfId="18032" xr:uid="{00000000-0005-0000-0000-000034380000}"/>
    <cellStyle name="Финансовый 3 3 4 2 4 3 5 2" xfId="35045" xr:uid="{6D1DDC15-20FD-4B77-95B0-78CE5CE872E2}"/>
    <cellStyle name="Финансовый 3 3 4 2 4 3 6" xfId="25735" xr:uid="{B5B0F0FD-CCF3-4D2C-A6AB-EEE814D67598}"/>
    <cellStyle name="Финансовый 3 3 4 2 4 4" xfId="8630" xr:uid="{00000000-0005-0000-0000-000035380000}"/>
    <cellStyle name="Финансовый 3 3 4 2 4 4 2" xfId="11721" xr:uid="{00000000-0005-0000-0000-000036380000}"/>
    <cellStyle name="Финансовый 3 3 4 2 4 4 2 2" xfId="28810" xr:uid="{21ED364B-E68C-4348-8263-D73EC76E803A}"/>
    <cellStyle name="Финансовый 3 3 4 2 4 4 3" xfId="14953" xr:uid="{00000000-0005-0000-0000-000037380000}"/>
    <cellStyle name="Финансовый 3 3 4 2 4 4 3 2" xfId="31966" xr:uid="{A7C5D38E-8730-4C00-A55B-34C97B24CA5C}"/>
    <cellStyle name="Финансовый 3 3 4 2 4 4 4" xfId="18034" xr:uid="{00000000-0005-0000-0000-000038380000}"/>
    <cellStyle name="Финансовый 3 3 4 2 4 4 4 2" xfId="35047" xr:uid="{1BAC34E7-63EC-47E4-A38F-2EB165B19CD9}"/>
    <cellStyle name="Финансовый 3 3 4 2 4 4 5" xfId="25737" xr:uid="{65E287B5-AB70-46DB-BB11-D5FF199CD6E9}"/>
    <cellStyle name="Финансовый 3 3 4 2 4 5" xfId="11714" xr:uid="{00000000-0005-0000-0000-000039380000}"/>
    <cellStyle name="Финансовый 3 3 4 2 4 5 2" xfId="28803" xr:uid="{9AC690A5-CA4D-4348-BF41-9D725EE85F0D}"/>
    <cellStyle name="Финансовый 3 3 4 2 4 6" xfId="14946" xr:uid="{00000000-0005-0000-0000-00003A380000}"/>
    <cellStyle name="Финансовый 3 3 4 2 4 6 2" xfId="31959" xr:uid="{EB4675F3-64A4-40EF-85CB-7746B16EA91E}"/>
    <cellStyle name="Финансовый 3 3 4 2 4 7" xfId="18027" xr:uid="{00000000-0005-0000-0000-00003B380000}"/>
    <cellStyle name="Финансовый 3 3 4 2 4 7 2" xfId="35040" xr:uid="{AC7E15C8-64DA-45BB-9C62-F6F78330B7FE}"/>
    <cellStyle name="Финансовый 3 3 4 2 4 8" xfId="25730" xr:uid="{9D688EFD-CC29-42FD-8084-A77F17165CDF}"/>
    <cellStyle name="Финансовый 3 3 4 2 5" xfId="8631" xr:uid="{00000000-0005-0000-0000-00003C380000}"/>
    <cellStyle name="Финансовый 3 3 4 2 5 2" xfId="8632" xr:uid="{00000000-0005-0000-0000-00003D380000}"/>
    <cellStyle name="Финансовый 3 3 4 2 5 2 2" xfId="8633" xr:uid="{00000000-0005-0000-0000-00003E380000}"/>
    <cellStyle name="Финансовый 3 3 4 2 5 2 2 2" xfId="11724" xr:uid="{00000000-0005-0000-0000-00003F380000}"/>
    <cellStyle name="Финансовый 3 3 4 2 5 2 2 2 2" xfId="28813" xr:uid="{5D82BC56-1682-49F9-87FD-0B6EE8D4D02D}"/>
    <cellStyle name="Финансовый 3 3 4 2 5 2 2 3" xfId="14956" xr:uid="{00000000-0005-0000-0000-000040380000}"/>
    <cellStyle name="Финансовый 3 3 4 2 5 2 2 3 2" xfId="31969" xr:uid="{2C05BA3E-9B5B-4347-8B8F-1057A2EA88AA}"/>
    <cellStyle name="Финансовый 3 3 4 2 5 2 2 4" xfId="18037" xr:uid="{00000000-0005-0000-0000-000041380000}"/>
    <cellStyle name="Финансовый 3 3 4 2 5 2 2 4 2" xfId="35050" xr:uid="{190C5C99-CCB1-4189-8A11-E967E83DFBC1}"/>
    <cellStyle name="Финансовый 3 3 4 2 5 2 2 5" xfId="25740" xr:uid="{791BEB43-AB36-43D6-A690-B9EFB4CEEC82}"/>
    <cellStyle name="Финансовый 3 3 4 2 5 2 3" xfId="11723" xr:uid="{00000000-0005-0000-0000-000042380000}"/>
    <cellStyle name="Финансовый 3 3 4 2 5 2 3 2" xfId="28812" xr:uid="{FED4DB2B-1F8C-41B9-BD60-7C33CDF987E7}"/>
    <cellStyle name="Финансовый 3 3 4 2 5 2 4" xfId="14955" xr:uid="{00000000-0005-0000-0000-000043380000}"/>
    <cellStyle name="Финансовый 3 3 4 2 5 2 4 2" xfId="31968" xr:uid="{4FD711EB-AA5C-438B-9166-C72CECF7CDC1}"/>
    <cellStyle name="Финансовый 3 3 4 2 5 2 5" xfId="18036" xr:uid="{00000000-0005-0000-0000-000044380000}"/>
    <cellStyle name="Финансовый 3 3 4 2 5 2 5 2" xfId="35049" xr:uid="{B5E09AD2-14A6-43A2-A0AD-87BDD05E6766}"/>
    <cellStyle name="Финансовый 3 3 4 2 5 2 6" xfId="25739" xr:uid="{976A61DB-B30E-4398-8B01-32F9E9DFA64E}"/>
    <cellStyle name="Финансовый 3 3 4 2 5 3" xfId="8634" xr:uid="{00000000-0005-0000-0000-000045380000}"/>
    <cellStyle name="Финансовый 3 3 4 2 5 3 2" xfId="11725" xr:uid="{00000000-0005-0000-0000-000046380000}"/>
    <cellStyle name="Финансовый 3 3 4 2 5 3 2 2" xfId="28814" xr:uid="{813FA643-24E7-4155-A61F-2DBDAC5E643E}"/>
    <cellStyle name="Финансовый 3 3 4 2 5 3 3" xfId="14957" xr:uid="{00000000-0005-0000-0000-000047380000}"/>
    <cellStyle name="Финансовый 3 3 4 2 5 3 3 2" xfId="31970" xr:uid="{B08918A6-788D-4B7B-B471-697DD267860C}"/>
    <cellStyle name="Финансовый 3 3 4 2 5 3 4" xfId="18038" xr:uid="{00000000-0005-0000-0000-000048380000}"/>
    <cellStyle name="Финансовый 3 3 4 2 5 3 4 2" xfId="35051" xr:uid="{77105388-9E76-4FDA-96C4-091C2810327A}"/>
    <cellStyle name="Финансовый 3 3 4 2 5 3 5" xfId="25741" xr:uid="{CCCF6EE0-71B8-43A8-94CE-7BCFB661312C}"/>
    <cellStyle name="Финансовый 3 3 4 2 5 4" xfId="11722" xr:uid="{00000000-0005-0000-0000-000049380000}"/>
    <cellStyle name="Финансовый 3 3 4 2 5 4 2" xfId="28811" xr:uid="{2973F616-21A2-45A6-BEB0-97E6EE4FC3D5}"/>
    <cellStyle name="Финансовый 3 3 4 2 5 5" xfId="14954" xr:uid="{00000000-0005-0000-0000-00004A380000}"/>
    <cellStyle name="Финансовый 3 3 4 2 5 5 2" xfId="31967" xr:uid="{8AF066D4-0785-4260-8967-43A0B83A740C}"/>
    <cellStyle name="Финансовый 3 3 4 2 5 6" xfId="18035" xr:uid="{00000000-0005-0000-0000-00004B380000}"/>
    <cellStyle name="Финансовый 3 3 4 2 5 6 2" xfId="35048" xr:uid="{2E600304-847C-4428-A7BE-827703571734}"/>
    <cellStyle name="Финансовый 3 3 4 2 5 7" xfId="25738" xr:uid="{F264B62C-4B3D-4B95-9192-6D95C59E65F5}"/>
    <cellStyle name="Финансовый 3 3 4 2 6" xfId="8635" xr:uid="{00000000-0005-0000-0000-00004C380000}"/>
    <cellStyle name="Финансовый 3 3 4 2 6 2" xfId="8636" xr:uid="{00000000-0005-0000-0000-00004D380000}"/>
    <cellStyle name="Финансовый 3 3 4 2 6 2 2" xfId="11727" xr:uid="{00000000-0005-0000-0000-00004E380000}"/>
    <cellStyle name="Финансовый 3 3 4 2 6 2 2 2" xfId="28816" xr:uid="{5E83EE84-0741-479D-8CC6-EB1DC63B9B2C}"/>
    <cellStyle name="Финансовый 3 3 4 2 6 2 3" xfId="14959" xr:uid="{00000000-0005-0000-0000-00004F380000}"/>
    <cellStyle name="Финансовый 3 3 4 2 6 2 3 2" xfId="31972" xr:uid="{CDC3D46A-3728-49A1-BCA5-2AFE28139ECA}"/>
    <cellStyle name="Финансовый 3 3 4 2 6 2 4" xfId="18040" xr:uid="{00000000-0005-0000-0000-000050380000}"/>
    <cellStyle name="Финансовый 3 3 4 2 6 2 4 2" xfId="35053" xr:uid="{8A3B0651-4BED-40D3-A851-6C43B3451AEA}"/>
    <cellStyle name="Финансовый 3 3 4 2 6 2 5" xfId="25743" xr:uid="{9DAAF426-5A2B-4835-95EF-5D73825E36F2}"/>
    <cellStyle name="Финансовый 3 3 4 2 6 3" xfId="11726" xr:uid="{00000000-0005-0000-0000-000051380000}"/>
    <cellStyle name="Финансовый 3 3 4 2 6 3 2" xfId="28815" xr:uid="{E7684099-0029-40F3-9BEF-C62D60BC7EB1}"/>
    <cellStyle name="Финансовый 3 3 4 2 6 4" xfId="14958" xr:uid="{00000000-0005-0000-0000-000052380000}"/>
    <cellStyle name="Финансовый 3 3 4 2 6 4 2" xfId="31971" xr:uid="{2F7BA05E-BC96-4F37-8C7E-D613BD68CE57}"/>
    <cellStyle name="Финансовый 3 3 4 2 6 5" xfId="18039" xr:uid="{00000000-0005-0000-0000-000053380000}"/>
    <cellStyle name="Финансовый 3 3 4 2 6 5 2" xfId="35052" xr:uid="{37F56DF6-EE24-4E4D-A579-95AAA4D6962A}"/>
    <cellStyle name="Финансовый 3 3 4 2 6 6" xfId="25742" xr:uid="{4FC709A9-BABB-4650-8635-C0AFF6E6D523}"/>
    <cellStyle name="Финансовый 3 3 4 2 7" xfId="8637" xr:uid="{00000000-0005-0000-0000-000054380000}"/>
    <cellStyle name="Финансовый 3 3 4 2 7 2" xfId="11728" xr:uid="{00000000-0005-0000-0000-000055380000}"/>
    <cellStyle name="Финансовый 3 3 4 2 7 2 2" xfId="28817" xr:uid="{567E9611-C4B6-47F3-8CF6-415B99FBAD3D}"/>
    <cellStyle name="Финансовый 3 3 4 2 7 3" xfId="14960" xr:uid="{00000000-0005-0000-0000-000056380000}"/>
    <cellStyle name="Финансовый 3 3 4 2 7 3 2" xfId="31973" xr:uid="{3B37A573-4DB8-4EF5-A77A-A5CDEE24895F}"/>
    <cellStyle name="Финансовый 3 3 4 2 7 4" xfId="18041" xr:uid="{00000000-0005-0000-0000-000057380000}"/>
    <cellStyle name="Финансовый 3 3 4 2 7 4 2" xfId="35054" xr:uid="{0B47CB4F-0A64-40D2-838B-D99C2E9DD006}"/>
    <cellStyle name="Финансовый 3 3 4 2 7 5" xfId="25744" xr:uid="{DD08F4E2-D4A5-4BAC-A726-EEA171836D37}"/>
    <cellStyle name="Финансовый 3 3 4 2 8" xfId="11665" xr:uid="{00000000-0005-0000-0000-000058380000}"/>
    <cellStyle name="Финансовый 3 3 4 2 8 2" xfId="28754" xr:uid="{FDB2341E-E796-455A-B8BB-3C417AE25D1C}"/>
    <cellStyle name="Финансовый 3 3 4 2 9" xfId="14897" xr:uid="{00000000-0005-0000-0000-000059380000}"/>
    <cellStyle name="Финансовый 3 3 4 2 9 2" xfId="31910" xr:uid="{913830B6-2D08-4F7F-88BE-18AA4C0CB6F0}"/>
    <cellStyle name="Финансовый 3 3 4 3" xfId="8638" xr:uid="{00000000-0005-0000-0000-00005A380000}"/>
    <cellStyle name="Финансовый 3 3 4 3 10" xfId="25745" xr:uid="{9C245000-EA3A-4EA9-B98A-69ECEFF81F7C}"/>
    <cellStyle name="Финансовый 3 3 4 3 2" xfId="8639" xr:uid="{00000000-0005-0000-0000-00005B380000}"/>
    <cellStyle name="Финансовый 3 3 4 3 2 2" xfId="8640" xr:uid="{00000000-0005-0000-0000-00005C380000}"/>
    <cellStyle name="Финансовый 3 3 4 3 2 2 2" xfId="8641" xr:uid="{00000000-0005-0000-0000-00005D380000}"/>
    <cellStyle name="Финансовый 3 3 4 3 2 2 2 2" xfId="8642" xr:uid="{00000000-0005-0000-0000-00005E380000}"/>
    <cellStyle name="Финансовый 3 3 4 3 2 2 2 2 2" xfId="8643" xr:uid="{00000000-0005-0000-0000-00005F380000}"/>
    <cellStyle name="Финансовый 3 3 4 3 2 2 2 2 2 2" xfId="11734" xr:uid="{00000000-0005-0000-0000-000060380000}"/>
    <cellStyle name="Финансовый 3 3 4 3 2 2 2 2 2 2 2" xfId="28823" xr:uid="{73F3FB99-2ED0-4233-A4F3-935847290B7B}"/>
    <cellStyle name="Финансовый 3 3 4 3 2 2 2 2 2 3" xfId="14966" xr:uid="{00000000-0005-0000-0000-000061380000}"/>
    <cellStyle name="Финансовый 3 3 4 3 2 2 2 2 2 3 2" xfId="31979" xr:uid="{CB2824C7-D8B8-4609-9FD7-07B613239CA7}"/>
    <cellStyle name="Финансовый 3 3 4 3 2 2 2 2 2 4" xfId="18047" xr:uid="{00000000-0005-0000-0000-000062380000}"/>
    <cellStyle name="Финансовый 3 3 4 3 2 2 2 2 2 4 2" xfId="35060" xr:uid="{E9E01BE7-0ED7-41B4-A179-E46225286157}"/>
    <cellStyle name="Финансовый 3 3 4 3 2 2 2 2 2 5" xfId="25750" xr:uid="{0B213BB7-84D6-48AA-B93A-FC8BBA99D3FF}"/>
    <cellStyle name="Финансовый 3 3 4 3 2 2 2 2 3" xfId="11733" xr:uid="{00000000-0005-0000-0000-000063380000}"/>
    <cellStyle name="Финансовый 3 3 4 3 2 2 2 2 3 2" xfId="28822" xr:uid="{62E56899-FF70-4993-8F4E-CE6625862029}"/>
    <cellStyle name="Финансовый 3 3 4 3 2 2 2 2 4" xfId="14965" xr:uid="{00000000-0005-0000-0000-000064380000}"/>
    <cellStyle name="Финансовый 3 3 4 3 2 2 2 2 4 2" xfId="31978" xr:uid="{AF14972F-57DF-4775-B956-82C114978C88}"/>
    <cellStyle name="Финансовый 3 3 4 3 2 2 2 2 5" xfId="18046" xr:uid="{00000000-0005-0000-0000-000065380000}"/>
    <cellStyle name="Финансовый 3 3 4 3 2 2 2 2 5 2" xfId="35059" xr:uid="{2ECAD560-3A1A-4B3E-99AF-8E79B5605C58}"/>
    <cellStyle name="Финансовый 3 3 4 3 2 2 2 2 6" xfId="25749" xr:uid="{A303F6F2-EBA4-4986-A3CA-AA8CB76BC6FF}"/>
    <cellStyle name="Финансовый 3 3 4 3 2 2 2 3" xfId="8644" xr:uid="{00000000-0005-0000-0000-000066380000}"/>
    <cellStyle name="Финансовый 3 3 4 3 2 2 2 3 2" xfId="11735" xr:uid="{00000000-0005-0000-0000-000067380000}"/>
    <cellStyle name="Финансовый 3 3 4 3 2 2 2 3 2 2" xfId="28824" xr:uid="{51BEE9B3-EF9D-4749-996A-2BD5D91B1480}"/>
    <cellStyle name="Финансовый 3 3 4 3 2 2 2 3 3" xfId="14967" xr:uid="{00000000-0005-0000-0000-000068380000}"/>
    <cellStyle name="Финансовый 3 3 4 3 2 2 2 3 3 2" xfId="31980" xr:uid="{DD4E05A3-9170-4F12-887E-4FED50DD3FDC}"/>
    <cellStyle name="Финансовый 3 3 4 3 2 2 2 3 4" xfId="18048" xr:uid="{00000000-0005-0000-0000-000069380000}"/>
    <cellStyle name="Финансовый 3 3 4 3 2 2 2 3 4 2" xfId="35061" xr:uid="{9DAD576D-F711-430E-A692-744F057723A5}"/>
    <cellStyle name="Финансовый 3 3 4 3 2 2 2 3 5" xfId="25751" xr:uid="{AB17A4B8-C320-4739-87E6-99D168839F4B}"/>
    <cellStyle name="Финансовый 3 3 4 3 2 2 2 4" xfId="11732" xr:uid="{00000000-0005-0000-0000-00006A380000}"/>
    <cellStyle name="Финансовый 3 3 4 3 2 2 2 4 2" xfId="28821" xr:uid="{3AE940CE-387F-4159-8AC7-352861183B49}"/>
    <cellStyle name="Финансовый 3 3 4 3 2 2 2 5" xfId="14964" xr:uid="{00000000-0005-0000-0000-00006B380000}"/>
    <cellStyle name="Финансовый 3 3 4 3 2 2 2 5 2" xfId="31977" xr:uid="{7E898A1E-3F66-476E-94C4-5F051F1CC717}"/>
    <cellStyle name="Финансовый 3 3 4 3 2 2 2 6" xfId="18045" xr:uid="{00000000-0005-0000-0000-00006C380000}"/>
    <cellStyle name="Финансовый 3 3 4 3 2 2 2 6 2" xfId="35058" xr:uid="{CFBD64EF-8725-4CB7-B5C0-BE355E7D4639}"/>
    <cellStyle name="Финансовый 3 3 4 3 2 2 2 7" xfId="25748" xr:uid="{76730C19-A23D-494C-928D-6948699320ED}"/>
    <cellStyle name="Финансовый 3 3 4 3 2 2 3" xfId="8645" xr:uid="{00000000-0005-0000-0000-00006D380000}"/>
    <cellStyle name="Финансовый 3 3 4 3 2 2 3 2" xfId="8646" xr:uid="{00000000-0005-0000-0000-00006E380000}"/>
    <cellStyle name="Финансовый 3 3 4 3 2 2 3 2 2" xfId="11737" xr:uid="{00000000-0005-0000-0000-00006F380000}"/>
    <cellStyle name="Финансовый 3 3 4 3 2 2 3 2 2 2" xfId="28826" xr:uid="{7AFC81BD-8F8D-4083-90EB-99B48E748908}"/>
    <cellStyle name="Финансовый 3 3 4 3 2 2 3 2 3" xfId="14969" xr:uid="{00000000-0005-0000-0000-000070380000}"/>
    <cellStyle name="Финансовый 3 3 4 3 2 2 3 2 3 2" xfId="31982" xr:uid="{7D574D5E-345B-4401-96B2-87DEA61C083D}"/>
    <cellStyle name="Финансовый 3 3 4 3 2 2 3 2 4" xfId="18050" xr:uid="{00000000-0005-0000-0000-000071380000}"/>
    <cellStyle name="Финансовый 3 3 4 3 2 2 3 2 4 2" xfId="35063" xr:uid="{AD2920BE-7DBA-4897-B4EC-B863F42A675D}"/>
    <cellStyle name="Финансовый 3 3 4 3 2 2 3 2 5" xfId="25753" xr:uid="{05DB2D32-6540-4028-B6EF-9A10465EF15D}"/>
    <cellStyle name="Финансовый 3 3 4 3 2 2 3 3" xfId="11736" xr:uid="{00000000-0005-0000-0000-000072380000}"/>
    <cellStyle name="Финансовый 3 3 4 3 2 2 3 3 2" xfId="28825" xr:uid="{42D87173-3F15-4238-B7F2-7E43CA60F001}"/>
    <cellStyle name="Финансовый 3 3 4 3 2 2 3 4" xfId="14968" xr:uid="{00000000-0005-0000-0000-000073380000}"/>
    <cellStyle name="Финансовый 3 3 4 3 2 2 3 4 2" xfId="31981" xr:uid="{E373A47E-BEF6-4DB2-83CF-1039614363F7}"/>
    <cellStyle name="Финансовый 3 3 4 3 2 2 3 5" xfId="18049" xr:uid="{00000000-0005-0000-0000-000074380000}"/>
    <cellStyle name="Финансовый 3 3 4 3 2 2 3 5 2" xfId="35062" xr:uid="{3C994A49-0E52-4FC8-8281-744A599DCA62}"/>
    <cellStyle name="Финансовый 3 3 4 3 2 2 3 6" xfId="25752" xr:uid="{395867A6-4DC8-4A63-BD7F-1DA906AB4F5C}"/>
    <cellStyle name="Финансовый 3 3 4 3 2 2 4" xfId="8647" xr:uid="{00000000-0005-0000-0000-000075380000}"/>
    <cellStyle name="Финансовый 3 3 4 3 2 2 4 2" xfId="11738" xr:uid="{00000000-0005-0000-0000-000076380000}"/>
    <cellStyle name="Финансовый 3 3 4 3 2 2 4 2 2" xfId="28827" xr:uid="{7468EAFA-05EB-40F7-8D11-CE5184C4D186}"/>
    <cellStyle name="Финансовый 3 3 4 3 2 2 4 3" xfId="14970" xr:uid="{00000000-0005-0000-0000-000077380000}"/>
    <cellStyle name="Финансовый 3 3 4 3 2 2 4 3 2" xfId="31983" xr:uid="{F2AF886A-471B-4EF1-A210-77FDB5466FE4}"/>
    <cellStyle name="Финансовый 3 3 4 3 2 2 4 4" xfId="18051" xr:uid="{00000000-0005-0000-0000-000078380000}"/>
    <cellStyle name="Финансовый 3 3 4 3 2 2 4 4 2" xfId="35064" xr:uid="{AC7A254B-DD07-4761-BF2C-503C50E3A249}"/>
    <cellStyle name="Финансовый 3 3 4 3 2 2 4 5" xfId="25754" xr:uid="{2CF53595-9EAA-4B2A-83AB-5CA8CCA03A32}"/>
    <cellStyle name="Финансовый 3 3 4 3 2 2 5" xfId="11731" xr:uid="{00000000-0005-0000-0000-000079380000}"/>
    <cellStyle name="Финансовый 3 3 4 3 2 2 5 2" xfId="28820" xr:uid="{0965EE3F-29F7-4CC6-853A-568C28F98CDD}"/>
    <cellStyle name="Финансовый 3 3 4 3 2 2 6" xfId="14963" xr:uid="{00000000-0005-0000-0000-00007A380000}"/>
    <cellStyle name="Финансовый 3 3 4 3 2 2 6 2" xfId="31976" xr:uid="{9EB667AA-74FF-4B19-9A6D-84037325DB23}"/>
    <cellStyle name="Финансовый 3 3 4 3 2 2 7" xfId="18044" xr:uid="{00000000-0005-0000-0000-00007B380000}"/>
    <cellStyle name="Финансовый 3 3 4 3 2 2 7 2" xfId="35057" xr:uid="{A00A24C3-EAF8-4BCE-B75C-1E66DFDA4BD6}"/>
    <cellStyle name="Финансовый 3 3 4 3 2 2 8" xfId="25747" xr:uid="{AC5FC32A-F63F-4760-90F9-9A3B84707A7B}"/>
    <cellStyle name="Финансовый 3 3 4 3 2 3" xfId="8648" xr:uid="{00000000-0005-0000-0000-00007C380000}"/>
    <cellStyle name="Финансовый 3 3 4 3 2 3 2" xfId="8649" xr:uid="{00000000-0005-0000-0000-00007D380000}"/>
    <cellStyle name="Финансовый 3 3 4 3 2 3 2 2" xfId="8650" xr:uid="{00000000-0005-0000-0000-00007E380000}"/>
    <cellStyle name="Финансовый 3 3 4 3 2 3 2 2 2" xfId="11741" xr:uid="{00000000-0005-0000-0000-00007F380000}"/>
    <cellStyle name="Финансовый 3 3 4 3 2 3 2 2 2 2" xfId="28830" xr:uid="{48BC90B1-16AE-4319-B761-22693FCCF630}"/>
    <cellStyle name="Финансовый 3 3 4 3 2 3 2 2 3" xfId="14973" xr:uid="{00000000-0005-0000-0000-000080380000}"/>
    <cellStyle name="Финансовый 3 3 4 3 2 3 2 2 3 2" xfId="31986" xr:uid="{BD41D9AC-65CE-44FB-B199-7AAFA252BFE1}"/>
    <cellStyle name="Финансовый 3 3 4 3 2 3 2 2 4" xfId="18054" xr:uid="{00000000-0005-0000-0000-000081380000}"/>
    <cellStyle name="Финансовый 3 3 4 3 2 3 2 2 4 2" xfId="35067" xr:uid="{1DD2785F-875E-4AE2-9617-4EDBA0C05C29}"/>
    <cellStyle name="Финансовый 3 3 4 3 2 3 2 2 5" xfId="25757" xr:uid="{69C2B7C2-AA2B-4580-8190-0735DA6C0CB5}"/>
    <cellStyle name="Финансовый 3 3 4 3 2 3 2 3" xfId="11740" xr:uid="{00000000-0005-0000-0000-000082380000}"/>
    <cellStyle name="Финансовый 3 3 4 3 2 3 2 3 2" xfId="28829" xr:uid="{B3DE7FE1-3712-4CD1-BBBA-A0B6955592E4}"/>
    <cellStyle name="Финансовый 3 3 4 3 2 3 2 4" xfId="14972" xr:uid="{00000000-0005-0000-0000-000083380000}"/>
    <cellStyle name="Финансовый 3 3 4 3 2 3 2 4 2" xfId="31985" xr:uid="{6176AC9E-5654-4106-93FC-70FE5C041544}"/>
    <cellStyle name="Финансовый 3 3 4 3 2 3 2 5" xfId="18053" xr:uid="{00000000-0005-0000-0000-000084380000}"/>
    <cellStyle name="Финансовый 3 3 4 3 2 3 2 5 2" xfId="35066" xr:uid="{85AEFB42-28C5-41F0-9DC8-23E9979041C2}"/>
    <cellStyle name="Финансовый 3 3 4 3 2 3 2 6" xfId="25756" xr:uid="{A78CB682-68C3-4739-A6E8-56F3A47BCC13}"/>
    <cellStyle name="Финансовый 3 3 4 3 2 3 3" xfId="8651" xr:uid="{00000000-0005-0000-0000-000085380000}"/>
    <cellStyle name="Финансовый 3 3 4 3 2 3 3 2" xfId="11742" xr:uid="{00000000-0005-0000-0000-000086380000}"/>
    <cellStyle name="Финансовый 3 3 4 3 2 3 3 2 2" xfId="28831" xr:uid="{734F42DA-000D-4D70-970A-BE48DE1B2EF5}"/>
    <cellStyle name="Финансовый 3 3 4 3 2 3 3 3" xfId="14974" xr:uid="{00000000-0005-0000-0000-000087380000}"/>
    <cellStyle name="Финансовый 3 3 4 3 2 3 3 3 2" xfId="31987" xr:uid="{88130F65-5BA0-4AF5-8789-D7BE69B82737}"/>
    <cellStyle name="Финансовый 3 3 4 3 2 3 3 4" xfId="18055" xr:uid="{00000000-0005-0000-0000-000088380000}"/>
    <cellStyle name="Финансовый 3 3 4 3 2 3 3 4 2" xfId="35068" xr:uid="{C110E09F-C177-414D-BF57-4DF27F06FADB}"/>
    <cellStyle name="Финансовый 3 3 4 3 2 3 3 5" xfId="25758" xr:uid="{66E53821-F2B7-418D-8C8C-C5BD476A2A23}"/>
    <cellStyle name="Финансовый 3 3 4 3 2 3 4" xfId="11739" xr:uid="{00000000-0005-0000-0000-000089380000}"/>
    <cellStyle name="Финансовый 3 3 4 3 2 3 4 2" xfId="28828" xr:uid="{804329C3-F080-46E5-9C6B-462C599BFE61}"/>
    <cellStyle name="Финансовый 3 3 4 3 2 3 5" xfId="14971" xr:uid="{00000000-0005-0000-0000-00008A380000}"/>
    <cellStyle name="Финансовый 3 3 4 3 2 3 5 2" xfId="31984" xr:uid="{15008623-1E4C-4CB3-9EA3-CC6D0831EDA3}"/>
    <cellStyle name="Финансовый 3 3 4 3 2 3 6" xfId="18052" xr:uid="{00000000-0005-0000-0000-00008B380000}"/>
    <cellStyle name="Финансовый 3 3 4 3 2 3 6 2" xfId="35065" xr:uid="{50B86D9A-5EF8-4929-AF74-C22EB2CF19A8}"/>
    <cellStyle name="Финансовый 3 3 4 3 2 3 7" xfId="25755" xr:uid="{38B02625-BCE2-408A-BD48-2E4E8A8E7F70}"/>
    <cellStyle name="Финансовый 3 3 4 3 2 4" xfId="8652" xr:uid="{00000000-0005-0000-0000-00008C380000}"/>
    <cellStyle name="Финансовый 3 3 4 3 2 4 2" xfId="8653" xr:uid="{00000000-0005-0000-0000-00008D380000}"/>
    <cellStyle name="Финансовый 3 3 4 3 2 4 2 2" xfId="11744" xr:uid="{00000000-0005-0000-0000-00008E380000}"/>
    <cellStyle name="Финансовый 3 3 4 3 2 4 2 2 2" xfId="28833" xr:uid="{C2083B1A-38C2-43CA-A8D8-1FF1807E791B}"/>
    <cellStyle name="Финансовый 3 3 4 3 2 4 2 3" xfId="14976" xr:uid="{00000000-0005-0000-0000-00008F380000}"/>
    <cellStyle name="Финансовый 3 3 4 3 2 4 2 3 2" xfId="31989" xr:uid="{C5772785-E668-4A31-ACAA-89147548AE0C}"/>
    <cellStyle name="Финансовый 3 3 4 3 2 4 2 4" xfId="18057" xr:uid="{00000000-0005-0000-0000-000090380000}"/>
    <cellStyle name="Финансовый 3 3 4 3 2 4 2 4 2" xfId="35070" xr:uid="{17948252-97F6-4D75-B216-1D1EB1685BE1}"/>
    <cellStyle name="Финансовый 3 3 4 3 2 4 2 5" xfId="25760" xr:uid="{EA00C879-8197-477C-BAB6-F2E3DCAFACF2}"/>
    <cellStyle name="Финансовый 3 3 4 3 2 4 3" xfId="11743" xr:uid="{00000000-0005-0000-0000-000091380000}"/>
    <cellStyle name="Финансовый 3 3 4 3 2 4 3 2" xfId="28832" xr:uid="{BD7C98A7-F452-4E02-8C5A-85317CBD2C82}"/>
    <cellStyle name="Финансовый 3 3 4 3 2 4 4" xfId="14975" xr:uid="{00000000-0005-0000-0000-000092380000}"/>
    <cellStyle name="Финансовый 3 3 4 3 2 4 4 2" xfId="31988" xr:uid="{7683E46E-3665-4B64-A2DE-60089B2A162A}"/>
    <cellStyle name="Финансовый 3 3 4 3 2 4 5" xfId="18056" xr:uid="{00000000-0005-0000-0000-000093380000}"/>
    <cellStyle name="Финансовый 3 3 4 3 2 4 5 2" xfId="35069" xr:uid="{AF6B74F9-9030-422C-A3ED-8CA233CD535B}"/>
    <cellStyle name="Финансовый 3 3 4 3 2 4 6" xfId="25759" xr:uid="{4280858D-CC37-4645-8906-9E21716B1810}"/>
    <cellStyle name="Финансовый 3 3 4 3 2 5" xfId="8654" xr:uid="{00000000-0005-0000-0000-000094380000}"/>
    <cellStyle name="Финансовый 3 3 4 3 2 5 2" xfId="11745" xr:uid="{00000000-0005-0000-0000-000095380000}"/>
    <cellStyle name="Финансовый 3 3 4 3 2 5 2 2" xfId="28834" xr:uid="{60031D9C-FE30-4AA6-9ECF-6C0C9A3ECD8D}"/>
    <cellStyle name="Финансовый 3 3 4 3 2 5 3" xfId="14977" xr:uid="{00000000-0005-0000-0000-000096380000}"/>
    <cellStyle name="Финансовый 3 3 4 3 2 5 3 2" xfId="31990" xr:uid="{597E0406-67AB-471C-AC45-0A6A6218B5CE}"/>
    <cellStyle name="Финансовый 3 3 4 3 2 5 4" xfId="18058" xr:uid="{00000000-0005-0000-0000-000097380000}"/>
    <cellStyle name="Финансовый 3 3 4 3 2 5 4 2" xfId="35071" xr:uid="{ABEBEE64-AEB3-4F9C-A09C-AB537F66D669}"/>
    <cellStyle name="Финансовый 3 3 4 3 2 5 5" xfId="25761" xr:uid="{84AD17C8-579E-4DB5-B829-669EF0C27FDC}"/>
    <cellStyle name="Финансовый 3 3 4 3 2 6" xfId="11730" xr:uid="{00000000-0005-0000-0000-000098380000}"/>
    <cellStyle name="Финансовый 3 3 4 3 2 6 2" xfId="28819" xr:uid="{FC7E570C-2512-4DA3-B30A-A49896CAEF6C}"/>
    <cellStyle name="Финансовый 3 3 4 3 2 7" xfId="14962" xr:uid="{00000000-0005-0000-0000-000099380000}"/>
    <cellStyle name="Финансовый 3 3 4 3 2 7 2" xfId="31975" xr:uid="{668ECC81-2DDA-42F7-B981-C61396887AB1}"/>
    <cellStyle name="Финансовый 3 3 4 3 2 8" xfId="18043" xr:uid="{00000000-0005-0000-0000-00009A380000}"/>
    <cellStyle name="Финансовый 3 3 4 3 2 8 2" xfId="35056" xr:uid="{D66CD2BD-3DE4-477B-97FF-1927A35A3E90}"/>
    <cellStyle name="Финансовый 3 3 4 3 2 9" xfId="25746" xr:uid="{65763109-943A-4240-AB31-9568C6A5F5D1}"/>
    <cellStyle name="Финансовый 3 3 4 3 3" xfId="8655" xr:uid="{00000000-0005-0000-0000-00009B380000}"/>
    <cellStyle name="Финансовый 3 3 4 3 3 2" xfId="8656" xr:uid="{00000000-0005-0000-0000-00009C380000}"/>
    <cellStyle name="Финансовый 3 3 4 3 3 2 2" xfId="8657" xr:uid="{00000000-0005-0000-0000-00009D380000}"/>
    <cellStyle name="Финансовый 3 3 4 3 3 2 2 2" xfId="8658" xr:uid="{00000000-0005-0000-0000-00009E380000}"/>
    <cellStyle name="Финансовый 3 3 4 3 3 2 2 2 2" xfId="11749" xr:uid="{00000000-0005-0000-0000-00009F380000}"/>
    <cellStyle name="Финансовый 3 3 4 3 3 2 2 2 2 2" xfId="28838" xr:uid="{87390B6F-4D6A-4ABD-845B-1217F48268C3}"/>
    <cellStyle name="Финансовый 3 3 4 3 3 2 2 2 3" xfId="14981" xr:uid="{00000000-0005-0000-0000-0000A0380000}"/>
    <cellStyle name="Финансовый 3 3 4 3 3 2 2 2 3 2" xfId="31994" xr:uid="{A97A06AC-BE38-4D08-9EFE-86627E9AF0E1}"/>
    <cellStyle name="Финансовый 3 3 4 3 3 2 2 2 4" xfId="18062" xr:uid="{00000000-0005-0000-0000-0000A1380000}"/>
    <cellStyle name="Финансовый 3 3 4 3 3 2 2 2 4 2" xfId="35075" xr:uid="{15F90A36-693E-4EF1-93C7-C1E51FBACE86}"/>
    <cellStyle name="Финансовый 3 3 4 3 3 2 2 2 5" xfId="25765" xr:uid="{37578C22-6A4E-4F39-AF5C-7E8EEF9A886A}"/>
    <cellStyle name="Финансовый 3 3 4 3 3 2 2 3" xfId="11748" xr:uid="{00000000-0005-0000-0000-0000A2380000}"/>
    <cellStyle name="Финансовый 3 3 4 3 3 2 2 3 2" xfId="28837" xr:uid="{79F701C5-8B09-496D-8DE4-12B00980F680}"/>
    <cellStyle name="Финансовый 3 3 4 3 3 2 2 4" xfId="14980" xr:uid="{00000000-0005-0000-0000-0000A3380000}"/>
    <cellStyle name="Финансовый 3 3 4 3 3 2 2 4 2" xfId="31993" xr:uid="{D40D8767-24E1-4238-9C49-D1F33BE95975}"/>
    <cellStyle name="Финансовый 3 3 4 3 3 2 2 5" xfId="18061" xr:uid="{00000000-0005-0000-0000-0000A4380000}"/>
    <cellStyle name="Финансовый 3 3 4 3 3 2 2 5 2" xfId="35074" xr:uid="{CA9794AF-A1B6-4606-9501-BDC5863BEDE6}"/>
    <cellStyle name="Финансовый 3 3 4 3 3 2 2 6" xfId="25764" xr:uid="{00899B3D-7A17-4705-A923-278B4F9C00E2}"/>
    <cellStyle name="Финансовый 3 3 4 3 3 2 3" xfId="8659" xr:uid="{00000000-0005-0000-0000-0000A5380000}"/>
    <cellStyle name="Финансовый 3 3 4 3 3 2 3 2" xfId="11750" xr:uid="{00000000-0005-0000-0000-0000A6380000}"/>
    <cellStyle name="Финансовый 3 3 4 3 3 2 3 2 2" xfId="28839" xr:uid="{5F9F6384-D881-4D90-9AB6-DEC48A888678}"/>
    <cellStyle name="Финансовый 3 3 4 3 3 2 3 3" xfId="14982" xr:uid="{00000000-0005-0000-0000-0000A7380000}"/>
    <cellStyle name="Финансовый 3 3 4 3 3 2 3 3 2" xfId="31995" xr:uid="{486FDE93-8196-4621-80AD-8058CF2EA859}"/>
    <cellStyle name="Финансовый 3 3 4 3 3 2 3 4" xfId="18063" xr:uid="{00000000-0005-0000-0000-0000A8380000}"/>
    <cellStyle name="Финансовый 3 3 4 3 3 2 3 4 2" xfId="35076" xr:uid="{25D7E0DD-2E1A-42FD-966F-F399C105762B}"/>
    <cellStyle name="Финансовый 3 3 4 3 3 2 3 5" xfId="25766" xr:uid="{EA880B3E-E1A5-4039-A011-6C853778ECC0}"/>
    <cellStyle name="Финансовый 3 3 4 3 3 2 4" xfId="11747" xr:uid="{00000000-0005-0000-0000-0000A9380000}"/>
    <cellStyle name="Финансовый 3 3 4 3 3 2 4 2" xfId="28836" xr:uid="{9B69A1B0-DDC5-42C9-9249-676829E1E875}"/>
    <cellStyle name="Финансовый 3 3 4 3 3 2 5" xfId="14979" xr:uid="{00000000-0005-0000-0000-0000AA380000}"/>
    <cellStyle name="Финансовый 3 3 4 3 3 2 5 2" xfId="31992" xr:uid="{109F7311-004D-4D4E-875C-FAA3B9E7B1E6}"/>
    <cellStyle name="Финансовый 3 3 4 3 3 2 6" xfId="18060" xr:uid="{00000000-0005-0000-0000-0000AB380000}"/>
    <cellStyle name="Финансовый 3 3 4 3 3 2 6 2" xfId="35073" xr:uid="{2059F7AB-2D12-4C2D-8846-AE24BFA872B3}"/>
    <cellStyle name="Финансовый 3 3 4 3 3 2 7" xfId="25763" xr:uid="{0B39CAF0-6E86-4D9F-8647-EB180BC66905}"/>
    <cellStyle name="Финансовый 3 3 4 3 3 3" xfId="8660" xr:uid="{00000000-0005-0000-0000-0000AC380000}"/>
    <cellStyle name="Финансовый 3 3 4 3 3 3 2" xfId="8661" xr:uid="{00000000-0005-0000-0000-0000AD380000}"/>
    <cellStyle name="Финансовый 3 3 4 3 3 3 2 2" xfId="11752" xr:uid="{00000000-0005-0000-0000-0000AE380000}"/>
    <cellStyle name="Финансовый 3 3 4 3 3 3 2 2 2" xfId="28841" xr:uid="{078B3BF7-B996-4705-93E9-4BD811CFA167}"/>
    <cellStyle name="Финансовый 3 3 4 3 3 3 2 3" xfId="14984" xr:uid="{00000000-0005-0000-0000-0000AF380000}"/>
    <cellStyle name="Финансовый 3 3 4 3 3 3 2 3 2" xfId="31997" xr:uid="{4AF10941-CA1F-4601-9F71-2F2607FCDF76}"/>
    <cellStyle name="Финансовый 3 3 4 3 3 3 2 4" xfId="18065" xr:uid="{00000000-0005-0000-0000-0000B0380000}"/>
    <cellStyle name="Финансовый 3 3 4 3 3 3 2 4 2" xfId="35078" xr:uid="{B4183324-923C-4AFC-A5A4-AE0093BA5D1C}"/>
    <cellStyle name="Финансовый 3 3 4 3 3 3 2 5" xfId="25768" xr:uid="{A7B8A4B0-15A5-4C67-A382-A801B4B18D02}"/>
    <cellStyle name="Финансовый 3 3 4 3 3 3 3" xfId="11751" xr:uid="{00000000-0005-0000-0000-0000B1380000}"/>
    <cellStyle name="Финансовый 3 3 4 3 3 3 3 2" xfId="28840" xr:uid="{3904D7DD-DFB9-4FAF-8C13-4D41727949F4}"/>
    <cellStyle name="Финансовый 3 3 4 3 3 3 4" xfId="14983" xr:uid="{00000000-0005-0000-0000-0000B2380000}"/>
    <cellStyle name="Финансовый 3 3 4 3 3 3 4 2" xfId="31996" xr:uid="{A9A0C38D-0C16-4590-B7E7-5345A4F40A40}"/>
    <cellStyle name="Финансовый 3 3 4 3 3 3 5" xfId="18064" xr:uid="{00000000-0005-0000-0000-0000B3380000}"/>
    <cellStyle name="Финансовый 3 3 4 3 3 3 5 2" xfId="35077" xr:uid="{85CF0D1C-D1C3-4F6E-A13C-C398F9D48910}"/>
    <cellStyle name="Финансовый 3 3 4 3 3 3 6" xfId="25767" xr:uid="{934B919B-90BF-412D-9109-A1DBBC084DFC}"/>
    <cellStyle name="Финансовый 3 3 4 3 3 4" xfId="8662" xr:uid="{00000000-0005-0000-0000-0000B4380000}"/>
    <cellStyle name="Финансовый 3 3 4 3 3 4 2" xfId="11753" xr:uid="{00000000-0005-0000-0000-0000B5380000}"/>
    <cellStyle name="Финансовый 3 3 4 3 3 4 2 2" xfId="28842" xr:uid="{E229EB21-DA58-471D-859D-A281BBAEB4C5}"/>
    <cellStyle name="Финансовый 3 3 4 3 3 4 3" xfId="14985" xr:uid="{00000000-0005-0000-0000-0000B6380000}"/>
    <cellStyle name="Финансовый 3 3 4 3 3 4 3 2" xfId="31998" xr:uid="{845AE0C6-524B-47F5-AB54-C30EC31EE1DF}"/>
    <cellStyle name="Финансовый 3 3 4 3 3 4 4" xfId="18066" xr:uid="{00000000-0005-0000-0000-0000B7380000}"/>
    <cellStyle name="Финансовый 3 3 4 3 3 4 4 2" xfId="35079" xr:uid="{CFD3BBB3-8D10-4E98-973F-39EAD2943989}"/>
    <cellStyle name="Финансовый 3 3 4 3 3 4 5" xfId="25769" xr:uid="{90A7F087-A21C-4ACF-898A-6684A144790D}"/>
    <cellStyle name="Финансовый 3 3 4 3 3 5" xfId="11746" xr:uid="{00000000-0005-0000-0000-0000B8380000}"/>
    <cellStyle name="Финансовый 3 3 4 3 3 5 2" xfId="28835" xr:uid="{5BFD2B76-E633-4D91-9DFC-0B911D1BB616}"/>
    <cellStyle name="Финансовый 3 3 4 3 3 6" xfId="14978" xr:uid="{00000000-0005-0000-0000-0000B9380000}"/>
    <cellStyle name="Финансовый 3 3 4 3 3 6 2" xfId="31991" xr:uid="{E384893E-92C7-4BF1-9A51-B0C0C1CFEE88}"/>
    <cellStyle name="Финансовый 3 3 4 3 3 7" xfId="18059" xr:uid="{00000000-0005-0000-0000-0000BA380000}"/>
    <cellStyle name="Финансовый 3 3 4 3 3 7 2" xfId="35072" xr:uid="{0A7A8F3D-68AE-47AE-97F3-500ED05C4726}"/>
    <cellStyle name="Финансовый 3 3 4 3 3 8" xfId="25762" xr:uid="{28892629-469B-4D2F-9F27-011351A1E99B}"/>
    <cellStyle name="Финансовый 3 3 4 3 4" xfId="8663" xr:uid="{00000000-0005-0000-0000-0000BB380000}"/>
    <cellStyle name="Финансовый 3 3 4 3 4 2" xfId="8664" xr:uid="{00000000-0005-0000-0000-0000BC380000}"/>
    <cellStyle name="Финансовый 3 3 4 3 4 2 2" xfId="8665" xr:uid="{00000000-0005-0000-0000-0000BD380000}"/>
    <cellStyle name="Финансовый 3 3 4 3 4 2 2 2" xfId="11756" xr:uid="{00000000-0005-0000-0000-0000BE380000}"/>
    <cellStyle name="Финансовый 3 3 4 3 4 2 2 2 2" xfId="28845" xr:uid="{CA96FD83-1553-4ED6-AA8D-07D37AC2E030}"/>
    <cellStyle name="Финансовый 3 3 4 3 4 2 2 3" xfId="14988" xr:uid="{00000000-0005-0000-0000-0000BF380000}"/>
    <cellStyle name="Финансовый 3 3 4 3 4 2 2 3 2" xfId="32001" xr:uid="{AE6F825A-3621-48CE-A22C-B142D344A3F9}"/>
    <cellStyle name="Финансовый 3 3 4 3 4 2 2 4" xfId="18069" xr:uid="{00000000-0005-0000-0000-0000C0380000}"/>
    <cellStyle name="Финансовый 3 3 4 3 4 2 2 4 2" xfId="35082" xr:uid="{EA6CDEF3-B1D3-4423-9151-CD009C7E25E9}"/>
    <cellStyle name="Финансовый 3 3 4 3 4 2 2 5" xfId="25772" xr:uid="{BB6806A4-AD90-4B17-A790-971957108BFC}"/>
    <cellStyle name="Финансовый 3 3 4 3 4 2 3" xfId="11755" xr:uid="{00000000-0005-0000-0000-0000C1380000}"/>
    <cellStyle name="Финансовый 3 3 4 3 4 2 3 2" xfId="28844" xr:uid="{D9219C3A-92F6-4B2E-AAD0-180D767205B3}"/>
    <cellStyle name="Финансовый 3 3 4 3 4 2 4" xfId="14987" xr:uid="{00000000-0005-0000-0000-0000C2380000}"/>
    <cellStyle name="Финансовый 3 3 4 3 4 2 4 2" xfId="32000" xr:uid="{0194014C-D878-4A25-A9C9-D2B329F037D9}"/>
    <cellStyle name="Финансовый 3 3 4 3 4 2 5" xfId="18068" xr:uid="{00000000-0005-0000-0000-0000C3380000}"/>
    <cellStyle name="Финансовый 3 3 4 3 4 2 5 2" xfId="35081" xr:uid="{8F1CFE42-4E3D-47CE-B66E-46356FF64474}"/>
    <cellStyle name="Финансовый 3 3 4 3 4 2 6" xfId="25771" xr:uid="{0569FB70-B2B1-403E-B4C9-3763F82E5B2A}"/>
    <cellStyle name="Финансовый 3 3 4 3 4 3" xfId="8666" xr:uid="{00000000-0005-0000-0000-0000C4380000}"/>
    <cellStyle name="Финансовый 3 3 4 3 4 3 2" xfId="11757" xr:uid="{00000000-0005-0000-0000-0000C5380000}"/>
    <cellStyle name="Финансовый 3 3 4 3 4 3 2 2" xfId="28846" xr:uid="{DCB294CF-E199-4BE4-8F71-AF7ADDF74A7A}"/>
    <cellStyle name="Финансовый 3 3 4 3 4 3 3" xfId="14989" xr:uid="{00000000-0005-0000-0000-0000C6380000}"/>
    <cellStyle name="Финансовый 3 3 4 3 4 3 3 2" xfId="32002" xr:uid="{E9D45212-FFA5-41B5-A9DD-97AE98173A7C}"/>
    <cellStyle name="Финансовый 3 3 4 3 4 3 4" xfId="18070" xr:uid="{00000000-0005-0000-0000-0000C7380000}"/>
    <cellStyle name="Финансовый 3 3 4 3 4 3 4 2" xfId="35083" xr:uid="{6C7450BF-58B7-41FA-B159-B378213615EE}"/>
    <cellStyle name="Финансовый 3 3 4 3 4 3 5" xfId="25773" xr:uid="{72E5230F-C81D-4B58-B34C-1214F22B8F18}"/>
    <cellStyle name="Финансовый 3 3 4 3 4 4" xfId="11754" xr:uid="{00000000-0005-0000-0000-0000C8380000}"/>
    <cellStyle name="Финансовый 3 3 4 3 4 4 2" xfId="28843" xr:uid="{5804392D-C1C6-49A5-A752-B81E530ADC31}"/>
    <cellStyle name="Финансовый 3 3 4 3 4 5" xfId="14986" xr:uid="{00000000-0005-0000-0000-0000C9380000}"/>
    <cellStyle name="Финансовый 3 3 4 3 4 5 2" xfId="31999" xr:uid="{4ED2BA86-8441-49FF-ACB1-F02DA3C35EFB}"/>
    <cellStyle name="Финансовый 3 3 4 3 4 6" xfId="18067" xr:uid="{00000000-0005-0000-0000-0000CA380000}"/>
    <cellStyle name="Финансовый 3 3 4 3 4 6 2" xfId="35080" xr:uid="{A494C205-77F0-48CE-8E30-18EFE395FF08}"/>
    <cellStyle name="Финансовый 3 3 4 3 4 7" xfId="25770" xr:uid="{95178FED-CF3E-4A3B-AA3F-2B67F67FF56E}"/>
    <cellStyle name="Финансовый 3 3 4 3 5" xfId="8667" xr:uid="{00000000-0005-0000-0000-0000CB380000}"/>
    <cellStyle name="Финансовый 3 3 4 3 5 2" xfId="8668" xr:uid="{00000000-0005-0000-0000-0000CC380000}"/>
    <cellStyle name="Финансовый 3 3 4 3 5 2 2" xfId="11759" xr:uid="{00000000-0005-0000-0000-0000CD380000}"/>
    <cellStyle name="Финансовый 3 3 4 3 5 2 2 2" xfId="28848" xr:uid="{8EB949E3-4F4F-4E91-9799-40EE17FCDA91}"/>
    <cellStyle name="Финансовый 3 3 4 3 5 2 3" xfId="14991" xr:uid="{00000000-0005-0000-0000-0000CE380000}"/>
    <cellStyle name="Финансовый 3 3 4 3 5 2 3 2" xfId="32004" xr:uid="{1405330C-C2E0-4FA4-A5F6-61554A809FC0}"/>
    <cellStyle name="Финансовый 3 3 4 3 5 2 4" xfId="18072" xr:uid="{00000000-0005-0000-0000-0000CF380000}"/>
    <cellStyle name="Финансовый 3 3 4 3 5 2 4 2" xfId="35085" xr:uid="{A074BDAA-6BAC-491D-A0CE-A6E872B7B702}"/>
    <cellStyle name="Финансовый 3 3 4 3 5 2 5" xfId="25775" xr:uid="{456E8928-4B41-47A3-AA9B-EB6C4EB4C992}"/>
    <cellStyle name="Финансовый 3 3 4 3 5 3" xfId="11758" xr:uid="{00000000-0005-0000-0000-0000D0380000}"/>
    <cellStyle name="Финансовый 3 3 4 3 5 3 2" xfId="28847" xr:uid="{E28A9189-5E6D-4492-877B-FC68F574C44C}"/>
    <cellStyle name="Финансовый 3 3 4 3 5 4" xfId="14990" xr:uid="{00000000-0005-0000-0000-0000D1380000}"/>
    <cellStyle name="Финансовый 3 3 4 3 5 4 2" xfId="32003" xr:uid="{DDE61195-29B2-4B41-947C-2205B0FA7F69}"/>
    <cellStyle name="Финансовый 3 3 4 3 5 5" xfId="18071" xr:uid="{00000000-0005-0000-0000-0000D2380000}"/>
    <cellStyle name="Финансовый 3 3 4 3 5 5 2" xfId="35084" xr:uid="{5BEC43FB-A96F-43B4-9AAB-54CB22141A03}"/>
    <cellStyle name="Финансовый 3 3 4 3 5 6" xfId="25774" xr:uid="{9F392744-6A3A-403C-9E6A-52D4E2AD7048}"/>
    <cellStyle name="Финансовый 3 3 4 3 6" xfId="8669" xr:uid="{00000000-0005-0000-0000-0000D3380000}"/>
    <cellStyle name="Финансовый 3 3 4 3 6 2" xfId="11760" xr:uid="{00000000-0005-0000-0000-0000D4380000}"/>
    <cellStyle name="Финансовый 3 3 4 3 6 2 2" xfId="28849" xr:uid="{CC6721AD-8B2B-48B5-A8A7-5706E2799646}"/>
    <cellStyle name="Финансовый 3 3 4 3 6 3" xfId="14992" xr:uid="{00000000-0005-0000-0000-0000D5380000}"/>
    <cellStyle name="Финансовый 3 3 4 3 6 3 2" xfId="32005" xr:uid="{03EF1B5E-F503-4586-BB93-F726B0B1C74E}"/>
    <cellStyle name="Финансовый 3 3 4 3 6 4" xfId="18073" xr:uid="{00000000-0005-0000-0000-0000D6380000}"/>
    <cellStyle name="Финансовый 3 3 4 3 6 4 2" xfId="35086" xr:uid="{7303AE31-AB07-4863-BC62-E13ECE6EE592}"/>
    <cellStyle name="Финансовый 3 3 4 3 6 5" xfId="25776" xr:uid="{C4829F30-470F-461E-B655-FD5D294574A1}"/>
    <cellStyle name="Финансовый 3 3 4 3 7" xfId="11729" xr:uid="{00000000-0005-0000-0000-0000D7380000}"/>
    <cellStyle name="Финансовый 3 3 4 3 7 2" xfId="28818" xr:uid="{98557735-E421-4EAD-AAC6-CA85231FD82F}"/>
    <cellStyle name="Финансовый 3 3 4 3 8" xfId="14961" xr:uid="{00000000-0005-0000-0000-0000D8380000}"/>
    <cellStyle name="Финансовый 3 3 4 3 8 2" xfId="31974" xr:uid="{D92F8616-6628-417D-9B25-A6637A26895A}"/>
    <cellStyle name="Финансовый 3 3 4 3 9" xfId="18042" xr:uid="{00000000-0005-0000-0000-0000D9380000}"/>
    <cellStyle name="Финансовый 3 3 4 3 9 2" xfId="35055" xr:uid="{74E40E5C-8811-48B3-BDA2-945A6BCCF742}"/>
    <cellStyle name="Финансовый 3 3 4 4" xfId="8670" xr:uid="{00000000-0005-0000-0000-0000DA380000}"/>
    <cellStyle name="Финансовый 3 3 4 4 2" xfId="8671" xr:uid="{00000000-0005-0000-0000-0000DB380000}"/>
    <cellStyle name="Финансовый 3 3 4 4 2 2" xfId="8672" xr:uid="{00000000-0005-0000-0000-0000DC380000}"/>
    <cellStyle name="Финансовый 3 3 4 4 2 2 2" xfId="8673" xr:uid="{00000000-0005-0000-0000-0000DD380000}"/>
    <cellStyle name="Финансовый 3 3 4 4 2 2 2 2" xfId="8674" xr:uid="{00000000-0005-0000-0000-0000DE380000}"/>
    <cellStyle name="Финансовый 3 3 4 4 2 2 2 2 2" xfId="11765" xr:uid="{00000000-0005-0000-0000-0000DF380000}"/>
    <cellStyle name="Финансовый 3 3 4 4 2 2 2 2 2 2" xfId="28854" xr:uid="{ED86D6DC-7A6C-4E9F-9F31-768F37E4BCA0}"/>
    <cellStyle name="Финансовый 3 3 4 4 2 2 2 2 3" xfId="14997" xr:uid="{00000000-0005-0000-0000-0000E0380000}"/>
    <cellStyle name="Финансовый 3 3 4 4 2 2 2 2 3 2" xfId="32010" xr:uid="{6620277B-4889-4B4B-BD74-42DD1FB779BB}"/>
    <cellStyle name="Финансовый 3 3 4 4 2 2 2 2 4" xfId="18078" xr:uid="{00000000-0005-0000-0000-0000E1380000}"/>
    <cellStyle name="Финансовый 3 3 4 4 2 2 2 2 4 2" xfId="35091" xr:uid="{28982714-4A4A-436A-8226-202B0BA75362}"/>
    <cellStyle name="Финансовый 3 3 4 4 2 2 2 2 5" xfId="25781" xr:uid="{2D394BAD-CA65-43F0-B527-32DD6861B870}"/>
    <cellStyle name="Финансовый 3 3 4 4 2 2 2 3" xfId="11764" xr:uid="{00000000-0005-0000-0000-0000E2380000}"/>
    <cellStyle name="Финансовый 3 3 4 4 2 2 2 3 2" xfId="28853" xr:uid="{7B0CF2DD-C569-4938-A800-77E71A2929B3}"/>
    <cellStyle name="Финансовый 3 3 4 4 2 2 2 4" xfId="14996" xr:uid="{00000000-0005-0000-0000-0000E3380000}"/>
    <cellStyle name="Финансовый 3 3 4 4 2 2 2 4 2" xfId="32009" xr:uid="{2B6886F7-D2B5-48CA-86DF-044EA23F4795}"/>
    <cellStyle name="Финансовый 3 3 4 4 2 2 2 5" xfId="18077" xr:uid="{00000000-0005-0000-0000-0000E4380000}"/>
    <cellStyle name="Финансовый 3 3 4 4 2 2 2 5 2" xfId="35090" xr:uid="{9E4578A8-EB9D-4C63-865E-B2748BE4F5B2}"/>
    <cellStyle name="Финансовый 3 3 4 4 2 2 2 6" xfId="25780" xr:uid="{1AC56E7B-DED7-44E5-998B-37AD508AF31F}"/>
    <cellStyle name="Финансовый 3 3 4 4 2 2 3" xfId="8675" xr:uid="{00000000-0005-0000-0000-0000E5380000}"/>
    <cellStyle name="Финансовый 3 3 4 4 2 2 3 2" xfId="11766" xr:uid="{00000000-0005-0000-0000-0000E6380000}"/>
    <cellStyle name="Финансовый 3 3 4 4 2 2 3 2 2" xfId="28855" xr:uid="{F2C46DB3-D8B2-4EFE-A29A-C27C5E80A58F}"/>
    <cellStyle name="Финансовый 3 3 4 4 2 2 3 3" xfId="14998" xr:uid="{00000000-0005-0000-0000-0000E7380000}"/>
    <cellStyle name="Финансовый 3 3 4 4 2 2 3 3 2" xfId="32011" xr:uid="{E9647316-72EA-410B-947E-E2786615F4B2}"/>
    <cellStyle name="Финансовый 3 3 4 4 2 2 3 4" xfId="18079" xr:uid="{00000000-0005-0000-0000-0000E8380000}"/>
    <cellStyle name="Финансовый 3 3 4 4 2 2 3 4 2" xfId="35092" xr:uid="{2EB2030E-D3C5-4437-A3B1-87D52E0F0FCE}"/>
    <cellStyle name="Финансовый 3 3 4 4 2 2 3 5" xfId="25782" xr:uid="{263B8EFC-2328-4C0C-93F0-4CFA8598FAC4}"/>
    <cellStyle name="Финансовый 3 3 4 4 2 2 4" xfId="11763" xr:uid="{00000000-0005-0000-0000-0000E9380000}"/>
    <cellStyle name="Финансовый 3 3 4 4 2 2 4 2" xfId="28852" xr:uid="{656499C0-E644-43F7-8F96-1CF711DA61D8}"/>
    <cellStyle name="Финансовый 3 3 4 4 2 2 5" xfId="14995" xr:uid="{00000000-0005-0000-0000-0000EA380000}"/>
    <cellStyle name="Финансовый 3 3 4 4 2 2 5 2" xfId="32008" xr:uid="{C1B950BB-4154-4A7A-B660-F1B1C1F02BB6}"/>
    <cellStyle name="Финансовый 3 3 4 4 2 2 6" xfId="18076" xr:uid="{00000000-0005-0000-0000-0000EB380000}"/>
    <cellStyle name="Финансовый 3 3 4 4 2 2 6 2" xfId="35089" xr:uid="{FDEF5784-C5CA-4766-B51F-4D558EAA9B2F}"/>
    <cellStyle name="Финансовый 3 3 4 4 2 2 7" xfId="25779" xr:uid="{931A7A1F-BACB-4F61-9349-67815D6380EF}"/>
    <cellStyle name="Финансовый 3 3 4 4 2 3" xfId="8676" xr:uid="{00000000-0005-0000-0000-0000EC380000}"/>
    <cellStyle name="Финансовый 3 3 4 4 2 3 2" xfId="8677" xr:uid="{00000000-0005-0000-0000-0000ED380000}"/>
    <cellStyle name="Финансовый 3 3 4 4 2 3 2 2" xfId="11768" xr:uid="{00000000-0005-0000-0000-0000EE380000}"/>
    <cellStyle name="Финансовый 3 3 4 4 2 3 2 2 2" xfId="28857" xr:uid="{DE1A6377-9E57-4C69-A8E0-02307D78D35D}"/>
    <cellStyle name="Финансовый 3 3 4 4 2 3 2 3" xfId="15000" xr:uid="{00000000-0005-0000-0000-0000EF380000}"/>
    <cellStyle name="Финансовый 3 3 4 4 2 3 2 3 2" xfId="32013" xr:uid="{E0CB60D7-9E36-429C-8C2E-190C142BB694}"/>
    <cellStyle name="Финансовый 3 3 4 4 2 3 2 4" xfId="18081" xr:uid="{00000000-0005-0000-0000-0000F0380000}"/>
    <cellStyle name="Финансовый 3 3 4 4 2 3 2 4 2" xfId="35094" xr:uid="{B34F7132-5768-4BBC-85B6-59DF7BB60E19}"/>
    <cellStyle name="Финансовый 3 3 4 4 2 3 2 5" xfId="25784" xr:uid="{29DE597C-93BA-44D3-B65A-44641A85D375}"/>
    <cellStyle name="Финансовый 3 3 4 4 2 3 3" xfId="11767" xr:uid="{00000000-0005-0000-0000-0000F1380000}"/>
    <cellStyle name="Финансовый 3 3 4 4 2 3 3 2" xfId="28856" xr:uid="{0E73ED9D-4ADF-4866-998C-8798FBE507F6}"/>
    <cellStyle name="Финансовый 3 3 4 4 2 3 4" xfId="14999" xr:uid="{00000000-0005-0000-0000-0000F2380000}"/>
    <cellStyle name="Финансовый 3 3 4 4 2 3 4 2" xfId="32012" xr:uid="{DEE53EA0-9C8D-4C73-A112-E7E8D916E44E}"/>
    <cellStyle name="Финансовый 3 3 4 4 2 3 5" xfId="18080" xr:uid="{00000000-0005-0000-0000-0000F3380000}"/>
    <cellStyle name="Финансовый 3 3 4 4 2 3 5 2" xfId="35093" xr:uid="{7612BCB6-CBC2-4118-B450-056B8B5112DA}"/>
    <cellStyle name="Финансовый 3 3 4 4 2 3 6" xfId="25783" xr:uid="{54CBB6DF-6279-4855-9B26-440360CB9F90}"/>
    <cellStyle name="Финансовый 3 3 4 4 2 4" xfId="8678" xr:uid="{00000000-0005-0000-0000-0000F4380000}"/>
    <cellStyle name="Финансовый 3 3 4 4 2 4 2" xfId="11769" xr:uid="{00000000-0005-0000-0000-0000F5380000}"/>
    <cellStyle name="Финансовый 3 3 4 4 2 4 2 2" xfId="28858" xr:uid="{23E00A98-8C71-4738-8BA0-579555B84A6E}"/>
    <cellStyle name="Финансовый 3 3 4 4 2 4 3" xfId="15001" xr:uid="{00000000-0005-0000-0000-0000F6380000}"/>
    <cellStyle name="Финансовый 3 3 4 4 2 4 3 2" xfId="32014" xr:uid="{9BF3BC9E-FFFD-40AC-BE9E-6D0B4EF25240}"/>
    <cellStyle name="Финансовый 3 3 4 4 2 4 4" xfId="18082" xr:uid="{00000000-0005-0000-0000-0000F7380000}"/>
    <cellStyle name="Финансовый 3 3 4 4 2 4 4 2" xfId="35095" xr:uid="{A1116EAA-A0FD-414E-93C2-4BBE72649573}"/>
    <cellStyle name="Финансовый 3 3 4 4 2 4 5" xfId="25785" xr:uid="{C73C4A8A-D043-4858-BB21-BCD1B7463DC8}"/>
    <cellStyle name="Финансовый 3 3 4 4 2 5" xfId="11762" xr:uid="{00000000-0005-0000-0000-0000F8380000}"/>
    <cellStyle name="Финансовый 3 3 4 4 2 5 2" xfId="28851" xr:uid="{91ABDE3B-04D3-45BB-A533-962AD80FE19A}"/>
    <cellStyle name="Финансовый 3 3 4 4 2 6" xfId="14994" xr:uid="{00000000-0005-0000-0000-0000F9380000}"/>
    <cellStyle name="Финансовый 3 3 4 4 2 6 2" xfId="32007" xr:uid="{45DCC79C-0A44-4AC2-AEC9-A494C829B25C}"/>
    <cellStyle name="Финансовый 3 3 4 4 2 7" xfId="18075" xr:uid="{00000000-0005-0000-0000-0000FA380000}"/>
    <cellStyle name="Финансовый 3 3 4 4 2 7 2" xfId="35088" xr:uid="{1AB702E5-D59D-45C9-9695-43C33536F407}"/>
    <cellStyle name="Финансовый 3 3 4 4 2 8" xfId="25778" xr:uid="{4B066422-41C6-4649-A7D3-37EDF0FB4EF8}"/>
    <cellStyle name="Финансовый 3 3 4 4 3" xfId="8679" xr:uid="{00000000-0005-0000-0000-0000FB380000}"/>
    <cellStyle name="Финансовый 3 3 4 4 3 2" xfId="8680" xr:uid="{00000000-0005-0000-0000-0000FC380000}"/>
    <cellStyle name="Финансовый 3 3 4 4 3 2 2" xfId="8681" xr:uid="{00000000-0005-0000-0000-0000FD380000}"/>
    <cellStyle name="Финансовый 3 3 4 4 3 2 2 2" xfId="11772" xr:uid="{00000000-0005-0000-0000-0000FE380000}"/>
    <cellStyle name="Финансовый 3 3 4 4 3 2 2 2 2" xfId="28861" xr:uid="{19D923F3-EF81-4E67-BED0-E01747D28DAC}"/>
    <cellStyle name="Финансовый 3 3 4 4 3 2 2 3" xfId="15004" xr:uid="{00000000-0005-0000-0000-0000FF380000}"/>
    <cellStyle name="Финансовый 3 3 4 4 3 2 2 3 2" xfId="32017" xr:uid="{B6C93753-0B31-4803-BAA8-4414EF245F4E}"/>
    <cellStyle name="Финансовый 3 3 4 4 3 2 2 4" xfId="18085" xr:uid="{00000000-0005-0000-0000-000000390000}"/>
    <cellStyle name="Финансовый 3 3 4 4 3 2 2 4 2" xfId="35098" xr:uid="{E6E4FF77-A7C2-4747-BEDA-E6203A6EDF56}"/>
    <cellStyle name="Финансовый 3 3 4 4 3 2 2 5" xfId="25788" xr:uid="{F2CF10AD-5167-4087-99D4-285F97433C97}"/>
    <cellStyle name="Финансовый 3 3 4 4 3 2 3" xfId="11771" xr:uid="{00000000-0005-0000-0000-000001390000}"/>
    <cellStyle name="Финансовый 3 3 4 4 3 2 3 2" xfId="28860" xr:uid="{13A7F78B-92B9-4A1A-9F94-2400935EE456}"/>
    <cellStyle name="Финансовый 3 3 4 4 3 2 4" xfId="15003" xr:uid="{00000000-0005-0000-0000-000002390000}"/>
    <cellStyle name="Финансовый 3 3 4 4 3 2 4 2" xfId="32016" xr:uid="{25C2A97B-1168-4DBC-A233-438C8CF78DB5}"/>
    <cellStyle name="Финансовый 3 3 4 4 3 2 5" xfId="18084" xr:uid="{00000000-0005-0000-0000-000003390000}"/>
    <cellStyle name="Финансовый 3 3 4 4 3 2 5 2" xfId="35097" xr:uid="{E20788C8-EBE1-4048-8DF0-3C85A1052DF8}"/>
    <cellStyle name="Финансовый 3 3 4 4 3 2 6" xfId="25787" xr:uid="{C65B63AD-B369-45DD-ADBC-65632222497F}"/>
    <cellStyle name="Финансовый 3 3 4 4 3 3" xfId="8682" xr:uid="{00000000-0005-0000-0000-000004390000}"/>
    <cellStyle name="Финансовый 3 3 4 4 3 3 2" xfId="11773" xr:uid="{00000000-0005-0000-0000-000005390000}"/>
    <cellStyle name="Финансовый 3 3 4 4 3 3 2 2" xfId="28862" xr:uid="{F9986429-64C7-4ABB-9A09-8002DAB81235}"/>
    <cellStyle name="Финансовый 3 3 4 4 3 3 3" xfId="15005" xr:uid="{00000000-0005-0000-0000-000006390000}"/>
    <cellStyle name="Финансовый 3 3 4 4 3 3 3 2" xfId="32018" xr:uid="{209D67BE-E15D-4A30-B23E-D300EBB5FB34}"/>
    <cellStyle name="Финансовый 3 3 4 4 3 3 4" xfId="18086" xr:uid="{00000000-0005-0000-0000-000007390000}"/>
    <cellStyle name="Финансовый 3 3 4 4 3 3 4 2" xfId="35099" xr:uid="{07BAFC2C-8199-469C-AD54-617AB9FF5C6F}"/>
    <cellStyle name="Финансовый 3 3 4 4 3 3 5" xfId="25789" xr:uid="{F2032DF4-EE66-41AC-A41B-4D70F70EBDBE}"/>
    <cellStyle name="Финансовый 3 3 4 4 3 4" xfId="11770" xr:uid="{00000000-0005-0000-0000-000008390000}"/>
    <cellStyle name="Финансовый 3 3 4 4 3 4 2" xfId="28859" xr:uid="{8C45B5E1-BD2A-4706-866B-B5E77DDFAB98}"/>
    <cellStyle name="Финансовый 3 3 4 4 3 5" xfId="15002" xr:uid="{00000000-0005-0000-0000-000009390000}"/>
    <cellStyle name="Финансовый 3 3 4 4 3 5 2" xfId="32015" xr:uid="{D68A03BB-6F2A-4DE6-8C69-12FCCE879483}"/>
    <cellStyle name="Финансовый 3 3 4 4 3 6" xfId="18083" xr:uid="{00000000-0005-0000-0000-00000A390000}"/>
    <cellStyle name="Финансовый 3 3 4 4 3 6 2" xfId="35096" xr:uid="{342D2E5D-CB27-4511-B232-2877B59574AD}"/>
    <cellStyle name="Финансовый 3 3 4 4 3 7" xfId="25786" xr:uid="{8B3902F9-7294-4AFA-9237-A94B79742772}"/>
    <cellStyle name="Финансовый 3 3 4 4 4" xfId="8683" xr:uid="{00000000-0005-0000-0000-00000B390000}"/>
    <cellStyle name="Финансовый 3 3 4 4 4 2" xfId="8684" xr:uid="{00000000-0005-0000-0000-00000C390000}"/>
    <cellStyle name="Финансовый 3 3 4 4 4 2 2" xfId="11775" xr:uid="{00000000-0005-0000-0000-00000D390000}"/>
    <cellStyle name="Финансовый 3 3 4 4 4 2 2 2" xfId="28864" xr:uid="{F9B2C883-CBD9-4E80-87BE-3E4565718AA3}"/>
    <cellStyle name="Финансовый 3 3 4 4 4 2 3" xfId="15007" xr:uid="{00000000-0005-0000-0000-00000E390000}"/>
    <cellStyle name="Финансовый 3 3 4 4 4 2 3 2" xfId="32020" xr:uid="{81E67EF3-ED3A-478F-9F5B-3037D85738D3}"/>
    <cellStyle name="Финансовый 3 3 4 4 4 2 4" xfId="18088" xr:uid="{00000000-0005-0000-0000-00000F390000}"/>
    <cellStyle name="Финансовый 3 3 4 4 4 2 4 2" xfId="35101" xr:uid="{BA2C7AD0-ADC4-432C-9524-E8C116530306}"/>
    <cellStyle name="Финансовый 3 3 4 4 4 2 5" xfId="25791" xr:uid="{E2DDAF0A-5B25-4588-BCC5-144AF22CBE61}"/>
    <cellStyle name="Финансовый 3 3 4 4 4 3" xfId="11774" xr:uid="{00000000-0005-0000-0000-000010390000}"/>
    <cellStyle name="Финансовый 3 3 4 4 4 3 2" xfId="28863" xr:uid="{145A841D-A119-4FA8-9B51-EA6EBFEDD051}"/>
    <cellStyle name="Финансовый 3 3 4 4 4 4" xfId="15006" xr:uid="{00000000-0005-0000-0000-000011390000}"/>
    <cellStyle name="Финансовый 3 3 4 4 4 4 2" xfId="32019" xr:uid="{A6CFDA2F-9221-446C-83C4-F8EF29B5DB5A}"/>
    <cellStyle name="Финансовый 3 3 4 4 4 5" xfId="18087" xr:uid="{00000000-0005-0000-0000-000012390000}"/>
    <cellStyle name="Финансовый 3 3 4 4 4 5 2" xfId="35100" xr:uid="{06934AAF-60C9-4F36-A405-4A819712A495}"/>
    <cellStyle name="Финансовый 3 3 4 4 4 6" xfId="25790" xr:uid="{325C57C5-3482-4B64-A9AA-EFE61D44F20A}"/>
    <cellStyle name="Финансовый 3 3 4 4 5" xfId="8685" xr:uid="{00000000-0005-0000-0000-000013390000}"/>
    <cellStyle name="Финансовый 3 3 4 4 5 2" xfId="11776" xr:uid="{00000000-0005-0000-0000-000014390000}"/>
    <cellStyle name="Финансовый 3 3 4 4 5 2 2" xfId="28865" xr:uid="{94D29A28-CCB4-48CC-A216-B1093F169F04}"/>
    <cellStyle name="Финансовый 3 3 4 4 5 3" xfId="15008" xr:uid="{00000000-0005-0000-0000-000015390000}"/>
    <cellStyle name="Финансовый 3 3 4 4 5 3 2" xfId="32021" xr:uid="{C71E6553-32D2-43AF-AA5D-434154BCCF4B}"/>
    <cellStyle name="Финансовый 3 3 4 4 5 4" xfId="18089" xr:uid="{00000000-0005-0000-0000-000016390000}"/>
    <cellStyle name="Финансовый 3 3 4 4 5 4 2" xfId="35102" xr:uid="{FD16DB56-4F5D-4166-BE6E-83EEEBB966FE}"/>
    <cellStyle name="Финансовый 3 3 4 4 5 5" xfId="25792" xr:uid="{1455C3D2-B617-4F40-8CAF-3798E8DCAB37}"/>
    <cellStyle name="Финансовый 3 3 4 4 6" xfId="11761" xr:uid="{00000000-0005-0000-0000-000017390000}"/>
    <cellStyle name="Финансовый 3 3 4 4 6 2" xfId="28850" xr:uid="{23D6ED4C-D378-45CF-B40B-A734C3DDD407}"/>
    <cellStyle name="Финансовый 3 3 4 4 7" xfId="14993" xr:uid="{00000000-0005-0000-0000-000018390000}"/>
    <cellStyle name="Финансовый 3 3 4 4 7 2" xfId="32006" xr:uid="{8B2A8637-F78B-4B47-B483-83BC53352E76}"/>
    <cellStyle name="Финансовый 3 3 4 4 8" xfId="18074" xr:uid="{00000000-0005-0000-0000-000019390000}"/>
    <cellStyle name="Финансовый 3 3 4 4 8 2" xfId="35087" xr:uid="{524AAD28-AF4F-4B86-89D9-34A53495BAAD}"/>
    <cellStyle name="Финансовый 3 3 4 4 9" xfId="25777" xr:uid="{3AA09329-8F1D-4686-AD6A-7A3425CCF9C8}"/>
    <cellStyle name="Финансовый 3 3 4 5" xfId="8686" xr:uid="{00000000-0005-0000-0000-00001A390000}"/>
    <cellStyle name="Финансовый 3 3 4 5 2" xfId="8687" xr:uid="{00000000-0005-0000-0000-00001B390000}"/>
    <cellStyle name="Финансовый 3 3 4 5 2 2" xfId="8688" xr:uid="{00000000-0005-0000-0000-00001C390000}"/>
    <cellStyle name="Финансовый 3 3 4 5 2 2 2" xfId="8689" xr:uid="{00000000-0005-0000-0000-00001D390000}"/>
    <cellStyle name="Финансовый 3 3 4 5 2 2 2 2" xfId="11780" xr:uid="{00000000-0005-0000-0000-00001E390000}"/>
    <cellStyle name="Финансовый 3 3 4 5 2 2 2 2 2" xfId="28869" xr:uid="{D3C7BC88-C52C-486B-AC20-A831C6F772BC}"/>
    <cellStyle name="Финансовый 3 3 4 5 2 2 2 3" xfId="15012" xr:uid="{00000000-0005-0000-0000-00001F390000}"/>
    <cellStyle name="Финансовый 3 3 4 5 2 2 2 3 2" xfId="32025" xr:uid="{93600C24-A16D-4269-886A-E1081198D410}"/>
    <cellStyle name="Финансовый 3 3 4 5 2 2 2 4" xfId="18093" xr:uid="{00000000-0005-0000-0000-000020390000}"/>
    <cellStyle name="Финансовый 3 3 4 5 2 2 2 4 2" xfId="35106" xr:uid="{01BBF7A4-5F3A-4FF2-86AF-60E2AC81A7C0}"/>
    <cellStyle name="Финансовый 3 3 4 5 2 2 2 5" xfId="25796" xr:uid="{D12DF173-4E21-402D-A17A-A4F415BA67C0}"/>
    <cellStyle name="Финансовый 3 3 4 5 2 2 3" xfId="11779" xr:uid="{00000000-0005-0000-0000-000021390000}"/>
    <cellStyle name="Финансовый 3 3 4 5 2 2 3 2" xfId="28868" xr:uid="{4C7BBBFD-DF7F-44AD-8DAB-DEC5BB756381}"/>
    <cellStyle name="Финансовый 3 3 4 5 2 2 4" xfId="15011" xr:uid="{00000000-0005-0000-0000-000022390000}"/>
    <cellStyle name="Финансовый 3 3 4 5 2 2 4 2" xfId="32024" xr:uid="{775459D1-D5DA-4E53-ADA0-CA021CC1BA7D}"/>
    <cellStyle name="Финансовый 3 3 4 5 2 2 5" xfId="18092" xr:uid="{00000000-0005-0000-0000-000023390000}"/>
    <cellStyle name="Финансовый 3 3 4 5 2 2 5 2" xfId="35105" xr:uid="{DE482A99-2099-4146-9748-E013F55E46B0}"/>
    <cellStyle name="Финансовый 3 3 4 5 2 2 6" xfId="25795" xr:uid="{C5C2DE60-9F6F-4E85-BA45-224619056BDF}"/>
    <cellStyle name="Финансовый 3 3 4 5 2 3" xfId="8690" xr:uid="{00000000-0005-0000-0000-000024390000}"/>
    <cellStyle name="Финансовый 3 3 4 5 2 3 2" xfId="11781" xr:uid="{00000000-0005-0000-0000-000025390000}"/>
    <cellStyle name="Финансовый 3 3 4 5 2 3 2 2" xfId="28870" xr:uid="{0333769E-78F5-452A-A302-F5C8EF921859}"/>
    <cellStyle name="Финансовый 3 3 4 5 2 3 3" xfId="15013" xr:uid="{00000000-0005-0000-0000-000026390000}"/>
    <cellStyle name="Финансовый 3 3 4 5 2 3 3 2" xfId="32026" xr:uid="{FA907E41-D1E8-4461-8342-35762A066FE7}"/>
    <cellStyle name="Финансовый 3 3 4 5 2 3 4" xfId="18094" xr:uid="{00000000-0005-0000-0000-000027390000}"/>
    <cellStyle name="Финансовый 3 3 4 5 2 3 4 2" xfId="35107" xr:uid="{FF4BA28E-D6D2-4702-AC6A-7195A50B4CF5}"/>
    <cellStyle name="Финансовый 3 3 4 5 2 3 5" xfId="25797" xr:uid="{EBC5EDBA-9D80-48D5-8869-39AB8B3D191C}"/>
    <cellStyle name="Финансовый 3 3 4 5 2 4" xfId="11778" xr:uid="{00000000-0005-0000-0000-000028390000}"/>
    <cellStyle name="Финансовый 3 3 4 5 2 4 2" xfId="28867" xr:uid="{5B73F018-357A-49FB-BEFE-5B1EE8E8533E}"/>
    <cellStyle name="Финансовый 3 3 4 5 2 5" xfId="15010" xr:uid="{00000000-0005-0000-0000-000029390000}"/>
    <cellStyle name="Финансовый 3 3 4 5 2 5 2" xfId="32023" xr:uid="{C7F835A5-27E2-490A-B900-B05CD52EE82F}"/>
    <cellStyle name="Финансовый 3 3 4 5 2 6" xfId="18091" xr:uid="{00000000-0005-0000-0000-00002A390000}"/>
    <cellStyle name="Финансовый 3 3 4 5 2 6 2" xfId="35104" xr:uid="{A60EE6F1-A584-4B57-8221-3751C21DC4E8}"/>
    <cellStyle name="Финансовый 3 3 4 5 2 7" xfId="25794" xr:uid="{FF4F0278-7CA8-4745-A943-399A8A92F549}"/>
    <cellStyle name="Финансовый 3 3 4 5 3" xfId="8691" xr:uid="{00000000-0005-0000-0000-00002B390000}"/>
    <cellStyle name="Финансовый 3 3 4 5 3 2" xfId="8692" xr:uid="{00000000-0005-0000-0000-00002C390000}"/>
    <cellStyle name="Финансовый 3 3 4 5 3 2 2" xfId="11783" xr:uid="{00000000-0005-0000-0000-00002D390000}"/>
    <cellStyle name="Финансовый 3 3 4 5 3 2 2 2" xfId="28872" xr:uid="{8A9F2F5B-8114-4C97-BC3C-A6C2B4EACEF5}"/>
    <cellStyle name="Финансовый 3 3 4 5 3 2 3" xfId="15015" xr:uid="{00000000-0005-0000-0000-00002E390000}"/>
    <cellStyle name="Финансовый 3 3 4 5 3 2 3 2" xfId="32028" xr:uid="{B5C8F3D2-8F75-4219-8FE9-8934A52F0EF5}"/>
    <cellStyle name="Финансовый 3 3 4 5 3 2 4" xfId="18096" xr:uid="{00000000-0005-0000-0000-00002F390000}"/>
    <cellStyle name="Финансовый 3 3 4 5 3 2 4 2" xfId="35109" xr:uid="{3BED502E-4707-4494-82F2-E18AFDC294E2}"/>
    <cellStyle name="Финансовый 3 3 4 5 3 2 5" xfId="25799" xr:uid="{6E6BAAD5-C45D-41C7-AB07-49F3CEF3F1C8}"/>
    <cellStyle name="Финансовый 3 3 4 5 3 3" xfId="11782" xr:uid="{00000000-0005-0000-0000-000030390000}"/>
    <cellStyle name="Финансовый 3 3 4 5 3 3 2" xfId="28871" xr:uid="{930D42E1-2465-4CCD-B4BB-0333AE4CD7F3}"/>
    <cellStyle name="Финансовый 3 3 4 5 3 4" xfId="15014" xr:uid="{00000000-0005-0000-0000-000031390000}"/>
    <cellStyle name="Финансовый 3 3 4 5 3 4 2" xfId="32027" xr:uid="{99F02B2F-293B-4F94-A34D-42E4772C89F6}"/>
    <cellStyle name="Финансовый 3 3 4 5 3 5" xfId="18095" xr:uid="{00000000-0005-0000-0000-000032390000}"/>
    <cellStyle name="Финансовый 3 3 4 5 3 5 2" xfId="35108" xr:uid="{3320194D-1882-460D-95AB-AE9BDCEE0E7D}"/>
    <cellStyle name="Финансовый 3 3 4 5 3 6" xfId="25798" xr:uid="{9AF4BC84-A659-4F50-92F3-5E07D90CB316}"/>
    <cellStyle name="Финансовый 3 3 4 5 4" xfId="8693" xr:uid="{00000000-0005-0000-0000-000033390000}"/>
    <cellStyle name="Финансовый 3 3 4 5 4 2" xfId="11784" xr:uid="{00000000-0005-0000-0000-000034390000}"/>
    <cellStyle name="Финансовый 3 3 4 5 4 2 2" xfId="28873" xr:uid="{43FC8123-1733-4B0B-B501-D020F2D622EC}"/>
    <cellStyle name="Финансовый 3 3 4 5 4 3" xfId="15016" xr:uid="{00000000-0005-0000-0000-000035390000}"/>
    <cellStyle name="Финансовый 3 3 4 5 4 3 2" xfId="32029" xr:uid="{24807052-938E-40F5-9A06-142DB4CCC317}"/>
    <cellStyle name="Финансовый 3 3 4 5 4 4" xfId="18097" xr:uid="{00000000-0005-0000-0000-000036390000}"/>
    <cellStyle name="Финансовый 3 3 4 5 4 4 2" xfId="35110" xr:uid="{70A8541D-85D0-44CB-87AE-86D940E6A06A}"/>
    <cellStyle name="Финансовый 3 3 4 5 4 5" xfId="25800" xr:uid="{B8D68A8F-BFA4-496F-9024-F91F3E235BCA}"/>
    <cellStyle name="Финансовый 3 3 4 5 5" xfId="11777" xr:uid="{00000000-0005-0000-0000-000037390000}"/>
    <cellStyle name="Финансовый 3 3 4 5 5 2" xfId="28866" xr:uid="{97485DF8-AA4F-4CF3-A1D0-2D4475F10231}"/>
    <cellStyle name="Финансовый 3 3 4 5 6" xfId="15009" xr:uid="{00000000-0005-0000-0000-000038390000}"/>
    <cellStyle name="Финансовый 3 3 4 5 6 2" xfId="32022" xr:uid="{48B3E858-FBDF-4B58-9AD3-7BA678FEFC4F}"/>
    <cellStyle name="Финансовый 3 3 4 5 7" xfId="18090" xr:uid="{00000000-0005-0000-0000-000039390000}"/>
    <cellStyle name="Финансовый 3 3 4 5 7 2" xfId="35103" xr:uid="{6235688F-7CA3-48BC-995B-93D9B22B5D8C}"/>
    <cellStyle name="Финансовый 3 3 4 5 8" xfId="25793" xr:uid="{34E58A7C-2CE4-42F5-B0D2-1DFB84BD3606}"/>
    <cellStyle name="Финансовый 3 3 4 6" xfId="8694" xr:uid="{00000000-0005-0000-0000-00003A390000}"/>
    <cellStyle name="Финансовый 3 3 4 6 2" xfId="8695" xr:uid="{00000000-0005-0000-0000-00003B390000}"/>
    <cellStyle name="Финансовый 3 3 4 6 2 2" xfId="8696" xr:uid="{00000000-0005-0000-0000-00003C390000}"/>
    <cellStyle name="Финансовый 3 3 4 6 2 2 2" xfId="11787" xr:uid="{00000000-0005-0000-0000-00003D390000}"/>
    <cellStyle name="Финансовый 3 3 4 6 2 2 2 2" xfId="28876" xr:uid="{B3B1E4F7-3C25-4123-B019-D18FE81D1B5A}"/>
    <cellStyle name="Финансовый 3 3 4 6 2 2 3" xfId="15019" xr:uid="{00000000-0005-0000-0000-00003E390000}"/>
    <cellStyle name="Финансовый 3 3 4 6 2 2 3 2" xfId="32032" xr:uid="{F1B4AD6D-00D5-4B0A-B5DC-ACF8486BD5E9}"/>
    <cellStyle name="Финансовый 3 3 4 6 2 2 4" xfId="18100" xr:uid="{00000000-0005-0000-0000-00003F390000}"/>
    <cellStyle name="Финансовый 3 3 4 6 2 2 4 2" xfId="35113" xr:uid="{390D442C-E765-4DA8-8A3B-DD9707F34052}"/>
    <cellStyle name="Финансовый 3 3 4 6 2 2 5" xfId="25803" xr:uid="{ED518A06-EDF9-42EF-A1DF-CB47533E3C85}"/>
    <cellStyle name="Финансовый 3 3 4 6 2 3" xfId="11786" xr:uid="{00000000-0005-0000-0000-000040390000}"/>
    <cellStyle name="Финансовый 3 3 4 6 2 3 2" xfId="28875" xr:uid="{D6B997AC-444E-4851-97DF-9F3C3247651F}"/>
    <cellStyle name="Финансовый 3 3 4 6 2 4" xfId="15018" xr:uid="{00000000-0005-0000-0000-000041390000}"/>
    <cellStyle name="Финансовый 3 3 4 6 2 4 2" xfId="32031" xr:uid="{AD689A38-5D52-4A94-98D7-46878E60428E}"/>
    <cellStyle name="Финансовый 3 3 4 6 2 5" xfId="18099" xr:uid="{00000000-0005-0000-0000-000042390000}"/>
    <cellStyle name="Финансовый 3 3 4 6 2 5 2" xfId="35112" xr:uid="{F4A4B0A4-CAC1-45AE-A020-96CA5658ADBA}"/>
    <cellStyle name="Финансовый 3 3 4 6 2 6" xfId="25802" xr:uid="{7A0A135E-CD9C-42E0-ADD3-21FFFB7C979E}"/>
    <cellStyle name="Финансовый 3 3 4 6 3" xfId="8697" xr:uid="{00000000-0005-0000-0000-000043390000}"/>
    <cellStyle name="Финансовый 3 3 4 6 3 2" xfId="11788" xr:uid="{00000000-0005-0000-0000-000044390000}"/>
    <cellStyle name="Финансовый 3 3 4 6 3 2 2" xfId="28877" xr:uid="{CFAF5F6F-12B5-4BFB-9AB6-56EF70BD8E60}"/>
    <cellStyle name="Финансовый 3 3 4 6 3 3" xfId="15020" xr:uid="{00000000-0005-0000-0000-000045390000}"/>
    <cellStyle name="Финансовый 3 3 4 6 3 3 2" xfId="32033" xr:uid="{29000257-E432-4B3A-AB5A-2E2363E99852}"/>
    <cellStyle name="Финансовый 3 3 4 6 3 4" xfId="18101" xr:uid="{00000000-0005-0000-0000-000046390000}"/>
    <cellStyle name="Финансовый 3 3 4 6 3 4 2" xfId="35114" xr:uid="{6FC09E82-FDC0-455A-81F4-EF1660A03EC6}"/>
    <cellStyle name="Финансовый 3 3 4 6 3 5" xfId="25804" xr:uid="{75B814C9-3406-48CC-8B91-B67A2BA2C2F8}"/>
    <cellStyle name="Финансовый 3 3 4 6 4" xfId="11785" xr:uid="{00000000-0005-0000-0000-000047390000}"/>
    <cellStyle name="Финансовый 3 3 4 6 4 2" xfId="28874" xr:uid="{BA6CFBB7-058B-4096-900A-901FA3E34EA6}"/>
    <cellStyle name="Финансовый 3 3 4 6 5" xfId="15017" xr:uid="{00000000-0005-0000-0000-000048390000}"/>
    <cellStyle name="Финансовый 3 3 4 6 5 2" xfId="32030" xr:uid="{2CF28115-6652-4516-B5B4-AD015A6A6013}"/>
    <cellStyle name="Финансовый 3 3 4 6 6" xfId="18098" xr:uid="{00000000-0005-0000-0000-000049390000}"/>
    <cellStyle name="Финансовый 3 3 4 6 6 2" xfId="35111" xr:uid="{B92E518B-DB65-4385-B472-85E9023081AB}"/>
    <cellStyle name="Финансовый 3 3 4 6 7" xfId="25801" xr:uid="{3E846056-18D1-4FAA-BABE-868C56280F3B}"/>
    <cellStyle name="Финансовый 3 3 4 7" xfId="8698" xr:uid="{00000000-0005-0000-0000-00004A390000}"/>
    <cellStyle name="Финансовый 3 3 4 7 2" xfId="8699" xr:uid="{00000000-0005-0000-0000-00004B390000}"/>
    <cellStyle name="Финансовый 3 3 4 7 2 2" xfId="11790" xr:uid="{00000000-0005-0000-0000-00004C390000}"/>
    <cellStyle name="Финансовый 3 3 4 7 2 2 2" xfId="28879" xr:uid="{D6662C44-C06B-47D4-9931-7DBAF6C1EB8A}"/>
    <cellStyle name="Финансовый 3 3 4 7 2 3" xfId="15022" xr:uid="{00000000-0005-0000-0000-00004D390000}"/>
    <cellStyle name="Финансовый 3 3 4 7 2 3 2" xfId="32035" xr:uid="{70F4B690-8526-40B5-9A8F-5EEE4D5AD360}"/>
    <cellStyle name="Финансовый 3 3 4 7 2 4" xfId="18103" xr:uid="{00000000-0005-0000-0000-00004E390000}"/>
    <cellStyle name="Финансовый 3 3 4 7 2 4 2" xfId="35116" xr:uid="{62D62781-C8A8-44B0-A12C-86DD39A769AA}"/>
    <cellStyle name="Финансовый 3 3 4 7 2 5" xfId="25806" xr:uid="{97DDE0D1-6000-420D-80CF-8F5554B78AA0}"/>
    <cellStyle name="Финансовый 3 3 4 7 3" xfId="11789" xr:uid="{00000000-0005-0000-0000-00004F390000}"/>
    <cellStyle name="Финансовый 3 3 4 7 3 2" xfId="28878" xr:uid="{5F0AEC97-4742-4568-A64D-83FCC877D5B3}"/>
    <cellStyle name="Финансовый 3 3 4 7 4" xfId="15021" xr:uid="{00000000-0005-0000-0000-000050390000}"/>
    <cellStyle name="Финансовый 3 3 4 7 4 2" xfId="32034" xr:uid="{2882CFE0-AAEA-402A-8DCF-9691A38CBD3B}"/>
    <cellStyle name="Финансовый 3 3 4 7 5" xfId="18102" xr:uid="{00000000-0005-0000-0000-000051390000}"/>
    <cellStyle name="Финансовый 3 3 4 7 5 2" xfId="35115" xr:uid="{C49F904D-8F4A-460F-B8F3-CD56EA664BB7}"/>
    <cellStyle name="Финансовый 3 3 4 7 6" xfId="25805" xr:uid="{6788765A-2D9F-400F-810C-CF046E7C44F4}"/>
    <cellStyle name="Финансовый 3 3 4 8" xfId="8700" xr:uid="{00000000-0005-0000-0000-000052390000}"/>
    <cellStyle name="Финансовый 3 3 4 8 2" xfId="11791" xr:uid="{00000000-0005-0000-0000-000053390000}"/>
    <cellStyle name="Финансовый 3 3 4 8 2 2" xfId="28880" xr:uid="{09C4CC11-511B-4295-8F90-0A5C1CF2E3B8}"/>
    <cellStyle name="Финансовый 3 3 4 8 3" xfId="15023" xr:uid="{00000000-0005-0000-0000-000054390000}"/>
    <cellStyle name="Финансовый 3 3 4 8 3 2" xfId="32036" xr:uid="{E2968F90-BC87-4420-8621-128FFE9FB480}"/>
    <cellStyle name="Финансовый 3 3 4 8 4" xfId="18104" xr:uid="{00000000-0005-0000-0000-000055390000}"/>
    <cellStyle name="Финансовый 3 3 4 8 4 2" xfId="35117" xr:uid="{8DBAE36A-9C9F-45B5-B5ED-523E4DCD7701}"/>
    <cellStyle name="Финансовый 3 3 4 8 5" xfId="25807" xr:uid="{87A8EEA8-7EC6-450A-B6C8-670C8467ECEF}"/>
    <cellStyle name="Финансовый 3 3 4 9" xfId="11664" xr:uid="{00000000-0005-0000-0000-000056390000}"/>
    <cellStyle name="Финансовый 3 3 4 9 2" xfId="28753" xr:uid="{EF4D3226-09B2-41C2-B78D-F4A044C6A5BC}"/>
    <cellStyle name="Финансовый 3 3 5" xfId="8701" xr:uid="{00000000-0005-0000-0000-000057390000}"/>
    <cellStyle name="Финансовый 3 3 5 10" xfId="18105" xr:uid="{00000000-0005-0000-0000-000058390000}"/>
    <cellStyle name="Финансовый 3 3 5 10 2" xfId="35118" xr:uid="{25808A44-715B-4C68-AD65-2C58DD48196D}"/>
    <cellStyle name="Финансовый 3 3 5 11" xfId="25808" xr:uid="{4406DEA1-C529-4B18-B448-2896AE1DA03F}"/>
    <cellStyle name="Финансовый 3 3 5 2" xfId="8702" xr:uid="{00000000-0005-0000-0000-000059390000}"/>
    <cellStyle name="Финансовый 3 3 5 2 10" xfId="25809" xr:uid="{DC19B138-7118-4FD6-A6AD-E6DFC52C2B77}"/>
    <cellStyle name="Финансовый 3 3 5 2 2" xfId="8703" xr:uid="{00000000-0005-0000-0000-00005A390000}"/>
    <cellStyle name="Финансовый 3 3 5 2 2 2" xfId="8704" xr:uid="{00000000-0005-0000-0000-00005B390000}"/>
    <cellStyle name="Финансовый 3 3 5 2 2 2 2" xfId="8705" xr:uid="{00000000-0005-0000-0000-00005C390000}"/>
    <cellStyle name="Финансовый 3 3 5 2 2 2 2 2" xfId="8706" xr:uid="{00000000-0005-0000-0000-00005D390000}"/>
    <cellStyle name="Финансовый 3 3 5 2 2 2 2 2 2" xfId="8707" xr:uid="{00000000-0005-0000-0000-00005E390000}"/>
    <cellStyle name="Финансовый 3 3 5 2 2 2 2 2 2 2" xfId="11798" xr:uid="{00000000-0005-0000-0000-00005F390000}"/>
    <cellStyle name="Финансовый 3 3 5 2 2 2 2 2 2 2 2" xfId="28887" xr:uid="{C6AF4026-B205-435D-BB89-1A595358BD1F}"/>
    <cellStyle name="Финансовый 3 3 5 2 2 2 2 2 2 3" xfId="15030" xr:uid="{00000000-0005-0000-0000-000060390000}"/>
    <cellStyle name="Финансовый 3 3 5 2 2 2 2 2 2 3 2" xfId="32043" xr:uid="{D83734BC-4843-46B2-9E11-8C947D36C862}"/>
    <cellStyle name="Финансовый 3 3 5 2 2 2 2 2 2 4" xfId="18111" xr:uid="{00000000-0005-0000-0000-000061390000}"/>
    <cellStyle name="Финансовый 3 3 5 2 2 2 2 2 2 4 2" xfId="35124" xr:uid="{CFDECF0C-37E9-4D5F-AC20-1587FCE9FD7E}"/>
    <cellStyle name="Финансовый 3 3 5 2 2 2 2 2 2 5" xfId="25814" xr:uid="{034422E2-DA7B-47C3-9281-A7CB298AF079}"/>
    <cellStyle name="Финансовый 3 3 5 2 2 2 2 2 3" xfId="11797" xr:uid="{00000000-0005-0000-0000-000062390000}"/>
    <cellStyle name="Финансовый 3 3 5 2 2 2 2 2 3 2" xfId="28886" xr:uid="{29A81BD8-9852-478B-8F4A-8138F24FCCB3}"/>
    <cellStyle name="Финансовый 3 3 5 2 2 2 2 2 4" xfId="15029" xr:uid="{00000000-0005-0000-0000-000063390000}"/>
    <cellStyle name="Финансовый 3 3 5 2 2 2 2 2 4 2" xfId="32042" xr:uid="{809663FD-87E8-4F29-B569-9073E40FF0FC}"/>
    <cellStyle name="Финансовый 3 3 5 2 2 2 2 2 5" xfId="18110" xr:uid="{00000000-0005-0000-0000-000064390000}"/>
    <cellStyle name="Финансовый 3 3 5 2 2 2 2 2 5 2" xfId="35123" xr:uid="{6F941399-70FC-4033-A349-DFF53DC1B31A}"/>
    <cellStyle name="Финансовый 3 3 5 2 2 2 2 2 6" xfId="25813" xr:uid="{EA48EA3C-AE34-4897-A80D-5D426F17894F}"/>
    <cellStyle name="Финансовый 3 3 5 2 2 2 2 3" xfId="8708" xr:uid="{00000000-0005-0000-0000-000065390000}"/>
    <cellStyle name="Финансовый 3 3 5 2 2 2 2 3 2" xfId="11799" xr:uid="{00000000-0005-0000-0000-000066390000}"/>
    <cellStyle name="Финансовый 3 3 5 2 2 2 2 3 2 2" xfId="28888" xr:uid="{91900B57-9CD5-4D41-8D79-3F4AE1858555}"/>
    <cellStyle name="Финансовый 3 3 5 2 2 2 2 3 3" xfId="15031" xr:uid="{00000000-0005-0000-0000-000067390000}"/>
    <cellStyle name="Финансовый 3 3 5 2 2 2 2 3 3 2" xfId="32044" xr:uid="{BC796887-665E-47A8-86D3-110F374CDF3B}"/>
    <cellStyle name="Финансовый 3 3 5 2 2 2 2 3 4" xfId="18112" xr:uid="{00000000-0005-0000-0000-000068390000}"/>
    <cellStyle name="Финансовый 3 3 5 2 2 2 2 3 4 2" xfId="35125" xr:uid="{F2D5D7D4-771B-40A2-907A-89E256E3BF34}"/>
    <cellStyle name="Финансовый 3 3 5 2 2 2 2 3 5" xfId="25815" xr:uid="{275074C8-5385-469D-8541-13212968FD3D}"/>
    <cellStyle name="Финансовый 3 3 5 2 2 2 2 4" xfId="11796" xr:uid="{00000000-0005-0000-0000-000069390000}"/>
    <cellStyle name="Финансовый 3 3 5 2 2 2 2 4 2" xfId="28885" xr:uid="{C1E556D3-A416-4D57-ADBB-514BB1BFCF72}"/>
    <cellStyle name="Финансовый 3 3 5 2 2 2 2 5" xfId="15028" xr:uid="{00000000-0005-0000-0000-00006A390000}"/>
    <cellStyle name="Финансовый 3 3 5 2 2 2 2 5 2" xfId="32041" xr:uid="{32F80E1E-84FC-4551-9D6F-8E720C103FF4}"/>
    <cellStyle name="Финансовый 3 3 5 2 2 2 2 6" xfId="18109" xr:uid="{00000000-0005-0000-0000-00006B390000}"/>
    <cellStyle name="Финансовый 3 3 5 2 2 2 2 6 2" xfId="35122" xr:uid="{B52BA957-1403-417B-A77D-627DF4127356}"/>
    <cellStyle name="Финансовый 3 3 5 2 2 2 2 7" xfId="25812" xr:uid="{ACB825D4-2C45-4486-8BEE-27E277B13A45}"/>
    <cellStyle name="Финансовый 3 3 5 2 2 2 3" xfId="8709" xr:uid="{00000000-0005-0000-0000-00006C390000}"/>
    <cellStyle name="Финансовый 3 3 5 2 2 2 3 2" xfId="8710" xr:uid="{00000000-0005-0000-0000-00006D390000}"/>
    <cellStyle name="Финансовый 3 3 5 2 2 2 3 2 2" xfId="11801" xr:uid="{00000000-0005-0000-0000-00006E390000}"/>
    <cellStyle name="Финансовый 3 3 5 2 2 2 3 2 2 2" xfId="28890" xr:uid="{25515E34-B27F-4BB1-9CE8-203C6D846877}"/>
    <cellStyle name="Финансовый 3 3 5 2 2 2 3 2 3" xfId="15033" xr:uid="{00000000-0005-0000-0000-00006F390000}"/>
    <cellStyle name="Финансовый 3 3 5 2 2 2 3 2 3 2" xfId="32046" xr:uid="{D74F8884-190A-4B3B-9D3E-D7B943617EFB}"/>
    <cellStyle name="Финансовый 3 3 5 2 2 2 3 2 4" xfId="18114" xr:uid="{00000000-0005-0000-0000-000070390000}"/>
    <cellStyle name="Финансовый 3 3 5 2 2 2 3 2 4 2" xfId="35127" xr:uid="{A8B47968-91E6-4B82-9557-1E952E9A954B}"/>
    <cellStyle name="Финансовый 3 3 5 2 2 2 3 2 5" xfId="25817" xr:uid="{F6951148-34DC-4AEC-93FC-A143DBF5BB33}"/>
    <cellStyle name="Финансовый 3 3 5 2 2 2 3 3" xfId="11800" xr:uid="{00000000-0005-0000-0000-000071390000}"/>
    <cellStyle name="Финансовый 3 3 5 2 2 2 3 3 2" xfId="28889" xr:uid="{22036D59-7339-44AF-B9CC-7EE2AE4818C2}"/>
    <cellStyle name="Финансовый 3 3 5 2 2 2 3 4" xfId="15032" xr:uid="{00000000-0005-0000-0000-000072390000}"/>
    <cellStyle name="Финансовый 3 3 5 2 2 2 3 4 2" xfId="32045" xr:uid="{D323713E-4CAD-4144-B67A-EB17D0A6A718}"/>
    <cellStyle name="Финансовый 3 3 5 2 2 2 3 5" xfId="18113" xr:uid="{00000000-0005-0000-0000-000073390000}"/>
    <cellStyle name="Финансовый 3 3 5 2 2 2 3 5 2" xfId="35126" xr:uid="{443F696B-3D46-4C17-A023-E9ABBEDD63B4}"/>
    <cellStyle name="Финансовый 3 3 5 2 2 2 3 6" xfId="25816" xr:uid="{E2227026-3DD9-4B27-AAF3-DDFA584AD528}"/>
    <cellStyle name="Финансовый 3 3 5 2 2 2 4" xfId="8711" xr:uid="{00000000-0005-0000-0000-000074390000}"/>
    <cellStyle name="Финансовый 3 3 5 2 2 2 4 2" xfId="11802" xr:uid="{00000000-0005-0000-0000-000075390000}"/>
    <cellStyle name="Финансовый 3 3 5 2 2 2 4 2 2" xfId="28891" xr:uid="{89D2BE7D-4F70-4D71-8E0A-1F64F53AF5D2}"/>
    <cellStyle name="Финансовый 3 3 5 2 2 2 4 3" xfId="15034" xr:uid="{00000000-0005-0000-0000-000076390000}"/>
    <cellStyle name="Финансовый 3 3 5 2 2 2 4 3 2" xfId="32047" xr:uid="{0E24A0B2-3328-4945-AA56-76B62D6FCF6B}"/>
    <cellStyle name="Финансовый 3 3 5 2 2 2 4 4" xfId="18115" xr:uid="{00000000-0005-0000-0000-000077390000}"/>
    <cellStyle name="Финансовый 3 3 5 2 2 2 4 4 2" xfId="35128" xr:uid="{D69B93A5-D57C-428F-A770-A35473A85573}"/>
    <cellStyle name="Финансовый 3 3 5 2 2 2 4 5" xfId="25818" xr:uid="{9AF54FEB-8D93-437A-9B26-0D672F1DD9C2}"/>
    <cellStyle name="Финансовый 3 3 5 2 2 2 5" xfId="11795" xr:uid="{00000000-0005-0000-0000-000078390000}"/>
    <cellStyle name="Финансовый 3 3 5 2 2 2 5 2" xfId="28884" xr:uid="{CAA8AB61-BCF5-4E38-B4F3-68128D2CDB47}"/>
    <cellStyle name="Финансовый 3 3 5 2 2 2 6" xfId="15027" xr:uid="{00000000-0005-0000-0000-000079390000}"/>
    <cellStyle name="Финансовый 3 3 5 2 2 2 6 2" xfId="32040" xr:uid="{8ED3ED96-5727-4955-BDC9-23D233D43AF7}"/>
    <cellStyle name="Финансовый 3 3 5 2 2 2 7" xfId="18108" xr:uid="{00000000-0005-0000-0000-00007A390000}"/>
    <cellStyle name="Финансовый 3 3 5 2 2 2 7 2" xfId="35121" xr:uid="{B6A468F1-A346-44C5-8B35-63A5B6D776E3}"/>
    <cellStyle name="Финансовый 3 3 5 2 2 2 8" xfId="25811" xr:uid="{8C8F39E3-0C45-49A3-BAC6-F9BBA76B41E7}"/>
    <cellStyle name="Финансовый 3 3 5 2 2 3" xfId="8712" xr:uid="{00000000-0005-0000-0000-00007B390000}"/>
    <cellStyle name="Финансовый 3 3 5 2 2 3 2" xfId="8713" xr:uid="{00000000-0005-0000-0000-00007C390000}"/>
    <cellStyle name="Финансовый 3 3 5 2 2 3 2 2" xfId="8714" xr:uid="{00000000-0005-0000-0000-00007D390000}"/>
    <cellStyle name="Финансовый 3 3 5 2 2 3 2 2 2" xfId="11805" xr:uid="{00000000-0005-0000-0000-00007E390000}"/>
    <cellStyle name="Финансовый 3 3 5 2 2 3 2 2 2 2" xfId="28894" xr:uid="{7FC53C54-CEEA-45DE-A067-364212BAB157}"/>
    <cellStyle name="Финансовый 3 3 5 2 2 3 2 2 3" xfId="15037" xr:uid="{00000000-0005-0000-0000-00007F390000}"/>
    <cellStyle name="Финансовый 3 3 5 2 2 3 2 2 3 2" xfId="32050" xr:uid="{CBED361C-018A-4020-833E-152B7AE9A453}"/>
    <cellStyle name="Финансовый 3 3 5 2 2 3 2 2 4" xfId="18118" xr:uid="{00000000-0005-0000-0000-000080390000}"/>
    <cellStyle name="Финансовый 3 3 5 2 2 3 2 2 4 2" xfId="35131" xr:uid="{BA03AACC-26A1-4615-B30A-9AAC46029828}"/>
    <cellStyle name="Финансовый 3 3 5 2 2 3 2 2 5" xfId="25821" xr:uid="{F3DC1390-6F7D-444E-8C30-19FBD7B2198E}"/>
    <cellStyle name="Финансовый 3 3 5 2 2 3 2 3" xfId="11804" xr:uid="{00000000-0005-0000-0000-000081390000}"/>
    <cellStyle name="Финансовый 3 3 5 2 2 3 2 3 2" xfId="28893" xr:uid="{4D797BB5-F2F5-4879-ADF6-84347EA2E29A}"/>
    <cellStyle name="Финансовый 3 3 5 2 2 3 2 4" xfId="15036" xr:uid="{00000000-0005-0000-0000-000082390000}"/>
    <cellStyle name="Финансовый 3 3 5 2 2 3 2 4 2" xfId="32049" xr:uid="{675588BE-7015-4D17-9DCB-8818592CBC9F}"/>
    <cellStyle name="Финансовый 3 3 5 2 2 3 2 5" xfId="18117" xr:uid="{00000000-0005-0000-0000-000083390000}"/>
    <cellStyle name="Финансовый 3 3 5 2 2 3 2 5 2" xfId="35130" xr:uid="{AA3DC146-7537-452F-8CCC-9F9D135B2C46}"/>
    <cellStyle name="Финансовый 3 3 5 2 2 3 2 6" xfId="25820" xr:uid="{063AA5E4-C5FE-4246-903F-8082D8636D76}"/>
    <cellStyle name="Финансовый 3 3 5 2 2 3 3" xfId="8715" xr:uid="{00000000-0005-0000-0000-000084390000}"/>
    <cellStyle name="Финансовый 3 3 5 2 2 3 3 2" xfId="11806" xr:uid="{00000000-0005-0000-0000-000085390000}"/>
    <cellStyle name="Финансовый 3 3 5 2 2 3 3 2 2" xfId="28895" xr:uid="{AD61E70E-BE0D-4302-832D-FB94B3FD2B69}"/>
    <cellStyle name="Финансовый 3 3 5 2 2 3 3 3" xfId="15038" xr:uid="{00000000-0005-0000-0000-000086390000}"/>
    <cellStyle name="Финансовый 3 3 5 2 2 3 3 3 2" xfId="32051" xr:uid="{0F0774F2-A1E7-4B86-B895-EFB8B9ECB25C}"/>
    <cellStyle name="Финансовый 3 3 5 2 2 3 3 4" xfId="18119" xr:uid="{00000000-0005-0000-0000-000087390000}"/>
    <cellStyle name="Финансовый 3 3 5 2 2 3 3 4 2" xfId="35132" xr:uid="{5B2CC05F-BDD7-455C-90FF-419362069D78}"/>
    <cellStyle name="Финансовый 3 3 5 2 2 3 3 5" xfId="25822" xr:uid="{3C821521-021F-44E9-AB3A-04D3AB7DAF7F}"/>
    <cellStyle name="Финансовый 3 3 5 2 2 3 4" xfId="11803" xr:uid="{00000000-0005-0000-0000-000088390000}"/>
    <cellStyle name="Финансовый 3 3 5 2 2 3 4 2" xfId="28892" xr:uid="{B6E307D9-6C5F-47C2-B3D2-2AB95BFB6E4E}"/>
    <cellStyle name="Финансовый 3 3 5 2 2 3 5" xfId="15035" xr:uid="{00000000-0005-0000-0000-000089390000}"/>
    <cellStyle name="Финансовый 3 3 5 2 2 3 5 2" xfId="32048" xr:uid="{AEAE35B2-FB39-4D2E-B916-85BA79B0D521}"/>
    <cellStyle name="Финансовый 3 3 5 2 2 3 6" xfId="18116" xr:uid="{00000000-0005-0000-0000-00008A390000}"/>
    <cellStyle name="Финансовый 3 3 5 2 2 3 6 2" xfId="35129" xr:uid="{4846452C-7BE1-4EFE-BD56-61C5FFAECEA7}"/>
    <cellStyle name="Финансовый 3 3 5 2 2 3 7" xfId="25819" xr:uid="{6D8DD709-35DC-4812-8A2B-8C81DFA6FB41}"/>
    <cellStyle name="Финансовый 3 3 5 2 2 4" xfId="8716" xr:uid="{00000000-0005-0000-0000-00008B390000}"/>
    <cellStyle name="Финансовый 3 3 5 2 2 4 2" xfId="8717" xr:uid="{00000000-0005-0000-0000-00008C390000}"/>
    <cellStyle name="Финансовый 3 3 5 2 2 4 2 2" xfId="11808" xr:uid="{00000000-0005-0000-0000-00008D390000}"/>
    <cellStyle name="Финансовый 3 3 5 2 2 4 2 2 2" xfId="28897" xr:uid="{13F6F223-FBFF-4A4D-B611-A4D8E20F1864}"/>
    <cellStyle name="Финансовый 3 3 5 2 2 4 2 3" xfId="15040" xr:uid="{00000000-0005-0000-0000-00008E390000}"/>
    <cellStyle name="Финансовый 3 3 5 2 2 4 2 3 2" xfId="32053" xr:uid="{E8E55D3B-2AC2-43AC-BBE4-0ACB05EFA841}"/>
    <cellStyle name="Финансовый 3 3 5 2 2 4 2 4" xfId="18121" xr:uid="{00000000-0005-0000-0000-00008F390000}"/>
    <cellStyle name="Финансовый 3 3 5 2 2 4 2 4 2" xfId="35134" xr:uid="{8DB6D0F7-8638-4295-8386-B5B202A51E6B}"/>
    <cellStyle name="Финансовый 3 3 5 2 2 4 2 5" xfId="25824" xr:uid="{3B4BA7DC-0AC5-4BDB-B862-AD7DCB96AFE6}"/>
    <cellStyle name="Финансовый 3 3 5 2 2 4 3" xfId="11807" xr:uid="{00000000-0005-0000-0000-000090390000}"/>
    <cellStyle name="Финансовый 3 3 5 2 2 4 3 2" xfId="28896" xr:uid="{79D6CB8C-0045-4654-AA41-5F5490D0973B}"/>
    <cellStyle name="Финансовый 3 3 5 2 2 4 4" xfId="15039" xr:uid="{00000000-0005-0000-0000-000091390000}"/>
    <cellStyle name="Финансовый 3 3 5 2 2 4 4 2" xfId="32052" xr:uid="{B3ADC326-9FAA-4055-A132-D779AFFAECE8}"/>
    <cellStyle name="Финансовый 3 3 5 2 2 4 5" xfId="18120" xr:uid="{00000000-0005-0000-0000-000092390000}"/>
    <cellStyle name="Финансовый 3 3 5 2 2 4 5 2" xfId="35133" xr:uid="{0AB95FD7-9D16-46BD-AFD8-CED48490C872}"/>
    <cellStyle name="Финансовый 3 3 5 2 2 4 6" xfId="25823" xr:uid="{3FDE0142-17CB-48B6-B853-B195AF638F92}"/>
    <cellStyle name="Финансовый 3 3 5 2 2 5" xfId="8718" xr:uid="{00000000-0005-0000-0000-000093390000}"/>
    <cellStyle name="Финансовый 3 3 5 2 2 5 2" xfId="11809" xr:uid="{00000000-0005-0000-0000-000094390000}"/>
    <cellStyle name="Финансовый 3 3 5 2 2 5 2 2" xfId="28898" xr:uid="{AD3E7A12-9018-4B12-93AB-12247723E5E1}"/>
    <cellStyle name="Финансовый 3 3 5 2 2 5 3" xfId="15041" xr:uid="{00000000-0005-0000-0000-000095390000}"/>
    <cellStyle name="Финансовый 3 3 5 2 2 5 3 2" xfId="32054" xr:uid="{CAD0CFC6-44E0-421F-A406-9F41928B98CF}"/>
    <cellStyle name="Финансовый 3 3 5 2 2 5 4" xfId="18122" xr:uid="{00000000-0005-0000-0000-000096390000}"/>
    <cellStyle name="Финансовый 3 3 5 2 2 5 4 2" xfId="35135" xr:uid="{3E8A4BC9-36BF-4296-A3C0-A50401966462}"/>
    <cellStyle name="Финансовый 3 3 5 2 2 5 5" xfId="25825" xr:uid="{233A73DF-7511-488C-A472-FE1BE7ACE805}"/>
    <cellStyle name="Финансовый 3 3 5 2 2 6" xfId="11794" xr:uid="{00000000-0005-0000-0000-000097390000}"/>
    <cellStyle name="Финансовый 3 3 5 2 2 6 2" xfId="28883" xr:uid="{76A5AF21-B007-4973-AAE8-8AB8C8951063}"/>
    <cellStyle name="Финансовый 3 3 5 2 2 7" xfId="15026" xr:uid="{00000000-0005-0000-0000-000098390000}"/>
    <cellStyle name="Финансовый 3 3 5 2 2 7 2" xfId="32039" xr:uid="{24E66AF1-C0EB-47E9-8F37-59EA2E963590}"/>
    <cellStyle name="Финансовый 3 3 5 2 2 8" xfId="18107" xr:uid="{00000000-0005-0000-0000-000099390000}"/>
    <cellStyle name="Финансовый 3 3 5 2 2 8 2" xfId="35120" xr:uid="{44387BE9-29DC-4248-BBE1-AF2921866202}"/>
    <cellStyle name="Финансовый 3 3 5 2 2 9" xfId="25810" xr:uid="{87B4AD41-254B-412A-A7E2-EF3CB5A9194A}"/>
    <cellStyle name="Финансовый 3 3 5 2 3" xfId="8719" xr:uid="{00000000-0005-0000-0000-00009A390000}"/>
    <cellStyle name="Финансовый 3 3 5 2 3 2" xfId="8720" xr:uid="{00000000-0005-0000-0000-00009B390000}"/>
    <cellStyle name="Финансовый 3 3 5 2 3 2 2" xfId="8721" xr:uid="{00000000-0005-0000-0000-00009C390000}"/>
    <cellStyle name="Финансовый 3 3 5 2 3 2 2 2" xfId="8722" xr:uid="{00000000-0005-0000-0000-00009D390000}"/>
    <cellStyle name="Финансовый 3 3 5 2 3 2 2 2 2" xfId="11813" xr:uid="{00000000-0005-0000-0000-00009E390000}"/>
    <cellStyle name="Финансовый 3 3 5 2 3 2 2 2 2 2" xfId="28902" xr:uid="{499E5DCF-EC4B-4937-971F-DAF499892FF2}"/>
    <cellStyle name="Финансовый 3 3 5 2 3 2 2 2 3" xfId="15045" xr:uid="{00000000-0005-0000-0000-00009F390000}"/>
    <cellStyle name="Финансовый 3 3 5 2 3 2 2 2 3 2" xfId="32058" xr:uid="{ACE5E2AC-F265-4D9F-BB16-F5CC7923C139}"/>
    <cellStyle name="Финансовый 3 3 5 2 3 2 2 2 4" xfId="18126" xr:uid="{00000000-0005-0000-0000-0000A0390000}"/>
    <cellStyle name="Финансовый 3 3 5 2 3 2 2 2 4 2" xfId="35139" xr:uid="{DA28C68A-469D-4466-8321-E0862762CBAA}"/>
    <cellStyle name="Финансовый 3 3 5 2 3 2 2 2 5" xfId="25829" xr:uid="{A39E61C0-B372-49FF-AB97-54DE435568C9}"/>
    <cellStyle name="Финансовый 3 3 5 2 3 2 2 3" xfId="11812" xr:uid="{00000000-0005-0000-0000-0000A1390000}"/>
    <cellStyle name="Финансовый 3 3 5 2 3 2 2 3 2" xfId="28901" xr:uid="{F861A626-35F5-4D86-81B9-17F59AF0821C}"/>
    <cellStyle name="Финансовый 3 3 5 2 3 2 2 4" xfId="15044" xr:uid="{00000000-0005-0000-0000-0000A2390000}"/>
    <cellStyle name="Финансовый 3 3 5 2 3 2 2 4 2" xfId="32057" xr:uid="{44AE4216-F7D9-4099-A3E0-1BB91F344622}"/>
    <cellStyle name="Финансовый 3 3 5 2 3 2 2 5" xfId="18125" xr:uid="{00000000-0005-0000-0000-0000A3390000}"/>
    <cellStyle name="Финансовый 3 3 5 2 3 2 2 5 2" xfId="35138" xr:uid="{8EEA3CE7-2F6F-463C-9CF3-7B6146B32755}"/>
    <cellStyle name="Финансовый 3 3 5 2 3 2 2 6" xfId="25828" xr:uid="{92FEECD2-148C-4F91-B41D-794E8E8BB161}"/>
    <cellStyle name="Финансовый 3 3 5 2 3 2 3" xfId="8723" xr:uid="{00000000-0005-0000-0000-0000A4390000}"/>
    <cellStyle name="Финансовый 3 3 5 2 3 2 3 2" xfId="11814" xr:uid="{00000000-0005-0000-0000-0000A5390000}"/>
    <cellStyle name="Финансовый 3 3 5 2 3 2 3 2 2" xfId="28903" xr:uid="{73B14592-BF94-462F-B8BE-72DCB7BD7545}"/>
    <cellStyle name="Финансовый 3 3 5 2 3 2 3 3" xfId="15046" xr:uid="{00000000-0005-0000-0000-0000A6390000}"/>
    <cellStyle name="Финансовый 3 3 5 2 3 2 3 3 2" xfId="32059" xr:uid="{D5E43022-389E-4628-AE18-2D95DDFDDA78}"/>
    <cellStyle name="Финансовый 3 3 5 2 3 2 3 4" xfId="18127" xr:uid="{00000000-0005-0000-0000-0000A7390000}"/>
    <cellStyle name="Финансовый 3 3 5 2 3 2 3 4 2" xfId="35140" xr:uid="{3D2A04DA-CC22-4568-8961-5CED186F1160}"/>
    <cellStyle name="Финансовый 3 3 5 2 3 2 3 5" xfId="25830" xr:uid="{B3BACB1F-C36E-4298-B822-09C4B3828B0E}"/>
    <cellStyle name="Финансовый 3 3 5 2 3 2 4" xfId="11811" xr:uid="{00000000-0005-0000-0000-0000A8390000}"/>
    <cellStyle name="Финансовый 3 3 5 2 3 2 4 2" xfId="28900" xr:uid="{EBE320F6-84DC-413E-943F-2FC4F1706527}"/>
    <cellStyle name="Финансовый 3 3 5 2 3 2 5" xfId="15043" xr:uid="{00000000-0005-0000-0000-0000A9390000}"/>
    <cellStyle name="Финансовый 3 3 5 2 3 2 5 2" xfId="32056" xr:uid="{1C38FB1E-2577-4377-8F32-9CAF2D666908}"/>
    <cellStyle name="Финансовый 3 3 5 2 3 2 6" xfId="18124" xr:uid="{00000000-0005-0000-0000-0000AA390000}"/>
    <cellStyle name="Финансовый 3 3 5 2 3 2 6 2" xfId="35137" xr:uid="{AB11B4BE-55AA-4233-AAED-CCE02123B6EE}"/>
    <cellStyle name="Финансовый 3 3 5 2 3 2 7" xfId="25827" xr:uid="{5FA6E6A3-E8AB-4925-A63E-C8B770D86D94}"/>
    <cellStyle name="Финансовый 3 3 5 2 3 3" xfId="8724" xr:uid="{00000000-0005-0000-0000-0000AB390000}"/>
    <cellStyle name="Финансовый 3 3 5 2 3 3 2" xfId="8725" xr:uid="{00000000-0005-0000-0000-0000AC390000}"/>
    <cellStyle name="Финансовый 3 3 5 2 3 3 2 2" xfId="11816" xr:uid="{00000000-0005-0000-0000-0000AD390000}"/>
    <cellStyle name="Финансовый 3 3 5 2 3 3 2 2 2" xfId="28905" xr:uid="{3331CCF4-9722-40F7-92DB-B324FAEA488C}"/>
    <cellStyle name="Финансовый 3 3 5 2 3 3 2 3" xfId="15048" xr:uid="{00000000-0005-0000-0000-0000AE390000}"/>
    <cellStyle name="Финансовый 3 3 5 2 3 3 2 3 2" xfId="32061" xr:uid="{8B3A8AC5-FF69-4202-943C-5E29776015EF}"/>
    <cellStyle name="Финансовый 3 3 5 2 3 3 2 4" xfId="18129" xr:uid="{00000000-0005-0000-0000-0000AF390000}"/>
    <cellStyle name="Финансовый 3 3 5 2 3 3 2 4 2" xfId="35142" xr:uid="{4A8AD1EE-2D4F-4F39-B180-30EEDC067F53}"/>
    <cellStyle name="Финансовый 3 3 5 2 3 3 2 5" xfId="25832" xr:uid="{386C6483-83E0-423F-B1FC-BCD4125549DB}"/>
    <cellStyle name="Финансовый 3 3 5 2 3 3 3" xfId="11815" xr:uid="{00000000-0005-0000-0000-0000B0390000}"/>
    <cellStyle name="Финансовый 3 3 5 2 3 3 3 2" xfId="28904" xr:uid="{1F6047B0-CB91-4DBA-B3D0-7CE6BE61630B}"/>
    <cellStyle name="Финансовый 3 3 5 2 3 3 4" xfId="15047" xr:uid="{00000000-0005-0000-0000-0000B1390000}"/>
    <cellStyle name="Финансовый 3 3 5 2 3 3 4 2" xfId="32060" xr:uid="{C7E1E682-49F0-4CAD-B61C-CE17B5004B24}"/>
    <cellStyle name="Финансовый 3 3 5 2 3 3 5" xfId="18128" xr:uid="{00000000-0005-0000-0000-0000B2390000}"/>
    <cellStyle name="Финансовый 3 3 5 2 3 3 5 2" xfId="35141" xr:uid="{1549F207-0C12-4A30-AAAA-14C0BD02C5F2}"/>
    <cellStyle name="Финансовый 3 3 5 2 3 3 6" xfId="25831" xr:uid="{7FFB6233-9C44-463A-AFB4-95D3E6C419B2}"/>
    <cellStyle name="Финансовый 3 3 5 2 3 4" xfId="8726" xr:uid="{00000000-0005-0000-0000-0000B3390000}"/>
    <cellStyle name="Финансовый 3 3 5 2 3 4 2" xfId="11817" xr:uid="{00000000-0005-0000-0000-0000B4390000}"/>
    <cellStyle name="Финансовый 3 3 5 2 3 4 2 2" xfId="28906" xr:uid="{BBEEB3B4-3A54-402E-8FA9-155816E60ACE}"/>
    <cellStyle name="Финансовый 3 3 5 2 3 4 3" xfId="15049" xr:uid="{00000000-0005-0000-0000-0000B5390000}"/>
    <cellStyle name="Финансовый 3 3 5 2 3 4 3 2" xfId="32062" xr:uid="{6CF00E68-51A1-43AD-982E-F8A0EA6938BB}"/>
    <cellStyle name="Финансовый 3 3 5 2 3 4 4" xfId="18130" xr:uid="{00000000-0005-0000-0000-0000B6390000}"/>
    <cellStyle name="Финансовый 3 3 5 2 3 4 4 2" xfId="35143" xr:uid="{098B79DF-DAE9-4D23-A506-8D327A4FC2C4}"/>
    <cellStyle name="Финансовый 3 3 5 2 3 4 5" xfId="25833" xr:uid="{49EE1663-5788-4E64-BDC8-5E9D7495D8A9}"/>
    <cellStyle name="Финансовый 3 3 5 2 3 5" xfId="11810" xr:uid="{00000000-0005-0000-0000-0000B7390000}"/>
    <cellStyle name="Финансовый 3 3 5 2 3 5 2" xfId="28899" xr:uid="{78B7F479-2535-447F-9AC0-27CFA1E3F887}"/>
    <cellStyle name="Финансовый 3 3 5 2 3 6" xfId="15042" xr:uid="{00000000-0005-0000-0000-0000B8390000}"/>
    <cellStyle name="Финансовый 3 3 5 2 3 6 2" xfId="32055" xr:uid="{906ABD8A-BD93-4875-8523-385C6FE4B593}"/>
    <cellStyle name="Финансовый 3 3 5 2 3 7" xfId="18123" xr:uid="{00000000-0005-0000-0000-0000B9390000}"/>
    <cellStyle name="Финансовый 3 3 5 2 3 7 2" xfId="35136" xr:uid="{C435B843-ED27-416F-B894-7EFEFAD25B38}"/>
    <cellStyle name="Финансовый 3 3 5 2 3 8" xfId="25826" xr:uid="{AA1A9EF2-81E1-4D52-A2D7-746700C0FFE9}"/>
    <cellStyle name="Финансовый 3 3 5 2 4" xfId="8727" xr:uid="{00000000-0005-0000-0000-0000BA390000}"/>
    <cellStyle name="Финансовый 3 3 5 2 4 2" xfId="8728" xr:uid="{00000000-0005-0000-0000-0000BB390000}"/>
    <cellStyle name="Финансовый 3 3 5 2 4 2 2" xfId="8729" xr:uid="{00000000-0005-0000-0000-0000BC390000}"/>
    <cellStyle name="Финансовый 3 3 5 2 4 2 2 2" xfId="11820" xr:uid="{00000000-0005-0000-0000-0000BD390000}"/>
    <cellStyle name="Финансовый 3 3 5 2 4 2 2 2 2" xfId="28909" xr:uid="{D2333F24-4B49-4636-BAC1-98D3384DD4EB}"/>
    <cellStyle name="Финансовый 3 3 5 2 4 2 2 3" xfId="15052" xr:uid="{00000000-0005-0000-0000-0000BE390000}"/>
    <cellStyle name="Финансовый 3 3 5 2 4 2 2 3 2" xfId="32065" xr:uid="{57758AD3-169E-4495-8C3A-C39FBB3F9D87}"/>
    <cellStyle name="Финансовый 3 3 5 2 4 2 2 4" xfId="18133" xr:uid="{00000000-0005-0000-0000-0000BF390000}"/>
    <cellStyle name="Финансовый 3 3 5 2 4 2 2 4 2" xfId="35146" xr:uid="{F10EDB12-CF36-4BBE-85B1-4EEDCA2D45E7}"/>
    <cellStyle name="Финансовый 3 3 5 2 4 2 2 5" xfId="25836" xr:uid="{0544F36A-D428-40F1-989F-10557CF58681}"/>
    <cellStyle name="Финансовый 3 3 5 2 4 2 3" xfId="11819" xr:uid="{00000000-0005-0000-0000-0000C0390000}"/>
    <cellStyle name="Финансовый 3 3 5 2 4 2 3 2" xfId="28908" xr:uid="{F6CB9D5F-099F-40F3-9A3E-019738E388AB}"/>
    <cellStyle name="Финансовый 3 3 5 2 4 2 4" xfId="15051" xr:uid="{00000000-0005-0000-0000-0000C1390000}"/>
    <cellStyle name="Финансовый 3 3 5 2 4 2 4 2" xfId="32064" xr:uid="{69E95E11-A7E6-44BF-AD61-5B3DCB3D3166}"/>
    <cellStyle name="Финансовый 3 3 5 2 4 2 5" xfId="18132" xr:uid="{00000000-0005-0000-0000-0000C2390000}"/>
    <cellStyle name="Финансовый 3 3 5 2 4 2 5 2" xfId="35145" xr:uid="{C169B980-3349-4E73-AA58-9D4E3566115C}"/>
    <cellStyle name="Финансовый 3 3 5 2 4 2 6" xfId="25835" xr:uid="{795451CE-A5B0-46CA-A440-9D79C93C3975}"/>
    <cellStyle name="Финансовый 3 3 5 2 4 3" xfId="8730" xr:uid="{00000000-0005-0000-0000-0000C3390000}"/>
    <cellStyle name="Финансовый 3 3 5 2 4 3 2" xfId="11821" xr:uid="{00000000-0005-0000-0000-0000C4390000}"/>
    <cellStyle name="Финансовый 3 3 5 2 4 3 2 2" xfId="28910" xr:uid="{9EC85D61-0D8F-4229-A53C-FF382AA0C06A}"/>
    <cellStyle name="Финансовый 3 3 5 2 4 3 3" xfId="15053" xr:uid="{00000000-0005-0000-0000-0000C5390000}"/>
    <cellStyle name="Финансовый 3 3 5 2 4 3 3 2" xfId="32066" xr:uid="{4AC7B518-4ED5-4871-BE30-4D220EBA781E}"/>
    <cellStyle name="Финансовый 3 3 5 2 4 3 4" xfId="18134" xr:uid="{00000000-0005-0000-0000-0000C6390000}"/>
    <cellStyle name="Финансовый 3 3 5 2 4 3 4 2" xfId="35147" xr:uid="{94469405-D774-4CAB-A108-0C9E77CC5F52}"/>
    <cellStyle name="Финансовый 3 3 5 2 4 3 5" xfId="25837" xr:uid="{61106247-0132-449C-B399-DEB5A6F8C418}"/>
    <cellStyle name="Финансовый 3 3 5 2 4 4" xfId="11818" xr:uid="{00000000-0005-0000-0000-0000C7390000}"/>
    <cellStyle name="Финансовый 3 3 5 2 4 4 2" xfId="28907" xr:uid="{A7BD99FC-7E3E-45BF-9EE6-C5F55A151CC9}"/>
    <cellStyle name="Финансовый 3 3 5 2 4 5" xfId="15050" xr:uid="{00000000-0005-0000-0000-0000C8390000}"/>
    <cellStyle name="Финансовый 3 3 5 2 4 5 2" xfId="32063" xr:uid="{77FBD99D-A76D-4754-9007-02427E73FFB2}"/>
    <cellStyle name="Финансовый 3 3 5 2 4 6" xfId="18131" xr:uid="{00000000-0005-0000-0000-0000C9390000}"/>
    <cellStyle name="Финансовый 3 3 5 2 4 6 2" xfId="35144" xr:uid="{B1AED8C7-51CF-406C-9045-29AC993F6DD2}"/>
    <cellStyle name="Финансовый 3 3 5 2 4 7" xfId="25834" xr:uid="{3D9080F7-673B-4F49-BE60-BC3E2FFA5F74}"/>
    <cellStyle name="Финансовый 3 3 5 2 5" xfId="8731" xr:uid="{00000000-0005-0000-0000-0000CA390000}"/>
    <cellStyle name="Финансовый 3 3 5 2 5 2" xfId="8732" xr:uid="{00000000-0005-0000-0000-0000CB390000}"/>
    <cellStyle name="Финансовый 3 3 5 2 5 2 2" xfId="11823" xr:uid="{00000000-0005-0000-0000-0000CC390000}"/>
    <cellStyle name="Финансовый 3 3 5 2 5 2 2 2" xfId="28912" xr:uid="{B6DDCAA8-3DDC-4BB1-93EB-C8F271A3871B}"/>
    <cellStyle name="Финансовый 3 3 5 2 5 2 3" xfId="15055" xr:uid="{00000000-0005-0000-0000-0000CD390000}"/>
    <cellStyle name="Финансовый 3 3 5 2 5 2 3 2" xfId="32068" xr:uid="{6F9FBF83-4360-43CA-A27B-BE88E6ED11B5}"/>
    <cellStyle name="Финансовый 3 3 5 2 5 2 4" xfId="18136" xr:uid="{00000000-0005-0000-0000-0000CE390000}"/>
    <cellStyle name="Финансовый 3 3 5 2 5 2 4 2" xfId="35149" xr:uid="{DB156C9E-CCFB-48F6-89CD-C6EA9D008702}"/>
    <cellStyle name="Финансовый 3 3 5 2 5 2 5" xfId="25839" xr:uid="{AFF57A06-8DFC-4B9B-AD18-5F39CCB31FCA}"/>
    <cellStyle name="Финансовый 3 3 5 2 5 3" xfId="11822" xr:uid="{00000000-0005-0000-0000-0000CF390000}"/>
    <cellStyle name="Финансовый 3 3 5 2 5 3 2" xfId="28911" xr:uid="{E20AC778-7E5D-4EF6-89EB-46890FD89CE5}"/>
    <cellStyle name="Финансовый 3 3 5 2 5 4" xfId="15054" xr:uid="{00000000-0005-0000-0000-0000D0390000}"/>
    <cellStyle name="Финансовый 3 3 5 2 5 4 2" xfId="32067" xr:uid="{FC3B3D32-87CD-4748-9F7A-B4C9B5A0504F}"/>
    <cellStyle name="Финансовый 3 3 5 2 5 5" xfId="18135" xr:uid="{00000000-0005-0000-0000-0000D1390000}"/>
    <cellStyle name="Финансовый 3 3 5 2 5 5 2" xfId="35148" xr:uid="{DD111E4E-2B4E-4760-BE35-A8576942964E}"/>
    <cellStyle name="Финансовый 3 3 5 2 5 6" xfId="25838" xr:uid="{5D821686-CF8D-4F62-A3EB-949B4FD8A9B1}"/>
    <cellStyle name="Финансовый 3 3 5 2 6" xfId="8733" xr:uid="{00000000-0005-0000-0000-0000D2390000}"/>
    <cellStyle name="Финансовый 3 3 5 2 6 2" xfId="11824" xr:uid="{00000000-0005-0000-0000-0000D3390000}"/>
    <cellStyle name="Финансовый 3 3 5 2 6 2 2" xfId="28913" xr:uid="{6C10CF83-47B3-4083-A265-2D47E676CDE8}"/>
    <cellStyle name="Финансовый 3 3 5 2 6 3" xfId="15056" xr:uid="{00000000-0005-0000-0000-0000D4390000}"/>
    <cellStyle name="Финансовый 3 3 5 2 6 3 2" xfId="32069" xr:uid="{DA777CD1-7E19-4B3F-A3DF-1D250D645E1B}"/>
    <cellStyle name="Финансовый 3 3 5 2 6 4" xfId="18137" xr:uid="{00000000-0005-0000-0000-0000D5390000}"/>
    <cellStyle name="Финансовый 3 3 5 2 6 4 2" xfId="35150" xr:uid="{33810B88-D9AB-4AC9-B59E-72B5A31F3590}"/>
    <cellStyle name="Финансовый 3 3 5 2 6 5" xfId="25840" xr:uid="{C2F6310A-8910-46A4-9B9A-5A3FA11396BD}"/>
    <cellStyle name="Финансовый 3 3 5 2 7" xfId="11793" xr:uid="{00000000-0005-0000-0000-0000D6390000}"/>
    <cellStyle name="Финансовый 3 3 5 2 7 2" xfId="28882" xr:uid="{74DE6878-2AA9-44B5-91EE-CFC571604949}"/>
    <cellStyle name="Финансовый 3 3 5 2 8" xfId="15025" xr:uid="{00000000-0005-0000-0000-0000D7390000}"/>
    <cellStyle name="Финансовый 3 3 5 2 8 2" xfId="32038" xr:uid="{3A389156-5863-47AD-A4ED-6B66A76D581C}"/>
    <cellStyle name="Финансовый 3 3 5 2 9" xfId="18106" xr:uid="{00000000-0005-0000-0000-0000D8390000}"/>
    <cellStyle name="Финансовый 3 3 5 2 9 2" xfId="35119" xr:uid="{98364B6B-CE56-4AF8-9111-E61B3B9C9CA5}"/>
    <cellStyle name="Финансовый 3 3 5 3" xfId="8734" xr:uid="{00000000-0005-0000-0000-0000D9390000}"/>
    <cellStyle name="Финансовый 3 3 5 3 2" xfId="8735" xr:uid="{00000000-0005-0000-0000-0000DA390000}"/>
    <cellStyle name="Финансовый 3 3 5 3 2 2" xfId="8736" xr:uid="{00000000-0005-0000-0000-0000DB390000}"/>
    <cellStyle name="Финансовый 3 3 5 3 2 2 2" xfId="8737" xr:uid="{00000000-0005-0000-0000-0000DC390000}"/>
    <cellStyle name="Финансовый 3 3 5 3 2 2 2 2" xfId="8738" xr:uid="{00000000-0005-0000-0000-0000DD390000}"/>
    <cellStyle name="Финансовый 3 3 5 3 2 2 2 2 2" xfId="11829" xr:uid="{00000000-0005-0000-0000-0000DE390000}"/>
    <cellStyle name="Финансовый 3 3 5 3 2 2 2 2 2 2" xfId="28918" xr:uid="{9654E116-862D-4826-A3D1-CF612F403143}"/>
    <cellStyle name="Финансовый 3 3 5 3 2 2 2 2 3" xfId="15061" xr:uid="{00000000-0005-0000-0000-0000DF390000}"/>
    <cellStyle name="Финансовый 3 3 5 3 2 2 2 2 3 2" xfId="32074" xr:uid="{194C6E69-5053-43FD-A338-264ADA09A2F7}"/>
    <cellStyle name="Финансовый 3 3 5 3 2 2 2 2 4" xfId="18142" xr:uid="{00000000-0005-0000-0000-0000E0390000}"/>
    <cellStyle name="Финансовый 3 3 5 3 2 2 2 2 4 2" xfId="35155" xr:uid="{26A098B6-CAB6-4297-83AD-D50C8CF0384A}"/>
    <cellStyle name="Финансовый 3 3 5 3 2 2 2 2 5" xfId="25845" xr:uid="{5ED10A47-4D1C-411F-B201-7C27B91A8A2A}"/>
    <cellStyle name="Финансовый 3 3 5 3 2 2 2 3" xfId="11828" xr:uid="{00000000-0005-0000-0000-0000E1390000}"/>
    <cellStyle name="Финансовый 3 3 5 3 2 2 2 3 2" xfId="28917" xr:uid="{6AC797FF-00F6-4576-8970-D302328D4CFF}"/>
    <cellStyle name="Финансовый 3 3 5 3 2 2 2 4" xfId="15060" xr:uid="{00000000-0005-0000-0000-0000E2390000}"/>
    <cellStyle name="Финансовый 3 3 5 3 2 2 2 4 2" xfId="32073" xr:uid="{F2C350E6-C147-4230-BC25-4400C86BD2D0}"/>
    <cellStyle name="Финансовый 3 3 5 3 2 2 2 5" xfId="18141" xr:uid="{00000000-0005-0000-0000-0000E3390000}"/>
    <cellStyle name="Финансовый 3 3 5 3 2 2 2 5 2" xfId="35154" xr:uid="{F476FF0B-CB00-44D5-80A9-0BD681B455D0}"/>
    <cellStyle name="Финансовый 3 3 5 3 2 2 2 6" xfId="25844" xr:uid="{725DABCF-F0A8-4D80-ABBB-A257B7FB63BC}"/>
    <cellStyle name="Финансовый 3 3 5 3 2 2 3" xfId="8739" xr:uid="{00000000-0005-0000-0000-0000E4390000}"/>
    <cellStyle name="Финансовый 3 3 5 3 2 2 3 2" xfId="11830" xr:uid="{00000000-0005-0000-0000-0000E5390000}"/>
    <cellStyle name="Финансовый 3 3 5 3 2 2 3 2 2" xfId="28919" xr:uid="{48FC6E1D-816B-487E-997B-C64CBA96EFA6}"/>
    <cellStyle name="Финансовый 3 3 5 3 2 2 3 3" xfId="15062" xr:uid="{00000000-0005-0000-0000-0000E6390000}"/>
    <cellStyle name="Финансовый 3 3 5 3 2 2 3 3 2" xfId="32075" xr:uid="{3606F800-D3B8-44E1-958A-26CCE77B6BC7}"/>
    <cellStyle name="Финансовый 3 3 5 3 2 2 3 4" xfId="18143" xr:uid="{00000000-0005-0000-0000-0000E7390000}"/>
    <cellStyle name="Финансовый 3 3 5 3 2 2 3 4 2" xfId="35156" xr:uid="{A503BF46-E380-47EB-B477-75F2A9512754}"/>
    <cellStyle name="Финансовый 3 3 5 3 2 2 3 5" xfId="25846" xr:uid="{209ECEAD-B2AA-4CBE-A3EA-9FD685510925}"/>
    <cellStyle name="Финансовый 3 3 5 3 2 2 4" xfId="11827" xr:uid="{00000000-0005-0000-0000-0000E8390000}"/>
    <cellStyle name="Финансовый 3 3 5 3 2 2 4 2" xfId="28916" xr:uid="{79285E31-8AFA-4232-8C9A-6E199CAC5186}"/>
    <cellStyle name="Финансовый 3 3 5 3 2 2 5" xfId="15059" xr:uid="{00000000-0005-0000-0000-0000E9390000}"/>
    <cellStyle name="Финансовый 3 3 5 3 2 2 5 2" xfId="32072" xr:uid="{6EA9A206-D645-4745-A0B2-3751283D2AFE}"/>
    <cellStyle name="Финансовый 3 3 5 3 2 2 6" xfId="18140" xr:uid="{00000000-0005-0000-0000-0000EA390000}"/>
    <cellStyle name="Финансовый 3 3 5 3 2 2 6 2" xfId="35153" xr:uid="{F4C5CC96-CDDA-47B4-A88D-2E48D9CF7B94}"/>
    <cellStyle name="Финансовый 3 3 5 3 2 2 7" xfId="25843" xr:uid="{FC048CC9-2C1B-42C4-B0F2-C00A48505EF0}"/>
    <cellStyle name="Финансовый 3 3 5 3 2 3" xfId="8740" xr:uid="{00000000-0005-0000-0000-0000EB390000}"/>
    <cellStyle name="Финансовый 3 3 5 3 2 3 2" xfId="8741" xr:uid="{00000000-0005-0000-0000-0000EC390000}"/>
    <cellStyle name="Финансовый 3 3 5 3 2 3 2 2" xfId="11832" xr:uid="{00000000-0005-0000-0000-0000ED390000}"/>
    <cellStyle name="Финансовый 3 3 5 3 2 3 2 2 2" xfId="28921" xr:uid="{052ACD95-FEBB-4CCF-B2A0-3B718965F99D}"/>
    <cellStyle name="Финансовый 3 3 5 3 2 3 2 3" xfId="15064" xr:uid="{00000000-0005-0000-0000-0000EE390000}"/>
    <cellStyle name="Финансовый 3 3 5 3 2 3 2 3 2" xfId="32077" xr:uid="{1AB836DE-8FB0-49B4-A315-F7F52EE60422}"/>
    <cellStyle name="Финансовый 3 3 5 3 2 3 2 4" xfId="18145" xr:uid="{00000000-0005-0000-0000-0000EF390000}"/>
    <cellStyle name="Финансовый 3 3 5 3 2 3 2 4 2" xfId="35158" xr:uid="{EB3DDBAB-6740-40FC-A5FA-4FAA4E130BBE}"/>
    <cellStyle name="Финансовый 3 3 5 3 2 3 2 5" xfId="25848" xr:uid="{80C1DD07-BC4E-4C6A-8149-C5D41B566B36}"/>
    <cellStyle name="Финансовый 3 3 5 3 2 3 3" xfId="11831" xr:uid="{00000000-0005-0000-0000-0000F0390000}"/>
    <cellStyle name="Финансовый 3 3 5 3 2 3 3 2" xfId="28920" xr:uid="{0F93A4F7-382A-4E47-99F7-29E854BCDE43}"/>
    <cellStyle name="Финансовый 3 3 5 3 2 3 4" xfId="15063" xr:uid="{00000000-0005-0000-0000-0000F1390000}"/>
    <cellStyle name="Финансовый 3 3 5 3 2 3 4 2" xfId="32076" xr:uid="{928EFB73-9DFC-492E-B666-F7AEA2EAA8DE}"/>
    <cellStyle name="Финансовый 3 3 5 3 2 3 5" xfId="18144" xr:uid="{00000000-0005-0000-0000-0000F2390000}"/>
    <cellStyle name="Финансовый 3 3 5 3 2 3 5 2" xfId="35157" xr:uid="{8B10B796-D035-46D2-AD81-DD494A14294E}"/>
    <cellStyle name="Финансовый 3 3 5 3 2 3 6" xfId="25847" xr:uid="{317513B0-6A42-42A0-91FC-B68771B9A58A}"/>
    <cellStyle name="Финансовый 3 3 5 3 2 4" xfId="8742" xr:uid="{00000000-0005-0000-0000-0000F3390000}"/>
    <cellStyle name="Финансовый 3 3 5 3 2 4 2" xfId="11833" xr:uid="{00000000-0005-0000-0000-0000F4390000}"/>
    <cellStyle name="Финансовый 3 3 5 3 2 4 2 2" xfId="28922" xr:uid="{497159EC-FA11-4146-83AF-B049BB8BCEF3}"/>
    <cellStyle name="Финансовый 3 3 5 3 2 4 3" xfId="15065" xr:uid="{00000000-0005-0000-0000-0000F5390000}"/>
    <cellStyle name="Финансовый 3 3 5 3 2 4 3 2" xfId="32078" xr:uid="{051ED087-CB19-49C4-B20B-0063AF863043}"/>
    <cellStyle name="Финансовый 3 3 5 3 2 4 4" xfId="18146" xr:uid="{00000000-0005-0000-0000-0000F6390000}"/>
    <cellStyle name="Финансовый 3 3 5 3 2 4 4 2" xfId="35159" xr:uid="{8E1D19AD-ECBA-42B6-A996-8BBD68098D15}"/>
    <cellStyle name="Финансовый 3 3 5 3 2 4 5" xfId="25849" xr:uid="{03BB738F-46F5-4B43-8090-2D2DCD7D4707}"/>
    <cellStyle name="Финансовый 3 3 5 3 2 5" xfId="11826" xr:uid="{00000000-0005-0000-0000-0000F7390000}"/>
    <cellStyle name="Финансовый 3 3 5 3 2 5 2" xfId="28915" xr:uid="{F56E9F0E-0E7E-4BFC-AB92-996495CC151F}"/>
    <cellStyle name="Финансовый 3 3 5 3 2 6" xfId="15058" xr:uid="{00000000-0005-0000-0000-0000F8390000}"/>
    <cellStyle name="Финансовый 3 3 5 3 2 6 2" xfId="32071" xr:uid="{CF4ED74E-D7AF-4C97-80CE-3969B727AC64}"/>
    <cellStyle name="Финансовый 3 3 5 3 2 7" xfId="18139" xr:uid="{00000000-0005-0000-0000-0000F9390000}"/>
    <cellStyle name="Финансовый 3 3 5 3 2 7 2" xfId="35152" xr:uid="{EC1E4EE6-1EB3-41EF-BD72-6FE2D6479132}"/>
    <cellStyle name="Финансовый 3 3 5 3 2 8" xfId="25842" xr:uid="{61374D97-2FBB-4E92-A4E1-79BD876A7D6F}"/>
    <cellStyle name="Финансовый 3 3 5 3 3" xfId="8743" xr:uid="{00000000-0005-0000-0000-0000FA390000}"/>
    <cellStyle name="Финансовый 3 3 5 3 3 2" xfId="8744" xr:uid="{00000000-0005-0000-0000-0000FB390000}"/>
    <cellStyle name="Финансовый 3 3 5 3 3 2 2" xfId="8745" xr:uid="{00000000-0005-0000-0000-0000FC390000}"/>
    <cellStyle name="Финансовый 3 3 5 3 3 2 2 2" xfId="11836" xr:uid="{00000000-0005-0000-0000-0000FD390000}"/>
    <cellStyle name="Финансовый 3 3 5 3 3 2 2 2 2" xfId="28925" xr:uid="{A087CE93-7F8E-4E2E-A424-7AD1A701029C}"/>
    <cellStyle name="Финансовый 3 3 5 3 3 2 2 3" xfId="15068" xr:uid="{00000000-0005-0000-0000-0000FE390000}"/>
    <cellStyle name="Финансовый 3 3 5 3 3 2 2 3 2" xfId="32081" xr:uid="{40B5D974-4464-4321-8230-99D8A1564953}"/>
    <cellStyle name="Финансовый 3 3 5 3 3 2 2 4" xfId="18149" xr:uid="{00000000-0005-0000-0000-0000FF390000}"/>
    <cellStyle name="Финансовый 3 3 5 3 3 2 2 4 2" xfId="35162" xr:uid="{70CC66B9-630E-4C73-BF98-D0BE95D72824}"/>
    <cellStyle name="Финансовый 3 3 5 3 3 2 2 5" xfId="25852" xr:uid="{6EC82F3C-0763-4C9B-8FCF-51A6FCD6DCE7}"/>
    <cellStyle name="Финансовый 3 3 5 3 3 2 3" xfId="11835" xr:uid="{00000000-0005-0000-0000-0000003A0000}"/>
    <cellStyle name="Финансовый 3 3 5 3 3 2 3 2" xfId="28924" xr:uid="{6249AAC6-CA3A-4D5B-8983-29C369663FFC}"/>
    <cellStyle name="Финансовый 3 3 5 3 3 2 4" xfId="15067" xr:uid="{00000000-0005-0000-0000-0000013A0000}"/>
    <cellStyle name="Финансовый 3 3 5 3 3 2 4 2" xfId="32080" xr:uid="{FEF13C54-18CC-46A4-84E1-74071FACB1E0}"/>
    <cellStyle name="Финансовый 3 3 5 3 3 2 5" xfId="18148" xr:uid="{00000000-0005-0000-0000-0000023A0000}"/>
    <cellStyle name="Финансовый 3 3 5 3 3 2 5 2" xfId="35161" xr:uid="{58138810-5E9E-4FF3-ABB3-830F3ABF8105}"/>
    <cellStyle name="Финансовый 3 3 5 3 3 2 6" xfId="25851" xr:uid="{4ACEE2AA-5E8B-4722-804B-66FB0320548E}"/>
    <cellStyle name="Финансовый 3 3 5 3 3 3" xfId="8746" xr:uid="{00000000-0005-0000-0000-0000033A0000}"/>
    <cellStyle name="Финансовый 3 3 5 3 3 3 2" xfId="11837" xr:uid="{00000000-0005-0000-0000-0000043A0000}"/>
    <cellStyle name="Финансовый 3 3 5 3 3 3 2 2" xfId="28926" xr:uid="{7A79EFFC-9382-4184-A9B8-F17DDCFB0FCA}"/>
    <cellStyle name="Финансовый 3 3 5 3 3 3 3" xfId="15069" xr:uid="{00000000-0005-0000-0000-0000053A0000}"/>
    <cellStyle name="Финансовый 3 3 5 3 3 3 3 2" xfId="32082" xr:uid="{B107049A-E8A7-4204-889A-ADBB8E45C21B}"/>
    <cellStyle name="Финансовый 3 3 5 3 3 3 4" xfId="18150" xr:uid="{00000000-0005-0000-0000-0000063A0000}"/>
    <cellStyle name="Финансовый 3 3 5 3 3 3 4 2" xfId="35163" xr:uid="{77D0A7A9-DEF1-423A-BBAF-D1576FC87EC6}"/>
    <cellStyle name="Финансовый 3 3 5 3 3 3 5" xfId="25853" xr:uid="{A654B830-07CB-45C1-B3FD-45502849F4D8}"/>
    <cellStyle name="Финансовый 3 3 5 3 3 4" xfId="11834" xr:uid="{00000000-0005-0000-0000-0000073A0000}"/>
    <cellStyle name="Финансовый 3 3 5 3 3 4 2" xfId="28923" xr:uid="{9FF11CB9-2E93-4971-B422-6702C9E4C546}"/>
    <cellStyle name="Финансовый 3 3 5 3 3 5" xfId="15066" xr:uid="{00000000-0005-0000-0000-0000083A0000}"/>
    <cellStyle name="Финансовый 3 3 5 3 3 5 2" xfId="32079" xr:uid="{980C1E82-4E1F-466E-9A0D-8BFF7CA7929C}"/>
    <cellStyle name="Финансовый 3 3 5 3 3 6" xfId="18147" xr:uid="{00000000-0005-0000-0000-0000093A0000}"/>
    <cellStyle name="Финансовый 3 3 5 3 3 6 2" xfId="35160" xr:uid="{8880FBEC-CB80-43B0-9641-2C8FE49CAB97}"/>
    <cellStyle name="Финансовый 3 3 5 3 3 7" xfId="25850" xr:uid="{FC48AEF8-0457-4BF3-8A5C-FDE862163F0C}"/>
    <cellStyle name="Финансовый 3 3 5 3 4" xfId="8747" xr:uid="{00000000-0005-0000-0000-00000A3A0000}"/>
    <cellStyle name="Финансовый 3 3 5 3 4 2" xfId="8748" xr:uid="{00000000-0005-0000-0000-00000B3A0000}"/>
    <cellStyle name="Финансовый 3 3 5 3 4 2 2" xfId="11839" xr:uid="{00000000-0005-0000-0000-00000C3A0000}"/>
    <cellStyle name="Финансовый 3 3 5 3 4 2 2 2" xfId="28928" xr:uid="{619A3A9D-3ED7-4312-83CF-7951DB4CAC54}"/>
    <cellStyle name="Финансовый 3 3 5 3 4 2 3" xfId="15071" xr:uid="{00000000-0005-0000-0000-00000D3A0000}"/>
    <cellStyle name="Финансовый 3 3 5 3 4 2 3 2" xfId="32084" xr:uid="{F1C5E338-BD7D-4A9C-B5BE-8586976AC869}"/>
    <cellStyle name="Финансовый 3 3 5 3 4 2 4" xfId="18152" xr:uid="{00000000-0005-0000-0000-00000E3A0000}"/>
    <cellStyle name="Финансовый 3 3 5 3 4 2 4 2" xfId="35165" xr:uid="{926AC28D-2AB4-4C0A-A6EE-7D9ACF5EEFC2}"/>
    <cellStyle name="Финансовый 3 3 5 3 4 2 5" xfId="25855" xr:uid="{CE6CD22E-54C2-4E28-AB68-EA73431039B0}"/>
    <cellStyle name="Финансовый 3 3 5 3 4 3" xfId="11838" xr:uid="{00000000-0005-0000-0000-00000F3A0000}"/>
    <cellStyle name="Финансовый 3 3 5 3 4 3 2" xfId="28927" xr:uid="{783F82BD-7363-41AA-9CB5-CB0D25CF25D1}"/>
    <cellStyle name="Финансовый 3 3 5 3 4 4" xfId="15070" xr:uid="{00000000-0005-0000-0000-0000103A0000}"/>
    <cellStyle name="Финансовый 3 3 5 3 4 4 2" xfId="32083" xr:uid="{B54FC272-8F35-4392-B831-3626B5F88773}"/>
    <cellStyle name="Финансовый 3 3 5 3 4 5" xfId="18151" xr:uid="{00000000-0005-0000-0000-0000113A0000}"/>
    <cellStyle name="Финансовый 3 3 5 3 4 5 2" xfId="35164" xr:uid="{BA9CA2E9-6B0B-40DE-BA52-2227837BDB8B}"/>
    <cellStyle name="Финансовый 3 3 5 3 4 6" xfId="25854" xr:uid="{151D4133-ABCC-4A5B-9E60-0D3CF97AABBA}"/>
    <cellStyle name="Финансовый 3 3 5 3 5" xfId="8749" xr:uid="{00000000-0005-0000-0000-0000123A0000}"/>
    <cellStyle name="Финансовый 3 3 5 3 5 2" xfId="11840" xr:uid="{00000000-0005-0000-0000-0000133A0000}"/>
    <cellStyle name="Финансовый 3 3 5 3 5 2 2" xfId="28929" xr:uid="{894D0992-F19C-4BE8-80EA-848B28088927}"/>
    <cellStyle name="Финансовый 3 3 5 3 5 3" xfId="15072" xr:uid="{00000000-0005-0000-0000-0000143A0000}"/>
    <cellStyle name="Финансовый 3 3 5 3 5 3 2" xfId="32085" xr:uid="{2CBFBF15-C528-4016-8FD0-427E57EA96A9}"/>
    <cellStyle name="Финансовый 3 3 5 3 5 4" xfId="18153" xr:uid="{00000000-0005-0000-0000-0000153A0000}"/>
    <cellStyle name="Финансовый 3 3 5 3 5 4 2" xfId="35166" xr:uid="{20E6D1D8-47E2-40AA-82F1-E3A0A4BA964B}"/>
    <cellStyle name="Финансовый 3 3 5 3 5 5" xfId="25856" xr:uid="{72B62FBD-4525-4767-8196-3CBE5215D802}"/>
    <cellStyle name="Финансовый 3 3 5 3 6" xfId="11825" xr:uid="{00000000-0005-0000-0000-0000163A0000}"/>
    <cellStyle name="Финансовый 3 3 5 3 6 2" xfId="28914" xr:uid="{83475285-19C4-400E-AD0A-45DDC939713A}"/>
    <cellStyle name="Финансовый 3 3 5 3 7" xfId="15057" xr:uid="{00000000-0005-0000-0000-0000173A0000}"/>
    <cellStyle name="Финансовый 3 3 5 3 7 2" xfId="32070" xr:uid="{28C6ECAB-1EC2-4834-9880-297BDAD2A9D3}"/>
    <cellStyle name="Финансовый 3 3 5 3 8" xfId="18138" xr:uid="{00000000-0005-0000-0000-0000183A0000}"/>
    <cellStyle name="Финансовый 3 3 5 3 8 2" xfId="35151" xr:uid="{F49F48A3-6926-4E3F-A444-4E1464071B7D}"/>
    <cellStyle name="Финансовый 3 3 5 3 9" xfId="25841" xr:uid="{E16FA6A2-76CE-4409-B78B-0A810FA91AB1}"/>
    <cellStyle name="Финансовый 3 3 5 4" xfId="8750" xr:uid="{00000000-0005-0000-0000-0000193A0000}"/>
    <cellStyle name="Финансовый 3 3 5 4 2" xfId="8751" xr:uid="{00000000-0005-0000-0000-00001A3A0000}"/>
    <cellStyle name="Финансовый 3 3 5 4 2 2" xfId="8752" xr:uid="{00000000-0005-0000-0000-00001B3A0000}"/>
    <cellStyle name="Финансовый 3 3 5 4 2 2 2" xfId="8753" xr:uid="{00000000-0005-0000-0000-00001C3A0000}"/>
    <cellStyle name="Финансовый 3 3 5 4 2 2 2 2" xfId="11844" xr:uid="{00000000-0005-0000-0000-00001D3A0000}"/>
    <cellStyle name="Финансовый 3 3 5 4 2 2 2 2 2" xfId="28933" xr:uid="{44A4ACDB-09ED-4707-9375-080B3B8578F6}"/>
    <cellStyle name="Финансовый 3 3 5 4 2 2 2 3" xfId="15076" xr:uid="{00000000-0005-0000-0000-00001E3A0000}"/>
    <cellStyle name="Финансовый 3 3 5 4 2 2 2 3 2" xfId="32089" xr:uid="{CDAF539C-A106-4A8F-8731-D284194C9CD9}"/>
    <cellStyle name="Финансовый 3 3 5 4 2 2 2 4" xfId="18157" xr:uid="{00000000-0005-0000-0000-00001F3A0000}"/>
    <cellStyle name="Финансовый 3 3 5 4 2 2 2 4 2" xfId="35170" xr:uid="{C109838B-C887-415C-B9FE-9FD8545A2CAB}"/>
    <cellStyle name="Финансовый 3 3 5 4 2 2 2 5" xfId="25860" xr:uid="{F9FCC080-0379-435C-A6C0-5B4F4D60DA79}"/>
    <cellStyle name="Финансовый 3 3 5 4 2 2 3" xfId="11843" xr:uid="{00000000-0005-0000-0000-0000203A0000}"/>
    <cellStyle name="Финансовый 3 3 5 4 2 2 3 2" xfId="28932" xr:uid="{4C092A2F-5FF3-4EAC-B0F5-899CC5F52305}"/>
    <cellStyle name="Финансовый 3 3 5 4 2 2 4" xfId="15075" xr:uid="{00000000-0005-0000-0000-0000213A0000}"/>
    <cellStyle name="Финансовый 3 3 5 4 2 2 4 2" xfId="32088" xr:uid="{61FD1038-F519-4951-BFE1-360CAF590A38}"/>
    <cellStyle name="Финансовый 3 3 5 4 2 2 5" xfId="18156" xr:uid="{00000000-0005-0000-0000-0000223A0000}"/>
    <cellStyle name="Финансовый 3 3 5 4 2 2 5 2" xfId="35169" xr:uid="{189E4D48-A9F7-415F-8190-2CAB7D1EFD3B}"/>
    <cellStyle name="Финансовый 3 3 5 4 2 2 6" xfId="25859" xr:uid="{D72F2157-FE7F-4832-AB43-D6D22FCAB0C4}"/>
    <cellStyle name="Финансовый 3 3 5 4 2 3" xfId="8754" xr:uid="{00000000-0005-0000-0000-0000233A0000}"/>
    <cellStyle name="Финансовый 3 3 5 4 2 3 2" xfId="11845" xr:uid="{00000000-0005-0000-0000-0000243A0000}"/>
    <cellStyle name="Финансовый 3 3 5 4 2 3 2 2" xfId="28934" xr:uid="{7DE53481-E1FB-4657-BB33-888C69CA8B14}"/>
    <cellStyle name="Финансовый 3 3 5 4 2 3 3" xfId="15077" xr:uid="{00000000-0005-0000-0000-0000253A0000}"/>
    <cellStyle name="Финансовый 3 3 5 4 2 3 3 2" xfId="32090" xr:uid="{E9DD147E-5964-45D3-B0AF-C58D9B665FFE}"/>
    <cellStyle name="Финансовый 3 3 5 4 2 3 4" xfId="18158" xr:uid="{00000000-0005-0000-0000-0000263A0000}"/>
    <cellStyle name="Финансовый 3 3 5 4 2 3 4 2" xfId="35171" xr:uid="{9FDC3A41-02BE-4C93-A128-7CCCA0FC0FFD}"/>
    <cellStyle name="Финансовый 3 3 5 4 2 3 5" xfId="25861" xr:uid="{0C14E529-C93E-4B11-8C53-BED2562937DF}"/>
    <cellStyle name="Финансовый 3 3 5 4 2 4" xfId="11842" xr:uid="{00000000-0005-0000-0000-0000273A0000}"/>
    <cellStyle name="Финансовый 3 3 5 4 2 4 2" xfId="28931" xr:uid="{1B9F2121-92C0-40EC-96E6-7874D9FFBD50}"/>
    <cellStyle name="Финансовый 3 3 5 4 2 5" xfId="15074" xr:uid="{00000000-0005-0000-0000-0000283A0000}"/>
    <cellStyle name="Финансовый 3 3 5 4 2 5 2" xfId="32087" xr:uid="{5E0D011E-81D9-4D95-87FC-257F18968985}"/>
    <cellStyle name="Финансовый 3 3 5 4 2 6" xfId="18155" xr:uid="{00000000-0005-0000-0000-0000293A0000}"/>
    <cellStyle name="Финансовый 3 3 5 4 2 6 2" xfId="35168" xr:uid="{9AA91378-D744-4768-82B6-8A0C987BE13D}"/>
    <cellStyle name="Финансовый 3 3 5 4 2 7" xfId="25858" xr:uid="{6755558F-2A3A-4FAD-AE26-09387B277D12}"/>
    <cellStyle name="Финансовый 3 3 5 4 3" xfId="8755" xr:uid="{00000000-0005-0000-0000-00002A3A0000}"/>
    <cellStyle name="Финансовый 3 3 5 4 3 2" xfId="8756" xr:uid="{00000000-0005-0000-0000-00002B3A0000}"/>
    <cellStyle name="Финансовый 3 3 5 4 3 2 2" xfId="11847" xr:uid="{00000000-0005-0000-0000-00002C3A0000}"/>
    <cellStyle name="Финансовый 3 3 5 4 3 2 2 2" xfId="28936" xr:uid="{9B00F007-ED5A-4D1C-B831-326F03BD312E}"/>
    <cellStyle name="Финансовый 3 3 5 4 3 2 3" xfId="15079" xr:uid="{00000000-0005-0000-0000-00002D3A0000}"/>
    <cellStyle name="Финансовый 3 3 5 4 3 2 3 2" xfId="32092" xr:uid="{1D563BBC-974D-42AC-A41D-AA4B4A0C3D62}"/>
    <cellStyle name="Финансовый 3 3 5 4 3 2 4" xfId="18160" xr:uid="{00000000-0005-0000-0000-00002E3A0000}"/>
    <cellStyle name="Финансовый 3 3 5 4 3 2 4 2" xfId="35173" xr:uid="{FE31073E-97C2-4314-A516-2CD287F69E2F}"/>
    <cellStyle name="Финансовый 3 3 5 4 3 2 5" xfId="25863" xr:uid="{4B918D36-D905-4866-A7B3-4D7E03F1BC05}"/>
    <cellStyle name="Финансовый 3 3 5 4 3 3" xfId="11846" xr:uid="{00000000-0005-0000-0000-00002F3A0000}"/>
    <cellStyle name="Финансовый 3 3 5 4 3 3 2" xfId="28935" xr:uid="{547B2E3E-73BF-42FB-AEFC-9D7383581999}"/>
    <cellStyle name="Финансовый 3 3 5 4 3 4" xfId="15078" xr:uid="{00000000-0005-0000-0000-0000303A0000}"/>
    <cellStyle name="Финансовый 3 3 5 4 3 4 2" xfId="32091" xr:uid="{59F09ADD-3D20-41F8-9010-6184B4967F92}"/>
    <cellStyle name="Финансовый 3 3 5 4 3 5" xfId="18159" xr:uid="{00000000-0005-0000-0000-0000313A0000}"/>
    <cellStyle name="Финансовый 3 3 5 4 3 5 2" xfId="35172" xr:uid="{5788F66B-0E9B-4616-9571-3A6EB053055E}"/>
    <cellStyle name="Финансовый 3 3 5 4 3 6" xfId="25862" xr:uid="{540B43A7-3698-4C5D-ACFD-9EF54F01B16E}"/>
    <cellStyle name="Финансовый 3 3 5 4 4" xfId="8757" xr:uid="{00000000-0005-0000-0000-0000323A0000}"/>
    <cellStyle name="Финансовый 3 3 5 4 4 2" xfId="11848" xr:uid="{00000000-0005-0000-0000-0000333A0000}"/>
    <cellStyle name="Финансовый 3 3 5 4 4 2 2" xfId="28937" xr:uid="{6236F44B-3B52-4E8A-BFF7-FB863C78F3CE}"/>
    <cellStyle name="Финансовый 3 3 5 4 4 3" xfId="15080" xr:uid="{00000000-0005-0000-0000-0000343A0000}"/>
    <cellStyle name="Финансовый 3 3 5 4 4 3 2" xfId="32093" xr:uid="{628C465F-1E03-4876-9C8B-04DF0842AFF4}"/>
    <cellStyle name="Финансовый 3 3 5 4 4 4" xfId="18161" xr:uid="{00000000-0005-0000-0000-0000353A0000}"/>
    <cellStyle name="Финансовый 3 3 5 4 4 4 2" xfId="35174" xr:uid="{3A34F594-26BD-4646-B512-670D59C0017C}"/>
    <cellStyle name="Финансовый 3 3 5 4 4 5" xfId="25864" xr:uid="{17AA5D03-93DC-4B97-A872-3D465E89046D}"/>
    <cellStyle name="Финансовый 3 3 5 4 5" xfId="11841" xr:uid="{00000000-0005-0000-0000-0000363A0000}"/>
    <cellStyle name="Финансовый 3 3 5 4 5 2" xfId="28930" xr:uid="{9D734BB9-8B1E-4558-B2E6-F635C1C8C247}"/>
    <cellStyle name="Финансовый 3 3 5 4 6" xfId="15073" xr:uid="{00000000-0005-0000-0000-0000373A0000}"/>
    <cellStyle name="Финансовый 3 3 5 4 6 2" xfId="32086" xr:uid="{02A96950-2172-4175-9956-B7003CDC36DD}"/>
    <cellStyle name="Финансовый 3 3 5 4 7" xfId="18154" xr:uid="{00000000-0005-0000-0000-0000383A0000}"/>
    <cellStyle name="Финансовый 3 3 5 4 7 2" xfId="35167" xr:uid="{F5A0FC69-67D8-459C-B346-31C645447ECC}"/>
    <cellStyle name="Финансовый 3 3 5 4 8" xfId="25857" xr:uid="{7455E763-16D3-4735-A0A8-12AC5C934FC6}"/>
    <cellStyle name="Финансовый 3 3 5 5" xfId="8758" xr:uid="{00000000-0005-0000-0000-0000393A0000}"/>
    <cellStyle name="Финансовый 3 3 5 5 2" xfId="8759" xr:uid="{00000000-0005-0000-0000-00003A3A0000}"/>
    <cellStyle name="Финансовый 3 3 5 5 2 2" xfId="8760" xr:uid="{00000000-0005-0000-0000-00003B3A0000}"/>
    <cellStyle name="Финансовый 3 3 5 5 2 2 2" xfId="11851" xr:uid="{00000000-0005-0000-0000-00003C3A0000}"/>
    <cellStyle name="Финансовый 3 3 5 5 2 2 2 2" xfId="28940" xr:uid="{140B18BA-064C-4E70-BD25-F0EF80BA79F3}"/>
    <cellStyle name="Финансовый 3 3 5 5 2 2 3" xfId="15083" xr:uid="{00000000-0005-0000-0000-00003D3A0000}"/>
    <cellStyle name="Финансовый 3 3 5 5 2 2 3 2" xfId="32096" xr:uid="{EF008D2D-7B1A-4A07-90EE-2684BB8FEB81}"/>
    <cellStyle name="Финансовый 3 3 5 5 2 2 4" xfId="18164" xr:uid="{00000000-0005-0000-0000-00003E3A0000}"/>
    <cellStyle name="Финансовый 3 3 5 5 2 2 4 2" xfId="35177" xr:uid="{9C8E7779-33A7-4ABE-94D2-3F28BACC66EA}"/>
    <cellStyle name="Финансовый 3 3 5 5 2 2 5" xfId="25867" xr:uid="{327EAA8F-FE94-4FC8-912A-B93B8FE78181}"/>
    <cellStyle name="Финансовый 3 3 5 5 2 3" xfId="11850" xr:uid="{00000000-0005-0000-0000-00003F3A0000}"/>
    <cellStyle name="Финансовый 3 3 5 5 2 3 2" xfId="28939" xr:uid="{41EE6AFE-8080-4167-8584-213D6C28E8FC}"/>
    <cellStyle name="Финансовый 3 3 5 5 2 4" xfId="15082" xr:uid="{00000000-0005-0000-0000-0000403A0000}"/>
    <cellStyle name="Финансовый 3 3 5 5 2 4 2" xfId="32095" xr:uid="{4A272FF9-57F2-4163-9C87-22B0F33A10AF}"/>
    <cellStyle name="Финансовый 3 3 5 5 2 5" xfId="18163" xr:uid="{00000000-0005-0000-0000-0000413A0000}"/>
    <cellStyle name="Финансовый 3 3 5 5 2 5 2" xfId="35176" xr:uid="{FE40D3C9-A033-42EC-A4E2-5953F8BCAE11}"/>
    <cellStyle name="Финансовый 3 3 5 5 2 6" xfId="25866" xr:uid="{2B4C5B5A-7C14-49FF-8602-701CAD3B5503}"/>
    <cellStyle name="Финансовый 3 3 5 5 3" xfId="8761" xr:uid="{00000000-0005-0000-0000-0000423A0000}"/>
    <cellStyle name="Финансовый 3 3 5 5 3 2" xfId="11852" xr:uid="{00000000-0005-0000-0000-0000433A0000}"/>
    <cellStyle name="Финансовый 3 3 5 5 3 2 2" xfId="28941" xr:uid="{2EA37CBF-B81D-40E1-A90A-9FE12B3EAA8F}"/>
    <cellStyle name="Финансовый 3 3 5 5 3 3" xfId="15084" xr:uid="{00000000-0005-0000-0000-0000443A0000}"/>
    <cellStyle name="Финансовый 3 3 5 5 3 3 2" xfId="32097" xr:uid="{742D0BDC-56A8-4990-BB6A-00032DEC23D8}"/>
    <cellStyle name="Финансовый 3 3 5 5 3 4" xfId="18165" xr:uid="{00000000-0005-0000-0000-0000453A0000}"/>
    <cellStyle name="Финансовый 3 3 5 5 3 4 2" xfId="35178" xr:uid="{2153C28F-A097-4855-B9ED-ECA5D87ACAB0}"/>
    <cellStyle name="Финансовый 3 3 5 5 3 5" xfId="25868" xr:uid="{F382D28B-53B3-4075-BA05-A22F2EF54F72}"/>
    <cellStyle name="Финансовый 3 3 5 5 4" xfId="11849" xr:uid="{00000000-0005-0000-0000-0000463A0000}"/>
    <cellStyle name="Финансовый 3 3 5 5 4 2" xfId="28938" xr:uid="{85113A9B-A679-4039-AF9C-74968A8FA2B0}"/>
    <cellStyle name="Финансовый 3 3 5 5 5" xfId="15081" xr:uid="{00000000-0005-0000-0000-0000473A0000}"/>
    <cellStyle name="Финансовый 3 3 5 5 5 2" xfId="32094" xr:uid="{9E24E6AD-B989-4D2E-8089-52C77F2ACFA7}"/>
    <cellStyle name="Финансовый 3 3 5 5 6" xfId="18162" xr:uid="{00000000-0005-0000-0000-0000483A0000}"/>
    <cellStyle name="Финансовый 3 3 5 5 6 2" xfId="35175" xr:uid="{B09F84C2-B535-42B9-A165-42FB67CB6442}"/>
    <cellStyle name="Финансовый 3 3 5 5 7" xfId="25865" xr:uid="{C69D1CC8-E9E6-4FF0-9EC7-C07D3F8577B4}"/>
    <cellStyle name="Финансовый 3 3 5 6" xfId="8762" xr:uid="{00000000-0005-0000-0000-0000493A0000}"/>
    <cellStyle name="Финансовый 3 3 5 6 2" xfId="8763" xr:uid="{00000000-0005-0000-0000-00004A3A0000}"/>
    <cellStyle name="Финансовый 3 3 5 6 2 2" xfId="11854" xr:uid="{00000000-0005-0000-0000-00004B3A0000}"/>
    <cellStyle name="Финансовый 3 3 5 6 2 2 2" xfId="28943" xr:uid="{DA8BF61D-AB43-49D1-81B3-702DBDA0D701}"/>
    <cellStyle name="Финансовый 3 3 5 6 2 3" xfId="15086" xr:uid="{00000000-0005-0000-0000-00004C3A0000}"/>
    <cellStyle name="Финансовый 3 3 5 6 2 3 2" xfId="32099" xr:uid="{3543C0C6-E448-42C0-A42B-89767FDB6402}"/>
    <cellStyle name="Финансовый 3 3 5 6 2 4" xfId="18167" xr:uid="{00000000-0005-0000-0000-00004D3A0000}"/>
    <cellStyle name="Финансовый 3 3 5 6 2 4 2" xfId="35180" xr:uid="{26805B2A-3D7E-4E79-BFB4-94B1734B330C}"/>
    <cellStyle name="Финансовый 3 3 5 6 2 5" xfId="25870" xr:uid="{D8359EF6-875A-49B9-A650-3DE05CE43921}"/>
    <cellStyle name="Финансовый 3 3 5 6 3" xfId="11853" xr:uid="{00000000-0005-0000-0000-00004E3A0000}"/>
    <cellStyle name="Финансовый 3 3 5 6 3 2" xfId="28942" xr:uid="{1C0A2FDF-3863-48EA-9D13-D002519A32D5}"/>
    <cellStyle name="Финансовый 3 3 5 6 4" xfId="15085" xr:uid="{00000000-0005-0000-0000-00004F3A0000}"/>
    <cellStyle name="Финансовый 3 3 5 6 4 2" xfId="32098" xr:uid="{39071FE0-D206-4963-A07A-F4FB0690304B}"/>
    <cellStyle name="Финансовый 3 3 5 6 5" xfId="18166" xr:uid="{00000000-0005-0000-0000-0000503A0000}"/>
    <cellStyle name="Финансовый 3 3 5 6 5 2" xfId="35179" xr:uid="{43C11963-1631-493E-B777-CC510AA16275}"/>
    <cellStyle name="Финансовый 3 3 5 6 6" xfId="25869" xr:uid="{D71DB95E-CA04-45E4-A17D-C84A317927D7}"/>
    <cellStyle name="Финансовый 3 3 5 7" xfId="8764" xr:uid="{00000000-0005-0000-0000-0000513A0000}"/>
    <cellStyle name="Финансовый 3 3 5 7 2" xfId="11855" xr:uid="{00000000-0005-0000-0000-0000523A0000}"/>
    <cellStyle name="Финансовый 3 3 5 7 2 2" xfId="28944" xr:uid="{9CA2CDC5-8615-4575-8E11-79342D9DF725}"/>
    <cellStyle name="Финансовый 3 3 5 7 3" xfId="15087" xr:uid="{00000000-0005-0000-0000-0000533A0000}"/>
    <cellStyle name="Финансовый 3 3 5 7 3 2" xfId="32100" xr:uid="{5CC266EF-F047-4E9F-8BBE-00DAA5090DC5}"/>
    <cellStyle name="Финансовый 3 3 5 7 4" xfId="18168" xr:uid="{00000000-0005-0000-0000-0000543A0000}"/>
    <cellStyle name="Финансовый 3 3 5 7 4 2" xfId="35181" xr:uid="{5DD0B15B-F0EE-43B3-BB5F-F6D9CED39D3F}"/>
    <cellStyle name="Финансовый 3 3 5 7 5" xfId="25871" xr:uid="{3F3C75B7-D46B-4CFB-BF90-DBE7F0DCDEC5}"/>
    <cellStyle name="Финансовый 3 3 5 8" xfId="11792" xr:uid="{00000000-0005-0000-0000-0000553A0000}"/>
    <cellStyle name="Финансовый 3 3 5 8 2" xfId="28881" xr:uid="{AA96361A-9029-44CE-A7C0-BC838446458A}"/>
    <cellStyle name="Финансовый 3 3 5 9" xfId="15024" xr:uid="{00000000-0005-0000-0000-0000563A0000}"/>
    <cellStyle name="Финансовый 3 3 5 9 2" xfId="32037" xr:uid="{4CAA88F3-5E8E-4375-BDE6-58D4E14CF2F6}"/>
    <cellStyle name="Финансовый 3 3 6" xfId="8765" xr:uid="{00000000-0005-0000-0000-0000573A0000}"/>
    <cellStyle name="Финансовый 3 3 6 10" xfId="25872" xr:uid="{3C28B620-9E44-47CB-9EE3-6BCA0330E97B}"/>
    <cellStyle name="Финансовый 3 3 6 2" xfId="8766" xr:uid="{00000000-0005-0000-0000-0000583A0000}"/>
    <cellStyle name="Финансовый 3 3 6 2 2" xfId="8767" xr:uid="{00000000-0005-0000-0000-0000593A0000}"/>
    <cellStyle name="Финансовый 3 3 6 2 2 2" xfId="8768" xr:uid="{00000000-0005-0000-0000-00005A3A0000}"/>
    <cellStyle name="Финансовый 3 3 6 2 2 2 2" xfId="8769" xr:uid="{00000000-0005-0000-0000-00005B3A0000}"/>
    <cellStyle name="Финансовый 3 3 6 2 2 2 2 2" xfId="8770" xr:uid="{00000000-0005-0000-0000-00005C3A0000}"/>
    <cellStyle name="Финансовый 3 3 6 2 2 2 2 2 2" xfId="11861" xr:uid="{00000000-0005-0000-0000-00005D3A0000}"/>
    <cellStyle name="Финансовый 3 3 6 2 2 2 2 2 2 2" xfId="28950" xr:uid="{3BF2AB57-B37B-4517-82BA-0FDD1616014E}"/>
    <cellStyle name="Финансовый 3 3 6 2 2 2 2 2 3" xfId="15093" xr:uid="{00000000-0005-0000-0000-00005E3A0000}"/>
    <cellStyle name="Финансовый 3 3 6 2 2 2 2 2 3 2" xfId="32106" xr:uid="{4DD53A7A-20C7-4991-BD4B-B47A7FFDDA7B}"/>
    <cellStyle name="Финансовый 3 3 6 2 2 2 2 2 4" xfId="18174" xr:uid="{00000000-0005-0000-0000-00005F3A0000}"/>
    <cellStyle name="Финансовый 3 3 6 2 2 2 2 2 4 2" xfId="35187" xr:uid="{B5AA76EE-1B26-418C-8908-D4859232D97F}"/>
    <cellStyle name="Финансовый 3 3 6 2 2 2 2 2 5" xfId="25877" xr:uid="{4A636CAA-1474-4D60-9C69-62EEC55AEFEA}"/>
    <cellStyle name="Финансовый 3 3 6 2 2 2 2 3" xfId="11860" xr:uid="{00000000-0005-0000-0000-0000603A0000}"/>
    <cellStyle name="Финансовый 3 3 6 2 2 2 2 3 2" xfId="28949" xr:uid="{53E88E39-14C7-4EFE-AD36-4E2F61115801}"/>
    <cellStyle name="Финансовый 3 3 6 2 2 2 2 4" xfId="15092" xr:uid="{00000000-0005-0000-0000-0000613A0000}"/>
    <cellStyle name="Финансовый 3 3 6 2 2 2 2 4 2" xfId="32105" xr:uid="{F8303F1D-945B-49FC-B5D6-36E1D1485890}"/>
    <cellStyle name="Финансовый 3 3 6 2 2 2 2 5" xfId="18173" xr:uid="{00000000-0005-0000-0000-0000623A0000}"/>
    <cellStyle name="Финансовый 3 3 6 2 2 2 2 5 2" xfId="35186" xr:uid="{C68F4A79-30AE-4D8F-9AE1-85E6738F33CE}"/>
    <cellStyle name="Финансовый 3 3 6 2 2 2 2 6" xfId="25876" xr:uid="{F64DEE68-5F25-4DC1-8C2B-4392B89304C1}"/>
    <cellStyle name="Финансовый 3 3 6 2 2 2 3" xfId="8771" xr:uid="{00000000-0005-0000-0000-0000633A0000}"/>
    <cellStyle name="Финансовый 3 3 6 2 2 2 3 2" xfId="11862" xr:uid="{00000000-0005-0000-0000-0000643A0000}"/>
    <cellStyle name="Финансовый 3 3 6 2 2 2 3 2 2" xfId="28951" xr:uid="{E1ED42FB-FECC-4631-A506-10A77FDDCE01}"/>
    <cellStyle name="Финансовый 3 3 6 2 2 2 3 3" xfId="15094" xr:uid="{00000000-0005-0000-0000-0000653A0000}"/>
    <cellStyle name="Финансовый 3 3 6 2 2 2 3 3 2" xfId="32107" xr:uid="{FF05022D-4213-4412-B5D4-E228D5055B75}"/>
    <cellStyle name="Финансовый 3 3 6 2 2 2 3 4" xfId="18175" xr:uid="{00000000-0005-0000-0000-0000663A0000}"/>
    <cellStyle name="Финансовый 3 3 6 2 2 2 3 4 2" xfId="35188" xr:uid="{78758B83-2A46-47B4-A3D8-6DC5203143DA}"/>
    <cellStyle name="Финансовый 3 3 6 2 2 2 3 5" xfId="25878" xr:uid="{C609F57A-DBE8-4131-83B4-C9C381B2D01E}"/>
    <cellStyle name="Финансовый 3 3 6 2 2 2 4" xfId="11859" xr:uid="{00000000-0005-0000-0000-0000673A0000}"/>
    <cellStyle name="Финансовый 3 3 6 2 2 2 4 2" xfId="28948" xr:uid="{D063A8AD-CC54-4CEA-B659-31E793665B19}"/>
    <cellStyle name="Финансовый 3 3 6 2 2 2 5" xfId="15091" xr:uid="{00000000-0005-0000-0000-0000683A0000}"/>
    <cellStyle name="Финансовый 3 3 6 2 2 2 5 2" xfId="32104" xr:uid="{AE55DBA7-6A09-46A5-ACBE-52CA1D051702}"/>
    <cellStyle name="Финансовый 3 3 6 2 2 2 6" xfId="18172" xr:uid="{00000000-0005-0000-0000-0000693A0000}"/>
    <cellStyle name="Финансовый 3 3 6 2 2 2 6 2" xfId="35185" xr:uid="{456B59AC-61D0-49E5-ADA6-59899178A9A8}"/>
    <cellStyle name="Финансовый 3 3 6 2 2 2 7" xfId="25875" xr:uid="{C662C809-3533-4E0E-9F23-E0AC3E7292FD}"/>
    <cellStyle name="Финансовый 3 3 6 2 2 3" xfId="8772" xr:uid="{00000000-0005-0000-0000-00006A3A0000}"/>
    <cellStyle name="Финансовый 3 3 6 2 2 3 2" xfId="8773" xr:uid="{00000000-0005-0000-0000-00006B3A0000}"/>
    <cellStyle name="Финансовый 3 3 6 2 2 3 2 2" xfId="11864" xr:uid="{00000000-0005-0000-0000-00006C3A0000}"/>
    <cellStyle name="Финансовый 3 3 6 2 2 3 2 2 2" xfId="28953" xr:uid="{9BC2C914-2C3F-4A67-A83B-FE9509E45821}"/>
    <cellStyle name="Финансовый 3 3 6 2 2 3 2 3" xfId="15096" xr:uid="{00000000-0005-0000-0000-00006D3A0000}"/>
    <cellStyle name="Финансовый 3 3 6 2 2 3 2 3 2" xfId="32109" xr:uid="{CC4FD8D4-56B1-4377-853F-64CB0E878EF6}"/>
    <cellStyle name="Финансовый 3 3 6 2 2 3 2 4" xfId="18177" xr:uid="{00000000-0005-0000-0000-00006E3A0000}"/>
    <cellStyle name="Финансовый 3 3 6 2 2 3 2 4 2" xfId="35190" xr:uid="{E7A6DBF8-FFE6-4E23-8B57-DFC8089ACB5B}"/>
    <cellStyle name="Финансовый 3 3 6 2 2 3 2 5" xfId="25880" xr:uid="{7FAFB55B-CBAC-429B-AF52-026C16CECE88}"/>
    <cellStyle name="Финансовый 3 3 6 2 2 3 3" xfId="11863" xr:uid="{00000000-0005-0000-0000-00006F3A0000}"/>
    <cellStyle name="Финансовый 3 3 6 2 2 3 3 2" xfId="28952" xr:uid="{28DD8D3B-98D1-4401-9266-2534D09E2FA6}"/>
    <cellStyle name="Финансовый 3 3 6 2 2 3 4" xfId="15095" xr:uid="{00000000-0005-0000-0000-0000703A0000}"/>
    <cellStyle name="Финансовый 3 3 6 2 2 3 4 2" xfId="32108" xr:uid="{6100F894-90B6-4031-A0DE-84C840EAB5F6}"/>
    <cellStyle name="Финансовый 3 3 6 2 2 3 5" xfId="18176" xr:uid="{00000000-0005-0000-0000-0000713A0000}"/>
    <cellStyle name="Финансовый 3 3 6 2 2 3 5 2" xfId="35189" xr:uid="{6D03B093-7F4A-4BEF-B0E8-28687778472E}"/>
    <cellStyle name="Финансовый 3 3 6 2 2 3 6" xfId="25879" xr:uid="{AF92B063-7869-4A53-AB80-63163E8E74DD}"/>
    <cellStyle name="Финансовый 3 3 6 2 2 4" xfId="8774" xr:uid="{00000000-0005-0000-0000-0000723A0000}"/>
    <cellStyle name="Финансовый 3 3 6 2 2 4 2" xfId="11865" xr:uid="{00000000-0005-0000-0000-0000733A0000}"/>
    <cellStyle name="Финансовый 3 3 6 2 2 4 2 2" xfId="28954" xr:uid="{BC7A447D-A3D0-47A8-BC0F-F4D933D50A17}"/>
    <cellStyle name="Финансовый 3 3 6 2 2 4 3" xfId="15097" xr:uid="{00000000-0005-0000-0000-0000743A0000}"/>
    <cellStyle name="Финансовый 3 3 6 2 2 4 3 2" xfId="32110" xr:uid="{EA68CCBF-1B64-4FFA-AF27-6458EDCAD60C}"/>
    <cellStyle name="Финансовый 3 3 6 2 2 4 4" xfId="18178" xr:uid="{00000000-0005-0000-0000-0000753A0000}"/>
    <cellStyle name="Финансовый 3 3 6 2 2 4 4 2" xfId="35191" xr:uid="{8BF10F99-F7B9-4485-92F6-DB6C2039B126}"/>
    <cellStyle name="Финансовый 3 3 6 2 2 4 5" xfId="25881" xr:uid="{D3EBF08C-15EF-496E-A7D8-4B5B86AAEFA0}"/>
    <cellStyle name="Финансовый 3 3 6 2 2 5" xfId="11858" xr:uid="{00000000-0005-0000-0000-0000763A0000}"/>
    <cellStyle name="Финансовый 3 3 6 2 2 5 2" xfId="28947" xr:uid="{9392020B-9411-4AC4-93C9-C8B01F86F5AD}"/>
    <cellStyle name="Финансовый 3 3 6 2 2 6" xfId="15090" xr:uid="{00000000-0005-0000-0000-0000773A0000}"/>
    <cellStyle name="Финансовый 3 3 6 2 2 6 2" xfId="32103" xr:uid="{AB406732-7836-495D-9AB6-56348AFF0F0C}"/>
    <cellStyle name="Финансовый 3 3 6 2 2 7" xfId="18171" xr:uid="{00000000-0005-0000-0000-0000783A0000}"/>
    <cellStyle name="Финансовый 3 3 6 2 2 7 2" xfId="35184" xr:uid="{46D32548-FDD8-48D7-BED5-C68AEE73CB62}"/>
    <cellStyle name="Финансовый 3 3 6 2 2 8" xfId="25874" xr:uid="{4EA9F6B5-50E6-4547-ACD8-377B00036C30}"/>
    <cellStyle name="Финансовый 3 3 6 2 3" xfId="8775" xr:uid="{00000000-0005-0000-0000-0000793A0000}"/>
    <cellStyle name="Финансовый 3 3 6 2 3 2" xfId="8776" xr:uid="{00000000-0005-0000-0000-00007A3A0000}"/>
    <cellStyle name="Финансовый 3 3 6 2 3 2 2" xfId="8777" xr:uid="{00000000-0005-0000-0000-00007B3A0000}"/>
    <cellStyle name="Финансовый 3 3 6 2 3 2 2 2" xfId="11868" xr:uid="{00000000-0005-0000-0000-00007C3A0000}"/>
    <cellStyle name="Финансовый 3 3 6 2 3 2 2 2 2" xfId="28957" xr:uid="{E8E4D6AA-85D4-4884-9C06-C0F68508E95E}"/>
    <cellStyle name="Финансовый 3 3 6 2 3 2 2 3" xfId="15100" xr:uid="{00000000-0005-0000-0000-00007D3A0000}"/>
    <cellStyle name="Финансовый 3 3 6 2 3 2 2 3 2" xfId="32113" xr:uid="{524D273D-614B-44FC-A4EA-A2D64B5CD2F5}"/>
    <cellStyle name="Финансовый 3 3 6 2 3 2 2 4" xfId="18181" xr:uid="{00000000-0005-0000-0000-00007E3A0000}"/>
    <cellStyle name="Финансовый 3 3 6 2 3 2 2 4 2" xfId="35194" xr:uid="{4862ED98-77B1-4245-A14E-2CFC5D4B043D}"/>
    <cellStyle name="Финансовый 3 3 6 2 3 2 2 5" xfId="25884" xr:uid="{31B6B06B-D80A-4894-9736-45DC5F98ED6D}"/>
    <cellStyle name="Финансовый 3 3 6 2 3 2 3" xfId="11867" xr:uid="{00000000-0005-0000-0000-00007F3A0000}"/>
    <cellStyle name="Финансовый 3 3 6 2 3 2 3 2" xfId="28956" xr:uid="{A998E042-0D66-4E44-A488-C6576F901360}"/>
    <cellStyle name="Финансовый 3 3 6 2 3 2 4" xfId="15099" xr:uid="{00000000-0005-0000-0000-0000803A0000}"/>
    <cellStyle name="Финансовый 3 3 6 2 3 2 4 2" xfId="32112" xr:uid="{C99FA659-96F3-4ECC-847B-17CD76618D76}"/>
    <cellStyle name="Финансовый 3 3 6 2 3 2 5" xfId="18180" xr:uid="{00000000-0005-0000-0000-0000813A0000}"/>
    <cellStyle name="Финансовый 3 3 6 2 3 2 5 2" xfId="35193" xr:uid="{1B3128F3-A3F7-46B9-903F-1784F5446FD1}"/>
    <cellStyle name="Финансовый 3 3 6 2 3 2 6" xfId="25883" xr:uid="{3A1D0A01-CF38-4238-BDB0-CD25620E27F6}"/>
    <cellStyle name="Финансовый 3 3 6 2 3 3" xfId="8778" xr:uid="{00000000-0005-0000-0000-0000823A0000}"/>
    <cellStyle name="Финансовый 3 3 6 2 3 3 2" xfId="11869" xr:uid="{00000000-0005-0000-0000-0000833A0000}"/>
    <cellStyle name="Финансовый 3 3 6 2 3 3 2 2" xfId="28958" xr:uid="{380B3342-6AAE-48DB-A099-B2FFF011440D}"/>
    <cellStyle name="Финансовый 3 3 6 2 3 3 3" xfId="15101" xr:uid="{00000000-0005-0000-0000-0000843A0000}"/>
    <cellStyle name="Финансовый 3 3 6 2 3 3 3 2" xfId="32114" xr:uid="{299561B4-1AFE-40A0-9C71-588DCA32075A}"/>
    <cellStyle name="Финансовый 3 3 6 2 3 3 4" xfId="18182" xr:uid="{00000000-0005-0000-0000-0000853A0000}"/>
    <cellStyle name="Финансовый 3 3 6 2 3 3 4 2" xfId="35195" xr:uid="{766F74EC-DC61-4FC3-9EF0-8A3F61032418}"/>
    <cellStyle name="Финансовый 3 3 6 2 3 3 5" xfId="25885" xr:uid="{0D5FCF84-B4FF-400D-8FDC-1DBC663097DC}"/>
    <cellStyle name="Финансовый 3 3 6 2 3 4" xfId="11866" xr:uid="{00000000-0005-0000-0000-0000863A0000}"/>
    <cellStyle name="Финансовый 3 3 6 2 3 4 2" xfId="28955" xr:uid="{D1A527D1-DD2C-4EC1-BF9E-56B1872FCB84}"/>
    <cellStyle name="Финансовый 3 3 6 2 3 5" xfId="15098" xr:uid="{00000000-0005-0000-0000-0000873A0000}"/>
    <cellStyle name="Финансовый 3 3 6 2 3 5 2" xfId="32111" xr:uid="{D1DCBA36-3D13-42EC-A0C0-7F1D53B9F4D1}"/>
    <cellStyle name="Финансовый 3 3 6 2 3 6" xfId="18179" xr:uid="{00000000-0005-0000-0000-0000883A0000}"/>
    <cellStyle name="Финансовый 3 3 6 2 3 6 2" xfId="35192" xr:uid="{F077D92E-BDF0-435C-B42C-0CE988335081}"/>
    <cellStyle name="Финансовый 3 3 6 2 3 7" xfId="25882" xr:uid="{22094895-C8C7-43E4-A5B8-205054DA79F8}"/>
    <cellStyle name="Финансовый 3 3 6 2 4" xfId="8779" xr:uid="{00000000-0005-0000-0000-0000893A0000}"/>
    <cellStyle name="Финансовый 3 3 6 2 4 2" xfId="8780" xr:uid="{00000000-0005-0000-0000-00008A3A0000}"/>
    <cellStyle name="Финансовый 3 3 6 2 4 2 2" xfId="11871" xr:uid="{00000000-0005-0000-0000-00008B3A0000}"/>
    <cellStyle name="Финансовый 3 3 6 2 4 2 2 2" xfId="28960" xr:uid="{6105C9DB-E177-4454-A70A-0B7752440C1D}"/>
    <cellStyle name="Финансовый 3 3 6 2 4 2 3" xfId="15103" xr:uid="{00000000-0005-0000-0000-00008C3A0000}"/>
    <cellStyle name="Финансовый 3 3 6 2 4 2 3 2" xfId="32116" xr:uid="{07618CD4-3461-4655-BDE6-62E2FC9F5463}"/>
    <cellStyle name="Финансовый 3 3 6 2 4 2 4" xfId="18184" xr:uid="{00000000-0005-0000-0000-00008D3A0000}"/>
    <cellStyle name="Финансовый 3 3 6 2 4 2 4 2" xfId="35197" xr:uid="{E569C4ED-EF26-4AA2-A981-1FDB19C95BBB}"/>
    <cellStyle name="Финансовый 3 3 6 2 4 2 5" xfId="25887" xr:uid="{E666828A-ECD4-44DC-80D8-FE38D9967FAC}"/>
    <cellStyle name="Финансовый 3 3 6 2 4 3" xfId="11870" xr:uid="{00000000-0005-0000-0000-00008E3A0000}"/>
    <cellStyle name="Финансовый 3 3 6 2 4 3 2" xfId="28959" xr:uid="{9CCBD163-9F49-448D-898E-F02E573EABD0}"/>
    <cellStyle name="Финансовый 3 3 6 2 4 4" xfId="15102" xr:uid="{00000000-0005-0000-0000-00008F3A0000}"/>
    <cellStyle name="Финансовый 3 3 6 2 4 4 2" xfId="32115" xr:uid="{B903B4DF-6E02-4BAE-B2A8-BFBAC25B5CB3}"/>
    <cellStyle name="Финансовый 3 3 6 2 4 5" xfId="18183" xr:uid="{00000000-0005-0000-0000-0000903A0000}"/>
    <cellStyle name="Финансовый 3 3 6 2 4 5 2" xfId="35196" xr:uid="{11E35F40-8912-4586-8C68-6E3E0177E06D}"/>
    <cellStyle name="Финансовый 3 3 6 2 4 6" xfId="25886" xr:uid="{461FF68F-1904-44C5-8C4E-5E5547CEDB30}"/>
    <cellStyle name="Финансовый 3 3 6 2 5" xfId="8781" xr:uid="{00000000-0005-0000-0000-0000913A0000}"/>
    <cellStyle name="Финансовый 3 3 6 2 5 2" xfId="11872" xr:uid="{00000000-0005-0000-0000-0000923A0000}"/>
    <cellStyle name="Финансовый 3 3 6 2 5 2 2" xfId="28961" xr:uid="{31F819F5-2BC7-4360-AAAC-BD0592547705}"/>
    <cellStyle name="Финансовый 3 3 6 2 5 3" xfId="15104" xr:uid="{00000000-0005-0000-0000-0000933A0000}"/>
    <cellStyle name="Финансовый 3 3 6 2 5 3 2" xfId="32117" xr:uid="{8CC559AF-C03D-4246-8E59-4C40FA90EDA1}"/>
    <cellStyle name="Финансовый 3 3 6 2 5 4" xfId="18185" xr:uid="{00000000-0005-0000-0000-0000943A0000}"/>
    <cellStyle name="Финансовый 3 3 6 2 5 4 2" xfId="35198" xr:uid="{E6D74933-D5B0-4ACE-B1D0-6CC7E8BD4933}"/>
    <cellStyle name="Финансовый 3 3 6 2 5 5" xfId="25888" xr:uid="{4E10A5CB-24CB-4ECA-A349-38E37F7425FD}"/>
    <cellStyle name="Финансовый 3 3 6 2 6" xfId="11857" xr:uid="{00000000-0005-0000-0000-0000953A0000}"/>
    <cellStyle name="Финансовый 3 3 6 2 6 2" xfId="28946" xr:uid="{4E6EA769-6514-486E-8FF6-D392FDC9200F}"/>
    <cellStyle name="Финансовый 3 3 6 2 7" xfId="15089" xr:uid="{00000000-0005-0000-0000-0000963A0000}"/>
    <cellStyle name="Финансовый 3 3 6 2 7 2" xfId="32102" xr:uid="{537FD66D-9FA5-45C2-BFEF-1AF48DB7CD10}"/>
    <cellStyle name="Финансовый 3 3 6 2 8" xfId="18170" xr:uid="{00000000-0005-0000-0000-0000973A0000}"/>
    <cellStyle name="Финансовый 3 3 6 2 8 2" xfId="35183" xr:uid="{D5ED7380-3FFE-44D8-BD88-5EBF3FEF644B}"/>
    <cellStyle name="Финансовый 3 3 6 2 9" xfId="25873" xr:uid="{6BCAA300-769C-4691-8DDC-A3FFC1455487}"/>
    <cellStyle name="Финансовый 3 3 6 3" xfId="8782" xr:uid="{00000000-0005-0000-0000-0000983A0000}"/>
    <cellStyle name="Финансовый 3 3 6 3 2" xfId="8783" xr:uid="{00000000-0005-0000-0000-0000993A0000}"/>
    <cellStyle name="Финансовый 3 3 6 3 2 2" xfId="8784" xr:uid="{00000000-0005-0000-0000-00009A3A0000}"/>
    <cellStyle name="Финансовый 3 3 6 3 2 2 2" xfId="8785" xr:uid="{00000000-0005-0000-0000-00009B3A0000}"/>
    <cellStyle name="Финансовый 3 3 6 3 2 2 2 2" xfId="11876" xr:uid="{00000000-0005-0000-0000-00009C3A0000}"/>
    <cellStyle name="Финансовый 3 3 6 3 2 2 2 2 2" xfId="28965" xr:uid="{240B1398-68DF-4C87-8E32-20882BBEAB81}"/>
    <cellStyle name="Финансовый 3 3 6 3 2 2 2 3" xfId="15108" xr:uid="{00000000-0005-0000-0000-00009D3A0000}"/>
    <cellStyle name="Финансовый 3 3 6 3 2 2 2 3 2" xfId="32121" xr:uid="{D01CB39C-F12B-4782-8A6C-19638BA91270}"/>
    <cellStyle name="Финансовый 3 3 6 3 2 2 2 4" xfId="18189" xr:uid="{00000000-0005-0000-0000-00009E3A0000}"/>
    <cellStyle name="Финансовый 3 3 6 3 2 2 2 4 2" xfId="35202" xr:uid="{28C4FABF-1767-4CE8-90C8-04E4671B73DA}"/>
    <cellStyle name="Финансовый 3 3 6 3 2 2 2 5" xfId="25892" xr:uid="{557FAE01-7806-4A75-A91B-E83D1577756B}"/>
    <cellStyle name="Финансовый 3 3 6 3 2 2 3" xfId="11875" xr:uid="{00000000-0005-0000-0000-00009F3A0000}"/>
    <cellStyle name="Финансовый 3 3 6 3 2 2 3 2" xfId="28964" xr:uid="{8166AB88-AC28-4196-83C5-FF73D3B823EA}"/>
    <cellStyle name="Финансовый 3 3 6 3 2 2 4" xfId="15107" xr:uid="{00000000-0005-0000-0000-0000A03A0000}"/>
    <cellStyle name="Финансовый 3 3 6 3 2 2 4 2" xfId="32120" xr:uid="{7C35C886-8DFE-45EF-92A8-EE46044B8821}"/>
    <cellStyle name="Финансовый 3 3 6 3 2 2 5" xfId="18188" xr:uid="{00000000-0005-0000-0000-0000A13A0000}"/>
    <cellStyle name="Финансовый 3 3 6 3 2 2 5 2" xfId="35201" xr:uid="{F74EBFAD-6AA4-46D2-A6CC-B4E34CACA316}"/>
    <cellStyle name="Финансовый 3 3 6 3 2 2 6" xfId="25891" xr:uid="{916E2887-1429-45EE-8FA6-BC14596E9D2A}"/>
    <cellStyle name="Финансовый 3 3 6 3 2 3" xfId="8786" xr:uid="{00000000-0005-0000-0000-0000A23A0000}"/>
    <cellStyle name="Финансовый 3 3 6 3 2 3 2" xfId="11877" xr:uid="{00000000-0005-0000-0000-0000A33A0000}"/>
    <cellStyle name="Финансовый 3 3 6 3 2 3 2 2" xfId="28966" xr:uid="{B68049CD-36CE-4B86-A06C-D58AB5424B5E}"/>
    <cellStyle name="Финансовый 3 3 6 3 2 3 3" xfId="15109" xr:uid="{00000000-0005-0000-0000-0000A43A0000}"/>
    <cellStyle name="Финансовый 3 3 6 3 2 3 3 2" xfId="32122" xr:uid="{DE4149AC-D703-430C-8423-64676435FAE5}"/>
    <cellStyle name="Финансовый 3 3 6 3 2 3 4" xfId="18190" xr:uid="{00000000-0005-0000-0000-0000A53A0000}"/>
    <cellStyle name="Финансовый 3 3 6 3 2 3 4 2" xfId="35203" xr:uid="{768EB511-4165-42B9-BB99-1DDD6209089C}"/>
    <cellStyle name="Финансовый 3 3 6 3 2 3 5" xfId="25893" xr:uid="{9D15702C-570E-460E-9274-9A53B0B37C27}"/>
    <cellStyle name="Финансовый 3 3 6 3 2 4" xfId="11874" xr:uid="{00000000-0005-0000-0000-0000A63A0000}"/>
    <cellStyle name="Финансовый 3 3 6 3 2 4 2" xfId="28963" xr:uid="{89C66752-22CC-43C2-A622-9472DDE5B53A}"/>
    <cellStyle name="Финансовый 3 3 6 3 2 5" xfId="15106" xr:uid="{00000000-0005-0000-0000-0000A73A0000}"/>
    <cellStyle name="Финансовый 3 3 6 3 2 5 2" xfId="32119" xr:uid="{4E3FA368-A654-4AC6-9B8C-8D7BDD3584EF}"/>
    <cellStyle name="Финансовый 3 3 6 3 2 6" xfId="18187" xr:uid="{00000000-0005-0000-0000-0000A83A0000}"/>
    <cellStyle name="Финансовый 3 3 6 3 2 6 2" xfId="35200" xr:uid="{3F90E6D1-6DFF-4DC1-A688-42A6FF0A43D5}"/>
    <cellStyle name="Финансовый 3 3 6 3 2 7" xfId="25890" xr:uid="{6D5A847B-2191-4BE0-94D6-CD80557FE5B7}"/>
    <cellStyle name="Финансовый 3 3 6 3 3" xfId="8787" xr:uid="{00000000-0005-0000-0000-0000A93A0000}"/>
    <cellStyle name="Финансовый 3 3 6 3 3 2" xfId="8788" xr:uid="{00000000-0005-0000-0000-0000AA3A0000}"/>
    <cellStyle name="Финансовый 3 3 6 3 3 2 2" xfId="11879" xr:uid="{00000000-0005-0000-0000-0000AB3A0000}"/>
    <cellStyle name="Финансовый 3 3 6 3 3 2 2 2" xfId="28968" xr:uid="{C77F1AF6-D287-4C40-8C9F-D381E7E0FB73}"/>
    <cellStyle name="Финансовый 3 3 6 3 3 2 3" xfId="15111" xr:uid="{00000000-0005-0000-0000-0000AC3A0000}"/>
    <cellStyle name="Финансовый 3 3 6 3 3 2 3 2" xfId="32124" xr:uid="{D1C045F7-8A60-4838-A4CD-507A3130D9AF}"/>
    <cellStyle name="Финансовый 3 3 6 3 3 2 4" xfId="18192" xr:uid="{00000000-0005-0000-0000-0000AD3A0000}"/>
    <cellStyle name="Финансовый 3 3 6 3 3 2 4 2" xfId="35205" xr:uid="{256FE852-9719-4EB1-8999-67B7A3BA607D}"/>
    <cellStyle name="Финансовый 3 3 6 3 3 2 5" xfId="25895" xr:uid="{32569E10-CE9A-4954-A12E-E4380F31ABC5}"/>
    <cellStyle name="Финансовый 3 3 6 3 3 3" xfId="11878" xr:uid="{00000000-0005-0000-0000-0000AE3A0000}"/>
    <cellStyle name="Финансовый 3 3 6 3 3 3 2" xfId="28967" xr:uid="{20A82B0C-6412-4D74-BF0E-FEDAF986FE6E}"/>
    <cellStyle name="Финансовый 3 3 6 3 3 4" xfId="15110" xr:uid="{00000000-0005-0000-0000-0000AF3A0000}"/>
    <cellStyle name="Финансовый 3 3 6 3 3 4 2" xfId="32123" xr:uid="{CB086169-F2D5-40CE-9E70-CE1A750DC9B7}"/>
    <cellStyle name="Финансовый 3 3 6 3 3 5" xfId="18191" xr:uid="{00000000-0005-0000-0000-0000B03A0000}"/>
    <cellStyle name="Финансовый 3 3 6 3 3 5 2" xfId="35204" xr:uid="{68D11883-1781-4F69-A942-40B99666E74C}"/>
    <cellStyle name="Финансовый 3 3 6 3 3 6" xfId="25894" xr:uid="{E8EA7023-7036-42F2-BA64-A3E479B198E7}"/>
    <cellStyle name="Финансовый 3 3 6 3 4" xfId="8789" xr:uid="{00000000-0005-0000-0000-0000B13A0000}"/>
    <cellStyle name="Финансовый 3 3 6 3 4 2" xfId="11880" xr:uid="{00000000-0005-0000-0000-0000B23A0000}"/>
    <cellStyle name="Финансовый 3 3 6 3 4 2 2" xfId="28969" xr:uid="{452B8E31-9BDB-4808-B754-82CAA0BD5D14}"/>
    <cellStyle name="Финансовый 3 3 6 3 4 3" xfId="15112" xr:uid="{00000000-0005-0000-0000-0000B33A0000}"/>
    <cellStyle name="Финансовый 3 3 6 3 4 3 2" xfId="32125" xr:uid="{8D2061AD-C4BD-47F3-9F2E-6DDA886AF427}"/>
    <cellStyle name="Финансовый 3 3 6 3 4 4" xfId="18193" xr:uid="{00000000-0005-0000-0000-0000B43A0000}"/>
    <cellStyle name="Финансовый 3 3 6 3 4 4 2" xfId="35206" xr:uid="{A0DF6A97-A8BC-408A-B082-27221217E0FF}"/>
    <cellStyle name="Финансовый 3 3 6 3 4 5" xfId="25896" xr:uid="{64570CB2-3609-4955-9686-DF32546267E8}"/>
    <cellStyle name="Финансовый 3 3 6 3 5" xfId="11873" xr:uid="{00000000-0005-0000-0000-0000B53A0000}"/>
    <cellStyle name="Финансовый 3 3 6 3 5 2" xfId="28962" xr:uid="{40E85612-7DFA-4343-9715-1339C11716EB}"/>
    <cellStyle name="Финансовый 3 3 6 3 6" xfId="15105" xr:uid="{00000000-0005-0000-0000-0000B63A0000}"/>
    <cellStyle name="Финансовый 3 3 6 3 6 2" xfId="32118" xr:uid="{BC8E7F88-9E0D-4672-BFF8-94DCFA8BEA1F}"/>
    <cellStyle name="Финансовый 3 3 6 3 7" xfId="18186" xr:uid="{00000000-0005-0000-0000-0000B73A0000}"/>
    <cellStyle name="Финансовый 3 3 6 3 7 2" xfId="35199" xr:uid="{9822F4C8-EBB0-4343-9040-F5738D72EC7B}"/>
    <cellStyle name="Финансовый 3 3 6 3 8" xfId="25889" xr:uid="{85CA9DFD-83C5-4175-A9B2-7742650A0519}"/>
    <cellStyle name="Финансовый 3 3 6 4" xfId="8790" xr:uid="{00000000-0005-0000-0000-0000B83A0000}"/>
    <cellStyle name="Финансовый 3 3 6 4 2" xfId="8791" xr:uid="{00000000-0005-0000-0000-0000B93A0000}"/>
    <cellStyle name="Финансовый 3 3 6 4 2 2" xfId="8792" xr:uid="{00000000-0005-0000-0000-0000BA3A0000}"/>
    <cellStyle name="Финансовый 3 3 6 4 2 2 2" xfId="11883" xr:uid="{00000000-0005-0000-0000-0000BB3A0000}"/>
    <cellStyle name="Финансовый 3 3 6 4 2 2 2 2" xfId="28972" xr:uid="{ECE29D3D-DC4E-4C8D-93E0-26A241340029}"/>
    <cellStyle name="Финансовый 3 3 6 4 2 2 3" xfId="15115" xr:uid="{00000000-0005-0000-0000-0000BC3A0000}"/>
    <cellStyle name="Финансовый 3 3 6 4 2 2 3 2" xfId="32128" xr:uid="{AD7B5DDA-B1B6-41F8-8F21-62EC2F370FD4}"/>
    <cellStyle name="Финансовый 3 3 6 4 2 2 4" xfId="18196" xr:uid="{00000000-0005-0000-0000-0000BD3A0000}"/>
    <cellStyle name="Финансовый 3 3 6 4 2 2 4 2" xfId="35209" xr:uid="{16D82518-AD14-4F1A-AFC6-CB0A7E7B9170}"/>
    <cellStyle name="Финансовый 3 3 6 4 2 2 5" xfId="25899" xr:uid="{DE78EDD2-0A73-436C-9D09-3F6F9AE44846}"/>
    <cellStyle name="Финансовый 3 3 6 4 2 3" xfId="11882" xr:uid="{00000000-0005-0000-0000-0000BE3A0000}"/>
    <cellStyle name="Финансовый 3 3 6 4 2 3 2" xfId="28971" xr:uid="{EDA9461A-B514-4312-BF98-69F773F431AC}"/>
    <cellStyle name="Финансовый 3 3 6 4 2 4" xfId="15114" xr:uid="{00000000-0005-0000-0000-0000BF3A0000}"/>
    <cellStyle name="Финансовый 3 3 6 4 2 4 2" xfId="32127" xr:uid="{BB8ED431-B4A1-4827-AD57-2D12877D1603}"/>
    <cellStyle name="Финансовый 3 3 6 4 2 5" xfId="18195" xr:uid="{00000000-0005-0000-0000-0000C03A0000}"/>
    <cellStyle name="Финансовый 3 3 6 4 2 5 2" xfId="35208" xr:uid="{65CC342E-FDF8-4C8D-8ABB-879E57FFCE0E}"/>
    <cellStyle name="Финансовый 3 3 6 4 2 6" xfId="25898" xr:uid="{D25D25AE-7111-4425-A3EC-CEDB11A06580}"/>
    <cellStyle name="Финансовый 3 3 6 4 3" xfId="8793" xr:uid="{00000000-0005-0000-0000-0000C13A0000}"/>
    <cellStyle name="Финансовый 3 3 6 4 3 2" xfId="11884" xr:uid="{00000000-0005-0000-0000-0000C23A0000}"/>
    <cellStyle name="Финансовый 3 3 6 4 3 2 2" xfId="28973" xr:uid="{8AC110F1-E1E1-4A77-B378-6BC2E5C2292A}"/>
    <cellStyle name="Финансовый 3 3 6 4 3 3" xfId="15116" xr:uid="{00000000-0005-0000-0000-0000C33A0000}"/>
    <cellStyle name="Финансовый 3 3 6 4 3 3 2" xfId="32129" xr:uid="{2306680D-DDDE-40A9-88D0-FCD49C13A1D3}"/>
    <cellStyle name="Финансовый 3 3 6 4 3 4" xfId="18197" xr:uid="{00000000-0005-0000-0000-0000C43A0000}"/>
    <cellStyle name="Финансовый 3 3 6 4 3 4 2" xfId="35210" xr:uid="{F9C58CD6-9437-4595-9D03-F16FC40E68F6}"/>
    <cellStyle name="Финансовый 3 3 6 4 3 5" xfId="25900" xr:uid="{37B7194D-C701-4AB5-80BA-48C2A1557A8C}"/>
    <cellStyle name="Финансовый 3 3 6 4 4" xfId="11881" xr:uid="{00000000-0005-0000-0000-0000C53A0000}"/>
    <cellStyle name="Финансовый 3 3 6 4 4 2" xfId="28970" xr:uid="{09491FD6-D9B3-42DD-889B-BDEDFF0723D0}"/>
    <cellStyle name="Финансовый 3 3 6 4 5" xfId="15113" xr:uid="{00000000-0005-0000-0000-0000C63A0000}"/>
    <cellStyle name="Финансовый 3 3 6 4 5 2" xfId="32126" xr:uid="{FAB17A02-4279-4702-BB06-E856725A4605}"/>
    <cellStyle name="Финансовый 3 3 6 4 6" xfId="18194" xr:uid="{00000000-0005-0000-0000-0000C73A0000}"/>
    <cellStyle name="Финансовый 3 3 6 4 6 2" xfId="35207" xr:uid="{FE052A46-851D-49C9-94AF-CEED41C73B59}"/>
    <cellStyle name="Финансовый 3 3 6 4 7" xfId="25897" xr:uid="{C2C7E0E5-C77E-456E-BD62-D142E1F2C307}"/>
    <cellStyle name="Финансовый 3 3 6 5" xfId="8794" xr:uid="{00000000-0005-0000-0000-0000C83A0000}"/>
    <cellStyle name="Финансовый 3 3 6 5 2" xfId="8795" xr:uid="{00000000-0005-0000-0000-0000C93A0000}"/>
    <cellStyle name="Финансовый 3 3 6 5 2 2" xfId="11886" xr:uid="{00000000-0005-0000-0000-0000CA3A0000}"/>
    <cellStyle name="Финансовый 3 3 6 5 2 2 2" xfId="28975" xr:uid="{29DDE598-DA08-4AEE-B556-DE26FD284AB9}"/>
    <cellStyle name="Финансовый 3 3 6 5 2 3" xfId="15118" xr:uid="{00000000-0005-0000-0000-0000CB3A0000}"/>
    <cellStyle name="Финансовый 3 3 6 5 2 3 2" xfId="32131" xr:uid="{66F5FCA0-A1F1-4526-8E0C-DD67F68C0658}"/>
    <cellStyle name="Финансовый 3 3 6 5 2 4" xfId="18199" xr:uid="{00000000-0005-0000-0000-0000CC3A0000}"/>
    <cellStyle name="Финансовый 3 3 6 5 2 4 2" xfId="35212" xr:uid="{F77AD564-CCD1-4F31-AA72-9B132C5F5D4B}"/>
    <cellStyle name="Финансовый 3 3 6 5 2 5" xfId="25902" xr:uid="{741A6A42-CA4A-432A-9CE1-F08E7AC0A04D}"/>
    <cellStyle name="Финансовый 3 3 6 5 3" xfId="11885" xr:uid="{00000000-0005-0000-0000-0000CD3A0000}"/>
    <cellStyle name="Финансовый 3 3 6 5 3 2" xfId="28974" xr:uid="{47D059DC-A634-4F60-8366-C0A2B18E754B}"/>
    <cellStyle name="Финансовый 3 3 6 5 4" xfId="15117" xr:uid="{00000000-0005-0000-0000-0000CE3A0000}"/>
    <cellStyle name="Финансовый 3 3 6 5 4 2" xfId="32130" xr:uid="{0921425F-662D-4BFC-8586-DFD3BC9CA5A0}"/>
    <cellStyle name="Финансовый 3 3 6 5 5" xfId="18198" xr:uid="{00000000-0005-0000-0000-0000CF3A0000}"/>
    <cellStyle name="Финансовый 3 3 6 5 5 2" xfId="35211" xr:uid="{AEF5CB02-7E21-4E56-8A37-07BF0AE151EF}"/>
    <cellStyle name="Финансовый 3 3 6 5 6" xfId="25901" xr:uid="{048E5ADA-82D2-480C-8B21-7EFFBC3C541B}"/>
    <cellStyle name="Финансовый 3 3 6 6" xfId="8796" xr:uid="{00000000-0005-0000-0000-0000D03A0000}"/>
    <cellStyle name="Финансовый 3 3 6 6 2" xfId="11887" xr:uid="{00000000-0005-0000-0000-0000D13A0000}"/>
    <cellStyle name="Финансовый 3 3 6 6 2 2" xfId="28976" xr:uid="{14F518A4-6AF7-433E-861C-7664A0985CF4}"/>
    <cellStyle name="Финансовый 3 3 6 6 3" xfId="15119" xr:uid="{00000000-0005-0000-0000-0000D23A0000}"/>
    <cellStyle name="Финансовый 3 3 6 6 3 2" xfId="32132" xr:uid="{C33DC149-4B66-4C22-A19B-BF5E0C14B8CA}"/>
    <cellStyle name="Финансовый 3 3 6 6 4" xfId="18200" xr:uid="{00000000-0005-0000-0000-0000D33A0000}"/>
    <cellStyle name="Финансовый 3 3 6 6 4 2" xfId="35213" xr:uid="{F19CF4E0-CE00-43A0-BE51-B0E019F91377}"/>
    <cellStyle name="Финансовый 3 3 6 6 5" xfId="25903" xr:uid="{08127EB7-4ED5-425A-AE38-0AEE298BB376}"/>
    <cellStyle name="Финансовый 3 3 6 7" xfId="11856" xr:uid="{00000000-0005-0000-0000-0000D43A0000}"/>
    <cellStyle name="Финансовый 3 3 6 7 2" xfId="28945" xr:uid="{E2473E1F-FD6B-4500-8AE3-2E7F705D36E8}"/>
    <cellStyle name="Финансовый 3 3 6 8" xfId="15088" xr:uid="{00000000-0005-0000-0000-0000D53A0000}"/>
    <cellStyle name="Финансовый 3 3 6 8 2" xfId="32101" xr:uid="{E8DFFE9D-3BB2-4D68-B540-F5051A85326A}"/>
    <cellStyle name="Финансовый 3 3 6 9" xfId="18169" xr:uid="{00000000-0005-0000-0000-0000D63A0000}"/>
    <cellStyle name="Финансовый 3 3 6 9 2" xfId="35182" xr:uid="{D8ADE3AF-39DB-4199-9598-DE9E384120A9}"/>
    <cellStyle name="Финансовый 3 3 7" xfId="8797" xr:uid="{00000000-0005-0000-0000-0000D73A0000}"/>
    <cellStyle name="Финансовый 3 3 7 2" xfId="8798" xr:uid="{00000000-0005-0000-0000-0000D83A0000}"/>
    <cellStyle name="Финансовый 3 3 7 2 2" xfId="8799" xr:uid="{00000000-0005-0000-0000-0000D93A0000}"/>
    <cellStyle name="Финансовый 3 3 7 2 2 2" xfId="8800" xr:uid="{00000000-0005-0000-0000-0000DA3A0000}"/>
    <cellStyle name="Финансовый 3 3 7 2 2 2 2" xfId="8801" xr:uid="{00000000-0005-0000-0000-0000DB3A0000}"/>
    <cellStyle name="Финансовый 3 3 7 2 2 2 2 2" xfId="11892" xr:uid="{00000000-0005-0000-0000-0000DC3A0000}"/>
    <cellStyle name="Финансовый 3 3 7 2 2 2 2 2 2" xfId="28981" xr:uid="{0A6C0939-DA4D-4448-930C-84376A5DCFCA}"/>
    <cellStyle name="Финансовый 3 3 7 2 2 2 2 3" xfId="15124" xr:uid="{00000000-0005-0000-0000-0000DD3A0000}"/>
    <cellStyle name="Финансовый 3 3 7 2 2 2 2 3 2" xfId="32137" xr:uid="{F15627BD-D6D4-49BF-93D5-EDA1316DF79D}"/>
    <cellStyle name="Финансовый 3 3 7 2 2 2 2 4" xfId="18205" xr:uid="{00000000-0005-0000-0000-0000DE3A0000}"/>
    <cellStyle name="Финансовый 3 3 7 2 2 2 2 4 2" xfId="35218" xr:uid="{2B30CC42-3B4D-40D0-A06A-B1A84D25110F}"/>
    <cellStyle name="Финансовый 3 3 7 2 2 2 2 5" xfId="25908" xr:uid="{84E6E4E4-D35A-4A9E-884E-9B4C88EC1803}"/>
    <cellStyle name="Финансовый 3 3 7 2 2 2 3" xfId="11891" xr:uid="{00000000-0005-0000-0000-0000DF3A0000}"/>
    <cellStyle name="Финансовый 3 3 7 2 2 2 3 2" xfId="28980" xr:uid="{8A3F7C3F-F2B4-4A30-9C77-3DDB1C1B1F9D}"/>
    <cellStyle name="Финансовый 3 3 7 2 2 2 4" xfId="15123" xr:uid="{00000000-0005-0000-0000-0000E03A0000}"/>
    <cellStyle name="Финансовый 3 3 7 2 2 2 4 2" xfId="32136" xr:uid="{2B306165-7F9D-4F0D-A42B-B019B41EA54C}"/>
    <cellStyle name="Финансовый 3 3 7 2 2 2 5" xfId="18204" xr:uid="{00000000-0005-0000-0000-0000E13A0000}"/>
    <cellStyle name="Финансовый 3 3 7 2 2 2 5 2" xfId="35217" xr:uid="{224555C5-F13C-49FC-979C-A564D8F1E377}"/>
    <cellStyle name="Финансовый 3 3 7 2 2 2 6" xfId="25907" xr:uid="{34484348-1D18-4AD3-9D42-40477068E7CE}"/>
    <cellStyle name="Финансовый 3 3 7 2 2 3" xfId="8802" xr:uid="{00000000-0005-0000-0000-0000E23A0000}"/>
    <cellStyle name="Финансовый 3 3 7 2 2 3 2" xfId="11893" xr:uid="{00000000-0005-0000-0000-0000E33A0000}"/>
    <cellStyle name="Финансовый 3 3 7 2 2 3 2 2" xfId="28982" xr:uid="{244B7647-BB75-4313-B581-FFCC47D630C2}"/>
    <cellStyle name="Финансовый 3 3 7 2 2 3 3" xfId="15125" xr:uid="{00000000-0005-0000-0000-0000E43A0000}"/>
    <cellStyle name="Финансовый 3 3 7 2 2 3 3 2" xfId="32138" xr:uid="{1F249190-6663-40C7-8420-1870059BF0A9}"/>
    <cellStyle name="Финансовый 3 3 7 2 2 3 4" xfId="18206" xr:uid="{00000000-0005-0000-0000-0000E53A0000}"/>
    <cellStyle name="Финансовый 3 3 7 2 2 3 4 2" xfId="35219" xr:uid="{1EA7F51B-FA9C-49B5-B0DF-F7A5171BD46D}"/>
    <cellStyle name="Финансовый 3 3 7 2 2 3 5" xfId="25909" xr:uid="{22AB79AB-5E7A-462C-88E0-213A2FEAE6CF}"/>
    <cellStyle name="Финансовый 3 3 7 2 2 4" xfId="11890" xr:uid="{00000000-0005-0000-0000-0000E63A0000}"/>
    <cellStyle name="Финансовый 3 3 7 2 2 4 2" xfId="28979" xr:uid="{354DC400-A996-4910-BB77-664EFCB6BE3F}"/>
    <cellStyle name="Финансовый 3 3 7 2 2 5" xfId="15122" xr:uid="{00000000-0005-0000-0000-0000E73A0000}"/>
    <cellStyle name="Финансовый 3 3 7 2 2 5 2" xfId="32135" xr:uid="{67252D41-338C-4D15-8E4D-6EC95B6FD811}"/>
    <cellStyle name="Финансовый 3 3 7 2 2 6" xfId="18203" xr:uid="{00000000-0005-0000-0000-0000E83A0000}"/>
    <cellStyle name="Финансовый 3 3 7 2 2 6 2" xfId="35216" xr:uid="{7514CD85-B08B-42D8-9870-87D1F44B1956}"/>
    <cellStyle name="Финансовый 3 3 7 2 2 7" xfId="25906" xr:uid="{A390E266-1390-4EC9-8021-FFC0FE1C4DCE}"/>
    <cellStyle name="Финансовый 3 3 7 2 3" xfId="8803" xr:uid="{00000000-0005-0000-0000-0000E93A0000}"/>
    <cellStyle name="Финансовый 3 3 7 2 3 2" xfId="8804" xr:uid="{00000000-0005-0000-0000-0000EA3A0000}"/>
    <cellStyle name="Финансовый 3 3 7 2 3 2 2" xfId="11895" xr:uid="{00000000-0005-0000-0000-0000EB3A0000}"/>
    <cellStyle name="Финансовый 3 3 7 2 3 2 2 2" xfId="28984" xr:uid="{868A9A65-7E4B-46C0-BCCB-B07E5A327250}"/>
    <cellStyle name="Финансовый 3 3 7 2 3 2 3" xfId="15127" xr:uid="{00000000-0005-0000-0000-0000EC3A0000}"/>
    <cellStyle name="Финансовый 3 3 7 2 3 2 3 2" xfId="32140" xr:uid="{08817A25-38B3-4FD4-90B4-778C8EFDC41C}"/>
    <cellStyle name="Финансовый 3 3 7 2 3 2 4" xfId="18208" xr:uid="{00000000-0005-0000-0000-0000ED3A0000}"/>
    <cellStyle name="Финансовый 3 3 7 2 3 2 4 2" xfId="35221" xr:uid="{0C251097-B8CE-4645-B314-111DB4D1792F}"/>
    <cellStyle name="Финансовый 3 3 7 2 3 2 5" xfId="25911" xr:uid="{D3C90D21-36EA-4743-934C-8B0F33101E65}"/>
    <cellStyle name="Финансовый 3 3 7 2 3 3" xfId="11894" xr:uid="{00000000-0005-0000-0000-0000EE3A0000}"/>
    <cellStyle name="Финансовый 3 3 7 2 3 3 2" xfId="28983" xr:uid="{189336E1-DCF3-4C04-888A-78BEB05A01EC}"/>
    <cellStyle name="Финансовый 3 3 7 2 3 4" xfId="15126" xr:uid="{00000000-0005-0000-0000-0000EF3A0000}"/>
    <cellStyle name="Финансовый 3 3 7 2 3 4 2" xfId="32139" xr:uid="{11ABB6F8-DFF0-483B-A465-2ADF165C2DE4}"/>
    <cellStyle name="Финансовый 3 3 7 2 3 5" xfId="18207" xr:uid="{00000000-0005-0000-0000-0000F03A0000}"/>
    <cellStyle name="Финансовый 3 3 7 2 3 5 2" xfId="35220" xr:uid="{D1D75510-3EB0-4666-8F25-3A6EE058A70C}"/>
    <cellStyle name="Финансовый 3 3 7 2 3 6" xfId="25910" xr:uid="{5C7EA990-4874-4D8D-81D3-87E3DE9F2070}"/>
    <cellStyle name="Финансовый 3 3 7 2 4" xfId="8805" xr:uid="{00000000-0005-0000-0000-0000F13A0000}"/>
    <cellStyle name="Финансовый 3 3 7 2 4 2" xfId="11896" xr:uid="{00000000-0005-0000-0000-0000F23A0000}"/>
    <cellStyle name="Финансовый 3 3 7 2 4 2 2" xfId="28985" xr:uid="{1BAC64A1-4558-4C9C-9200-71E09BC4D369}"/>
    <cellStyle name="Финансовый 3 3 7 2 4 3" xfId="15128" xr:uid="{00000000-0005-0000-0000-0000F33A0000}"/>
    <cellStyle name="Финансовый 3 3 7 2 4 3 2" xfId="32141" xr:uid="{B8AADCBA-5DF4-4653-89AA-21655F89FDAD}"/>
    <cellStyle name="Финансовый 3 3 7 2 4 4" xfId="18209" xr:uid="{00000000-0005-0000-0000-0000F43A0000}"/>
    <cellStyle name="Финансовый 3 3 7 2 4 4 2" xfId="35222" xr:uid="{A0B741C4-E6F1-4F07-9ADE-7DC84BF17E60}"/>
    <cellStyle name="Финансовый 3 3 7 2 4 5" xfId="25912" xr:uid="{AF27598D-3C84-42DD-971A-7330B1435B14}"/>
    <cellStyle name="Финансовый 3 3 7 2 5" xfId="11889" xr:uid="{00000000-0005-0000-0000-0000F53A0000}"/>
    <cellStyle name="Финансовый 3 3 7 2 5 2" xfId="28978" xr:uid="{9783184A-BCD4-43F9-A1EE-D5A36F3FD095}"/>
    <cellStyle name="Финансовый 3 3 7 2 6" xfId="15121" xr:uid="{00000000-0005-0000-0000-0000F63A0000}"/>
    <cellStyle name="Финансовый 3 3 7 2 6 2" xfId="32134" xr:uid="{2CC32074-E5E8-4C03-83B0-B234DB8FB71F}"/>
    <cellStyle name="Финансовый 3 3 7 2 7" xfId="18202" xr:uid="{00000000-0005-0000-0000-0000F73A0000}"/>
    <cellStyle name="Финансовый 3 3 7 2 7 2" xfId="35215" xr:uid="{1B9DBC86-8FEC-464B-BBED-F2F31ED7417D}"/>
    <cellStyle name="Финансовый 3 3 7 2 8" xfId="25905" xr:uid="{6CFDD07B-2B67-43F5-A13C-C883D2B17984}"/>
    <cellStyle name="Финансовый 3 3 7 3" xfId="8806" xr:uid="{00000000-0005-0000-0000-0000F83A0000}"/>
    <cellStyle name="Финансовый 3 3 7 3 2" xfId="8807" xr:uid="{00000000-0005-0000-0000-0000F93A0000}"/>
    <cellStyle name="Финансовый 3 3 7 3 2 2" xfId="8808" xr:uid="{00000000-0005-0000-0000-0000FA3A0000}"/>
    <cellStyle name="Финансовый 3 3 7 3 2 2 2" xfId="11899" xr:uid="{00000000-0005-0000-0000-0000FB3A0000}"/>
    <cellStyle name="Финансовый 3 3 7 3 2 2 2 2" xfId="28988" xr:uid="{E13242C1-9063-46DC-A9B1-223A8D75CFA8}"/>
    <cellStyle name="Финансовый 3 3 7 3 2 2 3" xfId="15131" xr:uid="{00000000-0005-0000-0000-0000FC3A0000}"/>
    <cellStyle name="Финансовый 3 3 7 3 2 2 3 2" xfId="32144" xr:uid="{BF7BE334-484B-4797-ABEB-E711E9588B6B}"/>
    <cellStyle name="Финансовый 3 3 7 3 2 2 4" xfId="18212" xr:uid="{00000000-0005-0000-0000-0000FD3A0000}"/>
    <cellStyle name="Финансовый 3 3 7 3 2 2 4 2" xfId="35225" xr:uid="{F6925E21-B71D-4B2B-B226-4F2F7790A137}"/>
    <cellStyle name="Финансовый 3 3 7 3 2 2 5" xfId="25915" xr:uid="{F001AFAB-F556-440B-AD6A-7AEBD072A593}"/>
    <cellStyle name="Финансовый 3 3 7 3 2 3" xfId="11898" xr:uid="{00000000-0005-0000-0000-0000FE3A0000}"/>
    <cellStyle name="Финансовый 3 3 7 3 2 3 2" xfId="28987" xr:uid="{BDA9DD82-4420-4DD3-BF8B-FBEC0B418C53}"/>
    <cellStyle name="Финансовый 3 3 7 3 2 4" xfId="15130" xr:uid="{00000000-0005-0000-0000-0000FF3A0000}"/>
    <cellStyle name="Финансовый 3 3 7 3 2 4 2" xfId="32143" xr:uid="{EE775659-54B0-497D-9DD7-002CEB1A0728}"/>
    <cellStyle name="Финансовый 3 3 7 3 2 5" xfId="18211" xr:uid="{00000000-0005-0000-0000-0000003B0000}"/>
    <cellStyle name="Финансовый 3 3 7 3 2 5 2" xfId="35224" xr:uid="{CA8B17EE-2564-45E6-8AD1-55BFF578B59D}"/>
    <cellStyle name="Финансовый 3 3 7 3 2 6" xfId="25914" xr:uid="{D53A396E-E4AB-41BF-B4C5-657C9A10CA8D}"/>
    <cellStyle name="Финансовый 3 3 7 3 3" xfId="8809" xr:uid="{00000000-0005-0000-0000-0000013B0000}"/>
    <cellStyle name="Финансовый 3 3 7 3 3 2" xfId="11900" xr:uid="{00000000-0005-0000-0000-0000023B0000}"/>
    <cellStyle name="Финансовый 3 3 7 3 3 2 2" xfId="28989" xr:uid="{2C05083E-8F5D-4FC2-BFEB-0D37794C097E}"/>
    <cellStyle name="Финансовый 3 3 7 3 3 3" xfId="15132" xr:uid="{00000000-0005-0000-0000-0000033B0000}"/>
    <cellStyle name="Финансовый 3 3 7 3 3 3 2" xfId="32145" xr:uid="{856CA2C9-52FF-4477-8C41-E2E7E881AD5C}"/>
    <cellStyle name="Финансовый 3 3 7 3 3 4" xfId="18213" xr:uid="{00000000-0005-0000-0000-0000043B0000}"/>
    <cellStyle name="Финансовый 3 3 7 3 3 4 2" xfId="35226" xr:uid="{C2D3EC75-39F2-407C-A466-786203A3F496}"/>
    <cellStyle name="Финансовый 3 3 7 3 3 5" xfId="25916" xr:uid="{5E72C627-3735-425C-B6B0-118E4E9C5A4F}"/>
    <cellStyle name="Финансовый 3 3 7 3 4" xfId="11897" xr:uid="{00000000-0005-0000-0000-0000053B0000}"/>
    <cellStyle name="Финансовый 3 3 7 3 4 2" xfId="28986" xr:uid="{99B9B5AB-785B-43C5-8280-87EF1A5A04AD}"/>
    <cellStyle name="Финансовый 3 3 7 3 5" xfId="15129" xr:uid="{00000000-0005-0000-0000-0000063B0000}"/>
    <cellStyle name="Финансовый 3 3 7 3 5 2" xfId="32142" xr:uid="{F64406B6-DBDD-4F93-8CFD-B83856C436B4}"/>
    <cellStyle name="Финансовый 3 3 7 3 6" xfId="18210" xr:uid="{00000000-0005-0000-0000-0000073B0000}"/>
    <cellStyle name="Финансовый 3 3 7 3 6 2" xfId="35223" xr:uid="{2A7A1C24-3947-4811-B057-52B8C0471C8E}"/>
    <cellStyle name="Финансовый 3 3 7 3 7" xfId="25913" xr:uid="{18A3E32E-082E-49DD-9D9F-090FD242BF2E}"/>
    <cellStyle name="Финансовый 3 3 7 4" xfId="8810" xr:uid="{00000000-0005-0000-0000-0000083B0000}"/>
    <cellStyle name="Финансовый 3 3 7 4 2" xfId="8811" xr:uid="{00000000-0005-0000-0000-0000093B0000}"/>
    <cellStyle name="Финансовый 3 3 7 4 2 2" xfId="11902" xr:uid="{00000000-0005-0000-0000-00000A3B0000}"/>
    <cellStyle name="Финансовый 3 3 7 4 2 2 2" xfId="28991" xr:uid="{9B0EA409-8A8D-4235-9E03-CC74F78FFBD1}"/>
    <cellStyle name="Финансовый 3 3 7 4 2 3" xfId="15134" xr:uid="{00000000-0005-0000-0000-00000B3B0000}"/>
    <cellStyle name="Финансовый 3 3 7 4 2 3 2" xfId="32147" xr:uid="{2B01A78E-C848-4E6A-9DCB-26887AC120C3}"/>
    <cellStyle name="Финансовый 3 3 7 4 2 4" xfId="18215" xr:uid="{00000000-0005-0000-0000-00000C3B0000}"/>
    <cellStyle name="Финансовый 3 3 7 4 2 4 2" xfId="35228" xr:uid="{E74C3D64-B062-41DD-951B-374CADAD3CE4}"/>
    <cellStyle name="Финансовый 3 3 7 4 2 5" xfId="25918" xr:uid="{5C2806E5-AF36-4E9D-A2D2-18F3A33DED69}"/>
    <cellStyle name="Финансовый 3 3 7 4 3" xfId="11901" xr:uid="{00000000-0005-0000-0000-00000D3B0000}"/>
    <cellStyle name="Финансовый 3 3 7 4 3 2" xfId="28990" xr:uid="{EB24CC44-9675-40A9-BEF3-1F4E6534AB3D}"/>
    <cellStyle name="Финансовый 3 3 7 4 4" xfId="15133" xr:uid="{00000000-0005-0000-0000-00000E3B0000}"/>
    <cellStyle name="Финансовый 3 3 7 4 4 2" xfId="32146" xr:uid="{5A5B5125-65E5-421D-825A-C66A25FA7FD5}"/>
    <cellStyle name="Финансовый 3 3 7 4 5" xfId="18214" xr:uid="{00000000-0005-0000-0000-00000F3B0000}"/>
    <cellStyle name="Финансовый 3 3 7 4 5 2" xfId="35227" xr:uid="{06DD76EE-A34E-438F-810F-AB676A6D72AF}"/>
    <cellStyle name="Финансовый 3 3 7 4 6" xfId="25917" xr:uid="{BD3BEFF3-8E3B-437B-A0F1-6DB7B906CD9A}"/>
    <cellStyle name="Финансовый 3 3 7 5" xfId="8812" xr:uid="{00000000-0005-0000-0000-0000103B0000}"/>
    <cellStyle name="Финансовый 3 3 7 5 2" xfId="11903" xr:uid="{00000000-0005-0000-0000-0000113B0000}"/>
    <cellStyle name="Финансовый 3 3 7 5 2 2" xfId="28992" xr:uid="{A883DBCA-D75B-4619-9E60-51179B20908B}"/>
    <cellStyle name="Финансовый 3 3 7 5 3" xfId="15135" xr:uid="{00000000-0005-0000-0000-0000123B0000}"/>
    <cellStyle name="Финансовый 3 3 7 5 3 2" xfId="32148" xr:uid="{A2F456C4-5F99-40ED-9135-1661E83CB144}"/>
    <cellStyle name="Финансовый 3 3 7 5 4" xfId="18216" xr:uid="{00000000-0005-0000-0000-0000133B0000}"/>
    <cellStyle name="Финансовый 3 3 7 5 4 2" xfId="35229" xr:uid="{6241F648-9F10-4280-BBF4-459FE70778B0}"/>
    <cellStyle name="Финансовый 3 3 7 5 5" xfId="25919" xr:uid="{E5016336-3308-45C7-B2B3-C4F8E4B424F8}"/>
    <cellStyle name="Финансовый 3 3 7 6" xfId="11888" xr:uid="{00000000-0005-0000-0000-0000143B0000}"/>
    <cellStyle name="Финансовый 3 3 7 6 2" xfId="28977" xr:uid="{1F2B3235-BE30-4D5C-997B-72FFF76C0C64}"/>
    <cellStyle name="Финансовый 3 3 7 7" xfId="15120" xr:uid="{00000000-0005-0000-0000-0000153B0000}"/>
    <cellStyle name="Финансовый 3 3 7 7 2" xfId="32133" xr:uid="{7E4AFF09-EF53-4992-8FEE-7748E536D50E}"/>
    <cellStyle name="Финансовый 3 3 7 8" xfId="18201" xr:uid="{00000000-0005-0000-0000-0000163B0000}"/>
    <cellStyle name="Финансовый 3 3 7 8 2" xfId="35214" xr:uid="{F44DB76C-66F6-42CF-9951-303A3D02800B}"/>
    <cellStyle name="Финансовый 3 3 7 9" xfId="25904" xr:uid="{7A4080FD-3D20-44CE-8FED-34AD069FAA9C}"/>
    <cellStyle name="Финансовый 3 3 8" xfId="8813" xr:uid="{00000000-0005-0000-0000-0000173B0000}"/>
    <cellStyle name="Финансовый 3 3 8 2" xfId="8814" xr:uid="{00000000-0005-0000-0000-0000183B0000}"/>
    <cellStyle name="Финансовый 3 3 8 2 2" xfId="8815" xr:uid="{00000000-0005-0000-0000-0000193B0000}"/>
    <cellStyle name="Финансовый 3 3 8 2 2 2" xfId="8816" xr:uid="{00000000-0005-0000-0000-00001A3B0000}"/>
    <cellStyle name="Финансовый 3 3 8 2 2 2 2" xfId="11907" xr:uid="{00000000-0005-0000-0000-00001B3B0000}"/>
    <cellStyle name="Финансовый 3 3 8 2 2 2 2 2" xfId="28996" xr:uid="{F9014D21-2716-43A5-AD81-AC9E0B86F00B}"/>
    <cellStyle name="Финансовый 3 3 8 2 2 2 3" xfId="15139" xr:uid="{00000000-0005-0000-0000-00001C3B0000}"/>
    <cellStyle name="Финансовый 3 3 8 2 2 2 3 2" xfId="32152" xr:uid="{83ADAA43-FF6E-417E-8CBD-C76088867A5D}"/>
    <cellStyle name="Финансовый 3 3 8 2 2 2 4" xfId="18220" xr:uid="{00000000-0005-0000-0000-00001D3B0000}"/>
    <cellStyle name="Финансовый 3 3 8 2 2 2 4 2" xfId="35233" xr:uid="{29231793-D576-4401-AA09-5EFE77376050}"/>
    <cellStyle name="Финансовый 3 3 8 2 2 2 5" xfId="25923" xr:uid="{A31DF115-7565-4A0C-85E3-92C4E1CA0D52}"/>
    <cellStyle name="Финансовый 3 3 8 2 2 3" xfId="11906" xr:uid="{00000000-0005-0000-0000-00001E3B0000}"/>
    <cellStyle name="Финансовый 3 3 8 2 2 3 2" xfId="28995" xr:uid="{572DCDD3-08D8-45F8-9E87-4DABF55F762C}"/>
    <cellStyle name="Финансовый 3 3 8 2 2 4" xfId="15138" xr:uid="{00000000-0005-0000-0000-00001F3B0000}"/>
    <cellStyle name="Финансовый 3 3 8 2 2 4 2" xfId="32151" xr:uid="{2377DE34-C261-4802-B444-61B51D5B6B86}"/>
    <cellStyle name="Финансовый 3 3 8 2 2 5" xfId="18219" xr:uid="{00000000-0005-0000-0000-0000203B0000}"/>
    <cellStyle name="Финансовый 3 3 8 2 2 5 2" xfId="35232" xr:uid="{3E75D002-C775-4E09-8FCD-9FCBC2D04298}"/>
    <cellStyle name="Финансовый 3 3 8 2 2 6" xfId="25922" xr:uid="{E8862C36-7A42-43E4-A72F-5BB919CCACFF}"/>
    <cellStyle name="Финансовый 3 3 8 2 3" xfId="8817" xr:uid="{00000000-0005-0000-0000-0000213B0000}"/>
    <cellStyle name="Финансовый 3 3 8 2 3 2" xfId="11908" xr:uid="{00000000-0005-0000-0000-0000223B0000}"/>
    <cellStyle name="Финансовый 3 3 8 2 3 2 2" xfId="28997" xr:uid="{CDF45789-1822-47FE-953B-DE9EEDAD6903}"/>
    <cellStyle name="Финансовый 3 3 8 2 3 3" xfId="15140" xr:uid="{00000000-0005-0000-0000-0000233B0000}"/>
    <cellStyle name="Финансовый 3 3 8 2 3 3 2" xfId="32153" xr:uid="{22F3E397-94FB-489A-A3FB-9857474282C3}"/>
    <cellStyle name="Финансовый 3 3 8 2 3 4" xfId="18221" xr:uid="{00000000-0005-0000-0000-0000243B0000}"/>
    <cellStyle name="Финансовый 3 3 8 2 3 4 2" xfId="35234" xr:uid="{FF51C3D0-FD27-463C-948C-273765B057A6}"/>
    <cellStyle name="Финансовый 3 3 8 2 3 5" xfId="25924" xr:uid="{1E15E54E-FE7A-4B7E-85C7-FFE176E28603}"/>
    <cellStyle name="Финансовый 3 3 8 2 4" xfId="11905" xr:uid="{00000000-0005-0000-0000-0000253B0000}"/>
    <cellStyle name="Финансовый 3 3 8 2 4 2" xfId="28994" xr:uid="{1C8AEA9D-D744-44EA-8787-6D774E5A5035}"/>
    <cellStyle name="Финансовый 3 3 8 2 5" xfId="15137" xr:uid="{00000000-0005-0000-0000-0000263B0000}"/>
    <cellStyle name="Финансовый 3 3 8 2 5 2" xfId="32150" xr:uid="{16590CB0-F141-48DA-B5F6-075FE524D528}"/>
    <cellStyle name="Финансовый 3 3 8 2 6" xfId="18218" xr:uid="{00000000-0005-0000-0000-0000273B0000}"/>
    <cellStyle name="Финансовый 3 3 8 2 6 2" xfId="35231" xr:uid="{584B53BE-9BF0-47A1-8B1B-9EA186CD6E7B}"/>
    <cellStyle name="Финансовый 3 3 8 2 7" xfId="25921" xr:uid="{06E8A393-3420-4C49-A1AE-273C8D9563EB}"/>
    <cellStyle name="Финансовый 3 3 8 3" xfId="8818" xr:uid="{00000000-0005-0000-0000-0000283B0000}"/>
    <cellStyle name="Финансовый 3 3 8 3 2" xfId="8819" xr:uid="{00000000-0005-0000-0000-0000293B0000}"/>
    <cellStyle name="Финансовый 3 3 8 3 2 2" xfId="11910" xr:uid="{00000000-0005-0000-0000-00002A3B0000}"/>
    <cellStyle name="Финансовый 3 3 8 3 2 2 2" xfId="28999" xr:uid="{A91C332F-1DC9-46DC-8A60-48F4290EB0E1}"/>
    <cellStyle name="Финансовый 3 3 8 3 2 3" xfId="15142" xr:uid="{00000000-0005-0000-0000-00002B3B0000}"/>
    <cellStyle name="Финансовый 3 3 8 3 2 3 2" xfId="32155" xr:uid="{D12849BB-F358-4DD2-B53D-9D582080F790}"/>
    <cellStyle name="Финансовый 3 3 8 3 2 4" xfId="18223" xr:uid="{00000000-0005-0000-0000-00002C3B0000}"/>
    <cellStyle name="Финансовый 3 3 8 3 2 4 2" xfId="35236" xr:uid="{B608A5B7-5124-49EB-8E7D-E66385B917E1}"/>
    <cellStyle name="Финансовый 3 3 8 3 2 5" xfId="25926" xr:uid="{B200775B-3385-4089-892E-760F6A23E37A}"/>
    <cellStyle name="Финансовый 3 3 8 3 3" xfId="11909" xr:uid="{00000000-0005-0000-0000-00002D3B0000}"/>
    <cellStyle name="Финансовый 3 3 8 3 3 2" xfId="28998" xr:uid="{28D66D43-D290-4282-86C0-C6AB02D42658}"/>
    <cellStyle name="Финансовый 3 3 8 3 4" xfId="15141" xr:uid="{00000000-0005-0000-0000-00002E3B0000}"/>
    <cellStyle name="Финансовый 3 3 8 3 4 2" xfId="32154" xr:uid="{0DF8C1A6-661E-467C-B686-73232858FB96}"/>
    <cellStyle name="Финансовый 3 3 8 3 5" xfId="18222" xr:uid="{00000000-0005-0000-0000-00002F3B0000}"/>
    <cellStyle name="Финансовый 3 3 8 3 5 2" xfId="35235" xr:uid="{E78D51BB-3E64-46E2-9963-4FC673427BA6}"/>
    <cellStyle name="Финансовый 3 3 8 3 6" xfId="25925" xr:uid="{CF706206-BBFE-4253-83F9-519D9D584365}"/>
    <cellStyle name="Финансовый 3 3 8 4" xfId="8820" xr:uid="{00000000-0005-0000-0000-0000303B0000}"/>
    <cellStyle name="Финансовый 3 3 8 4 2" xfId="11911" xr:uid="{00000000-0005-0000-0000-0000313B0000}"/>
    <cellStyle name="Финансовый 3 3 8 4 2 2" xfId="29000" xr:uid="{8CC2561F-B608-4AC2-BEF8-ACE9DD08D785}"/>
    <cellStyle name="Финансовый 3 3 8 4 3" xfId="15143" xr:uid="{00000000-0005-0000-0000-0000323B0000}"/>
    <cellStyle name="Финансовый 3 3 8 4 3 2" xfId="32156" xr:uid="{3EB2932B-AC38-4B0C-A965-5BCC49CAC577}"/>
    <cellStyle name="Финансовый 3 3 8 4 4" xfId="18224" xr:uid="{00000000-0005-0000-0000-0000333B0000}"/>
    <cellStyle name="Финансовый 3 3 8 4 4 2" xfId="35237" xr:uid="{4FC27470-A662-4154-B9CA-7A20C9F37ED9}"/>
    <cellStyle name="Финансовый 3 3 8 4 5" xfId="25927" xr:uid="{63CC13A2-2DCE-4028-A86C-D9DCAE7171E7}"/>
    <cellStyle name="Финансовый 3 3 8 5" xfId="11904" xr:uid="{00000000-0005-0000-0000-0000343B0000}"/>
    <cellStyle name="Финансовый 3 3 8 5 2" xfId="28993" xr:uid="{A076260C-840A-4B41-9DC8-7E7B94926F6B}"/>
    <cellStyle name="Финансовый 3 3 8 6" xfId="15136" xr:uid="{00000000-0005-0000-0000-0000353B0000}"/>
    <cellStyle name="Финансовый 3 3 8 6 2" xfId="32149" xr:uid="{A6B35788-EC4C-4E27-A525-3E888FA7D6A4}"/>
    <cellStyle name="Финансовый 3 3 8 7" xfId="18217" xr:uid="{00000000-0005-0000-0000-0000363B0000}"/>
    <cellStyle name="Финансовый 3 3 8 7 2" xfId="35230" xr:uid="{429B4DA2-8658-4F60-A349-F9434A8148D7}"/>
    <cellStyle name="Финансовый 3 3 8 8" xfId="25920" xr:uid="{136C24FD-96F3-4CC1-8208-C6C0F227D19D}"/>
    <cellStyle name="Финансовый 3 3 9" xfId="8821" xr:uid="{00000000-0005-0000-0000-0000373B0000}"/>
    <cellStyle name="Финансовый 3 3 9 2" xfId="8822" xr:uid="{00000000-0005-0000-0000-0000383B0000}"/>
    <cellStyle name="Финансовый 3 3 9 2 2" xfId="8823" xr:uid="{00000000-0005-0000-0000-0000393B0000}"/>
    <cellStyle name="Финансовый 3 3 9 2 2 2" xfId="11914" xr:uid="{00000000-0005-0000-0000-00003A3B0000}"/>
    <cellStyle name="Финансовый 3 3 9 2 2 2 2" xfId="29003" xr:uid="{B884D2AD-BD89-48FD-85D1-39C15EF07D0E}"/>
    <cellStyle name="Финансовый 3 3 9 2 2 3" xfId="15146" xr:uid="{00000000-0005-0000-0000-00003B3B0000}"/>
    <cellStyle name="Финансовый 3 3 9 2 2 3 2" xfId="32159" xr:uid="{11FEEEEA-8195-4AC8-8903-CA6938A4603B}"/>
    <cellStyle name="Финансовый 3 3 9 2 2 4" xfId="18227" xr:uid="{00000000-0005-0000-0000-00003C3B0000}"/>
    <cellStyle name="Финансовый 3 3 9 2 2 4 2" xfId="35240" xr:uid="{8DD955F2-F9A7-4761-A9FB-DC12C56AC565}"/>
    <cellStyle name="Финансовый 3 3 9 2 2 5" xfId="25930" xr:uid="{DDE20525-B532-47F6-B188-29FD6A514E60}"/>
    <cellStyle name="Финансовый 3 3 9 2 3" xfId="11913" xr:uid="{00000000-0005-0000-0000-00003D3B0000}"/>
    <cellStyle name="Финансовый 3 3 9 2 3 2" xfId="29002" xr:uid="{60546265-6B2B-43EE-B683-7CD3E698759B}"/>
    <cellStyle name="Финансовый 3 3 9 2 4" xfId="15145" xr:uid="{00000000-0005-0000-0000-00003E3B0000}"/>
    <cellStyle name="Финансовый 3 3 9 2 4 2" xfId="32158" xr:uid="{C16F037C-78E1-4B69-9859-A61FDDB3C44B}"/>
    <cellStyle name="Финансовый 3 3 9 2 5" xfId="18226" xr:uid="{00000000-0005-0000-0000-00003F3B0000}"/>
    <cellStyle name="Финансовый 3 3 9 2 5 2" xfId="35239" xr:uid="{7670FDAA-2F2B-4011-8AEC-0583C35BAA1E}"/>
    <cellStyle name="Финансовый 3 3 9 2 6" xfId="25929" xr:uid="{FDE541EA-EA34-4AD4-A046-F63024202298}"/>
    <cellStyle name="Финансовый 3 3 9 3" xfId="8824" xr:uid="{00000000-0005-0000-0000-0000403B0000}"/>
    <cellStyle name="Финансовый 3 3 9 3 2" xfId="11915" xr:uid="{00000000-0005-0000-0000-0000413B0000}"/>
    <cellStyle name="Финансовый 3 3 9 3 2 2" xfId="29004" xr:uid="{FD3A9D4E-6275-47FF-9A20-68294621DF22}"/>
    <cellStyle name="Финансовый 3 3 9 3 3" xfId="15147" xr:uid="{00000000-0005-0000-0000-0000423B0000}"/>
    <cellStyle name="Финансовый 3 3 9 3 3 2" xfId="32160" xr:uid="{F367F645-1681-48BA-ADB5-BD604B760185}"/>
    <cellStyle name="Финансовый 3 3 9 3 4" xfId="18228" xr:uid="{00000000-0005-0000-0000-0000433B0000}"/>
    <cellStyle name="Финансовый 3 3 9 3 4 2" xfId="35241" xr:uid="{A1B93724-DCAF-4C92-9977-5AC693BEC26A}"/>
    <cellStyle name="Финансовый 3 3 9 3 5" xfId="25931" xr:uid="{689AB174-605D-4A24-917C-69290636D7F9}"/>
    <cellStyle name="Финансовый 3 3 9 4" xfId="11912" xr:uid="{00000000-0005-0000-0000-0000443B0000}"/>
    <cellStyle name="Финансовый 3 3 9 4 2" xfId="29001" xr:uid="{F09A9E54-5906-45B9-A468-8E983B7341A6}"/>
    <cellStyle name="Финансовый 3 3 9 5" xfId="15144" xr:uid="{00000000-0005-0000-0000-0000453B0000}"/>
    <cellStyle name="Финансовый 3 3 9 5 2" xfId="32157" xr:uid="{7FBB9E4B-F275-4680-BF3E-317AD1C82198}"/>
    <cellStyle name="Финансовый 3 3 9 6" xfId="18225" xr:uid="{00000000-0005-0000-0000-0000463B0000}"/>
    <cellStyle name="Финансовый 3 3 9 6 2" xfId="35238" xr:uid="{D581A682-C28A-45FB-83C6-60E70F705D82}"/>
    <cellStyle name="Финансовый 3 3 9 7" xfId="25928" xr:uid="{42D26CED-3835-4329-88BD-E4CABD7F9382}"/>
    <cellStyle name="Финансовый 3 4" xfId="843" xr:uid="{00000000-0005-0000-0000-0000473B0000}"/>
    <cellStyle name="Финансовый 3 5" xfId="5406" xr:uid="{00000000-0005-0000-0000-0000483B0000}"/>
    <cellStyle name="Финансовый 3 6" xfId="5412" xr:uid="{00000000-0005-0000-0000-0000493B0000}"/>
    <cellStyle name="Финансовый 30" xfId="8825" xr:uid="{00000000-0005-0000-0000-00004A3B0000}"/>
    <cellStyle name="Финансовый 31" xfId="8826" xr:uid="{00000000-0005-0000-0000-00004B3B0000}"/>
    <cellStyle name="Финансовый 32" xfId="8827" xr:uid="{00000000-0005-0000-0000-00004C3B0000}"/>
    <cellStyle name="Финансовый 33" xfId="8828" xr:uid="{00000000-0005-0000-0000-00004D3B0000}"/>
    <cellStyle name="Финансовый 34" xfId="8829" xr:uid="{00000000-0005-0000-0000-00004E3B0000}"/>
    <cellStyle name="Финансовый 35" xfId="8830" xr:uid="{00000000-0005-0000-0000-00004F3B0000}"/>
    <cellStyle name="Финансовый 36" xfId="8831" xr:uid="{00000000-0005-0000-0000-0000503B0000}"/>
    <cellStyle name="Финансовый 36 10" xfId="8832" xr:uid="{00000000-0005-0000-0000-0000513B0000}"/>
    <cellStyle name="Финансовый 36 10 2" xfId="8833" xr:uid="{00000000-0005-0000-0000-0000523B0000}"/>
    <cellStyle name="Финансовый 36 10 2 2" xfId="11918" xr:uid="{00000000-0005-0000-0000-0000533B0000}"/>
    <cellStyle name="Финансовый 36 10 2 2 2" xfId="29007" xr:uid="{B93A50F1-7CBA-4A51-A49F-8B09028AC381}"/>
    <cellStyle name="Финансовый 36 10 2 3" xfId="15150" xr:uid="{00000000-0005-0000-0000-0000543B0000}"/>
    <cellStyle name="Финансовый 36 10 2 3 2" xfId="32163" xr:uid="{B494BE83-6536-46D2-AB02-1C2E0AA76C52}"/>
    <cellStyle name="Финансовый 36 10 2 4" xfId="18231" xr:uid="{00000000-0005-0000-0000-0000553B0000}"/>
    <cellStyle name="Финансовый 36 10 2 4 2" xfId="35244" xr:uid="{72A5178A-2A62-4D39-A393-1364DF5C36DE}"/>
    <cellStyle name="Финансовый 36 10 2 5" xfId="25934" xr:uid="{B645FA16-D85C-4913-ADCC-04CD1CFA4E92}"/>
    <cellStyle name="Финансовый 36 10 3" xfId="11917" xr:uid="{00000000-0005-0000-0000-0000563B0000}"/>
    <cellStyle name="Финансовый 36 10 3 2" xfId="29006" xr:uid="{C4A983EB-4209-43CD-ABF3-AB3F05048DCC}"/>
    <cellStyle name="Финансовый 36 10 4" xfId="15149" xr:uid="{00000000-0005-0000-0000-0000573B0000}"/>
    <cellStyle name="Финансовый 36 10 4 2" xfId="32162" xr:uid="{ECF304A3-B1ED-49DE-BB9C-4593622F77AA}"/>
    <cellStyle name="Финансовый 36 10 5" xfId="18230" xr:uid="{00000000-0005-0000-0000-0000583B0000}"/>
    <cellStyle name="Финансовый 36 10 5 2" xfId="35243" xr:uid="{A1B96634-6FAB-4465-8789-DC44D68E1033}"/>
    <cellStyle name="Финансовый 36 10 6" xfId="25933" xr:uid="{E882DAD5-C962-40D9-9A42-0E5A45FF76C5}"/>
    <cellStyle name="Финансовый 36 11" xfId="8834" xr:uid="{00000000-0005-0000-0000-0000593B0000}"/>
    <cellStyle name="Финансовый 36 11 2" xfId="11919" xr:uid="{00000000-0005-0000-0000-00005A3B0000}"/>
    <cellStyle name="Финансовый 36 11 2 2" xfId="29008" xr:uid="{2DE909F3-F60F-4EAB-84FF-742C9D45CDC7}"/>
    <cellStyle name="Финансовый 36 11 3" xfId="15151" xr:uid="{00000000-0005-0000-0000-00005B3B0000}"/>
    <cellStyle name="Финансовый 36 11 3 2" xfId="32164" xr:uid="{0464DB6D-65FF-4F72-AC4F-4FC3DBB2F893}"/>
    <cellStyle name="Финансовый 36 11 4" xfId="18232" xr:uid="{00000000-0005-0000-0000-00005C3B0000}"/>
    <cellStyle name="Финансовый 36 11 4 2" xfId="35245" xr:uid="{9D4DFC7C-A8B3-4E57-AD43-D449C90CAD75}"/>
    <cellStyle name="Финансовый 36 11 5" xfId="25935" xr:uid="{FB58B937-3B76-41BA-8797-259C71F0A458}"/>
    <cellStyle name="Финансовый 36 12" xfId="11916" xr:uid="{00000000-0005-0000-0000-00005D3B0000}"/>
    <cellStyle name="Финансовый 36 12 2" xfId="29005" xr:uid="{BA106093-06DB-46DB-87A7-01BC689D5036}"/>
    <cellStyle name="Финансовый 36 13" xfId="15148" xr:uid="{00000000-0005-0000-0000-00005E3B0000}"/>
    <cellStyle name="Финансовый 36 13 2" xfId="32161" xr:uid="{6304409C-D891-473D-BE4B-71269A31593E}"/>
    <cellStyle name="Финансовый 36 14" xfId="18229" xr:uid="{00000000-0005-0000-0000-00005F3B0000}"/>
    <cellStyle name="Финансовый 36 14 2" xfId="35242" xr:uid="{6492DC99-0E54-4F40-9A40-52A65F53C488}"/>
    <cellStyle name="Финансовый 36 15" xfId="25932" xr:uid="{9F2CC618-1430-42F3-9842-F86EB73CA3EA}"/>
    <cellStyle name="Финансовый 36 2" xfId="8835" xr:uid="{00000000-0005-0000-0000-0000603B0000}"/>
    <cellStyle name="Финансовый 36 2 10" xfId="8836" xr:uid="{00000000-0005-0000-0000-0000613B0000}"/>
    <cellStyle name="Финансовый 36 2 10 2" xfId="11921" xr:uid="{00000000-0005-0000-0000-0000623B0000}"/>
    <cellStyle name="Финансовый 36 2 10 2 2" xfId="29010" xr:uid="{A29CB75E-C159-413E-8ABE-A5D25D26B7CA}"/>
    <cellStyle name="Финансовый 36 2 10 3" xfId="15153" xr:uid="{00000000-0005-0000-0000-0000633B0000}"/>
    <cellStyle name="Финансовый 36 2 10 3 2" xfId="32166" xr:uid="{8DF6EE15-63AE-4A8A-A42A-6F4D6930AFCC}"/>
    <cellStyle name="Финансовый 36 2 10 4" xfId="18234" xr:uid="{00000000-0005-0000-0000-0000643B0000}"/>
    <cellStyle name="Финансовый 36 2 10 4 2" xfId="35247" xr:uid="{D1685C31-417C-4D5C-9433-DAB84A51A683}"/>
    <cellStyle name="Финансовый 36 2 10 5" xfId="25937" xr:uid="{310B7283-81D4-4BE4-A360-D2430FCEA8D7}"/>
    <cellStyle name="Финансовый 36 2 11" xfId="11920" xr:uid="{00000000-0005-0000-0000-0000653B0000}"/>
    <cellStyle name="Финансовый 36 2 11 2" xfId="29009" xr:uid="{752B1ED6-83AF-4BF1-87EC-C3C1DA0C92F6}"/>
    <cellStyle name="Финансовый 36 2 12" xfId="15152" xr:uid="{00000000-0005-0000-0000-0000663B0000}"/>
    <cellStyle name="Финансовый 36 2 12 2" xfId="32165" xr:uid="{A74CCD13-874C-496E-B5FF-40FAB81725FB}"/>
    <cellStyle name="Финансовый 36 2 13" xfId="18233" xr:uid="{00000000-0005-0000-0000-0000673B0000}"/>
    <cellStyle name="Финансовый 36 2 13 2" xfId="35246" xr:uid="{621FCFDB-BE0B-439C-AF28-5252A1EEFDB9}"/>
    <cellStyle name="Финансовый 36 2 14" xfId="25936" xr:uid="{88484D19-C69C-4B1C-A082-599ABC32A9D1}"/>
    <cellStyle name="Финансовый 36 2 2" xfId="8837" xr:uid="{00000000-0005-0000-0000-0000683B0000}"/>
    <cellStyle name="Финансовый 36 2 2 10" xfId="11922" xr:uid="{00000000-0005-0000-0000-0000693B0000}"/>
    <cellStyle name="Финансовый 36 2 2 10 2" xfId="29011" xr:uid="{416DB203-6C27-4C2C-A4A7-0417A417D5D4}"/>
    <cellStyle name="Финансовый 36 2 2 11" xfId="15154" xr:uid="{00000000-0005-0000-0000-00006A3B0000}"/>
    <cellStyle name="Финансовый 36 2 2 11 2" xfId="32167" xr:uid="{C5E0BDAF-840D-4E12-82F5-50BDB897CB1A}"/>
    <cellStyle name="Финансовый 36 2 2 12" xfId="18235" xr:uid="{00000000-0005-0000-0000-00006B3B0000}"/>
    <cellStyle name="Финансовый 36 2 2 12 2" xfId="35248" xr:uid="{E2B0A5C4-CF9B-47AC-A850-E97E5DB8B3DF}"/>
    <cellStyle name="Финансовый 36 2 2 13" xfId="25938" xr:uid="{3961BF30-231C-4688-B8C5-C86912207051}"/>
    <cellStyle name="Финансовый 36 2 2 2" xfId="8838" xr:uid="{00000000-0005-0000-0000-00006C3B0000}"/>
    <cellStyle name="Финансовый 36 2 2 2 10" xfId="15155" xr:uid="{00000000-0005-0000-0000-00006D3B0000}"/>
    <cellStyle name="Финансовый 36 2 2 2 10 2" xfId="32168" xr:uid="{1A161394-7DEF-4F72-97E1-9C92B748F9AB}"/>
    <cellStyle name="Финансовый 36 2 2 2 11" xfId="18236" xr:uid="{00000000-0005-0000-0000-00006E3B0000}"/>
    <cellStyle name="Финансовый 36 2 2 2 11 2" xfId="35249" xr:uid="{EC04E774-00AE-44A8-8248-EE647FC707F5}"/>
    <cellStyle name="Финансовый 36 2 2 2 12" xfId="25939" xr:uid="{E8427D31-FB32-4FC9-BE75-50F80A8030A5}"/>
    <cellStyle name="Финансовый 36 2 2 2 2" xfId="8839" xr:uid="{00000000-0005-0000-0000-00006F3B0000}"/>
    <cellStyle name="Финансовый 36 2 2 2 2 10" xfId="18237" xr:uid="{00000000-0005-0000-0000-0000703B0000}"/>
    <cellStyle name="Финансовый 36 2 2 2 2 10 2" xfId="35250" xr:uid="{B2959F5E-6156-4D37-A278-9FC318A3946C}"/>
    <cellStyle name="Финансовый 36 2 2 2 2 11" xfId="25940" xr:uid="{99E6F415-DB14-44BE-9899-F987B59EF5D0}"/>
    <cellStyle name="Финансовый 36 2 2 2 2 2" xfId="8840" xr:uid="{00000000-0005-0000-0000-0000713B0000}"/>
    <cellStyle name="Финансовый 36 2 2 2 2 2 10" xfId="25941" xr:uid="{27ED0BC3-1C11-4626-B17D-F554E136B7B0}"/>
    <cellStyle name="Финансовый 36 2 2 2 2 2 2" xfId="8841" xr:uid="{00000000-0005-0000-0000-0000723B0000}"/>
    <cellStyle name="Финансовый 36 2 2 2 2 2 2 2" xfId="8842" xr:uid="{00000000-0005-0000-0000-0000733B0000}"/>
    <cellStyle name="Финансовый 36 2 2 2 2 2 2 2 2" xfId="8843" xr:uid="{00000000-0005-0000-0000-0000743B0000}"/>
    <cellStyle name="Финансовый 36 2 2 2 2 2 2 2 2 2" xfId="8844" xr:uid="{00000000-0005-0000-0000-0000753B0000}"/>
    <cellStyle name="Финансовый 36 2 2 2 2 2 2 2 2 2 2" xfId="8845" xr:uid="{00000000-0005-0000-0000-0000763B0000}"/>
    <cellStyle name="Финансовый 36 2 2 2 2 2 2 2 2 2 2 2" xfId="11930" xr:uid="{00000000-0005-0000-0000-0000773B0000}"/>
    <cellStyle name="Финансовый 36 2 2 2 2 2 2 2 2 2 2 2 2" xfId="29019" xr:uid="{276161B8-9AF2-4EFA-A6BE-307CB5791DF6}"/>
    <cellStyle name="Финансовый 36 2 2 2 2 2 2 2 2 2 2 3" xfId="15162" xr:uid="{00000000-0005-0000-0000-0000783B0000}"/>
    <cellStyle name="Финансовый 36 2 2 2 2 2 2 2 2 2 2 3 2" xfId="32175" xr:uid="{477BEF12-0B92-4438-BDA1-286B14660D19}"/>
    <cellStyle name="Финансовый 36 2 2 2 2 2 2 2 2 2 2 4" xfId="18243" xr:uid="{00000000-0005-0000-0000-0000793B0000}"/>
    <cellStyle name="Финансовый 36 2 2 2 2 2 2 2 2 2 2 4 2" xfId="35256" xr:uid="{B4AFA816-9877-4B4D-9B95-9EA00D64C0B5}"/>
    <cellStyle name="Финансовый 36 2 2 2 2 2 2 2 2 2 2 5" xfId="25946" xr:uid="{0DFB1168-244A-4C32-8DCC-65DBB807438E}"/>
    <cellStyle name="Финансовый 36 2 2 2 2 2 2 2 2 2 3" xfId="11929" xr:uid="{00000000-0005-0000-0000-00007A3B0000}"/>
    <cellStyle name="Финансовый 36 2 2 2 2 2 2 2 2 2 3 2" xfId="29018" xr:uid="{E9ED1F2E-41C9-4B5D-BCB0-E5FBCA71A909}"/>
    <cellStyle name="Финансовый 36 2 2 2 2 2 2 2 2 2 4" xfId="15161" xr:uid="{00000000-0005-0000-0000-00007B3B0000}"/>
    <cellStyle name="Финансовый 36 2 2 2 2 2 2 2 2 2 4 2" xfId="32174" xr:uid="{C801DB11-A218-4D40-AB07-48F1038B8314}"/>
    <cellStyle name="Финансовый 36 2 2 2 2 2 2 2 2 2 5" xfId="18242" xr:uid="{00000000-0005-0000-0000-00007C3B0000}"/>
    <cellStyle name="Финансовый 36 2 2 2 2 2 2 2 2 2 5 2" xfId="35255" xr:uid="{95125F63-00C0-4E4B-9AFF-32B7E1C3A749}"/>
    <cellStyle name="Финансовый 36 2 2 2 2 2 2 2 2 2 6" xfId="25945" xr:uid="{E53DC355-1FFA-43C8-A277-CE4C10423EF9}"/>
    <cellStyle name="Финансовый 36 2 2 2 2 2 2 2 2 3" xfId="8846" xr:uid="{00000000-0005-0000-0000-00007D3B0000}"/>
    <cellStyle name="Финансовый 36 2 2 2 2 2 2 2 2 3 2" xfId="11931" xr:uid="{00000000-0005-0000-0000-00007E3B0000}"/>
    <cellStyle name="Финансовый 36 2 2 2 2 2 2 2 2 3 2 2" xfId="29020" xr:uid="{DAD518EE-5C63-424F-B6F4-3E00A9419A07}"/>
    <cellStyle name="Финансовый 36 2 2 2 2 2 2 2 2 3 3" xfId="15163" xr:uid="{00000000-0005-0000-0000-00007F3B0000}"/>
    <cellStyle name="Финансовый 36 2 2 2 2 2 2 2 2 3 3 2" xfId="32176" xr:uid="{C64A017C-48A1-465B-AEFE-FAAC2670E967}"/>
    <cellStyle name="Финансовый 36 2 2 2 2 2 2 2 2 3 4" xfId="18244" xr:uid="{00000000-0005-0000-0000-0000803B0000}"/>
    <cellStyle name="Финансовый 36 2 2 2 2 2 2 2 2 3 4 2" xfId="35257" xr:uid="{D22F8D65-7726-4C71-B43A-6B920FBAA4D0}"/>
    <cellStyle name="Финансовый 36 2 2 2 2 2 2 2 2 3 5" xfId="25947" xr:uid="{CC6B79EB-F3F6-4DCB-AAB2-B6A444CC9BD4}"/>
    <cellStyle name="Финансовый 36 2 2 2 2 2 2 2 2 4" xfId="11928" xr:uid="{00000000-0005-0000-0000-0000813B0000}"/>
    <cellStyle name="Финансовый 36 2 2 2 2 2 2 2 2 4 2" xfId="29017" xr:uid="{027998E2-DBBA-4B38-925E-22F8B258185D}"/>
    <cellStyle name="Финансовый 36 2 2 2 2 2 2 2 2 5" xfId="15160" xr:uid="{00000000-0005-0000-0000-0000823B0000}"/>
    <cellStyle name="Финансовый 36 2 2 2 2 2 2 2 2 5 2" xfId="32173" xr:uid="{A6D3CD4C-6F9C-4CD4-8E7A-5642CBD2A169}"/>
    <cellStyle name="Финансовый 36 2 2 2 2 2 2 2 2 6" xfId="18241" xr:uid="{00000000-0005-0000-0000-0000833B0000}"/>
    <cellStyle name="Финансовый 36 2 2 2 2 2 2 2 2 6 2" xfId="35254" xr:uid="{A3E7CB95-9139-4C08-86B0-499A69E50333}"/>
    <cellStyle name="Финансовый 36 2 2 2 2 2 2 2 2 7" xfId="25944" xr:uid="{9CE773B1-90E2-4F09-B6EB-1443EE4BA2E1}"/>
    <cellStyle name="Финансовый 36 2 2 2 2 2 2 2 3" xfId="8847" xr:uid="{00000000-0005-0000-0000-0000843B0000}"/>
    <cellStyle name="Финансовый 36 2 2 2 2 2 2 2 3 2" xfId="8848" xr:uid="{00000000-0005-0000-0000-0000853B0000}"/>
    <cellStyle name="Финансовый 36 2 2 2 2 2 2 2 3 2 2" xfId="11933" xr:uid="{00000000-0005-0000-0000-0000863B0000}"/>
    <cellStyle name="Финансовый 36 2 2 2 2 2 2 2 3 2 2 2" xfId="29022" xr:uid="{86E9B214-4C8D-403E-9649-A38189B3B2C2}"/>
    <cellStyle name="Финансовый 36 2 2 2 2 2 2 2 3 2 3" xfId="15165" xr:uid="{00000000-0005-0000-0000-0000873B0000}"/>
    <cellStyle name="Финансовый 36 2 2 2 2 2 2 2 3 2 3 2" xfId="32178" xr:uid="{F3422E9E-0D21-4885-A79B-96DFF092EAC1}"/>
    <cellStyle name="Финансовый 36 2 2 2 2 2 2 2 3 2 4" xfId="18246" xr:uid="{00000000-0005-0000-0000-0000883B0000}"/>
    <cellStyle name="Финансовый 36 2 2 2 2 2 2 2 3 2 4 2" xfId="35259" xr:uid="{60F0E5FF-AE7E-4D80-B1BC-C67378825D7D}"/>
    <cellStyle name="Финансовый 36 2 2 2 2 2 2 2 3 2 5" xfId="25949" xr:uid="{6F9319AC-4B4F-4037-9173-8B9B2886925E}"/>
    <cellStyle name="Финансовый 36 2 2 2 2 2 2 2 3 3" xfId="11932" xr:uid="{00000000-0005-0000-0000-0000893B0000}"/>
    <cellStyle name="Финансовый 36 2 2 2 2 2 2 2 3 3 2" xfId="29021" xr:uid="{9C957F84-171C-4381-AA9A-3205ECB2E556}"/>
    <cellStyle name="Финансовый 36 2 2 2 2 2 2 2 3 4" xfId="15164" xr:uid="{00000000-0005-0000-0000-00008A3B0000}"/>
    <cellStyle name="Финансовый 36 2 2 2 2 2 2 2 3 4 2" xfId="32177" xr:uid="{FA0AAF3B-D030-4663-98C7-232F23FA5FAE}"/>
    <cellStyle name="Финансовый 36 2 2 2 2 2 2 2 3 5" xfId="18245" xr:uid="{00000000-0005-0000-0000-00008B3B0000}"/>
    <cellStyle name="Финансовый 36 2 2 2 2 2 2 2 3 5 2" xfId="35258" xr:uid="{290A7896-2FCE-459F-ACD3-91F23490F90A}"/>
    <cellStyle name="Финансовый 36 2 2 2 2 2 2 2 3 6" xfId="25948" xr:uid="{117BE505-7EC3-4ECE-9F37-F0B0E53D4B08}"/>
    <cellStyle name="Финансовый 36 2 2 2 2 2 2 2 4" xfId="8849" xr:uid="{00000000-0005-0000-0000-00008C3B0000}"/>
    <cellStyle name="Финансовый 36 2 2 2 2 2 2 2 4 2" xfId="11934" xr:uid="{00000000-0005-0000-0000-00008D3B0000}"/>
    <cellStyle name="Финансовый 36 2 2 2 2 2 2 2 4 2 2" xfId="29023" xr:uid="{9EAC9600-B6A3-472E-BD3D-4DE4C33DC2E2}"/>
    <cellStyle name="Финансовый 36 2 2 2 2 2 2 2 4 3" xfId="15166" xr:uid="{00000000-0005-0000-0000-00008E3B0000}"/>
    <cellStyle name="Финансовый 36 2 2 2 2 2 2 2 4 3 2" xfId="32179" xr:uid="{3B1E6578-A0CB-4770-B426-492893BCC257}"/>
    <cellStyle name="Финансовый 36 2 2 2 2 2 2 2 4 4" xfId="18247" xr:uid="{00000000-0005-0000-0000-00008F3B0000}"/>
    <cellStyle name="Финансовый 36 2 2 2 2 2 2 2 4 4 2" xfId="35260" xr:uid="{9675178C-7C1C-42EB-A153-FEE2B612569C}"/>
    <cellStyle name="Финансовый 36 2 2 2 2 2 2 2 4 5" xfId="25950" xr:uid="{0C6EFD4C-8FE8-4BB3-86CF-30EB1A14C67F}"/>
    <cellStyle name="Финансовый 36 2 2 2 2 2 2 2 5" xfId="11927" xr:uid="{00000000-0005-0000-0000-0000903B0000}"/>
    <cellStyle name="Финансовый 36 2 2 2 2 2 2 2 5 2" xfId="29016" xr:uid="{7D8E2002-2806-47BF-850D-5C6C5163C38E}"/>
    <cellStyle name="Финансовый 36 2 2 2 2 2 2 2 6" xfId="15159" xr:uid="{00000000-0005-0000-0000-0000913B0000}"/>
    <cellStyle name="Финансовый 36 2 2 2 2 2 2 2 6 2" xfId="32172" xr:uid="{EB72A77D-2881-42FE-AE2B-883C6A5E4FCC}"/>
    <cellStyle name="Финансовый 36 2 2 2 2 2 2 2 7" xfId="18240" xr:uid="{00000000-0005-0000-0000-0000923B0000}"/>
    <cellStyle name="Финансовый 36 2 2 2 2 2 2 2 7 2" xfId="35253" xr:uid="{3D8CCDC3-2BE2-44F1-922D-7DCB220E2D29}"/>
    <cellStyle name="Финансовый 36 2 2 2 2 2 2 2 8" xfId="25943" xr:uid="{95D0D2DC-FFAE-41A3-9641-7DD91B597479}"/>
    <cellStyle name="Финансовый 36 2 2 2 2 2 2 3" xfId="8850" xr:uid="{00000000-0005-0000-0000-0000933B0000}"/>
    <cellStyle name="Финансовый 36 2 2 2 2 2 2 3 2" xfId="8851" xr:uid="{00000000-0005-0000-0000-0000943B0000}"/>
    <cellStyle name="Финансовый 36 2 2 2 2 2 2 3 2 2" xfId="8852" xr:uid="{00000000-0005-0000-0000-0000953B0000}"/>
    <cellStyle name="Финансовый 36 2 2 2 2 2 2 3 2 2 2" xfId="11937" xr:uid="{00000000-0005-0000-0000-0000963B0000}"/>
    <cellStyle name="Финансовый 36 2 2 2 2 2 2 3 2 2 2 2" xfId="29026" xr:uid="{6F000903-D0D8-4F0A-B6B8-8556BCDDF991}"/>
    <cellStyle name="Финансовый 36 2 2 2 2 2 2 3 2 2 3" xfId="15169" xr:uid="{00000000-0005-0000-0000-0000973B0000}"/>
    <cellStyle name="Финансовый 36 2 2 2 2 2 2 3 2 2 3 2" xfId="32182" xr:uid="{6702A6B6-0DF5-495D-9C2B-1A466E626F83}"/>
    <cellStyle name="Финансовый 36 2 2 2 2 2 2 3 2 2 4" xfId="18250" xr:uid="{00000000-0005-0000-0000-0000983B0000}"/>
    <cellStyle name="Финансовый 36 2 2 2 2 2 2 3 2 2 4 2" xfId="35263" xr:uid="{FE9AB188-C86F-4B0F-89AB-9FC55F25F6B4}"/>
    <cellStyle name="Финансовый 36 2 2 2 2 2 2 3 2 2 5" xfId="25953" xr:uid="{4BB7F5AA-6C98-472D-82D7-0AD2E8889E96}"/>
    <cellStyle name="Финансовый 36 2 2 2 2 2 2 3 2 3" xfId="11936" xr:uid="{00000000-0005-0000-0000-0000993B0000}"/>
    <cellStyle name="Финансовый 36 2 2 2 2 2 2 3 2 3 2" xfId="29025" xr:uid="{4091C173-90D7-4E93-B603-C92CE617876B}"/>
    <cellStyle name="Финансовый 36 2 2 2 2 2 2 3 2 4" xfId="15168" xr:uid="{00000000-0005-0000-0000-00009A3B0000}"/>
    <cellStyle name="Финансовый 36 2 2 2 2 2 2 3 2 4 2" xfId="32181" xr:uid="{3BC03A1D-E949-4809-A2EA-2E8BC0A456CE}"/>
    <cellStyle name="Финансовый 36 2 2 2 2 2 2 3 2 5" xfId="18249" xr:uid="{00000000-0005-0000-0000-00009B3B0000}"/>
    <cellStyle name="Финансовый 36 2 2 2 2 2 2 3 2 5 2" xfId="35262" xr:uid="{AA9F6D99-17D6-4E09-B3FE-8C6676EB5A1C}"/>
    <cellStyle name="Финансовый 36 2 2 2 2 2 2 3 2 6" xfId="25952" xr:uid="{28386D68-7434-48C9-A1D7-B434EF5D8F0D}"/>
    <cellStyle name="Финансовый 36 2 2 2 2 2 2 3 3" xfId="8853" xr:uid="{00000000-0005-0000-0000-00009C3B0000}"/>
    <cellStyle name="Финансовый 36 2 2 2 2 2 2 3 3 2" xfId="11938" xr:uid="{00000000-0005-0000-0000-00009D3B0000}"/>
    <cellStyle name="Финансовый 36 2 2 2 2 2 2 3 3 2 2" xfId="29027" xr:uid="{9F696EAB-82B5-41B9-A016-41F85CE67AD1}"/>
    <cellStyle name="Финансовый 36 2 2 2 2 2 2 3 3 3" xfId="15170" xr:uid="{00000000-0005-0000-0000-00009E3B0000}"/>
    <cellStyle name="Финансовый 36 2 2 2 2 2 2 3 3 3 2" xfId="32183" xr:uid="{11F8974F-308C-489A-A374-A44C26265DFE}"/>
    <cellStyle name="Финансовый 36 2 2 2 2 2 2 3 3 4" xfId="18251" xr:uid="{00000000-0005-0000-0000-00009F3B0000}"/>
    <cellStyle name="Финансовый 36 2 2 2 2 2 2 3 3 4 2" xfId="35264" xr:uid="{923ED7F1-761B-4216-87DB-76CE92638015}"/>
    <cellStyle name="Финансовый 36 2 2 2 2 2 2 3 3 5" xfId="25954" xr:uid="{6FE0DC0E-AAB9-4609-B9B0-CE1CD423AEE0}"/>
    <cellStyle name="Финансовый 36 2 2 2 2 2 2 3 4" xfId="11935" xr:uid="{00000000-0005-0000-0000-0000A03B0000}"/>
    <cellStyle name="Финансовый 36 2 2 2 2 2 2 3 4 2" xfId="29024" xr:uid="{BBE5D705-3B0F-4EEA-ACFB-8912E06B6FA5}"/>
    <cellStyle name="Финансовый 36 2 2 2 2 2 2 3 5" xfId="15167" xr:uid="{00000000-0005-0000-0000-0000A13B0000}"/>
    <cellStyle name="Финансовый 36 2 2 2 2 2 2 3 5 2" xfId="32180" xr:uid="{B6FD24A4-ADB9-420D-91DC-A1D743EC7E06}"/>
    <cellStyle name="Финансовый 36 2 2 2 2 2 2 3 6" xfId="18248" xr:uid="{00000000-0005-0000-0000-0000A23B0000}"/>
    <cellStyle name="Финансовый 36 2 2 2 2 2 2 3 6 2" xfId="35261" xr:uid="{27EF40DF-8F53-4AC7-A99C-A951D7F483F8}"/>
    <cellStyle name="Финансовый 36 2 2 2 2 2 2 3 7" xfId="25951" xr:uid="{F217A9A7-EC84-4B62-879B-98CE4FE77477}"/>
    <cellStyle name="Финансовый 36 2 2 2 2 2 2 4" xfId="8854" xr:uid="{00000000-0005-0000-0000-0000A33B0000}"/>
    <cellStyle name="Финансовый 36 2 2 2 2 2 2 4 2" xfId="8855" xr:uid="{00000000-0005-0000-0000-0000A43B0000}"/>
    <cellStyle name="Финансовый 36 2 2 2 2 2 2 4 2 2" xfId="11940" xr:uid="{00000000-0005-0000-0000-0000A53B0000}"/>
    <cellStyle name="Финансовый 36 2 2 2 2 2 2 4 2 2 2" xfId="29029" xr:uid="{93123967-7B8E-49AF-8913-877A678E9B4A}"/>
    <cellStyle name="Финансовый 36 2 2 2 2 2 2 4 2 3" xfId="15172" xr:uid="{00000000-0005-0000-0000-0000A63B0000}"/>
    <cellStyle name="Финансовый 36 2 2 2 2 2 2 4 2 3 2" xfId="32185" xr:uid="{CC9CA1E0-8A41-4D57-B5A5-30007918DBC0}"/>
    <cellStyle name="Финансовый 36 2 2 2 2 2 2 4 2 4" xfId="18253" xr:uid="{00000000-0005-0000-0000-0000A73B0000}"/>
    <cellStyle name="Финансовый 36 2 2 2 2 2 2 4 2 4 2" xfId="35266" xr:uid="{C7BC1FC1-7C49-4805-A12C-10CB58AA2B31}"/>
    <cellStyle name="Финансовый 36 2 2 2 2 2 2 4 2 5" xfId="25956" xr:uid="{06EC14D1-EB8A-41C4-9C72-1A4348A3EB0A}"/>
    <cellStyle name="Финансовый 36 2 2 2 2 2 2 4 3" xfId="11939" xr:uid="{00000000-0005-0000-0000-0000A83B0000}"/>
    <cellStyle name="Финансовый 36 2 2 2 2 2 2 4 3 2" xfId="29028" xr:uid="{4C8D9D1B-4E6C-4294-A2A5-68C78480F5A8}"/>
    <cellStyle name="Финансовый 36 2 2 2 2 2 2 4 4" xfId="15171" xr:uid="{00000000-0005-0000-0000-0000A93B0000}"/>
    <cellStyle name="Финансовый 36 2 2 2 2 2 2 4 4 2" xfId="32184" xr:uid="{3403C63E-2DF0-45C3-A784-36BDBCEF929F}"/>
    <cellStyle name="Финансовый 36 2 2 2 2 2 2 4 5" xfId="18252" xr:uid="{00000000-0005-0000-0000-0000AA3B0000}"/>
    <cellStyle name="Финансовый 36 2 2 2 2 2 2 4 5 2" xfId="35265" xr:uid="{3E553DA0-B1AB-480B-9A47-BCAFD425B283}"/>
    <cellStyle name="Финансовый 36 2 2 2 2 2 2 4 6" xfId="25955" xr:uid="{39AAA30B-E284-4AFA-9911-8CA3D72C3662}"/>
    <cellStyle name="Финансовый 36 2 2 2 2 2 2 5" xfId="8856" xr:uid="{00000000-0005-0000-0000-0000AB3B0000}"/>
    <cellStyle name="Финансовый 36 2 2 2 2 2 2 5 2" xfId="11941" xr:uid="{00000000-0005-0000-0000-0000AC3B0000}"/>
    <cellStyle name="Финансовый 36 2 2 2 2 2 2 5 2 2" xfId="29030" xr:uid="{EF3E2BA6-DFFB-4858-A465-62951897F4A3}"/>
    <cellStyle name="Финансовый 36 2 2 2 2 2 2 5 3" xfId="15173" xr:uid="{00000000-0005-0000-0000-0000AD3B0000}"/>
    <cellStyle name="Финансовый 36 2 2 2 2 2 2 5 3 2" xfId="32186" xr:uid="{EE0E647D-9993-46C7-BD66-3D939518022F}"/>
    <cellStyle name="Финансовый 36 2 2 2 2 2 2 5 4" xfId="18254" xr:uid="{00000000-0005-0000-0000-0000AE3B0000}"/>
    <cellStyle name="Финансовый 36 2 2 2 2 2 2 5 4 2" xfId="35267" xr:uid="{B0966C86-41E2-4D3C-B607-46603B5E3562}"/>
    <cellStyle name="Финансовый 36 2 2 2 2 2 2 5 5" xfId="25957" xr:uid="{251D43D7-1F7C-4E6A-BFFA-66EBB7D13EEF}"/>
    <cellStyle name="Финансовый 36 2 2 2 2 2 2 6" xfId="11926" xr:uid="{00000000-0005-0000-0000-0000AF3B0000}"/>
    <cellStyle name="Финансовый 36 2 2 2 2 2 2 6 2" xfId="29015" xr:uid="{37E741C2-2DF5-4B3B-B03C-B03653ECD432}"/>
    <cellStyle name="Финансовый 36 2 2 2 2 2 2 7" xfId="15158" xr:uid="{00000000-0005-0000-0000-0000B03B0000}"/>
    <cellStyle name="Финансовый 36 2 2 2 2 2 2 7 2" xfId="32171" xr:uid="{988468A1-AEE1-4EB5-8F50-534DEC8FB23A}"/>
    <cellStyle name="Финансовый 36 2 2 2 2 2 2 8" xfId="18239" xr:uid="{00000000-0005-0000-0000-0000B13B0000}"/>
    <cellStyle name="Финансовый 36 2 2 2 2 2 2 8 2" xfId="35252" xr:uid="{7C549074-54D9-4A62-9351-A6BC581AD82F}"/>
    <cellStyle name="Финансовый 36 2 2 2 2 2 2 9" xfId="25942" xr:uid="{56A2B00A-067F-4457-891A-42D7E50731DE}"/>
    <cellStyle name="Финансовый 36 2 2 2 2 2 3" xfId="8857" xr:uid="{00000000-0005-0000-0000-0000B23B0000}"/>
    <cellStyle name="Финансовый 36 2 2 2 2 2 3 2" xfId="8858" xr:uid="{00000000-0005-0000-0000-0000B33B0000}"/>
    <cellStyle name="Финансовый 36 2 2 2 2 2 3 2 2" xfId="8859" xr:uid="{00000000-0005-0000-0000-0000B43B0000}"/>
    <cellStyle name="Финансовый 36 2 2 2 2 2 3 2 2 2" xfId="8860" xr:uid="{00000000-0005-0000-0000-0000B53B0000}"/>
    <cellStyle name="Финансовый 36 2 2 2 2 2 3 2 2 2 2" xfId="11945" xr:uid="{00000000-0005-0000-0000-0000B63B0000}"/>
    <cellStyle name="Финансовый 36 2 2 2 2 2 3 2 2 2 2 2" xfId="29034" xr:uid="{375670C9-7F26-4CBF-8BD0-3AAF390D017F}"/>
    <cellStyle name="Финансовый 36 2 2 2 2 2 3 2 2 2 3" xfId="15177" xr:uid="{00000000-0005-0000-0000-0000B73B0000}"/>
    <cellStyle name="Финансовый 36 2 2 2 2 2 3 2 2 2 3 2" xfId="32190" xr:uid="{D7499BE6-5931-4291-B681-8DA0D8B3AA29}"/>
    <cellStyle name="Финансовый 36 2 2 2 2 2 3 2 2 2 4" xfId="18258" xr:uid="{00000000-0005-0000-0000-0000B83B0000}"/>
    <cellStyle name="Финансовый 36 2 2 2 2 2 3 2 2 2 4 2" xfId="35271" xr:uid="{6D814507-EEA5-4E15-BBFE-635C5D029919}"/>
    <cellStyle name="Финансовый 36 2 2 2 2 2 3 2 2 2 5" xfId="25961" xr:uid="{16D2864A-BCF5-4F82-B93B-4EBFA10DF348}"/>
    <cellStyle name="Финансовый 36 2 2 2 2 2 3 2 2 3" xfId="11944" xr:uid="{00000000-0005-0000-0000-0000B93B0000}"/>
    <cellStyle name="Финансовый 36 2 2 2 2 2 3 2 2 3 2" xfId="29033" xr:uid="{00CFB835-5984-4D5F-879E-7078E2E715D6}"/>
    <cellStyle name="Финансовый 36 2 2 2 2 2 3 2 2 4" xfId="15176" xr:uid="{00000000-0005-0000-0000-0000BA3B0000}"/>
    <cellStyle name="Финансовый 36 2 2 2 2 2 3 2 2 4 2" xfId="32189" xr:uid="{29C31991-BF87-4259-ACC6-C774297EB47B}"/>
    <cellStyle name="Финансовый 36 2 2 2 2 2 3 2 2 5" xfId="18257" xr:uid="{00000000-0005-0000-0000-0000BB3B0000}"/>
    <cellStyle name="Финансовый 36 2 2 2 2 2 3 2 2 5 2" xfId="35270" xr:uid="{BA350BE8-5787-482E-B85F-A4BC9F5AB66A}"/>
    <cellStyle name="Финансовый 36 2 2 2 2 2 3 2 2 6" xfId="25960" xr:uid="{E7DB9C9D-744B-4187-BD12-5F9E3F3147A8}"/>
    <cellStyle name="Финансовый 36 2 2 2 2 2 3 2 3" xfId="8861" xr:uid="{00000000-0005-0000-0000-0000BC3B0000}"/>
    <cellStyle name="Финансовый 36 2 2 2 2 2 3 2 3 2" xfId="11946" xr:uid="{00000000-0005-0000-0000-0000BD3B0000}"/>
    <cellStyle name="Финансовый 36 2 2 2 2 2 3 2 3 2 2" xfId="29035" xr:uid="{DC6DD2DF-DA18-4C24-AEDE-63D60192BE25}"/>
    <cellStyle name="Финансовый 36 2 2 2 2 2 3 2 3 3" xfId="15178" xr:uid="{00000000-0005-0000-0000-0000BE3B0000}"/>
    <cellStyle name="Финансовый 36 2 2 2 2 2 3 2 3 3 2" xfId="32191" xr:uid="{FD6ADE07-EC27-460A-8CF0-F7E61104ECBF}"/>
    <cellStyle name="Финансовый 36 2 2 2 2 2 3 2 3 4" xfId="18259" xr:uid="{00000000-0005-0000-0000-0000BF3B0000}"/>
    <cellStyle name="Финансовый 36 2 2 2 2 2 3 2 3 4 2" xfId="35272" xr:uid="{D3702988-EB91-49EE-A0D8-F327B391978F}"/>
    <cellStyle name="Финансовый 36 2 2 2 2 2 3 2 3 5" xfId="25962" xr:uid="{B49BC1E3-CB0F-4978-953A-4E555A00F9BB}"/>
    <cellStyle name="Финансовый 36 2 2 2 2 2 3 2 4" xfId="11943" xr:uid="{00000000-0005-0000-0000-0000C03B0000}"/>
    <cellStyle name="Финансовый 36 2 2 2 2 2 3 2 4 2" xfId="29032" xr:uid="{86A11A1C-B902-4124-8421-C2BF3C64E70F}"/>
    <cellStyle name="Финансовый 36 2 2 2 2 2 3 2 5" xfId="15175" xr:uid="{00000000-0005-0000-0000-0000C13B0000}"/>
    <cellStyle name="Финансовый 36 2 2 2 2 2 3 2 5 2" xfId="32188" xr:uid="{9CFE1137-566D-45CC-ABF1-46E3005DC8E3}"/>
    <cellStyle name="Финансовый 36 2 2 2 2 2 3 2 6" xfId="18256" xr:uid="{00000000-0005-0000-0000-0000C23B0000}"/>
    <cellStyle name="Финансовый 36 2 2 2 2 2 3 2 6 2" xfId="35269" xr:uid="{0447FCD2-615B-4DE6-9CFB-04C88B1D5B9E}"/>
    <cellStyle name="Финансовый 36 2 2 2 2 2 3 2 7" xfId="25959" xr:uid="{4E952AB9-FD25-4979-9D61-B733DBAA8E22}"/>
    <cellStyle name="Финансовый 36 2 2 2 2 2 3 3" xfId="8862" xr:uid="{00000000-0005-0000-0000-0000C33B0000}"/>
    <cellStyle name="Финансовый 36 2 2 2 2 2 3 3 2" xfId="8863" xr:uid="{00000000-0005-0000-0000-0000C43B0000}"/>
    <cellStyle name="Финансовый 36 2 2 2 2 2 3 3 2 2" xfId="11948" xr:uid="{00000000-0005-0000-0000-0000C53B0000}"/>
    <cellStyle name="Финансовый 36 2 2 2 2 2 3 3 2 2 2" xfId="29037" xr:uid="{78550C85-FDFB-4519-9C2D-DF7E96C52491}"/>
    <cellStyle name="Финансовый 36 2 2 2 2 2 3 3 2 3" xfId="15180" xr:uid="{00000000-0005-0000-0000-0000C63B0000}"/>
    <cellStyle name="Финансовый 36 2 2 2 2 2 3 3 2 3 2" xfId="32193" xr:uid="{5F447D70-F569-4C23-A7E8-B7DCE14871EE}"/>
    <cellStyle name="Финансовый 36 2 2 2 2 2 3 3 2 4" xfId="18261" xr:uid="{00000000-0005-0000-0000-0000C73B0000}"/>
    <cellStyle name="Финансовый 36 2 2 2 2 2 3 3 2 4 2" xfId="35274" xr:uid="{82B9272B-24B4-49C1-B6BD-72039CE4E95C}"/>
    <cellStyle name="Финансовый 36 2 2 2 2 2 3 3 2 5" xfId="25964" xr:uid="{24AF9E7F-5CC7-462A-8262-40CBD376C511}"/>
    <cellStyle name="Финансовый 36 2 2 2 2 2 3 3 3" xfId="11947" xr:uid="{00000000-0005-0000-0000-0000C83B0000}"/>
    <cellStyle name="Финансовый 36 2 2 2 2 2 3 3 3 2" xfId="29036" xr:uid="{A64FC18E-5E65-4DD4-8CA7-A85DD099DE45}"/>
    <cellStyle name="Финансовый 36 2 2 2 2 2 3 3 4" xfId="15179" xr:uid="{00000000-0005-0000-0000-0000C93B0000}"/>
    <cellStyle name="Финансовый 36 2 2 2 2 2 3 3 4 2" xfId="32192" xr:uid="{06F32E4F-32AE-4C20-B643-03B5D99F3D79}"/>
    <cellStyle name="Финансовый 36 2 2 2 2 2 3 3 5" xfId="18260" xr:uid="{00000000-0005-0000-0000-0000CA3B0000}"/>
    <cellStyle name="Финансовый 36 2 2 2 2 2 3 3 5 2" xfId="35273" xr:uid="{66B58ECE-F2D2-4B1F-8CD1-7A832317FDD6}"/>
    <cellStyle name="Финансовый 36 2 2 2 2 2 3 3 6" xfId="25963" xr:uid="{0381286A-DE5A-4F07-ABF4-865503243766}"/>
    <cellStyle name="Финансовый 36 2 2 2 2 2 3 4" xfId="8864" xr:uid="{00000000-0005-0000-0000-0000CB3B0000}"/>
    <cellStyle name="Финансовый 36 2 2 2 2 2 3 4 2" xfId="11949" xr:uid="{00000000-0005-0000-0000-0000CC3B0000}"/>
    <cellStyle name="Финансовый 36 2 2 2 2 2 3 4 2 2" xfId="29038" xr:uid="{071C2D0C-55E6-48A0-A7DB-6657CFF39313}"/>
    <cellStyle name="Финансовый 36 2 2 2 2 2 3 4 3" xfId="15181" xr:uid="{00000000-0005-0000-0000-0000CD3B0000}"/>
    <cellStyle name="Финансовый 36 2 2 2 2 2 3 4 3 2" xfId="32194" xr:uid="{B9FF91EA-7B5B-41DA-9153-F7C5D9D891DC}"/>
    <cellStyle name="Финансовый 36 2 2 2 2 2 3 4 4" xfId="18262" xr:uid="{00000000-0005-0000-0000-0000CE3B0000}"/>
    <cellStyle name="Финансовый 36 2 2 2 2 2 3 4 4 2" xfId="35275" xr:uid="{9B916A45-737D-451E-86F0-ED1671866F42}"/>
    <cellStyle name="Финансовый 36 2 2 2 2 2 3 4 5" xfId="25965" xr:uid="{C32EFD8E-B3C3-4DA3-B669-9EB5D931A94F}"/>
    <cellStyle name="Финансовый 36 2 2 2 2 2 3 5" xfId="11942" xr:uid="{00000000-0005-0000-0000-0000CF3B0000}"/>
    <cellStyle name="Финансовый 36 2 2 2 2 2 3 5 2" xfId="29031" xr:uid="{02768134-7CE1-492E-A1F4-13EBFD44FB77}"/>
    <cellStyle name="Финансовый 36 2 2 2 2 2 3 6" xfId="15174" xr:uid="{00000000-0005-0000-0000-0000D03B0000}"/>
    <cellStyle name="Финансовый 36 2 2 2 2 2 3 6 2" xfId="32187" xr:uid="{BE3B0EA5-3DC6-4CBC-A3B0-97062A8D31F8}"/>
    <cellStyle name="Финансовый 36 2 2 2 2 2 3 7" xfId="18255" xr:uid="{00000000-0005-0000-0000-0000D13B0000}"/>
    <cellStyle name="Финансовый 36 2 2 2 2 2 3 7 2" xfId="35268" xr:uid="{F8168F08-0D6C-4EF4-85F0-2CA578A0D2B1}"/>
    <cellStyle name="Финансовый 36 2 2 2 2 2 3 8" xfId="25958" xr:uid="{D8A85D1B-F06B-41E4-80C3-CF29EC299C2C}"/>
    <cellStyle name="Финансовый 36 2 2 2 2 2 4" xfId="8865" xr:uid="{00000000-0005-0000-0000-0000D23B0000}"/>
    <cellStyle name="Финансовый 36 2 2 2 2 2 4 2" xfId="8866" xr:uid="{00000000-0005-0000-0000-0000D33B0000}"/>
    <cellStyle name="Финансовый 36 2 2 2 2 2 4 2 2" xfId="8867" xr:uid="{00000000-0005-0000-0000-0000D43B0000}"/>
    <cellStyle name="Финансовый 36 2 2 2 2 2 4 2 2 2" xfId="11952" xr:uid="{00000000-0005-0000-0000-0000D53B0000}"/>
    <cellStyle name="Финансовый 36 2 2 2 2 2 4 2 2 2 2" xfId="29041" xr:uid="{33C1A5FB-8AAC-4A01-8B15-512BBC464509}"/>
    <cellStyle name="Финансовый 36 2 2 2 2 2 4 2 2 3" xfId="15184" xr:uid="{00000000-0005-0000-0000-0000D63B0000}"/>
    <cellStyle name="Финансовый 36 2 2 2 2 2 4 2 2 3 2" xfId="32197" xr:uid="{6BCA8941-7C6D-4BF0-9C6F-03FAB4CB5BCD}"/>
    <cellStyle name="Финансовый 36 2 2 2 2 2 4 2 2 4" xfId="18265" xr:uid="{00000000-0005-0000-0000-0000D73B0000}"/>
    <cellStyle name="Финансовый 36 2 2 2 2 2 4 2 2 4 2" xfId="35278" xr:uid="{4760A315-95CC-4181-9C3A-F9E320E7EDCB}"/>
    <cellStyle name="Финансовый 36 2 2 2 2 2 4 2 2 5" xfId="25968" xr:uid="{EA22807C-6AB0-4EA9-A93E-CB384DBB6E41}"/>
    <cellStyle name="Финансовый 36 2 2 2 2 2 4 2 3" xfId="11951" xr:uid="{00000000-0005-0000-0000-0000D83B0000}"/>
    <cellStyle name="Финансовый 36 2 2 2 2 2 4 2 3 2" xfId="29040" xr:uid="{A381F970-33B3-4153-9B4C-6577F9AA2340}"/>
    <cellStyle name="Финансовый 36 2 2 2 2 2 4 2 4" xfId="15183" xr:uid="{00000000-0005-0000-0000-0000D93B0000}"/>
    <cellStyle name="Финансовый 36 2 2 2 2 2 4 2 4 2" xfId="32196" xr:uid="{90EFB348-1DC6-43B3-8C0F-0C59D72FE90B}"/>
    <cellStyle name="Финансовый 36 2 2 2 2 2 4 2 5" xfId="18264" xr:uid="{00000000-0005-0000-0000-0000DA3B0000}"/>
    <cellStyle name="Финансовый 36 2 2 2 2 2 4 2 5 2" xfId="35277" xr:uid="{835D67D9-5885-44DC-8110-E61873F4A343}"/>
    <cellStyle name="Финансовый 36 2 2 2 2 2 4 2 6" xfId="25967" xr:uid="{4023933D-A71E-4155-ADE3-FEB5E64051E9}"/>
    <cellStyle name="Финансовый 36 2 2 2 2 2 4 3" xfId="8868" xr:uid="{00000000-0005-0000-0000-0000DB3B0000}"/>
    <cellStyle name="Финансовый 36 2 2 2 2 2 4 3 2" xfId="11953" xr:uid="{00000000-0005-0000-0000-0000DC3B0000}"/>
    <cellStyle name="Финансовый 36 2 2 2 2 2 4 3 2 2" xfId="29042" xr:uid="{D3738D16-4895-4A66-A4DC-5E850A5CCCCC}"/>
    <cellStyle name="Финансовый 36 2 2 2 2 2 4 3 3" xfId="15185" xr:uid="{00000000-0005-0000-0000-0000DD3B0000}"/>
    <cellStyle name="Финансовый 36 2 2 2 2 2 4 3 3 2" xfId="32198" xr:uid="{6E66D645-7D62-48F9-8203-525FFDA98E32}"/>
    <cellStyle name="Финансовый 36 2 2 2 2 2 4 3 4" xfId="18266" xr:uid="{00000000-0005-0000-0000-0000DE3B0000}"/>
    <cellStyle name="Финансовый 36 2 2 2 2 2 4 3 4 2" xfId="35279" xr:uid="{0B936EA3-3821-4823-8160-5590EB1473C6}"/>
    <cellStyle name="Финансовый 36 2 2 2 2 2 4 3 5" xfId="25969" xr:uid="{574D6ADB-B01C-4006-B09F-059763DDE246}"/>
    <cellStyle name="Финансовый 36 2 2 2 2 2 4 4" xfId="11950" xr:uid="{00000000-0005-0000-0000-0000DF3B0000}"/>
    <cellStyle name="Финансовый 36 2 2 2 2 2 4 4 2" xfId="29039" xr:uid="{C55D16AC-2033-418D-9F76-43930297C33E}"/>
    <cellStyle name="Финансовый 36 2 2 2 2 2 4 5" xfId="15182" xr:uid="{00000000-0005-0000-0000-0000E03B0000}"/>
    <cellStyle name="Финансовый 36 2 2 2 2 2 4 5 2" xfId="32195" xr:uid="{CBE3A5FB-F6E6-4E42-8605-9A24C7DB80EE}"/>
    <cellStyle name="Финансовый 36 2 2 2 2 2 4 6" xfId="18263" xr:uid="{00000000-0005-0000-0000-0000E13B0000}"/>
    <cellStyle name="Финансовый 36 2 2 2 2 2 4 6 2" xfId="35276" xr:uid="{7181A14B-DA52-4A4E-B8DB-D7EBF01F0256}"/>
    <cellStyle name="Финансовый 36 2 2 2 2 2 4 7" xfId="25966" xr:uid="{88415F96-1EC8-49E5-B2CF-7D2C4593BC2C}"/>
    <cellStyle name="Финансовый 36 2 2 2 2 2 5" xfId="8869" xr:uid="{00000000-0005-0000-0000-0000E23B0000}"/>
    <cellStyle name="Финансовый 36 2 2 2 2 2 5 2" xfId="8870" xr:uid="{00000000-0005-0000-0000-0000E33B0000}"/>
    <cellStyle name="Финансовый 36 2 2 2 2 2 5 2 2" xfId="11955" xr:uid="{00000000-0005-0000-0000-0000E43B0000}"/>
    <cellStyle name="Финансовый 36 2 2 2 2 2 5 2 2 2" xfId="29044" xr:uid="{B2DDBE8E-4035-4097-B1CE-AFD86269483E}"/>
    <cellStyle name="Финансовый 36 2 2 2 2 2 5 2 3" xfId="15187" xr:uid="{00000000-0005-0000-0000-0000E53B0000}"/>
    <cellStyle name="Финансовый 36 2 2 2 2 2 5 2 3 2" xfId="32200" xr:uid="{4C3BF3E7-5D20-42C5-B7D6-6CDD3C8332DE}"/>
    <cellStyle name="Финансовый 36 2 2 2 2 2 5 2 4" xfId="18268" xr:uid="{00000000-0005-0000-0000-0000E63B0000}"/>
    <cellStyle name="Финансовый 36 2 2 2 2 2 5 2 4 2" xfId="35281" xr:uid="{94789945-0661-4FF7-BC69-970879A48957}"/>
    <cellStyle name="Финансовый 36 2 2 2 2 2 5 2 5" xfId="25971" xr:uid="{B6F3B078-F5DB-453A-8BF0-ABF4DCC594FF}"/>
    <cellStyle name="Финансовый 36 2 2 2 2 2 5 3" xfId="11954" xr:uid="{00000000-0005-0000-0000-0000E73B0000}"/>
    <cellStyle name="Финансовый 36 2 2 2 2 2 5 3 2" xfId="29043" xr:uid="{7EEACE54-5145-487F-9449-DBEFE3B16824}"/>
    <cellStyle name="Финансовый 36 2 2 2 2 2 5 4" xfId="15186" xr:uid="{00000000-0005-0000-0000-0000E83B0000}"/>
    <cellStyle name="Финансовый 36 2 2 2 2 2 5 4 2" xfId="32199" xr:uid="{39D6D207-6D4A-440E-B327-F265D1DDE5F8}"/>
    <cellStyle name="Финансовый 36 2 2 2 2 2 5 5" xfId="18267" xr:uid="{00000000-0005-0000-0000-0000E93B0000}"/>
    <cellStyle name="Финансовый 36 2 2 2 2 2 5 5 2" xfId="35280" xr:uid="{0D597A1C-472E-4D63-8D92-27C56AEE7E93}"/>
    <cellStyle name="Финансовый 36 2 2 2 2 2 5 6" xfId="25970" xr:uid="{3D71D3D7-24C3-4636-A54B-614AD4607056}"/>
    <cellStyle name="Финансовый 36 2 2 2 2 2 6" xfId="8871" xr:uid="{00000000-0005-0000-0000-0000EA3B0000}"/>
    <cellStyle name="Финансовый 36 2 2 2 2 2 6 2" xfId="11956" xr:uid="{00000000-0005-0000-0000-0000EB3B0000}"/>
    <cellStyle name="Финансовый 36 2 2 2 2 2 6 2 2" xfId="29045" xr:uid="{CC1ED601-A0A7-4DA1-8C79-60C79BAE1280}"/>
    <cellStyle name="Финансовый 36 2 2 2 2 2 6 3" xfId="15188" xr:uid="{00000000-0005-0000-0000-0000EC3B0000}"/>
    <cellStyle name="Финансовый 36 2 2 2 2 2 6 3 2" xfId="32201" xr:uid="{959524BF-CD50-43EE-8044-DFFD982FFA3A}"/>
    <cellStyle name="Финансовый 36 2 2 2 2 2 6 4" xfId="18269" xr:uid="{00000000-0005-0000-0000-0000ED3B0000}"/>
    <cellStyle name="Финансовый 36 2 2 2 2 2 6 4 2" xfId="35282" xr:uid="{E2B15157-F81A-4606-8241-A7266C32EA8E}"/>
    <cellStyle name="Финансовый 36 2 2 2 2 2 6 5" xfId="25972" xr:uid="{238D9515-C78D-4009-B381-BBA9F7D44C26}"/>
    <cellStyle name="Финансовый 36 2 2 2 2 2 7" xfId="11925" xr:uid="{00000000-0005-0000-0000-0000EE3B0000}"/>
    <cellStyle name="Финансовый 36 2 2 2 2 2 7 2" xfId="29014" xr:uid="{CF72D564-2DE0-4829-939A-83045D87CAAD}"/>
    <cellStyle name="Финансовый 36 2 2 2 2 2 8" xfId="15157" xr:uid="{00000000-0005-0000-0000-0000EF3B0000}"/>
    <cellStyle name="Финансовый 36 2 2 2 2 2 8 2" xfId="32170" xr:uid="{461EDD47-4A74-4CEC-840F-9C5915D7657F}"/>
    <cellStyle name="Финансовый 36 2 2 2 2 2 9" xfId="18238" xr:uid="{00000000-0005-0000-0000-0000F03B0000}"/>
    <cellStyle name="Финансовый 36 2 2 2 2 2 9 2" xfId="35251" xr:uid="{95412E6D-1667-40E0-8ED9-58D65EC6EAE2}"/>
    <cellStyle name="Финансовый 36 2 2 2 2 3" xfId="8872" xr:uid="{00000000-0005-0000-0000-0000F13B0000}"/>
    <cellStyle name="Финансовый 36 2 2 2 2 3 2" xfId="8873" xr:uid="{00000000-0005-0000-0000-0000F23B0000}"/>
    <cellStyle name="Финансовый 36 2 2 2 2 3 2 2" xfId="8874" xr:uid="{00000000-0005-0000-0000-0000F33B0000}"/>
    <cellStyle name="Финансовый 36 2 2 2 2 3 2 2 2" xfId="8875" xr:uid="{00000000-0005-0000-0000-0000F43B0000}"/>
    <cellStyle name="Финансовый 36 2 2 2 2 3 2 2 2 2" xfId="8876" xr:uid="{00000000-0005-0000-0000-0000F53B0000}"/>
    <cellStyle name="Финансовый 36 2 2 2 2 3 2 2 2 2 2" xfId="11961" xr:uid="{00000000-0005-0000-0000-0000F63B0000}"/>
    <cellStyle name="Финансовый 36 2 2 2 2 3 2 2 2 2 2 2" xfId="29050" xr:uid="{F007BB4B-BEF5-43F9-942E-D63DDDA32E7C}"/>
    <cellStyle name="Финансовый 36 2 2 2 2 3 2 2 2 2 3" xfId="15193" xr:uid="{00000000-0005-0000-0000-0000F73B0000}"/>
    <cellStyle name="Финансовый 36 2 2 2 2 3 2 2 2 2 3 2" xfId="32206" xr:uid="{D3CE6FCB-A6E3-4A5E-811F-F7950CBBC573}"/>
    <cellStyle name="Финансовый 36 2 2 2 2 3 2 2 2 2 4" xfId="18274" xr:uid="{00000000-0005-0000-0000-0000F83B0000}"/>
    <cellStyle name="Финансовый 36 2 2 2 2 3 2 2 2 2 4 2" xfId="35287" xr:uid="{B92FB417-3BC8-415E-9047-265DF1EB997E}"/>
    <cellStyle name="Финансовый 36 2 2 2 2 3 2 2 2 2 5" xfId="25977" xr:uid="{4AA2E80A-40F4-4360-8DD6-1CC737295F67}"/>
    <cellStyle name="Финансовый 36 2 2 2 2 3 2 2 2 3" xfId="11960" xr:uid="{00000000-0005-0000-0000-0000F93B0000}"/>
    <cellStyle name="Финансовый 36 2 2 2 2 3 2 2 2 3 2" xfId="29049" xr:uid="{E23CB97F-89D1-462C-8FC0-DB3F2E72664C}"/>
    <cellStyle name="Финансовый 36 2 2 2 2 3 2 2 2 4" xfId="15192" xr:uid="{00000000-0005-0000-0000-0000FA3B0000}"/>
    <cellStyle name="Финансовый 36 2 2 2 2 3 2 2 2 4 2" xfId="32205" xr:uid="{2B36D3B3-4DA5-405C-B35B-DE298F1E8FC2}"/>
    <cellStyle name="Финансовый 36 2 2 2 2 3 2 2 2 5" xfId="18273" xr:uid="{00000000-0005-0000-0000-0000FB3B0000}"/>
    <cellStyle name="Финансовый 36 2 2 2 2 3 2 2 2 5 2" xfId="35286" xr:uid="{57B39E77-907D-4A05-8354-AFB21E7CED60}"/>
    <cellStyle name="Финансовый 36 2 2 2 2 3 2 2 2 6" xfId="25976" xr:uid="{93338273-6D50-4051-BAE4-F2219B6062A8}"/>
    <cellStyle name="Финансовый 36 2 2 2 2 3 2 2 3" xfId="8877" xr:uid="{00000000-0005-0000-0000-0000FC3B0000}"/>
    <cellStyle name="Финансовый 36 2 2 2 2 3 2 2 3 2" xfId="11962" xr:uid="{00000000-0005-0000-0000-0000FD3B0000}"/>
    <cellStyle name="Финансовый 36 2 2 2 2 3 2 2 3 2 2" xfId="29051" xr:uid="{332DA5C9-C71F-4765-9179-3040F3294F0D}"/>
    <cellStyle name="Финансовый 36 2 2 2 2 3 2 2 3 3" xfId="15194" xr:uid="{00000000-0005-0000-0000-0000FE3B0000}"/>
    <cellStyle name="Финансовый 36 2 2 2 2 3 2 2 3 3 2" xfId="32207" xr:uid="{B97A45A1-1BE6-4A51-A036-AC244AB8171F}"/>
    <cellStyle name="Финансовый 36 2 2 2 2 3 2 2 3 4" xfId="18275" xr:uid="{00000000-0005-0000-0000-0000FF3B0000}"/>
    <cellStyle name="Финансовый 36 2 2 2 2 3 2 2 3 4 2" xfId="35288" xr:uid="{AEEECD98-1154-41F9-B188-DF1CF7F798DA}"/>
    <cellStyle name="Финансовый 36 2 2 2 2 3 2 2 3 5" xfId="25978" xr:uid="{DE9898FD-3247-444C-86D2-8B2204E8C4BC}"/>
    <cellStyle name="Финансовый 36 2 2 2 2 3 2 2 4" xfId="11959" xr:uid="{00000000-0005-0000-0000-0000003C0000}"/>
    <cellStyle name="Финансовый 36 2 2 2 2 3 2 2 4 2" xfId="29048" xr:uid="{7DE5B56E-6AB7-4E9B-BD0E-34885380F25C}"/>
    <cellStyle name="Финансовый 36 2 2 2 2 3 2 2 5" xfId="15191" xr:uid="{00000000-0005-0000-0000-0000013C0000}"/>
    <cellStyle name="Финансовый 36 2 2 2 2 3 2 2 5 2" xfId="32204" xr:uid="{09A6DB79-8837-4AEF-AAE0-82D3FE6758C5}"/>
    <cellStyle name="Финансовый 36 2 2 2 2 3 2 2 6" xfId="18272" xr:uid="{00000000-0005-0000-0000-0000023C0000}"/>
    <cellStyle name="Финансовый 36 2 2 2 2 3 2 2 6 2" xfId="35285" xr:uid="{5273960E-1852-4409-8B8B-08246A816E92}"/>
    <cellStyle name="Финансовый 36 2 2 2 2 3 2 2 7" xfId="25975" xr:uid="{F9F03200-66B0-4DA4-B636-5A795EFB982B}"/>
    <cellStyle name="Финансовый 36 2 2 2 2 3 2 3" xfId="8878" xr:uid="{00000000-0005-0000-0000-0000033C0000}"/>
    <cellStyle name="Финансовый 36 2 2 2 2 3 2 3 2" xfId="8879" xr:uid="{00000000-0005-0000-0000-0000043C0000}"/>
    <cellStyle name="Финансовый 36 2 2 2 2 3 2 3 2 2" xfId="11964" xr:uid="{00000000-0005-0000-0000-0000053C0000}"/>
    <cellStyle name="Финансовый 36 2 2 2 2 3 2 3 2 2 2" xfId="29053" xr:uid="{59E7120D-DB85-4656-B135-690D8F0B3D90}"/>
    <cellStyle name="Финансовый 36 2 2 2 2 3 2 3 2 3" xfId="15196" xr:uid="{00000000-0005-0000-0000-0000063C0000}"/>
    <cellStyle name="Финансовый 36 2 2 2 2 3 2 3 2 3 2" xfId="32209" xr:uid="{407E5D97-FCFD-4FF2-BE10-56BC2F424E6A}"/>
    <cellStyle name="Финансовый 36 2 2 2 2 3 2 3 2 4" xfId="18277" xr:uid="{00000000-0005-0000-0000-0000073C0000}"/>
    <cellStyle name="Финансовый 36 2 2 2 2 3 2 3 2 4 2" xfId="35290" xr:uid="{4D5940F4-FE2F-448A-BB6F-57FE3EA4459C}"/>
    <cellStyle name="Финансовый 36 2 2 2 2 3 2 3 2 5" xfId="25980" xr:uid="{60A3E813-BA2A-4AAB-BAD9-D7CEA84C1D05}"/>
    <cellStyle name="Финансовый 36 2 2 2 2 3 2 3 3" xfId="11963" xr:uid="{00000000-0005-0000-0000-0000083C0000}"/>
    <cellStyle name="Финансовый 36 2 2 2 2 3 2 3 3 2" xfId="29052" xr:uid="{B44E0644-007D-4F03-AC7D-592EFF5FFFAD}"/>
    <cellStyle name="Финансовый 36 2 2 2 2 3 2 3 4" xfId="15195" xr:uid="{00000000-0005-0000-0000-0000093C0000}"/>
    <cellStyle name="Финансовый 36 2 2 2 2 3 2 3 4 2" xfId="32208" xr:uid="{60337DFC-DE72-4441-8C7D-D492D0E8EDA3}"/>
    <cellStyle name="Финансовый 36 2 2 2 2 3 2 3 5" xfId="18276" xr:uid="{00000000-0005-0000-0000-00000A3C0000}"/>
    <cellStyle name="Финансовый 36 2 2 2 2 3 2 3 5 2" xfId="35289" xr:uid="{511092B1-E7F8-43B9-8110-AEC2AED568D0}"/>
    <cellStyle name="Финансовый 36 2 2 2 2 3 2 3 6" xfId="25979" xr:uid="{5465F5E0-149C-4A0E-AED2-195D57CCA6B4}"/>
    <cellStyle name="Финансовый 36 2 2 2 2 3 2 4" xfId="8880" xr:uid="{00000000-0005-0000-0000-00000B3C0000}"/>
    <cellStyle name="Финансовый 36 2 2 2 2 3 2 4 2" xfId="11965" xr:uid="{00000000-0005-0000-0000-00000C3C0000}"/>
    <cellStyle name="Финансовый 36 2 2 2 2 3 2 4 2 2" xfId="29054" xr:uid="{4BF82942-6FB6-4D9E-86CD-E246D8170264}"/>
    <cellStyle name="Финансовый 36 2 2 2 2 3 2 4 3" xfId="15197" xr:uid="{00000000-0005-0000-0000-00000D3C0000}"/>
    <cellStyle name="Финансовый 36 2 2 2 2 3 2 4 3 2" xfId="32210" xr:uid="{11BC291E-E30E-406D-ABA5-7C6420509581}"/>
    <cellStyle name="Финансовый 36 2 2 2 2 3 2 4 4" xfId="18278" xr:uid="{00000000-0005-0000-0000-00000E3C0000}"/>
    <cellStyle name="Финансовый 36 2 2 2 2 3 2 4 4 2" xfId="35291" xr:uid="{094CD5DA-E344-43F0-8FB2-209DADDB5143}"/>
    <cellStyle name="Финансовый 36 2 2 2 2 3 2 4 5" xfId="25981" xr:uid="{8411B4A5-60F1-4FF1-BC63-5B8A0E6F5F15}"/>
    <cellStyle name="Финансовый 36 2 2 2 2 3 2 5" xfId="11958" xr:uid="{00000000-0005-0000-0000-00000F3C0000}"/>
    <cellStyle name="Финансовый 36 2 2 2 2 3 2 5 2" xfId="29047" xr:uid="{B88068C0-547A-4E7A-B4B2-C43E6F991E48}"/>
    <cellStyle name="Финансовый 36 2 2 2 2 3 2 6" xfId="15190" xr:uid="{00000000-0005-0000-0000-0000103C0000}"/>
    <cellStyle name="Финансовый 36 2 2 2 2 3 2 6 2" xfId="32203" xr:uid="{C7E0DCA5-A711-4BAE-9A4C-885372678289}"/>
    <cellStyle name="Финансовый 36 2 2 2 2 3 2 7" xfId="18271" xr:uid="{00000000-0005-0000-0000-0000113C0000}"/>
    <cellStyle name="Финансовый 36 2 2 2 2 3 2 7 2" xfId="35284" xr:uid="{7C43893A-BE13-4080-812F-0F6643AF8151}"/>
    <cellStyle name="Финансовый 36 2 2 2 2 3 2 8" xfId="25974" xr:uid="{0ECE7240-315C-414F-AB47-2A75B119E363}"/>
    <cellStyle name="Финансовый 36 2 2 2 2 3 3" xfId="8881" xr:uid="{00000000-0005-0000-0000-0000123C0000}"/>
    <cellStyle name="Финансовый 36 2 2 2 2 3 3 2" xfId="8882" xr:uid="{00000000-0005-0000-0000-0000133C0000}"/>
    <cellStyle name="Финансовый 36 2 2 2 2 3 3 2 2" xfId="8883" xr:uid="{00000000-0005-0000-0000-0000143C0000}"/>
    <cellStyle name="Финансовый 36 2 2 2 2 3 3 2 2 2" xfId="11968" xr:uid="{00000000-0005-0000-0000-0000153C0000}"/>
    <cellStyle name="Финансовый 36 2 2 2 2 3 3 2 2 2 2" xfId="29057" xr:uid="{DF9298C7-407D-4F1B-A631-046035CAF18E}"/>
    <cellStyle name="Финансовый 36 2 2 2 2 3 3 2 2 3" xfId="15200" xr:uid="{00000000-0005-0000-0000-0000163C0000}"/>
    <cellStyle name="Финансовый 36 2 2 2 2 3 3 2 2 3 2" xfId="32213" xr:uid="{CF7A5A9D-CE13-4E53-8341-0FCA8A8E7C98}"/>
    <cellStyle name="Финансовый 36 2 2 2 2 3 3 2 2 4" xfId="18281" xr:uid="{00000000-0005-0000-0000-0000173C0000}"/>
    <cellStyle name="Финансовый 36 2 2 2 2 3 3 2 2 4 2" xfId="35294" xr:uid="{51CA662B-1208-4F49-84D7-F4E2C7DEFAB7}"/>
    <cellStyle name="Финансовый 36 2 2 2 2 3 3 2 2 5" xfId="25984" xr:uid="{18CEDC7F-9C1B-48BC-BF67-22F66CB9238D}"/>
    <cellStyle name="Финансовый 36 2 2 2 2 3 3 2 3" xfId="11967" xr:uid="{00000000-0005-0000-0000-0000183C0000}"/>
    <cellStyle name="Финансовый 36 2 2 2 2 3 3 2 3 2" xfId="29056" xr:uid="{BFF9672E-6337-4835-8814-3F1819CE756B}"/>
    <cellStyle name="Финансовый 36 2 2 2 2 3 3 2 4" xfId="15199" xr:uid="{00000000-0005-0000-0000-0000193C0000}"/>
    <cellStyle name="Финансовый 36 2 2 2 2 3 3 2 4 2" xfId="32212" xr:uid="{0F3A052A-985C-4477-9451-0F30F8301A08}"/>
    <cellStyle name="Финансовый 36 2 2 2 2 3 3 2 5" xfId="18280" xr:uid="{00000000-0005-0000-0000-00001A3C0000}"/>
    <cellStyle name="Финансовый 36 2 2 2 2 3 3 2 5 2" xfId="35293" xr:uid="{37485875-6707-4F26-BD48-0227F6DDB1E4}"/>
    <cellStyle name="Финансовый 36 2 2 2 2 3 3 2 6" xfId="25983" xr:uid="{B24CF26D-645A-40C8-82E4-20D54877804B}"/>
    <cellStyle name="Финансовый 36 2 2 2 2 3 3 3" xfId="8884" xr:uid="{00000000-0005-0000-0000-00001B3C0000}"/>
    <cellStyle name="Финансовый 36 2 2 2 2 3 3 3 2" xfId="11969" xr:uid="{00000000-0005-0000-0000-00001C3C0000}"/>
    <cellStyle name="Финансовый 36 2 2 2 2 3 3 3 2 2" xfId="29058" xr:uid="{F34FAB41-2EBA-4853-A7F6-1496C5F0463E}"/>
    <cellStyle name="Финансовый 36 2 2 2 2 3 3 3 3" xfId="15201" xr:uid="{00000000-0005-0000-0000-00001D3C0000}"/>
    <cellStyle name="Финансовый 36 2 2 2 2 3 3 3 3 2" xfId="32214" xr:uid="{DBD7B860-4872-47E4-A79C-34F773A3D921}"/>
    <cellStyle name="Финансовый 36 2 2 2 2 3 3 3 4" xfId="18282" xr:uid="{00000000-0005-0000-0000-00001E3C0000}"/>
    <cellStyle name="Финансовый 36 2 2 2 2 3 3 3 4 2" xfId="35295" xr:uid="{F0C0C67D-F721-47B2-AAC7-EA25F347BAC1}"/>
    <cellStyle name="Финансовый 36 2 2 2 2 3 3 3 5" xfId="25985" xr:uid="{A22112F8-2D0D-4076-AA77-AB69D539B0ED}"/>
    <cellStyle name="Финансовый 36 2 2 2 2 3 3 4" xfId="11966" xr:uid="{00000000-0005-0000-0000-00001F3C0000}"/>
    <cellStyle name="Финансовый 36 2 2 2 2 3 3 4 2" xfId="29055" xr:uid="{5E937A49-6D16-4F74-BF3C-A50483612D28}"/>
    <cellStyle name="Финансовый 36 2 2 2 2 3 3 5" xfId="15198" xr:uid="{00000000-0005-0000-0000-0000203C0000}"/>
    <cellStyle name="Финансовый 36 2 2 2 2 3 3 5 2" xfId="32211" xr:uid="{689ECFF8-9F49-46EB-8440-E02D855D9F8B}"/>
    <cellStyle name="Финансовый 36 2 2 2 2 3 3 6" xfId="18279" xr:uid="{00000000-0005-0000-0000-0000213C0000}"/>
    <cellStyle name="Финансовый 36 2 2 2 2 3 3 6 2" xfId="35292" xr:uid="{51FB0E82-9D4A-40A3-AEED-E4F26C397A17}"/>
    <cellStyle name="Финансовый 36 2 2 2 2 3 3 7" xfId="25982" xr:uid="{E71C7B42-A9CB-4452-AD0D-FBB61FA0F777}"/>
    <cellStyle name="Финансовый 36 2 2 2 2 3 4" xfId="8885" xr:uid="{00000000-0005-0000-0000-0000223C0000}"/>
    <cellStyle name="Финансовый 36 2 2 2 2 3 4 2" xfId="8886" xr:uid="{00000000-0005-0000-0000-0000233C0000}"/>
    <cellStyle name="Финансовый 36 2 2 2 2 3 4 2 2" xfId="11971" xr:uid="{00000000-0005-0000-0000-0000243C0000}"/>
    <cellStyle name="Финансовый 36 2 2 2 2 3 4 2 2 2" xfId="29060" xr:uid="{79BE9192-A813-4C70-9A4A-FA4BB976C2F4}"/>
    <cellStyle name="Финансовый 36 2 2 2 2 3 4 2 3" xfId="15203" xr:uid="{00000000-0005-0000-0000-0000253C0000}"/>
    <cellStyle name="Финансовый 36 2 2 2 2 3 4 2 3 2" xfId="32216" xr:uid="{47E5AE01-321D-45A0-87CA-FB0A5043D4D6}"/>
    <cellStyle name="Финансовый 36 2 2 2 2 3 4 2 4" xfId="18284" xr:uid="{00000000-0005-0000-0000-0000263C0000}"/>
    <cellStyle name="Финансовый 36 2 2 2 2 3 4 2 4 2" xfId="35297" xr:uid="{8CB70C3E-84FD-455F-B9DB-E544E0B9E834}"/>
    <cellStyle name="Финансовый 36 2 2 2 2 3 4 2 5" xfId="25987" xr:uid="{7718E353-1DDE-4D16-86E1-9E791949D895}"/>
    <cellStyle name="Финансовый 36 2 2 2 2 3 4 3" xfId="11970" xr:uid="{00000000-0005-0000-0000-0000273C0000}"/>
    <cellStyle name="Финансовый 36 2 2 2 2 3 4 3 2" xfId="29059" xr:uid="{BDBDDDE2-7856-4452-A8CC-62E1BDBAF1C8}"/>
    <cellStyle name="Финансовый 36 2 2 2 2 3 4 4" xfId="15202" xr:uid="{00000000-0005-0000-0000-0000283C0000}"/>
    <cellStyle name="Финансовый 36 2 2 2 2 3 4 4 2" xfId="32215" xr:uid="{90143EC0-F88A-4989-9A2F-F84DC6185AC5}"/>
    <cellStyle name="Финансовый 36 2 2 2 2 3 4 5" xfId="18283" xr:uid="{00000000-0005-0000-0000-0000293C0000}"/>
    <cellStyle name="Финансовый 36 2 2 2 2 3 4 5 2" xfId="35296" xr:uid="{797B1064-7925-44F0-A94E-906D07AC3B6D}"/>
    <cellStyle name="Финансовый 36 2 2 2 2 3 4 6" xfId="25986" xr:uid="{C20C6D0A-A50A-4138-8186-4BDD03DA9DDC}"/>
    <cellStyle name="Финансовый 36 2 2 2 2 3 5" xfId="8887" xr:uid="{00000000-0005-0000-0000-00002A3C0000}"/>
    <cellStyle name="Финансовый 36 2 2 2 2 3 5 2" xfId="11972" xr:uid="{00000000-0005-0000-0000-00002B3C0000}"/>
    <cellStyle name="Финансовый 36 2 2 2 2 3 5 2 2" xfId="29061" xr:uid="{9FFBD237-C6A1-4FC2-A2F6-3CA3B936B4AD}"/>
    <cellStyle name="Финансовый 36 2 2 2 2 3 5 3" xfId="15204" xr:uid="{00000000-0005-0000-0000-00002C3C0000}"/>
    <cellStyle name="Финансовый 36 2 2 2 2 3 5 3 2" xfId="32217" xr:uid="{C6A81E94-863E-442C-B4FB-C1AD19FC03A2}"/>
    <cellStyle name="Финансовый 36 2 2 2 2 3 5 4" xfId="18285" xr:uid="{00000000-0005-0000-0000-00002D3C0000}"/>
    <cellStyle name="Финансовый 36 2 2 2 2 3 5 4 2" xfId="35298" xr:uid="{431D64DF-4AE9-4B70-9959-825A818577CB}"/>
    <cellStyle name="Финансовый 36 2 2 2 2 3 5 5" xfId="25988" xr:uid="{B5655E71-149C-4538-B215-18C4515687F8}"/>
    <cellStyle name="Финансовый 36 2 2 2 2 3 6" xfId="11957" xr:uid="{00000000-0005-0000-0000-00002E3C0000}"/>
    <cellStyle name="Финансовый 36 2 2 2 2 3 6 2" xfId="29046" xr:uid="{5879080A-0A2C-452E-8E6D-187F8022EAB0}"/>
    <cellStyle name="Финансовый 36 2 2 2 2 3 7" xfId="15189" xr:uid="{00000000-0005-0000-0000-00002F3C0000}"/>
    <cellStyle name="Финансовый 36 2 2 2 2 3 7 2" xfId="32202" xr:uid="{07C2C205-BE04-457B-BBF9-B5B878F553B2}"/>
    <cellStyle name="Финансовый 36 2 2 2 2 3 8" xfId="18270" xr:uid="{00000000-0005-0000-0000-0000303C0000}"/>
    <cellStyle name="Финансовый 36 2 2 2 2 3 8 2" xfId="35283" xr:uid="{8174F780-F003-488A-AD9D-21BAC8AA9F0C}"/>
    <cellStyle name="Финансовый 36 2 2 2 2 3 9" xfId="25973" xr:uid="{C32D3317-5310-4343-90CC-D797F5D1DD85}"/>
    <cellStyle name="Финансовый 36 2 2 2 2 4" xfId="8888" xr:uid="{00000000-0005-0000-0000-0000313C0000}"/>
    <cellStyle name="Финансовый 36 2 2 2 2 4 2" xfId="8889" xr:uid="{00000000-0005-0000-0000-0000323C0000}"/>
    <cellStyle name="Финансовый 36 2 2 2 2 4 2 2" xfId="8890" xr:uid="{00000000-0005-0000-0000-0000333C0000}"/>
    <cellStyle name="Финансовый 36 2 2 2 2 4 2 2 2" xfId="8891" xr:uid="{00000000-0005-0000-0000-0000343C0000}"/>
    <cellStyle name="Финансовый 36 2 2 2 2 4 2 2 2 2" xfId="11976" xr:uid="{00000000-0005-0000-0000-0000353C0000}"/>
    <cellStyle name="Финансовый 36 2 2 2 2 4 2 2 2 2 2" xfId="29065" xr:uid="{10310020-0FB2-4193-B4E6-1DCFD554A5A1}"/>
    <cellStyle name="Финансовый 36 2 2 2 2 4 2 2 2 3" xfId="15208" xr:uid="{00000000-0005-0000-0000-0000363C0000}"/>
    <cellStyle name="Финансовый 36 2 2 2 2 4 2 2 2 3 2" xfId="32221" xr:uid="{0092C2D1-875A-444D-9B57-54713C7F124B}"/>
    <cellStyle name="Финансовый 36 2 2 2 2 4 2 2 2 4" xfId="18289" xr:uid="{00000000-0005-0000-0000-0000373C0000}"/>
    <cellStyle name="Финансовый 36 2 2 2 2 4 2 2 2 4 2" xfId="35302" xr:uid="{4EE48E2A-4B90-4D7B-A513-036902FB71AA}"/>
    <cellStyle name="Финансовый 36 2 2 2 2 4 2 2 2 5" xfId="25992" xr:uid="{F365B8BF-9D64-44C0-9F3D-34EEA4FA9A02}"/>
    <cellStyle name="Финансовый 36 2 2 2 2 4 2 2 3" xfId="11975" xr:uid="{00000000-0005-0000-0000-0000383C0000}"/>
    <cellStyle name="Финансовый 36 2 2 2 2 4 2 2 3 2" xfId="29064" xr:uid="{4FC4D314-84D3-48CB-8E42-E11C74CEABAE}"/>
    <cellStyle name="Финансовый 36 2 2 2 2 4 2 2 4" xfId="15207" xr:uid="{00000000-0005-0000-0000-0000393C0000}"/>
    <cellStyle name="Финансовый 36 2 2 2 2 4 2 2 4 2" xfId="32220" xr:uid="{873F3472-FD21-48E0-9A08-D8EEE044E2C7}"/>
    <cellStyle name="Финансовый 36 2 2 2 2 4 2 2 5" xfId="18288" xr:uid="{00000000-0005-0000-0000-00003A3C0000}"/>
    <cellStyle name="Финансовый 36 2 2 2 2 4 2 2 5 2" xfId="35301" xr:uid="{B35DA64D-9722-4CEF-9C08-82CE8D96EBB4}"/>
    <cellStyle name="Финансовый 36 2 2 2 2 4 2 2 6" xfId="25991" xr:uid="{EFAE7F22-D44B-4F65-BFB8-B715390CB4BD}"/>
    <cellStyle name="Финансовый 36 2 2 2 2 4 2 3" xfId="8892" xr:uid="{00000000-0005-0000-0000-00003B3C0000}"/>
    <cellStyle name="Финансовый 36 2 2 2 2 4 2 3 2" xfId="11977" xr:uid="{00000000-0005-0000-0000-00003C3C0000}"/>
    <cellStyle name="Финансовый 36 2 2 2 2 4 2 3 2 2" xfId="29066" xr:uid="{921167A4-5616-43BD-8A0B-5619A883C6E7}"/>
    <cellStyle name="Финансовый 36 2 2 2 2 4 2 3 3" xfId="15209" xr:uid="{00000000-0005-0000-0000-00003D3C0000}"/>
    <cellStyle name="Финансовый 36 2 2 2 2 4 2 3 3 2" xfId="32222" xr:uid="{13A7C418-94E0-4756-AFC7-79D7188A7D45}"/>
    <cellStyle name="Финансовый 36 2 2 2 2 4 2 3 4" xfId="18290" xr:uid="{00000000-0005-0000-0000-00003E3C0000}"/>
    <cellStyle name="Финансовый 36 2 2 2 2 4 2 3 4 2" xfId="35303" xr:uid="{C783DBE0-883F-4449-9B17-82920603F0DE}"/>
    <cellStyle name="Финансовый 36 2 2 2 2 4 2 3 5" xfId="25993" xr:uid="{B704AAAE-4197-424A-9D86-4780F6F11134}"/>
    <cellStyle name="Финансовый 36 2 2 2 2 4 2 4" xfId="11974" xr:uid="{00000000-0005-0000-0000-00003F3C0000}"/>
    <cellStyle name="Финансовый 36 2 2 2 2 4 2 4 2" xfId="29063" xr:uid="{C90DB8B2-3F00-44CA-BF6D-18E13A0F6BD6}"/>
    <cellStyle name="Финансовый 36 2 2 2 2 4 2 5" xfId="15206" xr:uid="{00000000-0005-0000-0000-0000403C0000}"/>
    <cellStyle name="Финансовый 36 2 2 2 2 4 2 5 2" xfId="32219" xr:uid="{00B41C6A-A32D-4597-98B1-463AD20D74A3}"/>
    <cellStyle name="Финансовый 36 2 2 2 2 4 2 6" xfId="18287" xr:uid="{00000000-0005-0000-0000-0000413C0000}"/>
    <cellStyle name="Финансовый 36 2 2 2 2 4 2 6 2" xfId="35300" xr:uid="{6AB509A8-BBAF-41FD-9C3A-9136D977F8A6}"/>
    <cellStyle name="Финансовый 36 2 2 2 2 4 2 7" xfId="25990" xr:uid="{3C29C3FF-31CE-4E98-94A1-756413D43594}"/>
    <cellStyle name="Финансовый 36 2 2 2 2 4 3" xfId="8893" xr:uid="{00000000-0005-0000-0000-0000423C0000}"/>
    <cellStyle name="Финансовый 36 2 2 2 2 4 3 2" xfId="8894" xr:uid="{00000000-0005-0000-0000-0000433C0000}"/>
    <cellStyle name="Финансовый 36 2 2 2 2 4 3 2 2" xfId="11979" xr:uid="{00000000-0005-0000-0000-0000443C0000}"/>
    <cellStyle name="Финансовый 36 2 2 2 2 4 3 2 2 2" xfId="29068" xr:uid="{75459532-75DC-46F2-98FB-1A8C98A19D0C}"/>
    <cellStyle name="Финансовый 36 2 2 2 2 4 3 2 3" xfId="15211" xr:uid="{00000000-0005-0000-0000-0000453C0000}"/>
    <cellStyle name="Финансовый 36 2 2 2 2 4 3 2 3 2" xfId="32224" xr:uid="{E739738C-EA86-4A84-BAB4-EB6E6F26EA97}"/>
    <cellStyle name="Финансовый 36 2 2 2 2 4 3 2 4" xfId="18292" xr:uid="{00000000-0005-0000-0000-0000463C0000}"/>
    <cellStyle name="Финансовый 36 2 2 2 2 4 3 2 4 2" xfId="35305" xr:uid="{1572BA5F-2684-4A1E-88BE-2EC61DE99AC5}"/>
    <cellStyle name="Финансовый 36 2 2 2 2 4 3 2 5" xfId="25995" xr:uid="{F58F4ED9-BCB2-492D-A841-415B587E7DD4}"/>
    <cellStyle name="Финансовый 36 2 2 2 2 4 3 3" xfId="11978" xr:uid="{00000000-0005-0000-0000-0000473C0000}"/>
    <cellStyle name="Финансовый 36 2 2 2 2 4 3 3 2" xfId="29067" xr:uid="{485A535E-C6BA-4418-B095-34AAE6544B0B}"/>
    <cellStyle name="Финансовый 36 2 2 2 2 4 3 4" xfId="15210" xr:uid="{00000000-0005-0000-0000-0000483C0000}"/>
    <cellStyle name="Финансовый 36 2 2 2 2 4 3 4 2" xfId="32223" xr:uid="{582CC8F1-27E8-4E93-B31C-42F16490E1C7}"/>
    <cellStyle name="Финансовый 36 2 2 2 2 4 3 5" xfId="18291" xr:uid="{00000000-0005-0000-0000-0000493C0000}"/>
    <cellStyle name="Финансовый 36 2 2 2 2 4 3 5 2" xfId="35304" xr:uid="{4C57984E-997F-449A-B881-FBF43A0D444B}"/>
    <cellStyle name="Финансовый 36 2 2 2 2 4 3 6" xfId="25994" xr:uid="{D92E48BD-DE11-4522-980F-956F04260258}"/>
    <cellStyle name="Финансовый 36 2 2 2 2 4 4" xfId="8895" xr:uid="{00000000-0005-0000-0000-00004A3C0000}"/>
    <cellStyle name="Финансовый 36 2 2 2 2 4 4 2" xfId="11980" xr:uid="{00000000-0005-0000-0000-00004B3C0000}"/>
    <cellStyle name="Финансовый 36 2 2 2 2 4 4 2 2" xfId="29069" xr:uid="{9E7712F1-9FA9-4954-ADB4-77418581C6B7}"/>
    <cellStyle name="Финансовый 36 2 2 2 2 4 4 3" xfId="15212" xr:uid="{00000000-0005-0000-0000-00004C3C0000}"/>
    <cellStyle name="Финансовый 36 2 2 2 2 4 4 3 2" xfId="32225" xr:uid="{4532033E-0BC1-4FCD-BF9E-9ADB06DE27BF}"/>
    <cellStyle name="Финансовый 36 2 2 2 2 4 4 4" xfId="18293" xr:uid="{00000000-0005-0000-0000-00004D3C0000}"/>
    <cellStyle name="Финансовый 36 2 2 2 2 4 4 4 2" xfId="35306" xr:uid="{FFB86947-FF5D-452B-BFA4-3F5525FDBE25}"/>
    <cellStyle name="Финансовый 36 2 2 2 2 4 4 5" xfId="25996" xr:uid="{198FF9A6-B0EE-4643-9965-1156ABA7DAE9}"/>
    <cellStyle name="Финансовый 36 2 2 2 2 4 5" xfId="11973" xr:uid="{00000000-0005-0000-0000-00004E3C0000}"/>
    <cellStyle name="Финансовый 36 2 2 2 2 4 5 2" xfId="29062" xr:uid="{296AB9FC-E1B1-4BF9-A56F-88AFC2CC0067}"/>
    <cellStyle name="Финансовый 36 2 2 2 2 4 6" xfId="15205" xr:uid="{00000000-0005-0000-0000-00004F3C0000}"/>
    <cellStyle name="Финансовый 36 2 2 2 2 4 6 2" xfId="32218" xr:uid="{E2227FDB-6871-47BF-B172-EC8B1A31DBA4}"/>
    <cellStyle name="Финансовый 36 2 2 2 2 4 7" xfId="18286" xr:uid="{00000000-0005-0000-0000-0000503C0000}"/>
    <cellStyle name="Финансовый 36 2 2 2 2 4 7 2" xfId="35299" xr:uid="{0C44B2FC-678B-4750-BFFB-13EFCB26A02A}"/>
    <cellStyle name="Финансовый 36 2 2 2 2 4 8" xfId="25989" xr:uid="{A834D04F-00A0-4D05-9888-CF2D234FB472}"/>
    <cellStyle name="Финансовый 36 2 2 2 2 5" xfId="8896" xr:uid="{00000000-0005-0000-0000-0000513C0000}"/>
    <cellStyle name="Финансовый 36 2 2 2 2 5 2" xfId="8897" xr:uid="{00000000-0005-0000-0000-0000523C0000}"/>
    <cellStyle name="Финансовый 36 2 2 2 2 5 2 2" xfId="8898" xr:uid="{00000000-0005-0000-0000-0000533C0000}"/>
    <cellStyle name="Финансовый 36 2 2 2 2 5 2 2 2" xfId="11983" xr:uid="{00000000-0005-0000-0000-0000543C0000}"/>
    <cellStyle name="Финансовый 36 2 2 2 2 5 2 2 2 2" xfId="29072" xr:uid="{BB827F6D-CCAD-48CF-9FC1-A2220EBECBF3}"/>
    <cellStyle name="Финансовый 36 2 2 2 2 5 2 2 3" xfId="15215" xr:uid="{00000000-0005-0000-0000-0000553C0000}"/>
    <cellStyle name="Финансовый 36 2 2 2 2 5 2 2 3 2" xfId="32228" xr:uid="{4854E8AF-3BC9-4CC1-9EDF-64F179AF19B5}"/>
    <cellStyle name="Финансовый 36 2 2 2 2 5 2 2 4" xfId="18296" xr:uid="{00000000-0005-0000-0000-0000563C0000}"/>
    <cellStyle name="Финансовый 36 2 2 2 2 5 2 2 4 2" xfId="35309" xr:uid="{5E4BF1D9-3DAD-49DF-AC75-7323B4C15E96}"/>
    <cellStyle name="Финансовый 36 2 2 2 2 5 2 2 5" xfId="25999" xr:uid="{5D4C479A-A23D-4FFA-BC98-F9D1E8A0511D}"/>
    <cellStyle name="Финансовый 36 2 2 2 2 5 2 3" xfId="11982" xr:uid="{00000000-0005-0000-0000-0000573C0000}"/>
    <cellStyle name="Финансовый 36 2 2 2 2 5 2 3 2" xfId="29071" xr:uid="{64421644-12D1-459A-835E-E2BC28D5437B}"/>
    <cellStyle name="Финансовый 36 2 2 2 2 5 2 4" xfId="15214" xr:uid="{00000000-0005-0000-0000-0000583C0000}"/>
    <cellStyle name="Финансовый 36 2 2 2 2 5 2 4 2" xfId="32227" xr:uid="{F6925ED4-1DF9-461E-BF63-932C18E5E9D5}"/>
    <cellStyle name="Финансовый 36 2 2 2 2 5 2 5" xfId="18295" xr:uid="{00000000-0005-0000-0000-0000593C0000}"/>
    <cellStyle name="Финансовый 36 2 2 2 2 5 2 5 2" xfId="35308" xr:uid="{9C80FADB-B664-4F4D-B061-9FEDD7DADA32}"/>
    <cellStyle name="Финансовый 36 2 2 2 2 5 2 6" xfId="25998" xr:uid="{D392E5BF-B4B9-48B1-8361-B2F2271D4BC7}"/>
    <cellStyle name="Финансовый 36 2 2 2 2 5 3" xfId="8899" xr:uid="{00000000-0005-0000-0000-00005A3C0000}"/>
    <cellStyle name="Финансовый 36 2 2 2 2 5 3 2" xfId="11984" xr:uid="{00000000-0005-0000-0000-00005B3C0000}"/>
    <cellStyle name="Финансовый 36 2 2 2 2 5 3 2 2" xfId="29073" xr:uid="{66454D2B-E3FC-4FAF-880D-968AAD46C0D9}"/>
    <cellStyle name="Финансовый 36 2 2 2 2 5 3 3" xfId="15216" xr:uid="{00000000-0005-0000-0000-00005C3C0000}"/>
    <cellStyle name="Финансовый 36 2 2 2 2 5 3 3 2" xfId="32229" xr:uid="{0106DEEC-AB69-4321-8FF8-18DE88DDAB1B}"/>
    <cellStyle name="Финансовый 36 2 2 2 2 5 3 4" xfId="18297" xr:uid="{00000000-0005-0000-0000-00005D3C0000}"/>
    <cellStyle name="Финансовый 36 2 2 2 2 5 3 4 2" xfId="35310" xr:uid="{C83ECC3B-7E64-40E0-8F45-A67A3404894B}"/>
    <cellStyle name="Финансовый 36 2 2 2 2 5 3 5" xfId="26000" xr:uid="{DD9EF9A0-124B-4B6B-9F66-458C18868CCF}"/>
    <cellStyle name="Финансовый 36 2 2 2 2 5 4" xfId="11981" xr:uid="{00000000-0005-0000-0000-00005E3C0000}"/>
    <cellStyle name="Финансовый 36 2 2 2 2 5 4 2" xfId="29070" xr:uid="{F056E348-B063-4B08-B2ED-44A4D3D8F4EF}"/>
    <cellStyle name="Финансовый 36 2 2 2 2 5 5" xfId="15213" xr:uid="{00000000-0005-0000-0000-00005F3C0000}"/>
    <cellStyle name="Финансовый 36 2 2 2 2 5 5 2" xfId="32226" xr:uid="{2F754701-352C-44D2-9FC2-6DC82C993691}"/>
    <cellStyle name="Финансовый 36 2 2 2 2 5 6" xfId="18294" xr:uid="{00000000-0005-0000-0000-0000603C0000}"/>
    <cellStyle name="Финансовый 36 2 2 2 2 5 6 2" xfId="35307" xr:uid="{2AF8F074-EB59-46BE-AEBC-2CDDF59C4EC1}"/>
    <cellStyle name="Финансовый 36 2 2 2 2 5 7" xfId="25997" xr:uid="{F41D1A23-2EB7-4A9F-9B42-1AB7E236C806}"/>
    <cellStyle name="Финансовый 36 2 2 2 2 6" xfId="8900" xr:uid="{00000000-0005-0000-0000-0000613C0000}"/>
    <cellStyle name="Финансовый 36 2 2 2 2 6 2" xfId="8901" xr:uid="{00000000-0005-0000-0000-0000623C0000}"/>
    <cellStyle name="Финансовый 36 2 2 2 2 6 2 2" xfId="11986" xr:uid="{00000000-0005-0000-0000-0000633C0000}"/>
    <cellStyle name="Финансовый 36 2 2 2 2 6 2 2 2" xfId="29075" xr:uid="{7F6335D8-9E9F-4A08-BFC5-7F09C3D248DB}"/>
    <cellStyle name="Финансовый 36 2 2 2 2 6 2 3" xfId="15218" xr:uid="{00000000-0005-0000-0000-0000643C0000}"/>
    <cellStyle name="Финансовый 36 2 2 2 2 6 2 3 2" xfId="32231" xr:uid="{A2B35B6A-975E-4EEB-94D0-30599B3DAF71}"/>
    <cellStyle name="Финансовый 36 2 2 2 2 6 2 4" xfId="18299" xr:uid="{00000000-0005-0000-0000-0000653C0000}"/>
    <cellStyle name="Финансовый 36 2 2 2 2 6 2 4 2" xfId="35312" xr:uid="{792D2FD6-0CF2-4882-A102-AC908CA930E1}"/>
    <cellStyle name="Финансовый 36 2 2 2 2 6 2 5" xfId="26002" xr:uid="{170DC10D-AD3A-4000-8910-4D30D888AA78}"/>
    <cellStyle name="Финансовый 36 2 2 2 2 6 3" xfId="11985" xr:uid="{00000000-0005-0000-0000-0000663C0000}"/>
    <cellStyle name="Финансовый 36 2 2 2 2 6 3 2" xfId="29074" xr:uid="{40EE8299-7B5A-4232-925C-1A9EB68313F0}"/>
    <cellStyle name="Финансовый 36 2 2 2 2 6 4" xfId="15217" xr:uid="{00000000-0005-0000-0000-0000673C0000}"/>
    <cellStyle name="Финансовый 36 2 2 2 2 6 4 2" xfId="32230" xr:uid="{51FE7289-EC48-4196-B9A5-620031728EBD}"/>
    <cellStyle name="Финансовый 36 2 2 2 2 6 5" xfId="18298" xr:uid="{00000000-0005-0000-0000-0000683C0000}"/>
    <cellStyle name="Финансовый 36 2 2 2 2 6 5 2" xfId="35311" xr:uid="{7FD90B62-69FE-48FC-AC86-E9C2CF20023E}"/>
    <cellStyle name="Финансовый 36 2 2 2 2 6 6" xfId="26001" xr:uid="{6F735699-7EF2-436B-BF12-F79C9CBA3DE9}"/>
    <cellStyle name="Финансовый 36 2 2 2 2 7" xfId="8902" xr:uid="{00000000-0005-0000-0000-0000693C0000}"/>
    <cellStyle name="Финансовый 36 2 2 2 2 7 2" xfId="11987" xr:uid="{00000000-0005-0000-0000-00006A3C0000}"/>
    <cellStyle name="Финансовый 36 2 2 2 2 7 2 2" xfId="29076" xr:uid="{1F90091F-3243-409D-AD04-A14EE032DE39}"/>
    <cellStyle name="Финансовый 36 2 2 2 2 7 3" xfId="15219" xr:uid="{00000000-0005-0000-0000-00006B3C0000}"/>
    <cellStyle name="Финансовый 36 2 2 2 2 7 3 2" xfId="32232" xr:uid="{3DD00CAB-B97E-4844-A6C6-552FB3C88105}"/>
    <cellStyle name="Финансовый 36 2 2 2 2 7 4" xfId="18300" xr:uid="{00000000-0005-0000-0000-00006C3C0000}"/>
    <cellStyle name="Финансовый 36 2 2 2 2 7 4 2" xfId="35313" xr:uid="{C80A0FFB-69B1-400B-AD20-BA15AA1E636A}"/>
    <cellStyle name="Финансовый 36 2 2 2 2 7 5" xfId="26003" xr:uid="{01E6DFB0-3233-467E-AC2C-3D23E4FB8C0E}"/>
    <cellStyle name="Финансовый 36 2 2 2 2 8" xfId="11924" xr:uid="{00000000-0005-0000-0000-00006D3C0000}"/>
    <cellStyle name="Финансовый 36 2 2 2 2 8 2" xfId="29013" xr:uid="{97FD61CB-1803-43DB-B340-777806B91E9A}"/>
    <cellStyle name="Финансовый 36 2 2 2 2 9" xfId="15156" xr:uid="{00000000-0005-0000-0000-00006E3C0000}"/>
    <cellStyle name="Финансовый 36 2 2 2 2 9 2" xfId="32169" xr:uid="{CEC90441-D7C3-4CE9-8EF6-A32657F9A9DE}"/>
    <cellStyle name="Финансовый 36 2 2 2 3" xfId="8903" xr:uid="{00000000-0005-0000-0000-00006F3C0000}"/>
    <cellStyle name="Финансовый 36 2 2 2 3 10" xfId="26004" xr:uid="{498F9FEE-F53E-41E2-A0BD-3FE9D268A0B6}"/>
    <cellStyle name="Финансовый 36 2 2 2 3 2" xfId="8904" xr:uid="{00000000-0005-0000-0000-0000703C0000}"/>
    <cellStyle name="Финансовый 36 2 2 2 3 2 2" xfId="8905" xr:uid="{00000000-0005-0000-0000-0000713C0000}"/>
    <cellStyle name="Финансовый 36 2 2 2 3 2 2 2" xfId="8906" xr:uid="{00000000-0005-0000-0000-0000723C0000}"/>
    <cellStyle name="Финансовый 36 2 2 2 3 2 2 2 2" xfId="8907" xr:uid="{00000000-0005-0000-0000-0000733C0000}"/>
    <cellStyle name="Финансовый 36 2 2 2 3 2 2 2 2 2" xfId="8908" xr:uid="{00000000-0005-0000-0000-0000743C0000}"/>
    <cellStyle name="Финансовый 36 2 2 2 3 2 2 2 2 2 2" xfId="11993" xr:uid="{00000000-0005-0000-0000-0000753C0000}"/>
    <cellStyle name="Финансовый 36 2 2 2 3 2 2 2 2 2 2 2" xfId="29082" xr:uid="{5B17C487-A237-4DFE-A9F0-FE6716AC1589}"/>
    <cellStyle name="Финансовый 36 2 2 2 3 2 2 2 2 2 3" xfId="15225" xr:uid="{00000000-0005-0000-0000-0000763C0000}"/>
    <cellStyle name="Финансовый 36 2 2 2 3 2 2 2 2 2 3 2" xfId="32238" xr:uid="{DC4E1973-827F-4211-A463-75FBEBBF7C0F}"/>
    <cellStyle name="Финансовый 36 2 2 2 3 2 2 2 2 2 4" xfId="18306" xr:uid="{00000000-0005-0000-0000-0000773C0000}"/>
    <cellStyle name="Финансовый 36 2 2 2 3 2 2 2 2 2 4 2" xfId="35319" xr:uid="{56D0C2D5-B049-40EC-851F-C2ED1A66D0E6}"/>
    <cellStyle name="Финансовый 36 2 2 2 3 2 2 2 2 2 5" xfId="26009" xr:uid="{0D5DB5F9-6FE8-4AFF-AC3B-B6B069D477CD}"/>
    <cellStyle name="Финансовый 36 2 2 2 3 2 2 2 2 3" xfId="11992" xr:uid="{00000000-0005-0000-0000-0000783C0000}"/>
    <cellStyle name="Финансовый 36 2 2 2 3 2 2 2 2 3 2" xfId="29081" xr:uid="{4ED2A381-21F0-4D75-9052-CC0AB306CC9F}"/>
    <cellStyle name="Финансовый 36 2 2 2 3 2 2 2 2 4" xfId="15224" xr:uid="{00000000-0005-0000-0000-0000793C0000}"/>
    <cellStyle name="Финансовый 36 2 2 2 3 2 2 2 2 4 2" xfId="32237" xr:uid="{3355B7CD-F2B6-48FD-B2ED-3001310ED266}"/>
    <cellStyle name="Финансовый 36 2 2 2 3 2 2 2 2 5" xfId="18305" xr:uid="{00000000-0005-0000-0000-00007A3C0000}"/>
    <cellStyle name="Финансовый 36 2 2 2 3 2 2 2 2 5 2" xfId="35318" xr:uid="{32ED2288-75F2-4751-B6CC-7C3257B6216F}"/>
    <cellStyle name="Финансовый 36 2 2 2 3 2 2 2 2 6" xfId="26008" xr:uid="{9A136FE4-BB9F-4F0B-92FB-27FAB0983504}"/>
    <cellStyle name="Финансовый 36 2 2 2 3 2 2 2 3" xfId="8909" xr:uid="{00000000-0005-0000-0000-00007B3C0000}"/>
    <cellStyle name="Финансовый 36 2 2 2 3 2 2 2 3 2" xfId="11994" xr:uid="{00000000-0005-0000-0000-00007C3C0000}"/>
    <cellStyle name="Финансовый 36 2 2 2 3 2 2 2 3 2 2" xfId="29083" xr:uid="{CC7B35ED-373C-49D5-BA3B-A53851402CAF}"/>
    <cellStyle name="Финансовый 36 2 2 2 3 2 2 2 3 3" xfId="15226" xr:uid="{00000000-0005-0000-0000-00007D3C0000}"/>
    <cellStyle name="Финансовый 36 2 2 2 3 2 2 2 3 3 2" xfId="32239" xr:uid="{43B18065-B485-448E-AEF3-2BA7CC2291AC}"/>
    <cellStyle name="Финансовый 36 2 2 2 3 2 2 2 3 4" xfId="18307" xr:uid="{00000000-0005-0000-0000-00007E3C0000}"/>
    <cellStyle name="Финансовый 36 2 2 2 3 2 2 2 3 4 2" xfId="35320" xr:uid="{B967C74D-AED0-49BC-8763-C514A261251A}"/>
    <cellStyle name="Финансовый 36 2 2 2 3 2 2 2 3 5" xfId="26010" xr:uid="{CC82FB8D-71F0-47FB-9434-2A2E82DD5710}"/>
    <cellStyle name="Финансовый 36 2 2 2 3 2 2 2 4" xfId="11991" xr:uid="{00000000-0005-0000-0000-00007F3C0000}"/>
    <cellStyle name="Финансовый 36 2 2 2 3 2 2 2 4 2" xfId="29080" xr:uid="{F2A7ABC9-E17D-4D4A-B232-09E355E54E46}"/>
    <cellStyle name="Финансовый 36 2 2 2 3 2 2 2 5" xfId="15223" xr:uid="{00000000-0005-0000-0000-0000803C0000}"/>
    <cellStyle name="Финансовый 36 2 2 2 3 2 2 2 5 2" xfId="32236" xr:uid="{39E9C006-2D16-4308-A322-F68799B373B2}"/>
    <cellStyle name="Финансовый 36 2 2 2 3 2 2 2 6" xfId="18304" xr:uid="{00000000-0005-0000-0000-0000813C0000}"/>
    <cellStyle name="Финансовый 36 2 2 2 3 2 2 2 6 2" xfId="35317" xr:uid="{D4788181-FCC0-4ADD-A090-5541D89EA36A}"/>
    <cellStyle name="Финансовый 36 2 2 2 3 2 2 2 7" xfId="26007" xr:uid="{E924DA13-9C8D-4069-885A-6BA37CA9B947}"/>
    <cellStyle name="Финансовый 36 2 2 2 3 2 2 3" xfId="8910" xr:uid="{00000000-0005-0000-0000-0000823C0000}"/>
    <cellStyle name="Финансовый 36 2 2 2 3 2 2 3 2" xfId="8911" xr:uid="{00000000-0005-0000-0000-0000833C0000}"/>
    <cellStyle name="Финансовый 36 2 2 2 3 2 2 3 2 2" xfId="11996" xr:uid="{00000000-0005-0000-0000-0000843C0000}"/>
    <cellStyle name="Финансовый 36 2 2 2 3 2 2 3 2 2 2" xfId="29085" xr:uid="{CF28C8FA-98E1-4F0C-82F8-4C9E8FE81846}"/>
    <cellStyle name="Финансовый 36 2 2 2 3 2 2 3 2 3" xfId="15228" xr:uid="{00000000-0005-0000-0000-0000853C0000}"/>
    <cellStyle name="Финансовый 36 2 2 2 3 2 2 3 2 3 2" xfId="32241" xr:uid="{8B02C740-E8A5-490F-AD36-79F84C6C1F5B}"/>
    <cellStyle name="Финансовый 36 2 2 2 3 2 2 3 2 4" xfId="18309" xr:uid="{00000000-0005-0000-0000-0000863C0000}"/>
    <cellStyle name="Финансовый 36 2 2 2 3 2 2 3 2 4 2" xfId="35322" xr:uid="{725F7753-4517-4A6F-8BA4-30F88FD3A2CD}"/>
    <cellStyle name="Финансовый 36 2 2 2 3 2 2 3 2 5" xfId="26012" xr:uid="{BF5FB780-DC29-45DC-B34C-387B6D105BDE}"/>
    <cellStyle name="Финансовый 36 2 2 2 3 2 2 3 3" xfId="11995" xr:uid="{00000000-0005-0000-0000-0000873C0000}"/>
    <cellStyle name="Финансовый 36 2 2 2 3 2 2 3 3 2" xfId="29084" xr:uid="{7A81A69B-6C57-4FD6-A199-1BD7F0F928EF}"/>
    <cellStyle name="Финансовый 36 2 2 2 3 2 2 3 4" xfId="15227" xr:uid="{00000000-0005-0000-0000-0000883C0000}"/>
    <cellStyle name="Финансовый 36 2 2 2 3 2 2 3 4 2" xfId="32240" xr:uid="{A90717B5-2AF5-4715-BB40-D5D3932A4D63}"/>
    <cellStyle name="Финансовый 36 2 2 2 3 2 2 3 5" xfId="18308" xr:uid="{00000000-0005-0000-0000-0000893C0000}"/>
    <cellStyle name="Финансовый 36 2 2 2 3 2 2 3 5 2" xfId="35321" xr:uid="{830B5722-91DC-4288-881B-92D03F22831A}"/>
    <cellStyle name="Финансовый 36 2 2 2 3 2 2 3 6" xfId="26011" xr:uid="{A4A0FAD7-B1E8-4EA3-A40C-5A3E8893ECAD}"/>
    <cellStyle name="Финансовый 36 2 2 2 3 2 2 4" xfId="8912" xr:uid="{00000000-0005-0000-0000-00008A3C0000}"/>
    <cellStyle name="Финансовый 36 2 2 2 3 2 2 4 2" xfId="11997" xr:uid="{00000000-0005-0000-0000-00008B3C0000}"/>
    <cellStyle name="Финансовый 36 2 2 2 3 2 2 4 2 2" xfId="29086" xr:uid="{2B0B93E2-DA4A-4BE0-98D7-A8B85A9488EB}"/>
    <cellStyle name="Финансовый 36 2 2 2 3 2 2 4 3" xfId="15229" xr:uid="{00000000-0005-0000-0000-00008C3C0000}"/>
    <cellStyle name="Финансовый 36 2 2 2 3 2 2 4 3 2" xfId="32242" xr:uid="{97D49CF5-8383-495E-AA0D-9483DD71F0AA}"/>
    <cellStyle name="Финансовый 36 2 2 2 3 2 2 4 4" xfId="18310" xr:uid="{00000000-0005-0000-0000-00008D3C0000}"/>
    <cellStyle name="Финансовый 36 2 2 2 3 2 2 4 4 2" xfId="35323" xr:uid="{0F271A6C-6331-4622-871D-12F71F969F0D}"/>
    <cellStyle name="Финансовый 36 2 2 2 3 2 2 4 5" xfId="26013" xr:uid="{FA948856-CD5A-482E-9113-B1A738FEBCB2}"/>
    <cellStyle name="Финансовый 36 2 2 2 3 2 2 5" xfId="11990" xr:uid="{00000000-0005-0000-0000-00008E3C0000}"/>
    <cellStyle name="Финансовый 36 2 2 2 3 2 2 5 2" xfId="29079" xr:uid="{375A9F3D-18A0-4D29-8722-797C2BBE7967}"/>
    <cellStyle name="Финансовый 36 2 2 2 3 2 2 6" xfId="15222" xr:uid="{00000000-0005-0000-0000-00008F3C0000}"/>
    <cellStyle name="Финансовый 36 2 2 2 3 2 2 6 2" xfId="32235" xr:uid="{C0BEB7BD-72BF-4482-9981-B63EC8166D96}"/>
    <cellStyle name="Финансовый 36 2 2 2 3 2 2 7" xfId="18303" xr:uid="{00000000-0005-0000-0000-0000903C0000}"/>
    <cellStyle name="Финансовый 36 2 2 2 3 2 2 7 2" xfId="35316" xr:uid="{FA4D7E83-C47F-4915-A1AC-D6F77F520B1A}"/>
    <cellStyle name="Финансовый 36 2 2 2 3 2 2 8" xfId="26006" xr:uid="{604FFF15-3C01-48D6-8575-569D087CB3E1}"/>
    <cellStyle name="Финансовый 36 2 2 2 3 2 3" xfId="8913" xr:uid="{00000000-0005-0000-0000-0000913C0000}"/>
    <cellStyle name="Финансовый 36 2 2 2 3 2 3 2" xfId="8914" xr:uid="{00000000-0005-0000-0000-0000923C0000}"/>
    <cellStyle name="Финансовый 36 2 2 2 3 2 3 2 2" xfId="8915" xr:uid="{00000000-0005-0000-0000-0000933C0000}"/>
    <cellStyle name="Финансовый 36 2 2 2 3 2 3 2 2 2" xfId="12000" xr:uid="{00000000-0005-0000-0000-0000943C0000}"/>
    <cellStyle name="Финансовый 36 2 2 2 3 2 3 2 2 2 2" xfId="29089" xr:uid="{ECD13294-99F3-432C-A49E-2A40F319AB25}"/>
    <cellStyle name="Финансовый 36 2 2 2 3 2 3 2 2 3" xfId="15232" xr:uid="{00000000-0005-0000-0000-0000953C0000}"/>
    <cellStyle name="Финансовый 36 2 2 2 3 2 3 2 2 3 2" xfId="32245" xr:uid="{606226DD-1288-4369-B34B-5AC4DB547785}"/>
    <cellStyle name="Финансовый 36 2 2 2 3 2 3 2 2 4" xfId="18313" xr:uid="{00000000-0005-0000-0000-0000963C0000}"/>
    <cellStyle name="Финансовый 36 2 2 2 3 2 3 2 2 4 2" xfId="35326" xr:uid="{318171C3-B066-42C8-B719-2545E6AD7F51}"/>
    <cellStyle name="Финансовый 36 2 2 2 3 2 3 2 2 5" xfId="26016" xr:uid="{F083E7B1-6614-40CF-9B09-918CC878E58A}"/>
    <cellStyle name="Финансовый 36 2 2 2 3 2 3 2 3" xfId="11999" xr:uid="{00000000-0005-0000-0000-0000973C0000}"/>
    <cellStyle name="Финансовый 36 2 2 2 3 2 3 2 3 2" xfId="29088" xr:uid="{549FFB36-B80D-4A33-B8C4-F9C72E358F0F}"/>
    <cellStyle name="Финансовый 36 2 2 2 3 2 3 2 4" xfId="15231" xr:uid="{00000000-0005-0000-0000-0000983C0000}"/>
    <cellStyle name="Финансовый 36 2 2 2 3 2 3 2 4 2" xfId="32244" xr:uid="{8A1979CF-FD99-4DEB-8EC1-7B7B891F6378}"/>
    <cellStyle name="Финансовый 36 2 2 2 3 2 3 2 5" xfId="18312" xr:uid="{00000000-0005-0000-0000-0000993C0000}"/>
    <cellStyle name="Финансовый 36 2 2 2 3 2 3 2 5 2" xfId="35325" xr:uid="{DA370667-E497-481E-94DA-1102C05621EE}"/>
    <cellStyle name="Финансовый 36 2 2 2 3 2 3 2 6" xfId="26015" xr:uid="{CB42F55C-87AB-4537-8A13-001AF577A73B}"/>
    <cellStyle name="Финансовый 36 2 2 2 3 2 3 3" xfId="8916" xr:uid="{00000000-0005-0000-0000-00009A3C0000}"/>
    <cellStyle name="Финансовый 36 2 2 2 3 2 3 3 2" xfId="12001" xr:uid="{00000000-0005-0000-0000-00009B3C0000}"/>
    <cellStyle name="Финансовый 36 2 2 2 3 2 3 3 2 2" xfId="29090" xr:uid="{D6E9EB5B-1D5A-4457-A95E-4E6E9BD9FF69}"/>
    <cellStyle name="Финансовый 36 2 2 2 3 2 3 3 3" xfId="15233" xr:uid="{00000000-0005-0000-0000-00009C3C0000}"/>
    <cellStyle name="Финансовый 36 2 2 2 3 2 3 3 3 2" xfId="32246" xr:uid="{A26C5E58-AEDF-4C4B-A29D-419BEFB2B6D4}"/>
    <cellStyle name="Финансовый 36 2 2 2 3 2 3 3 4" xfId="18314" xr:uid="{00000000-0005-0000-0000-00009D3C0000}"/>
    <cellStyle name="Финансовый 36 2 2 2 3 2 3 3 4 2" xfId="35327" xr:uid="{384D8372-3DB8-4857-B0D6-77B2A726823E}"/>
    <cellStyle name="Финансовый 36 2 2 2 3 2 3 3 5" xfId="26017" xr:uid="{39322CA1-5BCF-48A5-8DB6-CCB4A6602894}"/>
    <cellStyle name="Финансовый 36 2 2 2 3 2 3 4" xfId="11998" xr:uid="{00000000-0005-0000-0000-00009E3C0000}"/>
    <cellStyle name="Финансовый 36 2 2 2 3 2 3 4 2" xfId="29087" xr:uid="{D9647D0E-CAA2-4DDE-90BE-FCFE5014D353}"/>
    <cellStyle name="Финансовый 36 2 2 2 3 2 3 5" xfId="15230" xr:uid="{00000000-0005-0000-0000-00009F3C0000}"/>
    <cellStyle name="Финансовый 36 2 2 2 3 2 3 5 2" xfId="32243" xr:uid="{5D21235D-FD3B-4CB4-93AC-07BE8F9E66A6}"/>
    <cellStyle name="Финансовый 36 2 2 2 3 2 3 6" xfId="18311" xr:uid="{00000000-0005-0000-0000-0000A03C0000}"/>
    <cellStyle name="Финансовый 36 2 2 2 3 2 3 6 2" xfId="35324" xr:uid="{A3614EC2-B5CD-4ACC-9D99-2364BCA75E22}"/>
    <cellStyle name="Финансовый 36 2 2 2 3 2 3 7" xfId="26014" xr:uid="{98C4C92E-1006-4759-8F41-DCE004E08E72}"/>
    <cellStyle name="Финансовый 36 2 2 2 3 2 4" xfId="8917" xr:uid="{00000000-0005-0000-0000-0000A13C0000}"/>
    <cellStyle name="Финансовый 36 2 2 2 3 2 4 2" xfId="8918" xr:uid="{00000000-0005-0000-0000-0000A23C0000}"/>
    <cellStyle name="Финансовый 36 2 2 2 3 2 4 2 2" xfId="12003" xr:uid="{00000000-0005-0000-0000-0000A33C0000}"/>
    <cellStyle name="Финансовый 36 2 2 2 3 2 4 2 2 2" xfId="29092" xr:uid="{1BF1F637-4D25-4946-BD69-C7418547196D}"/>
    <cellStyle name="Финансовый 36 2 2 2 3 2 4 2 3" xfId="15235" xr:uid="{00000000-0005-0000-0000-0000A43C0000}"/>
    <cellStyle name="Финансовый 36 2 2 2 3 2 4 2 3 2" xfId="32248" xr:uid="{1086EAC4-CE0E-43BC-B974-7374204AE12D}"/>
    <cellStyle name="Финансовый 36 2 2 2 3 2 4 2 4" xfId="18316" xr:uid="{00000000-0005-0000-0000-0000A53C0000}"/>
    <cellStyle name="Финансовый 36 2 2 2 3 2 4 2 4 2" xfId="35329" xr:uid="{64A4A60D-B36B-4F51-8C6A-D5D13CBCD089}"/>
    <cellStyle name="Финансовый 36 2 2 2 3 2 4 2 5" xfId="26019" xr:uid="{EF7A7396-59FB-4915-9930-35C5F8086368}"/>
    <cellStyle name="Финансовый 36 2 2 2 3 2 4 3" xfId="12002" xr:uid="{00000000-0005-0000-0000-0000A63C0000}"/>
    <cellStyle name="Финансовый 36 2 2 2 3 2 4 3 2" xfId="29091" xr:uid="{D864175D-443F-4807-BA39-3BB9AF38B270}"/>
    <cellStyle name="Финансовый 36 2 2 2 3 2 4 4" xfId="15234" xr:uid="{00000000-0005-0000-0000-0000A73C0000}"/>
    <cellStyle name="Финансовый 36 2 2 2 3 2 4 4 2" xfId="32247" xr:uid="{FC2E7654-583E-4E95-9CC6-4C5C8E89B7C7}"/>
    <cellStyle name="Финансовый 36 2 2 2 3 2 4 5" xfId="18315" xr:uid="{00000000-0005-0000-0000-0000A83C0000}"/>
    <cellStyle name="Финансовый 36 2 2 2 3 2 4 5 2" xfId="35328" xr:uid="{B2554953-94F2-48EB-9C34-7F80696CBE76}"/>
    <cellStyle name="Финансовый 36 2 2 2 3 2 4 6" xfId="26018" xr:uid="{7AEBF27E-8639-492B-8B0F-13F1507D5508}"/>
    <cellStyle name="Финансовый 36 2 2 2 3 2 5" xfId="8919" xr:uid="{00000000-0005-0000-0000-0000A93C0000}"/>
    <cellStyle name="Финансовый 36 2 2 2 3 2 5 2" xfId="12004" xr:uid="{00000000-0005-0000-0000-0000AA3C0000}"/>
    <cellStyle name="Финансовый 36 2 2 2 3 2 5 2 2" xfId="29093" xr:uid="{C5DA29D6-7CA7-4A97-B5B8-F6BFFB4E5F0C}"/>
    <cellStyle name="Финансовый 36 2 2 2 3 2 5 3" xfId="15236" xr:uid="{00000000-0005-0000-0000-0000AB3C0000}"/>
    <cellStyle name="Финансовый 36 2 2 2 3 2 5 3 2" xfId="32249" xr:uid="{5917AA4C-49A2-4DB5-A8E0-650D023EA53A}"/>
    <cellStyle name="Финансовый 36 2 2 2 3 2 5 4" xfId="18317" xr:uid="{00000000-0005-0000-0000-0000AC3C0000}"/>
    <cellStyle name="Финансовый 36 2 2 2 3 2 5 4 2" xfId="35330" xr:uid="{0EFFC7A4-2AF5-4830-ACC6-28A3E9BE9848}"/>
    <cellStyle name="Финансовый 36 2 2 2 3 2 5 5" xfId="26020" xr:uid="{B2ECE79C-44A3-4EE1-920F-6DEAD5DB8A80}"/>
    <cellStyle name="Финансовый 36 2 2 2 3 2 6" xfId="11989" xr:uid="{00000000-0005-0000-0000-0000AD3C0000}"/>
    <cellStyle name="Финансовый 36 2 2 2 3 2 6 2" xfId="29078" xr:uid="{8D78522C-C92B-4EF2-A62A-1E804790104A}"/>
    <cellStyle name="Финансовый 36 2 2 2 3 2 7" xfId="15221" xr:uid="{00000000-0005-0000-0000-0000AE3C0000}"/>
    <cellStyle name="Финансовый 36 2 2 2 3 2 7 2" xfId="32234" xr:uid="{6CE243F6-3CF2-4F0B-A144-07A4B5E899B3}"/>
    <cellStyle name="Финансовый 36 2 2 2 3 2 8" xfId="18302" xr:uid="{00000000-0005-0000-0000-0000AF3C0000}"/>
    <cellStyle name="Финансовый 36 2 2 2 3 2 8 2" xfId="35315" xr:uid="{07C2B12A-9604-4A56-A804-F4C6109ED97C}"/>
    <cellStyle name="Финансовый 36 2 2 2 3 2 9" xfId="26005" xr:uid="{1105E988-1447-4DC1-B255-45C601E83FF6}"/>
    <cellStyle name="Финансовый 36 2 2 2 3 3" xfId="8920" xr:uid="{00000000-0005-0000-0000-0000B03C0000}"/>
    <cellStyle name="Финансовый 36 2 2 2 3 3 2" xfId="8921" xr:uid="{00000000-0005-0000-0000-0000B13C0000}"/>
    <cellStyle name="Финансовый 36 2 2 2 3 3 2 2" xfId="8922" xr:uid="{00000000-0005-0000-0000-0000B23C0000}"/>
    <cellStyle name="Финансовый 36 2 2 2 3 3 2 2 2" xfId="8923" xr:uid="{00000000-0005-0000-0000-0000B33C0000}"/>
    <cellStyle name="Финансовый 36 2 2 2 3 3 2 2 2 2" xfId="12008" xr:uid="{00000000-0005-0000-0000-0000B43C0000}"/>
    <cellStyle name="Финансовый 36 2 2 2 3 3 2 2 2 2 2" xfId="29097" xr:uid="{81E9F0FE-E575-4112-8896-CEDCC566DF25}"/>
    <cellStyle name="Финансовый 36 2 2 2 3 3 2 2 2 3" xfId="15240" xr:uid="{00000000-0005-0000-0000-0000B53C0000}"/>
    <cellStyle name="Финансовый 36 2 2 2 3 3 2 2 2 3 2" xfId="32253" xr:uid="{BE332CF0-9A4A-429E-9282-EC04BB0A771B}"/>
    <cellStyle name="Финансовый 36 2 2 2 3 3 2 2 2 4" xfId="18321" xr:uid="{00000000-0005-0000-0000-0000B63C0000}"/>
    <cellStyle name="Финансовый 36 2 2 2 3 3 2 2 2 4 2" xfId="35334" xr:uid="{41650050-2370-4EC6-B2CF-38038A6DF981}"/>
    <cellStyle name="Финансовый 36 2 2 2 3 3 2 2 2 5" xfId="26024" xr:uid="{11A665D6-6BA0-4F5B-9F7C-305F30F9B69E}"/>
    <cellStyle name="Финансовый 36 2 2 2 3 3 2 2 3" xfId="12007" xr:uid="{00000000-0005-0000-0000-0000B73C0000}"/>
    <cellStyle name="Финансовый 36 2 2 2 3 3 2 2 3 2" xfId="29096" xr:uid="{EB6D7716-8A07-4C36-AAD9-BBBF866A18C9}"/>
    <cellStyle name="Финансовый 36 2 2 2 3 3 2 2 4" xfId="15239" xr:uid="{00000000-0005-0000-0000-0000B83C0000}"/>
    <cellStyle name="Финансовый 36 2 2 2 3 3 2 2 4 2" xfId="32252" xr:uid="{7D37BEEC-83C6-4883-9524-357B6681A4C0}"/>
    <cellStyle name="Финансовый 36 2 2 2 3 3 2 2 5" xfId="18320" xr:uid="{00000000-0005-0000-0000-0000B93C0000}"/>
    <cellStyle name="Финансовый 36 2 2 2 3 3 2 2 5 2" xfId="35333" xr:uid="{2FD791EE-C075-4AE4-90BA-2949D7B24BA5}"/>
    <cellStyle name="Финансовый 36 2 2 2 3 3 2 2 6" xfId="26023" xr:uid="{489E4704-D2F1-4AD5-994A-98F200FDD238}"/>
    <cellStyle name="Финансовый 36 2 2 2 3 3 2 3" xfId="8924" xr:uid="{00000000-0005-0000-0000-0000BA3C0000}"/>
    <cellStyle name="Финансовый 36 2 2 2 3 3 2 3 2" xfId="12009" xr:uid="{00000000-0005-0000-0000-0000BB3C0000}"/>
    <cellStyle name="Финансовый 36 2 2 2 3 3 2 3 2 2" xfId="29098" xr:uid="{ED1F8065-B3D0-4C18-B77B-F54C6802C1E5}"/>
    <cellStyle name="Финансовый 36 2 2 2 3 3 2 3 3" xfId="15241" xr:uid="{00000000-0005-0000-0000-0000BC3C0000}"/>
    <cellStyle name="Финансовый 36 2 2 2 3 3 2 3 3 2" xfId="32254" xr:uid="{9533A5B4-968A-4FED-9000-12714CFA7BA9}"/>
    <cellStyle name="Финансовый 36 2 2 2 3 3 2 3 4" xfId="18322" xr:uid="{00000000-0005-0000-0000-0000BD3C0000}"/>
    <cellStyle name="Финансовый 36 2 2 2 3 3 2 3 4 2" xfId="35335" xr:uid="{C17863B5-0FDD-4EFE-A047-DABE185B1A7C}"/>
    <cellStyle name="Финансовый 36 2 2 2 3 3 2 3 5" xfId="26025" xr:uid="{8DB25C2B-5680-4C04-AF82-C9B01880B768}"/>
    <cellStyle name="Финансовый 36 2 2 2 3 3 2 4" xfId="12006" xr:uid="{00000000-0005-0000-0000-0000BE3C0000}"/>
    <cellStyle name="Финансовый 36 2 2 2 3 3 2 4 2" xfId="29095" xr:uid="{ED84C9A3-D31E-4133-90CF-7B31005164D8}"/>
    <cellStyle name="Финансовый 36 2 2 2 3 3 2 5" xfId="15238" xr:uid="{00000000-0005-0000-0000-0000BF3C0000}"/>
    <cellStyle name="Финансовый 36 2 2 2 3 3 2 5 2" xfId="32251" xr:uid="{FFDF1A76-F407-4422-A4CF-B9F20ABCCD70}"/>
    <cellStyle name="Финансовый 36 2 2 2 3 3 2 6" xfId="18319" xr:uid="{00000000-0005-0000-0000-0000C03C0000}"/>
    <cellStyle name="Финансовый 36 2 2 2 3 3 2 6 2" xfId="35332" xr:uid="{F39AECB5-FAA1-44FE-9465-A300EE7473C6}"/>
    <cellStyle name="Финансовый 36 2 2 2 3 3 2 7" xfId="26022" xr:uid="{E997A8AE-443A-431C-B196-8E876E86FFA3}"/>
    <cellStyle name="Финансовый 36 2 2 2 3 3 3" xfId="8925" xr:uid="{00000000-0005-0000-0000-0000C13C0000}"/>
    <cellStyle name="Финансовый 36 2 2 2 3 3 3 2" xfId="8926" xr:uid="{00000000-0005-0000-0000-0000C23C0000}"/>
    <cellStyle name="Финансовый 36 2 2 2 3 3 3 2 2" xfId="12011" xr:uid="{00000000-0005-0000-0000-0000C33C0000}"/>
    <cellStyle name="Финансовый 36 2 2 2 3 3 3 2 2 2" xfId="29100" xr:uid="{6491958D-46F5-417B-8F4E-9010ADA3F3C0}"/>
    <cellStyle name="Финансовый 36 2 2 2 3 3 3 2 3" xfId="15243" xr:uid="{00000000-0005-0000-0000-0000C43C0000}"/>
    <cellStyle name="Финансовый 36 2 2 2 3 3 3 2 3 2" xfId="32256" xr:uid="{8366F1EF-6437-4204-8AF5-B6C47CA0D93D}"/>
    <cellStyle name="Финансовый 36 2 2 2 3 3 3 2 4" xfId="18324" xr:uid="{00000000-0005-0000-0000-0000C53C0000}"/>
    <cellStyle name="Финансовый 36 2 2 2 3 3 3 2 4 2" xfId="35337" xr:uid="{DBB9B21A-77E9-4EEB-8DC9-79E4E137B50C}"/>
    <cellStyle name="Финансовый 36 2 2 2 3 3 3 2 5" xfId="26027" xr:uid="{9247B408-53CE-4783-9460-A65170D9F1E4}"/>
    <cellStyle name="Финансовый 36 2 2 2 3 3 3 3" xfId="12010" xr:uid="{00000000-0005-0000-0000-0000C63C0000}"/>
    <cellStyle name="Финансовый 36 2 2 2 3 3 3 3 2" xfId="29099" xr:uid="{2BD943BB-40FF-4671-BEE1-FA54C0848E28}"/>
    <cellStyle name="Финансовый 36 2 2 2 3 3 3 4" xfId="15242" xr:uid="{00000000-0005-0000-0000-0000C73C0000}"/>
    <cellStyle name="Финансовый 36 2 2 2 3 3 3 4 2" xfId="32255" xr:uid="{1FA932E0-818D-4A0B-9403-99590A3B4EE7}"/>
    <cellStyle name="Финансовый 36 2 2 2 3 3 3 5" xfId="18323" xr:uid="{00000000-0005-0000-0000-0000C83C0000}"/>
    <cellStyle name="Финансовый 36 2 2 2 3 3 3 5 2" xfId="35336" xr:uid="{4DFC21AE-B463-4184-A5C9-1DC85CB5C378}"/>
    <cellStyle name="Финансовый 36 2 2 2 3 3 3 6" xfId="26026" xr:uid="{BC4EA983-7A76-4C55-820A-B92E1EA256B7}"/>
    <cellStyle name="Финансовый 36 2 2 2 3 3 4" xfId="8927" xr:uid="{00000000-0005-0000-0000-0000C93C0000}"/>
    <cellStyle name="Финансовый 36 2 2 2 3 3 4 2" xfId="12012" xr:uid="{00000000-0005-0000-0000-0000CA3C0000}"/>
    <cellStyle name="Финансовый 36 2 2 2 3 3 4 2 2" xfId="29101" xr:uid="{B6729645-A0BB-4841-9E46-6C1E068CD839}"/>
    <cellStyle name="Финансовый 36 2 2 2 3 3 4 3" xfId="15244" xr:uid="{00000000-0005-0000-0000-0000CB3C0000}"/>
    <cellStyle name="Финансовый 36 2 2 2 3 3 4 3 2" xfId="32257" xr:uid="{3877D419-E87C-4E2E-A72A-8B25E5503C54}"/>
    <cellStyle name="Финансовый 36 2 2 2 3 3 4 4" xfId="18325" xr:uid="{00000000-0005-0000-0000-0000CC3C0000}"/>
    <cellStyle name="Финансовый 36 2 2 2 3 3 4 4 2" xfId="35338" xr:uid="{5B97052E-1329-482C-AB00-A6F0D64C03E2}"/>
    <cellStyle name="Финансовый 36 2 2 2 3 3 4 5" xfId="26028" xr:uid="{48572DA9-8136-4DAE-B730-815D5D5FB69D}"/>
    <cellStyle name="Финансовый 36 2 2 2 3 3 5" xfId="12005" xr:uid="{00000000-0005-0000-0000-0000CD3C0000}"/>
    <cellStyle name="Финансовый 36 2 2 2 3 3 5 2" xfId="29094" xr:uid="{A00E21B4-6C76-4915-9CBD-1CA7D19522CD}"/>
    <cellStyle name="Финансовый 36 2 2 2 3 3 6" xfId="15237" xr:uid="{00000000-0005-0000-0000-0000CE3C0000}"/>
    <cellStyle name="Финансовый 36 2 2 2 3 3 6 2" xfId="32250" xr:uid="{58F64750-EA2E-480C-9FBF-B542FE548B87}"/>
    <cellStyle name="Финансовый 36 2 2 2 3 3 7" xfId="18318" xr:uid="{00000000-0005-0000-0000-0000CF3C0000}"/>
    <cellStyle name="Финансовый 36 2 2 2 3 3 7 2" xfId="35331" xr:uid="{42ED70A1-C377-4081-9D55-61676AD48A35}"/>
    <cellStyle name="Финансовый 36 2 2 2 3 3 8" xfId="26021" xr:uid="{C2B678D5-2183-4EBD-B46B-CBFA0C2FE53F}"/>
    <cellStyle name="Финансовый 36 2 2 2 3 4" xfId="8928" xr:uid="{00000000-0005-0000-0000-0000D03C0000}"/>
    <cellStyle name="Финансовый 36 2 2 2 3 4 2" xfId="8929" xr:uid="{00000000-0005-0000-0000-0000D13C0000}"/>
    <cellStyle name="Финансовый 36 2 2 2 3 4 2 2" xfId="8930" xr:uid="{00000000-0005-0000-0000-0000D23C0000}"/>
    <cellStyle name="Финансовый 36 2 2 2 3 4 2 2 2" xfId="12015" xr:uid="{00000000-0005-0000-0000-0000D33C0000}"/>
    <cellStyle name="Финансовый 36 2 2 2 3 4 2 2 2 2" xfId="29104" xr:uid="{72CF90A4-F94B-4837-82B4-065EB033FF89}"/>
    <cellStyle name="Финансовый 36 2 2 2 3 4 2 2 3" xfId="15247" xr:uid="{00000000-0005-0000-0000-0000D43C0000}"/>
    <cellStyle name="Финансовый 36 2 2 2 3 4 2 2 3 2" xfId="32260" xr:uid="{B15DEEE9-64E6-402B-89C9-C644A2F6A25C}"/>
    <cellStyle name="Финансовый 36 2 2 2 3 4 2 2 4" xfId="18328" xr:uid="{00000000-0005-0000-0000-0000D53C0000}"/>
    <cellStyle name="Финансовый 36 2 2 2 3 4 2 2 4 2" xfId="35341" xr:uid="{E6DC1A03-59B4-4FA1-93CB-39691B0CFD06}"/>
    <cellStyle name="Финансовый 36 2 2 2 3 4 2 2 5" xfId="26031" xr:uid="{907012E3-73D0-44C6-8196-9018ADE8255F}"/>
    <cellStyle name="Финансовый 36 2 2 2 3 4 2 3" xfId="12014" xr:uid="{00000000-0005-0000-0000-0000D63C0000}"/>
    <cellStyle name="Финансовый 36 2 2 2 3 4 2 3 2" xfId="29103" xr:uid="{B27EAAC3-7880-47DD-A094-D51337319DB6}"/>
    <cellStyle name="Финансовый 36 2 2 2 3 4 2 4" xfId="15246" xr:uid="{00000000-0005-0000-0000-0000D73C0000}"/>
    <cellStyle name="Финансовый 36 2 2 2 3 4 2 4 2" xfId="32259" xr:uid="{21EB8CA2-4BFE-431C-97C7-AB27CC6DB96E}"/>
    <cellStyle name="Финансовый 36 2 2 2 3 4 2 5" xfId="18327" xr:uid="{00000000-0005-0000-0000-0000D83C0000}"/>
    <cellStyle name="Финансовый 36 2 2 2 3 4 2 5 2" xfId="35340" xr:uid="{88BE50B0-5D83-4079-B91E-7AFCA4D78105}"/>
    <cellStyle name="Финансовый 36 2 2 2 3 4 2 6" xfId="26030" xr:uid="{1CCA2DC9-3C66-4C3B-BDDF-212756C9359C}"/>
    <cellStyle name="Финансовый 36 2 2 2 3 4 3" xfId="8931" xr:uid="{00000000-0005-0000-0000-0000D93C0000}"/>
    <cellStyle name="Финансовый 36 2 2 2 3 4 3 2" xfId="12016" xr:uid="{00000000-0005-0000-0000-0000DA3C0000}"/>
    <cellStyle name="Финансовый 36 2 2 2 3 4 3 2 2" xfId="29105" xr:uid="{8335D51C-D2D0-48A5-8CE5-3A922E16874A}"/>
    <cellStyle name="Финансовый 36 2 2 2 3 4 3 3" xfId="15248" xr:uid="{00000000-0005-0000-0000-0000DB3C0000}"/>
    <cellStyle name="Финансовый 36 2 2 2 3 4 3 3 2" xfId="32261" xr:uid="{1227E6D1-3A50-47FE-8FA6-03B1A4565458}"/>
    <cellStyle name="Финансовый 36 2 2 2 3 4 3 4" xfId="18329" xr:uid="{00000000-0005-0000-0000-0000DC3C0000}"/>
    <cellStyle name="Финансовый 36 2 2 2 3 4 3 4 2" xfId="35342" xr:uid="{6E812B73-3379-4D11-9FD7-8E47AD9E8776}"/>
    <cellStyle name="Финансовый 36 2 2 2 3 4 3 5" xfId="26032" xr:uid="{32EA2ECD-7A43-42ED-99BA-CB41BCF87824}"/>
    <cellStyle name="Финансовый 36 2 2 2 3 4 4" xfId="12013" xr:uid="{00000000-0005-0000-0000-0000DD3C0000}"/>
    <cellStyle name="Финансовый 36 2 2 2 3 4 4 2" xfId="29102" xr:uid="{EF5A8748-F895-4A3F-978D-2CA41B1C72DE}"/>
    <cellStyle name="Финансовый 36 2 2 2 3 4 5" xfId="15245" xr:uid="{00000000-0005-0000-0000-0000DE3C0000}"/>
    <cellStyle name="Финансовый 36 2 2 2 3 4 5 2" xfId="32258" xr:uid="{4E2B6D86-5984-487C-844C-BFF4430AD9E9}"/>
    <cellStyle name="Финансовый 36 2 2 2 3 4 6" xfId="18326" xr:uid="{00000000-0005-0000-0000-0000DF3C0000}"/>
    <cellStyle name="Финансовый 36 2 2 2 3 4 6 2" xfId="35339" xr:uid="{7732676A-0FD3-4B06-BCC9-0C907AB9E706}"/>
    <cellStyle name="Финансовый 36 2 2 2 3 4 7" xfId="26029" xr:uid="{4B50E0A7-DD0B-4042-A8B7-72928A5698BE}"/>
    <cellStyle name="Финансовый 36 2 2 2 3 5" xfId="8932" xr:uid="{00000000-0005-0000-0000-0000E03C0000}"/>
    <cellStyle name="Финансовый 36 2 2 2 3 5 2" xfId="8933" xr:uid="{00000000-0005-0000-0000-0000E13C0000}"/>
    <cellStyle name="Финансовый 36 2 2 2 3 5 2 2" xfId="12018" xr:uid="{00000000-0005-0000-0000-0000E23C0000}"/>
    <cellStyle name="Финансовый 36 2 2 2 3 5 2 2 2" xfId="29107" xr:uid="{E8665939-3563-48ED-B3CD-51D0EFF5C6ED}"/>
    <cellStyle name="Финансовый 36 2 2 2 3 5 2 3" xfId="15250" xr:uid="{00000000-0005-0000-0000-0000E33C0000}"/>
    <cellStyle name="Финансовый 36 2 2 2 3 5 2 3 2" xfId="32263" xr:uid="{80955EAB-185D-4FF6-80E2-1893AB0BBBA3}"/>
    <cellStyle name="Финансовый 36 2 2 2 3 5 2 4" xfId="18331" xr:uid="{00000000-0005-0000-0000-0000E43C0000}"/>
    <cellStyle name="Финансовый 36 2 2 2 3 5 2 4 2" xfId="35344" xr:uid="{BC38B1A4-D251-4190-A844-B56F67151FB4}"/>
    <cellStyle name="Финансовый 36 2 2 2 3 5 2 5" xfId="26034" xr:uid="{6D4063CF-06AD-4480-8F26-E957C811FC31}"/>
    <cellStyle name="Финансовый 36 2 2 2 3 5 3" xfId="12017" xr:uid="{00000000-0005-0000-0000-0000E53C0000}"/>
    <cellStyle name="Финансовый 36 2 2 2 3 5 3 2" xfId="29106" xr:uid="{F4C24A59-AC1B-47FB-B686-3D8AEAD93D83}"/>
    <cellStyle name="Финансовый 36 2 2 2 3 5 4" xfId="15249" xr:uid="{00000000-0005-0000-0000-0000E63C0000}"/>
    <cellStyle name="Финансовый 36 2 2 2 3 5 4 2" xfId="32262" xr:uid="{46B251AB-35C9-49ED-923C-52E8C34FC51F}"/>
    <cellStyle name="Финансовый 36 2 2 2 3 5 5" xfId="18330" xr:uid="{00000000-0005-0000-0000-0000E73C0000}"/>
    <cellStyle name="Финансовый 36 2 2 2 3 5 5 2" xfId="35343" xr:uid="{BC2029E5-F2C8-44F8-8E47-97F5732F9849}"/>
    <cellStyle name="Финансовый 36 2 2 2 3 5 6" xfId="26033" xr:uid="{D2D1ADDA-4627-4654-87E3-FFF98545D04E}"/>
    <cellStyle name="Финансовый 36 2 2 2 3 6" xfId="8934" xr:uid="{00000000-0005-0000-0000-0000E83C0000}"/>
    <cellStyle name="Финансовый 36 2 2 2 3 6 2" xfId="12019" xr:uid="{00000000-0005-0000-0000-0000E93C0000}"/>
    <cellStyle name="Финансовый 36 2 2 2 3 6 2 2" xfId="29108" xr:uid="{F3F7EA04-EFEC-4D23-BC74-BBF9BBA4315A}"/>
    <cellStyle name="Финансовый 36 2 2 2 3 6 3" xfId="15251" xr:uid="{00000000-0005-0000-0000-0000EA3C0000}"/>
    <cellStyle name="Финансовый 36 2 2 2 3 6 3 2" xfId="32264" xr:uid="{6A2D7421-145A-4F9B-BD8B-7E717D3D8143}"/>
    <cellStyle name="Финансовый 36 2 2 2 3 6 4" xfId="18332" xr:uid="{00000000-0005-0000-0000-0000EB3C0000}"/>
    <cellStyle name="Финансовый 36 2 2 2 3 6 4 2" xfId="35345" xr:uid="{49BE9751-D9FB-473B-91A4-D712B9A8AD9C}"/>
    <cellStyle name="Финансовый 36 2 2 2 3 6 5" xfId="26035" xr:uid="{619098AF-10C7-4A81-956E-89F3B980D6A3}"/>
    <cellStyle name="Финансовый 36 2 2 2 3 7" xfId="11988" xr:uid="{00000000-0005-0000-0000-0000EC3C0000}"/>
    <cellStyle name="Финансовый 36 2 2 2 3 7 2" xfId="29077" xr:uid="{052DA243-F105-41A3-BC13-2188B78DB040}"/>
    <cellStyle name="Финансовый 36 2 2 2 3 8" xfId="15220" xr:uid="{00000000-0005-0000-0000-0000ED3C0000}"/>
    <cellStyle name="Финансовый 36 2 2 2 3 8 2" xfId="32233" xr:uid="{BCF465C6-1E10-4DEC-9140-21F8A22CB8AE}"/>
    <cellStyle name="Финансовый 36 2 2 2 3 9" xfId="18301" xr:uid="{00000000-0005-0000-0000-0000EE3C0000}"/>
    <cellStyle name="Финансовый 36 2 2 2 3 9 2" xfId="35314" xr:uid="{B289D1D8-C4B6-4FA1-8DDB-C1568D6519F7}"/>
    <cellStyle name="Финансовый 36 2 2 2 4" xfId="8935" xr:uid="{00000000-0005-0000-0000-0000EF3C0000}"/>
    <cellStyle name="Финансовый 36 2 2 2 4 2" xfId="8936" xr:uid="{00000000-0005-0000-0000-0000F03C0000}"/>
    <cellStyle name="Финансовый 36 2 2 2 4 2 2" xfId="8937" xr:uid="{00000000-0005-0000-0000-0000F13C0000}"/>
    <cellStyle name="Финансовый 36 2 2 2 4 2 2 2" xfId="8938" xr:uid="{00000000-0005-0000-0000-0000F23C0000}"/>
    <cellStyle name="Финансовый 36 2 2 2 4 2 2 2 2" xfId="8939" xr:uid="{00000000-0005-0000-0000-0000F33C0000}"/>
    <cellStyle name="Финансовый 36 2 2 2 4 2 2 2 2 2" xfId="12024" xr:uid="{00000000-0005-0000-0000-0000F43C0000}"/>
    <cellStyle name="Финансовый 36 2 2 2 4 2 2 2 2 2 2" xfId="29113" xr:uid="{0B975831-47F6-470B-AAF9-12E6DA7416DE}"/>
    <cellStyle name="Финансовый 36 2 2 2 4 2 2 2 2 3" xfId="15256" xr:uid="{00000000-0005-0000-0000-0000F53C0000}"/>
    <cellStyle name="Финансовый 36 2 2 2 4 2 2 2 2 3 2" xfId="32269" xr:uid="{9C407D25-6697-4B70-B49D-F9ACE3D0DF49}"/>
    <cellStyle name="Финансовый 36 2 2 2 4 2 2 2 2 4" xfId="18337" xr:uid="{00000000-0005-0000-0000-0000F63C0000}"/>
    <cellStyle name="Финансовый 36 2 2 2 4 2 2 2 2 4 2" xfId="35350" xr:uid="{DB595BCC-242E-48B7-B2EB-405ADE3BB746}"/>
    <cellStyle name="Финансовый 36 2 2 2 4 2 2 2 2 5" xfId="26040" xr:uid="{4E301EB1-8046-4781-B0B4-E4DF43DE4B37}"/>
    <cellStyle name="Финансовый 36 2 2 2 4 2 2 2 3" xfId="12023" xr:uid="{00000000-0005-0000-0000-0000F73C0000}"/>
    <cellStyle name="Финансовый 36 2 2 2 4 2 2 2 3 2" xfId="29112" xr:uid="{233B687D-791C-4949-BAAB-2DA1E3F6BC6B}"/>
    <cellStyle name="Финансовый 36 2 2 2 4 2 2 2 4" xfId="15255" xr:uid="{00000000-0005-0000-0000-0000F83C0000}"/>
    <cellStyle name="Финансовый 36 2 2 2 4 2 2 2 4 2" xfId="32268" xr:uid="{6A7809E5-A068-440B-8400-21BB413B5DBE}"/>
    <cellStyle name="Финансовый 36 2 2 2 4 2 2 2 5" xfId="18336" xr:uid="{00000000-0005-0000-0000-0000F93C0000}"/>
    <cellStyle name="Финансовый 36 2 2 2 4 2 2 2 5 2" xfId="35349" xr:uid="{186A1845-4376-478F-B443-77ED3EA71CD8}"/>
    <cellStyle name="Финансовый 36 2 2 2 4 2 2 2 6" xfId="26039" xr:uid="{2B3B8E30-F3DC-48F3-95A9-6525958942C4}"/>
    <cellStyle name="Финансовый 36 2 2 2 4 2 2 3" xfId="8940" xr:uid="{00000000-0005-0000-0000-0000FA3C0000}"/>
    <cellStyle name="Финансовый 36 2 2 2 4 2 2 3 2" xfId="12025" xr:uid="{00000000-0005-0000-0000-0000FB3C0000}"/>
    <cellStyle name="Финансовый 36 2 2 2 4 2 2 3 2 2" xfId="29114" xr:uid="{3CC0918D-EFE0-4DC9-8C41-526DC46CEBCA}"/>
    <cellStyle name="Финансовый 36 2 2 2 4 2 2 3 3" xfId="15257" xr:uid="{00000000-0005-0000-0000-0000FC3C0000}"/>
    <cellStyle name="Финансовый 36 2 2 2 4 2 2 3 3 2" xfId="32270" xr:uid="{00ACF339-CC7A-44F5-A01E-20494D2B8A27}"/>
    <cellStyle name="Финансовый 36 2 2 2 4 2 2 3 4" xfId="18338" xr:uid="{00000000-0005-0000-0000-0000FD3C0000}"/>
    <cellStyle name="Финансовый 36 2 2 2 4 2 2 3 4 2" xfId="35351" xr:uid="{EAA026CD-BF09-4F34-98B1-1F9A9E441BDD}"/>
    <cellStyle name="Финансовый 36 2 2 2 4 2 2 3 5" xfId="26041" xr:uid="{6F2F88C0-1C5A-4EC3-94B9-4CE192FB2F14}"/>
    <cellStyle name="Финансовый 36 2 2 2 4 2 2 4" xfId="12022" xr:uid="{00000000-0005-0000-0000-0000FE3C0000}"/>
    <cellStyle name="Финансовый 36 2 2 2 4 2 2 4 2" xfId="29111" xr:uid="{68FB673F-A6C0-4757-974C-97B6ACFEC946}"/>
    <cellStyle name="Финансовый 36 2 2 2 4 2 2 5" xfId="15254" xr:uid="{00000000-0005-0000-0000-0000FF3C0000}"/>
    <cellStyle name="Финансовый 36 2 2 2 4 2 2 5 2" xfId="32267" xr:uid="{C181E253-52FD-4D18-9100-F441A12CF6DD}"/>
    <cellStyle name="Финансовый 36 2 2 2 4 2 2 6" xfId="18335" xr:uid="{00000000-0005-0000-0000-0000003D0000}"/>
    <cellStyle name="Финансовый 36 2 2 2 4 2 2 6 2" xfId="35348" xr:uid="{D856D02E-A743-4818-967C-DB4DA30CE6CB}"/>
    <cellStyle name="Финансовый 36 2 2 2 4 2 2 7" xfId="26038" xr:uid="{F80EDB5D-FDB4-43A6-826F-61C1738AD1C5}"/>
    <cellStyle name="Финансовый 36 2 2 2 4 2 3" xfId="8941" xr:uid="{00000000-0005-0000-0000-0000013D0000}"/>
    <cellStyle name="Финансовый 36 2 2 2 4 2 3 2" xfId="8942" xr:uid="{00000000-0005-0000-0000-0000023D0000}"/>
    <cellStyle name="Финансовый 36 2 2 2 4 2 3 2 2" xfId="12027" xr:uid="{00000000-0005-0000-0000-0000033D0000}"/>
    <cellStyle name="Финансовый 36 2 2 2 4 2 3 2 2 2" xfId="29116" xr:uid="{65667A02-9460-4FC2-9541-67A3581021A6}"/>
    <cellStyle name="Финансовый 36 2 2 2 4 2 3 2 3" xfId="15259" xr:uid="{00000000-0005-0000-0000-0000043D0000}"/>
    <cellStyle name="Финансовый 36 2 2 2 4 2 3 2 3 2" xfId="32272" xr:uid="{3A3BC880-AF4B-4A52-B9E7-C45458D03149}"/>
    <cellStyle name="Финансовый 36 2 2 2 4 2 3 2 4" xfId="18340" xr:uid="{00000000-0005-0000-0000-0000053D0000}"/>
    <cellStyle name="Финансовый 36 2 2 2 4 2 3 2 4 2" xfId="35353" xr:uid="{03FC1642-B14D-457F-A77E-B67B90D62C1D}"/>
    <cellStyle name="Финансовый 36 2 2 2 4 2 3 2 5" xfId="26043" xr:uid="{D20E4BDC-ABC3-4BB9-8D78-809214EAB9CA}"/>
    <cellStyle name="Финансовый 36 2 2 2 4 2 3 3" xfId="12026" xr:uid="{00000000-0005-0000-0000-0000063D0000}"/>
    <cellStyle name="Финансовый 36 2 2 2 4 2 3 3 2" xfId="29115" xr:uid="{EC6ABCCE-D894-429D-8B5B-D87634A89A58}"/>
    <cellStyle name="Финансовый 36 2 2 2 4 2 3 4" xfId="15258" xr:uid="{00000000-0005-0000-0000-0000073D0000}"/>
    <cellStyle name="Финансовый 36 2 2 2 4 2 3 4 2" xfId="32271" xr:uid="{0E661AB8-76A2-460A-AEA8-2B5214B2A8C4}"/>
    <cellStyle name="Финансовый 36 2 2 2 4 2 3 5" xfId="18339" xr:uid="{00000000-0005-0000-0000-0000083D0000}"/>
    <cellStyle name="Финансовый 36 2 2 2 4 2 3 5 2" xfId="35352" xr:uid="{3B7341DA-420D-4EA4-B7CB-967266F2CBC6}"/>
    <cellStyle name="Финансовый 36 2 2 2 4 2 3 6" xfId="26042" xr:uid="{95A887F7-C374-40E7-BD55-5FB9650D34E9}"/>
    <cellStyle name="Финансовый 36 2 2 2 4 2 4" xfId="8943" xr:uid="{00000000-0005-0000-0000-0000093D0000}"/>
    <cellStyle name="Финансовый 36 2 2 2 4 2 4 2" xfId="12028" xr:uid="{00000000-0005-0000-0000-00000A3D0000}"/>
    <cellStyle name="Финансовый 36 2 2 2 4 2 4 2 2" xfId="29117" xr:uid="{A076F59D-224A-41DB-B067-BBD60BB7F6F4}"/>
    <cellStyle name="Финансовый 36 2 2 2 4 2 4 3" xfId="15260" xr:uid="{00000000-0005-0000-0000-00000B3D0000}"/>
    <cellStyle name="Финансовый 36 2 2 2 4 2 4 3 2" xfId="32273" xr:uid="{EF59DD86-9FD0-4942-B9A5-9583A48F7904}"/>
    <cellStyle name="Финансовый 36 2 2 2 4 2 4 4" xfId="18341" xr:uid="{00000000-0005-0000-0000-00000C3D0000}"/>
    <cellStyle name="Финансовый 36 2 2 2 4 2 4 4 2" xfId="35354" xr:uid="{A590F687-4CF3-4C8E-A9E1-AF257F8127B4}"/>
    <cellStyle name="Финансовый 36 2 2 2 4 2 4 5" xfId="26044" xr:uid="{0277E4F1-199C-490C-AA20-2543D4DEC825}"/>
    <cellStyle name="Финансовый 36 2 2 2 4 2 5" xfId="12021" xr:uid="{00000000-0005-0000-0000-00000D3D0000}"/>
    <cellStyle name="Финансовый 36 2 2 2 4 2 5 2" xfId="29110" xr:uid="{B120163E-C3BF-41B6-BFD4-9A5DCA972402}"/>
    <cellStyle name="Финансовый 36 2 2 2 4 2 6" xfId="15253" xr:uid="{00000000-0005-0000-0000-00000E3D0000}"/>
    <cellStyle name="Финансовый 36 2 2 2 4 2 6 2" xfId="32266" xr:uid="{75C60A27-E01C-4CC0-B4F0-FC8162D940F9}"/>
    <cellStyle name="Финансовый 36 2 2 2 4 2 7" xfId="18334" xr:uid="{00000000-0005-0000-0000-00000F3D0000}"/>
    <cellStyle name="Финансовый 36 2 2 2 4 2 7 2" xfId="35347" xr:uid="{054F3DF0-3D39-43C2-8440-B9DBC53148E0}"/>
    <cellStyle name="Финансовый 36 2 2 2 4 2 8" xfId="26037" xr:uid="{E8AC4336-CFEE-484B-B588-B18135D68A24}"/>
    <cellStyle name="Финансовый 36 2 2 2 4 3" xfId="8944" xr:uid="{00000000-0005-0000-0000-0000103D0000}"/>
    <cellStyle name="Финансовый 36 2 2 2 4 3 2" xfId="8945" xr:uid="{00000000-0005-0000-0000-0000113D0000}"/>
    <cellStyle name="Финансовый 36 2 2 2 4 3 2 2" xfId="8946" xr:uid="{00000000-0005-0000-0000-0000123D0000}"/>
    <cellStyle name="Финансовый 36 2 2 2 4 3 2 2 2" xfId="12031" xr:uid="{00000000-0005-0000-0000-0000133D0000}"/>
    <cellStyle name="Финансовый 36 2 2 2 4 3 2 2 2 2" xfId="29120" xr:uid="{CE2B53AC-B5A5-4644-8502-03540A710D9A}"/>
    <cellStyle name="Финансовый 36 2 2 2 4 3 2 2 3" xfId="15263" xr:uid="{00000000-0005-0000-0000-0000143D0000}"/>
    <cellStyle name="Финансовый 36 2 2 2 4 3 2 2 3 2" xfId="32276" xr:uid="{D79D1B01-70D3-408B-880C-E84D35E80FE1}"/>
    <cellStyle name="Финансовый 36 2 2 2 4 3 2 2 4" xfId="18344" xr:uid="{00000000-0005-0000-0000-0000153D0000}"/>
    <cellStyle name="Финансовый 36 2 2 2 4 3 2 2 4 2" xfId="35357" xr:uid="{8FB1C29E-E6C6-4BD1-9C10-B0101D92BA4E}"/>
    <cellStyle name="Финансовый 36 2 2 2 4 3 2 2 5" xfId="26047" xr:uid="{85BFF2CA-500C-48D0-86C9-48B4566ABC94}"/>
    <cellStyle name="Финансовый 36 2 2 2 4 3 2 3" xfId="12030" xr:uid="{00000000-0005-0000-0000-0000163D0000}"/>
    <cellStyle name="Финансовый 36 2 2 2 4 3 2 3 2" xfId="29119" xr:uid="{70621FAC-561A-4332-BF5A-3BCEC1D86CF4}"/>
    <cellStyle name="Финансовый 36 2 2 2 4 3 2 4" xfId="15262" xr:uid="{00000000-0005-0000-0000-0000173D0000}"/>
    <cellStyle name="Финансовый 36 2 2 2 4 3 2 4 2" xfId="32275" xr:uid="{97D99BE1-43C0-486E-A623-CFB1F9BE30A3}"/>
    <cellStyle name="Финансовый 36 2 2 2 4 3 2 5" xfId="18343" xr:uid="{00000000-0005-0000-0000-0000183D0000}"/>
    <cellStyle name="Финансовый 36 2 2 2 4 3 2 5 2" xfId="35356" xr:uid="{45E79AD8-7349-42CD-B8AA-E4E4A7286802}"/>
    <cellStyle name="Финансовый 36 2 2 2 4 3 2 6" xfId="26046" xr:uid="{E2E458D8-0EAB-4B1B-B2C7-E62E00D6FD77}"/>
    <cellStyle name="Финансовый 36 2 2 2 4 3 3" xfId="8947" xr:uid="{00000000-0005-0000-0000-0000193D0000}"/>
    <cellStyle name="Финансовый 36 2 2 2 4 3 3 2" xfId="12032" xr:uid="{00000000-0005-0000-0000-00001A3D0000}"/>
    <cellStyle name="Финансовый 36 2 2 2 4 3 3 2 2" xfId="29121" xr:uid="{0374E483-947F-47D7-B09C-3410FE09B293}"/>
    <cellStyle name="Финансовый 36 2 2 2 4 3 3 3" xfId="15264" xr:uid="{00000000-0005-0000-0000-00001B3D0000}"/>
    <cellStyle name="Финансовый 36 2 2 2 4 3 3 3 2" xfId="32277" xr:uid="{F3CFF05E-1F13-4E3B-9633-1B94FF9B108B}"/>
    <cellStyle name="Финансовый 36 2 2 2 4 3 3 4" xfId="18345" xr:uid="{00000000-0005-0000-0000-00001C3D0000}"/>
    <cellStyle name="Финансовый 36 2 2 2 4 3 3 4 2" xfId="35358" xr:uid="{18391FCE-9F3D-4B0A-B617-0B7A65C590DD}"/>
    <cellStyle name="Финансовый 36 2 2 2 4 3 3 5" xfId="26048" xr:uid="{8878EB48-DF80-4946-AD0E-9AF701378E9D}"/>
    <cellStyle name="Финансовый 36 2 2 2 4 3 4" xfId="12029" xr:uid="{00000000-0005-0000-0000-00001D3D0000}"/>
    <cellStyle name="Финансовый 36 2 2 2 4 3 4 2" xfId="29118" xr:uid="{FFCAC7C2-0504-4135-9EF3-C6F441C21A0D}"/>
    <cellStyle name="Финансовый 36 2 2 2 4 3 5" xfId="15261" xr:uid="{00000000-0005-0000-0000-00001E3D0000}"/>
    <cellStyle name="Финансовый 36 2 2 2 4 3 5 2" xfId="32274" xr:uid="{74C96676-CBB2-48F8-A189-E89C9761946C}"/>
    <cellStyle name="Финансовый 36 2 2 2 4 3 6" xfId="18342" xr:uid="{00000000-0005-0000-0000-00001F3D0000}"/>
    <cellStyle name="Финансовый 36 2 2 2 4 3 6 2" xfId="35355" xr:uid="{5BDCAC05-745E-40D9-B2A9-5CE546552A40}"/>
    <cellStyle name="Финансовый 36 2 2 2 4 3 7" xfId="26045" xr:uid="{D0A0E353-928F-433E-B100-770CD5E2B8AF}"/>
    <cellStyle name="Финансовый 36 2 2 2 4 4" xfId="8948" xr:uid="{00000000-0005-0000-0000-0000203D0000}"/>
    <cellStyle name="Финансовый 36 2 2 2 4 4 2" xfId="8949" xr:uid="{00000000-0005-0000-0000-0000213D0000}"/>
    <cellStyle name="Финансовый 36 2 2 2 4 4 2 2" xfId="12034" xr:uid="{00000000-0005-0000-0000-0000223D0000}"/>
    <cellStyle name="Финансовый 36 2 2 2 4 4 2 2 2" xfId="29123" xr:uid="{93F8AFD6-2B03-4210-991B-94AA1D16CEF0}"/>
    <cellStyle name="Финансовый 36 2 2 2 4 4 2 3" xfId="15266" xr:uid="{00000000-0005-0000-0000-0000233D0000}"/>
    <cellStyle name="Финансовый 36 2 2 2 4 4 2 3 2" xfId="32279" xr:uid="{3CE8DA1C-5151-4786-9501-AC0517A9FB09}"/>
    <cellStyle name="Финансовый 36 2 2 2 4 4 2 4" xfId="18347" xr:uid="{00000000-0005-0000-0000-0000243D0000}"/>
    <cellStyle name="Финансовый 36 2 2 2 4 4 2 4 2" xfId="35360" xr:uid="{5D676BE5-E896-4F9F-957B-AFFE554A9820}"/>
    <cellStyle name="Финансовый 36 2 2 2 4 4 2 5" xfId="26050" xr:uid="{7562E3FC-E199-4313-8C50-6BEE3510C31D}"/>
    <cellStyle name="Финансовый 36 2 2 2 4 4 3" xfId="12033" xr:uid="{00000000-0005-0000-0000-0000253D0000}"/>
    <cellStyle name="Финансовый 36 2 2 2 4 4 3 2" xfId="29122" xr:uid="{E5995635-D9B1-4F57-B3D0-AD78A892ADF4}"/>
    <cellStyle name="Финансовый 36 2 2 2 4 4 4" xfId="15265" xr:uid="{00000000-0005-0000-0000-0000263D0000}"/>
    <cellStyle name="Финансовый 36 2 2 2 4 4 4 2" xfId="32278" xr:uid="{6EDD99ED-786F-4CA9-BB82-972C7FB0A8A0}"/>
    <cellStyle name="Финансовый 36 2 2 2 4 4 5" xfId="18346" xr:uid="{00000000-0005-0000-0000-0000273D0000}"/>
    <cellStyle name="Финансовый 36 2 2 2 4 4 5 2" xfId="35359" xr:uid="{68DDAAB0-63AF-447C-907B-DE2FFCCDFDC2}"/>
    <cellStyle name="Финансовый 36 2 2 2 4 4 6" xfId="26049" xr:uid="{7504DD2E-2685-4DB1-B587-4A31E3A82CF3}"/>
    <cellStyle name="Финансовый 36 2 2 2 4 5" xfId="8950" xr:uid="{00000000-0005-0000-0000-0000283D0000}"/>
    <cellStyle name="Финансовый 36 2 2 2 4 5 2" xfId="12035" xr:uid="{00000000-0005-0000-0000-0000293D0000}"/>
    <cellStyle name="Финансовый 36 2 2 2 4 5 2 2" xfId="29124" xr:uid="{43BC6F6C-045A-4CAC-A4BE-DED2CA089DA1}"/>
    <cellStyle name="Финансовый 36 2 2 2 4 5 3" xfId="15267" xr:uid="{00000000-0005-0000-0000-00002A3D0000}"/>
    <cellStyle name="Финансовый 36 2 2 2 4 5 3 2" xfId="32280" xr:uid="{BABCFD2F-A313-4FE3-8F63-62653B26DF46}"/>
    <cellStyle name="Финансовый 36 2 2 2 4 5 4" xfId="18348" xr:uid="{00000000-0005-0000-0000-00002B3D0000}"/>
    <cellStyle name="Финансовый 36 2 2 2 4 5 4 2" xfId="35361" xr:uid="{77EF12CC-FE29-493E-848F-B893E67C4AD4}"/>
    <cellStyle name="Финансовый 36 2 2 2 4 5 5" xfId="26051" xr:uid="{C2E55580-102D-4888-AABA-CCE564F5A941}"/>
    <cellStyle name="Финансовый 36 2 2 2 4 6" xfId="12020" xr:uid="{00000000-0005-0000-0000-00002C3D0000}"/>
    <cellStyle name="Финансовый 36 2 2 2 4 6 2" xfId="29109" xr:uid="{E300B4AE-6756-4D7B-A01A-1617C1F350BD}"/>
    <cellStyle name="Финансовый 36 2 2 2 4 7" xfId="15252" xr:uid="{00000000-0005-0000-0000-00002D3D0000}"/>
    <cellStyle name="Финансовый 36 2 2 2 4 7 2" xfId="32265" xr:uid="{6E5C134B-FDBD-4AF8-8E5A-23FB14F31E2F}"/>
    <cellStyle name="Финансовый 36 2 2 2 4 8" xfId="18333" xr:uid="{00000000-0005-0000-0000-00002E3D0000}"/>
    <cellStyle name="Финансовый 36 2 2 2 4 8 2" xfId="35346" xr:uid="{3765D9A6-D3AE-47AF-A075-EC65A4A00EF2}"/>
    <cellStyle name="Финансовый 36 2 2 2 4 9" xfId="26036" xr:uid="{CC8C2206-9BFC-451C-BF95-BC1940FDD23F}"/>
    <cellStyle name="Финансовый 36 2 2 2 5" xfId="8951" xr:uid="{00000000-0005-0000-0000-00002F3D0000}"/>
    <cellStyle name="Финансовый 36 2 2 2 5 2" xfId="8952" xr:uid="{00000000-0005-0000-0000-0000303D0000}"/>
    <cellStyle name="Финансовый 36 2 2 2 5 2 2" xfId="8953" xr:uid="{00000000-0005-0000-0000-0000313D0000}"/>
    <cellStyle name="Финансовый 36 2 2 2 5 2 2 2" xfId="8954" xr:uid="{00000000-0005-0000-0000-0000323D0000}"/>
    <cellStyle name="Финансовый 36 2 2 2 5 2 2 2 2" xfId="12039" xr:uid="{00000000-0005-0000-0000-0000333D0000}"/>
    <cellStyle name="Финансовый 36 2 2 2 5 2 2 2 2 2" xfId="29128" xr:uid="{D47CBCE3-2C02-4658-8AA9-82BA720B0C77}"/>
    <cellStyle name="Финансовый 36 2 2 2 5 2 2 2 3" xfId="15271" xr:uid="{00000000-0005-0000-0000-0000343D0000}"/>
    <cellStyle name="Финансовый 36 2 2 2 5 2 2 2 3 2" xfId="32284" xr:uid="{D4BAF655-B07A-420B-9C8B-CA8A6FE54ED8}"/>
    <cellStyle name="Финансовый 36 2 2 2 5 2 2 2 4" xfId="18352" xr:uid="{00000000-0005-0000-0000-0000353D0000}"/>
    <cellStyle name="Финансовый 36 2 2 2 5 2 2 2 4 2" xfId="35365" xr:uid="{AC8C21C0-EF40-4B52-B8B0-257A9DAB7AB4}"/>
    <cellStyle name="Финансовый 36 2 2 2 5 2 2 2 5" xfId="26055" xr:uid="{3795282D-4E60-42BF-985C-10985EF6D0CC}"/>
    <cellStyle name="Финансовый 36 2 2 2 5 2 2 3" xfId="12038" xr:uid="{00000000-0005-0000-0000-0000363D0000}"/>
    <cellStyle name="Финансовый 36 2 2 2 5 2 2 3 2" xfId="29127" xr:uid="{D2A7FB2D-EC50-4731-BDF1-5D128C7ECAEE}"/>
    <cellStyle name="Финансовый 36 2 2 2 5 2 2 4" xfId="15270" xr:uid="{00000000-0005-0000-0000-0000373D0000}"/>
    <cellStyle name="Финансовый 36 2 2 2 5 2 2 4 2" xfId="32283" xr:uid="{724CAD18-C1B3-4BB8-867B-E0BFE390FC0A}"/>
    <cellStyle name="Финансовый 36 2 2 2 5 2 2 5" xfId="18351" xr:uid="{00000000-0005-0000-0000-0000383D0000}"/>
    <cellStyle name="Финансовый 36 2 2 2 5 2 2 5 2" xfId="35364" xr:uid="{E5F37230-D193-45D6-A147-A5C893F23364}"/>
    <cellStyle name="Финансовый 36 2 2 2 5 2 2 6" xfId="26054" xr:uid="{94313356-46EC-4542-BFBD-7AE3A8E2F2A3}"/>
    <cellStyle name="Финансовый 36 2 2 2 5 2 3" xfId="8955" xr:uid="{00000000-0005-0000-0000-0000393D0000}"/>
    <cellStyle name="Финансовый 36 2 2 2 5 2 3 2" xfId="12040" xr:uid="{00000000-0005-0000-0000-00003A3D0000}"/>
    <cellStyle name="Финансовый 36 2 2 2 5 2 3 2 2" xfId="29129" xr:uid="{919B4BB3-4877-4A40-AD81-569ACBB6A720}"/>
    <cellStyle name="Финансовый 36 2 2 2 5 2 3 3" xfId="15272" xr:uid="{00000000-0005-0000-0000-00003B3D0000}"/>
    <cellStyle name="Финансовый 36 2 2 2 5 2 3 3 2" xfId="32285" xr:uid="{1A6C44F6-9B62-49DD-850A-77F65B8BE8EC}"/>
    <cellStyle name="Финансовый 36 2 2 2 5 2 3 4" xfId="18353" xr:uid="{00000000-0005-0000-0000-00003C3D0000}"/>
    <cellStyle name="Финансовый 36 2 2 2 5 2 3 4 2" xfId="35366" xr:uid="{EB3322F8-3445-4A9D-9A18-02B1000311DD}"/>
    <cellStyle name="Финансовый 36 2 2 2 5 2 3 5" xfId="26056" xr:uid="{F32B6D92-3C6A-4D66-87B8-49B0D9D832BA}"/>
    <cellStyle name="Финансовый 36 2 2 2 5 2 4" xfId="12037" xr:uid="{00000000-0005-0000-0000-00003D3D0000}"/>
    <cellStyle name="Финансовый 36 2 2 2 5 2 4 2" xfId="29126" xr:uid="{6DA16B9B-FC97-4A1E-97C7-3F488119117B}"/>
    <cellStyle name="Финансовый 36 2 2 2 5 2 5" xfId="15269" xr:uid="{00000000-0005-0000-0000-00003E3D0000}"/>
    <cellStyle name="Финансовый 36 2 2 2 5 2 5 2" xfId="32282" xr:uid="{D2B9DDF3-A654-4DD9-B8C3-EF4416A48D95}"/>
    <cellStyle name="Финансовый 36 2 2 2 5 2 6" xfId="18350" xr:uid="{00000000-0005-0000-0000-00003F3D0000}"/>
    <cellStyle name="Финансовый 36 2 2 2 5 2 6 2" xfId="35363" xr:uid="{0DEFABBD-CA73-45A1-A9A1-93FE66D99DFF}"/>
    <cellStyle name="Финансовый 36 2 2 2 5 2 7" xfId="26053" xr:uid="{C8C811B8-0FD1-4B30-9EDC-B639AA9203C5}"/>
    <cellStyle name="Финансовый 36 2 2 2 5 3" xfId="8956" xr:uid="{00000000-0005-0000-0000-0000403D0000}"/>
    <cellStyle name="Финансовый 36 2 2 2 5 3 2" xfId="8957" xr:uid="{00000000-0005-0000-0000-0000413D0000}"/>
    <cellStyle name="Финансовый 36 2 2 2 5 3 2 2" xfId="12042" xr:uid="{00000000-0005-0000-0000-0000423D0000}"/>
    <cellStyle name="Финансовый 36 2 2 2 5 3 2 2 2" xfId="29131" xr:uid="{2AEECAB0-A79C-4AA1-99EA-451D4D0ADD74}"/>
    <cellStyle name="Финансовый 36 2 2 2 5 3 2 3" xfId="15274" xr:uid="{00000000-0005-0000-0000-0000433D0000}"/>
    <cellStyle name="Финансовый 36 2 2 2 5 3 2 3 2" xfId="32287" xr:uid="{D6AE64A4-6E6F-49B0-9997-E296547A1B31}"/>
    <cellStyle name="Финансовый 36 2 2 2 5 3 2 4" xfId="18355" xr:uid="{00000000-0005-0000-0000-0000443D0000}"/>
    <cellStyle name="Финансовый 36 2 2 2 5 3 2 4 2" xfId="35368" xr:uid="{E0E17D71-03E3-4257-8BCE-0A74D04776B4}"/>
    <cellStyle name="Финансовый 36 2 2 2 5 3 2 5" xfId="26058" xr:uid="{7E9942AC-93D2-4E83-B318-0FD3E3C33EEA}"/>
    <cellStyle name="Финансовый 36 2 2 2 5 3 3" xfId="12041" xr:uid="{00000000-0005-0000-0000-0000453D0000}"/>
    <cellStyle name="Финансовый 36 2 2 2 5 3 3 2" xfId="29130" xr:uid="{4C898B5E-18C8-45DF-960A-E56E7508179E}"/>
    <cellStyle name="Финансовый 36 2 2 2 5 3 4" xfId="15273" xr:uid="{00000000-0005-0000-0000-0000463D0000}"/>
    <cellStyle name="Финансовый 36 2 2 2 5 3 4 2" xfId="32286" xr:uid="{77B4745F-5379-4559-9D70-FE8ABF707655}"/>
    <cellStyle name="Финансовый 36 2 2 2 5 3 5" xfId="18354" xr:uid="{00000000-0005-0000-0000-0000473D0000}"/>
    <cellStyle name="Финансовый 36 2 2 2 5 3 5 2" xfId="35367" xr:uid="{0083F5E4-28EE-42E3-8F80-B85AE530AC29}"/>
    <cellStyle name="Финансовый 36 2 2 2 5 3 6" xfId="26057" xr:uid="{43D281D9-465D-43AC-871F-97593C90F990}"/>
    <cellStyle name="Финансовый 36 2 2 2 5 4" xfId="8958" xr:uid="{00000000-0005-0000-0000-0000483D0000}"/>
    <cellStyle name="Финансовый 36 2 2 2 5 4 2" xfId="12043" xr:uid="{00000000-0005-0000-0000-0000493D0000}"/>
    <cellStyle name="Финансовый 36 2 2 2 5 4 2 2" xfId="29132" xr:uid="{A1938C41-389F-4100-853E-AEF8F0A5A1D5}"/>
    <cellStyle name="Финансовый 36 2 2 2 5 4 3" xfId="15275" xr:uid="{00000000-0005-0000-0000-00004A3D0000}"/>
    <cellStyle name="Финансовый 36 2 2 2 5 4 3 2" xfId="32288" xr:uid="{0F78EA36-7D92-47E8-B4F1-D1B7DD7A2C58}"/>
    <cellStyle name="Финансовый 36 2 2 2 5 4 4" xfId="18356" xr:uid="{00000000-0005-0000-0000-00004B3D0000}"/>
    <cellStyle name="Финансовый 36 2 2 2 5 4 4 2" xfId="35369" xr:uid="{E20A00C5-E6DA-40C1-918F-0FD5F881C113}"/>
    <cellStyle name="Финансовый 36 2 2 2 5 4 5" xfId="26059" xr:uid="{B673727F-6C5D-40D3-8875-4D96E315C281}"/>
    <cellStyle name="Финансовый 36 2 2 2 5 5" xfId="12036" xr:uid="{00000000-0005-0000-0000-00004C3D0000}"/>
    <cellStyle name="Финансовый 36 2 2 2 5 5 2" xfId="29125" xr:uid="{A81844BF-1AB9-4812-9299-97DD7BACC270}"/>
    <cellStyle name="Финансовый 36 2 2 2 5 6" xfId="15268" xr:uid="{00000000-0005-0000-0000-00004D3D0000}"/>
    <cellStyle name="Финансовый 36 2 2 2 5 6 2" xfId="32281" xr:uid="{DF64427C-FC44-4F97-84E7-ED331DD74349}"/>
    <cellStyle name="Финансовый 36 2 2 2 5 7" xfId="18349" xr:uid="{00000000-0005-0000-0000-00004E3D0000}"/>
    <cellStyle name="Финансовый 36 2 2 2 5 7 2" xfId="35362" xr:uid="{55A569A7-3CFE-44AA-8FB2-B28377F410D8}"/>
    <cellStyle name="Финансовый 36 2 2 2 5 8" xfId="26052" xr:uid="{1E475246-1219-4F5D-9310-211B9DCA32C0}"/>
    <cellStyle name="Финансовый 36 2 2 2 6" xfId="8959" xr:uid="{00000000-0005-0000-0000-00004F3D0000}"/>
    <cellStyle name="Финансовый 36 2 2 2 6 2" xfId="8960" xr:uid="{00000000-0005-0000-0000-0000503D0000}"/>
    <cellStyle name="Финансовый 36 2 2 2 6 2 2" xfId="8961" xr:uid="{00000000-0005-0000-0000-0000513D0000}"/>
    <cellStyle name="Финансовый 36 2 2 2 6 2 2 2" xfId="12046" xr:uid="{00000000-0005-0000-0000-0000523D0000}"/>
    <cellStyle name="Финансовый 36 2 2 2 6 2 2 2 2" xfId="29135" xr:uid="{55E9F8FD-9A31-45C2-B374-E080A0748FB5}"/>
    <cellStyle name="Финансовый 36 2 2 2 6 2 2 3" xfId="15278" xr:uid="{00000000-0005-0000-0000-0000533D0000}"/>
    <cellStyle name="Финансовый 36 2 2 2 6 2 2 3 2" xfId="32291" xr:uid="{04A4ECA2-DF5B-4A71-A687-1673B1B3BE12}"/>
    <cellStyle name="Финансовый 36 2 2 2 6 2 2 4" xfId="18359" xr:uid="{00000000-0005-0000-0000-0000543D0000}"/>
    <cellStyle name="Финансовый 36 2 2 2 6 2 2 4 2" xfId="35372" xr:uid="{DD9ABF01-791C-432C-A7A4-097B2D410F42}"/>
    <cellStyle name="Финансовый 36 2 2 2 6 2 2 5" xfId="26062" xr:uid="{EC610FE1-923E-46E9-AAA4-93337DF0453F}"/>
    <cellStyle name="Финансовый 36 2 2 2 6 2 3" xfId="12045" xr:uid="{00000000-0005-0000-0000-0000553D0000}"/>
    <cellStyle name="Финансовый 36 2 2 2 6 2 3 2" xfId="29134" xr:uid="{FEFD565F-9B4F-4271-84A5-8E6FA1186070}"/>
    <cellStyle name="Финансовый 36 2 2 2 6 2 4" xfId="15277" xr:uid="{00000000-0005-0000-0000-0000563D0000}"/>
    <cellStyle name="Финансовый 36 2 2 2 6 2 4 2" xfId="32290" xr:uid="{63A1C85C-D214-4E86-B919-8ADE242EF8BC}"/>
    <cellStyle name="Финансовый 36 2 2 2 6 2 5" xfId="18358" xr:uid="{00000000-0005-0000-0000-0000573D0000}"/>
    <cellStyle name="Финансовый 36 2 2 2 6 2 5 2" xfId="35371" xr:uid="{4ABE79B3-AB75-4871-9240-FF36A222F664}"/>
    <cellStyle name="Финансовый 36 2 2 2 6 2 6" xfId="26061" xr:uid="{ABDD29A1-11FD-4991-A4D6-71278F7B1D56}"/>
    <cellStyle name="Финансовый 36 2 2 2 6 3" xfId="8962" xr:uid="{00000000-0005-0000-0000-0000583D0000}"/>
    <cellStyle name="Финансовый 36 2 2 2 6 3 2" xfId="12047" xr:uid="{00000000-0005-0000-0000-0000593D0000}"/>
    <cellStyle name="Финансовый 36 2 2 2 6 3 2 2" xfId="29136" xr:uid="{9D0E9C30-4FC4-409C-BB71-31F9A2C0A1F3}"/>
    <cellStyle name="Финансовый 36 2 2 2 6 3 3" xfId="15279" xr:uid="{00000000-0005-0000-0000-00005A3D0000}"/>
    <cellStyle name="Финансовый 36 2 2 2 6 3 3 2" xfId="32292" xr:uid="{77048937-9B3F-4890-81CB-041B143A5375}"/>
    <cellStyle name="Финансовый 36 2 2 2 6 3 4" xfId="18360" xr:uid="{00000000-0005-0000-0000-00005B3D0000}"/>
    <cellStyle name="Финансовый 36 2 2 2 6 3 4 2" xfId="35373" xr:uid="{F1FF5321-FBB9-46B9-9031-4FFDE2375AE2}"/>
    <cellStyle name="Финансовый 36 2 2 2 6 3 5" xfId="26063" xr:uid="{1B4652E2-BE51-4C7C-B690-87779A520C36}"/>
    <cellStyle name="Финансовый 36 2 2 2 6 4" xfId="12044" xr:uid="{00000000-0005-0000-0000-00005C3D0000}"/>
    <cellStyle name="Финансовый 36 2 2 2 6 4 2" xfId="29133" xr:uid="{97211C3B-1D9C-44D2-9CFF-8E6B87D3CCE8}"/>
    <cellStyle name="Финансовый 36 2 2 2 6 5" xfId="15276" xr:uid="{00000000-0005-0000-0000-00005D3D0000}"/>
    <cellStyle name="Финансовый 36 2 2 2 6 5 2" xfId="32289" xr:uid="{69D05B55-60C4-4858-BAC5-137266357013}"/>
    <cellStyle name="Финансовый 36 2 2 2 6 6" xfId="18357" xr:uid="{00000000-0005-0000-0000-00005E3D0000}"/>
    <cellStyle name="Финансовый 36 2 2 2 6 6 2" xfId="35370" xr:uid="{1C898628-78F1-495A-BFB6-27FE1B72E16E}"/>
    <cellStyle name="Финансовый 36 2 2 2 6 7" xfId="26060" xr:uid="{583E596C-F997-47F9-9E8C-9D945DF74017}"/>
    <cellStyle name="Финансовый 36 2 2 2 7" xfId="8963" xr:uid="{00000000-0005-0000-0000-00005F3D0000}"/>
    <cellStyle name="Финансовый 36 2 2 2 7 2" xfId="8964" xr:uid="{00000000-0005-0000-0000-0000603D0000}"/>
    <cellStyle name="Финансовый 36 2 2 2 7 2 2" xfId="12049" xr:uid="{00000000-0005-0000-0000-0000613D0000}"/>
    <cellStyle name="Финансовый 36 2 2 2 7 2 2 2" xfId="29138" xr:uid="{2E233D4F-69C4-4F7F-B459-D37219556240}"/>
    <cellStyle name="Финансовый 36 2 2 2 7 2 3" xfId="15281" xr:uid="{00000000-0005-0000-0000-0000623D0000}"/>
    <cellStyle name="Финансовый 36 2 2 2 7 2 3 2" xfId="32294" xr:uid="{C806F60B-9418-4CC5-97F2-643785C3F0A8}"/>
    <cellStyle name="Финансовый 36 2 2 2 7 2 4" xfId="18362" xr:uid="{00000000-0005-0000-0000-0000633D0000}"/>
    <cellStyle name="Финансовый 36 2 2 2 7 2 4 2" xfId="35375" xr:uid="{20DF286E-F793-4D29-85EE-E9E2DE978EBB}"/>
    <cellStyle name="Финансовый 36 2 2 2 7 2 5" xfId="26065" xr:uid="{1EFB85FC-28C5-488E-8C7F-0F5D606DD705}"/>
    <cellStyle name="Финансовый 36 2 2 2 7 3" xfId="12048" xr:uid="{00000000-0005-0000-0000-0000643D0000}"/>
    <cellStyle name="Финансовый 36 2 2 2 7 3 2" xfId="29137" xr:uid="{DCC6CC0F-F639-4530-8E42-319FAB6EB074}"/>
    <cellStyle name="Финансовый 36 2 2 2 7 4" xfId="15280" xr:uid="{00000000-0005-0000-0000-0000653D0000}"/>
    <cellStyle name="Финансовый 36 2 2 2 7 4 2" xfId="32293" xr:uid="{4892704F-D82E-4B62-8BC1-F0C8BCC528A4}"/>
    <cellStyle name="Финансовый 36 2 2 2 7 5" xfId="18361" xr:uid="{00000000-0005-0000-0000-0000663D0000}"/>
    <cellStyle name="Финансовый 36 2 2 2 7 5 2" xfId="35374" xr:uid="{2A21F45D-9B80-41FE-AF7C-81666103674E}"/>
    <cellStyle name="Финансовый 36 2 2 2 7 6" xfId="26064" xr:uid="{78FA921B-8870-46C2-9AB2-41F835B8929F}"/>
    <cellStyle name="Финансовый 36 2 2 2 8" xfId="8965" xr:uid="{00000000-0005-0000-0000-0000673D0000}"/>
    <cellStyle name="Финансовый 36 2 2 2 8 2" xfId="12050" xr:uid="{00000000-0005-0000-0000-0000683D0000}"/>
    <cellStyle name="Финансовый 36 2 2 2 8 2 2" xfId="29139" xr:uid="{0D40A15E-1FCB-4C52-8CCC-49E1BAF67D3D}"/>
    <cellStyle name="Финансовый 36 2 2 2 8 3" xfId="15282" xr:uid="{00000000-0005-0000-0000-0000693D0000}"/>
    <cellStyle name="Финансовый 36 2 2 2 8 3 2" xfId="32295" xr:uid="{1108820F-9A50-43B9-8BDB-CDEFD2765D4C}"/>
    <cellStyle name="Финансовый 36 2 2 2 8 4" xfId="18363" xr:uid="{00000000-0005-0000-0000-00006A3D0000}"/>
    <cellStyle name="Финансовый 36 2 2 2 8 4 2" xfId="35376" xr:uid="{0D9D7935-B824-42B5-A07A-71C84EA54FC0}"/>
    <cellStyle name="Финансовый 36 2 2 2 8 5" xfId="26066" xr:uid="{EA980094-BE93-4345-9FB3-3951954DCC59}"/>
    <cellStyle name="Финансовый 36 2 2 2 9" xfId="11923" xr:uid="{00000000-0005-0000-0000-00006B3D0000}"/>
    <cellStyle name="Финансовый 36 2 2 2 9 2" xfId="29012" xr:uid="{742FF124-E884-4687-86FA-2CF540E7FB6D}"/>
    <cellStyle name="Финансовый 36 2 2 3" xfId="8966" xr:uid="{00000000-0005-0000-0000-00006C3D0000}"/>
    <cellStyle name="Финансовый 36 2 2 3 10" xfId="18364" xr:uid="{00000000-0005-0000-0000-00006D3D0000}"/>
    <cellStyle name="Финансовый 36 2 2 3 10 2" xfId="35377" xr:uid="{6115FB70-71C8-4D17-AD32-F4AD2100F34F}"/>
    <cellStyle name="Финансовый 36 2 2 3 11" xfId="26067" xr:uid="{905D11A2-D50A-4011-860D-D59B7605782C}"/>
    <cellStyle name="Финансовый 36 2 2 3 2" xfId="8967" xr:uid="{00000000-0005-0000-0000-00006E3D0000}"/>
    <cellStyle name="Финансовый 36 2 2 3 2 10" xfId="26068" xr:uid="{B8E96AA9-DC04-40BD-8873-CCD14F66D742}"/>
    <cellStyle name="Финансовый 36 2 2 3 2 2" xfId="8968" xr:uid="{00000000-0005-0000-0000-00006F3D0000}"/>
    <cellStyle name="Финансовый 36 2 2 3 2 2 2" xfId="8969" xr:uid="{00000000-0005-0000-0000-0000703D0000}"/>
    <cellStyle name="Финансовый 36 2 2 3 2 2 2 2" xfId="8970" xr:uid="{00000000-0005-0000-0000-0000713D0000}"/>
    <cellStyle name="Финансовый 36 2 2 3 2 2 2 2 2" xfId="8971" xr:uid="{00000000-0005-0000-0000-0000723D0000}"/>
    <cellStyle name="Финансовый 36 2 2 3 2 2 2 2 2 2" xfId="8972" xr:uid="{00000000-0005-0000-0000-0000733D0000}"/>
    <cellStyle name="Финансовый 36 2 2 3 2 2 2 2 2 2 2" xfId="12057" xr:uid="{00000000-0005-0000-0000-0000743D0000}"/>
    <cellStyle name="Финансовый 36 2 2 3 2 2 2 2 2 2 2 2" xfId="29146" xr:uid="{4EE8D57C-83D2-4B03-8875-076F1882E75A}"/>
    <cellStyle name="Финансовый 36 2 2 3 2 2 2 2 2 2 3" xfId="15289" xr:uid="{00000000-0005-0000-0000-0000753D0000}"/>
    <cellStyle name="Финансовый 36 2 2 3 2 2 2 2 2 2 3 2" xfId="32302" xr:uid="{279321EB-88EE-46FC-9ACD-CD129CB09213}"/>
    <cellStyle name="Финансовый 36 2 2 3 2 2 2 2 2 2 4" xfId="18370" xr:uid="{00000000-0005-0000-0000-0000763D0000}"/>
    <cellStyle name="Финансовый 36 2 2 3 2 2 2 2 2 2 4 2" xfId="35383" xr:uid="{0EECC6AA-ED39-4D44-8F15-2FCBCDD9DA72}"/>
    <cellStyle name="Финансовый 36 2 2 3 2 2 2 2 2 2 5" xfId="26073" xr:uid="{EDE44B1A-40E4-41C4-A617-77D03EA16BA6}"/>
    <cellStyle name="Финансовый 36 2 2 3 2 2 2 2 2 3" xfId="12056" xr:uid="{00000000-0005-0000-0000-0000773D0000}"/>
    <cellStyle name="Финансовый 36 2 2 3 2 2 2 2 2 3 2" xfId="29145" xr:uid="{B0DDF02E-21D7-4BDB-B4D9-6DFB9D104588}"/>
    <cellStyle name="Финансовый 36 2 2 3 2 2 2 2 2 4" xfId="15288" xr:uid="{00000000-0005-0000-0000-0000783D0000}"/>
    <cellStyle name="Финансовый 36 2 2 3 2 2 2 2 2 4 2" xfId="32301" xr:uid="{8064BE90-1D6C-4B74-B313-2D013CA4CC4A}"/>
    <cellStyle name="Финансовый 36 2 2 3 2 2 2 2 2 5" xfId="18369" xr:uid="{00000000-0005-0000-0000-0000793D0000}"/>
    <cellStyle name="Финансовый 36 2 2 3 2 2 2 2 2 5 2" xfId="35382" xr:uid="{25B235E8-EA91-4718-A834-418B2F6344F4}"/>
    <cellStyle name="Финансовый 36 2 2 3 2 2 2 2 2 6" xfId="26072" xr:uid="{EC95F0C2-7F91-4BC3-A2A9-F8C7EB2251F1}"/>
    <cellStyle name="Финансовый 36 2 2 3 2 2 2 2 3" xfId="8973" xr:uid="{00000000-0005-0000-0000-00007A3D0000}"/>
    <cellStyle name="Финансовый 36 2 2 3 2 2 2 2 3 2" xfId="12058" xr:uid="{00000000-0005-0000-0000-00007B3D0000}"/>
    <cellStyle name="Финансовый 36 2 2 3 2 2 2 2 3 2 2" xfId="29147" xr:uid="{DAC78903-BDFE-468E-BB87-1D3838493D13}"/>
    <cellStyle name="Финансовый 36 2 2 3 2 2 2 2 3 3" xfId="15290" xr:uid="{00000000-0005-0000-0000-00007C3D0000}"/>
    <cellStyle name="Финансовый 36 2 2 3 2 2 2 2 3 3 2" xfId="32303" xr:uid="{1CD57FF9-03F8-426C-B936-82796DEF5F2D}"/>
    <cellStyle name="Финансовый 36 2 2 3 2 2 2 2 3 4" xfId="18371" xr:uid="{00000000-0005-0000-0000-00007D3D0000}"/>
    <cellStyle name="Финансовый 36 2 2 3 2 2 2 2 3 4 2" xfId="35384" xr:uid="{FA5EE4FB-4122-4818-AE00-F14249256BA4}"/>
    <cellStyle name="Финансовый 36 2 2 3 2 2 2 2 3 5" xfId="26074" xr:uid="{B8207F18-ECD9-4CD3-9692-2F7B61D7B040}"/>
    <cellStyle name="Финансовый 36 2 2 3 2 2 2 2 4" xfId="12055" xr:uid="{00000000-0005-0000-0000-00007E3D0000}"/>
    <cellStyle name="Финансовый 36 2 2 3 2 2 2 2 4 2" xfId="29144" xr:uid="{EC84D7BE-A849-4720-8529-95ACD563FFC5}"/>
    <cellStyle name="Финансовый 36 2 2 3 2 2 2 2 5" xfId="15287" xr:uid="{00000000-0005-0000-0000-00007F3D0000}"/>
    <cellStyle name="Финансовый 36 2 2 3 2 2 2 2 5 2" xfId="32300" xr:uid="{A9819F9F-D28A-4081-AAA1-76746E023FDA}"/>
    <cellStyle name="Финансовый 36 2 2 3 2 2 2 2 6" xfId="18368" xr:uid="{00000000-0005-0000-0000-0000803D0000}"/>
    <cellStyle name="Финансовый 36 2 2 3 2 2 2 2 6 2" xfId="35381" xr:uid="{BB195228-3B9B-496C-9B10-643DCECE727F}"/>
    <cellStyle name="Финансовый 36 2 2 3 2 2 2 2 7" xfId="26071" xr:uid="{260F7091-E167-43E4-A3B2-278ACEC45A89}"/>
    <cellStyle name="Финансовый 36 2 2 3 2 2 2 3" xfId="8974" xr:uid="{00000000-0005-0000-0000-0000813D0000}"/>
    <cellStyle name="Финансовый 36 2 2 3 2 2 2 3 2" xfId="8975" xr:uid="{00000000-0005-0000-0000-0000823D0000}"/>
    <cellStyle name="Финансовый 36 2 2 3 2 2 2 3 2 2" xfId="12060" xr:uid="{00000000-0005-0000-0000-0000833D0000}"/>
    <cellStyle name="Финансовый 36 2 2 3 2 2 2 3 2 2 2" xfId="29149" xr:uid="{2F1DAE56-CE4D-4517-A2C3-040A8A2054AF}"/>
    <cellStyle name="Финансовый 36 2 2 3 2 2 2 3 2 3" xfId="15292" xr:uid="{00000000-0005-0000-0000-0000843D0000}"/>
    <cellStyle name="Финансовый 36 2 2 3 2 2 2 3 2 3 2" xfId="32305" xr:uid="{99FE0C99-F377-4E54-B01B-DD4C01AA8C24}"/>
    <cellStyle name="Финансовый 36 2 2 3 2 2 2 3 2 4" xfId="18373" xr:uid="{00000000-0005-0000-0000-0000853D0000}"/>
    <cellStyle name="Финансовый 36 2 2 3 2 2 2 3 2 4 2" xfId="35386" xr:uid="{7726EB95-D79E-4BD3-ABCD-C95241BA9D47}"/>
    <cellStyle name="Финансовый 36 2 2 3 2 2 2 3 2 5" xfId="26076" xr:uid="{F5BD4F5A-195F-4F02-9AA1-14274A64AA20}"/>
    <cellStyle name="Финансовый 36 2 2 3 2 2 2 3 3" xfId="12059" xr:uid="{00000000-0005-0000-0000-0000863D0000}"/>
    <cellStyle name="Финансовый 36 2 2 3 2 2 2 3 3 2" xfId="29148" xr:uid="{6ECCB20D-5D10-401A-A5EC-6CB969234822}"/>
    <cellStyle name="Финансовый 36 2 2 3 2 2 2 3 4" xfId="15291" xr:uid="{00000000-0005-0000-0000-0000873D0000}"/>
    <cellStyle name="Финансовый 36 2 2 3 2 2 2 3 4 2" xfId="32304" xr:uid="{36223EEA-8FD0-4C7B-A501-83287880A31E}"/>
    <cellStyle name="Финансовый 36 2 2 3 2 2 2 3 5" xfId="18372" xr:uid="{00000000-0005-0000-0000-0000883D0000}"/>
    <cellStyle name="Финансовый 36 2 2 3 2 2 2 3 5 2" xfId="35385" xr:uid="{C3455DEF-B4C5-4B90-B8AB-3D11CED6A04A}"/>
    <cellStyle name="Финансовый 36 2 2 3 2 2 2 3 6" xfId="26075" xr:uid="{D1AAF306-CF42-4AC5-A751-DCD2F29E2EC1}"/>
    <cellStyle name="Финансовый 36 2 2 3 2 2 2 4" xfId="8976" xr:uid="{00000000-0005-0000-0000-0000893D0000}"/>
    <cellStyle name="Финансовый 36 2 2 3 2 2 2 4 2" xfId="12061" xr:uid="{00000000-0005-0000-0000-00008A3D0000}"/>
    <cellStyle name="Финансовый 36 2 2 3 2 2 2 4 2 2" xfId="29150" xr:uid="{39E4D89D-68D5-4BD3-A619-702BFEB5BD00}"/>
    <cellStyle name="Финансовый 36 2 2 3 2 2 2 4 3" xfId="15293" xr:uid="{00000000-0005-0000-0000-00008B3D0000}"/>
    <cellStyle name="Финансовый 36 2 2 3 2 2 2 4 3 2" xfId="32306" xr:uid="{7CB9B172-6410-4B7E-BDD5-CE30A1769B9F}"/>
    <cellStyle name="Финансовый 36 2 2 3 2 2 2 4 4" xfId="18374" xr:uid="{00000000-0005-0000-0000-00008C3D0000}"/>
    <cellStyle name="Финансовый 36 2 2 3 2 2 2 4 4 2" xfId="35387" xr:uid="{6962DC5C-4920-400F-8F92-C05F6CAFCC3D}"/>
    <cellStyle name="Финансовый 36 2 2 3 2 2 2 4 5" xfId="26077" xr:uid="{72D1028D-BC5C-480C-8884-03F98BF6C7D0}"/>
    <cellStyle name="Финансовый 36 2 2 3 2 2 2 5" xfId="12054" xr:uid="{00000000-0005-0000-0000-00008D3D0000}"/>
    <cellStyle name="Финансовый 36 2 2 3 2 2 2 5 2" xfId="29143" xr:uid="{9FCA3A53-EF87-4754-8469-9A8947EFDC16}"/>
    <cellStyle name="Финансовый 36 2 2 3 2 2 2 6" xfId="15286" xr:uid="{00000000-0005-0000-0000-00008E3D0000}"/>
    <cellStyle name="Финансовый 36 2 2 3 2 2 2 6 2" xfId="32299" xr:uid="{A8E054A3-C0B4-4249-9519-B2741EF067AC}"/>
    <cellStyle name="Финансовый 36 2 2 3 2 2 2 7" xfId="18367" xr:uid="{00000000-0005-0000-0000-00008F3D0000}"/>
    <cellStyle name="Финансовый 36 2 2 3 2 2 2 7 2" xfId="35380" xr:uid="{ABD4D719-2713-4F00-A2E8-D7AAE2DD7619}"/>
    <cellStyle name="Финансовый 36 2 2 3 2 2 2 8" xfId="26070" xr:uid="{57D1EEE1-DF1F-4000-A98C-094AAFE23B3A}"/>
    <cellStyle name="Финансовый 36 2 2 3 2 2 3" xfId="8977" xr:uid="{00000000-0005-0000-0000-0000903D0000}"/>
    <cellStyle name="Финансовый 36 2 2 3 2 2 3 2" xfId="8978" xr:uid="{00000000-0005-0000-0000-0000913D0000}"/>
    <cellStyle name="Финансовый 36 2 2 3 2 2 3 2 2" xfId="8979" xr:uid="{00000000-0005-0000-0000-0000923D0000}"/>
    <cellStyle name="Финансовый 36 2 2 3 2 2 3 2 2 2" xfId="12064" xr:uid="{00000000-0005-0000-0000-0000933D0000}"/>
    <cellStyle name="Финансовый 36 2 2 3 2 2 3 2 2 2 2" xfId="29153" xr:uid="{208045C1-F630-47F3-BB42-D0402B42776B}"/>
    <cellStyle name="Финансовый 36 2 2 3 2 2 3 2 2 3" xfId="15296" xr:uid="{00000000-0005-0000-0000-0000943D0000}"/>
    <cellStyle name="Финансовый 36 2 2 3 2 2 3 2 2 3 2" xfId="32309" xr:uid="{D9DC4C33-5083-4E7D-8F95-85B5C898EF2E}"/>
    <cellStyle name="Финансовый 36 2 2 3 2 2 3 2 2 4" xfId="18377" xr:uid="{00000000-0005-0000-0000-0000953D0000}"/>
    <cellStyle name="Финансовый 36 2 2 3 2 2 3 2 2 4 2" xfId="35390" xr:uid="{35561144-C2AC-4508-94B3-B013C528EFE9}"/>
    <cellStyle name="Финансовый 36 2 2 3 2 2 3 2 2 5" xfId="26080" xr:uid="{E89E60F7-1A86-4807-B098-1F95D5828E6D}"/>
    <cellStyle name="Финансовый 36 2 2 3 2 2 3 2 3" xfId="12063" xr:uid="{00000000-0005-0000-0000-0000963D0000}"/>
    <cellStyle name="Финансовый 36 2 2 3 2 2 3 2 3 2" xfId="29152" xr:uid="{46BFCFD1-A5ED-41A6-B54D-FF6DA64CFC26}"/>
    <cellStyle name="Финансовый 36 2 2 3 2 2 3 2 4" xfId="15295" xr:uid="{00000000-0005-0000-0000-0000973D0000}"/>
    <cellStyle name="Финансовый 36 2 2 3 2 2 3 2 4 2" xfId="32308" xr:uid="{0BCBB8EC-D49C-44FF-8E98-012C7D138F8E}"/>
    <cellStyle name="Финансовый 36 2 2 3 2 2 3 2 5" xfId="18376" xr:uid="{00000000-0005-0000-0000-0000983D0000}"/>
    <cellStyle name="Финансовый 36 2 2 3 2 2 3 2 5 2" xfId="35389" xr:uid="{7B6EEA2F-36D1-4DA7-A952-886B98A779C3}"/>
    <cellStyle name="Финансовый 36 2 2 3 2 2 3 2 6" xfId="26079" xr:uid="{F36EF6A9-3AC0-41C8-933D-2775C37EE18B}"/>
    <cellStyle name="Финансовый 36 2 2 3 2 2 3 3" xfId="8980" xr:uid="{00000000-0005-0000-0000-0000993D0000}"/>
    <cellStyle name="Финансовый 36 2 2 3 2 2 3 3 2" xfId="12065" xr:uid="{00000000-0005-0000-0000-00009A3D0000}"/>
    <cellStyle name="Финансовый 36 2 2 3 2 2 3 3 2 2" xfId="29154" xr:uid="{F794E58F-F06C-46C5-A7EA-A2414685B081}"/>
    <cellStyle name="Финансовый 36 2 2 3 2 2 3 3 3" xfId="15297" xr:uid="{00000000-0005-0000-0000-00009B3D0000}"/>
    <cellStyle name="Финансовый 36 2 2 3 2 2 3 3 3 2" xfId="32310" xr:uid="{8C0A2A20-FE6B-4296-9553-6C31E9CCEC43}"/>
    <cellStyle name="Финансовый 36 2 2 3 2 2 3 3 4" xfId="18378" xr:uid="{00000000-0005-0000-0000-00009C3D0000}"/>
    <cellStyle name="Финансовый 36 2 2 3 2 2 3 3 4 2" xfId="35391" xr:uid="{D001525B-FC5B-4396-9737-CBFCE49F31BC}"/>
    <cellStyle name="Финансовый 36 2 2 3 2 2 3 3 5" xfId="26081" xr:uid="{FA0BDF89-B367-4D81-BDAB-3BFF9B76DEAC}"/>
    <cellStyle name="Финансовый 36 2 2 3 2 2 3 4" xfId="12062" xr:uid="{00000000-0005-0000-0000-00009D3D0000}"/>
    <cellStyle name="Финансовый 36 2 2 3 2 2 3 4 2" xfId="29151" xr:uid="{14D3A1FD-C609-4E9E-9AC8-61DA9FA6DF42}"/>
    <cellStyle name="Финансовый 36 2 2 3 2 2 3 5" xfId="15294" xr:uid="{00000000-0005-0000-0000-00009E3D0000}"/>
    <cellStyle name="Финансовый 36 2 2 3 2 2 3 5 2" xfId="32307" xr:uid="{F69381E1-FC6C-420C-8A00-F00B1C0B17C2}"/>
    <cellStyle name="Финансовый 36 2 2 3 2 2 3 6" xfId="18375" xr:uid="{00000000-0005-0000-0000-00009F3D0000}"/>
    <cellStyle name="Финансовый 36 2 2 3 2 2 3 6 2" xfId="35388" xr:uid="{383DA82C-7697-4649-97EE-219380528F50}"/>
    <cellStyle name="Финансовый 36 2 2 3 2 2 3 7" xfId="26078" xr:uid="{E2B9EEA2-233E-444C-BA6E-1C44DF97B6F2}"/>
    <cellStyle name="Финансовый 36 2 2 3 2 2 4" xfId="8981" xr:uid="{00000000-0005-0000-0000-0000A03D0000}"/>
    <cellStyle name="Финансовый 36 2 2 3 2 2 4 2" xfId="8982" xr:uid="{00000000-0005-0000-0000-0000A13D0000}"/>
    <cellStyle name="Финансовый 36 2 2 3 2 2 4 2 2" xfId="12067" xr:uid="{00000000-0005-0000-0000-0000A23D0000}"/>
    <cellStyle name="Финансовый 36 2 2 3 2 2 4 2 2 2" xfId="29156" xr:uid="{CE62EC43-60F1-48F1-98E1-D572CA80C1FC}"/>
    <cellStyle name="Финансовый 36 2 2 3 2 2 4 2 3" xfId="15299" xr:uid="{00000000-0005-0000-0000-0000A33D0000}"/>
    <cellStyle name="Финансовый 36 2 2 3 2 2 4 2 3 2" xfId="32312" xr:uid="{FC61E8B9-6272-4414-8682-6CCB907E86EA}"/>
    <cellStyle name="Финансовый 36 2 2 3 2 2 4 2 4" xfId="18380" xr:uid="{00000000-0005-0000-0000-0000A43D0000}"/>
    <cellStyle name="Финансовый 36 2 2 3 2 2 4 2 4 2" xfId="35393" xr:uid="{39225A49-9D5E-4A70-9728-6733D2744048}"/>
    <cellStyle name="Финансовый 36 2 2 3 2 2 4 2 5" xfId="26083" xr:uid="{741D2B01-8713-49BB-8322-33F1D25FED23}"/>
    <cellStyle name="Финансовый 36 2 2 3 2 2 4 3" xfId="12066" xr:uid="{00000000-0005-0000-0000-0000A53D0000}"/>
    <cellStyle name="Финансовый 36 2 2 3 2 2 4 3 2" xfId="29155" xr:uid="{70550E60-7FE4-49DD-B6DD-DC0116D52184}"/>
    <cellStyle name="Финансовый 36 2 2 3 2 2 4 4" xfId="15298" xr:uid="{00000000-0005-0000-0000-0000A63D0000}"/>
    <cellStyle name="Финансовый 36 2 2 3 2 2 4 4 2" xfId="32311" xr:uid="{6BEADDC4-2AE2-458B-8D0D-F383FA437ED0}"/>
    <cellStyle name="Финансовый 36 2 2 3 2 2 4 5" xfId="18379" xr:uid="{00000000-0005-0000-0000-0000A73D0000}"/>
    <cellStyle name="Финансовый 36 2 2 3 2 2 4 5 2" xfId="35392" xr:uid="{1C83C477-F6B8-48DC-B93D-EEF57ECA2D01}"/>
    <cellStyle name="Финансовый 36 2 2 3 2 2 4 6" xfId="26082" xr:uid="{C7409E84-150B-4C3C-AE2A-97D0E24E69A2}"/>
    <cellStyle name="Финансовый 36 2 2 3 2 2 5" xfId="8983" xr:uid="{00000000-0005-0000-0000-0000A83D0000}"/>
    <cellStyle name="Финансовый 36 2 2 3 2 2 5 2" xfId="12068" xr:uid="{00000000-0005-0000-0000-0000A93D0000}"/>
    <cellStyle name="Финансовый 36 2 2 3 2 2 5 2 2" xfId="29157" xr:uid="{CA68113F-DF2E-4431-8690-741A3BCA941E}"/>
    <cellStyle name="Финансовый 36 2 2 3 2 2 5 3" xfId="15300" xr:uid="{00000000-0005-0000-0000-0000AA3D0000}"/>
    <cellStyle name="Финансовый 36 2 2 3 2 2 5 3 2" xfId="32313" xr:uid="{FB13FD3E-5EB3-4980-B0DE-1B22A0C1048D}"/>
    <cellStyle name="Финансовый 36 2 2 3 2 2 5 4" xfId="18381" xr:uid="{00000000-0005-0000-0000-0000AB3D0000}"/>
    <cellStyle name="Финансовый 36 2 2 3 2 2 5 4 2" xfId="35394" xr:uid="{B4359899-D6DC-47F6-B7BC-851DF16595FB}"/>
    <cellStyle name="Финансовый 36 2 2 3 2 2 5 5" xfId="26084" xr:uid="{E86EA3CA-1C54-4E0C-9211-171AF925F2B2}"/>
    <cellStyle name="Финансовый 36 2 2 3 2 2 6" xfId="12053" xr:uid="{00000000-0005-0000-0000-0000AC3D0000}"/>
    <cellStyle name="Финансовый 36 2 2 3 2 2 6 2" xfId="29142" xr:uid="{27AFD54A-1FE1-4F52-8243-49B3C8B3713F}"/>
    <cellStyle name="Финансовый 36 2 2 3 2 2 7" xfId="15285" xr:uid="{00000000-0005-0000-0000-0000AD3D0000}"/>
    <cellStyle name="Финансовый 36 2 2 3 2 2 7 2" xfId="32298" xr:uid="{2D16FB7B-CBE6-4F6C-AC87-CF91A76CC773}"/>
    <cellStyle name="Финансовый 36 2 2 3 2 2 8" xfId="18366" xr:uid="{00000000-0005-0000-0000-0000AE3D0000}"/>
    <cellStyle name="Финансовый 36 2 2 3 2 2 8 2" xfId="35379" xr:uid="{3943F6D4-F1F3-46E4-AB99-242DDBB12EDA}"/>
    <cellStyle name="Финансовый 36 2 2 3 2 2 9" xfId="26069" xr:uid="{66B0A8A4-1A3E-44D4-8B91-97CB9FB45A82}"/>
    <cellStyle name="Финансовый 36 2 2 3 2 3" xfId="8984" xr:uid="{00000000-0005-0000-0000-0000AF3D0000}"/>
    <cellStyle name="Финансовый 36 2 2 3 2 3 2" xfId="8985" xr:uid="{00000000-0005-0000-0000-0000B03D0000}"/>
    <cellStyle name="Финансовый 36 2 2 3 2 3 2 2" xfId="8986" xr:uid="{00000000-0005-0000-0000-0000B13D0000}"/>
    <cellStyle name="Финансовый 36 2 2 3 2 3 2 2 2" xfId="8987" xr:uid="{00000000-0005-0000-0000-0000B23D0000}"/>
    <cellStyle name="Финансовый 36 2 2 3 2 3 2 2 2 2" xfId="12072" xr:uid="{00000000-0005-0000-0000-0000B33D0000}"/>
    <cellStyle name="Финансовый 36 2 2 3 2 3 2 2 2 2 2" xfId="29161" xr:uid="{06667E17-6735-487F-AAC3-F45BD35771C6}"/>
    <cellStyle name="Финансовый 36 2 2 3 2 3 2 2 2 3" xfId="15304" xr:uid="{00000000-0005-0000-0000-0000B43D0000}"/>
    <cellStyle name="Финансовый 36 2 2 3 2 3 2 2 2 3 2" xfId="32317" xr:uid="{089FB4A9-0743-4E1B-A845-CC4597B5CCA8}"/>
    <cellStyle name="Финансовый 36 2 2 3 2 3 2 2 2 4" xfId="18385" xr:uid="{00000000-0005-0000-0000-0000B53D0000}"/>
    <cellStyle name="Финансовый 36 2 2 3 2 3 2 2 2 4 2" xfId="35398" xr:uid="{2B4DA6F1-C89F-4E96-93FB-44AB6FD26649}"/>
    <cellStyle name="Финансовый 36 2 2 3 2 3 2 2 2 5" xfId="26088" xr:uid="{BDEC6A64-66EB-4241-8AB1-FF11B2984348}"/>
    <cellStyle name="Финансовый 36 2 2 3 2 3 2 2 3" xfId="12071" xr:uid="{00000000-0005-0000-0000-0000B63D0000}"/>
    <cellStyle name="Финансовый 36 2 2 3 2 3 2 2 3 2" xfId="29160" xr:uid="{CCFE73D2-5311-41EA-9827-9A37327F2B34}"/>
    <cellStyle name="Финансовый 36 2 2 3 2 3 2 2 4" xfId="15303" xr:uid="{00000000-0005-0000-0000-0000B73D0000}"/>
    <cellStyle name="Финансовый 36 2 2 3 2 3 2 2 4 2" xfId="32316" xr:uid="{08855532-522C-4465-BF84-1EC3F7A6E434}"/>
    <cellStyle name="Финансовый 36 2 2 3 2 3 2 2 5" xfId="18384" xr:uid="{00000000-0005-0000-0000-0000B83D0000}"/>
    <cellStyle name="Финансовый 36 2 2 3 2 3 2 2 5 2" xfId="35397" xr:uid="{254F0583-101D-43AE-A8F0-D0C3B8DD6EDA}"/>
    <cellStyle name="Финансовый 36 2 2 3 2 3 2 2 6" xfId="26087" xr:uid="{6CE7CAF8-A55E-4CFE-97BA-3D25E54A9075}"/>
    <cellStyle name="Финансовый 36 2 2 3 2 3 2 3" xfId="8988" xr:uid="{00000000-0005-0000-0000-0000B93D0000}"/>
    <cellStyle name="Финансовый 36 2 2 3 2 3 2 3 2" xfId="12073" xr:uid="{00000000-0005-0000-0000-0000BA3D0000}"/>
    <cellStyle name="Финансовый 36 2 2 3 2 3 2 3 2 2" xfId="29162" xr:uid="{526F2A5F-1B3A-4EFD-A9CD-4B8025D0EDD3}"/>
    <cellStyle name="Финансовый 36 2 2 3 2 3 2 3 3" xfId="15305" xr:uid="{00000000-0005-0000-0000-0000BB3D0000}"/>
    <cellStyle name="Финансовый 36 2 2 3 2 3 2 3 3 2" xfId="32318" xr:uid="{ED5C0114-D6C8-4344-8B32-B1E5FA2735FF}"/>
    <cellStyle name="Финансовый 36 2 2 3 2 3 2 3 4" xfId="18386" xr:uid="{00000000-0005-0000-0000-0000BC3D0000}"/>
    <cellStyle name="Финансовый 36 2 2 3 2 3 2 3 4 2" xfId="35399" xr:uid="{91A19402-2029-406E-91EB-71F52C6D8B0A}"/>
    <cellStyle name="Финансовый 36 2 2 3 2 3 2 3 5" xfId="26089" xr:uid="{37F5CCE5-4D2F-4D26-A94C-17656658109F}"/>
    <cellStyle name="Финансовый 36 2 2 3 2 3 2 4" xfId="12070" xr:uid="{00000000-0005-0000-0000-0000BD3D0000}"/>
    <cellStyle name="Финансовый 36 2 2 3 2 3 2 4 2" xfId="29159" xr:uid="{396AC9F0-F0E9-4886-AA84-6B6C59637E27}"/>
    <cellStyle name="Финансовый 36 2 2 3 2 3 2 5" xfId="15302" xr:uid="{00000000-0005-0000-0000-0000BE3D0000}"/>
    <cellStyle name="Финансовый 36 2 2 3 2 3 2 5 2" xfId="32315" xr:uid="{EB4E937E-B17E-49E1-88C4-78AAAA1B2517}"/>
    <cellStyle name="Финансовый 36 2 2 3 2 3 2 6" xfId="18383" xr:uid="{00000000-0005-0000-0000-0000BF3D0000}"/>
    <cellStyle name="Финансовый 36 2 2 3 2 3 2 6 2" xfId="35396" xr:uid="{F5922421-F7AA-4DD7-BF4E-E5B346CE4C8E}"/>
    <cellStyle name="Финансовый 36 2 2 3 2 3 2 7" xfId="26086" xr:uid="{99BD0BDE-3C81-40D5-89A5-B540535F0403}"/>
    <cellStyle name="Финансовый 36 2 2 3 2 3 3" xfId="8989" xr:uid="{00000000-0005-0000-0000-0000C03D0000}"/>
    <cellStyle name="Финансовый 36 2 2 3 2 3 3 2" xfId="8990" xr:uid="{00000000-0005-0000-0000-0000C13D0000}"/>
    <cellStyle name="Финансовый 36 2 2 3 2 3 3 2 2" xfId="12075" xr:uid="{00000000-0005-0000-0000-0000C23D0000}"/>
    <cellStyle name="Финансовый 36 2 2 3 2 3 3 2 2 2" xfId="29164" xr:uid="{82BA238B-29DA-4257-AE23-6B84419A41F8}"/>
    <cellStyle name="Финансовый 36 2 2 3 2 3 3 2 3" xfId="15307" xr:uid="{00000000-0005-0000-0000-0000C33D0000}"/>
    <cellStyle name="Финансовый 36 2 2 3 2 3 3 2 3 2" xfId="32320" xr:uid="{02189E42-8CF3-40B9-AAC5-50EAB382D079}"/>
    <cellStyle name="Финансовый 36 2 2 3 2 3 3 2 4" xfId="18388" xr:uid="{00000000-0005-0000-0000-0000C43D0000}"/>
    <cellStyle name="Финансовый 36 2 2 3 2 3 3 2 4 2" xfId="35401" xr:uid="{250D4CC2-F701-401E-8BFD-8D2834C09111}"/>
    <cellStyle name="Финансовый 36 2 2 3 2 3 3 2 5" xfId="26091" xr:uid="{146811C1-2E1F-4C04-B91B-DA0A06A0B684}"/>
    <cellStyle name="Финансовый 36 2 2 3 2 3 3 3" xfId="12074" xr:uid="{00000000-0005-0000-0000-0000C53D0000}"/>
    <cellStyle name="Финансовый 36 2 2 3 2 3 3 3 2" xfId="29163" xr:uid="{663BF17E-2B73-431E-BB66-93A61E5BEED1}"/>
    <cellStyle name="Финансовый 36 2 2 3 2 3 3 4" xfId="15306" xr:uid="{00000000-0005-0000-0000-0000C63D0000}"/>
    <cellStyle name="Финансовый 36 2 2 3 2 3 3 4 2" xfId="32319" xr:uid="{D8FA42FA-2ED5-49CC-B315-ECDA4308D1AF}"/>
    <cellStyle name="Финансовый 36 2 2 3 2 3 3 5" xfId="18387" xr:uid="{00000000-0005-0000-0000-0000C73D0000}"/>
    <cellStyle name="Финансовый 36 2 2 3 2 3 3 5 2" xfId="35400" xr:uid="{0A74AA56-C546-44A3-A371-A1151C44CACA}"/>
    <cellStyle name="Финансовый 36 2 2 3 2 3 3 6" xfId="26090" xr:uid="{1F063935-316C-4721-92BB-21C7A4327B50}"/>
    <cellStyle name="Финансовый 36 2 2 3 2 3 4" xfId="8991" xr:uid="{00000000-0005-0000-0000-0000C83D0000}"/>
    <cellStyle name="Финансовый 36 2 2 3 2 3 4 2" xfId="12076" xr:uid="{00000000-0005-0000-0000-0000C93D0000}"/>
    <cellStyle name="Финансовый 36 2 2 3 2 3 4 2 2" xfId="29165" xr:uid="{ABC99C6D-7A69-4EAE-A790-E3FE90C29611}"/>
    <cellStyle name="Финансовый 36 2 2 3 2 3 4 3" xfId="15308" xr:uid="{00000000-0005-0000-0000-0000CA3D0000}"/>
    <cellStyle name="Финансовый 36 2 2 3 2 3 4 3 2" xfId="32321" xr:uid="{5ADB0CB4-0740-4CCB-987D-5C2977D84A24}"/>
    <cellStyle name="Финансовый 36 2 2 3 2 3 4 4" xfId="18389" xr:uid="{00000000-0005-0000-0000-0000CB3D0000}"/>
    <cellStyle name="Финансовый 36 2 2 3 2 3 4 4 2" xfId="35402" xr:uid="{799734FA-7157-46CB-ABA3-044FD26A7593}"/>
    <cellStyle name="Финансовый 36 2 2 3 2 3 4 5" xfId="26092" xr:uid="{9C48BA7B-BD7A-499C-B80A-B5FB274B6B9E}"/>
    <cellStyle name="Финансовый 36 2 2 3 2 3 5" xfId="12069" xr:uid="{00000000-0005-0000-0000-0000CC3D0000}"/>
    <cellStyle name="Финансовый 36 2 2 3 2 3 5 2" xfId="29158" xr:uid="{BA3DCB49-EDF4-4876-A2B2-63A72FCDFC97}"/>
    <cellStyle name="Финансовый 36 2 2 3 2 3 6" xfId="15301" xr:uid="{00000000-0005-0000-0000-0000CD3D0000}"/>
    <cellStyle name="Финансовый 36 2 2 3 2 3 6 2" xfId="32314" xr:uid="{53BFECF2-D24F-43F5-9DAF-57CDD96F0AF7}"/>
    <cellStyle name="Финансовый 36 2 2 3 2 3 7" xfId="18382" xr:uid="{00000000-0005-0000-0000-0000CE3D0000}"/>
    <cellStyle name="Финансовый 36 2 2 3 2 3 7 2" xfId="35395" xr:uid="{64C09859-004D-4C10-8411-66EC4D9A9525}"/>
    <cellStyle name="Финансовый 36 2 2 3 2 3 8" xfId="26085" xr:uid="{D32B7A21-051D-47BB-B634-E01209278362}"/>
    <cellStyle name="Финансовый 36 2 2 3 2 4" xfId="8992" xr:uid="{00000000-0005-0000-0000-0000CF3D0000}"/>
    <cellStyle name="Финансовый 36 2 2 3 2 4 2" xfId="8993" xr:uid="{00000000-0005-0000-0000-0000D03D0000}"/>
    <cellStyle name="Финансовый 36 2 2 3 2 4 2 2" xfId="8994" xr:uid="{00000000-0005-0000-0000-0000D13D0000}"/>
    <cellStyle name="Финансовый 36 2 2 3 2 4 2 2 2" xfId="12079" xr:uid="{00000000-0005-0000-0000-0000D23D0000}"/>
    <cellStyle name="Финансовый 36 2 2 3 2 4 2 2 2 2" xfId="29168" xr:uid="{937CAA1C-3905-44CC-8126-297CE430B28D}"/>
    <cellStyle name="Финансовый 36 2 2 3 2 4 2 2 3" xfId="15311" xr:uid="{00000000-0005-0000-0000-0000D33D0000}"/>
    <cellStyle name="Финансовый 36 2 2 3 2 4 2 2 3 2" xfId="32324" xr:uid="{5293673A-B383-48F1-A965-369C4E392071}"/>
    <cellStyle name="Финансовый 36 2 2 3 2 4 2 2 4" xfId="18392" xr:uid="{00000000-0005-0000-0000-0000D43D0000}"/>
    <cellStyle name="Финансовый 36 2 2 3 2 4 2 2 4 2" xfId="35405" xr:uid="{9E7B3930-D307-4241-9603-F0BE8F646C24}"/>
    <cellStyle name="Финансовый 36 2 2 3 2 4 2 2 5" xfId="26095" xr:uid="{CACCC717-31FF-4AF5-832F-5A6FFC5A9438}"/>
    <cellStyle name="Финансовый 36 2 2 3 2 4 2 3" xfId="12078" xr:uid="{00000000-0005-0000-0000-0000D53D0000}"/>
    <cellStyle name="Финансовый 36 2 2 3 2 4 2 3 2" xfId="29167" xr:uid="{73E84420-7906-4F92-AF3F-9AA9F3E54D9C}"/>
    <cellStyle name="Финансовый 36 2 2 3 2 4 2 4" xfId="15310" xr:uid="{00000000-0005-0000-0000-0000D63D0000}"/>
    <cellStyle name="Финансовый 36 2 2 3 2 4 2 4 2" xfId="32323" xr:uid="{FB33F229-B9D2-4D79-80A1-E374396E020C}"/>
    <cellStyle name="Финансовый 36 2 2 3 2 4 2 5" xfId="18391" xr:uid="{00000000-0005-0000-0000-0000D73D0000}"/>
    <cellStyle name="Финансовый 36 2 2 3 2 4 2 5 2" xfId="35404" xr:uid="{9C0C8C6F-85EA-4C63-8F93-D167C57E6BFD}"/>
    <cellStyle name="Финансовый 36 2 2 3 2 4 2 6" xfId="26094" xr:uid="{10226B71-EA34-492C-9B8D-9F9E4B87300C}"/>
    <cellStyle name="Финансовый 36 2 2 3 2 4 3" xfId="8995" xr:uid="{00000000-0005-0000-0000-0000D83D0000}"/>
    <cellStyle name="Финансовый 36 2 2 3 2 4 3 2" xfId="12080" xr:uid="{00000000-0005-0000-0000-0000D93D0000}"/>
    <cellStyle name="Финансовый 36 2 2 3 2 4 3 2 2" xfId="29169" xr:uid="{254CC261-B430-47C4-92DD-9BC581C9AC43}"/>
    <cellStyle name="Финансовый 36 2 2 3 2 4 3 3" xfId="15312" xr:uid="{00000000-0005-0000-0000-0000DA3D0000}"/>
    <cellStyle name="Финансовый 36 2 2 3 2 4 3 3 2" xfId="32325" xr:uid="{0A84617E-E5BC-4DE8-A979-9FE1C0881DD3}"/>
    <cellStyle name="Финансовый 36 2 2 3 2 4 3 4" xfId="18393" xr:uid="{00000000-0005-0000-0000-0000DB3D0000}"/>
    <cellStyle name="Финансовый 36 2 2 3 2 4 3 4 2" xfId="35406" xr:uid="{6BE2A1F8-B7F6-45A4-A3E7-A28FF8E772DD}"/>
    <cellStyle name="Финансовый 36 2 2 3 2 4 3 5" xfId="26096" xr:uid="{11B64A20-C545-4BC9-93A3-24BA9787C2C0}"/>
    <cellStyle name="Финансовый 36 2 2 3 2 4 4" xfId="12077" xr:uid="{00000000-0005-0000-0000-0000DC3D0000}"/>
    <cellStyle name="Финансовый 36 2 2 3 2 4 4 2" xfId="29166" xr:uid="{62C858A3-C6D5-4329-B3F7-CB317BD2774A}"/>
    <cellStyle name="Финансовый 36 2 2 3 2 4 5" xfId="15309" xr:uid="{00000000-0005-0000-0000-0000DD3D0000}"/>
    <cellStyle name="Финансовый 36 2 2 3 2 4 5 2" xfId="32322" xr:uid="{45F9F7AE-1DE2-4878-A6D5-A272A16F4AAA}"/>
    <cellStyle name="Финансовый 36 2 2 3 2 4 6" xfId="18390" xr:uid="{00000000-0005-0000-0000-0000DE3D0000}"/>
    <cellStyle name="Финансовый 36 2 2 3 2 4 6 2" xfId="35403" xr:uid="{23A07554-4EB7-43CC-AB35-58ABECBE3B1C}"/>
    <cellStyle name="Финансовый 36 2 2 3 2 4 7" xfId="26093" xr:uid="{BCE7DC28-FD80-4DAF-950B-0E6D93EA81A4}"/>
    <cellStyle name="Финансовый 36 2 2 3 2 5" xfId="8996" xr:uid="{00000000-0005-0000-0000-0000DF3D0000}"/>
    <cellStyle name="Финансовый 36 2 2 3 2 5 2" xfId="8997" xr:uid="{00000000-0005-0000-0000-0000E03D0000}"/>
    <cellStyle name="Финансовый 36 2 2 3 2 5 2 2" xfId="12082" xr:uid="{00000000-0005-0000-0000-0000E13D0000}"/>
    <cellStyle name="Финансовый 36 2 2 3 2 5 2 2 2" xfId="29171" xr:uid="{81A5D2AB-D38D-422B-A862-70C8E4124EBB}"/>
    <cellStyle name="Финансовый 36 2 2 3 2 5 2 3" xfId="15314" xr:uid="{00000000-0005-0000-0000-0000E23D0000}"/>
    <cellStyle name="Финансовый 36 2 2 3 2 5 2 3 2" xfId="32327" xr:uid="{05FDA097-8947-4194-98EF-520F2A3287F5}"/>
    <cellStyle name="Финансовый 36 2 2 3 2 5 2 4" xfId="18395" xr:uid="{00000000-0005-0000-0000-0000E33D0000}"/>
    <cellStyle name="Финансовый 36 2 2 3 2 5 2 4 2" xfId="35408" xr:uid="{8B02AE27-9990-4588-86EB-9C91DD36E3A7}"/>
    <cellStyle name="Финансовый 36 2 2 3 2 5 2 5" xfId="26098" xr:uid="{A0B1685F-6657-4A8F-BE45-8B075A237D61}"/>
    <cellStyle name="Финансовый 36 2 2 3 2 5 3" xfId="12081" xr:uid="{00000000-0005-0000-0000-0000E43D0000}"/>
    <cellStyle name="Финансовый 36 2 2 3 2 5 3 2" xfId="29170" xr:uid="{322F675D-43D3-48F4-9421-49DA2C9EB5C3}"/>
    <cellStyle name="Финансовый 36 2 2 3 2 5 4" xfId="15313" xr:uid="{00000000-0005-0000-0000-0000E53D0000}"/>
    <cellStyle name="Финансовый 36 2 2 3 2 5 4 2" xfId="32326" xr:uid="{EF10F226-6C6C-4D7F-9CB1-B874B8DE6145}"/>
    <cellStyle name="Финансовый 36 2 2 3 2 5 5" xfId="18394" xr:uid="{00000000-0005-0000-0000-0000E63D0000}"/>
    <cellStyle name="Финансовый 36 2 2 3 2 5 5 2" xfId="35407" xr:uid="{E027A0C6-9A56-47FE-A2E4-0CAE664D38AE}"/>
    <cellStyle name="Финансовый 36 2 2 3 2 5 6" xfId="26097" xr:uid="{63385FBC-4009-43D6-8DC0-7A9FE9692356}"/>
    <cellStyle name="Финансовый 36 2 2 3 2 6" xfId="8998" xr:uid="{00000000-0005-0000-0000-0000E73D0000}"/>
    <cellStyle name="Финансовый 36 2 2 3 2 6 2" xfId="12083" xr:uid="{00000000-0005-0000-0000-0000E83D0000}"/>
    <cellStyle name="Финансовый 36 2 2 3 2 6 2 2" xfId="29172" xr:uid="{976063D1-7A6E-4E3C-AFF9-D2114D72996C}"/>
    <cellStyle name="Финансовый 36 2 2 3 2 6 3" xfId="15315" xr:uid="{00000000-0005-0000-0000-0000E93D0000}"/>
    <cellStyle name="Финансовый 36 2 2 3 2 6 3 2" xfId="32328" xr:uid="{C9C1A0AC-0E94-4E52-B3A7-F5AE2232BBE3}"/>
    <cellStyle name="Финансовый 36 2 2 3 2 6 4" xfId="18396" xr:uid="{00000000-0005-0000-0000-0000EA3D0000}"/>
    <cellStyle name="Финансовый 36 2 2 3 2 6 4 2" xfId="35409" xr:uid="{BB98FEF4-6559-468F-9D3D-DECACA8AF11F}"/>
    <cellStyle name="Финансовый 36 2 2 3 2 6 5" xfId="26099" xr:uid="{4997C941-25C8-47A4-9891-EE276701B2D6}"/>
    <cellStyle name="Финансовый 36 2 2 3 2 7" xfId="12052" xr:uid="{00000000-0005-0000-0000-0000EB3D0000}"/>
    <cellStyle name="Финансовый 36 2 2 3 2 7 2" xfId="29141" xr:uid="{416D5859-81F1-4834-BB38-7827284C93E1}"/>
    <cellStyle name="Финансовый 36 2 2 3 2 8" xfId="15284" xr:uid="{00000000-0005-0000-0000-0000EC3D0000}"/>
    <cellStyle name="Финансовый 36 2 2 3 2 8 2" xfId="32297" xr:uid="{5FD07EEB-2AC4-4A40-BE7D-6F6A764B212D}"/>
    <cellStyle name="Финансовый 36 2 2 3 2 9" xfId="18365" xr:uid="{00000000-0005-0000-0000-0000ED3D0000}"/>
    <cellStyle name="Финансовый 36 2 2 3 2 9 2" xfId="35378" xr:uid="{7F9AB276-BD9F-40C7-BCC9-203559EDA801}"/>
    <cellStyle name="Финансовый 36 2 2 3 3" xfId="8999" xr:uid="{00000000-0005-0000-0000-0000EE3D0000}"/>
    <cellStyle name="Финансовый 36 2 2 3 3 2" xfId="9000" xr:uid="{00000000-0005-0000-0000-0000EF3D0000}"/>
    <cellStyle name="Финансовый 36 2 2 3 3 2 2" xfId="9001" xr:uid="{00000000-0005-0000-0000-0000F03D0000}"/>
    <cellStyle name="Финансовый 36 2 2 3 3 2 2 2" xfId="9002" xr:uid="{00000000-0005-0000-0000-0000F13D0000}"/>
    <cellStyle name="Финансовый 36 2 2 3 3 2 2 2 2" xfId="9003" xr:uid="{00000000-0005-0000-0000-0000F23D0000}"/>
    <cellStyle name="Финансовый 36 2 2 3 3 2 2 2 2 2" xfId="12088" xr:uid="{00000000-0005-0000-0000-0000F33D0000}"/>
    <cellStyle name="Финансовый 36 2 2 3 3 2 2 2 2 2 2" xfId="29177" xr:uid="{C496AE88-3988-4957-B688-24AF97AD2407}"/>
    <cellStyle name="Финансовый 36 2 2 3 3 2 2 2 2 3" xfId="15320" xr:uid="{00000000-0005-0000-0000-0000F43D0000}"/>
    <cellStyle name="Финансовый 36 2 2 3 3 2 2 2 2 3 2" xfId="32333" xr:uid="{8F528822-9494-4E73-AF6D-39E255D04D88}"/>
    <cellStyle name="Финансовый 36 2 2 3 3 2 2 2 2 4" xfId="18401" xr:uid="{00000000-0005-0000-0000-0000F53D0000}"/>
    <cellStyle name="Финансовый 36 2 2 3 3 2 2 2 2 4 2" xfId="35414" xr:uid="{12658291-A080-4A4D-ACA4-8D810BFB3D8D}"/>
    <cellStyle name="Финансовый 36 2 2 3 3 2 2 2 2 5" xfId="26104" xr:uid="{469F1B58-40AA-4589-98E9-30661ACFB21D}"/>
    <cellStyle name="Финансовый 36 2 2 3 3 2 2 2 3" xfId="12087" xr:uid="{00000000-0005-0000-0000-0000F63D0000}"/>
    <cellStyle name="Финансовый 36 2 2 3 3 2 2 2 3 2" xfId="29176" xr:uid="{DC61A13C-E435-4AAC-BFBA-B0B60EE292D8}"/>
    <cellStyle name="Финансовый 36 2 2 3 3 2 2 2 4" xfId="15319" xr:uid="{00000000-0005-0000-0000-0000F73D0000}"/>
    <cellStyle name="Финансовый 36 2 2 3 3 2 2 2 4 2" xfId="32332" xr:uid="{32622C20-C92B-4303-A738-863ADF372952}"/>
    <cellStyle name="Финансовый 36 2 2 3 3 2 2 2 5" xfId="18400" xr:uid="{00000000-0005-0000-0000-0000F83D0000}"/>
    <cellStyle name="Финансовый 36 2 2 3 3 2 2 2 5 2" xfId="35413" xr:uid="{4869651A-58FC-417D-818A-543BCCC5A073}"/>
    <cellStyle name="Финансовый 36 2 2 3 3 2 2 2 6" xfId="26103" xr:uid="{048BEBCE-6B82-44C4-B2FF-72D0DE4AFF8E}"/>
    <cellStyle name="Финансовый 36 2 2 3 3 2 2 3" xfId="9004" xr:uid="{00000000-0005-0000-0000-0000F93D0000}"/>
    <cellStyle name="Финансовый 36 2 2 3 3 2 2 3 2" xfId="12089" xr:uid="{00000000-0005-0000-0000-0000FA3D0000}"/>
    <cellStyle name="Финансовый 36 2 2 3 3 2 2 3 2 2" xfId="29178" xr:uid="{2D5ABD56-2669-4F4E-B44D-52E585684DC7}"/>
    <cellStyle name="Финансовый 36 2 2 3 3 2 2 3 3" xfId="15321" xr:uid="{00000000-0005-0000-0000-0000FB3D0000}"/>
    <cellStyle name="Финансовый 36 2 2 3 3 2 2 3 3 2" xfId="32334" xr:uid="{64B6AAC2-3327-4993-892F-E8AF970EEE94}"/>
    <cellStyle name="Финансовый 36 2 2 3 3 2 2 3 4" xfId="18402" xr:uid="{00000000-0005-0000-0000-0000FC3D0000}"/>
    <cellStyle name="Финансовый 36 2 2 3 3 2 2 3 4 2" xfId="35415" xr:uid="{84343855-320D-438E-84D9-86C8074B96C3}"/>
    <cellStyle name="Финансовый 36 2 2 3 3 2 2 3 5" xfId="26105" xr:uid="{CC687351-97C7-4146-A991-2DA4A1C4CBC6}"/>
    <cellStyle name="Финансовый 36 2 2 3 3 2 2 4" xfId="12086" xr:uid="{00000000-0005-0000-0000-0000FD3D0000}"/>
    <cellStyle name="Финансовый 36 2 2 3 3 2 2 4 2" xfId="29175" xr:uid="{84572F09-E1B3-4937-9650-6A2B28C972FF}"/>
    <cellStyle name="Финансовый 36 2 2 3 3 2 2 5" xfId="15318" xr:uid="{00000000-0005-0000-0000-0000FE3D0000}"/>
    <cellStyle name="Финансовый 36 2 2 3 3 2 2 5 2" xfId="32331" xr:uid="{26B55590-8850-4260-9724-16F828290DAF}"/>
    <cellStyle name="Финансовый 36 2 2 3 3 2 2 6" xfId="18399" xr:uid="{00000000-0005-0000-0000-0000FF3D0000}"/>
    <cellStyle name="Финансовый 36 2 2 3 3 2 2 6 2" xfId="35412" xr:uid="{6F809576-151C-4F57-966F-5E36C01C1FF5}"/>
    <cellStyle name="Финансовый 36 2 2 3 3 2 2 7" xfId="26102" xr:uid="{F5FC987F-08F6-4E38-B6E0-749347DB8E1A}"/>
    <cellStyle name="Финансовый 36 2 2 3 3 2 3" xfId="9005" xr:uid="{00000000-0005-0000-0000-0000003E0000}"/>
    <cellStyle name="Финансовый 36 2 2 3 3 2 3 2" xfId="9006" xr:uid="{00000000-0005-0000-0000-0000013E0000}"/>
    <cellStyle name="Финансовый 36 2 2 3 3 2 3 2 2" xfId="12091" xr:uid="{00000000-0005-0000-0000-0000023E0000}"/>
    <cellStyle name="Финансовый 36 2 2 3 3 2 3 2 2 2" xfId="29180" xr:uid="{A3927055-5926-4433-B515-A6DCF7962CA3}"/>
    <cellStyle name="Финансовый 36 2 2 3 3 2 3 2 3" xfId="15323" xr:uid="{00000000-0005-0000-0000-0000033E0000}"/>
    <cellStyle name="Финансовый 36 2 2 3 3 2 3 2 3 2" xfId="32336" xr:uid="{1B9C4821-9905-4779-B67F-48625A95BD4C}"/>
    <cellStyle name="Финансовый 36 2 2 3 3 2 3 2 4" xfId="18404" xr:uid="{00000000-0005-0000-0000-0000043E0000}"/>
    <cellStyle name="Финансовый 36 2 2 3 3 2 3 2 4 2" xfId="35417" xr:uid="{0294901B-E1E8-4E8E-957B-A7C363143045}"/>
    <cellStyle name="Финансовый 36 2 2 3 3 2 3 2 5" xfId="26107" xr:uid="{3197783C-CB04-4F83-B44D-211AE0B48CEB}"/>
    <cellStyle name="Финансовый 36 2 2 3 3 2 3 3" xfId="12090" xr:uid="{00000000-0005-0000-0000-0000053E0000}"/>
    <cellStyle name="Финансовый 36 2 2 3 3 2 3 3 2" xfId="29179" xr:uid="{8B49283C-70DA-420F-89FF-8CCAD6B0A507}"/>
    <cellStyle name="Финансовый 36 2 2 3 3 2 3 4" xfId="15322" xr:uid="{00000000-0005-0000-0000-0000063E0000}"/>
    <cellStyle name="Финансовый 36 2 2 3 3 2 3 4 2" xfId="32335" xr:uid="{62A30147-5919-451A-9391-45CF47B3BA0F}"/>
    <cellStyle name="Финансовый 36 2 2 3 3 2 3 5" xfId="18403" xr:uid="{00000000-0005-0000-0000-0000073E0000}"/>
    <cellStyle name="Финансовый 36 2 2 3 3 2 3 5 2" xfId="35416" xr:uid="{EADF5C63-73B3-4ACA-A68E-4C2587FC5D18}"/>
    <cellStyle name="Финансовый 36 2 2 3 3 2 3 6" xfId="26106" xr:uid="{2E419FE7-3EA6-42C3-A9A2-9CFC6C7890E8}"/>
    <cellStyle name="Финансовый 36 2 2 3 3 2 4" xfId="9007" xr:uid="{00000000-0005-0000-0000-0000083E0000}"/>
    <cellStyle name="Финансовый 36 2 2 3 3 2 4 2" xfId="12092" xr:uid="{00000000-0005-0000-0000-0000093E0000}"/>
    <cellStyle name="Финансовый 36 2 2 3 3 2 4 2 2" xfId="29181" xr:uid="{E37A4034-6BB4-4FD9-BFC5-00A1653939B6}"/>
    <cellStyle name="Финансовый 36 2 2 3 3 2 4 3" xfId="15324" xr:uid="{00000000-0005-0000-0000-00000A3E0000}"/>
    <cellStyle name="Финансовый 36 2 2 3 3 2 4 3 2" xfId="32337" xr:uid="{6F430BCE-9303-4937-ABB8-889E15C57A8B}"/>
    <cellStyle name="Финансовый 36 2 2 3 3 2 4 4" xfId="18405" xr:uid="{00000000-0005-0000-0000-00000B3E0000}"/>
    <cellStyle name="Финансовый 36 2 2 3 3 2 4 4 2" xfId="35418" xr:uid="{485DCC19-F1F6-425E-BD4E-EDA2587774C0}"/>
    <cellStyle name="Финансовый 36 2 2 3 3 2 4 5" xfId="26108" xr:uid="{1632A760-E026-443D-8B20-A10A8FCD0838}"/>
    <cellStyle name="Финансовый 36 2 2 3 3 2 5" xfId="12085" xr:uid="{00000000-0005-0000-0000-00000C3E0000}"/>
    <cellStyle name="Финансовый 36 2 2 3 3 2 5 2" xfId="29174" xr:uid="{770D7056-93DF-4C2F-97AC-E3F276E6DB86}"/>
    <cellStyle name="Финансовый 36 2 2 3 3 2 6" xfId="15317" xr:uid="{00000000-0005-0000-0000-00000D3E0000}"/>
    <cellStyle name="Финансовый 36 2 2 3 3 2 6 2" xfId="32330" xr:uid="{D4EAEC17-FA11-46E5-B4C1-0FB7DF4473D6}"/>
    <cellStyle name="Финансовый 36 2 2 3 3 2 7" xfId="18398" xr:uid="{00000000-0005-0000-0000-00000E3E0000}"/>
    <cellStyle name="Финансовый 36 2 2 3 3 2 7 2" xfId="35411" xr:uid="{29C275DA-6D5A-48A0-A020-CD590FAEA15F}"/>
    <cellStyle name="Финансовый 36 2 2 3 3 2 8" xfId="26101" xr:uid="{A21CD83E-DE4C-453A-867A-85AAD2F01174}"/>
    <cellStyle name="Финансовый 36 2 2 3 3 3" xfId="9008" xr:uid="{00000000-0005-0000-0000-00000F3E0000}"/>
    <cellStyle name="Финансовый 36 2 2 3 3 3 2" xfId="9009" xr:uid="{00000000-0005-0000-0000-0000103E0000}"/>
    <cellStyle name="Финансовый 36 2 2 3 3 3 2 2" xfId="9010" xr:uid="{00000000-0005-0000-0000-0000113E0000}"/>
    <cellStyle name="Финансовый 36 2 2 3 3 3 2 2 2" xfId="12095" xr:uid="{00000000-0005-0000-0000-0000123E0000}"/>
    <cellStyle name="Финансовый 36 2 2 3 3 3 2 2 2 2" xfId="29184" xr:uid="{A4CA80A9-543B-44E0-A133-6C2E1228B448}"/>
    <cellStyle name="Финансовый 36 2 2 3 3 3 2 2 3" xfId="15327" xr:uid="{00000000-0005-0000-0000-0000133E0000}"/>
    <cellStyle name="Финансовый 36 2 2 3 3 3 2 2 3 2" xfId="32340" xr:uid="{6414BA95-74CA-4D90-9066-DCF5832905C6}"/>
    <cellStyle name="Финансовый 36 2 2 3 3 3 2 2 4" xfId="18408" xr:uid="{00000000-0005-0000-0000-0000143E0000}"/>
    <cellStyle name="Финансовый 36 2 2 3 3 3 2 2 4 2" xfId="35421" xr:uid="{F1BB6A35-FB38-4657-BDBB-8254A9877C40}"/>
    <cellStyle name="Финансовый 36 2 2 3 3 3 2 2 5" xfId="26111" xr:uid="{DE309D54-5AD7-4A80-A5A6-F437AEE89A78}"/>
    <cellStyle name="Финансовый 36 2 2 3 3 3 2 3" xfId="12094" xr:uid="{00000000-0005-0000-0000-0000153E0000}"/>
    <cellStyle name="Финансовый 36 2 2 3 3 3 2 3 2" xfId="29183" xr:uid="{AD1EE9CE-F69D-4E7B-BC02-F7FB41498B80}"/>
    <cellStyle name="Финансовый 36 2 2 3 3 3 2 4" xfId="15326" xr:uid="{00000000-0005-0000-0000-0000163E0000}"/>
    <cellStyle name="Финансовый 36 2 2 3 3 3 2 4 2" xfId="32339" xr:uid="{3CB03465-2191-4CA4-8146-35606F2C6C3A}"/>
    <cellStyle name="Финансовый 36 2 2 3 3 3 2 5" xfId="18407" xr:uid="{00000000-0005-0000-0000-0000173E0000}"/>
    <cellStyle name="Финансовый 36 2 2 3 3 3 2 5 2" xfId="35420" xr:uid="{B46D3947-E0DC-45B2-99E0-BDA3B9603A55}"/>
    <cellStyle name="Финансовый 36 2 2 3 3 3 2 6" xfId="26110" xr:uid="{2D063305-5BAF-4A5D-BF3C-045150ECCE7D}"/>
    <cellStyle name="Финансовый 36 2 2 3 3 3 3" xfId="9011" xr:uid="{00000000-0005-0000-0000-0000183E0000}"/>
    <cellStyle name="Финансовый 36 2 2 3 3 3 3 2" xfId="12096" xr:uid="{00000000-0005-0000-0000-0000193E0000}"/>
    <cellStyle name="Финансовый 36 2 2 3 3 3 3 2 2" xfId="29185" xr:uid="{F2BA43D7-05FB-4BE1-B79F-B05732058B9F}"/>
    <cellStyle name="Финансовый 36 2 2 3 3 3 3 3" xfId="15328" xr:uid="{00000000-0005-0000-0000-00001A3E0000}"/>
    <cellStyle name="Финансовый 36 2 2 3 3 3 3 3 2" xfId="32341" xr:uid="{88C7562A-438E-4344-9EFF-66A188ECB43A}"/>
    <cellStyle name="Финансовый 36 2 2 3 3 3 3 4" xfId="18409" xr:uid="{00000000-0005-0000-0000-00001B3E0000}"/>
    <cellStyle name="Финансовый 36 2 2 3 3 3 3 4 2" xfId="35422" xr:uid="{70836E57-6A0F-4088-AA89-EB5121ECD7B8}"/>
    <cellStyle name="Финансовый 36 2 2 3 3 3 3 5" xfId="26112" xr:uid="{C4B24279-DD8B-4079-800C-E5E6556D2ADA}"/>
    <cellStyle name="Финансовый 36 2 2 3 3 3 4" xfId="12093" xr:uid="{00000000-0005-0000-0000-00001C3E0000}"/>
    <cellStyle name="Финансовый 36 2 2 3 3 3 4 2" xfId="29182" xr:uid="{4B52B6DF-1AC5-4DB6-B4F2-DF72E7748EAC}"/>
    <cellStyle name="Финансовый 36 2 2 3 3 3 5" xfId="15325" xr:uid="{00000000-0005-0000-0000-00001D3E0000}"/>
    <cellStyle name="Финансовый 36 2 2 3 3 3 5 2" xfId="32338" xr:uid="{A90112A9-A7E7-4AE0-847E-CC0D514BF841}"/>
    <cellStyle name="Финансовый 36 2 2 3 3 3 6" xfId="18406" xr:uid="{00000000-0005-0000-0000-00001E3E0000}"/>
    <cellStyle name="Финансовый 36 2 2 3 3 3 6 2" xfId="35419" xr:uid="{FF786876-0AB7-4D0F-B494-FD2C0A8D4CFB}"/>
    <cellStyle name="Финансовый 36 2 2 3 3 3 7" xfId="26109" xr:uid="{6C4BA4D8-C774-4B3C-93FA-1253E93AD96E}"/>
    <cellStyle name="Финансовый 36 2 2 3 3 4" xfId="9012" xr:uid="{00000000-0005-0000-0000-00001F3E0000}"/>
    <cellStyle name="Финансовый 36 2 2 3 3 4 2" xfId="9013" xr:uid="{00000000-0005-0000-0000-0000203E0000}"/>
    <cellStyle name="Финансовый 36 2 2 3 3 4 2 2" xfId="12098" xr:uid="{00000000-0005-0000-0000-0000213E0000}"/>
    <cellStyle name="Финансовый 36 2 2 3 3 4 2 2 2" xfId="29187" xr:uid="{0557E213-62F5-40F6-8C9D-39784A053727}"/>
    <cellStyle name="Финансовый 36 2 2 3 3 4 2 3" xfId="15330" xr:uid="{00000000-0005-0000-0000-0000223E0000}"/>
    <cellStyle name="Финансовый 36 2 2 3 3 4 2 3 2" xfId="32343" xr:uid="{2DFE04C3-BDA3-4B0E-839C-CC8727ED72F2}"/>
    <cellStyle name="Финансовый 36 2 2 3 3 4 2 4" xfId="18411" xr:uid="{00000000-0005-0000-0000-0000233E0000}"/>
    <cellStyle name="Финансовый 36 2 2 3 3 4 2 4 2" xfId="35424" xr:uid="{9BE1F3FB-442D-4290-93B2-64E105741712}"/>
    <cellStyle name="Финансовый 36 2 2 3 3 4 2 5" xfId="26114" xr:uid="{E0F16D30-8EF0-46B3-9D4D-16BF12B6086A}"/>
    <cellStyle name="Финансовый 36 2 2 3 3 4 3" xfId="12097" xr:uid="{00000000-0005-0000-0000-0000243E0000}"/>
    <cellStyle name="Финансовый 36 2 2 3 3 4 3 2" xfId="29186" xr:uid="{977D909D-D301-4980-80D6-B071E25BA860}"/>
    <cellStyle name="Финансовый 36 2 2 3 3 4 4" xfId="15329" xr:uid="{00000000-0005-0000-0000-0000253E0000}"/>
    <cellStyle name="Финансовый 36 2 2 3 3 4 4 2" xfId="32342" xr:uid="{1F308281-FA24-4977-B70D-7CE7D477DFF4}"/>
    <cellStyle name="Финансовый 36 2 2 3 3 4 5" xfId="18410" xr:uid="{00000000-0005-0000-0000-0000263E0000}"/>
    <cellStyle name="Финансовый 36 2 2 3 3 4 5 2" xfId="35423" xr:uid="{3967674A-A347-41D2-9BD3-CB0B9D8CBE99}"/>
    <cellStyle name="Финансовый 36 2 2 3 3 4 6" xfId="26113" xr:uid="{A9C5EAF9-C811-4AC9-84BD-6D7CA9731231}"/>
    <cellStyle name="Финансовый 36 2 2 3 3 5" xfId="9014" xr:uid="{00000000-0005-0000-0000-0000273E0000}"/>
    <cellStyle name="Финансовый 36 2 2 3 3 5 2" xfId="12099" xr:uid="{00000000-0005-0000-0000-0000283E0000}"/>
    <cellStyle name="Финансовый 36 2 2 3 3 5 2 2" xfId="29188" xr:uid="{37C1A5A4-15D6-42EE-8A41-BDDC5557A86B}"/>
    <cellStyle name="Финансовый 36 2 2 3 3 5 3" xfId="15331" xr:uid="{00000000-0005-0000-0000-0000293E0000}"/>
    <cellStyle name="Финансовый 36 2 2 3 3 5 3 2" xfId="32344" xr:uid="{8994BE67-AAA4-48EC-9416-9683C87DDBD6}"/>
    <cellStyle name="Финансовый 36 2 2 3 3 5 4" xfId="18412" xr:uid="{00000000-0005-0000-0000-00002A3E0000}"/>
    <cellStyle name="Финансовый 36 2 2 3 3 5 4 2" xfId="35425" xr:uid="{C526983B-1A89-4377-A127-39BC8804CABF}"/>
    <cellStyle name="Финансовый 36 2 2 3 3 5 5" xfId="26115" xr:uid="{C89C5BDC-04E4-4FFD-9A83-01B98CED8511}"/>
    <cellStyle name="Финансовый 36 2 2 3 3 6" xfId="12084" xr:uid="{00000000-0005-0000-0000-00002B3E0000}"/>
    <cellStyle name="Финансовый 36 2 2 3 3 6 2" xfId="29173" xr:uid="{C1ABE63A-B489-41F2-91FE-209902F9E394}"/>
    <cellStyle name="Финансовый 36 2 2 3 3 7" xfId="15316" xr:uid="{00000000-0005-0000-0000-00002C3E0000}"/>
    <cellStyle name="Финансовый 36 2 2 3 3 7 2" xfId="32329" xr:uid="{76EB7174-9265-498D-91FD-82DA60F97E49}"/>
    <cellStyle name="Финансовый 36 2 2 3 3 8" xfId="18397" xr:uid="{00000000-0005-0000-0000-00002D3E0000}"/>
    <cellStyle name="Финансовый 36 2 2 3 3 8 2" xfId="35410" xr:uid="{BCDC9A01-D873-44C6-A2C9-198B2144D3DA}"/>
    <cellStyle name="Финансовый 36 2 2 3 3 9" xfId="26100" xr:uid="{51918C56-203E-4FDF-9EAD-D32731BBAF38}"/>
    <cellStyle name="Финансовый 36 2 2 3 4" xfId="9015" xr:uid="{00000000-0005-0000-0000-00002E3E0000}"/>
    <cellStyle name="Финансовый 36 2 2 3 4 2" xfId="9016" xr:uid="{00000000-0005-0000-0000-00002F3E0000}"/>
    <cellStyle name="Финансовый 36 2 2 3 4 2 2" xfId="9017" xr:uid="{00000000-0005-0000-0000-0000303E0000}"/>
    <cellStyle name="Финансовый 36 2 2 3 4 2 2 2" xfId="9018" xr:uid="{00000000-0005-0000-0000-0000313E0000}"/>
    <cellStyle name="Финансовый 36 2 2 3 4 2 2 2 2" xfId="12103" xr:uid="{00000000-0005-0000-0000-0000323E0000}"/>
    <cellStyle name="Финансовый 36 2 2 3 4 2 2 2 2 2" xfId="29192" xr:uid="{A6BABB67-3A32-4D55-9D60-9983DB249318}"/>
    <cellStyle name="Финансовый 36 2 2 3 4 2 2 2 3" xfId="15335" xr:uid="{00000000-0005-0000-0000-0000333E0000}"/>
    <cellStyle name="Финансовый 36 2 2 3 4 2 2 2 3 2" xfId="32348" xr:uid="{C48024E1-1BA1-4B4B-A417-A9470460B477}"/>
    <cellStyle name="Финансовый 36 2 2 3 4 2 2 2 4" xfId="18416" xr:uid="{00000000-0005-0000-0000-0000343E0000}"/>
    <cellStyle name="Финансовый 36 2 2 3 4 2 2 2 4 2" xfId="35429" xr:uid="{0F929DFF-138B-46BF-9992-C375A9963A36}"/>
    <cellStyle name="Финансовый 36 2 2 3 4 2 2 2 5" xfId="26119" xr:uid="{521CBFCD-096A-4645-9EC2-6F171F0AA07B}"/>
    <cellStyle name="Финансовый 36 2 2 3 4 2 2 3" xfId="12102" xr:uid="{00000000-0005-0000-0000-0000353E0000}"/>
    <cellStyle name="Финансовый 36 2 2 3 4 2 2 3 2" xfId="29191" xr:uid="{BB1D771C-2375-49A7-8178-67617E644EAA}"/>
    <cellStyle name="Финансовый 36 2 2 3 4 2 2 4" xfId="15334" xr:uid="{00000000-0005-0000-0000-0000363E0000}"/>
    <cellStyle name="Финансовый 36 2 2 3 4 2 2 4 2" xfId="32347" xr:uid="{140C8D1D-C76A-4E8B-9B35-AD701AC3541D}"/>
    <cellStyle name="Финансовый 36 2 2 3 4 2 2 5" xfId="18415" xr:uid="{00000000-0005-0000-0000-0000373E0000}"/>
    <cellStyle name="Финансовый 36 2 2 3 4 2 2 5 2" xfId="35428" xr:uid="{FBCD4FF8-09D0-4BEC-B32F-E059F9858A5F}"/>
    <cellStyle name="Финансовый 36 2 2 3 4 2 2 6" xfId="26118" xr:uid="{5A32C8A6-DF5C-4F36-968F-5E0434BDA520}"/>
    <cellStyle name="Финансовый 36 2 2 3 4 2 3" xfId="9019" xr:uid="{00000000-0005-0000-0000-0000383E0000}"/>
    <cellStyle name="Финансовый 36 2 2 3 4 2 3 2" xfId="12104" xr:uid="{00000000-0005-0000-0000-0000393E0000}"/>
    <cellStyle name="Финансовый 36 2 2 3 4 2 3 2 2" xfId="29193" xr:uid="{4594BD53-A2E7-46CA-B482-5CA868BA395F}"/>
    <cellStyle name="Финансовый 36 2 2 3 4 2 3 3" xfId="15336" xr:uid="{00000000-0005-0000-0000-00003A3E0000}"/>
    <cellStyle name="Финансовый 36 2 2 3 4 2 3 3 2" xfId="32349" xr:uid="{8B9601AE-DD6E-4BA7-B6AF-2E5894F64006}"/>
    <cellStyle name="Финансовый 36 2 2 3 4 2 3 4" xfId="18417" xr:uid="{00000000-0005-0000-0000-00003B3E0000}"/>
    <cellStyle name="Финансовый 36 2 2 3 4 2 3 4 2" xfId="35430" xr:uid="{F6B571AD-C4F8-4B6D-8109-E83B45C50B78}"/>
    <cellStyle name="Финансовый 36 2 2 3 4 2 3 5" xfId="26120" xr:uid="{B67DB012-0AFA-4C57-AA9A-82E1AA236424}"/>
    <cellStyle name="Финансовый 36 2 2 3 4 2 4" xfId="12101" xr:uid="{00000000-0005-0000-0000-00003C3E0000}"/>
    <cellStyle name="Финансовый 36 2 2 3 4 2 4 2" xfId="29190" xr:uid="{B1B0BC80-6C15-4D22-AA51-D522786BC3CE}"/>
    <cellStyle name="Финансовый 36 2 2 3 4 2 5" xfId="15333" xr:uid="{00000000-0005-0000-0000-00003D3E0000}"/>
    <cellStyle name="Финансовый 36 2 2 3 4 2 5 2" xfId="32346" xr:uid="{E414B2A7-91C6-4F5D-950F-281F9E902592}"/>
    <cellStyle name="Финансовый 36 2 2 3 4 2 6" xfId="18414" xr:uid="{00000000-0005-0000-0000-00003E3E0000}"/>
    <cellStyle name="Финансовый 36 2 2 3 4 2 6 2" xfId="35427" xr:uid="{D8C94B17-68D6-490B-A228-19676860ACF9}"/>
    <cellStyle name="Финансовый 36 2 2 3 4 2 7" xfId="26117" xr:uid="{BEDA5CBC-14E3-4036-842E-914551E564FF}"/>
    <cellStyle name="Финансовый 36 2 2 3 4 3" xfId="9020" xr:uid="{00000000-0005-0000-0000-00003F3E0000}"/>
    <cellStyle name="Финансовый 36 2 2 3 4 3 2" xfId="9021" xr:uid="{00000000-0005-0000-0000-0000403E0000}"/>
    <cellStyle name="Финансовый 36 2 2 3 4 3 2 2" xfId="12106" xr:uid="{00000000-0005-0000-0000-0000413E0000}"/>
    <cellStyle name="Финансовый 36 2 2 3 4 3 2 2 2" xfId="29195" xr:uid="{B23C32B2-8188-4EC8-8259-2285BC1850BA}"/>
    <cellStyle name="Финансовый 36 2 2 3 4 3 2 3" xfId="15338" xr:uid="{00000000-0005-0000-0000-0000423E0000}"/>
    <cellStyle name="Финансовый 36 2 2 3 4 3 2 3 2" xfId="32351" xr:uid="{31D0C4E5-77E6-4BB5-B8FE-C3C3B1FFE5BF}"/>
    <cellStyle name="Финансовый 36 2 2 3 4 3 2 4" xfId="18419" xr:uid="{00000000-0005-0000-0000-0000433E0000}"/>
    <cellStyle name="Финансовый 36 2 2 3 4 3 2 4 2" xfId="35432" xr:uid="{D4B53E7C-5559-49B8-9DE0-6AE0574EDCB6}"/>
    <cellStyle name="Финансовый 36 2 2 3 4 3 2 5" xfId="26122" xr:uid="{6BBA9F5F-3BEB-4126-B89B-644A47D407B3}"/>
    <cellStyle name="Финансовый 36 2 2 3 4 3 3" xfId="12105" xr:uid="{00000000-0005-0000-0000-0000443E0000}"/>
    <cellStyle name="Финансовый 36 2 2 3 4 3 3 2" xfId="29194" xr:uid="{7B395F0C-7915-4788-A9BB-5ED5239093F0}"/>
    <cellStyle name="Финансовый 36 2 2 3 4 3 4" xfId="15337" xr:uid="{00000000-0005-0000-0000-0000453E0000}"/>
    <cellStyle name="Финансовый 36 2 2 3 4 3 4 2" xfId="32350" xr:uid="{F2909234-79DE-488F-B0BD-76F4172042CB}"/>
    <cellStyle name="Финансовый 36 2 2 3 4 3 5" xfId="18418" xr:uid="{00000000-0005-0000-0000-0000463E0000}"/>
    <cellStyle name="Финансовый 36 2 2 3 4 3 5 2" xfId="35431" xr:uid="{A4796293-09C2-41C5-8137-4A97D91558B7}"/>
    <cellStyle name="Финансовый 36 2 2 3 4 3 6" xfId="26121" xr:uid="{DA70534D-210D-40B3-9B3F-E415682B3904}"/>
    <cellStyle name="Финансовый 36 2 2 3 4 4" xfId="9022" xr:uid="{00000000-0005-0000-0000-0000473E0000}"/>
    <cellStyle name="Финансовый 36 2 2 3 4 4 2" xfId="12107" xr:uid="{00000000-0005-0000-0000-0000483E0000}"/>
    <cellStyle name="Финансовый 36 2 2 3 4 4 2 2" xfId="29196" xr:uid="{FE11BFFA-16B0-4A22-BB04-E3E4F77A1565}"/>
    <cellStyle name="Финансовый 36 2 2 3 4 4 3" xfId="15339" xr:uid="{00000000-0005-0000-0000-0000493E0000}"/>
    <cellStyle name="Финансовый 36 2 2 3 4 4 3 2" xfId="32352" xr:uid="{CB5CDC9F-F7E6-45F5-AF43-55BD25869C8F}"/>
    <cellStyle name="Финансовый 36 2 2 3 4 4 4" xfId="18420" xr:uid="{00000000-0005-0000-0000-00004A3E0000}"/>
    <cellStyle name="Финансовый 36 2 2 3 4 4 4 2" xfId="35433" xr:uid="{A1C3A110-3E30-48C3-A6E9-D73137A067D5}"/>
    <cellStyle name="Финансовый 36 2 2 3 4 4 5" xfId="26123" xr:uid="{403A6706-1528-4E0A-9D51-287F5FD44B86}"/>
    <cellStyle name="Финансовый 36 2 2 3 4 5" xfId="12100" xr:uid="{00000000-0005-0000-0000-00004B3E0000}"/>
    <cellStyle name="Финансовый 36 2 2 3 4 5 2" xfId="29189" xr:uid="{CB687C6C-7096-4F9C-8FE4-A38A813F0C09}"/>
    <cellStyle name="Финансовый 36 2 2 3 4 6" xfId="15332" xr:uid="{00000000-0005-0000-0000-00004C3E0000}"/>
    <cellStyle name="Финансовый 36 2 2 3 4 6 2" xfId="32345" xr:uid="{10AFCDE9-DC26-477E-8B13-D4A1B1F78D05}"/>
    <cellStyle name="Финансовый 36 2 2 3 4 7" xfId="18413" xr:uid="{00000000-0005-0000-0000-00004D3E0000}"/>
    <cellStyle name="Финансовый 36 2 2 3 4 7 2" xfId="35426" xr:uid="{2831F400-5316-47C3-9DA3-10BD21F894DB}"/>
    <cellStyle name="Финансовый 36 2 2 3 4 8" xfId="26116" xr:uid="{594C4EFF-7669-4291-AEB1-A0CBEBD00465}"/>
    <cellStyle name="Финансовый 36 2 2 3 5" xfId="9023" xr:uid="{00000000-0005-0000-0000-00004E3E0000}"/>
    <cellStyle name="Финансовый 36 2 2 3 5 2" xfId="9024" xr:uid="{00000000-0005-0000-0000-00004F3E0000}"/>
    <cellStyle name="Финансовый 36 2 2 3 5 2 2" xfId="9025" xr:uid="{00000000-0005-0000-0000-0000503E0000}"/>
    <cellStyle name="Финансовый 36 2 2 3 5 2 2 2" xfId="12110" xr:uid="{00000000-0005-0000-0000-0000513E0000}"/>
    <cellStyle name="Финансовый 36 2 2 3 5 2 2 2 2" xfId="29199" xr:uid="{93898FF8-F8E6-420F-BA02-386FD58FE171}"/>
    <cellStyle name="Финансовый 36 2 2 3 5 2 2 3" xfId="15342" xr:uid="{00000000-0005-0000-0000-0000523E0000}"/>
    <cellStyle name="Финансовый 36 2 2 3 5 2 2 3 2" xfId="32355" xr:uid="{26258A09-C1B0-4BBA-83CE-DF85E8E5C1A6}"/>
    <cellStyle name="Финансовый 36 2 2 3 5 2 2 4" xfId="18423" xr:uid="{00000000-0005-0000-0000-0000533E0000}"/>
    <cellStyle name="Финансовый 36 2 2 3 5 2 2 4 2" xfId="35436" xr:uid="{316F0B70-F7AB-4937-9122-FC101DF426A1}"/>
    <cellStyle name="Финансовый 36 2 2 3 5 2 2 5" xfId="26126" xr:uid="{2A7847CA-9B68-4F8E-ABB5-1D0B10748329}"/>
    <cellStyle name="Финансовый 36 2 2 3 5 2 3" xfId="12109" xr:uid="{00000000-0005-0000-0000-0000543E0000}"/>
    <cellStyle name="Финансовый 36 2 2 3 5 2 3 2" xfId="29198" xr:uid="{EE28C7CD-94DE-4261-8FE9-0CDEC2C826C4}"/>
    <cellStyle name="Финансовый 36 2 2 3 5 2 4" xfId="15341" xr:uid="{00000000-0005-0000-0000-0000553E0000}"/>
    <cellStyle name="Финансовый 36 2 2 3 5 2 4 2" xfId="32354" xr:uid="{41865FE9-7B4D-4271-8B28-F7F3588B5E55}"/>
    <cellStyle name="Финансовый 36 2 2 3 5 2 5" xfId="18422" xr:uid="{00000000-0005-0000-0000-0000563E0000}"/>
    <cellStyle name="Финансовый 36 2 2 3 5 2 5 2" xfId="35435" xr:uid="{B316B502-3F40-4251-9F98-DD6A37984F23}"/>
    <cellStyle name="Финансовый 36 2 2 3 5 2 6" xfId="26125" xr:uid="{12F59964-DF79-4F64-AFD9-5F7036DD9123}"/>
    <cellStyle name="Финансовый 36 2 2 3 5 3" xfId="9026" xr:uid="{00000000-0005-0000-0000-0000573E0000}"/>
    <cellStyle name="Финансовый 36 2 2 3 5 3 2" xfId="12111" xr:uid="{00000000-0005-0000-0000-0000583E0000}"/>
    <cellStyle name="Финансовый 36 2 2 3 5 3 2 2" xfId="29200" xr:uid="{AF336D78-4024-4148-A771-930BD35A4388}"/>
    <cellStyle name="Финансовый 36 2 2 3 5 3 3" xfId="15343" xr:uid="{00000000-0005-0000-0000-0000593E0000}"/>
    <cellStyle name="Финансовый 36 2 2 3 5 3 3 2" xfId="32356" xr:uid="{665B8703-B045-490E-BDBD-4E5C72A468B8}"/>
    <cellStyle name="Финансовый 36 2 2 3 5 3 4" xfId="18424" xr:uid="{00000000-0005-0000-0000-00005A3E0000}"/>
    <cellStyle name="Финансовый 36 2 2 3 5 3 4 2" xfId="35437" xr:uid="{424384E9-702F-4FD8-B9EA-CB66A9DCC1F4}"/>
    <cellStyle name="Финансовый 36 2 2 3 5 3 5" xfId="26127" xr:uid="{86BC56A5-4EC7-4F50-BC7A-DD767620E24C}"/>
    <cellStyle name="Финансовый 36 2 2 3 5 4" xfId="12108" xr:uid="{00000000-0005-0000-0000-00005B3E0000}"/>
    <cellStyle name="Финансовый 36 2 2 3 5 4 2" xfId="29197" xr:uid="{F6A523EC-8EB1-4996-9923-33CE8C0CAD8B}"/>
    <cellStyle name="Финансовый 36 2 2 3 5 5" xfId="15340" xr:uid="{00000000-0005-0000-0000-00005C3E0000}"/>
    <cellStyle name="Финансовый 36 2 2 3 5 5 2" xfId="32353" xr:uid="{8B3A800E-A21E-4634-9464-3E35C5398C92}"/>
    <cellStyle name="Финансовый 36 2 2 3 5 6" xfId="18421" xr:uid="{00000000-0005-0000-0000-00005D3E0000}"/>
    <cellStyle name="Финансовый 36 2 2 3 5 6 2" xfId="35434" xr:uid="{135471CC-CAB2-45C2-825D-1F9624051610}"/>
    <cellStyle name="Финансовый 36 2 2 3 5 7" xfId="26124" xr:uid="{AD6F5C34-C9F2-417C-9E46-4BF91CC31997}"/>
    <cellStyle name="Финансовый 36 2 2 3 6" xfId="9027" xr:uid="{00000000-0005-0000-0000-00005E3E0000}"/>
    <cellStyle name="Финансовый 36 2 2 3 6 2" xfId="9028" xr:uid="{00000000-0005-0000-0000-00005F3E0000}"/>
    <cellStyle name="Финансовый 36 2 2 3 6 2 2" xfId="12113" xr:uid="{00000000-0005-0000-0000-0000603E0000}"/>
    <cellStyle name="Финансовый 36 2 2 3 6 2 2 2" xfId="29202" xr:uid="{A0155363-A2D9-4C1C-88F2-46B3A1985812}"/>
    <cellStyle name="Финансовый 36 2 2 3 6 2 3" xfId="15345" xr:uid="{00000000-0005-0000-0000-0000613E0000}"/>
    <cellStyle name="Финансовый 36 2 2 3 6 2 3 2" xfId="32358" xr:uid="{4BD9ADB0-8D4F-429E-8B42-C5544A65A703}"/>
    <cellStyle name="Финансовый 36 2 2 3 6 2 4" xfId="18426" xr:uid="{00000000-0005-0000-0000-0000623E0000}"/>
    <cellStyle name="Финансовый 36 2 2 3 6 2 4 2" xfId="35439" xr:uid="{4A695261-1B53-42B9-BF47-EC300D614DE4}"/>
    <cellStyle name="Финансовый 36 2 2 3 6 2 5" xfId="26129" xr:uid="{B2F0282A-46A9-4FDD-94DE-1EE877756503}"/>
    <cellStyle name="Финансовый 36 2 2 3 6 3" xfId="12112" xr:uid="{00000000-0005-0000-0000-0000633E0000}"/>
    <cellStyle name="Финансовый 36 2 2 3 6 3 2" xfId="29201" xr:uid="{DB724596-4DBE-4C1D-AFC1-F30CCBE8C831}"/>
    <cellStyle name="Финансовый 36 2 2 3 6 4" xfId="15344" xr:uid="{00000000-0005-0000-0000-0000643E0000}"/>
    <cellStyle name="Финансовый 36 2 2 3 6 4 2" xfId="32357" xr:uid="{CA1DFAB1-B7AC-4741-AAC1-B437B88E0655}"/>
    <cellStyle name="Финансовый 36 2 2 3 6 5" xfId="18425" xr:uid="{00000000-0005-0000-0000-0000653E0000}"/>
    <cellStyle name="Финансовый 36 2 2 3 6 5 2" xfId="35438" xr:uid="{AE495FD7-EF3B-4ECD-A8B8-8B7163EF2E51}"/>
    <cellStyle name="Финансовый 36 2 2 3 6 6" xfId="26128" xr:uid="{C805858F-7D95-4C12-8C7A-509ECAC6C300}"/>
    <cellStyle name="Финансовый 36 2 2 3 7" xfId="9029" xr:uid="{00000000-0005-0000-0000-0000663E0000}"/>
    <cellStyle name="Финансовый 36 2 2 3 7 2" xfId="12114" xr:uid="{00000000-0005-0000-0000-0000673E0000}"/>
    <cellStyle name="Финансовый 36 2 2 3 7 2 2" xfId="29203" xr:uid="{C48336DB-79D2-4844-8C0E-69DDEB37B91F}"/>
    <cellStyle name="Финансовый 36 2 2 3 7 3" xfId="15346" xr:uid="{00000000-0005-0000-0000-0000683E0000}"/>
    <cellStyle name="Финансовый 36 2 2 3 7 3 2" xfId="32359" xr:uid="{8C006F3B-D9D4-42C7-A965-65F7B3A2B5F1}"/>
    <cellStyle name="Финансовый 36 2 2 3 7 4" xfId="18427" xr:uid="{00000000-0005-0000-0000-0000693E0000}"/>
    <cellStyle name="Финансовый 36 2 2 3 7 4 2" xfId="35440" xr:uid="{53D3E71A-ED9E-4F37-A972-6038DB4F772F}"/>
    <cellStyle name="Финансовый 36 2 2 3 7 5" xfId="26130" xr:uid="{16220596-3A78-4A33-AD0B-A01EF06A002E}"/>
    <cellStyle name="Финансовый 36 2 2 3 8" xfId="12051" xr:uid="{00000000-0005-0000-0000-00006A3E0000}"/>
    <cellStyle name="Финансовый 36 2 2 3 8 2" xfId="29140" xr:uid="{F8B54AF2-DA82-4F95-B725-96B61146E99A}"/>
    <cellStyle name="Финансовый 36 2 2 3 9" xfId="15283" xr:uid="{00000000-0005-0000-0000-00006B3E0000}"/>
    <cellStyle name="Финансовый 36 2 2 3 9 2" xfId="32296" xr:uid="{512B20F4-6A20-47E3-833A-63A875301AA8}"/>
    <cellStyle name="Финансовый 36 2 2 4" xfId="9030" xr:uid="{00000000-0005-0000-0000-00006C3E0000}"/>
    <cellStyle name="Финансовый 36 2 2 4 10" xfId="26131" xr:uid="{93C6A284-DC41-49E2-8573-C255FAE8D7D9}"/>
    <cellStyle name="Финансовый 36 2 2 4 2" xfId="9031" xr:uid="{00000000-0005-0000-0000-00006D3E0000}"/>
    <cellStyle name="Финансовый 36 2 2 4 2 2" xfId="9032" xr:uid="{00000000-0005-0000-0000-00006E3E0000}"/>
    <cellStyle name="Финансовый 36 2 2 4 2 2 2" xfId="9033" xr:uid="{00000000-0005-0000-0000-00006F3E0000}"/>
    <cellStyle name="Финансовый 36 2 2 4 2 2 2 2" xfId="9034" xr:uid="{00000000-0005-0000-0000-0000703E0000}"/>
    <cellStyle name="Финансовый 36 2 2 4 2 2 2 2 2" xfId="9035" xr:uid="{00000000-0005-0000-0000-0000713E0000}"/>
    <cellStyle name="Финансовый 36 2 2 4 2 2 2 2 2 2" xfId="12120" xr:uid="{00000000-0005-0000-0000-0000723E0000}"/>
    <cellStyle name="Финансовый 36 2 2 4 2 2 2 2 2 2 2" xfId="29209" xr:uid="{6C6EF2B6-A73B-419C-80A6-DAC4997BE0B0}"/>
    <cellStyle name="Финансовый 36 2 2 4 2 2 2 2 2 3" xfId="15352" xr:uid="{00000000-0005-0000-0000-0000733E0000}"/>
    <cellStyle name="Финансовый 36 2 2 4 2 2 2 2 2 3 2" xfId="32365" xr:uid="{CB4D9CEB-195D-4FC8-A963-08ACAEB78622}"/>
    <cellStyle name="Финансовый 36 2 2 4 2 2 2 2 2 4" xfId="18433" xr:uid="{00000000-0005-0000-0000-0000743E0000}"/>
    <cellStyle name="Финансовый 36 2 2 4 2 2 2 2 2 4 2" xfId="35446" xr:uid="{0AD3B9FB-C9EB-4888-A5E4-E9348B6B9BBA}"/>
    <cellStyle name="Финансовый 36 2 2 4 2 2 2 2 2 5" xfId="26136" xr:uid="{5E423BC1-7BAD-4DCA-BF22-7495052C4041}"/>
    <cellStyle name="Финансовый 36 2 2 4 2 2 2 2 3" xfId="12119" xr:uid="{00000000-0005-0000-0000-0000753E0000}"/>
    <cellStyle name="Финансовый 36 2 2 4 2 2 2 2 3 2" xfId="29208" xr:uid="{10CAAC22-9817-4270-8236-61C232DAF148}"/>
    <cellStyle name="Финансовый 36 2 2 4 2 2 2 2 4" xfId="15351" xr:uid="{00000000-0005-0000-0000-0000763E0000}"/>
    <cellStyle name="Финансовый 36 2 2 4 2 2 2 2 4 2" xfId="32364" xr:uid="{BD3A07A6-7418-4DFF-A64D-6E4367F9E018}"/>
    <cellStyle name="Финансовый 36 2 2 4 2 2 2 2 5" xfId="18432" xr:uid="{00000000-0005-0000-0000-0000773E0000}"/>
    <cellStyle name="Финансовый 36 2 2 4 2 2 2 2 5 2" xfId="35445" xr:uid="{D38A1430-2553-45F8-90E8-0DCA5EE26B1A}"/>
    <cellStyle name="Финансовый 36 2 2 4 2 2 2 2 6" xfId="26135" xr:uid="{AA036A4B-24C1-4221-ACC0-78A817D396AA}"/>
    <cellStyle name="Финансовый 36 2 2 4 2 2 2 3" xfId="9036" xr:uid="{00000000-0005-0000-0000-0000783E0000}"/>
    <cellStyle name="Финансовый 36 2 2 4 2 2 2 3 2" xfId="12121" xr:uid="{00000000-0005-0000-0000-0000793E0000}"/>
    <cellStyle name="Финансовый 36 2 2 4 2 2 2 3 2 2" xfId="29210" xr:uid="{918B2497-247C-402C-A62E-41CC23F8729C}"/>
    <cellStyle name="Финансовый 36 2 2 4 2 2 2 3 3" xfId="15353" xr:uid="{00000000-0005-0000-0000-00007A3E0000}"/>
    <cellStyle name="Финансовый 36 2 2 4 2 2 2 3 3 2" xfId="32366" xr:uid="{4FEEAE0B-D899-4D86-A69D-C28916B61C4D}"/>
    <cellStyle name="Финансовый 36 2 2 4 2 2 2 3 4" xfId="18434" xr:uid="{00000000-0005-0000-0000-00007B3E0000}"/>
    <cellStyle name="Финансовый 36 2 2 4 2 2 2 3 4 2" xfId="35447" xr:uid="{B1C896C4-ABC5-42AF-B9E3-2BEAAC4043B8}"/>
    <cellStyle name="Финансовый 36 2 2 4 2 2 2 3 5" xfId="26137" xr:uid="{52C491B0-1146-4EEC-8094-2E743E9C9C91}"/>
    <cellStyle name="Финансовый 36 2 2 4 2 2 2 4" xfId="12118" xr:uid="{00000000-0005-0000-0000-00007C3E0000}"/>
    <cellStyle name="Финансовый 36 2 2 4 2 2 2 4 2" xfId="29207" xr:uid="{E35ECE70-7901-4FE8-AC5A-8DCE3176007F}"/>
    <cellStyle name="Финансовый 36 2 2 4 2 2 2 5" xfId="15350" xr:uid="{00000000-0005-0000-0000-00007D3E0000}"/>
    <cellStyle name="Финансовый 36 2 2 4 2 2 2 5 2" xfId="32363" xr:uid="{F9E89F19-102D-4D5A-BC77-0965E8A5C884}"/>
    <cellStyle name="Финансовый 36 2 2 4 2 2 2 6" xfId="18431" xr:uid="{00000000-0005-0000-0000-00007E3E0000}"/>
    <cellStyle name="Финансовый 36 2 2 4 2 2 2 6 2" xfId="35444" xr:uid="{38A75F6F-81AA-4D66-8A3F-1D004B84194B}"/>
    <cellStyle name="Финансовый 36 2 2 4 2 2 2 7" xfId="26134" xr:uid="{97B1A758-B60A-40C5-8CA6-AC143AE0511F}"/>
    <cellStyle name="Финансовый 36 2 2 4 2 2 3" xfId="9037" xr:uid="{00000000-0005-0000-0000-00007F3E0000}"/>
    <cellStyle name="Финансовый 36 2 2 4 2 2 3 2" xfId="9038" xr:uid="{00000000-0005-0000-0000-0000803E0000}"/>
    <cellStyle name="Финансовый 36 2 2 4 2 2 3 2 2" xfId="12123" xr:uid="{00000000-0005-0000-0000-0000813E0000}"/>
    <cellStyle name="Финансовый 36 2 2 4 2 2 3 2 2 2" xfId="29212" xr:uid="{F6CE43E7-97CE-4EC6-A8E7-15A70895BE58}"/>
    <cellStyle name="Финансовый 36 2 2 4 2 2 3 2 3" xfId="15355" xr:uid="{00000000-0005-0000-0000-0000823E0000}"/>
    <cellStyle name="Финансовый 36 2 2 4 2 2 3 2 3 2" xfId="32368" xr:uid="{8CD05714-93EF-4505-95E4-ECC8EFABA7D2}"/>
    <cellStyle name="Финансовый 36 2 2 4 2 2 3 2 4" xfId="18436" xr:uid="{00000000-0005-0000-0000-0000833E0000}"/>
    <cellStyle name="Финансовый 36 2 2 4 2 2 3 2 4 2" xfId="35449" xr:uid="{1C2CA88A-48CF-44AE-8231-0F508B30FEE7}"/>
    <cellStyle name="Финансовый 36 2 2 4 2 2 3 2 5" xfId="26139" xr:uid="{B4437EF8-07BD-45B0-A27B-41B9960C3313}"/>
    <cellStyle name="Финансовый 36 2 2 4 2 2 3 3" xfId="12122" xr:uid="{00000000-0005-0000-0000-0000843E0000}"/>
    <cellStyle name="Финансовый 36 2 2 4 2 2 3 3 2" xfId="29211" xr:uid="{B3D0BF3C-53F2-404A-BB0E-1962A6073803}"/>
    <cellStyle name="Финансовый 36 2 2 4 2 2 3 4" xfId="15354" xr:uid="{00000000-0005-0000-0000-0000853E0000}"/>
    <cellStyle name="Финансовый 36 2 2 4 2 2 3 4 2" xfId="32367" xr:uid="{F7AF8739-F1AE-4287-880B-B02395FA87F7}"/>
    <cellStyle name="Финансовый 36 2 2 4 2 2 3 5" xfId="18435" xr:uid="{00000000-0005-0000-0000-0000863E0000}"/>
    <cellStyle name="Финансовый 36 2 2 4 2 2 3 5 2" xfId="35448" xr:uid="{17F6D523-F66D-4859-91BE-0F90F354BAFA}"/>
    <cellStyle name="Финансовый 36 2 2 4 2 2 3 6" xfId="26138" xr:uid="{9CA00648-9B73-405E-BB47-161440E51C34}"/>
    <cellStyle name="Финансовый 36 2 2 4 2 2 4" xfId="9039" xr:uid="{00000000-0005-0000-0000-0000873E0000}"/>
    <cellStyle name="Финансовый 36 2 2 4 2 2 4 2" xfId="12124" xr:uid="{00000000-0005-0000-0000-0000883E0000}"/>
    <cellStyle name="Финансовый 36 2 2 4 2 2 4 2 2" xfId="29213" xr:uid="{D10A3782-1191-44AA-860F-69621E6E2F3C}"/>
    <cellStyle name="Финансовый 36 2 2 4 2 2 4 3" xfId="15356" xr:uid="{00000000-0005-0000-0000-0000893E0000}"/>
    <cellStyle name="Финансовый 36 2 2 4 2 2 4 3 2" xfId="32369" xr:uid="{142DC6FF-8AB6-4991-A278-4918730F4846}"/>
    <cellStyle name="Финансовый 36 2 2 4 2 2 4 4" xfId="18437" xr:uid="{00000000-0005-0000-0000-00008A3E0000}"/>
    <cellStyle name="Финансовый 36 2 2 4 2 2 4 4 2" xfId="35450" xr:uid="{B6B6E1D0-1353-494F-A56D-CC50C90A6875}"/>
    <cellStyle name="Финансовый 36 2 2 4 2 2 4 5" xfId="26140" xr:uid="{572DCCDC-3739-41E1-9692-1E251358C0FC}"/>
    <cellStyle name="Финансовый 36 2 2 4 2 2 5" xfId="12117" xr:uid="{00000000-0005-0000-0000-00008B3E0000}"/>
    <cellStyle name="Финансовый 36 2 2 4 2 2 5 2" xfId="29206" xr:uid="{BCF3C648-7AA2-4C6B-B63C-BE31B0529C0B}"/>
    <cellStyle name="Финансовый 36 2 2 4 2 2 6" xfId="15349" xr:uid="{00000000-0005-0000-0000-00008C3E0000}"/>
    <cellStyle name="Финансовый 36 2 2 4 2 2 6 2" xfId="32362" xr:uid="{A1FD7D91-19E0-4630-9154-D939D18EE453}"/>
    <cellStyle name="Финансовый 36 2 2 4 2 2 7" xfId="18430" xr:uid="{00000000-0005-0000-0000-00008D3E0000}"/>
    <cellStyle name="Финансовый 36 2 2 4 2 2 7 2" xfId="35443" xr:uid="{4762A152-5414-443D-9706-63DA66E5564D}"/>
    <cellStyle name="Финансовый 36 2 2 4 2 2 8" xfId="26133" xr:uid="{FE332F57-A2EB-4457-9DCD-11CA660047CF}"/>
    <cellStyle name="Финансовый 36 2 2 4 2 3" xfId="9040" xr:uid="{00000000-0005-0000-0000-00008E3E0000}"/>
    <cellStyle name="Финансовый 36 2 2 4 2 3 2" xfId="9041" xr:uid="{00000000-0005-0000-0000-00008F3E0000}"/>
    <cellStyle name="Финансовый 36 2 2 4 2 3 2 2" xfId="9042" xr:uid="{00000000-0005-0000-0000-0000903E0000}"/>
    <cellStyle name="Финансовый 36 2 2 4 2 3 2 2 2" xfId="12127" xr:uid="{00000000-0005-0000-0000-0000913E0000}"/>
    <cellStyle name="Финансовый 36 2 2 4 2 3 2 2 2 2" xfId="29216" xr:uid="{734EFF7D-0834-4FBB-91D7-47CC376E2FD8}"/>
    <cellStyle name="Финансовый 36 2 2 4 2 3 2 2 3" xfId="15359" xr:uid="{00000000-0005-0000-0000-0000923E0000}"/>
    <cellStyle name="Финансовый 36 2 2 4 2 3 2 2 3 2" xfId="32372" xr:uid="{05092971-477F-43BC-B64E-CD5477284871}"/>
    <cellStyle name="Финансовый 36 2 2 4 2 3 2 2 4" xfId="18440" xr:uid="{00000000-0005-0000-0000-0000933E0000}"/>
    <cellStyle name="Финансовый 36 2 2 4 2 3 2 2 4 2" xfId="35453" xr:uid="{E058DCDC-EBA8-4ADB-816D-B359BE4A5570}"/>
    <cellStyle name="Финансовый 36 2 2 4 2 3 2 2 5" xfId="26143" xr:uid="{AF760E44-2C9F-4E6A-B67E-103BF92483BC}"/>
    <cellStyle name="Финансовый 36 2 2 4 2 3 2 3" xfId="12126" xr:uid="{00000000-0005-0000-0000-0000943E0000}"/>
    <cellStyle name="Финансовый 36 2 2 4 2 3 2 3 2" xfId="29215" xr:uid="{DCBB1D15-EF8F-45DF-B109-94D72F0621EF}"/>
    <cellStyle name="Финансовый 36 2 2 4 2 3 2 4" xfId="15358" xr:uid="{00000000-0005-0000-0000-0000953E0000}"/>
    <cellStyle name="Финансовый 36 2 2 4 2 3 2 4 2" xfId="32371" xr:uid="{81AA392C-53F2-47E2-9943-7DF496EB8ED5}"/>
    <cellStyle name="Финансовый 36 2 2 4 2 3 2 5" xfId="18439" xr:uid="{00000000-0005-0000-0000-0000963E0000}"/>
    <cellStyle name="Финансовый 36 2 2 4 2 3 2 5 2" xfId="35452" xr:uid="{1E264208-BDAC-4F95-B791-5A8652685A71}"/>
    <cellStyle name="Финансовый 36 2 2 4 2 3 2 6" xfId="26142" xr:uid="{59838B0D-695E-4C4C-A26A-F02A6B096890}"/>
    <cellStyle name="Финансовый 36 2 2 4 2 3 3" xfId="9043" xr:uid="{00000000-0005-0000-0000-0000973E0000}"/>
    <cellStyle name="Финансовый 36 2 2 4 2 3 3 2" xfId="12128" xr:uid="{00000000-0005-0000-0000-0000983E0000}"/>
    <cellStyle name="Финансовый 36 2 2 4 2 3 3 2 2" xfId="29217" xr:uid="{5FAD3E85-CA2F-4D23-9A61-9CD6DBFD1E43}"/>
    <cellStyle name="Финансовый 36 2 2 4 2 3 3 3" xfId="15360" xr:uid="{00000000-0005-0000-0000-0000993E0000}"/>
    <cellStyle name="Финансовый 36 2 2 4 2 3 3 3 2" xfId="32373" xr:uid="{9FAAAA01-1622-4954-958F-721C88761DF4}"/>
    <cellStyle name="Финансовый 36 2 2 4 2 3 3 4" xfId="18441" xr:uid="{00000000-0005-0000-0000-00009A3E0000}"/>
    <cellStyle name="Финансовый 36 2 2 4 2 3 3 4 2" xfId="35454" xr:uid="{19955A9E-178E-4CCA-8081-F80CA916B13D}"/>
    <cellStyle name="Финансовый 36 2 2 4 2 3 3 5" xfId="26144" xr:uid="{6C1FB4DE-70DE-4547-A657-DAC39CB840FB}"/>
    <cellStyle name="Финансовый 36 2 2 4 2 3 4" xfId="12125" xr:uid="{00000000-0005-0000-0000-00009B3E0000}"/>
    <cellStyle name="Финансовый 36 2 2 4 2 3 4 2" xfId="29214" xr:uid="{C115688F-D0D4-4E43-8F58-CDD8BB370B4F}"/>
    <cellStyle name="Финансовый 36 2 2 4 2 3 5" xfId="15357" xr:uid="{00000000-0005-0000-0000-00009C3E0000}"/>
    <cellStyle name="Финансовый 36 2 2 4 2 3 5 2" xfId="32370" xr:uid="{6E29DA99-8B77-41F3-92F0-F0CC9F0B51E0}"/>
    <cellStyle name="Финансовый 36 2 2 4 2 3 6" xfId="18438" xr:uid="{00000000-0005-0000-0000-00009D3E0000}"/>
    <cellStyle name="Финансовый 36 2 2 4 2 3 6 2" xfId="35451" xr:uid="{04DE1F8D-F2AA-4D20-A72A-93E7DAE59BBA}"/>
    <cellStyle name="Финансовый 36 2 2 4 2 3 7" xfId="26141" xr:uid="{A7182E4A-ED8C-46B2-BB26-E04583B2CE77}"/>
    <cellStyle name="Финансовый 36 2 2 4 2 4" xfId="9044" xr:uid="{00000000-0005-0000-0000-00009E3E0000}"/>
    <cellStyle name="Финансовый 36 2 2 4 2 4 2" xfId="9045" xr:uid="{00000000-0005-0000-0000-00009F3E0000}"/>
    <cellStyle name="Финансовый 36 2 2 4 2 4 2 2" xfId="12130" xr:uid="{00000000-0005-0000-0000-0000A03E0000}"/>
    <cellStyle name="Финансовый 36 2 2 4 2 4 2 2 2" xfId="29219" xr:uid="{69F336DB-ADCB-4B38-99EA-108BFAAA41DB}"/>
    <cellStyle name="Финансовый 36 2 2 4 2 4 2 3" xfId="15362" xr:uid="{00000000-0005-0000-0000-0000A13E0000}"/>
    <cellStyle name="Финансовый 36 2 2 4 2 4 2 3 2" xfId="32375" xr:uid="{98B7C8EA-6B8B-4509-94CD-3264B64CECCD}"/>
    <cellStyle name="Финансовый 36 2 2 4 2 4 2 4" xfId="18443" xr:uid="{00000000-0005-0000-0000-0000A23E0000}"/>
    <cellStyle name="Финансовый 36 2 2 4 2 4 2 4 2" xfId="35456" xr:uid="{A1A93B3B-E3F7-431A-AF64-62C12B64C841}"/>
    <cellStyle name="Финансовый 36 2 2 4 2 4 2 5" xfId="26146" xr:uid="{AADBC42B-0A6C-46D1-A644-39536D2A77E3}"/>
    <cellStyle name="Финансовый 36 2 2 4 2 4 3" xfId="12129" xr:uid="{00000000-0005-0000-0000-0000A33E0000}"/>
    <cellStyle name="Финансовый 36 2 2 4 2 4 3 2" xfId="29218" xr:uid="{130EAAEF-0C18-4942-AFD8-C2C3ABD7746C}"/>
    <cellStyle name="Финансовый 36 2 2 4 2 4 4" xfId="15361" xr:uid="{00000000-0005-0000-0000-0000A43E0000}"/>
    <cellStyle name="Финансовый 36 2 2 4 2 4 4 2" xfId="32374" xr:uid="{AA70F2F8-5D0E-40BB-B3AF-46E8F3229DC1}"/>
    <cellStyle name="Финансовый 36 2 2 4 2 4 5" xfId="18442" xr:uid="{00000000-0005-0000-0000-0000A53E0000}"/>
    <cellStyle name="Финансовый 36 2 2 4 2 4 5 2" xfId="35455" xr:uid="{96355EDD-5BA7-4299-9E84-B3555EF0ED32}"/>
    <cellStyle name="Финансовый 36 2 2 4 2 4 6" xfId="26145" xr:uid="{5094D167-DE8E-43B4-B515-FF1ADAE792EA}"/>
    <cellStyle name="Финансовый 36 2 2 4 2 5" xfId="9046" xr:uid="{00000000-0005-0000-0000-0000A63E0000}"/>
    <cellStyle name="Финансовый 36 2 2 4 2 5 2" xfId="12131" xr:uid="{00000000-0005-0000-0000-0000A73E0000}"/>
    <cellStyle name="Финансовый 36 2 2 4 2 5 2 2" xfId="29220" xr:uid="{336E48A6-B224-47AC-A4F6-C877D6ECEB84}"/>
    <cellStyle name="Финансовый 36 2 2 4 2 5 3" xfId="15363" xr:uid="{00000000-0005-0000-0000-0000A83E0000}"/>
    <cellStyle name="Финансовый 36 2 2 4 2 5 3 2" xfId="32376" xr:uid="{6A63BD21-7A31-410B-9ED2-09188414A836}"/>
    <cellStyle name="Финансовый 36 2 2 4 2 5 4" xfId="18444" xr:uid="{00000000-0005-0000-0000-0000A93E0000}"/>
    <cellStyle name="Финансовый 36 2 2 4 2 5 4 2" xfId="35457" xr:uid="{1C995F92-C4B5-4294-870C-2BB55C46B2A9}"/>
    <cellStyle name="Финансовый 36 2 2 4 2 5 5" xfId="26147" xr:uid="{52D7EFE7-2CD0-4256-8EC9-3B4F961B8FB2}"/>
    <cellStyle name="Финансовый 36 2 2 4 2 6" xfId="12116" xr:uid="{00000000-0005-0000-0000-0000AA3E0000}"/>
    <cellStyle name="Финансовый 36 2 2 4 2 6 2" xfId="29205" xr:uid="{C1CE8851-A4C1-468F-8604-DE9BF61236E5}"/>
    <cellStyle name="Финансовый 36 2 2 4 2 7" xfId="15348" xr:uid="{00000000-0005-0000-0000-0000AB3E0000}"/>
    <cellStyle name="Финансовый 36 2 2 4 2 7 2" xfId="32361" xr:uid="{A10DE756-8A01-4605-977E-B4423AFE6630}"/>
    <cellStyle name="Финансовый 36 2 2 4 2 8" xfId="18429" xr:uid="{00000000-0005-0000-0000-0000AC3E0000}"/>
    <cellStyle name="Финансовый 36 2 2 4 2 8 2" xfId="35442" xr:uid="{D26B9266-3096-40A9-A4B5-E30786667914}"/>
    <cellStyle name="Финансовый 36 2 2 4 2 9" xfId="26132" xr:uid="{079A4AEF-B4C9-42C0-B0E7-4AE672C25A34}"/>
    <cellStyle name="Финансовый 36 2 2 4 3" xfId="9047" xr:uid="{00000000-0005-0000-0000-0000AD3E0000}"/>
    <cellStyle name="Финансовый 36 2 2 4 3 2" xfId="9048" xr:uid="{00000000-0005-0000-0000-0000AE3E0000}"/>
    <cellStyle name="Финансовый 36 2 2 4 3 2 2" xfId="9049" xr:uid="{00000000-0005-0000-0000-0000AF3E0000}"/>
    <cellStyle name="Финансовый 36 2 2 4 3 2 2 2" xfId="9050" xr:uid="{00000000-0005-0000-0000-0000B03E0000}"/>
    <cellStyle name="Финансовый 36 2 2 4 3 2 2 2 2" xfId="12135" xr:uid="{00000000-0005-0000-0000-0000B13E0000}"/>
    <cellStyle name="Финансовый 36 2 2 4 3 2 2 2 2 2" xfId="29224" xr:uid="{A7A43688-3404-40C9-A17C-8DCFC310E12B}"/>
    <cellStyle name="Финансовый 36 2 2 4 3 2 2 2 3" xfId="15367" xr:uid="{00000000-0005-0000-0000-0000B23E0000}"/>
    <cellStyle name="Финансовый 36 2 2 4 3 2 2 2 3 2" xfId="32380" xr:uid="{DE3AA8D1-FD7C-43D7-B1B3-9530FBB8423F}"/>
    <cellStyle name="Финансовый 36 2 2 4 3 2 2 2 4" xfId="18448" xr:uid="{00000000-0005-0000-0000-0000B33E0000}"/>
    <cellStyle name="Финансовый 36 2 2 4 3 2 2 2 4 2" xfId="35461" xr:uid="{DFA0BA8A-4FBB-44A5-A161-0DBAA5D3ACF7}"/>
    <cellStyle name="Финансовый 36 2 2 4 3 2 2 2 5" xfId="26151" xr:uid="{9568F696-FF6C-4BFC-A743-C8FC6F54E8B0}"/>
    <cellStyle name="Финансовый 36 2 2 4 3 2 2 3" xfId="12134" xr:uid="{00000000-0005-0000-0000-0000B43E0000}"/>
    <cellStyle name="Финансовый 36 2 2 4 3 2 2 3 2" xfId="29223" xr:uid="{F1880FA2-5C37-4629-A3FE-976E0B11B8CB}"/>
    <cellStyle name="Финансовый 36 2 2 4 3 2 2 4" xfId="15366" xr:uid="{00000000-0005-0000-0000-0000B53E0000}"/>
    <cellStyle name="Финансовый 36 2 2 4 3 2 2 4 2" xfId="32379" xr:uid="{D312B53A-2E4B-447A-A7DD-419E4C16E3AC}"/>
    <cellStyle name="Финансовый 36 2 2 4 3 2 2 5" xfId="18447" xr:uid="{00000000-0005-0000-0000-0000B63E0000}"/>
    <cellStyle name="Финансовый 36 2 2 4 3 2 2 5 2" xfId="35460" xr:uid="{84EC0BB1-DACF-4E4A-A46F-4FA692442BB4}"/>
    <cellStyle name="Финансовый 36 2 2 4 3 2 2 6" xfId="26150" xr:uid="{5BB31DA7-0C27-40D1-8987-C136240C57F6}"/>
    <cellStyle name="Финансовый 36 2 2 4 3 2 3" xfId="9051" xr:uid="{00000000-0005-0000-0000-0000B73E0000}"/>
    <cellStyle name="Финансовый 36 2 2 4 3 2 3 2" xfId="12136" xr:uid="{00000000-0005-0000-0000-0000B83E0000}"/>
    <cellStyle name="Финансовый 36 2 2 4 3 2 3 2 2" xfId="29225" xr:uid="{80C7BA9C-35DF-484B-B1EA-37AAD2D22329}"/>
    <cellStyle name="Финансовый 36 2 2 4 3 2 3 3" xfId="15368" xr:uid="{00000000-0005-0000-0000-0000B93E0000}"/>
    <cellStyle name="Финансовый 36 2 2 4 3 2 3 3 2" xfId="32381" xr:uid="{322AD9D1-4E52-49A8-AF20-564EDE996635}"/>
    <cellStyle name="Финансовый 36 2 2 4 3 2 3 4" xfId="18449" xr:uid="{00000000-0005-0000-0000-0000BA3E0000}"/>
    <cellStyle name="Финансовый 36 2 2 4 3 2 3 4 2" xfId="35462" xr:uid="{12ADAD83-1AD6-4006-91E0-D19B7B3BAF45}"/>
    <cellStyle name="Финансовый 36 2 2 4 3 2 3 5" xfId="26152" xr:uid="{C2DED663-59C8-4814-B1B9-AAA8FA9687EB}"/>
    <cellStyle name="Финансовый 36 2 2 4 3 2 4" xfId="12133" xr:uid="{00000000-0005-0000-0000-0000BB3E0000}"/>
    <cellStyle name="Финансовый 36 2 2 4 3 2 4 2" xfId="29222" xr:uid="{71EE8A0C-4BA2-4800-907F-3894BA1D81B2}"/>
    <cellStyle name="Финансовый 36 2 2 4 3 2 5" xfId="15365" xr:uid="{00000000-0005-0000-0000-0000BC3E0000}"/>
    <cellStyle name="Финансовый 36 2 2 4 3 2 5 2" xfId="32378" xr:uid="{A768348D-0729-4C70-9DFB-587060CCC92F}"/>
    <cellStyle name="Финансовый 36 2 2 4 3 2 6" xfId="18446" xr:uid="{00000000-0005-0000-0000-0000BD3E0000}"/>
    <cellStyle name="Финансовый 36 2 2 4 3 2 6 2" xfId="35459" xr:uid="{F0F0CD5C-D666-4641-A119-2579DB1182D2}"/>
    <cellStyle name="Финансовый 36 2 2 4 3 2 7" xfId="26149" xr:uid="{43CBF362-1E2E-4D03-AC2E-9FC9930C70F9}"/>
    <cellStyle name="Финансовый 36 2 2 4 3 3" xfId="9052" xr:uid="{00000000-0005-0000-0000-0000BE3E0000}"/>
    <cellStyle name="Финансовый 36 2 2 4 3 3 2" xfId="9053" xr:uid="{00000000-0005-0000-0000-0000BF3E0000}"/>
    <cellStyle name="Финансовый 36 2 2 4 3 3 2 2" xfId="12138" xr:uid="{00000000-0005-0000-0000-0000C03E0000}"/>
    <cellStyle name="Финансовый 36 2 2 4 3 3 2 2 2" xfId="29227" xr:uid="{D81C38B7-32CE-40DF-8164-E28985B807BF}"/>
    <cellStyle name="Финансовый 36 2 2 4 3 3 2 3" xfId="15370" xr:uid="{00000000-0005-0000-0000-0000C13E0000}"/>
    <cellStyle name="Финансовый 36 2 2 4 3 3 2 3 2" xfId="32383" xr:uid="{BFD3FC34-04A8-4E46-8756-65233A0686CD}"/>
    <cellStyle name="Финансовый 36 2 2 4 3 3 2 4" xfId="18451" xr:uid="{00000000-0005-0000-0000-0000C23E0000}"/>
    <cellStyle name="Финансовый 36 2 2 4 3 3 2 4 2" xfId="35464" xr:uid="{C0447C06-9800-40BA-9A0E-B48C2440D12A}"/>
    <cellStyle name="Финансовый 36 2 2 4 3 3 2 5" xfId="26154" xr:uid="{63B714C1-2AEF-4AB3-868A-5FBAECF07744}"/>
    <cellStyle name="Финансовый 36 2 2 4 3 3 3" xfId="12137" xr:uid="{00000000-0005-0000-0000-0000C33E0000}"/>
    <cellStyle name="Финансовый 36 2 2 4 3 3 3 2" xfId="29226" xr:uid="{4B4D0041-171A-4390-B353-957FED581167}"/>
    <cellStyle name="Финансовый 36 2 2 4 3 3 4" xfId="15369" xr:uid="{00000000-0005-0000-0000-0000C43E0000}"/>
    <cellStyle name="Финансовый 36 2 2 4 3 3 4 2" xfId="32382" xr:uid="{5CB7A418-4095-4837-9036-9B760D44E951}"/>
    <cellStyle name="Финансовый 36 2 2 4 3 3 5" xfId="18450" xr:uid="{00000000-0005-0000-0000-0000C53E0000}"/>
    <cellStyle name="Финансовый 36 2 2 4 3 3 5 2" xfId="35463" xr:uid="{6B007721-0830-439A-AA21-40E37C81D0C4}"/>
    <cellStyle name="Финансовый 36 2 2 4 3 3 6" xfId="26153" xr:uid="{BA616D7E-6A26-4BEA-9036-8D9D36ED4757}"/>
    <cellStyle name="Финансовый 36 2 2 4 3 4" xfId="9054" xr:uid="{00000000-0005-0000-0000-0000C63E0000}"/>
    <cellStyle name="Финансовый 36 2 2 4 3 4 2" xfId="12139" xr:uid="{00000000-0005-0000-0000-0000C73E0000}"/>
    <cellStyle name="Финансовый 36 2 2 4 3 4 2 2" xfId="29228" xr:uid="{0576AE06-2212-4A97-BDC7-99CC2D2DCBEB}"/>
    <cellStyle name="Финансовый 36 2 2 4 3 4 3" xfId="15371" xr:uid="{00000000-0005-0000-0000-0000C83E0000}"/>
    <cellStyle name="Финансовый 36 2 2 4 3 4 3 2" xfId="32384" xr:uid="{879C0D26-A1C5-4921-A97A-AB13306ABB24}"/>
    <cellStyle name="Финансовый 36 2 2 4 3 4 4" xfId="18452" xr:uid="{00000000-0005-0000-0000-0000C93E0000}"/>
    <cellStyle name="Финансовый 36 2 2 4 3 4 4 2" xfId="35465" xr:uid="{02C6E544-84E3-4105-9843-812716310725}"/>
    <cellStyle name="Финансовый 36 2 2 4 3 4 5" xfId="26155" xr:uid="{DBCDB302-FC2B-44F6-B41F-5DBB1DB64DCB}"/>
    <cellStyle name="Финансовый 36 2 2 4 3 5" xfId="12132" xr:uid="{00000000-0005-0000-0000-0000CA3E0000}"/>
    <cellStyle name="Финансовый 36 2 2 4 3 5 2" xfId="29221" xr:uid="{F893A585-82C5-44B2-8423-D081B3F66831}"/>
    <cellStyle name="Финансовый 36 2 2 4 3 6" xfId="15364" xr:uid="{00000000-0005-0000-0000-0000CB3E0000}"/>
    <cellStyle name="Финансовый 36 2 2 4 3 6 2" xfId="32377" xr:uid="{163C86D7-DCFA-4DD4-9651-829CA49BAD5F}"/>
    <cellStyle name="Финансовый 36 2 2 4 3 7" xfId="18445" xr:uid="{00000000-0005-0000-0000-0000CC3E0000}"/>
    <cellStyle name="Финансовый 36 2 2 4 3 7 2" xfId="35458" xr:uid="{25652227-5082-4639-BD66-710217F9BFA7}"/>
    <cellStyle name="Финансовый 36 2 2 4 3 8" xfId="26148" xr:uid="{28DED49F-9C86-4D35-8BB0-52EE02821C7B}"/>
    <cellStyle name="Финансовый 36 2 2 4 4" xfId="9055" xr:uid="{00000000-0005-0000-0000-0000CD3E0000}"/>
    <cellStyle name="Финансовый 36 2 2 4 4 2" xfId="9056" xr:uid="{00000000-0005-0000-0000-0000CE3E0000}"/>
    <cellStyle name="Финансовый 36 2 2 4 4 2 2" xfId="9057" xr:uid="{00000000-0005-0000-0000-0000CF3E0000}"/>
    <cellStyle name="Финансовый 36 2 2 4 4 2 2 2" xfId="12142" xr:uid="{00000000-0005-0000-0000-0000D03E0000}"/>
    <cellStyle name="Финансовый 36 2 2 4 4 2 2 2 2" xfId="29231" xr:uid="{7AD9B347-41A0-4A79-8DF7-EDD14D71AA6D}"/>
    <cellStyle name="Финансовый 36 2 2 4 4 2 2 3" xfId="15374" xr:uid="{00000000-0005-0000-0000-0000D13E0000}"/>
    <cellStyle name="Финансовый 36 2 2 4 4 2 2 3 2" xfId="32387" xr:uid="{3D85EB54-FA2C-44A2-AC52-C1F933C3EA6E}"/>
    <cellStyle name="Финансовый 36 2 2 4 4 2 2 4" xfId="18455" xr:uid="{00000000-0005-0000-0000-0000D23E0000}"/>
    <cellStyle name="Финансовый 36 2 2 4 4 2 2 4 2" xfId="35468" xr:uid="{A34F37C6-BDD4-4537-B951-EA10106E64B1}"/>
    <cellStyle name="Финансовый 36 2 2 4 4 2 2 5" xfId="26158" xr:uid="{E8F6D17D-14B3-42C3-A812-330C1C260019}"/>
    <cellStyle name="Финансовый 36 2 2 4 4 2 3" xfId="12141" xr:uid="{00000000-0005-0000-0000-0000D33E0000}"/>
    <cellStyle name="Финансовый 36 2 2 4 4 2 3 2" xfId="29230" xr:uid="{6A8447BD-8067-4A20-9982-B5BC3CF2DC36}"/>
    <cellStyle name="Финансовый 36 2 2 4 4 2 4" xfId="15373" xr:uid="{00000000-0005-0000-0000-0000D43E0000}"/>
    <cellStyle name="Финансовый 36 2 2 4 4 2 4 2" xfId="32386" xr:uid="{1239E197-69CE-4D09-A450-24F463D37B53}"/>
    <cellStyle name="Финансовый 36 2 2 4 4 2 5" xfId="18454" xr:uid="{00000000-0005-0000-0000-0000D53E0000}"/>
    <cellStyle name="Финансовый 36 2 2 4 4 2 5 2" xfId="35467" xr:uid="{6D86B469-EAA3-4304-8D1D-D642B5AC04E0}"/>
    <cellStyle name="Финансовый 36 2 2 4 4 2 6" xfId="26157" xr:uid="{EFA27D1E-A591-40BC-A17D-B964386FE57E}"/>
    <cellStyle name="Финансовый 36 2 2 4 4 3" xfId="9058" xr:uid="{00000000-0005-0000-0000-0000D63E0000}"/>
    <cellStyle name="Финансовый 36 2 2 4 4 3 2" xfId="12143" xr:uid="{00000000-0005-0000-0000-0000D73E0000}"/>
    <cellStyle name="Финансовый 36 2 2 4 4 3 2 2" xfId="29232" xr:uid="{B297021B-8324-4CC3-B1DB-07CC37643F99}"/>
    <cellStyle name="Финансовый 36 2 2 4 4 3 3" xfId="15375" xr:uid="{00000000-0005-0000-0000-0000D83E0000}"/>
    <cellStyle name="Финансовый 36 2 2 4 4 3 3 2" xfId="32388" xr:uid="{95400E6C-9937-4629-95D5-D42930ED5646}"/>
    <cellStyle name="Финансовый 36 2 2 4 4 3 4" xfId="18456" xr:uid="{00000000-0005-0000-0000-0000D93E0000}"/>
    <cellStyle name="Финансовый 36 2 2 4 4 3 4 2" xfId="35469" xr:uid="{ACE13433-27DA-4791-8081-9F96DF47F8B7}"/>
    <cellStyle name="Финансовый 36 2 2 4 4 3 5" xfId="26159" xr:uid="{92D9E1C9-1BDF-4C8F-A72F-1289D2F84E6B}"/>
    <cellStyle name="Финансовый 36 2 2 4 4 4" xfId="12140" xr:uid="{00000000-0005-0000-0000-0000DA3E0000}"/>
    <cellStyle name="Финансовый 36 2 2 4 4 4 2" xfId="29229" xr:uid="{DEC52903-11B2-41EE-89E9-B1E83147D6C6}"/>
    <cellStyle name="Финансовый 36 2 2 4 4 5" xfId="15372" xr:uid="{00000000-0005-0000-0000-0000DB3E0000}"/>
    <cellStyle name="Финансовый 36 2 2 4 4 5 2" xfId="32385" xr:uid="{B64ED1A4-614C-4AC4-857B-20EBC69E0382}"/>
    <cellStyle name="Финансовый 36 2 2 4 4 6" xfId="18453" xr:uid="{00000000-0005-0000-0000-0000DC3E0000}"/>
    <cellStyle name="Финансовый 36 2 2 4 4 6 2" xfId="35466" xr:uid="{D29C8711-92E3-4C7D-9D96-2CF9B07548B7}"/>
    <cellStyle name="Финансовый 36 2 2 4 4 7" xfId="26156" xr:uid="{7BCE119E-E49B-4F27-9C3B-395459CD756D}"/>
    <cellStyle name="Финансовый 36 2 2 4 5" xfId="9059" xr:uid="{00000000-0005-0000-0000-0000DD3E0000}"/>
    <cellStyle name="Финансовый 36 2 2 4 5 2" xfId="9060" xr:uid="{00000000-0005-0000-0000-0000DE3E0000}"/>
    <cellStyle name="Финансовый 36 2 2 4 5 2 2" xfId="12145" xr:uid="{00000000-0005-0000-0000-0000DF3E0000}"/>
    <cellStyle name="Финансовый 36 2 2 4 5 2 2 2" xfId="29234" xr:uid="{499719DB-2BD4-4C05-A8E4-03942BD229E1}"/>
    <cellStyle name="Финансовый 36 2 2 4 5 2 3" xfId="15377" xr:uid="{00000000-0005-0000-0000-0000E03E0000}"/>
    <cellStyle name="Финансовый 36 2 2 4 5 2 3 2" xfId="32390" xr:uid="{3B760C5E-3A60-460B-A37A-439CB2705046}"/>
    <cellStyle name="Финансовый 36 2 2 4 5 2 4" xfId="18458" xr:uid="{00000000-0005-0000-0000-0000E13E0000}"/>
    <cellStyle name="Финансовый 36 2 2 4 5 2 4 2" xfId="35471" xr:uid="{D31BEBAA-8944-405F-8367-6EFEC9696E34}"/>
    <cellStyle name="Финансовый 36 2 2 4 5 2 5" xfId="26161" xr:uid="{74724930-7239-4506-B7F8-0C10C6399872}"/>
    <cellStyle name="Финансовый 36 2 2 4 5 3" xfId="12144" xr:uid="{00000000-0005-0000-0000-0000E23E0000}"/>
    <cellStyle name="Финансовый 36 2 2 4 5 3 2" xfId="29233" xr:uid="{6CDCF4A1-17E7-47AD-9EBA-EBAEA003B357}"/>
    <cellStyle name="Финансовый 36 2 2 4 5 4" xfId="15376" xr:uid="{00000000-0005-0000-0000-0000E33E0000}"/>
    <cellStyle name="Финансовый 36 2 2 4 5 4 2" xfId="32389" xr:uid="{09679CCB-41B0-46E0-849A-82BD20990018}"/>
    <cellStyle name="Финансовый 36 2 2 4 5 5" xfId="18457" xr:uid="{00000000-0005-0000-0000-0000E43E0000}"/>
    <cellStyle name="Финансовый 36 2 2 4 5 5 2" xfId="35470" xr:uid="{08DFB26F-9AF5-44C0-9F67-07A70AEAC1FB}"/>
    <cellStyle name="Финансовый 36 2 2 4 5 6" xfId="26160" xr:uid="{0C260909-249E-42E8-A627-C8A05C45CFB6}"/>
    <cellStyle name="Финансовый 36 2 2 4 6" xfId="9061" xr:uid="{00000000-0005-0000-0000-0000E53E0000}"/>
    <cellStyle name="Финансовый 36 2 2 4 6 2" xfId="12146" xr:uid="{00000000-0005-0000-0000-0000E63E0000}"/>
    <cellStyle name="Финансовый 36 2 2 4 6 2 2" xfId="29235" xr:uid="{5279B807-2E10-459E-A350-0318D85545A0}"/>
    <cellStyle name="Финансовый 36 2 2 4 6 3" xfId="15378" xr:uid="{00000000-0005-0000-0000-0000E73E0000}"/>
    <cellStyle name="Финансовый 36 2 2 4 6 3 2" xfId="32391" xr:uid="{59899653-EC34-4130-BAC3-EA52ED72613D}"/>
    <cellStyle name="Финансовый 36 2 2 4 6 4" xfId="18459" xr:uid="{00000000-0005-0000-0000-0000E83E0000}"/>
    <cellStyle name="Финансовый 36 2 2 4 6 4 2" xfId="35472" xr:uid="{78772779-569E-4B88-BA92-192E06CB61B5}"/>
    <cellStyle name="Финансовый 36 2 2 4 6 5" xfId="26162" xr:uid="{4740A922-4F29-4313-ABB5-A785371E9DD0}"/>
    <cellStyle name="Финансовый 36 2 2 4 7" xfId="12115" xr:uid="{00000000-0005-0000-0000-0000E93E0000}"/>
    <cellStyle name="Финансовый 36 2 2 4 7 2" xfId="29204" xr:uid="{4E046F5D-F680-4657-A98A-6DB611798EB6}"/>
    <cellStyle name="Финансовый 36 2 2 4 8" xfId="15347" xr:uid="{00000000-0005-0000-0000-0000EA3E0000}"/>
    <cellStyle name="Финансовый 36 2 2 4 8 2" xfId="32360" xr:uid="{E473EE26-8488-4E26-A0DB-870E7EEB80BB}"/>
    <cellStyle name="Финансовый 36 2 2 4 9" xfId="18428" xr:uid="{00000000-0005-0000-0000-0000EB3E0000}"/>
    <cellStyle name="Финансовый 36 2 2 4 9 2" xfId="35441" xr:uid="{B97930D0-081F-4745-BA7B-0B496E88FFD7}"/>
    <cellStyle name="Финансовый 36 2 2 5" xfId="9062" xr:uid="{00000000-0005-0000-0000-0000EC3E0000}"/>
    <cellStyle name="Финансовый 36 2 2 5 2" xfId="9063" xr:uid="{00000000-0005-0000-0000-0000ED3E0000}"/>
    <cellStyle name="Финансовый 36 2 2 5 2 2" xfId="9064" xr:uid="{00000000-0005-0000-0000-0000EE3E0000}"/>
    <cellStyle name="Финансовый 36 2 2 5 2 2 2" xfId="9065" xr:uid="{00000000-0005-0000-0000-0000EF3E0000}"/>
    <cellStyle name="Финансовый 36 2 2 5 2 2 2 2" xfId="9066" xr:uid="{00000000-0005-0000-0000-0000F03E0000}"/>
    <cellStyle name="Финансовый 36 2 2 5 2 2 2 2 2" xfId="12151" xr:uid="{00000000-0005-0000-0000-0000F13E0000}"/>
    <cellStyle name="Финансовый 36 2 2 5 2 2 2 2 2 2" xfId="29240" xr:uid="{7528DCF0-63AD-4ED0-B13F-4B8E2770455C}"/>
    <cellStyle name="Финансовый 36 2 2 5 2 2 2 2 3" xfId="15383" xr:uid="{00000000-0005-0000-0000-0000F23E0000}"/>
    <cellStyle name="Финансовый 36 2 2 5 2 2 2 2 3 2" xfId="32396" xr:uid="{8FA6DC66-72E3-43CA-8825-E90DC861CCDD}"/>
    <cellStyle name="Финансовый 36 2 2 5 2 2 2 2 4" xfId="18464" xr:uid="{00000000-0005-0000-0000-0000F33E0000}"/>
    <cellStyle name="Финансовый 36 2 2 5 2 2 2 2 4 2" xfId="35477" xr:uid="{AA0AFC7E-7E5E-4657-8DFA-C4637998FC52}"/>
    <cellStyle name="Финансовый 36 2 2 5 2 2 2 2 5" xfId="26167" xr:uid="{3A72ACB7-64D1-4E24-9ADF-491E3C80646B}"/>
    <cellStyle name="Финансовый 36 2 2 5 2 2 2 3" xfId="12150" xr:uid="{00000000-0005-0000-0000-0000F43E0000}"/>
    <cellStyle name="Финансовый 36 2 2 5 2 2 2 3 2" xfId="29239" xr:uid="{AA8C8887-54A0-444A-9248-47AEA801A0DD}"/>
    <cellStyle name="Финансовый 36 2 2 5 2 2 2 4" xfId="15382" xr:uid="{00000000-0005-0000-0000-0000F53E0000}"/>
    <cellStyle name="Финансовый 36 2 2 5 2 2 2 4 2" xfId="32395" xr:uid="{B470BB03-0B2F-4054-8761-AD987798D87C}"/>
    <cellStyle name="Финансовый 36 2 2 5 2 2 2 5" xfId="18463" xr:uid="{00000000-0005-0000-0000-0000F63E0000}"/>
    <cellStyle name="Финансовый 36 2 2 5 2 2 2 5 2" xfId="35476" xr:uid="{B6159BF3-36FB-42EB-8685-4FDDB23FEB97}"/>
    <cellStyle name="Финансовый 36 2 2 5 2 2 2 6" xfId="26166" xr:uid="{407CAA4F-1496-4BD0-B831-4691E2F12E1F}"/>
    <cellStyle name="Финансовый 36 2 2 5 2 2 3" xfId="9067" xr:uid="{00000000-0005-0000-0000-0000F73E0000}"/>
    <cellStyle name="Финансовый 36 2 2 5 2 2 3 2" xfId="12152" xr:uid="{00000000-0005-0000-0000-0000F83E0000}"/>
    <cellStyle name="Финансовый 36 2 2 5 2 2 3 2 2" xfId="29241" xr:uid="{5A748E12-7CE7-4889-8EB4-CDF6F155B5A7}"/>
    <cellStyle name="Финансовый 36 2 2 5 2 2 3 3" xfId="15384" xr:uid="{00000000-0005-0000-0000-0000F93E0000}"/>
    <cellStyle name="Финансовый 36 2 2 5 2 2 3 3 2" xfId="32397" xr:uid="{305D6DC8-8747-42D1-B0D1-823547741464}"/>
    <cellStyle name="Финансовый 36 2 2 5 2 2 3 4" xfId="18465" xr:uid="{00000000-0005-0000-0000-0000FA3E0000}"/>
    <cellStyle name="Финансовый 36 2 2 5 2 2 3 4 2" xfId="35478" xr:uid="{869F3703-FB80-4E62-9564-0D1548BE3EFF}"/>
    <cellStyle name="Финансовый 36 2 2 5 2 2 3 5" xfId="26168" xr:uid="{28AF2CA1-8B13-424E-9BA7-1754322687D5}"/>
    <cellStyle name="Финансовый 36 2 2 5 2 2 4" xfId="12149" xr:uid="{00000000-0005-0000-0000-0000FB3E0000}"/>
    <cellStyle name="Финансовый 36 2 2 5 2 2 4 2" xfId="29238" xr:uid="{96DEFF21-6A78-4033-A965-142613EA5111}"/>
    <cellStyle name="Финансовый 36 2 2 5 2 2 5" xfId="15381" xr:uid="{00000000-0005-0000-0000-0000FC3E0000}"/>
    <cellStyle name="Финансовый 36 2 2 5 2 2 5 2" xfId="32394" xr:uid="{3963769C-FE77-4CA1-9DD4-AEF7F9C665C2}"/>
    <cellStyle name="Финансовый 36 2 2 5 2 2 6" xfId="18462" xr:uid="{00000000-0005-0000-0000-0000FD3E0000}"/>
    <cellStyle name="Финансовый 36 2 2 5 2 2 6 2" xfId="35475" xr:uid="{80E24089-5B38-4AF8-AC49-5443ECAFAB36}"/>
    <cellStyle name="Финансовый 36 2 2 5 2 2 7" xfId="26165" xr:uid="{431FF1A9-FD2C-49F4-91ED-0865AA158E71}"/>
    <cellStyle name="Финансовый 36 2 2 5 2 3" xfId="9068" xr:uid="{00000000-0005-0000-0000-0000FE3E0000}"/>
    <cellStyle name="Финансовый 36 2 2 5 2 3 2" xfId="9069" xr:uid="{00000000-0005-0000-0000-0000FF3E0000}"/>
    <cellStyle name="Финансовый 36 2 2 5 2 3 2 2" xfId="12154" xr:uid="{00000000-0005-0000-0000-0000003F0000}"/>
    <cellStyle name="Финансовый 36 2 2 5 2 3 2 2 2" xfId="29243" xr:uid="{4D3D7666-34B3-445F-9DA7-88CB557C9258}"/>
    <cellStyle name="Финансовый 36 2 2 5 2 3 2 3" xfId="15386" xr:uid="{00000000-0005-0000-0000-0000013F0000}"/>
    <cellStyle name="Финансовый 36 2 2 5 2 3 2 3 2" xfId="32399" xr:uid="{5AA2E83E-4F2D-4C97-BE80-1008E38CB544}"/>
    <cellStyle name="Финансовый 36 2 2 5 2 3 2 4" xfId="18467" xr:uid="{00000000-0005-0000-0000-0000023F0000}"/>
    <cellStyle name="Финансовый 36 2 2 5 2 3 2 4 2" xfId="35480" xr:uid="{B332971D-08D6-476B-ADB7-75B08CE08B73}"/>
    <cellStyle name="Финансовый 36 2 2 5 2 3 2 5" xfId="26170" xr:uid="{179EEC1F-61E2-4AEB-BECE-56A07BAF9313}"/>
    <cellStyle name="Финансовый 36 2 2 5 2 3 3" xfId="12153" xr:uid="{00000000-0005-0000-0000-0000033F0000}"/>
    <cellStyle name="Финансовый 36 2 2 5 2 3 3 2" xfId="29242" xr:uid="{A00F1F0A-99DC-409A-95EF-5F70C6A3DACF}"/>
    <cellStyle name="Финансовый 36 2 2 5 2 3 4" xfId="15385" xr:uid="{00000000-0005-0000-0000-0000043F0000}"/>
    <cellStyle name="Финансовый 36 2 2 5 2 3 4 2" xfId="32398" xr:uid="{05900FC3-03A2-4948-9E76-30C4033D000F}"/>
    <cellStyle name="Финансовый 36 2 2 5 2 3 5" xfId="18466" xr:uid="{00000000-0005-0000-0000-0000053F0000}"/>
    <cellStyle name="Финансовый 36 2 2 5 2 3 5 2" xfId="35479" xr:uid="{9D241164-0DA4-475C-A4C4-10535EFA915A}"/>
    <cellStyle name="Финансовый 36 2 2 5 2 3 6" xfId="26169" xr:uid="{B586BEC5-B08E-439D-99A8-292102D8C576}"/>
    <cellStyle name="Финансовый 36 2 2 5 2 4" xfId="9070" xr:uid="{00000000-0005-0000-0000-0000063F0000}"/>
    <cellStyle name="Финансовый 36 2 2 5 2 4 2" xfId="12155" xr:uid="{00000000-0005-0000-0000-0000073F0000}"/>
    <cellStyle name="Финансовый 36 2 2 5 2 4 2 2" xfId="29244" xr:uid="{6C7FD092-BCF0-4CDA-8C8C-BED07399186D}"/>
    <cellStyle name="Финансовый 36 2 2 5 2 4 3" xfId="15387" xr:uid="{00000000-0005-0000-0000-0000083F0000}"/>
    <cellStyle name="Финансовый 36 2 2 5 2 4 3 2" xfId="32400" xr:uid="{C6EB4482-9841-4C67-B98B-EAC4C5DB2813}"/>
    <cellStyle name="Финансовый 36 2 2 5 2 4 4" xfId="18468" xr:uid="{00000000-0005-0000-0000-0000093F0000}"/>
    <cellStyle name="Финансовый 36 2 2 5 2 4 4 2" xfId="35481" xr:uid="{50B84781-82DF-40DC-B2D8-88C7A10BD119}"/>
    <cellStyle name="Финансовый 36 2 2 5 2 4 5" xfId="26171" xr:uid="{3D1273EA-700C-4E83-A284-A735445376F2}"/>
    <cellStyle name="Финансовый 36 2 2 5 2 5" xfId="12148" xr:uid="{00000000-0005-0000-0000-00000A3F0000}"/>
    <cellStyle name="Финансовый 36 2 2 5 2 5 2" xfId="29237" xr:uid="{EB86104D-2F29-4A92-8F3D-901D5281EB29}"/>
    <cellStyle name="Финансовый 36 2 2 5 2 6" xfId="15380" xr:uid="{00000000-0005-0000-0000-00000B3F0000}"/>
    <cellStyle name="Финансовый 36 2 2 5 2 6 2" xfId="32393" xr:uid="{761EC9F7-B0F1-4769-A4CD-F40FF8F3B940}"/>
    <cellStyle name="Финансовый 36 2 2 5 2 7" xfId="18461" xr:uid="{00000000-0005-0000-0000-00000C3F0000}"/>
    <cellStyle name="Финансовый 36 2 2 5 2 7 2" xfId="35474" xr:uid="{EB8A9869-C533-4C28-B1BB-B46826B9DA2F}"/>
    <cellStyle name="Финансовый 36 2 2 5 2 8" xfId="26164" xr:uid="{DB5571A7-5418-4711-AC3D-2E467C57F6AE}"/>
    <cellStyle name="Финансовый 36 2 2 5 3" xfId="9071" xr:uid="{00000000-0005-0000-0000-00000D3F0000}"/>
    <cellStyle name="Финансовый 36 2 2 5 3 2" xfId="9072" xr:uid="{00000000-0005-0000-0000-00000E3F0000}"/>
    <cellStyle name="Финансовый 36 2 2 5 3 2 2" xfId="9073" xr:uid="{00000000-0005-0000-0000-00000F3F0000}"/>
    <cellStyle name="Финансовый 36 2 2 5 3 2 2 2" xfId="12158" xr:uid="{00000000-0005-0000-0000-0000103F0000}"/>
    <cellStyle name="Финансовый 36 2 2 5 3 2 2 2 2" xfId="29247" xr:uid="{538A56A1-9272-4CD8-B86E-ABC4AF6C1E9C}"/>
    <cellStyle name="Финансовый 36 2 2 5 3 2 2 3" xfId="15390" xr:uid="{00000000-0005-0000-0000-0000113F0000}"/>
    <cellStyle name="Финансовый 36 2 2 5 3 2 2 3 2" xfId="32403" xr:uid="{6D9FE4B8-2B9E-44DC-85C6-3C258B903F90}"/>
    <cellStyle name="Финансовый 36 2 2 5 3 2 2 4" xfId="18471" xr:uid="{00000000-0005-0000-0000-0000123F0000}"/>
    <cellStyle name="Финансовый 36 2 2 5 3 2 2 4 2" xfId="35484" xr:uid="{139A191E-3819-4200-B3EC-C73530CB2202}"/>
    <cellStyle name="Финансовый 36 2 2 5 3 2 2 5" xfId="26174" xr:uid="{82F04AD5-FF30-4163-A3C0-DB2BEDC2218D}"/>
    <cellStyle name="Финансовый 36 2 2 5 3 2 3" xfId="12157" xr:uid="{00000000-0005-0000-0000-0000133F0000}"/>
    <cellStyle name="Финансовый 36 2 2 5 3 2 3 2" xfId="29246" xr:uid="{EB424395-6237-4EC1-A342-7CE00C444AA7}"/>
    <cellStyle name="Финансовый 36 2 2 5 3 2 4" xfId="15389" xr:uid="{00000000-0005-0000-0000-0000143F0000}"/>
    <cellStyle name="Финансовый 36 2 2 5 3 2 4 2" xfId="32402" xr:uid="{EBDC405C-DEEF-468B-90B3-7F9C9359D1BE}"/>
    <cellStyle name="Финансовый 36 2 2 5 3 2 5" xfId="18470" xr:uid="{00000000-0005-0000-0000-0000153F0000}"/>
    <cellStyle name="Финансовый 36 2 2 5 3 2 5 2" xfId="35483" xr:uid="{6868D2D6-1DFB-4946-A7E9-72BE1792380B}"/>
    <cellStyle name="Финансовый 36 2 2 5 3 2 6" xfId="26173" xr:uid="{0028038F-2D18-4000-84F1-A30F97FCC4A6}"/>
    <cellStyle name="Финансовый 36 2 2 5 3 3" xfId="9074" xr:uid="{00000000-0005-0000-0000-0000163F0000}"/>
    <cellStyle name="Финансовый 36 2 2 5 3 3 2" xfId="12159" xr:uid="{00000000-0005-0000-0000-0000173F0000}"/>
    <cellStyle name="Финансовый 36 2 2 5 3 3 2 2" xfId="29248" xr:uid="{4A9E000D-B478-4B0B-9509-0E32188196D9}"/>
    <cellStyle name="Финансовый 36 2 2 5 3 3 3" xfId="15391" xr:uid="{00000000-0005-0000-0000-0000183F0000}"/>
    <cellStyle name="Финансовый 36 2 2 5 3 3 3 2" xfId="32404" xr:uid="{5CD654ED-D94F-4AEF-8FF4-731A9B5A9A69}"/>
    <cellStyle name="Финансовый 36 2 2 5 3 3 4" xfId="18472" xr:uid="{00000000-0005-0000-0000-0000193F0000}"/>
    <cellStyle name="Финансовый 36 2 2 5 3 3 4 2" xfId="35485" xr:uid="{29217DBD-C7D7-4939-B6BE-AF564A5C7C67}"/>
    <cellStyle name="Финансовый 36 2 2 5 3 3 5" xfId="26175" xr:uid="{75327507-A439-47DF-AE68-88C10A78BED1}"/>
    <cellStyle name="Финансовый 36 2 2 5 3 4" xfId="12156" xr:uid="{00000000-0005-0000-0000-00001A3F0000}"/>
    <cellStyle name="Финансовый 36 2 2 5 3 4 2" xfId="29245" xr:uid="{0C6F6A57-8DF8-456D-BAA7-B190FC793F19}"/>
    <cellStyle name="Финансовый 36 2 2 5 3 5" xfId="15388" xr:uid="{00000000-0005-0000-0000-00001B3F0000}"/>
    <cellStyle name="Финансовый 36 2 2 5 3 5 2" xfId="32401" xr:uid="{761808D8-4B65-4F47-94BD-B3AD285B90A0}"/>
    <cellStyle name="Финансовый 36 2 2 5 3 6" xfId="18469" xr:uid="{00000000-0005-0000-0000-00001C3F0000}"/>
    <cellStyle name="Финансовый 36 2 2 5 3 6 2" xfId="35482" xr:uid="{A652ED8E-DC77-44B1-9216-21AADE6FC54C}"/>
    <cellStyle name="Финансовый 36 2 2 5 3 7" xfId="26172" xr:uid="{18FB1CE0-FD16-42B4-8AAE-0F1FDC7FA0A1}"/>
    <cellStyle name="Финансовый 36 2 2 5 4" xfId="9075" xr:uid="{00000000-0005-0000-0000-00001D3F0000}"/>
    <cellStyle name="Финансовый 36 2 2 5 4 2" xfId="9076" xr:uid="{00000000-0005-0000-0000-00001E3F0000}"/>
    <cellStyle name="Финансовый 36 2 2 5 4 2 2" xfId="12161" xr:uid="{00000000-0005-0000-0000-00001F3F0000}"/>
    <cellStyle name="Финансовый 36 2 2 5 4 2 2 2" xfId="29250" xr:uid="{59355B0F-BD76-4BDE-8464-4857E17B1526}"/>
    <cellStyle name="Финансовый 36 2 2 5 4 2 3" xfId="15393" xr:uid="{00000000-0005-0000-0000-0000203F0000}"/>
    <cellStyle name="Финансовый 36 2 2 5 4 2 3 2" xfId="32406" xr:uid="{F390B5F4-B6F6-4AEF-897E-36B8255375AD}"/>
    <cellStyle name="Финансовый 36 2 2 5 4 2 4" xfId="18474" xr:uid="{00000000-0005-0000-0000-0000213F0000}"/>
    <cellStyle name="Финансовый 36 2 2 5 4 2 4 2" xfId="35487" xr:uid="{8FDF7825-EDBB-42C3-86DE-58443D378557}"/>
    <cellStyle name="Финансовый 36 2 2 5 4 2 5" xfId="26177" xr:uid="{3495A37F-4A26-4BF7-B8C9-112874881AA3}"/>
    <cellStyle name="Финансовый 36 2 2 5 4 3" xfId="12160" xr:uid="{00000000-0005-0000-0000-0000223F0000}"/>
    <cellStyle name="Финансовый 36 2 2 5 4 3 2" xfId="29249" xr:uid="{89131072-3021-4A47-9AAD-D1B2473C1E2A}"/>
    <cellStyle name="Финансовый 36 2 2 5 4 4" xfId="15392" xr:uid="{00000000-0005-0000-0000-0000233F0000}"/>
    <cellStyle name="Финансовый 36 2 2 5 4 4 2" xfId="32405" xr:uid="{3C6D2A96-95B4-435D-BF8C-24713C193484}"/>
    <cellStyle name="Финансовый 36 2 2 5 4 5" xfId="18473" xr:uid="{00000000-0005-0000-0000-0000243F0000}"/>
    <cellStyle name="Финансовый 36 2 2 5 4 5 2" xfId="35486" xr:uid="{FCE5BD9D-E0EA-42B0-B8C7-AD9D32C6C35A}"/>
    <cellStyle name="Финансовый 36 2 2 5 4 6" xfId="26176" xr:uid="{14CDEB9E-B350-4BE2-93E8-3607BB928D4B}"/>
    <cellStyle name="Финансовый 36 2 2 5 5" xfId="9077" xr:uid="{00000000-0005-0000-0000-0000253F0000}"/>
    <cellStyle name="Финансовый 36 2 2 5 5 2" xfId="12162" xr:uid="{00000000-0005-0000-0000-0000263F0000}"/>
    <cellStyle name="Финансовый 36 2 2 5 5 2 2" xfId="29251" xr:uid="{E388F46E-EA80-462C-B981-03BE20499A6D}"/>
    <cellStyle name="Финансовый 36 2 2 5 5 3" xfId="15394" xr:uid="{00000000-0005-0000-0000-0000273F0000}"/>
    <cellStyle name="Финансовый 36 2 2 5 5 3 2" xfId="32407" xr:uid="{37F053F5-19E3-4973-912F-B84327F55DC0}"/>
    <cellStyle name="Финансовый 36 2 2 5 5 4" xfId="18475" xr:uid="{00000000-0005-0000-0000-0000283F0000}"/>
    <cellStyle name="Финансовый 36 2 2 5 5 4 2" xfId="35488" xr:uid="{91C75B4B-1033-4A79-BFBF-58723CB62D4C}"/>
    <cellStyle name="Финансовый 36 2 2 5 5 5" xfId="26178" xr:uid="{F6CDF46B-07B5-4177-99B8-16E4F2B2D915}"/>
    <cellStyle name="Финансовый 36 2 2 5 6" xfId="12147" xr:uid="{00000000-0005-0000-0000-0000293F0000}"/>
    <cellStyle name="Финансовый 36 2 2 5 6 2" xfId="29236" xr:uid="{F8DE7BBB-3933-42EC-8B07-E3CB4254B2DD}"/>
    <cellStyle name="Финансовый 36 2 2 5 7" xfId="15379" xr:uid="{00000000-0005-0000-0000-00002A3F0000}"/>
    <cellStyle name="Финансовый 36 2 2 5 7 2" xfId="32392" xr:uid="{D7FA6CF7-D204-45A9-80B2-1EC1E0C8E1D5}"/>
    <cellStyle name="Финансовый 36 2 2 5 8" xfId="18460" xr:uid="{00000000-0005-0000-0000-00002B3F0000}"/>
    <cellStyle name="Финансовый 36 2 2 5 8 2" xfId="35473" xr:uid="{8C668301-7C09-4582-A623-92CC4AA8000A}"/>
    <cellStyle name="Финансовый 36 2 2 5 9" xfId="26163" xr:uid="{C86E0386-A891-4753-9DE0-2FD0612981BE}"/>
    <cellStyle name="Финансовый 36 2 2 6" xfId="9078" xr:uid="{00000000-0005-0000-0000-00002C3F0000}"/>
    <cellStyle name="Финансовый 36 2 2 6 2" xfId="9079" xr:uid="{00000000-0005-0000-0000-00002D3F0000}"/>
    <cellStyle name="Финансовый 36 2 2 6 2 2" xfId="9080" xr:uid="{00000000-0005-0000-0000-00002E3F0000}"/>
    <cellStyle name="Финансовый 36 2 2 6 2 2 2" xfId="9081" xr:uid="{00000000-0005-0000-0000-00002F3F0000}"/>
    <cellStyle name="Финансовый 36 2 2 6 2 2 2 2" xfId="12166" xr:uid="{00000000-0005-0000-0000-0000303F0000}"/>
    <cellStyle name="Финансовый 36 2 2 6 2 2 2 2 2" xfId="29255" xr:uid="{8F027D4C-BDAA-4F0A-BD23-0C7A71E07BE3}"/>
    <cellStyle name="Финансовый 36 2 2 6 2 2 2 3" xfId="15398" xr:uid="{00000000-0005-0000-0000-0000313F0000}"/>
    <cellStyle name="Финансовый 36 2 2 6 2 2 2 3 2" xfId="32411" xr:uid="{6D807F49-A728-41A9-8F46-FABD687002D5}"/>
    <cellStyle name="Финансовый 36 2 2 6 2 2 2 4" xfId="18479" xr:uid="{00000000-0005-0000-0000-0000323F0000}"/>
    <cellStyle name="Финансовый 36 2 2 6 2 2 2 4 2" xfId="35492" xr:uid="{39BF8C1D-318C-4B12-893B-7B8B30B78FE2}"/>
    <cellStyle name="Финансовый 36 2 2 6 2 2 2 5" xfId="26182" xr:uid="{E999DBA4-A1DA-42FF-AFF6-5F911D58167A}"/>
    <cellStyle name="Финансовый 36 2 2 6 2 2 3" xfId="12165" xr:uid="{00000000-0005-0000-0000-0000333F0000}"/>
    <cellStyle name="Финансовый 36 2 2 6 2 2 3 2" xfId="29254" xr:uid="{4B003DF5-4531-4F6D-9B32-BEEFA3CA5CC9}"/>
    <cellStyle name="Финансовый 36 2 2 6 2 2 4" xfId="15397" xr:uid="{00000000-0005-0000-0000-0000343F0000}"/>
    <cellStyle name="Финансовый 36 2 2 6 2 2 4 2" xfId="32410" xr:uid="{4628E5F6-6003-4A5F-B008-09294DD8F6E9}"/>
    <cellStyle name="Финансовый 36 2 2 6 2 2 5" xfId="18478" xr:uid="{00000000-0005-0000-0000-0000353F0000}"/>
    <cellStyle name="Финансовый 36 2 2 6 2 2 5 2" xfId="35491" xr:uid="{EEFDE7A1-8BC9-44E1-8DAC-5094A5ABD7C7}"/>
    <cellStyle name="Финансовый 36 2 2 6 2 2 6" xfId="26181" xr:uid="{C0D4CCE2-B361-487B-AE91-386FED1FF439}"/>
    <cellStyle name="Финансовый 36 2 2 6 2 3" xfId="9082" xr:uid="{00000000-0005-0000-0000-0000363F0000}"/>
    <cellStyle name="Финансовый 36 2 2 6 2 3 2" xfId="12167" xr:uid="{00000000-0005-0000-0000-0000373F0000}"/>
    <cellStyle name="Финансовый 36 2 2 6 2 3 2 2" xfId="29256" xr:uid="{84FEFD87-B930-43BE-A499-8B5A5A03A5AE}"/>
    <cellStyle name="Финансовый 36 2 2 6 2 3 3" xfId="15399" xr:uid="{00000000-0005-0000-0000-0000383F0000}"/>
    <cellStyle name="Финансовый 36 2 2 6 2 3 3 2" xfId="32412" xr:uid="{56A11D8E-09D7-45F8-9612-848DACC29DC5}"/>
    <cellStyle name="Финансовый 36 2 2 6 2 3 4" xfId="18480" xr:uid="{00000000-0005-0000-0000-0000393F0000}"/>
    <cellStyle name="Финансовый 36 2 2 6 2 3 4 2" xfId="35493" xr:uid="{3EC80EB4-F981-4738-A28B-16CFE193671A}"/>
    <cellStyle name="Финансовый 36 2 2 6 2 3 5" xfId="26183" xr:uid="{BD3BB1B0-F77C-4337-813C-DE8ED1B0E77F}"/>
    <cellStyle name="Финансовый 36 2 2 6 2 4" xfId="12164" xr:uid="{00000000-0005-0000-0000-00003A3F0000}"/>
    <cellStyle name="Финансовый 36 2 2 6 2 4 2" xfId="29253" xr:uid="{28A1B3BE-118A-4826-B009-39DA61F41123}"/>
    <cellStyle name="Финансовый 36 2 2 6 2 5" xfId="15396" xr:uid="{00000000-0005-0000-0000-00003B3F0000}"/>
    <cellStyle name="Финансовый 36 2 2 6 2 5 2" xfId="32409" xr:uid="{2DF6D238-9FC2-4167-B948-E01C6BC4E54A}"/>
    <cellStyle name="Финансовый 36 2 2 6 2 6" xfId="18477" xr:uid="{00000000-0005-0000-0000-00003C3F0000}"/>
    <cellStyle name="Финансовый 36 2 2 6 2 6 2" xfId="35490" xr:uid="{3B293CD3-1C13-48E8-8FAC-A53FD693FA44}"/>
    <cellStyle name="Финансовый 36 2 2 6 2 7" xfId="26180" xr:uid="{B4161409-9366-4008-9CF6-DC2F3E1C4733}"/>
    <cellStyle name="Финансовый 36 2 2 6 3" xfId="9083" xr:uid="{00000000-0005-0000-0000-00003D3F0000}"/>
    <cellStyle name="Финансовый 36 2 2 6 3 2" xfId="9084" xr:uid="{00000000-0005-0000-0000-00003E3F0000}"/>
    <cellStyle name="Финансовый 36 2 2 6 3 2 2" xfId="12169" xr:uid="{00000000-0005-0000-0000-00003F3F0000}"/>
    <cellStyle name="Финансовый 36 2 2 6 3 2 2 2" xfId="29258" xr:uid="{D828D76E-8825-45BF-8CBE-8AA9F7E85997}"/>
    <cellStyle name="Финансовый 36 2 2 6 3 2 3" xfId="15401" xr:uid="{00000000-0005-0000-0000-0000403F0000}"/>
    <cellStyle name="Финансовый 36 2 2 6 3 2 3 2" xfId="32414" xr:uid="{82A70229-B78B-41FA-9B21-6D9463F75437}"/>
    <cellStyle name="Финансовый 36 2 2 6 3 2 4" xfId="18482" xr:uid="{00000000-0005-0000-0000-0000413F0000}"/>
    <cellStyle name="Финансовый 36 2 2 6 3 2 4 2" xfId="35495" xr:uid="{D82D8E64-78D3-4AD2-BBFD-464823A61D75}"/>
    <cellStyle name="Финансовый 36 2 2 6 3 2 5" xfId="26185" xr:uid="{624A0864-B1D9-41D2-9AEE-CFB2C003DED4}"/>
    <cellStyle name="Финансовый 36 2 2 6 3 3" xfId="12168" xr:uid="{00000000-0005-0000-0000-0000423F0000}"/>
    <cellStyle name="Финансовый 36 2 2 6 3 3 2" xfId="29257" xr:uid="{38D48688-4D81-4DAD-8B22-B0E63DC225B4}"/>
    <cellStyle name="Финансовый 36 2 2 6 3 4" xfId="15400" xr:uid="{00000000-0005-0000-0000-0000433F0000}"/>
    <cellStyle name="Финансовый 36 2 2 6 3 4 2" xfId="32413" xr:uid="{66FDCF91-1F35-4946-BB12-43AA12141B90}"/>
    <cellStyle name="Финансовый 36 2 2 6 3 5" xfId="18481" xr:uid="{00000000-0005-0000-0000-0000443F0000}"/>
    <cellStyle name="Финансовый 36 2 2 6 3 5 2" xfId="35494" xr:uid="{E83036D6-68D6-48D8-8630-9B0D6C1AE741}"/>
    <cellStyle name="Финансовый 36 2 2 6 3 6" xfId="26184" xr:uid="{16CA87F5-096E-4042-91BF-C4D8C44BD803}"/>
    <cellStyle name="Финансовый 36 2 2 6 4" xfId="9085" xr:uid="{00000000-0005-0000-0000-0000453F0000}"/>
    <cellStyle name="Финансовый 36 2 2 6 4 2" xfId="12170" xr:uid="{00000000-0005-0000-0000-0000463F0000}"/>
    <cellStyle name="Финансовый 36 2 2 6 4 2 2" xfId="29259" xr:uid="{53BB9764-AE44-44F9-9683-0CD5860C8CC7}"/>
    <cellStyle name="Финансовый 36 2 2 6 4 3" xfId="15402" xr:uid="{00000000-0005-0000-0000-0000473F0000}"/>
    <cellStyle name="Финансовый 36 2 2 6 4 3 2" xfId="32415" xr:uid="{75DE5541-EAAE-4A75-B6F9-C772FD16ACDB}"/>
    <cellStyle name="Финансовый 36 2 2 6 4 4" xfId="18483" xr:uid="{00000000-0005-0000-0000-0000483F0000}"/>
    <cellStyle name="Финансовый 36 2 2 6 4 4 2" xfId="35496" xr:uid="{25269150-4D4D-41C9-A7EC-C7ABEF281FEA}"/>
    <cellStyle name="Финансовый 36 2 2 6 4 5" xfId="26186" xr:uid="{2D5A0C1F-F74E-4E94-8478-64E239A3F617}"/>
    <cellStyle name="Финансовый 36 2 2 6 5" xfId="12163" xr:uid="{00000000-0005-0000-0000-0000493F0000}"/>
    <cellStyle name="Финансовый 36 2 2 6 5 2" xfId="29252" xr:uid="{B252680D-FC03-4591-BF29-C51E63C4CE36}"/>
    <cellStyle name="Финансовый 36 2 2 6 6" xfId="15395" xr:uid="{00000000-0005-0000-0000-00004A3F0000}"/>
    <cellStyle name="Финансовый 36 2 2 6 6 2" xfId="32408" xr:uid="{917B5F71-4D20-46BE-8B8B-1B132D0EC088}"/>
    <cellStyle name="Финансовый 36 2 2 6 7" xfId="18476" xr:uid="{00000000-0005-0000-0000-00004B3F0000}"/>
    <cellStyle name="Финансовый 36 2 2 6 7 2" xfId="35489" xr:uid="{1F1B67C8-6110-4243-8742-F2D223EDBC0F}"/>
    <cellStyle name="Финансовый 36 2 2 6 8" xfId="26179" xr:uid="{1C2A0DE9-1724-495A-A8C3-007190E23CC0}"/>
    <cellStyle name="Финансовый 36 2 2 7" xfId="9086" xr:uid="{00000000-0005-0000-0000-00004C3F0000}"/>
    <cellStyle name="Финансовый 36 2 2 7 2" xfId="9087" xr:uid="{00000000-0005-0000-0000-00004D3F0000}"/>
    <cellStyle name="Финансовый 36 2 2 7 2 2" xfId="9088" xr:uid="{00000000-0005-0000-0000-00004E3F0000}"/>
    <cellStyle name="Финансовый 36 2 2 7 2 2 2" xfId="12173" xr:uid="{00000000-0005-0000-0000-00004F3F0000}"/>
    <cellStyle name="Финансовый 36 2 2 7 2 2 2 2" xfId="29262" xr:uid="{04653E24-A843-403F-8B0A-1E9130DEE33A}"/>
    <cellStyle name="Финансовый 36 2 2 7 2 2 3" xfId="15405" xr:uid="{00000000-0005-0000-0000-0000503F0000}"/>
    <cellStyle name="Финансовый 36 2 2 7 2 2 3 2" xfId="32418" xr:uid="{C46BECA8-9D11-4FE7-88F5-EE17ECB46BDB}"/>
    <cellStyle name="Финансовый 36 2 2 7 2 2 4" xfId="18486" xr:uid="{00000000-0005-0000-0000-0000513F0000}"/>
    <cellStyle name="Финансовый 36 2 2 7 2 2 4 2" xfId="35499" xr:uid="{028BFADB-D1EF-4FC2-B320-BFC45A05A34A}"/>
    <cellStyle name="Финансовый 36 2 2 7 2 2 5" xfId="26189" xr:uid="{7E5811F9-0D67-435A-AA09-117A27BD0E53}"/>
    <cellStyle name="Финансовый 36 2 2 7 2 3" xfId="12172" xr:uid="{00000000-0005-0000-0000-0000523F0000}"/>
    <cellStyle name="Финансовый 36 2 2 7 2 3 2" xfId="29261" xr:uid="{C03C6BEC-1FB4-45AE-9452-F2FACB9DEAC5}"/>
    <cellStyle name="Финансовый 36 2 2 7 2 4" xfId="15404" xr:uid="{00000000-0005-0000-0000-0000533F0000}"/>
    <cellStyle name="Финансовый 36 2 2 7 2 4 2" xfId="32417" xr:uid="{8AC74472-DD61-4B1D-A67C-F6D9599D18AA}"/>
    <cellStyle name="Финансовый 36 2 2 7 2 5" xfId="18485" xr:uid="{00000000-0005-0000-0000-0000543F0000}"/>
    <cellStyle name="Финансовый 36 2 2 7 2 5 2" xfId="35498" xr:uid="{37E8A3B0-7AA7-4163-9DF9-6908DCB7025C}"/>
    <cellStyle name="Финансовый 36 2 2 7 2 6" xfId="26188" xr:uid="{4471388D-9F78-48C7-B835-09CD17366E34}"/>
    <cellStyle name="Финансовый 36 2 2 7 3" xfId="9089" xr:uid="{00000000-0005-0000-0000-0000553F0000}"/>
    <cellStyle name="Финансовый 36 2 2 7 3 2" xfId="12174" xr:uid="{00000000-0005-0000-0000-0000563F0000}"/>
    <cellStyle name="Финансовый 36 2 2 7 3 2 2" xfId="29263" xr:uid="{CCA09E2C-AB41-4CAF-A435-7A2B26BC110E}"/>
    <cellStyle name="Финансовый 36 2 2 7 3 3" xfId="15406" xr:uid="{00000000-0005-0000-0000-0000573F0000}"/>
    <cellStyle name="Финансовый 36 2 2 7 3 3 2" xfId="32419" xr:uid="{1F4838C3-7056-4CE5-95BC-FD28168BCCB8}"/>
    <cellStyle name="Финансовый 36 2 2 7 3 4" xfId="18487" xr:uid="{00000000-0005-0000-0000-0000583F0000}"/>
    <cellStyle name="Финансовый 36 2 2 7 3 4 2" xfId="35500" xr:uid="{FE37087F-2D17-405F-8BA7-A28B1DEF8A52}"/>
    <cellStyle name="Финансовый 36 2 2 7 3 5" xfId="26190" xr:uid="{8CE7C724-1C57-4CE1-9074-99CFACDB81CA}"/>
    <cellStyle name="Финансовый 36 2 2 7 4" xfId="12171" xr:uid="{00000000-0005-0000-0000-0000593F0000}"/>
    <cellStyle name="Финансовый 36 2 2 7 4 2" xfId="29260" xr:uid="{82BECC7C-00BE-4F25-9502-F22D624433F5}"/>
    <cellStyle name="Финансовый 36 2 2 7 5" xfId="15403" xr:uid="{00000000-0005-0000-0000-00005A3F0000}"/>
    <cellStyle name="Финансовый 36 2 2 7 5 2" xfId="32416" xr:uid="{38D033D8-1F40-4BFE-913A-49E6C4F14659}"/>
    <cellStyle name="Финансовый 36 2 2 7 6" xfId="18484" xr:uid="{00000000-0005-0000-0000-00005B3F0000}"/>
    <cellStyle name="Финансовый 36 2 2 7 6 2" xfId="35497" xr:uid="{2C01E8DB-39D0-401A-B2B8-16D22597928F}"/>
    <cellStyle name="Финансовый 36 2 2 7 7" xfId="26187" xr:uid="{0CC35EAA-152D-4B26-88B8-D4D84408AAED}"/>
    <cellStyle name="Финансовый 36 2 2 8" xfId="9090" xr:uid="{00000000-0005-0000-0000-00005C3F0000}"/>
    <cellStyle name="Финансовый 36 2 2 8 2" xfId="9091" xr:uid="{00000000-0005-0000-0000-00005D3F0000}"/>
    <cellStyle name="Финансовый 36 2 2 8 2 2" xfId="12176" xr:uid="{00000000-0005-0000-0000-00005E3F0000}"/>
    <cellStyle name="Финансовый 36 2 2 8 2 2 2" xfId="29265" xr:uid="{814E9614-4E1C-4346-A628-19548A0F5CAE}"/>
    <cellStyle name="Финансовый 36 2 2 8 2 3" xfId="15408" xr:uid="{00000000-0005-0000-0000-00005F3F0000}"/>
    <cellStyle name="Финансовый 36 2 2 8 2 3 2" xfId="32421" xr:uid="{A18980F8-2205-4096-A09A-5A52B0332DB2}"/>
    <cellStyle name="Финансовый 36 2 2 8 2 4" xfId="18489" xr:uid="{00000000-0005-0000-0000-0000603F0000}"/>
    <cellStyle name="Финансовый 36 2 2 8 2 4 2" xfId="35502" xr:uid="{E83ED8C8-8CB1-4137-8CFA-3487F4E9A515}"/>
    <cellStyle name="Финансовый 36 2 2 8 2 5" xfId="26192" xr:uid="{7AC17049-F59E-4E9C-B833-E13039252F17}"/>
    <cellStyle name="Финансовый 36 2 2 8 3" xfId="12175" xr:uid="{00000000-0005-0000-0000-0000613F0000}"/>
    <cellStyle name="Финансовый 36 2 2 8 3 2" xfId="29264" xr:uid="{61DE28F2-61A9-4EB6-A16D-A9BAEB994683}"/>
    <cellStyle name="Финансовый 36 2 2 8 4" xfId="15407" xr:uid="{00000000-0005-0000-0000-0000623F0000}"/>
    <cellStyle name="Финансовый 36 2 2 8 4 2" xfId="32420" xr:uid="{7C9F9A6A-14D1-4539-8E0B-97FC4AC2CCA9}"/>
    <cellStyle name="Финансовый 36 2 2 8 5" xfId="18488" xr:uid="{00000000-0005-0000-0000-0000633F0000}"/>
    <cellStyle name="Финансовый 36 2 2 8 5 2" xfId="35501" xr:uid="{F6490721-86C4-4B19-98E5-B9DDA23AB8B8}"/>
    <cellStyle name="Финансовый 36 2 2 8 6" xfId="26191" xr:uid="{38CB3B34-EA97-4102-B0DC-EE7D9C2E7A1C}"/>
    <cellStyle name="Финансовый 36 2 2 9" xfId="9092" xr:uid="{00000000-0005-0000-0000-0000643F0000}"/>
    <cellStyle name="Финансовый 36 2 2 9 2" xfId="12177" xr:uid="{00000000-0005-0000-0000-0000653F0000}"/>
    <cellStyle name="Финансовый 36 2 2 9 2 2" xfId="29266" xr:uid="{BAA69BE2-86CE-4C15-A8EB-E4D1DF9DB421}"/>
    <cellStyle name="Финансовый 36 2 2 9 3" xfId="15409" xr:uid="{00000000-0005-0000-0000-0000663F0000}"/>
    <cellStyle name="Финансовый 36 2 2 9 3 2" xfId="32422" xr:uid="{7A3BBE43-0C70-4888-8EB3-603027FA0D69}"/>
    <cellStyle name="Финансовый 36 2 2 9 4" xfId="18490" xr:uid="{00000000-0005-0000-0000-0000673F0000}"/>
    <cellStyle name="Финансовый 36 2 2 9 4 2" xfId="35503" xr:uid="{77520ECB-D49A-48DE-BE09-6965D544F795}"/>
    <cellStyle name="Финансовый 36 2 2 9 5" xfId="26193" xr:uid="{398FCB6C-7571-478C-AC61-F60009731B2B}"/>
    <cellStyle name="Финансовый 36 2 3" xfId="9093" xr:uid="{00000000-0005-0000-0000-0000683F0000}"/>
    <cellStyle name="Финансовый 36 2 3 10" xfId="15410" xr:uid="{00000000-0005-0000-0000-0000693F0000}"/>
    <cellStyle name="Финансовый 36 2 3 10 2" xfId="32423" xr:uid="{04E5C2CA-1072-4445-BA2D-4F7310B4192C}"/>
    <cellStyle name="Финансовый 36 2 3 11" xfId="18491" xr:uid="{00000000-0005-0000-0000-00006A3F0000}"/>
    <cellStyle name="Финансовый 36 2 3 11 2" xfId="35504" xr:uid="{8DF37691-D688-4215-93CD-F4BA887C8D63}"/>
    <cellStyle name="Финансовый 36 2 3 12" xfId="26194" xr:uid="{EBF3DB7D-1FE8-4F7B-9EE0-999F6619AD82}"/>
    <cellStyle name="Финансовый 36 2 3 2" xfId="9094" xr:uid="{00000000-0005-0000-0000-00006B3F0000}"/>
    <cellStyle name="Финансовый 36 2 3 2 10" xfId="18492" xr:uid="{00000000-0005-0000-0000-00006C3F0000}"/>
    <cellStyle name="Финансовый 36 2 3 2 10 2" xfId="35505" xr:uid="{D5F1055D-0AD0-4510-835F-8B0C2DCDE6C3}"/>
    <cellStyle name="Финансовый 36 2 3 2 11" xfId="26195" xr:uid="{D1EEED6D-C9C5-40F9-9BA8-1D5DD8DA36F9}"/>
    <cellStyle name="Финансовый 36 2 3 2 2" xfId="9095" xr:uid="{00000000-0005-0000-0000-00006D3F0000}"/>
    <cellStyle name="Финансовый 36 2 3 2 2 10" xfId="26196" xr:uid="{5BCD0B9F-8C0B-481E-9C07-40DC25F98330}"/>
    <cellStyle name="Финансовый 36 2 3 2 2 2" xfId="9096" xr:uid="{00000000-0005-0000-0000-00006E3F0000}"/>
    <cellStyle name="Финансовый 36 2 3 2 2 2 2" xfId="9097" xr:uid="{00000000-0005-0000-0000-00006F3F0000}"/>
    <cellStyle name="Финансовый 36 2 3 2 2 2 2 2" xfId="9098" xr:uid="{00000000-0005-0000-0000-0000703F0000}"/>
    <cellStyle name="Финансовый 36 2 3 2 2 2 2 2 2" xfId="9099" xr:uid="{00000000-0005-0000-0000-0000713F0000}"/>
    <cellStyle name="Финансовый 36 2 3 2 2 2 2 2 2 2" xfId="9100" xr:uid="{00000000-0005-0000-0000-0000723F0000}"/>
    <cellStyle name="Финансовый 36 2 3 2 2 2 2 2 2 2 2" xfId="12185" xr:uid="{00000000-0005-0000-0000-0000733F0000}"/>
    <cellStyle name="Финансовый 36 2 3 2 2 2 2 2 2 2 2 2" xfId="29274" xr:uid="{D736747F-36F7-440C-8D26-CB32DEC65854}"/>
    <cellStyle name="Финансовый 36 2 3 2 2 2 2 2 2 2 3" xfId="15417" xr:uid="{00000000-0005-0000-0000-0000743F0000}"/>
    <cellStyle name="Финансовый 36 2 3 2 2 2 2 2 2 2 3 2" xfId="32430" xr:uid="{2506901E-61A5-4E6D-9DAD-163D1FB23D43}"/>
    <cellStyle name="Финансовый 36 2 3 2 2 2 2 2 2 2 4" xfId="18498" xr:uid="{00000000-0005-0000-0000-0000753F0000}"/>
    <cellStyle name="Финансовый 36 2 3 2 2 2 2 2 2 2 4 2" xfId="35511" xr:uid="{24743567-C886-4D4E-9BFB-344525494D2C}"/>
    <cellStyle name="Финансовый 36 2 3 2 2 2 2 2 2 2 5" xfId="26201" xr:uid="{D47086B0-6BF7-4D0D-AFC0-0089050BF2C0}"/>
    <cellStyle name="Финансовый 36 2 3 2 2 2 2 2 2 3" xfId="12184" xr:uid="{00000000-0005-0000-0000-0000763F0000}"/>
    <cellStyle name="Финансовый 36 2 3 2 2 2 2 2 2 3 2" xfId="29273" xr:uid="{578C9199-0422-4999-AEE0-5C1F5861D2B9}"/>
    <cellStyle name="Финансовый 36 2 3 2 2 2 2 2 2 4" xfId="15416" xr:uid="{00000000-0005-0000-0000-0000773F0000}"/>
    <cellStyle name="Финансовый 36 2 3 2 2 2 2 2 2 4 2" xfId="32429" xr:uid="{2CFAC503-6826-4827-AA71-05626FD9247A}"/>
    <cellStyle name="Финансовый 36 2 3 2 2 2 2 2 2 5" xfId="18497" xr:uid="{00000000-0005-0000-0000-0000783F0000}"/>
    <cellStyle name="Финансовый 36 2 3 2 2 2 2 2 2 5 2" xfId="35510" xr:uid="{545F0082-D2D0-432F-99F3-24D959DABD01}"/>
    <cellStyle name="Финансовый 36 2 3 2 2 2 2 2 2 6" xfId="26200" xr:uid="{D1F99B26-0F2E-4EB2-A857-AABC6713194D}"/>
    <cellStyle name="Финансовый 36 2 3 2 2 2 2 2 3" xfId="9101" xr:uid="{00000000-0005-0000-0000-0000793F0000}"/>
    <cellStyle name="Финансовый 36 2 3 2 2 2 2 2 3 2" xfId="12186" xr:uid="{00000000-0005-0000-0000-00007A3F0000}"/>
    <cellStyle name="Финансовый 36 2 3 2 2 2 2 2 3 2 2" xfId="29275" xr:uid="{EAFF5F48-6540-4CC4-B034-68366965A962}"/>
    <cellStyle name="Финансовый 36 2 3 2 2 2 2 2 3 3" xfId="15418" xr:uid="{00000000-0005-0000-0000-00007B3F0000}"/>
    <cellStyle name="Финансовый 36 2 3 2 2 2 2 2 3 3 2" xfId="32431" xr:uid="{66B9AEBC-DD84-4783-A4E4-676CB7ABF37D}"/>
    <cellStyle name="Финансовый 36 2 3 2 2 2 2 2 3 4" xfId="18499" xr:uid="{00000000-0005-0000-0000-00007C3F0000}"/>
    <cellStyle name="Финансовый 36 2 3 2 2 2 2 2 3 4 2" xfId="35512" xr:uid="{6AF5ECED-259B-40FF-8F1C-9605138446C9}"/>
    <cellStyle name="Финансовый 36 2 3 2 2 2 2 2 3 5" xfId="26202" xr:uid="{996280E8-6FB3-494A-A0F2-B0F5DCBFC4C5}"/>
    <cellStyle name="Финансовый 36 2 3 2 2 2 2 2 4" xfId="12183" xr:uid="{00000000-0005-0000-0000-00007D3F0000}"/>
    <cellStyle name="Финансовый 36 2 3 2 2 2 2 2 4 2" xfId="29272" xr:uid="{5C10C32C-F21F-4488-809B-E9C373960AA8}"/>
    <cellStyle name="Финансовый 36 2 3 2 2 2 2 2 5" xfId="15415" xr:uid="{00000000-0005-0000-0000-00007E3F0000}"/>
    <cellStyle name="Финансовый 36 2 3 2 2 2 2 2 5 2" xfId="32428" xr:uid="{F7E9FC86-AF34-4E80-9300-4DFA3107E049}"/>
    <cellStyle name="Финансовый 36 2 3 2 2 2 2 2 6" xfId="18496" xr:uid="{00000000-0005-0000-0000-00007F3F0000}"/>
    <cellStyle name="Финансовый 36 2 3 2 2 2 2 2 6 2" xfId="35509" xr:uid="{3F8BBBC0-1E0C-4634-812B-9C50406F3C11}"/>
    <cellStyle name="Финансовый 36 2 3 2 2 2 2 2 7" xfId="26199" xr:uid="{81EB7ADA-D8DB-4764-8F02-904EEE06F079}"/>
    <cellStyle name="Финансовый 36 2 3 2 2 2 2 3" xfId="9102" xr:uid="{00000000-0005-0000-0000-0000803F0000}"/>
    <cellStyle name="Финансовый 36 2 3 2 2 2 2 3 2" xfId="9103" xr:uid="{00000000-0005-0000-0000-0000813F0000}"/>
    <cellStyle name="Финансовый 36 2 3 2 2 2 2 3 2 2" xfId="12188" xr:uid="{00000000-0005-0000-0000-0000823F0000}"/>
    <cellStyle name="Финансовый 36 2 3 2 2 2 2 3 2 2 2" xfId="29277" xr:uid="{3D5F9323-8FD5-47B0-94B5-84B08E3348CA}"/>
    <cellStyle name="Финансовый 36 2 3 2 2 2 2 3 2 3" xfId="15420" xr:uid="{00000000-0005-0000-0000-0000833F0000}"/>
    <cellStyle name="Финансовый 36 2 3 2 2 2 2 3 2 3 2" xfId="32433" xr:uid="{C06906A6-DE68-4281-9003-6B53E384BB73}"/>
    <cellStyle name="Финансовый 36 2 3 2 2 2 2 3 2 4" xfId="18501" xr:uid="{00000000-0005-0000-0000-0000843F0000}"/>
    <cellStyle name="Финансовый 36 2 3 2 2 2 2 3 2 4 2" xfId="35514" xr:uid="{E5719136-7CCD-4743-9E7E-9BB50D3C62A2}"/>
    <cellStyle name="Финансовый 36 2 3 2 2 2 2 3 2 5" xfId="26204" xr:uid="{08C0BE3A-6D3D-4E85-B0AD-17E17C6F47A6}"/>
    <cellStyle name="Финансовый 36 2 3 2 2 2 2 3 3" xfId="12187" xr:uid="{00000000-0005-0000-0000-0000853F0000}"/>
    <cellStyle name="Финансовый 36 2 3 2 2 2 2 3 3 2" xfId="29276" xr:uid="{70E4A40B-4E28-4A2E-B0EF-1AB85CBF8AA5}"/>
    <cellStyle name="Финансовый 36 2 3 2 2 2 2 3 4" xfId="15419" xr:uid="{00000000-0005-0000-0000-0000863F0000}"/>
    <cellStyle name="Финансовый 36 2 3 2 2 2 2 3 4 2" xfId="32432" xr:uid="{02501F9F-5236-4D9C-BE52-5F4CC3E1C0A7}"/>
    <cellStyle name="Финансовый 36 2 3 2 2 2 2 3 5" xfId="18500" xr:uid="{00000000-0005-0000-0000-0000873F0000}"/>
    <cellStyle name="Финансовый 36 2 3 2 2 2 2 3 5 2" xfId="35513" xr:uid="{55983FA5-616C-4712-966A-0657B0B2A3F1}"/>
    <cellStyle name="Финансовый 36 2 3 2 2 2 2 3 6" xfId="26203" xr:uid="{2FCBD7DD-AD77-40EA-BAF3-81BEBCF97FB0}"/>
    <cellStyle name="Финансовый 36 2 3 2 2 2 2 4" xfId="9104" xr:uid="{00000000-0005-0000-0000-0000883F0000}"/>
    <cellStyle name="Финансовый 36 2 3 2 2 2 2 4 2" xfId="12189" xr:uid="{00000000-0005-0000-0000-0000893F0000}"/>
    <cellStyle name="Финансовый 36 2 3 2 2 2 2 4 2 2" xfId="29278" xr:uid="{4003BC24-B312-4E91-9CE2-D497D2B151D1}"/>
    <cellStyle name="Финансовый 36 2 3 2 2 2 2 4 3" xfId="15421" xr:uid="{00000000-0005-0000-0000-00008A3F0000}"/>
    <cellStyle name="Финансовый 36 2 3 2 2 2 2 4 3 2" xfId="32434" xr:uid="{0E6C054C-C763-45D3-B146-3C818E8765ED}"/>
    <cellStyle name="Финансовый 36 2 3 2 2 2 2 4 4" xfId="18502" xr:uid="{00000000-0005-0000-0000-00008B3F0000}"/>
    <cellStyle name="Финансовый 36 2 3 2 2 2 2 4 4 2" xfId="35515" xr:uid="{E1DC8039-B744-4825-ABCE-C11A9E3FCA6E}"/>
    <cellStyle name="Финансовый 36 2 3 2 2 2 2 4 5" xfId="26205" xr:uid="{7E256272-8388-45EB-B476-9A1924CCE913}"/>
    <cellStyle name="Финансовый 36 2 3 2 2 2 2 5" xfId="12182" xr:uid="{00000000-0005-0000-0000-00008C3F0000}"/>
    <cellStyle name="Финансовый 36 2 3 2 2 2 2 5 2" xfId="29271" xr:uid="{A3EE1E30-0222-406D-90D0-9ECFEC9431B7}"/>
    <cellStyle name="Финансовый 36 2 3 2 2 2 2 6" xfId="15414" xr:uid="{00000000-0005-0000-0000-00008D3F0000}"/>
    <cellStyle name="Финансовый 36 2 3 2 2 2 2 6 2" xfId="32427" xr:uid="{A0E1479E-BA54-4522-9F43-84DDBAA0C4B6}"/>
    <cellStyle name="Финансовый 36 2 3 2 2 2 2 7" xfId="18495" xr:uid="{00000000-0005-0000-0000-00008E3F0000}"/>
    <cellStyle name="Финансовый 36 2 3 2 2 2 2 7 2" xfId="35508" xr:uid="{E549F29C-17FB-428A-AC59-63FB55C8A17B}"/>
    <cellStyle name="Финансовый 36 2 3 2 2 2 2 8" xfId="26198" xr:uid="{5E1CEBEF-1A11-4EF3-B203-C5DED89E0E5A}"/>
    <cellStyle name="Финансовый 36 2 3 2 2 2 3" xfId="9105" xr:uid="{00000000-0005-0000-0000-00008F3F0000}"/>
    <cellStyle name="Финансовый 36 2 3 2 2 2 3 2" xfId="9106" xr:uid="{00000000-0005-0000-0000-0000903F0000}"/>
    <cellStyle name="Финансовый 36 2 3 2 2 2 3 2 2" xfId="9107" xr:uid="{00000000-0005-0000-0000-0000913F0000}"/>
    <cellStyle name="Финансовый 36 2 3 2 2 2 3 2 2 2" xfId="12192" xr:uid="{00000000-0005-0000-0000-0000923F0000}"/>
    <cellStyle name="Финансовый 36 2 3 2 2 2 3 2 2 2 2" xfId="29281" xr:uid="{D61B62AC-0BDE-45EC-98CC-F35639851C42}"/>
    <cellStyle name="Финансовый 36 2 3 2 2 2 3 2 2 3" xfId="15424" xr:uid="{00000000-0005-0000-0000-0000933F0000}"/>
    <cellStyle name="Финансовый 36 2 3 2 2 2 3 2 2 3 2" xfId="32437" xr:uid="{9DE5E1F9-5D14-4720-A38F-5E549C0F18CE}"/>
    <cellStyle name="Финансовый 36 2 3 2 2 2 3 2 2 4" xfId="18505" xr:uid="{00000000-0005-0000-0000-0000943F0000}"/>
    <cellStyle name="Финансовый 36 2 3 2 2 2 3 2 2 4 2" xfId="35518" xr:uid="{A3AFBBF6-7876-40E5-8CED-01FA911C8C9B}"/>
    <cellStyle name="Финансовый 36 2 3 2 2 2 3 2 2 5" xfId="26208" xr:uid="{FA2A735D-4FB0-4D4D-A416-FD6E23332DE1}"/>
    <cellStyle name="Финансовый 36 2 3 2 2 2 3 2 3" xfId="12191" xr:uid="{00000000-0005-0000-0000-0000953F0000}"/>
    <cellStyle name="Финансовый 36 2 3 2 2 2 3 2 3 2" xfId="29280" xr:uid="{071BE96D-6DA3-49A4-B10D-D6D30206266C}"/>
    <cellStyle name="Финансовый 36 2 3 2 2 2 3 2 4" xfId="15423" xr:uid="{00000000-0005-0000-0000-0000963F0000}"/>
    <cellStyle name="Финансовый 36 2 3 2 2 2 3 2 4 2" xfId="32436" xr:uid="{2F834731-A599-4135-9663-CB5B30E966D8}"/>
    <cellStyle name="Финансовый 36 2 3 2 2 2 3 2 5" xfId="18504" xr:uid="{00000000-0005-0000-0000-0000973F0000}"/>
    <cellStyle name="Финансовый 36 2 3 2 2 2 3 2 5 2" xfId="35517" xr:uid="{8AF3F544-37D7-42AA-A6F9-AD42A8DF5AF6}"/>
    <cellStyle name="Финансовый 36 2 3 2 2 2 3 2 6" xfId="26207" xr:uid="{743DC5F2-B905-4D77-BAD1-A4BAA758F884}"/>
    <cellStyle name="Финансовый 36 2 3 2 2 2 3 3" xfId="9108" xr:uid="{00000000-0005-0000-0000-0000983F0000}"/>
    <cellStyle name="Финансовый 36 2 3 2 2 2 3 3 2" xfId="12193" xr:uid="{00000000-0005-0000-0000-0000993F0000}"/>
    <cellStyle name="Финансовый 36 2 3 2 2 2 3 3 2 2" xfId="29282" xr:uid="{0C959818-8DB1-4154-A645-610345705B40}"/>
    <cellStyle name="Финансовый 36 2 3 2 2 2 3 3 3" xfId="15425" xr:uid="{00000000-0005-0000-0000-00009A3F0000}"/>
    <cellStyle name="Финансовый 36 2 3 2 2 2 3 3 3 2" xfId="32438" xr:uid="{945E230E-0888-4D4D-A692-37EB2F477CFD}"/>
    <cellStyle name="Финансовый 36 2 3 2 2 2 3 3 4" xfId="18506" xr:uid="{00000000-0005-0000-0000-00009B3F0000}"/>
    <cellStyle name="Финансовый 36 2 3 2 2 2 3 3 4 2" xfId="35519" xr:uid="{00AE9080-214B-404A-A4B1-BD7E947F6C6C}"/>
    <cellStyle name="Финансовый 36 2 3 2 2 2 3 3 5" xfId="26209" xr:uid="{492342C6-1A30-4151-B7D9-37733435839B}"/>
    <cellStyle name="Финансовый 36 2 3 2 2 2 3 4" xfId="12190" xr:uid="{00000000-0005-0000-0000-00009C3F0000}"/>
    <cellStyle name="Финансовый 36 2 3 2 2 2 3 4 2" xfId="29279" xr:uid="{67C1A97A-D5C2-466A-9724-C9CDA53BA3EB}"/>
    <cellStyle name="Финансовый 36 2 3 2 2 2 3 5" xfId="15422" xr:uid="{00000000-0005-0000-0000-00009D3F0000}"/>
    <cellStyle name="Финансовый 36 2 3 2 2 2 3 5 2" xfId="32435" xr:uid="{3DFF9188-2543-4D5F-87DB-0085A412F499}"/>
    <cellStyle name="Финансовый 36 2 3 2 2 2 3 6" xfId="18503" xr:uid="{00000000-0005-0000-0000-00009E3F0000}"/>
    <cellStyle name="Финансовый 36 2 3 2 2 2 3 6 2" xfId="35516" xr:uid="{7165A369-3AE1-4CEE-BFAD-DB3140CC43B0}"/>
    <cellStyle name="Финансовый 36 2 3 2 2 2 3 7" xfId="26206" xr:uid="{E9A611C1-894A-4C47-933E-3D62DEAE0986}"/>
    <cellStyle name="Финансовый 36 2 3 2 2 2 4" xfId="9109" xr:uid="{00000000-0005-0000-0000-00009F3F0000}"/>
    <cellStyle name="Финансовый 36 2 3 2 2 2 4 2" xfId="9110" xr:uid="{00000000-0005-0000-0000-0000A03F0000}"/>
    <cellStyle name="Финансовый 36 2 3 2 2 2 4 2 2" xfId="12195" xr:uid="{00000000-0005-0000-0000-0000A13F0000}"/>
    <cellStyle name="Финансовый 36 2 3 2 2 2 4 2 2 2" xfId="29284" xr:uid="{81C85942-3142-4628-AA5F-5985652C8DB2}"/>
    <cellStyle name="Финансовый 36 2 3 2 2 2 4 2 3" xfId="15427" xr:uid="{00000000-0005-0000-0000-0000A23F0000}"/>
    <cellStyle name="Финансовый 36 2 3 2 2 2 4 2 3 2" xfId="32440" xr:uid="{DE9E8AE5-7DA3-4CB1-A304-B979B09BF68A}"/>
    <cellStyle name="Финансовый 36 2 3 2 2 2 4 2 4" xfId="18508" xr:uid="{00000000-0005-0000-0000-0000A33F0000}"/>
    <cellStyle name="Финансовый 36 2 3 2 2 2 4 2 4 2" xfId="35521" xr:uid="{AF79711A-59AF-4925-9E25-14EF5519527D}"/>
    <cellStyle name="Финансовый 36 2 3 2 2 2 4 2 5" xfId="26211" xr:uid="{78FBDD93-D37F-4B78-85F4-7A2923640857}"/>
    <cellStyle name="Финансовый 36 2 3 2 2 2 4 3" xfId="12194" xr:uid="{00000000-0005-0000-0000-0000A43F0000}"/>
    <cellStyle name="Финансовый 36 2 3 2 2 2 4 3 2" xfId="29283" xr:uid="{C2CECBDE-1597-43C3-8E01-02C1C3363822}"/>
    <cellStyle name="Финансовый 36 2 3 2 2 2 4 4" xfId="15426" xr:uid="{00000000-0005-0000-0000-0000A53F0000}"/>
    <cellStyle name="Финансовый 36 2 3 2 2 2 4 4 2" xfId="32439" xr:uid="{B7595F60-5A2B-4675-91E6-0A95EFF75BBF}"/>
    <cellStyle name="Финансовый 36 2 3 2 2 2 4 5" xfId="18507" xr:uid="{00000000-0005-0000-0000-0000A63F0000}"/>
    <cellStyle name="Финансовый 36 2 3 2 2 2 4 5 2" xfId="35520" xr:uid="{F22ED493-0D88-4FAB-B682-965FC8AB5E90}"/>
    <cellStyle name="Финансовый 36 2 3 2 2 2 4 6" xfId="26210" xr:uid="{930C59E2-0EC9-498D-8B0A-E4BC243BDA89}"/>
    <cellStyle name="Финансовый 36 2 3 2 2 2 5" xfId="9111" xr:uid="{00000000-0005-0000-0000-0000A73F0000}"/>
    <cellStyle name="Финансовый 36 2 3 2 2 2 5 2" xfId="12196" xr:uid="{00000000-0005-0000-0000-0000A83F0000}"/>
    <cellStyle name="Финансовый 36 2 3 2 2 2 5 2 2" xfId="29285" xr:uid="{2221CAB1-9FC7-41B8-9AA3-7413744B3CCA}"/>
    <cellStyle name="Финансовый 36 2 3 2 2 2 5 3" xfId="15428" xr:uid="{00000000-0005-0000-0000-0000A93F0000}"/>
    <cellStyle name="Финансовый 36 2 3 2 2 2 5 3 2" xfId="32441" xr:uid="{BBD5AA70-1AE8-42DF-B7EC-BCBE28F07874}"/>
    <cellStyle name="Финансовый 36 2 3 2 2 2 5 4" xfId="18509" xr:uid="{00000000-0005-0000-0000-0000AA3F0000}"/>
    <cellStyle name="Финансовый 36 2 3 2 2 2 5 4 2" xfId="35522" xr:uid="{6E260FDD-09F1-4D06-A080-8E21259A0832}"/>
    <cellStyle name="Финансовый 36 2 3 2 2 2 5 5" xfId="26212" xr:uid="{D8BB8ECE-A581-40B7-8367-C8FB4D6ACE2E}"/>
    <cellStyle name="Финансовый 36 2 3 2 2 2 6" xfId="12181" xr:uid="{00000000-0005-0000-0000-0000AB3F0000}"/>
    <cellStyle name="Финансовый 36 2 3 2 2 2 6 2" xfId="29270" xr:uid="{461A8CC7-A9A5-445C-A254-BF4412F489E4}"/>
    <cellStyle name="Финансовый 36 2 3 2 2 2 7" xfId="15413" xr:uid="{00000000-0005-0000-0000-0000AC3F0000}"/>
    <cellStyle name="Финансовый 36 2 3 2 2 2 7 2" xfId="32426" xr:uid="{5E60448A-0791-4B0C-B424-6203CE510F48}"/>
    <cellStyle name="Финансовый 36 2 3 2 2 2 8" xfId="18494" xr:uid="{00000000-0005-0000-0000-0000AD3F0000}"/>
    <cellStyle name="Финансовый 36 2 3 2 2 2 8 2" xfId="35507" xr:uid="{FDDF2F58-D4DE-479B-BD81-FEBF3CE3E591}"/>
    <cellStyle name="Финансовый 36 2 3 2 2 2 9" xfId="26197" xr:uid="{E8235455-3BDB-484F-B66D-76E0F32E8C3F}"/>
    <cellStyle name="Финансовый 36 2 3 2 2 3" xfId="9112" xr:uid="{00000000-0005-0000-0000-0000AE3F0000}"/>
    <cellStyle name="Финансовый 36 2 3 2 2 3 2" xfId="9113" xr:uid="{00000000-0005-0000-0000-0000AF3F0000}"/>
    <cellStyle name="Финансовый 36 2 3 2 2 3 2 2" xfId="9114" xr:uid="{00000000-0005-0000-0000-0000B03F0000}"/>
    <cellStyle name="Финансовый 36 2 3 2 2 3 2 2 2" xfId="9115" xr:uid="{00000000-0005-0000-0000-0000B13F0000}"/>
    <cellStyle name="Финансовый 36 2 3 2 2 3 2 2 2 2" xfId="12200" xr:uid="{00000000-0005-0000-0000-0000B23F0000}"/>
    <cellStyle name="Финансовый 36 2 3 2 2 3 2 2 2 2 2" xfId="29289" xr:uid="{DAA6E9AC-1A88-4181-8240-A9A40989A798}"/>
    <cellStyle name="Финансовый 36 2 3 2 2 3 2 2 2 3" xfId="15432" xr:uid="{00000000-0005-0000-0000-0000B33F0000}"/>
    <cellStyle name="Финансовый 36 2 3 2 2 3 2 2 2 3 2" xfId="32445" xr:uid="{A09C944D-08FF-4CB8-ABBA-12813E15E5A0}"/>
    <cellStyle name="Финансовый 36 2 3 2 2 3 2 2 2 4" xfId="18513" xr:uid="{00000000-0005-0000-0000-0000B43F0000}"/>
    <cellStyle name="Финансовый 36 2 3 2 2 3 2 2 2 4 2" xfId="35526" xr:uid="{C6EF4823-E32E-4875-B3CA-F8BFA6909175}"/>
    <cellStyle name="Финансовый 36 2 3 2 2 3 2 2 2 5" xfId="26216" xr:uid="{97F1D5A4-B8C5-41DE-93AD-F053748089DF}"/>
    <cellStyle name="Финансовый 36 2 3 2 2 3 2 2 3" xfId="12199" xr:uid="{00000000-0005-0000-0000-0000B53F0000}"/>
    <cellStyle name="Финансовый 36 2 3 2 2 3 2 2 3 2" xfId="29288" xr:uid="{B7DD4FE3-E4D1-4A38-BC68-62670C4F12E4}"/>
    <cellStyle name="Финансовый 36 2 3 2 2 3 2 2 4" xfId="15431" xr:uid="{00000000-0005-0000-0000-0000B63F0000}"/>
    <cellStyle name="Финансовый 36 2 3 2 2 3 2 2 4 2" xfId="32444" xr:uid="{43D4CEC3-9ABF-4BAE-9E06-0E35E072D6A5}"/>
    <cellStyle name="Финансовый 36 2 3 2 2 3 2 2 5" xfId="18512" xr:uid="{00000000-0005-0000-0000-0000B73F0000}"/>
    <cellStyle name="Финансовый 36 2 3 2 2 3 2 2 5 2" xfId="35525" xr:uid="{BE0B4FC5-B923-4D64-B37A-2C2807418C68}"/>
    <cellStyle name="Финансовый 36 2 3 2 2 3 2 2 6" xfId="26215" xr:uid="{16423A33-6B8C-458D-BF04-20494F68A6F7}"/>
    <cellStyle name="Финансовый 36 2 3 2 2 3 2 3" xfId="9116" xr:uid="{00000000-0005-0000-0000-0000B83F0000}"/>
    <cellStyle name="Финансовый 36 2 3 2 2 3 2 3 2" xfId="12201" xr:uid="{00000000-0005-0000-0000-0000B93F0000}"/>
    <cellStyle name="Финансовый 36 2 3 2 2 3 2 3 2 2" xfId="29290" xr:uid="{AE8B341B-F2E5-46D6-BA3F-156211AD2753}"/>
    <cellStyle name="Финансовый 36 2 3 2 2 3 2 3 3" xfId="15433" xr:uid="{00000000-0005-0000-0000-0000BA3F0000}"/>
    <cellStyle name="Финансовый 36 2 3 2 2 3 2 3 3 2" xfId="32446" xr:uid="{DE357FB2-A179-4E8C-B403-DF0A3B8915A5}"/>
    <cellStyle name="Финансовый 36 2 3 2 2 3 2 3 4" xfId="18514" xr:uid="{00000000-0005-0000-0000-0000BB3F0000}"/>
    <cellStyle name="Финансовый 36 2 3 2 2 3 2 3 4 2" xfId="35527" xr:uid="{684513DE-D74D-40C2-ADCB-514C05B6A58E}"/>
    <cellStyle name="Финансовый 36 2 3 2 2 3 2 3 5" xfId="26217" xr:uid="{5868006E-2FD5-4771-B1F8-88C2094E3EA2}"/>
    <cellStyle name="Финансовый 36 2 3 2 2 3 2 4" xfId="12198" xr:uid="{00000000-0005-0000-0000-0000BC3F0000}"/>
    <cellStyle name="Финансовый 36 2 3 2 2 3 2 4 2" xfId="29287" xr:uid="{E08FAC95-A382-48B9-B97C-158D584A7F2A}"/>
    <cellStyle name="Финансовый 36 2 3 2 2 3 2 5" xfId="15430" xr:uid="{00000000-0005-0000-0000-0000BD3F0000}"/>
    <cellStyle name="Финансовый 36 2 3 2 2 3 2 5 2" xfId="32443" xr:uid="{F4053716-A5B1-44D6-B362-0ADFC822B661}"/>
    <cellStyle name="Финансовый 36 2 3 2 2 3 2 6" xfId="18511" xr:uid="{00000000-0005-0000-0000-0000BE3F0000}"/>
    <cellStyle name="Финансовый 36 2 3 2 2 3 2 6 2" xfId="35524" xr:uid="{39589D65-9F08-40BF-BBB6-8395DA179E4B}"/>
    <cellStyle name="Финансовый 36 2 3 2 2 3 2 7" xfId="26214" xr:uid="{C6470D39-306D-436E-9711-E9CC62DAE35A}"/>
    <cellStyle name="Финансовый 36 2 3 2 2 3 3" xfId="9117" xr:uid="{00000000-0005-0000-0000-0000BF3F0000}"/>
    <cellStyle name="Финансовый 36 2 3 2 2 3 3 2" xfId="9118" xr:uid="{00000000-0005-0000-0000-0000C03F0000}"/>
    <cellStyle name="Финансовый 36 2 3 2 2 3 3 2 2" xfId="12203" xr:uid="{00000000-0005-0000-0000-0000C13F0000}"/>
    <cellStyle name="Финансовый 36 2 3 2 2 3 3 2 2 2" xfId="29292" xr:uid="{FC911276-9941-476E-93DD-7889BAF5B3F6}"/>
    <cellStyle name="Финансовый 36 2 3 2 2 3 3 2 3" xfId="15435" xr:uid="{00000000-0005-0000-0000-0000C23F0000}"/>
    <cellStyle name="Финансовый 36 2 3 2 2 3 3 2 3 2" xfId="32448" xr:uid="{9470A114-47A3-4049-A2F2-68DC791502EF}"/>
    <cellStyle name="Финансовый 36 2 3 2 2 3 3 2 4" xfId="18516" xr:uid="{00000000-0005-0000-0000-0000C33F0000}"/>
    <cellStyle name="Финансовый 36 2 3 2 2 3 3 2 4 2" xfId="35529" xr:uid="{5390E6C8-C11E-4457-A255-F1FB5CE050FC}"/>
    <cellStyle name="Финансовый 36 2 3 2 2 3 3 2 5" xfId="26219" xr:uid="{47B46208-DC32-49F4-9379-3D3D2B4C156B}"/>
    <cellStyle name="Финансовый 36 2 3 2 2 3 3 3" xfId="12202" xr:uid="{00000000-0005-0000-0000-0000C43F0000}"/>
    <cellStyle name="Финансовый 36 2 3 2 2 3 3 3 2" xfId="29291" xr:uid="{09A9FCA3-7607-420C-8385-33CF6AD61421}"/>
    <cellStyle name="Финансовый 36 2 3 2 2 3 3 4" xfId="15434" xr:uid="{00000000-0005-0000-0000-0000C53F0000}"/>
    <cellStyle name="Финансовый 36 2 3 2 2 3 3 4 2" xfId="32447" xr:uid="{EF83E810-D6F5-4D81-9D32-3A69CFFD420A}"/>
    <cellStyle name="Финансовый 36 2 3 2 2 3 3 5" xfId="18515" xr:uid="{00000000-0005-0000-0000-0000C63F0000}"/>
    <cellStyle name="Финансовый 36 2 3 2 2 3 3 5 2" xfId="35528" xr:uid="{685227B8-51D7-4771-B9D3-84D98456EE3D}"/>
    <cellStyle name="Финансовый 36 2 3 2 2 3 3 6" xfId="26218" xr:uid="{CB5FC417-A8AB-482E-86CF-C58D4C00710F}"/>
    <cellStyle name="Финансовый 36 2 3 2 2 3 4" xfId="9119" xr:uid="{00000000-0005-0000-0000-0000C73F0000}"/>
    <cellStyle name="Финансовый 36 2 3 2 2 3 4 2" xfId="12204" xr:uid="{00000000-0005-0000-0000-0000C83F0000}"/>
    <cellStyle name="Финансовый 36 2 3 2 2 3 4 2 2" xfId="29293" xr:uid="{A2BD067A-E01D-4169-962A-CCEC271FF272}"/>
    <cellStyle name="Финансовый 36 2 3 2 2 3 4 3" xfId="15436" xr:uid="{00000000-0005-0000-0000-0000C93F0000}"/>
    <cellStyle name="Финансовый 36 2 3 2 2 3 4 3 2" xfId="32449" xr:uid="{BC6E0BA0-9837-495B-B8F1-9DB25B52BAA9}"/>
    <cellStyle name="Финансовый 36 2 3 2 2 3 4 4" xfId="18517" xr:uid="{00000000-0005-0000-0000-0000CA3F0000}"/>
    <cellStyle name="Финансовый 36 2 3 2 2 3 4 4 2" xfId="35530" xr:uid="{EAA07772-B58C-476A-AE16-0500BE47425C}"/>
    <cellStyle name="Финансовый 36 2 3 2 2 3 4 5" xfId="26220" xr:uid="{628DF35F-BDE5-42EB-BBED-3F7792A2A524}"/>
    <cellStyle name="Финансовый 36 2 3 2 2 3 5" xfId="12197" xr:uid="{00000000-0005-0000-0000-0000CB3F0000}"/>
    <cellStyle name="Финансовый 36 2 3 2 2 3 5 2" xfId="29286" xr:uid="{7C8B0DF4-064C-4F4C-A813-FA5224FB2590}"/>
    <cellStyle name="Финансовый 36 2 3 2 2 3 6" xfId="15429" xr:uid="{00000000-0005-0000-0000-0000CC3F0000}"/>
    <cellStyle name="Финансовый 36 2 3 2 2 3 6 2" xfId="32442" xr:uid="{964A4401-6900-477F-8ED5-8BB4545092F7}"/>
    <cellStyle name="Финансовый 36 2 3 2 2 3 7" xfId="18510" xr:uid="{00000000-0005-0000-0000-0000CD3F0000}"/>
    <cellStyle name="Финансовый 36 2 3 2 2 3 7 2" xfId="35523" xr:uid="{F416E33F-7AB1-4E70-912C-7B6FC40FF7FD}"/>
    <cellStyle name="Финансовый 36 2 3 2 2 3 8" xfId="26213" xr:uid="{9A0D6F42-D510-4CBA-A389-D2063F39FD30}"/>
    <cellStyle name="Финансовый 36 2 3 2 2 4" xfId="9120" xr:uid="{00000000-0005-0000-0000-0000CE3F0000}"/>
    <cellStyle name="Финансовый 36 2 3 2 2 4 2" xfId="9121" xr:uid="{00000000-0005-0000-0000-0000CF3F0000}"/>
    <cellStyle name="Финансовый 36 2 3 2 2 4 2 2" xfId="9122" xr:uid="{00000000-0005-0000-0000-0000D03F0000}"/>
    <cellStyle name="Финансовый 36 2 3 2 2 4 2 2 2" xfId="12207" xr:uid="{00000000-0005-0000-0000-0000D13F0000}"/>
    <cellStyle name="Финансовый 36 2 3 2 2 4 2 2 2 2" xfId="29296" xr:uid="{A8C0C73A-C87A-4CD5-8E66-75FD6A4A2F2E}"/>
    <cellStyle name="Финансовый 36 2 3 2 2 4 2 2 3" xfId="15439" xr:uid="{00000000-0005-0000-0000-0000D23F0000}"/>
    <cellStyle name="Финансовый 36 2 3 2 2 4 2 2 3 2" xfId="32452" xr:uid="{0AD5FA86-1CFC-49C1-84DB-73729F69A7F7}"/>
    <cellStyle name="Финансовый 36 2 3 2 2 4 2 2 4" xfId="18520" xr:uid="{00000000-0005-0000-0000-0000D33F0000}"/>
    <cellStyle name="Финансовый 36 2 3 2 2 4 2 2 4 2" xfId="35533" xr:uid="{3A0CF395-9E2C-4099-A6D4-F22BF41CC219}"/>
    <cellStyle name="Финансовый 36 2 3 2 2 4 2 2 5" xfId="26223" xr:uid="{FBA0A266-3D30-4E12-B896-0A30F22B647D}"/>
    <cellStyle name="Финансовый 36 2 3 2 2 4 2 3" xfId="12206" xr:uid="{00000000-0005-0000-0000-0000D43F0000}"/>
    <cellStyle name="Финансовый 36 2 3 2 2 4 2 3 2" xfId="29295" xr:uid="{1471F8DC-AFC0-43DA-9865-A166A9E52D54}"/>
    <cellStyle name="Финансовый 36 2 3 2 2 4 2 4" xfId="15438" xr:uid="{00000000-0005-0000-0000-0000D53F0000}"/>
    <cellStyle name="Финансовый 36 2 3 2 2 4 2 4 2" xfId="32451" xr:uid="{9CB1E09B-4F72-4105-86BB-65B4CF70CA24}"/>
    <cellStyle name="Финансовый 36 2 3 2 2 4 2 5" xfId="18519" xr:uid="{00000000-0005-0000-0000-0000D63F0000}"/>
    <cellStyle name="Финансовый 36 2 3 2 2 4 2 5 2" xfId="35532" xr:uid="{0EC76255-AB23-4ACF-B3BE-40ECB3D41AB5}"/>
    <cellStyle name="Финансовый 36 2 3 2 2 4 2 6" xfId="26222" xr:uid="{04583E9A-7AD1-4FAC-A062-7EB6460B2C30}"/>
    <cellStyle name="Финансовый 36 2 3 2 2 4 3" xfId="9123" xr:uid="{00000000-0005-0000-0000-0000D73F0000}"/>
    <cellStyle name="Финансовый 36 2 3 2 2 4 3 2" xfId="12208" xr:uid="{00000000-0005-0000-0000-0000D83F0000}"/>
    <cellStyle name="Финансовый 36 2 3 2 2 4 3 2 2" xfId="29297" xr:uid="{716D9DE4-2DD7-4240-8A7B-8136850A6E91}"/>
    <cellStyle name="Финансовый 36 2 3 2 2 4 3 3" xfId="15440" xr:uid="{00000000-0005-0000-0000-0000D93F0000}"/>
    <cellStyle name="Финансовый 36 2 3 2 2 4 3 3 2" xfId="32453" xr:uid="{DB3E742B-BB71-42F8-BCB7-B859ABBFDD8A}"/>
    <cellStyle name="Финансовый 36 2 3 2 2 4 3 4" xfId="18521" xr:uid="{00000000-0005-0000-0000-0000DA3F0000}"/>
    <cellStyle name="Финансовый 36 2 3 2 2 4 3 4 2" xfId="35534" xr:uid="{4DA2A450-62DD-4202-8B6A-A0E58160EA0B}"/>
    <cellStyle name="Финансовый 36 2 3 2 2 4 3 5" xfId="26224" xr:uid="{C3DD9D7B-1DF7-4440-A7E0-E4C0BF0E159D}"/>
    <cellStyle name="Финансовый 36 2 3 2 2 4 4" xfId="12205" xr:uid="{00000000-0005-0000-0000-0000DB3F0000}"/>
    <cellStyle name="Финансовый 36 2 3 2 2 4 4 2" xfId="29294" xr:uid="{7F887575-D3EE-48E8-9372-8D53DF0EB2E6}"/>
    <cellStyle name="Финансовый 36 2 3 2 2 4 5" xfId="15437" xr:uid="{00000000-0005-0000-0000-0000DC3F0000}"/>
    <cellStyle name="Финансовый 36 2 3 2 2 4 5 2" xfId="32450" xr:uid="{6AD69C60-1274-4362-B254-78DDD1ACCB15}"/>
    <cellStyle name="Финансовый 36 2 3 2 2 4 6" xfId="18518" xr:uid="{00000000-0005-0000-0000-0000DD3F0000}"/>
    <cellStyle name="Финансовый 36 2 3 2 2 4 6 2" xfId="35531" xr:uid="{1FFC9AA2-1F4B-4628-AE4F-FF5FEE3C43AE}"/>
    <cellStyle name="Финансовый 36 2 3 2 2 4 7" xfId="26221" xr:uid="{C51828D0-D318-4F4D-9BCD-AB6B3A15573F}"/>
    <cellStyle name="Финансовый 36 2 3 2 2 5" xfId="9124" xr:uid="{00000000-0005-0000-0000-0000DE3F0000}"/>
    <cellStyle name="Финансовый 36 2 3 2 2 5 2" xfId="9125" xr:uid="{00000000-0005-0000-0000-0000DF3F0000}"/>
    <cellStyle name="Финансовый 36 2 3 2 2 5 2 2" xfId="12210" xr:uid="{00000000-0005-0000-0000-0000E03F0000}"/>
    <cellStyle name="Финансовый 36 2 3 2 2 5 2 2 2" xfId="29299" xr:uid="{855C25BD-26C0-4CD2-805B-7EAC72003D90}"/>
    <cellStyle name="Финансовый 36 2 3 2 2 5 2 3" xfId="15442" xr:uid="{00000000-0005-0000-0000-0000E13F0000}"/>
    <cellStyle name="Финансовый 36 2 3 2 2 5 2 3 2" xfId="32455" xr:uid="{F41D82C0-7A9C-4FD3-899F-B8587084512A}"/>
    <cellStyle name="Финансовый 36 2 3 2 2 5 2 4" xfId="18523" xr:uid="{00000000-0005-0000-0000-0000E23F0000}"/>
    <cellStyle name="Финансовый 36 2 3 2 2 5 2 4 2" xfId="35536" xr:uid="{704A6711-0A48-46AC-B9F7-3F7600861F14}"/>
    <cellStyle name="Финансовый 36 2 3 2 2 5 2 5" xfId="26226" xr:uid="{3EB351E2-88E8-456B-BC2D-FBE6A1169793}"/>
    <cellStyle name="Финансовый 36 2 3 2 2 5 3" xfId="12209" xr:uid="{00000000-0005-0000-0000-0000E33F0000}"/>
    <cellStyle name="Финансовый 36 2 3 2 2 5 3 2" xfId="29298" xr:uid="{E0DD7A83-69AF-42F5-ABE0-377473B06E7A}"/>
    <cellStyle name="Финансовый 36 2 3 2 2 5 4" xfId="15441" xr:uid="{00000000-0005-0000-0000-0000E43F0000}"/>
    <cellStyle name="Финансовый 36 2 3 2 2 5 4 2" xfId="32454" xr:uid="{A273EC47-CD49-456E-B96A-4508EDD5DAAF}"/>
    <cellStyle name="Финансовый 36 2 3 2 2 5 5" xfId="18522" xr:uid="{00000000-0005-0000-0000-0000E53F0000}"/>
    <cellStyle name="Финансовый 36 2 3 2 2 5 5 2" xfId="35535" xr:uid="{43C37CC1-70BE-4F93-BCD0-FC83BDA7B24A}"/>
    <cellStyle name="Финансовый 36 2 3 2 2 5 6" xfId="26225" xr:uid="{214EE6CA-4B42-4301-8768-0006F6E9CD06}"/>
    <cellStyle name="Финансовый 36 2 3 2 2 6" xfId="9126" xr:uid="{00000000-0005-0000-0000-0000E63F0000}"/>
    <cellStyle name="Финансовый 36 2 3 2 2 6 2" xfId="12211" xr:uid="{00000000-0005-0000-0000-0000E73F0000}"/>
    <cellStyle name="Финансовый 36 2 3 2 2 6 2 2" xfId="29300" xr:uid="{2B182027-BC11-46EC-98F1-0F09F1566316}"/>
    <cellStyle name="Финансовый 36 2 3 2 2 6 3" xfId="15443" xr:uid="{00000000-0005-0000-0000-0000E83F0000}"/>
    <cellStyle name="Финансовый 36 2 3 2 2 6 3 2" xfId="32456" xr:uid="{9363D360-2599-4A4E-B053-728C75835EEE}"/>
    <cellStyle name="Финансовый 36 2 3 2 2 6 4" xfId="18524" xr:uid="{00000000-0005-0000-0000-0000E93F0000}"/>
    <cellStyle name="Финансовый 36 2 3 2 2 6 4 2" xfId="35537" xr:uid="{2D094FF6-4203-4BB4-957A-DBBFAAD089C1}"/>
    <cellStyle name="Финансовый 36 2 3 2 2 6 5" xfId="26227" xr:uid="{F216E475-7838-47CF-99CA-238E967BA72B}"/>
    <cellStyle name="Финансовый 36 2 3 2 2 7" xfId="12180" xr:uid="{00000000-0005-0000-0000-0000EA3F0000}"/>
    <cellStyle name="Финансовый 36 2 3 2 2 7 2" xfId="29269" xr:uid="{30397379-2CF8-4517-A5C5-BB1D3B76CF80}"/>
    <cellStyle name="Финансовый 36 2 3 2 2 8" xfId="15412" xr:uid="{00000000-0005-0000-0000-0000EB3F0000}"/>
    <cellStyle name="Финансовый 36 2 3 2 2 8 2" xfId="32425" xr:uid="{1D158518-E54E-453D-8185-C238F5C15F7E}"/>
    <cellStyle name="Финансовый 36 2 3 2 2 9" xfId="18493" xr:uid="{00000000-0005-0000-0000-0000EC3F0000}"/>
    <cellStyle name="Финансовый 36 2 3 2 2 9 2" xfId="35506" xr:uid="{F4FE93D7-8D30-49C1-843C-B1604714C924}"/>
    <cellStyle name="Финансовый 36 2 3 2 3" xfId="9127" xr:uid="{00000000-0005-0000-0000-0000ED3F0000}"/>
    <cellStyle name="Финансовый 36 2 3 2 3 2" xfId="9128" xr:uid="{00000000-0005-0000-0000-0000EE3F0000}"/>
    <cellStyle name="Финансовый 36 2 3 2 3 2 2" xfId="9129" xr:uid="{00000000-0005-0000-0000-0000EF3F0000}"/>
    <cellStyle name="Финансовый 36 2 3 2 3 2 2 2" xfId="9130" xr:uid="{00000000-0005-0000-0000-0000F03F0000}"/>
    <cellStyle name="Финансовый 36 2 3 2 3 2 2 2 2" xfId="9131" xr:uid="{00000000-0005-0000-0000-0000F13F0000}"/>
    <cellStyle name="Финансовый 36 2 3 2 3 2 2 2 2 2" xfId="12216" xr:uid="{00000000-0005-0000-0000-0000F23F0000}"/>
    <cellStyle name="Финансовый 36 2 3 2 3 2 2 2 2 2 2" xfId="29305" xr:uid="{2D442947-A696-4A36-87FC-BD35CEA6ECF8}"/>
    <cellStyle name="Финансовый 36 2 3 2 3 2 2 2 2 3" xfId="15448" xr:uid="{00000000-0005-0000-0000-0000F33F0000}"/>
    <cellStyle name="Финансовый 36 2 3 2 3 2 2 2 2 3 2" xfId="32461" xr:uid="{965BF893-7D65-4431-B49D-D0FC7E7027CC}"/>
    <cellStyle name="Финансовый 36 2 3 2 3 2 2 2 2 4" xfId="18529" xr:uid="{00000000-0005-0000-0000-0000F43F0000}"/>
    <cellStyle name="Финансовый 36 2 3 2 3 2 2 2 2 4 2" xfId="35542" xr:uid="{AE01639C-7E80-48AF-BD04-DF45CC197BCE}"/>
    <cellStyle name="Финансовый 36 2 3 2 3 2 2 2 2 5" xfId="26232" xr:uid="{B835754C-8453-4AE9-9AD8-4657D4A20B4A}"/>
    <cellStyle name="Финансовый 36 2 3 2 3 2 2 2 3" xfId="12215" xr:uid="{00000000-0005-0000-0000-0000F53F0000}"/>
    <cellStyle name="Финансовый 36 2 3 2 3 2 2 2 3 2" xfId="29304" xr:uid="{17048A44-A2B2-40D7-B39B-ABA0A013915F}"/>
    <cellStyle name="Финансовый 36 2 3 2 3 2 2 2 4" xfId="15447" xr:uid="{00000000-0005-0000-0000-0000F63F0000}"/>
    <cellStyle name="Финансовый 36 2 3 2 3 2 2 2 4 2" xfId="32460" xr:uid="{C08DB113-CC48-41CC-98DB-100996BFCB3E}"/>
    <cellStyle name="Финансовый 36 2 3 2 3 2 2 2 5" xfId="18528" xr:uid="{00000000-0005-0000-0000-0000F73F0000}"/>
    <cellStyle name="Финансовый 36 2 3 2 3 2 2 2 5 2" xfId="35541" xr:uid="{7322774A-540C-4AF4-BC53-2D0AB1F339E5}"/>
    <cellStyle name="Финансовый 36 2 3 2 3 2 2 2 6" xfId="26231" xr:uid="{B4A8FF2C-ABB0-4109-B0E8-6EEAB0740C9B}"/>
    <cellStyle name="Финансовый 36 2 3 2 3 2 2 3" xfId="9132" xr:uid="{00000000-0005-0000-0000-0000F83F0000}"/>
    <cellStyle name="Финансовый 36 2 3 2 3 2 2 3 2" xfId="12217" xr:uid="{00000000-0005-0000-0000-0000F93F0000}"/>
    <cellStyle name="Финансовый 36 2 3 2 3 2 2 3 2 2" xfId="29306" xr:uid="{DCB373AC-1042-4BD6-BD20-8FC6A5135D9E}"/>
    <cellStyle name="Финансовый 36 2 3 2 3 2 2 3 3" xfId="15449" xr:uid="{00000000-0005-0000-0000-0000FA3F0000}"/>
    <cellStyle name="Финансовый 36 2 3 2 3 2 2 3 3 2" xfId="32462" xr:uid="{90DC6A93-3354-4914-90C2-73BDEE56CE74}"/>
    <cellStyle name="Финансовый 36 2 3 2 3 2 2 3 4" xfId="18530" xr:uid="{00000000-0005-0000-0000-0000FB3F0000}"/>
    <cellStyle name="Финансовый 36 2 3 2 3 2 2 3 4 2" xfId="35543" xr:uid="{A690D717-44B1-43EE-A742-9442AD81480D}"/>
    <cellStyle name="Финансовый 36 2 3 2 3 2 2 3 5" xfId="26233" xr:uid="{1776B840-ACAC-42BE-BACE-86E97BCF7E32}"/>
    <cellStyle name="Финансовый 36 2 3 2 3 2 2 4" xfId="12214" xr:uid="{00000000-0005-0000-0000-0000FC3F0000}"/>
    <cellStyle name="Финансовый 36 2 3 2 3 2 2 4 2" xfId="29303" xr:uid="{97345981-023E-4B7E-8FC0-C4E11F936864}"/>
    <cellStyle name="Финансовый 36 2 3 2 3 2 2 5" xfId="15446" xr:uid="{00000000-0005-0000-0000-0000FD3F0000}"/>
    <cellStyle name="Финансовый 36 2 3 2 3 2 2 5 2" xfId="32459" xr:uid="{D5909180-0B39-4F85-AC76-B93039FCCE61}"/>
    <cellStyle name="Финансовый 36 2 3 2 3 2 2 6" xfId="18527" xr:uid="{00000000-0005-0000-0000-0000FE3F0000}"/>
    <cellStyle name="Финансовый 36 2 3 2 3 2 2 6 2" xfId="35540" xr:uid="{A964B05E-8635-4ECD-A4C7-67DBD4F30DED}"/>
    <cellStyle name="Финансовый 36 2 3 2 3 2 2 7" xfId="26230" xr:uid="{22F51BFC-8726-4672-9A1C-C687DFD4B2E6}"/>
    <cellStyle name="Финансовый 36 2 3 2 3 2 3" xfId="9133" xr:uid="{00000000-0005-0000-0000-0000FF3F0000}"/>
    <cellStyle name="Финансовый 36 2 3 2 3 2 3 2" xfId="9134" xr:uid="{00000000-0005-0000-0000-000000400000}"/>
    <cellStyle name="Финансовый 36 2 3 2 3 2 3 2 2" xfId="12219" xr:uid="{00000000-0005-0000-0000-000001400000}"/>
    <cellStyle name="Финансовый 36 2 3 2 3 2 3 2 2 2" xfId="29308" xr:uid="{9B3A7F66-BE11-4EBD-8A65-7C55431C3B19}"/>
    <cellStyle name="Финансовый 36 2 3 2 3 2 3 2 3" xfId="15451" xr:uid="{00000000-0005-0000-0000-000002400000}"/>
    <cellStyle name="Финансовый 36 2 3 2 3 2 3 2 3 2" xfId="32464" xr:uid="{49059996-4623-475E-B1E6-DAED70B76F44}"/>
    <cellStyle name="Финансовый 36 2 3 2 3 2 3 2 4" xfId="18532" xr:uid="{00000000-0005-0000-0000-000003400000}"/>
    <cellStyle name="Финансовый 36 2 3 2 3 2 3 2 4 2" xfId="35545" xr:uid="{0B89BBFE-CC6F-40E4-AF10-AF172D59BFA5}"/>
    <cellStyle name="Финансовый 36 2 3 2 3 2 3 2 5" xfId="26235" xr:uid="{886AE6A5-A14D-4A44-8C06-632D80CDC90B}"/>
    <cellStyle name="Финансовый 36 2 3 2 3 2 3 3" xfId="12218" xr:uid="{00000000-0005-0000-0000-000004400000}"/>
    <cellStyle name="Финансовый 36 2 3 2 3 2 3 3 2" xfId="29307" xr:uid="{8D4215B6-2E24-41B4-80E0-25F5CF6D1EF7}"/>
    <cellStyle name="Финансовый 36 2 3 2 3 2 3 4" xfId="15450" xr:uid="{00000000-0005-0000-0000-000005400000}"/>
    <cellStyle name="Финансовый 36 2 3 2 3 2 3 4 2" xfId="32463" xr:uid="{362497C7-6FA6-440D-9F10-13CC85E0EA45}"/>
    <cellStyle name="Финансовый 36 2 3 2 3 2 3 5" xfId="18531" xr:uid="{00000000-0005-0000-0000-000006400000}"/>
    <cellStyle name="Финансовый 36 2 3 2 3 2 3 5 2" xfId="35544" xr:uid="{FF2050B8-DB99-4DAE-A44D-9EB838DDB8B5}"/>
    <cellStyle name="Финансовый 36 2 3 2 3 2 3 6" xfId="26234" xr:uid="{B11441C3-6C5A-4523-A04B-1EDEB984DE86}"/>
    <cellStyle name="Финансовый 36 2 3 2 3 2 4" xfId="9135" xr:uid="{00000000-0005-0000-0000-000007400000}"/>
    <cellStyle name="Финансовый 36 2 3 2 3 2 4 2" xfId="12220" xr:uid="{00000000-0005-0000-0000-000008400000}"/>
    <cellStyle name="Финансовый 36 2 3 2 3 2 4 2 2" xfId="29309" xr:uid="{35C808B5-F0A7-44B5-AC63-658D6ED6F25E}"/>
    <cellStyle name="Финансовый 36 2 3 2 3 2 4 3" xfId="15452" xr:uid="{00000000-0005-0000-0000-000009400000}"/>
    <cellStyle name="Финансовый 36 2 3 2 3 2 4 3 2" xfId="32465" xr:uid="{7A713A8D-4B90-4357-88E8-5AB9D85CAD94}"/>
    <cellStyle name="Финансовый 36 2 3 2 3 2 4 4" xfId="18533" xr:uid="{00000000-0005-0000-0000-00000A400000}"/>
    <cellStyle name="Финансовый 36 2 3 2 3 2 4 4 2" xfId="35546" xr:uid="{6CBCD8B4-D9D0-426F-BCD0-EE2A886F726E}"/>
    <cellStyle name="Финансовый 36 2 3 2 3 2 4 5" xfId="26236" xr:uid="{D5042171-D9CD-401E-A7A8-823A2EB188BE}"/>
    <cellStyle name="Финансовый 36 2 3 2 3 2 5" xfId="12213" xr:uid="{00000000-0005-0000-0000-00000B400000}"/>
    <cellStyle name="Финансовый 36 2 3 2 3 2 5 2" xfId="29302" xr:uid="{A74A8749-8300-444B-8F2A-49E452F83BAE}"/>
    <cellStyle name="Финансовый 36 2 3 2 3 2 6" xfId="15445" xr:uid="{00000000-0005-0000-0000-00000C400000}"/>
    <cellStyle name="Финансовый 36 2 3 2 3 2 6 2" xfId="32458" xr:uid="{10EA0916-F031-42FA-BFE7-F0F68F7FB44A}"/>
    <cellStyle name="Финансовый 36 2 3 2 3 2 7" xfId="18526" xr:uid="{00000000-0005-0000-0000-00000D400000}"/>
    <cellStyle name="Финансовый 36 2 3 2 3 2 7 2" xfId="35539" xr:uid="{9D9387D7-D0F9-487B-AA95-1CD0A06DC452}"/>
    <cellStyle name="Финансовый 36 2 3 2 3 2 8" xfId="26229" xr:uid="{F2BB46EC-AE58-4E24-8EDD-E0B1CFA67162}"/>
    <cellStyle name="Финансовый 36 2 3 2 3 3" xfId="9136" xr:uid="{00000000-0005-0000-0000-00000E400000}"/>
    <cellStyle name="Финансовый 36 2 3 2 3 3 2" xfId="9137" xr:uid="{00000000-0005-0000-0000-00000F400000}"/>
    <cellStyle name="Финансовый 36 2 3 2 3 3 2 2" xfId="9138" xr:uid="{00000000-0005-0000-0000-000010400000}"/>
    <cellStyle name="Финансовый 36 2 3 2 3 3 2 2 2" xfId="12223" xr:uid="{00000000-0005-0000-0000-000011400000}"/>
    <cellStyle name="Финансовый 36 2 3 2 3 3 2 2 2 2" xfId="29312" xr:uid="{219C12FA-C09B-49CC-9A50-7DFFF5ED6597}"/>
    <cellStyle name="Финансовый 36 2 3 2 3 3 2 2 3" xfId="15455" xr:uid="{00000000-0005-0000-0000-000012400000}"/>
    <cellStyle name="Финансовый 36 2 3 2 3 3 2 2 3 2" xfId="32468" xr:uid="{545F1324-50A9-455E-9375-8AC719422F96}"/>
    <cellStyle name="Финансовый 36 2 3 2 3 3 2 2 4" xfId="18536" xr:uid="{00000000-0005-0000-0000-000013400000}"/>
    <cellStyle name="Финансовый 36 2 3 2 3 3 2 2 4 2" xfId="35549" xr:uid="{F23177F5-1450-4BC6-BFC6-A27C93EAB7D9}"/>
    <cellStyle name="Финансовый 36 2 3 2 3 3 2 2 5" xfId="26239" xr:uid="{62A9B959-6454-469C-AC4E-FC3F9AE59864}"/>
    <cellStyle name="Финансовый 36 2 3 2 3 3 2 3" xfId="12222" xr:uid="{00000000-0005-0000-0000-000014400000}"/>
    <cellStyle name="Финансовый 36 2 3 2 3 3 2 3 2" xfId="29311" xr:uid="{577A520F-1D68-4720-B40A-EA033345F19D}"/>
    <cellStyle name="Финансовый 36 2 3 2 3 3 2 4" xfId="15454" xr:uid="{00000000-0005-0000-0000-000015400000}"/>
    <cellStyle name="Финансовый 36 2 3 2 3 3 2 4 2" xfId="32467" xr:uid="{96433D63-656C-4764-BF56-A1CDBD1BAB57}"/>
    <cellStyle name="Финансовый 36 2 3 2 3 3 2 5" xfId="18535" xr:uid="{00000000-0005-0000-0000-000016400000}"/>
    <cellStyle name="Финансовый 36 2 3 2 3 3 2 5 2" xfId="35548" xr:uid="{94A85916-69E9-4229-8171-421FE5A34568}"/>
    <cellStyle name="Финансовый 36 2 3 2 3 3 2 6" xfId="26238" xr:uid="{27278BB9-EC23-4331-8B86-6ED730C5D580}"/>
    <cellStyle name="Финансовый 36 2 3 2 3 3 3" xfId="9139" xr:uid="{00000000-0005-0000-0000-000017400000}"/>
    <cellStyle name="Финансовый 36 2 3 2 3 3 3 2" xfId="12224" xr:uid="{00000000-0005-0000-0000-000018400000}"/>
    <cellStyle name="Финансовый 36 2 3 2 3 3 3 2 2" xfId="29313" xr:uid="{E739F5B0-242F-4580-85EB-2D0981644D5F}"/>
    <cellStyle name="Финансовый 36 2 3 2 3 3 3 3" xfId="15456" xr:uid="{00000000-0005-0000-0000-000019400000}"/>
    <cellStyle name="Финансовый 36 2 3 2 3 3 3 3 2" xfId="32469" xr:uid="{75A19300-28A5-4125-A4E9-7A6CC968090F}"/>
    <cellStyle name="Финансовый 36 2 3 2 3 3 3 4" xfId="18537" xr:uid="{00000000-0005-0000-0000-00001A400000}"/>
    <cellStyle name="Финансовый 36 2 3 2 3 3 3 4 2" xfId="35550" xr:uid="{A68AC9E8-F28C-4716-82C4-4193FE056E73}"/>
    <cellStyle name="Финансовый 36 2 3 2 3 3 3 5" xfId="26240" xr:uid="{138A8C46-87AA-42F3-A4FF-043481516B07}"/>
    <cellStyle name="Финансовый 36 2 3 2 3 3 4" xfId="12221" xr:uid="{00000000-0005-0000-0000-00001B400000}"/>
    <cellStyle name="Финансовый 36 2 3 2 3 3 4 2" xfId="29310" xr:uid="{8887BA42-CA98-41CA-8E28-C36E8DEEFEB8}"/>
    <cellStyle name="Финансовый 36 2 3 2 3 3 5" xfId="15453" xr:uid="{00000000-0005-0000-0000-00001C400000}"/>
    <cellStyle name="Финансовый 36 2 3 2 3 3 5 2" xfId="32466" xr:uid="{C38720AC-9D23-4FE4-9420-F52EF55E8B40}"/>
    <cellStyle name="Финансовый 36 2 3 2 3 3 6" xfId="18534" xr:uid="{00000000-0005-0000-0000-00001D400000}"/>
    <cellStyle name="Финансовый 36 2 3 2 3 3 6 2" xfId="35547" xr:uid="{AA2D0665-3AC4-47D3-BD9E-B66838BE071F}"/>
    <cellStyle name="Финансовый 36 2 3 2 3 3 7" xfId="26237" xr:uid="{73B5A338-129E-4339-8B25-330A66A6ECF0}"/>
    <cellStyle name="Финансовый 36 2 3 2 3 4" xfId="9140" xr:uid="{00000000-0005-0000-0000-00001E400000}"/>
    <cellStyle name="Финансовый 36 2 3 2 3 4 2" xfId="9141" xr:uid="{00000000-0005-0000-0000-00001F400000}"/>
    <cellStyle name="Финансовый 36 2 3 2 3 4 2 2" xfId="12226" xr:uid="{00000000-0005-0000-0000-000020400000}"/>
    <cellStyle name="Финансовый 36 2 3 2 3 4 2 2 2" xfId="29315" xr:uid="{A4BF4F9D-EFEF-4DD2-9E6B-F7FD6F253413}"/>
    <cellStyle name="Финансовый 36 2 3 2 3 4 2 3" xfId="15458" xr:uid="{00000000-0005-0000-0000-000021400000}"/>
    <cellStyle name="Финансовый 36 2 3 2 3 4 2 3 2" xfId="32471" xr:uid="{D6FBFC3B-8E96-42A5-93B8-4930BEB38C1C}"/>
    <cellStyle name="Финансовый 36 2 3 2 3 4 2 4" xfId="18539" xr:uid="{00000000-0005-0000-0000-000022400000}"/>
    <cellStyle name="Финансовый 36 2 3 2 3 4 2 4 2" xfId="35552" xr:uid="{714F63AC-ED88-41D5-9CE5-FF61B110BD96}"/>
    <cellStyle name="Финансовый 36 2 3 2 3 4 2 5" xfId="26242" xr:uid="{814C0850-03F7-48C0-9EBA-14A543633189}"/>
    <cellStyle name="Финансовый 36 2 3 2 3 4 3" xfId="12225" xr:uid="{00000000-0005-0000-0000-000023400000}"/>
    <cellStyle name="Финансовый 36 2 3 2 3 4 3 2" xfId="29314" xr:uid="{4977FCCE-C7FC-4CE8-9672-248C7393F135}"/>
    <cellStyle name="Финансовый 36 2 3 2 3 4 4" xfId="15457" xr:uid="{00000000-0005-0000-0000-000024400000}"/>
    <cellStyle name="Финансовый 36 2 3 2 3 4 4 2" xfId="32470" xr:uid="{C6B71957-5FA4-4CAB-A525-A4A88A60E378}"/>
    <cellStyle name="Финансовый 36 2 3 2 3 4 5" xfId="18538" xr:uid="{00000000-0005-0000-0000-000025400000}"/>
    <cellStyle name="Финансовый 36 2 3 2 3 4 5 2" xfId="35551" xr:uid="{248E44FF-AD0E-45B6-A84C-FC274CA6F324}"/>
    <cellStyle name="Финансовый 36 2 3 2 3 4 6" xfId="26241" xr:uid="{F08F752E-B8F5-4547-AF53-EEC73E00427A}"/>
    <cellStyle name="Финансовый 36 2 3 2 3 5" xfId="9142" xr:uid="{00000000-0005-0000-0000-000026400000}"/>
    <cellStyle name="Финансовый 36 2 3 2 3 5 2" xfId="12227" xr:uid="{00000000-0005-0000-0000-000027400000}"/>
    <cellStyle name="Финансовый 36 2 3 2 3 5 2 2" xfId="29316" xr:uid="{B5E67B13-3F92-4EDD-8374-5867640E4AE6}"/>
    <cellStyle name="Финансовый 36 2 3 2 3 5 3" xfId="15459" xr:uid="{00000000-0005-0000-0000-000028400000}"/>
    <cellStyle name="Финансовый 36 2 3 2 3 5 3 2" xfId="32472" xr:uid="{0D2C89ED-3A90-4909-A6EB-F730692CF882}"/>
    <cellStyle name="Финансовый 36 2 3 2 3 5 4" xfId="18540" xr:uid="{00000000-0005-0000-0000-000029400000}"/>
    <cellStyle name="Финансовый 36 2 3 2 3 5 4 2" xfId="35553" xr:uid="{A4ABFE40-5199-4839-ACE6-6D8623BA1670}"/>
    <cellStyle name="Финансовый 36 2 3 2 3 5 5" xfId="26243" xr:uid="{908DCE33-BABD-4C3F-9EB3-FA366E9CD568}"/>
    <cellStyle name="Финансовый 36 2 3 2 3 6" xfId="12212" xr:uid="{00000000-0005-0000-0000-00002A400000}"/>
    <cellStyle name="Финансовый 36 2 3 2 3 6 2" xfId="29301" xr:uid="{7915221C-7D73-4CA4-8A1A-724B3E46FE8C}"/>
    <cellStyle name="Финансовый 36 2 3 2 3 7" xfId="15444" xr:uid="{00000000-0005-0000-0000-00002B400000}"/>
    <cellStyle name="Финансовый 36 2 3 2 3 7 2" xfId="32457" xr:uid="{382850BF-C239-4CB1-8BDB-EE4757BF17D2}"/>
    <cellStyle name="Финансовый 36 2 3 2 3 8" xfId="18525" xr:uid="{00000000-0005-0000-0000-00002C400000}"/>
    <cellStyle name="Финансовый 36 2 3 2 3 8 2" xfId="35538" xr:uid="{DF198339-82E5-40AD-976D-15DA7483EFE5}"/>
    <cellStyle name="Финансовый 36 2 3 2 3 9" xfId="26228" xr:uid="{BECA3AA7-FF6D-4EBF-8776-F410CF0CCC73}"/>
    <cellStyle name="Финансовый 36 2 3 2 4" xfId="9143" xr:uid="{00000000-0005-0000-0000-00002D400000}"/>
    <cellStyle name="Финансовый 36 2 3 2 4 2" xfId="9144" xr:uid="{00000000-0005-0000-0000-00002E400000}"/>
    <cellStyle name="Финансовый 36 2 3 2 4 2 2" xfId="9145" xr:uid="{00000000-0005-0000-0000-00002F400000}"/>
    <cellStyle name="Финансовый 36 2 3 2 4 2 2 2" xfId="9146" xr:uid="{00000000-0005-0000-0000-000030400000}"/>
    <cellStyle name="Финансовый 36 2 3 2 4 2 2 2 2" xfId="12231" xr:uid="{00000000-0005-0000-0000-000031400000}"/>
    <cellStyle name="Финансовый 36 2 3 2 4 2 2 2 2 2" xfId="29320" xr:uid="{C4C3EC7D-026D-46C1-AA9C-E97CC3A3967C}"/>
    <cellStyle name="Финансовый 36 2 3 2 4 2 2 2 3" xfId="15463" xr:uid="{00000000-0005-0000-0000-000032400000}"/>
    <cellStyle name="Финансовый 36 2 3 2 4 2 2 2 3 2" xfId="32476" xr:uid="{F23E476B-658D-4497-BF11-DE49B6AAF87E}"/>
    <cellStyle name="Финансовый 36 2 3 2 4 2 2 2 4" xfId="18544" xr:uid="{00000000-0005-0000-0000-000033400000}"/>
    <cellStyle name="Финансовый 36 2 3 2 4 2 2 2 4 2" xfId="35557" xr:uid="{EE517F95-58E1-4910-8915-BCA0ED82492A}"/>
    <cellStyle name="Финансовый 36 2 3 2 4 2 2 2 5" xfId="26247" xr:uid="{86BDCD72-9D9B-40CC-B641-735DC16F84B8}"/>
    <cellStyle name="Финансовый 36 2 3 2 4 2 2 3" xfId="12230" xr:uid="{00000000-0005-0000-0000-000034400000}"/>
    <cellStyle name="Финансовый 36 2 3 2 4 2 2 3 2" xfId="29319" xr:uid="{21558E21-B538-4B01-BFB8-5D0335688E13}"/>
    <cellStyle name="Финансовый 36 2 3 2 4 2 2 4" xfId="15462" xr:uid="{00000000-0005-0000-0000-000035400000}"/>
    <cellStyle name="Финансовый 36 2 3 2 4 2 2 4 2" xfId="32475" xr:uid="{A063AA91-991A-4067-ABD4-2BABD4DC0960}"/>
    <cellStyle name="Финансовый 36 2 3 2 4 2 2 5" xfId="18543" xr:uid="{00000000-0005-0000-0000-000036400000}"/>
    <cellStyle name="Финансовый 36 2 3 2 4 2 2 5 2" xfId="35556" xr:uid="{CECA28C4-2A3B-4929-BDB9-5930C0673A79}"/>
    <cellStyle name="Финансовый 36 2 3 2 4 2 2 6" xfId="26246" xr:uid="{CF9AC411-8823-4E7B-8CF2-89B22F7EAB00}"/>
    <cellStyle name="Финансовый 36 2 3 2 4 2 3" xfId="9147" xr:uid="{00000000-0005-0000-0000-000037400000}"/>
    <cellStyle name="Финансовый 36 2 3 2 4 2 3 2" xfId="12232" xr:uid="{00000000-0005-0000-0000-000038400000}"/>
    <cellStyle name="Финансовый 36 2 3 2 4 2 3 2 2" xfId="29321" xr:uid="{A3A2EA01-4349-421B-B68A-0584D9C202D9}"/>
    <cellStyle name="Финансовый 36 2 3 2 4 2 3 3" xfId="15464" xr:uid="{00000000-0005-0000-0000-000039400000}"/>
    <cellStyle name="Финансовый 36 2 3 2 4 2 3 3 2" xfId="32477" xr:uid="{F1520599-3D9C-4281-A97B-7E91DC7AAE9A}"/>
    <cellStyle name="Финансовый 36 2 3 2 4 2 3 4" xfId="18545" xr:uid="{00000000-0005-0000-0000-00003A400000}"/>
    <cellStyle name="Финансовый 36 2 3 2 4 2 3 4 2" xfId="35558" xr:uid="{DB13AFBA-FB55-4B85-A463-A05D60CE19E0}"/>
    <cellStyle name="Финансовый 36 2 3 2 4 2 3 5" xfId="26248" xr:uid="{F126642D-6A06-4BB1-ADF5-68E553D23BF3}"/>
    <cellStyle name="Финансовый 36 2 3 2 4 2 4" xfId="12229" xr:uid="{00000000-0005-0000-0000-00003B400000}"/>
    <cellStyle name="Финансовый 36 2 3 2 4 2 4 2" xfId="29318" xr:uid="{812A3074-96BD-48EA-B067-E0B32F2CC785}"/>
    <cellStyle name="Финансовый 36 2 3 2 4 2 5" xfId="15461" xr:uid="{00000000-0005-0000-0000-00003C400000}"/>
    <cellStyle name="Финансовый 36 2 3 2 4 2 5 2" xfId="32474" xr:uid="{7894F825-7AC7-4400-A09A-888B41E844B0}"/>
    <cellStyle name="Финансовый 36 2 3 2 4 2 6" xfId="18542" xr:uid="{00000000-0005-0000-0000-00003D400000}"/>
    <cellStyle name="Финансовый 36 2 3 2 4 2 6 2" xfId="35555" xr:uid="{E05762A5-AEA6-44FB-AD48-2E21B081A69A}"/>
    <cellStyle name="Финансовый 36 2 3 2 4 2 7" xfId="26245" xr:uid="{95D5AEEF-642C-4A39-99DB-91F9E02AC516}"/>
    <cellStyle name="Финансовый 36 2 3 2 4 3" xfId="9148" xr:uid="{00000000-0005-0000-0000-00003E400000}"/>
    <cellStyle name="Финансовый 36 2 3 2 4 3 2" xfId="9149" xr:uid="{00000000-0005-0000-0000-00003F400000}"/>
    <cellStyle name="Финансовый 36 2 3 2 4 3 2 2" xfId="12234" xr:uid="{00000000-0005-0000-0000-000040400000}"/>
    <cellStyle name="Финансовый 36 2 3 2 4 3 2 2 2" xfId="29323" xr:uid="{38E52858-3411-43A5-9D54-A7CF46E0862D}"/>
    <cellStyle name="Финансовый 36 2 3 2 4 3 2 3" xfId="15466" xr:uid="{00000000-0005-0000-0000-000041400000}"/>
    <cellStyle name="Финансовый 36 2 3 2 4 3 2 3 2" xfId="32479" xr:uid="{58817BFA-2FBA-4208-B614-9521A4DA5AF9}"/>
    <cellStyle name="Финансовый 36 2 3 2 4 3 2 4" xfId="18547" xr:uid="{00000000-0005-0000-0000-000042400000}"/>
    <cellStyle name="Финансовый 36 2 3 2 4 3 2 4 2" xfId="35560" xr:uid="{00961EC4-128E-435A-A9A9-6FBE61DD3F71}"/>
    <cellStyle name="Финансовый 36 2 3 2 4 3 2 5" xfId="26250" xr:uid="{571F4B35-FFC0-46B5-A76F-BE469E3E70BC}"/>
    <cellStyle name="Финансовый 36 2 3 2 4 3 3" xfId="12233" xr:uid="{00000000-0005-0000-0000-000043400000}"/>
    <cellStyle name="Финансовый 36 2 3 2 4 3 3 2" xfId="29322" xr:uid="{FEA45475-ED98-4CBD-83C2-501ACB69C6AF}"/>
    <cellStyle name="Финансовый 36 2 3 2 4 3 4" xfId="15465" xr:uid="{00000000-0005-0000-0000-000044400000}"/>
    <cellStyle name="Финансовый 36 2 3 2 4 3 4 2" xfId="32478" xr:uid="{A87808F9-0968-4351-A7E3-FC46DAD75CD3}"/>
    <cellStyle name="Финансовый 36 2 3 2 4 3 5" xfId="18546" xr:uid="{00000000-0005-0000-0000-000045400000}"/>
    <cellStyle name="Финансовый 36 2 3 2 4 3 5 2" xfId="35559" xr:uid="{D5810D59-9447-4EDC-8061-D13088F2876B}"/>
    <cellStyle name="Финансовый 36 2 3 2 4 3 6" xfId="26249" xr:uid="{A608E659-013B-4AA3-8ACE-07AB2FBF38C8}"/>
    <cellStyle name="Финансовый 36 2 3 2 4 4" xfId="9150" xr:uid="{00000000-0005-0000-0000-000046400000}"/>
    <cellStyle name="Финансовый 36 2 3 2 4 4 2" xfId="12235" xr:uid="{00000000-0005-0000-0000-000047400000}"/>
    <cellStyle name="Финансовый 36 2 3 2 4 4 2 2" xfId="29324" xr:uid="{F68AF75D-A324-436F-A247-0E54C1CBC796}"/>
    <cellStyle name="Финансовый 36 2 3 2 4 4 3" xfId="15467" xr:uid="{00000000-0005-0000-0000-000048400000}"/>
    <cellStyle name="Финансовый 36 2 3 2 4 4 3 2" xfId="32480" xr:uid="{7A3730C2-1DD1-46D6-9093-69B4BB9B47E7}"/>
    <cellStyle name="Финансовый 36 2 3 2 4 4 4" xfId="18548" xr:uid="{00000000-0005-0000-0000-000049400000}"/>
    <cellStyle name="Финансовый 36 2 3 2 4 4 4 2" xfId="35561" xr:uid="{22F706B5-0AE1-48DC-9BF1-2A2F67AE8561}"/>
    <cellStyle name="Финансовый 36 2 3 2 4 4 5" xfId="26251" xr:uid="{5ED15213-0C23-4851-A31C-0B4EC4B6C6E7}"/>
    <cellStyle name="Финансовый 36 2 3 2 4 5" xfId="12228" xr:uid="{00000000-0005-0000-0000-00004A400000}"/>
    <cellStyle name="Финансовый 36 2 3 2 4 5 2" xfId="29317" xr:uid="{B0D1B662-4153-41C9-AF55-AABF0D23F710}"/>
    <cellStyle name="Финансовый 36 2 3 2 4 6" xfId="15460" xr:uid="{00000000-0005-0000-0000-00004B400000}"/>
    <cellStyle name="Финансовый 36 2 3 2 4 6 2" xfId="32473" xr:uid="{A98FEAD5-91D4-4DED-BE5B-E155F4F0A4C0}"/>
    <cellStyle name="Финансовый 36 2 3 2 4 7" xfId="18541" xr:uid="{00000000-0005-0000-0000-00004C400000}"/>
    <cellStyle name="Финансовый 36 2 3 2 4 7 2" xfId="35554" xr:uid="{D8DD0358-B1CD-453C-8270-88C5F3A4049C}"/>
    <cellStyle name="Финансовый 36 2 3 2 4 8" xfId="26244" xr:uid="{ECB19D37-9B6D-43A2-9222-CE3AE5B30639}"/>
    <cellStyle name="Финансовый 36 2 3 2 5" xfId="9151" xr:uid="{00000000-0005-0000-0000-00004D400000}"/>
    <cellStyle name="Финансовый 36 2 3 2 5 2" xfId="9152" xr:uid="{00000000-0005-0000-0000-00004E400000}"/>
    <cellStyle name="Финансовый 36 2 3 2 5 2 2" xfId="9153" xr:uid="{00000000-0005-0000-0000-00004F400000}"/>
    <cellStyle name="Финансовый 36 2 3 2 5 2 2 2" xfId="12238" xr:uid="{00000000-0005-0000-0000-000050400000}"/>
    <cellStyle name="Финансовый 36 2 3 2 5 2 2 2 2" xfId="29327" xr:uid="{DCD9FDDC-B4E5-4882-9030-E13F77F697E8}"/>
    <cellStyle name="Финансовый 36 2 3 2 5 2 2 3" xfId="15470" xr:uid="{00000000-0005-0000-0000-000051400000}"/>
    <cellStyle name="Финансовый 36 2 3 2 5 2 2 3 2" xfId="32483" xr:uid="{A7F897F0-2E8D-4396-BB9E-9EF3D743CF38}"/>
    <cellStyle name="Финансовый 36 2 3 2 5 2 2 4" xfId="18551" xr:uid="{00000000-0005-0000-0000-000052400000}"/>
    <cellStyle name="Финансовый 36 2 3 2 5 2 2 4 2" xfId="35564" xr:uid="{3B5A7A9F-4EC6-4957-B44D-E27475A6B7FA}"/>
    <cellStyle name="Финансовый 36 2 3 2 5 2 2 5" xfId="26254" xr:uid="{02AAE49E-1BA0-4D3D-860B-091D959B63E8}"/>
    <cellStyle name="Финансовый 36 2 3 2 5 2 3" xfId="12237" xr:uid="{00000000-0005-0000-0000-000053400000}"/>
    <cellStyle name="Финансовый 36 2 3 2 5 2 3 2" xfId="29326" xr:uid="{FB3FE653-AE16-490E-9B89-40240FC1ED32}"/>
    <cellStyle name="Финансовый 36 2 3 2 5 2 4" xfId="15469" xr:uid="{00000000-0005-0000-0000-000054400000}"/>
    <cellStyle name="Финансовый 36 2 3 2 5 2 4 2" xfId="32482" xr:uid="{AFA9B44B-CE9B-468E-B8DD-94C3A1540000}"/>
    <cellStyle name="Финансовый 36 2 3 2 5 2 5" xfId="18550" xr:uid="{00000000-0005-0000-0000-000055400000}"/>
    <cellStyle name="Финансовый 36 2 3 2 5 2 5 2" xfId="35563" xr:uid="{97B2C3D3-B2D1-48CB-8ED1-C3E068350FB8}"/>
    <cellStyle name="Финансовый 36 2 3 2 5 2 6" xfId="26253" xr:uid="{31E2903F-E94F-49EE-9021-D124BFFC6199}"/>
    <cellStyle name="Финансовый 36 2 3 2 5 3" xfId="9154" xr:uid="{00000000-0005-0000-0000-000056400000}"/>
    <cellStyle name="Финансовый 36 2 3 2 5 3 2" xfId="12239" xr:uid="{00000000-0005-0000-0000-000057400000}"/>
    <cellStyle name="Финансовый 36 2 3 2 5 3 2 2" xfId="29328" xr:uid="{CFF97070-EB12-462F-8C6E-6FECF949999A}"/>
    <cellStyle name="Финансовый 36 2 3 2 5 3 3" xfId="15471" xr:uid="{00000000-0005-0000-0000-000058400000}"/>
    <cellStyle name="Финансовый 36 2 3 2 5 3 3 2" xfId="32484" xr:uid="{C54EA45A-EBCF-4846-9EF8-E06FED6DC63E}"/>
    <cellStyle name="Финансовый 36 2 3 2 5 3 4" xfId="18552" xr:uid="{00000000-0005-0000-0000-000059400000}"/>
    <cellStyle name="Финансовый 36 2 3 2 5 3 4 2" xfId="35565" xr:uid="{3F3FAECC-2815-4BE0-BA41-8FCE4EA8F769}"/>
    <cellStyle name="Финансовый 36 2 3 2 5 3 5" xfId="26255" xr:uid="{48226B47-61D7-4E37-8489-1305FF81F0B5}"/>
    <cellStyle name="Финансовый 36 2 3 2 5 4" xfId="12236" xr:uid="{00000000-0005-0000-0000-00005A400000}"/>
    <cellStyle name="Финансовый 36 2 3 2 5 4 2" xfId="29325" xr:uid="{7E492AF5-FBEC-44DB-9F48-9D54B22DFAA6}"/>
    <cellStyle name="Финансовый 36 2 3 2 5 5" xfId="15468" xr:uid="{00000000-0005-0000-0000-00005B400000}"/>
    <cellStyle name="Финансовый 36 2 3 2 5 5 2" xfId="32481" xr:uid="{AFF68632-E2F0-4D3B-9F8C-73C007D85319}"/>
    <cellStyle name="Финансовый 36 2 3 2 5 6" xfId="18549" xr:uid="{00000000-0005-0000-0000-00005C400000}"/>
    <cellStyle name="Финансовый 36 2 3 2 5 6 2" xfId="35562" xr:uid="{E072AA0F-0DD1-42BB-8580-14801333071A}"/>
    <cellStyle name="Финансовый 36 2 3 2 5 7" xfId="26252" xr:uid="{CE82D89D-695F-4A05-8722-3CB2B62AA402}"/>
    <cellStyle name="Финансовый 36 2 3 2 6" xfId="9155" xr:uid="{00000000-0005-0000-0000-00005D400000}"/>
    <cellStyle name="Финансовый 36 2 3 2 6 2" xfId="9156" xr:uid="{00000000-0005-0000-0000-00005E400000}"/>
    <cellStyle name="Финансовый 36 2 3 2 6 2 2" xfId="12241" xr:uid="{00000000-0005-0000-0000-00005F400000}"/>
    <cellStyle name="Финансовый 36 2 3 2 6 2 2 2" xfId="29330" xr:uid="{CFBE1251-2845-4F2E-8510-B6E57771F786}"/>
    <cellStyle name="Финансовый 36 2 3 2 6 2 3" xfId="15473" xr:uid="{00000000-0005-0000-0000-000060400000}"/>
    <cellStyle name="Финансовый 36 2 3 2 6 2 3 2" xfId="32486" xr:uid="{528CE298-C918-4807-B7FB-31E984FA5540}"/>
    <cellStyle name="Финансовый 36 2 3 2 6 2 4" xfId="18554" xr:uid="{00000000-0005-0000-0000-000061400000}"/>
    <cellStyle name="Финансовый 36 2 3 2 6 2 4 2" xfId="35567" xr:uid="{19076FC6-92AB-46FB-9CF2-B7A009AF49C7}"/>
    <cellStyle name="Финансовый 36 2 3 2 6 2 5" xfId="26257" xr:uid="{8242FC02-E11E-4BB7-AEB3-9DC3F4187594}"/>
    <cellStyle name="Финансовый 36 2 3 2 6 3" xfId="12240" xr:uid="{00000000-0005-0000-0000-000062400000}"/>
    <cellStyle name="Финансовый 36 2 3 2 6 3 2" xfId="29329" xr:uid="{8F5641AD-3EFB-430F-A5A0-CFF76B878D08}"/>
    <cellStyle name="Финансовый 36 2 3 2 6 4" xfId="15472" xr:uid="{00000000-0005-0000-0000-000063400000}"/>
    <cellStyle name="Финансовый 36 2 3 2 6 4 2" xfId="32485" xr:uid="{C9346C29-CC91-41E9-A8BB-A17D3C9BB695}"/>
    <cellStyle name="Финансовый 36 2 3 2 6 5" xfId="18553" xr:uid="{00000000-0005-0000-0000-000064400000}"/>
    <cellStyle name="Финансовый 36 2 3 2 6 5 2" xfId="35566" xr:uid="{DDF95E40-3017-45FB-8D1F-B5472117066A}"/>
    <cellStyle name="Финансовый 36 2 3 2 6 6" xfId="26256" xr:uid="{C5C38A26-23C4-40E5-931E-10063B5C856A}"/>
    <cellStyle name="Финансовый 36 2 3 2 7" xfId="9157" xr:uid="{00000000-0005-0000-0000-000065400000}"/>
    <cellStyle name="Финансовый 36 2 3 2 7 2" xfId="12242" xr:uid="{00000000-0005-0000-0000-000066400000}"/>
    <cellStyle name="Финансовый 36 2 3 2 7 2 2" xfId="29331" xr:uid="{7175EEE0-F5FB-49B0-A82E-18930574943A}"/>
    <cellStyle name="Финансовый 36 2 3 2 7 3" xfId="15474" xr:uid="{00000000-0005-0000-0000-000067400000}"/>
    <cellStyle name="Финансовый 36 2 3 2 7 3 2" xfId="32487" xr:uid="{9CDE8CB9-254B-4668-A926-9E3FE6641372}"/>
    <cellStyle name="Финансовый 36 2 3 2 7 4" xfId="18555" xr:uid="{00000000-0005-0000-0000-000068400000}"/>
    <cellStyle name="Финансовый 36 2 3 2 7 4 2" xfId="35568" xr:uid="{A0D2D8A1-C40C-48B2-B1F8-F2F77C64E16F}"/>
    <cellStyle name="Финансовый 36 2 3 2 7 5" xfId="26258" xr:uid="{D89CE96F-1E6B-46B8-8E57-320A29796626}"/>
    <cellStyle name="Финансовый 36 2 3 2 8" xfId="12179" xr:uid="{00000000-0005-0000-0000-000069400000}"/>
    <cellStyle name="Финансовый 36 2 3 2 8 2" xfId="29268" xr:uid="{4FDFA863-3D41-4C7F-8BD7-ACCD4998509C}"/>
    <cellStyle name="Финансовый 36 2 3 2 9" xfId="15411" xr:uid="{00000000-0005-0000-0000-00006A400000}"/>
    <cellStyle name="Финансовый 36 2 3 2 9 2" xfId="32424" xr:uid="{9AACBA95-D052-4428-8B8F-B3C39E5B2D59}"/>
    <cellStyle name="Финансовый 36 2 3 3" xfId="9158" xr:uid="{00000000-0005-0000-0000-00006B400000}"/>
    <cellStyle name="Финансовый 36 2 3 3 10" xfId="26259" xr:uid="{ECA212CC-D248-4170-BC9A-D0EEC9AAE570}"/>
    <cellStyle name="Финансовый 36 2 3 3 2" xfId="9159" xr:uid="{00000000-0005-0000-0000-00006C400000}"/>
    <cellStyle name="Финансовый 36 2 3 3 2 2" xfId="9160" xr:uid="{00000000-0005-0000-0000-00006D400000}"/>
    <cellStyle name="Финансовый 36 2 3 3 2 2 2" xfId="9161" xr:uid="{00000000-0005-0000-0000-00006E400000}"/>
    <cellStyle name="Финансовый 36 2 3 3 2 2 2 2" xfId="9162" xr:uid="{00000000-0005-0000-0000-00006F400000}"/>
    <cellStyle name="Финансовый 36 2 3 3 2 2 2 2 2" xfId="9163" xr:uid="{00000000-0005-0000-0000-000070400000}"/>
    <cellStyle name="Финансовый 36 2 3 3 2 2 2 2 2 2" xfId="12248" xr:uid="{00000000-0005-0000-0000-000071400000}"/>
    <cellStyle name="Финансовый 36 2 3 3 2 2 2 2 2 2 2" xfId="29337" xr:uid="{5A6C5FF2-66AB-42CC-8DF3-BBA461F82A64}"/>
    <cellStyle name="Финансовый 36 2 3 3 2 2 2 2 2 3" xfId="15480" xr:uid="{00000000-0005-0000-0000-000072400000}"/>
    <cellStyle name="Финансовый 36 2 3 3 2 2 2 2 2 3 2" xfId="32493" xr:uid="{42F12A38-FF8E-475C-B307-F7520BA8F727}"/>
    <cellStyle name="Финансовый 36 2 3 3 2 2 2 2 2 4" xfId="18561" xr:uid="{00000000-0005-0000-0000-000073400000}"/>
    <cellStyle name="Финансовый 36 2 3 3 2 2 2 2 2 4 2" xfId="35574" xr:uid="{C249FFFC-9BAB-48FD-AF97-577436AFD6B3}"/>
    <cellStyle name="Финансовый 36 2 3 3 2 2 2 2 2 5" xfId="26264" xr:uid="{4AA1BFFF-AEFF-49D6-8A6B-E6F8DEF9F890}"/>
    <cellStyle name="Финансовый 36 2 3 3 2 2 2 2 3" xfId="12247" xr:uid="{00000000-0005-0000-0000-000074400000}"/>
    <cellStyle name="Финансовый 36 2 3 3 2 2 2 2 3 2" xfId="29336" xr:uid="{BF9D47B5-2DF2-4CA2-9077-7A1399D01645}"/>
    <cellStyle name="Финансовый 36 2 3 3 2 2 2 2 4" xfId="15479" xr:uid="{00000000-0005-0000-0000-000075400000}"/>
    <cellStyle name="Финансовый 36 2 3 3 2 2 2 2 4 2" xfId="32492" xr:uid="{E5D87591-26DA-4099-AEB6-122CB6CE1227}"/>
    <cellStyle name="Финансовый 36 2 3 3 2 2 2 2 5" xfId="18560" xr:uid="{00000000-0005-0000-0000-000076400000}"/>
    <cellStyle name="Финансовый 36 2 3 3 2 2 2 2 5 2" xfId="35573" xr:uid="{9BAEF94A-ABA3-4954-9C65-004230B41B1D}"/>
    <cellStyle name="Финансовый 36 2 3 3 2 2 2 2 6" xfId="26263" xr:uid="{3A7C6C96-0F9F-46D7-B643-EF589343A2B8}"/>
    <cellStyle name="Финансовый 36 2 3 3 2 2 2 3" xfId="9164" xr:uid="{00000000-0005-0000-0000-000077400000}"/>
    <cellStyle name="Финансовый 36 2 3 3 2 2 2 3 2" xfId="12249" xr:uid="{00000000-0005-0000-0000-000078400000}"/>
    <cellStyle name="Финансовый 36 2 3 3 2 2 2 3 2 2" xfId="29338" xr:uid="{A5324060-0FD5-49D9-9D64-D6C4F24EDF7D}"/>
    <cellStyle name="Финансовый 36 2 3 3 2 2 2 3 3" xfId="15481" xr:uid="{00000000-0005-0000-0000-000079400000}"/>
    <cellStyle name="Финансовый 36 2 3 3 2 2 2 3 3 2" xfId="32494" xr:uid="{86F63FB0-DDDC-4213-A073-B2346F58AEEF}"/>
    <cellStyle name="Финансовый 36 2 3 3 2 2 2 3 4" xfId="18562" xr:uid="{00000000-0005-0000-0000-00007A400000}"/>
    <cellStyle name="Финансовый 36 2 3 3 2 2 2 3 4 2" xfId="35575" xr:uid="{49CFEDA7-FC85-48EA-94BA-D5CC340D5956}"/>
    <cellStyle name="Финансовый 36 2 3 3 2 2 2 3 5" xfId="26265" xr:uid="{7910E07B-80AC-4A6B-9E81-4647BC15213B}"/>
    <cellStyle name="Финансовый 36 2 3 3 2 2 2 4" xfId="12246" xr:uid="{00000000-0005-0000-0000-00007B400000}"/>
    <cellStyle name="Финансовый 36 2 3 3 2 2 2 4 2" xfId="29335" xr:uid="{C257FFF5-1BCB-434A-B378-F71CE328D41A}"/>
    <cellStyle name="Финансовый 36 2 3 3 2 2 2 5" xfId="15478" xr:uid="{00000000-0005-0000-0000-00007C400000}"/>
    <cellStyle name="Финансовый 36 2 3 3 2 2 2 5 2" xfId="32491" xr:uid="{785B52F4-4894-4286-8652-C18922D87D93}"/>
    <cellStyle name="Финансовый 36 2 3 3 2 2 2 6" xfId="18559" xr:uid="{00000000-0005-0000-0000-00007D400000}"/>
    <cellStyle name="Финансовый 36 2 3 3 2 2 2 6 2" xfId="35572" xr:uid="{E787FDC8-41D5-432F-B44D-ED73407AB2FB}"/>
    <cellStyle name="Финансовый 36 2 3 3 2 2 2 7" xfId="26262" xr:uid="{538CAFC3-6DFE-4AFC-AEDE-5E05EE86BF6E}"/>
    <cellStyle name="Финансовый 36 2 3 3 2 2 3" xfId="9165" xr:uid="{00000000-0005-0000-0000-00007E400000}"/>
    <cellStyle name="Финансовый 36 2 3 3 2 2 3 2" xfId="9166" xr:uid="{00000000-0005-0000-0000-00007F400000}"/>
    <cellStyle name="Финансовый 36 2 3 3 2 2 3 2 2" xfId="12251" xr:uid="{00000000-0005-0000-0000-000080400000}"/>
    <cellStyle name="Финансовый 36 2 3 3 2 2 3 2 2 2" xfId="29340" xr:uid="{82C5B26F-A3C7-4F02-9F0A-ABD1FBD9158C}"/>
    <cellStyle name="Финансовый 36 2 3 3 2 2 3 2 3" xfId="15483" xr:uid="{00000000-0005-0000-0000-000081400000}"/>
    <cellStyle name="Финансовый 36 2 3 3 2 2 3 2 3 2" xfId="32496" xr:uid="{9F922E8B-028B-4081-ADDC-845CE8B69936}"/>
    <cellStyle name="Финансовый 36 2 3 3 2 2 3 2 4" xfId="18564" xr:uid="{00000000-0005-0000-0000-000082400000}"/>
    <cellStyle name="Финансовый 36 2 3 3 2 2 3 2 4 2" xfId="35577" xr:uid="{D94DED11-9B90-4CF2-95AB-C5181636AFF2}"/>
    <cellStyle name="Финансовый 36 2 3 3 2 2 3 2 5" xfId="26267" xr:uid="{E717D824-E451-4A12-BB64-3922601FD2AC}"/>
    <cellStyle name="Финансовый 36 2 3 3 2 2 3 3" xfId="12250" xr:uid="{00000000-0005-0000-0000-000083400000}"/>
    <cellStyle name="Финансовый 36 2 3 3 2 2 3 3 2" xfId="29339" xr:uid="{60EAC00D-C92E-4A01-838B-EEE32721246C}"/>
    <cellStyle name="Финансовый 36 2 3 3 2 2 3 4" xfId="15482" xr:uid="{00000000-0005-0000-0000-000084400000}"/>
    <cellStyle name="Финансовый 36 2 3 3 2 2 3 4 2" xfId="32495" xr:uid="{E9CBFD5D-7B49-4A10-A8CA-BFAACEC94C1D}"/>
    <cellStyle name="Финансовый 36 2 3 3 2 2 3 5" xfId="18563" xr:uid="{00000000-0005-0000-0000-000085400000}"/>
    <cellStyle name="Финансовый 36 2 3 3 2 2 3 5 2" xfId="35576" xr:uid="{1F88CE37-96D8-4533-B239-8E91E22877E3}"/>
    <cellStyle name="Финансовый 36 2 3 3 2 2 3 6" xfId="26266" xr:uid="{5FEEB2F6-2345-4B83-BC8B-ED9792E8FE7D}"/>
    <cellStyle name="Финансовый 36 2 3 3 2 2 4" xfId="9167" xr:uid="{00000000-0005-0000-0000-000086400000}"/>
    <cellStyle name="Финансовый 36 2 3 3 2 2 4 2" xfId="12252" xr:uid="{00000000-0005-0000-0000-000087400000}"/>
    <cellStyle name="Финансовый 36 2 3 3 2 2 4 2 2" xfId="29341" xr:uid="{908DCBF3-91EB-40CD-B0F5-A79CB4E1CEA5}"/>
    <cellStyle name="Финансовый 36 2 3 3 2 2 4 3" xfId="15484" xr:uid="{00000000-0005-0000-0000-000088400000}"/>
    <cellStyle name="Финансовый 36 2 3 3 2 2 4 3 2" xfId="32497" xr:uid="{F3431962-0521-46FC-BF5A-46322754CCD9}"/>
    <cellStyle name="Финансовый 36 2 3 3 2 2 4 4" xfId="18565" xr:uid="{00000000-0005-0000-0000-000089400000}"/>
    <cellStyle name="Финансовый 36 2 3 3 2 2 4 4 2" xfId="35578" xr:uid="{1FDA4F5C-81B0-4BBA-855D-704A7C56650A}"/>
    <cellStyle name="Финансовый 36 2 3 3 2 2 4 5" xfId="26268" xr:uid="{D33D4ECB-630B-481F-A3D3-6FE7BA72F4F8}"/>
    <cellStyle name="Финансовый 36 2 3 3 2 2 5" xfId="12245" xr:uid="{00000000-0005-0000-0000-00008A400000}"/>
    <cellStyle name="Финансовый 36 2 3 3 2 2 5 2" xfId="29334" xr:uid="{7F82F485-9ACD-4C3D-B725-9D386E279108}"/>
    <cellStyle name="Финансовый 36 2 3 3 2 2 6" xfId="15477" xr:uid="{00000000-0005-0000-0000-00008B400000}"/>
    <cellStyle name="Финансовый 36 2 3 3 2 2 6 2" xfId="32490" xr:uid="{4183E4DC-5C0F-41E2-B3C0-4C6BB96F16BA}"/>
    <cellStyle name="Финансовый 36 2 3 3 2 2 7" xfId="18558" xr:uid="{00000000-0005-0000-0000-00008C400000}"/>
    <cellStyle name="Финансовый 36 2 3 3 2 2 7 2" xfId="35571" xr:uid="{2A396F03-5525-4DBE-8648-EC2691D6DD54}"/>
    <cellStyle name="Финансовый 36 2 3 3 2 2 8" xfId="26261" xr:uid="{6649EF55-AC9C-4147-9DD7-A8BE9CE6479C}"/>
    <cellStyle name="Финансовый 36 2 3 3 2 3" xfId="9168" xr:uid="{00000000-0005-0000-0000-00008D400000}"/>
    <cellStyle name="Финансовый 36 2 3 3 2 3 2" xfId="9169" xr:uid="{00000000-0005-0000-0000-00008E400000}"/>
    <cellStyle name="Финансовый 36 2 3 3 2 3 2 2" xfId="9170" xr:uid="{00000000-0005-0000-0000-00008F400000}"/>
    <cellStyle name="Финансовый 36 2 3 3 2 3 2 2 2" xfId="12255" xr:uid="{00000000-0005-0000-0000-000090400000}"/>
    <cellStyle name="Финансовый 36 2 3 3 2 3 2 2 2 2" xfId="29344" xr:uid="{80EE7C50-C1A5-433E-9050-F18FC3D610E1}"/>
    <cellStyle name="Финансовый 36 2 3 3 2 3 2 2 3" xfId="15487" xr:uid="{00000000-0005-0000-0000-000091400000}"/>
    <cellStyle name="Финансовый 36 2 3 3 2 3 2 2 3 2" xfId="32500" xr:uid="{8B9EED77-0008-48EA-9F8C-FF7AF551EA3A}"/>
    <cellStyle name="Финансовый 36 2 3 3 2 3 2 2 4" xfId="18568" xr:uid="{00000000-0005-0000-0000-000092400000}"/>
    <cellStyle name="Финансовый 36 2 3 3 2 3 2 2 4 2" xfId="35581" xr:uid="{E929955E-5973-48A4-8C72-871689DF8A76}"/>
    <cellStyle name="Финансовый 36 2 3 3 2 3 2 2 5" xfId="26271" xr:uid="{700E77F5-0DCF-416C-8D2D-90DD0F4808BF}"/>
    <cellStyle name="Финансовый 36 2 3 3 2 3 2 3" xfId="12254" xr:uid="{00000000-0005-0000-0000-000093400000}"/>
    <cellStyle name="Финансовый 36 2 3 3 2 3 2 3 2" xfId="29343" xr:uid="{E33D1D18-828C-4306-B84C-34B81CB0666C}"/>
    <cellStyle name="Финансовый 36 2 3 3 2 3 2 4" xfId="15486" xr:uid="{00000000-0005-0000-0000-000094400000}"/>
    <cellStyle name="Финансовый 36 2 3 3 2 3 2 4 2" xfId="32499" xr:uid="{2066516F-F1AA-437A-9B6D-41151B2F6455}"/>
    <cellStyle name="Финансовый 36 2 3 3 2 3 2 5" xfId="18567" xr:uid="{00000000-0005-0000-0000-000095400000}"/>
    <cellStyle name="Финансовый 36 2 3 3 2 3 2 5 2" xfId="35580" xr:uid="{779B5879-88E6-4E92-A231-DA2ADA53C133}"/>
    <cellStyle name="Финансовый 36 2 3 3 2 3 2 6" xfId="26270" xr:uid="{695C775D-7CBA-4B90-A784-52C0D70FF5E4}"/>
    <cellStyle name="Финансовый 36 2 3 3 2 3 3" xfId="9171" xr:uid="{00000000-0005-0000-0000-000096400000}"/>
    <cellStyle name="Финансовый 36 2 3 3 2 3 3 2" xfId="12256" xr:uid="{00000000-0005-0000-0000-000097400000}"/>
    <cellStyle name="Финансовый 36 2 3 3 2 3 3 2 2" xfId="29345" xr:uid="{4DDF1681-E51C-4A11-8CC1-5FABE0448E4E}"/>
    <cellStyle name="Финансовый 36 2 3 3 2 3 3 3" xfId="15488" xr:uid="{00000000-0005-0000-0000-000098400000}"/>
    <cellStyle name="Финансовый 36 2 3 3 2 3 3 3 2" xfId="32501" xr:uid="{C276B69A-7CB7-4AFF-B572-68B4C1A00037}"/>
    <cellStyle name="Финансовый 36 2 3 3 2 3 3 4" xfId="18569" xr:uid="{00000000-0005-0000-0000-000099400000}"/>
    <cellStyle name="Финансовый 36 2 3 3 2 3 3 4 2" xfId="35582" xr:uid="{3163B1B5-A851-47DC-8BC2-A68340442CA6}"/>
    <cellStyle name="Финансовый 36 2 3 3 2 3 3 5" xfId="26272" xr:uid="{3C133893-C2B9-4513-A106-10A9C2CCB3DE}"/>
    <cellStyle name="Финансовый 36 2 3 3 2 3 4" xfId="12253" xr:uid="{00000000-0005-0000-0000-00009A400000}"/>
    <cellStyle name="Финансовый 36 2 3 3 2 3 4 2" xfId="29342" xr:uid="{37C9417B-29CC-4030-A8ED-B88B4F955D0A}"/>
    <cellStyle name="Финансовый 36 2 3 3 2 3 5" xfId="15485" xr:uid="{00000000-0005-0000-0000-00009B400000}"/>
    <cellStyle name="Финансовый 36 2 3 3 2 3 5 2" xfId="32498" xr:uid="{3331F2F8-2741-40D1-9F25-6DEB0CA67944}"/>
    <cellStyle name="Финансовый 36 2 3 3 2 3 6" xfId="18566" xr:uid="{00000000-0005-0000-0000-00009C400000}"/>
    <cellStyle name="Финансовый 36 2 3 3 2 3 6 2" xfId="35579" xr:uid="{27AEDF31-747E-4146-B7B2-EE431F0316AF}"/>
    <cellStyle name="Финансовый 36 2 3 3 2 3 7" xfId="26269" xr:uid="{7FA0A231-E1ED-48FE-993A-414E19CD7235}"/>
    <cellStyle name="Финансовый 36 2 3 3 2 4" xfId="9172" xr:uid="{00000000-0005-0000-0000-00009D400000}"/>
    <cellStyle name="Финансовый 36 2 3 3 2 4 2" xfId="9173" xr:uid="{00000000-0005-0000-0000-00009E400000}"/>
    <cellStyle name="Финансовый 36 2 3 3 2 4 2 2" xfId="12258" xr:uid="{00000000-0005-0000-0000-00009F400000}"/>
    <cellStyle name="Финансовый 36 2 3 3 2 4 2 2 2" xfId="29347" xr:uid="{3FFA73BE-828D-424B-81BE-896FA00AACED}"/>
    <cellStyle name="Финансовый 36 2 3 3 2 4 2 3" xfId="15490" xr:uid="{00000000-0005-0000-0000-0000A0400000}"/>
    <cellStyle name="Финансовый 36 2 3 3 2 4 2 3 2" xfId="32503" xr:uid="{5C16A119-4C11-45C2-BB4B-B97F56E1435B}"/>
    <cellStyle name="Финансовый 36 2 3 3 2 4 2 4" xfId="18571" xr:uid="{00000000-0005-0000-0000-0000A1400000}"/>
    <cellStyle name="Финансовый 36 2 3 3 2 4 2 4 2" xfId="35584" xr:uid="{2DBFC687-C211-4D63-94D6-102E46F01C07}"/>
    <cellStyle name="Финансовый 36 2 3 3 2 4 2 5" xfId="26274" xr:uid="{B5D7327B-88F2-434A-B670-8CA28149191D}"/>
    <cellStyle name="Финансовый 36 2 3 3 2 4 3" xfId="12257" xr:uid="{00000000-0005-0000-0000-0000A2400000}"/>
    <cellStyle name="Финансовый 36 2 3 3 2 4 3 2" xfId="29346" xr:uid="{AAFB9317-F268-4FA5-8548-1D6A4AA569B2}"/>
    <cellStyle name="Финансовый 36 2 3 3 2 4 4" xfId="15489" xr:uid="{00000000-0005-0000-0000-0000A3400000}"/>
    <cellStyle name="Финансовый 36 2 3 3 2 4 4 2" xfId="32502" xr:uid="{5C67E6B4-BDEF-43B9-8762-D2E0804E74FB}"/>
    <cellStyle name="Финансовый 36 2 3 3 2 4 5" xfId="18570" xr:uid="{00000000-0005-0000-0000-0000A4400000}"/>
    <cellStyle name="Финансовый 36 2 3 3 2 4 5 2" xfId="35583" xr:uid="{06F509DD-379A-41C0-AF35-F2AB546C0465}"/>
    <cellStyle name="Финансовый 36 2 3 3 2 4 6" xfId="26273" xr:uid="{8C05A481-1414-46C5-AF8A-7746C4D13E0B}"/>
    <cellStyle name="Финансовый 36 2 3 3 2 5" xfId="9174" xr:uid="{00000000-0005-0000-0000-0000A5400000}"/>
    <cellStyle name="Финансовый 36 2 3 3 2 5 2" xfId="12259" xr:uid="{00000000-0005-0000-0000-0000A6400000}"/>
    <cellStyle name="Финансовый 36 2 3 3 2 5 2 2" xfId="29348" xr:uid="{CB946973-7BE7-4FE2-B014-380BF4122D70}"/>
    <cellStyle name="Финансовый 36 2 3 3 2 5 3" xfId="15491" xr:uid="{00000000-0005-0000-0000-0000A7400000}"/>
    <cellStyle name="Финансовый 36 2 3 3 2 5 3 2" xfId="32504" xr:uid="{80B027EF-D30C-4309-B4B9-550F627570E6}"/>
    <cellStyle name="Финансовый 36 2 3 3 2 5 4" xfId="18572" xr:uid="{00000000-0005-0000-0000-0000A8400000}"/>
    <cellStyle name="Финансовый 36 2 3 3 2 5 4 2" xfId="35585" xr:uid="{634EFD2B-B763-4A00-90A9-498EB779FF25}"/>
    <cellStyle name="Финансовый 36 2 3 3 2 5 5" xfId="26275" xr:uid="{DEE02759-5869-4632-BD75-7151864F1B8F}"/>
    <cellStyle name="Финансовый 36 2 3 3 2 6" xfId="12244" xr:uid="{00000000-0005-0000-0000-0000A9400000}"/>
    <cellStyle name="Финансовый 36 2 3 3 2 6 2" xfId="29333" xr:uid="{2FFF206A-7734-4B04-915D-2D1891F1582A}"/>
    <cellStyle name="Финансовый 36 2 3 3 2 7" xfId="15476" xr:uid="{00000000-0005-0000-0000-0000AA400000}"/>
    <cellStyle name="Финансовый 36 2 3 3 2 7 2" xfId="32489" xr:uid="{AA5F70A1-D6FE-4EC0-A459-402AA2BEC36F}"/>
    <cellStyle name="Финансовый 36 2 3 3 2 8" xfId="18557" xr:uid="{00000000-0005-0000-0000-0000AB400000}"/>
    <cellStyle name="Финансовый 36 2 3 3 2 8 2" xfId="35570" xr:uid="{8819828F-8C2D-45DF-96BF-4E0C65B95F39}"/>
    <cellStyle name="Финансовый 36 2 3 3 2 9" xfId="26260" xr:uid="{23189D25-C854-49F2-911C-9054369F46E8}"/>
    <cellStyle name="Финансовый 36 2 3 3 3" xfId="9175" xr:uid="{00000000-0005-0000-0000-0000AC400000}"/>
    <cellStyle name="Финансовый 36 2 3 3 3 2" xfId="9176" xr:uid="{00000000-0005-0000-0000-0000AD400000}"/>
    <cellStyle name="Финансовый 36 2 3 3 3 2 2" xfId="9177" xr:uid="{00000000-0005-0000-0000-0000AE400000}"/>
    <cellStyle name="Финансовый 36 2 3 3 3 2 2 2" xfId="9178" xr:uid="{00000000-0005-0000-0000-0000AF400000}"/>
    <cellStyle name="Финансовый 36 2 3 3 3 2 2 2 2" xfId="12263" xr:uid="{00000000-0005-0000-0000-0000B0400000}"/>
    <cellStyle name="Финансовый 36 2 3 3 3 2 2 2 2 2" xfId="29352" xr:uid="{210489CC-47E2-4BD4-BBF4-F2725A4CC98C}"/>
    <cellStyle name="Финансовый 36 2 3 3 3 2 2 2 3" xfId="15495" xr:uid="{00000000-0005-0000-0000-0000B1400000}"/>
    <cellStyle name="Финансовый 36 2 3 3 3 2 2 2 3 2" xfId="32508" xr:uid="{F32ED852-F677-44CC-B50A-A19AACC75B12}"/>
    <cellStyle name="Финансовый 36 2 3 3 3 2 2 2 4" xfId="18576" xr:uid="{00000000-0005-0000-0000-0000B2400000}"/>
    <cellStyle name="Финансовый 36 2 3 3 3 2 2 2 4 2" xfId="35589" xr:uid="{173259B0-C1A0-4944-8CDE-88589190F25A}"/>
    <cellStyle name="Финансовый 36 2 3 3 3 2 2 2 5" xfId="26279" xr:uid="{4FD12F77-BC12-4345-B76D-9830ED168E3A}"/>
    <cellStyle name="Финансовый 36 2 3 3 3 2 2 3" xfId="12262" xr:uid="{00000000-0005-0000-0000-0000B3400000}"/>
    <cellStyle name="Финансовый 36 2 3 3 3 2 2 3 2" xfId="29351" xr:uid="{7F0B2CAA-6B1D-4240-A1D6-79EAFED3BFA1}"/>
    <cellStyle name="Финансовый 36 2 3 3 3 2 2 4" xfId="15494" xr:uid="{00000000-0005-0000-0000-0000B4400000}"/>
    <cellStyle name="Финансовый 36 2 3 3 3 2 2 4 2" xfId="32507" xr:uid="{2807524F-3631-4E55-B1E3-B32FD86E7F1D}"/>
    <cellStyle name="Финансовый 36 2 3 3 3 2 2 5" xfId="18575" xr:uid="{00000000-0005-0000-0000-0000B5400000}"/>
    <cellStyle name="Финансовый 36 2 3 3 3 2 2 5 2" xfId="35588" xr:uid="{32497432-DA33-422F-9DF4-3D268722C4B0}"/>
    <cellStyle name="Финансовый 36 2 3 3 3 2 2 6" xfId="26278" xr:uid="{BB8A5A09-40C3-4D0F-B909-A6E95426A994}"/>
    <cellStyle name="Финансовый 36 2 3 3 3 2 3" xfId="9179" xr:uid="{00000000-0005-0000-0000-0000B6400000}"/>
    <cellStyle name="Финансовый 36 2 3 3 3 2 3 2" xfId="12264" xr:uid="{00000000-0005-0000-0000-0000B7400000}"/>
    <cellStyle name="Финансовый 36 2 3 3 3 2 3 2 2" xfId="29353" xr:uid="{AAD2CCB6-1BBA-4A47-B172-45C95DD447F8}"/>
    <cellStyle name="Финансовый 36 2 3 3 3 2 3 3" xfId="15496" xr:uid="{00000000-0005-0000-0000-0000B8400000}"/>
    <cellStyle name="Финансовый 36 2 3 3 3 2 3 3 2" xfId="32509" xr:uid="{6C6F1148-CA73-43FF-AB4A-DEBA1754B168}"/>
    <cellStyle name="Финансовый 36 2 3 3 3 2 3 4" xfId="18577" xr:uid="{00000000-0005-0000-0000-0000B9400000}"/>
    <cellStyle name="Финансовый 36 2 3 3 3 2 3 4 2" xfId="35590" xr:uid="{B3156176-9D31-4727-AC67-2C425E909F93}"/>
    <cellStyle name="Финансовый 36 2 3 3 3 2 3 5" xfId="26280" xr:uid="{34D76B27-D9FC-46AF-A906-5A83F52B46F1}"/>
    <cellStyle name="Финансовый 36 2 3 3 3 2 4" xfId="12261" xr:uid="{00000000-0005-0000-0000-0000BA400000}"/>
    <cellStyle name="Финансовый 36 2 3 3 3 2 4 2" xfId="29350" xr:uid="{049A0432-72B4-4F4F-85DC-979F31CAC27D}"/>
    <cellStyle name="Финансовый 36 2 3 3 3 2 5" xfId="15493" xr:uid="{00000000-0005-0000-0000-0000BB400000}"/>
    <cellStyle name="Финансовый 36 2 3 3 3 2 5 2" xfId="32506" xr:uid="{9ED189C8-ABEC-4739-ABC1-F67B0422B586}"/>
    <cellStyle name="Финансовый 36 2 3 3 3 2 6" xfId="18574" xr:uid="{00000000-0005-0000-0000-0000BC400000}"/>
    <cellStyle name="Финансовый 36 2 3 3 3 2 6 2" xfId="35587" xr:uid="{1CD5CAE6-EA00-4851-9986-5E2404EDC170}"/>
    <cellStyle name="Финансовый 36 2 3 3 3 2 7" xfId="26277" xr:uid="{A049AF31-216C-47C0-AE15-0B3D5911AA56}"/>
    <cellStyle name="Финансовый 36 2 3 3 3 3" xfId="9180" xr:uid="{00000000-0005-0000-0000-0000BD400000}"/>
    <cellStyle name="Финансовый 36 2 3 3 3 3 2" xfId="9181" xr:uid="{00000000-0005-0000-0000-0000BE400000}"/>
    <cellStyle name="Финансовый 36 2 3 3 3 3 2 2" xfId="12266" xr:uid="{00000000-0005-0000-0000-0000BF400000}"/>
    <cellStyle name="Финансовый 36 2 3 3 3 3 2 2 2" xfId="29355" xr:uid="{12A1D182-32AD-4DEF-977B-4B7B11214406}"/>
    <cellStyle name="Финансовый 36 2 3 3 3 3 2 3" xfId="15498" xr:uid="{00000000-0005-0000-0000-0000C0400000}"/>
    <cellStyle name="Финансовый 36 2 3 3 3 3 2 3 2" xfId="32511" xr:uid="{CA099FD1-3596-4BF6-8A97-4B656D4CCD7E}"/>
    <cellStyle name="Финансовый 36 2 3 3 3 3 2 4" xfId="18579" xr:uid="{00000000-0005-0000-0000-0000C1400000}"/>
    <cellStyle name="Финансовый 36 2 3 3 3 3 2 4 2" xfId="35592" xr:uid="{25E8250E-3E2C-4145-9E95-0C1A8DF5CC9B}"/>
    <cellStyle name="Финансовый 36 2 3 3 3 3 2 5" xfId="26282" xr:uid="{B35C9232-6BB9-4C5D-ADA9-AC1D5A432B0E}"/>
    <cellStyle name="Финансовый 36 2 3 3 3 3 3" xfId="12265" xr:uid="{00000000-0005-0000-0000-0000C2400000}"/>
    <cellStyle name="Финансовый 36 2 3 3 3 3 3 2" xfId="29354" xr:uid="{4724F69A-EE04-4B73-A256-27F419A3A3E6}"/>
    <cellStyle name="Финансовый 36 2 3 3 3 3 4" xfId="15497" xr:uid="{00000000-0005-0000-0000-0000C3400000}"/>
    <cellStyle name="Финансовый 36 2 3 3 3 3 4 2" xfId="32510" xr:uid="{98B7950E-C509-4BC3-8A60-F56C1A763688}"/>
    <cellStyle name="Финансовый 36 2 3 3 3 3 5" xfId="18578" xr:uid="{00000000-0005-0000-0000-0000C4400000}"/>
    <cellStyle name="Финансовый 36 2 3 3 3 3 5 2" xfId="35591" xr:uid="{CC38199F-61BD-4DFD-822A-F4F43E67EDDC}"/>
    <cellStyle name="Финансовый 36 2 3 3 3 3 6" xfId="26281" xr:uid="{BEAA0FB8-1D3A-4AA7-94FD-59FA50FB7C71}"/>
    <cellStyle name="Финансовый 36 2 3 3 3 4" xfId="9182" xr:uid="{00000000-0005-0000-0000-0000C5400000}"/>
    <cellStyle name="Финансовый 36 2 3 3 3 4 2" xfId="12267" xr:uid="{00000000-0005-0000-0000-0000C6400000}"/>
    <cellStyle name="Финансовый 36 2 3 3 3 4 2 2" xfId="29356" xr:uid="{9747A2BB-AB2C-42A6-A9BC-38D5C6AA18CC}"/>
    <cellStyle name="Финансовый 36 2 3 3 3 4 3" xfId="15499" xr:uid="{00000000-0005-0000-0000-0000C7400000}"/>
    <cellStyle name="Финансовый 36 2 3 3 3 4 3 2" xfId="32512" xr:uid="{0DE4914B-9FD8-4FBB-A122-F167AF7452BE}"/>
    <cellStyle name="Финансовый 36 2 3 3 3 4 4" xfId="18580" xr:uid="{00000000-0005-0000-0000-0000C8400000}"/>
    <cellStyle name="Финансовый 36 2 3 3 3 4 4 2" xfId="35593" xr:uid="{6B39E9CA-D98E-4929-BCB3-28F79D6D9A28}"/>
    <cellStyle name="Финансовый 36 2 3 3 3 4 5" xfId="26283" xr:uid="{41A575E7-DECB-4F8D-9941-44074819F37F}"/>
    <cellStyle name="Финансовый 36 2 3 3 3 5" xfId="12260" xr:uid="{00000000-0005-0000-0000-0000C9400000}"/>
    <cellStyle name="Финансовый 36 2 3 3 3 5 2" xfId="29349" xr:uid="{7AD9717B-C80A-4352-A543-132C51520BB1}"/>
    <cellStyle name="Финансовый 36 2 3 3 3 6" xfId="15492" xr:uid="{00000000-0005-0000-0000-0000CA400000}"/>
    <cellStyle name="Финансовый 36 2 3 3 3 6 2" xfId="32505" xr:uid="{2185B2F0-D141-4D31-8D55-A3852BCF896B}"/>
    <cellStyle name="Финансовый 36 2 3 3 3 7" xfId="18573" xr:uid="{00000000-0005-0000-0000-0000CB400000}"/>
    <cellStyle name="Финансовый 36 2 3 3 3 7 2" xfId="35586" xr:uid="{5D5B5E5F-A335-46BC-8D33-96BAF87996DC}"/>
    <cellStyle name="Финансовый 36 2 3 3 3 8" xfId="26276" xr:uid="{FF3FAFC5-F85E-4CC6-9CC6-AB580DBAD270}"/>
    <cellStyle name="Финансовый 36 2 3 3 4" xfId="9183" xr:uid="{00000000-0005-0000-0000-0000CC400000}"/>
    <cellStyle name="Финансовый 36 2 3 3 4 2" xfId="9184" xr:uid="{00000000-0005-0000-0000-0000CD400000}"/>
    <cellStyle name="Финансовый 36 2 3 3 4 2 2" xfId="9185" xr:uid="{00000000-0005-0000-0000-0000CE400000}"/>
    <cellStyle name="Финансовый 36 2 3 3 4 2 2 2" xfId="12270" xr:uid="{00000000-0005-0000-0000-0000CF400000}"/>
    <cellStyle name="Финансовый 36 2 3 3 4 2 2 2 2" xfId="29359" xr:uid="{8895CAA0-87FE-4694-B63E-579DD6A9CA63}"/>
    <cellStyle name="Финансовый 36 2 3 3 4 2 2 3" xfId="15502" xr:uid="{00000000-0005-0000-0000-0000D0400000}"/>
    <cellStyle name="Финансовый 36 2 3 3 4 2 2 3 2" xfId="32515" xr:uid="{F68CCD6B-1E5E-4ACA-90F4-426DE08BA2D1}"/>
    <cellStyle name="Финансовый 36 2 3 3 4 2 2 4" xfId="18583" xr:uid="{00000000-0005-0000-0000-0000D1400000}"/>
    <cellStyle name="Финансовый 36 2 3 3 4 2 2 4 2" xfId="35596" xr:uid="{233E4E3B-8E08-4FCB-95B7-C547964076E4}"/>
    <cellStyle name="Финансовый 36 2 3 3 4 2 2 5" xfId="26286" xr:uid="{80481C84-A9CC-44C9-A2FD-8BB597E89DF5}"/>
    <cellStyle name="Финансовый 36 2 3 3 4 2 3" xfId="12269" xr:uid="{00000000-0005-0000-0000-0000D2400000}"/>
    <cellStyle name="Финансовый 36 2 3 3 4 2 3 2" xfId="29358" xr:uid="{C710D5EE-C27C-418E-8A02-73C6F218CC71}"/>
    <cellStyle name="Финансовый 36 2 3 3 4 2 4" xfId="15501" xr:uid="{00000000-0005-0000-0000-0000D3400000}"/>
    <cellStyle name="Финансовый 36 2 3 3 4 2 4 2" xfId="32514" xr:uid="{DB7211C8-A826-4D2B-9182-72DA4E359B1E}"/>
    <cellStyle name="Финансовый 36 2 3 3 4 2 5" xfId="18582" xr:uid="{00000000-0005-0000-0000-0000D4400000}"/>
    <cellStyle name="Финансовый 36 2 3 3 4 2 5 2" xfId="35595" xr:uid="{52CF7657-C911-4FB6-B02B-701AEC7A08A4}"/>
    <cellStyle name="Финансовый 36 2 3 3 4 2 6" xfId="26285" xr:uid="{64D31BF7-23B9-4CC7-8931-50CCC9DB3FC4}"/>
    <cellStyle name="Финансовый 36 2 3 3 4 3" xfId="9186" xr:uid="{00000000-0005-0000-0000-0000D5400000}"/>
    <cellStyle name="Финансовый 36 2 3 3 4 3 2" xfId="12271" xr:uid="{00000000-0005-0000-0000-0000D6400000}"/>
    <cellStyle name="Финансовый 36 2 3 3 4 3 2 2" xfId="29360" xr:uid="{17C0BE2F-A96C-4C78-8312-874AAC4110DF}"/>
    <cellStyle name="Финансовый 36 2 3 3 4 3 3" xfId="15503" xr:uid="{00000000-0005-0000-0000-0000D7400000}"/>
    <cellStyle name="Финансовый 36 2 3 3 4 3 3 2" xfId="32516" xr:uid="{C2BB68EF-674D-4326-8DEA-7A5BE9273EDF}"/>
    <cellStyle name="Финансовый 36 2 3 3 4 3 4" xfId="18584" xr:uid="{00000000-0005-0000-0000-0000D8400000}"/>
    <cellStyle name="Финансовый 36 2 3 3 4 3 4 2" xfId="35597" xr:uid="{AA853999-EEB8-4B91-B1AB-19D1CB852304}"/>
    <cellStyle name="Финансовый 36 2 3 3 4 3 5" xfId="26287" xr:uid="{6B06200B-4FA9-4AAC-BE64-D68F72E465FD}"/>
    <cellStyle name="Финансовый 36 2 3 3 4 4" xfId="12268" xr:uid="{00000000-0005-0000-0000-0000D9400000}"/>
    <cellStyle name="Финансовый 36 2 3 3 4 4 2" xfId="29357" xr:uid="{F3FB7679-250F-4518-900B-DFB9C2B84F9B}"/>
    <cellStyle name="Финансовый 36 2 3 3 4 5" xfId="15500" xr:uid="{00000000-0005-0000-0000-0000DA400000}"/>
    <cellStyle name="Финансовый 36 2 3 3 4 5 2" xfId="32513" xr:uid="{537335F7-6237-4970-812E-61D596E1925C}"/>
    <cellStyle name="Финансовый 36 2 3 3 4 6" xfId="18581" xr:uid="{00000000-0005-0000-0000-0000DB400000}"/>
    <cellStyle name="Финансовый 36 2 3 3 4 6 2" xfId="35594" xr:uid="{B7E1E70C-AA50-452E-ABB3-1F18C4625656}"/>
    <cellStyle name="Финансовый 36 2 3 3 4 7" xfId="26284" xr:uid="{53C88B5C-69C3-4997-A548-8B9E8119A7BE}"/>
    <cellStyle name="Финансовый 36 2 3 3 5" xfId="9187" xr:uid="{00000000-0005-0000-0000-0000DC400000}"/>
    <cellStyle name="Финансовый 36 2 3 3 5 2" xfId="9188" xr:uid="{00000000-0005-0000-0000-0000DD400000}"/>
    <cellStyle name="Финансовый 36 2 3 3 5 2 2" xfId="12273" xr:uid="{00000000-0005-0000-0000-0000DE400000}"/>
    <cellStyle name="Финансовый 36 2 3 3 5 2 2 2" xfId="29362" xr:uid="{E3FD23A6-78E1-437E-B9C1-F7103C2B1217}"/>
    <cellStyle name="Финансовый 36 2 3 3 5 2 3" xfId="15505" xr:uid="{00000000-0005-0000-0000-0000DF400000}"/>
    <cellStyle name="Финансовый 36 2 3 3 5 2 3 2" xfId="32518" xr:uid="{C8264AE7-610C-4B8E-A21A-7A3EF54AE7E4}"/>
    <cellStyle name="Финансовый 36 2 3 3 5 2 4" xfId="18586" xr:uid="{00000000-0005-0000-0000-0000E0400000}"/>
    <cellStyle name="Финансовый 36 2 3 3 5 2 4 2" xfId="35599" xr:uid="{476339BB-665F-452C-B5FA-BED1E2D084DA}"/>
    <cellStyle name="Финансовый 36 2 3 3 5 2 5" xfId="26289" xr:uid="{1070E596-DF95-47C2-8F07-59381E23D75F}"/>
    <cellStyle name="Финансовый 36 2 3 3 5 3" xfId="12272" xr:uid="{00000000-0005-0000-0000-0000E1400000}"/>
    <cellStyle name="Финансовый 36 2 3 3 5 3 2" xfId="29361" xr:uid="{838EF3CE-58A0-4093-BF83-892CBDBF5828}"/>
    <cellStyle name="Финансовый 36 2 3 3 5 4" xfId="15504" xr:uid="{00000000-0005-0000-0000-0000E2400000}"/>
    <cellStyle name="Финансовый 36 2 3 3 5 4 2" xfId="32517" xr:uid="{95860876-E048-496F-B183-9871D30648CC}"/>
    <cellStyle name="Финансовый 36 2 3 3 5 5" xfId="18585" xr:uid="{00000000-0005-0000-0000-0000E3400000}"/>
    <cellStyle name="Финансовый 36 2 3 3 5 5 2" xfId="35598" xr:uid="{365185D0-4882-4F44-B9BD-F0ACB8E6360B}"/>
    <cellStyle name="Финансовый 36 2 3 3 5 6" xfId="26288" xr:uid="{26AD0DB3-1B94-44B2-AE69-695139A3B28A}"/>
    <cellStyle name="Финансовый 36 2 3 3 6" xfId="9189" xr:uid="{00000000-0005-0000-0000-0000E4400000}"/>
    <cellStyle name="Финансовый 36 2 3 3 6 2" xfId="12274" xr:uid="{00000000-0005-0000-0000-0000E5400000}"/>
    <cellStyle name="Финансовый 36 2 3 3 6 2 2" xfId="29363" xr:uid="{C4EA4CDF-9A77-408B-8078-EC0F6939B179}"/>
    <cellStyle name="Финансовый 36 2 3 3 6 3" xfId="15506" xr:uid="{00000000-0005-0000-0000-0000E6400000}"/>
    <cellStyle name="Финансовый 36 2 3 3 6 3 2" xfId="32519" xr:uid="{DACD14AB-5C28-430A-8419-E0DCAE5750B7}"/>
    <cellStyle name="Финансовый 36 2 3 3 6 4" xfId="18587" xr:uid="{00000000-0005-0000-0000-0000E7400000}"/>
    <cellStyle name="Финансовый 36 2 3 3 6 4 2" xfId="35600" xr:uid="{62D87622-AC80-4581-9E63-89A2A2F9064B}"/>
    <cellStyle name="Финансовый 36 2 3 3 6 5" xfId="26290" xr:uid="{88ADFEC5-8BC5-431F-9640-5E5A3BFEEDB2}"/>
    <cellStyle name="Финансовый 36 2 3 3 7" xfId="12243" xr:uid="{00000000-0005-0000-0000-0000E8400000}"/>
    <cellStyle name="Финансовый 36 2 3 3 7 2" xfId="29332" xr:uid="{4630BF99-1CCE-405D-85CC-3D522041E9F8}"/>
    <cellStyle name="Финансовый 36 2 3 3 8" xfId="15475" xr:uid="{00000000-0005-0000-0000-0000E9400000}"/>
    <cellStyle name="Финансовый 36 2 3 3 8 2" xfId="32488" xr:uid="{A93B86D0-11F9-4116-954A-D72FB2FC07D6}"/>
    <cellStyle name="Финансовый 36 2 3 3 9" xfId="18556" xr:uid="{00000000-0005-0000-0000-0000EA400000}"/>
    <cellStyle name="Финансовый 36 2 3 3 9 2" xfId="35569" xr:uid="{81FAC3D1-34CB-4CBE-AE9B-397DD4EA3AF4}"/>
    <cellStyle name="Финансовый 36 2 3 4" xfId="9190" xr:uid="{00000000-0005-0000-0000-0000EB400000}"/>
    <cellStyle name="Финансовый 36 2 3 4 2" xfId="9191" xr:uid="{00000000-0005-0000-0000-0000EC400000}"/>
    <cellStyle name="Финансовый 36 2 3 4 2 2" xfId="9192" xr:uid="{00000000-0005-0000-0000-0000ED400000}"/>
    <cellStyle name="Финансовый 36 2 3 4 2 2 2" xfId="9193" xr:uid="{00000000-0005-0000-0000-0000EE400000}"/>
    <cellStyle name="Финансовый 36 2 3 4 2 2 2 2" xfId="9194" xr:uid="{00000000-0005-0000-0000-0000EF400000}"/>
    <cellStyle name="Финансовый 36 2 3 4 2 2 2 2 2" xfId="12279" xr:uid="{00000000-0005-0000-0000-0000F0400000}"/>
    <cellStyle name="Финансовый 36 2 3 4 2 2 2 2 2 2" xfId="29368" xr:uid="{2F96C753-A324-4656-8A2F-5847F3AE0F98}"/>
    <cellStyle name="Финансовый 36 2 3 4 2 2 2 2 3" xfId="15511" xr:uid="{00000000-0005-0000-0000-0000F1400000}"/>
    <cellStyle name="Финансовый 36 2 3 4 2 2 2 2 3 2" xfId="32524" xr:uid="{5F8853A1-A324-4351-9E79-014F441175FF}"/>
    <cellStyle name="Финансовый 36 2 3 4 2 2 2 2 4" xfId="18592" xr:uid="{00000000-0005-0000-0000-0000F2400000}"/>
    <cellStyle name="Финансовый 36 2 3 4 2 2 2 2 4 2" xfId="35605" xr:uid="{C3297046-6BE4-4DF9-A77E-DC4989816DC9}"/>
    <cellStyle name="Финансовый 36 2 3 4 2 2 2 2 5" xfId="26295" xr:uid="{565FA9E4-B093-4DF8-BC10-BA790C247932}"/>
    <cellStyle name="Финансовый 36 2 3 4 2 2 2 3" xfId="12278" xr:uid="{00000000-0005-0000-0000-0000F3400000}"/>
    <cellStyle name="Финансовый 36 2 3 4 2 2 2 3 2" xfId="29367" xr:uid="{28B72D99-CC01-4757-B83F-702A9A24B564}"/>
    <cellStyle name="Финансовый 36 2 3 4 2 2 2 4" xfId="15510" xr:uid="{00000000-0005-0000-0000-0000F4400000}"/>
    <cellStyle name="Финансовый 36 2 3 4 2 2 2 4 2" xfId="32523" xr:uid="{83824A79-51B8-403E-A55B-F8E34C489675}"/>
    <cellStyle name="Финансовый 36 2 3 4 2 2 2 5" xfId="18591" xr:uid="{00000000-0005-0000-0000-0000F5400000}"/>
    <cellStyle name="Финансовый 36 2 3 4 2 2 2 5 2" xfId="35604" xr:uid="{878AF058-7634-4E3D-BC4D-FB1DA45AD371}"/>
    <cellStyle name="Финансовый 36 2 3 4 2 2 2 6" xfId="26294" xr:uid="{37BAAF00-41CA-428D-B6F7-2C939F5892D9}"/>
    <cellStyle name="Финансовый 36 2 3 4 2 2 3" xfId="9195" xr:uid="{00000000-0005-0000-0000-0000F6400000}"/>
    <cellStyle name="Финансовый 36 2 3 4 2 2 3 2" xfId="12280" xr:uid="{00000000-0005-0000-0000-0000F7400000}"/>
    <cellStyle name="Финансовый 36 2 3 4 2 2 3 2 2" xfId="29369" xr:uid="{0DDBD9CF-2699-4347-B925-65374EE2B06A}"/>
    <cellStyle name="Финансовый 36 2 3 4 2 2 3 3" xfId="15512" xr:uid="{00000000-0005-0000-0000-0000F8400000}"/>
    <cellStyle name="Финансовый 36 2 3 4 2 2 3 3 2" xfId="32525" xr:uid="{B39290A0-6906-41C6-AD5F-117437C0D1A8}"/>
    <cellStyle name="Финансовый 36 2 3 4 2 2 3 4" xfId="18593" xr:uid="{00000000-0005-0000-0000-0000F9400000}"/>
    <cellStyle name="Финансовый 36 2 3 4 2 2 3 4 2" xfId="35606" xr:uid="{F52E58A9-051C-4BC0-A339-1ED3E72977B8}"/>
    <cellStyle name="Финансовый 36 2 3 4 2 2 3 5" xfId="26296" xr:uid="{7A52EE41-EF69-46DA-895B-88A3E31D586B}"/>
    <cellStyle name="Финансовый 36 2 3 4 2 2 4" xfId="12277" xr:uid="{00000000-0005-0000-0000-0000FA400000}"/>
    <cellStyle name="Финансовый 36 2 3 4 2 2 4 2" xfId="29366" xr:uid="{67C1810C-441F-47DA-98A9-D1D8CCAB8653}"/>
    <cellStyle name="Финансовый 36 2 3 4 2 2 5" xfId="15509" xr:uid="{00000000-0005-0000-0000-0000FB400000}"/>
    <cellStyle name="Финансовый 36 2 3 4 2 2 5 2" xfId="32522" xr:uid="{FD2E51DD-6A07-4E46-86BD-60DC8529756F}"/>
    <cellStyle name="Финансовый 36 2 3 4 2 2 6" xfId="18590" xr:uid="{00000000-0005-0000-0000-0000FC400000}"/>
    <cellStyle name="Финансовый 36 2 3 4 2 2 6 2" xfId="35603" xr:uid="{6B887997-3DF6-4864-9858-B6A7EAA1C91B}"/>
    <cellStyle name="Финансовый 36 2 3 4 2 2 7" xfId="26293" xr:uid="{999B79E8-9C8A-4297-9ADA-15FBFE9B2B6E}"/>
    <cellStyle name="Финансовый 36 2 3 4 2 3" xfId="9196" xr:uid="{00000000-0005-0000-0000-0000FD400000}"/>
    <cellStyle name="Финансовый 36 2 3 4 2 3 2" xfId="9197" xr:uid="{00000000-0005-0000-0000-0000FE400000}"/>
    <cellStyle name="Финансовый 36 2 3 4 2 3 2 2" xfId="12282" xr:uid="{00000000-0005-0000-0000-0000FF400000}"/>
    <cellStyle name="Финансовый 36 2 3 4 2 3 2 2 2" xfId="29371" xr:uid="{2BC34348-9F37-41F9-9AC9-0BA08869A0C2}"/>
    <cellStyle name="Финансовый 36 2 3 4 2 3 2 3" xfId="15514" xr:uid="{00000000-0005-0000-0000-000000410000}"/>
    <cellStyle name="Финансовый 36 2 3 4 2 3 2 3 2" xfId="32527" xr:uid="{DE7B20DB-7814-44A2-B432-134A9364E095}"/>
    <cellStyle name="Финансовый 36 2 3 4 2 3 2 4" xfId="18595" xr:uid="{00000000-0005-0000-0000-000001410000}"/>
    <cellStyle name="Финансовый 36 2 3 4 2 3 2 4 2" xfId="35608" xr:uid="{F576C76D-C6BB-4ED8-BBED-B4F779EE324E}"/>
    <cellStyle name="Финансовый 36 2 3 4 2 3 2 5" xfId="26298" xr:uid="{9D88D891-48D0-4C6C-A7EE-04382C43B854}"/>
    <cellStyle name="Финансовый 36 2 3 4 2 3 3" xfId="12281" xr:uid="{00000000-0005-0000-0000-000002410000}"/>
    <cellStyle name="Финансовый 36 2 3 4 2 3 3 2" xfId="29370" xr:uid="{22AB319C-8642-4234-8116-163F93D04DA7}"/>
    <cellStyle name="Финансовый 36 2 3 4 2 3 4" xfId="15513" xr:uid="{00000000-0005-0000-0000-000003410000}"/>
    <cellStyle name="Финансовый 36 2 3 4 2 3 4 2" xfId="32526" xr:uid="{F3E82ED1-2274-4034-BE42-64404D0CFCCA}"/>
    <cellStyle name="Финансовый 36 2 3 4 2 3 5" xfId="18594" xr:uid="{00000000-0005-0000-0000-000004410000}"/>
    <cellStyle name="Финансовый 36 2 3 4 2 3 5 2" xfId="35607" xr:uid="{FC8D1993-D41D-4BA2-8D51-F96697698834}"/>
    <cellStyle name="Финансовый 36 2 3 4 2 3 6" xfId="26297" xr:uid="{9B3E5EA7-1AAF-493F-8A14-DC2562D16FB5}"/>
    <cellStyle name="Финансовый 36 2 3 4 2 4" xfId="9198" xr:uid="{00000000-0005-0000-0000-000005410000}"/>
    <cellStyle name="Финансовый 36 2 3 4 2 4 2" xfId="12283" xr:uid="{00000000-0005-0000-0000-000006410000}"/>
    <cellStyle name="Финансовый 36 2 3 4 2 4 2 2" xfId="29372" xr:uid="{AE1ABBC8-5161-4347-A7B8-79BEC94AF182}"/>
    <cellStyle name="Финансовый 36 2 3 4 2 4 3" xfId="15515" xr:uid="{00000000-0005-0000-0000-000007410000}"/>
    <cellStyle name="Финансовый 36 2 3 4 2 4 3 2" xfId="32528" xr:uid="{385C7200-97EB-4C6C-8359-8E590575FB1C}"/>
    <cellStyle name="Финансовый 36 2 3 4 2 4 4" xfId="18596" xr:uid="{00000000-0005-0000-0000-000008410000}"/>
    <cellStyle name="Финансовый 36 2 3 4 2 4 4 2" xfId="35609" xr:uid="{C66C22C9-7BCB-4671-9216-D68CA8EB4ED0}"/>
    <cellStyle name="Финансовый 36 2 3 4 2 4 5" xfId="26299" xr:uid="{7A8F7AB5-E4A8-4778-883F-3E3FFABAEF79}"/>
    <cellStyle name="Финансовый 36 2 3 4 2 5" xfId="12276" xr:uid="{00000000-0005-0000-0000-000009410000}"/>
    <cellStyle name="Финансовый 36 2 3 4 2 5 2" xfId="29365" xr:uid="{73DD7DF3-8B8F-4DDB-8824-DB33EE2069DE}"/>
    <cellStyle name="Финансовый 36 2 3 4 2 6" xfId="15508" xr:uid="{00000000-0005-0000-0000-00000A410000}"/>
    <cellStyle name="Финансовый 36 2 3 4 2 6 2" xfId="32521" xr:uid="{65D90D19-241E-4743-B867-59009F54D252}"/>
    <cellStyle name="Финансовый 36 2 3 4 2 7" xfId="18589" xr:uid="{00000000-0005-0000-0000-00000B410000}"/>
    <cellStyle name="Финансовый 36 2 3 4 2 7 2" xfId="35602" xr:uid="{028F4056-A111-46C5-A0E5-A3B2E824650E}"/>
    <cellStyle name="Финансовый 36 2 3 4 2 8" xfId="26292" xr:uid="{AA54D18D-4ED6-42A0-89EE-3478AFFEF0E7}"/>
    <cellStyle name="Финансовый 36 2 3 4 3" xfId="9199" xr:uid="{00000000-0005-0000-0000-00000C410000}"/>
    <cellStyle name="Финансовый 36 2 3 4 3 2" xfId="9200" xr:uid="{00000000-0005-0000-0000-00000D410000}"/>
    <cellStyle name="Финансовый 36 2 3 4 3 2 2" xfId="9201" xr:uid="{00000000-0005-0000-0000-00000E410000}"/>
    <cellStyle name="Финансовый 36 2 3 4 3 2 2 2" xfId="12286" xr:uid="{00000000-0005-0000-0000-00000F410000}"/>
    <cellStyle name="Финансовый 36 2 3 4 3 2 2 2 2" xfId="29375" xr:uid="{D0DC6A4E-3F95-462D-B4BF-670DA48F4C80}"/>
    <cellStyle name="Финансовый 36 2 3 4 3 2 2 3" xfId="15518" xr:uid="{00000000-0005-0000-0000-000010410000}"/>
    <cellStyle name="Финансовый 36 2 3 4 3 2 2 3 2" xfId="32531" xr:uid="{530013FD-E4A5-42A4-A046-B4D2050CE8CF}"/>
    <cellStyle name="Финансовый 36 2 3 4 3 2 2 4" xfId="18599" xr:uid="{00000000-0005-0000-0000-000011410000}"/>
    <cellStyle name="Финансовый 36 2 3 4 3 2 2 4 2" xfId="35612" xr:uid="{38F18DE3-99BA-4879-8DC1-A5A39FA71798}"/>
    <cellStyle name="Финансовый 36 2 3 4 3 2 2 5" xfId="26302" xr:uid="{3C6A7205-4911-4B37-AE7D-569FB5F63499}"/>
    <cellStyle name="Финансовый 36 2 3 4 3 2 3" xfId="12285" xr:uid="{00000000-0005-0000-0000-000012410000}"/>
    <cellStyle name="Финансовый 36 2 3 4 3 2 3 2" xfId="29374" xr:uid="{A14CCBFE-B15D-4DC1-956F-E966FCA35897}"/>
    <cellStyle name="Финансовый 36 2 3 4 3 2 4" xfId="15517" xr:uid="{00000000-0005-0000-0000-000013410000}"/>
    <cellStyle name="Финансовый 36 2 3 4 3 2 4 2" xfId="32530" xr:uid="{3DE5832B-00EF-4C34-9B0D-8AAAA781531E}"/>
    <cellStyle name="Финансовый 36 2 3 4 3 2 5" xfId="18598" xr:uid="{00000000-0005-0000-0000-000014410000}"/>
    <cellStyle name="Финансовый 36 2 3 4 3 2 5 2" xfId="35611" xr:uid="{36B2206C-98FB-4885-8526-550578424958}"/>
    <cellStyle name="Финансовый 36 2 3 4 3 2 6" xfId="26301" xr:uid="{55ECC563-378D-4FE3-8949-7F5B9B4D5A64}"/>
    <cellStyle name="Финансовый 36 2 3 4 3 3" xfId="9202" xr:uid="{00000000-0005-0000-0000-000015410000}"/>
    <cellStyle name="Финансовый 36 2 3 4 3 3 2" xfId="12287" xr:uid="{00000000-0005-0000-0000-000016410000}"/>
    <cellStyle name="Финансовый 36 2 3 4 3 3 2 2" xfId="29376" xr:uid="{4B9260E0-6CFB-4036-8655-D04FE222AE35}"/>
    <cellStyle name="Финансовый 36 2 3 4 3 3 3" xfId="15519" xr:uid="{00000000-0005-0000-0000-000017410000}"/>
    <cellStyle name="Финансовый 36 2 3 4 3 3 3 2" xfId="32532" xr:uid="{A1592D41-5FD5-48DD-913B-C2B8BFEB31DC}"/>
    <cellStyle name="Финансовый 36 2 3 4 3 3 4" xfId="18600" xr:uid="{00000000-0005-0000-0000-000018410000}"/>
    <cellStyle name="Финансовый 36 2 3 4 3 3 4 2" xfId="35613" xr:uid="{6231F7E6-7B87-4A31-A45E-355E95C5FBDB}"/>
    <cellStyle name="Финансовый 36 2 3 4 3 3 5" xfId="26303" xr:uid="{3761F8FE-8183-4195-BB22-F2B47DAF879A}"/>
    <cellStyle name="Финансовый 36 2 3 4 3 4" xfId="12284" xr:uid="{00000000-0005-0000-0000-000019410000}"/>
    <cellStyle name="Финансовый 36 2 3 4 3 4 2" xfId="29373" xr:uid="{4986EAAD-5FF2-4F68-B726-70CCE81DDB6E}"/>
    <cellStyle name="Финансовый 36 2 3 4 3 5" xfId="15516" xr:uid="{00000000-0005-0000-0000-00001A410000}"/>
    <cellStyle name="Финансовый 36 2 3 4 3 5 2" xfId="32529" xr:uid="{290A6157-4B9F-43A3-AF7A-6C61AC31A8B8}"/>
    <cellStyle name="Финансовый 36 2 3 4 3 6" xfId="18597" xr:uid="{00000000-0005-0000-0000-00001B410000}"/>
    <cellStyle name="Финансовый 36 2 3 4 3 6 2" xfId="35610" xr:uid="{B9C7B0A8-9A78-4C72-AFC4-2FD9204C886B}"/>
    <cellStyle name="Финансовый 36 2 3 4 3 7" xfId="26300" xr:uid="{791CCE76-E12A-4106-9D5A-C90EE6295FF5}"/>
    <cellStyle name="Финансовый 36 2 3 4 4" xfId="9203" xr:uid="{00000000-0005-0000-0000-00001C410000}"/>
    <cellStyle name="Финансовый 36 2 3 4 4 2" xfId="9204" xr:uid="{00000000-0005-0000-0000-00001D410000}"/>
    <cellStyle name="Финансовый 36 2 3 4 4 2 2" xfId="12289" xr:uid="{00000000-0005-0000-0000-00001E410000}"/>
    <cellStyle name="Финансовый 36 2 3 4 4 2 2 2" xfId="29378" xr:uid="{C86A779F-7F84-48AB-8397-BBF540037D13}"/>
    <cellStyle name="Финансовый 36 2 3 4 4 2 3" xfId="15521" xr:uid="{00000000-0005-0000-0000-00001F410000}"/>
    <cellStyle name="Финансовый 36 2 3 4 4 2 3 2" xfId="32534" xr:uid="{5008365F-E2C2-4BF9-A8EF-80059EFCDA44}"/>
    <cellStyle name="Финансовый 36 2 3 4 4 2 4" xfId="18602" xr:uid="{00000000-0005-0000-0000-000020410000}"/>
    <cellStyle name="Финансовый 36 2 3 4 4 2 4 2" xfId="35615" xr:uid="{5476BFD3-36F9-47D1-9C7E-0BB09A858E0A}"/>
    <cellStyle name="Финансовый 36 2 3 4 4 2 5" xfId="26305" xr:uid="{D5811C01-19DD-47ED-8E75-851BC9CAFDE0}"/>
    <cellStyle name="Финансовый 36 2 3 4 4 3" xfId="12288" xr:uid="{00000000-0005-0000-0000-000021410000}"/>
    <cellStyle name="Финансовый 36 2 3 4 4 3 2" xfId="29377" xr:uid="{1CCEB9C1-48F1-4F9D-94EB-3DF95A55C50B}"/>
    <cellStyle name="Финансовый 36 2 3 4 4 4" xfId="15520" xr:uid="{00000000-0005-0000-0000-000022410000}"/>
    <cellStyle name="Финансовый 36 2 3 4 4 4 2" xfId="32533" xr:uid="{F85CDA44-7773-4605-B9DA-551E2960176F}"/>
    <cellStyle name="Финансовый 36 2 3 4 4 5" xfId="18601" xr:uid="{00000000-0005-0000-0000-000023410000}"/>
    <cellStyle name="Финансовый 36 2 3 4 4 5 2" xfId="35614" xr:uid="{B33821FD-BC1B-486B-A289-787DE9D64911}"/>
    <cellStyle name="Финансовый 36 2 3 4 4 6" xfId="26304" xr:uid="{F00DFDA5-BDBF-4B43-90A5-FA2472E92D45}"/>
    <cellStyle name="Финансовый 36 2 3 4 5" xfId="9205" xr:uid="{00000000-0005-0000-0000-000024410000}"/>
    <cellStyle name="Финансовый 36 2 3 4 5 2" xfId="12290" xr:uid="{00000000-0005-0000-0000-000025410000}"/>
    <cellStyle name="Финансовый 36 2 3 4 5 2 2" xfId="29379" xr:uid="{8826D900-68BB-4AFC-BBDE-702A9CFDD772}"/>
    <cellStyle name="Финансовый 36 2 3 4 5 3" xfId="15522" xr:uid="{00000000-0005-0000-0000-000026410000}"/>
    <cellStyle name="Финансовый 36 2 3 4 5 3 2" xfId="32535" xr:uid="{D7D23AA6-59C0-4030-B6FA-F50C8B206DAE}"/>
    <cellStyle name="Финансовый 36 2 3 4 5 4" xfId="18603" xr:uid="{00000000-0005-0000-0000-000027410000}"/>
    <cellStyle name="Финансовый 36 2 3 4 5 4 2" xfId="35616" xr:uid="{F58D4348-0D6C-4627-A6F8-5931AAF1BA52}"/>
    <cellStyle name="Финансовый 36 2 3 4 5 5" xfId="26306" xr:uid="{08708BAE-7F21-488D-B542-1A462595E240}"/>
    <cellStyle name="Финансовый 36 2 3 4 6" xfId="12275" xr:uid="{00000000-0005-0000-0000-000028410000}"/>
    <cellStyle name="Финансовый 36 2 3 4 6 2" xfId="29364" xr:uid="{1FC387C7-CE9B-4F55-AE10-52B441DBDC9C}"/>
    <cellStyle name="Финансовый 36 2 3 4 7" xfId="15507" xr:uid="{00000000-0005-0000-0000-000029410000}"/>
    <cellStyle name="Финансовый 36 2 3 4 7 2" xfId="32520" xr:uid="{FC566BF6-DABB-4C66-A421-ECCAED087301}"/>
    <cellStyle name="Финансовый 36 2 3 4 8" xfId="18588" xr:uid="{00000000-0005-0000-0000-00002A410000}"/>
    <cellStyle name="Финансовый 36 2 3 4 8 2" xfId="35601" xr:uid="{EEC047BF-5D26-4993-A19A-33E60ABC4905}"/>
    <cellStyle name="Финансовый 36 2 3 4 9" xfId="26291" xr:uid="{7EF58378-DD72-4086-88CA-6E4CBC94A903}"/>
    <cellStyle name="Финансовый 36 2 3 5" xfId="9206" xr:uid="{00000000-0005-0000-0000-00002B410000}"/>
    <cellStyle name="Финансовый 36 2 3 5 2" xfId="9207" xr:uid="{00000000-0005-0000-0000-00002C410000}"/>
    <cellStyle name="Финансовый 36 2 3 5 2 2" xfId="9208" xr:uid="{00000000-0005-0000-0000-00002D410000}"/>
    <cellStyle name="Финансовый 36 2 3 5 2 2 2" xfId="9209" xr:uid="{00000000-0005-0000-0000-00002E410000}"/>
    <cellStyle name="Финансовый 36 2 3 5 2 2 2 2" xfId="12294" xr:uid="{00000000-0005-0000-0000-00002F410000}"/>
    <cellStyle name="Финансовый 36 2 3 5 2 2 2 2 2" xfId="29383" xr:uid="{25238879-4909-45A8-B0AA-EE6646387106}"/>
    <cellStyle name="Финансовый 36 2 3 5 2 2 2 3" xfId="15526" xr:uid="{00000000-0005-0000-0000-000030410000}"/>
    <cellStyle name="Финансовый 36 2 3 5 2 2 2 3 2" xfId="32539" xr:uid="{DE508D33-AEF6-4EB9-870A-7EF7918676A0}"/>
    <cellStyle name="Финансовый 36 2 3 5 2 2 2 4" xfId="18607" xr:uid="{00000000-0005-0000-0000-000031410000}"/>
    <cellStyle name="Финансовый 36 2 3 5 2 2 2 4 2" xfId="35620" xr:uid="{AE204746-4402-4D9E-81A8-09482D00DA6C}"/>
    <cellStyle name="Финансовый 36 2 3 5 2 2 2 5" xfId="26310" xr:uid="{5B24AAB5-C2FC-43EF-B583-E62C5EC4882E}"/>
    <cellStyle name="Финансовый 36 2 3 5 2 2 3" xfId="12293" xr:uid="{00000000-0005-0000-0000-000032410000}"/>
    <cellStyle name="Финансовый 36 2 3 5 2 2 3 2" xfId="29382" xr:uid="{8A5AC750-AFD1-443D-9EE5-E4F4CB203048}"/>
    <cellStyle name="Финансовый 36 2 3 5 2 2 4" xfId="15525" xr:uid="{00000000-0005-0000-0000-000033410000}"/>
    <cellStyle name="Финансовый 36 2 3 5 2 2 4 2" xfId="32538" xr:uid="{5552E6D0-E13A-4F3D-A587-590FD6EDF01C}"/>
    <cellStyle name="Финансовый 36 2 3 5 2 2 5" xfId="18606" xr:uid="{00000000-0005-0000-0000-000034410000}"/>
    <cellStyle name="Финансовый 36 2 3 5 2 2 5 2" xfId="35619" xr:uid="{B12562DC-DFA0-41A9-8733-4373611B61CF}"/>
    <cellStyle name="Финансовый 36 2 3 5 2 2 6" xfId="26309" xr:uid="{E43675E9-843C-4660-8278-6AD65461AA3E}"/>
    <cellStyle name="Финансовый 36 2 3 5 2 3" xfId="9210" xr:uid="{00000000-0005-0000-0000-000035410000}"/>
    <cellStyle name="Финансовый 36 2 3 5 2 3 2" xfId="12295" xr:uid="{00000000-0005-0000-0000-000036410000}"/>
    <cellStyle name="Финансовый 36 2 3 5 2 3 2 2" xfId="29384" xr:uid="{D0C1352A-01B7-4B6A-916C-EA8EA07E310E}"/>
    <cellStyle name="Финансовый 36 2 3 5 2 3 3" xfId="15527" xr:uid="{00000000-0005-0000-0000-000037410000}"/>
    <cellStyle name="Финансовый 36 2 3 5 2 3 3 2" xfId="32540" xr:uid="{DE9F9B5D-2DF9-4B88-B1EB-3EED0ECEAFEF}"/>
    <cellStyle name="Финансовый 36 2 3 5 2 3 4" xfId="18608" xr:uid="{00000000-0005-0000-0000-000038410000}"/>
    <cellStyle name="Финансовый 36 2 3 5 2 3 4 2" xfId="35621" xr:uid="{CA906FF6-2F0D-4A8E-A0E9-9A524857F56C}"/>
    <cellStyle name="Финансовый 36 2 3 5 2 3 5" xfId="26311" xr:uid="{0F459BCE-6627-4712-934B-780CAB76CDE0}"/>
    <cellStyle name="Финансовый 36 2 3 5 2 4" xfId="12292" xr:uid="{00000000-0005-0000-0000-000039410000}"/>
    <cellStyle name="Финансовый 36 2 3 5 2 4 2" xfId="29381" xr:uid="{4313F887-1C1F-4496-A40C-646B004FBCBC}"/>
    <cellStyle name="Финансовый 36 2 3 5 2 5" xfId="15524" xr:uid="{00000000-0005-0000-0000-00003A410000}"/>
    <cellStyle name="Финансовый 36 2 3 5 2 5 2" xfId="32537" xr:uid="{7943E791-4C18-40E7-8408-790186FDDA4E}"/>
    <cellStyle name="Финансовый 36 2 3 5 2 6" xfId="18605" xr:uid="{00000000-0005-0000-0000-00003B410000}"/>
    <cellStyle name="Финансовый 36 2 3 5 2 6 2" xfId="35618" xr:uid="{8897093A-4FC6-4C31-8E55-433819BE6C92}"/>
    <cellStyle name="Финансовый 36 2 3 5 2 7" xfId="26308" xr:uid="{839B6008-0D81-47F4-9224-6EFE36AD461C}"/>
    <cellStyle name="Финансовый 36 2 3 5 3" xfId="9211" xr:uid="{00000000-0005-0000-0000-00003C410000}"/>
    <cellStyle name="Финансовый 36 2 3 5 3 2" xfId="9212" xr:uid="{00000000-0005-0000-0000-00003D410000}"/>
    <cellStyle name="Финансовый 36 2 3 5 3 2 2" xfId="12297" xr:uid="{00000000-0005-0000-0000-00003E410000}"/>
    <cellStyle name="Финансовый 36 2 3 5 3 2 2 2" xfId="29386" xr:uid="{A68AD9C5-8572-40C1-B8B0-00F042ED42CE}"/>
    <cellStyle name="Финансовый 36 2 3 5 3 2 3" xfId="15529" xr:uid="{00000000-0005-0000-0000-00003F410000}"/>
    <cellStyle name="Финансовый 36 2 3 5 3 2 3 2" xfId="32542" xr:uid="{16A2270D-C5A6-467B-AE2B-2EFE343725FA}"/>
    <cellStyle name="Финансовый 36 2 3 5 3 2 4" xfId="18610" xr:uid="{00000000-0005-0000-0000-000040410000}"/>
    <cellStyle name="Финансовый 36 2 3 5 3 2 4 2" xfId="35623" xr:uid="{0F7E8AE7-B4BB-46CC-878A-878EE3309ED2}"/>
    <cellStyle name="Финансовый 36 2 3 5 3 2 5" xfId="26313" xr:uid="{83E0C0F7-51D5-44E1-A7E8-7CA9B0D7C043}"/>
    <cellStyle name="Финансовый 36 2 3 5 3 3" xfId="12296" xr:uid="{00000000-0005-0000-0000-000041410000}"/>
    <cellStyle name="Финансовый 36 2 3 5 3 3 2" xfId="29385" xr:uid="{CB99ADEA-F2EF-43DF-8B86-DC8072E37E8F}"/>
    <cellStyle name="Финансовый 36 2 3 5 3 4" xfId="15528" xr:uid="{00000000-0005-0000-0000-000042410000}"/>
    <cellStyle name="Финансовый 36 2 3 5 3 4 2" xfId="32541" xr:uid="{CC219AB2-D405-4BE7-8055-E042894FEDCE}"/>
    <cellStyle name="Финансовый 36 2 3 5 3 5" xfId="18609" xr:uid="{00000000-0005-0000-0000-000043410000}"/>
    <cellStyle name="Финансовый 36 2 3 5 3 5 2" xfId="35622" xr:uid="{6FF5125C-AB72-4B76-AF91-92301FC90F1E}"/>
    <cellStyle name="Финансовый 36 2 3 5 3 6" xfId="26312" xr:uid="{7DA8BD33-DB1C-40DE-A2B7-F2B2BF80038E}"/>
    <cellStyle name="Финансовый 36 2 3 5 4" xfId="9213" xr:uid="{00000000-0005-0000-0000-000044410000}"/>
    <cellStyle name="Финансовый 36 2 3 5 4 2" xfId="12298" xr:uid="{00000000-0005-0000-0000-000045410000}"/>
    <cellStyle name="Финансовый 36 2 3 5 4 2 2" xfId="29387" xr:uid="{04BD025F-4E2B-4222-BA4E-D9A0650CECF6}"/>
    <cellStyle name="Финансовый 36 2 3 5 4 3" xfId="15530" xr:uid="{00000000-0005-0000-0000-000046410000}"/>
    <cellStyle name="Финансовый 36 2 3 5 4 3 2" xfId="32543" xr:uid="{9B04B9A7-2C39-45E4-9517-0EDB51E665D1}"/>
    <cellStyle name="Финансовый 36 2 3 5 4 4" xfId="18611" xr:uid="{00000000-0005-0000-0000-000047410000}"/>
    <cellStyle name="Финансовый 36 2 3 5 4 4 2" xfId="35624" xr:uid="{DDACDCF8-E939-4014-ADB1-6349FBA0BA14}"/>
    <cellStyle name="Финансовый 36 2 3 5 4 5" xfId="26314" xr:uid="{B3CFF473-EE4F-43DD-A512-D4723FAA1B1C}"/>
    <cellStyle name="Финансовый 36 2 3 5 5" xfId="12291" xr:uid="{00000000-0005-0000-0000-000048410000}"/>
    <cellStyle name="Финансовый 36 2 3 5 5 2" xfId="29380" xr:uid="{D5D93015-B856-41F0-9CBC-7E43A5E10DC2}"/>
    <cellStyle name="Финансовый 36 2 3 5 6" xfId="15523" xr:uid="{00000000-0005-0000-0000-000049410000}"/>
    <cellStyle name="Финансовый 36 2 3 5 6 2" xfId="32536" xr:uid="{4D36C4A5-EE6D-42B5-8191-25EB6256C6BB}"/>
    <cellStyle name="Финансовый 36 2 3 5 7" xfId="18604" xr:uid="{00000000-0005-0000-0000-00004A410000}"/>
    <cellStyle name="Финансовый 36 2 3 5 7 2" xfId="35617" xr:uid="{E50004C3-EFC4-4642-8FA4-DF7D9F418FDD}"/>
    <cellStyle name="Финансовый 36 2 3 5 8" xfId="26307" xr:uid="{7C083353-3A2F-4A64-880C-82AD3A40972C}"/>
    <cellStyle name="Финансовый 36 2 3 6" xfId="9214" xr:uid="{00000000-0005-0000-0000-00004B410000}"/>
    <cellStyle name="Финансовый 36 2 3 6 2" xfId="9215" xr:uid="{00000000-0005-0000-0000-00004C410000}"/>
    <cellStyle name="Финансовый 36 2 3 6 2 2" xfId="9216" xr:uid="{00000000-0005-0000-0000-00004D410000}"/>
    <cellStyle name="Финансовый 36 2 3 6 2 2 2" xfId="12301" xr:uid="{00000000-0005-0000-0000-00004E410000}"/>
    <cellStyle name="Финансовый 36 2 3 6 2 2 2 2" xfId="29390" xr:uid="{9A61EC1E-8F81-45FD-B16C-50C26BCD4BFA}"/>
    <cellStyle name="Финансовый 36 2 3 6 2 2 3" xfId="15533" xr:uid="{00000000-0005-0000-0000-00004F410000}"/>
    <cellStyle name="Финансовый 36 2 3 6 2 2 3 2" xfId="32546" xr:uid="{9B53B66B-A0D6-424C-9033-5C0729878053}"/>
    <cellStyle name="Финансовый 36 2 3 6 2 2 4" xfId="18614" xr:uid="{00000000-0005-0000-0000-000050410000}"/>
    <cellStyle name="Финансовый 36 2 3 6 2 2 4 2" xfId="35627" xr:uid="{1697D16F-806E-4FBE-A959-F8AAFB0D6D43}"/>
    <cellStyle name="Финансовый 36 2 3 6 2 2 5" xfId="26317" xr:uid="{F0B23FF0-98BF-4C0D-B373-71EFFC4A02CE}"/>
    <cellStyle name="Финансовый 36 2 3 6 2 3" xfId="12300" xr:uid="{00000000-0005-0000-0000-000051410000}"/>
    <cellStyle name="Финансовый 36 2 3 6 2 3 2" xfId="29389" xr:uid="{8E76106B-4918-4070-921D-B065A301529C}"/>
    <cellStyle name="Финансовый 36 2 3 6 2 4" xfId="15532" xr:uid="{00000000-0005-0000-0000-000052410000}"/>
    <cellStyle name="Финансовый 36 2 3 6 2 4 2" xfId="32545" xr:uid="{7AC66F0B-1C01-4CB1-83C5-B8E3D4970981}"/>
    <cellStyle name="Финансовый 36 2 3 6 2 5" xfId="18613" xr:uid="{00000000-0005-0000-0000-000053410000}"/>
    <cellStyle name="Финансовый 36 2 3 6 2 5 2" xfId="35626" xr:uid="{B048E5CC-2EA0-41F0-90C6-E5006F656759}"/>
    <cellStyle name="Финансовый 36 2 3 6 2 6" xfId="26316" xr:uid="{47812F03-9F21-4C8C-9389-2CE76A27909B}"/>
    <cellStyle name="Финансовый 36 2 3 6 3" xfId="9217" xr:uid="{00000000-0005-0000-0000-000054410000}"/>
    <cellStyle name="Финансовый 36 2 3 6 3 2" xfId="12302" xr:uid="{00000000-0005-0000-0000-000055410000}"/>
    <cellStyle name="Финансовый 36 2 3 6 3 2 2" xfId="29391" xr:uid="{068C3F23-CCCC-472F-A089-BCF196E32AC1}"/>
    <cellStyle name="Финансовый 36 2 3 6 3 3" xfId="15534" xr:uid="{00000000-0005-0000-0000-000056410000}"/>
    <cellStyle name="Финансовый 36 2 3 6 3 3 2" xfId="32547" xr:uid="{85E755E6-3258-45A8-862C-7E932FD1C3CB}"/>
    <cellStyle name="Финансовый 36 2 3 6 3 4" xfId="18615" xr:uid="{00000000-0005-0000-0000-000057410000}"/>
    <cellStyle name="Финансовый 36 2 3 6 3 4 2" xfId="35628" xr:uid="{339C531C-7885-45FA-A467-D9AF49A096B4}"/>
    <cellStyle name="Финансовый 36 2 3 6 3 5" xfId="26318" xr:uid="{2B20B95F-AC86-44F4-9E58-6F117571F895}"/>
    <cellStyle name="Финансовый 36 2 3 6 4" xfId="12299" xr:uid="{00000000-0005-0000-0000-000058410000}"/>
    <cellStyle name="Финансовый 36 2 3 6 4 2" xfId="29388" xr:uid="{1B97DDC3-661A-4C55-ADF1-8B43E01D1AB7}"/>
    <cellStyle name="Финансовый 36 2 3 6 5" xfId="15531" xr:uid="{00000000-0005-0000-0000-000059410000}"/>
    <cellStyle name="Финансовый 36 2 3 6 5 2" xfId="32544" xr:uid="{FFB2E975-9160-44EE-BA62-7FB14DC93CE8}"/>
    <cellStyle name="Финансовый 36 2 3 6 6" xfId="18612" xr:uid="{00000000-0005-0000-0000-00005A410000}"/>
    <cellStyle name="Финансовый 36 2 3 6 6 2" xfId="35625" xr:uid="{9FE9B85C-6F3B-416A-95C6-95185F0E495C}"/>
    <cellStyle name="Финансовый 36 2 3 6 7" xfId="26315" xr:uid="{EEE7CF4E-4DF8-476D-8A4F-1D23632D589C}"/>
    <cellStyle name="Финансовый 36 2 3 7" xfId="9218" xr:uid="{00000000-0005-0000-0000-00005B410000}"/>
    <cellStyle name="Финансовый 36 2 3 7 2" xfId="9219" xr:uid="{00000000-0005-0000-0000-00005C410000}"/>
    <cellStyle name="Финансовый 36 2 3 7 2 2" xfId="12304" xr:uid="{00000000-0005-0000-0000-00005D410000}"/>
    <cellStyle name="Финансовый 36 2 3 7 2 2 2" xfId="29393" xr:uid="{779CA52B-B7FD-4D37-AB09-13570B9BE3CF}"/>
    <cellStyle name="Финансовый 36 2 3 7 2 3" xfId="15536" xr:uid="{00000000-0005-0000-0000-00005E410000}"/>
    <cellStyle name="Финансовый 36 2 3 7 2 3 2" xfId="32549" xr:uid="{42859B7B-53BA-4C30-892E-E5E02ACAC48A}"/>
    <cellStyle name="Финансовый 36 2 3 7 2 4" xfId="18617" xr:uid="{00000000-0005-0000-0000-00005F410000}"/>
    <cellStyle name="Финансовый 36 2 3 7 2 4 2" xfId="35630" xr:uid="{6AA05B99-DA9C-45B9-940D-C530D79E38DC}"/>
    <cellStyle name="Финансовый 36 2 3 7 2 5" xfId="26320" xr:uid="{C7FCDE20-4B17-4972-967D-7B71D18C284C}"/>
    <cellStyle name="Финансовый 36 2 3 7 3" xfId="12303" xr:uid="{00000000-0005-0000-0000-000060410000}"/>
    <cellStyle name="Финансовый 36 2 3 7 3 2" xfId="29392" xr:uid="{82333AD0-2848-41A8-B347-319235F46B55}"/>
    <cellStyle name="Финансовый 36 2 3 7 4" xfId="15535" xr:uid="{00000000-0005-0000-0000-000061410000}"/>
    <cellStyle name="Финансовый 36 2 3 7 4 2" xfId="32548" xr:uid="{F124137D-64F9-43D8-A351-615C794F310A}"/>
    <cellStyle name="Финансовый 36 2 3 7 5" xfId="18616" xr:uid="{00000000-0005-0000-0000-000062410000}"/>
    <cellStyle name="Финансовый 36 2 3 7 5 2" xfId="35629" xr:uid="{D9A599A9-D2BB-44ED-AF11-26DC1AA9E0E3}"/>
    <cellStyle name="Финансовый 36 2 3 7 6" xfId="26319" xr:uid="{09B8A837-7DCC-4882-B403-A21B9BB27F22}"/>
    <cellStyle name="Финансовый 36 2 3 8" xfId="9220" xr:uid="{00000000-0005-0000-0000-000063410000}"/>
    <cellStyle name="Финансовый 36 2 3 8 2" xfId="12305" xr:uid="{00000000-0005-0000-0000-000064410000}"/>
    <cellStyle name="Финансовый 36 2 3 8 2 2" xfId="29394" xr:uid="{5D0FC456-FB0A-473B-BD9F-5CB23218FDE7}"/>
    <cellStyle name="Финансовый 36 2 3 8 3" xfId="15537" xr:uid="{00000000-0005-0000-0000-000065410000}"/>
    <cellStyle name="Финансовый 36 2 3 8 3 2" xfId="32550" xr:uid="{13DC42C1-265B-4212-9D2C-F4E86EA21BC8}"/>
    <cellStyle name="Финансовый 36 2 3 8 4" xfId="18618" xr:uid="{00000000-0005-0000-0000-000066410000}"/>
    <cellStyle name="Финансовый 36 2 3 8 4 2" xfId="35631" xr:uid="{D2924BC4-CFA8-44CC-A908-3AB585022185}"/>
    <cellStyle name="Финансовый 36 2 3 8 5" xfId="26321" xr:uid="{AB99D8E4-893D-40E8-B471-FD91BD982063}"/>
    <cellStyle name="Финансовый 36 2 3 9" xfId="12178" xr:uid="{00000000-0005-0000-0000-000067410000}"/>
    <cellStyle name="Финансовый 36 2 3 9 2" xfId="29267" xr:uid="{AA8A22BC-B271-44D9-BF63-7F70A9BBF30F}"/>
    <cellStyle name="Финансовый 36 2 4" xfId="9221" xr:uid="{00000000-0005-0000-0000-000068410000}"/>
    <cellStyle name="Финансовый 36 2 4 10" xfId="18619" xr:uid="{00000000-0005-0000-0000-000069410000}"/>
    <cellStyle name="Финансовый 36 2 4 10 2" xfId="35632" xr:uid="{7B63E13E-BEDF-465D-AA62-E89A88559051}"/>
    <cellStyle name="Финансовый 36 2 4 11" xfId="26322" xr:uid="{A6A14254-6407-42E1-90C0-90AB88830C4D}"/>
    <cellStyle name="Финансовый 36 2 4 2" xfId="9222" xr:uid="{00000000-0005-0000-0000-00006A410000}"/>
    <cellStyle name="Финансовый 36 2 4 2 10" xfId="26323" xr:uid="{41C802B0-2959-4EE1-8126-231205568684}"/>
    <cellStyle name="Финансовый 36 2 4 2 2" xfId="9223" xr:uid="{00000000-0005-0000-0000-00006B410000}"/>
    <cellStyle name="Финансовый 36 2 4 2 2 2" xfId="9224" xr:uid="{00000000-0005-0000-0000-00006C410000}"/>
    <cellStyle name="Финансовый 36 2 4 2 2 2 2" xfId="9225" xr:uid="{00000000-0005-0000-0000-00006D410000}"/>
    <cellStyle name="Финансовый 36 2 4 2 2 2 2 2" xfId="9226" xr:uid="{00000000-0005-0000-0000-00006E410000}"/>
    <cellStyle name="Финансовый 36 2 4 2 2 2 2 2 2" xfId="9227" xr:uid="{00000000-0005-0000-0000-00006F410000}"/>
    <cellStyle name="Финансовый 36 2 4 2 2 2 2 2 2 2" xfId="12312" xr:uid="{00000000-0005-0000-0000-000070410000}"/>
    <cellStyle name="Финансовый 36 2 4 2 2 2 2 2 2 2 2" xfId="29401" xr:uid="{089098C8-A313-45F9-9A5E-CAE0643E9D0B}"/>
    <cellStyle name="Финансовый 36 2 4 2 2 2 2 2 2 3" xfId="15544" xr:uid="{00000000-0005-0000-0000-000071410000}"/>
    <cellStyle name="Финансовый 36 2 4 2 2 2 2 2 2 3 2" xfId="32557" xr:uid="{CFAE8461-4EC6-4624-BC53-88D008112EC9}"/>
    <cellStyle name="Финансовый 36 2 4 2 2 2 2 2 2 4" xfId="18625" xr:uid="{00000000-0005-0000-0000-000072410000}"/>
    <cellStyle name="Финансовый 36 2 4 2 2 2 2 2 2 4 2" xfId="35638" xr:uid="{8B8E07CD-F28B-4DEF-9949-66FB2738000E}"/>
    <cellStyle name="Финансовый 36 2 4 2 2 2 2 2 2 5" xfId="26328" xr:uid="{2887D30B-B194-4983-AB98-0F039F4FC5CF}"/>
    <cellStyle name="Финансовый 36 2 4 2 2 2 2 2 3" xfId="12311" xr:uid="{00000000-0005-0000-0000-000073410000}"/>
    <cellStyle name="Финансовый 36 2 4 2 2 2 2 2 3 2" xfId="29400" xr:uid="{F6E8778A-AE2B-4830-BE48-CB0C1AC0227E}"/>
    <cellStyle name="Финансовый 36 2 4 2 2 2 2 2 4" xfId="15543" xr:uid="{00000000-0005-0000-0000-000074410000}"/>
    <cellStyle name="Финансовый 36 2 4 2 2 2 2 2 4 2" xfId="32556" xr:uid="{9B7C70D5-83D6-4F7A-AF39-99016EF80FDB}"/>
    <cellStyle name="Финансовый 36 2 4 2 2 2 2 2 5" xfId="18624" xr:uid="{00000000-0005-0000-0000-000075410000}"/>
    <cellStyle name="Финансовый 36 2 4 2 2 2 2 2 5 2" xfId="35637" xr:uid="{F2B53F83-6B30-401C-B2AC-55D059917072}"/>
    <cellStyle name="Финансовый 36 2 4 2 2 2 2 2 6" xfId="26327" xr:uid="{CDAE2179-D3E2-4948-A7A9-46B2E8E2539F}"/>
    <cellStyle name="Финансовый 36 2 4 2 2 2 2 3" xfId="9228" xr:uid="{00000000-0005-0000-0000-000076410000}"/>
    <cellStyle name="Финансовый 36 2 4 2 2 2 2 3 2" xfId="12313" xr:uid="{00000000-0005-0000-0000-000077410000}"/>
    <cellStyle name="Финансовый 36 2 4 2 2 2 2 3 2 2" xfId="29402" xr:uid="{2A78AE25-8882-417E-B2A9-7EAA702C07FF}"/>
    <cellStyle name="Финансовый 36 2 4 2 2 2 2 3 3" xfId="15545" xr:uid="{00000000-0005-0000-0000-000078410000}"/>
    <cellStyle name="Финансовый 36 2 4 2 2 2 2 3 3 2" xfId="32558" xr:uid="{7FED0D0C-70A6-4704-B831-B91455B1D7F5}"/>
    <cellStyle name="Финансовый 36 2 4 2 2 2 2 3 4" xfId="18626" xr:uid="{00000000-0005-0000-0000-000079410000}"/>
    <cellStyle name="Финансовый 36 2 4 2 2 2 2 3 4 2" xfId="35639" xr:uid="{CDF90CD9-D8A8-442D-86C5-409D4C82C21B}"/>
    <cellStyle name="Финансовый 36 2 4 2 2 2 2 3 5" xfId="26329" xr:uid="{20AF07CD-5AB9-4B2A-AD3C-B3FACCCAB609}"/>
    <cellStyle name="Финансовый 36 2 4 2 2 2 2 4" xfId="12310" xr:uid="{00000000-0005-0000-0000-00007A410000}"/>
    <cellStyle name="Финансовый 36 2 4 2 2 2 2 4 2" xfId="29399" xr:uid="{ACA1F6B9-1952-4149-AB7A-E6023DA6F8BE}"/>
    <cellStyle name="Финансовый 36 2 4 2 2 2 2 5" xfId="15542" xr:uid="{00000000-0005-0000-0000-00007B410000}"/>
    <cellStyle name="Финансовый 36 2 4 2 2 2 2 5 2" xfId="32555" xr:uid="{3AE710BE-6AB7-4D82-8A4B-E605036C84F7}"/>
    <cellStyle name="Финансовый 36 2 4 2 2 2 2 6" xfId="18623" xr:uid="{00000000-0005-0000-0000-00007C410000}"/>
    <cellStyle name="Финансовый 36 2 4 2 2 2 2 6 2" xfId="35636" xr:uid="{A5380C22-14A2-4F9B-9D09-D9D49665E32F}"/>
    <cellStyle name="Финансовый 36 2 4 2 2 2 2 7" xfId="26326" xr:uid="{02E7DDB4-E76A-499E-BF04-0BEC1FE3E084}"/>
    <cellStyle name="Финансовый 36 2 4 2 2 2 3" xfId="9229" xr:uid="{00000000-0005-0000-0000-00007D410000}"/>
    <cellStyle name="Финансовый 36 2 4 2 2 2 3 2" xfId="9230" xr:uid="{00000000-0005-0000-0000-00007E410000}"/>
    <cellStyle name="Финансовый 36 2 4 2 2 2 3 2 2" xfId="12315" xr:uid="{00000000-0005-0000-0000-00007F410000}"/>
    <cellStyle name="Финансовый 36 2 4 2 2 2 3 2 2 2" xfId="29404" xr:uid="{1E2E8CBE-9374-4F11-BAE3-0102C7286B62}"/>
    <cellStyle name="Финансовый 36 2 4 2 2 2 3 2 3" xfId="15547" xr:uid="{00000000-0005-0000-0000-000080410000}"/>
    <cellStyle name="Финансовый 36 2 4 2 2 2 3 2 3 2" xfId="32560" xr:uid="{DFF4A33B-35B8-427F-8B85-60CF9AAE543D}"/>
    <cellStyle name="Финансовый 36 2 4 2 2 2 3 2 4" xfId="18628" xr:uid="{00000000-0005-0000-0000-000081410000}"/>
    <cellStyle name="Финансовый 36 2 4 2 2 2 3 2 4 2" xfId="35641" xr:uid="{E912F22F-1D85-4402-9394-A657AE01F02A}"/>
    <cellStyle name="Финансовый 36 2 4 2 2 2 3 2 5" xfId="26331" xr:uid="{3B886FE2-6FDA-4807-A11F-1FDA044D8383}"/>
    <cellStyle name="Финансовый 36 2 4 2 2 2 3 3" xfId="12314" xr:uid="{00000000-0005-0000-0000-000082410000}"/>
    <cellStyle name="Финансовый 36 2 4 2 2 2 3 3 2" xfId="29403" xr:uid="{DA3A3657-61D5-4544-BCB0-0750B84EB5B2}"/>
    <cellStyle name="Финансовый 36 2 4 2 2 2 3 4" xfId="15546" xr:uid="{00000000-0005-0000-0000-000083410000}"/>
    <cellStyle name="Финансовый 36 2 4 2 2 2 3 4 2" xfId="32559" xr:uid="{7E6C8106-C332-4FD5-ACAF-40F57D8AF14F}"/>
    <cellStyle name="Финансовый 36 2 4 2 2 2 3 5" xfId="18627" xr:uid="{00000000-0005-0000-0000-000084410000}"/>
    <cellStyle name="Финансовый 36 2 4 2 2 2 3 5 2" xfId="35640" xr:uid="{66948098-2D19-4DA1-BC20-D9A187103075}"/>
    <cellStyle name="Финансовый 36 2 4 2 2 2 3 6" xfId="26330" xr:uid="{A8954802-4979-4727-9D6F-D98994F6B1AD}"/>
    <cellStyle name="Финансовый 36 2 4 2 2 2 4" xfId="9231" xr:uid="{00000000-0005-0000-0000-000085410000}"/>
    <cellStyle name="Финансовый 36 2 4 2 2 2 4 2" xfId="12316" xr:uid="{00000000-0005-0000-0000-000086410000}"/>
    <cellStyle name="Финансовый 36 2 4 2 2 2 4 2 2" xfId="29405" xr:uid="{5D9B3B31-FD67-4A8C-9632-31F25D995492}"/>
    <cellStyle name="Финансовый 36 2 4 2 2 2 4 3" xfId="15548" xr:uid="{00000000-0005-0000-0000-000087410000}"/>
    <cellStyle name="Финансовый 36 2 4 2 2 2 4 3 2" xfId="32561" xr:uid="{3C2A5463-BCC3-4284-83A0-D3C442D505D0}"/>
    <cellStyle name="Финансовый 36 2 4 2 2 2 4 4" xfId="18629" xr:uid="{00000000-0005-0000-0000-000088410000}"/>
    <cellStyle name="Финансовый 36 2 4 2 2 2 4 4 2" xfId="35642" xr:uid="{EBE29ED5-34F3-47A6-8384-7AB9A96A9186}"/>
    <cellStyle name="Финансовый 36 2 4 2 2 2 4 5" xfId="26332" xr:uid="{5042E438-D6BE-40F8-A964-EC337004A088}"/>
    <cellStyle name="Финансовый 36 2 4 2 2 2 5" xfId="12309" xr:uid="{00000000-0005-0000-0000-000089410000}"/>
    <cellStyle name="Финансовый 36 2 4 2 2 2 5 2" xfId="29398" xr:uid="{0A3ED9B4-036A-4455-8D78-607659ACC0B6}"/>
    <cellStyle name="Финансовый 36 2 4 2 2 2 6" xfId="15541" xr:uid="{00000000-0005-0000-0000-00008A410000}"/>
    <cellStyle name="Финансовый 36 2 4 2 2 2 6 2" xfId="32554" xr:uid="{B10963C2-22E8-4A0B-BBF9-7AA48ADEF38D}"/>
    <cellStyle name="Финансовый 36 2 4 2 2 2 7" xfId="18622" xr:uid="{00000000-0005-0000-0000-00008B410000}"/>
    <cellStyle name="Финансовый 36 2 4 2 2 2 7 2" xfId="35635" xr:uid="{14362A1C-F63E-4B2F-AFCB-A8E601C2C138}"/>
    <cellStyle name="Финансовый 36 2 4 2 2 2 8" xfId="26325" xr:uid="{6D12824E-1384-4867-86FC-0C2382E059B3}"/>
    <cellStyle name="Финансовый 36 2 4 2 2 3" xfId="9232" xr:uid="{00000000-0005-0000-0000-00008C410000}"/>
    <cellStyle name="Финансовый 36 2 4 2 2 3 2" xfId="9233" xr:uid="{00000000-0005-0000-0000-00008D410000}"/>
    <cellStyle name="Финансовый 36 2 4 2 2 3 2 2" xfId="9234" xr:uid="{00000000-0005-0000-0000-00008E410000}"/>
    <cellStyle name="Финансовый 36 2 4 2 2 3 2 2 2" xfId="12319" xr:uid="{00000000-0005-0000-0000-00008F410000}"/>
    <cellStyle name="Финансовый 36 2 4 2 2 3 2 2 2 2" xfId="29408" xr:uid="{E0F21F6D-6816-490C-9C19-5122B2473D5A}"/>
    <cellStyle name="Финансовый 36 2 4 2 2 3 2 2 3" xfId="15551" xr:uid="{00000000-0005-0000-0000-000090410000}"/>
    <cellStyle name="Финансовый 36 2 4 2 2 3 2 2 3 2" xfId="32564" xr:uid="{22A41F32-E2E8-46C9-B8F1-64C1C2290AF5}"/>
    <cellStyle name="Финансовый 36 2 4 2 2 3 2 2 4" xfId="18632" xr:uid="{00000000-0005-0000-0000-000091410000}"/>
    <cellStyle name="Финансовый 36 2 4 2 2 3 2 2 4 2" xfId="35645" xr:uid="{0A38DD80-C4B9-4891-A099-0589E14E43ED}"/>
    <cellStyle name="Финансовый 36 2 4 2 2 3 2 2 5" xfId="26335" xr:uid="{2AC4A90C-088A-4FF7-A69E-9F516FB80FB7}"/>
    <cellStyle name="Финансовый 36 2 4 2 2 3 2 3" xfId="12318" xr:uid="{00000000-0005-0000-0000-000092410000}"/>
    <cellStyle name="Финансовый 36 2 4 2 2 3 2 3 2" xfId="29407" xr:uid="{5527FA2B-D56F-4698-8966-940D077CAD03}"/>
    <cellStyle name="Финансовый 36 2 4 2 2 3 2 4" xfId="15550" xr:uid="{00000000-0005-0000-0000-000093410000}"/>
    <cellStyle name="Финансовый 36 2 4 2 2 3 2 4 2" xfId="32563" xr:uid="{E14FF7AC-4C06-4551-A93B-BBC08948E4D7}"/>
    <cellStyle name="Финансовый 36 2 4 2 2 3 2 5" xfId="18631" xr:uid="{00000000-0005-0000-0000-000094410000}"/>
    <cellStyle name="Финансовый 36 2 4 2 2 3 2 5 2" xfId="35644" xr:uid="{B1FD67CA-FB40-42F7-A758-B4E205DAB386}"/>
    <cellStyle name="Финансовый 36 2 4 2 2 3 2 6" xfId="26334" xr:uid="{BCEB2101-FCBF-4344-8EF7-0AEB2ACDD384}"/>
    <cellStyle name="Финансовый 36 2 4 2 2 3 3" xfId="9235" xr:uid="{00000000-0005-0000-0000-000095410000}"/>
    <cellStyle name="Финансовый 36 2 4 2 2 3 3 2" xfId="12320" xr:uid="{00000000-0005-0000-0000-000096410000}"/>
    <cellStyle name="Финансовый 36 2 4 2 2 3 3 2 2" xfId="29409" xr:uid="{D8D80CC7-7132-4010-BCA6-1316E2CC38E6}"/>
    <cellStyle name="Финансовый 36 2 4 2 2 3 3 3" xfId="15552" xr:uid="{00000000-0005-0000-0000-000097410000}"/>
    <cellStyle name="Финансовый 36 2 4 2 2 3 3 3 2" xfId="32565" xr:uid="{4D96F566-ACB5-46F2-8AC1-D3EA2540DA6D}"/>
    <cellStyle name="Финансовый 36 2 4 2 2 3 3 4" xfId="18633" xr:uid="{00000000-0005-0000-0000-000098410000}"/>
    <cellStyle name="Финансовый 36 2 4 2 2 3 3 4 2" xfId="35646" xr:uid="{7DB61269-F70C-4BB0-90F4-BDC2478DE8F9}"/>
    <cellStyle name="Финансовый 36 2 4 2 2 3 3 5" xfId="26336" xr:uid="{0AF9D7EA-9443-4F2B-B394-62660A0F767B}"/>
    <cellStyle name="Финансовый 36 2 4 2 2 3 4" xfId="12317" xr:uid="{00000000-0005-0000-0000-000099410000}"/>
    <cellStyle name="Финансовый 36 2 4 2 2 3 4 2" xfId="29406" xr:uid="{CF66919A-6C95-49B5-956A-ACAC652B1133}"/>
    <cellStyle name="Финансовый 36 2 4 2 2 3 5" xfId="15549" xr:uid="{00000000-0005-0000-0000-00009A410000}"/>
    <cellStyle name="Финансовый 36 2 4 2 2 3 5 2" xfId="32562" xr:uid="{E18D4A69-652F-4059-BEEB-1250ADA6D566}"/>
    <cellStyle name="Финансовый 36 2 4 2 2 3 6" xfId="18630" xr:uid="{00000000-0005-0000-0000-00009B410000}"/>
    <cellStyle name="Финансовый 36 2 4 2 2 3 6 2" xfId="35643" xr:uid="{C00AA5BB-1DA8-494D-BE3E-032D1388D43F}"/>
    <cellStyle name="Финансовый 36 2 4 2 2 3 7" xfId="26333" xr:uid="{9BADE575-46A1-4887-B15D-F4216C4EFA69}"/>
    <cellStyle name="Финансовый 36 2 4 2 2 4" xfId="9236" xr:uid="{00000000-0005-0000-0000-00009C410000}"/>
    <cellStyle name="Финансовый 36 2 4 2 2 4 2" xfId="9237" xr:uid="{00000000-0005-0000-0000-00009D410000}"/>
    <cellStyle name="Финансовый 36 2 4 2 2 4 2 2" xfId="12322" xr:uid="{00000000-0005-0000-0000-00009E410000}"/>
    <cellStyle name="Финансовый 36 2 4 2 2 4 2 2 2" xfId="29411" xr:uid="{5E6717FF-40AE-4CEC-8766-B3D257F37D37}"/>
    <cellStyle name="Финансовый 36 2 4 2 2 4 2 3" xfId="15554" xr:uid="{00000000-0005-0000-0000-00009F410000}"/>
    <cellStyle name="Финансовый 36 2 4 2 2 4 2 3 2" xfId="32567" xr:uid="{C9609FAF-74D3-4EC8-8C5B-53684EE276F5}"/>
    <cellStyle name="Финансовый 36 2 4 2 2 4 2 4" xfId="18635" xr:uid="{00000000-0005-0000-0000-0000A0410000}"/>
    <cellStyle name="Финансовый 36 2 4 2 2 4 2 4 2" xfId="35648" xr:uid="{BB4D4108-E2E5-4B93-AA4B-CDEA309CB66B}"/>
    <cellStyle name="Финансовый 36 2 4 2 2 4 2 5" xfId="26338" xr:uid="{94640503-2ABD-40C5-9874-27CC7E13F5E1}"/>
    <cellStyle name="Финансовый 36 2 4 2 2 4 3" xfId="12321" xr:uid="{00000000-0005-0000-0000-0000A1410000}"/>
    <cellStyle name="Финансовый 36 2 4 2 2 4 3 2" xfId="29410" xr:uid="{E3141F93-12AA-4E48-B5DF-49C398C50B91}"/>
    <cellStyle name="Финансовый 36 2 4 2 2 4 4" xfId="15553" xr:uid="{00000000-0005-0000-0000-0000A2410000}"/>
    <cellStyle name="Финансовый 36 2 4 2 2 4 4 2" xfId="32566" xr:uid="{0AAE3161-485F-4D65-ADBE-54C9F791787E}"/>
    <cellStyle name="Финансовый 36 2 4 2 2 4 5" xfId="18634" xr:uid="{00000000-0005-0000-0000-0000A3410000}"/>
    <cellStyle name="Финансовый 36 2 4 2 2 4 5 2" xfId="35647" xr:uid="{7F5DAA2B-D15C-4AB9-BA82-382990C7F447}"/>
    <cellStyle name="Финансовый 36 2 4 2 2 4 6" xfId="26337" xr:uid="{F6E8BE04-AC6E-4E4D-8314-533CA17311D9}"/>
    <cellStyle name="Финансовый 36 2 4 2 2 5" xfId="9238" xr:uid="{00000000-0005-0000-0000-0000A4410000}"/>
    <cellStyle name="Финансовый 36 2 4 2 2 5 2" xfId="12323" xr:uid="{00000000-0005-0000-0000-0000A5410000}"/>
    <cellStyle name="Финансовый 36 2 4 2 2 5 2 2" xfId="29412" xr:uid="{40695A0E-CE64-4A73-9FBF-8972234FBD6D}"/>
    <cellStyle name="Финансовый 36 2 4 2 2 5 3" xfId="15555" xr:uid="{00000000-0005-0000-0000-0000A6410000}"/>
    <cellStyle name="Финансовый 36 2 4 2 2 5 3 2" xfId="32568" xr:uid="{02A9AFC4-5E89-4015-9681-D26374882BD9}"/>
    <cellStyle name="Финансовый 36 2 4 2 2 5 4" xfId="18636" xr:uid="{00000000-0005-0000-0000-0000A7410000}"/>
    <cellStyle name="Финансовый 36 2 4 2 2 5 4 2" xfId="35649" xr:uid="{239C0FF5-D218-4698-BD50-46FC3F2E0E96}"/>
    <cellStyle name="Финансовый 36 2 4 2 2 5 5" xfId="26339" xr:uid="{E50AE47F-26C5-42FF-8B5E-257103AEE717}"/>
    <cellStyle name="Финансовый 36 2 4 2 2 6" xfId="12308" xr:uid="{00000000-0005-0000-0000-0000A8410000}"/>
    <cellStyle name="Финансовый 36 2 4 2 2 6 2" xfId="29397" xr:uid="{C5633ADB-8C8F-48C3-AF24-A8F3F149F5EB}"/>
    <cellStyle name="Финансовый 36 2 4 2 2 7" xfId="15540" xr:uid="{00000000-0005-0000-0000-0000A9410000}"/>
    <cellStyle name="Финансовый 36 2 4 2 2 7 2" xfId="32553" xr:uid="{BABEE50D-2AA8-4406-9435-02C7637F3884}"/>
    <cellStyle name="Финансовый 36 2 4 2 2 8" xfId="18621" xr:uid="{00000000-0005-0000-0000-0000AA410000}"/>
    <cellStyle name="Финансовый 36 2 4 2 2 8 2" xfId="35634" xr:uid="{86EF00B2-FA96-4B8A-9103-7F6026ABCA16}"/>
    <cellStyle name="Финансовый 36 2 4 2 2 9" xfId="26324" xr:uid="{C9CD9384-4605-4D83-B87D-3A39DDBFFFE6}"/>
    <cellStyle name="Финансовый 36 2 4 2 3" xfId="9239" xr:uid="{00000000-0005-0000-0000-0000AB410000}"/>
    <cellStyle name="Финансовый 36 2 4 2 3 2" xfId="9240" xr:uid="{00000000-0005-0000-0000-0000AC410000}"/>
    <cellStyle name="Финансовый 36 2 4 2 3 2 2" xfId="9241" xr:uid="{00000000-0005-0000-0000-0000AD410000}"/>
    <cellStyle name="Финансовый 36 2 4 2 3 2 2 2" xfId="9242" xr:uid="{00000000-0005-0000-0000-0000AE410000}"/>
    <cellStyle name="Финансовый 36 2 4 2 3 2 2 2 2" xfId="12327" xr:uid="{00000000-0005-0000-0000-0000AF410000}"/>
    <cellStyle name="Финансовый 36 2 4 2 3 2 2 2 2 2" xfId="29416" xr:uid="{FE8F3764-C5DE-4332-8CF1-812DAF878946}"/>
    <cellStyle name="Финансовый 36 2 4 2 3 2 2 2 3" xfId="15559" xr:uid="{00000000-0005-0000-0000-0000B0410000}"/>
    <cellStyle name="Финансовый 36 2 4 2 3 2 2 2 3 2" xfId="32572" xr:uid="{60B0060F-68FE-4A85-BE87-4D489D286852}"/>
    <cellStyle name="Финансовый 36 2 4 2 3 2 2 2 4" xfId="18640" xr:uid="{00000000-0005-0000-0000-0000B1410000}"/>
    <cellStyle name="Финансовый 36 2 4 2 3 2 2 2 4 2" xfId="35653" xr:uid="{4AF377A3-8042-4D56-9BA6-9AD59D670AA1}"/>
    <cellStyle name="Финансовый 36 2 4 2 3 2 2 2 5" xfId="26343" xr:uid="{C5D0E34E-909A-4FC3-B1D9-56A7662908BC}"/>
    <cellStyle name="Финансовый 36 2 4 2 3 2 2 3" xfId="12326" xr:uid="{00000000-0005-0000-0000-0000B2410000}"/>
    <cellStyle name="Финансовый 36 2 4 2 3 2 2 3 2" xfId="29415" xr:uid="{0F7F5869-DDBF-4946-9C39-42BFEFF14775}"/>
    <cellStyle name="Финансовый 36 2 4 2 3 2 2 4" xfId="15558" xr:uid="{00000000-0005-0000-0000-0000B3410000}"/>
    <cellStyle name="Финансовый 36 2 4 2 3 2 2 4 2" xfId="32571" xr:uid="{AED40C72-0356-4EC8-A340-74FE5AF10E05}"/>
    <cellStyle name="Финансовый 36 2 4 2 3 2 2 5" xfId="18639" xr:uid="{00000000-0005-0000-0000-0000B4410000}"/>
    <cellStyle name="Финансовый 36 2 4 2 3 2 2 5 2" xfId="35652" xr:uid="{D44F9A54-17D3-429F-B634-521A3A8340AF}"/>
    <cellStyle name="Финансовый 36 2 4 2 3 2 2 6" xfId="26342" xr:uid="{B1BBA817-7D43-4E4F-B26B-F99DFA8A1CA6}"/>
    <cellStyle name="Финансовый 36 2 4 2 3 2 3" xfId="9243" xr:uid="{00000000-0005-0000-0000-0000B5410000}"/>
    <cellStyle name="Финансовый 36 2 4 2 3 2 3 2" xfId="12328" xr:uid="{00000000-0005-0000-0000-0000B6410000}"/>
    <cellStyle name="Финансовый 36 2 4 2 3 2 3 2 2" xfId="29417" xr:uid="{2B507889-5224-49AC-94B6-6E7C82D5CE0C}"/>
    <cellStyle name="Финансовый 36 2 4 2 3 2 3 3" xfId="15560" xr:uid="{00000000-0005-0000-0000-0000B7410000}"/>
    <cellStyle name="Финансовый 36 2 4 2 3 2 3 3 2" xfId="32573" xr:uid="{98D9D838-2AF6-43DE-8FF8-F428D978A2E9}"/>
    <cellStyle name="Финансовый 36 2 4 2 3 2 3 4" xfId="18641" xr:uid="{00000000-0005-0000-0000-0000B8410000}"/>
    <cellStyle name="Финансовый 36 2 4 2 3 2 3 4 2" xfId="35654" xr:uid="{A526C335-26DE-4AF0-B402-E31EAEFAFB95}"/>
    <cellStyle name="Финансовый 36 2 4 2 3 2 3 5" xfId="26344" xr:uid="{8619C3DB-2CAC-4365-9568-4D7A995FB0B1}"/>
    <cellStyle name="Финансовый 36 2 4 2 3 2 4" xfId="12325" xr:uid="{00000000-0005-0000-0000-0000B9410000}"/>
    <cellStyle name="Финансовый 36 2 4 2 3 2 4 2" xfId="29414" xr:uid="{4A49A7A7-93D3-4188-8E70-D52129E777E6}"/>
    <cellStyle name="Финансовый 36 2 4 2 3 2 5" xfId="15557" xr:uid="{00000000-0005-0000-0000-0000BA410000}"/>
    <cellStyle name="Финансовый 36 2 4 2 3 2 5 2" xfId="32570" xr:uid="{EB9FDC7A-A103-4E2E-9CBD-90907C43980F}"/>
    <cellStyle name="Финансовый 36 2 4 2 3 2 6" xfId="18638" xr:uid="{00000000-0005-0000-0000-0000BB410000}"/>
    <cellStyle name="Финансовый 36 2 4 2 3 2 6 2" xfId="35651" xr:uid="{1B341996-D480-4A3E-B035-1313333F38C0}"/>
    <cellStyle name="Финансовый 36 2 4 2 3 2 7" xfId="26341" xr:uid="{70DCE447-90BD-47FC-9110-6645BA06AC87}"/>
    <cellStyle name="Финансовый 36 2 4 2 3 3" xfId="9244" xr:uid="{00000000-0005-0000-0000-0000BC410000}"/>
    <cellStyle name="Финансовый 36 2 4 2 3 3 2" xfId="9245" xr:uid="{00000000-0005-0000-0000-0000BD410000}"/>
    <cellStyle name="Финансовый 36 2 4 2 3 3 2 2" xfId="12330" xr:uid="{00000000-0005-0000-0000-0000BE410000}"/>
    <cellStyle name="Финансовый 36 2 4 2 3 3 2 2 2" xfId="29419" xr:uid="{24DB127D-5D6A-4C85-BC9B-7BDFBFD28911}"/>
    <cellStyle name="Финансовый 36 2 4 2 3 3 2 3" xfId="15562" xr:uid="{00000000-0005-0000-0000-0000BF410000}"/>
    <cellStyle name="Финансовый 36 2 4 2 3 3 2 3 2" xfId="32575" xr:uid="{8E018FB3-6C79-409C-A9AB-9DCCC003444E}"/>
    <cellStyle name="Финансовый 36 2 4 2 3 3 2 4" xfId="18643" xr:uid="{00000000-0005-0000-0000-0000C0410000}"/>
    <cellStyle name="Финансовый 36 2 4 2 3 3 2 4 2" xfId="35656" xr:uid="{BF024467-FA61-4896-BC39-DFE4E32CECEA}"/>
    <cellStyle name="Финансовый 36 2 4 2 3 3 2 5" xfId="26346" xr:uid="{6C7CD42F-8916-45AA-B836-2D095AA17828}"/>
    <cellStyle name="Финансовый 36 2 4 2 3 3 3" xfId="12329" xr:uid="{00000000-0005-0000-0000-0000C1410000}"/>
    <cellStyle name="Финансовый 36 2 4 2 3 3 3 2" xfId="29418" xr:uid="{80B6B652-255B-48A4-B148-6D8C54C0AFB6}"/>
    <cellStyle name="Финансовый 36 2 4 2 3 3 4" xfId="15561" xr:uid="{00000000-0005-0000-0000-0000C2410000}"/>
    <cellStyle name="Финансовый 36 2 4 2 3 3 4 2" xfId="32574" xr:uid="{22F3F7EC-8B27-4376-842D-305D09B6153C}"/>
    <cellStyle name="Финансовый 36 2 4 2 3 3 5" xfId="18642" xr:uid="{00000000-0005-0000-0000-0000C3410000}"/>
    <cellStyle name="Финансовый 36 2 4 2 3 3 5 2" xfId="35655" xr:uid="{3E878AA3-8D1E-4D1B-A5A4-EA980D6F7D63}"/>
    <cellStyle name="Финансовый 36 2 4 2 3 3 6" xfId="26345" xr:uid="{78316B4C-9705-402B-B418-6D7CB8AFCA92}"/>
    <cellStyle name="Финансовый 36 2 4 2 3 4" xfId="9246" xr:uid="{00000000-0005-0000-0000-0000C4410000}"/>
    <cellStyle name="Финансовый 36 2 4 2 3 4 2" xfId="12331" xr:uid="{00000000-0005-0000-0000-0000C5410000}"/>
    <cellStyle name="Финансовый 36 2 4 2 3 4 2 2" xfId="29420" xr:uid="{CF93CC1B-5743-4CEF-8925-26247CD90A1B}"/>
    <cellStyle name="Финансовый 36 2 4 2 3 4 3" xfId="15563" xr:uid="{00000000-0005-0000-0000-0000C6410000}"/>
    <cellStyle name="Финансовый 36 2 4 2 3 4 3 2" xfId="32576" xr:uid="{95765362-7C44-40D0-AA9F-C78856757416}"/>
    <cellStyle name="Финансовый 36 2 4 2 3 4 4" xfId="18644" xr:uid="{00000000-0005-0000-0000-0000C7410000}"/>
    <cellStyle name="Финансовый 36 2 4 2 3 4 4 2" xfId="35657" xr:uid="{C3DA9CD7-9C3D-4E39-9DE1-8E404BFA5307}"/>
    <cellStyle name="Финансовый 36 2 4 2 3 4 5" xfId="26347" xr:uid="{BDA23970-240C-4E21-B38F-C0CAA3714780}"/>
    <cellStyle name="Финансовый 36 2 4 2 3 5" xfId="12324" xr:uid="{00000000-0005-0000-0000-0000C8410000}"/>
    <cellStyle name="Финансовый 36 2 4 2 3 5 2" xfId="29413" xr:uid="{4F14CC05-75F4-423C-A6B5-DB98785D9657}"/>
    <cellStyle name="Финансовый 36 2 4 2 3 6" xfId="15556" xr:uid="{00000000-0005-0000-0000-0000C9410000}"/>
    <cellStyle name="Финансовый 36 2 4 2 3 6 2" xfId="32569" xr:uid="{E66C5024-4BFD-459C-B2AC-ED552F98DB4D}"/>
    <cellStyle name="Финансовый 36 2 4 2 3 7" xfId="18637" xr:uid="{00000000-0005-0000-0000-0000CA410000}"/>
    <cellStyle name="Финансовый 36 2 4 2 3 7 2" xfId="35650" xr:uid="{E4D0DD6D-4C64-49B4-BD51-72FA602E72A8}"/>
    <cellStyle name="Финансовый 36 2 4 2 3 8" xfId="26340" xr:uid="{BF2394AB-72F6-4C12-9801-820680CAFE29}"/>
    <cellStyle name="Финансовый 36 2 4 2 4" xfId="9247" xr:uid="{00000000-0005-0000-0000-0000CB410000}"/>
    <cellStyle name="Финансовый 36 2 4 2 4 2" xfId="9248" xr:uid="{00000000-0005-0000-0000-0000CC410000}"/>
    <cellStyle name="Финансовый 36 2 4 2 4 2 2" xfId="9249" xr:uid="{00000000-0005-0000-0000-0000CD410000}"/>
    <cellStyle name="Финансовый 36 2 4 2 4 2 2 2" xfId="12334" xr:uid="{00000000-0005-0000-0000-0000CE410000}"/>
    <cellStyle name="Финансовый 36 2 4 2 4 2 2 2 2" xfId="29423" xr:uid="{65DB72F7-8113-4086-AD30-5A3A4A444FC1}"/>
    <cellStyle name="Финансовый 36 2 4 2 4 2 2 3" xfId="15566" xr:uid="{00000000-0005-0000-0000-0000CF410000}"/>
    <cellStyle name="Финансовый 36 2 4 2 4 2 2 3 2" xfId="32579" xr:uid="{8CB1AC5C-4BD3-4B5F-AA19-568B7C612DF0}"/>
    <cellStyle name="Финансовый 36 2 4 2 4 2 2 4" xfId="18647" xr:uid="{00000000-0005-0000-0000-0000D0410000}"/>
    <cellStyle name="Финансовый 36 2 4 2 4 2 2 4 2" xfId="35660" xr:uid="{BFDE50F4-59EF-404C-AA5F-361B7060C338}"/>
    <cellStyle name="Финансовый 36 2 4 2 4 2 2 5" xfId="26350" xr:uid="{46CC4EBD-22C5-48AB-88C0-745437083871}"/>
    <cellStyle name="Финансовый 36 2 4 2 4 2 3" xfId="12333" xr:uid="{00000000-0005-0000-0000-0000D1410000}"/>
    <cellStyle name="Финансовый 36 2 4 2 4 2 3 2" xfId="29422" xr:uid="{A7849CB4-FD3E-47EF-B768-339F817A8B23}"/>
    <cellStyle name="Финансовый 36 2 4 2 4 2 4" xfId="15565" xr:uid="{00000000-0005-0000-0000-0000D2410000}"/>
    <cellStyle name="Финансовый 36 2 4 2 4 2 4 2" xfId="32578" xr:uid="{F50EE779-4708-4B84-8A44-39A51E411208}"/>
    <cellStyle name="Финансовый 36 2 4 2 4 2 5" xfId="18646" xr:uid="{00000000-0005-0000-0000-0000D3410000}"/>
    <cellStyle name="Финансовый 36 2 4 2 4 2 5 2" xfId="35659" xr:uid="{E4070105-8BE2-4A88-BC34-37B25A852F05}"/>
    <cellStyle name="Финансовый 36 2 4 2 4 2 6" xfId="26349" xr:uid="{31A08F2D-3055-479C-BD27-A592DE12F3CC}"/>
    <cellStyle name="Финансовый 36 2 4 2 4 3" xfId="9250" xr:uid="{00000000-0005-0000-0000-0000D4410000}"/>
    <cellStyle name="Финансовый 36 2 4 2 4 3 2" xfId="12335" xr:uid="{00000000-0005-0000-0000-0000D5410000}"/>
    <cellStyle name="Финансовый 36 2 4 2 4 3 2 2" xfId="29424" xr:uid="{73CAED5E-22A5-4857-B963-6CDE7277CB9E}"/>
    <cellStyle name="Финансовый 36 2 4 2 4 3 3" xfId="15567" xr:uid="{00000000-0005-0000-0000-0000D6410000}"/>
    <cellStyle name="Финансовый 36 2 4 2 4 3 3 2" xfId="32580" xr:uid="{B1B37FCA-547C-4E56-A827-2DEBF04901DE}"/>
    <cellStyle name="Финансовый 36 2 4 2 4 3 4" xfId="18648" xr:uid="{00000000-0005-0000-0000-0000D7410000}"/>
    <cellStyle name="Финансовый 36 2 4 2 4 3 4 2" xfId="35661" xr:uid="{A6B8539B-60EE-4B8F-BD91-D31DEF049FAA}"/>
    <cellStyle name="Финансовый 36 2 4 2 4 3 5" xfId="26351" xr:uid="{0A1D8949-1830-4C27-A8B3-76B5D5DC3A52}"/>
    <cellStyle name="Финансовый 36 2 4 2 4 4" xfId="12332" xr:uid="{00000000-0005-0000-0000-0000D8410000}"/>
    <cellStyle name="Финансовый 36 2 4 2 4 4 2" xfId="29421" xr:uid="{A28CB1AB-22D4-416C-BD5B-198FD597B0BB}"/>
    <cellStyle name="Финансовый 36 2 4 2 4 5" xfId="15564" xr:uid="{00000000-0005-0000-0000-0000D9410000}"/>
    <cellStyle name="Финансовый 36 2 4 2 4 5 2" xfId="32577" xr:uid="{81C67C81-FD52-4C03-B379-F1BAEC83664C}"/>
    <cellStyle name="Финансовый 36 2 4 2 4 6" xfId="18645" xr:uid="{00000000-0005-0000-0000-0000DA410000}"/>
    <cellStyle name="Финансовый 36 2 4 2 4 6 2" xfId="35658" xr:uid="{3A3FB3B4-034A-4956-85A3-F5BE997B82E9}"/>
    <cellStyle name="Финансовый 36 2 4 2 4 7" xfId="26348" xr:uid="{A9F9077C-E96A-46B5-B423-59A217FB4309}"/>
    <cellStyle name="Финансовый 36 2 4 2 5" xfId="9251" xr:uid="{00000000-0005-0000-0000-0000DB410000}"/>
    <cellStyle name="Финансовый 36 2 4 2 5 2" xfId="9252" xr:uid="{00000000-0005-0000-0000-0000DC410000}"/>
    <cellStyle name="Финансовый 36 2 4 2 5 2 2" xfId="12337" xr:uid="{00000000-0005-0000-0000-0000DD410000}"/>
    <cellStyle name="Финансовый 36 2 4 2 5 2 2 2" xfId="29426" xr:uid="{2DD37CDE-7012-4FFB-B4DC-F6EA21B1708F}"/>
    <cellStyle name="Финансовый 36 2 4 2 5 2 3" xfId="15569" xr:uid="{00000000-0005-0000-0000-0000DE410000}"/>
    <cellStyle name="Финансовый 36 2 4 2 5 2 3 2" xfId="32582" xr:uid="{A207E601-DA02-4065-9CCB-973431DB8606}"/>
    <cellStyle name="Финансовый 36 2 4 2 5 2 4" xfId="18650" xr:uid="{00000000-0005-0000-0000-0000DF410000}"/>
    <cellStyle name="Финансовый 36 2 4 2 5 2 4 2" xfId="35663" xr:uid="{868D8667-45D3-4AC6-857A-2EF6981F707F}"/>
    <cellStyle name="Финансовый 36 2 4 2 5 2 5" xfId="26353" xr:uid="{A980BA65-F3A7-488B-8727-CCE2E2759AC5}"/>
    <cellStyle name="Финансовый 36 2 4 2 5 3" xfId="12336" xr:uid="{00000000-0005-0000-0000-0000E0410000}"/>
    <cellStyle name="Финансовый 36 2 4 2 5 3 2" xfId="29425" xr:uid="{7E7AAB07-7ADE-46A8-9BDB-69982FE22F51}"/>
    <cellStyle name="Финансовый 36 2 4 2 5 4" xfId="15568" xr:uid="{00000000-0005-0000-0000-0000E1410000}"/>
    <cellStyle name="Финансовый 36 2 4 2 5 4 2" xfId="32581" xr:uid="{C90DFB87-7E3A-4F7F-8DF5-576C330F9B24}"/>
    <cellStyle name="Финансовый 36 2 4 2 5 5" xfId="18649" xr:uid="{00000000-0005-0000-0000-0000E2410000}"/>
    <cellStyle name="Финансовый 36 2 4 2 5 5 2" xfId="35662" xr:uid="{0D9E0ED8-7A38-44A5-8D80-F9487EAC9974}"/>
    <cellStyle name="Финансовый 36 2 4 2 5 6" xfId="26352" xr:uid="{FEA06ED2-60C8-4710-8F70-D1F6E3ED0CCF}"/>
    <cellStyle name="Финансовый 36 2 4 2 6" xfId="9253" xr:uid="{00000000-0005-0000-0000-0000E3410000}"/>
    <cellStyle name="Финансовый 36 2 4 2 6 2" xfId="12338" xr:uid="{00000000-0005-0000-0000-0000E4410000}"/>
    <cellStyle name="Финансовый 36 2 4 2 6 2 2" xfId="29427" xr:uid="{5C06A302-6B91-4318-8BBA-E772A6543E81}"/>
    <cellStyle name="Финансовый 36 2 4 2 6 3" xfId="15570" xr:uid="{00000000-0005-0000-0000-0000E5410000}"/>
    <cellStyle name="Финансовый 36 2 4 2 6 3 2" xfId="32583" xr:uid="{537B7F7A-FD31-44DC-BDB2-AC8317C89A01}"/>
    <cellStyle name="Финансовый 36 2 4 2 6 4" xfId="18651" xr:uid="{00000000-0005-0000-0000-0000E6410000}"/>
    <cellStyle name="Финансовый 36 2 4 2 6 4 2" xfId="35664" xr:uid="{595981B6-23EF-49EC-BEF7-CF0E1E48EA5D}"/>
    <cellStyle name="Финансовый 36 2 4 2 6 5" xfId="26354" xr:uid="{30307256-3F60-41DF-81CC-557D8FFF410A}"/>
    <cellStyle name="Финансовый 36 2 4 2 7" xfId="12307" xr:uid="{00000000-0005-0000-0000-0000E7410000}"/>
    <cellStyle name="Финансовый 36 2 4 2 7 2" xfId="29396" xr:uid="{05984C72-CBE3-45F0-9704-8CDC74DBF5D0}"/>
    <cellStyle name="Финансовый 36 2 4 2 8" xfId="15539" xr:uid="{00000000-0005-0000-0000-0000E8410000}"/>
    <cellStyle name="Финансовый 36 2 4 2 8 2" xfId="32552" xr:uid="{4012A2A3-6182-4ED0-8832-0BCEC87C623E}"/>
    <cellStyle name="Финансовый 36 2 4 2 9" xfId="18620" xr:uid="{00000000-0005-0000-0000-0000E9410000}"/>
    <cellStyle name="Финансовый 36 2 4 2 9 2" xfId="35633" xr:uid="{4ACBDF95-489F-4706-9E0E-D7A233DF137D}"/>
    <cellStyle name="Финансовый 36 2 4 3" xfId="9254" xr:uid="{00000000-0005-0000-0000-0000EA410000}"/>
    <cellStyle name="Финансовый 36 2 4 3 2" xfId="9255" xr:uid="{00000000-0005-0000-0000-0000EB410000}"/>
    <cellStyle name="Финансовый 36 2 4 3 2 2" xfId="9256" xr:uid="{00000000-0005-0000-0000-0000EC410000}"/>
    <cellStyle name="Финансовый 36 2 4 3 2 2 2" xfId="9257" xr:uid="{00000000-0005-0000-0000-0000ED410000}"/>
    <cellStyle name="Финансовый 36 2 4 3 2 2 2 2" xfId="9258" xr:uid="{00000000-0005-0000-0000-0000EE410000}"/>
    <cellStyle name="Финансовый 36 2 4 3 2 2 2 2 2" xfId="12343" xr:uid="{00000000-0005-0000-0000-0000EF410000}"/>
    <cellStyle name="Финансовый 36 2 4 3 2 2 2 2 2 2" xfId="29432" xr:uid="{399A0A52-83F5-4437-BD47-F7B82D74ACB6}"/>
    <cellStyle name="Финансовый 36 2 4 3 2 2 2 2 3" xfId="15575" xr:uid="{00000000-0005-0000-0000-0000F0410000}"/>
    <cellStyle name="Финансовый 36 2 4 3 2 2 2 2 3 2" xfId="32588" xr:uid="{54E51484-2586-49F0-8367-AFDC423C581F}"/>
    <cellStyle name="Финансовый 36 2 4 3 2 2 2 2 4" xfId="18656" xr:uid="{00000000-0005-0000-0000-0000F1410000}"/>
    <cellStyle name="Финансовый 36 2 4 3 2 2 2 2 4 2" xfId="35669" xr:uid="{1E527653-E482-496D-AC5A-6F8B6772EA54}"/>
    <cellStyle name="Финансовый 36 2 4 3 2 2 2 2 5" xfId="26359" xr:uid="{03E381EA-EF37-4313-99CC-389427BCFB6F}"/>
    <cellStyle name="Финансовый 36 2 4 3 2 2 2 3" xfId="12342" xr:uid="{00000000-0005-0000-0000-0000F2410000}"/>
    <cellStyle name="Финансовый 36 2 4 3 2 2 2 3 2" xfId="29431" xr:uid="{2D1B3746-1AE8-482A-839A-59F8FDCEDB4E}"/>
    <cellStyle name="Финансовый 36 2 4 3 2 2 2 4" xfId="15574" xr:uid="{00000000-0005-0000-0000-0000F3410000}"/>
    <cellStyle name="Финансовый 36 2 4 3 2 2 2 4 2" xfId="32587" xr:uid="{5271FF0E-6F61-4C18-B54D-48426A52CBAB}"/>
    <cellStyle name="Финансовый 36 2 4 3 2 2 2 5" xfId="18655" xr:uid="{00000000-0005-0000-0000-0000F4410000}"/>
    <cellStyle name="Финансовый 36 2 4 3 2 2 2 5 2" xfId="35668" xr:uid="{822B699B-B1A7-40E9-A538-064CD80E5AD8}"/>
    <cellStyle name="Финансовый 36 2 4 3 2 2 2 6" xfId="26358" xr:uid="{6E8C9371-6957-4C2F-9017-B25210BF3B90}"/>
    <cellStyle name="Финансовый 36 2 4 3 2 2 3" xfId="9259" xr:uid="{00000000-0005-0000-0000-0000F5410000}"/>
    <cellStyle name="Финансовый 36 2 4 3 2 2 3 2" xfId="12344" xr:uid="{00000000-0005-0000-0000-0000F6410000}"/>
    <cellStyle name="Финансовый 36 2 4 3 2 2 3 2 2" xfId="29433" xr:uid="{1CD0742A-5C94-4786-BC5B-182095151085}"/>
    <cellStyle name="Финансовый 36 2 4 3 2 2 3 3" xfId="15576" xr:uid="{00000000-0005-0000-0000-0000F7410000}"/>
    <cellStyle name="Финансовый 36 2 4 3 2 2 3 3 2" xfId="32589" xr:uid="{43B5445F-C6E1-4059-9251-C130C3F0925C}"/>
    <cellStyle name="Финансовый 36 2 4 3 2 2 3 4" xfId="18657" xr:uid="{00000000-0005-0000-0000-0000F8410000}"/>
    <cellStyle name="Финансовый 36 2 4 3 2 2 3 4 2" xfId="35670" xr:uid="{427422FA-300C-42CA-865D-56FE3B680FD8}"/>
    <cellStyle name="Финансовый 36 2 4 3 2 2 3 5" xfId="26360" xr:uid="{77C20C50-E19A-4915-A2E1-17C519836EFD}"/>
    <cellStyle name="Финансовый 36 2 4 3 2 2 4" xfId="12341" xr:uid="{00000000-0005-0000-0000-0000F9410000}"/>
    <cellStyle name="Финансовый 36 2 4 3 2 2 4 2" xfId="29430" xr:uid="{C88B23AC-F924-4B84-B096-8F79C8838A0B}"/>
    <cellStyle name="Финансовый 36 2 4 3 2 2 5" xfId="15573" xr:uid="{00000000-0005-0000-0000-0000FA410000}"/>
    <cellStyle name="Финансовый 36 2 4 3 2 2 5 2" xfId="32586" xr:uid="{33CE577F-0CDC-40BD-8424-22CA6F46FE2B}"/>
    <cellStyle name="Финансовый 36 2 4 3 2 2 6" xfId="18654" xr:uid="{00000000-0005-0000-0000-0000FB410000}"/>
    <cellStyle name="Финансовый 36 2 4 3 2 2 6 2" xfId="35667" xr:uid="{436D6615-27B4-4332-97D5-27CD7F966DCF}"/>
    <cellStyle name="Финансовый 36 2 4 3 2 2 7" xfId="26357" xr:uid="{68EC37DA-4327-4A18-B9A8-E59404817B9E}"/>
    <cellStyle name="Финансовый 36 2 4 3 2 3" xfId="9260" xr:uid="{00000000-0005-0000-0000-0000FC410000}"/>
    <cellStyle name="Финансовый 36 2 4 3 2 3 2" xfId="9261" xr:uid="{00000000-0005-0000-0000-0000FD410000}"/>
    <cellStyle name="Финансовый 36 2 4 3 2 3 2 2" xfId="12346" xr:uid="{00000000-0005-0000-0000-0000FE410000}"/>
    <cellStyle name="Финансовый 36 2 4 3 2 3 2 2 2" xfId="29435" xr:uid="{1B53FBCD-2AD4-4F08-9E68-C928B74EDCBE}"/>
    <cellStyle name="Финансовый 36 2 4 3 2 3 2 3" xfId="15578" xr:uid="{00000000-0005-0000-0000-0000FF410000}"/>
    <cellStyle name="Финансовый 36 2 4 3 2 3 2 3 2" xfId="32591" xr:uid="{244C58BF-3883-4D83-AED9-660A7414E19F}"/>
    <cellStyle name="Финансовый 36 2 4 3 2 3 2 4" xfId="18659" xr:uid="{00000000-0005-0000-0000-000000420000}"/>
    <cellStyle name="Финансовый 36 2 4 3 2 3 2 4 2" xfId="35672" xr:uid="{B7D19E1E-D19E-499D-8440-A449A532AA58}"/>
    <cellStyle name="Финансовый 36 2 4 3 2 3 2 5" xfId="26362" xr:uid="{EF6B2A03-8D11-4BF9-96B8-2101065B7908}"/>
    <cellStyle name="Финансовый 36 2 4 3 2 3 3" xfId="12345" xr:uid="{00000000-0005-0000-0000-000001420000}"/>
    <cellStyle name="Финансовый 36 2 4 3 2 3 3 2" xfId="29434" xr:uid="{BE0B1935-42EE-4C40-BD9C-67D4D1F7747C}"/>
    <cellStyle name="Финансовый 36 2 4 3 2 3 4" xfId="15577" xr:uid="{00000000-0005-0000-0000-000002420000}"/>
    <cellStyle name="Финансовый 36 2 4 3 2 3 4 2" xfId="32590" xr:uid="{5D20759D-1294-4C26-9550-AB3CE9AE504A}"/>
    <cellStyle name="Финансовый 36 2 4 3 2 3 5" xfId="18658" xr:uid="{00000000-0005-0000-0000-000003420000}"/>
    <cellStyle name="Финансовый 36 2 4 3 2 3 5 2" xfId="35671" xr:uid="{8D684A8D-F0AF-43C2-8441-FAEFF2FED930}"/>
    <cellStyle name="Финансовый 36 2 4 3 2 3 6" xfId="26361" xr:uid="{0F6DAD2B-AE11-4F61-B219-99456746284A}"/>
    <cellStyle name="Финансовый 36 2 4 3 2 4" xfId="9262" xr:uid="{00000000-0005-0000-0000-000004420000}"/>
    <cellStyle name="Финансовый 36 2 4 3 2 4 2" xfId="12347" xr:uid="{00000000-0005-0000-0000-000005420000}"/>
    <cellStyle name="Финансовый 36 2 4 3 2 4 2 2" xfId="29436" xr:uid="{5C79D2D0-B969-42C3-853F-5D78CB162C6A}"/>
    <cellStyle name="Финансовый 36 2 4 3 2 4 3" xfId="15579" xr:uid="{00000000-0005-0000-0000-000006420000}"/>
    <cellStyle name="Финансовый 36 2 4 3 2 4 3 2" xfId="32592" xr:uid="{E11A4497-96C8-4325-BF29-E744598CCDEB}"/>
    <cellStyle name="Финансовый 36 2 4 3 2 4 4" xfId="18660" xr:uid="{00000000-0005-0000-0000-000007420000}"/>
    <cellStyle name="Финансовый 36 2 4 3 2 4 4 2" xfId="35673" xr:uid="{04D31B98-4833-4B53-AEB7-DB1DB194A8B9}"/>
    <cellStyle name="Финансовый 36 2 4 3 2 4 5" xfId="26363" xr:uid="{B8184E87-67B3-44E3-998D-CEBAAA83C970}"/>
    <cellStyle name="Финансовый 36 2 4 3 2 5" xfId="12340" xr:uid="{00000000-0005-0000-0000-000008420000}"/>
    <cellStyle name="Финансовый 36 2 4 3 2 5 2" xfId="29429" xr:uid="{61FE3CF0-7F10-44FB-BC11-CBD238459ED6}"/>
    <cellStyle name="Финансовый 36 2 4 3 2 6" xfId="15572" xr:uid="{00000000-0005-0000-0000-000009420000}"/>
    <cellStyle name="Финансовый 36 2 4 3 2 6 2" xfId="32585" xr:uid="{EFBBFE80-CF78-4DB5-B55C-52A9B965A4AD}"/>
    <cellStyle name="Финансовый 36 2 4 3 2 7" xfId="18653" xr:uid="{00000000-0005-0000-0000-00000A420000}"/>
    <cellStyle name="Финансовый 36 2 4 3 2 7 2" xfId="35666" xr:uid="{F4912682-E125-43F6-B14E-66607183F638}"/>
    <cellStyle name="Финансовый 36 2 4 3 2 8" xfId="26356" xr:uid="{218EC623-58FB-481D-8E57-025712511E69}"/>
    <cellStyle name="Финансовый 36 2 4 3 3" xfId="9263" xr:uid="{00000000-0005-0000-0000-00000B420000}"/>
    <cellStyle name="Финансовый 36 2 4 3 3 2" xfId="9264" xr:uid="{00000000-0005-0000-0000-00000C420000}"/>
    <cellStyle name="Финансовый 36 2 4 3 3 2 2" xfId="9265" xr:uid="{00000000-0005-0000-0000-00000D420000}"/>
    <cellStyle name="Финансовый 36 2 4 3 3 2 2 2" xfId="12350" xr:uid="{00000000-0005-0000-0000-00000E420000}"/>
    <cellStyle name="Финансовый 36 2 4 3 3 2 2 2 2" xfId="29439" xr:uid="{0012BE9D-CBBF-4B7E-ABDD-585EB456E1C5}"/>
    <cellStyle name="Финансовый 36 2 4 3 3 2 2 3" xfId="15582" xr:uid="{00000000-0005-0000-0000-00000F420000}"/>
    <cellStyle name="Финансовый 36 2 4 3 3 2 2 3 2" xfId="32595" xr:uid="{E8B154A4-6422-4488-BA47-C3C799B8C570}"/>
    <cellStyle name="Финансовый 36 2 4 3 3 2 2 4" xfId="18663" xr:uid="{00000000-0005-0000-0000-000010420000}"/>
    <cellStyle name="Финансовый 36 2 4 3 3 2 2 4 2" xfId="35676" xr:uid="{0AD2EB60-21EF-4C44-B444-943915FD5D3E}"/>
    <cellStyle name="Финансовый 36 2 4 3 3 2 2 5" xfId="26366" xr:uid="{10E3A0D7-F7A6-4FB4-A793-97B4CD87E959}"/>
    <cellStyle name="Финансовый 36 2 4 3 3 2 3" xfId="12349" xr:uid="{00000000-0005-0000-0000-000011420000}"/>
    <cellStyle name="Финансовый 36 2 4 3 3 2 3 2" xfId="29438" xr:uid="{ABCCD957-5CF0-4BA8-B0BD-42E26A0C0EEE}"/>
    <cellStyle name="Финансовый 36 2 4 3 3 2 4" xfId="15581" xr:uid="{00000000-0005-0000-0000-000012420000}"/>
    <cellStyle name="Финансовый 36 2 4 3 3 2 4 2" xfId="32594" xr:uid="{3EAC5AFB-5B7B-4F6A-800C-8722CD627432}"/>
    <cellStyle name="Финансовый 36 2 4 3 3 2 5" xfId="18662" xr:uid="{00000000-0005-0000-0000-000013420000}"/>
    <cellStyle name="Финансовый 36 2 4 3 3 2 5 2" xfId="35675" xr:uid="{939149BC-15AE-47AE-8161-EC8D87BE285B}"/>
    <cellStyle name="Финансовый 36 2 4 3 3 2 6" xfId="26365" xr:uid="{8B9C2D30-8AC4-45A4-BA5B-9765159E57AB}"/>
    <cellStyle name="Финансовый 36 2 4 3 3 3" xfId="9266" xr:uid="{00000000-0005-0000-0000-000014420000}"/>
    <cellStyle name="Финансовый 36 2 4 3 3 3 2" xfId="12351" xr:uid="{00000000-0005-0000-0000-000015420000}"/>
    <cellStyle name="Финансовый 36 2 4 3 3 3 2 2" xfId="29440" xr:uid="{903F55A3-4D05-4184-8020-50CCE912A20E}"/>
    <cellStyle name="Финансовый 36 2 4 3 3 3 3" xfId="15583" xr:uid="{00000000-0005-0000-0000-000016420000}"/>
    <cellStyle name="Финансовый 36 2 4 3 3 3 3 2" xfId="32596" xr:uid="{A6DBBB0F-5E41-429B-8E9B-1CE3491449E1}"/>
    <cellStyle name="Финансовый 36 2 4 3 3 3 4" xfId="18664" xr:uid="{00000000-0005-0000-0000-000017420000}"/>
    <cellStyle name="Финансовый 36 2 4 3 3 3 4 2" xfId="35677" xr:uid="{14A9A9C8-7D4E-4488-914D-9D42A6E1545C}"/>
    <cellStyle name="Финансовый 36 2 4 3 3 3 5" xfId="26367" xr:uid="{51EB9D2B-4E03-4627-99CA-F7A5C5EF6D8E}"/>
    <cellStyle name="Финансовый 36 2 4 3 3 4" xfId="12348" xr:uid="{00000000-0005-0000-0000-000018420000}"/>
    <cellStyle name="Финансовый 36 2 4 3 3 4 2" xfId="29437" xr:uid="{26E53549-D133-44F1-A804-6156E19D91B6}"/>
    <cellStyle name="Финансовый 36 2 4 3 3 5" xfId="15580" xr:uid="{00000000-0005-0000-0000-000019420000}"/>
    <cellStyle name="Финансовый 36 2 4 3 3 5 2" xfId="32593" xr:uid="{F5175C0C-76DF-4382-8F05-6BD444A99B8E}"/>
    <cellStyle name="Финансовый 36 2 4 3 3 6" xfId="18661" xr:uid="{00000000-0005-0000-0000-00001A420000}"/>
    <cellStyle name="Финансовый 36 2 4 3 3 6 2" xfId="35674" xr:uid="{3EBBBE3E-CE70-4419-A09A-86EE76B8FC4D}"/>
    <cellStyle name="Финансовый 36 2 4 3 3 7" xfId="26364" xr:uid="{8E7A70C8-0D56-4B1D-B72B-42D02B82EDB7}"/>
    <cellStyle name="Финансовый 36 2 4 3 4" xfId="9267" xr:uid="{00000000-0005-0000-0000-00001B420000}"/>
    <cellStyle name="Финансовый 36 2 4 3 4 2" xfId="9268" xr:uid="{00000000-0005-0000-0000-00001C420000}"/>
    <cellStyle name="Финансовый 36 2 4 3 4 2 2" xfId="12353" xr:uid="{00000000-0005-0000-0000-00001D420000}"/>
    <cellStyle name="Финансовый 36 2 4 3 4 2 2 2" xfId="29442" xr:uid="{D7410B1A-3FD2-48C0-84AB-BAF7A53499B2}"/>
    <cellStyle name="Финансовый 36 2 4 3 4 2 3" xfId="15585" xr:uid="{00000000-0005-0000-0000-00001E420000}"/>
    <cellStyle name="Финансовый 36 2 4 3 4 2 3 2" xfId="32598" xr:uid="{2BCD929F-F4BA-44DF-AC37-93A69B95F994}"/>
    <cellStyle name="Финансовый 36 2 4 3 4 2 4" xfId="18666" xr:uid="{00000000-0005-0000-0000-00001F420000}"/>
    <cellStyle name="Финансовый 36 2 4 3 4 2 4 2" xfId="35679" xr:uid="{798246B9-14F9-4A3A-AA92-F68A49D86F28}"/>
    <cellStyle name="Финансовый 36 2 4 3 4 2 5" xfId="26369" xr:uid="{D179BBD6-7302-444A-B371-3E6A67B68ACF}"/>
    <cellStyle name="Финансовый 36 2 4 3 4 3" xfId="12352" xr:uid="{00000000-0005-0000-0000-000020420000}"/>
    <cellStyle name="Финансовый 36 2 4 3 4 3 2" xfId="29441" xr:uid="{02CB6EBA-23B9-4CEE-93F5-CB9A6B4E18F8}"/>
    <cellStyle name="Финансовый 36 2 4 3 4 4" xfId="15584" xr:uid="{00000000-0005-0000-0000-000021420000}"/>
    <cellStyle name="Финансовый 36 2 4 3 4 4 2" xfId="32597" xr:uid="{71DBB590-82AC-495E-A130-4AE0D4C8743D}"/>
    <cellStyle name="Финансовый 36 2 4 3 4 5" xfId="18665" xr:uid="{00000000-0005-0000-0000-000022420000}"/>
    <cellStyle name="Финансовый 36 2 4 3 4 5 2" xfId="35678" xr:uid="{83F63FC8-44AE-462D-88A0-77245FE88EA8}"/>
    <cellStyle name="Финансовый 36 2 4 3 4 6" xfId="26368" xr:uid="{D24A835E-E88E-4AC6-BDFC-EE2DF7B3E335}"/>
    <cellStyle name="Финансовый 36 2 4 3 5" xfId="9269" xr:uid="{00000000-0005-0000-0000-000023420000}"/>
    <cellStyle name="Финансовый 36 2 4 3 5 2" xfId="12354" xr:uid="{00000000-0005-0000-0000-000024420000}"/>
    <cellStyle name="Финансовый 36 2 4 3 5 2 2" xfId="29443" xr:uid="{9770BF1F-D59E-4B2A-BFAC-556B57EBDFE3}"/>
    <cellStyle name="Финансовый 36 2 4 3 5 3" xfId="15586" xr:uid="{00000000-0005-0000-0000-000025420000}"/>
    <cellStyle name="Финансовый 36 2 4 3 5 3 2" xfId="32599" xr:uid="{67A5534A-1CD7-41BF-9A00-B82A3FD3542E}"/>
    <cellStyle name="Финансовый 36 2 4 3 5 4" xfId="18667" xr:uid="{00000000-0005-0000-0000-000026420000}"/>
    <cellStyle name="Финансовый 36 2 4 3 5 4 2" xfId="35680" xr:uid="{6DE8E109-047F-4F05-9F90-4669CD4ABDD8}"/>
    <cellStyle name="Финансовый 36 2 4 3 5 5" xfId="26370" xr:uid="{284A1D2B-52BA-42A6-9496-DAD3E4464698}"/>
    <cellStyle name="Финансовый 36 2 4 3 6" xfId="12339" xr:uid="{00000000-0005-0000-0000-000027420000}"/>
    <cellStyle name="Финансовый 36 2 4 3 6 2" xfId="29428" xr:uid="{E371277E-B9C1-47E2-A77C-5014FEA51D2F}"/>
    <cellStyle name="Финансовый 36 2 4 3 7" xfId="15571" xr:uid="{00000000-0005-0000-0000-000028420000}"/>
    <cellStyle name="Финансовый 36 2 4 3 7 2" xfId="32584" xr:uid="{45D06328-2F8F-4146-865C-2DE2AC3B983F}"/>
    <cellStyle name="Финансовый 36 2 4 3 8" xfId="18652" xr:uid="{00000000-0005-0000-0000-000029420000}"/>
    <cellStyle name="Финансовый 36 2 4 3 8 2" xfId="35665" xr:uid="{865DD61F-A7F3-480D-B094-C0E630CB9CE0}"/>
    <cellStyle name="Финансовый 36 2 4 3 9" xfId="26355" xr:uid="{2A5C1748-DB4E-43CF-8E79-4F676DDA2B14}"/>
    <cellStyle name="Финансовый 36 2 4 4" xfId="9270" xr:uid="{00000000-0005-0000-0000-00002A420000}"/>
    <cellStyle name="Финансовый 36 2 4 4 2" xfId="9271" xr:uid="{00000000-0005-0000-0000-00002B420000}"/>
    <cellStyle name="Финансовый 36 2 4 4 2 2" xfId="9272" xr:uid="{00000000-0005-0000-0000-00002C420000}"/>
    <cellStyle name="Финансовый 36 2 4 4 2 2 2" xfId="9273" xr:uid="{00000000-0005-0000-0000-00002D420000}"/>
    <cellStyle name="Финансовый 36 2 4 4 2 2 2 2" xfId="12358" xr:uid="{00000000-0005-0000-0000-00002E420000}"/>
    <cellStyle name="Финансовый 36 2 4 4 2 2 2 2 2" xfId="29447" xr:uid="{9E85E0E4-95A0-4ECE-9496-9FF73E3A30C7}"/>
    <cellStyle name="Финансовый 36 2 4 4 2 2 2 3" xfId="15590" xr:uid="{00000000-0005-0000-0000-00002F420000}"/>
    <cellStyle name="Финансовый 36 2 4 4 2 2 2 3 2" xfId="32603" xr:uid="{E794086D-F38D-49F6-8DB2-1DAB37EC455E}"/>
    <cellStyle name="Финансовый 36 2 4 4 2 2 2 4" xfId="18671" xr:uid="{00000000-0005-0000-0000-000030420000}"/>
    <cellStyle name="Финансовый 36 2 4 4 2 2 2 4 2" xfId="35684" xr:uid="{8CF02DA2-9FD2-4DCD-BE88-6160A1AB6BAD}"/>
    <cellStyle name="Финансовый 36 2 4 4 2 2 2 5" xfId="26374" xr:uid="{8CB04CB4-187B-4C37-8693-50E3A534D33F}"/>
    <cellStyle name="Финансовый 36 2 4 4 2 2 3" xfId="12357" xr:uid="{00000000-0005-0000-0000-000031420000}"/>
    <cellStyle name="Финансовый 36 2 4 4 2 2 3 2" xfId="29446" xr:uid="{62D8D499-7280-4855-90F6-2504AC456753}"/>
    <cellStyle name="Финансовый 36 2 4 4 2 2 4" xfId="15589" xr:uid="{00000000-0005-0000-0000-000032420000}"/>
    <cellStyle name="Финансовый 36 2 4 4 2 2 4 2" xfId="32602" xr:uid="{0C9B5703-34D9-496F-B94A-60790CA4A203}"/>
    <cellStyle name="Финансовый 36 2 4 4 2 2 5" xfId="18670" xr:uid="{00000000-0005-0000-0000-000033420000}"/>
    <cellStyle name="Финансовый 36 2 4 4 2 2 5 2" xfId="35683" xr:uid="{BFEBD805-6DD4-46AC-9D08-EA2BAF355039}"/>
    <cellStyle name="Финансовый 36 2 4 4 2 2 6" xfId="26373" xr:uid="{6C5BD520-E4AC-47B8-8102-36B711DA61BA}"/>
    <cellStyle name="Финансовый 36 2 4 4 2 3" xfId="9274" xr:uid="{00000000-0005-0000-0000-000034420000}"/>
    <cellStyle name="Финансовый 36 2 4 4 2 3 2" xfId="12359" xr:uid="{00000000-0005-0000-0000-000035420000}"/>
    <cellStyle name="Финансовый 36 2 4 4 2 3 2 2" xfId="29448" xr:uid="{28A70A25-EB2B-47F2-92CD-41D6DFC0C47B}"/>
    <cellStyle name="Финансовый 36 2 4 4 2 3 3" xfId="15591" xr:uid="{00000000-0005-0000-0000-000036420000}"/>
    <cellStyle name="Финансовый 36 2 4 4 2 3 3 2" xfId="32604" xr:uid="{827B00A9-E4F5-425E-95C4-FBB58A4034A5}"/>
    <cellStyle name="Финансовый 36 2 4 4 2 3 4" xfId="18672" xr:uid="{00000000-0005-0000-0000-000037420000}"/>
    <cellStyle name="Финансовый 36 2 4 4 2 3 4 2" xfId="35685" xr:uid="{FA81F0E3-D8BF-4827-B012-D6E0E7B33980}"/>
    <cellStyle name="Финансовый 36 2 4 4 2 3 5" xfId="26375" xr:uid="{2BB307AA-2A8E-42C9-8D14-7825C3122D22}"/>
    <cellStyle name="Финансовый 36 2 4 4 2 4" xfId="12356" xr:uid="{00000000-0005-0000-0000-000038420000}"/>
    <cellStyle name="Финансовый 36 2 4 4 2 4 2" xfId="29445" xr:uid="{371CBE45-2163-4ECC-AF50-6FA50F21BBFC}"/>
    <cellStyle name="Финансовый 36 2 4 4 2 5" xfId="15588" xr:uid="{00000000-0005-0000-0000-000039420000}"/>
    <cellStyle name="Финансовый 36 2 4 4 2 5 2" xfId="32601" xr:uid="{ADA3DFAD-63E8-4A0E-8BC9-042B7731E5A0}"/>
    <cellStyle name="Финансовый 36 2 4 4 2 6" xfId="18669" xr:uid="{00000000-0005-0000-0000-00003A420000}"/>
    <cellStyle name="Финансовый 36 2 4 4 2 6 2" xfId="35682" xr:uid="{24CC32B2-7028-41EB-8AAA-476269985210}"/>
    <cellStyle name="Финансовый 36 2 4 4 2 7" xfId="26372" xr:uid="{1C795D9D-F374-401A-8226-77ED4B7E3D9C}"/>
    <cellStyle name="Финансовый 36 2 4 4 3" xfId="9275" xr:uid="{00000000-0005-0000-0000-00003B420000}"/>
    <cellStyle name="Финансовый 36 2 4 4 3 2" xfId="9276" xr:uid="{00000000-0005-0000-0000-00003C420000}"/>
    <cellStyle name="Финансовый 36 2 4 4 3 2 2" xfId="12361" xr:uid="{00000000-0005-0000-0000-00003D420000}"/>
    <cellStyle name="Финансовый 36 2 4 4 3 2 2 2" xfId="29450" xr:uid="{37B45051-DBCC-4234-94EF-3158238D6B84}"/>
    <cellStyle name="Финансовый 36 2 4 4 3 2 3" xfId="15593" xr:uid="{00000000-0005-0000-0000-00003E420000}"/>
    <cellStyle name="Финансовый 36 2 4 4 3 2 3 2" xfId="32606" xr:uid="{D0CBC6F0-0E80-46C6-90F4-502F49662104}"/>
    <cellStyle name="Финансовый 36 2 4 4 3 2 4" xfId="18674" xr:uid="{00000000-0005-0000-0000-00003F420000}"/>
    <cellStyle name="Финансовый 36 2 4 4 3 2 4 2" xfId="35687" xr:uid="{9CA23779-73D5-40EF-BBE8-0AF1AB6E0293}"/>
    <cellStyle name="Финансовый 36 2 4 4 3 2 5" xfId="26377" xr:uid="{780F99F5-21B6-42BF-828F-D1E7D6A8F83B}"/>
    <cellStyle name="Финансовый 36 2 4 4 3 3" xfId="12360" xr:uid="{00000000-0005-0000-0000-000040420000}"/>
    <cellStyle name="Финансовый 36 2 4 4 3 3 2" xfId="29449" xr:uid="{D72ED185-DE45-48E6-AB8B-BDFBCC94EAD2}"/>
    <cellStyle name="Финансовый 36 2 4 4 3 4" xfId="15592" xr:uid="{00000000-0005-0000-0000-000041420000}"/>
    <cellStyle name="Финансовый 36 2 4 4 3 4 2" xfId="32605" xr:uid="{FF456BD9-AFD7-42F3-948A-777601BBFA6F}"/>
    <cellStyle name="Финансовый 36 2 4 4 3 5" xfId="18673" xr:uid="{00000000-0005-0000-0000-000042420000}"/>
    <cellStyle name="Финансовый 36 2 4 4 3 5 2" xfId="35686" xr:uid="{AB0CE261-9F1B-4966-A682-625A209F2D35}"/>
    <cellStyle name="Финансовый 36 2 4 4 3 6" xfId="26376" xr:uid="{7250AE44-7170-4D4B-B47F-1F39BA88F7BD}"/>
    <cellStyle name="Финансовый 36 2 4 4 4" xfId="9277" xr:uid="{00000000-0005-0000-0000-000043420000}"/>
    <cellStyle name="Финансовый 36 2 4 4 4 2" xfId="12362" xr:uid="{00000000-0005-0000-0000-000044420000}"/>
    <cellStyle name="Финансовый 36 2 4 4 4 2 2" xfId="29451" xr:uid="{0F1EE6D1-9E92-4FB2-8593-DC8910F4FA00}"/>
    <cellStyle name="Финансовый 36 2 4 4 4 3" xfId="15594" xr:uid="{00000000-0005-0000-0000-000045420000}"/>
    <cellStyle name="Финансовый 36 2 4 4 4 3 2" xfId="32607" xr:uid="{D23AC9D4-C353-4399-832C-21D45A7629BA}"/>
    <cellStyle name="Финансовый 36 2 4 4 4 4" xfId="18675" xr:uid="{00000000-0005-0000-0000-000046420000}"/>
    <cellStyle name="Финансовый 36 2 4 4 4 4 2" xfId="35688" xr:uid="{1B8F888C-B111-4025-B17B-BED33DF82FDB}"/>
    <cellStyle name="Финансовый 36 2 4 4 4 5" xfId="26378" xr:uid="{4D925956-CC01-460D-911A-925E68176080}"/>
    <cellStyle name="Финансовый 36 2 4 4 5" xfId="12355" xr:uid="{00000000-0005-0000-0000-000047420000}"/>
    <cellStyle name="Финансовый 36 2 4 4 5 2" xfId="29444" xr:uid="{67311FA3-5E48-4220-801E-F6F82B8739CF}"/>
    <cellStyle name="Финансовый 36 2 4 4 6" xfId="15587" xr:uid="{00000000-0005-0000-0000-000048420000}"/>
    <cellStyle name="Финансовый 36 2 4 4 6 2" xfId="32600" xr:uid="{2B6A5A73-2374-48E1-937C-4882B9DC673A}"/>
    <cellStyle name="Финансовый 36 2 4 4 7" xfId="18668" xr:uid="{00000000-0005-0000-0000-000049420000}"/>
    <cellStyle name="Финансовый 36 2 4 4 7 2" xfId="35681" xr:uid="{9BB12B5B-EBF3-4DD7-B4A4-2A1E74263766}"/>
    <cellStyle name="Финансовый 36 2 4 4 8" xfId="26371" xr:uid="{04490E77-196E-42C0-9774-171F6FDD78FB}"/>
    <cellStyle name="Финансовый 36 2 4 5" xfId="9278" xr:uid="{00000000-0005-0000-0000-00004A420000}"/>
    <cellStyle name="Финансовый 36 2 4 5 2" xfId="9279" xr:uid="{00000000-0005-0000-0000-00004B420000}"/>
    <cellStyle name="Финансовый 36 2 4 5 2 2" xfId="9280" xr:uid="{00000000-0005-0000-0000-00004C420000}"/>
    <cellStyle name="Финансовый 36 2 4 5 2 2 2" xfId="12365" xr:uid="{00000000-0005-0000-0000-00004D420000}"/>
    <cellStyle name="Финансовый 36 2 4 5 2 2 2 2" xfId="29454" xr:uid="{4140AD1A-D1AC-405D-B165-6C0C06041CBD}"/>
    <cellStyle name="Финансовый 36 2 4 5 2 2 3" xfId="15597" xr:uid="{00000000-0005-0000-0000-00004E420000}"/>
    <cellStyle name="Финансовый 36 2 4 5 2 2 3 2" xfId="32610" xr:uid="{92FA7307-1C3A-4338-99D7-CA8A3F5A2F4A}"/>
    <cellStyle name="Финансовый 36 2 4 5 2 2 4" xfId="18678" xr:uid="{00000000-0005-0000-0000-00004F420000}"/>
    <cellStyle name="Финансовый 36 2 4 5 2 2 4 2" xfId="35691" xr:uid="{06587C35-89E6-4749-B75A-9E809229991F}"/>
    <cellStyle name="Финансовый 36 2 4 5 2 2 5" xfId="26381" xr:uid="{3FF88D69-1549-4E63-9FBB-6A10CBFD0906}"/>
    <cellStyle name="Финансовый 36 2 4 5 2 3" xfId="12364" xr:uid="{00000000-0005-0000-0000-000050420000}"/>
    <cellStyle name="Финансовый 36 2 4 5 2 3 2" xfId="29453" xr:uid="{7A4594FF-3704-450A-B29C-FD9DA216702C}"/>
    <cellStyle name="Финансовый 36 2 4 5 2 4" xfId="15596" xr:uid="{00000000-0005-0000-0000-000051420000}"/>
    <cellStyle name="Финансовый 36 2 4 5 2 4 2" xfId="32609" xr:uid="{4E39A668-1554-4874-BE9B-632C44481C93}"/>
    <cellStyle name="Финансовый 36 2 4 5 2 5" xfId="18677" xr:uid="{00000000-0005-0000-0000-000052420000}"/>
    <cellStyle name="Финансовый 36 2 4 5 2 5 2" xfId="35690" xr:uid="{0D193EBE-4E11-46A8-91ED-01A659303DD4}"/>
    <cellStyle name="Финансовый 36 2 4 5 2 6" xfId="26380" xr:uid="{5F8AD908-8069-401B-B8D4-C0176BE865B4}"/>
    <cellStyle name="Финансовый 36 2 4 5 3" xfId="9281" xr:uid="{00000000-0005-0000-0000-000053420000}"/>
    <cellStyle name="Финансовый 36 2 4 5 3 2" xfId="12366" xr:uid="{00000000-0005-0000-0000-000054420000}"/>
    <cellStyle name="Финансовый 36 2 4 5 3 2 2" xfId="29455" xr:uid="{FC6468BF-3D0D-48F4-B160-0397F41EF41E}"/>
    <cellStyle name="Финансовый 36 2 4 5 3 3" xfId="15598" xr:uid="{00000000-0005-0000-0000-000055420000}"/>
    <cellStyle name="Финансовый 36 2 4 5 3 3 2" xfId="32611" xr:uid="{0F339707-778F-4E4A-BE29-1EC765A7BACF}"/>
    <cellStyle name="Финансовый 36 2 4 5 3 4" xfId="18679" xr:uid="{00000000-0005-0000-0000-000056420000}"/>
    <cellStyle name="Финансовый 36 2 4 5 3 4 2" xfId="35692" xr:uid="{CAD85D80-2209-4862-912D-F3A79F58E782}"/>
    <cellStyle name="Финансовый 36 2 4 5 3 5" xfId="26382" xr:uid="{F638EC8A-D579-4E48-A1D6-2C28ED970DF7}"/>
    <cellStyle name="Финансовый 36 2 4 5 4" xfId="12363" xr:uid="{00000000-0005-0000-0000-000057420000}"/>
    <cellStyle name="Финансовый 36 2 4 5 4 2" xfId="29452" xr:uid="{D748F05C-47C7-4444-8239-2C989B0E2629}"/>
    <cellStyle name="Финансовый 36 2 4 5 5" xfId="15595" xr:uid="{00000000-0005-0000-0000-000058420000}"/>
    <cellStyle name="Финансовый 36 2 4 5 5 2" xfId="32608" xr:uid="{9CC7A892-620D-4872-8D10-96518AEAA148}"/>
    <cellStyle name="Финансовый 36 2 4 5 6" xfId="18676" xr:uid="{00000000-0005-0000-0000-000059420000}"/>
    <cellStyle name="Финансовый 36 2 4 5 6 2" xfId="35689" xr:uid="{12C99D7C-7E75-416F-ABA8-97E835E64104}"/>
    <cellStyle name="Финансовый 36 2 4 5 7" xfId="26379" xr:uid="{A5BB6BE2-D42C-401F-8F25-9210D2FCF13D}"/>
    <cellStyle name="Финансовый 36 2 4 6" xfId="9282" xr:uid="{00000000-0005-0000-0000-00005A420000}"/>
    <cellStyle name="Финансовый 36 2 4 6 2" xfId="9283" xr:uid="{00000000-0005-0000-0000-00005B420000}"/>
    <cellStyle name="Финансовый 36 2 4 6 2 2" xfId="12368" xr:uid="{00000000-0005-0000-0000-00005C420000}"/>
    <cellStyle name="Финансовый 36 2 4 6 2 2 2" xfId="29457" xr:uid="{880D2555-8A05-4F1F-8C21-72800CDCD281}"/>
    <cellStyle name="Финансовый 36 2 4 6 2 3" xfId="15600" xr:uid="{00000000-0005-0000-0000-00005D420000}"/>
    <cellStyle name="Финансовый 36 2 4 6 2 3 2" xfId="32613" xr:uid="{2257D6B7-930C-4F8F-8922-C09821F1C855}"/>
    <cellStyle name="Финансовый 36 2 4 6 2 4" xfId="18681" xr:uid="{00000000-0005-0000-0000-00005E420000}"/>
    <cellStyle name="Финансовый 36 2 4 6 2 4 2" xfId="35694" xr:uid="{773837A2-2FB6-4C97-8ACD-F6BD161ED39D}"/>
    <cellStyle name="Финансовый 36 2 4 6 2 5" xfId="26384" xr:uid="{A63F3972-0007-44C5-BF86-FC6FFC289C78}"/>
    <cellStyle name="Финансовый 36 2 4 6 3" xfId="12367" xr:uid="{00000000-0005-0000-0000-00005F420000}"/>
    <cellStyle name="Финансовый 36 2 4 6 3 2" xfId="29456" xr:uid="{9C1FE428-5465-464B-BB07-F3979174839E}"/>
    <cellStyle name="Финансовый 36 2 4 6 4" xfId="15599" xr:uid="{00000000-0005-0000-0000-000060420000}"/>
    <cellStyle name="Финансовый 36 2 4 6 4 2" xfId="32612" xr:uid="{A349F507-B116-4CF9-B03C-6504D4563F5D}"/>
    <cellStyle name="Финансовый 36 2 4 6 5" xfId="18680" xr:uid="{00000000-0005-0000-0000-000061420000}"/>
    <cellStyle name="Финансовый 36 2 4 6 5 2" xfId="35693" xr:uid="{C300D86A-13F1-415C-8F62-45A5E20FA8A0}"/>
    <cellStyle name="Финансовый 36 2 4 6 6" xfId="26383" xr:uid="{D70ECEB8-2D6F-4B6A-A58B-9DD648741A93}"/>
    <cellStyle name="Финансовый 36 2 4 7" xfId="9284" xr:uid="{00000000-0005-0000-0000-000062420000}"/>
    <cellStyle name="Финансовый 36 2 4 7 2" xfId="12369" xr:uid="{00000000-0005-0000-0000-000063420000}"/>
    <cellStyle name="Финансовый 36 2 4 7 2 2" xfId="29458" xr:uid="{E50A8C23-0952-49BB-BA49-711C9258E50D}"/>
    <cellStyle name="Финансовый 36 2 4 7 3" xfId="15601" xr:uid="{00000000-0005-0000-0000-000064420000}"/>
    <cellStyle name="Финансовый 36 2 4 7 3 2" xfId="32614" xr:uid="{4E75928E-A8BA-4E1B-B094-6C13EC22CFBF}"/>
    <cellStyle name="Финансовый 36 2 4 7 4" xfId="18682" xr:uid="{00000000-0005-0000-0000-000065420000}"/>
    <cellStyle name="Финансовый 36 2 4 7 4 2" xfId="35695" xr:uid="{7FBF3978-9D2C-4F65-85C4-4C3D5467BFB7}"/>
    <cellStyle name="Финансовый 36 2 4 7 5" xfId="26385" xr:uid="{71892541-7BC4-4F78-9271-DEC0C71B0DB9}"/>
    <cellStyle name="Финансовый 36 2 4 8" xfId="12306" xr:uid="{00000000-0005-0000-0000-000066420000}"/>
    <cellStyle name="Финансовый 36 2 4 8 2" xfId="29395" xr:uid="{71E45A7C-E8A3-4DED-B6C5-F1EFBA27EC03}"/>
    <cellStyle name="Финансовый 36 2 4 9" xfId="15538" xr:uid="{00000000-0005-0000-0000-000067420000}"/>
    <cellStyle name="Финансовый 36 2 4 9 2" xfId="32551" xr:uid="{BCF6AE47-7913-44F8-819E-155F175BAEE5}"/>
    <cellStyle name="Финансовый 36 2 5" xfId="9285" xr:uid="{00000000-0005-0000-0000-000068420000}"/>
    <cellStyle name="Финансовый 36 2 5 10" xfId="26386" xr:uid="{9FCA70BB-EA5F-4884-B8CF-C9DB98B9AB83}"/>
    <cellStyle name="Финансовый 36 2 5 2" xfId="9286" xr:uid="{00000000-0005-0000-0000-000069420000}"/>
    <cellStyle name="Финансовый 36 2 5 2 2" xfId="9287" xr:uid="{00000000-0005-0000-0000-00006A420000}"/>
    <cellStyle name="Финансовый 36 2 5 2 2 2" xfId="9288" xr:uid="{00000000-0005-0000-0000-00006B420000}"/>
    <cellStyle name="Финансовый 36 2 5 2 2 2 2" xfId="9289" xr:uid="{00000000-0005-0000-0000-00006C420000}"/>
    <cellStyle name="Финансовый 36 2 5 2 2 2 2 2" xfId="9290" xr:uid="{00000000-0005-0000-0000-00006D420000}"/>
    <cellStyle name="Финансовый 36 2 5 2 2 2 2 2 2" xfId="12375" xr:uid="{00000000-0005-0000-0000-00006E420000}"/>
    <cellStyle name="Финансовый 36 2 5 2 2 2 2 2 2 2" xfId="29464" xr:uid="{3A3E9D23-6C4B-467E-93F1-70DDDC501044}"/>
    <cellStyle name="Финансовый 36 2 5 2 2 2 2 2 3" xfId="15607" xr:uid="{00000000-0005-0000-0000-00006F420000}"/>
    <cellStyle name="Финансовый 36 2 5 2 2 2 2 2 3 2" xfId="32620" xr:uid="{7FC6879F-9743-4242-85F0-99CCCC05BA35}"/>
    <cellStyle name="Финансовый 36 2 5 2 2 2 2 2 4" xfId="18688" xr:uid="{00000000-0005-0000-0000-000070420000}"/>
    <cellStyle name="Финансовый 36 2 5 2 2 2 2 2 4 2" xfId="35701" xr:uid="{1D766B48-8FEB-4286-A7FB-87162EE685F6}"/>
    <cellStyle name="Финансовый 36 2 5 2 2 2 2 2 5" xfId="26391" xr:uid="{70FDD370-945E-48CD-BD5F-202FAF99990E}"/>
    <cellStyle name="Финансовый 36 2 5 2 2 2 2 3" xfId="12374" xr:uid="{00000000-0005-0000-0000-000071420000}"/>
    <cellStyle name="Финансовый 36 2 5 2 2 2 2 3 2" xfId="29463" xr:uid="{12A3F9FE-DE35-432B-8B5F-737F37B1DCC9}"/>
    <cellStyle name="Финансовый 36 2 5 2 2 2 2 4" xfId="15606" xr:uid="{00000000-0005-0000-0000-000072420000}"/>
    <cellStyle name="Финансовый 36 2 5 2 2 2 2 4 2" xfId="32619" xr:uid="{27AA28B5-3130-4AC5-BED2-DF070625A5EB}"/>
    <cellStyle name="Финансовый 36 2 5 2 2 2 2 5" xfId="18687" xr:uid="{00000000-0005-0000-0000-000073420000}"/>
    <cellStyle name="Финансовый 36 2 5 2 2 2 2 5 2" xfId="35700" xr:uid="{7698043D-2CE0-4B8A-B445-54FB95B79BB4}"/>
    <cellStyle name="Финансовый 36 2 5 2 2 2 2 6" xfId="26390" xr:uid="{04748A64-B436-4C18-95C9-B300BC700687}"/>
    <cellStyle name="Финансовый 36 2 5 2 2 2 3" xfId="9291" xr:uid="{00000000-0005-0000-0000-000074420000}"/>
    <cellStyle name="Финансовый 36 2 5 2 2 2 3 2" xfId="12376" xr:uid="{00000000-0005-0000-0000-000075420000}"/>
    <cellStyle name="Финансовый 36 2 5 2 2 2 3 2 2" xfId="29465" xr:uid="{D47C443F-784E-4EC8-B031-7F255E2C20A0}"/>
    <cellStyle name="Финансовый 36 2 5 2 2 2 3 3" xfId="15608" xr:uid="{00000000-0005-0000-0000-000076420000}"/>
    <cellStyle name="Финансовый 36 2 5 2 2 2 3 3 2" xfId="32621" xr:uid="{E270DF9F-8B33-4E91-9DF2-AD9BE9C987DD}"/>
    <cellStyle name="Финансовый 36 2 5 2 2 2 3 4" xfId="18689" xr:uid="{00000000-0005-0000-0000-000077420000}"/>
    <cellStyle name="Финансовый 36 2 5 2 2 2 3 4 2" xfId="35702" xr:uid="{DAA3DB31-2074-4A9C-8DF5-AE96C52764FA}"/>
    <cellStyle name="Финансовый 36 2 5 2 2 2 3 5" xfId="26392" xr:uid="{E2D3B56B-DCE4-45EF-9B61-0103F6D1864B}"/>
    <cellStyle name="Финансовый 36 2 5 2 2 2 4" xfId="12373" xr:uid="{00000000-0005-0000-0000-000078420000}"/>
    <cellStyle name="Финансовый 36 2 5 2 2 2 4 2" xfId="29462" xr:uid="{CB722C57-E692-498F-9DAD-5833265D0C66}"/>
    <cellStyle name="Финансовый 36 2 5 2 2 2 5" xfId="15605" xr:uid="{00000000-0005-0000-0000-000079420000}"/>
    <cellStyle name="Финансовый 36 2 5 2 2 2 5 2" xfId="32618" xr:uid="{C18A306D-2515-4BD5-9EF4-C949FC4B58F4}"/>
    <cellStyle name="Финансовый 36 2 5 2 2 2 6" xfId="18686" xr:uid="{00000000-0005-0000-0000-00007A420000}"/>
    <cellStyle name="Финансовый 36 2 5 2 2 2 6 2" xfId="35699" xr:uid="{06F1A9B5-8807-46E9-AFB6-2CBCB57FEC01}"/>
    <cellStyle name="Финансовый 36 2 5 2 2 2 7" xfId="26389" xr:uid="{05283631-BB92-4C24-932E-F6E4B2F2A7BC}"/>
    <cellStyle name="Финансовый 36 2 5 2 2 3" xfId="9292" xr:uid="{00000000-0005-0000-0000-00007B420000}"/>
    <cellStyle name="Финансовый 36 2 5 2 2 3 2" xfId="9293" xr:uid="{00000000-0005-0000-0000-00007C420000}"/>
    <cellStyle name="Финансовый 36 2 5 2 2 3 2 2" xfId="12378" xr:uid="{00000000-0005-0000-0000-00007D420000}"/>
    <cellStyle name="Финансовый 36 2 5 2 2 3 2 2 2" xfId="29467" xr:uid="{09E5B995-129B-4030-9A09-B307E10F8971}"/>
    <cellStyle name="Финансовый 36 2 5 2 2 3 2 3" xfId="15610" xr:uid="{00000000-0005-0000-0000-00007E420000}"/>
    <cellStyle name="Финансовый 36 2 5 2 2 3 2 3 2" xfId="32623" xr:uid="{119E5103-65A8-4432-9EFD-769538B4CFCE}"/>
    <cellStyle name="Финансовый 36 2 5 2 2 3 2 4" xfId="18691" xr:uid="{00000000-0005-0000-0000-00007F420000}"/>
    <cellStyle name="Финансовый 36 2 5 2 2 3 2 4 2" xfId="35704" xr:uid="{2787974F-2594-4613-B886-C0C814EAEE0F}"/>
    <cellStyle name="Финансовый 36 2 5 2 2 3 2 5" xfId="26394" xr:uid="{DF6CC1E2-829D-4CC3-8761-439AF4D36513}"/>
    <cellStyle name="Финансовый 36 2 5 2 2 3 3" xfId="12377" xr:uid="{00000000-0005-0000-0000-000080420000}"/>
    <cellStyle name="Финансовый 36 2 5 2 2 3 3 2" xfId="29466" xr:uid="{183B1F84-E180-4DC7-A40B-74776D6CCEDF}"/>
    <cellStyle name="Финансовый 36 2 5 2 2 3 4" xfId="15609" xr:uid="{00000000-0005-0000-0000-000081420000}"/>
    <cellStyle name="Финансовый 36 2 5 2 2 3 4 2" xfId="32622" xr:uid="{0C0002E8-3A38-4C0B-A4AF-DD21EFBECD2F}"/>
    <cellStyle name="Финансовый 36 2 5 2 2 3 5" xfId="18690" xr:uid="{00000000-0005-0000-0000-000082420000}"/>
    <cellStyle name="Финансовый 36 2 5 2 2 3 5 2" xfId="35703" xr:uid="{AE275ECA-931A-48E9-BC2B-B2DAA44F398D}"/>
    <cellStyle name="Финансовый 36 2 5 2 2 3 6" xfId="26393" xr:uid="{91BC2C32-6DBF-4846-BC86-5DE03FED947C}"/>
    <cellStyle name="Финансовый 36 2 5 2 2 4" xfId="9294" xr:uid="{00000000-0005-0000-0000-000083420000}"/>
    <cellStyle name="Финансовый 36 2 5 2 2 4 2" xfId="12379" xr:uid="{00000000-0005-0000-0000-000084420000}"/>
    <cellStyle name="Финансовый 36 2 5 2 2 4 2 2" xfId="29468" xr:uid="{04FF2CB6-1673-406D-A591-45EE437DABE8}"/>
    <cellStyle name="Финансовый 36 2 5 2 2 4 3" xfId="15611" xr:uid="{00000000-0005-0000-0000-000085420000}"/>
    <cellStyle name="Финансовый 36 2 5 2 2 4 3 2" xfId="32624" xr:uid="{007954A0-070F-4CC6-8D65-E36AE287C7C8}"/>
    <cellStyle name="Финансовый 36 2 5 2 2 4 4" xfId="18692" xr:uid="{00000000-0005-0000-0000-000086420000}"/>
    <cellStyle name="Финансовый 36 2 5 2 2 4 4 2" xfId="35705" xr:uid="{E0721879-D3EE-47A0-B40F-D30E8D4361F3}"/>
    <cellStyle name="Финансовый 36 2 5 2 2 4 5" xfId="26395" xr:uid="{0CCC4B24-B481-41FD-8CB1-BC23C3CB67C7}"/>
    <cellStyle name="Финансовый 36 2 5 2 2 5" xfId="12372" xr:uid="{00000000-0005-0000-0000-000087420000}"/>
    <cellStyle name="Финансовый 36 2 5 2 2 5 2" xfId="29461" xr:uid="{59FCC31F-885D-45A9-BE42-F9E7D6BF29FE}"/>
    <cellStyle name="Финансовый 36 2 5 2 2 6" xfId="15604" xr:uid="{00000000-0005-0000-0000-000088420000}"/>
    <cellStyle name="Финансовый 36 2 5 2 2 6 2" xfId="32617" xr:uid="{1A5D0E30-0C09-418A-BC69-8D2BBCC86C93}"/>
    <cellStyle name="Финансовый 36 2 5 2 2 7" xfId="18685" xr:uid="{00000000-0005-0000-0000-000089420000}"/>
    <cellStyle name="Финансовый 36 2 5 2 2 7 2" xfId="35698" xr:uid="{184777FF-A09F-46AB-B95B-7E45F296C51A}"/>
    <cellStyle name="Финансовый 36 2 5 2 2 8" xfId="26388" xr:uid="{F5CB2B67-59C7-42B4-B91D-8405B9E7A0E2}"/>
    <cellStyle name="Финансовый 36 2 5 2 3" xfId="9295" xr:uid="{00000000-0005-0000-0000-00008A420000}"/>
    <cellStyle name="Финансовый 36 2 5 2 3 2" xfId="9296" xr:uid="{00000000-0005-0000-0000-00008B420000}"/>
    <cellStyle name="Финансовый 36 2 5 2 3 2 2" xfId="9297" xr:uid="{00000000-0005-0000-0000-00008C420000}"/>
    <cellStyle name="Финансовый 36 2 5 2 3 2 2 2" xfId="12382" xr:uid="{00000000-0005-0000-0000-00008D420000}"/>
    <cellStyle name="Финансовый 36 2 5 2 3 2 2 2 2" xfId="29471" xr:uid="{6E61BD48-2669-4628-921A-DD8426F3117D}"/>
    <cellStyle name="Финансовый 36 2 5 2 3 2 2 3" xfId="15614" xr:uid="{00000000-0005-0000-0000-00008E420000}"/>
    <cellStyle name="Финансовый 36 2 5 2 3 2 2 3 2" xfId="32627" xr:uid="{B3DD9C84-0AE9-4A33-A907-BCF59ACFEDA8}"/>
    <cellStyle name="Финансовый 36 2 5 2 3 2 2 4" xfId="18695" xr:uid="{00000000-0005-0000-0000-00008F420000}"/>
    <cellStyle name="Финансовый 36 2 5 2 3 2 2 4 2" xfId="35708" xr:uid="{43AEA954-1154-405A-9E9A-A6071C785443}"/>
    <cellStyle name="Финансовый 36 2 5 2 3 2 2 5" xfId="26398" xr:uid="{206E08F7-DB12-4BEB-AEF1-417FFEC5D693}"/>
    <cellStyle name="Финансовый 36 2 5 2 3 2 3" xfId="12381" xr:uid="{00000000-0005-0000-0000-000090420000}"/>
    <cellStyle name="Финансовый 36 2 5 2 3 2 3 2" xfId="29470" xr:uid="{D4D86F87-9CBB-491C-A73A-1EF5E2DAD915}"/>
    <cellStyle name="Финансовый 36 2 5 2 3 2 4" xfId="15613" xr:uid="{00000000-0005-0000-0000-000091420000}"/>
    <cellStyle name="Финансовый 36 2 5 2 3 2 4 2" xfId="32626" xr:uid="{9A5CDF34-B47D-4BFF-8AD3-BB0AA43128E4}"/>
    <cellStyle name="Финансовый 36 2 5 2 3 2 5" xfId="18694" xr:uid="{00000000-0005-0000-0000-000092420000}"/>
    <cellStyle name="Финансовый 36 2 5 2 3 2 5 2" xfId="35707" xr:uid="{F9437558-A2AB-4FAE-8A02-B9D32E1A40DF}"/>
    <cellStyle name="Финансовый 36 2 5 2 3 2 6" xfId="26397" xr:uid="{5954C9E7-AE62-4803-82DB-FE2C8696A71A}"/>
    <cellStyle name="Финансовый 36 2 5 2 3 3" xfId="9298" xr:uid="{00000000-0005-0000-0000-000093420000}"/>
    <cellStyle name="Финансовый 36 2 5 2 3 3 2" xfId="12383" xr:uid="{00000000-0005-0000-0000-000094420000}"/>
    <cellStyle name="Финансовый 36 2 5 2 3 3 2 2" xfId="29472" xr:uid="{C16933DF-D2CA-452E-83C4-3F7178FC108B}"/>
    <cellStyle name="Финансовый 36 2 5 2 3 3 3" xfId="15615" xr:uid="{00000000-0005-0000-0000-000095420000}"/>
    <cellStyle name="Финансовый 36 2 5 2 3 3 3 2" xfId="32628" xr:uid="{0A55D12A-3780-4E26-B069-0F528346B489}"/>
    <cellStyle name="Финансовый 36 2 5 2 3 3 4" xfId="18696" xr:uid="{00000000-0005-0000-0000-000096420000}"/>
    <cellStyle name="Финансовый 36 2 5 2 3 3 4 2" xfId="35709" xr:uid="{26C63944-6197-41AC-A29C-48E8FE7A0972}"/>
    <cellStyle name="Финансовый 36 2 5 2 3 3 5" xfId="26399" xr:uid="{821626FF-A356-498D-8D9E-1C7792FFC37C}"/>
    <cellStyle name="Финансовый 36 2 5 2 3 4" xfId="12380" xr:uid="{00000000-0005-0000-0000-000097420000}"/>
    <cellStyle name="Финансовый 36 2 5 2 3 4 2" xfId="29469" xr:uid="{3FEFB8D7-088F-4D86-946A-B220C2FF2D30}"/>
    <cellStyle name="Финансовый 36 2 5 2 3 5" xfId="15612" xr:uid="{00000000-0005-0000-0000-000098420000}"/>
    <cellStyle name="Финансовый 36 2 5 2 3 5 2" xfId="32625" xr:uid="{36613449-F449-4C34-A21A-7453C36A0E80}"/>
    <cellStyle name="Финансовый 36 2 5 2 3 6" xfId="18693" xr:uid="{00000000-0005-0000-0000-000099420000}"/>
    <cellStyle name="Финансовый 36 2 5 2 3 6 2" xfId="35706" xr:uid="{16FC1A77-FADA-4972-A643-8DEE78469156}"/>
    <cellStyle name="Финансовый 36 2 5 2 3 7" xfId="26396" xr:uid="{509D985D-F32B-4BE2-A08B-4210BD2CAD04}"/>
    <cellStyle name="Финансовый 36 2 5 2 4" xfId="9299" xr:uid="{00000000-0005-0000-0000-00009A420000}"/>
    <cellStyle name="Финансовый 36 2 5 2 4 2" xfId="9300" xr:uid="{00000000-0005-0000-0000-00009B420000}"/>
    <cellStyle name="Финансовый 36 2 5 2 4 2 2" xfId="12385" xr:uid="{00000000-0005-0000-0000-00009C420000}"/>
    <cellStyle name="Финансовый 36 2 5 2 4 2 2 2" xfId="29474" xr:uid="{BEC32143-0C63-4B4E-A9D9-E711DD871D6B}"/>
    <cellStyle name="Финансовый 36 2 5 2 4 2 3" xfId="15617" xr:uid="{00000000-0005-0000-0000-00009D420000}"/>
    <cellStyle name="Финансовый 36 2 5 2 4 2 3 2" xfId="32630" xr:uid="{7A48EA47-F0AB-4FC9-8BF4-DE257EDCB65F}"/>
    <cellStyle name="Финансовый 36 2 5 2 4 2 4" xfId="18698" xr:uid="{00000000-0005-0000-0000-00009E420000}"/>
    <cellStyle name="Финансовый 36 2 5 2 4 2 4 2" xfId="35711" xr:uid="{6B688937-AF43-483B-B522-458ED0A46162}"/>
    <cellStyle name="Финансовый 36 2 5 2 4 2 5" xfId="26401" xr:uid="{CB9FCE71-E3CD-4239-AF34-A0D93E2BDFBF}"/>
    <cellStyle name="Финансовый 36 2 5 2 4 3" xfId="12384" xr:uid="{00000000-0005-0000-0000-00009F420000}"/>
    <cellStyle name="Финансовый 36 2 5 2 4 3 2" xfId="29473" xr:uid="{006B4911-6359-44FD-87D4-CB500AEB6130}"/>
    <cellStyle name="Финансовый 36 2 5 2 4 4" xfId="15616" xr:uid="{00000000-0005-0000-0000-0000A0420000}"/>
    <cellStyle name="Финансовый 36 2 5 2 4 4 2" xfId="32629" xr:uid="{1501BBB2-C0D7-4C95-B92A-962DCFFC6A25}"/>
    <cellStyle name="Финансовый 36 2 5 2 4 5" xfId="18697" xr:uid="{00000000-0005-0000-0000-0000A1420000}"/>
    <cellStyle name="Финансовый 36 2 5 2 4 5 2" xfId="35710" xr:uid="{76DDA9FB-DBB4-4DBA-8350-E87FA80BFE36}"/>
    <cellStyle name="Финансовый 36 2 5 2 4 6" xfId="26400" xr:uid="{53F6F9EE-9F59-40B6-9D47-F5E781F18773}"/>
    <cellStyle name="Финансовый 36 2 5 2 5" xfId="9301" xr:uid="{00000000-0005-0000-0000-0000A2420000}"/>
    <cellStyle name="Финансовый 36 2 5 2 5 2" xfId="12386" xr:uid="{00000000-0005-0000-0000-0000A3420000}"/>
    <cellStyle name="Финансовый 36 2 5 2 5 2 2" xfId="29475" xr:uid="{E49E52BA-7D35-4CBE-9E7C-825FFE8582B1}"/>
    <cellStyle name="Финансовый 36 2 5 2 5 3" xfId="15618" xr:uid="{00000000-0005-0000-0000-0000A4420000}"/>
    <cellStyle name="Финансовый 36 2 5 2 5 3 2" xfId="32631" xr:uid="{ED76B85D-0AF0-4396-8E8D-05B4E5D0B797}"/>
    <cellStyle name="Финансовый 36 2 5 2 5 4" xfId="18699" xr:uid="{00000000-0005-0000-0000-0000A5420000}"/>
    <cellStyle name="Финансовый 36 2 5 2 5 4 2" xfId="35712" xr:uid="{8D044573-A07B-4C14-8673-5ADD42A45ED2}"/>
    <cellStyle name="Финансовый 36 2 5 2 5 5" xfId="26402" xr:uid="{6A555600-3816-4F1F-9EF2-B7DF453B6FA8}"/>
    <cellStyle name="Финансовый 36 2 5 2 6" xfId="12371" xr:uid="{00000000-0005-0000-0000-0000A6420000}"/>
    <cellStyle name="Финансовый 36 2 5 2 6 2" xfId="29460" xr:uid="{52E2AAAF-B5B1-4D9D-BDBC-7D37A149F19A}"/>
    <cellStyle name="Финансовый 36 2 5 2 7" xfId="15603" xr:uid="{00000000-0005-0000-0000-0000A7420000}"/>
    <cellStyle name="Финансовый 36 2 5 2 7 2" xfId="32616" xr:uid="{AEAE5BAD-A5DA-4056-ABA2-998C0D1CE118}"/>
    <cellStyle name="Финансовый 36 2 5 2 8" xfId="18684" xr:uid="{00000000-0005-0000-0000-0000A8420000}"/>
    <cellStyle name="Финансовый 36 2 5 2 8 2" xfId="35697" xr:uid="{74622AF5-4CE1-4BE6-9B0E-36F9CC214620}"/>
    <cellStyle name="Финансовый 36 2 5 2 9" xfId="26387" xr:uid="{5A7E7E76-F5DD-4B40-9215-76EB7056EDA8}"/>
    <cellStyle name="Финансовый 36 2 5 3" xfId="9302" xr:uid="{00000000-0005-0000-0000-0000A9420000}"/>
    <cellStyle name="Финансовый 36 2 5 3 2" xfId="9303" xr:uid="{00000000-0005-0000-0000-0000AA420000}"/>
    <cellStyle name="Финансовый 36 2 5 3 2 2" xfId="9304" xr:uid="{00000000-0005-0000-0000-0000AB420000}"/>
    <cellStyle name="Финансовый 36 2 5 3 2 2 2" xfId="9305" xr:uid="{00000000-0005-0000-0000-0000AC420000}"/>
    <cellStyle name="Финансовый 36 2 5 3 2 2 2 2" xfId="12390" xr:uid="{00000000-0005-0000-0000-0000AD420000}"/>
    <cellStyle name="Финансовый 36 2 5 3 2 2 2 2 2" xfId="29479" xr:uid="{E048436D-699C-4966-AB73-A4E79D3EE992}"/>
    <cellStyle name="Финансовый 36 2 5 3 2 2 2 3" xfId="15622" xr:uid="{00000000-0005-0000-0000-0000AE420000}"/>
    <cellStyle name="Финансовый 36 2 5 3 2 2 2 3 2" xfId="32635" xr:uid="{B978EC64-14D1-4088-92D3-9F03F5F63C6D}"/>
    <cellStyle name="Финансовый 36 2 5 3 2 2 2 4" xfId="18703" xr:uid="{00000000-0005-0000-0000-0000AF420000}"/>
    <cellStyle name="Финансовый 36 2 5 3 2 2 2 4 2" xfId="35716" xr:uid="{003AC371-BDC7-41A7-BCAC-3279BAC10CB3}"/>
    <cellStyle name="Финансовый 36 2 5 3 2 2 2 5" xfId="26406" xr:uid="{BA3F310A-EE78-4810-88E8-A65B321FBE67}"/>
    <cellStyle name="Финансовый 36 2 5 3 2 2 3" xfId="12389" xr:uid="{00000000-0005-0000-0000-0000B0420000}"/>
    <cellStyle name="Финансовый 36 2 5 3 2 2 3 2" xfId="29478" xr:uid="{406C2F0B-971D-447B-8744-8E168DC29AA1}"/>
    <cellStyle name="Финансовый 36 2 5 3 2 2 4" xfId="15621" xr:uid="{00000000-0005-0000-0000-0000B1420000}"/>
    <cellStyle name="Финансовый 36 2 5 3 2 2 4 2" xfId="32634" xr:uid="{7342B12F-7BA2-4D04-8266-EBD6AD49B575}"/>
    <cellStyle name="Финансовый 36 2 5 3 2 2 5" xfId="18702" xr:uid="{00000000-0005-0000-0000-0000B2420000}"/>
    <cellStyle name="Финансовый 36 2 5 3 2 2 5 2" xfId="35715" xr:uid="{4AE0115F-78BD-4EA3-BA69-B157FB6CDBF8}"/>
    <cellStyle name="Финансовый 36 2 5 3 2 2 6" xfId="26405" xr:uid="{1F848820-9FEE-4EB9-B876-A810F1DD69FA}"/>
    <cellStyle name="Финансовый 36 2 5 3 2 3" xfId="9306" xr:uid="{00000000-0005-0000-0000-0000B3420000}"/>
    <cellStyle name="Финансовый 36 2 5 3 2 3 2" xfId="12391" xr:uid="{00000000-0005-0000-0000-0000B4420000}"/>
    <cellStyle name="Финансовый 36 2 5 3 2 3 2 2" xfId="29480" xr:uid="{C80B96D9-BCF7-4254-9C74-B2E626A9E809}"/>
    <cellStyle name="Финансовый 36 2 5 3 2 3 3" xfId="15623" xr:uid="{00000000-0005-0000-0000-0000B5420000}"/>
    <cellStyle name="Финансовый 36 2 5 3 2 3 3 2" xfId="32636" xr:uid="{8AD00285-B89C-497D-A4F2-16B8CDF2A9EB}"/>
    <cellStyle name="Финансовый 36 2 5 3 2 3 4" xfId="18704" xr:uid="{00000000-0005-0000-0000-0000B6420000}"/>
    <cellStyle name="Финансовый 36 2 5 3 2 3 4 2" xfId="35717" xr:uid="{118C9DF4-6076-47D3-A847-D1E9D5D3F16A}"/>
    <cellStyle name="Финансовый 36 2 5 3 2 3 5" xfId="26407" xr:uid="{58E299F5-7771-435D-9509-BC7AAD2FBF3F}"/>
    <cellStyle name="Финансовый 36 2 5 3 2 4" xfId="12388" xr:uid="{00000000-0005-0000-0000-0000B7420000}"/>
    <cellStyle name="Финансовый 36 2 5 3 2 4 2" xfId="29477" xr:uid="{67C1B296-6A64-42E0-8340-C3F0541F9215}"/>
    <cellStyle name="Финансовый 36 2 5 3 2 5" xfId="15620" xr:uid="{00000000-0005-0000-0000-0000B8420000}"/>
    <cellStyle name="Финансовый 36 2 5 3 2 5 2" xfId="32633" xr:uid="{0C104D0B-8F29-43DB-A44C-9C015AED05B1}"/>
    <cellStyle name="Финансовый 36 2 5 3 2 6" xfId="18701" xr:uid="{00000000-0005-0000-0000-0000B9420000}"/>
    <cellStyle name="Финансовый 36 2 5 3 2 6 2" xfId="35714" xr:uid="{A3DD9E20-4184-4AB1-AB8E-7ACDC138CD86}"/>
    <cellStyle name="Финансовый 36 2 5 3 2 7" xfId="26404" xr:uid="{2B9D2B0B-5879-479E-A22D-31827FEB4E87}"/>
    <cellStyle name="Финансовый 36 2 5 3 3" xfId="9307" xr:uid="{00000000-0005-0000-0000-0000BA420000}"/>
    <cellStyle name="Финансовый 36 2 5 3 3 2" xfId="9308" xr:uid="{00000000-0005-0000-0000-0000BB420000}"/>
    <cellStyle name="Финансовый 36 2 5 3 3 2 2" xfId="12393" xr:uid="{00000000-0005-0000-0000-0000BC420000}"/>
    <cellStyle name="Финансовый 36 2 5 3 3 2 2 2" xfId="29482" xr:uid="{6E2061AA-6F7A-4A19-B6E2-895FC61867DB}"/>
    <cellStyle name="Финансовый 36 2 5 3 3 2 3" xfId="15625" xr:uid="{00000000-0005-0000-0000-0000BD420000}"/>
    <cellStyle name="Финансовый 36 2 5 3 3 2 3 2" xfId="32638" xr:uid="{9D14573B-3A93-4D8E-9C0D-3BC3B5F2191A}"/>
    <cellStyle name="Финансовый 36 2 5 3 3 2 4" xfId="18706" xr:uid="{00000000-0005-0000-0000-0000BE420000}"/>
    <cellStyle name="Финансовый 36 2 5 3 3 2 4 2" xfId="35719" xr:uid="{1849DE2E-E58B-41E2-A3ED-F10A7C4CE484}"/>
    <cellStyle name="Финансовый 36 2 5 3 3 2 5" xfId="26409" xr:uid="{E0FFA4C3-4684-44D5-B77A-88CB092524AB}"/>
    <cellStyle name="Финансовый 36 2 5 3 3 3" xfId="12392" xr:uid="{00000000-0005-0000-0000-0000BF420000}"/>
    <cellStyle name="Финансовый 36 2 5 3 3 3 2" xfId="29481" xr:uid="{07DEF3B9-EF48-4C1E-9571-7893C1AEA773}"/>
    <cellStyle name="Финансовый 36 2 5 3 3 4" xfId="15624" xr:uid="{00000000-0005-0000-0000-0000C0420000}"/>
    <cellStyle name="Финансовый 36 2 5 3 3 4 2" xfId="32637" xr:uid="{1C9F180E-60C5-4AB2-8347-A76C0BD85DCF}"/>
    <cellStyle name="Финансовый 36 2 5 3 3 5" xfId="18705" xr:uid="{00000000-0005-0000-0000-0000C1420000}"/>
    <cellStyle name="Финансовый 36 2 5 3 3 5 2" xfId="35718" xr:uid="{D73ED34E-581D-4597-9DB0-AE16F214E746}"/>
    <cellStyle name="Финансовый 36 2 5 3 3 6" xfId="26408" xr:uid="{294CCA48-F477-45E8-9E6B-A5B1240DCE8B}"/>
    <cellStyle name="Финансовый 36 2 5 3 4" xfId="9309" xr:uid="{00000000-0005-0000-0000-0000C2420000}"/>
    <cellStyle name="Финансовый 36 2 5 3 4 2" xfId="12394" xr:uid="{00000000-0005-0000-0000-0000C3420000}"/>
    <cellStyle name="Финансовый 36 2 5 3 4 2 2" xfId="29483" xr:uid="{BD1C69C1-89A5-4AC4-81E4-68A81AB3DBFB}"/>
    <cellStyle name="Финансовый 36 2 5 3 4 3" xfId="15626" xr:uid="{00000000-0005-0000-0000-0000C4420000}"/>
    <cellStyle name="Финансовый 36 2 5 3 4 3 2" xfId="32639" xr:uid="{BBDB95F2-3C2E-4A6C-BEFA-25E3A7BCEE8E}"/>
    <cellStyle name="Финансовый 36 2 5 3 4 4" xfId="18707" xr:uid="{00000000-0005-0000-0000-0000C5420000}"/>
    <cellStyle name="Финансовый 36 2 5 3 4 4 2" xfId="35720" xr:uid="{3D48DEEB-8980-48D1-981A-E1C5B88368A2}"/>
    <cellStyle name="Финансовый 36 2 5 3 4 5" xfId="26410" xr:uid="{F578DFEC-32C5-428C-B1DA-0AA832A75A5B}"/>
    <cellStyle name="Финансовый 36 2 5 3 5" xfId="12387" xr:uid="{00000000-0005-0000-0000-0000C6420000}"/>
    <cellStyle name="Финансовый 36 2 5 3 5 2" xfId="29476" xr:uid="{FA4FE340-F860-4DD5-BE20-8CD54856320D}"/>
    <cellStyle name="Финансовый 36 2 5 3 6" xfId="15619" xr:uid="{00000000-0005-0000-0000-0000C7420000}"/>
    <cellStyle name="Финансовый 36 2 5 3 6 2" xfId="32632" xr:uid="{784F8032-0D80-4FBF-866C-951FCEF63CCE}"/>
    <cellStyle name="Финансовый 36 2 5 3 7" xfId="18700" xr:uid="{00000000-0005-0000-0000-0000C8420000}"/>
    <cellStyle name="Финансовый 36 2 5 3 7 2" xfId="35713" xr:uid="{FD71210D-5D22-4FC6-8B41-0A7754A0D431}"/>
    <cellStyle name="Финансовый 36 2 5 3 8" xfId="26403" xr:uid="{90FD6890-C551-4BE8-BF3B-DD1D3019229D}"/>
    <cellStyle name="Финансовый 36 2 5 4" xfId="9310" xr:uid="{00000000-0005-0000-0000-0000C9420000}"/>
    <cellStyle name="Финансовый 36 2 5 4 2" xfId="9311" xr:uid="{00000000-0005-0000-0000-0000CA420000}"/>
    <cellStyle name="Финансовый 36 2 5 4 2 2" xfId="9312" xr:uid="{00000000-0005-0000-0000-0000CB420000}"/>
    <cellStyle name="Финансовый 36 2 5 4 2 2 2" xfId="12397" xr:uid="{00000000-0005-0000-0000-0000CC420000}"/>
    <cellStyle name="Финансовый 36 2 5 4 2 2 2 2" xfId="29486" xr:uid="{7DABEA67-AA47-4B55-9950-CC00A610001D}"/>
    <cellStyle name="Финансовый 36 2 5 4 2 2 3" xfId="15629" xr:uid="{00000000-0005-0000-0000-0000CD420000}"/>
    <cellStyle name="Финансовый 36 2 5 4 2 2 3 2" xfId="32642" xr:uid="{F5D77AF6-BC68-412C-BCD9-94C8B3156317}"/>
    <cellStyle name="Финансовый 36 2 5 4 2 2 4" xfId="18710" xr:uid="{00000000-0005-0000-0000-0000CE420000}"/>
    <cellStyle name="Финансовый 36 2 5 4 2 2 4 2" xfId="35723" xr:uid="{4C9B0AD8-82AE-44B0-B06D-AE26EAFDF7FA}"/>
    <cellStyle name="Финансовый 36 2 5 4 2 2 5" xfId="26413" xr:uid="{E707A304-6A5B-4553-A692-1172BAE2672B}"/>
    <cellStyle name="Финансовый 36 2 5 4 2 3" xfId="12396" xr:uid="{00000000-0005-0000-0000-0000CF420000}"/>
    <cellStyle name="Финансовый 36 2 5 4 2 3 2" xfId="29485" xr:uid="{01D40022-5113-4905-B3B4-455CB47A8C42}"/>
    <cellStyle name="Финансовый 36 2 5 4 2 4" xfId="15628" xr:uid="{00000000-0005-0000-0000-0000D0420000}"/>
    <cellStyle name="Финансовый 36 2 5 4 2 4 2" xfId="32641" xr:uid="{AFDF520D-275B-4ABB-8240-B4D6E4FAA91E}"/>
    <cellStyle name="Финансовый 36 2 5 4 2 5" xfId="18709" xr:uid="{00000000-0005-0000-0000-0000D1420000}"/>
    <cellStyle name="Финансовый 36 2 5 4 2 5 2" xfId="35722" xr:uid="{F3E7E2A6-D95B-4254-ABB6-144FB4FB14D2}"/>
    <cellStyle name="Финансовый 36 2 5 4 2 6" xfId="26412" xr:uid="{5A3CD431-AC03-498F-88BA-687D930C9560}"/>
    <cellStyle name="Финансовый 36 2 5 4 3" xfId="9313" xr:uid="{00000000-0005-0000-0000-0000D2420000}"/>
    <cellStyle name="Финансовый 36 2 5 4 3 2" xfId="12398" xr:uid="{00000000-0005-0000-0000-0000D3420000}"/>
    <cellStyle name="Финансовый 36 2 5 4 3 2 2" xfId="29487" xr:uid="{321E58F7-0D4B-400D-B659-F6A279B55939}"/>
    <cellStyle name="Финансовый 36 2 5 4 3 3" xfId="15630" xr:uid="{00000000-0005-0000-0000-0000D4420000}"/>
    <cellStyle name="Финансовый 36 2 5 4 3 3 2" xfId="32643" xr:uid="{EE69EA17-B653-46B5-880E-AFE390D54A97}"/>
    <cellStyle name="Финансовый 36 2 5 4 3 4" xfId="18711" xr:uid="{00000000-0005-0000-0000-0000D5420000}"/>
    <cellStyle name="Финансовый 36 2 5 4 3 4 2" xfId="35724" xr:uid="{06ADDD9B-7D69-44C4-861D-0FA4FA50C589}"/>
    <cellStyle name="Финансовый 36 2 5 4 3 5" xfId="26414" xr:uid="{7B819BA6-8629-4692-A6F5-05A7BAEE0B37}"/>
    <cellStyle name="Финансовый 36 2 5 4 4" xfId="12395" xr:uid="{00000000-0005-0000-0000-0000D6420000}"/>
    <cellStyle name="Финансовый 36 2 5 4 4 2" xfId="29484" xr:uid="{64CF8CC7-E651-41CC-B656-9F49AC448CE9}"/>
    <cellStyle name="Финансовый 36 2 5 4 5" xfId="15627" xr:uid="{00000000-0005-0000-0000-0000D7420000}"/>
    <cellStyle name="Финансовый 36 2 5 4 5 2" xfId="32640" xr:uid="{FF344FAA-0F91-4356-9362-95016B600AC8}"/>
    <cellStyle name="Финансовый 36 2 5 4 6" xfId="18708" xr:uid="{00000000-0005-0000-0000-0000D8420000}"/>
    <cellStyle name="Финансовый 36 2 5 4 6 2" xfId="35721" xr:uid="{F2109C91-00B5-46BB-80A4-56AABAE57602}"/>
    <cellStyle name="Финансовый 36 2 5 4 7" xfId="26411" xr:uid="{9FA90470-BF63-4A2D-8C19-40DD24209F4D}"/>
    <cellStyle name="Финансовый 36 2 5 5" xfId="9314" xr:uid="{00000000-0005-0000-0000-0000D9420000}"/>
    <cellStyle name="Финансовый 36 2 5 5 2" xfId="9315" xr:uid="{00000000-0005-0000-0000-0000DA420000}"/>
    <cellStyle name="Финансовый 36 2 5 5 2 2" xfId="12400" xr:uid="{00000000-0005-0000-0000-0000DB420000}"/>
    <cellStyle name="Финансовый 36 2 5 5 2 2 2" xfId="29489" xr:uid="{A286316C-DD4B-4E06-B7F0-8C1386DDAC36}"/>
    <cellStyle name="Финансовый 36 2 5 5 2 3" xfId="15632" xr:uid="{00000000-0005-0000-0000-0000DC420000}"/>
    <cellStyle name="Финансовый 36 2 5 5 2 3 2" xfId="32645" xr:uid="{74C24BCC-B51E-439B-BA05-FA105133B4E4}"/>
    <cellStyle name="Финансовый 36 2 5 5 2 4" xfId="18713" xr:uid="{00000000-0005-0000-0000-0000DD420000}"/>
    <cellStyle name="Финансовый 36 2 5 5 2 4 2" xfId="35726" xr:uid="{852216EE-722B-41E4-B6EC-1B8D681D7B49}"/>
    <cellStyle name="Финансовый 36 2 5 5 2 5" xfId="26416" xr:uid="{81436398-860C-4632-9B4E-CD45B27CE46B}"/>
    <cellStyle name="Финансовый 36 2 5 5 3" xfId="12399" xr:uid="{00000000-0005-0000-0000-0000DE420000}"/>
    <cellStyle name="Финансовый 36 2 5 5 3 2" xfId="29488" xr:uid="{7601007F-7C9B-49FC-A741-D474A1161524}"/>
    <cellStyle name="Финансовый 36 2 5 5 4" xfId="15631" xr:uid="{00000000-0005-0000-0000-0000DF420000}"/>
    <cellStyle name="Финансовый 36 2 5 5 4 2" xfId="32644" xr:uid="{5041FE7C-0564-4F8C-AE72-E273CBD10703}"/>
    <cellStyle name="Финансовый 36 2 5 5 5" xfId="18712" xr:uid="{00000000-0005-0000-0000-0000E0420000}"/>
    <cellStyle name="Финансовый 36 2 5 5 5 2" xfId="35725" xr:uid="{FAC64772-D806-412F-8686-564830D6952B}"/>
    <cellStyle name="Финансовый 36 2 5 5 6" xfId="26415" xr:uid="{3FD82535-69E6-48D8-A350-6F1F973D6D63}"/>
    <cellStyle name="Финансовый 36 2 5 6" xfId="9316" xr:uid="{00000000-0005-0000-0000-0000E1420000}"/>
    <cellStyle name="Финансовый 36 2 5 6 2" xfId="12401" xr:uid="{00000000-0005-0000-0000-0000E2420000}"/>
    <cellStyle name="Финансовый 36 2 5 6 2 2" xfId="29490" xr:uid="{48E27042-0EBC-40F0-83FA-28F4A47EE99A}"/>
    <cellStyle name="Финансовый 36 2 5 6 3" xfId="15633" xr:uid="{00000000-0005-0000-0000-0000E3420000}"/>
    <cellStyle name="Финансовый 36 2 5 6 3 2" xfId="32646" xr:uid="{425FE96D-0A57-4C69-AFA4-F826EAD09D39}"/>
    <cellStyle name="Финансовый 36 2 5 6 4" xfId="18714" xr:uid="{00000000-0005-0000-0000-0000E4420000}"/>
    <cellStyle name="Финансовый 36 2 5 6 4 2" xfId="35727" xr:uid="{23650FD9-3A10-458C-A206-E4C7A5910622}"/>
    <cellStyle name="Финансовый 36 2 5 6 5" xfId="26417" xr:uid="{64B16CF7-CF74-40D9-8318-C6C9DEBA2857}"/>
    <cellStyle name="Финансовый 36 2 5 7" xfId="12370" xr:uid="{00000000-0005-0000-0000-0000E5420000}"/>
    <cellStyle name="Финансовый 36 2 5 7 2" xfId="29459" xr:uid="{EB8B28A4-7AB7-4539-A5A3-B6972A41A289}"/>
    <cellStyle name="Финансовый 36 2 5 8" xfId="15602" xr:uid="{00000000-0005-0000-0000-0000E6420000}"/>
    <cellStyle name="Финансовый 36 2 5 8 2" xfId="32615" xr:uid="{972B6CA0-9A4D-45A7-B7F9-0E9AAF682903}"/>
    <cellStyle name="Финансовый 36 2 5 9" xfId="18683" xr:uid="{00000000-0005-0000-0000-0000E7420000}"/>
    <cellStyle name="Финансовый 36 2 5 9 2" xfId="35696" xr:uid="{9D759CBE-E100-4E89-AD07-2726E14A42D4}"/>
    <cellStyle name="Финансовый 36 2 6" xfId="9317" xr:uid="{00000000-0005-0000-0000-0000E8420000}"/>
    <cellStyle name="Финансовый 36 2 6 2" xfId="9318" xr:uid="{00000000-0005-0000-0000-0000E9420000}"/>
    <cellStyle name="Финансовый 36 2 6 2 2" xfId="9319" xr:uid="{00000000-0005-0000-0000-0000EA420000}"/>
    <cellStyle name="Финансовый 36 2 6 2 2 2" xfId="9320" xr:uid="{00000000-0005-0000-0000-0000EB420000}"/>
    <cellStyle name="Финансовый 36 2 6 2 2 2 2" xfId="9321" xr:uid="{00000000-0005-0000-0000-0000EC420000}"/>
    <cellStyle name="Финансовый 36 2 6 2 2 2 2 2" xfId="12406" xr:uid="{00000000-0005-0000-0000-0000ED420000}"/>
    <cellStyle name="Финансовый 36 2 6 2 2 2 2 2 2" xfId="29495" xr:uid="{1B9DDA13-1DEA-4590-A34B-2747F40F5B04}"/>
    <cellStyle name="Финансовый 36 2 6 2 2 2 2 3" xfId="15638" xr:uid="{00000000-0005-0000-0000-0000EE420000}"/>
    <cellStyle name="Финансовый 36 2 6 2 2 2 2 3 2" xfId="32651" xr:uid="{0B386A85-A553-4FDD-A5EF-000940C60853}"/>
    <cellStyle name="Финансовый 36 2 6 2 2 2 2 4" xfId="18719" xr:uid="{00000000-0005-0000-0000-0000EF420000}"/>
    <cellStyle name="Финансовый 36 2 6 2 2 2 2 4 2" xfId="35732" xr:uid="{40044F5F-D3CF-497F-86DE-D7026123263A}"/>
    <cellStyle name="Финансовый 36 2 6 2 2 2 2 5" xfId="26422" xr:uid="{2DEC3948-4B35-429F-B628-E08839AF15E3}"/>
    <cellStyle name="Финансовый 36 2 6 2 2 2 3" xfId="12405" xr:uid="{00000000-0005-0000-0000-0000F0420000}"/>
    <cellStyle name="Финансовый 36 2 6 2 2 2 3 2" xfId="29494" xr:uid="{75120EB6-5DA2-4B18-BFA2-62D8C8293B76}"/>
    <cellStyle name="Финансовый 36 2 6 2 2 2 4" xfId="15637" xr:uid="{00000000-0005-0000-0000-0000F1420000}"/>
    <cellStyle name="Финансовый 36 2 6 2 2 2 4 2" xfId="32650" xr:uid="{B914CCCD-8458-4A3A-BD9F-E274252A1426}"/>
    <cellStyle name="Финансовый 36 2 6 2 2 2 5" xfId="18718" xr:uid="{00000000-0005-0000-0000-0000F2420000}"/>
    <cellStyle name="Финансовый 36 2 6 2 2 2 5 2" xfId="35731" xr:uid="{B52B52A9-ED34-4A28-84F4-580144D6FEE3}"/>
    <cellStyle name="Финансовый 36 2 6 2 2 2 6" xfId="26421" xr:uid="{C1ADD0FA-4C00-494C-B517-0A5B3E163E69}"/>
    <cellStyle name="Финансовый 36 2 6 2 2 3" xfId="9322" xr:uid="{00000000-0005-0000-0000-0000F3420000}"/>
    <cellStyle name="Финансовый 36 2 6 2 2 3 2" xfId="12407" xr:uid="{00000000-0005-0000-0000-0000F4420000}"/>
    <cellStyle name="Финансовый 36 2 6 2 2 3 2 2" xfId="29496" xr:uid="{9F14E7D0-1BD0-4CAF-A363-B76CA15E08DA}"/>
    <cellStyle name="Финансовый 36 2 6 2 2 3 3" xfId="15639" xr:uid="{00000000-0005-0000-0000-0000F5420000}"/>
    <cellStyle name="Финансовый 36 2 6 2 2 3 3 2" xfId="32652" xr:uid="{E465203E-1127-454F-A122-D72661909FD3}"/>
    <cellStyle name="Финансовый 36 2 6 2 2 3 4" xfId="18720" xr:uid="{00000000-0005-0000-0000-0000F6420000}"/>
    <cellStyle name="Финансовый 36 2 6 2 2 3 4 2" xfId="35733" xr:uid="{F8074E92-32D4-4D7D-BCD7-C647552BC791}"/>
    <cellStyle name="Финансовый 36 2 6 2 2 3 5" xfId="26423" xr:uid="{9F9E332C-DFB8-4BA9-B293-B001B267C227}"/>
    <cellStyle name="Финансовый 36 2 6 2 2 4" xfId="12404" xr:uid="{00000000-0005-0000-0000-0000F7420000}"/>
    <cellStyle name="Финансовый 36 2 6 2 2 4 2" xfId="29493" xr:uid="{06FE91DE-86A2-464E-A545-B2F739DB6E2A}"/>
    <cellStyle name="Финансовый 36 2 6 2 2 5" xfId="15636" xr:uid="{00000000-0005-0000-0000-0000F8420000}"/>
    <cellStyle name="Финансовый 36 2 6 2 2 5 2" xfId="32649" xr:uid="{EB9CC56C-9782-47EF-9205-5955817FBBD3}"/>
    <cellStyle name="Финансовый 36 2 6 2 2 6" xfId="18717" xr:uid="{00000000-0005-0000-0000-0000F9420000}"/>
    <cellStyle name="Финансовый 36 2 6 2 2 6 2" xfId="35730" xr:uid="{C4480ED2-9813-43F0-9E16-9BC485EC2200}"/>
    <cellStyle name="Финансовый 36 2 6 2 2 7" xfId="26420" xr:uid="{F88485C0-57D1-4C3C-ADE7-730B4B0E33E8}"/>
    <cellStyle name="Финансовый 36 2 6 2 3" xfId="9323" xr:uid="{00000000-0005-0000-0000-0000FA420000}"/>
    <cellStyle name="Финансовый 36 2 6 2 3 2" xfId="9324" xr:uid="{00000000-0005-0000-0000-0000FB420000}"/>
    <cellStyle name="Финансовый 36 2 6 2 3 2 2" xfId="12409" xr:uid="{00000000-0005-0000-0000-0000FC420000}"/>
    <cellStyle name="Финансовый 36 2 6 2 3 2 2 2" xfId="29498" xr:uid="{4A20A768-EFB3-4EC6-B20A-0614BD52FB00}"/>
    <cellStyle name="Финансовый 36 2 6 2 3 2 3" xfId="15641" xr:uid="{00000000-0005-0000-0000-0000FD420000}"/>
    <cellStyle name="Финансовый 36 2 6 2 3 2 3 2" xfId="32654" xr:uid="{64C0434F-94A9-40A2-9ECA-F8C91E9DDF84}"/>
    <cellStyle name="Финансовый 36 2 6 2 3 2 4" xfId="18722" xr:uid="{00000000-0005-0000-0000-0000FE420000}"/>
    <cellStyle name="Финансовый 36 2 6 2 3 2 4 2" xfId="35735" xr:uid="{136B5193-D9C0-4728-B891-E7CB25E64A4E}"/>
    <cellStyle name="Финансовый 36 2 6 2 3 2 5" xfId="26425" xr:uid="{E8775DC1-D92E-43B2-9D12-8E092CEF0A6C}"/>
    <cellStyle name="Финансовый 36 2 6 2 3 3" xfId="12408" xr:uid="{00000000-0005-0000-0000-0000FF420000}"/>
    <cellStyle name="Финансовый 36 2 6 2 3 3 2" xfId="29497" xr:uid="{62AD22F5-92FF-4181-91FF-ABA7BAEF6A52}"/>
    <cellStyle name="Финансовый 36 2 6 2 3 4" xfId="15640" xr:uid="{00000000-0005-0000-0000-000000430000}"/>
    <cellStyle name="Финансовый 36 2 6 2 3 4 2" xfId="32653" xr:uid="{3BE288E3-A2BD-40BA-AC29-56F89ABADFFC}"/>
    <cellStyle name="Финансовый 36 2 6 2 3 5" xfId="18721" xr:uid="{00000000-0005-0000-0000-000001430000}"/>
    <cellStyle name="Финансовый 36 2 6 2 3 5 2" xfId="35734" xr:uid="{85D18401-EB86-43F9-800E-B476222C3455}"/>
    <cellStyle name="Финансовый 36 2 6 2 3 6" xfId="26424" xr:uid="{B13F3460-1FE6-4764-8759-C8BF2C4F3825}"/>
    <cellStyle name="Финансовый 36 2 6 2 4" xfId="9325" xr:uid="{00000000-0005-0000-0000-000002430000}"/>
    <cellStyle name="Финансовый 36 2 6 2 4 2" xfId="12410" xr:uid="{00000000-0005-0000-0000-000003430000}"/>
    <cellStyle name="Финансовый 36 2 6 2 4 2 2" xfId="29499" xr:uid="{53DD0C91-5CB3-429C-866D-4200F50BF5B2}"/>
    <cellStyle name="Финансовый 36 2 6 2 4 3" xfId="15642" xr:uid="{00000000-0005-0000-0000-000004430000}"/>
    <cellStyle name="Финансовый 36 2 6 2 4 3 2" xfId="32655" xr:uid="{6CFD30AB-E624-4ED1-B454-F9AF2A417696}"/>
    <cellStyle name="Финансовый 36 2 6 2 4 4" xfId="18723" xr:uid="{00000000-0005-0000-0000-000005430000}"/>
    <cellStyle name="Финансовый 36 2 6 2 4 4 2" xfId="35736" xr:uid="{579BD044-3AAC-4C9B-B185-B15C5ACBC009}"/>
    <cellStyle name="Финансовый 36 2 6 2 4 5" xfId="26426" xr:uid="{70B1D3D9-A489-459F-B240-0532B784AB99}"/>
    <cellStyle name="Финансовый 36 2 6 2 5" xfId="12403" xr:uid="{00000000-0005-0000-0000-000006430000}"/>
    <cellStyle name="Финансовый 36 2 6 2 5 2" xfId="29492" xr:uid="{C06A3A76-EC6F-4547-B4B0-6635FE9D6B85}"/>
    <cellStyle name="Финансовый 36 2 6 2 6" xfId="15635" xr:uid="{00000000-0005-0000-0000-000007430000}"/>
    <cellStyle name="Финансовый 36 2 6 2 6 2" xfId="32648" xr:uid="{05683E9F-D270-4942-A1D0-7A266ACEF9A4}"/>
    <cellStyle name="Финансовый 36 2 6 2 7" xfId="18716" xr:uid="{00000000-0005-0000-0000-000008430000}"/>
    <cellStyle name="Финансовый 36 2 6 2 7 2" xfId="35729" xr:uid="{C9CEB722-6C8B-4E3D-84C0-F5F8CC38AFA3}"/>
    <cellStyle name="Финансовый 36 2 6 2 8" xfId="26419" xr:uid="{916629E5-D0E0-4D24-8FF8-D157BCC57C41}"/>
    <cellStyle name="Финансовый 36 2 6 3" xfId="9326" xr:uid="{00000000-0005-0000-0000-000009430000}"/>
    <cellStyle name="Финансовый 36 2 6 3 2" xfId="9327" xr:uid="{00000000-0005-0000-0000-00000A430000}"/>
    <cellStyle name="Финансовый 36 2 6 3 2 2" xfId="9328" xr:uid="{00000000-0005-0000-0000-00000B430000}"/>
    <cellStyle name="Финансовый 36 2 6 3 2 2 2" xfId="12413" xr:uid="{00000000-0005-0000-0000-00000C430000}"/>
    <cellStyle name="Финансовый 36 2 6 3 2 2 2 2" xfId="29502" xr:uid="{C135A89A-EDE4-4CC3-A627-74DB5705533E}"/>
    <cellStyle name="Финансовый 36 2 6 3 2 2 3" xfId="15645" xr:uid="{00000000-0005-0000-0000-00000D430000}"/>
    <cellStyle name="Финансовый 36 2 6 3 2 2 3 2" xfId="32658" xr:uid="{D6D7F50B-A616-4A67-8142-D61E753943ED}"/>
    <cellStyle name="Финансовый 36 2 6 3 2 2 4" xfId="18726" xr:uid="{00000000-0005-0000-0000-00000E430000}"/>
    <cellStyle name="Финансовый 36 2 6 3 2 2 4 2" xfId="35739" xr:uid="{58CB6E60-E6A5-4A78-9D49-8A6F01612760}"/>
    <cellStyle name="Финансовый 36 2 6 3 2 2 5" xfId="26429" xr:uid="{C69677FA-C687-481E-9962-07CA308B3EB3}"/>
    <cellStyle name="Финансовый 36 2 6 3 2 3" xfId="12412" xr:uid="{00000000-0005-0000-0000-00000F430000}"/>
    <cellStyle name="Финансовый 36 2 6 3 2 3 2" xfId="29501" xr:uid="{87E82B15-3389-43F3-801A-17420577FB47}"/>
    <cellStyle name="Финансовый 36 2 6 3 2 4" xfId="15644" xr:uid="{00000000-0005-0000-0000-000010430000}"/>
    <cellStyle name="Финансовый 36 2 6 3 2 4 2" xfId="32657" xr:uid="{06CA4C20-B891-4150-920D-F898AE020D26}"/>
    <cellStyle name="Финансовый 36 2 6 3 2 5" xfId="18725" xr:uid="{00000000-0005-0000-0000-000011430000}"/>
    <cellStyle name="Финансовый 36 2 6 3 2 5 2" xfId="35738" xr:uid="{BAAE488A-AEE2-496A-A84B-83CAE73D4F2D}"/>
    <cellStyle name="Финансовый 36 2 6 3 2 6" xfId="26428" xr:uid="{15773973-3583-435C-B4DC-EC15807F48BC}"/>
    <cellStyle name="Финансовый 36 2 6 3 3" xfId="9329" xr:uid="{00000000-0005-0000-0000-000012430000}"/>
    <cellStyle name="Финансовый 36 2 6 3 3 2" xfId="12414" xr:uid="{00000000-0005-0000-0000-000013430000}"/>
    <cellStyle name="Финансовый 36 2 6 3 3 2 2" xfId="29503" xr:uid="{B120FD89-6C14-4DBD-94C4-B6E35ADDC5F7}"/>
    <cellStyle name="Финансовый 36 2 6 3 3 3" xfId="15646" xr:uid="{00000000-0005-0000-0000-000014430000}"/>
    <cellStyle name="Финансовый 36 2 6 3 3 3 2" xfId="32659" xr:uid="{4A7232BB-1307-4898-86A3-468F9924A29D}"/>
    <cellStyle name="Финансовый 36 2 6 3 3 4" xfId="18727" xr:uid="{00000000-0005-0000-0000-000015430000}"/>
    <cellStyle name="Финансовый 36 2 6 3 3 4 2" xfId="35740" xr:uid="{057963CC-A44A-4767-9B1F-B3D61FFDFDB7}"/>
    <cellStyle name="Финансовый 36 2 6 3 3 5" xfId="26430" xr:uid="{D3CAED2C-C3D5-4EC3-9A3B-A94A823246A8}"/>
    <cellStyle name="Финансовый 36 2 6 3 4" xfId="12411" xr:uid="{00000000-0005-0000-0000-000016430000}"/>
    <cellStyle name="Финансовый 36 2 6 3 4 2" xfId="29500" xr:uid="{ED09C433-01E7-46C5-9D39-DFC7F9CAAB32}"/>
    <cellStyle name="Финансовый 36 2 6 3 5" xfId="15643" xr:uid="{00000000-0005-0000-0000-000017430000}"/>
    <cellStyle name="Финансовый 36 2 6 3 5 2" xfId="32656" xr:uid="{497CA36C-7F5C-44FD-B12A-0659086C6660}"/>
    <cellStyle name="Финансовый 36 2 6 3 6" xfId="18724" xr:uid="{00000000-0005-0000-0000-000018430000}"/>
    <cellStyle name="Финансовый 36 2 6 3 6 2" xfId="35737" xr:uid="{C2837328-E25B-4F73-A20C-900EA6343F03}"/>
    <cellStyle name="Финансовый 36 2 6 3 7" xfId="26427" xr:uid="{374F8684-DE2A-43AD-9412-EA99A44EE297}"/>
    <cellStyle name="Финансовый 36 2 6 4" xfId="9330" xr:uid="{00000000-0005-0000-0000-000019430000}"/>
    <cellStyle name="Финансовый 36 2 6 4 2" xfId="9331" xr:uid="{00000000-0005-0000-0000-00001A430000}"/>
    <cellStyle name="Финансовый 36 2 6 4 2 2" xfId="12416" xr:uid="{00000000-0005-0000-0000-00001B430000}"/>
    <cellStyle name="Финансовый 36 2 6 4 2 2 2" xfId="29505" xr:uid="{9BFAFA89-B00E-467B-A3E9-D6A9BEBE7E8E}"/>
    <cellStyle name="Финансовый 36 2 6 4 2 3" xfId="15648" xr:uid="{00000000-0005-0000-0000-00001C430000}"/>
    <cellStyle name="Финансовый 36 2 6 4 2 3 2" xfId="32661" xr:uid="{C98CC0B1-1706-40D9-B112-B2E470F64607}"/>
    <cellStyle name="Финансовый 36 2 6 4 2 4" xfId="18729" xr:uid="{00000000-0005-0000-0000-00001D430000}"/>
    <cellStyle name="Финансовый 36 2 6 4 2 4 2" xfId="35742" xr:uid="{4933C505-2650-45B0-8471-C06B21097596}"/>
    <cellStyle name="Финансовый 36 2 6 4 2 5" xfId="26432" xr:uid="{77D7EF8C-FBD3-4705-BE5A-AE3F1D434916}"/>
    <cellStyle name="Финансовый 36 2 6 4 3" xfId="12415" xr:uid="{00000000-0005-0000-0000-00001E430000}"/>
    <cellStyle name="Финансовый 36 2 6 4 3 2" xfId="29504" xr:uid="{8CD9F8D2-6A70-4A9E-8376-7A8B0F0E3E59}"/>
    <cellStyle name="Финансовый 36 2 6 4 4" xfId="15647" xr:uid="{00000000-0005-0000-0000-00001F430000}"/>
    <cellStyle name="Финансовый 36 2 6 4 4 2" xfId="32660" xr:uid="{A87728A7-FE6E-4618-A3EC-7756DEE2EB94}"/>
    <cellStyle name="Финансовый 36 2 6 4 5" xfId="18728" xr:uid="{00000000-0005-0000-0000-000020430000}"/>
    <cellStyle name="Финансовый 36 2 6 4 5 2" xfId="35741" xr:uid="{8940BCE5-25B0-4D3A-8E18-AC5B3B4668BE}"/>
    <cellStyle name="Финансовый 36 2 6 4 6" xfId="26431" xr:uid="{C85571FF-0CBD-4A57-B45B-008A7D2A8338}"/>
    <cellStyle name="Финансовый 36 2 6 5" xfId="9332" xr:uid="{00000000-0005-0000-0000-000021430000}"/>
    <cellStyle name="Финансовый 36 2 6 5 2" xfId="12417" xr:uid="{00000000-0005-0000-0000-000022430000}"/>
    <cellStyle name="Финансовый 36 2 6 5 2 2" xfId="29506" xr:uid="{789A5280-EBE6-4943-8E12-62421D28B3DD}"/>
    <cellStyle name="Финансовый 36 2 6 5 3" xfId="15649" xr:uid="{00000000-0005-0000-0000-000023430000}"/>
    <cellStyle name="Финансовый 36 2 6 5 3 2" xfId="32662" xr:uid="{B3AFB178-5421-436D-B7C7-CE7BB0F4B4F1}"/>
    <cellStyle name="Финансовый 36 2 6 5 4" xfId="18730" xr:uid="{00000000-0005-0000-0000-000024430000}"/>
    <cellStyle name="Финансовый 36 2 6 5 4 2" xfId="35743" xr:uid="{4E89ED7B-953B-4CA4-B82B-38D43BE8105F}"/>
    <cellStyle name="Финансовый 36 2 6 5 5" xfId="26433" xr:uid="{50EB9353-9D19-4032-8175-03D22D420F18}"/>
    <cellStyle name="Финансовый 36 2 6 6" xfId="12402" xr:uid="{00000000-0005-0000-0000-000025430000}"/>
    <cellStyle name="Финансовый 36 2 6 6 2" xfId="29491" xr:uid="{F4630D2A-126B-49A8-B1C3-C02DBDDA495E}"/>
    <cellStyle name="Финансовый 36 2 6 7" xfId="15634" xr:uid="{00000000-0005-0000-0000-000026430000}"/>
    <cellStyle name="Финансовый 36 2 6 7 2" xfId="32647" xr:uid="{BB509B3A-F629-41E7-8EA7-4B788E38C764}"/>
    <cellStyle name="Финансовый 36 2 6 8" xfId="18715" xr:uid="{00000000-0005-0000-0000-000027430000}"/>
    <cellStyle name="Финансовый 36 2 6 8 2" xfId="35728" xr:uid="{E6322D34-17D3-4104-990B-B01937B90EB7}"/>
    <cellStyle name="Финансовый 36 2 6 9" xfId="26418" xr:uid="{D2B953A0-F9CC-41CA-882D-217E81F57C7E}"/>
    <cellStyle name="Финансовый 36 2 7" xfId="9333" xr:uid="{00000000-0005-0000-0000-000028430000}"/>
    <cellStyle name="Финансовый 36 2 7 2" xfId="9334" xr:uid="{00000000-0005-0000-0000-000029430000}"/>
    <cellStyle name="Финансовый 36 2 7 2 2" xfId="9335" xr:uid="{00000000-0005-0000-0000-00002A430000}"/>
    <cellStyle name="Финансовый 36 2 7 2 2 2" xfId="9336" xr:uid="{00000000-0005-0000-0000-00002B430000}"/>
    <cellStyle name="Финансовый 36 2 7 2 2 2 2" xfId="12421" xr:uid="{00000000-0005-0000-0000-00002C430000}"/>
    <cellStyle name="Финансовый 36 2 7 2 2 2 2 2" xfId="29510" xr:uid="{D7CF5B5D-6FC0-452C-844E-C7819FF14415}"/>
    <cellStyle name="Финансовый 36 2 7 2 2 2 3" xfId="15653" xr:uid="{00000000-0005-0000-0000-00002D430000}"/>
    <cellStyle name="Финансовый 36 2 7 2 2 2 3 2" xfId="32666" xr:uid="{5CC09DAE-FF7E-4A31-BCE4-69CCF3F28EC6}"/>
    <cellStyle name="Финансовый 36 2 7 2 2 2 4" xfId="18734" xr:uid="{00000000-0005-0000-0000-00002E430000}"/>
    <cellStyle name="Финансовый 36 2 7 2 2 2 4 2" xfId="35747" xr:uid="{8DB968BD-9B0B-4875-9144-526A02740EDC}"/>
    <cellStyle name="Финансовый 36 2 7 2 2 2 5" xfId="26437" xr:uid="{2A2B3434-60C7-40A7-A7E6-4EC4F35A70B5}"/>
    <cellStyle name="Финансовый 36 2 7 2 2 3" xfId="12420" xr:uid="{00000000-0005-0000-0000-00002F430000}"/>
    <cellStyle name="Финансовый 36 2 7 2 2 3 2" xfId="29509" xr:uid="{104EC8F1-D379-4282-ABDC-DD2571FC2656}"/>
    <cellStyle name="Финансовый 36 2 7 2 2 4" xfId="15652" xr:uid="{00000000-0005-0000-0000-000030430000}"/>
    <cellStyle name="Финансовый 36 2 7 2 2 4 2" xfId="32665" xr:uid="{C7A568F6-776C-49B3-8793-33408ACB3CB9}"/>
    <cellStyle name="Финансовый 36 2 7 2 2 5" xfId="18733" xr:uid="{00000000-0005-0000-0000-000031430000}"/>
    <cellStyle name="Финансовый 36 2 7 2 2 5 2" xfId="35746" xr:uid="{48B64E14-6FFB-43D7-8657-2438B3D85A9F}"/>
    <cellStyle name="Финансовый 36 2 7 2 2 6" xfId="26436" xr:uid="{7321597B-D4DB-4593-84F3-6360F3621D47}"/>
    <cellStyle name="Финансовый 36 2 7 2 3" xfId="9337" xr:uid="{00000000-0005-0000-0000-000032430000}"/>
    <cellStyle name="Финансовый 36 2 7 2 3 2" xfId="12422" xr:uid="{00000000-0005-0000-0000-000033430000}"/>
    <cellStyle name="Финансовый 36 2 7 2 3 2 2" xfId="29511" xr:uid="{672740C9-E163-4620-9918-D09AC93C4050}"/>
    <cellStyle name="Финансовый 36 2 7 2 3 3" xfId="15654" xr:uid="{00000000-0005-0000-0000-000034430000}"/>
    <cellStyle name="Финансовый 36 2 7 2 3 3 2" xfId="32667" xr:uid="{FCA082A7-C457-4057-A704-3A520AB7257B}"/>
    <cellStyle name="Финансовый 36 2 7 2 3 4" xfId="18735" xr:uid="{00000000-0005-0000-0000-000035430000}"/>
    <cellStyle name="Финансовый 36 2 7 2 3 4 2" xfId="35748" xr:uid="{11844A48-FFC5-4622-9270-FE78FE6ED328}"/>
    <cellStyle name="Финансовый 36 2 7 2 3 5" xfId="26438" xr:uid="{F3D8984F-33D6-4C4F-83CA-37ABADEED92D}"/>
    <cellStyle name="Финансовый 36 2 7 2 4" xfId="12419" xr:uid="{00000000-0005-0000-0000-000036430000}"/>
    <cellStyle name="Финансовый 36 2 7 2 4 2" xfId="29508" xr:uid="{8B788040-67A6-4418-A024-10D2C88514C7}"/>
    <cellStyle name="Финансовый 36 2 7 2 5" xfId="15651" xr:uid="{00000000-0005-0000-0000-000037430000}"/>
    <cellStyle name="Финансовый 36 2 7 2 5 2" xfId="32664" xr:uid="{59A400DE-8BB8-4C5D-8580-6B0157D09D11}"/>
    <cellStyle name="Финансовый 36 2 7 2 6" xfId="18732" xr:uid="{00000000-0005-0000-0000-000038430000}"/>
    <cellStyle name="Финансовый 36 2 7 2 6 2" xfId="35745" xr:uid="{14F13FDB-FC35-4BA5-BAA4-6C32DD312030}"/>
    <cellStyle name="Финансовый 36 2 7 2 7" xfId="26435" xr:uid="{991984E3-69AB-45EE-9E1D-121E4B4B433D}"/>
    <cellStyle name="Финансовый 36 2 7 3" xfId="9338" xr:uid="{00000000-0005-0000-0000-000039430000}"/>
    <cellStyle name="Финансовый 36 2 7 3 2" xfId="9339" xr:uid="{00000000-0005-0000-0000-00003A430000}"/>
    <cellStyle name="Финансовый 36 2 7 3 2 2" xfId="12424" xr:uid="{00000000-0005-0000-0000-00003B430000}"/>
    <cellStyle name="Финансовый 36 2 7 3 2 2 2" xfId="29513" xr:uid="{C3FDF683-422A-43DF-A71E-CB5858E75943}"/>
    <cellStyle name="Финансовый 36 2 7 3 2 3" xfId="15656" xr:uid="{00000000-0005-0000-0000-00003C430000}"/>
    <cellStyle name="Финансовый 36 2 7 3 2 3 2" xfId="32669" xr:uid="{1111D9DD-6416-4F5B-962C-9DA3F4E92855}"/>
    <cellStyle name="Финансовый 36 2 7 3 2 4" xfId="18737" xr:uid="{00000000-0005-0000-0000-00003D430000}"/>
    <cellStyle name="Финансовый 36 2 7 3 2 4 2" xfId="35750" xr:uid="{89D8C030-883A-4895-8CC7-FF85A41D0E4C}"/>
    <cellStyle name="Финансовый 36 2 7 3 2 5" xfId="26440" xr:uid="{DE67A03D-D48F-4956-AC92-2D982823B201}"/>
    <cellStyle name="Финансовый 36 2 7 3 3" xfId="12423" xr:uid="{00000000-0005-0000-0000-00003E430000}"/>
    <cellStyle name="Финансовый 36 2 7 3 3 2" xfId="29512" xr:uid="{DBB24209-B5C1-4862-B9B8-E0DE94FB5649}"/>
    <cellStyle name="Финансовый 36 2 7 3 4" xfId="15655" xr:uid="{00000000-0005-0000-0000-00003F430000}"/>
    <cellStyle name="Финансовый 36 2 7 3 4 2" xfId="32668" xr:uid="{4D68BAD0-E165-4ECB-9410-2796FE920314}"/>
    <cellStyle name="Финансовый 36 2 7 3 5" xfId="18736" xr:uid="{00000000-0005-0000-0000-000040430000}"/>
    <cellStyle name="Финансовый 36 2 7 3 5 2" xfId="35749" xr:uid="{A741C603-B62C-4D57-9EC6-99551815A35D}"/>
    <cellStyle name="Финансовый 36 2 7 3 6" xfId="26439" xr:uid="{FC3FC33E-7B3D-431A-B5AF-FC21942E1A83}"/>
    <cellStyle name="Финансовый 36 2 7 4" xfId="9340" xr:uid="{00000000-0005-0000-0000-000041430000}"/>
    <cellStyle name="Финансовый 36 2 7 4 2" xfId="12425" xr:uid="{00000000-0005-0000-0000-000042430000}"/>
    <cellStyle name="Финансовый 36 2 7 4 2 2" xfId="29514" xr:uid="{D413C6C4-6424-4C38-9B5F-77EE8013403D}"/>
    <cellStyle name="Финансовый 36 2 7 4 3" xfId="15657" xr:uid="{00000000-0005-0000-0000-000043430000}"/>
    <cellStyle name="Финансовый 36 2 7 4 3 2" xfId="32670" xr:uid="{FF75878A-F560-4915-995A-E3A0485EA854}"/>
    <cellStyle name="Финансовый 36 2 7 4 4" xfId="18738" xr:uid="{00000000-0005-0000-0000-000044430000}"/>
    <cellStyle name="Финансовый 36 2 7 4 4 2" xfId="35751" xr:uid="{991188E6-4FB1-44DE-9562-56AE8B13DE51}"/>
    <cellStyle name="Финансовый 36 2 7 4 5" xfId="26441" xr:uid="{AB211C00-6C3E-4885-862F-0E0E7F736D96}"/>
    <cellStyle name="Финансовый 36 2 7 5" xfId="12418" xr:uid="{00000000-0005-0000-0000-000045430000}"/>
    <cellStyle name="Финансовый 36 2 7 5 2" xfId="29507" xr:uid="{3435547C-B828-47AE-9CA4-CD8613AE3A75}"/>
    <cellStyle name="Финансовый 36 2 7 6" xfId="15650" xr:uid="{00000000-0005-0000-0000-000046430000}"/>
    <cellStyle name="Финансовый 36 2 7 6 2" xfId="32663" xr:uid="{1653021C-CC1C-4488-AB1B-58F5295031CA}"/>
    <cellStyle name="Финансовый 36 2 7 7" xfId="18731" xr:uid="{00000000-0005-0000-0000-000047430000}"/>
    <cellStyle name="Финансовый 36 2 7 7 2" xfId="35744" xr:uid="{AC0975B9-352C-4CBC-BB0E-19EA1BE201B6}"/>
    <cellStyle name="Финансовый 36 2 7 8" xfId="26434" xr:uid="{F1B00948-EA0F-4C7A-B92D-0FE8878986C5}"/>
    <cellStyle name="Финансовый 36 2 8" xfId="9341" xr:uid="{00000000-0005-0000-0000-000048430000}"/>
    <cellStyle name="Финансовый 36 2 8 2" xfId="9342" xr:uid="{00000000-0005-0000-0000-000049430000}"/>
    <cellStyle name="Финансовый 36 2 8 2 2" xfId="9343" xr:uid="{00000000-0005-0000-0000-00004A430000}"/>
    <cellStyle name="Финансовый 36 2 8 2 2 2" xfId="12428" xr:uid="{00000000-0005-0000-0000-00004B430000}"/>
    <cellStyle name="Финансовый 36 2 8 2 2 2 2" xfId="29517" xr:uid="{55E1A5AA-581A-4455-B0B4-1EDBF7333CE7}"/>
    <cellStyle name="Финансовый 36 2 8 2 2 3" xfId="15660" xr:uid="{00000000-0005-0000-0000-00004C430000}"/>
    <cellStyle name="Финансовый 36 2 8 2 2 3 2" xfId="32673" xr:uid="{539D7D5B-CCB9-4260-AAB9-984AC0BEE6F6}"/>
    <cellStyle name="Финансовый 36 2 8 2 2 4" xfId="18741" xr:uid="{00000000-0005-0000-0000-00004D430000}"/>
    <cellStyle name="Финансовый 36 2 8 2 2 4 2" xfId="35754" xr:uid="{89E5B190-C2B6-4127-87AE-11FE2204F44E}"/>
    <cellStyle name="Финансовый 36 2 8 2 2 5" xfId="26444" xr:uid="{5F89D450-B713-4CF6-B451-DFEE261F02BD}"/>
    <cellStyle name="Финансовый 36 2 8 2 3" xfId="12427" xr:uid="{00000000-0005-0000-0000-00004E430000}"/>
    <cellStyle name="Финансовый 36 2 8 2 3 2" xfId="29516" xr:uid="{1BF12730-A244-47BE-A843-D87F8FAF23EA}"/>
    <cellStyle name="Финансовый 36 2 8 2 4" xfId="15659" xr:uid="{00000000-0005-0000-0000-00004F430000}"/>
    <cellStyle name="Финансовый 36 2 8 2 4 2" xfId="32672" xr:uid="{8E93B617-8517-406A-83F3-F6F485315678}"/>
    <cellStyle name="Финансовый 36 2 8 2 5" xfId="18740" xr:uid="{00000000-0005-0000-0000-000050430000}"/>
    <cellStyle name="Финансовый 36 2 8 2 5 2" xfId="35753" xr:uid="{8F785D5F-E704-44AB-A12A-05BEBFA9B2CB}"/>
    <cellStyle name="Финансовый 36 2 8 2 6" xfId="26443" xr:uid="{CB8D1142-A9B1-4135-B784-0FE75A5E6A08}"/>
    <cellStyle name="Финансовый 36 2 8 3" xfId="9344" xr:uid="{00000000-0005-0000-0000-000051430000}"/>
    <cellStyle name="Финансовый 36 2 8 3 2" xfId="12429" xr:uid="{00000000-0005-0000-0000-000052430000}"/>
    <cellStyle name="Финансовый 36 2 8 3 2 2" xfId="29518" xr:uid="{BE0443F2-E54F-4D8B-BD2C-8F75D1D34CD9}"/>
    <cellStyle name="Финансовый 36 2 8 3 3" xfId="15661" xr:uid="{00000000-0005-0000-0000-000053430000}"/>
    <cellStyle name="Финансовый 36 2 8 3 3 2" xfId="32674" xr:uid="{2B92C02D-13BE-4214-A40F-0C1EDA2E249F}"/>
    <cellStyle name="Финансовый 36 2 8 3 4" xfId="18742" xr:uid="{00000000-0005-0000-0000-000054430000}"/>
    <cellStyle name="Финансовый 36 2 8 3 4 2" xfId="35755" xr:uid="{D3C69F52-FFFF-4FAD-BE95-1F8C93B0FF82}"/>
    <cellStyle name="Финансовый 36 2 8 3 5" xfId="26445" xr:uid="{F676B42B-D98B-48F9-893B-6D4320B5F519}"/>
    <cellStyle name="Финансовый 36 2 8 4" xfId="12426" xr:uid="{00000000-0005-0000-0000-000055430000}"/>
    <cellStyle name="Финансовый 36 2 8 4 2" xfId="29515" xr:uid="{B35AEDD0-16A5-4964-91B3-F0357E817328}"/>
    <cellStyle name="Финансовый 36 2 8 5" xfId="15658" xr:uid="{00000000-0005-0000-0000-000056430000}"/>
    <cellStyle name="Финансовый 36 2 8 5 2" xfId="32671" xr:uid="{264E46D0-CC84-4133-A8BE-5CC7BE3EEF01}"/>
    <cellStyle name="Финансовый 36 2 8 6" xfId="18739" xr:uid="{00000000-0005-0000-0000-000057430000}"/>
    <cellStyle name="Финансовый 36 2 8 6 2" xfId="35752" xr:uid="{81AA8B52-370A-4800-A727-87CE083182EC}"/>
    <cellStyle name="Финансовый 36 2 8 7" xfId="26442" xr:uid="{65233D05-469E-4BCD-8449-65DE99AE8F47}"/>
    <cellStyle name="Финансовый 36 2 9" xfId="9345" xr:uid="{00000000-0005-0000-0000-000058430000}"/>
    <cellStyle name="Финансовый 36 2 9 2" xfId="9346" xr:uid="{00000000-0005-0000-0000-000059430000}"/>
    <cellStyle name="Финансовый 36 2 9 2 2" xfId="12431" xr:uid="{00000000-0005-0000-0000-00005A430000}"/>
    <cellStyle name="Финансовый 36 2 9 2 2 2" xfId="29520" xr:uid="{411420F4-13E9-4363-AB63-DD1823D95087}"/>
    <cellStyle name="Финансовый 36 2 9 2 3" xfId="15663" xr:uid="{00000000-0005-0000-0000-00005B430000}"/>
    <cellStyle name="Финансовый 36 2 9 2 3 2" xfId="32676" xr:uid="{506C8DCE-EE74-4255-915B-0212C628E5B8}"/>
    <cellStyle name="Финансовый 36 2 9 2 4" xfId="18744" xr:uid="{00000000-0005-0000-0000-00005C430000}"/>
    <cellStyle name="Финансовый 36 2 9 2 4 2" xfId="35757" xr:uid="{73EFBD8D-7E26-4CA0-BFC8-0E92C8BB5292}"/>
    <cellStyle name="Финансовый 36 2 9 2 5" xfId="26447" xr:uid="{F01E4EAC-D3DF-4D9F-B6D5-29F7224CE803}"/>
    <cellStyle name="Финансовый 36 2 9 3" xfId="12430" xr:uid="{00000000-0005-0000-0000-00005D430000}"/>
    <cellStyle name="Финансовый 36 2 9 3 2" xfId="29519" xr:uid="{6AB6B61F-7257-4EBA-923C-171C18AFF200}"/>
    <cellStyle name="Финансовый 36 2 9 4" xfId="15662" xr:uid="{00000000-0005-0000-0000-00005E430000}"/>
    <cellStyle name="Финансовый 36 2 9 4 2" xfId="32675" xr:uid="{3698B5FF-C83F-476B-80F9-641DA7D2E5C4}"/>
    <cellStyle name="Финансовый 36 2 9 5" xfId="18743" xr:uid="{00000000-0005-0000-0000-00005F430000}"/>
    <cellStyle name="Финансовый 36 2 9 5 2" xfId="35756" xr:uid="{F0922401-CBD3-4ACA-82C9-19B5F187F81D}"/>
    <cellStyle name="Финансовый 36 2 9 6" xfId="26446" xr:uid="{CDAB6158-7053-4D7E-B6BB-CBF26273D594}"/>
    <cellStyle name="Финансовый 36 3" xfId="9347" xr:uid="{00000000-0005-0000-0000-000060430000}"/>
    <cellStyle name="Финансовый 36 3 10" xfId="12432" xr:uid="{00000000-0005-0000-0000-000061430000}"/>
    <cellStyle name="Финансовый 36 3 10 2" xfId="29521" xr:uid="{78CEC103-6C6A-49F3-840B-5A02A82000D2}"/>
    <cellStyle name="Финансовый 36 3 11" xfId="15664" xr:uid="{00000000-0005-0000-0000-000062430000}"/>
    <cellStyle name="Финансовый 36 3 11 2" xfId="32677" xr:uid="{C044F0D5-1E77-4B2C-B39E-ADD0F5C49189}"/>
    <cellStyle name="Финансовый 36 3 12" xfId="18745" xr:uid="{00000000-0005-0000-0000-000063430000}"/>
    <cellStyle name="Финансовый 36 3 12 2" xfId="35758" xr:uid="{9202B7E4-21E8-41E3-9124-DCF9D95541A2}"/>
    <cellStyle name="Финансовый 36 3 13" xfId="26448" xr:uid="{01437C5B-69BD-47B7-A365-B856A6E420B4}"/>
    <cellStyle name="Финансовый 36 3 2" xfId="9348" xr:uid="{00000000-0005-0000-0000-000064430000}"/>
    <cellStyle name="Финансовый 36 3 2 10" xfId="15665" xr:uid="{00000000-0005-0000-0000-000065430000}"/>
    <cellStyle name="Финансовый 36 3 2 10 2" xfId="32678" xr:uid="{E5512CB4-A8CF-4571-9E47-5B7A444BD38D}"/>
    <cellStyle name="Финансовый 36 3 2 11" xfId="18746" xr:uid="{00000000-0005-0000-0000-000066430000}"/>
    <cellStyle name="Финансовый 36 3 2 11 2" xfId="35759" xr:uid="{5F8FC8C8-C8A5-49A9-8BA4-CCD607DFEA07}"/>
    <cellStyle name="Финансовый 36 3 2 12" xfId="26449" xr:uid="{9E552D03-8140-404D-B05D-068B24687FCD}"/>
    <cellStyle name="Финансовый 36 3 2 2" xfId="9349" xr:uid="{00000000-0005-0000-0000-000067430000}"/>
    <cellStyle name="Финансовый 36 3 2 2 10" xfId="18747" xr:uid="{00000000-0005-0000-0000-000068430000}"/>
    <cellStyle name="Финансовый 36 3 2 2 10 2" xfId="35760" xr:uid="{E4DFEBDA-88D5-4AD8-9497-C1A60420E770}"/>
    <cellStyle name="Финансовый 36 3 2 2 11" xfId="26450" xr:uid="{788A4505-6B5B-44F5-84B2-420BDA938576}"/>
    <cellStyle name="Финансовый 36 3 2 2 2" xfId="9350" xr:uid="{00000000-0005-0000-0000-000069430000}"/>
    <cellStyle name="Финансовый 36 3 2 2 2 10" xfId="26451" xr:uid="{E947108B-5677-42A6-9B7D-0D4C1D5E8BB7}"/>
    <cellStyle name="Финансовый 36 3 2 2 2 2" xfId="9351" xr:uid="{00000000-0005-0000-0000-00006A430000}"/>
    <cellStyle name="Финансовый 36 3 2 2 2 2 2" xfId="9352" xr:uid="{00000000-0005-0000-0000-00006B430000}"/>
    <cellStyle name="Финансовый 36 3 2 2 2 2 2 2" xfId="9353" xr:uid="{00000000-0005-0000-0000-00006C430000}"/>
    <cellStyle name="Финансовый 36 3 2 2 2 2 2 2 2" xfId="9354" xr:uid="{00000000-0005-0000-0000-00006D430000}"/>
    <cellStyle name="Финансовый 36 3 2 2 2 2 2 2 2 2" xfId="9355" xr:uid="{00000000-0005-0000-0000-00006E430000}"/>
    <cellStyle name="Финансовый 36 3 2 2 2 2 2 2 2 2 2" xfId="12440" xr:uid="{00000000-0005-0000-0000-00006F430000}"/>
    <cellStyle name="Финансовый 36 3 2 2 2 2 2 2 2 2 2 2" xfId="29529" xr:uid="{2DCC16BE-A431-4888-A65A-FC07170B850F}"/>
    <cellStyle name="Финансовый 36 3 2 2 2 2 2 2 2 2 3" xfId="15672" xr:uid="{00000000-0005-0000-0000-000070430000}"/>
    <cellStyle name="Финансовый 36 3 2 2 2 2 2 2 2 2 3 2" xfId="32685" xr:uid="{DF83B351-A12D-4A27-BEC7-BB340D3DB774}"/>
    <cellStyle name="Финансовый 36 3 2 2 2 2 2 2 2 2 4" xfId="18753" xr:uid="{00000000-0005-0000-0000-000071430000}"/>
    <cellStyle name="Финансовый 36 3 2 2 2 2 2 2 2 2 4 2" xfId="35766" xr:uid="{4126D19D-FC0F-405E-9F53-9DCCED65018B}"/>
    <cellStyle name="Финансовый 36 3 2 2 2 2 2 2 2 2 5" xfId="26456" xr:uid="{6DCDAF9C-868F-432C-80AE-F8C5F85EC6DD}"/>
    <cellStyle name="Финансовый 36 3 2 2 2 2 2 2 2 3" xfId="12439" xr:uid="{00000000-0005-0000-0000-000072430000}"/>
    <cellStyle name="Финансовый 36 3 2 2 2 2 2 2 2 3 2" xfId="29528" xr:uid="{106EC1C9-40D3-40EA-A83E-6CD90757981B}"/>
    <cellStyle name="Финансовый 36 3 2 2 2 2 2 2 2 4" xfId="15671" xr:uid="{00000000-0005-0000-0000-000073430000}"/>
    <cellStyle name="Финансовый 36 3 2 2 2 2 2 2 2 4 2" xfId="32684" xr:uid="{A6C6AEE5-67A1-41E7-B7B8-92931A1FB38B}"/>
    <cellStyle name="Финансовый 36 3 2 2 2 2 2 2 2 5" xfId="18752" xr:uid="{00000000-0005-0000-0000-000074430000}"/>
    <cellStyle name="Финансовый 36 3 2 2 2 2 2 2 2 5 2" xfId="35765" xr:uid="{37D709DF-B0A9-4234-8A9F-398350A2C123}"/>
    <cellStyle name="Финансовый 36 3 2 2 2 2 2 2 2 6" xfId="26455" xr:uid="{DAB00BE0-9A82-40B3-A7F0-564F9332057B}"/>
    <cellStyle name="Финансовый 36 3 2 2 2 2 2 2 3" xfId="9356" xr:uid="{00000000-0005-0000-0000-000075430000}"/>
    <cellStyle name="Финансовый 36 3 2 2 2 2 2 2 3 2" xfId="12441" xr:uid="{00000000-0005-0000-0000-000076430000}"/>
    <cellStyle name="Финансовый 36 3 2 2 2 2 2 2 3 2 2" xfId="29530" xr:uid="{B25D7CE6-8455-4064-AE87-B34DEFBCCA8A}"/>
    <cellStyle name="Финансовый 36 3 2 2 2 2 2 2 3 3" xfId="15673" xr:uid="{00000000-0005-0000-0000-000077430000}"/>
    <cellStyle name="Финансовый 36 3 2 2 2 2 2 2 3 3 2" xfId="32686" xr:uid="{62E54CA5-A8F2-4F0E-8D89-47F78627752C}"/>
    <cellStyle name="Финансовый 36 3 2 2 2 2 2 2 3 4" xfId="18754" xr:uid="{00000000-0005-0000-0000-000078430000}"/>
    <cellStyle name="Финансовый 36 3 2 2 2 2 2 2 3 4 2" xfId="35767" xr:uid="{2039B316-5FD2-4C41-AD84-A4F8D6FEF2CD}"/>
    <cellStyle name="Финансовый 36 3 2 2 2 2 2 2 3 5" xfId="26457" xr:uid="{266E25FE-41F6-4411-A812-7216AE1943CB}"/>
    <cellStyle name="Финансовый 36 3 2 2 2 2 2 2 4" xfId="12438" xr:uid="{00000000-0005-0000-0000-000079430000}"/>
    <cellStyle name="Финансовый 36 3 2 2 2 2 2 2 4 2" xfId="29527" xr:uid="{E7FD38D0-996A-4DB5-955D-CDD209AF6094}"/>
    <cellStyle name="Финансовый 36 3 2 2 2 2 2 2 5" xfId="15670" xr:uid="{00000000-0005-0000-0000-00007A430000}"/>
    <cellStyle name="Финансовый 36 3 2 2 2 2 2 2 5 2" xfId="32683" xr:uid="{42FDC63D-29A8-4986-BE76-40BF0D83774F}"/>
    <cellStyle name="Финансовый 36 3 2 2 2 2 2 2 6" xfId="18751" xr:uid="{00000000-0005-0000-0000-00007B430000}"/>
    <cellStyle name="Финансовый 36 3 2 2 2 2 2 2 6 2" xfId="35764" xr:uid="{8A42032A-95F6-4B7C-A4F9-AC0E28D4F486}"/>
    <cellStyle name="Финансовый 36 3 2 2 2 2 2 2 7" xfId="26454" xr:uid="{0547E33C-70A9-4085-9F5A-F64BAB0B3AE3}"/>
    <cellStyle name="Финансовый 36 3 2 2 2 2 2 3" xfId="9357" xr:uid="{00000000-0005-0000-0000-00007C430000}"/>
    <cellStyle name="Финансовый 36 3 2 2 2 2 2 3 2" xfId="9358" xr:uid="{00000000-0005-0000-0000-00007D430000}"/>
    <cellStyle name="Финансовый 36 3 2 2 2 2 2 3 2 2" xfId="12443" xr:uid="{00000000-0005-0000-0000-00007E430000}"/>
    <cellStyle name="Финансовый 36 3 2 2 2 2 2 3 2 2 2" xfId="29532" xr:uid="{A194CFEB-7217-4662-9BBA-7B0846EAAC7F}"/>
    <cellStyle name="Финансовый 36 3 2 2 2 2 2 3 2 3" xfId="15675" xr:uid="{00000000-0005-0000-0000-00007F430000}"/>
    <cellStyle name="Финансовый 36 3 2 2 2 2 2 3 2 3 2" xfId="32688" xr:uid="{B7B45A64-DF11-48BC-AD8B-9F4A49F82E97}"/>
    <cellStyle name="Финансовый 36 3 2 2 2 2 2 3 2 4" xfId="18756" xr:uid="{00000000-0005-0000-0000-000080430000}"/>
    <cellStyle name="Финансовый 36 3 2 2 2 2 2 3 2 4 2" xfId="35769" xr:uid="{33153DFC-9234-45CE-88DE-4E34C7C23C22}"/>
    <cellStyle name="Финансовый 36 3 2 2 2 2 2 3 2 5" xfId="26459" xr:uid="{07337E4E-A233-4BEC-AF96-79757820A8E2}"/>
    <cellStyle name="Финансовый 36 3 2 2 2 2 2 3 3" xfId="12442" xr:uid="{00000000-0005-0000-0000-000081430000}"/>
    <cellStyle name="Финансовый 36 3 2 2 2 2 2 3 3 2" xfId="29531" xr:uid="{B21C1409-824C-4099-8D22-703796D7793A}"/>
    <cellStyle name="Финансовый 36 3 2 2 2 2 2 3 4" xfId="15674" xr:uid="{00000000-0005-0000-0000-000082430000}"/>
    <cellStyle name="Финансовый 36 3 2 2 2 2 2 3 4 2" xfId="32687" xr:uid="{A8339469-A014-464E-B125-BF361F90ED42}"/>
    <cellStyle name="Финансовый 36 3 2 2 2 2 2 3 5" xfId="18755" xr:uid="{00000000-0005-0000-0000-000083430000}"/>
    <cellStyle name="Финансовый 36 3 2 2 2 2 2 3 5 2" xfId="35768" xr:uid="{4B48CA75-466A-4261-BF7F-6FE8F7475F6E}"/>
    <cellStyle name="Финансовый 36 3 2 2 2 2 2 3 6" xfId="26458" xr:uid="{63730AE2-49C3-4E6C-AD76-32FA0D8A0121}"/>
    <cellStyle name="Финансовый 36 3 2 2 2 2 2 4" xfId="9359" xr:uid="{00000000-0005-0000-0000-000084430000}"/>
    <cellStyle name="Финансовый 36 3 2 2 2 2 2 4 2" xfId="12444" xr:uid="{00000000-0005-0000-0000-000085430000}"/>
    <cellStyle name="Финансовый 36 3 2 2 2 2 2 4 2 2" xfId="29533" xr:uid="{3B5AC65D-89E6-4883-B531-8A246D0AB022}"/>
    <cellStyle name="Финансовый 36 3 2 2 2 2 2 4 3" xfId="15676" xr:uid="{00000000-0005-0000-0000-000086430000}"/>
    <cellStyle name="Финансовый 36 3 2 2 2 2 2 4 3 2" xfId="32689" xr:uid="{5ADCD8A1-3A5F-4598-8D11-46A1269C0B38}"/>
    <cellStyle name="Финансовый 36 3 2 2 2 2 2 4 4" xfId="18757" xr:uid="{00000000-0005-0000-0000-000087430000}"/>
    <cellStyle name="Финансовый 36 3 2 2 2 2 2 4 4 2" xfId="35770" xr:uid="{30039230-B147-44B3-8AC5-8547A80B467D}"/>
    <cellStyle name="Финансовый 36 3 2 2 2 2 2 4 5" xfId="26460" xr:uid="{ABE86696-F5B4-41FD-B5FF-E34FE233A404}"/>
    <cellStyle name="Финансовый 36 3 2 2 2 2 2 5" xfId="12437" xr:uid="{00000000-0005-0000-0000-000088430000}"/>
    <cellStyle name="Финансовый 36 3 2 2 2 2 2 5 2" xfId="29526" xr:uid="{F4F44163-F41D-4A59-A49C-D3FC3F18719D}"/>
    <cellStyle name="Финансовый 36 3 2 2 2 2 2 6" xfId="15669" xr:uid="{00000000-0005-0000-0000-000089430000}"/>
    <cellStyle name="Финансовый 36 3 2 2 2 2 2 6 2" xfId="32682" xr:uid="{BF137AC8-AF8E-498C-8541-23B696D3FEEA}"/>
    <cellStyle name="Финансовый 36 3 2 2 2 2 2 7" xfId="18750" xr:uid="{00000000-0005-0000-0000-00008A430000}"/>
    <cellStyle name="Финансовый 36 3 2 2 2 2 2 7 2" xfId="35763" xr:uid="{60EF5938-9313-4929-83E9-A2046080306C}"/>
    <cellStyle name="Финансовый 36 3 2 2 2 2 2 8" xfId="26453" xr:uid="{94FBF37F-EBF1-4333-B080-6C882AE8B8B3}"/>
    <cellStyle name="Финансовый 36 3 2 2 2 2 3" xfId="9360" xr:uid="{00000000-0005-0000-0000-00008B430000}"/>
    <cellStyle name="Финансовый 36 3 2 2 2 2 3 2" xfId="9361" xr:uid="{00000000-0005-0000-0000-00008C430000}"/>
    <cellStyle name="Финансовый 36 3 2 2 2 2 3 2 2" xfId="9362" xr:uid="{00000000-0005-0000-0000-00008D430000}"/>
    <cellStyle name="Финансовый 36 3 2 2 2 2 3 2 2 2" xfId="12447" xr:uid="{00000000-0005-0000-0000-00008E430000}"/>
    <cellStyle name="Финансовый 36 3 2 2 2 2 3 2 2 2 2" xfId="29536" xr:uid="{9F2E2B13-8A8C-49DC-A72D-4A22984BCDFB}"/>
    <cellStyle name="Финансовый 36 3 2 2 2 2 3 2 2 3" xfId="15679" xr:uid="{00000000-0005-0000-0000-00008F430000}"/>
    <cellStyle name="Финансовый 36 3 2 2 2 2 3 2 2 3 2" xfId="32692" xr:uid="{EF6C1ACD-53A9-4621-86E5-ABE5B00FBA3F}"/>
    <cellStyle name="Финансовый 36 3 2 2 2 2 3 2 2 4" xfId="18760" xr:uid="{00000000-0005-0000-0000-000090430000}"/>
    <cellStyle name="Финансовый 36 3 2 2 2 2 3 2 2 4 2" xfId="35773" xr:uid="{BDBDE4E9-9B80-43F5-AAC2-52DBE38E0AA4}"/>
    <cellStyle name="Финансовый 36 3 2 2 2 2 3 2 2 5" xfId="26463" xr:uid="{93F7AB75-491C-4184-B670-5CBEE4A1A479}"/>
    <cellStyle name="Финансовый 36 3 2 2 2 2 3 2 3" xfId="12446" xr:uid="{00000000-0005-0000-0000-000091430000}"/>
    <cellStyle name="Финансовый 36 3 2 2 2 2 3 2 3 2" xfId="29535" xr:uid="{CBDDCCFE-6CE3-4EFA-9E06-42ECC4FA3B95}"/>
    <cellStyle name="Финансовый 36 3 2 2 2 2 3 2 4" xfId="15678" xr:uid="{00000000-0005-0000-0000-000092430000}"/>
    <cellStyle name="Финансовый 36 3 2 2 2 2 3 2 4 2" xfId="32691" xr:uid="{CB2699B8-8331-4B8A-89AD-3E8F101069D9}"/>
    <cellStyle name="Финансовый 36 3 2 2 2 2 3 2 5" xfId="18759" xr:uid="{00000000-0005-0000-0000-000093430000}"/>
    <cellStyle name="Финансовый 36 3 2 2 2 2 3 2 5 2" xfId="35772" xr:uid="{CB1A870C-C101-4424-BC68-39DD35085AE7}"/>
    <cellStyle name="Финансовый 36 3 2 2 2 2 3 2 6" xfId="26462" xr:uid="{907B5F23-E1BD-402E-B97E-E55335A2B8A1}"/>
    <cellStyle name="Финансовый 36 3 2 2 2 2 3 3" xfId="9363" xr:uid="{00000000-0005-0000-0000-000094430000}"/>
    <cellStyle name="Финансовый 36 3 2 2 2 2 3 3 2" xfId="12448" xr:uid="{00000000-0005-0000-0000-000095430000}"/>
    <cellStyle name="Финансовый 36 3 2 2 2 2 3 3 2 2" xfId="29537" xr:uid="{488459DD-DE60-43AF-8D78-C1B0049E6087}"/>
    <cellStyle name="Финансовый 36 3 2 2 2 2 3 3 3" xfId="15680" xr:uid="{00000000-0005-0000-0000-000096430000}"/>
    <cellStyle name="Финансовый 36 3 2 2 2 2 3 3 3 2" xfId="32693" xr:uid="{C6E5ED10-39FB-4247-8B01-CEC2C5EC82E3}"/>
    <cellStyle name="Финансовый 36 3 2 2 2 2 3 3 4" xfId="18761" xr:uid="{00000000-0005-0000-0000-000097430000}"/>
    <cellStyle name="Финансовый 36 3 2 2 2 2 3 3 4 2" xfId="35774" xr:uid="{1B373D9F-9B49-4BAC-BAC5-4F2006D2977E}"/>
    <cellStyle name="Финансовый 36 3 2 2 2 2 3 3 5" xfId="26464" xr:uid="{E3F0E394-532C-411B-AADF-11E70B9B7DC7}"/>
    <cellStyle name="Финансовый 36 3 2 2 2 2 3 4" xfId="12445" xr:uid="{00000000-0005-0000-0000-000098430000}"/>
    <cellStyle name="Финансовый 36 3 2 2 2 2 3 4 2" xfId="29534" xr:uid="{26CFD5F5-1539-4353-BF44-04BE399413F8}"/>
    <cellStyle name="Финансовый 36 3 2 2 2 2 3 5" xfId="15677" xr:uid="{00000000-0005-0000-0000-000099430000}"/>
    <cellStyle name="Финансовый 36 3 2 2 2 2 3 5 2" xfId="32690" xr:uid="{A4FDBFA9-9C16-46EF-BA9D-15DC04EF9A07}"/>
    <cellStyle name="Финансовый 36 3 2 2 2 2 3 6" xfId="18758" xr:uid="{00000000-0005-0000-0000-00009A430000}"/>
    <cellStyle name="Финансовый 36 3 2 2 2 2 3 6 2" xfId="35771" xr:uid="{1E07BF5B-EAE4-45AE-95CE-FB1AA940F5DE}"/>
    <cellStyle name="Финансовый 36 3 2 2 2 2 3 7" xfId="26461" xr:uid="{15CCE16A-AF6A-4220-8DEA-AC0F579F7330}"/>
    <cellStyle name="Финансовый 36 3 2 2 2 2 4" xfId="9364" xr:uid="{00000000-0005-0000-0000-00009B430000}"/>
    <cellStyle name="Финансовый 36 3 2 2 2 2 4 2" xfId="9365" xr:uid="{00000000-0005-0000-0000-00009C430000}"/>
    <cellStyle name="Финансовый 36 3 2 2 2 2 4 2 2" xfId="12450" xr:uid="{00000000-0005-0000-0000-00009D430000}"/>
    <cellStyle name="Финансовый 36 3 2 2 2 2 4 2 2 2" xfId="29539" xr:uid="{765BF294-17DE-46D0-89A9-E0598DA26362}"/>
    <cellStyle name="Финансовый 36 3 2 2 2 2 4 2 3" xfId="15682" xr:uid="{00000000-0005-0000-0000-00009E430000}"/>
    <cellStyle name="Финансовый 36 3 2 2 2 2 4 2 3 2" xfId="32695" xr:uid="{E51F7685-1A03-4B86-AC19-65406A261FF1}"/>
    <cellStyle name="Финансовый 36 3 2 2 2 2 4 2 4" xfId="18763" xr:uid="{00000000-0005-0000-0000-00009F430000}"/>
    <cellStyle name="Финансовый 36 3 2 2 2 2 4 2 4 2" xfId="35776" xr:uid="{CBAABFAA-3B8C-4A95-9B07-9E458666CEA7}"/>
    <cellStyle name="Финансовый 36 3 2 2 2 2 4 2 5" xfId="26466" xr:uid="{C9568C65-3B9A-4A71-9109-695924AB796F}"/>
    <cellStyle name="Финансовый 36 3 2 2 2 2 4 3" xfId="12449" xr:uid="{00000000-0005-0000-0000-0000A0430000}"/>
    <cellStyle name="Финансовый 36 3 2 2 2 2 4 3 2" xfId="29538" xr:uid="{E981BB26-D16E-46BF-9318-F1BB92F9A9BE}"/>
    <cellStyle name="Финансовый 36 3 2 2 2 2 4 4" xfId="15681" xr:uid="{00000000-0005-0000-0000-0000A1430000}"/>
    <cellStyle name="Финансовый 36 3 2 2 2 2 4 4 2" xfId="32694" xr:uid="{2904C8FD-E4B7-42D3-9AFD-5AA36F3EB3E3}"/>
    <cellStyle name="Финансовый 36 3 2 2 2 2 4 5" xfId="18762" xr:uid="{00000000-0005-0000-0000-0000A2430000}"/>
    <cellStyle name="Финансовый 36 3 2 2 2 2 4 5 2" xfId="35775" xr:uid="{93EB3724-818A-4C04-A4D9-38773029FC6E}"/>
    <cellStyle name="Финансовый 36 3 2 2 2 2 4 6" xfId="26465" xr:uid="{7E9B6FD8-FC10-485C-82F0-02C34C053B6F}"/>
    <cellStyle name="Финансовый 36 3 2 2 2 2 5" xfId="9366" xr:uid="{00000000-0005-0000-0000-0000A3430000}"/>
    <cellStyle name="Финансовый 36 3 2 2 2 2 5 2" xfId="12451" xr:uid="{00000000-0005-0000-0000-0000A4430000}"/>
    <cellStyle name="Финансовый 36 3 2 2 2 2 5 2 2" xfId="29540" xr:uid="{DD9B4D3D-7783-4AF8-8D31-D0B124EFABBD}"/>
    <cellStyle name="Финансовый 36 3 2 2 2 2 5 3" xfId="15683" xr:uid="{00000000-0005-0000-0000-0000A5430000}"/>
    <cellStyle name="Финансовый 36 3 2 2 2 2 5 3 2" xfId="32696" xr:uid="{58DA9171-453E-4C2C-BE36-DE7D55415417}"/>
    <cellStyle name="Финансовый 36 3 2 2 2 2 5 4" xfId="18764" xr:uid="{00000000-0005-0000-0000-0000A6430000}"/>
    <cellStyle name="Финансовый 36 3 2 2 2 2 5 4 2" xfId="35777" xr:uid="{8CA5B15E-09B8-4EF7-AEF1-BBDC29E8C7A8}"/>
    <cellStyle name="Финансовый 36 3 2 2 2 2 5 5" xfId="26467" xr:uid="{AA0DEFEE-23C3-44DA-8754-D97E11235C38}"/>
    <cellStyle name="Финансовый 36 3 2 2 2 2 6" xfId="12436" xr:uid="{00000000-0005-0000-0000-0000A7430000}"/>
    <cellStyle name="Финансовый 36 3 2 2 2 2 6 2" xfId="29525" xr:uid="{BF7BAA23-9B20-4767-8F51-AAA358F215A8}"/>
    <cellStyle name="Финансовый 36 3 2 2 2 2 7" xfId="15668" xr:uid="{00000000-0005-0000-0000-0000A8430000}"/>
    <cellStyle name="Финансовый 36 3 2 2 2 2 7 2" xfId="32681" xr:uid="{B7628860-331F-4A3D-AB77-9D9272665AD8}"/>
    <cellStyle name="Финансовый 36 3 2 2 2 2 8" xfId="18749" xr:uid="{00000000-0005-0000-0000-0000A9430000}"/>
    <cellStyle name="Финансовый 36 3 2 2 2 2 8 2" xfId="35762" xr:uid="{CAD1A5D1-68E5-4A3A-BF27-66DE3D833D54}"/>
    <cellStyle name="Финансовый 36 3 2 2 2 2 9" xfId="26452" xr:uid="{D0FDFFEF-30F8-497E-8643-69C6369D894F}"/>
    <cellStyle name="Финансовый 36 3 2 2 2 3" xfId="9367" xr:uid="{00000000-0005-0000-0000-0000AA430000}"/>
    <cellStyle name="Финансовый 36 3 2 2 2 3 2" xfId="9368" xr:uid="{00000000-0005-0000-0000-0000AB430000}"/>
    <cellStyle name="Финансовый 36 3 2 2 2 3 2 2" xfId="9369" xr:uid="{00000000-0005-0000-0000-0000AC430000}"/>
    <cellStyle name="Финансовый 36 3 2 2 2 3 2 2 2" xfId="9370" xr:uid="{00000000-0005-0000-0000-0000AD430000}"/>
    <cellStyle name="Финансовый 36 3 2 2 2 3 2 2 2 2" xfId="12455" xr:uid="{00000000-0005-0000-0000-0000AE430000}"/>
    <cellStyle name="Финансовый 36 3 2 2 2 3 2 2 2 2 2" xfId="29544" xr:uid="{A2165238-DBAF-4D4A-A660-92C84EE0F3A1}"/>
    <cellStyle name="Финансовый 36 3 2 2 2 3 2 2 2 3" xfId="15687" xr:uid="{00000000-0005-0000-0000-0000AF430000}"/>
    <cellStyle name="Финансовый 36 3 2 2 2 3 2 2 2 3 2" xfId="32700" xr:uid="{DDBDB7B6-065C-4C94-98CD-0380DD837C97}"/>
    <cellStyle name="Финансовый 36 3 2 2 2 3 2 2 2 4" xfId="18768" xr:uid="{00000000-0005-0000-0000-0000B0430000}"/>
    <cellStyle name="Финансовый 36 3 2 2 2 3 2 2 2 4 2" xfId="35781" xr:uid="{F13D0DE8-1727-43AD-846B-9773F37E1418}"/>
    <cellStyle name="Финансовый 36 3 2 2 2 3 2 2 2 5" xfId="26471" xr:uid="{0B029851-F95B-4CF1-B5C8-F12028C52C35}"/>
    <cellStyle name="Финансовый 36 3 2 2 2 3 2 2 3" xfId="12454" xr:uid="{00000000-0005-0000-0000-0000B1430000}"/>
    <cellStyle name="Финансовый 36 3 2 2 2 3 2 2 3 2" xfId="29543" xr:uid="{AFB7BABB-9242-4603-940B-D7AA74795F11}"/>
    <cellStyle name="Финансовый 36 3 2 2 2 3 2 2 4" xfId="15686" xr:uid="{00000000-0005-0000-0000-0000B2430000}"/>
    <cellStyle name="Финансовый 36 3 2 2 2 3 2 2 4 2" xfId="32699" xr:uid="{A63F3557-2C99-4D15-91A4-83EAD3FC2BA6}"/>
    <cellStyle name="Финансовый 36 3 2 2 2 3 2 2 5" xfId="18767" xr:uid="{00000000-0005-0000-0000-0000B3430000}"/>
    <cellStyle name="Финансовый 36 3 2 2 2 3 2 2 5 2" xfId="35780" xr:uid="{FAEFD1A9-C619-4065-9FF5-49C417A6097E}"/>
    <cellStyle name="Финансовый 36 3 2 2 2 3 2 2 6" xfId="26470" xr:uid="{57C37C3E-99FE-498D-8179-A22E5DA3FA75}"/>
    <cellStyle name="Финансовый 36 3 2 2 2 3 2 3" xfId="9371" xr:uid="{00000000-0005-0000-0000-0000B4430000}"/>
    <cellStyle name="Финансовый 36 3 2 2 2 3 2 3 2" xfId="12456" xr:uid="{00000000-0005-0000-0000-0000B5430000}"/>
    <cellStyle name="Финансовый 36 3 2 2 2 3 2 3 2 2" xfId="29545" xr:uid="{48F23014-A046-41BA-BC4B-F6E7E041069B}"/>
    <cellStyle name="Финансовый 36 3 2 2 2 3 2 3 3" xfId="15688" xr:uid="{00000000-0005-0000-0000-0000B6430000}"/>
    <cellStyle name="Финансовый 36 3 2 2 2 3 2 3 3 2" xfId="32701" xr:uid="{D387A008-E59B-401D-95EC-FFE219FFE086}"/>
    <cellStyle name="Финансовый 36 3 2 2 2 3 2 3 4" xfId="18769" xr:uid="{00000000-0005-0000-0000-0000B7430000}"/>
    <cellStyle name="Финансовый 36 3 2 2 2 3 2 3 4 2" xfId="35782" xr:uid="{0F9BFB86-891D-45EC-A299-A7F5813A71BD}"/>
    <cellStyle name="Финансовый 36 3 2 2 2 3 2 3 5" xfId="26472" xr:uid="{35F15D6C-15E1-4745-B277-C78DC166A2E2}"/>
    <cellStyle name="Финансовый 36 3 2 2 2 3 2 4" xfId="12453" xr:uid="{00000000-0005-0000-0000-0000B8430000}"/>
    <cellStyle name="Финансовый 36 3 2 2 2 3 2 4 2" xfId="29542" xr:uid="{941CA22C-E1E8-45C2-9CDC-CD14722F8272}"/>
    <cellStyle name="Финансовый 36 3 2 2 2 3 2 5" xfId="15685" xr:uid="{00000000-0005-0000-0000-0000B9430000}"/>
    <cellStyle name="Финансовый 36 3 2 2 2 3 2 5 2" xfId="32698" xr:uid="{F081598D-DC77-4C21-87CD-529C4E318E69}"/>
    <cellStyle name="Финансовый 36 3 2 2 2 3 2 6" xfId="18766" xr:uid="{00000000-0005-0000-0000-0000BA430000}"/>
    <cellStyle name="Финансовый 36 3 2 2 2 3 2 6 2" xfId="35779" xr:uid="{F5A42DA5-1613-43A5-9D11-A6F00992283B}"/>
    <cellStyle name="Финансовый 36 3 2 2 2 3 2 7" xfId="26469" xr:uid="{CAD738A9-416D-496B-99B6-98AA45A599D6}"/>
    <cellStyle name="Финансовый 36 3 2 2 2 3 3" xfId="9372" xr:uid="{00000000-0005-0000-0000-0000BB430000}"/>
    <cellStyle name="Финансовый 36 3 2 2 2 3 3 2" xfId="9373" xr:uid="{00000000-0005-0000-0000-0000BC430000}"/>
    <cellStyle name="Финансовый 36 3 2 2 2 3 3 2 2" xfId="12458" xr:uid="{00000000-0005-0000-0000-0000BD430000}"/>
    <cellStyle name="Финансовый 36 3 2 2 2 3 3 2 2 2" xfId="29547" xr:uid="{E1114D98-813C-41DB-B104-47E013070A5A}"/>
    <cellStyle name="Финансовый 36 3 2 2 2 3 3 2 3" xfId="15690" xr:uid="{00000000-0005-0000-0000-0000BE430000}"/>
    <cellStyle name="Финансовый 36 3 2 2 2 3 3 2 3 2" xfId="32703" xr:uid="{E1F10232-0DC9-4A69-A820-A95D63FFA0FF}"/>
    <cellStyle name="Финансовый 36 3 2 2 2 3 3 2 4" xfId="18771" xr:uid="{00000000-0005-0000-0000-0000BF430000}"/>
    <cellStyle name="Финансовый 36 3 2 2 2 3 3 2 4 2" xfId="35784" xr:uid="{22C4D70B-4B0D-4FE0-A1CD-CF578578FDFD}"/>
    <cellStyle name="Финансовый 36 3 2 2 2 3 3 2 5" xfId="26474" xr:uid="{1D7AE186-1364-4090-996B-17D6E5CE04EF}"/>
    <cellStyle name="Финансовый 36 3 2 2 2 3 3 3" xfId="12457" xr:uid="{00000000-0005-0000-0000-0000C0430000}"/>
    <cellStyle name="Финансовый 36 3 2 2 2 3 3 3 2" xfId="29546" xr:uid="{56B22962-61EF-4508-AE8B-EB6189A3E861}"/>
    <cellStyle name="Финансовый 36 3 2 2 2 3 3 4" xfId="15689" xr:uid="{00000000-0005-0000-0000-0000C1430000}"/>
    <cellStyle name="Финансовый 36 3 2 2 2 3 3 4 2" xfId="32702" xr:uid="{F1B1FBFC-CA25-4EB3-892D-0A6C5B41568E}"/>
    <cellStyle name="Финансовый 36 3 2 2 2 3 3 5" xfId="18770" xr:uid="{00000000-0005-0000-0000-0000C2430000}"/>
    <cellStyle name="Финансовый 36 3 2 2 2 3 3 5 2" xfId="35783" xr:uid="{7F3EF076-6D15-4BAD-BB17-05001EF47CD9}"/>
    <cellStyle name="Финансовый 36 3 2 2 2 3 3 6" xfId="26473" xr:uid="{9D299942-1AAB-405E-9677-1D9935767FF7}"/>
    <cellStyle name="Финансовый 36 3 2 2 2 3 4" xfId="9374" xr:uid="{00000000-0005-0000-0000-0000C3430000}"/>
    <cellStyle name="Финансовый 36 3 2 2 2 3 4 2" xfId="12459" xr:uid="{00000000-0005-0000-0000-0000C4430000}"/>
    <cellStyle name="Финансовый 36 3 2 2 2 3 4 2 2" xfId="29548" xr:uid="{85753569-9154-44C8-9A1A-3E7B788DE198}"/>
    <cellStyle name="Финансовый 36 3 2 2 2 3 4 3" xfId="15691" xr:uid="{00000000-0005-0000-0000-0000C5430000}"/>
    <cellStyle name="Финансовый 36 3 2 2 2 3 4 3 2" xfId="32704" xr:uid="{9C5F6781-79A1-4FA9-94AF-2B0A2FF4AFC4}"/>
    <cellStyle name="Финансовый 36 3 2 2 2 3 4 4" xfId="18772" xr:uid="{00000000-0005-0000-0000-0000C6430000}"/>
    <cellStyle name="Финансовый 36 3 2 2 2 3 4 4 2" xfId="35785" xr:uid="{92BC9437-630A-488F-BE82-262CE759ED8C}"/>
    <cellStyle name="Финансовый 36 3 2 2 2 3 4 5" xfId="26475" xr:uid="{37D28C06-3058-4370-83A9-EE3AA4133515}"/>
    <cellStyle name="Финансовый 36 3 2 2 2 3 5" xfId="12452" xr:uid="{00000000-0005-0000-0000-0000C7430000}"/>
    <cellStyle name="Финансовый 36 3 2 2 2 3 5 2" xfId="29541" xr:uid="{214870FC-C5A1-47D1-A55D-0952EE985D30}"/>
    <cellStyle name="Финансовый 36 3 2 2 2 3 6" xfId="15684" xr:uid="{00000000-0005-0000-0000-0000C8430000}"/>
    <cellStyle name="Финансовый 36 3 2 2 2 3 6 2" xfId="32697" xr:uid="{E537D4F7-E596-454B-A46C-78AA12D42D2D}"/>
    <cellStyle name="Финансовый 36 3 2 2 2 3 7" xfId="18765" xr:uid="{00000000-0005-0000-0000-0000C9430000}"/>
    <cellStyle name="Финансовый 36 3 2 2 2 3 7 2" xfId="35778" xr:uid="{D7EC5C68-18E2-4544-B4ED-5714F715DF55}"/>
    <cellStyle name="Финансовый 36 3 2 2 2 3 8" xfId="26468" xr:uid="{A57DD9C8-6C73-4890-A998-D2E0F320D664}"/>
    <cellStyle name="Финансовый 36 3 2 2 2 4" xfId="9375" xr:uid="{00000000-0005-0000-0000-0000CA430000}"/>
    <cellStyle name="Финансовый 36 3 2 2 2 4 2" xfId="9376" xr:uid="{00000000-0005-0000-0000-0000CB430000}"/>
    <cellStyle name="Финансовый 36 3 2 2 2 4 2 2" xfId="9377" xr:uid="{00000000-0005-0000-0000-0000CC430000}"/>
    <cellStyle name="Финансовый 36 3 2 2 2 4 2 2 2" xfId="12462" xr:uid="{00000000-0005-0000-0000-0000CD430000}"/>
    <cellStyle name="Финансовый 36 3 2 2 2 4 2 2 2 2" xfId="29551" xr:uid="{8BBBCB3E-73F9-4B72-8CD5-CEBF0E94820B}"/>
    <cellStyle name="Финансовый 36 3 2 2 2 4 2 2 3" xfId="15694" xr:uid="{00000000-0005-0000-0000-0000CE430000}"/>
    <cellStyle name="Финансовый 36 3 2 2 2 4 2 2 3 2" xfId="32707" xr:uid="{0458B9FA-F2A6-4C11-8BBD-C1D5D3F3180B}"/>
    <cellStyle name="Финансовый 36 3 2 2 2 4 2 2 4" xfId="18775" xr:uid="{00000000-0005-0000-0000-0000CF430000}"/>
    <cellStyle name="Финансовый 36 3 2 2 2 4 2 2 4 2" xfId="35788" xr:uid="{52B58756-6924-4534-AE27-DA702379915A}"/>
    <cellStyle name="Финансовый 36 3 2 2 2 4 2 2 5" xfId="26478" xr:uid="{87F52447-F7F5-4C12-AF95-DEFE3937EAD8}"/>
    <cellStyle name="Финансовый 36 3 2 2 2 4 2 3" xfId="12461" xr:uid="{00000000-0005-0000-0000-0000D0430000}"/>
    <cellStyle name="Финансовый 36 3 2 2 2 4 2 3 2" xfId="29550" xr:uid="{7A349088-BFDD-4D1E-B043-29DB1FE79D1F}"/>
    <cellStyle name="Финансовый 36 3 2 2 2 4 2 4" xfId="15693" xr:uid="{00000000-0005-0000-0000-0000D1430000}"/>
    <cellStyle name="Финансовый 36 3 2 2 2 4 2 4 2" xfId="32706" xr:uid="{411DA133-15DE-40D2-BD41-E980A8D46F79}"/>
    <cellStyle name="Финансовый 36 3 2 2 2 4 2 5" xfId="18774" xr:uid="{00000000-0005-0000-0000-0000D2430000}"/>
    <cellStyle name="Финансовый 36 3 2 2 2 4 2 5 2" xfId="35787" xr:uid="{744606E8-68F9-443F-8B6E-44E45CBBE2AD}"/>
    <cellStyle name="Финансовый 36 3 2 2 2 4 2 6" xfId="26477" xr:uid="{8466240D-A636-4B1A-85CB-B83684B21C71}"/>
    <cellStyle name="Финансовый 36 3 2 2 2 4 3" xfId="9378" xr:uid="{00000000-0005-0000-0000-0000D3430000}"/>
    <cellStyle name="Финансовый 36 3 2 2 2 4 3 2" xfId="12463" xr:uid="{00000000-0005-0000-0000-0000D4430000}"/>
    <cellStyle name="Финансовый 36 3 2 2 2 4 3 2 2" xfId="29552" xr:uid="{C611650A-CDC1-49B8-AB8F-53472A3710F3}"/>
    <cellStyle name="Финансовый 36 3 2 2 2 4 3 3" xfId="15695" xr:uid="{00000000-0005-0000-0000-0000D5430000}"/>
    <cellStyle name="Финансовый 36 3 2 2 2 4 3 3 2" xfId="32708" xr:uid="{4EB5F8BF-E510-4A06-ACEC-3A6833445CC6}"/>
    <cellStyle name="Финансовый 36 3 2 2 2 4 3 4" xfId="18776" xr:uid="{00000000-0005-0000-0000-0000D6430000}"/>
    <cellStyle name="Финансовый 36 3 2 2 2 4 3 4 2" xfId="35789" xr:uid="{09CED1D4-1B73-413D-8C47-6D55B83FFA08}"/>
    <cellStyle name="Финансовый 36 3 2 2 2 4 3 5" xfId="26479" xr:uid="{3B92D0E7-B163-4C75-821A-F9269C40E6C0}"/>
    <cellStyle name="Финансовый 36 3 2 2 2 4 4" xfId="12460" xr:uid="{00000000-0005-0000-0000-0000D7430000}"/>
    <cellStyle name="Финансовый 36 3 2 2 2 4 4 2" xfId="29549" xr:uid="{8647C1E3-3B9A-4B46-A7F9-07CB8AFEF0D4}"/>
    <cellStyle name="Финансовый 36 3 2 2 2 4 5" xfId="15692" xr:uid="{00000000-0005-0000-0000-0000D8430000}"/>
    <cellStyle name="Финансовый 36 3 2 2 2 4 5 2" xfId="32705" xr:uid="{18216ECF-5EE6-4811-9665-444641D6E5F4}"/>
    <cellStyle name="Финансовый 36 3 2 2 2 4 6" xfId="18773" xr:uid="{00000000-0005-0000-0000-0000D9430000}"/>
    <cellStyle name="Финансовый 36 3 2 2 2 4 6 2" xfId="35786" xr:uid="{E5193835-69A9-4543-911B-234639FCE023}"/>
    <cellStyle name="Финансовый 36 3 2 2 2 4 7" xfId="26476" xr:uid="{05022784-7B0F-4B2A-AE7A-7922E46A8416}"/>
    <cellStyle name="Финансовый 36 3 2 2 2 5" xfId="9379" xr:uid="{00000000-0005-0000-0000-0000DA430000}"/>
    <cellStyle name="Финансовый 36 3 2 2 2 5 2" xfId="9380" xr:uid="{00000000-0005-0000-0000-0000DB430000}"/>
    <cellStyle name="Финансовый 36 3 2 2 2 5 2 2" xfId="12465" xr:uid="{00000000-0005-0000-0000-0000DC430000}"/>
    <cellStyle name="Финансовый 36 3 2 2 2 5 2 2 2" xfId="29554" xr:uid="{8929FF37-2E90-4C65-814C-B2084C745BDA}"/>
    <cellStyle name="Финансовый 36 3 2 2 2 5 2 3" xfId="15697" xr:uid="{00000000-0005-0000-0000-0000DD430000}"/>
    <cellStyle name="Финансовый 36 3 2 2 2 5 2 3 2" xfId="32710" xr:uid="{AEAE923B-580B-49EE-97EF-0219C99E140E}"/>
    <cellStyle name="Финансовый 36 3 2 2 2 5 2 4" xfId="18778" xr:uid="{00000000-0005-0000-0000-0000DE430000}"/>
    <cellStyle name="Финансовый 36 3 2 2 2 5 2 4 2" xfId="35791" xr:uid="{4531B9A1-FEC0-4387-81DB-05751E2EC944}"/>
    <cellStyle name="Финансовый 36 3 2 2 2 5 2 5" xfId="26481" xr:uid="{7BFD3C38-A212-444A-8913-499C0EC82921}"/>
    <cellStyle name="Финансовый 36 3 2 2 2 5 3" xfId="12464" xr:uid="{00000000-0005-0000-0000-0000DF430000}"/>
    <cellStyle name="Финансовый 36 3 2 2 2 5 3 2" xfId="29553" xr:uid="{CAC38559-3411-420F-BD0F-84D38C263494}"/>
    <cellStyle name="Финансовый 36 3 2 2 2 5 4" xfId="15696" xr:uid="{00000000-0005-0000-0000-0000E0430000}"/>
    <cellStyle name="Финансовый 36 3 2 2 2 5 4 2" xfId="32709" xr:uid="{7C18FB0A-4D61-42E7-B009-A907667A00AA}"/>
    <cellStyle name="Финансовый 36 3 2 2 2 5 5" xfId="18777" xr:uid="{00000000-0005-0000-0000-0000E1430000}"/>
    <cellStyle name="Финансовый 36 3 2 2 2 5 5 2" xfId="35790" xr:uid="{3B09DBCB-DFEA-4BD8-9CB4-07572A4D269C}"/>
    <cellStyle name="Финансовый 36 3 2 2 2 5 6" xfId="26480" xr:uid="{EA1895C4-7BB3-4B49-83A8-8BCA470FA177}"/>
    <cellStyle name="Финансовый 36 3 2 2 2 6" xfId="9381" xr:uid="{00000000-0005-0000-0000-0000E2430000}"/>
    <cellStyle name="Финансовый 36 3 2 2 2 6 2" xfId="12466" xr:uid="{00000000-0005-0000-0000-0000E3430000}"/>
    <cellStyle name="Финансовый 36 3 2 2 2 6 2 2" xfId="29555" xr:uid="{639EE7A8-824A-4FCF-85AD-6B601F058FBD}"/>
    <cellStyle name="Финансовый 36 3 2 2 2 6 3" xfId="15698" xr:uid="{00000000-0005-0000-0000-0000E4430000}"/>
    <cellStyle name="Финансовый 36 3 2 2 2 6 3 2" xfId="32711" xr:uid="{DEF0F1F8-5F14-448E-955E-DD2CA0D0CF20}"/>
    <cellStyle name="Финансовый 36 3 2 2 2 6 4" xfId="18779" xr:uid="{00000000-0005-0000-0000-0000E5430000}"/>
    <cellStyle name="Финансовый 36 3 2 2 2 6 4 2" xfId="35792" xr:uid="{FC2F938F-F8CF-4D03-B938-C5FB8547EF56}"/>
    <cellStyle name="Финансовый 36 3 2 2 2 6 5" xfId="26482" xr:uid="{C0F64F18-B658-49B6-A306-5EAF879234F5}"/>
    <cellStyle name="Финансовый 36 3 2 2 2 7" xfId="12435" xr:uid="{00000000-0005-0000-0000-0000E6430000}"/>
    <cellStyle name="Финансовый 36 3 2 2 2 7 2" xfId="29524" xr:uid="{916DBDF9-7557-4345-BE21-BAD332736946}"/>
    <cellStyle name="Финансовый 36 3 2 2 2 8" xfId="15667" xr:uid="{00000000-0005-0000-0000-0000E7430000}"/>
    <cellStyle name="Финансовый 36 3 2 2 2 8 2" xfId="32680" xr:uid="{5F8B5D7F-71A3-4CF2-93A1-F6E66D803A55}"/>
    <cellStyle name="Финансовый 36 3 2 2 2 9" xfId="18748" xr:uid="{00000000-0005-0000-0000-0000E8430000}"/>
    <cellStyle name="Финансовый 36 3 2 2 2 9 2" xfId="35761" xr:uid="{3784AE57-3C68-4796-A6CD-AD7A77B72942}"/>
    <cellStyle name="Финансовый 36 3 2 2 3" xfId="9382" xr:uid="{00000000-0005-0000-0000-0000E9430000}"/>
    <cellStyle name="Финансовый 36 3 2 2 3 2" xfId="9383" xr:uid="{00000000-0005-0000-0000-0000EA430000}"/>
    <cellStyle name="Финансовый 36 3 2 2 3 2 2" xfId="9384" xr:uid="{00000000-0005-0000-0000-0000EB430000}"/>
    <cellStyle name="Финансовый 36 3 2 2 3 2 2 2" xfId="9385" xr:uid="{00000000-0005-0000-0000-0000EC430000}"/>
    <cellStyle name="Финансовый 36 3 2 2 3 2 2 2 2" xfId="9386" xr:uid="{00000000-0005-0000-0000-0000ED430000}"/>
    <cellStyle name="Финансовый 36 3 2 2 3 2 2 2 2 2" xfId="12471" xr:uid="{00000000-0005-0000-0000-0000EE430000}"/>
    <cellStyle name="Финансовый 36 3 2 2 3 2 2 2 2 2 2" xfId="29560" xr:uid="{3AFF1A08-B805-4482-BE45-50BDBA15D652}"/>
    <cellStyle name="Финансовый 36 3 2 2 3 2 2 2 2 3" xfId="15703" xr:uid="{00000000-0005-0000-0000-0000EF430000}"/>
    <cellStyle name="Финансовый 36 3 2 2 3 2 2 2 2 3 2" xfId="32716" xr:uid="{DC22826A-08D8-4D42-8717-3CFF669DE036}"/>
    <cellStyle name="Финансовый 36 3 2 2 3 2 2 2 2 4" xfId="18784" xr:uid="{00000000-0005-0000-0000-0000F0430000}"/>
    <cellStyle name="Финансовый 36 3 2 2 3 2 2 2 2 4 2" xfId="35797" xr:uid="{A33B75AE-1FD0-4F9B-8A4E-30A6F6C02B63}"/>
    <cellStyle name="Финансовый 36 3 2 2 3 2 2 2 2 5" xfId="26487" xr:uid="{17BD7BCC-4AB0-4FDF-A3EE-728C9020BCAC}"/>
    <cellStyle name="Финансовый 36 3 2 2 3 2 2 2 3" xfId="12470" xr:uid="{00000000-0005-0000-0000-0000F1430000}"/>
    <cellStyle name="Финансовый 36 3 2 2 3 2 2 2 3 2" xfId="29559" xr:uid="{E4D85782-8D22-4478-9218-485531957CC5}"/>
    <cellStyle name="Финансовый 36 3 2 2 3 2 2 2 4" xfId="15702" xr:uid="{00000000-0005-0000-0000-0000F2430000}"/>
    <cellStyle name="Финансовый 36 3 2 2 3 2 2 2 4 2" xfId="32715" xr:uid="{A16E62AA-32C0-424B-8480-0A67158293A7}"/>
    <cellStyle name="Финансовый 36 3 2 2 3 2 2 2 5" xfId="18783" xr:uid="{00000000-0005-0000-0000-0000F3430000}"/>
    <cellStyle name="Финансовый 36 3 2 2 3 2 2 2 5 2" xfId="35796" xr:uid="{BE1F9038-F867-4CC0-B367-9BAFF88304F2}"/>
    <cellStyle name="Финансовый 36 3 2 2 3 2 2 2 6" xfId="26486" xr:uid="{9A37F1C8-89B4-462B-AF57-6211A0A56451}"/>
    <cellStyle name="Финансовый 36 3 2 2 3 2 2 3" xfId="9387" xr:uid="{00000000-0005-0000-0000-0000F4430000}"/>
    <cellStyle name="Финансовый 36 3 2 2 3 2 2 3 2" xfId="12472" xr:uid="{00000000-0005-0000-0000-0000F5430000}"/>
    <cellStyle name="Финансовый 36 3 2 2 3 2 2 3 2 2" xfId="29561" xr:uid="{0710F157-365C-4F7A-9AB2-2E792152C080}"/>
    <cellStyle name="Финансовый 36 3 2 2 3 2 2 3 3" xfId="15704" xr:uid="{00000000-0005-0000-0000-0000F6430000}"/>
    <cellStyle name="Финансовый 36 3 2 2 3 2 2 3 3 2" xfId="32717" xr:uid="{4A314713-7F47-4CEE-BE0E-12FF1ADBD1B3}"/>
    <cellStyle name="Финансовый 36 3 2 2 3 2 2 3 4" xfId="18785" xr:uid="{00000000-0005-0000-0000-0000F7430000}"/>
    <cellStyle name="Финансовый 36 3 2 2 3 2 2 3 4 2" xfId="35798" xr:uid="{02F98581-355C-463B-99F9-9BE8603AFA7C}"/>
    <cellStyle name="Финансовый 36 3 2 2 3 2 2 3 5" xfId="26488" xr:uid="{ED51693B-A135-4B9B-98D8-B088241DAFE7}"/>
    <cellStyle name="Финансовый 36 3 2 2 3 2 2 4" xfId="12469" xr:uid="{00000000-0005-0000-0000-0000F8430000}"/>
    <cellStyle name="Финансовый 36 3 2 2 3 2 2 4 2" xfId="29558" xr:uid="{AC8E9DA8-8F24-4F25-B030-41E3C0ADFE5F}"/>
    <cellStyle name="Финансовый 36 3 2 2 3 2 2 5" xfId="15701" xr:uid="{00000000-0005-0000-0000-0000F9430000}"/>
    <cellStyle name="Финансовый 36 3 2 2 3 2 2 5 2" xfId="32714" xr:uid="{C2524C26-4978-4C9E-9ABB-CCCDC91569B7}"/>
    <cellStyle name="Финансовый 36 3 2 2 3 2 2 6" xfId="18782" xr:uid="{00000000-0005-0000-0000-0000FA430000}"/>
    <cellStyle name="Финансовый 36 3 2 2 3 2 2 6 2" xfId="35795" xr:uid="{7B722DD6-E471-4997-8B41-52F596938665}"/>
    <cellStyle name="Финансовый 36 3 2 2 3 2 2 7" xfId="26485" xr:uid="{3F748D57-85E8-401D-A309-40C905239D27}"/>
    <cellStyle name="Финансовый 36 3 2 2 3 2 3" xfId="9388" xr:uid="{00000000-0005-0000-0000-0000FB430000}"/>
    <cellStyle name="Финансовый 36 3 2 2 3 2 3 2" xfId="9389" xr:uid="{00000000-0005-0000-0000-0000FC430000}"/>
    <cellStyle name="Финансовый 36 3 2 2 3 2 3 2 2" xfId="12474" xr:uid="{00000000-0005-0000-0000-0000FD430000}"/>
    <cellStyle name="Финансовый 36 3 2 2 3 2 3 2 2 2" xfId="29563" xr:uid="{E158FBEA-C96B-44E3-B893-52DE11EF831F}"/>
    <cellStyle name="Финансовый 36 3 2 2 3 2 3 2 3" xfId="15706" xr:uid="{00000000-0005-0000-0000-0000FE430000}"/>
    <cellStyle name="Финансовый 36 3 2 2 3 2 3 2 3 2" xfId="32719" xr:uid="{02EE271E-F86E-4428-8255-C00E455A82D7}"/>
    <cellStyle name="Финансовый 36 3 2 2 3 2 3 2 4" xfId="18787" xr:uid="{00000000-0005-0000-0000-0000FF430000}"/>
    <cellStyle name="Финансовый 36 3 2 2 3 2 3 2 4 2" xfId="35800" xr:uid="{AC4A3F74-28F2-4CB7-AF85-33262F7523FD}"/>
    <cellStyle name="Финансовый 36 3 2 2 3 2 3 2 5" xfId="26490" xr:uid="{5A512C4A-F225-438B-9793-8E4769605A35}"/>
    <cellStyle name="Финансовый 36 3 2 2 3 2 3 3" xfId="12473" xr:uid="{00000000-0005-0000-0000-000000440000}"/>
    <cellStyle name="Финансовый 36 3 2 2 3 2 3 3 2" xfId="29562" xr:uid="{EFC7D20C-253D-4656-BD7C-7B760DF26D62}"/>
    <cellStyle name="Финансовый 36 3 2 2 3 2 3 4" xfId="15705" xr:uid="{00000000-0005-0000-0000-000001440000}"/>
    <cellStyle name="Финансовый 36 3 2 2 3 2 3 4 2" xfId="32718" xr:uid="{A034DF13-D33B-40B6-A347-935054704084}"/>
    <cellStyle name="Финансовый 36 3 2 2 3 2 3 5" xfId="18786" xr:uid="{00000000-0005-0000-0000-000002440000}"/>
    <cellStyle name="Финансовый 36 3 2 2 3 2 3 5 2" xfId="35799" xr:uid="{30DF3027-0A3E-45C7-A742-DAADCA7BD950}"/>
    <cellStyle name="Финансовый 36 3 2 2 3 2 3 6" xfId="26489" xr:uid="{6E621734-58D4-4ED9-AD5E-1A8BD779F515}"/>
    <cellStyle name="Финансовый 36 3 2 2 3 2 4" xfId="9390" xr:uid="{00000000-0005-0000-0000-000003440000}"/>
    <cellStyle name="Финансовый 36 3 2 2 3 2 4 2" xfId="12475" xr:uid="{00000000-0005-0000-0000-000004440000}"/>
    <cellStyle name="Финансовый 36 3 2 2 3 2 4 2 2" xfId="29564" xr:uid="{994BBACB-FA01-4371-AEA4-FAB8581F1530}"/>
    <cellStyle name="Финансовый 36 3 2 2 3 2 4 3" xfId="15707" xr:uid="{00000000-0005-0000-0000-000005440000}"/>
    <cellStyle name="Финансовый 36 3 2 2 3 2 4 3 2" xfId="32720" xr:uid="{D5276E5C-B99B-4A0E-83E9-33ACE776AD64}"/>
    <cellStyle name="Финансовый 36 3 2 2 3 2 4 4" xfId="18788" xr:uid="{00000000-0005-0000-0000-000006440000}"/>
    <cellStyle name="Финансовый 36 3 2 2 3 2 4 4 2" xfId="35801" xr:uid="{5CD1F9C0-D1A0-483C-A071-675F7359C40F}"/>
    <cellStyle name="Финансовый 36 3 2 2 3 2 4 5" xfId="26491" xr:uid="{593EDB45-85B2-42DC-84DB-547CE83FF573}"/>
    <cellStyle name="Финансовый 36 3 2 2 3 2 5" xfId="12468" xr:uid="{00000000-0005-0000-0000-000007440000}"/>
    <cellStyle name="Финансовый 36 3 2 2 3 2 5 2" xfId="29557" xr:uid="{02CE9496-9A66-45B4-B220-D870BB2AB311}"/>
    <cellStyle name="Финансовый 36 3 2 2 3 2 6" xfId="15700" xr:uid="{00000000-0005-0000-0000-000008440000}"/>
    <cellStyle name="Финансовый 36 3 2 2 3 2 6 2" xfId="32713" xr:uid="{A4AF47A1-430A-4858-AB8D-64D40681BE7C}"/>
    <cellStyle name="Финансовый 36 3 2 2 3 2 7" xfId="18781" xr:uid="{00000000-0005-0000-0000-000009440000}"/>
    <cellStyle name="Финансовый 36 3 2 2 3 2 7 2" xfId="35794" xr:uid="{18F54680-172A-4890-B3E4-400BC5AB4893}"/>
    <cellStyle name="Финансовый 36 3 2 2 3 2 8" xfId="26484" xr:uid="{3C0BDD88-629B-4CA3-897B-98478449F36E}"/>
    <cellStyle name="Финансовый 36 3 2 2 3 3" xfId="9391" xr:uid="{00000000-0005-0000-0000-00000A440000}"/>
    <cellStyle name="Финансовый 36 3 2 2 3 3 2" xfId="9392" xr:uid="{00000000-0005-0000-0000-00000B440000}"/>
    <cellStyle name="Финансовый 36 3 2 2 3 3 2 2" xfId="9393" xr:uid="{00000000-0005-0000-0000-00000C440000}"/>
    <cellStyle name="Финансовый 36 3 2 2 3 3 2 2 2" xfId="12478" xr:uid="{00000000-0005-0000-0000-00000D440000}"/>
    <cellStyle name="Финансовый 36 3 2 2 3 3 2 2 2 2" xfId="29567" xr:uid="{A7088567-F49F-4DE3-9F17-216BD443CA68}"/>
    <cellStyle name="Финансовый 36 3 2 2 3 3 2 2 3" xfId="15710" xr:uid="{00000000-0005-0000-0000-00000E440000}"/>
    <cellStyle name="Финансовый 36 3 2 2 3 3 2 2 3 2" xfId="32723" xr:uid="{7FFD1403-FB5C-431C-8DC5-F990A32537C9}"/>
    <cellStyle name="Финансовый 36 3 2 2 3 3 2 2 4" xfId="18791" xr:uid="{00000000-0005-0000-0000-00000F440000}"/>
    <cellStyle name="Финансовый 36 3 2 2 3 3 2 2 4 2" xfId="35804" xr:uid="{40558B32-B143-423A-81E4-32BD60EE5E06}"/>
    <cellStyle name="Финансовый 36 3 2 2 3 3 2 2 5" xfId="26494" xr:uid="{D2A72D65-DF68-4E74-9E90-23A653B3DD91}"/>
    <cellStyle name="Финансовый 36 3 2 2 3 3 2 3" xfId="12477" xr:uid="{00000000-0005-0000-0000-000010440000}"/>
    <cellStyle name="Финансовый 36 3 2 2 3 3 2 3 2" xfId="29566" xr:uid="{2C026058-DCD0-4F9A-8486-1635E9BE0F91}"/>
    <cellStyle name="Финансовый 36 3 2 2 3 3 2 4" xfId="15709" xr:uid="{00000000-0005-0000-0000-000011440000}"/>
    <cellStyle name="Финансовый 36 3 2 2 3 3 2 4 2" xfId="32722" xr:uid="{763A0017-86D4-4625-AB5D-B5B5C778E82C}"/>
    <cellStyle name="Финансовый 36 3 2 2 3 3 2 5" xfId="18790" xr:uid="{00000000-0005-0000-0000-000012440000}"/>
    <cellStyle name="Финансовый 36 3 2 2 3 3 2 5 2" xfId="35803" xr:uid="{F42010F2-2315-41CC-8828-65248986EB7A}"/>
    <cellStyle name="Финансовый 36 3 2 2 3 3 2 6" xfId="26493" xr:uid="{D8CF3551-D0B2-4399-9B64-BC139ADD55A1}"/>
    <cellStyle name="Финансовый 36 3 2 2 3 3 3" xfId="9394" xr:uid="{00000000-0005-0000-0000-000013440000}"/>
    <cellStyle name="Финансовый 36 3 2 2 3 3 3 2" xfId="12479" xr:uid="{00000000-0005-0000-0000-000014440000}"/>
    <cellStyle name="Финансовый 36 3 2 2 3 3 3 2 2" xfId="29568" xr:uid="{8793A5CB-2C12-4584-BB54-4864EDBC45F9}"/>
    <cellStyle name="Финансовый 36 3 2 2 3 3 3 3" xfId="15711" xr:uid="{00000000-0005-0000-0000-000015440000}"/>
    <cellStyle name="Финансовый 36 3 2 2 3 3 3 3 2" xfId="32724" xr:uid="{13067238-00A9-41CC-A787-E7C9A3407448}"/>
    <cellStyle name="Финансовый 36 3 2 2 3 3 3 4" xfId="18792" xr:uid="{00000000-0005-0000-0000-000016440000}"/>
    <cellStyle name="Финансовый 36 3 2 2 3 3 3 4 2" xfId="35805" xr:uid="{504C42F2-052B-4F37-BAC4-DD67DF2E29A9}"/>
    <cellStyle name="Финансовый 36 3 2 2 3 3 3 5" xfId="26495" xr:uid="{85113947-E491-4721-B2F1-743463FD3FA8}"/>
    <cellStyle name="Финансовый 36 3 2 2 3 3 4" xfId="12476" xr:uid="{00000000-0005-0000-0000-000017440000}"/>
    <cellStyle name="Финансовый 36 3 2 2 3 3 4 2" xfId="29565" xr:uid="{DA0634D0-656A-468A-A323-3B409995F20D}"/>
    <cellStyle name="Финансовый 36 3 2 2 3 3 5" xfId="15708" xr:uid="{00000000-0005-0000-0000-000018440000}"/>
    <cellStyle name="Финансовый 36 3 2 2 3 3 5 2" xfId="32721" xr:uid="{B849D780-B3AD-4EA7-9BB2-F49482A9BF6F}"/>
    <cellStyle name="Финансовый 36 3 2 2 3 3 6" xfId="18789" xr:uid="{00000000-0005-0000-0000-000019440000}"/>
    <cellStyle name="Финансовый 36 3 2 2 3 3 6 2" xfId="35802" xr:uid="{F54E5BB2-B1B9-45A5-ACA8-9D7697776053}"/>
    <cellStyle name="Финансовый 36 3 2 2 3 3 7" xfId="26492" xr:uid="{520A0E10-B592-4A2C-8445-66E16BE09BDF}"/>
    <cellStyle name="Финансовый 36 3 2 2 3 4" xfId="9395" xr:uid="{00000000-0005-0000-0000-00001A440000}"/>
    <cellStyle name="Финансовый 36 3 2 2 3 4 2" xfId="9396" xr:uid="{00000000-0005-0000-0000-00001B440000}"/>
    <cellStyle name="Финансовый 36 3 2 2 3 4 2 2" xfId="12481" xr:uid="{00000000-0005-0000-0000-00001C440000}"/>
    <cellStyle name="Финансовый 36 3 2 2 3 4 2 2 2" xfId="29570" xr:uid="{5F5B0614-EEDC-4287-813A-83BAAE6388D2}"/>
    <cellStyle name="Финансовый 36 3 2 2 3 4 2 3" xfId="15713" xr:uid="{00000000-0005-0000-0000-00001D440000}"/>
    <cellStyle name="Финансовый 36 3 2 2 3 4 2 3 2" xfId="32726" xr:uid="{E5D4B967-57A6-4272-98E6-4F8C0E309A7C}"/>
    <cellStyle name="Финансовый 36 3 2 2 3 4 2 4" xfId="18794" xr:uid="{00000000-0005-0000-0000-00001E440000}"/>
    <cellStyle name="Финансовый 36 3 2 2 3 4 2 4 2" xfId="35807" xr:uid="{F5EBCFB0-BEA9-405D-AD9C-7B5DC46C41C9}"/>
    <cellStyle name="Финансовый 36 3 2 2 3 4 2 5" xfId="26497" xr:uid="{F5A76BF1-2EED-4737-B236-7DE01792B9AF}"/>
    <cellStyle name="Финансовый 36 3 2 2 3 4 3" xfId="12480" xr:uid="{00000000-0005-0000-0000-00001F440000}"/>
    <cellStyle name="Финансовый 36 3 2 2 3 4 3 2" xfId="29569" xr:uid="{54FF6075-1F15-4614-9064-1809418B8233}"/>
    <cellStyle name="Финансовый 36 3 2 2 3 4 4" xfId="15712" xr:uid="{00000000-0005-0000-0000-000020440000}"/>
    <cellStyle name="Финансовый 36 3 2 2 3 4 4 2" xfId="32725" xr:uid="{EE7DB0DE-A99B-4A76-A3EC-B0F5560D665D}"/>
    <cellStyle name="Финансовый 36 3 2 2 3 4 5" xfId="18793" xr:uid="{00000000-0005-0000-0000-000021440000}"/>
    <cellStyle name="Финансовый 36 3 2 2 3 4 5 2" xfId="35806" xr:uid="{80014884-C664-4FAC-A95E-2DBC809C3EC5}"/>
    <cellStyle name="Финансовый 36 3 2 2 3 4 6" xfId="26496" xr:uid="{7F88CE3E-1B8E-4AB3-92CC-9BC285E690A8}"/>
    <cellStyle name="Финансовый 36 3 2 2 3 5" xfId="9397" xr:uid="{00000000-0005-0000-0000-000022440000}"/>
    <cellStyle name="Финансовый 36 3 2 2 3 5 2" xfId="12482" xr:uid="{00000000-0005-0000-0000-000023440000}"/>
    <cellStyle name="Финансовый 36 3 2 2 3 5 2 2" xfId="29571" xr:uid="{C4FB686E-0161-4421-A08F-167438180FC2}"/>
    <cellStyle name="Финансовый 36 3 2 2 3 5 3" xfId="15714" xr:uid="{00000000-0005-0000-0000-000024440000}"/>
    <cellStyle name="Финансовый 36 3 2 2 3 5 3 2" xfId="32727" xr:uid="{17A5AD56-DA5F-4348-A2DC-295A58E2B769}"/>
    <cellStyle name="Финансовый 36 3 2 2 3 5 4" xfId="18795" xr:uid="{00000000-0005-0000-0000-000025440000}"/>
    <cellStyle name="Финансовый 36 3 2 2 3 5 4 2" xfId="35808" xr:uid="{2EB2B970-8D64-4130-9BBC-F4C29AF0AE40}"/>
    <cellStyle name="Финансовый 36 3 2 2 3 5 5" xfId="26498" xr:uid="{437EF78F-9C3E-4551-AF4A-A49814C4F507}"/>
    <cellStyle name="Финансовый 36 3 2 2 3 6" xfId="12467" xr:uid="{00000000-0005-0000-0000-000026440000}"/>
    <cellStyle name="Финансовый 36 3 2 2 3 6 2" xfId="29556" xr:uid="{97C838EE-022B-45E8-AF5A-BFCD117680FD}"/>
    <cellStyle name="Финансовый 36 3 2 2 3 7" xfId="15699" xr:uid="{00000000-0005-0000-0000-000027440000}"/>
    <cellStyle name="Финансовый 36 3 2 2 3 7 2" xfId="32712" xr:uid="{6F29E5A6-82E5-4671-9936-0353F1F5E11E}"/>
    <cellStyle name="Финансовый 36 3 2 2 3 8" xfId="18780" xr:uid="{00000000-0005-0000-0000-000028440000}"/>
    <cellStyle name="Финансовый 36 3 2 2 3 8 2" xfId="35793" xr:uid="{E6C4E5BE-2295-4B99-A6C5-24848D437992}"/>
    <cellStyle name="Финансовый 36 3 2 2 3 9" xfId="26483" xr:uid="{73D40224-B7CB-48D1-95EA-3F29441A2B27}"/>
    <cellStyle name="Финансовый 36 3 2 2 4" xfId="9398" xr:uid="{00000000-0005-0000-0000-000029440000}"/>
    <cellStyle name="Финансовый 36 3 2 2 4 2" xfId="9399" xr:uid="{00000000-0005-0000-0000-00002A440000}"/>
    <cellStyle name="Финансовый 36 3 2 2 4 2 2" xfId="9400" xr:uid="{00000000-0005-0000-0000-00002B440000}"/>
    <cellStyle name="Финансовый 36 3 2 2 4 2 2 2" xfId="9401" xr:uid="{00000000-0005-0000-0000-00002C440000}"/>
    <cellStyle name="Финансовый 36 3 2 2 4 2 2 2 2" xfId="12486" xr:uid="{00000000-0005-0000-0000-00002D440000}"/>
    <cellStyle name="Финансовый 36 3 2 2 4 2 2 2 2 2" xfId="29575" xr:uid="{E7BCE69B-FFC7-4190-AB69-844C4DF8D834}"/>
    <cellStyle name="Финансовый 36 3 2 2 4 2 2 2 3" xfId="15718" xr:uid="{00000000-0005-0000-0000-00002E440000}"/>
    <cellStyle name="Финансовый 36 3 2 2 4 2 2 2 3 2" xfId="32731" xr:uid="{B834963D-FAED-4FD8-85E8-16E1267FA680}"/>
    <cellStyle name="Финансовый 36 3 2 2 4 2 2 2 4" xfId="18799" xr:uid="{00000000-0005-0000-0000-00002F440000}"/>
    <cellStyle name="Финансовый 36 3 2 2 4 2 2 2 4 2" xfId="35812" xr:uid="{2963E744-D19E-42C2-868B-DEA5D3F929CB}"/>
    <cellStyle name="Финансовый 36 3 2 2 4 2 2 2 5" xfId="26502" xr:uid="{AE8527F3-DBB6-41B6-90E3-1B5D9BE0CBD3}"/>
    <cellStyle name="Финансовый 36 3 2 2 4 2 2 3" xfId="12485" xr:uid="{00000000-0005-0000-0000-000030440000}"/>
    <cellStyle name="Финансовый 36 3 2 2 4 2 2 3 2" xfId="29574" xr:uid="{0C39B8BA-9EAE-40B0-9D58-2EE3FA38E8E4}"/>
    <cellStyle name="Финансовый 36 3 2 2 4 2 2 4" xfId="15717" xr:uid="{00000000-0005-0000-0000-000031440000}"/>
    <cellStyle name="Финансовый 36 3 2 2 4 2 2 4 2" xfId="32730" xr:uid="{B9DD732E-D46C-45BF-8A83-59C5B0207F13}"/>
    <cellStyle name="Финансовый 36 3 2 2 4 2 2 5" xfId="18798" xr:uid="{00000000-0005-0000-0000-000032440000}"/>
    <cellStyle name="Финансовый 36 3 2 2 4 2 2 5 2" xfId="35811" xr:uid="{0A80C37F-A684-4732-92B4-72E2FC3CEE00}"/>
    <cellStyle name="Финансовый 36 3 2 2 4 2 2 6" xfId="26501" xr:uid="{DC1F9A6A-4BEE-48F3-9EAA-D5D51FDA03A3}"/>
    <cellStyle name="Финансовый 36 3 2 2 4 2 3" xfId="9402" xr:uid="{00000000-0005-0000-0000-000033440000}"/>
    <cellStyle name="Финансовый 36 3 2 2 4 2 3 2" xfId="12487" xr:uid="{00000000-0005-0000-0000-000034440000}"/>
    <cellStyle name="Финансовый 36 3 2 2 4 2 3 2 2" xfId="29576" xr:uid="{7CCEFE9E-B5B1-421E-97E9-183CCAD90960}"/>
    <cellStyle name="Финансовый 36 3 2 2 4 2 3 3" xfId="15719" xr:uid="{00000000-0005-0000-0000-000035440000}"/>
    <cellStyle name="Финансовый 36 3 2 2 4 2 3 3 2" xfId="32732" xr:uid="{6C8D3C15-39C7-4A2B-987B-B89A0A84E5BB}"/>
    <cellStyle name="Финансовый 36 3 2 2 4 2 3 4" xfId="18800" xr:uid="{00000000-0005-0000-0000-000036440000}"/>
    <cellStyle name="Финансовый 36 3 2 2 4 2 3 4 2" xfId="35813" xr:uid="{752271BE-50C2-4141-A665-3173A9A18A97}"/>
    <cellStyle name="Финансовый 36 3 2 2 4 2 3 5" xfId="26503" xr:uid="{D10DC2B7-F602-44EC-8CA2-250A5277BC6C}"/>
    <cellStyle name="Финансовый 36 3 2 2 4 2 4" xfId="12484" xr:uid="{00000000-0005-0000-0000-000037440000}"/>
    <cellStyle name="Финансовый 36 3 2 2 4 2 4 2" xfId="29573" xr:uid="{243F6B1E-D201-4E51-830D-3DF0DEB1984B}"/>
    <cellStyle name="Финансовый 36 3 2 2 4 2 5" xfId="15716" xr:uid="{00000000-0005-0000-0000-000038440000}"/>
    <cellStyle name="Финансовый 36 3 2 2 4 2 5 2" xfId="32729" xr:uid="{F9F0625A-04DA-4EC3-A1E4-BDE493D762C2}"/>
    <cellStyle name="Финансовый 36 3 2 2 4 2 6" xfId="18797" xr:uid="{00000000-0005-0000-0000-000039440000}"/>
    <cellStyle name="Финансовый 36 3 2 2 4 2 6 2" xfId="35810" xr:uid="{1EBB2B6D-74AD-45DF-942B-77DAE3FDE89B}"/>
    <cellStyle name="Финансовый 36 3 2 2 4 2 7" xfId="26500" xr:uid="{756C02A6-4CE9-4838-B23D-02A55C085079}"/>
    <cellStyle name="Финансовый 36 3 2 2 4 3" xfId="9403" xr:uid="{00000000-0005-0000-0000-00003A440000}"/>
    <cellStyle name="Финансовый 36 3 2 2 4 3 2" xfId="9404" xr:uid="{00000000-0005-0000-0000-00003B440000}"/>
    <cellStyle name="Финансовый 36 3 2 2 4 3 2 2" xfId="12489" xr:uid="{00000000-0005-0000-0000-00003C440000}"/>
    <cellStyle name="Финансовый 36 3 2 2 4 3 2 2 2" xfId="29578" xr:uid="{EC209A0F-9E75-4438-BCE5-7692DFFA5570}"/>
    <cellStyle name="Финансовый 36 3 2 2 4 3 2 3" xfId="15721" xr:uid="{00000000-0005-0000-0000-00003D440000}"/>
    <cellStyle name="Финансовый 36 3 2 2 4 3 2 3 2" xfId="32734" xr:uid="{F97E3C82-FC77-45EC-936D-234942FC3EC3}"/>
    <cellStyle name="Финансовый 36 3 2 2 4 3 2 4" xfId="18802" xr:uid="{00000000-0005-0000-0000-00003E440000}"/>
    <cellStyle name="Финансовый 36 3 2 2 4 3 2 4 2" xfId="35815" xr:uid="{9C36D2D6-AEF2-4E11-83A9-5C0EF5421CBA}"/>
    <cellStyle name="Финансовый 36 3 2 2 4 3 2 5" xfId="26505" xr:uid="{AA041D1F-67EC-4992-8AF3-0C5FF08C9EB2}"/>
    <cellStyle name="Финансовый 36 3 2 2 4 3 3" xfId="12488" xr:uid="{00000000-0005-0000-0000-00003F440000}"/>
    <cellStyle name="Финансовый 36 3 2 2 4 3 3 2" xfId="29577" xr:uid="{659B7030-6007-4BE2-8CBE-CA58C5748214}"/>
    <cellStyle name="Финансовый 36 3 2 2 4 3 4" xfId="15720" xr:uid="{00000000-0005-0000-0000-000040440000}"/>
    <cellStyle name="Финансовый 36 3 2 2 4 3 4 2" xfId="32733" xr:uid="{65685F0D-EA53-4DAE-B297-475DC0032634}"/>
    <cellStyle name="Финансовый 36 3 2 2 4 3 5" xfId="18801" xr:uid="{00000000-0005-0000-0000-000041440000}"/>
    <cellStyle name="Финансовый 36 3 2 2 4 3 5 2" xfId="35814" xr:uid="{DF0E9483-EE2A-49D4-96C9-1B544EA855AC}"/>
    <cellStyle name="Финансовый 36 3 2 2 4 3 6" xfId="26504" xr:uid="{572C0276-0E10-46D6-BEFA-4238AB2D1E29}"/>
    <cellStyle name="Финансовый 36 3 2 2 4 4" xfId="9405" xr:uid="{00000000-0005-0000-0000-000042440000}"/>
    <cellStyle name="Финансовый 36 3 2 2 4 4 2" xfId="12490" xr:uid="{00000000-0005-0000-0000-000043440000}"/>
    <cellStyle name="Финансовый 36 3 2 2 4 4 2 2" xfId="29579" xr:uid="{2B305D60-E5A9-46E2-A069-C1F1DEB0A169}"/>
    <cellStyle name="Финансовый 36 3 2 2 4 4 3" xfId="15722" xr:uid="{00000000-0005-0000-0000-000044440000}"/>
    <cellStyle name="Финансовый 36 3 2 2 4 4 3 2" xfId="32735" xr:uid="{030529AB-C148-46A4-917B-52696AE478A1}"/>
    <cellStyle name="Финансовый 36 3 2 2 4 4 4" xfId="18803" xr:uid="{00000000-0005-0000-0000-000045440000}"/>
    <cellStyle name="Финансовый 36 3 2 2 4 4 4 2" xfId="35816" xr:uid="{70F8C59A-5981-4CF7-94DC-747D5B3BDFE6}"/>
    <cellStyle name="Финансовый 36 3 2 2 4 4 5" xfId="26506" xr:uid="{E5D54A00-DC2A-4F06-B444-F0844DB1105B}"/>
    <cellStyle name="Финансовый 36 3 2 2 4 5" xfId="12483" xr:uid="{00000000-0005-0000-0000-000046440000}"/>
    <cellStyle name="Финансовый 36 3 2 2 4 5 2" xfId="29572" xr:uid="{4627C9DC-3495-48ED-9B0D-ACCACC0AD79A}"/>
    <cellStyle name="Финансовый 36 3 2 2 4 6" xfId="15715" xr:uid="{00000000-0005-0000-0000-000047440000}"/>
    <cellStyle name="Финансовый 36 3 2 2 4 6 2" xfId="32728" xr:uid="{2E78F83F-18C1-4C25-8298-BCF0179A072C}"/>
    <cellStyle name="Финансовый 36 3 2 2 4 7" xfId="18796" xr:uid="{00000000-0005-0000-0000-000048440000}"/>
    <cellStyle name="Финансовый 36 3 2 2 4 7 2" xfId="35809" xr:uid="{BC3BFAC6-9FE6-450F-8F0A-001B3E0BCE2F}"/>
    <cellStyle name="Финансовый 36 3 2 2 4 8" xfId="26499" xr:uid="{209BDADD-273F-434F-8CE5-9EEB918746A2}"/>
    <cellStyle name="Финансовый 36 3 2 2 5" xfId="9406" xr:uid="{00000000-0005-0000-0000-000049440000}"/>
    <cellStyle name="Финансовый 36 3 2 2 5 2" xfId="9407" xr:uid="{00000000-0005-0000-0000-00004A440000}"/>
    <cellStyle name="Финансовый 36 3 2 2 5 2 2" xfId="9408" xr:uid="{00000000-0005-0000-0000-00004B440000}"/>
    <cellStyle name="Финансовый 36 3 2 2 5 2 2 2" xfId="12493" xr:uid="{00000000-0005-0000-0000-00004C440000}"/>
    <cellStyle name="Финансовый 36 3 2 2 5 2 2 2 2" xfId="29582" xr:uid="{2552C57B-E0DA-435C-8FF4-9E3D473F361E}"/>
    <cellStyle name="Финансовый 36 3 2 2 5 2 2 3" xfId="15725" xr:uid="{00000000-0005-0000-0000-00004D440000}"/>
    <cellStyle name="Финансовый 36 3 2 2 5 2 2 3 2" xfId="32738" xr:uid="{B34C170E-5EDE-4AC4-A9FA-2AFFAE5D6BF0}"/>
    <cellStyle name="Финансовый 36 3 2 2 5 2 2 4" xfId="18806" xr:uid="{00000000-0005-0000-0000-00004E440000}"/>
    <cellStyle name="Финансовый 36 3 2 2 5 2 2 4 2" xfId="35819" xr:uid="{08C01DA2-5E37-4AE2-81F2-720A87A75785}"/>
    <cellStyle name="Финансовый 36 3 2 2 5 2 2 5" xfId="26509" xr:uid="{98FF0065-DFAD-41C9-9AED-61A0610C32D3}"/>
    <cellStyle name="Финансовый 36 3 2 2 5 2 3" xfId="12492" xr:uid="{00000000-0005-0000-0000-00004F440000}"/>
    <cellStyle name="Финансовый 36 3 2 2 5 2 3 2" xfId="29581" xr:uid="{0EFFA8D9-04D0-4494-80B1-ACCBE3856FB4}"/>
    <cellStyle name="Финансовый 36 3 2 2 5 2 4" xfId="15724" xr:uid="{00000000-0005-0000-0000-000050440000}"/>
    <cellStyle name="Финансовый 36 3 2 2 5 2 4 2" xfId="32737" xr:uid="{01C794DD-09E7-4010-9ECE-7A51AB06C508}"/>
    <cellStyle name="Финансовый 36 3 2 2 5 2 5" xfId="18805" xr:uid="{00000000-0005-0000-0000-000051440000}"/>
    <cellStyle name="Финансовый 36 3 2 2 5 2 5 2" xfId="35818" xr:uid="{072A8E2D-29A0-48EF-8940-51235B2255FD}"/>
    <cellStyle name="Финансовый 36 3 2 2 5 2 6" xfId="26508" xr:uid="{A3DE4CFE-F304-4EE7-8F24-BFB6C4C8D2D9}"/>
    <cellStyle name="Финансовый 36 3 2 2 5 3" xfId="9409" xr:uid="{00000000-0005-0000-0000-000052440000}"/>
    <cellStyle name="Финансовый 36 3 2 2 5 3 2" xfId="12494" xr:uid="{00000000-0005-0000-0000-000053440000}"/>
    <cellStyle name="Финансовый 36 3 2 2 5 3 2 2" xfId="29583" xr:uid="{CC9F0A35-CBFA-4BB2-907A-57A5D23A736A}"/>
    <cellStyle name="Финансовый 36 3 2 2 5 3 3" xfId="15726" xr:uid="{00000000-0005-0000-0000-000054440000}"/>
    <cellStyle name="Финансовый 36 3 2 2 5 3 3 2" xfId="32739" xr:uid="{400DCF89-F390-43DF-BE6C-A124795ADC5B}"/>
    <cellStyle name="Финансовый 36 3 2 2 5 3 4" xfId="18807" xr:uid="{00000000-0005-0000-0000-000055440000}"/>
    <cellStyle name="Финансовый 36 3 2 2 5 3 4 2" xfId="35820" xr:uid="{E7A19191-951F-4D6B-B9DB-1F5A01BD3B42}"/>
    <cellStyle name="Финансовый 36 3 2 2 5 3 5" xfId="26510" xr:uid="{A3322C39-61A8-403D-86F3-E1549E614F92}"/>
    <cellStyle name="Финансовый 36 3 2 2 5 4" xfId="12491" xr:uid="{00000000-0005-0000-0000-000056440000}"/>
    <cellStyle name="Финансовый 36 3 2 2 5 4 2" xfId="29580" xr:uid="{8296C4F8-764A-48F5-90A3-D617F4F6A04D}"/>
    <cellStyle name="Финансовый 36 3 2 2 5 5" xfId="15723" xr:uid="{00000000-0005-0000-0000-000057440000}"/>
    <cellStyle name="Финансовый 36 3 2 2 5 5 2" xfId="32736" xr:uid="{1BAA849C-042C-4606-8BDF-0303326CB832}"/>
    <cellStyle name="Финансовый 36 3 2 2 5 6" xfId="18804" xr:uid="{00000000-0005-0000-0000-000058440000}"/>
    <cellStyle name="Финансовый 36 3 2 2 5 6 2" xfId="35817" xr:uid="{D17E3AE0-1DD5-4A3F-B678-F83F8AEF2683}"/>
    <cellStyle name="Финансовый 36 3 2 2 5 7" xfId="26507" xr:uid="{96AA681F-C39C-446A-A905-034BB3466155}"/>
    <cellStyle name="Финансовый 36 3 2 2 6" xfId="9410" xr:uid="{00000000-0005-0000-0000-000059440000}"/>
    <cellStyle name="Финансовый 36 3 2 2 6 2" xfId="9411" xr:uid="{00000000-0005-0000-0000-00005A440000}"/>
    <cellStyle name="Финансовый 36 3 2 2 6 2 2" xfId="12496" xr:uid="{00000000-0005-0000-0000-00005B440000}"/>
    <cellStyle name="Финансовый 36 3 2 2 6 2 2 2" xfId="29585" xr:uid="{D59C2D0B-BE03-43B6-BB18-5AB6A7E5975A}"/>
    <cellStyle name="Финансовый 36 3 2 2 6 2 3" xfId="15728" xr:uid="{00000000-0005-0000-0000-00005C440000}"/>
    <cellStyle name="Финансовый 36 3 2 2 6 2 3 2" xfId="32741" xr:uid="{8CA5D76E-8DB5-4D78-9D3B-56199401D2FA}"/>
    <cellStyle name="Финансовый 36 3 2 2 6 2 4" xfId="18809" xr:uid="{00000000-0005-0000-0000-00005D440000}"/>
    <cellStyle name="Финансовый 36 3 2 2 6 2 4 2" xfId="35822" xr:uid="{35905785-07D9-45F2-A581-CE7F7607C024}"/>
    <cellStyle name="Финансовый 36 3 2 2 6 2 5" xfId="26512" xr:uid="{E537BDBD-E389-4F0D-88BA-1FA22E8066AD}"/>
    <cellStyle name="Финансовый 36 3 2 2 6 3" xfId="12495" xr:uid="{00000000-0005-0000-0000-00005E440000}"/>
    <cellStyle name="Финансовый 36 3 2 2 6 3 2" xfId="29584" xr:uid="{98738902-108A-4FDA-8E73-47820EEEC02F}"/>
    <cellStyle name="Финансовый 36 3 2 2 6 4" xfId="15727" xr:uid="{00000000-0005-0000-0000-00005F440000}"/>
    <cellStyle name="Финансовый 36 3 2 2 6 4 2" xfId="32740" xr:uid="{AD9FE353-96CD-4C55-AD53-9D1D65207FD1}"/>
    <cellStyle name="Финансовый 36 3 2 2 6 5" xfId="18808" xr:uid="{00000000-0005-0000-0000-000060440000}"/>
    <cellStyle name="Финансовый 36 3 2 2 6 5 2" xfId="35821" xr:uid="{80327929-19ED-4F61-9E2E-E860B85A46B8}"/>
    <cellStyle name="Финансовый 36 3 2 2 6 6" xfId="26511" xr:uid="{BB94CCEE-DF93-46C0-AFC0-99A26811B750}"/>
    <cellStyle name="Финансовый 36 3 2 2 7" xfId="9412" xr:uid="{00000000-0005-0000-0000-000061440000}"/>
    <cellStyle name="Финансовый 36 3 2 2 7 2" xfId="12497" xr:uid="{00000000-0005-0000-0000-000062440000}"/>
    <cellStyle name="Финансовый 36 3 2 2 7 2 2" xfId="29586" xr:uid="{D9CCDB9F-496B-4759-8D7D-B332F9AB7249}"/>
    <cellStyle name="Финансовый 36 3 2 2 7 3" xfId="15729" xr:uid="{00000000-0005-0000-0000-000063440000}"/>
    <cellStyle name="Финансовый 36 3 2 2 7 3 2" xfId="32742" xr:uid="{C3BC5A81-80C1-477A-8858-7E47772E890C}"/>
    <cellStyle name="Финансовый 36 3 2 2 7 4" xfId="18810" xr:uid="{00000000-0005-0000-0000-000064440000}"/>
    <cellStyle name="Финансовый 36 3 2 2 7 4 2" xfId="35823" xr:uid="{C22189E7-A990-484E-9808-08B8DDEB7692}"/>
    <cellStyle name="Финансовый 36 3 2 2 7 5" xfId="26513" xr:uid="{3CE7CA68-CD50-4D93-83F5-3119D86C7506}"/>
    <cellStyle name="Финансовый 36 3 2 2 8" xfId="12434" xr:uid="{00000000-0005-0000-0000-000065440000}"/>
    <cellStyle name="Финансовый 36 3 2 2 8 2" xfId="29523" xr:uid="{02CA0085-0C46-40CA-A9E6-A8FF0112F52B}"/>
    <cellStyle name="Финансовый 36 3 2 2 9" xfId="15666" xr:uid="{00000000-0005-0000-0000-000066440000}"/>
    <cellStyle name="Финансовый 36 3 2 2 9 2" xfId="32679" xr:uid="{18E11377-E12D-437B-B7DB-40B64F687EB0}"/>
    <cellStyle name="Финансовый 36 3 2 3" xfId="9413" xr:uid="{00000000-0005-0000-0000-000067440000}"/>
    <cellStyle name="Финансовый 36 3 2 3 10" xfId="26514" xr:uid="{E6DAF9CB-0F34-4833-A7E6-9077B706B1D2}"/>
    <cellStyle name="Финансовый 36 3 2 3 2" xfId="9414" xr:uid="{00000000-0005-0000-0000-000068440000}"/>
    <cellStyle name="Финансовый 36 3 2 3 2 2" xfId="9415" xr:uid="{00000000-0005-0000-0000-000069440000}"/>
    <cellStyle name="Финансовый 36 3 2 3 2 2 2" xfId="9416" xr:uid="{00000000-0005-0000-0000-00006A440000}"/>
    <cellStyle name="Финансовый 36 3 2 3 2 2 2 2" xfId="9417" xr:uid="{00000000-0005-0000-0000-00006B440000}"/>
    <cellStyle name="Финансовый 36 3 2 3 2 2 2 2 2" xfId="9418" xr:uid="{00000000-0005-0000-0000-00006C440000}"/>
    <cellStyle name="Финансовый 36 3 2 3 2 2 2 2 2 2" xfId="12503" xr:uid="{00000000-0005-0000-0000-00006D440000}"/>
    <cellStyle name="Финансовый 36 3 2 3 2 2 2 2 2 2 2" xfId="29592" xr:uid="{E1407CF7-02DD-41E2-8B9A-F0D577F6D200}"/>
    <cellStyle name="Финансовый 36 3 2 3 2 2 2 2 2 3" xfId="15735" xr:uid="{00000000-0005-0000-0000-00006E440000}"/>
    <cellStyle name="Финансовый 36 3 2 3 2 2 2 2 2 3 2" xfId="32748" xr:uid="{88405BCF-25D5-4CF5-B272-28FD7C972004}"/>
    <cellStyle name="Финансовый 36 3 2 3 2 2 2 2 2 4" xfId="18816" xr:uid="{00000000-0005-0000-0000-00006F440000}"/>
    <cellStyle name="Финансовый 36 3 2 3 2 2 2 2 2 4 2" xfId="35829" xr:uid="{A9F799D5-B212-4AA5-9980-41B4B937FF58}"/>
    <cellStyle name="Финансовый 36 3 2 3 2 2 2 2 2 5" xfId="26519" xr:uid="{D336D1F5-E655-4ACA-862D-56C7F427B5D4}"/>
    <cellStyle name="Финансовый 36 3 2 3 2 2 2 2 3" xfId="12502" xr:uid="{00000000-0005-0000-0000-000070440000}"/>
    <cellStyle name="Финансовый 36 3 2 3 2 2 2 2 3 2" xfId="29591" xr:uid="{0DEB10EE-383B-4286-8D9C-D94DF94D6AC2}"/>
    <cellStyle name="Финансовый 36 3 2 3 2 2 2 2 4" xfId="15734" xr:uid="{00000000-0005-0000-0000-000071440000}"/>
    <cellStyle name="Финансовый 36 3 2 3 2 2 2 2 4 2" xfId="32747" xr:uid="{56F8B8AD-161C-4D10-88AB-3C72B3588037}"/>
    <cellStyle name="Финансовый 36 3 2 3 2 2 2 2 5" xfId="18815" xr:uid="{00000000-0005-0000-0000-000072440000}"/>
    <cellStyle name="Финансовый 36 3 2 3 2 2 2 2 5 2" xfId="35828" xr:uid="{719A243E-4E4B-4855-96D8-C04A0B956F67}"/>
    <cellStyle name="Финансовый 36 3 2 3 2 2 2 2 6" xfId="26518" xr:uid="{8A8533BD-D4E8-46B7-B539-C0DF8E2677ED}"/>
    <cellStyle name="Финансовый 36 3 2 3 2 2 2 3" xfId="9419" xr:uid="{00000000-0005-0000-0000-000073440000}"/>
    <cellStyle name="Финансовый 36 3 2 3 2 2 2 3 2" xfId="12504" xr:uid="{00000000-0005-0000-0000-000074440000}"/>
    <cellStyle name="Финансовый 36 3 2 3 2 2 2 3 2 2" xfId="29593" xr:uid="{19BD81D2-231E-4BEB-B482-8D2D474882B2}"/>
    <cellStyle name="Финансовый 36 3 2 3 2 2 2 3 3" xfId="15736" xr:uid="{00000000-0005-0000-0000-000075440000}"/>
    <cellStyle name="Финансовый 36 3 2 3 2 2 2 3 3 2" xfId="32749" xr:uid="{0F0E274F-D3A6-4443-8839-8FB0F077595D}"/>
    <cellStyle name="Финансовый 36 3 2 3 2 2 2 3 4" xfId="18817" xr:uid="{00000000-0005-0000-0000-000076440000}"/>
    <cellStyle name="Финансовый 36 3 2 3 2 2 2 3 4 2" xfId="35830" xr:uid="{7C595231-EC60-4295-885C-4C5111C9E5C7}"/>
    <cellStyle name="Финансовый 36 3 2 3 2 2 2 3 5" xfId="26520" xr:uid="{D906E0D6-8908-4022-9ECF-F614B521059B}"/>
    <cellStyle name="Финансовый 36 3 2 3 2 2 2 4" xfId="12501" xr:uid="{00000000-0005-0000-0000-000077440000}"/>
    <cellStyle name="Финансовый 36 3 2 3 2 2 2 4 2" xfId="29590" xr:uid="{6A6C575E-9472-4530-9C92-C193366478CB}"/>
    <cellStyle name="Финансовый 36 3 2 3 2 2 2 5" xfId="15733" xr:uid="{00000000-0005-0000-0000-000078440000}"/>
    <cellStyle name="Финансовый 36 3 2 3 2 2 2 5 2" xfId="32746" xr:uid="{21E4A56A-4A4C-4DFB-9F41-1BCBF9E81685}"/>
    <cellStyle name="Финансовый 36 3 2 3 2 2 2 6" xfId="18814" xr:uid="{00000000-0005-0000-0000-000079440000}"/>
    <cellStyle name="Финансовый 36 3 2 3 2 2 2 6 2" xfId="35827" xr:uid="{93CFFD12-2D34-42AC-9677-7CF3B9EF4A9B}"/>
    <cellStyle name="Финансовый 36 3 2 3 2 2 2 7" xfId="26517" xr:uid="{7870998D-41A4-48DD-9E20-A76049B9E247}"/>
    <cellStyle name="Финансовый 36 3 2 3 2 2 3" xfId="9420" xr:uid="{00000000-0005-0000-0000-00007A440000}"/>
    <cellStyle name="Финансовый 36 3 2 3 2 2 3 2" xfId="9421" xr:uid="{00000000-0005-0000-0000-00007B440000}"/>
    <cellStyle name="Финансовый 36 3 2 3 2 2 3 2 2" xfId="12506" xr:uid="{00000000-0005-0000-0000-00007C440000}"/>
    <cellStyle name="Финансовый 36 3 2 3 2 2 3 2 2 2" xfId="29595" xr:uid="{211B65A7-4877-4992-A078-136D1BEF8E86}"/>
    <cellStyle name="Финансовый 36 3 2 3 2 2 3 2 3" xfId="15738" xr:uid="{00000000-0005-0000-0000-00007D440000}"/>
    <cellStyle name="Финансовый 36 3 2 3 2 2 3 2 3 2" xfId="32751" xr:uid="{DF93D87D-7248-4987-9AEE-E5D00B1D1FB6}"/>
    <cellStyle name="Финансовый 36 3 2 3 2 2 3 2 4" xfId="18819" xr:uid="{00000000-0005-0000-0000-00007E440000}"/>
    <cellStyle name="Финансовый 36 3 2 3 2 2 3 2 4 2" xfId="35832" xr:uid="{455B2B4E-7477-4692-984B-D197A1B151CC}"/>
    <cellStyle name="Финансовый 36 3 2 3 2 2 3 2 5" xfId="26522" xr:uid="{3879DD18-8A4D-4691-BA4D-3DF581564B81}"/>
    <cellStyle name="Финансовый 36 3 2 3 2 2 3 3" xfId="12505" xr:uid="{00000000-0005-0000-0000-00007F440000}"/>
    <cellStyle name="Финансовый 36 3 2 3 2 2 3 3 2" xfId="29594" xr:uid="{696FB1A4-8372-4D0F-B2B6-09B7C603F99F}"/>
    <cellStyle name="Финансовый 36 3 2 3 2 2 3 4" xfId="15737" xr:uid="{00000000-0005-0000-0000-000080440000}"/>
    <cellStyle name="Финансовый 36 3 2 3 2 2 3 4 2" xfId="32750" xr:uid="{32C4FBB4-2394-45EB-A9CE-3E4EE7209E30}"/>
    <cellStyle name="Финансовый 36 3 2 3 2 2 3 5" xfId="18818" xr:uid="{00000000-0005-0000-0000-000081440000}"/>
    <cellStyle name="Финансовый 36 3 2 3 2 2 3 5 2" xfId="35831" xr:uid="{E32F5706-CABE-4282-8F85-2ED7EEAFCFEE}"/>
    <cellStyle name="Финансовый 36 3 2 3 2 2 3 6" xfId="26521" xr:uid="{CE284B15-1AC8-430E-9E9B-BA447B718C2C}"/>
    <cellStyle name="Финансовый 36 3 2 3 2 2 4" xfId="9422" xr:uid="{00000000-0005-0000-0000-000082440000}"/>
    <cellStyle name="Финансовый 36 3 2 3 2 2 4 2" xfId="12507" xr:uid="{00000000-0005-0000-0000-000083440000}"/>
    <cellStyle name="Финансовый 36 3 2 3 2 2 4 2 2" xfId="29596" xr:uid="{ED95FC98-DD84-4336-BE43-B7D5DB8BEB30}"/>
    <cellStyle name="Финансовый 36 3 2 3 2 2 4 3" xfId="15739" xr:uid="{00000000-0005-0000-0000-000084440000}"/>
    <cellStyle name="Финансовый 36 3 2 3 2 2 4 3 2" xfId="32752" xr:uid="{3EB7A8A4-C2F6-4211-B307-27C2943C30CE}"/>
    <cellStyle name="Финансовый 36 3 2 3 2 2 4 4" xfId="18820" xr:uid="{00000000-0005-0000-0000-000085440000}"/>
    <cellStyle name="Финансовый 36 3 2 3 2 2 4 4 2" xfId="35833" xr:uid="{31CDCCF7-C174-4B86-936F-9D00383E906E}"/>
    <cellStyle name="Финансовый 36 3 2 3 2 2 4 5" xfId="26523" xr:uid="{BE370332-0B6A-4E5F-9EF5-C2F13E8B16B7}"/>
    <cellStyle name="Финансовый 36 3 2 3 2 2 5" xfId="12500" xr:uid="{00000000-0005-0000-0000-000086440000}"/>
    <cellStyle name="Финансовый 36 3 2 3 2 2 5 2" xfId="29589" xr:uid="{2F858411-0656-4C4A-A2FE-0490C8036DC6}"/>
    <cellStyle name="Финансовый 36 3 2 3 2 2 6" xfId="15732" xr:uid="{00000000-0005-0000-0000-000087440000}"/>
    <cellStyle name="Финансовый 36 3 2 3 2 2 6 2" xfId="32745" xr:uid="{3EAD59E3-B1FA-428D-A7A0-EACB746F52FB}"/>
    <cellStyle name="Финансовый 36 3 2 3 2 2 7" xfId="18813" xr:uid="{00000000-0005-0000-0000-000088440000}"/>
    <cellStyle name="Финансовый 36 3 2 3 2 2 7 2" xfId="35826" xr:uid="{A0539892-E29C-4CE9-BA52-CE5251BE2468}"/>
    <cellStyle name="Финансовый 36 3 2 3 2 2 8" xfId="26516" xr:uid="{5C7CF266-14AD-4E58-87C1-04C573CED87A}"/>
    <cellStyle name="Финансовый 36 3 2 3 2 3" xfId="9423" xr:uid="{00000000-0005-0000-0000-000089440000}"/>
    <cellStyle name="Финансовый 36 3 2 3 2 3 2" xfId="9424" xr:uid="{00000000-0005-0000-0000-00008A440000}"/>
    <cellStyle name="Финансовый 36 3 2 3 2 3 2 2" xfId="9425" xr:uid="{00000000-0005-0000-0000-00008B440000}"/>
    <cellStyle name="Финансовый 36 3 2 3 2 3 2 2 2" xfId="12510" xr:uid="{00000000-0005-0000-0000-00008C440000}"/>
    <cellStyle name="Финансовый 36 3 2 3 2 3 2 2 2 2" xfId="29599" xr:uid="{CAEA1B8D-3A22-4D3B-B57B-9EDF82F7B821}"/>
    <cellStyle name="Финансовый 36 3 2 3 2 3 2 2 3" xfId="15742" xr:uid="{00000000-0005-0000-0000-00008D440000}"/>
    <cellStyle name="Финансовый 36 3 2 3 2 3 2 2 3 2" xfId="32755" xr:uid="{9C3D6A30-451E-4419-97AC-4957A074498E}"/>
    <cellStyle name="Финансовый 36 3 2 3 2 3 2 2 4" xfId="18823" xr:uid="{00000000-0005-0000-0000-00008E440000}"/>
    <cellStyle name="Финансовый 36 3 2 3 2 3 2 2 4 2" xfId="35836" xr:uid="{7E2CB7F7-7BB4-4ACA-9B25-486CBAF4822C}"/>
    <cellStyle name="Финансовый 36 3 2 3 2 3 2 2 5" xfId="26526" xr:uid="{DF22169D-B6C7-478F-A54F-B45EDF8D91AD}"/>
    <cellStyle name="Финансовый 36 3 2 3 2 3 2 3" xfId="12509" xr:uid="{00000000-0005-0000-0000-00008F440000}"/>
    <cellStyle name="Финансовый 36 3 2 3 2 3 2 3 2" xfId="29598" xr:uid="{3CCDF70F-C869-441B-AAE5-C42B68D1B819}"/>
    <cellStyle name="Финансовый 36 3 2 3 2 3 2 4" xfId="15741" xr:uid="{00000000-0005-0000-0000-000090440000}"/>
    <cellStyle name="Финансовый 36 3 2 3 2 3 2 4 2" xfId="32754" xr:uid="{AD1F995E-77D4-47C0-94FE-E9FC44385306}"/>
    <cellStyle name="Финансовый 36 3 2 3 2 3 2 5" xfId="18822" xr:uid="{00000000-0005-0000-0000-000091440000}"/>
    <cellStyle name="Финансовый 36 3 2 3 2 3 2 5 2" xfId="35835" xr:uid="{D8EF1BDD-AA5F-4247-BD51-17278D137B85}"/>
    <cellStyle name="Финансовый 36 3 2 3 2 3 2 6" xfId="26525" xr:uid="{3E12AC67-521A-4EF2-B7AC-E55A3FD0E60E}"/>
    <cellStyle name="Финансовый 36 3 2 3 2 3 3" xfId="9426" xr:uid="{00000000-0005-0000-0000-000092440000}"/>
    <cellStyle name="Финансовый 36 3 2 3 2 3 3 2" xfId="12511" xr:uid="{00000000-0005-0000-0000-000093440000}"/>
    <cellStyle name="Финансовый 36 3 2 3 2 3 3 2 2" xfId="29600" xr:uid="{B5C17FB6-31D1-4188-BC3C-6CFED24685D1}"/>
    <cellStyle name="Финансовый 36 3 2 3 2 3 3 3" xfId="15743" xr:uid="{00000000-0005-0000-0000-000094440000}"/>
    <cellStyle name="Финансовый 36 3 2 3 2 3 3 3 2" xfId="32756" xr:uid="{C7822F21-B58B-4BFF-8D4E-967C0DBE11B0}"/>
    <cellStyle name="Финансовый 36 3 2 3 2 3 3 4" xfId="18824" xr:uid="{00000000-0005-0000-0000-000095440000}"/>
    <cellStyle name="Финансовый 36 3 2 3 2 3 3 4 2" xfId="35837" xr:uid="{B2F39360-D7FC-47EE-9DD1-2358FB68315B}"/>
    <cellStyle name="Финансовый 36 3 2 3 2 3 3 5" xfId="26527" xr:uid="{249525ED-6B2F-446D-89B8-EC7630D427A5}"/>
    <cellStyle name="Финансовый 36 3 2 3 2 3 4" xfId="12508" xr:uid="{00000000-0005-0000-0000-000096440000}"/>
    <cellStyle name="Финансовый 36 3 2 3 2 3 4 2" xfId="29597" xr:uid="{66C143A4-C70E-425A-9266-2E11E48FB2B1}"/>
    <cellStyle name="Финансовый 36 3 2 3 2 3 5" xfId="15740" xr:uid="{00000000-0005-0000-0000-000097440000}"/>
    <cellStyle name="Финансовый 36 3 2 3 2 3 5 2" xfId="32753" xr:uid="{094AF88B-9D3B-4B29-B74E-ECD5DBC4B145}"/>
    <cellStyle name="Финансовый 36 3 2 3 2 3 6" xfId="18821" xr:uid="{00000000-0005-0000-0000-000098440000}"/>
    <cellStyle name="Финансовый 36 3 2 3 2 3 6 2" xfId="35834" xr:uid="{EA0CAD21-9743-4816-9BE2-7030DA542913}"/>
    <cellStyle name="Финансовый 36 3 2 3 2 3 7" xfId="26524" xr:uid="{0FB3B817-50F1-498B-9A7A-E2D689E36A9D}"/>
    <cellStyle name="Финансовый 36 3 2 3 2 4" xfId="9427" xr:uid="{00000000-0005-0000-0000-000099440000}"/>
    <cellStyle name="Финансовый 36 3 2 3 2 4 2" xfId="9428" xr:uid="{00000000-0005-0000-0000-00009A440000}"/>
    <cellStyle name="Финансовый 36 3 2 3 2 4 2 2" xfId="12513" xr:uid="{00000000-0005-0000-0000-00009B440000}"/>
    <cellStyle name="Финансовый 36 3 2 3 2 4 2 2 2" xfId="29602" xr:uid="{DAA8A5DE-B04D-4229-842E-4A4CF16787BF}"/>
    <cellStyle name="Финансовый 36 3 2 3 2 4 2 3" xfId="15745" xr:uid="{00000000-0005-0000-0000-00009C440000}"/>
    <cellStyle name="Финансовый 36 3 2 3 2 4 2 3 2" xfId="32758" xr:uid="{1463F064-C3D5-4159-BB4E-51E104BCF820}"/>
    <cellStyle name="Финансовый 36 3 2 3 2 4 2 4" xfId="18826" xr:uid="{00000000-0005-0000-0000-00009D440000}"/>
    <cellStyle name="Финансовый 36 3 2 3 2 4 2 4 2" xfId="35839" xr:uid="{01CA3390-76C2-4CD4-9E4C-CFE4A7776F21}"/>
    <cellStyle name="Финансовый 36 3 2 3 2 4 2 5" xfId="26529" xr:uid="{BFCBBDD3-7E3F-475A-910C-FFDCB32087F4}"/>
    <cellStyle name="Финансовый 36 3 2 3 2 4 3" xfId="12512" xr:uid="{00000000-0005-0000-0000-00009E440000}"/>
    <cellStyle name="Финансовый 36 3 2 3 2 4 3 2" xfId="29601" xr:uid="{7742D1F1-7CEA-4846-AE83-34E5460EE5AB}"/>
    <cellStyle name="Финансовый 36 3 2 3 2 4 4" xfId="15744" xr:uid="{00000000-0005-0000-0000-00009F440000}"/>
    <cellStyle name="Финансовый 36 3 2 3 2 4 4 2" xfId="32757" xr:uid="{CEFCE2AD-3D66-4F8A-9B95-B25F1A83D81B}"/>
    <cellStyle name="Финансовый 36 3 2 3 2 4 5" xfId="18825" xr:uid="{00000000-0005-0000-0000-0000A0440000}"/>
    <cellStyle name="Финансовый 36 3 2 3 2 4 5 2" xfId="35838" xr:uid="{79D9CC76-67E2-4CEB-A6D1-3FFF95F5CA6A}"/>
    <cellStyle name="Финансовый 36 3 2 3 2 4 6" xfId="26528" xr:uid="{198BB7DC-D230-426C-915E-8BE91C76B949}"/>
    <cellStyle name="Финансовый 36 3 2 3 2 5" xfId="9429" xr:uid="{00000000-0005-0000-0000-0000A1440000}"/>
    <cellStyle name="Финансовый 36 3 2 3 2 5 2" xfId="12514" xr:uid="{00000000-0005-0000-0000-0000A2440000}"/>
    <cellStyle name="Финансовый 36 3 2 3 2 5 2 2" xfId="29603" xr:uid="{00E9732D-823B-41F8-B685-5E42FCC383A5}"/>
    <cellStyle name="Финансовый 36 3 2 3 2 5 3" xfId="15746" xr:uid="{00000000-0005-0000-0000-0000A3440000}"/>
    <cellStyle name="Финансовый 36 3 2 3 2 5 3 2" xfId="32759" xr:uid="{5546B398-89FC-45F3-B3F9-3FEF0BA4A373}"/>
    <cellStyle name="Финансовый 36 3 2 3 2 5 4" xfId="18827" xr:uid="{00000000-0005-0000-0000-0000A4440000}"/>
    <cellStyle name="Финансовый 36 3 2 3 2 5 4 2" xfId="35840" xr:uid="{BCCC433C-C772-4CE4-92D3-B0C0B7329694}"/>
    <cellStyle name="Финансовый 36 3 2 3 2 5 5" xfId="26530" xr:uid="{5916B8E2-2F73-4FCA-972C-EB59AC666FAD}"/>
    <cellStyle name="Финансовый 36 3 2 3 2 6" xfId="12499" xr:uid="{00000000-0005-0000-0000-0000A5440000}"/>
    <cellStyle name="Финансовый 36 3 2 3 2 6 2" xfId="29588" xr:uid="{29A1FBF4-774D-4465-9A1C-764B9EF934F5}"/>
    <cellStyle name="Финансовый 36 3 2 3 2 7" xfId="15731" xr:uid="{00000000-0005-0000-0000-0000A6440000}"/>
    <cellStyle name="Финансовый 36 3 2 3 2 7 2" xfId="32744" xr:uid="{D11EAF42-933E-4340-8737-AAFE010B8D15}"/>
    <cellStyle name="Финансовый 36 3 2 3 2 8" xfId="18812" xr:uid="{00000000-0005-0000-0000-0000A7440000}"/>
    <cellStyle name="Финансовый 36 3 2 3 2 8 2" xfId="35825" xr:uid="{E999F15E-1285-4475-9918-A28566D687E2}"/>
    <cellStyle name="Финансовый 36 3 2 3 2 9" xfId="26515" xr:uid="{3B0CAC85-FADF-46B1-B334-4FB4A382E7F6}"/>
    <cellStyle name="Финансовый 36 3 2 3 3" xfId="9430" xr:uid="{00000000-0005-0000-0000-0000A8440000}"/>
    <cellStyle name="Финансовый 36 3 2 3 3 2" xfId="9431" xr:uid="{00000000-0005-0000-0000-0000A9440000}"/>
    <cellStyle name="Финансовый 36 3 2 3 3 2 2" xfId="9432" xr:uid="{00000000-0005-0000-0000-0000AA440000}"/>
    <cellStyle name="Финансовый 36 3 2 3 3 2 2 2" xfId="9433" xr:uid="{00000000-0005-0000-0000-0000AB440000}"/>
    <cellStyle name="Финансовый 36 3 2 3 3 2 2 2 2" xfId="12518" xr:uid="{00000000-0005-0000-0000-0000AC440000}"/>
    <cellStyle name="Финансовый 36 3 2 3 3 2 2 2 2 2" xfId="29607" xr:uid="{BA382104-7BD4-43D6-880A-1637423195CC}"/>
    <cellStyle name="Финансовый 36 3 2 3 3 2 2 2 3" xfId="15750" xr:uid="{00000000-0005-0000-0000-0000AD440000}"/>
    <cellStyle name="Финансовый 36 3 2 3 3 2 2 2 3 2" xfId="32763" xr:uid="{7388CCA6-432B-4D1C-AAF8-F0DC0C240BA2}"/>
    <cellStyle name="Финансовый 36 3 2 3 3 2 2 2 4" xfId="18831" xr:uid="{00000000-0005-0000-0000-0000AE440000}"/>
    <cellStyle name="Финансовый 36 3 2 3 3 2 2 2 4 2" xfId="35844" xr:uid="{F5997ECF-63BF-4C21-A091-E54905ABC8BB}"/>
    <cellStyle name="Финансовый 36 3 2 3 3 2 2 2 5" xfId="26534" xr:uid="{ED3E11CA-7E00-4FDD-8DB6-AD4CC2B70476}"/>
    <cellStyle name="Финансовый 36 3 2 3 3 2 2 3" xfId="12517" xr:uid="{00000000-0005-0000-0000-0000AF440000}"/>
    <cellStyle name="Финансовый 36 3 2 3 3 2 2 3 2" xfId="29606" xr:uid="{3B0AF860-21BA-408B-A913-B87F2BC0307C}"/>
    <cellStyle name="Финансовый 36 3 2 3 3 2 2 4" xfId="15749" xr:uid="{00000000-0005-0000-0000-0000B0440000}"/>
    <cellStyle name="Финансовый 36 3 2 3 3 2 2 4 2" xfId="32762" xr:uid="{B249D4F8-5673-4341-AF6C-BE0984FEE698}"/>
    <cellStyle name="Финансовый 36 3 2 3 3 2 2 5" xfId="18830" xr:uid="{00000000-0005-0000-0000-0000B1440000}"/>
    <cellStyle name="Финансовый 36 3 2 3 3 2 2 5 2" xfId="35843" xr:uid="{A6FC4E26-C096-4145-AC62-7B823270F72D}"/>
    <cellStyle name="Финансовый 36 3 2 3 3 2 2 6" xfId="26533" xr:uid="{6D3DC784-5A11-40CC-A3F1-CEA7BBE9B45E}"/>
    <cellStyle name="Финансовый 36 3 2 3 3 2 3" xfId="9434" xr:uid="{00000000-0005-0000-0000-0000B2440000}"/>
    <cellStyle name="Финансовый 36 3 2 3 3 2 3 2" xfId="12519" xr:uid="{00000000-0005-0000-0000-0000B3440000}"/>
    <cellStyle name="Финансовый 36 3 2 3 3 2 3 2 2" xfId="29608" xr:uid="{89F53893-0327-4448-B59F-BEE3D36AB292}"/>
    <cellStyle name="Финансовый 36 3 2 3 3 2 3 3" xfId="15751" xr:uid="{00000000-0005-0000-0000-0000B4440000}"/>
    <cellStyle name="Финансовый 36 3 2 3 3 2 3 3 2" xfId="32764" xr:uid="{F130D904-7D5C-4430-8F8E-52463859C68B}"/>
    <cellStyle name="Финансовый 36 3 2 3 3 2 3 4" xfId="18832" xr:uid="{00000000-0005-0000-0000-0000B5440000}"/>
    <cellStyle name="Финансовый 36 3 2 3 3 2 3 4 2" xfId="35845" xr:uid="{1204D495-C5AB-42E0-B4C4-DDC6D4C1C153}"/>
    <cellStyle name="Финансовый 36 3 2 3 3 2 3 5" xfId="26535" xr:uid="{16F319F9-8B49-4EFD-A96C-769CF2DD06BB}"/>
    <cellStyle name="Финансовый 36 3 2 3 3 2 4" xfId="12516" xr:uid="{00000000-0005-0000-0000-0000B6440000}"/>
    <cellStyle name="Финансовый 36 3 2 3 3 2 4 2" xfId="29605" xr:uid="{F0201F65-E24A-4B3F-8283-BDC7E119657C}"/>
    <cellStyle name="Финансовый 36 3 2 3 3 2 5" xfId="15748" xr:uid="{00000000-0005-0000-0000-0000B7440000}"/>
    <cellStyle name="Финансовый 36 3 2 3 3 2 5 2" xfId="32761" xr:uid="{B6AB133F-EEDD-42DD-A375-7B170026630D}"/>
    <cellStyle name="Финансовый 36 3 2 3 3 2 6" xfId="18829" xr:uid="{00000000-0005-0000-0000-0000B8440000}"/>
    <cellStyle name="Финансовый 36 3 2 3 3 2 6 2" xfId="35842" xr:uid="{11A56D0D-9BE8-4472-9891-BDF4A36510A6}"/>
    <cellStyle name="Финансовый 36 3 2 3 3 2 7" xfId="26532" xr:uid="{DF13B0D1-7E8D-4410-831C-8F2BB7EB7BC5}"/>
    <cellStyle name="Финансовый 36 3 2 3 3 3" xfId="9435" xr:uid="{00000000-0005-0000-0000-0000B9440000}"/>
    <cellStyle name="Финансовый 36 3 2 3 3 3 2" xfId="9436" xr:uid="{00000000-0005-0000-0000-0000BA440000}"/>
    <cellStyle name="Финансовый 36 3 2 3 3 3 2 2" xfId="12521" xr:uid="{00000000-0005-0000-0000-0000BB440000}"/>
    <cellStyle name="Финансовый 36 3 2 3 3 3 2 2 2" xfId="29610" xr:uid="{8552EF62-4760-4DBE-AA4F-B8E4BFA2427A}"/>
    <cellStyle name="Финансовый 36 3 2 3 3 3 2 3" xfId="15753" xr:uid="{00000000-0005-0000-0000-0000BC440000}"/>
    <cellStyle name="Финансовый 36 3 2 3 3 3 2 3 2" xfId="32766" xr:uid="{BA5AA69B-E581-455F-A79E-C65332F00D6A}"/>
    <cellStyle name="Финансовый 36 3 2 3 3 3 2 4" xfId="18834" xr:uid="{00000000-0005-0000-0000-0000BD440000}"/>
    <cellStyle name="Финансовый 36 3 2 3 3 3 2 4 2" xfId="35847" xr:uid="{5886DA01-7B3B-41D3-8BB4-C6DBA00FFB0D}"/>
    <cellStyle name="Финансовый 36 3 2 3 3 3 2 5" xfId="26537" xr:uid="{92DC4D24-690C-4AF6-84E8-2B78D545692D}"/>
    <cellStyle name="Финансовый 36 3 2 3 3 3 3" xfId="12520" xr:uid="{00000000-0005-0000-0000-0000BE440000}"/>
    <cellStyle name="Финансовый 36 3 2 3 3 3 3 2" xfId="29609" xr:uid="{AF14D9BD-E7E6-405A-8341-128AACD066CE}"/>
    <cellStyle name="Финансовый 36 3 2 3 3 3 4" xfId="15752" xr:uid="{00000000-0005-0000-0000-0000BF440000}"/>
    <cellStyle name="Финансовый 36 3 2 3 3 3 4 2" xfId="32765" xr:uid="{5524B6D3-9D5B-4EFF-AEF4-613261FD789D}"/>
    <cellStyle name="Финансовый 36 3 2 3 3 3 5" xfId="18833" xr:uid="{00000000-0005-0000-0000-0000C0440000}"/>
    <cellStyle name="Финансовый 36 3 2 3 3 3 5 2" xfId="35846" xr:uid="{798162E5-D1FB-4C35-8CB3-95354B7955B2}"/>
    <cellStyle name="Финансовый 36 3 2 3 3 3 6" xfId="26536" xr:uid="{B8DEA42C-5FEA-4626-BCE9-F1954128FBFF}"/>
    <cellStyle name="Финансовый 36 3 2 3 3 4" xfId="9437" xr:uid="{00000000-0005-0000-0000-0000C1440000}"/>
    <cellStyle name="Финансовый 36 3 2 3 3 4 2" xfId="12522" xr:uid="{00000000-0005-0000-0000-0000C2440000}"/>
    <cellStyle name="Финансовый 36 3 2 3 3 4 2 2" xfId="29611" xr:uid="{1215B3F0-63B2-442F-8D61-892EA4DB9F8E}"/>
    <cellStyle name="Финансовый 36 3 2 3 3 4 3" xfId="15754" xr:uid="{00000000-0005-0000-0000-0000C3440000}"/>
    <cellStyle name="Финансовый 36 3 2 3 3 4 3 2" xfId="32767" xr:uid="{5460F7C3-FB22-4AD7-8AC9-BC4DDC12C35D}"/>
    <cellStyle name="Финансовый 36 3 2 3 3 4 4" xfId="18835" xr:uid="{00000000-0005-0000-0000-0000C4440000}"/>
    <cellStyle name="Финансовый 36 3 2 3 3 4 4 2" xfId="35848" xr:uid="{A5CBC344-1C94-440A-B6C9-88C0D7D25F7A}"/>
    <cellStyle name="Финансовый 36 3 2 3 3 4 5" xfId="26538" xr:uid="{ADE84FC5-D9B7-441B-9A78-CED34A100A3B}"/>
    <cellStyle name="Финансовый 36 3 2 3 3 5" xfId="12515" xr:uid="{00000000-0005-0000-0000-0000C5440000}"/>
    <cellStyle name="Финансовый 36 3 2 3 3 5 2" xfId="29604" xr:uid="{F800605C-B84D-4DE3-969E-DECE2648638A}"/>
    <cellStyle name="Финансовый 36 3 2 3 3 6" xfId="15747" xr:uid="{00000000-0005-0000-0000-0000C6440000}"/>
    <cellStyle name="Финансовый 36 3 2 3 3 6 2" xfId="32760" xr:uid="{D3FAE8DF-640C-4D57-91B3-58AD060F71B2}"/>
    <cellStyle name="Финансовый 36 3 2 3 3 7" xfId="18828" xr:uid="{00000000-0005-0000-0000-0000C7440000}"/>
    <cellStyle name="Финансовый 36 3 2 3 3 7 2" xfId="35841" xr:uid="{7616D16A-D006-4384-A305-035AA15AAFA9}"/>
    <cellStyle name="Финансовый 36 3 2 3 3 8" xfId="26531" xr:uid="{40367AB0-6733-4843-8F35-A18C9971B3BE}"/>
    <cellStyle name="Финансовый 36 3 2 3 4" xfId="9438" xr:uid="{00000000-0005-0000-0000-0000C8440000}"/>
    <cellStyle name="Финансовый 36 3 2 3 4 2" xfId="9439" xr:uid="{00000000-0005-0000-0000-0000C9440000}"/>
    <cellStyle name="Финансовый 36 3 2 3 4 2 2" xfId="9440" xr:uid="{00000000-0005-0000-0000-0000CA440000}"/>
    <cellStyle name="Финансовый 36 3 2 3 4 2 2 2" xfId="12525" xr:uid="{00000000-0005-0000-0000-0000CB440000}"/>
    <cellStyle name="Финансовый 36 3 2 3 4 2 2 2 2" xfId="29614" xr:uid="{AAFDE139-342E-4BB5-89DE-E4DCCC0A2996}"/>
    <cellStyle name="Финансовый 36 3 2 3 4 2 2 3" xfId="15757" xr:uid="{00000000-0005-0000-0000-0000CC440000}"/>
    <cellStyle name="Финансовый 36 3 2 3 4 2 2 3 2" xfId="32770" xr:uid="{42D81747-8918-49A5-9C3A-50CF9085B7D3}"/>
    <cellStyle name="Финансовый 36 3 2 3 4 2 2 4" xfId="18838" xr:uid="{00000000-0005-0000-0000-0000CD440000}"/>
    <cellStyle name="Финансовый 36 3 2 3 4 2 2 4 2" xfId="35851" xr:uid="{2A84C3C7-6012-4212-9077-6F0832716A7C}"/>
    <cellStyle name="Финансовый 36 3 2 3 4 2 2 5" xfId="26541" xr:uid="{7AF50792-6B02-40A3-AE91-B94F94A9DF7A}"/>
    <cellStyle name="Финансовый 36 3 2 3 4 2 3" xfId="12524" xr:uid="{00000000-0005-0000-0000-0000CE440000}"/>
    <cellStyle name="Финансовый 36 3 2 3 4 2 3 2" xfId="29613" xr:uid="{EBC7A0EA-A22A-4F2C-93DF-76DABFEC05CC}"/>
    <cellStyle name="Финансовый 36 3 2 3 4 2 4" xfId="15756" xr:uid="{00000000-0005-0000-0000-0000CF440000}"/>
    <cellStyle name="Финансовый 36 3 2 3 4 2 4 2" xfId="32769" xr:uid="{4C3E9C9F-FB13-40CD-A371-D84D88E4D2D7}"/>
    <cellStyle name="Финансовый 36 3 2 3 4 2 5" xfId="18837" xr:uid="{00000000-0005-0000-0000-0000D0440000}"/>
    <cellStyle name="Финансовый 36 3 2 3 4 2 5 2" xfId="35850" xr:uid="{4E72942C-1973-480F-8B1D-CA9B4E3E91FD}"/>
    <cellStyle name="Финансовый 36 3 2 3 4 2 6" xfId="26540" xr:uid="{807FA19B-D4EA-4EEC-9464-90529B8DCAE2}"/>
    <cellStyle name="Финансовый 36 3 2 3 4 3" xfId="9441" xr:uid="{00000000-0005-0000-0000-0000D1440000}"/>
    <cellStyle name="Финансовый 36 3 2 3 4 3 2" xfId="12526" xr:uid="{00000000-0005-0000-0000-0000D2440000}"/>
    <cellStyle name="Финансовый 36 3 2 3 4 3 2 2" xfId="29615" xr:uid="{64F50F58-5C7F-49C5-AFD5-F7CE449C95D2}"/>
    <cellStyle name="Финансовый 36 3 2 3 4 3 3" xfId="15758" xr:uid="{00000000-0005-0000-0000-0000D3440000}"/>
    <cellStyle name="Финансовый 36 3 2 3 4 3 3 2" xfId="32771" xr:uid="{9737DDFA-B8C8-4818-BE1D-AAD3FA1F665F}"/>
    <cellStyle name="Финансовый 36 3 2 3 4 3 4" xfId="18839" xr:uid="{00000000-0005-0000-0000-0000D4440000}"/>
    <cellStyle name="Финансовый 36 3 2 3 4 3 4 2" xfId="35852" xr:uid="{A82624CE-2F2F-4F92-9475-BC365EB7B02D}"/>
    <cellStyle name="Финансовый 36 3 2 3 4 3 5" xfId="26542" xr:uid="{715B04DD-2538-4E93-93A3-24D0923FB6BA}"/>
    <cellStyle name="Финансовый 36 3 2 3 4 4" xfId="12523" xr:uid="{00000000-0005-0000-0000-0000D5440000}"/>
    <cellStyle name="Финансовый 36 3 2 3 4 4 2" xfId="29612" xr:uid="{6868F360-3C57-4A08-8081-5B025DEE9A61}"/>
    <cellStyle name="Финансовый 36 3 2 3 4 5" xfId="15755" xr:uid="{00000000-0005-0000-0000-0000D6440000}"/>
    <cellStyle name="Финансовый 36 3 2 3 4 5 2" xfId="32768" xr:uid="{F8E6C6EE-3AAB-4BA5-9D6A-991316A2F203}"/>
    <cellStyle name="Финансовый 36 3 2 3 4 6" xfId="18836" xr:uid="{00000000-0005-0000-0000-0000D7440000}"/>
    <cellStyle name="Финансовый 36 3 2 3 4 6 2" xfId="35849" xr:uid="{2CD3F372-2DEE-41BB-A3FB-D40E189442B5}"/>
    <cellStyle name="Финансовый 36 3 2 3 4 7" xfId="26539" xr:uid="{196EE27C-59B7-45C0-A724-7D1CA58159DD}"/>
    <cellStyle name="Финансовый 36 3 2 3 5" xfId="9442" xr:uid="{00000000-0005-0000-0000-0000D8440000}"/>
    <cellStyle name="Финансовый 36 3 2 3 5 2" xfId="9443" xr:uid="{00000000-0005-0000-0000-0000D9440000}"/>
    <cellStyle name="Финансовый 36 3 2 3 5 2 2" xfId="12528" xr:uid="{00000000-0005-0000-0000-0000DA440000}"/>
    <cellStyle name="Финансовый 36 3 2 3 5 2 2 2" xfId="29617" xr:uid="{14FB903B-B0F5-4E19-9483-5AF3ED28326B}"/>
    <cellStyle name="Финансовый 36 3 2 3 5 2 3" xfId="15760" xr:uid="{00000000-0005-0000-0000-0000DB440000}"/>
    <cellStyle name="Финансовый 36 3 2 3 5 2 3 2" xfId="32773" xr:uid="{64251712-041C-4676-9F44-DD7FE809FCE9}"/>
    <cellStyle name="Финансовый 36 3 2 3 5 2 4" xfId="18841" xr:uid="{00000000-0005-0000-0000-0000DC440000}"/>
    <cellStyle name="Финансовый 36 3 2 3 5 2 4 2" xfId="35854" xr:uid="{B7E8350F-FBE9-4970-8B27-4C5BD18234C3}"/>
    <cellStyle name="Финансовый 36 3 2 3 5 2 5" xfId="26544" xr:uid="{E5530797-E4D7-4E42-B79B-B4A5E0D92B79}"/>
    <cellStyle name="Финансовый 36 3 2 3 5 3" xfId="12527" xr:uid="{00000000-0005-0000-0000-0000DD440000}"/>
    <cellStyle name="Финансовый 36 3 2 3 5 3 2" xfId="29616" xr:uid="{34BE60F2-8E84-4260-BE0F-DE82DF3FB883}"/>
    <cellStyle name="Финансовый 36 3 2 3 5 4" xfId="15759" xr:uid="{00000000-0005-0000-0000-0000DE440000}"/>
    <cellStyle name="Финансовый 36 3 2 3 5 4 2" xfId="32772" xr:uid="{127E163C-12C3-487F-AB04-C7789F2488D0}"/>
    <cellStyle name="Финансовый 36 3 2 3 5 5" xfId="18840" xr:uid="{00000000-0005-0000-0000-0000DF440000}"/>
    <cellStyle name="Финансовый 36 3 2 3 5 5 2" xfId="35853" xr:uid="{34975FD6-2E53-4503-88B9-2207CE79DF24}"/>
    <cellStyle name="Финансовый 36 3 2 3 5 6" xfId="26543" xr:uid="{68C9DD56-F4C6-4DF2-9591-6792F4F9FC0E}"/>
    <cellStyle name="Финансовый 36 3 2 3 6" xfId="9444" xr:uid="{00000000-0005-0000-0000-0000E0440000}"/>
    <cellStyle name="Финансовый 36 3 2 3 6 2" xfId="12529" xr:uid="{00000000-0005-0000-0000-0000E1440000}"/>
    <cellStyle name="Финансовый 36 3 2 3 6 2 2" xfId="29618" xr:uid="{244F897C-22F6-4EED-A7C3-F4B3BCD133E7}"/>
    <cellStyle name="Финансовый 36 3 2 3 6 3" xfId="15761" xr:uid="{00000000-0005-0000-0000-0000E2440000}"/>
    <cellStyle name="Финансовый 36 3 2 3 6 3 2" xfId="32774" xr:uid="{E7A4CDF3-E411-40E4-B2FB-CBD2813C52E5}"/>
    <cellStyle name="Финансовый 36 3 2 3 6 4" xfId="18842" xr:uid="{00000000-0005-0000-0000-0000E3440000}"/>
    <cellStyle name="Финансовый 36 3 2 3 6 4 2" xfId="35855" xr:uid="{FC42D4AD-64F9-454A-AEE5-F88A28810E02}"/>
    <cellStyle name="Финансовый 36 3 2 3 6 5" xfId="26545" xr:uid="{E99443E1-8C56-4333-BBF6-BF03A9E93499}"/>
    <cellStyle name="Финансовый 36 3 2 3 7" xfId="12498" xr:uid="{00000000-0005-0000-0000-0000E4440000}"/>
    <cellStyle name="Финансовый 36 3 2 3 7 2" xfId="29587" xr:uid="{0C0B6747-66B4-4D2F-A719-D7ADBCD42601}"/>
    <cellStyle name="Финансовый 36 3 2 3 8" xfId="15730" xr:uid="{00000000-0005-0000-0000-0000E5440000}"/>
    <cellStyle name="Финансовый 36 3 2 3 8 2" xfId="32743" xr:uid="{10D2C56F-EDF8-4407-8778-0DDF4BB078F5}"/>
    <cellStyle name="Финансовый 36 3 2 3 9" xfId="18811" xr:uid="{00000000-0005-0000-0000-0000E6440000}"/>
    <cellStyle name="Финансовый 36 3 2 3 9 2" xfId="35824" xr:uid="{0809AD74-2248-4B7D-8D1B-A5586EDA51B6}"/>
    <cellStyle name="Финансовый 36 3 2 4" xfId="9445" xr:uid="{00000000-0005-0000-0000-0000E7440000}"/>
    <cellStyle name="Финансовый 36 3 2 4 2" xfId="9446" xr:uid="{00000000-0005-0000-0000-0000E8440000}"/>
    <cellStyle name="Финансовый 36 3 2 4 2 2" xfId="9447" xr:uid="{00000000-0005-0000-0000-0000E9440000}"/>
    <cellStyle name="Финансовый 36 3 2 4 2 2 2" xfId="9448" xr:uid="{00000000-0005-0000-0000-0000EA440000}"/>
    <cellStyle name="Финансовый 36 3 2 4 2 2 2 2" xfId="9449" xr:uid="{00000000-0005-0000-0000-0000EB440000}"/>
    <cellStyle name="Финансовый 36 3 2 4 2 2 2 2 2" xfId="12534" xr:uid="{00000000-0005-0000-0000-0000EC440000}"/>
    <cellStyle name="Финансовый 36 3 2 4 2 2 2 2 2 2" xfId="29623" xr:uid="{9D9FAE93-73BA-4B52-999F-17CFF7B241F6}"/>
    <cellStyle name="Финансовый 36 3 2 4 2 2 2 2 3" xfId="15766" xr:uid="{00000000-0005-0000-0000-0000ED440000}"/>
    <cellStyle name="Финансовый 36 3 2 4 2 2 2 2 3 2" xfId="32779" xr:uid="{BEDAFB48-06D3-4E19-AB14-908ED4A1AF3A}"/>
    <cellStyle name="Финансовый 36 3 2 4 2 2 2 2 4" xfId="18847" xr:uid="{00000000-0005-0000-0000-0000EE440000}"/>
    <cellStyle name="Финансовый 36 3 2 4 2 2 2 2 4 2" xfId="35860" xr:uid="{C99F2784-F442-4BB8-AAA4-D026E1BE9ACC}"/>
    <cellStyle name="Финансовый 36 3 2 4 2 2 2 2 5" xfId="26550" xr:uid="{E475192F-9ADF-49BC-8598-FEFFC51BC77B}"/>
    <cellStyle name="Финансовый 36 3 2 4 2 2 2 3" xfId="12533" xr:uid="{00000000-0005-0000-0000-0000EF440000}"/>
    <cellStyle name="Финансовый 36 3 2 4 2 2 2 3 2" xfId="29622" xr:uid="{8D705956-6DAC-4972-9C1B-25A7319DDFEF}"/>
    <cellStyle name="Финансовый 36 3 2 4 2 2 2 4" xfId="15765" xr:uid="{00000000-0005-0000-0000-0000F0440000}"/>
    <cellStyle name="Финансовый 36 3 2 4 2 2 2 4 2" xfId="32778" xr:uid="{51E76D59-241F-4E5A-8017-466F5CD35C31}"/>
    <cellStyle name="Финансовый 36 3 2 4 2 2 2 5" xfId="18846" xr:uid="{00000000-0005-0000-0000-0000F1440000}"/>
    <cellStyle name="Финансовый 36 3 2 4 2 2 2 5 2" xfId="35859" xr:uid="{7AF72564-56EE-451F-8E70-C49E03BA7DB3}"/>
    <cellStyle name="Финансовый 36 3 2 4 2 2 2 6" xfId="26549" xr:uid="{50A34FE2-5D13-4BC6-A8A9-5F3F65D0FB4D}"/>
    <cellStyle name="Финансовый 36 3 2 4 2 2 3" xfId="9450" xr:uid="{00000000-0005-0000-0000-0000F2440000}"/>
    <cellStyle name="Финансовый 36 3 2 4 2 2 3 2" xfId="12535" xr:uid="{00000000-0005-0000-0000-0000F3440000}"/>
    <cellStyle name="Финансовый 36 3 2 4 2 2 3 2 2" xfId="29624" xr:uid="{C8E373F2-568A-435D-9282-C1C41E083051}"/>
    <cellStyle name="Финансовый 36 3 2 4 2 2 3 3" xfId="15767" xr:uid="{00000000-0005-0000-0000-0000F4440000}"/>
    <cellStyle name="Финансовый 36 3 2 4 2 2 3 3 2" xfId="32780" xr:uid="{A370591A-EB2C-4C93-B00B-6C69BD5765F4}"/>
    <cellStyle name="Финансовый 36 3 2 4 2 2 3 4" xfId="18848" xr:uid="{00000000-0005-0000-0000-0000F5440000}"/>
    <cellStyle name="Финансовый 36 3 2 4 2 2 3 4 2" xfId="35861" xr:uid="{9C75DC21-2F14-4348-A369-ACE065109C2D}"/>
    <cellStyle name="Финансовый 36 3 2 4 2 2 3 5" xfId="26551" xr:uid="{67457352-DCBD-4C1F-A207-3E453D11844C}"/>
    <cellStyle name="Финансовый 36 3 2 4 2 2 4" xfId="12532" xr:uid="{00000000-0005-0000-0000-0000F6440000}"/>
    <cellStyle name="Финансовый 36 3 2 4 2 2 4 2" xfId="29621" xr:uid="{1D183F36-AAB2-4C57-B4A7-7FB254696A5F}"/>
    <cellStyle name="Финансовый 36 3 2 4 2 2 5" xfId="15764" xr:uid="{00000000-0005-0000-0000-0000F7440000}"/>
    <cellStyle name="Финансовый 36 3 2 4 2 2 5 2" xfId="32777" xr:uid="{2723DDA6-DD58-440E-817B-1C1CF472C038}"/>
    <cellStyle name="Финансовый 36 3 2 4 2 2 6" xfId="18845" xr:uid="{00000000-0005-0000-0000-0000F8440000}"/>
    <cellStyle name="Финансовый 36 3 2 4 2 2 6 2" xfId="35858" xr:uid="{1AD039B5-845F-46BD-B2C6-6420D924805A}"/>
    <cellStyle name="Финансовый 36 3 2 4 2 2 7" xfId="26548" xr:uid="{3403DB8B-EB8D-4A8C-9DF3-3B80DD0A0E4A}"/>
    <cellStyle name="Финансовый 36 3 2 4 2 3" xfId="9451" xr:uid="{00000000-0005-0000-0000-0000F9440000}"/>
    <cellStyle name="Финансовый 36 3 2 4 2 3 2" xfId="9452" xr:uid="{00000000-0005-0000-0000-0000FA440000}"/>
    <cellStyle name="Финансовый 36 3 2 4 2 3 2 2" xfId="12537" xr:uid="{00000000-0005-0000-0000-0000FB440000}"/>
    <cellStyle name="Финансовый 36 3 2 4 2 3 2 2 2" xfId="29626" xr:uid="{9848664C-71C7-4215-B917-220E51DCB88B}"/>
    <cellStyle name="Финансовый 36 3 2 4 2 3 2 3" xfId="15769" xr:uid="{00000000-0005-0000-0000-0000FC440000}"/>
    <cellStyle name="Финансовый 36 3 2 4 2 3 2 3 2" xfId="32782" xr:uid="{9ABC2962-D8EC-4668-980B-A988259AEFBB}"/>
    <cellStyle name="Финансовый 36 3 2 4 2 3 2 4" xfId="18850" xr:uid="{00000000-0005-0000-0000-0000FD440000}"/>
    <cellStyle name="Финансовый 36 3 2 4 2 3 2 4 2" xfId="35863" xr:uid="{F79DB831-03F7-47B3-8507-BE3F7244109C}"/>
    <cellStyle name="Финансовый 36 3 2 4 2 3 2 5" xfId="26553" xr:uid="{47D803A9-4929-41D2-88AA-D1D16CAA2C53}"/>
    <cellStyle name="Финансовый 36 3 2 4 2 3 3" xfId="12536" xr:uid="{00000000-0005-0000-0000-0000FE440000}"/>
    <cellStyle name="Финансовый 36 3 2 4 2 3 3 2" xfId="29625" xr:uid="{D7246465-C091-4B5B-87A1-72AE00A98B1A}"/>
    <cellStyle name="Финансовый 36 3 2 4 2 3 4" xfId="15768" xr:uid="{00000000-0005-0000-0000-0000FF440000}"/>
    <cellStyle name="Финансовый 36 3 2 4 2 3 4 2" xfId="32781" xr:uid="{F0A8BC6A-2CA4-4071-AD2A-16CC470593B9}"/>
    <cellStyle name="Финансовый 36 3 2 4 2 3 5" xfId="18849" xr:uid="{00000000-0005-0000-0000-000000450000}"/>
    <cellStyle name="Финансовый 36 3 2 4 2 3 5 2" xfId="35862" xr:uid="{B2B56FBD-187F-4A6E-B06F-A8CDF883D65D}"/>
    <cellStyle name="Финансовый 36 3 2 4 2 3 6" xfId="26552" xr:uid="{E70C5D2A-75A5-4572-837A-E7C0ED06F45A}"/>
    <cellStyle name="Финансовый 36 3 2 4 2 4" xfId="9453" xr:uid="{00000000-0005-0000-0000-000001450000}"/>
    <cellStyle name="Финансовый 36 3 2 4 2 4 2" xfId="12538" xr:uid="{00000000-0005-0000-0000-000002450000}"/>
    <cellStyle name="Финансовый 36 3 2 4 2 4 2 2" xfId="29627" xr:uid="{2467AF8E-B216-4FC7-BEBB-0341D0312796}"/>
    <cellStyle name="Финансовый 36 3 2 4 2 4 3" xfId="15770" xr:uid="{00000000-0005-0000-0000-000003450000}"/>
    <cellStyle name="Финансовый 36 3 2 4 2 4 3 2" xfId="32783" xr:uid="{91A9093F-1E86-4C3C-8378-45A94F7CE861}"/>
    <cellStyle name="Финансовый 36 3 2 4 2 4 4" xfId="18851" xr:uid="{00000000-0005-0000-0000-000004450000}"/>
    <cellStyle name="Финансовый 36 3 2 4 2 4 4 2" xfId="35864" xr:uid="{E2DD37AC-EC92-4254-8C21-AA6E7998D058}"/>
    <cellStyle name="Финансовый 36 3 2 4 2 4 5" xfId="26554" xr:uid="{B54C8A72-889B-4321-9BE5-6C6A6F837C68}"/>
    <cellStyle name="Финансовый 36 3 2 4 2 5" xfId="12531" xr:uid="{00000000-0005-0000-0000-000005450000}"/>
    <cellStyle name="Финансовый 36 3 2 4 2 5 2" xfId="29620" xr:uid="{51C94F26-52D7-480C-B621-6D954B2624A6}"/>
    <cellStyle name="Финансовый 36 3 2 4 2 6" xfId="15763" xr:uid="{00000000-0005-0000-0000-000006450000}"/>
    <cellStyle name="Финансовый 36 3 2 4 2 6 2" xfId="32776" xr:uid="{192E10DF-FBD9-4AE8-BB5C-B9AE804C9039}"/>
    <cellStyle name="Финансовый 36 3 2 4 2 7" xfId="18844" xr:uid="{00000000-0005-0000-0000-000007450000}"/>
    <cellStyle name="Финансовый 36 3 2 4 2 7 2" xfId="35857" xr:uid="{631CDE23-5682-43F2-BC3B-6365F127D084}"/>
    <cellStyle name="Финансовый 36 3 2 4 2 8" xfId="26547" xr:uid="{8C353CFC-56AA-499F-B3CA-3CB2F266EA8B}"/>
    <cellStyle name="Финансовый 36 3 2 4 3" xfId="9454" xr:uid="{00000000-0005-0000-0000-000008450000}"/>
    <cellStyle name="Финансовый 36 3 2 4 3 2" xfId="9455" xr:uid="{00000000-0005-0000-0000-000009450000}"/>
    <cellStyle name="Финансовый 36 3 2 4 3 2 2" xfId="9456" xr:uid="{00000000-0005-0000-0000-00000A450000}"/>
    <cellStyle name="Финансовый 36 3 2 4 3 2 2 2" xfId="12541" xr:uid="{00000000-0005-0000-0000-00000B450000}"/>
    <cellStyle name="Финансовый 36 3 2 4 3 2 2 2 2" xfId="29630" xr:uid="{985643CF-8749-46E4-9EA4-B01ACB52F68E}"/>
    <cellStyle name="Финансовый 36 3 2 4 3 2 2 3" xfId="15773" xr:uid="{00000000-0005-0000-0000-00000C450000}"/>
    <cellStyle name="Финансовый 36 3 2 4 3 2 2 3 2" xfId="32786" xr:uid="{74536276-DF35-4F81-9C6C-D0C7E8987C8D}"/>
    <cellStyle name="Финансовый 36 3 2 4 3 2 2 4" xfId="18854" xr:uid="{00000000-0005-0000-0000-00000D450000}"/>
    <cellStyle name="Финансовый 36 3 2 4 3 2 2 4 2" xfId="35867" xr:uid="{237EC912-6A8D-4D7B-BAD4-40C5AB8A9A8C}"/>
    <cellStyle name="Финансовый 36 3 2 4 3 2 2 5" xfId="26557" xr:uid="{0C287081-C9AB-41AD-8491-5A10C04A4D50}"/>
    <cellStyle name="Финансовый 36 3 2 4 3 2 3" xfId="12540" xr:uid="{00000000-0005-0000-0000-00000E450000}"/>
    <cellStyle name="Финансовый 36 3 2 4 3 2 3 2" xfId="29629" xr:uid="{926B323D-4759-4FAE-8E41-384D58703EDF}"/>
    <cellStyle name="Финансовый 36 3 2 4 3 2 4" xfId="15772" xr:uid="{00000000-0005-0000-0000-00000F450000}"/>
    <cellStyle name="Финансовый 36 3 2 4 3 2 4 2" xfId="32785" xr:uid="{2A7428F7-3C10-44BE-A04E-68F853C67E63}"/>
    <cellStyle name="Финансовый 36 3 2 4 3 2 5" xfId="18853" xr:uid="{00000000-0005-0000-0000-000010450000}"/>
    <cellStyle name="Финансовый 36 3 2 4 3 2 5 2" xfId="35866" xr:uid="{7F32C7C4-772E-46DD-B3AC-582A9482ED6E}"/>
    <cellStyle name="Финансовый 36 3 2 4 3 2 6" xfId="26556" xr:uid="{42D4DA64-91AC-4D6E-84CA-04AF5D2D15E2}"/>
    <cellStyle name="Финансовый 36 3 2 4 3 3" xfId="9457" xr:uid="{00000000-0005-0000-0000-000011450000}"/>
    <cellStyle name="Финансовый 36 3 2 4 3 3 2" xfId="12542" xr:uid="{00000000-0005-0000-0000-000012450000}"/>
    <cellStyle name="Финансовый 36 3 2 4 3 3 2 2" xfId="29631" xr:uid="{4E7242E8-54BD-410B-97E4-25403E359A1D}"/>
    <cellStyle name="Финансовый 36 3 2 4 3 3 3" xfId="15774" xr:uid="{00000000-0005-0000-0000-000013450000}"/>
    <cellStyle name="Финансовый 36 3 2 4 3 3 3 2" xfId="32787" xr:uid="{B57017E6-47F3-46C3-9CA9-ECAE10016C5F}"/>
    <cellStyle name="Финансовый 36 3 2 4 3 3 4" xfId="18855" xr:uid="{00000000-0005-0000-0000-000014450000}"/>
    <cellStyle name="Финансовый 36 3 2 4 3 3 4 2" xfId="35868" xr:uid="{BCB53748-A1E9-447E-95CC-423D4F85AFB1}"/>
    <cellStyle name="Финансовый 36 3 2 4 3 3 5" xfId="26558" xr:uid="{55E5F751-ED89-4528-9584-D28E1899BB64}"/>
    <cellStyle name="Финансовый 36 3 2 4 3 4" xfId="12539" xr:uid="{00000000-0005-0000-0000-000015450000}"/>
    <cellStyle name="Финансовый 36 3 2 4 3 4 2" xfId="29628" xr:uid="{49E10BCB-4145-4319-954F-6B86CDB875A1}"/>
    <cellStyle name="Финансовый 36 3 2 4 3 5" xfId="15771" xr:uid="{00000000-0005-0000-0000-000016450000}"/>
    <cellStyle name="Финансовый 36 3 2 4 3 5 2" xfId="32784" xr:uid="{FB7CFE62-0158-4F0B-B0E7-CF65362652C1}"/>
    <cellStyle name="Финансовый 36 3 2 4 3 6" xfId="18852" xr:uid="{00000000-0005-0000-0000-000017450000}"/>
    <cellStyle name="Финансовый 36 3 2 4 3 6 2" xfId="35865" xr:uid="{69283C32-B095-4810-A1A4-0D4B84A8AC36}"/>
    <cellStyle name="Финансовый 36 3 2 4 3 7" xfId="26555" xr:uid="{A1714C8D-0FE5-48C6-83F0-B39D8596A023}"/>
    <cellStyle name="Финансовый 36 3 2 4 4" xfId="9458" xr:uid="{00000000-0005-0000-0000-000018450000}"/>
    <cellStyle name="Финансовый 36 3 2 4 4 2" xfId="9459" xr:uid="{00000000-0005-0000-0000-000019450000}"/>
    <cellStyle name="Финансовый 36 3 2 4 4 2 2" xfId="12544" xr:uid="{00000000-0005-0000-0000-00001A450000}"/>
    <cellStyle name="Финансовый 36 3 2 4 4 2 2 2" xfId="29633" xr:uid="{76D12C39-8D14-40E4-A7B3-331948192902}"/>
    <cellStyle name="Финансовый 36 3 2 4 4 2 3" xfId="15776" xr:uid="{00000000-0005-0000-0000-00001B450000}"/>
    <cellStyle name="Финансовый 36 3 2 4 4 2 3 2" xfId="32789" xr:uid="{05635160-C087-4E15-99C3-B4AB46E638E8}"/>
    <cellStyle name="Финансовый 36 3 2 4 4 2 4" xfId="18857" xr:uid="{00000000-0005-0000-0000-00001C450000}"/>
    <cellStyle name="Финансовый 36 3 2 4 4 2 4 2" xfId="35870" xr:uid="{9F074507-2BE8-4D25-869B-7AF7544389FC}"/>
    <cellStyle name="Финансовый 36 3 2 4 4 2 5" xfId="26560" xr:uid="{552C3D04-8847-441B-9BA3-46E4441BE904}"/>
    <cellStyle name="Финансовый 36 3 2 4 4 3" xfId="12543" xr:uid="{00000000-0005-0000-0000-00001D450000}"/>
    <cellStyle name="Финансовый 36 3 2 4 4 3 2" xfId="29632" xr:uid="{753D2467-E196-4CBC-BD50-DB0685E22CDA}"/>
    <cellStyle name="Финансовый 36 3 2 4 4 4" xfId="15775" xr:uid="{00000000-0005-0000-0000-00001E450000}"/>
    <cellStyle name="Финансовый 36 3 2 4 4 4 2" xfId="32788" xr:uid="{49462267-F7F2-4CBD-9BF1-A58874DD360D}"/>
    <cellStyle name="Финансовый 36 3 2 4 4 5" xfId="18856" xr:uid="{00000000-0005-0000-0000-00001F450000}"/>
    <cellStyle name="Финансовый 36 3 2 4 4 5 2" xfId="35869" xr:uid="{D1DA038C-D09B-4A08-8793-FF5BECD61726}"/>
    <cellStyle name="Финансовый 36 3 2 4 4 6" xfId="26559" xr:uid="{3B91FB31-3FB4-4404-882F-0CEFE16B9306}"/>
    <cellStyle name="Финансовый 36 3 2 4 5" xfId="9460" xr:uid="{00000000-0005-0000-0000-000020450000}"/>
    <cellStyle name="Финансовый 36 3 2 4 5 2" xfId="12545" xr:uid="{00000000-0005-0000-0000-000021450000}"/>
    <cellStyle name="Финансовый 36 3 2 4 5 2 2" xfId="29634" xr:uid="{4F44201B-E575-4A4A-A6E0-0BF5011031F3}"/>
    <cellStyle name="Финансовый 36 3 2 4 5 3" xfId="15777" xr:uid="{00000000-0005-0000-0000-000022450000}"/>
    <cellStyle name="Финансовый 36 3 2 4 5 3 2" xfId="32790" xr:uid="{CFEA8834-930C-4BC8-9A55-303E345A2C88}"/>
    <cellStyle name="Финансовый 36 3 2 4 5 4" xfId="18858" xr:uid="{00000000-0005-0000-0000-000023450000}"/>
    <cellStyle name="Финансовый 36 3 2 4 5 4 2" xfId="35871" xr:uid="{EC89D943-F83E-44A6-B844-01919A5000AA}"/>
    <cellStyle name="Финансовый 36 3 2 4 5 5" xfId="26561" xr:uid="{68A95DC2-D61D-4D8E-9DA6-D7C7016945BE}"/>
    <cellStyle name="Финансовый 36 3 2 4 6" xfId="12530" xr:uid="{00000000-0005-0000-0000-000024450000}"/>
    <cellStyle name="Финансовый 36 3 2 4 6 2" xfId="29619" xr:uid="{4045DC6A-2D71-43DC-A147-71D957585D41}"/>
    <cellStyle name="Финансовый 36 3 2 4 7" xfId="15762" xr:uid="{00000000-0005-0000-0000-000025450000}"/>
    <cellStyle name="Финансовый 36 3 2 4 7 2" xfId="32775" xr:uid="{7B7F902A-8BA5-43DD-B611-657440B8DE84}"/>
    <cellStyle name="Финансовый 36 3 2 4 8" xfId="18843" xr:uid="{00000000-0005-0000-0000-000026450000}"/>
    <cellStyle name="Финансовый 36 3 2 4 8 2" xfId="35856" xr:uid="{61756DCF-1563-495F-809A-C8944641DB57}"/>
    <cellStyle name="Финансовый 36 3 2 4 9" xfId="26546" xr:uid="{BC05E598-5ED8-498F-B8A1-3F0F1FE6CB37}"/>
    <cellStyle name="Финансовый 36 3 2 5" xfId="9461" xr:uid="{00000000-0005-0000-0000-000027450000}"/>
    <cellStyle name="Финансовый 36 3 2 5 2" xfId="9462" xr:uid="{00000000-0005-0000-0000-000028450000}"/>
    <cellStyle name="Финансовый 36 3 2 5 2 2" xfId="9463" xr:uid="{00000000-0005-0000-0000-000029450000}"/>
    <cellStyle name="Финансовый 36 3 2 5 2 2 2" xfId="9464" xr:uid="{00000000-0005-0000-0000-00002A450000}"/>
    <cellStyle name="Финансовый 36 3 2 5 2 2 2 2" xfId="12549" xr:uid="{00000000-0005-0000-0000-00002B450000}"/>
    <cellStyle name="Финансовый 36 3 2 5 2 2 2 2 2" xfId="29638" xr:uid="{14E44C00-5799-43D2-B823-C424D5919326}"/>
    <cellStyle name="Финансовый 36 3 2 5 2 2 2 3" xfId="15781" xr:uid="{00000000-0005-0000-0000-00002C450000}"/>
    <cellStyle name="Финансовый 36 3 2 5 2 2 2 3 2" xfId="32794" xr:uid="{02C6C875-8E4F-44FA-9C47-41D55AB5E6CA}"/>
    <cellStyle name="Финансовый 36 3 2 5 2 2 2 4" xfId="18862" xr:uid="{00000000-0005-0000-0000-00002D450000}"/>
    <cellStyle name="Финансовый 36 3 2 5 2 2 2 4 2" xfId="35875" xr:uid="{61B31B77-1E38-43CD-A7B3-C2ECD8C77556}"/>
    <cellStyle name="Финансовый 36 3 2 5 2 2 2 5" xfId="26565" xr:uid="{F93E73B8-0CE8-46E0-BC2B-BA5402296DC2}"/>
    <cellStyle name="Финансовый 36 3 2 5 2 2 3" xfId="12548" xr:uid="{00000000-0005-0000-0000-00002E450000}"/>
    <cellStyle name="Финансовый 36 3 2 5 2 2 3 2" xfId="29637" xr:uid="{8E99B83B-828A-4043-BDB6-8B4668B2134E}"/>
    <cellStyle name="Финансовый 36 3 2 5 2 2 4" xfId="15780" xr:uid="{00000000-0005-0000-0000-00002F450000}"/>
    <cellStyle name="Финансовый 36 3 2 5 2 2 4 2" xfId="32793" xr:uid="{6B9931D6-4BDB-49F7-BF4C-C47C3ADE0B62}"/>
    <cellStyle name="Финансовый 36 3 2 5 2 2 5" xfId="18861" xr:uid="{00000000-0005-0000-0000-000030450000}"/>
    <cellStyle name="Финансовый 36 3 2 5 2 2 5 2" xfId="35874" xr:uid="{8AB6C91E-6E98-4E30-8A75-11536F3C398E}"/>
    <cellStyle name="Финансовый 36 3 2 5 2 2 6" xfId="26564" xr:uid="{AD6C5E29-4819-4B5B-9E2B-17D5C14939C5}"/>
    <cellStyle name="Финансовый 36 3 2 5 2 3" xfId="9465" xr:uid="{00000000-0005-0000-0000-000031450000}"/>
    <cellStyle name="Финансовый 36 3 2 5 2 3 2" xfId="12550" xr:uid="{00000000-0005-0000-0000-000032450000}"/>
    <cellStyle name="Финансовый 36 3 2 5 2 3 2 2" xfId="29639" xr:uid="{CD5A3B00-3CF0-4692-8F47-400DBB5E41C6}"/>
    <cellStyle name="Финансовый 36 3 2 5 2 3 3" xfId="15782" xr:uid="{00000000-0005-0000-0000-000033450000}"/>
    <cellStyle name="Финансовый 36 3 2 5 2 3 3 2" xfId="32795" xr:uid="{B4D0B8E0-609F-47FE-9527-40DDC44E3775}"/>
    <cellStyle name="Финансовый 36 3 2 5 2 3 4" xfId="18863" xr:uid="{00000000-0005-0000-0000-000034450000}"/>
    <cellStyle name="Финансовый 36 3 2 5 2 3 4 2" xfId="35876" xr:uid="{CE5CB312-A13B-42CE-AD16-5F5EBCEBA781}"/>
    <cellStyle name="Финансовый 36 3 2 5 2 3 5" xfId="26566" xr:uid="{7DA35C30-44A7-4A95-B601-FCEF310B0992}"/>
    <cellStyle name="Финансовый 36 3 2 5 2 4" xfId="12547" xr:uid="{00000000-0005-0000-0000-000035450000}"/>
    <cellStyle name="Финансовый 36 3 2 5 2 4 2" xfId="29636" xr:uid="{00E43423-16F1-41AB-9D73-B3185A447217}"/>
    <cellStyle name="Финансовый 36 3 2 5 2 5" xfId="15779" xr:uid="{00000000-0005-0000-0000-000036450000}"/>
    <cellStyle name="Финансовый 36 3 2 5 2 5 2" xfId="32792" xr:uid="{B8B474AA-4AA7-41C9-9591-A898F65FD308}"/>
    <cellStyle name="Финансовый 36 3 2 5 2 6" xfId="18860" xr:uid="{00000000-0005-0000-0000-000037450000}"/>
    <cellStyle name="Финансовый 36 3 2 5 2 6 2" xfId="35873" xr:uid="{71EB1721-1B46-4577-BD3C-06F7B2F025D9}"/>
    <cellStyle name="Финансовый 36 3 2 5 2 7" xfId="26563" xr:uid="{E0E34EBF-DB43-429E-B56F-9468BEFF3A54}"/>
    <cellStyle name="Финансовый 36 3 2 5 3" xfId="9466" xr:uid="{00000000-0005-0000-0000-000038450000}"/>
    <cellStyle name="Финансовый 36 3 2 5 3 2" xfId="9467" xr:uid="{00000000-0005-0000-0000-000039450000}"/>
    <cellStyle name="Финансовый 36 3 2 5 3 2 2" xfId="12552" xr:uid="{00000000-0005-0000-0000-00003A450000}"/>
    <cellStyle name="Финансовый 36 3 2 5 3 2 2 2" xfId="29641" xr:uid="{50B18690-7A71-4ED9-AB30-297D085794AD}"/>
    <cellStyle name="Финансовый 36 3 2 5 3 2 3" xfId="15784" xr:uid="{00000000-0005-0000-0000-00003B450000}"/>
    <cellStyle name="Финансовый 36 3 2 5 3 2 3 2" xfId="32797" xr:uid="{B779CA1F-A98E-498F-AD5D-D691B60AFC92}"/>
    <cellStyle name="Финансовый 36 3 2 5 3 2 4" xfId="18865" xr:uid="{00000000-0005-0000-0000-00003C450000}"/>
    <cellStyle name="Финансовый 36 3 2 5 3 2 4 2" xfId="35878" xr:uid="{4E3C87A8-35B9-4C99-B182-3F7EEED901DC}"/>
    <cellStyle name="Финансовый 36 3 2 5 3 2 5" xfId="26568" xr:uid="{42E3152C-5B9E-4352-AE32-ED751B966124}"/>
    <cellStyle name="Финансовый 36 3 2 5 3 3" xfId="12551" xr:uid="{00000000-0005-0000-0000-00003D450000}"/>
    <cellStyle name="Финансовый 36 3 2 5 3 3 2" xfId="29640" xr:uid="{4C756217-AF3E-4403-A738-B589ADB901FF}"/>
    <cellStyle name="Финансовый 36 3 2 5 3 4" xfId="15783" xr:uid="{00000000-0005-0000-0000-00003E450000}"/>
    <cellStyle name="Финансовый 36 3 2 5 3 4 2" xfId="32796" xr:uid="{1BE9A572-7F05-4636-A1C6-2CAD27B6F2F9}"/>
    <cellStyle name="Финансовый 36 3 2 5 3 5" xfId="18864" xr:uid="{00000000-0005-0000-0000-00003F450000}"/>
    <cellStyle name="Финансовый 36 3 2 5 3 5 2" xfId="35877" xr:uid="{C249CC21-03B7-4BC4-B148-E8AF3844959C}"/>
    <cellStyle name="Финансовый 36 3 2 5 3 6" xfId="26567" xr:uid="{CCFBE8BE-4CC3-4A3A-91F8-F2B5D012169B}"/>
    <cellStyle name="Финансовый 36 3 2 5 4" xfId="9468" xr:uid="{00000000-0005-0000-0000-000040450000}"/>
    <cellStyle name="Финансовый 36 3 2 5 4 2" xfId="12553" xr:uid="{00000000-0005-0000-0000-000041450000}"/>
    <cellStyle name="Финансовый 36 3 2 5 4 2 2" xfId="29642" xr:uid="{E417E247-A67A-4012-8BDD-5AAA369001D1}"/>
    <cellStyle name="Финансовый 36 3 2 5 4 3" xfId="15785" xr:uid="{00000000-0005-0000-0000-000042450000}"/>
    <cellStyle name="Финансовый 36 3 2 5 4 3 2" xfId="32798" xr:uid="{1B357C80-CE34-46AB-A97B-F26C856DD143}"/>
    <cellStyle name="Финансовый 36 3 2 5 4 4" xfId="18866" xr:uid="{00000000-0005-0000-0000-000043450000}"/>
    <cellStyle name="Финансовый 36 3 2 5 4 4 2" xfId="35879" xr:uid="{D6899495-F726-4B15-917A-F6D29F70CFFF}"/>
    <cellStyle name="Финансовый 36 3 2 5 4 5" xfId="26569" xr:uid="{91139579-FE67-4800-B67C-7F2EEBFEB277}"/>
    <cellStyle name="Финансовый 36 3 2 5 5" xfId="12546" xr:uid="{00000000-0005-0000-0000-000044450000}"/>
    <cellStyle name="Финансовый 36 3 2 5 5 2" xfId="29635" xr:uid="{D3CA52CF-8E67-4102-8D9A-C8ACDC6DF89A}"/>
    <cellStyle name="Финансовый 36 3 2 5 6" xfId="15778" xr:uid="{00000000-0005-0000-0000-000045450000}"/>
    <cellStyle name="Финансовый 36 3 2 5 6 2" xfId="32791" xr:uid="{801BF616-58ED-4956-A731-E028D93CCBB6}"/>
    <cellStyle name="Финансовый 36 3 2 5 7" xfId="18859" xr:uid="{00000000-0005-0000-0000-000046450000}"/>
    <cellStyle name="Финансовый 36 3 2 5 7 2" xfId="35872" xr:uid="{6BFC8D52-E43D-4626-85ED-281071243F89}"/>
    <cellStyle name="Финансовый 36 3 2 5 8" xfId="26562" xr:uid="{016DE00E-BC2B-47AA-95BB-1F586A76C3B4}"/>
    <cellStyle name="Финансовый 36 3 2 6" xfId="9469" xr:uid="{00000000-0005-0000-0000-000047450000}"/>
    <cellStyle name="Финансовый 36 3 2 6 2" xfId="9470" xr:uid="{00000000-0005-0000-0000-000048450000}"/>
    <cellStyle name="Финансовый 36 3 2 6 2 2" xfId="9471" xr:uid="{00000000-0005-0000-0000-000049450000}"/>
    <cellStyle name="Финансовый 36 3 2 6 2 2 2" xfId="12556" xr:uid="{00000000-0005-0000-0000-00004A450000}"/>
    <cellStyle name="Финансовый 36 3 2 6 2 2 2 2" xfId="29645" xr:uid="{C659AF70-1669-4E89-8A82-7185B391CBF2}"/>
    <cellStyle name="Финансовый 36 3 2 6 2 2 3" xfId="15788" xr:uid="{00000000-0005-0000-0000-00004B450000}"/>
    <cellStyle name="Финансовый 36 3 2 6 2 2 3 2" xfId="32801" xr:uid="{2C51B172-1218-47A7-9E75-BE8B884988C8}"/>
    <cellStyle name="Финансовый 36 3 2 6 2 2 4" xfId="18869" xr:uid="{00000000-0005-0000-0000-00004C450000}"/>
    <cellStyle name="Финансовый 36 3 2 6 2 2 4 2" xfId="35882" xr:uid="{C57A6688-F6F6-405D-AC28-C4B7EF423138}"/>
    <cellStyle name="Финансовый 36 3 2 6 2 2 5" xfId="26572" xr:uid="{86EBAFAD-66E8-44CD-AE03-3D75358A48AE}"/>
    <cellStyle name="Финансовый 36 3 2 6 2 3" xfId="12555" xr:uid="{00000000-0005-0000-0000-00004D450000}"/>
    <cellStyle name="Финансовый 36 3 2 6 2 3 2" xfId="29644" xr:uid="{DF5DBD1B-9281-4580-8E31-DC2100BE1650}"/>
    <cellStyle name="Финансовый 36 3 2 6 2 4" xfId="15787" xr:uid="{00000000-0005-0000-0000-00004E450000}"/>
    <cellStyle name="Финансовый 36 3 2 6 2 4 2" xfId="32800" xr:uid="{BFB29631-6CC6-4DB6-916F-D844E9182800}"/>
    <cellStyle name="Финансовый 36 3 2 6 2 5" xfId="18868" xr:uid="{00000000-0005-0000-0000-00004F450000}"/>
    <cellStyle name="Финансовый 36 3 2 6 2 5 2" xfId="35881" xr:uid="{A807C62C-DCCB-4220-BF1B-69E2806E6E29}"/>
    <cellStyle name="Финансовый 36 3 2 6 2 6" xfId="26571" xr:uid="{336B0C0A-0293-4568-9DB8-0D8083067C77}"/>
    <cellStyle name="Финансовый 36 3 2 6 3" xfId="9472" xr:uid="{00000000-0005-0000-0000-000050450000}"/>
    <cellStyle name="Финансовый 36 3 2 6 3 2" xfId="12557" xr:uid="{00000000-0005-0000-0000-000051450000}"/>
    <cellStyle name="Финансовый 36 3 2 6 3 2 2" xfId="29646" xr:uid="{93265A03-0D00-49BE-9A38-02F9BCF13E38}"/>
    <cellStyle name="Финансовый 36 3 2 6 3 3" xfId="15789" xr:uid="{00000000-0005-0000-0000-000052450000}"/>
    <cellStyle name="Финансовый 36 3 2 6 3 3 2" xfId="32802" xr:uid="{F7D3EB9A-F42D-4CC5-944F-1641FBFB4F01}"/>
    <cellStyle name="Финансовый 36 3 2 6 3 4" xfId="18870" xr:uid="{00000000-0005-0000-0000-000053450000}"/>
    <cellStyle name="Финансовый 36 3 2 6 3 4 2" xfId="35883" xr:uid="{DD866748-C15C-4A87-8C45-0130E9DAFF70}"/>
    <cellStyle name="Финансовый 36 3 2 6 3 5" xfId="26573" xr:uid="{8F43EBA8-EBF7-4E75-A727-BAE799935CC7}"/>
    <cellStyle name="Финансовый 36 3 2 6 4" xfId="12554" xr:uid="{00000000-0005-0000-0000-000054450000}"/>
    <cellStyle name="Финансовый 36 3 2 6 4 2" xfId="29643" xr:uid="{8DC788A3-911A-4575-95CD-41CDB8793533}"/>
    <cellStyle name="Финансовый 36 3 2 6 5" xfId="15786" xr:uid="{00000000-0005-0000-0000-000055450000}"/>
    <cellStyle name="Финансовый 36 3 2 6 5 2" xfId="32799" xr:uid="{A823B766-0216-4448-B908-C6009034E61B}"/>
    <cellStyle name="Финансовый 36 3 2 6 6" xfId="18867" xr:uid="{00000000-0005-0000-0000-000056450000}"/>
    <cellStyle name="Финансовый 36 3 2 6 6 2" xfId="35880" xr:uid="{2D72162F-F3B4-4255-AC21-368C3B816793}"/>
    <cellStyle name="Финансовый 36 3 2 6 7" xfId="26570" xr:uid="{1137F09D-430F-4E3A-AE5E-B41F28978336}"/>
    <cellStyle name="Финансовый 36 3 2 7" xfId="9473" xr:uid="{00000000-0005-0000-0000-000057450000}"/>
    <cellStyle name="Финансовый 36 3 2 7 2" xfId="9474" xr:uid="{00000000-0005-0000-0000-000058450000}"/>
    <cellStyle name="Финансовый 36 3 2 7 2 2" xfId="12559" xr:uid="{00000000-0005-0000-0000-000059450000}"/>
    <cellStyle name="Финансовый 36 3 2 7 2 2 2" xfId="29648" xr:uid="{2B9C5130-783D-4769-B627-187181677CAE}"/>
    <cellStyle name="Финансовый 36 3 2 7 2 3" xfId="15791" xr:uid="{00000000-0005-0000-0000-00005A450000}"/>
    <cellStyle name="Финансовый 36 3 2 7 2 3 2" xfId="32804" xr:uid="{3258969A-0B96-40AD-A192-AABF653F0AAC}"/>
    <cellStyle name="Финансовый 36 3 2 7 2 4" xfId="18872" xr:uid="{00000000-0005-0000-0000-00005B450000}"/>
    <cellStyle name="Финансовый 36 3 2 7 2 4 2" xfId="35885" xr:uid="{1416F10E-6A58-4343-B7D3-BE78008AEFDE}"/>
    <cellStyle name="Финансовый 36 3 2 7 2 5" xfId="26575" xr:uid="{BE3A4EF3-291C-4E95-99B9-2C4DEED04A6C}"/>
    <cellStyle name="Финансовый 36 3 2 7 3" xfId="12558" xr:uid="{00000000-0005-0000-0000-00005C450000}"/>
    <cellStyle name="Финансовый 36 3 2 7 3 2" xfId="29647" xr:uid="{190749E3-6C43-4124-BDE5-D1DD3E2A67FA}"/>
    <cellStyle name="Финансовый 36 3 2 7 4" xfId="15790" xr:uid="{00000000-0005-0000-0000-00005D450000}"/>
    <cellStyle name="Финансовый 36 3 2 7 4 2" xfId="32803" xr:uid="{50F0B5BB-F895-4204-BEE4-1CEEEF214362}"/>
    <cellStyle name="Финансовый 36 3 2 7 5" xfId="18871" xr:uid="{00000000-0005-0000-0000-00005E450000}"/>
    <cellStyle name="Финансовый 36 3 2 7 5 2" xfId="35884" xr:uid="{51AD958E-556A-41BD-854B-90F3AE268B66}"/>
    <cellStyle name="Финансовый 36 3 2 7 6" xfId="26574" xr:uid="{042DCEBE-8B9C-4CFE-A772-9C2310F29E23}"/>
    <cellStyle name="Финансовый 36 3 2 8" xfId="9475" xr:uid="{00000000-0005-0000-0000-00005F450000}"/>
    <cellStyle name="Финансовый 36 3 2 8 2" xfId="12560" xr:uid="{00000000-0005-0000-0000-000060450000}"/>
    <cellStyle name="Финансовый 36 3 2 8 2 2" xfId="29649" xr:uid="{485292FF-3F4C-4D4C-975D-3D8705443FEB}"/>
    <cellStyle name="Финансовый 36 3 2 8 3" xfId="15792" xr:uid="{00000000-0005-0000-0000-000061450000}"/>
    <cellStyle name="Финансовый 36 3 2 8 3 2" xfId="32805" xr:uid="{5A481289-1B4D-4AE4-BB94-9E3CDF4AA496}"/>
    <cellStyle name="Финансовый 36 3 2 8 4" xfId="18873" xr:uid="{00000000-0005-0000-0000-000062450000}"/>
    <cellStyle name="Финансовый 36 3 2 8 4 2" xfId="35886" xr:uid="{E9B36CCD-7B05-488E-AD56-4BAFE97981CF}"/>
    <cellStyle name="Финансовый 36 3 2 8 5" xfId="26576" xr:uid="{1807E872-FA48-47DD-9DD2-89326C1DB5C8}"/>
    <cellStyle name="Финансовый 36 3 2 9" xfId="12433" xr:uid="{00000000-0005-0000-0000-000063450000}"/>
    <cellStyle name="Финансовый 36 3 2 9 2" xfId="29522" xr:uid="{BF6DC915-45E4-46D2-BD82-29F2A9695040}"/>
    <cellStyle name="Финансовый 36 3 3" xfId="9476" xr:uid="{00000000-0005-0000-0000-000064450000}"/>
    <cellStyle name="Финансовый 36 3 3 10" xfId="18874" xr:uid="{00000000-0005-0000-0000-000065450000}"/>
    <cellStyle name="Финансовый 36 3 3 10 2" xfId="35887" xr:uid="{B86EC880-FE2C-4060-967F-F489D6EA912A}"/>
    <cellStyle name="Финансовый 36 3 3 11" xfId="26577" xr:uid="{990F797A-8D39-46F2-AD99-30BA0B98B927}"/>
    <cellStyle name="Финансовый 36 3 3 2" xfId="9477" xr:uid="{00000000-0005-0000-0000-000066450000}"/>
    <cellStyle name="Финансовый 36 3 3 2 10" xfId="26578" xr:uid="{E2E7617A-2141-4709-A5FB-22701114FB62}"/>
    <cellStyle name="Финансовый 36 3 3 2 2" xfId="9478" xr:uid="{00000000-0005-0000-0000-000067450000}"/>
    <cellStyle name="Финансовый 36 3 3 2 2 2" xfId="9479" xr:uid="{00000000-0005-0000-0000-000068450000}"/>
    <cellStyle name="Финансовый 36 3 3 2 2 2 2" xfId="9480" xr:uid="{00000000-0005-0000-0000-000069450000}"/>
    <cellStyle name="Финансовый 36 3 3 2 2 2 2 2" xfId="9481" xr:uid="{00000000-0005-0000-0000-00006A450000}"/>
    <cellStyle name="Финансовый 36 3 3 2 2 2 2 2 2" xfId="9482" xr:uid="{00000000-0005-0000-0000-00006B450000}"/>
    <cellStyle name="Финансовый 36 3 3 2 2 2 2 2 2 2" xfId="12567" xr:uid="{00000000-0005-0000-0000-00006C450000}"/>
    <cellStyle name="Финансовый 36 3 3 2 2 2 2 2 2 2 2" xfId="29656" xr:uid="{B01F999C-CDF4-41FD-9F67-F7E28FC244F5}"/>
    <cellStyle name="Финансовый 36 3 3 2 2 2 2 2 2 3" xfId="15799" xr:uid="{00000000-0005-0000-0000-00006D450000}"/>
    <cellStyle name="Финансовый 36 3 3 2 2 2 2 2 2 3 2" xfId="32812" xr:uid="{EFD5F587-51C4-402F-AB1B-90BBD0D18A08}"/>
    <cellStyle name="Финансовый 36 3 3 2 2 2 2 2 2 4" xfId="18880" xr:uid="{00000000-0005-0000-0000-00006E450000}"/>
    <cellStyle name="Финансовый 36 3 3 2 2 2 2 2 2 4 2" xfId="35893" xr:uid="{8572331C-B323-480A-8419-A579C3C35603}"/>
    <cellStyle name="Финансовый 36 3 3 2 2 2 2 2 2 5" xfId="26583" xr:uid="{4A4865A3-510C-4F96-A23A-2ECB65447A99}"/>
    <cellStyle name="Финансовый 36 3 3 2 2 2 2 2 3" xfId="12566" xr:uid="{00000000-0005-0000-0000-00006F450000}"/>
    <cellStyle name="Финансовый 36 3 3 2 2 2 2 2 3 2" xfId="29655" xr:uid="{35BB05AD-F4F0-47FD-81FC-A5E11FDB87DF}"/>
    <cellStyle name="Финансовый 36 3 3 2 2 2 2 2 4" xfId="15798" xr:uid="{00000000-0005-0000-0000-000070450000}"/>
    <cellStyle name="Финансовый 36 3 3 2 2 2 2 2 4 2" xfId="32811" xr:uid="{155DECAD-BC54-4ABC-8D52-1856F6A5E499}"/>
    <cellStyle name="Финансовый 36 3 3 2 2 2 2 2 5" xfId="18879" xr:uid="{00000000-0005-0000-0000-000071450000}"/>
    <cellStyle name="Финансовый 36 3 3 2 2 2 2 2 5 2" xfId="35892" xr:uid="{9C6650C8-C1B3-45E4-9F82-42C4F67169B6}"/>
    <cellStyle name="Финансовый 36 3 3 2 2 2 2 2 6" xfId="26582" xr:uid="{027DF32D-862F-4927-8E46-1F7D6C5DB09C}"/>
    <cellStyle name="Финансовый 36 3 3 2 2 2 2 3" xfId="9483" xr:uid="{00000000-0005-0000-0000-000072450000}"/>
    <cellStyle name="Финансовый 36 3 3 2 2 2 2 3 2" xfId="12568" xr:uid="{00000000-0005-0000-0000-000073450000}"/>
    <cellStyle name="Финансовый 36 3 3 2 2 2 2 3 2 2" xfId="29657" xr:uid="{85133020-C2D5-49B1-87F0-D754AD78912E}"/>
    <cellStyle name="Финансовый 36 3 3 2 2 2 2 3 3" xfId="15800" xr:uid="{00000000-0005-0000-0000-000074450000}"/>
    <cellStyle name="Финансовый 36 3 3 2 2 2 2 3 3 2" xfId="32813" xr:uid="{39F906CA-C7D1-41A4-B128-99A59289C499}"/>
    <cellStyle name="Финансовый 36 3 3 2 2 2 2 3 4" xfId="18881" xr:uid="{00000000-0005-0000-0000-000075450000}"/>
    <cellStyle name="Финансовый 36 3 3 2 2 2 2 3 4 2" xfId="35894" xr:uid="{E997DD3D-A1ED-489E-B21B-2AFD071A83F3}"/>
    <cellStyle name="Финансовый 36 3 3 2 2 2 2 3 5" xfId="26584" xr:uid="{BFE859C5-E131-4F7A-989F-5DD103FCD116}"/>
    <cellStyle name="Финансовый 36 3 3 2 2 2 2 4" xfId="12565" xr:uid="{00000000-0005-0000-0000-000076450000}"/>
    <cellStyle name="Финансовый 36 3 3 2 2 2 2 4 2" xfId="29654" xr:uid="{CA0B89B6-2F87-448B-83EC-005C4CA62430}"/>
    <cellStyle name="Финансовый 36 3 3 2 2 2 2 5" xfId="15797" xr:uid="{00000000-0005-0000-0000-000077450000}"/>
    <cellStyle name="Финансовый 36 3 3 2 2 2 2 5 2" xfId="32810" xr:uid="{2C0643BF-EC0A-4EBE-8A1E-F0979F00D1E6}"/>
    <cellStyle name="Финансовый 36 3 3 2 2 2 2 6" xfId="18878" xr:uid="{00000000-0005-0000-0000-000078450000}"/>
    <cellStyle name="Финансовый 36 3 3 2 2 2 2 6 2" xfId="35891" xr:uid="{3C61A9C6-C08B-4FCB-90A9-EED23857C5CF}"/>
    <cellStyle name="Финансовый 36 3 3 2 2 2 2 7" xfId="26581" xr:uid="{8EBD9592-D91A-4A12-811E-3E5A45F28EB5}"/>
    <cellStyle name="Финансовый 36 3 3 2 2 2 3" xfId="9484" xr:uid="{00000000-0005-0000-0000-000079450000}"/>
    <cellStyle name="Финансовый 36 3 3 2 2 2 3 2" xfId="9485" xr:uid="{00000000-0005-0000-0000-00007A450000}"/>
    <cellStyle name="Финансовый 36 3 3 2 2 2 3 2 2" xfId="12570" xr:uid="{00000000-0005-0000-0000-00007B450000}"/>
    <cellStyle name="Финансовый 36 3 3 2 2 2 3 2 2 2" xfId="29659" xr:uid="{BB442274-9AE9-4C38-97AD-FC25B8C4825B}"/>
    <cellStyle name="Финансовый 36 3 3 2 2 2 3 2 3" xfId="15802" xr:uid="{00000000-0005-0000-0000-00007C450000}"/>
    <cellStyle name="Финансовый 36 3 3 2 2 2 3 2 3 2" xfId="32815" xr:uid="{7D89E7F2-E392-451C-9375-5C8212BB97EC}"/>
    <cellStyle name="Финансовый 36 3 3 2 2 2 3 2 4" xfId="18883" xr:uid="{00000000-0005-0000-0000-00007D450000}"/>
    <cellStyle name="Финансовый 36 3 3 2 2 2 3 2 4 2" xfId="35896" xr:uid="{CA1A9B4B-2931-44E4-B25F-19F8BBA92AE5}"/>
    <cellStyle name="Финансовый 36 3 3 2 2 2 3 2 5" xfId="26586" xr:uid="{84AF596F-CC70-409C-A01A-F74B07C23FF7}"/>
    <cellStyle name="Финансовый 36 3 3 2 2 2 3 3" xfId="12569" xr:uid="{00000000-0005-0000-0000-00007E450000}"/>
    <cellStyle name="Финансовый 36 3 3 2 2 2 3 3 2" xfId="29658" xr:uid="{0022586D-A4AA-4D02-A4C1-FA8C1FF224D4}"/>
    <cellStyle name="Финансовый 36 3 3 2 2 2 3 4" xfId="15801" xr:uid="{00000000-0005-0000-0000-00007F450000}"/>
    <cellStyle name="Финансовый 36 3 3 2 2 2 3 4 2" xfId="32814" xr:uid="{57C39BDB-77E0-42BF-B557-B7495A9DC2B1}"/>
    <cellStyle name="Финансовый 36 3 3 2 2 2 3 5" xfId="18882" xr:uid="{00000000-0005-0000-0000-000080450000}"/>
    <cellStyle name="Финансовый 36 3 3 2 2 2 3 5 2" xfId="35895" xr:uid="{B974D6CC-948B-4E7B-BAB6-4E4CD1F81476}"/>
    <cellStyle name="Финансовый 36 3 3 2 2 2 3 6" xfId="26585" xr:uid="{925D3DBD-CCEB-49CC-9DEB-EF7CC7FF0BF8}"/>
    <cellStyle name="Финансовый 36 3 3 2 2 2 4" xfId="9486" xr:uid="{00000000-0005-0000-0000-000081450000}"/>
    <cellStyle name="Финансовый 36 3 3 2 2 2 4 2" xfId="12571" xr:uid="{00000000-0005-0000-0000-000082450000}"/>
    <cellStyle name="Финансовый 36 3 3 2 2 2 4 2 2" xfId="29660" xr:uid="{2244E300-CFE1-4CAE-B89A-361677698B1E}"/>
    <cellStyle name="Финансовый 36 3 3 2 2 2 4 3" xfId="15803" xr:uid="{00000000-0005-0000-0000-000083450000}"/>
    <cellStyle name="Финансовый 36 3 3 2 2 2 4 3 2" xfId="32816" xr:uid="{EB3EB0A2-8390-4371-8944-907B1ED008C9}"/>
    <cellStyle name="Финансовый 36 3 3 2 2 2 4 4" xfId="18884" xr:uid="{00000000-0005-0000-0000-000084450000}"/>
    <cellStyle name="Финансовый 36 3 3 2 2 2 4 4 2" xfId="35897" xr:uid="{B30CC492-743A-426D-8BC3-F0F6258E38F0}"/>
    <cellStyle name="Финансовый 36 3 3 2 2 2 4 5" xfId="26587" xr:uid="{3C2DCB19-0619-4CAF-96F9-DD2CBA8856AA}"/>
    <cellStyle name="Финансовый 36 3 3 2 2 2 5" xfId="12564" xr:uid="{00000000-0005-0000-0000-000085450000}"/>
    <cellStyle name="Финансовый 36 3 3 2 2 2 5 2" xfId="29653" xr:uid="{BA1C13F3-89B1-4004-AA11-62F6EDFB669C}"/>
    <cellStyle name="Финансовый 36 3 3 2 2 2 6" xfId="15796" xr:uid="{00000000-0005-0000-0000-000086450000}"/>
    <cellStyle name="Финансовый 36 3 3 2 2 2 6 2" xfId="32809" xr:uid="{B95CE0D5-8248-48D5-A2D1-6D0416CFA02E}"/>
    <cellStyle name="Финансовый 36 3 3 2 2 2 7" xfId="18877" xr:uid="{00000000-0005-0000-0000-000087450000}"/>
    <cellStyle name="Финансовый 36 3 3 2 2 2 7 2" xfId="35890" xr:uid="{70CDF4ED-4DD0-4816-BF48-228D9361BA43}"/>
    <cellStyle name="Финансовый 36 3 3 2 2 2 8" xfId="26580" xr:uid="{30CB309B-3A84-48E9-958D-932A48F55929}"/>
    <cellStyle name="Финансовый 36 3 3 2 2 3" xfId="9487" xr:uid="{00000000-0005-0000-0000-000088450000}"/>
    <cellStyle name="Финансовый 36 3 3 2 2 3 2" xfId="9488" xr:uid="{00000000-0005-0000-0000-000089450000}"/>
    <cellStyle name="Финансовый 36 3 3 2 2 3 2 2" xfId="9489" xr:uid="{00000000-0005-0000-0000-00008A450000}"/>
    <cellStyle name="Финансовый 36 3 3 2 2 3 2 2 2" xfId="12574" xr:uid="{00000000-0005-0000-0000-00008B450000}"/>
    <cellStyle name="Финансовый 36 3 3 2 2 3 2 2 2 2" xfId="29663" xr:uid="{AECC896C-635E-426C-89C0-6EB8F8790A90}"/>
    <cellStyle name="Финансовый 36 3 3 2 2 3 2 2 3" xfId="15806" xr:uid="{00000000-0005-0000-0000-00008C450000}"/>
    <cellStyle name="Финансовый 36 3 3 2 2 3 2 2 3 2" xfId="32819" xr:uid="{24C896AE-314D-4AC9-9463-E2C34A2E01E7}"/>
    <cellStyle name="Финансовый 36 3 3 2 2 3 2 2 4" xfId="18887" xr:uid="{00000000-0005-0000-0000-00008D450000}"/>
    <cellStyle name="Финансовый 36 3 3 2 2 3 2 2 4 2" xfId="35900" xr:uid="{C3F027D3-EE74-406D-9A1C-884ED1747F1D}"/>
    <cellStyle name="Финансовый 36 3 3 2 2 3 2 2 5" xfId="26590" xr:uid="{EDD4AC2E-0913-4C02-A6B5-400B29298DDD}"/>
    <cellStyle name="Финансовый 36 3 3 2 2 3 2 3" xfId="12573" xr:uid="{00000000-0005-0000-0000-00008E450000}"/>
    <cellStyle name="Финансовый 36 3 3 2 2 3 2 3 2" xfId="29662" xr:uid="{41160D0D-5C82-4519-94B6-F30827D5B888}"/>
    <cellStyle name="Финансовый 36 3 3 2 2 3 2 4" xfId="15805" xr:uid="{00000000-0005-0000-0000-00008F450000}"/>
    <cellStyle name="Финансовый 36 3 3 2 2 3 2 4 2" xfId="32818" xr:uid="{76CD0C15-F900-4998-ADEF-2AA365F72F61}"/>
    <cellStyle name="Финансовый 36 3 3 2 2 3 2 5" xfId="18886" xr:uid="{00000000-0005-0000-0000-000090450000}"/>
    <cellStyle name="Финансовый 36 3 3 2 2 3 2 5 2" xfId="35899" xr:uid="{581044D7-410B-4509-A981-1EC33846DDBB}"/>
    <cellStyle name="Финансовый 36 3 3 2 2 3 2 6" xfId="26589" xr:uid="{CDD54219-9051-44DA-A241-BBEDAD99F3DD}"/>
    <cellStyle name="Финансовый 36 3 3 2 2 3 3" xfId="9490" xr:uid="{00000000-0005-0000-0000-000091450000}"/>
    <cellStyle name="Финансовый 36 3 3 2 2 3 3 2" xfId="12575" xr:uid="{00000000-0005-0000-0000-000092450000}"/>
    <cellStyle name="Финансовый 36 3 3 2 2 3 3 2 2" xfId="29664" xr:uid="{C19D96F4-9757-4E7E-8845-8B204E0E6BEF}"/>
    <cellStyle name="Финансовый 36 3 3 2 2 3 3 3" xfId="15807" xr:uid="{00000000-0005-0000-0000-000093450000}"/>
    <cellStyle name="Финансовый 36 3 3 2 2 3 3 3 2" xfId="32820" xr:uid="{04392B54-7179-46F2-B7DD-F9F88F88C10F}"/>
    <cellStyle name="Финансовый 36 3 3 2 2 3 3 4" xfId="18888" xr:uid="{00000000-0005-0000-0000-000094450000}"/>
    <cellStyle name="Финансовый 36 3 3 2 2 3 3 4 2" xfId="35901" xr:uid="{23D8E53A-A299-472F-96EE-DFF2D6DE6DE7}"/>
    <cellStyle name="Финансовый 36 3 3 2 2 3 3 5" xfId="26591" xr:uid="{16E5B169-0784-491E-8F79-43A168B76979}"/>
    <cellStyle name="Финансовый 36 3 3 2 2 3 4" xfId="12572" xr:uid="{00000000-0005-0000-0000-000095450000}"/>
    <cellStyle name="Финансовый 36 3 3 2 2 3 4 2" xfId="29661" xr:uid="{26502E96-3818-42E7-8A2B-7A5F79AE6DBF}"/>
    <cellStyle name="Финансовый 36 3 3 2 2 3 5" xfId="15804" xr:uid="{00000000-0005-0000-0000-000096450000}"/>
    <cellStyle name="Финансовый 36 3 3 2 2 3 5 2" xfId="32817" xr:uid="{5190D0FA-30DF-4534-8AC1-E6AFCB816964}"/>
    <cellStyle name="Финансовый 36 3 3 2 2 3 6" xfId="18885" xr:uid="{00000000-0005-0000-0000-000097450000}"/>
    <cellStyle name="Финансовый 36 3 3 2 2 3 6 2" xfId="35898" xr:uid="{22F34F50-BD62-442A-B7AF-DF6052A5DF53}"/>
    <cellStyle name="Финансовый 36 3 3 2 2 3 7" xfId="26588" xr:uid="{AD4FE611-2C93-485E-9886-9BF71A63665D}"/>
    <cellStyle name="Финансовый 36 3 3 2 2 4" xfId="9491" xr:uid="{00000000-0005-0000-0000-000098450000}"/>
    <cellStyle name="Финансовый 36 3 3 2 2 4 2" xfId="9492" xr:uid="{00000000-0005-0000-0000-000099450000}"/>
    <cellStyle name="Финансовый 36 3 3 2 2 4 2 2" xfId="12577" xr:uid="{00000000-0005-0000-0000-00009A450000}"/>
    <cellStyle name="Финансовый 36 3 3 2 2 4 2 2 2" xfId="29666" xr:uid="{142DB75C-7BAA-47CE-BB63-A09DC097457E}"/>
    <cellStyle name="Финансовый 36 3 3 2 2 4 2 3" xfId="15809" xr:uid="{00000000-0005-0000-0000-00009B450000}"/>
    <cellStyle name="Финансовый 36 3 3 2 2 4 2 3 2" xfId="32822" xr:uid="{BEFD0F03-87A8-4647-8DBC-6EE5A6D019DE}"/>
    <cellStyle name="Финансовый 36 3 3 2 2 4 2 4" xfId="18890" xr:uid="{00000000-0005-0000-0000-00009C450000}"/>
    <cellStyle name="Финансовый 36 3 3 2 2 4 2 4 2" xfId="35903" xr:uid="{C9B969DF-F504-489B-B817-A2E4B4E027D9}"/>
    <cellStyle name="Финансовый 36 3 3 2 2 4 2 5" xfId="26593" xr:uid="{BD911DCB-C6E5-4D70-B6A5-67582C4C4716}"/>
    <cellStyle name="Финансовый 36 3 3 2 2 4 3" xfId="12576" xr:uid="{00000000-0005-0000-0000-00009D450000}"/>
    <cellStyle name="Финансовый 36 3 3 2 2 4 3 2" xfId="29665" xr:uid="{D8F4A787-F22C-4C63-BD6C-2FBF9ED81E67}"/>
    <cellStyle name="Финансовый 36 3 3 2 2 4 4" xfId="15808" xr:uid="{00000000-0005-0000-0000-00009E450000}"/>
    <cellStyle name="Финансовый 36 3 3 2 2 4 4 2" xfId="32821" xr:uid="{A1F214CD-EDB4-469B-B369-F8E816BCF2EE}"/>
    <cellStyle name="Финансовый 36 3 3 2 2 4 5" xfId="18889" xr:uid="{00000000-0005-0000-0000-00009F450000}"/>
    <cellStyle name="Финансовый 36 3 3 2 2 4 5 2" xfId="35902" xr:uid="{4A091BC3-73B5-4857-B991-51580D15437F}"/>
    <cellStyle name="Финансовый 36 3 3 2 2 4 6" xfId="26592" xr:uid="{0100F9F9-867A-4C86-A48E-0779870DDC8F}"/>
    <cellStyle name="Финансовый 36 3 3 2 2 5" xfId="9493" xr:uid="{00000000-0005-0000-0000-0000A0450000}"/>
    <cellStyle name="Финансовый 36 3 3 2 2 5 2" xfId="12578" xr:uid="{00000000-0005-0000-0000-0000A1450000}"/>
    <cellStyle name="Финансовый 36 3 3 2 2 5 2 2" xfId="29667" xr:uid="{C85A38FD-FAA3-47D9-8718-1C2AF96B3170}"/>
    <cellStyle name="Финансовый 36 3 3 2 2 5 3" xfId="15810" xr:uid="{00000000-0005-0000-0000-0000A2450000}"/>
    <cellStyle name="Финансовый 36 3 3 2 2 5 3 2" xfId="32823" xr:uid="{DDDCE02F-5411-4882-B01C-7896E24A43EE}"/>
    <cellStyle name="Финансовый 36 3 3 2 2 5 4" xfId="18891" xr:uid="{00000000-0005-0000-0000-0000A3450000}"/>
    <cellStyle name="Финансовый 36 3 3 2 2 5 4 2" xfId="35904" xr:uid="{0A720415-AF07-4D9B-9B64-B4047979B2C0}"/>
    <cellStyle name="Финансовый 36 3 3 2 2 5 5" xfId="26594" xr:uid="{782E7C3C-9423-4429-BE3C-3D53F548BA95}"/>
    <cellStyle name="Финансовый 36 3 3 2 2 6" xfId="12563" xr:uid="{00000000-0005-0000-0000-0000A4450000}"/>
    <cellStyle name="Финансовый 36 3 3 2 2 6 2" xfId="29652" xr:uid="{2E3BC671-EF81-4254-8DF1-D2A55AC96BDE}"/>
    <cellStyle name="Финансовый 36 3 3 2 2 7" xfId="15795" xr:uid="{00000000-0005-0000-0000-0000A5450000}"/>
    <cellStyle name="Финансовый 36 3 3 2 2 7 2" xfId="32808" xr:uid="{AFBF2062-24B9-4D45-B343-92D613309455}"/>
    <cellStyle name="Финансовый 36 3 3 2 2 8" xfId="18876" xr:uid="{00000000-0005-0000-0000-0000A6450000}"/>
    <cellStyle name="Финансовый 36 3 3 2 2 8 2" xfId="35889" xr:uid="{51B02D18-0364-47E9-BDCB-81CBCFAE635D}"/>
    <cellStyle name="Финансовый 36 3 3 2 2 9" xfId="26579" xr:uid="{6FD72A08-D779-4002-A490-8023B3C6F416}"/>
    <cellStyle name="Финансовый 36 3 3 2 3" xfId="9494" xr:uid="{00000000-0005-0000-0000-0000A7450000}"/>
    <cellStyle name="Финансовый 36 3 3 2 3 2" xfId="9495" xr:uid="{00000000-0005-0000-0000-0000A8450000}"/>
    <cellStyle name="Финансовый 36 3 3 2 3 2 2" xfId="9496" xr:uid="{00000000-0005-0000-0000-0000A9450000}"/>
    <cellStyle name="Финансовый 36 3 3 2 3 2 2 2" xfId="9497" xr:uid="{00000000-0005-0000-0000-0000AA450000}"/>
    <cellStyle name="Финансовый 36 3 3 2 3 2 2 2 2" xfId="12582" xr:uid="{00000000-0005-0000-0000-0000AB450000}"/>
    <cellStyle name="Финансовый 36 3 3 2 3 2 2 2 2 2" xfId="29671" xr:uid="{2EA30292-6301-4842-AAB3-A6308497420C}"/>
    <cellStyle name="Финансовый 36 3 3 2 3 2 2 2 3" xfId="15814" xr:uid="{00000000-0005-0000-0000-0000AC450000}"/>
    <cellStyle name="Финансовый 36 3 3 2 3 2 2 2 3 2" xfId="32827" xr:uid="{059C56D7-B01D-441A-8B1D-9FFC27A4CF81}"/>
    <cellStyle name="Финансовый 36 3 3 2 3 2 2 2 4" xfId="18895" xr:uid="{00000000-0005-0000-0000-0000AD450000}"/>
    <cellStyle name="Финансовый 36 3 3 2 3 2 2 2 4 2" xfId="35908" xr:uid="{E091A9C1-018F-4673-BD7E-02C998807C8C}"/>
    <cellStyle name="Финансовый 36 3 3 2 3 2 2 2 5" xfId="26598" xr:uid="{15696560-7B14-4F99-B562-7B6A7C915701}"/>
    <cellStyle name="Финансовый 36 3 3 2 3 2 2 3" xfId="12581" xr:uid="{00000000-0005-0000-0000-0000AE450000}"/>
    <cellStyle name="Финансовый 36 3 3 2 3 2 2 3 2" xfId="29670" xr:uid="{2153367C-CF15-4A59-A3A4-FE72223341A5}"/>
    <cellStyle name="Финансовый 36 3 3 2 3 2 2 4" xfId="15813" xr:uid="{00000000-0005-0000-0000-0000AF450000}"/>
    <cellStyle name="Финансовый 36 3 3 2 3 2 2 4 2" xfId="32826" xr:uid="{36725038-77B6-4F7C-8012-7D5F90E92ACD}"/>
    <cellStyle name="Финансовый 36 3 3 2 3 2 2 5" xfId="18894" xr:uid="{00000000-0005-0000-0000-0000B0450000}"/>
    <cellStyle name="Финансовый 36 3 3 2 3 2 2 5 2" xfId="35907" xr:uid="{246F3E96-FE6E-43B7-B648-9DAF6293FD0B}"/>
    <cellStyle name="Финансовый 36 3 3 2 3 2 2 6" xfId="26597" xr:uid="{1D2A217D-2C96-4308-807D-03352AE1B604}"/>
    <cellStyle name="Финансовый 36 3 3 2 3 2 3" xfId="9498" xr:uid="{00000000-0005-0000-0000-0000B1450000}"/>
    <cellStyle name="Финансовый 36 3 3 2 3 2 3 2" xfId="12583" xr:uid="{00000000-0005-0000-0000-0000B2450000}"/>
    <cellStyle name="Финансовый 36 3 3 2 3 2 3 2 2" xfId="29672" xr:uid="{21A10073-C882-4518-828F-DDABE18ECF75}"/>
    <cellStyle name="Финансовый 36 3 3 2 3 2 3 3" xfId="15815" xr:uid="{00000000-0005-0000-0000-0000B3450000}"/>
    <cellStyle name="Финансовый 36 3 3 2 3 2 3 3 2" xfId="32828" xr:uid="{3A3CEB63-C669-4AAE-84CC-3B4C5B1C7458}"/>
    <cellStyle name="Финансовый 36 3 3 2 3 2 3 4" xfId="18896" xr:uid="{00000000-0005-0000-0000-0000B4450000}"/>
    <cellStyle name="Финансовый 36 3 3 2 3 2 3 4 2" xfId="35909" xr:uid="{1C2D5971-8E37-4A61-8560-E31EC6EC82C2}"/>
    <cellStyle name="Финансовый 36 3 3 2 3 2 3 5" xfId="26599" xr:uid="{5393F54B-5B93-40BE-A4EF-D25974A4E8D2}"/>
    <cellStyle name="Финансовый 36 3 3 2 3 2 4" xfId="12580" xr:uid="{00000000-0005-0000-0000-0000B5450000}"/>
    <cellStyle name="Финансовый 36 3 3 2 3 2 4 2" xfId="29669" xr:uid="{EC8CE1F0-9312-4B7E-8B61-D5E09B959FCF}"/>
    <cellStyle name="Финансовый 36 3 3 2 3 2 5" xfId="15812" xr:uid="{00000000-0005-0000-0000-0000B6450000}"/>
    <cellStyle name="Финансовый 36 3 3 2 3 2 5 2" xfId="32825" xr:uid="{0D2D433A-53E3-45A0-8CCF-118AD47321D6}"/>
    <cellStyle name="Финансовый 36 3 3 2 3 2 6" xfId="18893" xr:uid="{00000000-0005-0000-0000-0000B7450000}"/>
    <cellStyle name="Финансовый 36 3 3 2 3 2 6 2" xfId="35906" xr:uid="{0FB87703-8E42-47FE-BD4F-01E41336EBCB}"/>
    <cellStyle name="Финансовый 36 3 3 2 3 2 7" xfId="26596" xr:uid="{6108006E-FE9F-485C-BFF5-2C0CDB21808D}"/>
    <cellStyle name="Финансовый 36 3 3 2 3 3" xfId="9499" xr:uid="{00000000-0005-0000-0000-0000B8450000}"/>
    <cellStyle name="Финансовый 36 3 3 2 3 3 2" xfId="9500" xr:uid="{00000000-0005-0000-0000-0000B9450000}"/>
    <cellStyle name="Финансовый 36 3 3 2 3 3 2 2" xfId="12585" xr:uid="{00000000-0005-0000-0000-0000BA450000}"/>
    <cellStyle name="Финансовый 36 3 3 2 3 3 2 2 2" xfId="29674" xr:uid="{449F5AFA-1EBC-4AF0-9351-F206B7EC5DAD}"/>
    <cellStyle name="Финансовый 36 3 3 2 3 3 2 3" xfId="15817" xr:uid="{00000000-0005-0000-0000-0000BB450000}"/>
    <cellStyle name="Финансовый 36 3 3 2 3 3 2 3 2" xfId="32830" xr:uid="{12402130-6206-4BF7-9958-3028FA1D3678}"/>
    <cellStyle name="Финансовый 36 3 3 2 3 3 2 4" xfId="18898" xr:uid="{00000000-0005-0000-0000-0000BC450000}"/>
    <cellStyle name="Финансовый 36 3 3 2 3 3 2 4 2" xfId="35911" xr:uid="{AB960AEF-667E-44A1-9325-D38E70EE8802}"/>
    <cellStyle name="Финансовый 36 3 3 2 3 3 2 5" xfId="26601" xr:uid="{CA849904-BD26-41F2-9205-8C8FA543DB4E}"/>
    <cellStyle name="Финансовый 36 3 3 2 3 3 3" xfId="12584" xr:uid="{00000000-0005-0000-0000-0000BD450000}"/>
    <cellStyle name="Финансовый 36 3 3 2 3 3 3 2" xfId="29673" xr:uid="{AD13F722-51E8-4A13-BEA0-02A0F55CAF25}"/>
    <cellStyle name="Финансовый 36 3 3 2 3 3 4" xfId="15816" xr:uid="{00000000-0005-0000-0000-0000BE450000}"/>
    <cellStyle name="Финансовый 36 3 3 2 3 3 4 2" xfId="32829" xr:uid="{DD50DB77-A7E0-4BD6-B0A1-3BE52BE3C410}"/>
    <cellStyle name="Финансовый 36 3 3 2 3 3 5" xfId="18897" xr:uid="{00000000-0005-0000-0000-0000BF450000}"/>
    <cellStyle name="Финансовый 36 3 3 2 3 3 5 2" xfId="35910" xr:uid="{A6E46A55-2A5F-4466-AA0B-F61BE34B09CC}"/>
    <cellStyle name="Финансовый 36 3 3 2 3 3 6" xfId="26600" xr:uid="{2CC664B5-D2D5-4D50-B475-238DA1BF1121}"/>
    <cellStyle name="Финансовый 36 3 3 2 3 4" xfId="9501" xr:uid="{00000000-0005-0000-0000-0000C0450000}"/>
    <cellStyle name="Финансовый 36 3 3 2 3 4 2" xfId="12586" xr:uid="{00000000-0005-0000-0000-0000C1450000}"/>
    <cellStyle name="Финансовый 36 3 3 2 3 4 2 2" xfId="29675" xr:uid="{99393E87-1980-41C9-A9B7-71C303BE3EAF}"/>
    <cellStyle name="Финансовый 36 3 3 2 3 4 3" xfId="15818" xr:uid="{00000000-0005-0000-0000-0000C2450000}"/>
    <cellStyle name="Финансовый 36 3 3 2 3 4 3 2" xfId="32831" xr:uid="{CB3BC60D-EE1C-4474-A046-B2A6BB54856C}"/>
    <cellStyle name="Финансовый 36 3 3 2 3 4 4" xfId="18899" xr:uid="{00000000-0005-0000-0000-0000C3450000}"/>
    <cellStyle name="Финансовый 36 3 3 2 3 4 4 2" xfId="35912" xr:uid="{DFF94AF6-1164-426F-92DF-6A430FA6CCB0}"/>
    <cellStyle name="Финансовый 36 3 3 2 3 4 5" xfId="26602" xr:uid="{77589AF3-A0F7-4253-B5BA-E2B0D996A5FA}"/>
    <cellStyle name="Финансовый 36 3 3 2 3 5" xfId="12579" xr:uid="{00000000-0005-0000-0000-0000C4450000}"/>
    <cellStyle name="Финансовый 36 3 3 2 3 5 2" xfId="29668" xr:uid="{AAE38D25-11DE-4650-A250-37174B70D426}"/>
    <cellStyle name="Финансовый 36 3 3 2 3 6" xfId="15811" xr:uid="{00000000-0005-0000-0000-0000C5450000}"/>
    <cellStyle name="Финансовый 36 3 3 2 3 6 2" xfId="32824" xr:uid="{46D55C7A-1451-472A-87FF-3E1EFD474F02}"/>
    <cellStyle name="Финансовый 36 3 3 2 3 7" xfId="18892" xr:uid="{00000000-0005-0000-0000-0000C6450000}"/>
    <cellStyle name="Финансовый 36 3 3 2 3 7 2" xfId="35905" xr:uid="{8A3FBA2B-4BE3-41B1-BB1F-458494E8B5D8}"/>
    <cellStyle name="Финансовый 36 3 3 2 3 8" xfId="26595" xr:uid="{3CB410FA-3EA2-4E0C-9900-3F6F249F4429}"/>
    <cellStyle name="Финансовый 36 3 3 2 4" xfId="9502" xr:uid="{00000000-0005-0000-0000-0000C7450000}"/>
    <cellStyle name="Финансовый 36 3 3 2 4 2" xfId="9503" xr:uid="{00000000-0005-0000-0000-0000C8450000}"/>
    <cellStyle name="Финансовый 36 3 3 2 4 2 2" xfId="9504" xr:uid="{00000000-0005-0000-0000-0000C9450000}"/>
    <cellStyle name="Финансовый 36 3 3 2 4 2 2 2" xfId="12589" xr:uid="{00000000-0005-0000-0000-0000CA450000}"/>
    <cellStyle name="Финансовый 36 3 3 2 4 2 2 2 2" xfId="29678" xr:uid="{1673EC00-37E2-4748-AD1C-BE09E98EB924}"/>
    <cellStyle name="Финансовый 36 3 3 2 4 2 2 3" xfId="15821" xr:uid="{00000000-0005-0000-0000-0000CB450000}"/>
    <cellStyle name="Финансовый 36 3 3 2 4 2 2 3 2" xfId="32834" xr:uid="{5376C2B3-4264-450A-9EF9-6702FC22C073}"/>
    <cellStyle name="Финансовый 36 3 3 2 4 2 2 4" xfId="18902" xr:uid="{00000000-0005-0000-0000-0000CC450000}"/>
    <cellStyle name="Финансовый 36 3 3 2 4 2 2 4 2" xfId="35915" xr:uid="{B1424319-C39A-41CC-B2C0-934A3B32DD53}"/>
    <cellStyle name="Финансовый 36 3 3 2 4 2 2 5" xfId="26605" xr:uid="{20FB8ED5-8AC2-4D8C-92A2-BD6E7AE570AC}"/>
    <cellStyle name="Финансовый 36 3 3 2 4 2 3" xfId="12588" xr:uid="{00000000-0005-0000-0000-0000CD450000}"/>
    <cellStyle name="Финансовый 36 3 3 2 4 2 3 2" xfId="29677" xr:uid="{96ED0D0A-35AB-4298-9989-5C9910D08218}"/>
    <cellStyle name="Финансовый 36 3 3 2 4 2 4" xfId="15820" xr:uid="{00000000-0005-0000-0000-0000CE450000}"/>
    <cellStyle name="Финансовый 36 3 3 2 4 2 4 2" xfId="32833" xr:uid="{6AB70DBE-B3EF-47CD-A780-8A8CA7FCF614}"/>
    <cellStyle name="Финансовый 36 3 3 2 4 2 5" xfId="18901" xr:uid="{00000000-0005-0000-0000-0000CF450000}"/>
    <cellStyle name="Финансовый 36 3 3 2 4 2 5 2" xfId="35914" xr:uid="{95DE2B13-C92D-44C9-81A6-C65303B4D748}"/>
    <cellStyle name="Финансовый 36 3 3 2 4 2 6" xfId="26604" xr:uid="{6D2AB4B8-D4DF-439D-9C0D-2DEAE903CB5E}"/>
    <cellStyle name="Финансовый 36 3 3 2 4 3" xfId="9505" xr:uid="{00000000-0005-0000-0000-0000D0450000}"/>
    <cellStyle name="Финансовый 36 3 3 2 4 3 2" xfId="12590" xr:uid="{00000000-0005-0000-0000-0000D1450000}"/>
    <cellStyle name="Финансовый 36 3 3 2 4 3 2 2" xfId="29679" xr:uid="{7A91575D-241D-4C4F-ADC4-059202C8E556}"/>
    <cellStyle name="Финансовый 36 3 3 2 4 3 3" xfId="15822" xr:uid="{00000000-0005-0000-0000-0000D2450000}"/>
    <cellStyle name="Финансовый 36 3 3 2 4 3 3 2" xfId="32835" xr:uid="{97B28D6D-287F-4D32-A2CD-532822B1609C}"/>
    <cellStyle name="Финансовый 36 3 3 2 4 3 4" xfId="18903" xr:uid="{00000000-0005-0000-0000-0000D3450000}"/>
    <cellStyle name="Финансовый 36 3 3 2 4 3 4 2" xfId="35916" xr:uid="{1D9ACECE-8491-405F-BBB3-6CCB2356620E}"/>
    <cellStyle name="Финансовый 36 3 3 2 4 3 5" xfId="26606" xr:uid="{6AB6F431-300A-401A-A1AF-AA401C032602}"/>
    <cellStyle name="Финансовый 36 3 3 2 4 4" xfId="12587" xr:uid="{00000000-0005-0000-0000-0000D4450000}"/>
    <cellStyle name="Финансовый 36 3 3 2 4 4 2" xfId="29676" xr:uid="{DA9544B3-DA40-40A6-A2CD-37059E7FC0E1}"/>
    <cellStyle name="Финансовый 36 3 3 2 4 5" xfId="15819" xr:uid="{00000000-0005-0000-0000-0000D5450000}"/>
    <cellStyle name="Финансовый 36 3 3 2 4 5 2" xfId="32832" xr:uid="{55B9D21E-038F-4CD9-940F-497064CB1AB4}"/>
    <cellStyle name="Финансовый 36 3 3 2 4 6" xfId="18900" xr:uid="{00000000-0005-0000-0000-0000D6450000}"/>
    <cellStyle name="Финансовый 36 3 3 2 4 6 2" xfId="35913" xr:uid="{3AC149A3-E828-4B8E-8671-2652504A4AAF}"/>
    <cellStyle name="Финансовый 36 3 3 2 4 7" xfId="26603" xr:uid="{59ECFB72-0083-46C3-AE37-FB0667824078}"/>
    <cellStyle name="Финансовый 36 3 3 2 5" xfId="9506" xr:uid="{00000000-0005-0000-0000-0000D7450000}"/>
    <cellStyle name="Финансовый 36 3 3 2 5 2" xfId="9507" xr:uid="{00000000-0005-0000-0000-0000D8450000}"/>
    <cellStyle name="Финансовый 36 3 3 2 5 2 2" xfId="12592" xr:uid="{00000000-0005-0000-0000-0000D9450000}"/>
    <cellStyle name="Финансовый 36 3 3 2 5 2 2 2" xfId="29681" xr:uid="{20B4DDA0-C4FF-48D3-8BAD-CE78B2DEC0F1}"/>
    <cellStyle name="Финансовый 36 3 3 2 5 2 3" xfId="15824" xr:uid="{00000000-0005-0000-0000-0000DA450000}"/>
    <cellStyle name="Финансовый 36 3 3 2 5 2 3 2" xfId="32837" xr:uid="{89471155-9523-4041-B54E-0938E71025D7}"/>
    <cellStyle name="Финансовый 36 3 3 2 5 2 4" xfId="18905" xr:uid="{00000000-0005-0000-0000-0000DB450000}"/>
    <cellStyle name="Финансовый 36 3 3 2 5 2 4 2" xfId="35918" xr:uid="{4CCA14BA-1402-4E25-B893-A0B72EB1C2BB}"/>
    <cellStyle name="Финансовый 36 3 3 2 5 2 5" xfId="26608" xr:uid="{A196A50C-58AD-4F16-98F4-6FF854EC4EEE}"/>
    <cellStyle name="Финансовый 36 3 3 2 5 3" xfId="12591" xr:uid="{00000000-0005-0000-0000-0000DC450000}"/>
    <cellStyle name="Финансовый 36 3 3 2 5 3 2" xfId="29680" xr:uid="{A8B3FC44-5FE2-4145-B0CC-B4E0475C353A}"/>
    <cellStyle name="Финансовый 36 3 3 2 5 4" xfId="15823" xr:uid="{00000000-0005-0000-0000-0000DD450000}"/>
    <cellStyle name="Финансовый 36 3 3 2 5 4 2" xfId="32836" xr:uid="{EA13AE75-D046-4C38-9776-8A74905AF472}"/>
    <cellStyle name="Финансовый 36 3 3 2 5 5" xfId="18904" xr:uid="{00000000-0005-0000-0000-0000DE450000}"/>
    <cellStyle name="Финансовый 36 3 3 2 5 5 2" xfId="35917" xr:uid="{001E942B-1773-4A4F-A08E-514EB979ECB2}"/>
    <cellStyle name="Финансовый 36 3 3 2 5 6" xfId="26607" xr:uid="{8E12E24D-A5FA-4A72-9334-2CFED848F92F}"/>
    <cellStyle name="Финансовый 36 3 3 2 6" xfId="9508" xr:uid="{00000000-0005-0000-0000-0000DF450000}"/>
    <cellStyle name="Финансовый 36 3 3 2 6 2" xfId="12593" xr:uid="{00000000-0005-0000-0000-0000E0450000}"/>
    <cellStyle name="Финансовый 36 3 3 2 6 2 2" xfId="29682" xr:uid="{2A7B084E-796D-46EE-9845-7D081FF9A225}"/>
    <cellStyle name="Финансовый 36 3 3 2 6 3" xfId="15825" xr:uid="{00000000-0005-0000-0000-0000E1450000}"/>
    <cellStyle name="Финансовый 36 3 3 2 6 3 2" xfId="32838" xr:uid="{AFB4DDFD-4290-4CE5-B052-EC6A27595C4A}"/>
    <cellStyle name="Финансовый 36 3 3 2 6 4" xfId="18906" xr:uid="{00000000-0005-0000-0000-0000E2450000}"/>
    <cellStyle name="Финансовый 36 3 3 2 6 4 2" xfId="35919" xr:uid="{839CFBAA-90BC-4634-A44E-73C48A253BF5}"/>
    <cellStyle name="Финансовый 36 3 3 2 6 5" xfId="26609" xr:uid="{8286C8FF-D9DF-4821-92FB-909047A6C440}"/>
    <cellStyle name="Финансовый 36 3 3 2 7" xfId="12562" xr:uid="{00000000-0005-0000-0000-0000E3450000}"/>
    <cellStyle name="Финансовый 36 3 3 2 7 2" xfId="29651" xr:uid="{F3AA3B3E-036F-4ED5-96A3-7979FDD38D2F}"/>
    <cellStyle name="Финансовый 36 3 3 2 8" xfId="15794" xr:uid="{00000000-0005-0000-0000-0000E4450000}"/>
    <cellStyle name="Финансовый 36 3 3 2 8 2" xfId="32807" xr:uid="{5782C5A8-DDF8-490D-A0EA-C6A6F5BC26BB}"/>
    <cellStyle name="Финансовый 36 3 3 2 9" xfId="18875" xr:uid="{00000000-0005-0000-0000-0000E5450000}"/>
    <cellStyle name="Финансовый 36 3 3 2 9 2" xfId="35888" xr:uid="{36710A36-1E01-4C8C-9136-AACCC192A69B}"/>
    <cellStyle name="Финансовый 36 3 3 3" xfId="9509" xr:uid="{00000000-0005-0000-0000-0000E6450000}"/>
    <cellStyle name="Финансовый 36 3 3 3 2" xfId="9510" xr:uid="{00000000-0005-0000-0000-0000E7450000}"/>
    <cellStyle name="Финансовый 36 3 3 3 2 2" xfId="9511" xr:uid="{00000000-0005-0000-0000-0000E8450000}"/>
    <cellStyle name="Финансовый 36 3 3 3 2 2 2" xfId="9512" xr:uid="{00000000-0005-0000-0000-0000E9450000}"/>
    <cellStyle name="Финансовый 36 3 3 3 2 2 2 2" xfId="9513" xr:uid="{00000000-0005-0000-0000-0000EA450000}"/>
    <cellStyle name="Финансовый 36 3 3 3 2 2 2 2 2" xfId="12598" xr:uid="{00000000-0005-0000-0000-0000EB450000}"/>
    <cellStyle name="Финансовый 36 3 3 3 2 2 2 2 2 2" xfId="29687" xr:uid="{023E96ED-B83F-45DF-AE6E-EC03AB8828A2}"/>
    <cellStyle name="Финансовый 36 3 3 3 2 2 2 2 3" xfId="15830" xr:uid="{00000000-0005-0000-0000-0000EC450000}"/>
    <cellStyle name="Финансовый 36 3 3 3 2 2 2 2 3 2" xfId="32843" xr:uid="{B6DD066E-B45C-49B6-B386-6276EECD7634}"/>
    <cellStyle name="Финансовый 36 3 3 3 2 2 2 2 4" xfId="18911" xr:uid="{00000000-0005-0000-0000-0000ED450000}"/>
    <cellStyle name="Финансовый 36 3 3 3 2 2 2 2 4 2" xfId="35924" xr:uid="{8358797F-7313-493A-B90F-F561275E1E73}"/>
    <cellStyle name="Финансовый 36 3 3 3 2 2 2 2 5" xfId="26614" xr:uid="{EC1037E8-C4C8-4192-8042-17088E821B33}"/>
    <cellStyle name="Финансовый 36 3 3 3 2 2 2 3" xfId="12597" xr:uid="{00000000-0005-0000-0000-0000EE450000}"/>
    <cellStyle name="Финансовый 36 3 3 3 2 2 2 3 2" xfId="29686" xr:uid="{D628CB75-B3A1-4F15-8BC6-0EB003E8DE3A}"/>
    <cellStyle name="Финансовый 36 3 3 3 2 2 2 4" xfId="15829" xr:uid="{00000000-0005-0000-0000-0000EF450000}"/>
    <cellStyle name="Финансовый 36 3 3 3 2 2 2 4 2" xfId="32842" xr:uid="{FFEC114C-C047-4817-81A2-96FAF31DBA2B}"/>
    <cellStyle name="Финансовый 36 3 3 3 2 2 2 5" xfId="18910" xr:uid="{00000000-0005-0000-0000-0000F0450000}"/>
    <cellStyle name="Финансовый 36 3 3 3 2 2 2 5 2" xfId="35923" xr:uid="{090393A2-A54D-44C0-9FB0-71673702C908}"/>
    <cellStyle name="Финансовый 36 3 3 3 2 2 2 6" xfId="26613" xr:uid="{C4B7A5D2-ED3D-4AA4-A0CB-AD225AE77FD6}"/>
    <cellStyle name="Финансовый 36 3 3 3 2 2 3" xfId="9514" xr:uid="{00000000-0005-0000-0000-0000F1450000}"/>
    <cellStyle name="Финансовый 36 3 3 3 2 2 3 2" xfId="12599" xr:uid="{00000000-0005-0000-0000-0000F2450000}"/>
    <cellStyle name="Финансовый 36 3 3 3 2 2 3 2 2" xfId="29688" xr:uid="{D7C28C6E-A3A1-4602-9FD8-76CE570675F2}"/>
    <cellStyle name="Финансовый 36 3 3 3 2 2 3 3" xfId="15831" xr:uid="{00000000-0005-0000-0000-0000F3450000}"/>
    <cellStyle name="Финансовый 36 3 3 3 2 2 3 3 2" xfId="32844" xr:uid="{87538794-F9DA-41F7-8F10-7BC6BEFCC9BD}"/>
    <cellStyle name="Финансовый 36 3 3 3 2 2 3 4" xfId="18912" xr:uid="{00000000-0005-0000-0000-0000F4450000}"/>
    <cellStyle name="Финансовый 36 3 3 3 2 2 3 4 2" xfId="35925" xr:uid="{09AB22A1-7007-4504-B3CD-1ED9C92A9760}"/>
    <cellStyle name="Финансовый 36 3 3 3 2 2 3 5" xfId="26615" xr:uid="{D2E40F61-DFD9-49B4-958E-9DBA8F7C37F2}"/>
    <cellStyle name="Финансовый 36 3 3 3 2 2 4" xfId="12596" xr:uid="{00000000-0005-0000-0000-0000F5450000}"/>
    <cellStyle name="Финансовый 36 3 3 3 2 2 4 2" xfId="29685" xr:uid="{B0826CCE-8316-4497-B9D2-05A15EA92601}"/>
    <cellStyle name="Финансовый 36 3 3 3 2 2 5" xfId="15828" xr:uid="{00000000-0005-0000-0000-0000F6450000}"/>
    <cellStyle name="Финансовый 36 3 3 3 2 2 5 2" xfId="32841" xr:uid="{A3BFA233-D6C5-47AD-A728-93818E83B6B3}"/>
    <cellStyle name="Финансовый 36 3 3 3 2 2 6" xfId="18909" xr:uid="{00000000-0005-0000-0000-0000F7450000}"/>
    <cellStyle name="Финансовый 36 3 3 3 2 2 6 2" xfId="35922" xr:uid="{AF949A51-5712-4555-9834-8209B184490E}"/>
    <cellStyle name="Финансовый 36 3 3 3 2 2 7" xfId="26612" xr:uid="{FDBA62BC-412B-4772-8323-847684F1C75A}"/>
    <cellStyle name="Финансовый 36 3 3 3 2 3" xfId="9515" xr:uid="{00000000-0005-0000-0000-0000F8450000}"/>
    <cellStyle name="Финансовый 36 3 3 3 2 3 2" xfId="9516" xr:uid="{00000000-0005-0000-0000-0000F9450000}"/>
    <cellStyle name="Финансовый 36 3 3 3 2 3 2 2" xfId="12601" xr:uid="{00000000-0005-0000-0000-0000FA450000}"/>
    <cellStyle name="Финансовый 36 3 3 3 2 3 2 2 2" xfId="29690" xr:uid="{6FBDA3A3-DDE5-4140-B15B-B503483A7097}"/>
    <cellStyle name="Финансовый 36 3 3 3 2 3 2 3" xfId="15833" xr:uid="{00000000-0005-0000-0000-0000FB450000}"/>
    <cellStyle name="Финансовый 36 3 3 3 2 3 2 3 2" xfId="32846" xr:uid="{3CB3C11C-9837-4D18-861D-430CF3787E89}"/>
    <cellStyle name="Финансовый 36 3 3 3 2 3 2 4" xfId="18914" xr:uid="{00000000-0005-0000-0000-0000FC450000}"/>
    <cellStyle name="Финансовый 36 3 3 3 2 3 2 4 2" xfId="35927" xr:uid="{8AB613BD-17BE-4EAD-A606-58238ED8B883}"/>
    <cellStyle name="Финансовый 36 3 3 3 2 3 2 5" xfId="26617" xr:uid="{6312E8D3-027D-4C01-BD89-C273E56C237F}"/>
    <cellStyle name="Финансовый 36 3 3 3 2 3 3" xfId="12600" xr:uid="{00000000-0005-0000-0000-0000FD450000}"/>
    <cellStyle name="Финансовый 36 3 3 3 2 3 3 2" xfId="29689" xr:uid="{12A9455C-5D63-4A53-B4AD-7CE8B355F582}"/>
    <cellStyle name="Финансовый 36 3 3 3 2 3 4" xfId="15832" xr:uid="{00000000-0005-0000-0000-0000FE450000}"/>
    <cellStyle name="Финансовый 36 3 3 3 2 3 4 2" xfId="32845" xr:uid="{F91C39D2-481E-49C1-9CC2-92AADBC388C6}"/>
    <cellStyle name="Финансовый 36 3 3 3 2 3 5" xfId="18913" xr:uid="{00000000-0005-0000-0000-0000FF450000}"/>
    <cellStyle name="Финансовый 36 3 3 3 2 3 5 2" xfId="35926" xr:uid="{82155E8D-154C-4179-89B8-CBBE78CFB947}"/>
    <cellStyle name="Финансовый 36 3 3 3 2 3 6" xfId="26616" xr:uid="{0F7B1D18-213C-40F6-BDE3-5FC0E730E5CE}"/>
    <cellStyle name="Финансовый 36 3 3 3 2 4" xfId="9517" xr:uid="{00000000-0005-0000-0000-000000460000}"/>
    <cellStyle name="Финансовый 36 3 3 3 2 4 2" xfId="12602" xr:uid="{00000000-0005-0000-0000-000001460000}"/>
    <cellStyle name="Финансовый 36 3 3 3 2 4 2 2" xfId="29691" xr:uid="{7FE390BA-E22B-4F1D-9972-C6D01183FE13}"/>
    <cellStyle name="Финансовый 36 3 3 3 2 4 3" xfId="15834" xr:uid="{00000000-0005-0000-0000-000002460000}"/>
    <cellStyle name="Финансовый 36 3 3 3 2 4 3 2" xfId="32847" xr:uid="{B07A42BD-A3FB-4690-A10E-3A412F1B1FAF}"/>
    <cellStyle name="Финансовый 36 3 3 3 2 4 4" xfId="18915" xr:uid="{00000000-0005-0000-0000-000003460000}"/>
    <cellStyle name="Финансовый 36 3 3 3 2 4 4 2" xfId="35928" xr:uid="{8B67490C-54E6-4B83-8C35-9ABA00F4F711}"/>
    <cellStyle name="Финансовый 36 3 3 3 2 4 5" xfId="26618" xr:uid="{94C27E6F-5B09-4303-ADCC-51DE813F1548}"/>
    <cellStyle name="Финансовый 36 3 3 3 2 5" xfId="12595" xr:uid="{00000000-0005-0000-0000-000004460000}"/>
    <cellStyle name="Финансовый 36 3 3 3 2 5 2" xfId="29684" xr:uid="{4CEA339B-1979-4C22-8192-4C3CB447FD22}"/>
    <cellStyle name="Финансовый 36 3 3 3 2 6" xfId="15827" xr:uid="{00000000-0005-0000-0000-000005460000}"/>
    <cellStyle name="Финансовый 36 3 3 3 2 6 2" xfId="32840" xr:uid="{60F03EE7-E8AE-4E0E-9464-77BA70148DE4}"/>
    <cellStyle name="Финансовый 36 3 3 3 2 7" xfId="18908" xr:uid="{00000000-0005-0000-0000-000006460000}"/>
    <cellStyle name="Финансовый 36 3 3 3 2 7 2" xfId="35921" xr:uid="{27EE67AD-39ED-4E25-AF6C-B6A23E4E7D10}"/>
    <cellStyle name="Финансовый 36 3 3 3 2 8" xfId="26611" xr:uid="{60FBAE78-84F9-447F-85CF-398E39BD2584}"/>
    <cellStyle name="Финансовый 36 3 3 3 3" xfId="9518" xr:uid="{00000000-0005-0000-0000-000007460000}"/>
    <cellStyle name="Финансовый 36 3 3 3 3 2" xfId="9519" xr:uid="{00000000-0005-0000-0000-000008460000}"/>
    <cellStyle name="Финансовый 36 3 3 3 3 2 2" xfId="9520" xr:uid="{00000000-0005-0000-0000-000009460000}"/>
    <cellStyle name="Финансовый 36 3 3 3 3 2 2 2" xfId="12605" xr:uid="{00000000-0005-0000-0000-00000A460000}"/>
    <cellStyle name="Финансовый 36 3 3 3 3 2 2 2 2" xfId="29694" xr:uid="{D69F6CED-5E47-4E2F-AB30-9C49B3846029}"/>
    <cellStyle name="Финансовый 36 3 3 3 3 2 2 3" xfId="15837" xr:uid="{00000000-0005-0000-0000-00000B460000}"/>
    <cellStyle name="Финансовый 36 3 3 3 3 2 2 3 2" xfId="32850" xr:uid="{2B9DCCEF-BC81-4490-BFB7-1CAD7241CDF7}"/>
    <cellStyle name="Финансовый 36 3 3 3 3 2 2 4" xfId="18918" xr:uid="{00000000-0005-0000-0000-00000C460000}"/>
    <cellStyle name="Финансовый 36 3 3 3 3 2 2 4 2" xfId="35931" xr:uid="{51B77830-1F0A-4686-952C-71616EB39F83}"/>
    <cellStyle name="Финансовый 36 3 3 3 3 2 2 5" xfId="26621" xr:uid="{207160AC-2A30-4957-89D6-0911FB146103}"/>
    <cellStyle name="Финансовый 36 3 3 3 3 2 3" xfId="12604" xr:uid="{00000000-0005-0000-0000-00000D460000}"/>
    <cellStyle name="Финансовый 36 3 3 3 3 2 3 2" xfId="29693" xr:uid="{6C7141BD-C1F5-48AB-AA07-BE39700F0883}"/>
    <cellStyle name="Финансовый 36 3 3 3 3 2 4" xfId="15836" xr:uid="{00000000-0005-0000-0000-00000E460000}"/>
    <cellStyle name="Финансовый 36 3 3 3 3 2 4 2" xfId="32849" xr:uid="{29AB9DF4-0E89-4A74-A1FB-56BB9B0F92E0}"/>
    <cellStyle name="Финансовый 36 3 3 3 3 2 5" xfId="18917" xr:uid="{00000000-0005-0000-0000-00000F460000}"/>
    <cellStyle name="Финансовый 36 3 3 3 3 2 5 2" xfId="35930" xr:uid="{44FE4E81-6AD1-46A6-B29F-4DE90A6C3272}"/>
    <cellStyle name="Финансовый 36 3 3 3 3 2 6" xfId="26620" xr:uid="{E8DC9E42-257D-49B0-8B46-65F5A0C938AC}"/>
    <cellStyle name="Финансовый 36 3 3 3 3 3" xfId="9521" xr:uid="{00000000-0005-0000-0000-000010460000}"/>
    <cellStyle name="Финансовый 36 3 3 3 3 3 2" xfId="12606" xr:uid="{00000000-0005-0000-0000-000011460000}"/>
    <cellStyle name="Финансовый 36 3 3 3 3 3 2 2" xfId="29695" xr:uid="{A2181674-6384-4185-89A4-BE8788698687}"/>
    <cellStyle name="Финансовый 36 3 3 3 3 3 3" xfId="15838" xr:uid="{00000000-0005-0000-0000-000012460000}"/>
    <cellStyle name="Финансовый 36 3 3 3 3 3 3 2" xfId="32851" xr:uid="{34B694A0-4F36-48FA-B77C-36E29AC00EB3}"/>
    <cellStyle name="Финансовый 36 3 3 3 3 3 4" xfId="18919" xr:uid="{00000000-0005-0000-0000-000013460000}"/>
    <cellStyle name="Финансовый 36 3 3 3 3 3 4 2" xfId="35932" xr:uid="{74227886-7EAB-4954-9E2B-79FB092BF457}"/>
    <cellStyle name="Финансовый 36 3 3 3 3 3 5" xfId="26622" xr:uid="{0AB5A508-B9A3-4988-8D71-0813FB012A2E}"/>
    <cellStyle name="Финансовый 36 3 3 3 3 4" xfId="12603" xr:uid="{00000000-0005-0000-0000-000014460000}"/>
    <cellStyle name="Финансовый 36 3 3 3 3 4 2" xfId="29692" xr:uid="{4C7A353F-A7E2-4DC7-B216-3FB7BA184A97}"/>
    <cellStyle name="Финансовый 36 3 3 3 3 5" xfId="15835" xr:uid="{00000000-0005-0000-0000-000015460000}"/>
    <cellStyle name="Финансовый 36 3 3 3 3 5 2" xfId="32848" xr:uid="{DCFD4135-D9EB-4AC9-A578-3CE6A9601162}"/>
    <cellStyle name="Финансовый 36 3 3 3 3 6" xfId="18916" xr:uid="{00000000-0005-0000-0000-000016460000}"/>
    <cellStyle name="Финансовый 36 3 3 3 3 6 2" xfId="35929" xr:uid="{1CEE24DE-DF37-436A-91E1-EC9E10BAF19E}"/>
    <cellStyle name="Финансовый 36 3 3 3 3 7" xfId="26619" xr:uid="{965D83B2-14F1-4518-9799-B276A27DDE19}"/>
    <cellStyle name="Финансовый 36 3 3 3 4" xfId="9522" xr:uid="{00000000-0005-0000-0000-000017460000}"/>
    <cellStyle name="Финансовый 36 3 3 3 4 2" xfId="9523" xr:uid="{00000000-0005-0000-0000-000018460000}"/>
    <cellStyle name="Финансовый 36 3 3 3 4 2 2" xfId="12608" xr:uid="{00000000-0005-0000-0000-000019460000}"/>
    <cellStyle name="Финансовый 36 3 3 3 4 2 2 2" xfId="29697" xr:uid="{B7EAEF09-4D87-46A7-B10F-4123337FD886}"/>
    <cellStyle name="Финансовый 36 3 3 3 4 2 3" xfId="15840" xr:uid="{00000000-0005-0000-0000-00001A460000}"/>
    <cellStyle name="Финансовый 36 3 3 3 4 2 3 2" xfId="32853" xr:uid="{6415B099-47D9-4E06-B8A4-5385A14F8206}"/>
    <cellStyle name="Финансовый 36 3 3 3 4 2 4" xfId="18921" xr:uid="{00000000-0005-0000-0000-00001B460000}"/>
    <cellStyle name="Финансовый 36 3 3 3 4 2 4 2" xfId="35934" xr:uid="{8E282B6A-E926-4387-8C3C-3DF46193BF28}"/>
    <cellStyle name="Финансовый 36 3 3 3 4 2 5" xfId="26624" xr:uid="{AC5A47C8-22BA-49C0-8DE0-091B4615A162}"/>
    <cellStyle name="Финансовый 36 3 3 3 4 3" xfId="12607" xr:uid="{00000000-0005-0000-0000-00001C460000}"/>
    <cellStyle name="Финансовый 36 3 3 3 4 3 2" xfId="29696" xr:uid="{8BD97244-A163-4AB9-8AC0-E05E4A7A8E1F}"/>
    <cellStyle name="Финансовый 36 3 3 3 4 4" xfId="15839" xr:uid="{00000000-0005-0000-0000-00001D460000}"/>
    <cellStyle name="Финансовый 36 3 3 3 4 4 2" xfId="32852" xr:uid="{72430D91-42BB-489A-9452-3A9AABFED15F}"/>
    <cellStyle name="Финансовый 36 3 3 3 4 5" xfId="18920" xr:uid="{00000000-0005-0000-0000-00001E460000}"/>
    <cellStyle name="Финансовый 36 3 3 3 4 5 2" xfId="35933" xr:uid="{FBF81685-6420-4E1B-8171-88D753E74C81}"/>
    <cellStyle name="Финансовый 36 3 3 3 4 6" xfId="26623" xr:uid="{C0E7688D-47FC-4B2C-B33B-45F6E41B732E}"/>
    <cellStyle name="Финансовый 36 3 3 3 5" xfId="9524" xr:uid="{00000000-0005-0000-0000-00001F460000}"/>
    <cellStyle name="Финансовый 36 3 3 3 5 2" xfId="12609" xr:uid="{00000000-0005-0000-0000-000020460000}"/>
    <cellStyle name="Финансовый 36 3 3 3 5 2 2" xfId="29698" xr:uid="{29541E7E-9B72-4BF2-9CDC-06EE746104EC}"/>
    <cellStyle name="Финансовый 36 3 3 3 5 3" xfId="15841" xr:uid="{00000000-0005-0000-0000-000021460000}"/>
    <cellStyle name="Финансовый 36 3 3 3 5 3 2" xfId="32854" xr:uid="{8A6F43A0-06EB-4B8D-B5A1-391C9BB65B5D}"/>
    <cellStyle name="Финансовый 36 3 3 3 5 4" xfId="18922" xr:uid="{00000000-0005-0000-0000-000022460000}"/>
    <cellStyle name="Финансовый 36 3 3 3 5 4 2" xfId="35935" xr:uid="{91F5E117-1E05-4F38-B303-B80C8C67BC83}"/>
    <cellStyle name="Финансовый 36 3 3 3 5 5" xfId="26625" xr:uid="{4B9748F9-2254-4E2B-9FC3-9B7248BCC99F}"/>
    <cellStyle name="Финансовый 36 3 3 3 6" xfId="12594" xr:uid="{00000000-0005-0000-0000-000023460000}"/>
    <cellStyle name="Финансовый 36 3 3 3 6 2" xfId="29683" xr:uid="{CF63D5ED-0033-498C-8A00-3679D063FC68}"/>
    <cellStyle name="Финансовый 36 3 3 3 7" xfId="15826" xr:uid="{00000000-0005-0000-0000-000024460000}"/>
    <cellStyle name="Финансовый 36 3 3 3 7 2" xfId="32839" xr:uid="{DF1ECAB8-0EBA-401D-9B4C-95DFA3A15E62}"/>
    <cellStyle name="Финансовый 36 3 3 3 8" xfId="18907" xr:uid="{00000000-0005-0000-0000-000025460000}"/>
    <cellStyle name="Финансовый 36 3 3 3 8 2" xfId="35920" xr:uid="{7D42F1F3-6B16-4C10-8ABC-0A1386D4FFDF}"/>
    <cellStyle name="Финансовый 36 3 3 3 9" xfId="26610" xr:uid="{B78E1BE5-FE68-4150-9086-A379176DD6EB}"/>
    <cellStyle name="Финансовый 36 3 3 4" xfId="9525" xr:uid="{00000000-0005-0000-0000-000026460000}"/>
    <cellStyle name="Финансовый 36 3 3 4 2" xfId="9526" xr:uid="{00000000-0005-0000-0000-000027460000}"/>
    <cellStyle name="Финансовый 36 3 3 4 2 2" xfId="9527" xr:uid="{00000000-0005-0000-0000-000028460000}"/>
    <cellStyle name="Финансовый 36 3 3 4 2 2 2" xfId="9528" xr:uid="{00000000-0005-0000-0000-000029460000}"/>
    <cellStyle name="Финансовый 36 3 3 4 2 2 2 2" xfId="12613" xr:uid="{00000000-0005-0000-0000-00002A460000}"/>
    <cellStyle name="Финансовый 36 3 3 4 2 2 2 2 2" xfId="29702" xr:uid="{87120978-9E2D-49B6-9787-2585E40BCDF7}"/>
    <cellStyle name="Финансовый 36 3 3 4 2 2 2 3" xfId="15845" xr:uid="{00000000-0005-0000-0000-00002B460000}"/>
    <cellStyle name="Финансовый 36 3 3 4 2 2 2 3 2" xfId="32858" xr:uid="{48B6C793-55E0-42B8-9A56-4C54CEFCAB5B}"/>
    <cellStyle name="Финансовый 36 3 3 4 2 2 2 4" xfId="18926" xr:uid="{00000000-0005-0000-0000-00002C460000}"/>
    <cellStyle name="Финансовый 36 3 3 4 2 2 2 4 2" xfId="35939" xr:uid="{0D2014B7-90E3-4BF7-985A-02EC1526D92A}"/>
    <cellStyle name="Финансовый 36 3 3 4 2 2 2 5" xfId="26629" xr:uid="{7FBD263A-3FF2-4DA4-B97F-B2D88FF44F6C}"/>
    <cellStyle name="Финансовый 36 3 3 4 2 2 3" xfId="12612" xr:uid="{00000000-0005-0000-0000-00002D460000}"/>
    <cellStyle name="Финансовый 36 3 3 4 2 2 3 2" xfId="29701" xr:uid="{6B6BD8E4-EC05-44EF-AC35-9FBF0B46F472}"/>
    <cellStyle name="Финансовый 36 3 3 4 2 2 4" xfId="15844" xr:uid="{00000000-0005-0000-0000-00002E460000}"/>
    <cellStyle name="Финансовый 36 3 3 4 2 2 4 2" xfId="32857" xr:uid="{8277214B-2D05-4EE6-82FC-6E71E3777AB6}"/>
    <cellStyle name="Финансовый 36 3 3 4 2 2 5" xfId="18925" xr:uid="{00000000-0005-0000-0000-00002F460000}"/>
    <cellStyle name="Финансовый 36 3 3 4 2 2 5 2" xfId="35938" xr:uid="{12B8B4CB-A9B9-4D66-BA01-ECFD52C752B5}"/>
    <cellStyle name="Финансовый 36 3 3 4 2 2 6" xfId="26628" xr:uid="{DAFE2385-21C8-486D-974E-026BEB9CD71B}"/>
    <cellStyle name="Финансовый 36 3 3 4 2 3" xfId="9529" xr:uid="{00000000-0005-0000-0000-000030460000}"/>
    <cellStyle name="Финансовый 36 3 3 4 2 3 2" xfId="12614" xr:uid="{00000000-0005-0000-0000-000031460000}"/>
    <cellStyle name="Финансовый 36 3 3 4 2 3 2 2" xfId="29703" xr:uid="{1F57247C-4FC1-4A5A-A8E2-3773B664E3F9}"/>
    <cellStyle name="Финансовый 36 3 3 4 2 3 3" xfId="15846" xr:uid="{00000000-0005-0000-0000-000032460000}"/>
    <cellStyle name="Финансовый 36 3 3 4 2 3 3 2" xfId="32859" xr:uid="{472557C5-E81D-46AC-B5EF-76F204CD6979}"/>
    <cellStyle name="Финансовый 36 3 3 4 2 3 4" xfId="18927" xr:uid="{00000000-0005-0000-0000-000033460000}"/>
    <cellStyle name="Финансовый 36 3 3 4 2 3 4 2" xfId="35940" xr:uid="{A52B24E6-3B1B-4EB6-AB2E-B9CAFE51C9D6}"/>
    <cellStyle name="Финансовый 36 3 3 4 2 3 5" xfId="26630" xr:uid="{9F716AA5-EDA4-4F2D-BD56-56BCBE09D9E9}"/>
    <cellStyle name="Финансовый 36 3 3 4 2 4" xfId="12611" xr:uid="{00000000-0005-0000-0000-000034460000}"/>
    <cellStyle name="Финансовый 36 3 3 4 2 4 2" xfId="29700" xr:uid="{A2BEDAE4-A6E2-4A8D-B758-B34A97BCAAAE}"/>
    <cellStyle name="Финансовый 36 3 3 4 2 5" xfId="15843" xr:uid="{00000000-0005-0000-0000-000035460000}"/>
    <cellStyle name="Финансовый 36 3 3 4 2 5 2" xfId="32856" xr:uid="{BAFC2648-A3F5-4A3F-A338-BD84FC148F87}"/>
    <cellStyle name="Финансовый 36 3 3 4 2 6" xfId="18924" xr:uid="{00000000-0005-0000-0000-000036460000}"/>
    <cellStyle name="Финансовый 36 3 3 4 2 6 2" xfId="35937" xr:uid="{33BAEAD8-52A7-4D02-9F46-C20D983FEA52}"/>
    <cellStyle name="Финансовый 36 3 3 4 2 7" xfId="26627" xr:uid="{90FD2628-CC96-4473-A8E9-701C925B6219}"/>
    <cellStyle name="Финансовый 36 3 3 4 3" xfId="9530" xr:uid="{00000000-0005-0000-0000-000037460000}"/>
    <cellStyle name="Финансовый 36 3 3 4 3 2" xfId="9531" xr:uid="{00000000-0005-0000-0000-000038460000}"/>
    <cellStyle name="Финансовый 36 3 3 4 3 2 2" xfId="12616" xr:uid="{00000000-0005-0000-0000-000039460000}"/>
    <cellStyle name="Финансовый 36 3 3 4 3 2 2 2" xfId="29705" xr:uid="{6F2CF378-4131-4D68-A138-5A9E824A6308}"/>
    <cellStyle name="Финансовый 36 3 3 4 3 2 3" xfId="15848" xr:uid="{00000000-0005-0000-0000-00003A460000}"/>
    <cellStyle name="Финансовый 36 3 3 4 3 2 3 2" xfId="32861" xr:uid="{7AF959DA-BD4E-4FDB-99E1-708FD4842D64}"/>
    <cellStyle name="Финансовый 36 3 3 4 3 2 4" xfId="18929" xr:uid="{00000000-0005-0000-0000-00003B460000}"/>
    <cellStyle name="Финансовый 36 3 3 4 3 2 4 2" xfId="35942" xr:uid="{296C1155-CBA1-49EA-AEDE-D585C0BD68B8}"/>
    <cellStyle name="Финансовый 36 3 3 4 3 2 5" xfId="26632" xr:uid="{CB70B282-4741-4E7E-8169-01E1CFEF1945}"/>
    <cellStyle name="Финансовый 36 3 3 4 3 3" xfId="12615" xr:uid="{00000000-0005-0000-0000-00003C460000}"/>
    <cellStyle name="Финансовый 36 3 3 4 3 3 2" xfId="29704" xr:uid="{608C4B7B-1665-4C3D-9295-12D73A0B1CE7}"/>
    <cellStyle name="Финансовый 36 3 3 4 3 4" xfId="15847" xr:uid="{00000000-0005-0000-0000-00003D460000}"/>
    <cellStyle name="Финансовый 36 3 3 4 3 4 2" xfId="32860" xr:uid="{5BF94E9C-4EBC-4D9B-982C-17251D5B2A24}"/>
    <cellStyle name="Финансовый 36 3 3 4 3 5" xfId="18928" xr:uid="{00000000-0005-0000-0000-00003E460000}"/>
    <cellStyle name="Финансовый 36 3 3 4 3 5 2" xfId="35941" xr:uid="{8D8470E6-48E3-4ED5-8D8B-E29B60C6BDB8}"/>
    <cellStyle name="Финансовый 36 3 3 4 3 6" xfId="26631" xr:uid="{D446637C-2155-4302-ACB6-9CCC7456A7D5}"/>
    <cellStyle name="Финансовый 36 3 3 4 4" xfId="9532" xr:uid="{00000000-0005-0000-0000-00003F460000}"/>
    <cellStyle name="Финансовый 36 3 3 4 4 2" xfId="12617" xr:uid="{00000000-0005-0000-0000-000040460000}"/>
    <cellStyle name="Финансовый 36 3 3 4 4 2 2" xfId="29706" xr:uid="{1600CCD5-AEDB-4B69-9567-1AC5CE76B3B0}"/>
    <cellStyle name="Финансовый 36 3 3 4 4 3" xfId="15849" xr:uid="{00000000-0005-0000-0000-000041460000}"/>
    <cellStyle name="Финансовый 36 3 3 4 4 3 2" xfId="32862" xr:uid="{2F705CBF-384F-4ED4-9D21-58A4FE46AE60}"/>
    <cellStyle name="Финансовый 36 3 3 4 4 4" xfId="18930" xr:uid="{00000000-0005-0000-0000-000042460000}"/>
    <cellStyle name="Финансовый 36 3 3 4 4 4 2" xfId="35943" xr:uid="{B5A0FE4B-23A3-47B4-B9B8-4A90A3A9FD3E}"/>
    <cellStyle name="Финансовый 36 3 3 4 4 5" xfId="26633" xr:uid="{EE9C402D-42CC-4326-8181-13F7A0B9E50F}"/>
    <cellStyle name="Финансовый 36 3 3 4 5" xfId="12610" xr:uid="{00000000-0005-0000-0000-000043460000}"/>
    <cellStyle name="Финансовый 36 3 3 4 5 2" xfId="29699" xr:uid="{773B952E-1F89-4796-8D98-BF12F8517DF1}"/>
    <cellStyle name="Финансовый 36 3 3 4 6" xfId="15842" xr:uid="{00000000-0005-0000-0000-000044460000}"/>
    <cellStyle name="Финансовый 36 3 3 4 6 2" xfId="32855" xr:uid="{D890CD15-BB98-4D7A-A610-5908C27444FB}"/>
    <cellStyle name="Финансовый 36 3 3 4 7" xfId="18923" xr:uid="{00000000-0005-0000-0000-000045460000}"/>
    <cellStyle name="Финансовый 36 3 3 4 7 2" xfId="35936" xr:uid="{97C79C26-38FB-4447-901F-8698F8A7B39F}"/>
    <cellStyle name="Финансовый 36 3 3 4 8" xfId="26626" xr:uid="{97D5D2E8-87B1-4699-8E95-05B663CBDC47}"/>
    <cellStyle name="Финансовый 36 3 3 5" xfId="9533" xr:uid="{00000000-0005-0000-0000-000046460000}"/>
    <cellStyle name="Финансовый 36 3 3 5 2" xfId="9534" xr:uid="{00000000-0005-0000-0000-000047460000}"/>
    <cellStyle name="Финансовый 36 3 3 5 2 2" xfId="9535" xr:uid="{00000000-0005-0000-0000-000048460000}"/>
    <cellStyle name="Финансовый 36 3 3 5 2 2 2" xfId="12620" xr:uid="{00000000-0005-0000-0000-000049460000}"/>
    <cellStyle name="Финансовый 36 3 3 5 2 2 2 2" xfId="29709" xr:uid="{AAFF5EEA-55DA-4F09-8E13-625E9085132A}"/>
    <cellStyle name="Финансовый 36 3 3 5 2 2 3" xfId="15852" xr:uid="{00000000-0005-0000-0000-00004A460000}"/>
    <cellStyle name="Финансовый 36 3 3 5 2 2 3 2" xfId="32865" xr:uid="{14DCB107-CA25-4FA3-A8E9-0C46D19A5910}"/>
    <cellStyle name="Финансовый 36 3 3 5 2 2 4" xfId="18933" xr:uid="{00000000-0005-0000-0000-00004B460000}"/>
    <cellStyle name="Финансовый 36 3 3 5 2 2 4 2" xfId="35946" xr:uid="{EB146E35-1118-432B-AC35-56E8A29CD828}"/>
    <cellStyle name="Финансовый 36 3 3 5 2 2 5" xfId="26636" xr:uid="{0ABEA62B-3ABA-470D-8DB2-72ADF0356CC7}"/>
    <cellStyle name="Финансовый 36 3 3 5 2 3" xfId="12619" xr:uid="{00000000-0005-0000-0000-00004C460000}"/>
    <cellStyle name="Финансовый 36 3 3 5 2 3 2" xfId="29708" xr:uid="{94099AE4-6056-47B0-9C08-A8B784C03286}"/>
    <cellStyle name="Финансовый 36 3 3 5 2 4" xfId="15851" xr:uid="{00000000-0005-0000-0000-00004D460000}"/>
    <cellStyle name="Финансовый 36 3 3 5 2 4 2" xfId="32864" xr:uid="{4BF51895-7672-4A54-B82C-3CA321087232}"/>
    <cellStyle name="Финансовый 36 3 3 5 2 5" xfId="18932" xr:uid="{00000000-0005-0000-0000-00004E460000}"/>
    <cellStyle name="Финансовый 36 3 3 5 2 5 2" xfId="35945" xr:uid="{B4E22303-B17E-469B-997D-CBB221492558}"/>
    <cellStyle name="Финансовый 36 3 3 5 2 6" xfId="26635" xr:uid="{13F60D12-D75F-4A7E-8084-99321FB4F255}"/>
    <cellStyle name="Финансовый 36 3 3 5 3" xfId="9536" xr:uid="{00000000-0005-0000-0000-00004F460000}"/>
    <cellStyle name="Финансовый 36 3 3 5 3 2" xfId="12621" xr:uid="{00000000-0005-0000-0000-000050460000}"/>
    <cellStyle name="Финансовый 36 3 3 5 3 2 2" xfId="29710" xr:uid="{CA33723C-5450-471C-90C2-FF1BCDE7DE82}"/>
    <cellStyle name="Финансовый 36 3 3 5 3 3" xfId="15853" xr:uid="{00000000-0005-0000-0000-000051460000}"/>
    <cellStyle name="Финансовый 36 3 3 5 3 3 2" xfId="32866" xr:uid="{12EDEA80-6A70-4B69-A958-0CFC9E35D5CD}"/>
    <cellStyle name="Финансовый 36 3 3 5 3 4" xfId="18934" xr:uid="{00000000-0005-0000-0000-000052460000}"/>
    <cellStyle name="Финансовый 36 3 3 5 3 4 2" xfId="35947" xr:uid="{D5474229-63FF-41A4-8940-4E4AC5F1FFF2}"/>
    <cellStyle name="Финансовый 36 3 3 5 3 5" xfId="26637" xr:uid="{6754C21F-3B66-457D-9AFD-8A94D562741F}"/>
    <cellStyle name="Финансовый 36 3 3 5 4" xfId="12618" xr:uid="{00000000-0005-0000-0000-000053460000}"/>
    <cellStyle name="Финансовый 36 3 3 5 4 2" xfId="29707" xr:uid="{54F926DD-E805-4BD1-ADD7-2EFDBE2FCD01}"/>
    <cellStyle name="Финансовый 36 3 3 5 5" xfId="15850" xr:uid="{00000000-0005-0000-0000-000054460000}"/>
    <cellStyle name="Финансовый 36 3 3 5 5 2" xfId="32863" xr:uid="{2BA47B6E-BB79-448C-83E9-321318ABB243}"/>
    <cellStyle name="Финансовый 36 3 3 5 6" xfId="18931" xr:uid="{00000000-0005-0000-0000-000055460000}"/>
    <cellStyle name="Финансовый 36 3 3 5 6 2" xfId="35944" xr:uid="{76DF8986-C532-4B8F-A528-9A0BF2B9792A}"/>
    <cellStyle name="Финансовый 36 3 3 5 7" xfId="26634" xr:uid="{A453C68D-D704-4F38-975E-B583306A3D78}"/>
    <cellStyle name="Финансовый 36 3 3 6" xfId="9537" xr:uid="{00000000-0005-0000-0000-000056460000}"/>
    <cellStyle name="Финансовый 36 3 3 6 2" xfId="9538" xr:uid="{00000000-0005-0000-0000-000057460000}"/>
    <cellStyle name="Финансовый 36 3 3 6 2 2" xfId="12623" xr:uid="{00000000-0005-0000-0000-000058460000}"/>
    <cellStyle name="Финансовый 36 3 3 6 2 2 2" xfId="29712" xr:uid="{F67C8577-08EC-4958-95DA-A0E111902711}"/>
    <cellStyle name="Финансовый 36 3 3 6 2 3" xfId="15855" xr:uid="{00000000-0005-0000-0000-000059460000}"/>
    <cellStyle name="Финансовый 36 3 3 6 2 3 2" xfId="32868" xr:uid="{6E1FA571-E158-4001-A360-F1B2C84DC4B0}"/>
    <cellStyle name="Финансовый 36 3 3 6 2 4" xfId="18936" xr:uid="{00000000-0005-0000-0000-00005A460000}"/>
    <cellStyle name="Финансовый 36 3 3 6 2 4 2" xfId="35949" xr:uid="{6F1738EB-31CC-4093-A4B7-F0BF65651902}"/>
    <cellStyle name="Финансовый 36 3 3 6 2 5" xfId="26639" xr:uid="{657FB410-DECC-45FE-B9C1-CD5B3B97EA63}"/>
    <cellStyle name="Финансовый 36 3 3 6 3" xfId="12622" xr:uid="{00000000-0005-0000-0000-00005B460000}"/>
    <cellStyle name="Финансовый 36 3 3 6 3 2" xfId="29711" xr:uid="{4C7B6BEE-FF3D-4A56-A2F7-A637D8A91989}"/>
    <cellStyle name="Финансовый 36 3 3 6 4" xfId="15854" xr:uid="{00000000-0005-0000-0000-00005C460000}"/>
    <cellStyle name="Финансовый 36 3 3 6 4 2" xfId="32867" xr:uid="{BCB4494E-F9F9-4A4D-BC18-2E52133024CC}"/>
    <cellStyle name="Финансовый 36 3 3 6 5" xfId="18935" xr:uid="{00000000-0005-0000-0000-00005D460000}"/>
    <cellStyle name="Финансовый 36 3 3 6 5 2" xfId="35948" xr:uid="{7CDC5DCC-F1F4-438E-B2DF-E253A2D97585}"/>
    <cellStyle name="Финансовый 36 3 3 6 6" xfId="26638" xr:uid="{6769E6A0-925B-4ACA-BE3C-6F8B78852FAE}"/>
    <cellStyle name="Финансовый 36 3 3 7" xfId="9539" xr:uid="{00000000-0005-0000-0000-00005E460000}"/>
    <cellStyle name="Финансовый 36 3 3 7 2" xfId="12624" xr:uid="{00000000-0005-0000-0000-00005F460000}"/>
    <cellStyle name="Финансовый 36 3 3 7 2 2" xfId="29713" xr:uid="{D6223E06-5EF1-43BF-8C4B-9E42FA2910CD}"/>
    <cellStyle name="Финансовый 36 3 3 7 3" xfId="15856" xr:uid="{00000000-0005-0000-0000-000060460000}"/>
    <cellStyle name="Финансовый 36 3 3 7 3 2" xfId="32869" xr:uid="{53D08319-AFE7-4351-BB2D-66E9B06E672A}"/>
    <cellStyle name="Финансовый 36 3 3 7 4" xfId="18937" xr:uid="{00000000-0005-0000-0000-000061460000}"/>
    <cellStyle name="Финансовый 36 3 3 7 4 2" xfId="35950" xr:uid="{AAFCB7E5-995E-49FA-8BE2-CAE841749EB4}"/>
    <cellStyle name="Финансовый 36 3 3 7 5" xfId="26640" xr:uid="{16B47A18-995B-42FD-BF0E-3FCAA375AA3E}"/>
    <cellStyle name="Финансовый 36 3 3 8" xfId="12561" xr:uid="{00000000-0005-0000-0000-000062460000}"/>
    <cellStyle name="Финансовый 36 3 3 8 2" xfId="29650" xr:uid="{33074F2A-8133-4FDF-B482-3589DCDDAB2F}"/>
    <cellStyle name="Финансовый 36 3 3 9" xfId="15793" xr:uid="{00000000-0005-0000-0000-000063460000}"/>
    <cellStyle name="Финансовый 36 3 3 9 2" xfId="32806" xr:uid="{C983C271-AE62-4767-8C12-1D02A96FC073}"/>
    <cellStyle name="Финансовый 36 3 4" xfId="9540" xr:uid="{00000000-0005-0000-0000-000064460000}"/>
    <cellStyle name="Финансовый 36 3 4 10" xfId="26641" xr:uid="{C35AE25F-05CA-4602-ACBA-B52FA1916A35}"/>
    <cellStyle name="Финансовый 36 3 4 2" xfId="9541" xr:uid="{00000000-0005-0000-0000-000065460000}"/>
    <cellStyle name="Финансовый 36 3 4 2 2" xfId="9542" xr:uid="{00000000-0005-0000-0000-000066460000}"/>
    <cellStyle name="Финансовый 36 3 4 2 2 2" xfId="9543" xr:uid="{00000000-0005-0000-0000-000067460000}"/>
    <cellStyle name="Финансовый 36 3 4 2 2 2 2" xfId="9544" xr:uid="{00000000-0005-0000-0000-000068460000}"/>
    <cellStyle name="Финансовый 36 3 4 2 2 2 2 2" xfId="9545" xr:uid="{00000000-0005-0000-0000-000069460000}"/>
    <cellStyle name="Финансовый 36 3 4 2 2 2 2 2 2" xfId="12630" xr:uid="{00000000-0005-0000-0000-00006A460000}"/>
    <cellStyle name="Финансовый 36 3 4 2 2 2 2 2 2 2" xfId="29719" xr:uid="{2F4FE888-208D-47D1-B9E9-7A97F03B562F}"/>
    <cellStyle name="Финансовый 36 3 4 2 2 2 2 2 3" xfId="15862" xr:uid="{00000000-0005-0000-0000-00006B460000}"/>
    <cellStyle name="Финансовый 36 3 4 2 2 2 2 2 3 2" xfId="32875" xr:uid="{08D09AB2-3007-4330-A8FA-AA02B1452F69}"/>
    <cellStyle name="Финансовый 36 3 4 2 2 2 2 2 4" xfId="18943" xr:uid="{00000000-0005-0000-0000-00006C460000}"/>
    <cellStyle name="Финансовый 36 3 4 2 2 2 2 2 4 2" xfId="35956" xr:uid="{8D060A80-A096-4CF5-B608-719FC171B6CC}"/>
    <cellStyle name="Финансовый 36 3 4 2 2 2 2 2 5" xfId="26646" xr:uid="{F2CCC738-F2C1-461E-80A5-D5110ED295B0}"/>
    <cellStyle name="Финансовый 36 3 4 2 2 2 2 3" xfId="12629" xr:uid="{00000000-0005-0000-0000-00006D460000}"/>
    <cellStyle name="Финансовый 36 3 4 2 2 2 2 3 2" xfId="29718" xr:uid="{9102EAA4-86A1-4BB4-8235-CC869A4E2C90}"/>
    <cellStyle name="Финансовый 36 3 4 2 2 2 2 4" xfId="15861" xr:uid="{00000000-0005-0000-0000-00006E460000}"/>
    <cellStyle name="Финансовый 36 3 4 2 2 2 2 4 2" xfId="32874" xr:uid="{FD0A8A15-DCA4-42E2-88E8-2BEBAB91731E}"/>
    <cellStyle name="Финансовый 36 3 4 2 2 2 2 5" xfId="18942" xr:uid="{00000000-0005-0000-0000-00006F460000}"/>
    <cellStyle name="Финансовый 36 3 4 2 2 2 2 5 2" xfId="35955" xr:uid="{2290641B-1886-4D7F-8A1F-B16FED08072A}"/>
    <cellStyle name="Финансовый 36 3 4 2 2 2 2 6" xfId="26645" xr:uid="{CEA60EC2-87B9-4A58-AA8F-2F500E0CD06E}"/>
    <cellStyle name="Финансовый 36 3 4 2 2 2 3" xfId="9546" xr:uid="{00000000-0005-0000-0000-000070460000}"/>
    <cellStyle name="Финансовый 36 3 4 2 2 2 3 2" xfId="12631" xr:uid="{00000000-0005-0000-0000-000071460000}"/>
    <cellStyle name="Финансовый 36 3 4 2 2 2 3 2 2" xfId="29720" xr:uid="{25BC2BDB-6EC1-4647-9CD3-73F3078BF3DE}"/>
    <cellStyle name="Финансовый 36 3 4 2 2 2 3 3" xfId="15863" xr:uid="{00000000-0005-0000-0000-000072460000}"/>
    <cellStyle name="Финансовый 36 3 4 2 2 2 3 3 2" xfId="32876" xr:uid="{2A880579-DBDD-4A75-B4A0-C9A45B9ADF11}"/>
    <cellStyle name="Финансовый 36 3 4 2 2 2 3 4" xfId="18944" xr:uid="{00000000-0005-0000-0000-000073460000}"/>
    <cellStyle name="Финансовый 36 3 4 2 2 2 3 4 2" xfId="35957" xr:uid="{88439EB5-9ADD-47ED-B9A5-E5C123B87D72}"/>
    <cellStyle name="Финансовый 36 3 4 2 2 2 3 5" xfId="26647" xr:uid="{DF8960D2-D3DF-473E-90DF-3538CCF50599}"/>
    <cellStyle name="Финансовый 36 3 4 2 2 2 4" xfId="12628" xr:uid="{00000000-0005-0000-0000-000074460000}"/>
    <cellStyle name="Финансовый 36 3 4 2 2 2 4 2" xfId="29717" xr:uid="{70C183C0-B67B-4888-8A6C-D52F51FB19AF}"/>
    <cellStyle name="Финансовый 36 3 4 2 2 2 5" xfId="15860" xr:uid="{00000000-0005-0000-0000-000075460000}"/>
    <cellStyle name="Финансовый 36 3 4 2 2 2 5 2" xfId="32873" xr:uid="{6ED36C88-3667-4A5C-9325-8582A0A4D9AB}"/>
    <cellStyle name="Финансовый 36 3 4 2 2 2 6" xfId="18941" xr:uid="{00000000-0005-0000-0000-000076460000}"/>
    <cellStyle name="Финансовый 36 3 4 2 2 2 6 2" xfId="35954" xr:uid="{8F8F26EC-D9EC-4DF5-8F11-BFB6388CD837}"/>
    <cellStyle name="Финансовый 36 3 4 2 2 2 7" xfId="26644" xr:uid="{E232E261-6B2F-43A1-9BB6-E94F7C842E9B}"/>
    <cellStyle name="Финансовый 36 3 4 2 2 3" xfId="9547" xr:uid="{00000000-0005-0000-0000-000077460000}"/>
    <cellStyle name="Финансовый 36 3 4 2 2 3 2" xfId="9548" xr:uid="{00000000-0005-0000-0000-000078460000}"/>
    <cellStyle name="Финансовый 36 3 4 2 2 3 2 2" xfId="12633" xr:uid="{00000000-0005-0000-0000-000079460000}"/>
    <cellStyle name="Финансовый 36 3 4 2 2 3 2 2 2" xfId="29722" xr:uid="{BED6CAE3-4C28-4EE7-A8D6-C4DB4651ACE3}"/>
    <cellStyle name="Финансовый 36 3 4 2 2 3 2 3" xfId="15865" xr:uid="{00000000-0005-0000-0000-00007A460000}"/>
    <cellStyle name="Финансовый 36 3 4 2 2 3 2 3 2" xfId="32878" xr:uid="{D75ED0B9-5E93-48A0-8783-7E7D25BBA327}"/>
    <cellStyle name="Финансовый 36 3 4 2 2 3 2 4" xfId="18946" xr:uid="{00000000-0005-0000-0000-00007B460000}"/>
    <cellStyle name="Финансовый 36 3 4 2 2 3 2 4 2" xfId="35959" xr:uid="{215246D1-1894-4D6B-BFDA-67B45C64DAAB}"/>
    <cellStyle name="Финансовый 36 3 4 2 2 3 2 5" xfId="26649" xr:uid="{826A49C8-3145-4F5A-9FED-4E1DFA88EEBD}"/>
    <cellStyle name="Финансовый 36 3 4 2 2 3 3" xfId="12632" xr:uid="{00000000-0005-0000-0000-00007C460000}"/>
    <cellStyle name="Финансовый 36 3 4 2 2 3 3 2" xfId="29721" xr:uid="{1E96AD62-A704-4CB7-BBFB-6FCE896E1F69}"/>
    <cellStyle name="Финансовый 36 3 4 2 2 3 4" xfId="15864" xr:uid="{00000000-0005-0000-0000-00007D460000}"/>
    <cellStyle name="Финансовый 36 3 4 2 2 3 4 2" xfId="32877" xr:uid="{7C00ED86-C656-4EC1-835E-3E251E827957}"/>
    <cellStyle name="Финансовый 36 3 4 2 2 3 5" xfId="18945" xr:uid="{00000000-0005-0000-0000-00007E460000}"/>
    <cellStyle name="Финансовый 36 3 4 2 2 3 5 2" xfId="35958" xr:uid="{6C63F0BC-D460-429C-95AC-ED23D0E22C79}"/>
    <cellStyle name="Финансовый 36 3 4 2 2 3 6" xfId="26648" xr:uid="{08865719-1DC3-4C88-9D24-11912DE3A1EA}"/>
    <cellStyle name="Финансовый 36 3 4 2 2 4" xfId="9549" xr:uid="{00000000-0005-0000-0000-00007F460000}"/>
    <cellStyle name="Финансовый 36 3 4 2 2 4 2" xfId="12634" xr:uid="{00000000-0005-0000-0000-000080460000}"/>
    <cellStyle name="Финансовый 36 3 4 2 2 4 2 2" xfId="29723" xr:uid="{81233955-7907-411A-BFE4-E3F8AE3AB8A2}"/>
    <cellStyle name="Финансовый 36 3 4 2 2 4 3" xfId="15866" xr:uid="{00000000-0005-0000-0000-000081460000}"/>
    <cellStyle name="Финансовый 36 3 4 2 2 4 3 2" xfId="32879" xr:uid="{A7546083-D142-446C-96A9-41CB07C1B3CD}"/>
    <cellStyle name="Финансовый 36 3 4 2 2 4 4" xfId="18947" xr:uid="{00000000-0005-0000-0000-000082460000}"/>
    <cellStyle name="Финансовый 36 3 4 2 2 4 4 2" xfId="35960" xr:uid="{ED3F1B7C-57B7-425B-8341-3F9DCAB927D4}"/>
    <cellStyle name="Финансовый 36 3 4 2 2 4 5" xfId="26650" xr:uid="{6AF7A826-E9AD-460D-8FFD-3704EE524331}"/>
    <cellStyle name="Финансовый 36 3 4 2 2 5" xfId="12627" xr:uid="{00000000-0005-0000-0000-000083460000}"/>
    <cellStyle name="Финансовый 36 3 4 2 2 5 2" xfId="29716" xr:uid="{7D106C55-9262-44AB-B853-44DD1D1D189E}"/>
    <cellStyle name="Финансовый 36 3 4 2 2 6" xfId="15859" xr:uid="{00000000-0005-0000-0000-000084460000}"/>
    <cellStyle name="Финансовый 36 3 4 2 2 6 2" xfId="32872" xr:uid="{C730C684-4DCB-48A9-B982-5225A6F17FDE}"/>
    <cellStyle name="Финансовый 36 3 4 2 2 7" xfId="18940" xr:uid="{00000000-0005-0000-0000-000085460000}"/>
    <cellStyle name="Финансовый 36 3 4 2 2 7 2" xfId="35953" xr:uid="{91D38AB5-3D55-40FA-AE5A-0C2E570D61FC}"/>
    <cellStyle name="Финансовый 36 3 4 2 2 8" xfId="26643" xr:uid="{554C8C22-98EB-490D-B408-E523C228B415}"/>
    <cellStyle name="Финансовый 36 3 4 2 3" xfId="9550" xr:uid="{00000000-0005-0000-0000-000086460000}"/>
    <cellStyle name="Финансовый 36 3 4 2 3 2" xfId="9551" xr:uid="{00000000-0005-0000-0000-000087460000}"/>
    <cellStyle name="Финансовый 36 3 4 2 3 2 2" xfId="9552" xr:uid="{00000000-0005-0000-0000-000088460000}"/>
    <cellStyle name="Финансовый 36 3 4 2 3 2 2 2" xfId="12637" xr:uid="{00000000-0005-0000-0000-000089460000}"/>
    <cellStyle name="Финансовый 36 3 4 2 3 2 2 2 2" xfId="29726" xr:uid="{BF554603-1313-4070-B8DE-D92CF1565373}"/>
    <cellStyle name="Финансовый 36 3 4 2 3 2 2 3" xfId="15869" xr:uid="{00000000-0005-0000-0000-00008A460000}"/>
    <cellStyle name="Финансовый 36 3 4 2 3 2 2 3 2" xfId="32882" xr:uid="{FF06EF9C-083E-486B-BB77-61A9BA4AFA60}"/>
    <cellStyle name="Финансовый 36 3 4 2 3 2 2 4" xfId="18950" xr:uid="{00000000-0005-0000-0000-00008B460000}"/>
    <cellStyle name="Финансовый 36 3 4 2 3 2 2 4 2" xfId="35963" xr:uid="{B2D79C22-A3B3-4D3C-B75C-D1EE10DB76A2}"/>
    <cellStyle name="Финансовый 36 3 4 2 3 2 2 5" xfId="26653" xr:uid="{28C74456-C14E-4505-9607-5A7B25FCD47B}"/>
    <cellStyle name="Финансовый 36 3 4 2 3 2 3" xfId="12636" xr:uid="{00000000-0005-0000-0000-00008C460000}"/>
    <cellStyle name="Финансовый 36 3 4 2 3 2 3 2" xfId="29725" xr:uid="{74DD02FB-2412-49D7-A31E-B7C20517A09F}"/>
    <cellStyle name="Финансовый 36 3 4 2 3 2 4" xfId="15868" xr:uid="{00000000-0005-0000-0000-00008D460000}"/>
    <cellStyle name="Финансовый 36 3 4 2 3 2 4 2" xfId="32881" xr:uid="{A741C691-0390-455A-809E-5A0B3E65258A}"/>
    <cellStyle name="Финансовый 36 3 4 2 3 2 5" xfId="18949" xr:uid="{00000000-0005-0000-0000-00008E460000}"/>
    <cellStyle name="Финансовый 36 3 4 2 3 2 5 2" xfId="35962" xr:uid="{7F23DFD0-031D-4CE4-962D-CCD5F9E99766}"/>
    <cellStyle name="Финансовый 36 3 4 2 3 2 6" xfId="26652" xr:uid="{E551EDEF-461D-4462-BD39-6B944A6480BD}"/>
    <cellStyle name="Финансовый 36 3 4 2 3 3" xfId="9553" xr:uid="{00000000-0005-0000-0000-00008F460000}"/>
    <cellStyle name="Финансовый 36 3 4 2 3 3 2" xfId="12638" xr:uid="{00000000-0005-0000-0000-000090460000}"/>
    <cellStyle name="Финансовый 36 3 4 2 3 3 2 2" xfId="29727" xr:uid="{86FF0547-AA9E-40EA-A83E-01FFAEBDFBA2}"/>
    <cellStyle name="Финансовый 36 3 4 2 3 3 3" xfId="15870" xr:uid="{00000000-0005-0000-0000-000091460000}"/>
    <cellStyle name="Финансовый 36 3 4 2 3 3 3 2" xfId="32883" xr:uid="{6E6153D2-132B-4F95-8D5F-FEAF11508FBF}"/>
    <cellStyle name="Финансовый 36 3 4 2 3 3 4" xfId="18951" xr:uid="{00000000-0005-0000-0000-000092460000}"/>
    <cellStyle name="Финансовый 36 3 4 2 3 3 4 2" xfId="35964" xr:uid="{F6C25A51-1D2B-4746-B39E-1845B9127F89}"/>
    <cellStyle name="Финансовый 36 3 4 2 3 3 5" xfId="26654" xr:uid="{E000D553-690D-49BA-A2BB-1D81894AF047}"/>
    <cellStyle name="Финансовый 36 3 4 2 3 4" xfId="12635" xr:uid="{00000000-0005-0000-0000-000093460000}"/>
    <cellStyle name="Финансовый 36 3 4 2 3 4 2" xfId="29724" xr:uid="{0639A7A2-08F7-4795-94F0-64D921CBB3B8}"/>
    <cellStyle name="Финансовый 36 3 4 2 3 5" xfId="15867" xr:uid="{00000000-0005-0000-0000-000094460000}"/>
    <cellStyle name="Финансовый 36 3 4 2 3 5 2" xfId="32880" xr:uid="{7F547A22-6E56-408C-91CD-773E0719DB57}"/>
    <cellStyle name="Финансовый 36 3 4 2 3 6" xfId="18948" xr:uid="{00000000-0005-0000-0000-000095460000}"/>
    <cellStyle name="Финансовый 36 3 4 2 3 6 2" xfId="35961" xr:uid="{1A6D8A98-FCF9-4758-A1A4-3FE738369AC4}"/>
    <cellStyle name="Финансовый 36 3 4 2 3 7" xfId="26651" xr:uid="{A008C056-2036-4788-848C-9EAFE0FA0670}"/>
    <cellStyle name="Финансовый 36 3 4 2 4" xfId="9554" xr:uid="{00000000-0005-0000-0000-000096460000}"/>
    <cellStyle name="Финансовый 36 3 4 2 4 2" xfId="9555" xr:uid="{00000000-0005-0000-0000-000097460000}"/>
    <cellStyle name="Финансовый 36 3 4 2 4 2 2" xfId="12640" xr:uid="{00000000-0005-0000-0000-000098460000}"/>
    <cellStyle name="Финансовый 36 3 4 2 4 2 2 2" xfId="29729" xr:uid="{C8947E98-4F10-4E8E-A1A3-A2602C2C1356}"/>
    <cellStyle name="Финансовый 36 3 4 2 4 2 3" xfId="15872" xr:uid="{00000000-0005-0000-0000-000099460000}"/>
    <cellStyle name="Финансовый 36 3 4 2 4 2 3 2" xfId="32885" xr:uid="{7E1BAEC0-7ECF-4653-8F0A-28F610A448ED}"/>
    <cellStyle name="Финансовый 36 3 4 2 4 2 4" xfId="18953" xr:uid="{00000000-0005-0000-0000-00009A460000}"/>
    <cellStyle name="Финансовый 36 3 4 2 4 2 4 2" xfId="35966" xr:uid="{99732ACC-E594-43A5-9B69-7B83A66E93A4}"/>
    <cellStyle name="Финансовый 36 3 4 2 4 2 5" xfId="26656" xr:uid="{4E9BBC1F-55F4-498A-B8C3-2F781EB7D08E}"/>
    <cellStyle name="Финансовый 36 3 4 2 4 3" xfId="12639" xr:uid="{00000000-0005-0000-0000-00009B460000}"/>
    <cellStyle name="Финансовый 36 3 4 2 4 3 2" xfId="29728" xr:uid="{BB48D183-EC59-4287-B4CA-117028660AEA}"/>
    <cellStyle name="Финансовый 36 3 4 2 4 4" xfId="15871" xr:uid="{00000000-0005-0000-0000-00009C460000}"/>
    <cellStyle name="Финансовый 36 3 4 2 4 4 2" xfId="32884" xr:uid="{0BA9B1EF-F4BC-4637-BDE7-E8EF855EFDA5}"/>
    <cellStyle name="Финансовый 36 3 4 2 4 5" xfId="18952" xr:uid="{00000000-0005-0000-0000-00009D460000}"/>
    <cellStyle name="Финансовый 36 3 4 2 4 5 2" xfId="35965" xr:uid="{14346950-84B9-4754-8985-A0C902A55E44}"/>
    <cellStyle name="Финансовый 36 3 4 2 4 6" xfId="26655" xr:uid="{1D1F7317-F158-4943-8C71-551F7B62EE14}"/>
    <cellStyle name="Финансовый 36 3 4 2 5" xfId="9556" xr:uid="{00000000-0005-0000-0000-00009E460000}"/>
    <cellStyle name="Финансовый 36 3 4 2 5 2" xfId="12641" xr:uid="{00000000-0005-0000-0000-00009F460000}"/>
    <cellStyle name="Финансовый 36 3 4 2 5 2 2" xfId="29730" xr:uid="{88D48A43-CFF2-4282-9B0B-D43D38BED000}"/>
    <cellStyle name="Финансовый 36 3 4 2 5 3" xfId="15873" xr:uid="{00000000-0005-0000-0000-0000A0460000}"/>
    <cellStyle name="Финансовый 36 3 4 2 5 3 2" xfId="32886" xr:uid="{C3756D6B-1515-4A42-8569-E276769D85C8}"/>
    <cellStyle name="Финансовый 36 3 4 2 5 4" xfId="18954" xr:uid="{00000000-0005-0000-0000-0000A1460000}"/>
    <cellStyle name="Финансовый 36 3 4 2 5 4 2" xfId="35967" xr:uid="{5CFAA5D9-2372-49A3-A308-87FAF5271991}"/>
    <cellStyle name="Финансовый 36 3 4 2 5 5" xfId="26657" xr:uid="{F328D3A5-91E7-463E-AC5C-250AAAFBE4C5}"/>
    <cellStyle name="Финансовый 36 3 4 2 6" xfId="12626" xr:uid="{00000000-0005-0000-0000-0000A2460000}"/>
    <cellStyle name="Финансовый 36 3 4 2 6 2" xfId="29715" xr:uid="{A6413161-E8DB-4CD2-8DA8-4F1CC5C5380D}"/>
    <cellStyle name="Финансовый 36 3 4 2 7" xfId="15858" xr:uid="{00000000-0005-0000-0000-0000A3460000}"/>
    <cellStyle name="Финансовый 36 3 4 2 7 2" xfId="32871" xr:uid="{509C26F3-33D4-4BE9-95AF-BDB5D909574F}"/>
    <cellStyle name="Финансовый 36 3 4 2 8" xfId="18939" xr:uid="{00000000-0005-0000-0000-0000A4460000}"/>
    <cellStyle name="Финансовый 36 3 4 2 8 2" xfId="35952" xr:uid="{60726918-6F33-45A3-A615-26F208E5C6AA}"/>
    <cellStyle name="Финансовый 36 3 4 2 9" xfId="26642" xr:uid="{B908A4B9-68A7-4E85-8634-F140695B5EE4}"/>
    <cellStyle name="Финансовый 36 3 4 3" xfId="9557" xr:uid="{00000000-0005-0000-0000-0000A5460000}"/>
    <cellStyle name="Финансовый 36 3 4 3 2" xfId="9558" xr:uid="{00000000-0005-0000-0000-0000A6460000}"/>
    <cellStyle name="Финансовый 36 3 4 3 2 2" xfId="9559" xr:uid="{00000000-0005-0000-0000-0000A7460000}"/>
    <cellStyle name="Финансовый 36 3 4 3 2 2 2" xfId="9560" xr:uid="{00000000-0005-0000-0000-0000A8460000}"/>
    <cellStyle name="Финансовый 36 3 4 3 2 2 2 2" xfId="12645" xr:uid="{00000000-0005-0000-0000-0000A9460000}"/>
    <cellStyle name="Финансовый 36 3 4 3 2 2 2 2 2" xfId="29734" xr:uid="{3C62F65E-6F94-4228-8DA0-02376C239F6B}"/>
    <cellStyle name="Финансовый 36 3 4 3 2 2 2 3" xfId="15877" xr:uid="{00000000-0005-0000-0000-0000AA460000}"/>
    <cellStyle name="Финансовый 36 3 4 3 2 2 2 3 2" xfId="32890" xr:uid="{584B3465-47FE-4D50-AA59-58309811EDF3}"/>
    <cellStyle name="Финансовый 36 3 4 3 2 2 2 4" xfId="18958" xr:uid="{00000000-0005-0000-0000-0000AB460000}"/>
    <cellStyle name="Финансовый 36 3 4 3 2 2 2 4 2" xfId="35971" xr:uid="{A886FAB4-3D1A-4629-9F5C-83B338D6B0F2}"/>
    <cellStyle name="Финансовый 36 3 4 3 2 2 2 5" xfId="26661" xr:uid="{8CE515B8-30F9-4D95-9573-40B1135B3892}"/>
    <cellStyle name="Финансовый 36 3 4 3 2 2 3" xfId="12644" xr:uid="{00000000-0005-0000-0000-0000AC460000}"/>
    <cellStyle name="Финансовый 36 3 4 3 2 2 3 2" xfId="29733" xr:uid="{D49DDA70-95DC-4E12-8126-48B7D63EA0B8}"/>
    <cellStyle name="Финансовый 36 3 4 3 2 2 4" xfId="15876" xr:uid="{00000000-0005-0000-0000-0000AD460000}"/>
    <cellStyle name="Финансовый 36 3 4 3 2 2 4 2" xfId="32889" xr:uid="{A61AAF87-4E6E-40CA-A0FA-DFC670C5136D}"/>
    <cellStyle name="Финансовый 36 3 4 3 2 2 5" xfId="18957" xr:uid="{00000000-0005-0000-0000-0000AE460000}"/>
    <cellStyle name="Финансовый 36 3 4 3 2 2 5 2" xfId="35970" xr:uid="{A46D1907-876B-476E-A093-3A5CCAB2AF60}"/>
    <cellStyle name="Финансовый 36 3 4 3 2 2 6" xfId="26660" xr:uid="{A383535E-5F52-4831-AEB6-44E6E0CD12C2}"/>
    <cellStyle name="Финансовый 36 3 4 3 2 3" xfId="9561" xr:uid="{00000000-0005-0000-0000-0000AF460000}"/>
    <cellStyle name="Финансовый 36 3 4 3 2 3 2" xfId="12646" xr:uid="{00000000-0005-0000-0000-0000B0460000}"/>
    <cellStyle name="Финансовый 36 3 4 3 2 3 2 2" xfId="29735" xr:uid="{97F747A8-E0E5-4D3F-9A6E-D4D6AA96FEDA}"/>
    <cellStyle name="Финансовый 36 3 4 3 2 3 3" xfId="15878" xr:uid="{00000000-0005-0000-0000-0000B1460000}"/>
    <cellStyle name="Финансовый 36 3 4 3 2 3 3 2" xfId="32891" xr:uid="{BA7E6F27-5240-4AB8-9824-61066E4F155F}"/>
    <cellStyle name="Финансовый 36 3 4 3 2 3 4" xfId="18959" xr:uid="{00000000-0005-0000-0000-0000B2460000}"/>
    <cellStyle name="Финансовый 36 3 4 3 2 3 4 2" xfId="35972" xr:uid="{44D0F8EC-6921-4215-8217-F6E173CEF38E}"/>
    <cellStyle name="Финансовый 36 3 4 3 2 3 5" xfId="26662" xr:uid="{C92A5DBC-67A4-4C09-9D08-1F8872C059F4}"/>
    <cellStyle name="Финансовый 36 3 4 3 2 4" xfId="12643" xr:uid="{00000000-0005-0000-0000-0000B3460000}"/>
    <cellStyle name="Финансовый 36 3 4 3 2 4 2" xfId="29732" xr:uid="{C2A250CD-6945-438B-B51B-F0E87BDF2D00}"/>
    <cellStyle name="Финансовый 36 3 4 3 2 5" xfId="15875" xr:uid="{00000000-0005-0000-0000-0000B4460000}"/>
    <cellStyle name="Финансовый 36 3 4 3 2 5 2" xfId="32888" xr:uid="{D8335CBE-4735-4372-A676-C25DB0368A59}"/>
    <cellStyle name="Финансовый 36 3 4 3 2 6" xfId="18956" xr:uid="{00000000-0005-0000-0000-0000B5460000}"/>
    <cellStyle name="Финансовый 36 3 4 3 2 6 2" xfId="35969" xr:uid="{21B42059-87EB-48F5-A4D5-87985DEE643C}"/>
    <cellStyle name="Финансовый 36 3 4 3 2 7" xfId="26659" xr:uid="{63903BC9-1FE3-4BB2-8F98-BD503A0D2DE6}"/>
    <cellStyle name="Финансовый 36 3 4 3 3" xfId="9562" xr:uid="{00000000-0005-0000-0000-0000B6460000}"/>
    <cellStyle name="Финансовый 36 3 4 3 3 2" xfId="9563" xr:uid="{00000000-0005-0000-0000-0000B7460000}"/>
    <cellStyle name="Финансовый 36 3 4 3 3 2 2" xfId="12648" xr:uid="{00000000-0005-0000-0000-0000B8460000}"/>
    <cellStyle name="Финансовый 36 3 4 3 3 2 2 2" xfId="29737" xr:uid="{62769300-5F5F-4C9F-BFC7-C7D061BF2C9D}"/>
    <cellStyle name="Финансовый 36 3 4 3 3 2 3" xfId="15880" xr:uid="{00000000-0005-0000-0000-0000B9460000}"/>
    <cellStyle name="Финансовый 36 3 4 3 3 2 3 2" xfId="32893" xr:uid="{0F3C9A17-9270-4782-8B6F-BCEE1DDD4127}"/>
    <cellStyle name="Финансовый 36 3 4 3 3 2 4" xfId="18961" xr:uid="{00000000-0005-0000-0000-0000BA460000}"/>
    <cellStyle name="Финансовый 36 3 4 3 3 2 4 2" xfId="35974" xr:uid="{C6F91497-D52E-4856-A449-FD9130575EBD}"/>
    <cellStyle name="Финансовый 36 3 4 3 3 2 5" xfId="26664" xr:uid="{C19D48A7-D7A5-4DA7-929B-302635426F98}"/>
    <cellStyle name="Финансовый 36 3 4 3 3 3" xfId="12647" xr:uid="{00000000-0005-0000-0000-0000BB460000}"/>
    <cellStyle name="Финансовый 36 3 4 3 3 3 2" xfId="29736" xr:uid="{23EACF2F-39C3-481E-859C-5566EAC7625B}"/>
    <cellStyle name="Финансовый 36 3 4 3 3 4" xfId="15879" xr:uid="{00000000-0005-0000-0000-0000BC460000}"/>
    <cellStyle name="Финансовый 36 3 4 3 3 4 2" xfId="32892" xr:uid="{9F507C82-5E33-4EA4-93B1-86B9F4EE054C}"/>
    <cellStyle name="Финансовый 36 3 4 3 3 5" xfId="18960" xr:uid="{00000000-0005-0000-0000-0000BD460000}"/>
    <cellStyle name="Финансовый 36 3 4 3 3 5 2" xfId="35973" xr:uid="{0CB13EFF-F8B0-4D3D-831A-EB7780A2C41F}"/>
    <cellStyle name="Финансовый 36 3 4 3 3 6" xfId="26663" xr:uid="{F5C2B63E-341E-4ED1-9F63-B4E758DB2F67}"/>
    <cellStyle name="Финансовый 36 3 4 3 4" xfId="9564" xr:uid="{00000000-0005-0000-0000-0000BE460000}"/>
    <cellStyle name="Финансовый 36 3 4 3 4 2" xfId="12649" xr:uid="{00000000-0005-0000-0000-0000BF460000}"/>
    <cellStyle name="Финансовый 36 3 4 3 4 2 2" xfId="29738" xr:uid="{ADF919AA-FC69-450F-B0C6-FD9B8ECA653E}"/>
    <cellStyle name="Финансовый 36 3 4 3 4 3" xfId="15881" xr:uid="{00000000-0005-0000-0000-0000C0460000}"/>
    <cellStyle name="Финансовый 36 3 4 3 4 3 2" xfId="32894" xr:uid="{D29048B9-9C62-4D62-80B8-82A4BA56BA6F}"/>
    <cellStyle name="Финансовый 36 3 4 3 4 4" xfId="18962" xr:uid="{00000000-0005-0000-0000-0000C1460000}"/>
    <cellStyle name="Финансовый 36 3 4 3 4 4 2" xfId="35975" xr:uid="{73459ECE-E5E7-4E0A-BAE4-8127068CC7DE}"/>
    <cellStyle name="Финансовый 36 3 4 3 4 5" xfId="26665" xr:uid="{C620AF10-6C9E-41E7-8329-21EA527A81CA}"/>
    <cellStyle name="Финансовый 36 3 4 3 5" xfId="12642" xr:uid="{00000000-0005-0000-0000-0000C2460000}"/>
    <cellStyle name="Финансовый 36 3 4 3 5 2" xfId="29731" xr:uid="{4B0C5095-EF8E-4B1E-BBBB-BA90ED4814E4}"/>
    <cellStyle name="Финансовый 36 3 4 3 6" xfId="15874" xr:uid="{00000000-0005-0000-0000-0000C3460000}"/>
    <cellStyle name="Финансовый 36 3 4 3 6 2" xfId="32887" xr:uid="{AEFD336A-729D-4DBB-AA2F-15F4A84593FC}"/>
    <cellStyle name="Финансовый 36 3 4 3 7" xfId="18955" xr:uid="{00000000-0005-0000-0000-0000C4460000}"/>
    <cellStyle name="Финансовый 36 3 4 3 7 2" xfId="35968" xr:uid="{A5A55D7B-1026-4AA4-88FA-BB7BA7045368}"/>
    <cellStyle name="Финансовый 36 3 4 3 8" xfId="26658" xr:uid="{1FA1CAFB-64BF-4255-B424-06287D419792}"/>
    <cellStyle name="Финансовый 36 3 4 4" xfId="9565" xr:uid="{00000000-0005-0000-0000-0000C5460000}"/>
    <cellStyle name="Финансовый 36 3 4 4 2" xfId="9566" xr:uid="{00000000-0005-0000-0000-0000C6460000}"/>
    <cellStyle name="Финансовый 36 3 4 4 2 2" xfId="9567" xr:uid="{00000000-0005-0000-0000-0000C7460000}"/>
    <cellStyle name="Финансовый 36 3 4 4 2 2 2" xfId="12652" xr:uid="{00000000-0005-0000-0000-0000C8460000}"/>
    <cellStyle name="Финансовый 36 3 4 4 2 2 2 2" xfId="29741" xr:uid="{BC479F51-04CB-425D-A166-097E6D432E8C}"/>
    <cellStyle name="Финансовый 36 3 4 4 2 2 3" xfId="15884" xr:uid="{00000000-0005-0000-0000-0000C9460000}"/>
    <cellStyle name="Финансовый 36 3 4 4 2 2 3 2" xfId="32897" xr:uid="{FEA3ADF9-8F87-4350-A88A-D83E989173EC}"/>
    <cellStyle name="Финансовый 36 3 4 4 2 2 4" xfId="18965" xr:uid="{00000000-0005-0000-0000-0000CA460000}"/>
    <cellStyle name="Финансовый 36 3 4 4 2 2 4 2" xfId="35978" xr:uid="{7AFF76A7-5956-4CB9-A9FF-307AABB6CAFA}"/>
    <cellStyle name="Финансовый 36 3 4 4 2 2 5" xfId="26668" xr:uid="{911DD696-E1F7-4FEB-AB00-17950DBFE595}"/>
    <cellStyle name="Финансовый 36 3 4 4 2 3" xfId="12651" xr:uid="{00000000-0005-0000-0000-0000CB460000}"/>
    <cellStyle name="Финансовый 36 3 4 4 2 3 2" xfId="29740" xr:uid="{9252B7E7-1875-4BD1-8ECB-BA04F89A2CED}"/>
    <cellStyle name="Финансовый 36 3 4 4 2 4" xfId="15883" xr:uid="{00000000-0005-0000-0000-0000CC460000}"/>
    <cellStyle name="Финансовый 36 3 4 4 2 4 2" xfId="32896" xr:uid="{D3102ACD-E5E6-4C55-80D4-1FD53E9FBB98}"/>
    <cellStyle name="Финансовый 36 3 4 4 2 5" xfId="18964" xr:uid="{00000000-0005-0000-0000-0000CD460000}"/>
    <cellStyle name="Финансовый 36 3 4 4 2 5 2" xfId="35977" xr:uid="{DD88AE66-625A-4553-845E-9DA845A46836}"/>
    <cellStyle name="Финансовый 36 3 4 4 2 6" xfId="26667" xr:uid="{8D40EE58-41B1-4133-8D70-8A4E6674CF7E}"/>
    <cellStyle name="Финансовый 36 3 4 4 3" xfId="9568" xr:uid="{00000000-0005-0000-0000-0000CE460000}"/>
    <cellStyle name="Финансовый 36 3 4 4 3 2" xfId="12653" xr:uid="{00000000-0005-0000-0000-0000CF460000}"/>
    <cellStyle name="Финансовый 36 3 4 4 3 2 2" xfId="29742" xr:uid="{8F433449-ABFC-43A9-BA9A-EF04D23ABF90}"/>
    <cellStyle name="Финансовый 36 3 4 4 3 3" xfId="15885" xr:uid="{00000000-0005-0000-0000-0000D0460000}"/>
    <cellStyle name="Финансовый 36 3 4 4 3 3 2" xfId="32898" xr:uid="{F5912E12-7785-4048-AC54-380A75005BD8}"/>
    <cellStyle name="Финансовый 36 3 4 4 3 4" xfId="18966" xr:uid="{00000000-0005-0000-0000-0000D1460000}"/>
    <cellStyle name="Финансовый 36 3 4 4 3 4 2" xfId="35979" xr:uid="{892FFD2D-CB36-4C45-88DC-8AE7462246E2}"/>
    <cellStyle name="Финансовый 36 3 4 4 3 5" xfId="26669" xr:uid="{4DF3E4C3-6B7E-47F7-BAA7-554C34B92A60}"/>
    <cellStyle name="Финансовый 36 3 4 4 4" xfId="12650" xr:uid="{00000000-0005-0000-0000-0000D2460000}"/>
    <cellStyle name="Финансовый 36 3 4 4 4 2" xfId="29739" xr:uid="{E49BEE43-C195-42D6-A741-02C348C98129}"/>
    <cellStyle name="Финансовый 36 3 4 4 5" xfId="15882" xr:uid="{00000000-0005-0000-0000-0000D3460000}"/>
    <cellStyle name="Финансовый 36 3 4 4 5 2" xfId="32895" xr:uid="{72DC438E-5816-4136-B1D2-D408ADC3EEB7}"/>
    <cellStyle name="Финансовый 36 3 4 4 6" xfId="18963" xr:uid="{00000000-0005-0000-0000-0000D4460000}"/>
    <cellStyle name="Финансовый 36 3 4 4 6 2" xfId="35976" xr:uid="{C131ED4E-5260-4764-9868-C0579F946713}"/>
    <cellStyle name="Финансовый 36 3 4 4 7" xfId="26666" xr:uid="{0F64FD00-6AAB-4F2C-980A-20B6583A099B}"/>
    <cellStyle name="Финансовый 36 3 4 5" xfId="9569" xr:uid="{00000000-0005-0000-0000-0000D5460000}"/>
    <cellStyle name="Финансовый 36 3 4 5 2" xfId="9570" xr:uid="{00000000-0005-0000-0000-0000D6460000}"/>
    <cellStyle name="Финансовый 36 3 4 5 2 2" xfId="12655" xr:uid="{00000000-0005-0000-0000-0000D7460000}"/>
    <cellStyle name="Финансовый 36 3 4 5 2 2 2" xfId="29744" xr:uid="{A7082505-5354-4C50-B481-579D566FD8FE}"/>
    <cellStyle name="Финансовый 36 3 4 5 2 3" xfId="15887" xr:uid="{00000000-0005-0000-0000-0000D8460000}"/>
    <cellStyle name="Финансовый 36 3 4 5 2 3 2" xfId="32900" xr:uid="{C2DB68F9-EC21-4C20-B100-EB5EAD0B2979}"/>
    <cellStyle name="Финансовый 36 3 4 5 2 4" xfId="18968" xr:uid="{00000000-0005-0000-0000-0000D9460000}"/>
    <cellStyle name="Финансовый 36 3 4 5 2 4 2" xfId="35981" xr:uid="{99D75647-AEF7-49C6-AE87-81BC5856B034}"/>
    <cellStyle name="Финансовый 36 3 4 5 2 5" xfId="26671" xr:uid="{CDC7CFBC-C59D-4059-9C5A-960E60F4707E}"/>
    <cellStyle name="Финансовый 36 3 4 5 3" xfId="12654" xr:uid="{00000000-0005-0000-0000-0000DA460000}"/>
    <cellStyle name="Финансовый 36 3 4 5 3 2" xfId="29743" xr:uid="{F0153BE1-2C57-4FCE-A4CF-EAD7CE2E8F13}"/>
    <cellStyle name="Финансовый 36 3 4 5 4" xfId="15886" xr:uid="{00000000-0005-0000-0000-0000DB460000}"/>
    <cellStyle name="Финансовый 36 3 4 5 4 2" xfId="32899" xr:uid="{6065CCEE-5BC8-46AB-82B3-464E710755C9}"/>
    <cellStyle name="Финансовый 36 3 4 5 5" xfId="18967" xr:uid="{00000000-0005-0000-0000-0000DC460000}"/>
    <cellStyle name="Финансовый 36 3 4 5 5 2" xfId="35980" xr:uid="{3295D105-94F3-4EB0-9275-43F7F7588E58}"/>
    <cellStyle name="Финансовый 36 3 4 5 6" xfId="26670" xr:uid="{19920886-39FB-4621-BA9A-14591B788AE4}"/>
    <cellStyle name="Финансовый 36 3 4 6" xfId="9571" xr:uid="{00000000-0005-0000-0000-0000DD460000}"/>
    <cellStyle name="Финансовый 36 3 4 6 2" xfId="12656" xr:uid="{00000000-0005-0000-0000-0000DE460000}"/>
    <cellStyle name="Финансовый 36 3 4 6 2 2" xfId="29745" xr:uid="{603FFE1D-8350-463B-80EB-FA8880F8441B}"/>
    <cellStyle name="Финансовый 36 3 4 6 3" xfId="15888" xr:uid="{00000000-0005-0000-0000-0000DF460000}"/>
    <cellStyle name="Финансовый 36 3 4 6 3 2" xfId="32901" xr:uid="{5569CF10-5FF6-4F98-BE6B-99BF8716365B}"/>
    <cellStyle name="Финансовый 36 3 4 6 4" xfId="18969" xr:uid="{00000000-0005-0000-0000-0000E0460000}"/>
    <cellStyle name="Финансовый 36 3 4 6 4 2" xfId="35982" xr:uid="{77F94B64-E7D4-472E-A421-4935EA8EE11A}"/>
    <cellStyle name="Финансовый 36 3 4 6 5" xfId="26672" xr:uid="{31291A23-4C25-443C-93FE-F50965D97227}"/>
    <cellStyle name="Финансовый 36 3 4 7" xfId="12625" xr:uid="{00000000-0005-0000-0000-0000E1460000}"/>
    <cellStyle name="Финансовый 36 3 4 7 2" xfId="29714" xr:uid="{E45A2522-5EE1-4B09-8E88-698C59F45A15}"/>
    <cellStyle name="Финансовый 36 3 4 8" xfId="15857" xr:uid="{00000000-0005-0000-0000-0000E2460000}"/>
    <cellStyle name="Финансовый 36 3 4 8 2" xfId="32870" xr:uid="{86162A73-F82A-4BCC-8515-43FE4B8AF618}"/>
    <cellStyle name="Финансовый 36 3 4 9" xfId="18938" xr:uid="{00000000-0005-0000-0000-0000E3460000}"/>
    <cellStyle name="Финансовый 36 3 4 9 2" xfId="35951" xr:uid="{593BB562-D70A-4E2B-8178-85F04446238B}"/>
    <cellStyle name="Финансовый 36 3 5" xfId="9572" xr:uid="{00000000-0005-0000-0000-0000E4460000}"/>
    <cellStyle name="Финансовый 36 3 5 2" xfId="9573" xr:uid="{00000000-0005-0000-0000-0000E5460000}"/>
    <cellStyle name="Финансовый 36 3 5 2 2" xfId="9574" xr:uid="{00000000-0005-0000-0000-0000E6460000}"/>
    <cellStyle name="Финансовый 36 3 5 2 2 2" xfId="9575" xr:uid="{00000000-0005-0000-0000-0000E7460000}"/>
    <cellStyle name="Финансовый 36 3 5 2 2 2 2" xfId="9576" xr:uid="{00000000-0005-0000-0000-0000E8460000}"/>
    <cellStyle name="Финансовый 36 3 5 2 2 2 2 2" xfId="12661" xr:uid="{00000000-0005-0000-0000-0000E9460000}"/>
    <cellStyle name="Финансовый 36 3 5 2 2 2 2 2 2" xfId="29750" xr:uid="{B7BDE35D-2ECB-4A2A-BCB0-D215105C3C65}"/>
    <cellStyle name="Финансовый 36 3 5 2 2 2 2 3" xfId="15893" xr:uid="{00000000-0005-0000-0000-0000EA460000}"/>
    <cellStyle name="Финансовый 36 3 5 2 2 2 2 3 2" xfId="32906" xr:uid="{BD11D67B-1230-4FFA-8CBE-E43C008BD54F}"/>
    <cellStyle name="Финансовый 36 3 5 2 2 2 2 4" xfId="18974" xr:uid="{00000000-0005-0000-0000-0000EB460000}"/>
    <cellStyle name="Финансовый 36 3 5 2 2 2 2 4 2" xfId="35987" xr:uid="{76859D71-6D4E-40E7-99E1-BF6EB757061A}"/>
    <cellStyle name="Финансовый 36 3 5 2 2 2 2 5" xfId="26677" xr:uid="{2B4A085F-9BA0-4F8C-AEAB-7F5BD9018A11}"/>
    <cellStyle name="Финансовый 36 3 5 2 2 2 3" xfId="12660" xr:uid="{00000000-0005-0000-0000-0000EC460000}"/>
    <cellStyle name="Финансовый 36 3 5 2 2 2 3 2" xfId="29749" xr:uid="{B715DACF-5254-458E-A1FC-C3079AB34F91}"/>
    <cellStyle name="Финансовый 36 3 5 2 2 2 4" xfId="15892" xr:uid="{00000000-0005-0000-0000-0000ED460000}"/>
    <cellStyle name="Финансовый 36 3 5 2 2 2 4 2" xfId="32905" xr:uid="{3F5C16A6-5879-4930-B73F-AA42C8D64E01}"/>
    <cellStyle name="Финансовый 36 3 5 2 2 2 5" xfId="18973" xr:uid="{00000000-0005-0000-0000-0000EE460000}"/>
    <cellStyle name="Финансовый 36 3 5 2 2 2 5 2" xfId="35986" xr:uid="{93755A0E-BB67-41ED-B2C6-059B96175D5E}"/>
    <cellStyle name="Финансовый 36 3 5 2 2 2 6" xfId="26676" xr:uid="{224FBD3B-C59B-4DCE-B5C6-1B0CEE70C5DC}"/>
    <cellStyle name="Финансовый 36 3 5 2 2 3" xfId="9577" xr:uid="{00000000-0005-0000-0000-0000EF460000}"/>
    <cellStyle name="Финансовый 36 3 5 2 2 3 2" xfId="12662" xr:uid="{00000000-0005-0000-0000-0000F0460000}"/>
    <cellStyle name="Финансовый 36 3 5 2 2 3 2 2" xfId="29751" xr:uid="{F0D7509B-AC3A-491E-9447-1E63D9F6DD01}"/>
    <cellStyle name="Финансовый 36 3 5 2 2 3 3" xfId="15894" xr:uid="{00000000-0005-0000-0000-0000F1460000}"/>
    <cellStyle name="Финансовый 36 3 5 2 2 3 3 2" xfId="32907" xr:uid="{C7E06D11-EC32-43EB-A9F7-0F9C23937B8F}"/>
    <cellStyle name="Финансовый 36 3 5 2 2 3 4" xfId="18975" xr:uid="{00000000-0005-0000-0000-0000F2460000}"/>
    <cellStyle name="Финансовый 36 3 5 2 2 3 4 2" xfId="35988" xr:uid="{8F0905E8-BEEF-4B37-AF7D-39AB982C83B6}"/>
    <cellStyle name="Финансовый 36 3 5 2 2 3 5" xfId="26678" xr:uid="{0B10BFF6-E0F3-464B-9158-2F94373E7BD6}"/>
    <cellStyle name="Финансовый 36 3 5 2 2 4" xfId="12659" xr:uid="{00000000-0005-0000-0000-0000F3460000}"/>
    <cellStyle name="Финансовый 36 3 5 2 2 4 2" xfId="29748" xr:uid="{19F9DAB1-E29B-4850-9F4C-4C0D0756215A}"/>
    <cellStyle name="Финансовый 36 3 5 2 2 5" xfId="15891" xr:uid="{00000000-0005-0000-0000-0000F4460000}"/>
    <cellStyle name="Финансовый 36 3 5 2 2 5 2" xfId="32904" xr:uid="{00C128CE-4901-4714-A681-DA50C9CE8FF7}"/>
    <cellStyle name="Финансовый 36 3 5 2 2 6" xfId="18972" xr:uid="{00000000-0005-0000-0000-0000F5460000}"/>
    <cellStyle name="Финансовый 36 3 5 2 2 6 2" xfId="35985" xr:uid="{94297BA7-B78B-4F3B-B4C0-D3772DB4D7D2}"/>
    <cellStyle name="Финансовый 36 3 5 2 2 7" xfId="26675" xr:uid="{5E21FCCC-38FF-44FD-99F1-5732FFEEAD37}"/>
    <cellStyle name="Финансовый 36 3 5 2 3" xfId="9578" xr:uid="{00000000-0005-0000-0000-0000F6460000}"/>
    <cellStyle name="Финансовый 36 3 5 2 3 2" xfId="9579" xr:uid="{00000000-0005-0000-0000-0000F7460000}"/>
    <cellStyle name="Финансовый 36 3 5 2 3 2 2" xfId="12664" xr:uid="{00000000-0005-0000-0000-0000F8460000}"/>
    <cellStyle name="Финансовый 36 3 5 2 3 2 2 2" xfId="29753" xr:uid="{DD1E61C4-1BA8-44EB-B20C-65D25D784181}"/>
    <cellStyle name="Финансовый 36 3 5 2 3 2 3" xfId="15896" xr:uid="{00000000-0005-0000-0000-0000F9460000}"/>
    <cellStyle name="Финансовый 36 3 5 2 3 2 3 2" xfId="32909" xr:uid="{0C8662B8-B653-4D4B-A779-DF7017CD648C}"/>
    <cellStyle name="Финансовый 36 3 5 2 3 2 4" xfId="18977" xr:uid="{00000000-0005-0000-0000-0000FA460000}"/>
    <cellStyle name="Финансовый 36 3 5 2 3 2 4 2" xfId="35990" xr:uid="{28384E73-57DE-482A-9D37-27ED517AB8A0}"/>
    <cellStyle name="Финансовый 36 3 5 2 3 2 5" xfId="26680" xr:uid="{5BCE32A4-C680-46AB-89F0-36605ACF9F4B}"/>
    <cellStyle name="Финансовый 36 3 5 2 3 3" xfId="12663" xr:uid="{00000000-0005-0000-0000-0000FB460000}"/>
    <cellStyle name="Финансовый 36 3 5 2 3 3 2" xfId="29752" xr:uid="{8091B019-645B-4E11-A492-7C2ED23377FD}"/>
    <cellStyle name="Финансовый 36 3 5 2 3 4" xfId="15895" xr:uid="{00000000-0005-0000-0000-0000FC460000}"/>
    <cellStyle name="Финансовый 36 3 5 2 3 4 2" xfId="32908" xr:uid="{0E585E66-3035-45E8-A896-5A3771D56CE5}"/>
    <cellStyle name="Финансовый 36 3 5 2 3 5" xfId="18976" xr:uid="{00000000-0005-0000-0000-0000FD460000}"/>
    <cellStyle name="Финансовый 36 3 5 2 3 5 2" xfId="35989" xr:uid="{EEBE7115-01A4-42FA-83A4-7A7865CC15BE}"/>
    <cellStyle name="Финансовый 36 3 5 2 3 6" xfId="26679" xr:uid="{06A4C2BB-BFC8-4E0C-B280-F0E22F5EE547}"/>
    <cellStyle name="Финансовый 36 3 5 2 4" xfId="9580" xr:uid="{00000000-0005-0000-0000-0000FE460000}"/>
    <cellStyle name="Финансовый 36 3 5 2 4 2" xfId="12665" xr:uid="{00000000-0005-0000-0000-0000FF460000}"/>
    <cellStyle name="Финансовый 36 3 5 2 4 2 2" xfId="29754" xr:uid="{BC877E4D-AE79-4694-B6B3-F3B618A213A3}"/>
    <cellStyle name="Финансовый 36 3 5 2 4 3" xfId="15897" xr:uid="{00000000-0005-0000-0000-000000470000}"/>
    <cellStyle name="Финансовый 36 3 5 2 4 3 2" xfId="32910" xr:uid="{AF4FCBAB-0C12-4C51-AF52-127AD7034EB1}"/>
    <cellStyle name="Финансовый 36 3 5 2 4 4" xfId="18978" xr:uid="{00000000-0005-0000-0000-000001470000}"/>
    <cellStyle name="Финансовый 36 3 5 2 4 4 2" xfId="35991" xr:uid="{2D590D4E-DA88-4AF2-98AF-FEA5EE387B54}"/>
    <cellStyle name="Финансовый 36 3 5 2 4 5" xfId="26681" xr:uid="{A1BA507D-3E6A-4B6E-A617-E7808B566241}"/>
    <cellStyle name="Финансовый 36 3 5 2 5" xfId="12658" xr:uid="{00000000-0005-0000-0000-000002470000}"/>
    <cellStyle name="Финансовый 36 3 5 2 5 2" xfId="29747" xr:uid="{362BD24D-A350-4454-AD3A-E93AAA18064E}"/>
    <cellStyle name="Финансовый 36 3 5 2 6" xfId="15890" xr:uid="{00000000-0005-0000-0000-000003470000}"/>
    <cellStyle name="Финансовый 36 3 5 2 6 2" xfId="32903" xr:uid="{A47165AA-F858-4A38-A685-2C09181FC8A5}"/>
    <cellStyle name="Финансовый 36 3 5 2 7" xfId="18971" xr:uid="{00000000-0005-0000-0000-000004470000}"/>
    <cellStyle name="Финансовый 36 3 5 2 7 2" xfId="35984" xr:uid="{3F05A42F-EFB1-437B-A48B-862E3FDB6503}"/>
    <cellStyle name="Финансовый 36 3 5 2 8" xfId="26674" xr:uid="{F214241B-1A27-4FA8-9250-2A8C838804F6}"/>
    <cellStyle name="Финансовый 36 3 5 3" xfId="9581" xr:uid="{00000000-0005-0000-0000-000005470000}"/>
    <cellStyle name="Финансовый 36 3 5 3 2" xfId="9582" xr:uid="{00000000-0005-0000-0000-000006470000}"/>
    <cellStyle name="Финансовый 36 3 5 3 2 2" xfId="9583" xr:uid="{00000000-0005-0000-0000-000007470000}"/>
    <cellStyle name="Финансовый 36 3 5 3 2 2 2" xfId="12668" xr:uid="{00000000-0005-0000-0000-000008470000}"/>
    <cellStyle name="Финансовый 36 3 5 3 2 2 2 2" xfId="29757" xr:uid="{F75E6D82-47E2-4981-B5EA-EC3EAF755879}"/>
    <cellStyle name="Финансовый 36 3 5 3 2 2 3" xfId="15900" xr:uid="{00000000-0005-0000-0000-000009470000}"/>
    <cellStyle name="Финансовый 36 3 5 3 2 2 3 2" xfId="32913" xr:uid="{E074E016-37E6-4CD9-AE5E-3F6EDAD7FC85}"/>
    <cellStyle name="Финансовый 36 3 5 3 2 2 4" xfId="18981" xr:uid="{00000000-0005-0000-0000-00000A470000}"/>
    <cellStyle name="Финансовый 36 3 5 3 2 2 4 2" xfId="35994" xr:uid="{0CEDCD93-870A-4EE6-B696-014E1FBA65D0}"/>
    <cellStyle name="Финансовый 36 3 5 3 2 2 5" xfId="26684" xr:uid="{BA58EB13-4B43-4FB6-9603-45AAECB4D6B8}"/>
    <cellStyle name="Финансовый 36 3 5 3 2 3" xfId="12667" xr:uid="{00000000-0005-0000-0000-00000B470000}"/>
    <cellStyle name="Финансовый 36 3 5 3 2 3 2" xfId="29756" xr:uid="{42BA610A-6B26-47B2-B3A3-5C71B855DD40}"/>
    <cellStyle name="Финансовый 36 3 5 3 2 4" xfId="15899" xr:uid="{00000000-0005-0000-0000-00000C470000}"/>
    <cellStyle name="Финансовый 36 3 5 3 2 4 2" xfId="32912" xr:uid="{03AB1015-7389-4100-9F4D-6C60C53669B4}"/>
    <cellStyle name="Финансовый 36 3 5 3 2 5" xfId="18980" xr:uid="{00000000-0005-0000-0000-00000D470000}"/>
    <cellStyle name="Финансовый 36 3 5 3 2 5 2" xfId="35993" xr:uid="{880448C9-C8EF-47F2-81B0-45E87B5B3226}"/>
    <cellStyle name="Финансовый 36 3 5 3 2 6" xfId="26683" xr:uid="{89F80D91-2DFD-4569-960A-B0D206FDB63A}"/>
    <cellStyle name="Финансовый 36 3 5 3 3" xfId="9584" xr:uid="{00000000-0005-0000-0000-00000E470000}"/>
    <cellStyle name="Финансовый 36 3 5 3 3 2" xfId="12669" xr:uid="{00000000-0005-0000-0000-00000F470000}"/>
    <cellStyle name="Финансовый 36 3 5 3 3 2 2" xfId="29758" xr:uid="{67C63189-FBEF-4EB6-9DC8-05C4A63CDF7C}"/>
    <cellStyle name="Финансовый 36 3 5 3 3 3" xfId="15901" xr:uid="{00000000-0005-0000-0000-000010470000}"/>
    <cellStyle name="Финансовый 36 3 5 3 3 3 2" xfId="32914" xr:uid="{919E641B-5FB5-4D9E-B0B8-DFB9B2165B82}"/>
    <cellStyle name="Финансовый 36 3 5 3 3 4" xfId="18982" xr:uid="{00000000-0005-0000-0000-000011470000}"/>
    <cellStyle name="Финансовый 36 3 5 3 3 4 2" xfId="35995" xr:uid="{0E920EC1-6CE7-4E17-B1A7-8FDF3B900228}"/>
    <cellStyle name="Финансовый 36 3 5 3 3 5" xfId="26685" xr:uid="{DC117ACE-90D4-4338-A97C-A78E3A68097F}"/>
    <cellStyle name="Финансовый 36 3 5 3 4" xfId="12666" xr:uid="{00000000-0005-0000-0000-000012470000}"/>
    <cellStyle name="Финансовый 36 3 5 3 4 2" xfId="29755" xr:uid="{B5DE4921-32CD-49A9-9A91-53612C01D2C2}"/>
    <cellStyle name="Финансовый 36 3 5 3 5" xfId="15898" xr:uid="{00000000-0005-0000-0000-000013470000}"/>
    <cellStyle name="Финансовый 36 3 5 3 5 2" xfId="32911" xr:uid="{10BE3A78-F7DA-4160-B098-F3FE9BA4CECD}"/>
    <cellStyle name="Финансовый 36 3 5 3 6" xfId="18979" xr:uid="{00000000-0005-0000-0000-000014470000}"/>
    <cellStyle name="Финансовый 36 3 5 3 6 2" xfId="35992" xr:uid="{B4B8D6EB-8975-403B-B444-E7CF6668FA08}"/>
    <cellStyle name="Финансовый 36 3 5 3 7" xfId="26682" xr:uid="{8EB1EB77-4CEC-4BB8-9F55-80EF5B6D4AC6}"/>
    <cellStyle name="Финансовый 36 3 5 4" xfId="9585" xr:uid="{00000000-0005-0000-0000-000015470000}"/>
    <cellStyle name="Финансовый 36 3 5 4 2" xfId="9586" xr:uid="{00000000-0005-0000-0000-000016470000}"/>
    <cellStyle name="Финансовый 36 3 5 4 2 2" xfId="12671" xr:uid="{00000000-0005-0000-0000-000017470000}"/>
    <cellStyle name="Финансовый 36 3 5 4 2 2 2" xfId="29760" xr:uid="{4B8762F2-1553-4293-A7C2-15EDEB2042E4}"/>
    <cellStyle name="Финансовый 36 3 5 4 2 3" xfId="15903" xr:uid="{00000000-0005-0000-0000-000018470000}"/>
    <cellStyle name="Финансовый 36 3 5 4 2 3 2" xfId="32916" xr:uid="{DC9AE844-E886-4331-A3A1-E84620C74400}"/>
    <cellStyle name="Финансовый 36 3 5 4 2 4" xfId="18984" xr:uid="{00000000-0005-0000-0000-000019470000}"/>
    <cellStyle name="Финансовый 36 3 5 4 2 4 2" xfId="35997" xr:uid="{09658CF3-0E44-4A58-ADB1-4C892DF9E74F}"/>
    <cellStyle name="Финансовый 36 3 5 4 2 5" xfId="26687" xr:uid="{032FB0B1-58C9-4CD2-A1AD-B31B06F52F5A}"/>
    <cellStyle name="Финансовый 36 3 5 4 3" xfId="12670" xr:uid="{00000000-0005-0000-0000-00001A470000}"/>
    <cellStyle name="Финансовый 36 3 5 4 3 2" xfId="29759" xr:uid="{9EB3A9B4-4472-4882-AE82-8EDA120D167F}"/>
    <cellStyle name="Финансовый 36 3 5 4 4" xfId="15902" xr:uid="{00000000-0005-0000-0000-00001B470000}"/>
    <cellStyle name="Финансовый 36 3 5 4 4 2" xfId="32915" xr:uid="{740D5D83-AE2C-4AF0-BFBF-CDEBDC82C0DC}"/>
    <cellStyle name="Финансовый 36 3 5 4 5" xfId="18983" xr:uid="{00000000-0005-0000-0000-00001C470000}"/>
    <cellStyle name="Финансовый 36 3 5 4 5 2" xfId="35996" xr:uid="{A811C79E-FA4C-46C4-A6FB-A6C22822A651}"/>
    <cellStyle name="Финансовый 36 3 5 4 6" xfId="26686" xr:uid="{A155E82E-10DA-4A81-B4A9-F835B9A84E51}"/>
    <cellStyle name="Финансовый 36 3 5 5" xfId="9587" xr:uid="{00000000-0005-0000-0000-00001D470000}"/>
    <cellStyle name="Финансовый 36 3 5 5 2" xfId="12672" xr:uid="{00000000-0005-0000-0000-00001E470000}"/>
    <cellStyle name="Финансовый 36 3 5 5 2 2" xfId="29761" xr:uid="{FB583761-28F2-4BA3-99E6-AB5BA153FD35}"/>
    <cellStyle name="Финансовый 36 3 5 5 3" xfId="15904" xr:uid="{00000000-0005-0000-0000-00001F470000}"/>
    <cellStyle name="Финансовый 36 3 5 5 3 2" xfId="32917" xr:uid="{3C3E2379-13E6-48C9-9529-8D89DC8FFA70}"/>
    <cellStyle name="Финансовый 36 3 5 5 4" xfId="18985" xr:uid="{00000000-0005-0000-0000-000020470000}"/>
    <cellStyle name="Финансовый 36 3 5 5 4 2" xfId="35998" xr:uid="{E44B4CBC-C423-4C87-AEBF-C3EBCFB3D0FD}"/>
    <cellStyle name="Финансовый 36 3 5 5 5" xfId="26688" xr:uid="{C5A0DB1D-A155-449C-A91A-7C014DF9D2B8}"/>
    <cellStyle name="Финансовый 36 3 5 6" xfId="12657" xr:uid="{00000000-0005-0000-0000-000021470000}"/>
    <cellStyle name="Финансовый 36 3 5 6 2" xfId="29746" xr:uid="{282C9578-7AC0-44F7-9261-688E784F8CFE}"/>
    <cellStyle name="Финансовый 36 3 5 7" xfId="15889" xr:uid="{00000000-0005-0000-0000-000022470000}"/>
    <cellStyle name="Финансовый 36 3 5 7 2" xfId="32902" xr:uid="{F5431CB1-3AE4-4241-A219-7BE9BAF3ADE5}"/>
    <cellStyle name="Финансовый 36 3 5 8" xfId="18970" xr:uid="{00000000-0005-0000-0000-000023470000}"/>
    <cellStyle name="Финансовый 36 3 5 8 2" xfId="35983" xr:uid="{433B2DB8-7E56-4A1B-A23B-E9C8BA8E3CC0}"/>
    <cellStyle name="Финансовый 36 3 5 9" xfId="26673" xr:uid="{9A9352F3-A1D8-4F8D-904F-13BCE190ED0D}"/>
    <cellStyle name="Финансовый 36 3 6" xfId="9588" xr:uid="{00000000-0005-0000-0000-000024470000}"/>
    <cellStyle name="Финансовый 36 3 6 2" xfId="9589" xr:uid="{00000000-0005-0000-0000-000025470000}"/>
    <cellStyle name="Финансовый 36 3 6 2 2" xfId="9590" xr:uid="{00000000-0005-0000-0000-000026470000}"/>
    <cellStyle name="Финансовый 36 3 6 2 2 2" xfId="9591" xr:uid="{00000000-0005-0000-0000-000027470000}"/>
    <cellStyle name="Финансовый 36 3 6 2 2 2 2" xfId="12676" xr:uid="{00000000-0005-0000-0000-000028470000}"/>
    <cellStyle name="Финансовый 36 3 6 2 2 2 2 2" xfId="29765" xr:uid="{4808675A-76A9-4B20-A1C4-9E8B6E3695A0}"/>
    <cellStyle name="Финансовый 36 3 6 2 2 2 3" xfId="15908" xr:uid="{00000000-0005-0000-0000-000029470000}"/>
    <cellStyle name="Финансовый 36 3 6 2 2 2 3 2" xfId="32921" xr:uid="{DC6B3AAE-DA39-4CAC-9E91-5D675FD11A73}"/>
    <cellStyle name="Финансовый 36 3 6 2 2 2 4" xfId="18989" xr:uid="{00000000-0005-0000-0000-00002A470000}"/>
    <cellStyle name="Финансовый 36 3 6 2 2 2 4 2" xfId="36002" xr:uid="{65E64CA2-E717-425E-86C8-CC32C1CC3988}"/>
    <cellStyle name="Финансовый 36 3 6 2 2 2 5" xfId="26692" xr:uid="{C53CBEBF-D024-4D16-A406-035F4615764D}"/>
    <cellStyle name="Финансовый 36 3 6 2 2 3" xfId="12675" xr:uid="{00000000-0005-0000-0000-00002B470000}"/>
    <cellStyle name="Финансовый 36 3 6 2 2 3 2" xfId="29764" xr:uid="{DE0CEFED-6BC6-467A-94AA-E495AE817731}"/>
    <cellStyle name="Финансовый 36 3 6 2 2 4" xfId="15907" xr:uid="{00000000-0005-0000-0000-00002C470000}"/>
    <cellStyle name="Финансовый 36 3 6 2 2 4 2" xfId="32920" xr:uid="{B1C8F54F-A919-450C-AAF5-FEDF737489B3}"/>
    <cellStyle name="Финансовый 36 3 6 2 2 5" xfId="18988" xr:uid="{00000000-0005-0000-0000-00002D470000}"/>
    <cellStyle name="Финансовый 36 3 6 2 2 5 2" xfId="36001" xr:uid="{6CC5D0CE-EC74-4AE7-97C3-CD0F4FE6500E}"/>
    <cellStyle name="Финансовый 36 3 6 2 2 6" xfId="26691" xr:uid="{6456695A-64DD-4021-AA4F-101C142034E8}"/>
    <cellStyle name="Финансовый 36 3 6 2 3" xfId="9592" xr:uid="{00000000-0005-0000-0000-00002E470000}"/>
    <cellStyle name="Финансовый 36 3 6 2 3 2" xfId="12677" xr:uid="{00000000-0005-0000-0000-00002F470000}"/>
    <cellStyle name="Финансовый 36 3 6 2 3 2 2" xfId="29766" xr:uid="{94D37D81-DCC0-4B35-B8CB-81B39C68EF00}"/>
    <cellStyle name="Финансовый 36 3 6 2 3 3" xfId="15909" xr:uid="{00000000-0005-0000-0000-000030470000}"/>
    <cellStyle name="Финансовый 36 3 6 2 3 3 2" xfId="32922" xr:uid="{C0C2131C-0E2F-43C4-9ACB-C70CD762362D}"/>
    <cellStyle name="Финансовый 36 3 6 2 3 4" xfId="18990" xr:uid="{00000000-0005-0000-0000-000031470000}"/>
    <cellStyle name="Финансовый 36 3 6 2 3 4 2" xfId="36003" xr:uid="{C107F17F-4F20-4F63-8E07-61176E4A197C}"/>
    <cellStyle name="Финансовый 36 3 6 2 3 5" xfId="26693" xr:uid="{397321DC-49C6-4A84-B3CB-6906FCF2E0D8}"/>
    <cellStyle name="Финансовый 36 3 6 2 4" xfId="12674" xr:uid="{00000000-0005-0000-0000-000032470000}"/>
    <cellStyle name="Финансовый 36 3 6 2 4 2" xfId="29763" xr:uid="{23357AB4-1F1B-4E20-803A-201D83BDD353}"/>
    <cellStyle name="Финансовый 36 3 6 2 5" xfId="15906" xr:uid="{00000000-0005-0000-0000-000033470000}"/>
    <cellStyle name="Финансовый 36 3 6 2 5 2" xfId="32919" xr:uid="{A4BD7515-E13C-4BF2-B214-09A73D06D50C}"/>
    <cellStyle name="Финансовый 36 3 6 2 6" xfId="18987" xr:uid="{00000000-0005-0000-0000-000034470000}"/>
    <cellStyle name="Финансовый 36 3 6 2 6 2" xfId="36000" xr:uid="{2FBA36F3-0116-4F52-87A8-A3EE60158747}"/>
    <cellStyle name="Финансовый 36 3 6 2 7" xfId="26690" xr:uid="{4BACF43B-00AD-415E-A0B2-EAA4250E691A}"/>
    <cellStyle name="Финансовый 36 3 6 3" xfId="9593" xr:uid="{00000000-0005-0000-0000-000035470000}"/>
    <cellStyle name="Финансовый 36 3 6 3 2" xfId="9594" xr:uid="{00000000-0005-0000-0000-000036470000}"/>
    <cellStyle name="Финансовый 36 3 6 3 2 2" xfId="12679" xr:uid="{00000000-0005-0000-0000-000037470000}"/>
    <cellStyle name="Финансовый 36 3 6 3 2 2 2" xfId="29768" xr:uid="{6A886BC6-E6EE-445A-A387-0FDF8CC1A19D}"/>
    <cellStyle name="Финансовый 36 3 6 3 2 3" xfId="15911" xr:uid="{00000000-0005-0000-0000-000038470000}"/>
    <cellStyle name="Финансовый 36 3 6 3 2 3 2" xfId="32924" xr:uid="{9382F208-3075-41CC-924F-7255E79FADE7}"/>
    <cellStyle name="Финансовый 36 3 6 3 2 4" xfId="18992" xr:uid="{00000000-0005-0000-0000-000039470000}"/>
    <cellStyle name="Финансовый 36 3 6 3 2 4 2" xfId="36005" xr:uid="{DC4BBC73-093B-4FD0-8A4A-8604DAA9F7BC}"/>
    <cellStyle name="Финансовый 36 3 6 3 2 5" xfId="26695" xr:uid="{EC841EF2-3D5E-4D7E-8CEA-144BAA25A862}"/>
    <cellStyle name="Финансовый 36 3 6 3 3" xfId="12678" xr:uid="{00000000-0005-0000-0000-00003A470000}"/>
    <cellStyle name="Финансовый 36 3 6 3 3 2" xfId="29767" xr:uid="{876E6B55-787B-407C-A183-759B5740F5CA}"/>
    <cellStyle name="Финансовый 36 3 6 3 4" xfId="15910" xr:uid="{00000000-0005-0000-0000-00003B470000}"/>
    <cellStyle name="Финансовый 36 3 6 3 4 2" xfId="32923" xr:uid="{92D5D298-516A-4440-9A14-09107382BF2E}"/>
    <cellStyle name="Финансовый 36 3 6 3 5" xfId="18991" xr:uid="{00000000-0005-0000-0000-00003C470000}"/>
    <cellStyle name="Финансовый 36 3 6 3 5 2" xfId="36004" xr:uid="{FE3B37AE-DA93-4986-8072-5F35FDAB1BDA}"/>
    <cellStyle name="Финансовый 36 3 6 3 6" xfId="26694" xr:uid="{B2CFA7F8-9379-43D7-9A20-6897C55AC431}"/>
    <cellStyle name="Финансовый 36 3 6 4" xfId="9595" xr:uid="{00000000-0005-0000-0000-00003D470000}"/>
    <cellStyle name="Финансовый 36 3 6 4 2" xfId="12680" xr:uid="{00000000-0005-0000-0000-00003E470000}"/>
    <cellStyle name="Финансовый 36 3 6 4 2 2" xfId="29769" xr:uid="{B524327B-AC00-48C3-BB2B-8720CC837DE4}"/>
    <cellStyle name="Финансовый 36 3 6 4 3" xfId="15912" xr:uid="{00000000-0005-0000-0000-00003F470000}"/>
    <cellStyle name="Финансовый 36 3 6 4 3 2" xfId="32925" xr:uid="{18FBAAAB-ADCB-4496-A562-DF3F1B68CB49}"/>
    <cellStyle name="Финансовый 36 3 6 4 4" xfId="18993" xr:uid="{00000000-0005-0000-0000-000040470000}"/>
    <cellStyle name="Финансовый 36 3 6 4 4 2" xfId="36006" xr:uid="{3F20FC4B-F2A1-46F4-8B7B-CD359B8F8590}"/>
    <cellStyle name="Финансовый 36 3 6 4 5" xfId="26696" xr:uid="{223F9E36-7F51-4939-BBAF-EB4E5F421CFF}"/>
    <cellStyle name="Финансовый 36 3 6 5" xfId="12673" xr:uid="{00000000-0005-0000-0000-000041470000}"/>
    <cellStyle name="Финансовый 36 3 6 5 2" xfId="29762" xr:uid="{BD06CAC2-099B-4A9A-82DF-AA4F1638EC11}"/>
    <cellStyle name="Финансовый 36 3 6 6" xfId="15905" xr:uid="{00000000-0005-0000-0000-000042470000}"/>
    <cellStyle name="Финансовый 36 3 6 6 2" xfId="32918" xr:uid="{94F127DC-0640-4377-9481-6965054FC48D}"/>
    <cellStyle name="Финансовый 36 3 6 7" xfId="18986" xr:uid="{00000000-0005-0000-0000-000043470000}"/>
    <cellStyle name="Финансовый 36 3 6 7 2" xfId="35999" xr:uid="{ACBF660D-CEF8-42B4-A767-BB21B78D9C61}"/>
    <cellStyle name="Финансовый 36 3 6 8" xfId="26689" xr:uid="{7658E9F6-43E9-4A39-A4F8-F2B9E60CA15B}"/>
    <cellStyle name="Финансовый 36 3 7" xfId="9596" xr:uid="{00000000-0005-0000-0000-000044470000}"/>
    <cellStyle name="Финансовый 36 3 7 2" xfId="9597" xr:uid="{00000000-0005-0000-0000-000045470000}"/>
    <cellStyle name="Финансовый 36 3 7 2 2" xfId="9598" xr:uid="{00000000-0005-0000-0000-000046470000}"/>
    <cellStyle name="Финансовый 36 3 7 2 2 2" xfId="12683" xr:uid="{00000000-0005-0000-0000-000047470000}"/>
    <cellStyle name="Финансовый 36 3 7 2 2 2 2" xfId="29772" xr:uid="{FCEEDA08-A27C-49BF-951A-BDB36F75CD6A}"/>
    <cellStyle name="Финансовый 36 3 7 2 2 3" xfId="15915" xr:uid="{00000000-0005-0000-0000-000048470000}"/>
    <cellStyle name="Финансовый 36 3 7 2 2 3 2" xfId="32928" xr:uid="{CF57D957-A7B9-46C9-A756-E0105D1F4215}"/>
    <cellStyle name="Финансовый 36 3 7 2 2 4" xfId="18996" xr:uid="{00000000-0005-0000-0000-000049470000}"/>
    <cellStyle name="Финансовый 36 3 7 2 2 4 2" xfId="36009" xr:uid="{E02BCD22-EC22-43CB-B32B-CB6FFB0715BE}"/>
    <cellStyle name="Финансовый 36 3 7 2 2 5" xfId="26699" xr:uid="{E7706368-FDC9-4AB6-A7E7-AF6DAF8AC410}"/>
    <cellStyle name="Финансовый 36 3 7 2 3" xfId="12682" xr:uid="{00000000-0005-0000-0000-00004A470000}"/>
    <cellStyle name="Финансовый 36 3 7 2 3 2" xfId="29771" xr:uid="{A52B732B-4891-41C8-8574-0E1CC9D09EA5}"/>
    <cellStyle name="Финансовый 36 3 7 2 4" xfId="15914" xr:uid="{00000000-0005-0000-0000-00004B470000}"/>
    <cellStyle name="Финансовый 36 3 7 2 4 2" xfId="32927" xr:uid="{A4DBED0F-EC88-4561-8ABC-562BA93D6A08}"/>
    <cellStyle name="Финансовый 36 3 7 2 5" xfId="18995" xr:uid="{00000000-0005-0000-0000-00004C470000}"/>
    <cellStyle name="Финансовый 36 3 7 2 5 2" xfId="36008" xr:uid="{4F3043DB-4E37-4728-BD6F-284BF38FAD1D}"/>
    <cellStyle name="Финансовый 36 3 7 2 6" xfId="26698" xr:uid="{D48640F4-6CDD-4595-972F-89EF3556EDCB}"/>
    <cellStyle name="Финансовый 36 3 7 3" xfId="9599" xr:uid="{00000000-0005-0000-0000-00004D470000}"/>
    <cellStyle name="Финансовый 36 3 7 3 2" xfId="12684" xr:uid="{00000000-0005-0000-0000-00004E470000}"/>
    <cellStyle name="Финансовый 36 3 7 3 2 2" xfId="29773" xr:uid="{D3AEC939-6146-4B42-B952-4961B4FCA6FA}"/>
    <cellStyle name="Финансовый 36 3 7 3 3" xfId="15916" xr:uid="{00000000-0005-0000-0000-00004F470000}"/>
    <cellStyle name="Финансовый 36 3 7 3 3 2" xfId="32929" xr:uid="{F0576BF3-886F-4882-BA34-E1AC6E66DEFA}"/>
    <cellStyle name="Финансовый 36 3 7 3 4" xfId="18997" xr:uid="{00000000-0005-0000-0000-000050470000}"/>
    <cellStyle name="Финансовый 36 3 7 3 4 2" xfId="36010" xr:uid="{BECDF62A-59FD-402B-93A8-0E2334C1BF65}"/>
    <cellStyle name="Финансовый 36 3 7 3 5" xfId="26700" xr:uid="{5457D6AC-DAF3-4368-AD95-6483CF0FF01D}"/>
    <cellStyle name="Финансовый 36 3 7 4" xfId="12681" xr:uid="{00000000-0005-0000-0000-000051470000}"/>
    <cellStyle name="Финансовый 36 3 7 4 2" xfId="29770" xr:uid="{7AC7EDD5-3FDE-4E7E-9784-0E1CA22C2772}"/>
    <cellStyle name="Финансовый 36 3 7 5" xfId="15913" xr:uid="{00000000-0005-0000-0000-000052470000}"/>
    <cellStyle name="Финансовый 36 3 7 5 2" xfId="32926" xr:uid="{5B305C8C-15FE-4EDF-AA81-D61EE337F11A}"/>
    <cellStyle name="Финансовый 36 3 7 6" xfId="18994" xr:uid="{00000000-0005-0000-0000-000053470000}"/>
    <cellStyle name="Финансовый 36 3 7 6 2" xfId="36007" xr:uid="{78E78B10-38A1-420F-92A3-2483284203F5}"/>
    <cellStyle name="Финансовый 36 3 7 7" xfId="26697" xr:uid="{E81F6436-1A59-46E4-89C2-F8F84B76D2C4}"/>
    <cellStyle name="Финансовый 36 3 8" xfId="9600" xr:uid="{00000000-0005-0000-0000-000054470000}"/>
    <cellStyle name="Финансовый 36 3 8 2" xfId="9601" xr:uid="{00000000-0005-0000-0000-000055470000}"/>
    <cellStyle name="Финансовый 36 3 8 2 2" xfId="12686" xr:uid="{00000000-0005-0000-0000-000056470000}"/>
    <cellStyle name="Финансовый 36 3 8 2 2 2" xfId="29775" xr:uid="{4F6FB5DB-572D-42CF-A3AD-51152351F997}"/>
    <cellStyle name="Финансовый 36 3 8 2 3" xfId="15918" xr:uid="{00000000-0005-0000-0000-000057470000}"/>
    <cellStyle name="Финансовый 36 3 8 2 3 2" xfId="32931" xr:uid="{04C7A4C2-824B-4C03-8358-F389CA03325C}"/>
    <cellStyle name="Финансовый 36 3 8 2 4" xfId="18999" xr:uid="{00000000-0005-0000-0000-000058470000}"/>
    <cellStyle name="Финансовый 36 3 8 2 4 2" xfId="36012" xr:uid="{0C5B2EC0-C6D4-4840-B74E-667B0E19C2B9}"/>
    <cellStyle name="Финансовый 36 3 8 2 5" xfId="26702" xr:uid="{C36FDA28-C12D-45EE-AC67-17A6FDEA9431}"/>
    <cellStyle name="Финансовый 36 3 8 3" xfId="12685" xr:uid="{00000000-0005-0000-0000-000059470000}"/>
    <cellStyle name="Финансовый 36 3 8 3 2" xfId="29774" xr:uid="{B40AED5B-4314-4C53-AD2C-2A645E386480}"/>
    <cellStyle name="Финансовый 36 3 8 4" xfId="15917" xr:uid="{00000000-0005-0000-0000-00005A470000}"/>
    <cellStyle name="Финансовый 36 3 8 4 2" xfId="32930" xr:uid="{8D8A5FED-31E6-453E-877B-7D29C137E21F}"/>
    <cellStyle name="Финансовый 36 3 8 5" xfId="18998" xr:uid="{00000000-0005-0000-0000-00005B470000}"/>
    <cellStyle name="Финансовый 36 3 8 5 2" xfId="36011" xr:uid="{33E7959B-AFD5-4E80-824C-37BD7704E89D}"/>
    <cellStyle name="Финансовый 36 3 8 6" xfId="26701" xr:uid="{FA5F9365-CF0F-48D1-84EE-658FD54B0718}"/>
    <cellStyle name="Финансовый 36 3 9" xfId="9602" xr:uid="{00000000-0005-0000-0000-00005C470000}"/>
    <cellStyle name="Финансовый 36 3 9 2" xfId="12687" xr:uid="{00000000-0005-0000-0000-00005D470000}"/>
    <cellStyle name="Финансовый 36 3 9 2 2" xfId="29776" xr:uid="{D24759C7-597B-466B-91FA-52343C7279C7}"/>
    <cellStyle name="Финансовый 36 3 9 3" xfId="15919" xr:uid="{00000000-0005-0000-0000-00005E470000}"/>
    <cellStyle name="Финансовый 36 3 9 3 2" xfId="32932" xr:uid="{E3FEA9EF-7A9A-4293-B6F1-E2475AA1770C}"/>
    <cellStyle name="Финансовый 36 3 9 4" xfId="19000" xr:uid="{00000000-0005-0000-0000-00005F470000}"/>
    <cellStyle name="Финансовый 36 3 9 4 2" xfId="36013" xr:uid="{856DEBC8-F593-4B34-8540-0567464FBFFF}"/>
    <cellStyle name="Финансовый 36 3 9 5" xfId="26703" xr:uid="{9FA16527-EC1C-4A66-9918-F53998ED9E04}"/>
    <cellStyle name="Финансовый 36 4" xfId="9603" xr:uid="{00000000-0005-0000-0000-000060470000}"/>
    <cellStyle name="Финансовый 36 4 10" xfId="15920" xr:uid="{00000000-0005-0000-0000-000061470000}"/>
    <cellStyle name="Финансовый 36 4 10 2" xfId="32933" xr:uid="{3F0B167F-5E7C-4F2C-A6A1-DD5F07C638D5}"/>
    <cellStyle name="Финансовый 36 4 11" xfId="19001" xr:uid="{00000000-0005-0000-0000-000062470000}"/>
    <cellStyle name="Финансовый 36 4 11 2" xfId="36014" xr:uid="{366EE818-D79D-420C-8D8C-2458FBBF2D53}"/>
    <cellStyle name="Финансовый 36 4 12" xfId="26704" xr:uid="{1C4EDCA4-1155-4165-91FF-8499EF1F0DAC}"/>
    <cellStyle name="Финансовый 36 4 2" xfId="9604" xr:uid="{00000000-0005-0000-0000-000063470000}"/>
    <cellStyle name="Финансовый 36 4 2 10" xfId="19002" xr:uid="{00000000-0005-0000-0000-000064470000}"/>
    <cellStyle name="Финансовый 36 4 2 10 2" xfId="36015" xr:uid="{7EA4F53B-EFD7-44A1-BAB2-DF652A5D5A77}"/>
    <cellStyle name="Финансовый 36 4 2 11" xfId="26705" xr:uid="{352EE98D-75B0-4C3B-ACE9-F913E9F9C23C}"/>
    <cellStyle name="Финансовый 36 4 2 2" xfId="9605" xr:uid="{00000000-0005-0000-0000-000065470000}"/>
    <cellStyle name="Финансовый 36 4 2 2 10" xfId="26706" xr:uid="{E048BA8B-99D9-4D84-8778-7856267F3033}"/>
    <cellStyle name="Финансовый 36 4 2 2 2" xfId="9606" xr:uid="{00000000-0005-0000-0000-000066470000}"/>
    <cellStyle name="Финансовый 36 4 2 2 2 2" xfId="9607" xr:uid="{00000000-0005-0000-0000-000067470000}"/>
    <cellStyle name="Финансовый 36 4 2 2 2 2 2" xfId="9608" xr:uid="{00000000-0005-0000-0000-000068470000}"/>
    <cellStyle name="Финансовый 36 4 2 2 2 2 2 2" xfId="9609" xr:uid="{00000000-0005-0000-0000-000069470000}"/>
    <cellStyle name="Финансовый 36 4 2 2 2 2 2 2 2" xfId="9610" xr:uid="{00000000-0005-0000-0000-00006A470000}"/>
    <cellStyle name="Финансовый 36 4 2 2 2 2 2 2 2 2" xfId="12695" xr:uid="{00000000-0005-0000-0000-00006B470000}"/>
    <cellStyle name="Финансовый 36 4 2 2 2 2 2 2 2 2 2" xfId="29784" xr:uid="{5EA495AB-A61C-455D-AC75-57FF45756541}"/>
    <cellStyle name="Финансовый 36 4 2 2 2 2 2 2 2 3" xfId="15927" xr:uid="{00000000-0005-0000-0000-00006C470000}"/>
    <cellStyle name="Финансовый 36 4 2 2 2 2 2 2 2 3 2" xfId="32940" xr:uid="{2370747A-B359-439F-9E9B-245323CA5A17}"/>
    <cellStyle name="Финансовый 36 4 2 2 2 2 2 2 2 4" xfId="19008" xr:uid="{00000000-0005-0000-0000-00006D470000}"/>
    <cellStyle name="Финансовый 36 4 2 2 2 2 2 2 2 4 2" xfId="36021" xr:uid="{8F334C81-F5F7-40F8-87EC-FEF2759AB429}"/>
    <cellStyle name="Финансовый 36 4 2 2 2 2 2 2 2 5" xfId="26711" xr:uid="{5B9155E1-7A03-410B-A371-46D497CC2517}"/>
    <cellStyle name="Финансовый 36 4 2 2 2 2 2 2 3" xfId="12694" xr:uid="{00000000-0005-0000-0000-00006E470000}"/>
    <cellStyle name="Финансовый 36 4 2 2 2 2 2 2 3 2" xfId="29783" xr:uid="{4821F605-AC36-4DF1-9D0B-3C643FADD247}"/>
    <cellStyle name="Финансовый 36 4 2 2 2 2 2 2 4" xfId="15926" xr:uid="{00000000-0005-0000-0000-00006F470000}"/>
    <cellStyle name="Финансовый 36 4 2 2 2 2 2 2 4 2" xfId="32939" xr:uid="{5A528AAB-CAB1-4BA1-AF44-15FE411E4B93}"/>
    <cellStyle name="Финансовый 36 4 2 2 2 2 2 2 5" xfId="19007" xr:uid="{00000000-0005-0000-0000-000070470000}"/>
    <cellStyle name="Финансовый 36 4 2 2 2 2 2 2 5 2" xfId="36020" xr:uid="{367FF097-3462-4319-8125-C1ED117B42C0}"/>
    <cellStyle name="Финансовый 36 4 2 2 2 2 2 2 6" xfId="26710" xr:uid="{EDA5A33F-A575-47AA-9FE4-1A4496466F8F}"/>
    <cellStyle name="Финансовый 36 4 2 2 2 2 2 3" xfId="9611" xr:uid="{00000000-0005-0000-0000-000071470000}"/>
    <cellStyle name="Финансовый 36 4 2 2 2 2 2 3 2" xfId="12696" xr:uid="{00000000-0005-0000-0000-000072470000}"/>
    <cellStyle name="Финансовый 36 4 2 2 2 2 2 3 2 2" xfId="29785" xr:uid="{2B8F1958-DDAA-4FAE-9E1B-EABC457F9597}"/>
    <cellStyle name="Финансовый 36 4 2 2 2 2 2 3 3" xfId="15928" xr:uid="{00000000-0005-0000-0000-000073470000}"/>
    <cellStyle name="Финансовый 36 4 2 2 2 2 2 3 3 2" xfId="32941" xr:uid="{DAD14208-23D0-40A4-9B0B-39A1D53A376B}"/>
    <cellStyle name="Финансовый 36 4 2 2 2 2 2 3 4" xfId="19009" xr:uid="{00000000-0005-0000-0000-000074470000}"/>
    <cellStyle name="Финансовый 36 4 2 2 2 2 2 3 4 2" xfId="36022" xr:uid="{02A65421-09D7-4522-B227-30B34CDE30D4}"/>
    <cellStyle name="Финансовый 36 4 2 2 2 2 2 3 5" xfId="26712" xr:uid="{113E53E6-39D8-4425-8334-CA760A01506F}"/>
    <cellStyle name="Финансовый 36 4 2 2 2 2 2 4" xfId="12693" xr:uid="{00000000-0005-0000-0000-000075470000}"/>
    <cellStyle name="Финансовый 36 4 2 2 2 2 2 4 2" xfId="29782" xr:uid="{BB9C145A-D3CA-4E11-8AE5-C3DA394EBA33}"/>
    <cellStyle name="Финансовый 36 4 2 2 2 2 2 5" xfId="15925" xr:uid="{00000000-0005-0000-0000-000076470000}"/>
    <cellStyle name="Финансовый 36 4 2 2 2 2 2 5 2" xfId="32938" xr:uid="{52E7680F-05BC-4283-AC53-FC09704E5586}"/>
    <cellStyle name="Финансовый 36 4 2 2 2 2 2 6" xfId="19006" xr:uid="{00000000-0005-0000-0000-000077470000}"/>
    <cellStyle name="Финансовый 36 4 2 2 2 2 2 6 2" xfId="36019" xr:uid="{98D28DB5-EFD0-46FA-8E8B-85FA2F7E5DC7}"/>
    <cellStyle name="Финансовый 36 4 2 2 2 2 2 7" xfId="26709" xr:uid="{8AD10541-35DC-4FDE-8BF7-50DE191EAA68}"/>
    <cellStyle name="Финансовый 36 4 2 2 2 2 3" xfId="9612" xr:uid="{00000000-0005-0000-0000-000078470000}"/>
    <cellStyle name="Финансовый 36 4 2 2 2 2 3 2" xfId="9613" xr:uid="{00000000-0005-0000-0000-000079470000}"/>
    <cellStyle name="Финансовый 36 4 2 2 2 2 3 2 2" xfId="12698" xr:uid="{00000000-0005-0000-0000-00007A470000}"/>
    <cellStyle name="Финансовый 36 4 2 2 2 2 3 2 2 2" xfId="29787" xr:uid="{88E4E487-7666-43E5-8555-7068F02B15DF}"/>
    <cellStyle name="Финансовый 36 4 2 2 2 2 3 2 3" xfId="15930" xr:uid="{00000000-0005-0000-0000-00007B470000}"/>
    <cellStyle name="Финансовый 36 4 2 2 2 2 3 2 3 2" xfId="32943" xr:uid="{58E83F90-6CED-4229-AE67-20918D905D31}"/>
    <cellStyle name="Финансовый 36 4 2 2 2 2 3 2 4" xfId="19011" xr:uid="{00000000-0005-0000-0000-00007C470000}"/>
    <cellStyle name="Финансовый 36 4 2 2 2 2 3 2 4 2" xfId="36024" xr:uid="{FCE56C44-BEC8-43EF-8C5E-93235D68DC19}"/>
    <cellStyle name="Финансовый 36 4 2 2 2 2 3 2 5" xfId="26714" xr:uid="{B1E2CFF4-F7A5-4B81-A193-9533F7D0B9FF}"/>
    <cellStyle name="Финансовый 36 4 2 2 2 2 3 3" xfId="12697" xr:uid="{00000000-0005-0000-0000-00007D470000}"/>
    <cellStyle name="Финансовый 36 4 2 2 2 2 3 3 2" xfId="29786" xr:uid="{106546B5-5845-4D7C-98B4-86E18650AAC5}"/>
    <cellStyle name="Финансовый 36 4 2 2 2 2 3 4" xfId="15929" xr:uid="{00000000-0005-0000-0000-00007E470000}"/>
    <cellStyle name="Финансовый 36 4 2 2 2 2 3 4 2" xfId="32942" xr:uid="{A1478DD2-6A83-430C-B352-192AD20F9098}"/>
    <cellStyle name="Финансовый 36 4 2 2 2 2 3 5" xfId="19010" xr:uid="{00000000-0005-0000-0000-00007F470000}"/>
    <cellStyle name="Финансовый 36 4 2 2 2 2 3 5 2" xfId="36023" xr:uid="{5BD3C2B0-C64C-415B-96EE-E8C31BC08740}"/>
    <cellStyle name="Финансовый 36 4 2 2 2 2 3 6" xfId="26713" xr:uid="{25CC3E2C-D5D5-4648-98E0-CDB08E86404C}"/>
    <cellStyle name="Финансовый 36 4 2 2 2 2 4" xfId="9614" xr:uid="{00000000-0005-0000-0000-000080470000}"/>
    <cellStyle name="Финансовый 36 4 2 2 2 2 4 2" xfId="12699" xr:uid="{00000000-0005-0000-0000-000081470000}"/>
    <cellStyle name="Финансовый 36 4 2 2 2 2 4 2 2" xfId="29788" xr:uid="{FF30CC34-A803-422C-9A1C-654386BEDF21}"/>
    <cellStyle name="Финансовый 36 4 2 2 2 2 4 3" xfId="15931" xr:uid="{00000000-0005-0000-0000-000082470000}"/>
    <cellStyle name="Финансовый 36 4 2 2 2 2 4 3 2" xfId="32944" xr:uid="{9B2DE722-7F57-4E2F-ADEF-2474639A9BBE}"/>
    <cellStyle name="Финансовый 36 4 2 2 2 2 4 4" xfId="19012" xr:uid="{00000000-0005-0000-0000-000083470000}"/>
    <cellStyle name="Финансовый 36 4 2 2 2 2 4 4 2" xfId="36025" xr:uid="{463CB09D-6CC8-40BA-8CB5-72311F9B85C0}"/>
    <cellStyle name="Финансовый 36 4 2 2 2 2 4 5" xfId="26715" xr:uid="{FBA3F899-4C7E-4D0B-98F0-F7AD485FACB0}"/>
    <cellStyle name="Финансовый 36 4 2 2 2 2 5" xfId="12692" xr:uid="{00000000-0005-0000-0000-000084470000}"/>
    <cellStyle name="Финансовый 36 4 2 2 2 2 5 2" xfId="29781" xr:uid="{46D9AD17-856C-4392-BA9B-19A89CD71A0C}"/>
    <cellStyle name="Финансовый 36 4 2 2 2 2 6" xfId="15924" xr:uid="{00000000-0005-0000-0000-000085470000}"/>
    <cellStyle name="Финансовый 36 4 2 2 2 2 6 2" xfId="32937" xr:uid="{BF862D69-4EAD-4B5F-A7C0-82EEAC497D62}"/>
    <cellStyle name="Финансовый 36 4 2 2 2 2 7" xfId="19005" xr:uid="{00000000-0005-0000-0000-000086470000}"/>
    <cellStyle name="Финансовый 36 4 2 2 2 2 7 2" xfId="36018" xr:uid="{83913935-C43F-4688-80C4-4A365966CC10}"/>
    <cellStyle name="Финансовый 36 4 2 2 2 2 8" xfId="26708" xr:uid="{1BB12A77-2BC1-40FE-B587-5CC53AC9A31B}"/>
    <cellStyle name="Финансовый 36 4 2 2 2 3" xfId="9615" xr:uid="{00000000-0005-0000-0000-000087470000}"/>
    <cellStyle name="Финансовый 36 4 2 2 2 3 2" xfId="9616" xr:uid="{00000000-0005-0000-0000-000088470000}"/>
    <cellStyle name="Финансовый 36 4 2 2 2 3 2 2" xfId="9617" xr:uid="{00000000-0005-0000-0000-000089470000}"/>
    <cellStyle name="Финансовый 36 4 2 2 2 3 2 2 2" xfId="12702" xr:uid="{00000000-0005-0000-0000-00008A470000}"/>
    <cellStyle name="Финансовый 36 4 2 2 2 3 2 2 2 2" xfId="29791" xr:uid="{6524B180-763D-496A-9825-8E444B01AB91}"/>
    <cellStyle name="Финансовый 36 4 2 2 2 3 2 2 3" xfId="15934" xr:uid="{00000000-0005-0000-0000-00008B470000}"/>
    <cellStyle name="Финансовый 36 4 2 2 2 3 2 2 3 2" xfId="32947" xr:uid="{34A3BF18-C4BD-4F93-8DD4-486D50A93CA5}"/>
    <cellStyle name="Финансовый 36 4 2 2 2 3 2 2 4" xfId="19015" xr:uid="{00000000-0005-0000-0000-00008C470000}"/>
    <cellStyle name="Финансовый 36 4 2 2 2 3 2 2 4 2" xfId="36028" xr:uid="{19C21290-9C08-4E08-9960-C71510F3CC73}"/>
    <cellStyle name="Финансовый 36 4 2 2 2 3 2 2 5" xfId="26718" xr:uid="{7F56FB88-AC88-4B78-B42E-F294EAE2E5E8}"/>
    <cellStyle name="Финансовый 36 4 2 2 2 3 2 3" xfId="12701" xr:uid="{00000000-0005-0000-0000-00008D470000}"/>
    <cellStyle name="Финансовый 36 4 2 2 2 3 2 3 2" xfId="29790" xr:uid="{0F317A8E-9FC9-408C-A331-84FDB58EE556}"/>
    <cellStyle name="Финансовый 36 4 2 2 2 3 2 4" xfId="15933" xr:uid="{00000000-0005-0000-0000-00008E470000}"/>
    <cellStyle name="Финансовый 36 4 2 2 2 3 2 4 2" xfId="32946" xr:uid="{9E1BD36C-C2FF-4E8C-AB34-74F781E63664}"/>
    <cellStyle name="Финансовый 36 4 2 2 2 3 2 5" xfId="19014" xr:uid="{00000000-0005-0000-0000-00008F470000}"/>
    <cellStyle name="Финансовый 36 4 2 2 2 3 2 5 2" xfId="36027" xr:uid="{DCE1C25B-1512-41E1-B109-8BD4F9CB3A4C}"/>
    <cellStyle name="Финансовый 36 4 2 2 2 3 2 6" xfId="26717" xr:uid="{221186C2-9CA4-427A-85F9-6147F27B0BDB}"/>
    <cellStyle name="Финансовый 36 4 2 2 2 3 3" xfId="9618" xr:uid="{00000000-0005-0000-0000-000090470000}"/>
    <cellStyle name="Финансовый 36 4 2 2 2 3 3 2" xfId="12703" xr:uid="{00000000-0005-0000-0000-000091470000}"/>
    <cellStyle name="Финансовый 36 4 2 2 2 3 3 2 2" xfId="29792" xr:uid="{4A521DAD-3D0A-4346-8D95-3F2CAB80F274}"/>
    <cellStyle name="Финансовый 36 4 2 2 2 3 3 3" xfId="15935" xr:uid="{00000000-0005-0000-0000-000092470000}"/>
    <cellStyle name="Финансовый 36 4 2 2 2 3 3 3 2" xfId="32948" xr:uid="{3BE74341-4A3A-4B9D-B60D-42FF7D1EE903}"/>
    <cellStyle name="Финансовый 36 4 2 2 2 3 3 4" xfId="19016" xr:uid="{00000000-0005-0000-0000-000093470000}"/>
    <cellStyle name="Финансовый 36 4 2 2 2 3 3 4 2" xfId="36029" xr:uid="{DCE8E20B-A9DB-4D71-9701-E5CE34323FEA}"/>
    <cellStyle name="Финансовый 36 4 2 2 2 3 3 5" xfId="26719" xr:uid="{4173C9AE-7626-4F23-AA6C-5BEB87BAB903}"/>
    <cellStyle name="Финансовый 36 4 2 2 2 3 4" xfId="12700" xr:uid="{00000000-0005-0000-0000-000094470000}"/>
    <cellStyle name="Финансовый 36 4 2 2 2 3 4 2" xfId="29789" xr:uid="{F3E647BD-8DFA-457D-A304-7F0884E5DEA9}"/>
    <cellStyle name="Финансовый 36 4 2 2 2 3 5" xfId="15932" xr:uid="{00000000-0005-0000-0000-000095470000}"/>
    <cellStyle name="Финансовый 36 4 2 2 2 3 5 2" xfId="32945" xr:uid="{6A6661A4-82E6-461D-B733-350667663FA1}"/>
    <cellStyle name="Финансовый 36 4 2 2 2 3 6" xfId="19013" xr:uid="{00000000-0005-0000-0000-000096470000}"/>
    <cellStyle name="Финансовый 36 4 2 2 2 3 6 2" xfId="36026" xr:uid="{669349FA-5179-4C33-89A1-672DB0EC1903}"/>
    <cellStyle name="Финансовый 36 4 2 2 2 3 7" xfId="26716" xr:uid="{889E9A81-C2C3-48E1-BE63-9D4D8C1E167B}"/>
    <cellStyle name="Финансовый 36 4 2 2 2 4" xfId="9619" xr:uid="{00000000-0005-0000-0000-000097470000}"/>
    <cellStyle name="Финансовый 36 4 2 2 2 4 2" xfId="9620" xr:uid="{00000000-0005-0000-0000-000098470000}"/>
    <cellStyle name="Финансовый 36 4 2 2 2 4 2 2" xfId="12705" xr:uid="{00000000-0005-0000-0000-000099470000}"/>
    <cellStyle name="Финансовый 36 4 2 2 2 4 2 2 2" xfId="29794" xr:uid="{F1F93542-B36D-4AE8-9EBD-616D81A88A8C}"/>
    <cellStyle name="Финансовый 36 4 2 2 2 4 2 3" xfId="15937" xr:uid="{00000000-0005-0000-0000-00009A470000}"/>
    <cellStyle name="Финансовый 36 4 2 2 2 4 2 3 2" xfId="32950" xr:uid="{6E559F5A-DEBC-465B-BB37-7A205155393B}"/>
    <cellStyle name="Финансовый 36 4 2 2 2 4 2 4" xfId="19018" xr:uid="{00000000-0005-0000-0000-00009B470000}"/>
    <cellStyle name="Финансовый 36 4 2 2 2 4 2 4 2" xfId="36031" xr:uid="{66E04387-D509-40AB-9EE6-2821B6630555}"/>
    <cellStyle name="Финансовый 36 4 2 2 2 4 2 5" xfId="26721" xr:uid="{188EB8AF-8F13-4C22-964F-5D06338A8548}"/>
    <cellStyle name="Финансовый 36 4 2 2 2 4 3" xfId="12704" xr:uid="{00000000-0005-0000-0000-00009C470000}"/>
    <cellStyle name="Финансовый 36 4 2 2 2 4 3 2" xfId="29793" xr:uid="{07A79A5E-CC24-4BBB-BF5C-0E44CCC7A7E5}"/>
    <cellStyle name="Финансовый 36 4 2 2 2 4 4" xfId="15936" xr:uid="{00000000-0005-0000-0000-00009D470000}"/>
    <cellStyle name="Финансовый 36 4 2 2 2 4 4 2" xfId="32949" xr:uid="{BEDA5D05-0D6A-43D6-8074-D09DC60FA83F}"/>
    <cellStyle name="Финансовый 36 4 2 2 2 4 5" xfId="19017" xr:uid="{00000000-0005-0000-0000-00009E470000}"/>
    <cellStyle name="Финансовый 36 4 2 2 2 4 5 2" xfId="36030" xr:uid="{F3C637C1-CD45-45A5-B605-741D3C153D14}"/>
    <cellStyle name="Финансовый 36 4 2 2 2 4 6" xfId="26720" xr:uid="{C1B6C90C-1F37-4979-A8A7-4363C204777F}"/>
    <cellStyle name="Финансовый 36 4 2 2 2 5" xfId="9621" xr:uid="{00000000-0005-0000-0000-00009F470000}"/>
    <cellStyle name="Финансовый 36 4 2 2 2 5 2" xfId="12706" xr:uid="{00000000-0005-0000-0000-0000A0470000}"/>
    <cellStyle name="Финансовый 36 4 2 2 2 5 2 2" xfId="29795" xr:uid="{77E7ED10-14D9-4389-9109-DBD74FB8EECF}"/>
    <cellStyle name="Финансовый 36 4 2 2 2 5 3" xfId="15938" xr:uid="{00000000-0005-0000-0000-0000A1470000}"/>
    <cellStyle name="Финансовый 36 4 2 2 2 5 3 2" xfId="32951" xr:uid="{4E07986E-CB3A-4176-A630-437F55047612}"/>
    <cellStyle name="Финансовый 36 4 2 2 2 5 4" xfId="19019" xr:uid="{00000000-0005-0000-0000-0000A2470000}"/>
    <cellStyle name="Финансовый 36 4 2 2 2 5 4 2" xfId="36032" xr:uid="{A58AB4A6-134B-41C9-9586-7EA42E45A0FB}"/>
    <cellStyle name="Финансовый 36 4 2 2 2 5 5" xfId="26722" xr:uid="{4FE8F84A-F9FA-4301-B209-A5C38D8D623F}"/>
    <cellStyle name="Финансовый 36 4 2 2 2 6" xfId="12691" xr:uid="{00000000-0005-0000-0000-0000A3470000}"/>
    <cellStyle name="Финансовый 36 4 2 2 2 6 2" xfId="29780" xr:uid="{F8A99A8F-1B85-4354-A012-B3E2160B6671}"/>
    <cellStyle name="Финансовый 36 4 2 2 2 7" xfId="15923" xr:uid="{00000000-0005-0000-0000-0000A4470000}"/>
    <cellStyle name="Финансовый 36 4 2 2 2 7 2" xfId="32936" xr:uid="{02073115-E9C5-40E9-ACA4-F79135266E67}"/>
    <cellStyle name="Финансовый 36 4 2 2 2 8" xfId="19004" xr:uid="{00000000-0005-0000-0000-0000A5470000}"/>
    <cellStyle name="Финансовый 36 4 2 2 2 8 2" xfId="36017" xr:uid="{533A8CB8-AC13-4CCE-BC28-29AB45160286}"/>
    <cellStyle name="Финансовый 36 4 2 2 2 9" xfId="26707" xr:uid="{CDAB27AA-257B-429E-9739-E3EDB787CC92}"/>
    <cellStyle name="Финансовый 36 4 2 2 3" xfId="9622" xr:uid="{00000000-0005-0000-0000-0000A6470000}"/>
    <cellStyle name="Финансовый 36 4 2 2 3 2" xfId="9623" xr:uid="{00000000-0005-0000-0000-0000A7470000}"/>
    <cellStyle name="Финансовый 36 4 2 2 3 2 2" xfId="9624" xr:uid="{00000000-0005-0000-0000-0000A8470000}"/>
    <cellStyle name="Финансовый 36 4 2 2 3 2 2 2" xfId="9625" xr:uid="{00000000-0005-0000-0000-0000A9470000}"/>
    <cellStyle name="Финансовый 36 4 2 2 3 2 2 2 2" xfId="12710" xr:uid="{00000000-0005-0000-0000-0000AA470000}"/>
    <cellStyle name="Финансовый 36 4 2 2 3 2 2 2 2 2" xfId="29799" xr:uid="{A797900E-2538-420B-B722-A7B5C9EDA712}"/>
    <cellStyle name="Финансовый 36 4 2 2 3 2 2 2 3" xfId="15942" xr:uid="{00000000-0005-0000-0000-0000AB470000}"/>
    <cellStyle name="Финансовый 36 4 2 2 3 2 2 2 3 2" xfId="32955" xr:uid="{16D3AF55-88EF-442D-97D3-B69602DCE381}"/>
    <cellStyle name="Финансовый 36 4 2 2 3 2 2 2 4" xfId="19023" xr:uid="{00000000-0005-0000-0000-0000AC470000}"/>
    <cellStyle name="Финансовый 36 4 2 2 3 2 2 2 4 2" xfId="36036" xr:uid="{6C374D83-01E3-4A35-A1DA-FE694447E20B}"/>
    <cellStyle name="Финансовый 36 4 2 2 3 2 2 2 5" xfId="26726" xr:uid="{14991451-313C-4AE7-BC59-38F41C5AE23A}"/>
    <cellStyle name="Финансовый 36 4 2 2 3 2 2 3" xfId="12709" xr:uid="{00000000-0005-0000-0000-0000AD470000}"/>
    <cellStyle name="Финансовый 36 4 2 2 3 2 2 3 2" xfId="29798" xr:uid="{5B66A4AA-2B37-40BC-96A9-F430688DAAF3}"/>
    <cellStyle name="Финансовый 36 4 2 2 3 2 2 4" xfId="15941" xr:uid="{00000000-0005-0000-0000-0000AE470000}"/>
    <cellStyle name="Финансовый 36 4 2 2 3 2 2 4 2" xfId="32954" xr:uid="{3E0BDD4B-3953-409D-9C74-F386D06086F3}"/>
    <cellStyle name="Финансовый 36 4 2 2 3 2 2 5" xfId="19022" xr:uid="{00000000-0005-0000-0000-0000AF470000}"/>
    <cellStyle name="Финансовый 36 4 2 2 3 2 2 5 2" xfId="36035" xr:uid="{FB761E28-70CB-4DC1-955E-27F88BDD2845}"/>
    <cellStyle name="Финансовый 36 4 2 2 3 2 2 6" xfId="26725" xr:uid="{3DF62625-F019-4BC6-B021-939B5A18C376}"/>
    <cellStyle name="Финансовый 36 4 2 2 3 2 3" xfId="9626" xr:uid="{00000000-0005-0000-0000-0000B0470000}"/>
    <cellStyle name="Финансовый 36 4 2 2 3 2 3 2" xfId="12711" xr:uid="{00000000-0005-0000-0000-0000B1470000}"/>
    <cellStyle name="Финансовый 36 4 2 2 3 2 3 2 2" xfId="29800" xr:uid="{511CC6C4-5E95-49A0-83D9-8A877A2C11E5}"/>
    <cellStyle name="Финансовый 36 4 2 2 3 2 3 3" xfId="15943" xr:uid="{00000000-0005-0000-0000-0000B2470000}"/>
    <cellStyle name="Финансовый 36 4 2 2 3 2 3 3 2" xfId="32956" xr:uid="{630F0F7D-4530-44B7-B565-8B0B2AA5C655}"/>
    <cellStyle name="Финансовый 36 4 2 2 3 2 3 4" xfId="19024" xr:uid="{00000000-0005-0000-0000-0000B3470000}"/>
    <cellStyle name="Финансовый 36 4 2 2 3 2 3 4 2" xfId="36037" xr:uid="{4D9DD092-DA16-4184-9906-58DEC8F4D71F}"/>
    <cellStyle name="Финансовый 36 4 2 2 3 2 3 5" xfId="26727" xr:uid="{285A2BBB-58DF-4BBA-93EB-A4281FEBD0BF}"/>
    <cellStyle name="Финансовый 36 4 2 2 3 2 4" xfId="12708" xr:uid="{00000000-0005-0000-0000-0000B4470000}"/>
    <cellStyle name="Финансовый 36 4 2 2 3 2 4 2" xfId="29797" xr:uid="{98108D81-BA17-40DC-A8D1-9BAF4D853B27}"/>
    <cellStyle name="Финансовый 36 4 2 2 3 2 5" xfId="15940" xr:uid="{00000000-0005-0000-0000-0000B5470000}"/>
    <cellStyle name="Финансовый 36 4 2 2 3 2 5 2" xfId="32953" xr:uid="{851CDB1A-FE37-4AE7-AFA2-21D622F35A31}"/>
    <cellStyle name="Финансовый 36 4 2 2 3 2 6" xfId="19021" xr:uid="{00000000-0005-0000-0000-0000B6470000}"/>
    <cellStyle name="Финансовый 36 4 2 2 3 2 6 2" xfId="36034" xr:uid="{2EB561DA-14E7-4226-B22A-945A1FA50EE1}"/>
    <cellStyle name="Финансовый 36 4 2 2 3 2 7" xfId="26724" xr:uid="{76AE60F2-4AF0-4659-B2C0-412B864C2530}"/>
    <cellStyle name="Финансовый 36 4 2 2 3 3" xfId="9627" xr:uid="{00000000-0005-0000-0000-0000B7470000}"/>
    <cellStyle name="Финансовый 36 4 2 2 3 3 2" xfId="9628" xr:uid="{00000000-0005-0000-0000-0000B8470000}"/>
    <cellStyle name="Финансовый 36 4 2 2 3 3 2 2" xfId="12713" xr:uid="{00000000-0005-0000-0000-0000B9470000}"/>
    <cellStyle name="Финансовый 36 4 2 2 3 3 2 2 2" xfId="29802" xr:uid="{1906DD27-34B1-4AF8-B8DB-937E1F11649E}"/>
    <cellStyle name="Финансовый 36 4 2 2 3 3 2 3" xfId="15945" xr:uid="{00000000-0005-0000-0000-0000BA470000}"/>
    <cellStyle name="Финансовый 36 4 2 2 3 3 2 3 2" xfId="32958" xr:uid="{819FA2C8-50D0-4C6A-9C04-6BFCE1D9E93C}"/>
    <cellStyle name="Финансовый 36 4 2 2 3 3 2 4" xfId="19026" xr:uid="{00000000-0005-0000-0000-0000BB470000}"/>
    <cellStyle name="Финансовый 36 4 2 2 3 3 2 4 2" xfId="36039" xr:uid="{950B3767-770F-46DC-80EE-1EE9A7853067}"/>
    <cellStyle name="Финансовый 36 4 2 2 3 3 2 5" xfId="26729" xr:uid="{FB080320-A9BA-44A0-A3BD-AACE58E5C52E}"/>
    <cellStyle name="Финансовый 36 4 2 2 3 3 3" xfId="12712" xr:uid="{00000000-0005-0000-0000-0000BC470000}"/>
    <cellStyle name="Финансовый 36 4 2 2 3 3 3 2" xfId="29801" xr:uid="{DF944AF9-3B0E-4995-9087-8CB94DAE518D}"/>
    <cellStyle name="Финансовый 36 4 2 2 3 3 4" xfId="15944" xr:uid="{00000000-0005-0000-0000-0000BD470000}"/>
    <cellStyle name="Финансовый 36 4 2 2 3 3 4 2" xfId="32957" xr:uid="{341E6D5F-16F0-4766-B6E5-F305F5EDD451}"/>
    <cellStyle name="Финансовый 36 4 2 2 3 3 5" xfId="19025" xr:uid="{00000000-0005-0000-0000-0000BE470000}"/>
    <cellStyle name="Финансовый 36 4 2 2 3 3 5 2" xfId="36038" xr:uid="{AA2E6072-F44D-4CFC-970E-8A6FD21DCBD0}"/>
    <cellStyle name="Финансовый 36 4 2 2 3 3 6" xfId="26728" xr:uid="{81F8A19D-1BBC-44B9-81ED-EDEDF42F7DC4}"/>
    <cellStyle name="Финансовый 36 4 2 2 3 4" xfId="9629" xr:uid="{00000000-0005-0000-0000-0000BF470000}"/>
    <cellStyle name="Финансовый 36 4 2 2 3 4 2" xfId="12714" xr:uid="{00000000-0005-0000-0000-0000C0470000}"/>
    <cellStyle name="Финансовый 36 4 2 2 3 4 2 2" xfId="29803" xr:uid="{541BB471-1D57-4B0A-9AE5-AA91F54FB0B7}"/>
    <cellStyle name="Финансовый 36 4 2 2 3 4 3" xfId="15946" xr:uid="{00000000-0005-0000-0000-0000C1470000}"/>
    <cellStyle name="Финансовый 36 4 2 2 3 4 3 2" xfId="32959" xr:uid="{727D5466-EA47-4310-8FDE-598A6E7F874C}"/>
    <cellStyle name="Финансовый 36 4 2 2 3 4 4" xfId="19027" xr:uid="{00000000-0005-0000-0000-0000C2470000}"/>
    <cellStyle name="Финансовый 36 4 2 2 3 4 4 2" xfId="36040" xr:uid="{D99C28CF-4EB7-4C27-9E92-01F575710CC6}"/>
    <cellStyle name="Финансовый 36 4 2 2 3 4 5" xfId="26730" xr:uid="{FE268C6F-8376-4BFC-947F-41F8B4DAA4B9}"/>
    <cellStyle name="Финансовый 36 4 2 2 3 5" xfId="12707" xr:uid="{00000000-0005-0000-0000-0000C3470000}"/>
    <cellStyle name="Финансовый 36 4 2 2 3 5 2" xfId="29796" xr:uid="{E47FC444-9AFA-4124-9B98-0C488BCFC4B5}"/>
    <cellStyle name="Финансовый 36 4 2 2 3 6" xfId="15939" xr:uid="{00000000-0005-0000-0000-0000C4470000}"/>
    <cellStyle name="Финансовый 36 4 2 2 3 6 2" xfId="32952" xr:uid="{D1D00014-2E8A-4997-ABEB-CFD9B92B2075}"/>
    <cellStyle name="Финансовый 36 4 2 2 3 7" xfId="19020" xr:uid="{00000000-0005-0000-0000-0000C5470000}"/>
    <cellStyle name="Финансовый 36 4 2 2 3 7 2" xfId="36033" xr:uid="{2D9C4B76-C6BF-4C0A-89AC-AEA70313D999}"/>
    <cellStyle name="Финансовый 36 4 2 2 3 8" xfId="26723" xr:uid="{C4B5BF4E-74BE-43B3-8B49-C17EFECA8C8B}"/>
    <cellStyle name="Финансовый 36 4 2 2 4" xfId="9630" xr:uid="{00000000-0005-0000-0000-0000C6470000}"/>
    <cellStyle name="Финансовый 36 4 2 2 4 2" xfId="9631" xr:uid="{00000000-0005-0000-0000-0000C7470000}"/>
    <cellStyle name="Финансовый 36 4 2 2 4 2 2" xfId="9632" xr:uid="{00000000-0005-0000-0000-0000C8470000}"/>
    <cellStyle name="Финансовый 36 4 2 2 4 2 2 2" xfId="12717" xr:uid="{00000000-0005-0000-0000-0000C9470000}"/>
    <cellStyle name="Финансовый 36 4 2 2 4 2 2 2 2" xfId="29806" xr:uid="{63A8DC98-5C9C-4638-98B9-C1E641BB346B}"/>
    <cellStyle name="Финансовый 36 4 2 2 4 2 2 3" xfId="15949" xr:uid="{00000000-0005-0000-0000-0000CA470000}"/>
    <cellStyle name="Финансовый 36 4 2 2 4 2 2 3 2" xfId="32962" xr:uid="{BE3E97EF-3BB4-491D-BC7E-96B91967234A}"/>
    <cellStyle name="Финансовый 36 4 2 2 4 2 2 4" xfId="19030" xr:uid="{00000000-0005-0000-0000-0000CB470000}"/>
    <cellStyle name="Финансовый 36 4 2 2 4 2 2 4 2" xfId="36043" xr:uid="{3C0561E2-FD4E-44E5-B2A8-0DFCDD2D2130}"/>
    <cellStyle name="Финансовый 36 4 2 2 4 2 2 5" xfId="26733" xr:uid="{530A6E8C-EF9A-454F-94BD-A8CD64CAD333}"/>
    <cellStyle name="Финансовый 36 4 2 2 4 2 3" xfId="12716" xr:uid="{00000000-0005-0000-0000-0000CC470000}"/>
    <cellStyle name="Финансовый 36 4 2 2 4 2 3 2" xfId="29805" xr:uid="{61DEA269-D510-4797-84B7-449C54CE7EC4}"/>
    <cellStyle name="Финансовый 36 4 2 2 4 2 4" xfId="15948" xr:uid="{00000000-0005-0000-0000-0000CD470000}"/>
    <cellStyle name="Финансовый 36 4 2 2 4 2 4 2" xfId="32961" xr:uid="{0751509A-9653-4AB0-A9A1-AD8243247D8D}"/>
    <cellStyle name="Финансовый 36 4 2 2 4 2 5" xfId="19029" xr:uid="{00000000-0005-0000-0000-0000CE470000}"/>
    <cellStyle name="Финансовый 36 4 2 2 4 2 5 2" xfId="36042" xr:uid="{FDD60C41-3B53-4874-951D-134811F78C51}"/>
    <cellStyle name="Финансовый 36 4 2 2 4 2 6" xfId="26732" xr:uid="{DD1217B1-3BAD-4440-B17A-F313C89C4EB5}"/>
    <cellStyle name="Финансовый 36 4 2 2 4 3" xfId="9633" xr:uid="{00000000-0005-0000-0000-0000CF470000}"/>
    <cellStyle name="Финансовый 36 4 2 2 4 3 2" xfId="12718" xr:uid="{00000000-0005-0000-0000-0000D0470000}"/>
    <cellStyle name="Финансовый 36 4 2 2 4 3 2 2" xfId="29807" xr:uid="{4B6D53B4-8649-4733-8AD6-EEACCC90A10A}"/>
    <cellStyle name="Финансовый 36 4 2 2 4 3 3" xfId="15950" xr:uid="{00000000-0005-0000-0000-0000D1470000}"/>
    <cellStyle name="Финансовый 36 4 2 2 4 3 3 2" xfId="32963" xr:uid="{CE28E3E1-218F-4683-8D99-D09D8485ABEE}"/>
    <cellStyle name="Финансовый 36 4 2 2 4 3 4" xfId="19031" xr:uid="{00000000-0005-0000-0000-0000D2470000}"/>
    <cellStyle name="Финансовый 36 4 2 2 4 3 4 2" xfId="36044" xr:uid="{E7D8A530-F86C-40F5-A9C4-8ACCE79EC385}"/>
    <cellStyle name="Финансовый 36 4 2 2 4 3 5" xfId="26734" xr:uid="{5F6F1D58-A2F4-4644-AFCD-6A1C478B6B10}"/>
    <cellStyle name="Финансовый 36 4 2 2 4 4" xfId="12715" xr:uid="{00000000-0005-0000-0000-0000D3470000}"/>
    <cellStyle name="Финансовый 36 4 2 2 4 4 2" xfId="29804" xr:uid="{0951EBCF-19AB-4171-821A-F2B0CFEFD44C}"/>
    <cellStyle name="Финансовый 36 4 2 2 4 5" xfId="15947" xr:uid="{00000000-0005-0000-0000-0000D4470000}"/>
    <cellStyle name="Финансовый 36 4 2 2 4 5 2" xfId="32960" xr:uid="{39A3D76A-C7A3-41F9-86B9-121861C64A5F}"/>
    <cellStyle name="Финансовый 36 4 2 2 4 6" xfId="19028" xr:uid="{00000000-0005-0000-0000-0000D5470000}"/>
    <cellStyle name="Финансовый 36 4 2 2 4 6 2" xfId="36041" xr:uid="{8FA6E61D-E4ED-4106-8CB0-16183A1605C5}"/>
    <cellStyle name="Финансовый 36 4 2 2 4 7" xfId="26731" xr:uid="{551FF32B-96FB-46FB-871C-225FA53C08D8}"/>
    <cellStyle name="Финансовый 36 4 2 2 5" xfId="9634" xr:uid="{00000000-0005-0000-0000-0000D6470000}"/>
    <cellStyle name="Финансовый 36 4 2 2 5 2" xfId="9635" xr:uid="{00000000-0005-0000-0000-0000D7470000}"/>
    <cellStyle name="Финансовый 36 4 2 2 5 2 2" xfId="12720" xr:uid="{00000000-0005-0000-0000-0000D8470000}"/>
    <cellStyle name="Финансовый 36 4 2 2 5 2 2 2" xfId="29809" xr:uid="{BC302BB8-1051-4CEB-B51B-7D1A5BDAD8EC}"/>
    <cellStyle name="Финансовый 36 4 2 2 5 2 3" xfId="15952" xr:uid="{00000000-0005-0000-0000-0000D9470000}"/>
    <cellStyle name="Финансовый 36 4 2 2 5 2 3 2" xfId="32965" xr:uid="{7EEC2F61-0ECE-4CDC-BFE8-69E4358A6F16}"/>
    <cellStyle name="Финансовый 36 4 2 2 5 2 4" xfId="19033" xr:uid="{00000000-0005-0000-0000-0000DA470000}"/>
    <cellStyle name="Финансовый 36 4 2 2 5 2 4 2" xfId="36046" xr:uid="{4BBA1C95-E91B-45E6-8BB0-482F3C5F1F6F}"/>
    <cellStyle name="Финансовый 36 4 2 2 5 2 5" xfId="26736" xr:uid="{B4F4E41B-5AE6-4C8B-BADF-9900E0B33465}"/>
    <cellStyle name="Финансовый 36 4 2 2 5 3" xfId="12719" xr:uid="{00000000-0005-0000-0000-0000DB470000}"/>
    <cellStyle name="Финансовый 36 4 2 2 5 3 2" xfId="29808" xr:uid="{E4AA0DF3-F45A-4DFC-B545-167FD86EA547}"/>
    <cellStyle name="Финансовый 36 4 2 2 5 4" xfId="15951" xr:uid="{00000000-0005-0000-0000-0000DC470000}"/>
    <cellStyle name="Финансовый 36 4 2 2 5 4 2" xfId="32964" xr:uid="{C7B0B983-1B51-40F1-896F-0E491E861EE5}"/>
    <cellStyle name="Финансовый 36 4 2 2 5 5" xfId="19032" xr:uid="{00000000-0005-0000-0000-0000DD470000}"/>
    <cellStyle name="Финансовый 36 4 2 2 5 5 2" xfId="36045" xr:uid="{5BEC3500-694E-419D-8109-939954D58847}"/>
    <cellStyle name="Финансовый 36 4 2 2 5 6" xfId="26735" xr:uid="{8D690D9F-D99D-40C2-83F7-8BFA8D26F14A}"/>
    <cellStyle name="Финансовый 36 4 2 2 6" xfId="9636" xr:uid="{00000000-0005-0000-0000-0000DE470000}"/>
    <cellStyle name="Финансовый 36 4 2 2 6 2" xfId="12721" xr:uid="{00000000-0005-0000-0000-0000DF470000}"/>
    <cellStyle name="Финансовый 36 4 2 2 6 2 2" xfId="29810" xr:uid="{D7647854-DDDC-4D1D-8075-49F0D63DA518}"/>
    <cellStyle name="Финансовый 36 4 2 2 6 3" xfId="15953" xr:uid="{00000000-0005-0000-0000-0000E0470000}"/>
    <cellStyle name="Финансовый 36 4 2 2 6 3 2" xfId="32966" xr:uid="{24008154-46F3-4EF0-B401-B3F8D593AF66}"/>
    <cellStyle name="Финансовый 36 4 2 2 6 4" xfId="19034" xr:uid="{00000000-0005-0000-0000-0000E1470000}"/>
    <cellStyle name="Финансовый 36 4 2 2 6 4 2" xfId="36047" xr:uid="{BB0EF1C3-192F-490E-A8D7-34C19C67936A}"/>
    <cellStyle name="Финансовый 36 4 2 2 6 5" xfId="26737" xr:uid="{FEFC06B8-33D4-4326-9E24-78893BA12AEA}"/>
    <cellStyle name="Финансовый 36 4 2 2 7" xfId="12690" xr:uid="{00000000-0005-0000-0000-0000E2470000}"/>
    <cellStyle name="Финансовый 36 4 2 2 7 2" xfId="29779" xr:uid="{1FD125E1-F0EB-4C7D-AE7E-DB82F22CCD05}"/>
    <cellStyle name="Финансовый 36 4 2 2 8" xfId="15922" xr:uid="{00000000-0005-0000-0000-0000E3470000}"/>
    <cellStyle name="Финансовый 36 4 2 2 8 2" xfId="32935" xr:uid="{F4952168-97A8-46DD-A45F-300C67FA107D}"/>
    <cellStyle name="Финансовый 36 4 2 2 9" xfId="19003" xr:uid="{00000000-0005-0000-0000-0000E4470000}"/>
    <cellStyle name="Финансовый 36 4 2 2 9 2" xfId="36016" xr:uid="{21DCE5C6-17B7-494F-A849-B65ECD28A0AD}"/>
    <cellStyle name="Финансовый 36 4 2 3" xfId="9637" xr:uid="{00000000-0005-0000-0000-0000E5470000}"/>
    <cellStyle name="Финансовый 36 4 2 3 2" xfId="9638" xr:uid="{00000000-0005-0000-0000-0000E6470000}"/>
    <cellStyle name="Финансовый 36 4 2 3 2 2" xfId="9639" xr:uid="{00000000-0005-0000-0000-0000E7470000}"/>
    <cellStyle name="Финансовый 36 4 2 3 2 2 2" xfId="9640" xr:uid="{00000000-0005-0000-0000-0000E8470000}"/>
    <cellStyle name="Финансовый 36 4 2 3 2 2 2 2" xfId="9641" xr:uid="{00000000-0005-0000-0000-0000E9470000}"/>
    <cellStyle name="Финансовый 36 4 2 3 2 2 2 2 2" xfId="12726" xr:uid="{00000000-0005-0000-0000-0000EA470000}"/>
    <cellStyle name="Финансовый 36 4 2 3 2 2 2 2 2 2" xfId="29815" xr:uid="{E5861528-7E3B-4DBE-BE27-A96D51E932D4}"/>
    <cellStyle name="Финансовый 36 4 2 3 2 2 2 2 3" xfId="15958" xr:uid="{00000000-0005-0000-0000-0000EB470000}"/>
    <cellStyle name="Финансовый 36 4 2 3 2 2 2 2 3 2" xfId="32971" xr:uid="{BB574D24-0FA3-4D53-80CD-DAA3CB8C3320}"/>
    <cellStyle name="Финансовый 36 4 2 3 2 2 2 2 4" xfId="19039" xr:uid="{00000000-0005-0000-0000-0000EC470000}"/>
    <cellStyle name="Финансовый 36 4 2 3 2 2 2 2 4 2" xfId="36052" xr:uid="{A1CADB33-4DAD-4FEC-B908-2409A3B4D451}"/>
    <cellStyle name="Финансовый 36 4 2 3 2 2 2 2 5" xfId="26742" xr:uid="{3BDDF752-8F90-4648-9A90-6E397CC472C8}"/>
    <cellStyle name="Финансовый 36 4 2 3 2 2 2 3" xfId="12725" xr:uid="{00000000-0005-0000-0000-0000ED470000}"/>
    <cellStyle name="Финансовый 36 4 2 3 2 2 2 3 2" xfId="29814" xr:uid="{FDEC8F09-6CC3-4E2E-A245-098BEA0F1EA3}"/>
    <cellStyle name="Финансовый 36 4 2 3 2 2 2 4" xfId="15957" xr:uid="{00000000-0005-0000-0000-0000EE470000}"/>
    <cellStyle name="Финансовый 36 4 2 3 2 2 2 4 2" xfId="32970" xr:uid="{5259C7EC-729C-4458-B0C8-BA42CE5169C8}"/>
    <cellStyle name="Финансовый 36 4 2 3 2 2 2 5" xfId="19038" xr:uid="{00000000-0005-0000-0000-0000EF470000}"/>
    <cellStyle name="Финансовый 36 4 2 3 2 2 2 5 2" xfId="36051" xr:uid="{84A0C108-5E2A-464F-BA16-314E9DC0604C}"/>
    <cellStyle name="Финансовый 36 4 2 3 2 2 2 6" xfId="26741" xr:uid="{3B3D50C8-C35B-4E54-B6A6-C55DC19741A5}"/>
    <cellStyle name="Финансовый 36 4 2 3 2 2 3" xfId="9642" xr:uid="{00000000-0005-0000-0000-0000F0470000}"/>
    <cellStyle name="Финансовый 36 4 2 3 2 2 3 2" xfId="12727" xr:uid="{00000000-0005-0000-0000-0000F1470000}"/>
    <cellStyle name="Финансовый 36 4 2 3 2 2 3 2 2" xfId="29816" xr:uid="{87C13095-DDFB-47DE-AF9D-C9A30C4A3F21}"/>
    <cellStyle name="Финансовый 36 4 2 3 2 2 3 3" xfId="15959" xr:uid="{00000000-0005-0000-0000-0000F2470000}"/>
    <cellStyle name="Финансовый 36 4 2 3 2 2 3 3 2" xfId="32972" xr:uid="{A3BBB252-4198-49D4-899E-2B29279C6677}"/>
    <cellStyle name="Финансовый 36 4 2 3 2 2 3 4" xfId="19040" xr:uid="{00000000-0005-0000-0000-0000F3470000}"/>
    <cellStyle name="Финансовый 36 4 2 3 2 2 3 4 2" xfId="36053" xr:uid="{64054E65-2983-4060-90F0-F7996C7F9625}"/>
    <cellStyle name="Финансовый 36 4 2 3 2 2 3 5" xfId="26743" xr:uid="{E26D38CA-E2E3-4B28-91D9-DDD9C48809DE}"/>
    <cellStyle name="Финансовый 36 4 2 3 2 2 4" xfId="12724" xr:uid="{00000000-0005-0000-0000-0000F4470000}"/>
    <cellStyle name="Финансовый 36 4 2 3 2 2 4 2" xfId="29813" xr:uid="{C20EF231-753E-4907-9AC9-A8E1377B031E}"/>
    <cellStyle name="Финансовый 36 4 2 3 2 2 5" xfId="15956" xr:uid="{00000000-0005-0000-0000-0000F5470000}"/>
    <cellStyle name="Финансовый 36 4 2 3 2 2 5 2" xfId="32969" xr:uid="{44CE9364-BFE5-4150-84C6-49C3F9CEB983}"/>
    <cellStyle name="Финансовый 36 4 2 3 2 2 6" xfId="19037" xr:uid="{00000000-0005-0000-0000-0000F6470000}"/>
    <cellStyle name="Финансовый 36 4 2 3 2 2 6 2" xfId="36050" xr:uid="{DAE3A227-E2ED-41BD-BB21-B3D18A348305}"/>
    <cellStyle name="Финансовый 36 4 2 3 2 2 7" xfId="26740" xr:uid="{D10ABF7E-F018-4308-9D03-984B6E397ED7}"/>
    <cellStyle name="Финансовый 36 4 2 3 2 3" xfId="9643" xr:uid="{00000000-0005-0000-0000-0000F7470000}"/>
    <cellStyle name="Финансовый 36 4 2 3 2 3 2" xfId="9644" xr:uid="{00000000-0005-0000-0000-0000F8470000}"/>
    <cellStyle name="Финансовый 36 4 2 3 2 3 2 2" xfId="12729" xr:uid="{00000000-0005-0000-0000-0000F9470000}"/>
    <cellStyle name="Финансовый 36 4 2 3 2 3 2 2 2" xfId="29818" xr:uid="{4AF63FD9-2B30-42A1-9D24-86765F8D536B}"/>
    <cellStyle name="Финансовый 36 4 2 3 2 3 2 3" xfId="15961" xr:uid="{00000000-0005-0000-0000-0000FA470000}"/>
    <cellStyle name="Финансовый 36 4 2 3 2 3 2 3 2" xfId="32974" xr:uid="{EF0D7452-5066-4F57-AD95-B82C2C3C3522}"/>
    <cellStyle name="Финансовый 36 4 2 3 2 3 2 4" xfId="19042" xr:uid="{00000000-0005-0000-0000-0000FB470000}"/>
    <cellStyle name="Финансовый 36 4 2 3 2 3 2 4 2" xfId="36055" xr:uid="{79811A0B-A813-437C-8D4D-079AAE6FE9AF}"/>
    <cellStyle name="Финансовый 36 4 2 3 2 3 2 5" xfId="26745" xr:uid="{646AF92E-2C85-436C-B381-003DBDED9479}"/>
    <cellStyle name="Финансовый 36 4 2 3 2 3 3" xfId="12728" xr:uid="{00000000-0005-0000-0000-0000FC470000}"/>
    <cellStyle name="Финансовый 36 4 2 3 2 3 3 2" xfId="29817" xr:uid="{0472E4D8-E13C-4A1E-909E-BB13F4568CB0}"/>
    <cellStyle name="Финансовый 36 4 2 3 2 3 4" xfId="15960" xr:uid="{00000000-0005-0000-0000-0000FD470000}"/>
    <cellStyle name="Финансовый 36 4 2 3 2 3 4 2" xfId="32973" xr:uid="{C9769D7A-5AF5-4139-B831-605DF39F26E1}"/>
    <cellStyle name="Финансовый 36 4 2 3 2 3 5" xfId="19041" xr:uid="{00000000-0005-0000-0000-0000FE470000}"/>
    <cellStyle name="Финансовый 36 4 2 3 2 3 5 2" xfId="36054" xr:uid="{30D4973B-2706-4D6F-86AC-FE7187578206}"/>
    <cellStyle name="Финансовый 36 4 2 3 2 3 6" xfId="26744" xr:uid="{626213AF-3506-482A-A680-288DADABD067}"/>
    <cellStyle name="Финансовый 36 4 2 3 2 4" xfId="9645" xr:uid="{00000000-0005-0000-0000-0000FF470000}"/>
    <cellStyle name="Финансовый 36 4 2 3 2 4 2" xfId="12730" xr:uid="{00000000-0005-0000-0000-000000480000}"/>
    <cellStyle name="Финансовый 36 4 2 3 2 4 2 2" xfId="29819" xr:uid="{F28BB55D-3BC0-4F1D-A44D-BE9699E452AD}"/>
    <cellStyle name="Финансовый 36 4 2 3 2 4 3" xfId="15962" xr:uid="{00000000-0005-0000-0000-000001480000}"/>
    <cellStyle name="Финансовый 36 4 2 3 2 4 3 2" xfId="32975" xr:uid="{8B4C5280-3BC4-4B15-9719-C81F307CDEFA}"/>
    <cellStyle name="Финансовый 36 4 2 3 2 4 4" xfId="19043" xr:uid="{00000000-0005-0000-0000-000002480000}"/>
    <cellStyle name="Финансовый 36 4 2 3 2 4 4 2" xfId="36056" xr:uid="{8E0B8BD2-DC07-421E-B07C-4B670FF9CA02}"/>
    <cellStyle name="Финансовый 36 4 2 3 2 4 5" xfId="26746" xr:uid="{349E09A0-0E89-460E-8DDA-33A7184EBB75}"/>
    <cellStyle name="Финансовый 36 4 2 3 2 5" xfId="12723" xr:uid="{00000000-0005-0000-0000-000003480000}"/>
    <cellStyle name="Финансовый 36 4 2 3 2 5 2" xfId="29812" xr:uid="{C673BEE1-EB43-4F6C-A5B9-BF5741677856}"/>
    <cellStyle name="Финансовый 36 4 2 3 2 6" xfId="15955" xr:uid="{00000000-0005-0000-0000-000004480000}"/>
    <cellStyle name="Финансовый 36 4 2 3 2 6 2" xfId="32968" xr:uid="{AFED87B9-9674-49CD-9B26-2975F9FC1779}"/>
    <cellStyle name="Финансовый 36 4 2 3 2 7" xfId="19036" xr:uid="{00000000-0005-0000-0000-000005480000}"/>
    <cellStyle name="Финансовый 36 4 2 3 2 7 2" xfId="36049" xr:uid="{8EA1957A-AD33-4BEC-AA99-BBC8AF61D241}"/>
    <cellStyle name="Финансовый 36 4 2 3 2 8" xfId="26739" xr:uid="{125B7C76-510B-4868-BD43-3F803C641B36}"/>
    <cellStyle name="Финансовый 36 4 2 3 3" xfId="9646" xr:uid="{00000000-0005-0000-0000-000006480000}"/>
    <cellStyle name="Финансовый 36 4 2 3 3 2" xfId="9647" xr:uid="{00000000-0005-0000-0000-000007480000}"/>
    <cellStyle name="Финансовый 36 4 2 3 3 2 2" xfId="9648" xr:uid="{00000000-0005-0000-0000-000008480000}"/>
    <cellStyle name="Финансовый 36 4 2 3 3 2 2 2" xfId="12733" xr:uid="{00000000-0005-0000-0000-000009480000}"/>
    <cellStyle name="Финансовый 36 4 2 3 3 2 2 2 2" xfId="29822" xr:uid="{EEEDAE41-40FE-4CF2-8532-25DCFC480FAC}"/>
    <cellStyle name="Финансовый 36 4 2 3 3 2 2 3" xfId="15965" xr:uid="{00000000-0005-0000-0000-00000A480000}"/>
    <cellStyle name="Финансовый 36 4 2 3 3 2 2 3 2" xfId="32978" xr:uid="{4433AE15-DC65-4DC5-8C37-E0DF6A2793E3}"/>
    <cellStyle name="Финансовый 36 4 2 3 3 2 2 4" xfId="19046" xr:uid="{00000000-0005-0000-0000-00000B480000}"/>
    <cellStyle name="Финансовый 36 4 2 3 3 2 2 4 2" xfId="36059" xr:uid="{823E6760-C02E-4DCF-8181-3CD8D634082E}"/>
    <cellStyle name="Финансовый 36 4 2 3 3 2 2 5" xfId="26749" xr:uid="{4003FA39-0317-4177-8D74-057784A395CB}"/>
    <cellStyle name="Финансовый 36 4 2 3 3 2 3" xfId="12732" xr:uid="{00000000-0005-0000-0000-00000C480000}"/>
    <cellStyle name="Финансовый 36 4 2 3 3 2 3 2" xfId="29821" xr:uid="{D79AA583-CA94-41FD-BC30-4A1C2B01ACE3}"/>
    <cellStyle name="Финансовый 36 4 2 3 3 2 4" xfId="15964" xr:uid="{00000000-0005-0000-0000-00000D480000}"/>
    <cellStyle name="Финансовый 36 4 2 3 3 2 4 2" xfId="32977" xr:uid="{B2F2AF0D-6C58-4F10-BA59-05FA22280F98}"/>
    <cellStyle name="Финансовый 36 4 2 3 3 2 5" xfId="19045" xr:uid="{00000000-0005-0000-0000-00000E480000}"/>
    <cellStyle name="Финансовый 36 4 2 3 3 2 5 2" xfId="36058" xr:uid="{1C01C015-4A19-4A79-8F43-AF4121336092}"/>
    <cellStyle name="Финансовый 36 4 2 3 3 2 6" xfId="26748" xr:uid="{A971F103-0EEB-42BA-BD16-4C0049C4881A}"/>
    <cellStyle name="Финансовый 36 4 2 3 3 3" xfId="9649" xr:uid="{00000000-0005-0000-0000-00000F480000}"/>
    <cellStyle name="Финансовый 36 4 2 3 3 3 2" xfId="12734" xr:uid="{00000000-0005-0000-0000-000010480000}"/>
    <cellStyle name="Финансовый 36 4 2 3 3 3 2 2" xfId="29823" xr:uid="{59F007B3-3052-4C0A-A0DA-51E6B70AFD37}"/>
    <cellStyle name="Финансовый 36 4 2 3 3 3 3" xfId="15966" xr:uid="{00000000-0005-0000-0000-000011480000}"/>
    <cellStyle name="Финансовый 36 4 2 3 3 3 3 2" xfId="32979" xr:uid="{E5632854-A059-4880-A839-696284540725}"/>
    <cellStyle name="Финансовый 36 4 2 3 3 3 4" xfId="19047" xr:uid="{00000000-0005-0000-0000-000012480000}"/>
    <cellStyle name="Финансовый 36 4 2 3 3 3 4 2" xfId="36060" xr:uid="{823593C3-4740-4D65-83EF-FA36434702B6}"/>
    <cellStyle name="Финансовый 36 4 2 3 3 3 5" xfId="26750" xr:uid="{476491F0-611E-47A7-B333-8C3861807E15}"/>
    <cellStyle name="Финансовый 36 4 2 3 3 4" xfId="12731" xr:uid="{00000000-0005-0000-0000-000013480000}"/>
    <cellStyle name="Финансовый 36 4 2 3 3 4 2" xfId="29820" xr:uid="{18FE38E5-AB60-4E3B-9521-4538E420B8F4}"/>
    <cellStyle name="Финансовый 36 4 2 3 3 5" xfId="15963" xr:uid="{00000000-0005-0000-0000-000014480000}"/>
    <cellStyle name="Финансовый 36 4 2 3 3 5 2" xfId="32976" xr:uid="{3543491C-CFA8-47A4-B04A-9AC1841A5327}"/>
    <cellStyle name="Финансовый 36 4 2 3 3 6" xfId="19044" xr:uid="{00000000-0005-0000-0000-000015480000}"/>
    <cellStyle name="Финансовый 36 4 2 3 3 6 2" xfId="36057" xr:uid="{8050D705-9006-4D2A-A63C-94DEBC963073}"/>
    <cellStyle name="Финансовый 36 4 2 3 3 7" xfId="26747" xr:uid="{CA807F7A-15DC-4A23-A78E-DCB09D55F0CC}"/>
    <cellStyle name="Финансовый 36 4 2 3 4" xfId="9650" xr:uid="{00000000-0005-0000-0000-000016480000}"/>
    <cellStyle name="Финансовый 36 4 2 3 4 2" xfId="9651" xr:uid="{00000000-0005-0000-0000-000017480000}"/>
    <cellStyle name="Финансовый 36 4 2 3 4 2 2" xfId="12736" xr:uid="{00000000-0005-0000-0000-000018480000}"/>
    <cellStyle name="Финансовый 36 4 2 3 4 2 2 2" xfId="29825" xr:uid="{D004C712-9DC9-444F-A5CA-4BAA947A2DD6}"/>
    <cellStyle name="Финансовый 36 4 2 3 4 2 3" xfId="15968" xr:uid="{00000000-0005-0000-0000-000019480000}"/>
    <cellStyle name="Финансовый 36 4 2 3 4 2 3 2" xfId="32981" xr:uid="{650A87AD-D2D8-4E15-9A08-FFA463C417DA}"/>
    <cellStyle name="Финансовый 36 4 2 3 4 2 4" xfId="19049" xr:uid="{00000000-0005-0000-0000-00001A480000}"/>
    <cellStyle name="Финансовый 36 4 2 3 4 2 4 2" xfId="36062" xr:uid="{1104FBB9-D948-4A64-91DB-6FBAF199972A}"/>
    <cellStyle name="Финансовый 36 4 2 3 4 2 5" xfId="26752" xr:uid="{7CECCF28-879F-4002-A3B4-D274DC886609}"/>
    <cellStyle name="Финансовый 36 4 2 3 4 3" xfId="12735" xr:uid="{00000000-0005-0000-0000-00001B480000}"/>
    <cellStyle name="Финансовый 36 4 2 3 4 3 2" xfId="29824" xr:uid="{68D25295-1C2D-4AB3-A26D-7A9E5638A7CF}"/>
    <cellStyle name="Финансовый 36 4 2 3 4 4" xfId="15967" xr:uid="{00000000-0005-0000-0000-00001C480000}"/>
    <cellStyle name="Финансовый 36 4 2 3 4 4 2" xfId="32980" xr:uid="{429B4E48-5108-49C0-BAB0-0573F58B6B9B}"/>
    <cellStyle name="Финансовый 36 4 2 3 4 5" xfId="19048" xr:uid="{00000000-0005-0000-0000-00001D480000}"/>
    <cellStyle name="Финансовый 36 4 2 3 4 5 2" xfId="36061" xr:uid="{B009B6E7-4C5D-43AC-AB6F-EE257F4BCAF6}"/>
    <cellStyle name="Финансовый 36 4 2 3 4 6" xfId="26751" xr:uid="{F931493D-D810-47CA-876D-701091CE6090}"/>
    <cellStyle name="Финансовый 36 4 2 3 5" xfId="9652" xr:uid="{00000000-0005-0000-0000-00001E480000}"/>
    <cellStyle name="Финансовый 36 4 2 3 5 2" xfId="12737" xr:uid="{00000000-0005-0000-0000-00001F480000}"/>
    <cellStyle name="Финансовый 36 4 2 3 5 2 2" xfId="29826" xr:uid="{BF9773F5-296C-42A6-9DDF-DAA3B62F6DC2}"/>
    <cellStyle name="Финансовый 36 4 2 3 5 3" xfId="15969" xr:uid="{00000000-0005-0000-0000-000020480000}"/>
    <cellStyle name="Финансовый 36 4 2 3 5 3 2" xfId="32982" xr:uid="{71A9A600-4442-4D6D-AD9A-91F4EB2A9FAB}"/>
    <cellStyle name="Финансовый 36 4 2 3 5 4" xfId="19050" xr:uid="{00000000-0005-0000-0000-000021480000}"/>
    <cellStyle name="Финансовый 36 4 2 3 5 4 2" xfId="36063" xr:uid="{2153B87A-6240-4FCB-BF20-614F5A4DDCE6}"/>
    <cellStyle name="Финансовый 36 4 2 3 5 5" xfId="26753" xr:uid="{FE1BBA37-5ECB-4D9B-BB22-70DFA58FB54B}"/>
    <cellStyle name="Финансовый 36 4 2 3 6" xfId="12722" xr:uid="{00000000-0005-0000-0000-000022480000}"/>
    <cellStyle name="Финансовый 36 4 2 3 6 2" xfId="29811" xr:uid="{21BD39B0-BF3D-4FC2-93B9-43DA3AB75F74}"/>
    <cellStyle name="Финансовый 36 4 2 3 7" xfId="15954" xr:uid="{00000000-0005-0000-0000-000023480000}"/>
    <cellStyle name="Финансовый 36 4 2 3 7 2" xfId="32967" xr:uid="{F0788CD0-EECB-416E-A3B7-924F286FC37C}"/>
    <cellStyle name="Финансовый 36 4 2 3 8" xfId="19035" xr:uid="{00000000-0005-0000-0000-000024480000}"/>
    <cellStyle name="Финансовый 36 4 2 3 8 2" xfId="36048" xr:uid="{0249E665-B863-493B-9AA1-508C6C83BF2E}"/>
    <cellStyle name="Финансовый 36 4 2 3 9" xfId="26738" xr:uid="{F28E519F-33AD-4950-BD58-0DCD138D4549}"/>
    <cellStyle name="Финансовый 36 4 2 4" xfId="9653" xr:uid="{00000000-0005-0000-0000-000025480000}"/>
    <cellStyle name="Финансовый 36 4 2 4 2" xfId="9654" xr:uid="{00000000-0005-0000-0000-000026480000}"/>
    <cellStyle name="Финансовый 36 4 2 4 2 2" xfId="9655" xr:uid="{00000000-0005-0000-0000-000027480000}"/>
    <cellStyle name="Финансовый 36 4 2 4 2 2 2" xfId="9656" xr:uid="{00000000-0005-0000-0000-000028480000}"/>
    <cellStyle name="Финансовый 36 4 2 4 2 2 2 2" xfId="12741" xr:uid="{00000000-0005-0000-0000-000029480000}"/>
    <cellStyle name="Финансовый 36 4 2 4 2 2 2 2 2" xfId="29830" xr:uid="{1871BAE6-847D-40DA-9FA5-7461C9873583}"/>
    <cellStyle name="Финансовый 36 4 2 4 2 2 2 3" xfId="15973" xr:uid="{00000000-0005-0000-0000-00002A480000}"/>
    <cellStyle name="Финансовый 36 4 2 4 2 2 2 3 2" xfId="32986" xr:uid="{4C3DAB6E-15C7-4360-A0BB-89D756CF8345}"/>
    <cellStyle name="Финансовый 36 4 2 4 2 2 2 4" xfId="19054" xr:uid="{00000000-0005-0000-0000-00002B480000}"/>
    <cellStyle name="Финансовый 36 4 2 4 2 2 2 4 2" xfId="36067" xr:uid="{2B029855-F9C9-4876-80FB-D4A71EFB3F6C}"/>
    <cellStyle name="Финансовый 36 4 2 4 2 2 2 5" xfId="26757" xr:uid="{3C426D5B-943D-47C5-BC48-456C6C29ED4D}"/>
    <cellStyle name="Финансовый 36 4 2 4 2 2 3" xfId="12740" xr:uid="{00000000-0005-0000-0000-00002C480000}"/>
    <cellStyle name="Финансовый 36 4 2 4 2 2 3 2" xfId="29829" xr:uid="{5A238D94-7E82-47F4-843F-0188ED081C61}"/>
    <cellStyle name="Финансовый 36 4 2 4 2 2 4" xfId="15972" xr:uid="{00000000-0005-0000-0000-00002D480000}"/>
    <cellStyle name="Финансовый 36 4 2 4 2 2 4 2" xfId="32985" xr:uid="{0BDA707E-6CEB-45E0-83A6-0A4AEF2AA89F}"/>
    <cellStyle name="Финансовый 36 4 2 4 2 2 5" xfId="19053" xr:uid="{00000000-0005-0000-0000-00002E480000}"/>
    <cellStyle name="Финансовый 36 4 2 4 2 2 5 2" xfId="36066" xr:uid="{CA514A14-8CAB-48EB-A6A7-57CBA0B703F6}"/>
    <cellStyle name="Финансовый 36 4 2 4 2 2 6" xfId="26756" xr:uid="{EE6B3CAA-80A5-427E-BBC5-F8BAF2D9AA91}"/>
    <cellStyle name="Финансовый 36 4 2 4 2 3" xfId="9657" xr:uid="{00000000-0005-0000-0000-00002F480000}"/>
    <cellStyle name="Финансовый 36 4 2 4 2 3 2" xfId="12742" xr:uid="{00000000-0005-0000-0000-000030480000}"/>
    <cellStyle name="Финансовый 36 4 2 4 2 3 2 2" xfId="29831" xr:uid="{943B2B6D-B70E-4785-AC11-FB5931C5EF35}"/>
    <cellStyle name="Финансовый 36 4 2 4 2 3 3" xfId="15974" xr:uid="{00000000-0005-0000-0000-000031480000}"/>
    <cellStyle name="Финансовый 36 4 2 4 2 3 3 2" xfId="32987" xr:uid="{DEFE55C0-D199-40B9-B7AF-62698DF0E285}"/>
    <cellStyle name="Финансовый 36 4 2 4 2 3 4" xfId="19055" xr:uid="{00000000-0005-0000-0000-000032480000}"/>
    <cellStyle name="Финансовый 36 4 2 4 2 3 4 2" xfId="36068" xr:uid="{53A235BD-2192-4214-B371-3B25E6AD7ECF}"/>
    <cellStyle name="Финансовый 36 4 2 4 2 3 5" xfId="26758" xr:uid="{547E93CF-E301-4DAF-B684-57E885ED287C}"/>
    <cellStyle name="Финансовый 36 4 2 4 2 4" xfId="12739" xr:uid="{00000000-0005-0000-0000-000033480000}"/>
    <cellStyle name="Финансовый 36 4 2 4 2 4 2" xfId="29828" xr:uid="{B3199148-6EA6-4795-9E7D-2AA3F15D057F}"/>
    <cellStyle name="Финансовый 36 4 2 4 2 5" xfId="15971" xr:uid="{00000000-0005-0000-0000-000034480000}"/>
    <cellStyle name="Финансовый 36 4 2 4 2 5 2" xfId="32984" xr:uid="{9ED116E9-FC65-4E38-9958-ED2E74D5197B}"/>
    <cellStyle name="Финансовый 36 4 2 4 2 6" xfId="19052" xr:uid="{00000000-0005-0000-0000-000035480000}"/>
    <cellStyle name="Финансовый 36 4 2 4 2 6 2" xfId="36065" xr:uid="{069046D8-F414-48C8-96DD-6AFF38C531EC}"/>
    <cellStyle name="Финансовый 36 4 2 4 2 7" xfId="26755" xr:uid="{3C863BA4-2F6A-4174-B3B7-9216D3894583}"/>
    <cellStyle name="Финансовый 36 4 2 4 3" xfId="9658" xr:uid="{00000000-0005-0000-0000-000036480000}"/>
    <cellStyle name="Финансовый 36 4 2 4 3 2" xfId="9659" xr:uid="{00000000-0005-0000-0000-000037480000}"/>
    <cellStyle name="Финансовый 36 4 2 4 3 2 2" xfId="12744" xr:uid="{00000000-0005-0000-0000-000038480000}"/>
    <cellStyle name="Финансовый 36 4 2 4 3 2 2 2" xfId="29833" xr:uid="{7D5D6446-CA84-4ED6-B37B-ACDBF635F6BD}"/>
    <cellStyle name="Финансовый 36 4 2 4 3 2 3" xfId="15976" xr:uid="{00000000-0005-0000-0000-000039480000}"/>
    <cellStyle name="Финансовый 36 4 2 4 3 2 3 2" xfId="32989" xr:uid="{6BA56D90-9FF0-4711-B87E-1D5D90B08F7E}"/>
    <cellStyle name="Финансовый 36 4 2 4 3 2 4" xfId="19057" xr:uid="{00000000-0005-0000-0000-00003A480000}"/>
    <cellStyle name="Финансовый 36 4 2 4 3 2 4 2" xfId="36070" xr:uid="{9B405284-76D7-4FCA-9B0E-5FE60A449931}"/>
    <cellStyle name="Финансовый 36 4 2 4 3 2 5" xfId="26760" xr:uid="{8E08079B-2E5E-498E-88B3-5ACB266CD835}"/>
    <cellStyle name="Финансовый 36 4 2 4 3 3" xfId="12743" xr:uid="{00000000-0005-0000-0000-00003B480000}"/>
    <cellStyle name="Финансовый 36 4 2 4 3 3 2" xfId="29832" xr:uid="{922B4386-209B-4502-B55A-7FC97A6938D4}"/>
    <cellStyle name="Финансовый 36 4 2 4 3 4" xfId="15975" xr:uid="{00000000-0005-0000-0000-00003C480000}"/>
    <cellStyle name="Финансовый 36 4 2 4 3 4 2" xfId="32988" xr:uid="{1837F06C-788C-4596-9AF0-613D4FFF8245}"/>
    <cellStyle name="Финансовый 36 4 2 4 3 5" xfId="19056" xr:uid="{00000000-0005-0000-0000-00003D480000}"/>
    <cellStyle name="Финансовый 36 4 2 4 3 5 2" xfId="36069" xr:uid="{BE09163B-2156-40B7-987B-6F9984629446}"/>
    <cellStyle name="Финансовый 36 4 2 4 3 6" xfId="26759" xr:uid="{BEC9E5E0-5E64-4965-8119-4934FF1ED178}"/>
    <cellStyle name="Финансовый 36 4 2 4 4" xfId="9660" xr:uid="{00000000-0005-0000-0000-00003E480000}"/>
    <cellStyle name="Финансовый 36 4 2 4 4 2" xfId="12745" xr:uid="{00000000-0005-0000-0000-00003F480000}"/>
    <cellStyle name="Финансовый 36 4 2 4 4 2 2" xfId="29834" xr:uid="{5D0B77B7-2A1B-4E92-A7E7-4EB90B6F1B65}"/>
    <cellStyle name="Финансовый 36 4 2 4 4 3" xfId="15977" xr:uid="{00000000-0005-0000-0000-000040480000}"/>
    <cellStyle name="Финансовый 36 4 2 4 4 3 2" xfId="32990" xr:uid="{AC309C7C-A1E5-498F-A540-F94D70F7610B}"/>
    <cellStyle name="Финансовый 36 4 2 4 4 4" xfId="19058" xr:uid="{00000000-0005-0000-0000-000041480000}"/>
    <cellStyle name="Финансовый 36 4 2 4 4 4 2" xfId="36071" xr:uid="{4912E590-F50C-4A23-9DA1-54110DB0BF56}"/>
    <cellStyle name="Финансовый 36 4 2 4 4 5" xfId="26761" xr:uid="{71C12EFB-6CE5-4C21-A085-5C8244718692}"/>
    <cellStyle name="Финансовый 36 4 2 4 5" xfId="12738" xr:uid="{00000000-0005-0000-0000-000042480000}"/>
    <cellStyle name="Финансовый 36 4 2 4 5 2" xfId="29827" xr:uid="{D3B9661D-A90D-40FD-B5C8-81E6AB8CEB8E}"/>
    <cellStyle name="Финансовый 36 4 2 4 6" xfId="15970" xr:uid="{00000000-0005-0000-0000-000043480000}"/>
    <cellStyle name="Финансовый 36 4 2 4 6 2" xfId="32983" xr:uid="{1523C84C-B0CD-484A-B28D-88C1BB65087D}"/>
    <cellStyle name="Финансовый 36 4 2 4 7" xfId="19051" xr:uid="{00000000-0005-0000-0000-000044480000}"/>
    <cellStyle name="Финансовый 36 4 2 4 7 2" xfId="36064" xr:uid="{90CB799C-0EBB-4938-8B0B-BD96A60909EB}"/>
    <cellStyle name="Финансовый 36 4 2 4 8" xfId="26754" xr:uid="{0F3D2400-C375-4EBA-8543-D7D5AB0F9AA4}"/>
    <cellStyle name="Финансовый 36 4 2 5" xfId="9661" xr:uid="{00000000-0005-0000-0000-000045480000}"/>
    <cellStyle name="Финансовый 36 4 2 5 2" xfId="9662" xr:uid="{00000000-0005-0000-0000-000046480000}"/>
    <cellStyle name="Финансовый 36 4 2 5 2 2" xfId="9663" xr:uid="{00000000-0005-0000-0000-000047480000}"/>
    <cellStyle name="Финансовый 36 4 2 5 2 2 2" xfId="12748" xr:uid="{00000000-0005-0000-0000-000048480000}"/>
    <cellStyle name="Финансовый 36 4 2 5 2 2 2 2" xfId="29837" xr:uid="{F56C3F18-1EE6-43FC-B3A7-C4E6CD9AC698}"/>
    <cellStyle name="Финансовый 36 4 2 5 2 2 3" xfId="15980" xr:uid="{00000000-0005-0000-0000-000049480000}"/>
    <cellStyle name="Финансовый 36 4 2 5 2 2 3 2" xfId="32993" xr:uid="{870C5B05-0CFA-4620-97EC-BB89D96D28EC}"/>
    <cellStyle name="Финансовый 36 4 2 5 2 2 4" xfId="19061" xr:uid="{00000000-0005-0000-0000-00004A480000}"/>
    <cellStyle name="Финансовый 36 4 2 5 2 2 4 2" xfId="36074" xr:uid="{BBD26AC2-9FBD-4153-83A2-EE82D9803A09}"/>
    <cellStyle name="Финансовый 36 4 2 5 2 2 5" xfId="26764" xr:uid="{5E8E8C42-980E-406D-AF6F-6C22F2056EAD}"/>
    <cellStyle name="Финансовый 36 4 2 5 2 3" xfId="12747" xr:uid="{00000000-0005-0000-0000-00004B480000}"/>
    <cellStyle name="Финансовый 36 4 2 5 2 3 2" xfId="29836" xr:uid="{D77FF2E3-475D-4EB2-9046-E94B251F922D}"/>
    <cellStyle name="Финансовый 36 4 2 5 2 4" xfId="15979" xr:uid="{00000000-0005-0000-0000-00004C480000}"/>
    <cellStyle name="Финансовый 36 4 2 5 2 4 2" xfId="32992" xr:uid="{319354B1-E85D-4BA5-9A6D-2F4CC0F05CAF}"/>
    <cellStyle name="Финансовый 36 4 2 5 2 5" xfId="19060" xr:uid="{00000000-0005-0000-0000-00004D480000}"/>
    <cellStyle name="Финансовый 36 4 2 5 2 5 2" xfId="36073" xr:uid="{514C1A4E-9906-487E-8BC1-1524B4EA6052}"/>
    <cellStyle name="Финансовый 36 4 2 5 2 6" xfId="26763" xr:uid="{3222C57B-E63F-4D0D-8D4C-A431B0CFF3C5}"/>
    <cellStyle name="Финансовый 36 4 2 5 3" xfId="9664" xr:uid="{00000000-0005-0000-0000-00004E480000}"/>
    <cellStyle name="Финансовый 36 4 2 5 3 2" xfId="12749" xr:uid="{00000000-0005-0000-0000-00004F480000}"/>
    <cellStyle name="Финансовый 36 4 2 5 3 2 2" xfId="29838" xr:uid="{4A833A0A-2994-4D77-A625-CC1396BFBB01}"/>
    <cellStyle name="Финансовый 36 4 2 5 3 3" xfId="15981" xr:uid="{00000000-0005-0000-0000-000050480000}"/>
    <cellStyle name="Финансовый 36 4 2 5 3 3 2" xfId="32994" xr:uid="{231B478E-B9B5-46D1-96D2-6C53B5F17842}"/>
    <cellStyle name="Финансовый 36 4 2 5 3 4" xfId="19062" xr:uid="{00000000-0005-0000-0000-000051480000}"/>
    <cellStyle name="Финансовый 36 4 2 5 3 4 2" xfId="36075" xr:uid="{81CADF43-9CAB-4C01-854F-F77FCF210EB5}"/>
    <cellStyle name="Финансовый 36 4 2 5 3 5" xfId="26765" xr:uid="{5F7E1AF4-74DC-41B7-BD79-A0DAA62D7345}"/>
    <cellStyle name="Финансовый 36 4 2 5 4" xfId="12746" xr:uid="{00000000-0005-0000-0000-000052480000}"/>
    <cellStyle name="Финансовый 36 4 2 5 4 2" xfId="29835" xr:uid="{ADF2B550-59AA-465C-B937-D66D63536B7D}"/>
    <cellStyle name="Финансовый 36 4 2 5 5" xfId="15978" xr:uid="{00000000-0005-0000-0000-000053480000}"/>
    <cellStyle name="Финансовый 36 4 2 5 5 2" xfId="32991" xr:uid="{8731222F-98A4-46E4-8617-487A789803FB}"/>
    <cellStyle name="Финансовый 36 4 2 5 6" xfId="19059" xr:uid="{00000000-0005-0000-0000-000054480000}"/>
    <cellStyle name="Финансовый 36 4 2 5 6 2" xfId="36072" xr:uid="{3FC0A1E7-D3D5-458A-8E60-7316564ABDB3}"/>
    <cellStyle name="Финансовый 36 4 2 5 7" xfId="26762" xr:uid="{82A7EDED-E475-444B-B4FB-A58D8B7933E3}"/>
    <cellStyle name="Финансовый 36 4 2 6" xfId="9665" xr:uid="{00000000-0005-0000-0000-000055480000}"/>
    <cellStyle name="Финансовый 36 4 2 6 2" xfId="9666" xr:uid="{00000000-0005-0000-0000-000056480000}"/>
    <cellStyle name="Финансовый 36 4 2 6 2 2" xfId="12751" xr:uid="{00000000-0005-0000-0000-000057480000}"/>
    <cellStyle name="Финансовый 36 4 2 6 2 2 2" xfId="29840" xr:uid="{D46E48D0-2C7C-4CD7-9A66-4E950FD411D1}"/>
    <cellStyle name="Финансовый 36 4 2 6 2 3" xfId="15983" xr:uid="{00000000-0005-0000-0000-000058480000}"/>
    <cellStyle name="Финансовый 36 4 2 6 2 3 2" xfId="32996" xr:uid="{A25DBD00-1997-4384-80AF-CC8D5E8206E0}"/>
    <cellStyle name="Финансовый 36 4 2 6 2 4" xfId="19064" xr:uid="{00000000-0005-0000-0000-000059480000}"/>
    <cellStyle name="Финансовый 36 4 2 6 2 4 2" xfId="36077" xr:uid="{BD4107CA-254F-4F7F-89C3-93365BE6C035}"/>
    <cellStyle name="Финансовый 36 4 2 6 2 5" xfId="26767" xr:uid="{A1F190DA-545E-4C4F-9FDC-7C0516502128}"/>
    <cellStyle name="Финансовый 36 4 2 6 3" xfId="12750" xr:uid="{00000000-0005-0000-0000-00005A480000}"/>
    <cellStyle name="Финансовый 36 4 2 6 3 2" xfId="29839" xr:uid="{BAC5005D-A00F-4BA6-878D-477A4F20710C}"/>
    <cellStyle name="Финансовый 36 4 2 6 4" xfId="15982" xr:uid="{00000000-0005-0000-0000-00005B480000}"/>
    <cellStyle name="Финансовый 36 4 2 6 4 2" xfId="32995" xr:uid="{5F335176-F2F4-40D4-A8BB-E946271F06AC}"/>
    <cellStyle name="Финансовый 36 4 2 6 5" xfId="19063" xr:uid="{00000000-0005-0000-0000-00005C480000}"/>
    <cellStyle name="Финансовый 36 4 2 6 5 2" xfId="36076" xr:uid="{84E2578D-0ED1-48B6-A661-144720D467DB}"/>
    <cellStyle name="Финансовый 36 4 2 6 6" xfId="26766" xr:uid="{A6A75184-A4F2-409C-A355-F12F83B66DAC}"/>
    <cellStyle name="Финансовый 36 4 2 7" xfId="9667" xr:uid="{00000000-0005-0000-0000-00005D480000}"/>
    <cellStyle name="Финансовый 36 4 2 7 2" xfId="12752" xr:uid="{00000000-0005-0000-0000-00005E480000}"/>
    <cellStyle name="Финансовый 36 4 2 7 2 2" xfId="29841" xr:uid="{A6CEDE64-813B-4905-BD27-D4EFC81F0796}"/>
    <cellStyle name="Финансовый 36 4 2 7 3" xfId="15984" xr:uid="{00000000-0005-0000-0000-00005F480000}"/>
    <cellStyle name="Финансовый 36 4 2 7 3 2" xfId="32997" xr:uid="{319C4D70-3BC5-4409-BB0F-095A290F05FE}"/>
    <cellStyle name="Финансовый 36 4 2 7 4" xfId="19065" xr:uid="{00000000-0005-0000-0000-000060480000}"/>
    <cellStyle name="Финансовый 36 4 2 7 4 2" xfId="36078" xr:uid="{81872B4C-6384-44AE-BBB2-933BD8B44B85}"/>
    <cellStyle name="Финансовый 36 4 2 7 5" xfId="26768" xr:uid="{508F9388-2F4C-40A9-A7C9-2371D4E701E2}"/>
    <cellStyle name="Финансовый 36 4 2 8" xfId="12689" xr:uid="{00000000-0005-0000-0000-000061480000}"/>
    <cellStyle name="Финансовый 36 4 2 8 2" xfId="29778" xr:uid="{A6534C55-C0A7-4730-BDDF-D5BE46A58CD5}"/>
    <cellStyle name="Финансовый 36 4 2 9" xfId="15921" xr:uid="{00000000-0005-0000-0000-000062480000}"/>
    <cellStyle name="Финансовый 36 4 2 9 2" xfId="32934" xr:uid="{66B03124-9CA7-406F-A207-E4684B1328F4}"/>
    <cellStyle name="Финансовый 36 4 3" xfId="9668" xr:uid="{00000000-0005-0000-0000-000063480000}"/>
    <cellStyle name="Финансовый 36 4 3 10" xfId="26769" xr:uid="{E7CFEF44-857F-424B-A552-984B66489F6F}"/>
    <cellStyle name="Финансовый 36 4 3 2" xfId="9669" xr:uid="{00000000-0005-0000-0000-000064480000}"/>
    <cellStyle name="Финансовый 36 4 3 2 2" xfId="9670" xr:uid="{00000000-0005-0000-0000-000065480000}"/>
    <cellStyle name="Финансовый 36 4 3 2 2 2" xfId="9671" xr:uid="{00000000-0005-0000-0000-000066480000}"/>
    <cellStyle name="Финансовый 36 4 3 2 2 2 2" xfId="9672" xr:uid="{00000000-0005-0000-0000-000067480000}"/>
    <cellStyle name="Финансовый 36 4 3 2 2 2 2 2" xfId="9673" xr:uid="{00000000-0005-0000-0000-000068480000}"/>
    <cellStyle name="Финансовый 36 4 3 2 2 2 2 2 2" xfId="12758" xr:uid="{00000000-0005-0000-0000-000069480000}"/>
    <cellStyle name="Финансовый 36 4 3 2 2 2 2 2 2 2" xfId="29847" xr:uid="{1349AA25-D9B9-4AA1-8130-3CF263978A13}"/>
    <cellStyle name="Финансовый 36 4 3 2 2 2 2 2 3" xfId="15990" xr:uid="{00000000-0005-0000-0000-00006A480000}"/>
    <cellStyle name="Финансовый 36 4 3 2 2 2 2 2 3 2" xfId="33003" xr:uid="{C6B00DB4-716F-47A9-9B27-F985FF14F459}"/>
    <cellStyle name="Финансовый 36 4 3 2 2 2 2 2 4" xfId="19071" xr:uid="{00000000-0005-0000-0000-00006B480000}"/>
    <cellStyle name="Финансовый 36 4 3 2 2 2 2 2 4 2" xfId="36084" xr:uid="{2FC2046F-E98F-401C-BC61-FC74FD0D1094}"/>
    <cellStyle name="Финансовый 36 4 3 2 2 2 2 2 5" xfId="26774" xr:uid="{402AC58F-9FBF-4ADB-A661-7F9B2D2B83F4}"/>
    <cellStyle name="Финансовый 36 4 3 2 2 2 2 3" xfId="12757" xr:uid="{00000000-0005-0000-0000-00006C480000}"/>
    <cellStyle name="Финансовый 36 4 3 2 2 2 2 3 2" xfId="29846" xr:uid="{49E6084D-AA9A-4217-90C2-F347BA11A843}"/>
    <cellStyle name="Финансовый 36 4 3 2 2 2 2 4" xfId="15989" xr:uid="{00000000-0005-0000-0000-00006D480000}"/>
    <cellStyle name="Финансовый 36 4 3 2 2 2 2 4 2" xfId="33002" xr:uid="{9CB2CB8E-ECFA-4F56-9657-7069FAEE7085}"/>
    <cellStyle name="Финансовый 36 4 3 2 2 2 2 5" xfId="19070" xr:uid="{00000000-0005-0000-0000-00006E480000}"/>
    <cellStyle name="Финансовый 36 4 3 2 2 2 2 5 2" xfId="36083" xr:uid="{DD3134F6-5F49-4733-9692-3AFCB1668B2E}"/>
    <cellStyle name="Финансовый 36 4 3 2 2 2 2 6" xfId="26773" xr:uid="{42A40EE6-EB92-4EBC-A1F9-7F555D1ACF64}"/>
    <cellStyle name="Финансовый 36 4 3 2 2 2 3" xfId="9674" xr:uid="{00000000-0005-0000-0000-00006F480000}"/>
    <cellStyle name="Финансовый 36 4 3 2 2 2 3 2" xfId="12759" xr:uid="{00000000-0005-0000-0000-000070480000}"/>
    <cellStyle name="Финансовый 36 4 3 2 2 2 3 2 2" xfId="29848" xr:uid="{2A933D4A-5EEB-4D53-9B32-E6B30608E604}"/>
    <cellStyle name="Финансовый 36 4 3 2 2 2 3 3" xfId="15991" xr:uid="{00000000-0005-0000-0000-000071480000}"/>
    <cellStyle name="Финансовый 36 4 3 2 2 2 3 3 2" xfId="33004" xr:uid="{1A24518E-EBF2-4086-9E4B-31C4BDE68C8E}"/>
    <cellStyle name="Финансовый 36 4 3 2 2 2 3 4" xfId="19072" xr:uid="{00000000-0005-0000-0000-000072480000}"/>
    <cellStyle name="Финансовый 36 4 3 2 2 2 3 4 2" xfId="36085" xr:uid="{E210C235-C365-4650-9464-5D8BAEB68652}"/>
    <cellStyle name="Финансовый 36 4 3 2 2 2 3 5" xfId="26775" xr:uid="{3F642858-2F6B-4802-BE04-892DC4DAFF5D}"/>
    <cellStyle name="Финансовый 36 4 3 2 2 2 4" xfId="12756" xr:uid="{00000000-0005-0000-0000-000073480000}"/>
    <cellStyle name="Финансовый 36 4 3 2 2 2 4 2" xfId="29845" xr:uid="{14AFCD54-8975-4067-9F08-FC8811DDD489}"/>
    <cellStyle name="Финансовый 36 4 3 2 2 2 5" xfId="15988" xr:uid="{00000000-0005-0000-0000-000074480000}"/>
    <cellStyle name="Финансовый 36 4 3 2 2 2 5 2" xfId="33001" xr:uid="{BE638A6B-C1AC-4CA1-8286-629E31C9BD8F}"/>
    <cellStyle name="Финансовый 36 4 3 2 2 2 6" xfId="19069" xr:uid="{00000000-0005-0000-0000-000075480000}"/>
    <cellStyle name="Финансовый 36 4 3 2 2 2 6 2" xfId="36082" xr:uid="{DC427198-DE16-4EC6-A99F-B1E1BA289D02}"/>
    <cellStyle name="Финансовый 36 4 3 2 2 2 7" xfId="26772" xr:uid="{484B611C-F19D-48CA-B4BB-CE1187139527}"/>
    <cellStyle name="Финансовый 36 4 3 2 2 3" xfId="9675" xr:uid="{00000000-0005-0000-0000-000076480000}"/>
    <cellStyle name="Финансовый 36 4 3 2 2 3 2" xfId="9676" xr:uid="{00000000-0005-0000-0000-000077480000}"/>
    <cellStyle name="Финансовый 36 4 3 2 2 3 2 2" xfId="12761" xr:uid="{00000000-0005-0000-0000-000078480000}"/>
    <cellStyle name="Финансовый 36 4 3 2 2 3 2 2 2" xfId="29850" xr:uid="{3CE2A138-91E9-4461-A9A3-6FF95B413E63}"/>
    <cellStyle name="Финансовый 36 4 3 2 2 3 2 3" xfId="15993" xr:uid="{00000000-0005-0000-0000-000079480000}"/>
    <cellStyle name="Финансовый 36 4 3 2 2 3 2 3 2" xfId="33006" xr:uid="{546ACD03-7921-42F0-87B4-CD4F855D4564}"/>
    <cellStyle name="Финансовый 36 4 3 2 2 3 2 4" xfId="19074" xr:uid="{00000000-0005-0000-0000-00007A480000}"/>
    <cellStyle name="Финансовый 36 4 3 2 2 3 2 4 2" xfId="36087" xr:uid="{102CC5C4-9F3F-44CC-9D16-E69DAF621192}"/>
    <cellStyle name="Финансовый 36 4 3 2 2 3 2 5" xfId="26777" xr:uid="{039DDA30-B2B3-4505-B8F2-A75C77E16424}"/>
    <cellStyle name="Финансовый 36 4 3 2 2 3 3" xfId="12760" xr:uid="{00000000-0005-0000-0000-00007B480000}"/>
    <cellStyle name="Финансовый 36 4 3 2 2 3 3 2" xfId="29849" xr:uid="{3C9A9EFE-B52E-4EA8-95D3-546A5E7C2E0D}"/>
    <cellStyle name="Финансовый 36 4 3 2 2 3 4" xfId="15992" xr:uid="{00000000-0005-0000-0000-00007C480000}"/>
    <cellStyle name="Финансовый 36 4 3 2 2 3 4 2" xfId="33005" xr:uid="{EC2DEA9D-5F22-4E57-87F4-172B2D8CE184}"/>
    <cellStyle name="Финансовый 36 4 3 2 2 3 5" xfId="19073" xr:uid="{00000000-0005-0000-0000-00007D480000}"/>
    <cellStyle name="Финансовый 36 4 3 2 2 3 5 2" xfId="36086" xr:uid="{8162CC65-620F-4E8F-8C77-46B4DDF77517}"/>
    <cellStyle name="Финансовый 36 4 3 2 2 3 6" xfId="26776" xr:uid="{8005A5D0-AD82-41EA-A194-8021B4FE6CCC}"/>
    <cellStyle name="Финансовый 36 4 3 2 2 4" xfId="9677" xr:uid="{00000000-0005-0000-0000-00007E480000}"/>
    <cellStyle name="Финансовый 36 4 3 2 2 4 2" xfId="12762" xr:uid="{00000000-0005-0000-0000-00007F480000}"/>
    <cellStyle name="Финансовый 36 4 3 2 2 4 2 2" xfId="29851" xr:uid="{B4C4EF6C-C1BA-484C-B948-EE46603D6B2F}"/>
    <cellStyle name="Финансовый 36 4 3 2 2 4 3" xfId="15994" xr:uid="{00000000-0005-0000-0000-000080480000}"/>
    <cellStyle name="Финансовый 36 4 3 2 2 4 3 2" xfId="33007" xr:uid="{CF17F67F-FA31-406B-89F5-7DC1EC961B2C}"/>
    <cellStyle name="Финансовый 36 4 3 2 2 4 4" xfId="19075" xr:uid="{00000000-0005-0000-0000-000081480000}"/>
    <cellStyle name="Финансовый 36 4 3 2 2 4 4 2" xfId="36088" xr:uid="{F60DB8A0-2EC1-403D-955E-50E154EB3175}"/>
    <cellStyle name="Финансовый 36 4 3 2 2 4 5" xfId="26778" xr:uid="{CEDE2DD9-A34B-42DF-9922-6263688F99ED}"/>
    <cellStyle name="Финансовый 36 4 3 2 2 5" xfId="12755" xr:uid="{00000000-0005-0000-0000-000082480000}"/>
    <cellStyle name="Финансовый 36 4 3 2 2 5 2" xfId="29844" xr:uid="{9EEA8993-59F3-40D8-9819-CB5D55B917FA}"/>
    <cellStyle name="Финансовый 36 4 3 2 2 6" xfId="15987" xr:uid="{00000000-0005-0000-0000-000083480000}"/>
    <cellStyle name="Финансовый 36 4 3 2 2 6 2" xfId="33000" xr:uid="{BC2BE678-D656-4A04-BE2E-1337EA37E663}"/>
    <cellStyle name="Финансовый 36 4 3 2 2 7" xfId="19068" xr:uid="{00000000-0005-0000-0000-000084480000}"/>
    <cellStyle name="Финансовый 36 4 3 2 2 7 2" xfId="36081" xr:uid="{428B71E4-3F5B-46A9-B3DF-95E8BE08169A}"/>
    <cellStyle name="Финансовый 36 4 3 2 2 8" xfId="26771" xr:uid="{38C3DD80-FF44-4E19-B706-52E1F0522AE4}"/>
    <cellStyle name="Финансовый 36 4 3 2 3" xfId="9678" xr:uid="{00000000-0005-0000-0000-000085480000}"/>
    <cellStyle name="Финансовый 36 4 3 2 3 2" xfId="9679" xr:uid="{00000000-0005-0000-0000-000086480000}"/>
    <cellStyle name="Финансовый 36 4 3 2 3 2 2" xfId="9680" xr:uid="{00000000-0005-0000-0000-000087480000}"/>
    <cellStyle name="Финансовый 36 4 3 2 3 2 2 2" xfId="12765" xr:uid="{00000000-0005-0000-0000-000088480000}"/>
    <cellStyle name="Финансовый 36 4 3 2 3 2 2 2 2" xfId="29854" xr:uid="{17B61E8A-8C61-436F-82D1-99F445F543C7}"/>
    <cellStyle name="Финансовый 36 4 3 2 3 2 2 3" xfId="15997" xr:uid="{00000000-0005-0000-0000-000089480000}"/>
    <cellStyle name="Финансовый 36 4 3 2 3 2 2 3 2" xfId="33010" xr:uid="{A78C827B-4EC8-4D2E-B326-7A28E6FFFFD8}"/>
    <cellStyle name="Финансовый 36 4 3 2 3 2 2 4" xfId="19078" xr:uid="{00000000-0005-0000-0000-00008A480000}"/>
    <cellStyle name="Финансовый 36 4 3 2 3 2 2 4 2" xfId="36091" xr:uid="{8FC877AC-CC56-4358-A2BA-03A53AAB4CA8}"/>
    <cellStyle name="Финансовый 36 4 3 2 3 2 2 5" xfId="26781" xr:uid="{D1AB8E62-12CA-41A2-A342-4EFAC3D89FF6}"/>
    <cellStyle name="Финансовый 36 4 3 2 3 2 3" xfId="12764" xr:uid="{00000000-0005-0000-0000-00008B480000}"/>
    <cellStyle name="Финансовый 36 4 3 2 3 2 3 2" xfId="29853" xr:uid="{1745A6E2-ED8A-493F-A1A7-BD12CF35FC27}"/>
    <cellStyle name="Финансовый 36 4 3 2 3 2 4" xfId="15996" xr:uid="{00000000-0005-0000-0000-00008C480000}"/>
    <cellStyle name="Финансовый 36 4 3 2 3 2 4 2" xfId="33009" xr:uid="{80DFE118-619D-4E20-B829-488150955C83}"/>
    <cellStyle name="Финансовый 36 4 3 2 3 2 5" xfId="19077" xr:uid="{00000000-0005-0000-0000-00008D480000}"/>
    <cellStyle name="Финансовый 36 4 3 2 3 2 5 2" xfId="36090" xr:uid="{C2D78C13-A79E-46F6-A81D-DA8DAB128C93}"/>
    <cellStyle name="Финансовый 36 4 3 2 3 2 6" xfId="26780" xr:uid="{76634C22-B6A0-4439-BC78-8318761D7BB3}"/>
    <cellStyle name="Финансовый 36 4 3 2 3 3" xfId="9681" xr:uid="{00000000-0005-0000-0000-00008E480000}"/>
    <cellStyle name="Финансовый 36 4 3 2 3 3 2" xfId="12766" xr:uid="{00000000-0005-0000-0000-00008F480000}"/>
    <cellStyle name="Финансовый 36 4 3 2 3 3 2 2" xfId="29855" xr:uid="{16910101-D189-4D07-9EC8-7E12C29C8603}"/>
    <cellStyle name="Финансовый 36 4 3 2 3 3 3" xfId="15998" xr:uid="{00000000-0005-0000-0000-000090480000}"/>
    <cellStyle name="Финансовый 36 4 3 2 3 3 3 2" xfId="33011" xr:uid="{5402C10A-426A-421F-8313-A659351B21DF}"/>
    <cellStyle name="Финансовый 36 4 3 2 3 3 4" xfId="19079" xr:uid="{00000000-0005-0000-0000-000091480000}"/>
    <cellStyle name="Финансовый 36 4 3 2 3 3 4 2" xfId="36092" xr:uid="{15307DB4-EC7E-435C-B293-0C8161950275}"/>
    <cellStyle name="Финансовый 36 4 3 2 3 3 5" xfId="26782" xr:uid="{42D28431-454B-4817-98FF-7AA3D03D75FD}"/>
    <cellStyle name="Финансовый 36 4 3 2 3 4" xfId="12763" xr:uid="{00000000-0005-0000-0000-000092480000}"/>
    <cellStyle name="Финансовый 36 4 3 2 3 4 2" xfId="29852" xr:uid="{93CB2E99-93D3-4537-98F5-7D83F498170A}"/>
    <cellStyle name="Финансовый 36 4 3 2 3 5" xfId="15995" xr:uid="{00000000-0005-0000-0000-000093480000}"/>
    <cellStyle name="Финансовый 36 4 3 2 3 5 2" xfId="33008" xr:uid="{90A93A82-3CA9-4FFF-ADBC-C1FF11E3A487}"/>
    <cellStyle name="Финансовый 36 4 3 2 3 6" xfId="19076" xr:uid="{00000000-0005-0000-0000-000094480000}"/>
    <cellStyle name="Финансовый 36 4 3 2 3 6 2" xfId="36089" xr:uid="{BC76F716-FBB4-4A4D-8F91-1A2E3889D10C}"/>
    <cellStyle name="Финансовый 36 4 3 2 3 7" xfId="26779" xr:uid="{6F4CBB60-F606-41C6-BCCB-339732906147}"/>
    <cellStyle name="Финансовый 36 4 3 2 4" xfId="9682" xr:uid="{00000000-0005-0000-0000-000095480000}"/>
    <cellStyle name="Финансовый 36 4 3 2 4 2" xfId="9683" xr:uid="{00000000-0005-0000-0000-000096480000}"/>
    <cellStyle name="Финансовый 36 4 3 2 4 2 2" xfId="12768" xr:uid="{00000000-0005-0000-0000-000097480000}"/>
    <cellStyle name="Финансовый 36 4 3 2 4 2 2 2" xfId="29857" xr:uid="{285A709D-628B-4F6A-B213-03CB51C2C606}"/>
    <cellStyle name="Финансовый 36 4 3 2 4 2 3" xfId="16000" xr:uid="{00000000-0005-0000-0000-000098480000}"/>
    <cellStyle name="Финансовый 36 4 3 2 4 2 3 2" xfId="33013" xr:uid="{866BB03E-4604-4F95-B250-E64D44BC1DDC}"/>
    <cellStyle name="Финансовый 36 4 3 2 4 2 4" xfId="19081" xr:uid="{00000000-0005-0000-0000-000099480000}"/>
    <cellStyle name="Финансовый 36 4 3 2 4 2 4 2" xfId="36094" xr:uid="{2A703A05-8A98-4432-84F0-192FD36E57AD}"/>
    <cellStyle name="Финансовый 36 4 3 2 4 2 5" xfId="26784" xr:uid="{898E9663-7210-42B3-9C26-140D56A7B322}"/>
    <cellStyle name="Финансовый 36 4 3 2 4 3" xfId="12767" xr:uid="{00000000-0005-0000-0000-00009A480000}"/>
    <cellStyle name="Финансовый 36 4 3 2 4 3 2" xfId="29856" xr:uid="{758BCAA8-6EA4-4288-B58A-97EBF750D18D}"/>
    <cellStyle name="Финансовый 36 4 3 2 4 4" xfId="15999" xr:uid="{00000000-0005-0000-0000-00009B480000}"/>
    <cellStyle name="Финансовый 36 4 3 2 4 4 2" xfId="33012" xr:uid="{15FEE5B8-F108-4EB4-A0C6-46F82C86E8E6}"/>
    <cellStyle name="Финансовый 36 4 3 2 4 5" xfId="19080" xr:uid="{00000000-0005-0000-0000-00009C480000}"/>
    <cellStyle name="Финансовый 36 4 3 2 4 5 2" xfId="36093" xr:uid="{470982A7-8B3D-41CB-9489-28EC083034C0}"/>
    <cellStyle name="Финансовый 36 4 3 2 4 6" xfId="26783" xr:uid="{99AD7E80-D1C4-4059-9902-6937AC966FE9}"/>
    <cellStyle name="Финансовый 36 4 3 2 5" xfId="9684" xr:uid="{00000000-0005-0000-0000-00009D480000}"/>
    <cellStyle name="Финансовый 36 4 3 2 5 2" xfId="12769" xr:uid="{00000000-0005-0000-0000-00009E480000}"/>
    <cellStyle name="Финансовый 36 4 3 2 5 2 2" xfId="29858" xr:uid="{D79B8569-C303-4888-9E56-B4CC096F4BF3}"/>
    <cellStyle name="Финансовый 36 4 3 2 5 3" xfId="16001" xr:uid="{00000000-0005-0000-0000-00009F480000}"/>
    <cellStyle name="Финансовый 36 4 3 2 5 3 2" xfId="33014" xr:uid="{0148BA4F-A8AA-4CD1-8214-4FFC301865AF}"/>
    <cellStyle name="Финансовый 36 4 3 2 5 4" xfId="19082" xr:uid="{00000000-0005-0000-0000-0000A0480000}"/>
    <cellStyle name="Финансовый 36 4 3 2 5 4 2" xfId="36095" xr:uid="{0B90F42E-8BB0-439A-9E6D-A3378F3CBE17}"/>
    <cellStyle name="Финансовый 36 4 3 2 5 5" xfId="26785" xr:uid="{F5008F38-6F6A-48B5-A2AB-7544B9FFA066}"/>
    <cellStyle name="Финансовый 36 4 3 2 6" xfId="12754" xr:uid="{00000000-0005-0000-0000-0000A1480000}"/>
    <cellStyle name="Финансовый 36 4 3 2 6 2" xfId="29843" xr:uid="{B4551D85-2CDA-42CE-8761-B42D5D947696}"/>
    <cellStyle name="Финансовый 36 4 3 2 7" xfId="15986" xr:uid="{00000000-0005-0000-0000-0000A2480000}"/>
    <cellStyle name="Финансовый 36 4 3 2 7 2" xfId="32999" xr:uid="{87878159-314E-4051-BE94-73B11810D302}"/>
    <cellStyle name="Финансовый 36 4 3 2 8" xfId="19067" xr:uid="{00000000-0005-0000-0000-0000A3480000}"/>
    <cellStyle name="Финансовый 36 4 3 2 8 2" xfId="36080" xr:uid="{ECF858F7-C079-4921-90C4-415A9C18B8F5}"/>
    <cellStyle name="Финансовый 36 4 3 2 9" xfId="26770" xr:uid="{4BC14BFA-2911-4613-877C-B43578B4FFBD}"/>
    <cellStyle name="Финансовый 36 4 3 3" xfId="9685" xr:uid="{00000000-0005-0000-0000-0000A4480000}"/>
    <cellStyle name="Финансовый 36 4 3 3 2" xfId="9686" xr:uid="{00000000-0005-0000-0000-0000A5480000}"/>
    <cellStyle name="Финансовый 36 4 3 3 2 2" xfId="9687" xr:uid="{00000000-0005-0000-0000-0000A6480000}"/>
    <cellStyle name="Финансовый 36 4 3 3 2 2 2" xfId="9688" xr:uid="{00000000-0005-0000-0000-0000A7480000}"/>
    <cellStyle name="Финансовый 36 4 3 3 2 2 2 2" xfId="12773" xr:uid="{00000000-0005-0000-0000-0000A8480000}"/>
    <cellStyle name="Финансовый 36 4 3 3 2 2 2 2 2" xfId="29862" xr:uid="{6A3A2843-D0FB-4F26-90A1-759397C460FD}"/>
    <cellStyle name="Финансовый 36 4 3 3 2 2 2 3" xfId="16005" xr:uid="{00000000-0005-0000-0000-0000A9480000}"/>
    <cellStyle name="Финансовый 36 4 3 3 2 2 2 3 2" xfId="33018" xr:uid="{A4369D0D-DC1E-4414-9CA9-31A315917B2C}"/>
    <cellStyle name="Финансовый 36 4 3 3 2 2 2 4" xfId="19086" xr:uid="{00000000-0005-0000-0000-0000AA480000}"/>
    <cellStyle name="Финансовый 36 4 3 3 2 2 2 4 2" xfId="36099" xr:uid="{0D0DA3D5-96DC-4E9E-A162-D1632A4B3483}"/>
    <cellStyle name="Финансовый 36 4 3 3 2 2 2 5" xfId="26789" xr:uid="{8F34134B-C6FF-40A2-A066-E5230130ACD2}"/>
    <cellStyle name="Финансовый 36 4 3 3 2 2 3" xfId="12772" xr:uid="{00000000-0005-0000-0000-0000AB480000}"/>
    <cellStyle name="Финансовый 36 4 3 3 2 2 3 2" xfId="29861" xr:uid="{2E0720A6-7E6E-4E3E-A843-6C60F6AF29A2}"/>
    <cellStyle name="Финансовый 36 4 3 3 2 2 4" xfId="16004" xr:uid="{00000000-0005-0000-0000-0000AC480000}"/>
    <cellStyle name="Финансовый 36 4 3 3 2 2 4 2" xfId="33017" xr:uid="{900EBCC8-6889-4201-B223-14F3B2B4863D}"/>
    <cellStyle name="Финансовый 36 4 3 3 2 2 5" xfId="19085" xr:uid="{00000000-0005-0000-0000-0000AD480000}"/>
    <cellStyle name="Финансовый 36 4 3 3 2 2 5 2" xfId="36098" xr:uid="{C3D76C8B-37B7-4BF9-972C-5805D3472322}"/>
    <cellStyle name="Финансовый 36 4 3 3 2 2 6" xfId="26788" xr:uid="{CEBD5529-42E5-4AC3-8C31-5291A74D68A6}"/>
    <cellStyle name="Финансовый 36 4 3 3 2 3" xfId="9689" xr:uid="{00000000-0005-0000-0000-0000AE480000}"/>
    <cellStyle name="Финансовый 36 4 3 3 2 3 2" xfId="12774" xr:uid="{00000000-0005-0000-0000-0000AF480000}"/>
    <cellStyle name="Финансовый 36 4 3 3 2 3 2 2" xfId="29863" xr:uid="{D5210E27-5BFC-426A-83C0-BDAB70DCDF28}"/>
    <cellStyle name="Финансовый 36 4 3 3 2 3 3" xfId="16006" xr:uid="{00000000-0005-0000-0000-0000B0480000}"/>
    <cellStyle name="Финансовый 36 4 3 3 2 3 3 2" xfId="33019" xr:uid="{2BC6EE1D-56DA-4560-9752-A4A68A8228E9}"/>
    <cellStyle name="Финансовый 36 4 3 3 2 3 4" xfId="19087" xr:uid="{00000000-0005-0000-0000-0000B1480000}"/>
    <cellStyle name="Финансовый 36 4 3 3 2 3 4 2" xfId="36100" xr:uid="{49DC3221-E5D8-4F03-8E5A-58AC2CD29A29}"/>
    <cellStyle name="Финансовый 36 4 3 3 2 3 5" xfId="26790" xr:uid="{C40B3571-2181-4100-9B35-F86D128C4C0B}"/>
    <cellStyle name="Финансовый 36 4 3 3 2 4" xfId="12771" xr:uid="{00000000-0005-0000-0000-0000B2480000}"/>
    <cellStyle name="Финансовый 36 4 3 3 2 4 2" xfId="29860" xr:uid="{BC6CB84D-9044-4B12-B612-2AB5910112F1}"/>
    <cellStyle name="Финансовый 36 4 3 3 2 5" xfId="16003" xr:uid="{00000000-0005-0000-0000-0000B3480000}"/>
    <cellStyle name="Финансовый 36 4 3 3 2 5 2" xfId="33016" xr:uid="{EDCE01A4-6E78-41D0-BA20-3006E2EF117F}"/>
    <cellStyle name="Финансовый 36 4 3 3 2 6" xfId="19084" xr:uid="{00000000-0005-0000-0000-0000B4480000}"/>
    <cellStyle name="Финансовый 36 4 3 3 2 6 2" xfId="36097" xr:uid="{097C2BFB-8F23-442D-AACC-BEA6E78AC7A2}"/>
    <cellStyle name="Финансовый 36 4 3 3 2 7" xfId="26787" xr:uid="{1AD5CA59-FB4A-470E-A055-DE5D74CA57C9}"/>
    <cellStyle name="Финансовый 36 4 3 3 3" xfId="9690" xr:uid="{00000000-0005-0000-0000-0000B5480000}"/>
    <cellStyle name="Финансовый 36 4 3 3 3 2" xfId="9691" xr:uid="{00000000-0005-0000-0000-0000B6480000}"/>
    <cellStyle name="Финансовый 36 4 3 3 3 2 2" xfId="12776" xr:uid="{00000000-0005-0000-0000-0000B7480000}"/>
    <cellStyle name="Финансовый 36 4 3 3 3 2 2 2" xfId="29865" xr:uid="{C791AEB1-A533-454B-823A-E267C200112B}"/>
    <cellStyle name="Финансовый 36 4 3 3 3 2 3" xfId="16008" xr:uid="{00000000-0005-0000-0000-0000B8480000}"/>
    <cellStyle name="Финансовый 36 4 3 3 3 2 3 2" xfId="33021" xr:uid="{A1BFCA19-16B6-4703-935D-CF03AA3D1D81}"/>
    <cellStyle name="Финансовый 36 4 3 3 3 2 4" xfId="19089" xr:uid="{00000000-0005-0000-0000-0000B9480000}"/>
    <cellStyle name="Финансовый 36 4 3 3 3 2 4 2" xfId="36102" xr:uid="{70018DA9-4DB7-4175-BFC0-E52B2C3438E9}"/>
    <cellStyle name="Финансовый 36 4 3 3 3 2 5" xfId="26792" xr:uid="{308E9A9E-F2DA-456C-A2D2-95E46F61AC88}"/>
    <cellStyle name="Финансовый 36 4 3 3 3 3" xfId="12775" xr:uid="{00000000-0005-0000-0000-0000BA480000}"/>
    <cellStyle name="Финансовый 36 4 3 3 3 3 2" xfId="29864" xr:uid="{2635D19F-B5DE-412F-9CB5-3F2396048E4C}"/>
    <cellStyle name="Финансовый 36 4 3 3 3 4" xfId="16007" xr:uid="{00000000-0005-0000-0000-0000BB480000}"/>
    <cellStyle name="Финансовый 36 4 3 3 3 4 2" xfId="33020" xr:uid="{B402640A-49E0-4C26-86BC-FC6D9535B5A6}"/>
    <cellStyle name="Финансовый 36 4 3 3 3 5" xfId="19088" xr:uid="{00000000-0005-0000-0000-0000BC480000}"/>
    <cellStyle name="Финансовый 36 4 3 3 3 5 2" xfId="36101" xr:uid="{4204D736-F7BF-48A6-B331-2B5B4066B1D5}"/>
    <cellStyle name="Финансовый 36 4 3 3 3 6" xfId="26791" xr:uid="{24004E25-4612-4DDC-97A1-D02619518F37}"/>
    <cellStyle name="Финансовый 36 4 3 3 4" xfId="9692" xr:uid="{00000000-0005-0000-0000-0000BD480000}"/>
    <cellStyle name="Финансовый 36 4 3 3 4 2" xfId="12777" xr:uid="{00000000-0005-0000-0000-0000BE480000}"/>
    <cellStyle name="Финансовый 36 4 3 3 4 2 2" xfId="29866" xr:uid="{A28E5E5C-8501-4141-B15D-E9A395BAD206}"/>
    <cellStyle name="Финансовый 36 4 3 3 4 3" xfId="16009" xr:uid="{00000000-0005-0000-0000-0000BF480000}"/>
    <cellStyle name="Финансовый 36 4 3 3 4 3 2" xfId="33022" xr:uid="{A2289F07-448A-4AAA-AD82-C9F3BA277E50}"/>
    <cellStyle name="Финансовый 36 4 3 3 4 4" xfId="19090" xr:uid="{00000000-0005-0000-0000-0000C0480000}"/>
    <cellStyle name="Финансовый 36 4 3 3 4 4 2" xfId="36103" xr:uid="{B40ADAF7-8FA9-41E3-A775-582AD3BD2E8C}"/>
    <cellStyle name="Финансовый 36 4 3 3 4 5" xfId="26793" xr:uid="{642F49EC-BD8F-44CF-842F-927FDE75F422}"/>
    <cellStyle name="Финансовый 36 4 3 3 5" xfId="12770" xr:uid="{00000000-0005-0000-0000-0000C1480000}"/>
    <cellStyle name="Финансовый 36 4 3 3 5 2" xfId="29859" xr:uid="{91196CBA-D056-46ED-A62B-F07DFF615779}"/>
    <cellStyle name="Финансовый 36 4 3 3 6" xfId="16002" xr:uid="{00000000-0005-0000-0000-0000C2480000}"/>
    <cellStyle name="Финансовый 36 4 3 3 6 2" xfId="33015" xr:uid="{D2A418EC-5686-466A-AE42-0FD8624FC664}"/>
    <cellStyle name="Финансовый 36 4 3 3 7" xfId="19083" xr:uid="{00000000-0005-0000-0000-0000C3480000}"/>
    <cellStyle name="Финансовый 36 4 3 3 7 2" xfId="36096" xr:uid="{D3474EC8-94AC-441A-A236-194C783075F4}"/>
    <cellStyle name="Финансовый 36 4 3 3 8" xfId="26786" xr:uid="{4CB39123-35F0-4EFA-8715-A53B0596E019}"/>
    <cellStyle name="Финансовый 36 4 3 4" xfId="9693" xr:uid="{00000000-0005-0000-0000-0000C4480000}"/>
    <cellStyle name="Финансовый 36 4 3 4 2" xfId="9694" xr:uid="{00000000-0005-0000-0000-0000C5480000}"/>
    <cellStyle name="Финансовый 36 4 3 4 2 2" xfId="9695" xr:uid="{00000000-0005-0000-0000-0000C6480000}"/>
    <cellStyle name="Финансовый 36 4 3 4 2 2 2" xfId="12780" xr:uid="{00000000-0005-0000-0000-0000C7480000}"/>
    <cellStyle name="Финансовый 36 4 3 4 2 2 2 2" xfId="29869" xr:uid="{C8BE950F-C2C3-4922-8B31-1E5A8446BB68}"/>
    <cellStyle name="Финансовый 36 4 3 4 2 2 3" xfId="16012" xr:uid="{00000000-0005-0000-0000-0000C8480000}"/>
    <cellStyle name="Финансовый 36 4 3 4 2 2 3 2" xfId="33025" xr:uid="{2EBF5768-98D4-4FB3-864E-C4D7EBFF7F87}"/>
    <cellStyle name="Финансовый 36 4 3 4 2 2 4" xfId="19093" xr:uid="{00000000-0005-0000-0000-0000C9480000}"/>
    <cellStyle name="Финансовый 36 4 3 4 2 2 4 2" xfId="36106" xr:uid="{007B21D1-33E0-406B-8A04-32BA79C20C91}"/>
    <cellStyle name="Финансовый 36 4 3 4 2 2 5" xfId="26796" xr:uid="{F9CF1F4E-60AB-4348-B5BC-5659545D4033}"/>
    <cellStyle name="Финансовый 36 4 3 4 2 3" xfId="12779" xr:uid="{00000000-0005-0000-0000-0000CA480000}"/>
    <cellStyle name="Финансовый 36 4 3 4 2 3 2" xfId="29868" xr:uid="{ED643747-25BA-4D66-8DF4-A5E7C8B26351}"/>
    <cellStyle name="Финансовый 36 4 3 4 2 4" xfId="16011" xr:uid="{00000000-0005-0000-0000-0000CB480000}"/>
    <cellStyle name="Финансовый 36 4 3 4 2 4 2" xfId="33024" xr:uid="{1584B673-DFD9-4CFC-809F-4D706E917D1B}"/>
    <cellStyle name="Финансовый 36 4 3 4 2 5" xfId="19092" xr:uid="{00000000-0005-0000-0000-0000CC480000}"/>
    <cellStyle name="Финансовый 36 4 3 4 2 5 2" xfId="36105" xr:uid="{784BE936-3C1B-4EFE-AC23-51AF4BAB5A97}"/>
    <cellStyle name="Финансовый 36 4 3 4 2 6" xfId="26795" xr:uid="{236EA9D7-817E-4C70-AAB0-8DE7B35B674D}"/>
    <cellStyle name="Финансовый 36 4 3 4 3" xfId="9696" xr:uid="{00000000-0005-0000-0000-0000CD480000}"/>
    <cellStyle name="Финансовый 36 4 3 4 3 2" xfId="12781" xr:uid="{00000000-0005-0000-0000-0000CE480000}"/>
    <cellStyle name="Финансовый 36 4 3 4 3 2 2" xfId="29870" xr:uid="{233E8E44-A4D6-4BF0-A157-648B47B0CC3A}"/>
    <cellStyle name="Финансовый 36 4 3 4 3 3" xfId="16013" xr:uid="{00000000-0005-0000-0000-0000CF480000}"/>
    <cellStyle name="Финансовый 36 4 3 4 3 3 2" xfId="33026" xr:uid="{CFC90EA3-1A51-4368-866A-B68AA8A13916}"/>
    <cellStyle name="Финансовый 36 4 3 4 3 4" xfId="19094" xr:uid="{00000000-0005-0000-0000-0000D0480000}"/>
    <cellStyle name="Финансовый 36 4 3 4 3 4 2" xfId="36107" xr:uid="{783BC6FD-540F-437B-8967-8FB9311BE9F5}"/>
    <cellStyle name="Финансовый 36 4 3 4 3 5" xfId="26797" xr:uid="{858AB116-3521-4A63-BFB6-9E05DA4936A7}"/>
    <cellStyle name="Финансовый 36 4 3 4 4" xfId="12778" xr:uid="{00000000-0005-0000-0000-0000D1480000}"/>
    <cellStyle name="Финансовый 36 4 3 4 4 2" xfId="29867" xr:uid="{16E26B41-416E-4837-91A0-1524632122AB}"/>
    <cellStyle name="Финансовый 36 4 3 4 5" xfId="16010" xr:uid="{00000000-0005-0000-0000-0000D2480000}"/>
    <cellStyle name="Финансовый 36 4 3 4 5 2" xfId="33023" xr:uid="{2135332C-BB6E-4538-BFEA-992D12FEC659}"/>
    <cellStyle name="Финансовый 36 4 3 4 6" xfId="19091" xr:uid="{00000000-0005-0000-0000-0000D3480000}"/>
    <cellStyle name="Финансовый 36 4 3 4 6 2" xfId="36104" xr:uid="{362602BC-79DB-40EE-8600-F0D890A1BAE6}"/>
    <cellStyle name="Финансовый 36 4 3 4 7" xfId="26794" xr:uid="{7C60BED9-5FFE-41DA-8006-0031CD743B1C}"/>
    <cellStyle name="Финансовый 36 4 3 5" xfId="9697" xr:uid="{00000000-0005-0000-0000-0000D4480000}"/>
    <cellStyle name="Финансовый 36 4 3 5 2" xfId="9698" xr:uid="{00000000-0005-0000-0000-0000D5480000}"/>
    <cellStyle name="Финансовый 36 4 3 5 2 2" xfId="12783" xr:uid="{00000000-0005-0000-0000-0000D6480000}"/>
    <cellStyle name="Финансовый 36 4 3 5 2 2 2" xfId="29872" xr:uid="{8D4C614F-DF6A-4A8E-B7D9-04E3FA62C168}"/>
    <cellStyle name="Финансовый 36 4 3 5 2 3" xfId="16015" xr:uid="{00000000-0005-0000-0000-0000D7480000}"/>
    <cellStyle name="Финансовый 36 4 3 5 2 3 2" xfId="33028" xr:uid="{EF03CCAB-B948-487B-A08E-84CEFAD6222C}"/>
    <cellStyle name="Финансовый 36 4 3 5 2 4" xfId="19096" xr:uid="{00000000-0005-0000-0000-0000D8480000}"/>
    <cellStyle name="Финансовый 36 4 3 5 2 4 2" xfId="36109" xr:uid="{21555F3C-ED4D-467A-80B1-824B103BB386}"/>
    <cellStyle name="Финансовый 36 4 3 5 2 5" xfId="26799" xr:uid="{00CBA7E5-EF5F-4FB3-A63D-53BECDEA0856}"/>
    <cellStyle name="Финансовый 36 4 3 5 3" xfId="12782" xr:uid="{00000000-0005-0000-0000-0000D9480000}"/>
    <cellStyle name="Финансовый 36 4 3 5 3 2" xfId="29871" xr:uid="{CD11595A-1514-43C7-BB98-5A4C3A3DA47D}"/>
    <cellStyle name="Финансовый 36 4 3 5 4" xfId="16014" xr:uid="{00000000-0005-0000-0000-0000DA480000}"/>
    <cellStyle name="Финансовый 36 4 3 5 4 2" xfId="33027" xr:uid="{86EFDCD9-44EF-4587-A12C-DC81DCF1C81C}"/>
    <cellStyle name="Финансовый 36 4 3 5 5" xfId="19095" xr:uid="{00000000-0005-0000-0000-0000DB480000}"/>
    <cellStyle name="Финансовый 36 4 3 5 5 2" xfId="36108" xr:uid="{F3E1A7CA-C6B0-40EE-A218-D638F95B6725}"/>
    <cellStyle name="Финансовый 36 4 3 5 6" xfId="26798" xr:uid="{422DA832-53CD-4390-8028-A1CABECA7BB6}"/>
    <cellStyle name="Финансовый 36 4 3 6" xfId="9699" xr:uid="{00000000-0005-0000-0000-0000DC480000}"/>
    <cellStyle name="Финансовый 36 4 3 6 2" xfId="12784" xr:uid="{00000000-0005-0000-0000-0000DD480000}"/>
    <cellStyle name="Финансовый 36 4 3 6 2 2" xfId="29873" xr:uid="{4D3264C4-BF1F-4325-A432-79B49FF15274}"/>
    <cellStyle name="Финансовый 36 4 3 6 3" xfId="16016" xr:uid="{00000000-0005-0000-0000-0000DE480000}"/>
    <cellStyle name="Финансовый 36 4 3 6 3 2" xfId="33029" xr:uid="{2661BF6E-5960-4DCF-8E31-DEAA41D3A246}"/>
    <cellStyle name="Финансовый 36 4 3 6 4" xfId="19097" xr:uid="{00000000-0005-0000-0000-0000DF480000}"/>
    <cellStyle name="Финансовый 36 4 3 6 4 2" xfId="36110" xr:uid="{99D22FED-46C6-4D9B-B5D0-9DEAF1204903}"/>
    <cellStyle name="Финансовый 36 4 3 6 5" xfId="26800" xr:uid="{E942932C-1B54-4722-84FF-8730ED9D47FC}"/>
    <cellStyle name="Финансовый 36 4 3 7" xfId="12753" xr:uid="{00000000-0005-0000-0000-0000E0480000}"/>
    <cellStyle name="Финансовый 36 4 3 7 2" xfId="29842" xr:uid="{501CB85B-F3C3-4908-94CF-D14ADC71D2E5}"/>
    <cellStyle name="Финансовый 36 4 3 8" xfId="15985" xr:uid="{00000000-0005-0000-0000-0000E1480000}"/>
    <cellStyle name="Финансовый 36 4 3 8 2" xfId="32998" xr:uid="{F6C695F2-D27D-4EF0-82DD-C2852F55A71F}"/>
    <cellStyle name="Финансовый 36 4 3 9" xfId="19066" xr:uid="{00000000-0005-0000-0000-0000E2480000}"/>
    <cellStyle name="Финансовый 36 4 3 9 2" xfId="36079" xr:uid="{FE4D28C5-B9C9-4BCC-A0C6-89312485E83A}"/>
    <cellStyle name="Финансовый 36 4 4" xfId="9700" xr:uid="{00000000-0005-0000-0000-0000E3480000}"/>
    <cellStyle name="Финансовый 36 4 4 2" xfId="9701" xr:uid="{00000000-0005-0000-0000-0000E4480000}"/>
    <cellStyle name="Финансовый 36 4 4 2 2" xfId="9702" xr:uid="{00000000-0005-0000-0000-0000E5480000}"/>
    <cellStyle name="Финансовый 36 4 4 2 2 2" xfId="9703" xr:uid="{00000000-0005-0000-0000-0000E6480000}"/>
    <cellStyle name="Финансовый 36 4 4 2 2 2 2" xfId="9704" xr:uid="{00000000-0005-0000-0000-0000E7480000}"/>
    <cellStyle name="Финансовый 36 4 4 2 2 2 2 2" xfId="12789" xr:uid="{00000000-0005-0000-0000-0000E8480000}"/>
    <cellStyle name="Финансовый 36 4 4 2 2 2 2 2 2" xfId="29878" xr:uid="{9CD08828-A518-45D5-A1CB-647C1DDCD000}"/>
    <cellStyle name="Финансовый 36 4 4 2 2 2 2 3" xfId="16021" xr:uid="{00000000-0005-0000-0000-0000E9480000}"/>
    <cellStyle name="Финансовый 36 4 4 2 2 2 2 3 2" xfId="33034" xr:uid="{76823106-D46F-4821-A3B0-D23CEF18BBC8}"/>
    <cellStyle name="Финансовый 36 4 4 2 2 2 2 4" xfId="19102" xr:uid="{00000000-0005-0000-0000-0000EA480000}"/>
    <cellStyle name="Финансовый 36 4 4 2 2 2 2 4 2" xfId="36115" xr:uid="{74A59038-4471-4618-95AA-F7C61DF81A46}"/>
    <cellStyle name="Финансовый 36 4 4 2 2 2 2 5" xfId="26805" xr:uid="{03F58DD0-C51E-448E-AF36-17788EF3FF9A}"/>
    <cellStyle name="Финансовый 36 4 4 2 2 2 3" xfId="12788" xr:uid="{00000000-0005-0000-0000-0000EB480000}"/>
    <cellStyle name="Финансовый 36 4 4 2 2 2 3 2" xfId="29877" xr:uid="{68B6B819-DD13-431A-B5A9-3EA893B6F04C}"/>
    <cellStyle name="Финансовый 36 4 4 2 2 2 4" xfId="16020" xr:uid="{00000000-0005-0000-0000-0000EC480000}"/>
    <cellStyle name="Финансовый 36 4 4 2 2 2 4 2" xfId="33033" xr:uid="{A1ACD230-BA23-4CA5-A564-CFFCCC734A52}"/>
    <cellStyle name="Финансовый 36 4 4 2 2 2 5" xfId="19101" xr:uid="{00000000-0005-0000-0000-0000ED480000}"/>
    <cellStyle name="Финансовый 36 4 4 2 2 2 5 2" xfId="36114" xr:uid="{A74B50D2-27A5-4C6E-8421-753737687274}"/>
    <cellStyle name="Финансовый 36 4 4 2 2 2 6" xfId="26804" xr:uid="{0610C006-CED7-494B-ABC6-ED328BCEC48E}"/>
    <cellStyle name="Финансовый 36 4 4 2 2 3" xfId="9705" xr:uid="{00000000-0005-0000-0000-0000EE480000}"/>
    <cellStyle name="Финансовый 36 4 4 2 2 3 2" xfId="12790" xr:uid="{00000000-0005-0000-0000-0000EF480000}"/>
    <cellStyle name="Финансовый 36 4 4 2 2 3 2 2" xfId="29879" xr:uid="{D99304D3-F1B4-4D40-AD71-CCA1A9536040}"/>
    <cellStyle name="Финансовый 36 4 4 2 2 3 3" xfId="16022" xr:uid="{00000000-0005-0000-0000-0000F0480000}"/>
    <cellStyle name="Финансовый 36 4 4 2 2 3 3 2" xfId="33035" xr:uid="{D0315E05-6294-460E-9D7D-CBEFD484AF5A}"/>
    <cellStyle name="Финансовый 36 4 4 2 2 3 4" xfId="19103" xr:uid="{00000000-0005-0000-0000-0000F1480000}"/>
    <cellStyle name="Финансовый 36 4 4 2 2 3 4 2" xfId="36116" xr:uid="{FDA47849-409A-488E-9B64-B839E01F1630}"/>
    <cellStyle name="Финансовый 36 4 4 2 2 3 5" xfId="26806" xr:uid="{680F07EB-6387-4807-9611-F3245EF79DA3}"/>
    <cellStyle name="Финансовый 36 4 4 2 2 4" xfId="12787" xr:uid="{00000000-0005-0000-0000-0000F2480000}"/>
    <cellStyle name="Финансовый 36 4 4 2 2 4 2" xfId="29876" xr:uid="{14F5E395-C85D-4746-BACE-CE14D5695BD5}"/>
    <cellStyle name="Финансовый 36 4 4 2 2 5" xfId="16019" xr:uid="{00000000-0005-0000-0000-0000F3480000}"/>
    <cellStyle name="Финансовый 36 4 4 2 2 5 2" xfId="33032" xr:uid="{5FF5E676-BEED-4C2B-A657-CB5C8617F3A5}"/>
    <cellStyle name="Финансовый 36 4 4 2 2 6" xfId="19100" xr:uid="{00000000-0005-0000-0000-0000F4480000}"/>
    <cellStyle name="Финансовый 36 4 4 2 2 6 2" xfId="36113" xr:uid="{B4B67202-945C-4BE3-8001-3583A43CF670}"/>
    <cellStyle name="Финансовый 36 4 4 2 2 7" xfId="26803" xr:uid="{2CA2CE3A-21DB-4D15-98FF-C0A870ABC3D9}"/>
    <cellStyle name="Финансовый 36 4 4 2 3" xfId="9706" xr:uid="{00000000-0005-0000-0000-0000F5480000}"/>
    <cellStyle name="Финансовый 36 4 4 2 3 2" xfId="9707" xr:uid="{00000000-0005-0000-0000-0000F6480000}"/>
    <cellStyle name="Финансовый 36 4 4 2 3 2 2" xfId="12792" xr:uid="{00000000-0005-0000-0000-0000F7480000}"/>
    <cellStyle name="Финансовый 36 4 4 2 3 2 2 2" xfId="29881" xr:uid="{AD7D23C9-0885-4C62-AD88-D4BDE7B58BCC}"/>
    <cellStyle name="Финансовый 36 4 4 2 3 2 3" xfId="16024" xr:uid="{00000000-0005-0000-0000-0000F8480000}"/>
    <cellStyle name="Финансовый 36 4 4 2 3 2 3 2" xfId="33037" xr:uid="{ADDCB377-9C02-4460-80C5-86F6A4509AA8}"/>
    <cellStyle name="Финансовый 36 4 4 2 3 2 4" xfId="19105" xr:uid="{00000000-0005-0000-0000-0000F9480000}"/>
    <cellStyle name="Финансовый 36 4 4 2 3 2 4 2" xfId="36118" xr:uid="{B186FA03-4400-43A6-9156-0100F8F7F1BA}"/>
    <cellStyle name="Финансовый 36 4 4 2 3 2 5" xfId="26808" xr:uid="{6761D077-A418-4923-A5C1-86A90A6C3CF7}"/>
    <cellStyle name="Финансовый 36 4 4 2 3 3" xfId="12791" xr:uid="{00000000-0005-0000-0000-0000FA480000}"/>
    <cellStyle name="Финансовый 36 4 4 2 3 3 2" xfId="29880" xr:uid="{D6A08717-133B-42F6-913B-0E22EB66BDDD}"/>
    <cellStyle name="Финансовый 36 4 4 2 3 4" xfId="16023" xr:uid="{00000000-0005-0000-0000-0000FB480000}"/>
    <cellStyle name="Финансовый 36 4 4 2 3 4 2" xfId="33036" xr:uid="{7669FB45-FAD2-4CBF-9686-10968EAF9D53}"/>
    <cellStyle name="Финансовый 36 4 4 2 3 5" xfId="19104" xr:uid="{00000000-0005-0000-0000-0000FC480000}"/>
    <cellStyle name="Финансовый 36 4 4 2 3 5 2" xfId="36117" xr:uid="{1D557969-C051-427F-9E12-3FD80031AC4D}"/>
    <cellStyle name="Финансовый 36 4 4 2 3 6" xfId="26807" xr:uid="{87AA9B27-1709-4761-A0CB-41E9D7D9A67F}"/>
    <cellStyle name="Финансовый 36 4 4 2 4" xfId="9708" xr:uid="{00000000-0005-0000-0000-0000FD480000}"/>
    <cellStyle name="Финансовый 36 4 4 2 4 2" xfId="12793" xr:uid="{00000000-0005-0000-0000-0000FE480000}"/>
    <cellStyle name="Финансовый 36 4 4 2 4 2 2" xfId="29882" xr:uid="{F927BDD8-ED76-4B99-9EC9-B1D17919ACF3}"/>
    <cellStyle name="Финансовый 36 4 4 2 4 3" xfId="16025" xr:uid="{00000000-0005-0000-0000-0000FF480000}"/>
    <cellStyle name="Финансовый 36 4 4 2 4 3 2" xfId="33038" xr:uid="{F98775D7-6F4A-4C65-9914-854861D59688}"/>
    <cellStyle name="Финансовый 36 4 4 2 4 4" xfId="19106" xr:uid="{00000000-0005-0000-0000-000000490000}"/>
    <cellStyle name="Финансовый 36 4 4 2 4 4 2" xfId="36119" xr:uid="{5666485C-0526-47EE-B42B-41D56D2530D3}"/>
    <cellStyle name="Финансовый 36 4 4 2 4 5" xfId="26809" xr:uid="{7028D7A0-C906-4E69-B455-08C67A929C42}"/>
    <cellStyle name="Финансовый 36 4 4 2 5" xfId="12786" xr:uid="{00000000-0005-0000-0000-000001490000}"/>
    <cellStyle name="Финансовый 36 4 4 2 5 2" xfId="29875" xr:uid="{F8029754-21DE-4974-8856-E55D7678297E}"/>
    <cellStyle name="Финансовый 36 4 4 2 6" xfId="16018" xr:uid="{00000000-0005-0000-0000-000002490000}"/>
    <cellStyle name="Финансовый 36 4 4 2 6 2" xfId="33031" xr:uid="{AE0C8CA7-72CC-49FE-B419-D8A5C9C493C0}"/>
    <cellStyle name="Финансовый 36 4 4 2 7" xfId="19099" xr:uid="{00000000-0005-0000-0000-000003490000}"/>
    <cellStyle name="Финансовый 36 4 4 2 7 2" xfId="36112" xr:uid="{35E92398-5688-4A74-AAB3-6A5C8A525BE8}"/>
    <cellStyle name="Финансовый 36 4 4 2 8" xfId="26802" xr:uid="{9399C0B1-BD64-43D2-B706-49E4F4875302}"/>
    <cellStyle name="Финансовый 36 4 4 3" xfId="9709" xr:uid="{00000000-0005-0000-0000-000004490000}"/>
    <cellStyle name="Финансовый 36 4 4 3 2" xfId="9710" xr:uid="{00000000-0005-0000-0000-000005490000}"/>
    <cellStyle name="Финансовый 36 4 4 3 2 2" xfId="9711" xr:uid="{00000000-0005-0000-0000-000006490000}"/>
    <cellStyle name="Финансовый 36 4 4 3 2 2 2" xfId="12796" xr:uid="{00000000-0005-0000-0000-000007490000}"/>
    <cellStyle name="Финансовый 36 4 4 3 2 2 2 2" xfId="29885" xr:uid="{CCFF689E-CEAD-4CD3-98E9-654B6FEA1B4F}"/>
    <cellStyle name="Финансовый 36 4 4 3 2 2 3" xfId="16028" xr:uid="{00000000-0005-0000-0000-000008490000}"/>
    <cellStyle name="Финансовый 36 4 4 3 2 2 3 2" xfId="33041" xr:uid="{93281ED5-509D-4099-85A5-44824051A1C0}"/>
    <cellStyle name="Финансовый 36 4 4 3 2 2 4" xfId="19109" xr:uid="{00000000-0005-0000-0000-000009490000}"/>
    <cellStyle name="Финансовый 36 4 4 3 2 2 4 2" xfId="36122" xr:uid="{5ADE3B7E-E8FA-40DC-A949-EF14B1EA83C2}"/>
    <cellStyle name="Финансовый 36 4 4 3 2 2 5" xfId="26812" xr:uid="{D7F1CCE6-6D74-4131-93ED-439C6C3B75CE}"/>
    <cellStyle name="Финансовый 36 4 4 3 2 3" xfId="12795" xr:uid="{00000000-0005-0000-0000-00000A490000}"/>
    <cellStyle name="Финансовый 36 4 4 3 2 3 2" xfId="29884" xr:uid="{FC8179ED-8D29-45D4-8DA5-CE6EFDD2C20D}"/>
    <cellStyle name="Финансовый 36 4 4 3 2 4" xfId="16027" xr:uid="{00000000-0005-0000-0000-00000B490000}"/>
    <cellStyle name="Финансовый 36 4 4 3 2 4 2" xfId="33040" xr:uid="{5DA86628-7A72-44D9-9DC6-A8F387F8516C}"/>
    <cellStyle name="Финансовый 36 4 4 3 2 5" xfId="19108" xr:uid="{00000000-0005-0000-0000-00000C490000}"/>
    <cellStyle name="Финансовый 36 4 4 3 2 5 2" xfId="36121" xr:uid="{3A388784-036B-4889-B154-79207BC8AAFE}"/>
    <cellStyle name="Финансовый 36 4 4 3 2 6" xfId="26811" xr:uid="{8C52106E-F93F-40F2-A06F-8B99ACCE78A4}"/>
    <cellStyle name="Финансовый 36 4 4 3 3" xfId="9712" xr:uid="{00000000-0005-0000-0000-00000D490000}"/>
    <cellStyle name="Финансовый 36 4 4 3 3 2" xfId="12797" xr:uid="{00000000-0005-0000-0000-00000E490000}"/>
    <cellStyle name="Финансовый 36 4 4 3 3 2 2" xfId="29886" xr:uid="{5149A743-9F69-400D-A125-44385DFC0579}"/>
    <cellStyle name="Финансовый 36 4 4 3 3 3" xfId="16029" xr:uid="{00000000-0005-0000-0000-00000F490000}"/>
    <cellStyle name="Финансовый 36 4 4 3 3 3 2" xfId="33042" xr:uid="{47BDEA8A-988D-4334-B848-0FBFBDE457C5}"/>
    <cellStyle name="Финансовый 36 4 4 3 3 4" xfId="19110" xr:uid="{00000000-0005-0000-0000-000010490000}"/>
    <cellStyle name="Финансовый 36 4 4 3 3 4 2" xfId="36123" xr:uid="{0019A073-05CE-4A86-BE44-3A31A9729094}"/>
    <cellStyle name="Финансовый 36 4 4 3 3 5" xfId="26813" xr:uid="{D99D4D0A-1C1B-446D-BB22-B1DB663B7F90}"/>
    <cellStyle name="Финансовый 36 4 4 3 4" xfId="12794" xr:uid="{00000000-0005-0000-0000-000011490000}"/>
    <cellStyle name="Финансовый 36 4 4 3 4 2" xfId="29883" xr:uid="{896A5398-BCA6-41B7-B763-8985ED436104}"/>
    <cellStyle name="Финансовый 36 4 4 3 5" xfId="16026" xr:uid="{00000000-0005-0000-0000-000012490000}"/>
    <cellStyle name="Финансовый 36 4 4 3 5 2" xfId="33039" xr:uid="{240B11DC-75DE-46E8-B22D-9F43D622AC24}"/>
    <cellStyle name="Финансовый 36 4 4 3 6" xfId="19107" xr:uid="{00000000-0005-0000-0000-000013490000}"/>
    <cellStyle name="Финансовый 36 4 4 3 6 2" xfId="36120" xr:uid="{E04571E2-C17C-4D93-A466-38BFAF90983E}"/>
    <cellStyle name="Финансовый 36 4 4 3 7" xfId="26810" xr:uid="{2EE90F7B-F0F4-46E6-A842-D3E6073B1E03}"/>
    <cellStyle name="Финансовый 36 4 4 4" xfId="9713" xr:uid="{00000000-0005-0000-0000-000014490000}"/>
    <cellStyle name="Финансовый 36 4 4 4 2" xfId="9714" xr:uid="{00000000-0005-0000-0000-000015490000}"/>
    <cellStyle name="Финансовый 36 4 4 4 2 2" xfId="12799" xr:uid="{00000000-0005-0000-0000-000016490000}"/>
    <cellStyle name="Финансовый 36 4 4 4 2 2 2" xfId="29888" xr:uid="{F455E72F-BA08-4C71-B7FF-D72C082072D8}"/>
    <cellStyle name="Финансовый 36 4 4 4 2 3" xfId="16031" xr:uid="{00000000-0005-0000-0000-000017490000}"/>
    <cellStyle name="Финансовый 36 4 4 4 2 3 2" xfId="33044" xr:uid="{11DCDE31-415E-419B-9F6F-F172AD1D7EC8}"/>
    <cellStyle name="Финансовый 36 4 4 4 2 4" xfId="19112" xr:uid="{00000000-0005-0000-0000-000018490000}"/>
    <cellStyle name="Финансовый 36 4 4 4 2 4 2" xfId="36125" xr:uid="{F427932A-279C-4E5A-842D-B0FFC2D11CED}"/>
    <cellStyle name="Финансовый 36 4 4 4 2 5" xfId="26815" xr:uid="{E8D2EF8D-6E51-4AF9-BB01-2F5551C4345B}"/>
    <cellStyle name="Финансовый 36 4 4 4 3" xfId="12798" xr:uid="{00000000-0005-0000-0000-000019490000}"/>
    <cellStyle name="Финансовый 36 4 4 4 3 2" xfId="29887" xr:uid="{FFF1BD1E-F396-49BF-84DA-B4EA8822DE9F}"/>
    <cellStyle name="Финансовый 36 4 4 4 4" xfId="16030" xr:uid="{00000000-0005-0000-0000-00001A490000}"/>
    <cellStyle name="Финансовый 36 4 4 4 4 2" xfId="33043" xr:uid="{3D321551-71F9-4005-B96B-13B7E6755A22}"/>
    <cellStyle name="Финансовый 36 4 4 4 5" xfId="19111" xr:uid="{00000000-0005-0000-0000-00001B490000}"/>
    <cellStyle name="Финансовый 36 4 4 4 5 2" xfId="36124" xr:uid="{517AE0AF-CAC2-44C1-ABFA-F434E340B483}"/>
    <cellStyle name="Финансовый 36 4 4 4 6" xfId="26814" xr:uid="{3B86B486-0EEA-4C6C-AF80-963749285974}"/>
    <cellStyle name="Финансовый 36 4 4 5" xfId="9715" xr:uid="{00000000-0005-0000-0000-00001C490000}"/>
    <cellStyle name="Финансовый 36 4 4 5 2" xfId="12800" xr:uid="{00000000-0005-0000-0000-00001D490000}"/>
    <cellStyle name="Финансовый 36 4 4 5 2 2" xfId="29889" xr:uid="{F9F330A4-F8F3-48E7-89DA-8ABE414C6D06}"/>
    <cellStyle name="Финансовый 36 4 4 5 3" xfId="16032" xr:uid="{00000000-0005-0000-0000-00001E490000}"/>
    <cellStyle name="Финансовый 36 4 4 5 3 2" xfId="33045" xr:uid="{AB09FBB4-595A-4AF2-BE4A-F2C09AC12D59}"/>
    <cellStyle name="Финансовый 36 4 4 5 4" xfId="19113" xr:uid="{00000000-0005-0000-0000-00001F490000}"/>
    <cellStyle name="Финансовый 36 4 4 5 4 2" xfId="36126" xr:uid="{75F87A22-0B6E-44D8-8FBA-5577579B9BF2}"/>
    <cellStyle name="Финансовый 36 4 4 5 5" xfId="26816" xr:uid="{F9B9025C-678F-4A96-A2B0-DB4A5AC0B72A}"/>
    <cellStyle name="Финансовый 36 4 4 6" xfId="12785" xr:uid="{00000000-0005-0000-0000-000020490000}"/>
    <cellStyle name="Финансовый 36 4 4 6 2" xfId="29874" xr:uid="{D8A8C59B-5101-4647-83AE-AFC57D11F3C1}"/>
    <cellStyle name="Финансовый 36 4 4 7" xfId="16017" xr:uid="{00000000-0005-0000-0000-000021490000}"/>
    <cellStyle name="Финансовый 36 4 4 7 2" xfId="33030" xr:uid="{253D6F1D-1A5E-4BD0-85F0-C5D5E063452B}"/>
    <cellStyle name="Финансовый 36 4 4 8" xfId="19098" xr:uid="{00000000-0005-0000-0000-000022490000}"/>
    <cellStyle name="Финансовый 36 4 4 8 2" xfId="36111" xr:uid="{1D27B825-2739-4ABE-9AC6-75D25815D198}"/>
    <cellStyle name="Финансовый 36 4 4 9" xfId="26801" xr:uid="{8B919BFC-FBFB-4D53-AB04-A387ECD10143}"/>
    <cellStyle name="Финансовый 36 4 5" xfId="9716" xr:uid="{00000000-0005-0000-0000-000023490000}"/>
    <cellStyle name="Финансовый 36 4 5 2" xfId="9717" xr:uid="{00000000-0005-0000-0000-000024490000}"/>
    <cellStyle name="Финансовый 36 4 5 2 2" xfId="9718" xr:uid="{00000000-0005-0000-0000-000025490000}"/>
    <cellStyle name="Финансовый 36 4 5 2 2 2" xfId="9719" xr:uid="{00000000-0005-0000-0000-000026490000}"/>
    <cellStyle name="Финансовый 36 4 5 2 2 2 2" xfId="12804" xr:uid="{00000000-0005-0000-0000-000027490000}"/>
    <cellStyle name="Финансовый 36 4 5 2 2 2 2 2" xfId="29893" xr:uid="{2FE63B4B-D9FA-4743-8658-79D07B2F866F}"/>
    <cellStyle name="Финансовый 36 4 5 2 2 2 3" xfId="16036" xr:uid="{00000000-0005-0000-0000-000028490000}"/>
    <cellStyle name="Финансовый 36 4 5 2 2 2 3 2" xfId="33049" xr:uid="{9344406B-2939-435E-A460-C09FCC2CA67B}"/>
    <cellStyle name="Финансовый 36 4 5 2 2 2 4" xfId="19117" xr:uid="{00000000-0005-0000-0000-000029490000}"/>
    <cellStyle name="Финансовый 36 4 5 2 2 2 4 2" xfId="36130" xr:uid="{190E8B36-46BF-4B76-9458-2350900AF26F}"/>
    <cellStyle name="Финансовый 36 4 5 2 2 2 5" xfId="26820" xr:uid="{9C576662-5311-4186-86A0-294C27E5877F}"/>
    <cellStyle name="Финансовый 36 4 5 2 2 3" xfId="12803" xr:uid="{00000000-0005-0000-0000-00002A490000}"/>
    <cellStyle name="Финансовый 36 4 5 2 2 3 2" xfId="29892" xr:uid="{5E9AE60A-0607-4AAC-9785-A95801F4BA24}"/>
    <cellStyle name="Финансовый 36 4 5 2 2 4" xfId="16035" xr:uid="{00000000-0005-0000-0000-00002B490000}"/>
    <cellStyle name="Финансовый 36 4 5 2 2 4 2" xfId="33048" xr:uid="{083715E6-8AB3-439C-8216-50383CE71D57}"/>
    <cellStyle name="Финансовый 36 4 5 2 2 5" xfId="19116" xr:uid="{00000000-0005-0000-0000-00002C490000}"/>
    <cellStyle name="Финансовый 36 4 5 2 2 5 2" xfId="36129" xr:uid="{2FEF8F44-9402-441B-A8D7-9288BC1E1F4C}"/>
    <cellStyle name="Финансовый 36 4 5 2 2 6" xfId="26819" xr:uid="{5BA963EF-3056-469C-8D11-CA5F1F736E7B}"/>
    <cellStyle name="Финансовый 36 4 5 2 3" xfId="9720" xr:uid="{00000000-0005-0000-0000-00002D490000}"/>
    <cellStyle name="Финансовый 36 4 5 2 3 2" xfId="12805" xr:uid="{00000000-0005-0000-0000-00002E490000}"/>
    <cellStyle name="Финансовый 36 4 5 2 3 2 2" xfId="29894" xr:uid="{6D483C2B-1680-4FFD-A14E-E6FF95FCD111}"/>
    <cellStyle name="Финансовый 36 4 5 2 3 3" xfId="16037" xr:uid="{00000000-0005-0000-0000-00002F490000}"/>
    <cellStyle name="Финансовый 36 4 5 2 3 3 2" xfId="33050" xr:uid="{D5BF54BC-AEC0-40FA-8EFD-C0CA06E33EC7}"/>
    <cellStyle name="Финансовый 36 4 5 2 3 4" xfId="19118" xr:uid="{00000000-0005-0000-0000-000030490000}"/>
    <cellStyle name="Финансовый 36 4 5 2 3 4 2" xfId="36131" xr:uid="{AFB5EED4-3D52-45D3-A40C-B90806C700A8}"/>
    <cellStyle name="Финансовый 36 4 5 2 3 5" xfId="26821" xr:uid="{40C1F730-95D4-4A97-B1FB-2E52AC6EEB3F}"/>
    <cellStyle name="Финансовый 36 4 5 2 4" xfId="12802" xr:uid="{00000000-0005-0000-0000-000031490000}"/>
    <cellStyle name="Финансовый 36 4 5 2 4 2" xfId="29891" xr:uid="{2FBBDEEC-49E3-4586-946E-610252B7E458}"/>
    <cellStyle name="Финансовый 36 4 5 2 5" xfId="16034" xr:uid="{00000000-0005-0000-0000-000032490000}"/>
    <cellStyle name="Финансовый 36 4 5 2 5 2" xfId="33047" xr:uid="{A0D68D09-128D-4441-9D86-A52875FA166C}"/>
    <cellStyle name="Финансовый 36 4 5 2 6" xfId="19115" xr:uid="{00000000-0005-0000-0000-000033490000}"/>
    <cellStyle name="Финансовый 36 4 5 2 6 2" xfId="36128" xr:uid="{36295FA6-6285-4528-A6E6-10100EA4511A}"/>
    <cellStyle name="Финансовый 36 4 5 2 7" xfId="26818" xr:uid="{46F2690F-BE12-46B3-A3DE-FBD262F86452}"/>
    <cellStyle name="Финансовый 36 4 5 3" xfId="9721" xr:uid="{00000000-0005-0000-0000-000034490000}"/>
    <cellStyle name="Финансовый 36 4 5 3 2" xfId="9722" xr:uid="{00000000-0005-0000-0000-000035490000}"/>
    <cellStyle name="Финансовый 36 4 5 3 2 2" xfId="12807" xr:uid="{00000000-0005-0000-0000-000036490000}"/>
    <cellStyle name="Финансовый 36 4 5 3 2 2 2" xfId="29896" xr:uid="{871A326C-96C6-4219-B0AF-427A819C7B05}"/>
    <cellStyle name="Финансовый 36 4 5 3 2 3" xfId="16039" xr:uid="{00000000-0005-0000-0000-000037490000}"/>
    <cellStyle name="Финансовый 36 4 5 3 2 3 2" xfId="33052" xr:uid="{CD8A3621-AEF8-4E5C-AA61-430F6632F8ED}"/>
    <cellStyle name="Финансовый 36 4 5 3 2 4" xfId="19120" xr:uid="{00000000-0005-0000-0000-000038490000}"/>
    <cellStyle name="Финансовый 36 4 5 3 2 4 2" xfId="36133" xr:uid="{3104EDEB-70B9-461E-9DFB-D372976D58EA}"/>
    <cellStyle name="Финансовый 36 4 5 3 2 5" xfId="26823" xr:uid="{E77E0409-1398-44C4-B26D-E75D748D6045}"/>
    <cellStyle name="Финансовый 36 4 5 3 3" xfId="12806" xr:uid="{00000000-0005-0000-0000-000039490000}"/>
    <cellStyle name="Финансовый 36 4 5 3 3 2" xfId="29895" xr:uid="{B42FB3FB-A35C-48FC-B605-AB7390857921}"/>
    <cellStyle name="Финансовый 36 4 5 3 4" xfId="16038" xr:uid="{00000000-0005-0000-0000-00003A490000}"/>
    <cellStyle name="Финансовый 36 4 5 3 4 2" xfId="33051" xr:uid="{B7CE6818-F1DE-4763-83E3-FCA1D826FCFF}"/>
    <cellStyle name="Финансовый 36 4 5 3 5" xfId="19119" xr:uid="{00000000-0005-0000-0000-00003B490000}"/>
    <cellStyle name="Финансовый 36 4 5 3 5 2" xfId="36132" xr:uid="{10F75ED3-9A05-4760-AC63-3A1AD0CED192}"/>
    <cellStyle name="Финансовый 36 4 5 3 6" xfId="26822" xr:uid="{C1372A91-B9E2-4D85-86EF-E3906261F47F}"/>
    <cellStyle name="Финансовый 36 4 5 4" xfId="9723" xr:uid="{00000000-0005-0000-0000-00003C490000}"/>
    <cellStyle name="Финансовый 36 4 5 4 2" xfId="12808" xr:uid="{00000000-0005-0000-0000-00003D490000}"/>
    <cellStyle name="Финансовый 36 4 5 4 2 2" xfId="29897" xr:uid="{642D1064-6B32-4DE2-B843-D6B3A8D674CD}"/>
    <cellStyle name="Финансовый 36 4 5 4 3" xfId="16040" xr:uid="{00000000-0005-0000-0000-00003E490000}"/>
    <cellStyle name="Финансовый 36 4 5 4 3 2" xfId="33053" xr:uid="{DA6C987C-38AA-4968-B510-43BD898CC0F8}"/>
    <cellStyle name="Финансовый 36 4 5 4 4" xfId="19121" xr:uid="{00000000-0005-0000-0000-00003F490000}"/>
    <cellStyle name="Финансовый 36 4 5 4 4 2" xfId="36134" xr:uid="{694BBF5C-EE68-41DB-88D4-66B47568D998}"/>
    <cellStyle name="Финансовый 36 4 5 4 5" xfId="26824" xr:uid="{1879961F-470E-42FD-902C-AAD85AA89788}"/>
    <cellStyle name="Финансовый 36 4 5 5" xfId="12801" xr:uid="{00000000-0005-0000-0000-000040490000}"/>
    <cellStyle name="Финансовый 36 4 5 5 2" xfId="29890" xr:uid="{9EA3B814-DF1A-4ECF-AD46-71F7496191DD}"/>
    <cellStyle name="Финансовый 36 4 5 6" xfId="16033" xr:uid="{00000000-0005-0000-0000-000041490000}"/>
    <cellStyle name="Финансовый 36 4 5 6 2" xfId="33046" xr:uid="{4476E349-FF09-4D85-B429-2FF2CBA9E136}"/>
    <cellStyle name="Финансовый 36 4 5 7" xfId="19114" xr:uid="{00000000-0005-0000-0000-000042490000}"/>
    <cellStyle name="Финансовый 36 4 5 7 2" xfId="36127" xr:uid="{B1CA6B56-21A7-4BC4-B8CE-B9E0DA806AD8}"/>
    <cellStyle name="Финансовый 36 4 5 8" xfId="26817" xr:uid="{0FF19722-A8F3-44F0-9858-CC8ABC5CE630}"/>
    <cellStyle name="Финансовый 36 4 6" xfId="9724" xr:uid="{00000000-0005-0000-0000-000043490000}"/>
    <cellStyle name="Финансовый 36 4 6 2" xfId="9725" xr:uid="{00000000-0005-0000-0000-000044490000}"/>
    <cellStyle name="Финансовый 36 4 6 2 2" xfId="9726" xr:uid="{00000000-0005-0000-0000-000045490000}"/>
    <cellStyle name="Финансовый 36 4 6 2 2 2" xfId="12811" xr:uid="{00000000-0005-0000-0000-000046490000}"/>
    <cellStyle name="Финансовый 36 4 6 2 2 2 2" xfId="29900" xr:uid="{A3B71A50-F1B9-4CC0-84D2-6DAE181D5FEE}"/>
    <cellStyle name="Финансовый 36 4 6 2 2 3" xfId="16043" xr:uid="{00000000-0005-0000-0000-000047490000}"/>
    <cellStyle name="Финансовый 36 4 6 2 2 3 2" xfId="33056" xr:uid="{74EF962D-2DCB-4481-A564-CEEF5327548F}"/>
    <cellStyle name="Финансовый 36 4 6 2 2 4" xfId="19124" xr:uid="{00000000-0005-0000-0000-000048490000}"/>
    <cellStyle name="Финансовый 36 4 6 2 2 4 2" xfId="36137" xr:uid="{C7A87BCD-7D70-4D91-B91D-82C46C26E54D}"/>
    <cellStyle name="Финансовый 36 4 6 2 2 5" xfId="26827" xr:uid="{AA0023B6-9881-426E-85F3-F9445E477E52}"/>
    <cellStyle name="Финансовый 36 4 6 2 3" xfId="12810" xr:uid="{00000000-0005-0000-0000-000049490000}"/>
    <cellStyle name="Финансовый 36 4 6 2 3 2" xfId="29899" xr:uid="{918C7B19-B675-4BB5-AEB9-CF331DB498F1}"/>
    <cellStyle name="Финансовый 36 4 6 2 4" xfId="16042" xr:uid="{00000000-0005-0000-0000-00004A490000}"/>
    <cellStyle name="Финансовый 36 4 6 2 4 2" xfId="33055" xr:uid="{7FD91449-75A2-46AA-8567-84365C27BE31}"/>
    <cellStyle name="Финансовый 36 4 6 2 5" xfId="19123" xr:uid="{00000000-0005-0000-0000-00004B490000}"/>
    <cellStyle name="Финансовый 36 4 6 2 5 2" xfId="36136" xr:uid="{2729826E-DBC9-40B1-93D8-7DCAD57B184C}"/>
    <cellStyle name="Финансовый 36 4 6 2 6" xfId="26826" xr:uid="{4361C354-0E36-4524-BC0D-B3BBC3EAFC59}"/>
    <cellStyle name="Финансовый 36 4 6 3" xfId="9727" xr:uid="{00000000-0005-0000-0000-00004C490000}"/>
    <cellStyle name="Финансовый 36 4 6 3 2" xfId="12812" xr:uid="{00000000-0005-0000-0000-00004D490000}"/>
    <cellStyle name="Финансовый 36 4 6 3 2 2" xfId="29901" xr:uid="{F7A5124B-CD98-4837-90B7-6146EDB2643D}"/>
    <cellStyle name="Финансовый 36 4 6 3 3" xfId="16044" xr:uid="{00000000-0005-0000-0000-00004E490000}"/>
    <cellStyle name="Финансовый 36 4 6 3 3 2" xfId="33057" xr:uid="{4EF87873-BA35-4065-9E6F-782E6F39B699}"/>
    <cellStyle name="Финансовый 36 4 6 3 4" xfId="19125" xr:uid="{00000000-0005-0000-0000-00004F490000}"/>
    <cellStyle name="Финансовый 36 4 6 3 4 2" xfId="36138" xr:uid="{465AD4E7-156B-4156-BE35-DFE7623CD6C8}"/>
    <cellStyle name="Финансовый 36 4 6 3 5" xfId="26828" xr:uid="{98451FDE-C549-4229-A933-30CE37B6A7A4}"/>
    <cellStyle name="Финансовый 36 4 6 4" xfId="12809" xr:uid="{00000000-0005-0000-0000-000050490000}"/>
    <cellStyle name="Финансовый 36 4 6 4 2" xfId="29898" xr:uid="{FAC6A9E4-2727-4FE1-ACB5-ED4E1646E737}"/>
    <cellStyle name="Финансовый 36 4 6 5" xfId="16041" xr:uid="{00000000-0005-0000-0000-000051490000}"/>
    <cellStyle name="Финансовый 36 4 6 5 2" xfId="33054" xr:uid="{63E889EC-F4E0-4559-A76B-FED7F1FE5398}"/>
    <cellStyle name="Финансовый 36 4 6 6" xfId="19122" xr:uid="{00000000-0005-0000-0000-000052490000}"/>
    <cellStyle name="Финансовый 36 4 6 6 2" xfId="36135" xr:uid="{0D5217BD-7549-468F-B78A-AC0EEAAB7CBF}"/>
    <cellStyle name="Финансовый 36 4 6 7" xfId="26825" xr:uid="{5ECFC800-FC50-4090-97F5-59E1F61ECBC9}"/>
    <cellStyle name="Финансовый 36 4 7" xfId="9728" xr:uid="{00000000-0005-0000-0000-000053490000}"/>
    <cellStyle name="Финансовый 36 4 7 2" xfId="9729" xr:uid="{00000000-0005-0000-0000-000054490000}"/>
    <cellStyle name="Финансовый 36 4 7 2 2" xfId="12814" xr:uid="{00000000-0005-0000-0000-000055490000}"/>
    <cellStyle name="Финансовый 36 4 7 2 2 2" xfId="29903" xr:uid="{097AB950-13CB-4294-95A2-99A9AB8A55A5}"/>
    <cellStyle name="Финансовый 36 4 7 2 3" xfId="16046" xr:uid="{00000000-0005-0000-0000-000056490000}"/>
    <cellStyle name="Финансовый 36 4 7 2 3 2" xfId="33059" xr:uid="{6AF545F0-BC1E-4B72-8024-6CC71700AF36}"/>
    <cellStyle name="Финансовый 36 4 7 2 4" xfId="19127" xr:uid="{00000000-0005-0000-0000-000057490000}"/>
    <cellStyle name="Финансовый 36 4 7 2 4 2" xfId="36140" xr:uid="{F3D31CFC-DDDE-4CF8-A3AA-9E3BC627992A}"/>
    <cellStyle name="Финансовый 36 4 7 2 5" xfId="26830" xr:uid="{D1691699-5794-4057-AB49-753310420606}"/>
    <cellStyle name="Финансовый 36 4 7 3" xfId="12813" xr:uid="{00000000-0005-0000-0000-000058490000}"/>
    <cellStyle name="Финансовый 36 4 7 3 2" xfId="29902" xr:uid="{4C73D6EF-28AF-4584-B505-FA395BD5B28B}"/>
    <cellStyle name="Финансовый 36 4 7 4" xfId="16045" xr:uid="{00000000-0005-0000-0000-000059490000}"/>
    <cellStyle name="Финансовый 36 4 7 4 2" xfId="33058" xr:uid="{5D651C0D-2FB1-43FD-AD86-9D8578944B89}"/>
    <cellStyle name="Финансовый 36 4 7 5" xfId="19126" xr:uid="{00000000-0005-0000-0000-00005A490000}"/>
    <cellStyle name="Финансовый 36 4 7 5 2" xfId="36139" xr:uid="{105BDDBC-9464-4FC5-B514-3831544DA3B9}"/>
    <cellStyle name="Финансовый 36 4 7 6" xfId="26829" xr:uid="{05134082-0B39-4BD8-B42F-0B4E6EB37BB2}"/>
    <cellStyle name="Финансовый 36 4 8" xfId="9730" xr:uid="{00000000-0005-0000-0000-00005B490000}"/>
    <cellStyle name="Финансовый 36 4 8 2" xfId="12815" xr:uid="{00000000-0005-0000-0000-00005C490000}"/>
    <cellStyle name="Финансовый 36 4 8 2 2" xfId="29904" xr:uid="{8D6D029E-8D5A-47EC-8522-49E75A7B69F3}"/>
    <cellStyle name="Финансовый 36 4 8 3" xfId="16047" xr:uid="{00000000-0005-0000-0000-00005D490000}"/>
    <cellStyle name="Финансовый 36 4 8 3 2" xfId="33060" xr:uid="{81D6F875-831D-42A8-904F-AAF78A19FCEF}"/>
    <cellStyle name="Финансовый 36 4 8 4" xfId="19128" xr:uid="{00000000-0005-0000-0000-00005E490000}"/>
    <cellStyle name="Финансовый 36 4 8 4 2" xfId="36141" xr:uid="{6AFB3FEE-1498-4D53-954C-5DDF3152A979}"/>
    <cellStyle name="Финансовый 36 4 8 5" xfId="26831" xr:uid="{21B2E3B5-87BB-4F71-BA80-D0DDF5B09996}"/>
    <cellStyle name="Финансовый 36 4 9" xfId="12688" xr:uid="{00000000-0005-0000-0000-00005F490000}"/>
    <cellStyle name="Финансовый 36 4 9 2" xfId="29777" xr:uid="{A8AA470E-9D9F-4C3B-8515-0DC7365C14C7}"/>
    <cellStyle name="Финансовый 36 5" xfId="9731" xr:uid="{00000000-0005-0000-0000-000060490000}"/>
    <cellStyle name="Финансовый 36 5 10" xfId="19129" xr:uid="{00000000-0005-0000-0000-000061490000}"/>
    <cellStyle name="Финансовый 36 5 10 2" xfId="36142" xr:uid="{5DE694F4-C676-4028-BCBB-81B843578CA0}"/>
    <cellStyle name="Финансовый 36 5 11" xfId="26832" xr:uid="{4C147329-5D93-46C4-AADC-4CDBA1B05BE3}"/>
    <cellStyle name="Финансовый 36 5 2" xfId="9732" xr:uid="{00000000-0005-0000-0000-000062490000}"/>
    <cellStyle name="Финансовый 36 5 2 10" xfId="26833" xr:uid="{D6AF1E6B-65C7-4A8A-9F27-E945D67136EE}"/>
    <cellStyle name="Финансовый 36 5 2 2" xfId="9733" xr:uid="{00000000-0005-0000-0000-000063490000}"/>
    <cellStyle name="Финансовый 36 5 2 2 2" xfId="9734" xr:uid="{00000000-0005-0000-0000-000064490000}"/>
    <cellStyle name="Финансовый 36 5 2 2 2 2" xfId="9735" xr:uid="{00000000-0005-0000-0000-000065490000}"/>
    <cellStyle name="Финансовый 36 5 2 2 2 2 2" xfId="9736" xr:uid="{00000000-0005-0000-0000-000066490000}"/>
    <cellStyle name="Финансовый 36 5 2 2 2 2 2 2" xfId="9737" xr:uid="{00000000-0005-0000-0000-000067490000}"/>
    <cellStyle name="Финансовый 36 5 2 2 2 2 2 2 2" xfId="12822" xr:uid="{00000000-0005-0000-0000-000068490000}"/>
    <cellStyle name="Финансовый 36 5 2 2 2 2 2 2 2 2" xfId="29911" xr:uid="{C1EF8775-ECDA-42F5-94C6-5FDB0C708B3F}"/>
    <cellStyle name="Финансовый 36 5 2 2 2 2 2 2 3" xfId="16054" xr:uid="{00000000-0005-0000-0000-000069490000}"/>
    <cellStyle name="Финансовый 36 5 2 2 2 2 2 2 3 2" xfId="33067" xr:uid="{45E4D9D2-DECE-4A30-BA6D-193B36A2A50D}"/>
    <cellStyle name="Финансовый 36 5 2 2 2 2 2 2 4" xfId="19135" xr:uid="{00000000-0005-0000-0000-00006A490000}"/>
    <cellStyle name="Финансовый 36 5 2 2 2 2 2 2 4 2" xfId="36148" xr:uid="{6774EC0F-337D-43D5-9E98-122AF2ACC31C}"/>
    <cellStyle name="Финансовый 36 5 2 2 2 2 2 2 5" xfId="26838" xr:uid="{F33DDB00-5208-4AE8-B6AA-232110C98404}"/>
    <cellStyle name="Финансовый 36 5 2 2 2 2 2 3" xfId="12821" xr:uid="{00000000-0005-0000-0000-00006B490000}"/>
    <cellStyle name="Финансовый 36 5 2 2 2 2 2 3 2" xfId="29910" xr:uid="{EFF2E640-477D-4C2F-9B23-79E1932E28F3}"/>
    <cellStyle name="Финансовый 36 5 2 2 2 2 2 4" xfId="16053" xr:uid="{00000000-0005-0000-0000-00006C490000}"/>
    <cellStyle name="Финансовый 36 5 2 2 2 2 2 4 2" xfId="33066" xr:uid="{B064528D-3253-403C-8599-A65604B84437}"/>
    <cellStyle name="Финансовый 36 5 2 2 2 2 2 5" xfId="19134" xr:uid="{00000000-0005-0000-0000-00006D490000}"/>
    <cellStyle name="Финансовый 36 5 2 2 2 2 2 5 2" xfId="36147" xr:uid="{A7CCECFD-6CFA-4332-8E7C-9E69300CFC7E}"/>
    <cellStyle name="Финансовый 36 5 2 2 2 2 2 6" xfId="26837" xr:uid="{5D72CD9E-0498-45B9-97DD-180E3A7D5C10}"/>
    <cellStyle name="Финансовый 36 5 2 2 2 2 3" xfId="9738" xr:uid="{00000000-0005-0000-0000-00006E490000}"/>
    <cellStyle name="Финансовый 36 5 2 2 2 2 3 2" xfId="12823" xr:uid="{00000000-0005-0000-0000-00006F490000}"/>
    <cellStyle name="Финансовый 36 5 2 2 2 2 3 2 2" xfId="29912" xr:uid="{DE14C39E-913D-41A1-8B4B-8C7F99CF0FDF}"/>
    <cellStyle name="Финансовый 36 5 2 2 2 2 3 3" xfId="16055" xr:uid="{00000000-0005-0000-0000-000070490000}"/>
    <cellStyle name="Финансовый 36 5 2 2 2 2 3 3 2" xfId="33068" xr:uid="{DF9D3A13-0945-4E55-895F-164DC6C2147F}"/>
    <cellStyle name="Финансовый 36 5 2 2 2 2 3 4" xfId="19136" xr:uid="{00000000-0005-0000-0000-000071490000}"/>
    <cellStyle name="Финансовый 36 5 2 2 2 2 3 4 2" xfId="36149" xr:uid="{14935F7E-9382-40E8-B127-29F3C6076DDA}"/>
    <cellStyle name="Финансовый 36 5 2 2 2 2 3 5" xfId="26839" xr:uid="{10C80C0E-0686-4016-8EC3-81FCF7FCC881}"/>
    <cellStyle name="Финансовый 36 5 2 2 2 2 4" xfId="12820" xr:uid="{00000000-0005-0000-0000-000072490000}"/>
    <cellStyle name="Финансовый 36 5 2 2 2 2 4 2" xfId="29909" xr:uid="{8D336DF9-8C3F-4EEA-B748-ED57C7459870}"/>
    <cellStyle name="Финансовый 36 5 2 2 2 2 5" xfId="16052" xr:uid="{00000000-0005-0000-0000-000073490000}"/>
    <cellStyle name="Финансовый 36 5 2 2 2 2 5 2" xfId="33065" xr:uid="{DED14DF4-C5A8-46DB-B804-D8EDED34C898}"/>
    <cellStyle name="Финансовый 36 5 2 2 2 2 6" xfId="19133" xr:uid="{00000000-0005-0000-0000-000074490000}"/>
    <cellStyle name="Финансовый 36 5 2 2 2 2 6 2" xfId="36146" xr:uid="{CB6437E8-AF35-429D-9B53-67289401EACC}"/>
    <cellStyle name="Финансовый 36 5 2 2 2 2 7" xfId="26836" xr:uid="{6964F0E8-44A3-4D3F-A670-26D1281AD590}"/>
    <cellStyle name="Финансовый 36 5 2 2 2 3" xfId="9739" xr:uid="{00000000-0005-0000-0000-000075490000}"/>
    <cellStyle name="Финансовый 36 5 2 2 2 3 2" xfId="9740" xr:uid="{00000000-0005-0000-0000-000076490000}"/>
    <cellStyle name="Финансовый 36 5 2 2 2 3 2 2" xfId="12825" xr:uid="{00000000-0005-0000-0000-000077490000}"/>
    <cellStyle name="Финансовый 36 5 2 2 2 3 2 2 2" xfId="29914" xr:uid="{AB04D740-D8B3-4CD8-8B8C-53C3605CF6B7}"/>
    <cellStyle name="Финансовый 36 5 2 2 2 3 2 3" xfId="16057" xr:uid="{00000000-0005-0000-0000-000078490000}"/>
    <cellStyle name="Финансовый 36 5 2 2 2 3 2 3 2" xfId="33070" xr:uid="{557C52AF-5C4A-4FC8-9A05-36D599391AE1}"/>
    <cellStyle name="Финансовый 36 5 2 2 2 3 2 4" xfId="19138" xr:uid="{00000000-0005-0000-0000-000079490000}"/>
    <cellStyle name="Финансовый 36 5 2 2 2 3 2 4 2" xfId="36151" xr:uid="{64AAA923-A0ED-4485-A3CB-AF5565220282}"/>
    <cellStyle name="Финансовый 36 5 2 2 2 3 2 5" xfId="26841" xr:uid="{230C3E2D-15B5-4826-AF96-50503E1BECD4}"/>
    <cellStyle name="Финансовый 36 5 2 2 2 3 3" xfId="12824" xr:uid="{00000000-0005-0000-0000-00007A490000}"/>
    <cellStyle name="Финансовый 36 5 2 2 2 3 3 2" xfId="29913" xr:uid="{EEDCBBE2-3E35-4C5B-9516-2FAAA4A4E108}"/>
    <cellStyle name="Финансовый 36 5 2 2 2 3 4" xfId="16056" xr:uid="{00000000-0005-0000-0000-00007B490000}"/>
    <cellStyle name="Финансовый 36 5 2 2 2 3 4 2" xfId="33069" xr:uid="{68FC9BD1-105B-45D9-9509-876AB3928A2F}"/>
    <cellStyle name="Финансовый 36 5 2 2 2 3 5" xfId="19137" xr:uid="{00000000-0005-0000-0000-00007C490000}"/>
    <cellStyle name="Финансовый 36 5 2 2 2 3 5 2" xfId="36150" xr:uid="{E523193B-08FE-4051-8E0C-54199100C861}"/>
    <cellStyle name="Финансовый 36 5 2 2 2 3 6" xfId="26840" xr:uid="{B579A4E1-21F3-4A57-BE3D-96C2CCA969AB}"/>
    <cellStyle name="Финансовый 36 5 2 2 2 4" xfId="9741" xr:uid="{00000000-0005-0000-0000-00007D490000}"/>
    <cellStyle name="Финансовый 36 5 2 2 2 4 2" xfId="12826" xr:uid="{00000000-0005-0000-0000-00007E490000}"/>
    <cellStyle name="Финансовый 36 5 2 2 2 4 2 2" xfId="29915" xr:uid="{A16BCE3E-D134-4A1F-B4D0-189149640D05}"/>
    <cellStyle name="Финансовый 36 5 2 2 2 4 3" xfId="16058" xr:uid="{00000000-0005-0000-0000-00007F490000}"/>
    <cellStyle name="Финансовый 36 5 2 2 2 4 3 2" xfId="33071" xr:uid="{A05D6807-6AA0-448C-BBAD-224CA83D4C18}"/>
    <cellStyle name="Финансовый 36 5 2 2 2 4 4" xfId="19139" xr:uid="{00000000-0005-0000-0000-000080490000}"/>
    <cellStyle name="Финансовый 36 5 2 2 2 4 4 2" xfId="36152" xr:uid="{DD011696-9B76-4105-A8BA-178F02A7FF7A}"/>
    <cellStyle name="Финансовый 36 5 2 2 2 4 5" xfId="26842" xr:uid="{E5A06D1A-220C-423E-B539-4180A6E2F1FD}"/>
    <cellStyle name="Финансовый 36 5 2 2 2 5" xfId="12819" xr:uid="{00000000-0005-0000-0000-000081490000}"/>
    <cellStyle name="Финансовый 36 5 2 2 2 5 2" xfId="29908" xr:uid="{80B2ADF0-3222-41B7-B5EA-E3B85867FB7D}"/>
    <cellStyle name="Финансовый 36 5 2 2 2 6" xfId="16051" xr:uid="{00000000-0005-0000-0000-000082490000}"/>
    <cellStyle name="Финансовый 36 5 2 2 2 6 2" xfId="33064" xr:uid="{224BECE0-DF61-4F1D-814E-A3D6C3C38B4A}"/>
    <cellStyle name="Финансовый 36 5 2 2 2 7" xfId="19132" xr:uid="{00000000-0005-0000-0000-000083490000}"/>
    <cellStyle name="Финансовый 36 5 2 2 2 7 2" xfId="36145" xr:uid="{537D4C79-EB56-484D-9348-843547CFE9D7}"/>
    <cellStyle name="Финансовый 36 5 2 2 2 8" xfId="26835" xr:uid="{AC31E0A8-7A06-4AF0-9D39-9C58E9A6450A}"/>
    <cellStyle name="Финансовый 36 5 2 2 3" xfId="9742" xr:uid="{00000000-0005-0000-0000-000084490000}"/>
    <cellStyle name="Финансовый 36 5 2 2 3 2" xfId="9743" xr:uid="{00000000-0005-0000-0000-000085490000}"/>
    <cellStyle name="Финансовый 36 5 2 2 3 2 2" xfId="9744" xr:uid="{00000000-0005-0000-0000-000086490000}"/>
    <cellStyle name="Финансовый 36 5 2 2 3 2 2 2" xfId="12829" xr:uid="{00000000-0005-0000-0000-000087490000}"/>
    <cellStyle name="Финансовый 36 5 2 2 3 2 2 2 2" xfId="29918" xr:uid="{0E43E6BB-572D-44E7-A965-0BC80C1912CF}"/>
    <cellStyle name="Финансовый 36 5 2 2 3 2 2 3" xfId="16061" xr:uid="{00000000-0005-0000-0000-000088490000}"/>
    <cellStyle name="Финансовый 36 5 2 2 3 2 2 3 2" xfId="33074" xr:uid="{EC7AEF6F-3F21-46B0-9602-14A94F671682}"/>
    <cellStyle name="Финансовый 36 5 2 2 3 2 2 4" xfId="19142" xr:uid="{00000000-0005-0000-0000-000089490000}"/>
    <cellStyle name="Финансовый 36 5 2 2 3 2 2 4 2" xfId="36155" xr:uid="{1462FA7A-BA9A-4FEA-B1BB-989880952EA0}"/>
    <cellStyle name="Финансовый 36 5 2 2 3 2 2 5" xfId="26845" xr:uid="{CA1FC6E4-F275-4298-ABC5-088ADE3E1DBD}"/>
    <cellStyle name="Финансовый 36 5 2 2 3 2 3" xfId="12828" xr:uid="{00000000-0005-0000-0000-00008A490000}"/>
    <cellStyle name="Финансовый 36 5 2 2 3 2 3 2" xfId="29917" xr:uid="{FE3F92ED-DCF2-44AF-AEE0-A49CC0866527}"/>
    <cellStyle name="Финансовый 36 5 2 2 3 2 4" xfId="16060" xr:uid="{00000000-0005-0000-0000-00008B490000}"/>
    <cellStyle name="Финансовый 36 5 2 2 3 2 4 2" xfId="33073" xr:uid="{33BD112A-3978-4380-A668-5E0AB3EA9B7B}"/>
    <cellStyle name="Финансовый 36 5 2 2 3 2 5" xfId="19141" xr:uid="{00000000-0005-0000-0000-00008C490000}"/>
    <cellStyle name="Финансовый 36 5 2 2 3 2 5 2" xfId="36154" xr:uid="{3B881B9E-F6B8-44A3-A49C-4E87C48B7F0E}"/>
    <cellStyle name="Финансовый 36 5 2 2 3 2 6" xfId="26844" xr:uid="{0A44ECEB-56BA-493D-96DD-1B323AB1AC2C}"/>
    <cellStyle name="Финансовый 36 5 2 2 3 3" xfId="9745" xr:uid="{00000000-0005-0000-0000-00008D490000}"/>
    <cellStyle name="Финансовый 36 5 2 2 3 3 2" xfId="12830" xr:uid="{00000000-0005-0000-0000-00008E490000}"/>
    <cellStyle name="Финансовый 36 5 2 2 3 3 2 2" xfId="29919" xr:uid="{1D1100C5-DF5A-4695-90B2-BCF1C90F9291}"/>
    <cellStyle name="Финансовый 36 5 2 2 3 3 3" xfId="16062" xr:uid="{00000000-0005-0000-0000-00008F490000}"/>
    <cellStyle name="Финансовый 36 5 2 2 3 3 3 2" xfId="33075" xr:uid="{F3CA780D-CF9C-460D-A578-73E65C6433A4}"/>
    <cellStyle name="Финансовый 36 5 2 2 3 3 4" xfId="19143" xr:uid="{00000000-0005-0000-0000-000090490000}"/>
    <cellStyle name="Финансовый 36 5 2 2 3 3 4 2" xfId="36156" xr:uid="{63BD9209-3094-4FC6-989D-4B4A63B86E6B}"/>
    <cellStyle name="Финансовый 36 5 2 2 3 3 5" xfId="26846" xr:uid="{C7F5D5EB-F645-4BD3-88EC-94C76DCD22FA}"/>
    <cellStyle name="Финансовый 36 5 2 2 3 4" xfId="12827" xr:uid="{00000000-0005-0000-0000-000091490000}"/>
    <cellStyle name="Финансовый 36 5 2 2 3 4 2" xfId="29916" xr:uid="{5E2A8B74-E7F2-40E9-B613-E6A7958443DB}"/>
    <cellStyle name="Финансовый 36 5 2 2 3 5" xfId="16059" xr:uid="{00000000-0005-0000-0000-000092490000}"/>
    <cellStyle name="Финансовый 36 5 2 2 3 5 2" xfId="33072" xr:uid="{D1794A3A-F709-46C6-9C2A-7C5B8B219E2D}"/>
    <cellStyle name="Финансовый 36 5 2 2 3 6" xfId="19140" xr:uid="{00000000-0005-0000-0000-000093490000}"/>
    <cellStyle name="Финансовый 36 5 2 2 3 6 2" xfId="36153" xr:uid="{5AC79932-48EC-4E83-AA56-C7BF2D29ACAA}"/>
    <cellStyle name="Финансовый 36 5 2 2 3 7" xfId="26843" xr:uid="{C29A9D6C-535A-48DB-852C-7C8BE4D52FA9}"/>
    <cellStyle name="Финансовый 36 5 2 2 4" xfId="9746" xr:uid="{00000000-0005-0000-0000-000094490000}"/>
    <cellStyle name="Финансовый 36 5 2 2 4 2" xfId="9747" xr:uid="{00000000-0005-0000-0000-000095490000}"/>
    <cellStyle name="Финансовый 36 5 2 2 4 2 2" xfId="12832" xr:uid="{00000000-0005-0000-0000-000096490000}"/>
    <cellStyle name="Финансовый 36 5 2 2 4 2 2 2" xfId="29921" xr:uid="{0810A680-B220-4A79-AF77-9C439D32B154}"/>
    <cellStyle name="Финансовый 36 5 2 2 4 2 3" xfId="16064" xr:uid="{00000000-0005-0000-0000-000097490000}"/>
    <cellStyle name="Финансовый 36 5 2 2 4 2 3 2" xfId="33077" xr:uid="{9695D553-B8D1-4BE5-AC3B-BA21CCD8E773}"/>
    <cellStyle name="Финансовый 36 5 2 2 4 2 4" xfId="19145" xr:uid="{00000000-0005-0000-0000-000098490000}"/>
    <cellStyle name="Финансовый 36 5 2 2 4 2 4 2" xfId="36158" xr:uid="{BF7E0006-C60D-44E2-90CB-07044C1479BA}"/>
    <cellStyle name="Финансовый 36 5 2 2 4 2 5" xfId="26848" xr:uid="{890BA592-612C-43D7-98F5-DFF79243FB5A}"/>
    <cellStyle name="Финансовый 36 5 2 2 4 3" xfId="12831" xr:uid="{00000000-0005-0000-0000-000099490000}"/>
    <cellStyle name="Финансовый 36 5 2 2 4 3 2" xfId="29920" xr:uid="{9527FE99-8A5A-4D3F-B05A-24E91BA1073B}"/>
    <cellStyle name="Финансовый 36 5 2 2 4 4" xfId="16063" xr:uid="{00000000-0005-0000-0000-00009A490000}"/>
    <cellStyle name="Финансовый 36 5 2 2 4 4 2" xfId="33076" xr:uid="{E6C318AE-10B8-4D1F-9A54-F4E74D74FE61}"/>
    <cellStyle name="Финансовый 36 5 2 2 4 5" xfId="19144" xr:uid="{00000000-0005-0000-0000-00009B490000}"/>
    <cellStyle name="Финансовый 36 5 2 2 4 5 2" xfId="36157" xr:uid="{D53617CA-A770-41F5-B8F3-3983C12CEBF6}"/>
    <cellStyle name="Финансовый 36 5 2 2 4 6" xfId="26847" xr:uid="{CACD0AB0-1DD0-4B27-A52C-A0FF153FF77D}"/>
    <cellStyle name="Финансовый 36 5 2 2 5" xfId="9748" xr:uid="{00000000-0005-0000-0000-00009C490000}"/>
    <cellStyle name="Финансовый 36 5 2 2 5 2" xfId="12833" xr:uid="{00000000-0005-0000-0000-00009D490000}"/>
    <cellStyle name="Финансовый 36 5 2 2 5 2 2" xfId="29922" xr:uid="{6169044B-C089-422B-B3A7-CDA049B01B53}"/>
    <cellStyle name="Финансовый 36 5 2 2 5 3" xfId="16065" xr:uid="{00000000-0005-0000-0000-00009E490000}"/>
    <cellStyle name="Финансовый 36 5 2 2 5 3 2" xfId="33078" xr:uid="{A7C22EA3-7D1B-49B8-89AB-45B23A5EDEC6}"/>
    <cellStyle name="Финансовый 36 5 2 2 5 4" xfId="19146" xr:uid="{00000000-0005-0000-0000-00009F490000}"/>
    <cellStyle name="Финансовый 36 5 2 2 5 4 2" xfId="36159" xr:uid="{F7AFAF9B-4D2E-4657-9066-9EFB0F377DEE}"/>
    <cellStyle name="Финансовый 36 5 2 2 5 5" xfId="26849" xr:uid="{90620856-D275-46CF-A222-D88706869932}"/>
    <cellStyle name="Финансовый 36 5 2 2 6" xfId="12818" xr:uid="{00000000-0005-0000-0000-0000A0490000}"/>
    <cellStyle name="Финансовый 36 5 2 2 6 2" xfId="29907" xr:uid="{0DB41546-76B2-40C6-B911-A23185B41027}"/>
    <cellStyle name="Финансовый 36 5 2 2 7" xfId="16050" xr:uid="{00000000-0005-0000-0000-0000A1490000}"/>
    <cellStyle name="Финансовый 36 5 2 2 7 2" xfId="33063" xr:uid="{0EE33092-36E3-42DB-8C67-5DCBFF1268AD}"/>
    <cellStyle name="Финансовый 36 5 2 2 8" xfId="19131" xr:uid="{00000000-0005-0000-0000-0000A2490000}"/>
    <cellStyle name="Финансовый 36 5 2 2 8 2" xfId="36144" xr:uid="{4BC8973D-A57E-4610-9613-C927487DB071}"/>
    <cellStyle name="Финансовый 36 5 2 2 9" xfId="26834" xr:uid="{2D985145-06D6-49D5-AF75-DC711BAC340D}"/>
    <cellStyle name="Финансовый 36 5 2 3" xfId="9749" xr:uid="{00000000-0005-0000-0000-0000A3490000}"/>
    <cellStyle name="Финансовый 36 5 2 3 2" xfId="9750" xr:uid="{00000000-0005-0000-0000-0000A4490000}"/>
    <cellStyle name="Финансовый 36 5 2 3 2 2" xfId="9751" xr:uid="{00000000-0005-0000-0000-0000A5490000}"/>
    <cellStyle name="Финансовый 36 5 2 3 2 2 2" xfId="9752" xr:uid="{00000000-0005-0000-0000-0000A6490000}"/>
    <cellStyle name="Финансовый 36 5 2 3 2 2 2 2" xfId="12837" xr:uid="{00000000-0005-0000-0000-0000A7490000}"/>
    <cellStyle name="Финансовый 36 5 2 3 2 2 2 2 2" xfId="29926" xr:uid="{4F5CD56F-583B-42A0-951C-D86A603E1EBE}"/>
    <cellStyle name="Финансовый 36 5 2 3 2 2 2 3" xfId="16069" xr:uid="{00000000-0005-0000-0000-0000A8490000}"/>
    <cellStyle name="Финансовый 36 5 2 3 2 2 2 3 2" xfId="33082" xr:uid="{F97118DC-2F34-43BF-B70B-221CC7096BD4}"/>
    <cellStyle name="Финансовый 36 5 2 3 2 2 2 4" xfId="19150" xr:uid="{00000000-0005-0000-0000-0000A9490000}"/>
    <cellStyle name="Финансовый 36 5 2 3 2 2 2 4 2" xfId="36163" xr:uid="{65A0E4FC-A058-4B99-806D-E47F4C1525FC}"/>
    <cellStyle name="Финансовый 36 5 2 3 2 2 2 5" xfId="26853" xr:uid="{AD2BDA5E-3A1C-4835-A3D8-C45AF5F31D21}"/>
    <cellStyle name="Финансовый 36 5 2 3 2 2 3" xfId="12836" xr:uid="{00000000-0005-0000-0000-0000AA490000}"/>
    <cellStyle name="Финансовый 36 5 2 3 2 2 3 2" xfId="29925" xr:uid="{84C94BEC-A297-4203-9779-4E5DF1C4F73F}"/>
    <cellStyle name="Финансовый 36 5 2 3 2 2 4" xfId="16068" xr:uid="{00000000-0005-0000-0000-0000AB490000}"/>
    <cellStyle name="Финансовый 36 5 2 3 2 2 4 2" xfId="33081" xr:uid="{30E01CD9-8BAB-4301-939C-68B963197C03}"/>
    <cellStyle name="Финансовый 36 5 2 3 2 2 5" xfId="19149" xr:uid="{00000000-0005-0000-0000-0000AC490000}"/>
    <cellStyle name="Финансовый 36 5 2 3 2 2 5 2" xfId="36162" xr:uid="{6D7ABDB4-EE15-4C7A-9865-16324FEA5B8D}"/>
    <cellStyle name="Финансовый 36 5 2 3 2 2 6" xfId="26852" xr:uid="{0282833B-8016-422B-9829-E3C4DB0929FB}"/>
    <cellStyle name="Финансовый 36 5 2 3 2 3" xfId="9753" xr:uid="{00000000-0005-0000-0000-0000AD490000}"/>
    <cellStyle name="Финансовый 36 5 2 3 2 3 2" xfId="12838" xr:uid="{00000000-0005-0000-0000-0000AE490000}"/>
    <cellStyle name="Финансовый 36 5 2 3 2 3 2 2" xfId="29927" xr:uid="{08E53654-F4C9-4C4D-BFDC-5AD0DE39C5C4}"/>
    <cellStyle name="Финансовый 36 5 2 3 2 3 3" xfId="16070" xr:uid="{00000000-0005-0000-0000-0000AF490000}"/>
    <cellStyle name="Финансовый 36 5 2 3 2 3 3 2" xfId="33083" xr:uid="{22461EBF-2E47-464C-95BD-5F55AAEF4EA0}"/>
    <cellStyle name="Финансовый 36 5 2 3 2 3 4" xfId="19151" xr:uid="{00000000-0005-0000-0000-0000B0490000}"/>
    <cellStyle name="Финансовый 36 5 2 3 2 3 4 2" xfId="36164" xr:uid="{3E9CFD05-2874-447B-B075-6EE5EFF665B9}"/>
    <cellStyle name="Финансовый 36 5 2 3 2 3 5" xfId="26854" xr:uid="{91085397-F25B-47B3-AD78-C5F180A2DD57}"/>
    <cellStyle name="Финансовый 36 5 2 3 2 4" xfId="12835" xr:uid="{00000000-0005-0000-0000-0000B1490000}"/>
    <cellStyle name="Финансовый 36 5 2 3 2 4 2" xfId="29924" xr:uid="{2E9BE48A-429A-46B9-ADCF-E2B526E0D8DB}"/>
    <cellStyle name="Финансовый 36 5 2 3 2 5" xfId="16067" xr:uid="{00000000-0005-0000-0000-0000B2490000}"/>
    <cellStyle name="Финансовый 36 5 2 3 2 5 2" xfId="33080" xr:uid="{F8EF31FD-E252-4ACB-BE28-72E9EC564FCA}"/>
    <cellStyle name="Финансовый 36 5 2 3 2 6" xfId="19148" xr:uid="{00000000-0005-0000-0000-0000B3490000}"/>
    <cellStyle name="Финансовый 36 5 2 3 2 6 2" xfId="36161" xr:uid="{3F2FBA4D-C024-4BDF-9740-7410C8690CE5}"/>
    <cellStyle name="Финансовый 36 5 2 3 2 7" xfId="26851" xr:uid="{445EDDB7-7725-483B-B657-FDBB35EF858A}"/>
    <cellStyle name="Финансовый 36 5 2 3 3" xfId="9754" xr:uid="{00000000-0005-0000-0000-0000B4490000}"/>
    <cellStyle name="Финансовый 36 5 2 3 3 2" xfId="9755" xr:uid="{00000000-0005-0000-0000-0000B5490000}"/>
    <cellStyle name="Финансовый 36 5 2 3 3 2 2" xfId="12840" xr:uid="{00000000-0005-0000-0000-0000B6490000}"/>
    <cellStyle name="Финансовый 36 5 2 3 3 2 2 2" xfId="29929" xr:uid="{BA185D5B-827F-4324-8A03-1EB3880737D2}"/>
    <cellStyle name="Финансовый 36 5 2 3 3 2 3" xfId="16072" xr:uid="{00000000-0005-0000-0000-0000B7490000}"/>
    <cellStyle name="Финансовый 36 5 2 3 3 2 3 2" xfId="33085" xr:uid="{B5BEB63A-2CE6-4C47-88FB-1321ADCC9D3A}"/>
    <cellStyle name="Финансовый 36 5 2 3 3 2 4" xfId="19153" xr:uid="{00000000-0005-0000-0000-0000B8490000}"/>
    <cellStyle name="Финансовый 36 5 2 3 3 2 4 2" xfId="36166" xr:uid="{EE001498-3FC7-4F94-A924-348B360AF8D6}"/>
    <cellStyle name="Финансовый 36 5 2 3 3 2 5" xfId="26856" xr:uid="{3BC40C3C-BD02-4F40-A993-C9CBC8BE0DFD}"/>
    <cellStyle name="Финансовый 36 5 2 3 3 3" xfId="12839" xr:uid="{00000000-0005-0000-0000-0000B9490000}"/>
    <cellStyle name="Финансовый 36 5 2 3 3 3 2" xfId="29928" xr:uid="{31920A30-AF2F-4EE7-A347-67D7CEB1AC74}"/>
    <cellStyle name="Финансовый 36 5 2 3 3 4" xfId="16071" xr:uid="{00000000-0005-0000-0000-0000BA490000}"/>
    <cellStyle name="Финансовый 36 5 2 3 3 4 2" xfId="33084" xr:uid="{09E28D87-88C2-42FF-8F06-D18A64D76A35}"/>
    <cellStyle name="Финансовый 36 5 2 3 3 5" xfId="19152" xr:uid="{00000000-0005-0000-0000-0000BB490000}"/>
    <cellStyle name="Финансовый 36 5 2 3 3 5 2" xfId="36165" xr:uid="{A566F889-9063-4EA0-8FC8-00E63F54337D}"/>
    <cellStyle name="Финансовый 36 5 2 3 3 6" xfId="26855" xr:uid="{A4683099-A3D1-4ABB-97E7-A6357971ECA1}"/>
    <cellStyle name="Финансовый 36 5 2 3 4" xfId="9756" xr:uid="{00000000-0005-0000-0000-0000BC490000}"/>
    <cellStyle name="Финансовый 36 5 2 3 4 2" xfId="12841" xr:uid="{00000000-0005-0000-0000-0000BD490000}"/>
    <cellStyle name="Финансовый 36 5 2 3 4 2 2" xfId="29930" xr:uid="{D555382B-2C0C-4B8B-9FB5-A401C1630B01}"/>
    <cellStyle name="Финансовый 36 5 2 3 4 3" xfId="16073" xr:uid="{00000000-0005-0000-0000-0000BE490000}"/>
    <cellStyle name="Финансовый 36 5 2 3 4 3 2" xfId="33086" xr:uid="{6B30EABE-14BF-4CF5-915E-12EA53B31253}"/>
    <cellStyle name="Финансовый 36 5 2 3 4 4" xfId="19154" xr:uid="{00000000-0005-0000-0000-0000BF490000}"/>
    <cellStyle name="Финансовый 36 5 2 3 4 4 2" xfId="36167" xr:uid="{9FFAA1EA-38F0-42F4-AEF0-0A3E02141C24}"/>
    <cellStyle name="Финансовый 36 5 2 3 4 5" xfId="26857" xr:uid="{D62BF659-46D6-44FD-A29E-83F43C013B18}"/>
    <cellStyle name="Финансовый 36 5 2 3 5" xfId="12834" xr:uid="{00000000-0005-0000-0000-0000C0490000}"/>
    <cellStyle name="Финансовый 36 5 2 3 5 2" xfId="29923" xr:uid="{22386B15-BD9D-4DF5-AFEA-B2F5F8ED8195}"/>
    <cellStyle name="Финансовый 36 5 2 3 6" xfId="16066" xr:uid="{00000000-0005-0000-0000-0000C1490000}"/>
    <cellStyle name="Финансовый 36 5 2 3 6 2" xfId="33079" xr:uid="{05A1EBD9-8E22-4528-8BE8-408B53EDC97F}"/>
    <cellStyle name="Финансовый 36 5 2 3 7" xfId="19147" xr:uid="{00000000-0005-0000-0000-0000C2490000}"/>
    <cellStyle name="Финансовый 36 5 2 3 7 2" xfId="36160" xr:uid="{D2E00717-50BD-411F-B5E2-A1DC8AE89B64}"/>
    <cellStyle name="Финансовый 36 5 2 3 8" xfId="26850" xr:uid="{AF47161A-DA9E-4782-B7F3-AA895FF2D6D2}"/>
    <cellStyle name="Финансовый 36 5 2 4" xfId="9757" xr:uid="{00000000-0005-0000-0000-0000C3490000}"/>
    <cellStyle name="Финансовый 36 5 2 4 2" xfId="9758" xr:uid="{00000000-0005-0000-0000-0000C4490000}"/>
    <cellStyle name="Финансовый 36 5 2 4 2 2" xfId="9759" xr:uid="{00000000-0005-0000-0000-0000C5490000}"/>
    <cellStyle name="Финансовый 36 5 2 4 2 2 2" xfId="12844" xr:uid="{00000000-0005-0000-0000-0000C6490000}"/>
    <cellStyle name="Финансовый 36 5 2 4 2 2 2 2" xfId="29933" xr:uid="{C38020AC-3FDF-4973-8D4F-4C967D4193EC}"/>
    <cellStyle name="Финансовый 36 5 2 4 2 2 3" xfId="16076" xr:uid="{00000000-0005-0000-0000-0000C7490000}"/>
    <cellStyle name="Финансовый 36 5 2 4 2 2 3 2" xfId="33089" xr:uid="{63833899-87A6-4F3B-B8AE-BDA0EB69FBA3}"/>
    <cellStyle name="Финансовый 36 5 2 4 2 2 4" xfId="19157" xr:uid="{00000000-0005-0000-0000-0000C8490000}"/>
    <cellStyle name="Финансовый 36 5 2 4 2 2 4 2" xfId="36170" xr:uid="{D228ECD4-AB15-4618-8515-10D31DC72D6C}"/>
    <cellStyle name="Финансовый 36 5 2 4 2 2 5" xfId="26860" xr:uid="{269D19C2-6431-41C6-94E5-C3BFA55DEFAB}"/>
    <cellStyle name="Финансовый 36 5 2 4 2 3" xfId="12843" xr:uid="{00000000-0005-0000-0000-0000C9490000}"/>
    <cellStyle name="Финансовый 36 5 2 4 2 3 2" xfId="29932" xr:uid="{1CB4A8D0-2DEE-417F-A7AF-B85734C4CDAC}"/>
    <cellStyle name="Финансовый 36 5 2 4 2 4" xfId="16075" xr:uid="{00000000-0005-0000-0000-0000CA490000}"/>
    <cellStyle name="Финансовый 36 5 2 4 2 4 2" xfId="33088" xr:uid="{F6CCBBA7-F860-4E2C-AB40-C1BF8CB56140}"/>
    <cellStyle name="Финансовый 36 5 2 4 2 5" xfId="19156" xr:uid="{00000000-0005-0000-0000-0000CB490000}"/>
    <cellStyle name="Финансовый 36 5 2 4 2 5 2" xfId="36169" xr:uid="{EC5FD922-E39A-4E82-8B1A-1FE963EE5F03}"/>
    <cellStyle name="Финансовый 36 5 2 4 2 6" xfId="26859" xr:uid="{8A8A3829-E35B-43A6-A86C-1E698CB3453B}"/>
    <cellStyle name="Финансовый 36 5 2 4 3" xfId="9760" xr:uid="{00000000-0005-0000-0000-0000CC490000}"/>
    <cellStyle name="Финансовый 36 5 2 4 3 2" xfId="12845" xr:uid="{00000000-0005-0000-0000-0000CD490000}"/>
    <cellStyle name="Финансовый 36 5 2 4 3 2 2" xfId="29934" xr:uid="{E9449341-397F-4F46-87E1-7C39FC869186}"/>
    <cellStyle name="Финансовый 36 5 2 4 3 3" xfId="16077" xr:uid="{00000000-0005-0000-0000-0000CE490000}"/>
    <cellStyle name="Финансовый 36 5 2 4 3 3 2" xfId="33090" xr:uid="{5E51DAEE-5303-4AE3-A389-4109BCE50F46}"/>
    <cellStyle name="Финансовый 36 5 2 4 3 4" xfId="19158" xr:uid="{00000000-0005-0000-0000-0000CF490000}"/>
    <cellStyle name="Финансовый 36 5 2 4 3 4 2" xfId="36171" xr:uid="{312EFBD7-E27F-4691-9BE9-B0416A31F369}"/>
    <cellStyle name="Финансовый 36 5 2 4 3 5" xfId="26861" xr:uid="{306C23E7-E140-49A8-865C-8FEFC18D5599}"/>
    <cellStyle name="Финансовый 36 5 2 4 4" xfId="12842" xr:uid="{00000000-0005-0000-0000-0000D0490000}"/>
    <cellStyle name="Финансовый 36 5 2 4 4 2" xfId="29931" xr:uid="{471AD9EC-01DA-42ED-B7DE-F209F2B47081}"/>
    <cellStyle name="Финансовый 36 5 2 4 5" xfId="16074" xr:uid="{00000000-0005-0000-0000-0000D1490000}"/>
    <cellStyle name="Финансовый 36 5 2 4 5 2" xfId="33087" xr:uid="{8E172BEC-7F04-4907-B9BC-1A22819715D9}"/>
    <cellStyle name="Финансовый 36 5 2 4 6" xfId="19155" xr:uid="{00000000-0005-0000-0000-0000D2490000}"/>
    <cellStyle name="Финансовый 36 5 2 4 6 2" xfId="36168" xr:uid="{05CA6F55-0C7C-48DF-8B7F-020734805805}"/>
    <cellStyle name="Финансовый 36 5 2 4 7" xfId="26858" xr:uid="{A759FE10-772D-4BAE-8013-23380ACB9358}"/>
    <cellStyle name="Финансовый 36 5 2 5" xfId="9761" xr:uid="{00000000-0005-0000-0000-0000D3490000}"/>
    <cellStyle name="Финансовый 36 5 2 5 2" xfId="9762" xr:uid="{00000000-0005-0000-0000-0000D4490000}"/>
    <cellStyle name="Финансовый 36 5 2 5 2 2" xfId="12847" xr:uid="{00000000-0005-0000-0000-0000D5490000}"/>
    <cellStyle name="Финансовый 36 5 2 5 2 2 2" xfId="29936" xr:uid="{0D438CC0-B7D3-4908-9B85-B8AE654919E4}"/>
    <cellStyle name="Финансовый 36 5 2 5 2 3" xfId="16079" xr:uid="{00000000-0005-0000-0000-0000D6490000}"/>
    <cellStyle name="Финансовый 36 5 2 5 2 3 2" xfId="33092" xr:uid="{66B25BCA-9B5D-455F-AF7B-E82A853CE56D}"/>
    <cellStyle name="Финансовый 36 5 2 5 2 4" xfId="19160" xr:uid="{00000000-0005-0000-0000-0000D7490000}"/>
    <cellStyle name="Финансовый 36 5 2 5 2 4 2" xfId="36173" xr:uid="{954C9421-73D2-476A-94FD-A76FDE2B3D26}"/>
    <cellStyle name="Финансовый 36 5 2 5 2 5" xfId="26863" xr:uid="{6081FA07-391A-4952-ADB1-FA0F8340F658}"/>
    <cellStyle name="Финансовый 36 5 2 5 3" xfId="12846" xr:uid="{00000000-0005-0000-0000-0000D8490000}"/>
    <cellStyle name="Финансовый 36 5 2 5 3 2" xfId="29935" xr:uid="{1C301720-5185-4C6B-9775-3EA95F4FB2B1}"/>
    <cellStyle name="Финансовый 36 5 2 5 4" xfId="16078" xr:uid="{00000000-0005-0000-0000-0000D9490000}"/>
    <cellStyle name="Финансовый 36 5 2 5 4 2" xfId="33091" xr:uid="{67B73F89-5277-4480-90D6-BD15FBF5A30A}"/>
    <cellStyle name="Финансовый 36 5 2 5 5" xfId="19159" xr:uid="{00000000-0005-0000-0000-0000DA490000}"/>
    <cellStyle name="Финансовый 36 5 2 5 5 2" xfId="36172" xr:uid="{172900CB-A642-43B1-815C-DDF60941080C}"/>
    <cellStyle name="Финансовый 36 5 2 5 6" xfId="26862" xr:uid="{17BBCE5B-16E5-4C8A-B186-4E5D31DBEAAD}"/>
    <cellStyle name="Финансовый 36 5 2 6" xfId="9763" xr:uid="{00000000-0005-0000-0000-0000DB490000}"/>
    <cellStyle name="Финансовый 36 5 2 6 2" xfId="12848" xr:uid="{00000000-0005-0000-0000-0000DC490000}"/>
    <cellStyle name="Финансовый 36 5 2 6 2 2" xfId="29937" xr:uid="{A9E7BE06-DC83-46CF-89E3-744ABCA43FE1}"/>
    <cellStyle name="Финансовый 36 5 2 6 3" xfId="16080" xr:uid="{00000000-0005-0000-0000-0000DD490000}"/>
    <cellStyle name="Финансовый 36 5 2 6 3 2" xfId="33093" xr:uid="{B271DF0A-FD67-4082-A196-3C4255A0D073}"/>
    <cellStyle name="Финансовый 36 5 2 6 4" xfId="19161" xr:uid="{00000000-0005-0000-0000-0000DE490000}"/>
    <cellStyle name="Финансовый 36 5 2 6 4 2" xfId="36174" xr:uid="{F0BC5EDB-BC9C-490A-B670-BF3183A610C9}"/>
    <cellStyle name="Финансовый 36 5 2 6 5" xfId="26864" xr:uid="{8009A4D7-A3F9-481E-8B37-2A5207C13DF8}"/>
    <cellStyle name="Финансовый 36 5 2 7" xfId="12817" xr:uid="{00000000-0005-0000-0000-0000DF490000}"/>
    <cellStyle name="Финансовый 36 5 2 7 2" xfId="29906" xr:uid="{3272476B-BE67-48BD-877F-F2A947D43EF0}"/>
    <cellStyle name="Финансовый 36 5 2 8" xfId="16049" xr:uid="{00000000-0005-0000-0000-0000E0490000}"/>
    <cellStyle name="Финансовый 36 5 2 8 2" xfId="33062" xr:uid="{44994FF9-6067-4E16-94F8-E64188734E65}"/>
    <cellStyle name="Финансовый 36 5 2 9" xfId="19130" xr:uid="{00000000-0005-0000-0000-0000E1490000}"/>
    <cellStyle name="Финансовый 36 5 2 9 2" xfId="36143" xr:uid="{A1738298-392E-4ECE-BA12-346FEDB80275}"/>
    <cellStyle name="Финансовый 36 5 3" xfId="9764" xr:uid="{00000000-0005-0000-0000-0000E2490000}"/>
    <cellStyle name="Финансовый 36 5 3 2" xfId="9765" xr:uid="{00000000-0005-0000-0000-0000E3490000}"/>
    <cellStyle name="Финансовый 36 5 3 2 2" xfId="9766" xr:uid="{00000000-0005-0000-0000-0000E4490000}"/>
    <cellStyle name="Финансовый 36 5 3 2 2 2" xfId="9767" xr:uid="{00000000-0005-0000-0000-0000E5490000}"/>
    <cellStyle name="Финансовый 36 5 3 2 2 2 2" xfId="9768" xr:uid="{00000000-0005-0000-0000-0000E6490000}"/>
    <cellStyle name="Финансовый 36 5 3 2 2 2 2 2" xfId="12853" xr:uid="{00000000-0005-0000-0000-0000E7490000}"/>
    <cellStyle name="Финансовый 36 5 3 2 2 2 2 2 2" xfId="29942" xr:uid="{51B9667D-F658-4177-80B9-5AA2C1D54A43}"/>
    <cellStyle name="Финансовый 36 5 3 2 2 2 2 3" xfId="16085" xr:uid="{00000000-0005-0000-0000-0000E8490000}"/>
    <cellStyle name="Финансовый 36 5 3 2 2 2 2 3 2" xfId="33098" xr:uid="{8B4B0448-DD69-4F2F-A0E7-5A5A6552E8D7}"/>
    <cellStyle name="Финансовый 36 5 3 2 2 2 2 4" xfId="19166" xr:uid="{00000000-0005-0000-0000-0000E9490000}"/>
    <cellStyle name="Финансовый 36 5 3 2 2 2 2 4 2" xfId="36179" xr:uid="{050A7403-0725-4AA6-BFAF-2B3AB14E00D8}"/>
    <cellStyle name="Финансовый 36 5 3 2 2 2 2 5" xfId="26869" xr:uid="{245297A3-4626-47CA-B2F1-2B0924352FC5}"/>
    <cellStyle name="Финансовый 36 5 3 2 2 2 3" xfId="12852" xr:uid="{00000000-0005-0000-0000-0000EA490000}"/>
    <cellStyle name="Финансовый 36 5 3 2 2 2 3 2" xfId="29941" xr:uid="{2B4A4E20-102C-4643-ADDB-DBCF2A1C10F1}"/>
    <cellStyle name="Финансовый 36 5 3 2 2 2 4" xfId="16084" xr:uid="{00000000-0005-0000-0000-0000EB490000}"/>
    <cellStyle name="Финансовый 36 5 3 2 2 2 4 2" xfId="33097" xr:uid="{436885F0-E5D9-433E-8C8F-955FBA9B5C3B}"/>
    <cellStyle name="Финансовый 36 5 3 2 2 2 5" xfId="19165" xr:uid="{00000000-0005-0000-0000-0000EC490000}"/>
    <cellStyle name="Финансовый 36 5 3 2 2 2 5 2" xfId="36178" xr:uid="{86442CDF-E912-4EC2-8F33-A7C0C42AFCF2}"/>
    <cellStyle name="Финансовый 36 5 3 2 2 2 6" xfId="26868" xr:uid="{51A79A2E-F5EE-4D29-9D90-6A29C96DCDB7}"/>
    <cellStyle name="Финансовый 36 5 3 2 2 3" xfId="9769" xr:uid="{00000000-0005-0000-0000-0000ED490000}"/>
    <cellStyle name="Финансовый 36 5 3 2 2 3 2" xfId="12854" xr:uid="{00000000-0005-0000-0000-0000EE490000}"/>
    <cellStyle name="Финансовый 36 5 3 2 2 3 2 2" xfId="29943" xr:uid="{D1A1C6C7-EDB2-468A-9720-DBA8704C12CA}"/>
    <cellStyle name="Финансовый 36 5 3 2 2 3 3" xfId="16086" xr:uid="{00000000-0005-0000-0000-0000EF490000}"/>
    <cellStyle name="Финансовый 36 5 3 2 2 3 3 2" xfId="33099" xr:uid="{2FE4D283-3947-435F-8A76-0CD70BF754CC}"/>
    <cellStyle name="Финансовый 36 5 3 2 2 3 4" xfId="19167" xr:uid="{00000000-0005-0000-0000-0000F0490000}"/>
    <cellStyle name="Финансовый 36 5 3 2 2 3 4 2" xfId="36180" xr:uid="{D664275E-D48E-47E1-BF60-F12C2EC279AF}"/>
    <cellStyle name="Финансовый 36 5 3 2 2 3 5" xfId="26870" xr:uid="{CF36C39C-7E4C-4E3F-876A-B3A1AA45C774}"/>
    <cellStyle name="Финансовый 36 5 3 2 2 4" xfId="12851" xr:uid="{00000000-0005-0000-0000-0000F1490000}"/>
    <cellStyle name="Финансовый 36 5 3 2 2 4 2" xfId="29940" xr:uid="{2917F957-B333-441E-8532-4178FB3B7E4C}"/>
    <cellStyle name="Финансовый 36 5 3 2 2 5" xfId="16083" xr:uid="{00000000-0005-0000-0000-0000F2490000}"/>
    <cellStyle name="Финансовый 36 5 3 2 2 5 2" xfId="33096" xr:uid="{788F2C51-4405-4F8D-813C-B5C69B4F6458}"/>
    <cellStyle name="Финансовый 36 5 3 2 2 6" xfId="19164" xr:uid="{00000000-0005-0000-0000-0000F3490000}"/>
    <cellStyle name="Финансовый 36 5 3 2 2 6 2" xfId="36177" xr:uid="{E4AAAA01-7250-44DC-BCFC-16EA59DB0394}"/>
    <cellStyle name="Финансовый 36 5 3 2 2 7" xfId="26867" xr:uid="{6472410E-320A-4A09-840F-7B6FEC5ED175}"/>
    <cellStyle name="Финансовый 36 5 3 2 3" xfId="9770" xr:uid="{00000000-0005-0000-0000-0000F4490000}"/>
    <cellStyle name="Финансовый 36 5 3 2 3 2" xfId="9771" xr:uid="{00000000-0005-0000-0000-0000F5490000}"/>
    <cellStyle name="Финансовый 36 5 3 2 3 2 2" xfId="12856" xr:uid="{00000000-0005-0000-0000-0000F6490000}"/>
    <cellStyle name="Финансовый 36 5 3 2 3 2 2 2" xfId="29945" xr:uid="{51CA1F86-98FA-4B53-B364-23B3E67B83DB}"/>
    <cellStyle name="Финансовый 36 5 3 2 3 2 3" xfId="16088" xr:uid="{00000000-0005-0000-0000-0000F7490000}"/>
    <cellStyle name="Финансовый 36 5 3 2 3 2 3 2" xfId="33101" xr:uid="{E1DCE05F-DA3A-4D8E-8B5C-61CC002819F0}"/>
    <cellStyle name="Финансовый 36 5 3 2 3 2 4" xfId="19169" xr:uid="{00000000-0005-0000-0000-0000F8490000}"/>
    <cellStyle name="Финансовый 36 5 3 2 3 2 4 2" xfId="36182" xr:uid="{EFDA77B2-4472-4645-8ECA-862A8392E1FD}"/>
    <cellStyle name="Финансовый 36 5 3 2 3 2 5" xfId="26872" xr:uid="{0909F435-5000-4FBC-A807-02B33BC4390B}"/>
    <cellStyle name="Финансовый 36 5 3 2 3 3" xfId="12855" xr:uid="{00000000-0005-0000-0000-0000F9490000}"/>
    <cellStyle name="Финансовый 36 5 3 2 3 3 2" xfId="29944" xr:uid="{ED6543ED-2756-45AC-BCAC-09FA57F309A8}"/>
    <cellStyle name="Финансовый 36 5 3 2 3 4" xfId="16087" xr:uid="{00000000-0005-0000-0000-0000FA490000}"/>
    <cellStyle name="Финансовый 36 5 3 2 3 4 2" xfId="33100" xr:uid="{FFBB7B12-0B8E-4BD3-982C-A938712D3CE8}"/>
    <cellStyle name="Финансовый 36 5 3 2 3 5" xfId="19168" xr:uid="{00000000-0005-0000-0000-0000FB490000}"/>
    <cellStyle name="Финансовый 36 5 3 2 3 5 2" xfId="36181" xr:uid="{B2E4C118-D231-45D7-B8EC-CF4DB161756D}"/>
    <cellStyle name="Финансовый 36 5 3 2 3 6" xfId="26871" xr:uid="{03772AE8-4472-4851-8C5A-E93E3658AFF5}"/>
    <cellStyle name="Финансовый 36 5 3 2 4" xfId="9772" xr:uid="{00000000-0005-0000-0000-0000FC490000}"/>
    <cellStyle name="Финансовый 36 5 3 2 4 2" xfId="12857" xr:uid="{00000000-0005-0000-0000-0000FD490000}"/>
    <cellStyle name="Финансовый 36 5 3 2 4 2 2" xfId="29946" xr:uid="{6317AFB6-D6AD-445C-99DE-E126D4C9876D}"/>
    <cellStyle name="Финансовый 36 5 3 2 4 3" xfId="16089" xr:uid="{00000000-0005-0000-0000-0000FE490000}"/>
    <cellStyle name="Финансовый 36 5 3 2 4 3 2" xfId="33102" xr:uid="{3AE58DE7-CC68-4F32-AFC5-DA4ADD1BF6D0}"/>
    <cellStyle name="Финансовый 36 5 3 2 4 4" xfId="19170" xr:uid="{00000000-0005-0000-0000-0000FF490000}"/>
    <cellStyle name="Финансовый 36 5 3 2 4 4 2" xfId="36183" xr:uid="{74302686-D150-47B0-832D-1749B7598106}"/>
    <cellStyle name="Финансовый 36 5 3 2 4 5" xfId="26873" xr:uid="{200D45ED-3537-4E49-8789-A7452FC457D7}"/>
    <cellStyle name="Финансовый 36 5 3 2 5" xfId="12850" xr:uid="{00000000-0005-0000-0000-0000004A0000}"/>
    <cellStyle name="Финансовый 36 5 3 2 5 2" xfId="29939" xr:uid="{A930B646-3F64-4A0E-AEA6-9E595DACBA15}"/>
    <cellStyle name="Финансовый 36 5 3 2 6" xfId="16082" xr:uid="{00000000-0005-0000-0000-0000014A0000}"/>
    <cellStyle name="Финансовый 36 5 3 2 6 2" xfId="33095" xr:uid="{F28ABA1A-B177-4CD6-9D03-62884E15490C}"/>
    <cellStyle name="Финансовый 36 5 3 2 7" xfId="19163" xr:uid="{00000000-0005-0000-0000-0000024A0000}"/>
    <cellStyle name="Финансовый 36 5 3 2 7 2" xfId="36176" xr:uid="{E54CA742-35BD-423D-9151-4F57AB26E387}"/>
    <cellStyle name="Финансовый 36 5 3 2 8" xfId="26866" xr:uid="{236E3455-BBF0-4E83-BCC6-639A3E60FF0F}"/>
    <cellStyle name="Финансовый 36 5 3 3" xfId="9773" xr:uid="{00000000-0005-0000-0000-0000034A0000}"/>
    <cellStyle name="Финансовый 36 5 3 3 2" xfId="9774" xr:uid="{00000000-0005-0000-0000-0000044A0000}"/>
    <cellStyle name="Финансовый 36 5 3 3 2 2" xfId="9775" xr:uid="{00000000-0005-0000-0000-0000054A0000}"/>
    <cellStyle name="Финансовый 36 5 3 3 2 2 2" xfId="12860" xr:uid="{00000000-0005-0000-0000-0000064A0000}"/>
    <cellStyle name="Финансовый 36 5 3 3 2 2 2 2" xfId="29949" xr:uid="{17E4DB73-39CB-419C-9032-EFCF2436DE62}"/>
    <cellStyle name="Финансовый 36 5 3 3 2 2 3" xfId="16092" xr:uid="{00000000-0005-0000-0000-0000074A0000}"/>
    <cellStyle name="Финансовый 36 5 3 3 2 2 3 2" xfId="33105" xr:uid="{4E9657D9-49F6-4785-8068-3E7493F5CEA0}"/>
    <cellStyle name="Финансовый 36 5 3 3 2 2 4" xfId="19173" xr:uid="{00000000-0005-0000-0000-0000084A0000}"/>
    <cellStyle name="Финансовый 36 5 3 3 2 2 4 2" xfId="36186" xr:uid="{4BA18E4F-4F2B-42CF-B357-086BF7B3A071}"/>
    <cellStyle name="Финансовый 36 5 3 3 2 2 5" xfId="26876" xr:uid="{53F32E8C-DF4C-4560-8587-A1BB7C71FD31}"/>
    <cellStyle name="Финансовый 36 5 3 3 2 3" xfId="12859" xr:uid="{00000000-0005-0000-0000-0000094A0000}"/>
    <cellStyle name="Финансовый 36 5 3 3 2 3 2" xfId="29948" xr:uid="{E37C7AC3-7CA9-4551-AF22-076BD5767F18}"/>
    <cellStyle name="Финансовый 36 5 3 3 2 4" xfId="16091" xr:uid="{00000000-0005-0000-0000-00000A4A0000}"/>
    <cellStyle name="Финансовый 36 5 3 3 2 4 2" xfId="33104" xr:uid="{1C5EEC25-3AC0-417F-9075-FA59D17D2086}"/>
    <cellStyle name="Финансовый 36 5 3 3 2 5" xfId="19172" xr:uid="{00000000-0005-0000-0000-00000B4A0000}"/>
    <cellStyle name="Финансовый 36 5 3 3 2 5 2" xfId="36185" xr:uid="{1B0D9911-E608-4A59-9D2E-C736971086E3}"/>
    <cellStyle name="Финансовый 36 5 3 3 2 6" xfId="26875" xr:uid="{740AAC38-5062-41F0-AD89-91C145A96E1C}"/>
    <cellStyle name="Финансовый 36 5 3 3 3" xfId="9776" xr:uid="{00000000-0005-0000-0000-00000C4A0000}"/>
    <cellStyle name="Финансовый 36 5 3 3 3 2" xfId="12861" xr:uid="{00000000-0005-0000-0000-00000D4A0000}"/>
    <cellStyle name="Финансовый 36 5 3 3 3 2 2" xfId="29950" xr:uid="{8BD001C8-175A-4199-9BB7-1B4419DE2634}"/>
    <cellStyle name="Финансовый 36 5 3 3 3 3" xfId="16093" xr:uid="{00000000-0005-0000-0000-00000E4A0000}"/>
    <cellStyle name="Финансовый 36 5 3 3 3 3 2" xfId="33106" xr:uid="{53CD512E-BDFF-4E55-A997-7DBD58FD467F}"/>
    <cellStyle name="Финансовый 36 5 3 3 3 4" xfId="19174" xr:uid="{00000000-0005-0000-0000-00000F4A0000}"/>
    <cellStyle name="Финансовый 36 5 3 3 3 4 2" xfId="36187" xr:uid="{6D6E53AB-8773-417B-81C7-69DC681086A9}"/>
    <cellStyle name="Финансовый 36 5 3 3 3 5" xfId="26877" xr:uid="{3FE25B3D-DB76-4EE0-A1B6-E9B3552B814D}"/>
    <cellStyle name="Финансовый 36 5 3 3 4" xfId="12858" xr:uid="{00000000-0005-0000-0000-0000104A0000}"/>
    <cellStyle name="Финансовый 36 5 3 3 4 2" xfId="29947" xr:uid="{5328F171-974C-4EA9-8E91-9B3EBE5F23B3}"/>
    <cellStyle name="Финансовый 36 5 3 3 5" xfId="16090" xr:uid="{00000000-0005-0000-0000-0000114A0000}"/>
    <cellStyle name="Финансовый 36 5 3 3 5 2" xfId="33103" xr:uid="{7A5D5EE4-B25D-4F3D-9EB1-05B12C7D0D48}"/>
    <cellStyle name="Финансовый 36 5 3 3 6" xfId="19171" xr:uid="{00000000-0005-0000-0000-0000124A0000}"/>
    <cellStyle name="Финансовый 36 5 3 3 6 2" xfId="36184" xr:uid="{22CAA370-FBA2-4FDC-A65C-79FE651096CE}"/>
    <cellStyle name="Финансовый 36 5 3 3 7" xfId="26874" xr:uid="{1828D710-862B-4E34-A7AD-D99529B7FAFB}"/>
    <cellStyle name="Финансовый 36 5 3 4" xfId="9777" xr:uid="{00000000-0005-0000-0000-0000134A0000}"/>
    <cellStyle name="Финансовый 36 5 3 4 2" xfId="9778" xr:uid="{00000000-0005-0000-0000-0000144A0000}"/>
    <cellStyle name="Финансовый 36 5 3 4 2 2" xfId="12863" xr:uid="{00000000-0005-0000-0000-0000154A0000}"/>
    <cellStyle name="Финансовый 36 5 3 4 2 2 2" xfId="29952" xr:uid="{8DEDB375-021E-4478-B576-72335D7F24CD}"/>
    <cellStyle name="Финансовый 36 5 3 4 2 3" xfId="16095" xr:uid="{00000000-0005-0000-0000-0000164A0000}"/>
    <cellStyle name="Финансовый 36 5 3 4 2 3 2" xfId="33108" xr:uid="{ADE16074-39A0-42B5-980A-A2A4F855A845}"/>
    <cellStyle name="Финансовый 36 5 3 4 2 4" xfId="19176" xr:uid="{00000000-0005-0000-0000-0000174A0000}"/>
    <cellStyle name="Финансовый 36 5 3 4 2 4 2" xfId="36189" xr:uid="{4B8D0A9F-B5FD-4F17-8DEE-A73DF4A68F16}"/>
    <cellStyle name="Финансовый 36 5 3 4 2 5" xfId="26879" xr:uid="{BEB6D78D-3A08-4401-9AE2-2625C13F2385}"/>
    <cellStyle name="Финансовый 36 5 3 4 3" xfId="12862" xr:uid="{00000000-0005-0000-0000-0000184A0000}"/>
    <cellStyle name="Финансовый 36 5 3 4 3 2" xfId="29951" xr:uid="{0E9D06FE-771D-4586-A803-BFEECD215BFA}"/>
    <cellStyle name="Финансовый 36 5 3 4 4" xfId="16094" xr:uid="{00000000-0005-0000-0000-0000194A0000}"/>
    <cellStyle name="Финансовый 36 5 3 4 4 2" xfId="33107" xr:uid="{1FF9AA79-1E96-49CB-B8D3-F72E6C1D4B87}"/>
    <cellStyle name="Финансовый 36 5 3 4 5" xfId="19175" xr:uid="{00000000-0005-0000-0000-00001A4A0000}"/>
    <cellStyle name="Финансовый 36 5 3 4 5 2" xfId="36188" xr:uid="{017D03BE-70C1-42F0-A47C-363DB77DF0C9}"/>
    <cellStyle name="Финансовый 36 5 3 4 6" xfId="26878" xr:uid="{3DAE4E12-2516-4575-8163-1E5DB8D4E567}"/>
    <cellStyle name="Финансовый 36 5 3 5" xfId="9779" xr:uid="{00000000-0005-0000-0000-00001B4A0000}"/>
    <cellStyle name="Финансовый 36 5 3 5 2" xfId="12864" xr:uid="{00000000-0005-0000-0000-00001C4A0000}"/>
    <cellStyle name="Финансовый 36 5 3 5 2 2" xfId="29953" xr:uid="{4B0B4B8F-2CF5-417A-A917-63A0F4288ED0}"/>
    <cellStyle name="Финансовый 36 5 3 5 3" xfId="16096" xr:uid="{00000000-0005-0000-0000-00001D4A0000}"/>
    <cellStyle name="Финансовый 36 5 3 5 3 2" xfId="33109" xr:uid="{7F78781F-517F-4053-83B1-F2D6B6CD9A74}"/>
    <cellStyle name="Финансовый 36 5 3 5 4" xfId="19177" xr:uid="{00000000-0005-0000-0000-00001E4A0000}"/>
    <cellStyle name="Финансовый 36 5 3 5 4 2" xfId="36190" xr:uid="{F56DB417-C2D4-44F7-A9E8-E0EB9C21BB13}"/>
    <cellStyle name="Финансовый 36 5 3 5 5" xfId="26880" xr:uid="{BB41B60F-C9A1-46D8-8179-995DFB832093}"/>
    <cellStyle name="Финансовый 36 5 3 6" xfId="12849" xr:uid="{00000000-0005-0000-0000-00001F4A0000}"/>
    <cellStyle name="Финансовый 36 5 3 6 2" xfId="29938" xr:uid="{7C58FB9E-5A38-4A5A-BB13-117EB724DBBC}"/>
    <cellStyle name="Финансовый 36 5 3 7" xfId="16081" xr:uid="{00000000-0005-0000-0000-0000204A0000}"/>
    <cellStyle name="Финансовый 36 5 3 7 2" xfId="33094" xr:uid="{F07CBA2E-50AD-430A-AE5B-EA4AC5A84CAA}"/>
    <cellStyle name="Финансовый 36 5 3 8" xfId="19162" xr:uid="{00000000-0005-0000-0000-0000214A0000}"/>
    <cellStyle name="Финансовый 36 5 3 8 2" xfId="36175" xr:uid="{9CDCC9F2-D849-42EB-8368-7CBA869F9F78}"/>
    <cellStyle name="Финансовый 36 5 3 9" xfId="26865" xr:uid="{63F5C168-0B99-46DA-A048-FF6968574141}"/>
    <cellStyle name="Финансовый 36 5 4" xfId="9780" xr:uid="{00000000-0005-0000-0000-0000224A0000}"/>
    <cellStyle name="Финансовый 36 5 4 2" xfId="9781" xr:uid="{00000000-0005-0000-0000-0000234A0000}"/>
    <cellStyle name="Финансовый 36 5 4 2 2" xfId="9782" xr:uid="{00000000-0005-0000-0000-0000244A0000}"/>
    <cellStyle name="Финансовый 36 5 4 2 2 2" xfId="9783" xr:uid="{00000000-0005-0000-0000-0000254A0000}"/>
    <cellStyle name="Финансовый 36 5 4 2 2 2 2" xfId="12868" xr:uid="{00000000-0005-0000-0000-0000264A0000}"/>
    <cellStyle name="Финансовый 36 5 4 2 2 2 2 2" xfId="29957" xr:uid="{8E757AEA-1410-4876-BE91-7CCCE59E7682}"/>
    <cellStyle name="Финансовый 36 5 4 2 2 2 3" xfId="16100" xr:uid="{00000000-0005-0000-0000-0000274A0000}"/>
    <cellStyle name="Финансовый 36 5 4 2 2 2 3 2" xfId="33113" xr:uid="{3D10263A-94E1-495F-9D03-9BDCB3F5D5C6}"/>
    <cellStyle name="Финансовый 36 5 4 2 2 2 4" xfId="19181" xr:uid="{00000000-0005-0000-0000-0000284A0000}"/>
    <cellStyle name="Финансовый 36 5 4 2 2 2 4 2" xfId="36194" xr:uid="{19DFFA06-2F3D-457F-9590-499DC92ECF85}"/>
    <cellStyle name="Финансовый 36 5 4 2 2 2 5" xfId="26884" xr:uid="{2CD1CE3D-CB73-48A9-9393-B575252590C1}"/>
    <cellStyle name="Финансовый 36 5 4 2 2 3" xfId="12867" xr:uid="{00000000-0005-0000-0000-0000294A0000}"/>
    <cellStyle name="Финансовый 36 5 4 2 2 3 2" xfId="29956" xr:uid="{E2CF7430-8EFD-4D93-924D-3849E1F61C7A}"/>
    <cellStyle name="Финансовый 36 5 4 2 2 4" xfId="16099" xr:uid="{00000000-0005-0000-0000-00002A4A0000}"/>
    <cellStyle name="Финансовый 36 5 4 2 2 4 2" xfId="33112" xr:uid="{4E50906E-1E06-469C-A8F9-64BEE3C48493}"/>
    <cellStyle name="Финансовый 36 5 4 2 2 5" xfId="19180" xr:uid="{00000000-0005-0000-0000-00002B4A0000}"/>
    <cellStyle name="Финансовый 36 5 4 2 2 5 2" xfId="36193" xr:uid="{012137A7-DAAA-431E-AFE6-B9389579D667}"/>
    <cellStyle name="Финансовый 36 5 4 2 2 6" xfId="26883" xr:uid="{49A1E0E3-B4FE-4895-9B82-1F31606311FC}"/>
    <cellStyle name="Финансовый 36 5 4 2 3" xfId="9784" xr:uid="{00000000-0005-0000-0000-00002C4A0000}"/>
    <cellStyle name="Финансовый 36 5 4 2 3 2" xfId="12869" xr:uid="{00000000-0005-0000-0000-00002D4A0000}"/>
    <cellStyle name="Финансовый 36 5 4 2 3 2 2" xfId="29958" xr:uid="{474F6F72-BEF4-4940-BDF9-F29CE431C312}"/>
    <cellStyle name="Финансовый 36 5 4 2 3 3" xfId="16101" xr:uid="{00000000-0005-0000-0000-00002E4A0000}"/>
    <cellStyle name="Финансовый 36 5 4 2 3 3 2" xfId="33114" xr:uid="{7645CBAE-02AE-44D7-9A1E-8471C8EBF5B8}"/>
    <cellStyle name="Финансовый 36 5 4 2 3 4" xfId="19182" xr:uid="{00000000-0005-0000-0000-00002F4A0000}"/>
    <cellStyle name="Финансовый 36 5 4 2 3 4 2" xfId="36195" xr:uid="{8A75ECE2-3682-461C-BFE4-9D4989876009}"/>
    <cellStyle name="Финансовый 36 5 4 2 3 5" xfId="26885" xr:uid="{692BF9FB-CEB8-4FB5-AD5F-4FD146BF5E0A}"/>
    <cellStyle name="Финансовый 36 5 4 2 4" xfId="12866" xr:uid="{00000000-0005-0000-0000-0000304A0000}"/>
    <cellStyle name="Финансовый 36 5 4 2 4 2" xfId="29955" xr:uid="{310138DF-C66C-4505-8987-F1A7BCD704F8}"/>
    <cellStyle name="Финансовый 36 5 4 2 5" xfId="16098" xr:uid="{00000000-0005-0000-0000-0000314A0000}"/>
    <cellStyle name="Финансовый 36 5 4 2 5 2" xfId="33111" xr:uid="{67284F70-40E9-4CE4-9140-CD9C569B3E37}"/>
    <cellStyle name="Финансовый 36 5 4 2 6" xfId="19179" xr:uid="{00000000-0005-0000-0000-0000324A0000}"/>
    <cellStyle name="Финансовый 36 5 4 2 6 2" xfId="36192" xr:uid="{5DF03206-1632-4D0C-B04A-4C0E1A9104E2}"/>
    <cellStyle name="Финансовый 36 5 4 2 7" xfId="26882" xr:uid="{DC710C99-FBE7-462C-BA10-7A8B4F5EF0A8}"/>
    <cellStyle name="Финансовый 36 5 4 3" xfId="9785" xr:uid="{00000000-0005-0000-0000-0000334A0000}"/>
    <cellStyle name="Финансовый 36 5 4 3 2" xfId="9786" xr:uid="{00000000-0005-0000-0000-0000344A0000}"/>
    <cellStyle name="Финансовый 36 5 4 3 2 2" xfId="12871" xr:uid="{00000000-0005-0000-0000-0000354A0000}"/>
    <cellStyle name="Финансовый 36 5 4 3 2 2 2" xfId="29960" xr:uid="{B06113D8-42E8-4C35-9339-74B7CAF3EBC2}"/>
    <cellStyle name="Финансовый 36 5 4 3 2 3" xfId="16103" xr:uid="{00000000-0005-0000-0000-0000364A0000}"/>
    <cellStyle name="Финансовый 36 5 4 3 2 3 2" xfId="33116" xr:uid="{C66D96D7-5D27-4921-BD60-87CC692E7233}"/>
    <cellStyle name="Финансовый 36 5 4 3 2 4" xfId="19184" xr:uid="{00000000-0005-0000-0000-0000374A0000}"/>
    <cellStyle name="Финансовый 36 5 4 3 2 4 2" xfId="36197" xr:uid="{75075CE5-1661-43BE-8F44-7FBFAB5B3289}"/>
    <cellStyle name="Финансовый 36 5 4 3 2 5" xfId="26887" xr:uid="{FED270E3-4310-420E-A524-428D78D4518E}"/>
    <cellStyle name="Финансовый 36 5 4 3 3" xfId="12870" xr:uid="{00000000-0005-0000-0000-0000384A0000}"/>
    <cellStyle name="Финансовый 36 5 4 3 3 2" xfId="29959" xr:uid="{903AA151-8051-483F-BE5B-F1C995BD683C}"/>
    <cellStyle name="Финансовый 36 5 4 3 4" xfId="16102" xr:uid="{00000000-0005-0000-0000-0000394A0000}"/>
    <cellStyle name="Финансовый 36 5 4 3 4 2" xfId="33115" xr:uid="{C6A1F4BF-DE48-4DBF-A888-87007030CBAC}"/>
    <cellStyle name="Финансовый 36 5 4 3 5" xfId="19183" xr:uid="{00000000-0005-0000-0000-00003A4A0000}"/>
    <cellStyle name="Финансовый 36 5 4 3 5 2" xfId="36196" xr:uid="{7B4B1222-646B-4660-A7F3-8C58172429CF}"/>
    <cellStyle name="Финансовый 36 5 4 3 6" xfId="26886" xr:uid="{EC4D86E3-F516-401B-B281-CD1C7E18AE9B}"/>
    <cellStyle name="Финансовый 36 5 4 4" xfId="9787" xr:uid="{00000000-0005-0000-0000-00003B4A0000}"/>
    <cellStyle name="Финансовый 36 5 4 4 2" xfId="12872" xr:uid="{00000000-0005-0000-0000-00003C4A0000}"/>
    <cellStyle name="Финансовый 36 5 4 4 2 2" xfId="29961" xr:uid="{4A581A50-7B3D-42EE-8056-82F08D2A1521}"/>
    <cellStyle name="Финансовый 36 5 4 4 3" xfId="16104" xr:uid="{00000000-0005-0000-0000-00003D4A0000}"/>
    <cellStyle name="Финансовый 36 5 4 4 3 2" xfId="33117" xr:uid="{90624FEE-25AF-49AF-BE7A-125D7BE1A6DF}"/>
    <cellStyle name="Финансовый 36 5 4 4 4" xfId="19185" xr:uid="{00000000-0005-0000-0000-00003E4A0000}"/>
    <cellStyle name="Финансовый 36 5 4 4 4 2" xfId="36198" xr:uid="{8FFB79CC-3B43-4CB1-AA27-4654901A3A55}"/>
    <cellStyle name="Финансовый 36 5 4 4 5" xfId="26888" xr:uid="{56FC9E5A-ABCA-423D-9162-E7D36112FECB}"/>
    <cellStyle name="Финансовый 36 5 4 5" xfId="12865" xr:uid="{00000000-0005-0000-0000-00003F4A0000}"/>
    <cellStyle name="Финансовый 36 5 4 5 2" xfId="29954" xr:uid="{2873FFC3-E69F-4495-999D-7C9B16E08E01}"/>
    <cellStyle name="Финансовый 36 5 4 6" xfId="16097" xr:uid="{00000000-0005-0000-0000-0000404A0000}"/>
    <cellStyle name="Финансовый 36 5 4 6 2" xfId="33110" xr:uid="{34B2B12F-6316-4BC5-B89A-C9BD5DC6F44A}"/>
    <cellStyle name="Финансовый 36 5 4 7" xfId="19178" xr:uid="{00000000-0005-0000-0000-0000414A0000}"/>
    <cellStyle name="Финансовый 36 5 4 7 2" xfId="36191" xr:uid="{49EB5D77-EE3C-4C10-A562-22F599AC8219}"/>
    <cellStyle name="Финансовый 36 5 4 8" xfId="26881" xr:uid="{D1B93E59-866C-455F-B0B6-7D54C9B53164}"/>
    <cellStyle name="Финансовый 36 5 5" xfId="9788" xr:uid="{00000000-0005-0000-0000-0000424A0000}"/>
    <cellStyle name="Финансовый 36 5 5 2" xfId="9789" xr:uid="{00000000-0005-0000-0000-0000434A0000}"/>
    <cellStyle name="Финансовый 36 5 5 2 2" xfId="9790" xr:uid="{00000000-0005-0000-0000-0000444A0000}"/>
    <cellStyle name="Финансовый 36 5 5 2 2 2" xfId="12875" xr:uid="{00000000-0005-0000-0000-0000454A0000}"/>
    <cellStyle name="Финансовый 36 5 5 2 2 2 2" xfId="29964" xr:uid="{266172F2-EEA1-44E3-A13F-6826482A1459}"/>
    <cellStyle name="Финансовый 36 5 5 2 2 3" xfId="16107" xr:uid="{00000000-0005-0000-0000-0000464A0000}"/>
    <cellStyle name="Финансовый 36 5 5 2 2 3 2" xfId="33120" xr:uid="{6450648B-764D-473E-BA6E-44FC95031DB9}"/>
    <cellStyle name="Финансовый 36 5 5 2 2 4" xfId="19188" xr:uid="{00000000-0005-0000-0000-0000474A0000}"/>
    <cellStyle name="Финансовый 36 5 5 2 2 4 2" xfId="36201" xr:uid="{CA06FE97-A46E-400F-80F2-C41132A066ED}"/>
    <cellStyle name="Финансовый 36 5 5 2 2 5" xfId="26891" xr:uid="{E2D92EF7-4724-48EB-98D1-2509C2934D39}"/>
    <cellStyle name="Финансовый 36 5 5 2 3" xfId="12874" xr:uid="{00000000-0005-0000-0000-0000484A0000}"/>
    <cellStyle name="Финансовый 36 5 5 2 3 2" xfId="29963" xr:uid="{BAEC2851-4CC7-4B4E-BBE9-9A290C4C2C8F}"/>
    <cellStyle name="Финансовый 36 5 5 2 4" xfId="16106" xr:uid="{00000000-0005-0000-0000-0000494A0000}"/>
    <cellStyle name="Финансовый 36 5 5 2 4 2" xfId="33119" xr:uid="{C598CA9C-F7B3-483C-BC82-60B1E3993D9E}"/>
    <cellStyle name="Финансовый 36 5 5 2 5" xfId="19187" xr:uid="{00000000-0005-0000-0000-00004A4A0000}"/>
    <cellStyle name="Финансовый 36 5 5 2 5 2" xfId="36200" xr:uid="{71D4073C-3A2F-47BF-ACB4-F30F9C29093C}"/>
    <cellStyle name="Финансовый 36 5 5 2 6" xfId="26890" xr:uid="{C469DB69-D70D-470C-BDEC-E3EF6F27D1E1}"/>
    <cellStyle name="Финансовый 36 5 5 3" xfId="9791" xr:uid="{00000000-0005-0000-0000-00004B4A0000}"/>
    <cellStyle name="Финансовый 36 5 5 3 2" xfId="12876" xr:uid="{00000000-0005-0000-0000-00004C4A0000}"/>
    <cellStyle name="Финансовый 36 5 5 3 2 2" xfId="29965" xr:uid="{F4B004E3-6EB2-433B-B730-633CBDA1DB02}"/>
    <cellStyle name="Финансовый 36 5 5 3 3" xfId="16108" xr:uid="{00000000-0005-0000-0000-00004D4A0000}"/>
    <cellStyle name="Финансовый 36 5 5 3 3 2" xfId="33121" xr:uid="{C2B37591-0660-4B10-9A0A-5E0DF4151A0B}"/>
    <cellStyle name="Финансовый 36 5 5 3 4" xfId="19189" xr:uid="{00000000-0005-0000-0000-00004E4A0000}"/>
    <cellStyle name="Финансовый 36 5 5 3 4 2" xfId="36202" xr:uid="{C1D90CDC-6EF2-4244-99A5-CAF511F6F1B7}"/>
    <cellStyle name="Финансовый 36 5 5 3 5" xfId="26892" xr:uid="{F1BD8907-4305-4785-B592-01AFEFCE7D35}"/>
    <cellStyle name="Финансовый 36 5 5 4" xfId="12873" xr:uid="{00000000-0005-0000-0000-00004F4A0000}"/>
    <cellStyle name="Финансовый 36 5 5 4 2" xfId="29962" xr:uid="{BD79C024-E695-40AE-B9F5-ED5B3E722F30}"/>
    <cellStyle name="Финансовый 36 5 5 5" xfId="16105" xr:uid="{00000000-0005-0000-0000-0000504A0000}"/>
    <cellStyle name="Финансовый 36 5 5 5 2" xfId="33118" xr:uid="{FA7D5730-F0D8-4DFC-95B6-7685ADDDDB56}"/>
    <cellStyle name="Финансовый 36 5 5 6" xfId="19186" xr:uid="{00000000-0005-0000-0000-0000514A0000}"/>
    <cellStyle name="Финансовый 36 5 5 6 2" xfId="36199" xr:uid="{8E7666A6-1C8A-4029-A366-C9D22604FA95}"/>
    <cellStyle name="Финансовый 36 5 5 7" xfId="26889" xr:uid="{16384E7F-B35A-4E93-B6AF-80D954D5366E}"/>
    <cellStyle name="Финансовый 36 5 6" xfId="9792" xr:uid="{00000000-0005-0000-0000-0000524A0000}"/>
    <cellStyle name="Финансовый 36 5 6 2" xfId="9793" xr:uid="{00000000-0005-0000-0000-0000534A0000}"/>
    <cellStyle name="Финансовый 36 5 6 2 2" xfId="12878" xr:uid="{00000000-0005-0000-0000-0000544A0000}"/>
    <cellStyle name="Финансовый 36 5 6 2 2 2" xfId="29967" xr:uid="{703F4DA2-4438-4F79-B7E0-E0AA93279510}"/>
    <cellStyle name="Финансовый 36 5 6 2 3" xfId="16110" xr:uid="{00000000-0005-0000-0000-0000554A0000}"/>
    <cellStyle name="Финансовый 36 5 6 2 3 2" xfId="33123" xr:uid="{B4198B25-7EC3-4518-AA65-14D044BDC3A6}"/>
    <cellStyle name="Финансовый 36 5 6 2 4" xfId="19191" xr:uid="{00000000-0005-0000-0000-0000564A0000}"/>
    <cellStyle name="Финансовый 36 5 6 2 4 2" xfId="36204" xr:uid="{2B2EAF2D-FE36-404E-BD51-B1D53E528039}"/>
    <cellStyle name="Финансовый 36 5 6 2 5" xfId="26894" xr:uid="{42FBF2DC-8922-4FA8-BC2F-252B3AD67FC2}"/>
    <cellStyle name="Финансовый 36 5 6 3" xfId="12877" xr:uid="{00000000-0005-0000-0000-0000574A0000}"/>
    <cellStyle name="Финансовый 36 5 6 3 2" xfId="29966" xr:uid="{0619F191-1F45-4A63-9C78-0EF0EDA6FBEB}"/>
    <cellStyle name="Финансовый 36 5 6 4" xfId="16109" xr:uid="{00000000-0005-0000-0000-0000584A0000}"/>
    <cellStyle name="Финансовый 36 5 6 4 2" xfId="33122" xr:uid="{28142477-8F6F-49E5-AA9C-050F69EE435B}"/>
    <cellStyle name="Финансовый 36 5 6 5" xfId="19190" xr:uid="{00000000-0005-0000-0000-0000594A0000}"/>
    <cellStyle name="Финансовый 36 5 6 5 2" xfId="36203" xr:uid="{9FBD34E9-50EA-48CC-9CB4-3DC5F3C902C4}"/>
    <cellStyle name="Финансовый 36 5 6 6" xfId="26893" xr:uid="{D38F81C3-90B0-455A-BE72-6143B451D087}"/>
    <cellStyle name="Финансовый 36 5 7" xfId="9794" xr:uid="{00000000-0005-0000-0000-00005A4A0000}"/>
    <cellStyle name="Финансовый 36 5 7 2" xfId="12879" xr:uid="{00000000-0005-0000-0000-00005B4A0000}"/>
    <cellStyle name="Финансовый 36 5 7 2 2" xfId="29968" xr:uid="{B01FB33B-E1B0-4A13-8D94-50DE7B64E008}"/>
    <cellStyle name="Финансовый 36 5 7 3" xfId="16111" xr:uid="{00000000-0005-0000-0000-00005C4A0000}"/>
    <cellStyle name="Финансовый 36 5 7 3 2" xfId="33124" xr:uid="{6F595AC1-C955-4DD5-9A78-D86D7E4A3E3D}"/>
    <cellStyle name="Финансовый 36 5 7 4" xfId="19192" xr:uid="{00000000-0005-0000-0000-00005D4A0000}"/>
    <cellStyle name="Финансовый 36 5 7 4 2" xfId="36205" xr:uid="{85628EC2-7BD2-4402-8E0A-8C68F4FFD6E3}"/>
    <cellStyle name="Финансовый 36 5 7 5" xfId="26895" xr:uid="{A98D67FB-1F41-4DFF-B13F-FFE3A69B4B95}"/>
    <cellStyle name="Финансовый 36 5 8" xfId="12816" xr:uid="{00000000-0005-0000-0000-00005E4A0000}"/>
    <cellStyle name="Финансовый 36 5 8 2" xfId="29905" xr:uid="{654F9C8E-7BEB-4DCF-93A3-4D69BEE6ADC9}"/>
    <cellStyle name="Финансовый 36 5 9" xfId="16048" xr:uid="{00000000-0005-0000-0000-00005F4A0000}"/>
    <cellStyle name="Финансовый 36 5 9 2" xfId="33061" xr:uid="{C07969F4-4DD5-4889-A979-A5CF780277B5}"/>
    <cellStyle name="Финансовый 36 6" xfId="9795" xr:uid="{00000000-0005-0000-0000-0000604A0000}"/>
    <cellStyle name="Финансовый 36 6 10" xfId="26896" xr:uid="{54494DA8-7373-4448-BBDF-1C49EB0FB4E8}"/>
    <cellStyle name="Финансовый 36 6 2" xfId="9796" xr:uid="{00000000-0005-0000-0000-0000614A0000}"/>
    <cellStyle name="Финансовый 36 6 2 2" xfId="9797" xr:uid="{00000000-0005-0000-0000-0000624A0000}"/>
    <cellStyle name="Финансовый 36 6 2 2 2" xfId="9798" xr:uid="{00000000-0005-0000-0000-0000634A0000}"/>
    <cellStyle name="Финансовый 36 6 2 2 2 2" xfId="9799" xr:uid="{00000000-0005-0000-0000-0000644A0000}"/>
    <cellStyle name="Финансовый 36 6 2 2 2 2 2" xfId="9800" xr:uid="{00000000-0005-0000-0000-0000654A0000}"/>
    <cellStyle name="Финансовый 36 6 2 2 2 2 2 2" xfId="12885" xr:uid="{00000000-0005-0000-0000-0000664A0000}"/>
    <cellStyle name="Финансовый 36 6 2 2 2 2 2 2 2" xfId="29974" xr:uid="{69AC34FC-D01C-4E3C-80BD-4B05542CFA42}"/>
    <cellStyle name="Финансовый 36 6 2 2 2 2 2 3" xfId="16117" xr:uid="{00000000-0005-0000-0000-0000674A0000}"/>
    <cellStyle name="Финансовый 36 6 2 2 2 2 2 3 2" xfId="33130" xr:uid="{0DBF3166-B4B1-4DE4-9B43-619AA842671D}"/>
    <cellStyle name="Финансовый 36 6 2 2 2 2 2 4" xfId="19198" xr:uid="{00000000-0005-0000-0000-0000684A0000}"/>
    <cellStyle name="Финансовый 36 6 2 2 2 2 2 4 2" xfId="36211" xr:uid="{2FD952E1-003A-4520-8F63-48331931AA53}"/>
    <cellStyle name="Финансовый 36 6 2 2 2 2 2 5" xfId="26901" xr:uid="{0E9D5C0D-150E-40C0-948D-DC42808F0508}"/>
    <cellStyle name="Финансовый 36 6 2 2 2 2 3" xfId="12884" xr:uid="{00000000-0005-0000-0000-0000694A0000}"/>
    <cellStyle name="Финансовый 36 6 2 2 2 2 3 2" xfId="29973" xr:uid="{91B6012E-F712-42B5-8782-5A0CEDC47FAB}"/>
    <cellStyle name="Финансовый 36 6 2 2 2 2 4" xfId="16116" xr:uid="{00000000-0005-0000-0000-00006A4A0000}"/>
    <cellStyle name="Финансовый 36 6 2 2 2 2 4 2" xfId="33129" xr:uid="{F3F371F1-FAC2-49A7-B385-F5BE202A51C6}"/>
    <cellStyle name="Финансовый 36 6 2 2 2 2 5" xfId="19197" xr:uid="{00000000-0005-0000-0000-00006B4A0000}"/>
    <cellStyle name="Финансовый 36 6 2 2 2 2 5 2" xfId="36210" xr:uid="{5D54F265-2FF2-4DA7-B778-F0E9FA8CC11F}"/>
    <cellStyle name="Финансовый 36 6 2 2 2 2 6" xfId="26900" xr:uid="{ADE57247-0939-4A34-89DE-A31BA394AF67}"/>
    <cellStyle name="Финансовый 36 6 2 2 2 3" xfId="9801" xr:uid="{00000000-0005-0000-0000-00006C4A0000}"/>
    <cellStyle name="Финансовый 36 6 2 2 2 3 2" xfId="12886" xr:uid="{00000000-0005-0000-0000-00006D4A0000}"/>
    <cellStyle name="Финансовый 36 6 2 2 2 3 2 2" xfId="29975" xr:uid="{92B2695C-BBDA-4A24-9FAC-34DCC90B48A7}"/>
    <cellStyle name="Финансовый 36 6 2 2 2 3 3" xfId="16118" xr:uid="{00000000-0005-0000-0000-00006E4A0000}"/>
    <cellStyle name="Финансовый 36 6 2 2 2 3 3 2" xfId="33131" xr:uid="{906B1635-AF60-478E-8E22-F311254520D9}"/>
    <cellStyle name="Финансовый 36 6 2 2 2 3 4" xfId="19199" xr:uid="{00000000-0005-0000-0000-00006F4A0000}"/>
    <cellStyle name="Финансовый 36 6 2 2 2 3 4 2" xfId="36212" xr:uid="{FC909FC1-26CD-478F-9496-685CBE127355}"/>
    <cellStyle name="Финансовый 36 6 2 2 2 3 5" xfId="26902" xr:uid="{AB3FB914-655E-4F23-9F43-E1710127E823}"/>
    <cellStyle name="Финансовый 36 6 2 2 2 4" xfId="12883" xr:uid="{00000000-0005-0000-0000-0000704A0000}"/>
    <cellStyle name="Финансовый 36 6 2 2 2 4 2" xfId="29972" xr:uid="{173BF75C-4D32-40A6-B125-E9C567EFC1D4}"/>
    <cellStyle name="Финансовый 36 6 2 2 2 5" xfId="16115" xr:uid="{00000000-0005-0000-0000-0000714A0000}"/>
    <cellStyle name="Финансовый 36 6 2 2 2 5 2" xfId="33128" xr:uid="{68ECB958-8053-49AE-B055-34E487532BBB}"/>
    <cellStyle name="Финансовый 36 6 2 2 2 6" xfId="19196" xr:uid="{00000000-0005-0000-0000-0000724A0000}"/>
    <cellStyle name="Финансовый 36 6 2 2 2 6 2" xfId="36209" xr:uid="{5A6D4868-1A2B-401F-A0BF-CB56AF135614}"/>
    <cellStyle name="Финансовый 36 6 2 2 2 7" xfId="26899" xr:uid="{6A1A2D22-8719-4464-8FDA-BA01E0FA370E}"/>
    <cellStyle name="Финансовый 36 6 2 2 3" xfId="9802" xr:uid="{00000000-0005-0000-0000-0000734A0000}"/>
    <cellStyle name="Финансовый 36 6 2 2 3 2" xfId="9803" xr:uid="{00000000-0005-0000-0000-0000744A0000}"/>
    <cellStyle name="Финансовый 36 6 2 2 3 2 2" xfId="12888" xr:uid="{00000000-0005-0000-0000-0000754A0000}"/>
    <cellStyle name="Финансовый 36 6 2 2 3 2 2 2" xfId="29977" xr:uid="{25E18676-1928-41A3-8596-073D624F40EA}"/>
    <cellStyle name="Финансовый 36 6 2 2 3 2 3" xfId="16120" xr:uid="{00000000-0005-0000-0000-0000764A0000}"/>
    <cellStyle name="Финансовый 36 6 2 2 3 2 3 2" xfId="33133" xr:uid="{871B1055-5D63-48E8-A443-39F6C95EAA9F}"/>
    <cellStyle name="Финансовый 36 6 2 2 3 2 4" xfId="19201" xr:uid="{00000000-0005-0000-0000-0000774A0000}"/>
    <cellStyle name="Финансовый 36 6 2 2 3 2 4 2" xfId="36214" xr:uid="{FF3B41E9-4593-46A6-8CF8-3384B3573622}"/>
    <cellStyle name="Финансовый 36 6 2 2 3 2 5" xfId="26904" xr:uid="{6CF62B0A-CCB0-48B9-BDF9-7412C139047E}"/>
    <cellStyle name="Финансовый 36 6 2 2 3 3" xfId="12887" xr:uid="{00000000-0005-0000-0000-0000784A0000}"/>
    <cellStyle name="Финансовый 36 6 2 2 3 3 2" xfId="29976" xr:uid="{B84B4DA0-C072-4A0F-B273-6A41A8C9F096}"/>
    <cellStyle name="Финансовый 36 6 2 2 3 4" xfId="16119" xr:uid="{00000000-0005-0000-0000-0000794A0000}"/>
    <cellStyle name="Финансовый 36 6 2 2 3 4 2" xfId="33132" xr:uid="{03ACB106-4CEA-48D1-8D34-14562C93CB27}"/>
    <cellStyle name="Финансовый 36 6 2 2 3 5" xfId="19200" xr:uid="{00000000-0005-0000-0000-00007A4A0000}"/>
    <cellStyle name="Финансовый 36 6 2 2 3 5 2" xfId="36213" xr:uid="{76EE9E9F-ABF2-4288-BECD-CA1736A36A5C}"/>
    <cellStyle name="Финансовый 36 6 2 2 3 6" xfId="26903" xr:uid="{012321EA-B537-493B-B08A-DA2DC13F96F3}"/>
    <cellStyle name="Финансовый 36 6 2 2 4" xfId="9804" xr:uid="{00000000-0005-0000-0000-00007B4A0000}"/>
    <cellStyle name="Финансовый 36 6 2 2 4 2" xfId="12889" xr:uid="{00000000-0005-0000-0000-00007C4A0000}"/>
    <cellStyle name="Финансовый 36 6 2 2 4 2 2" xfId="29978" xr:uid="{181A77BC-2365-4880-9425-FB29E8EB2324}"/>
    <cellStyle name="Финансовый 36 6 2 2 4 3" xfId="16121" xr:uid="{00000000-0005-0000-0000-00007D4A0000}"/>
    <cellStyle name="Финансовый 36 6 2 2 4 3 2" xfId="33134" xr:uid="{D86D4D3B-D307-479F-8211-7EDA90437025}"/>
    <cellStyle name="Финансовый 36 6 2 2 4 4" xfId="19202" xr:uid="{00000000-0005-0000-0000-00007E4A0000}"/>
    <cellStyle name="Финансовый 36 6 2 2 4 4 2" xfId="36215" xr:uid="{A6B87C15-6827-4AFF-B8C5-BCC40163BFF5}"/>
    <cellStyle name="Финансовый 36 6 2 2 4 5" xfId="26905" xr:uid="{F255E03A-8F19-43BF-B63D-661C4E8C01F6}"/>
    <cellStyle name="Финансовый 36 6 2 2 5" xfId="12882" xr:uid="{00000000-0005-0000-0000-00007F4A0000}"/>
    <cellStyle name="Финансовый 36 6 2 2 5 2" xfId="29971" xr:uid="{8BE9BB7D-3EB7-491F-ABC6-72AB15868A86}"/>
    <cellStyle name="Финансовый 36 6 2 2 6" xfId="16114" xr:uid="{00000000-0005-0000-0000-0000804A0000}"/>
    <cellStyle name="Финансовый 36 6 2 2 6 2" xfId="33127" xr:uid="{2A768241-842B-4467-928D-F7B2140201B2}"/>
    <cellStyle name="Финансовый 36 6 2 2 7" xfId="19195" xr:uid="{00000000-0005-0000-0000-0000814A0000}"/>
    <cellStyle name="Финансовый 36 6 2 2 7 2" xfId="36208" xr:uid="{585705BF-6F90-4FD2-AE72-9A1F865F2CDF}"/>
    <cellStyle name="Финансовый 36 6 2 2 8" xfId="26898" xr:uid="{EDD4CF1A-4796-4BD5-AB7D-3659090B5F48}"/>
    <cellStyle name="Финансовый 36 6 2 3" xfId="9805" xr:uid="{00000000-0005-0000-0000-0000824A0000}"/>
    <cellStyle name="Финансовый 36 6 2 3 2" xfId="9806" xr:uid="{00000000-0005-0000-0000-0000834A0000}"/>
    <cellStyle name="Финансовый 36 6 2 3 2 2" xfId="9807" xr:uid="{00000000-0005-0000-0000-0000844A0000}"/>
    <cellStyle name="Финансовый 36 6 2 3 2 2 2" xfId="12892" xr:uid="{00000000-0005-0000-0000-0000854A0000}"/>
    <cellStyle name="Финансовый 36 6 2 3 2 2 2 2" xfId="29981" xr:uid="{07A5C6E1-FF8A-4999-BBB9-F08FFB160A45}"/>
    <cellStyle name="Финансовый 36 6 2 3 2 2 3" xfId="16124" xr:uid="{00000000-0005-0000-0000-0000864A0000}"/>
    <cellStyle name="Финансовый 36 6 2 3 2 2 3 2" xfId="33137" xr:uid="{5F1EE6C9-2AB6-4D43-86AF-48168291A5F6}"/>
    <cellStyle name="Финансовый 36 6 2 3 2 2 4" xfId="19205" xr:uid="{00000000-0005-0000-0000-0000874A0000}"/>
    <cellStyle name="Финансовый 36 6 2 3 2 2 4 2" xfId="36218" xr:uid="{47D1DC79-6762-4666-90B2-90A78B3CCC2E}"/>
    <cellStyle name="Финансовый 36 6 2 3 2 2 5" xfId="26908" xr:uid="{467ED06F-ABE5-43B4-AEDC-0199A42AFE53}"/>
    <cellStyle name="Финансовый 36 6 2 3 2 3" xfId="12891" xr:uid="{00000000-0005-0000-0000-0000884A0000}"/>
    <cellStyle name="Финансовый 36 6 2 3 2 3 2" xfId="29980" xr:uid="{6A0775D3-B621-468A-99BA-182B4D65A1E1}"/>
    <cellStyle name="Финансовый 36 6 2 3 2 4" xfId="16123" xr:uid="{00000000-0005-0000-0000-0000894A0000}"/>
    <cellStyle name="Финансовый 36 6 2 3 2 4 2" xfId="33136" xr:uid="{C026BB4E-A53A-4557-923B-F96EE2CA0F0E}"/>
    <cellStyle name="Финансовый 36 6 2 3 2 5" xfId="19204" xr:uid="{00000000-0005-0000-0000-00008A4A0000}"/>
    <cellStyle name="Финансовый 36 6 2 3 2 5 2" xfId="36217" xr:uid="{C47F2EEF-1E11-4E02-9D3C-75DE392207E5}"/>
    <cellStyle name="Финансовый 36 6 2 3 2 6" xfId="26907" xr:uid="{482B4D42-BFA2-4D92-9634-E2B836706B2C}"/>
    <cellStyle name="Финансовый 36 6 2 3 3" xfId="9808" xr:uid="{00000000-0005-0000-0000-00008B4A0000}"/>
    <cellStyle name="Финансовый 36 6 2 3 3 2" xfId="12893" xr:uid="{00000000-0005-0000-0000-00008C4A0000}"/>
    <cellStyle name="Финансовый 36 6 2 3 3 2 2" xfId="29982" xr:uid="{6C7A0BFE-B885-4A08-8584-7ADB17C058AA}"/>
    <cellStyle name="Финансовый 36 6 2 3 3 3" xfId="16125" xr:uid="{00000000-0005-0000-0000-00008D4A0000}"/>
    <cellStyle name="Финансовый 36 6 2 3 3 3 2" xfId="33138" xr:uid="{ABD2560E-74A1-419B-A148-A765BF254697}"/>
    <cellStyle name="Финансовый 36 6 2 3 3 4" xfId="19206" xr:uid="{00000000-0005-0000-0000-00008E4A0000}"/>
    <cellStyle name="Финансовый 36 6 2 3 3 4 2" xfId="36219" xr:uid="{1C61A801-CEF6-4BAB-AAB4-B25D169D8FBA}"/>
    <cellStyle name="Финансовый 36 6 2 3 3 5" xfId="26909" xr:uid="{4EDFDB14-4F24-491D-AB49-0E4BCE5082C9}"/>
    <cellStyle name="Финансовый 36 6 2 3 4" xfId="12890" xr:uid="{00000000-0005-0000-0000-00008F4A0000}"/>
    <cellStyle name="Финансовый 36 6 2 3 4 2" xfId="29979" xr:uid="{94614E27-29D8-459E-A40F-7B0DECEE7BA4}"/>
    <cellStyle name="Финансовый 36 6 2 3 5" xfId="16122" xr:uid="{00000000-0005-0000-0000-0000904A0000}"/>
    <cellStyle name="Финансовый 36 6 2 3 5 2" xfId="33135" xr:uid="{3D6BDA51-2A79-4325-AC09-9AB91A3382FD}"/>
    <cellStyle name="Финансовый 36 6 2 3 6" xfId="19203" xr:uid="{00000000-0005-0000-0000-0000914A0000}"/>
    <cellStyle name="Финансовый 36 6 2 3 6 2" xfId="36216" xr:uid="{0327A3C1-FA99-4183-AA42-D58C7EF15E45}"/>
    <cellStyle name="Финансовый 36 6 2 3 7" xfId="26906" xr:uid="{200993FC-3426-4125-BAA2-2CF0A7AE637E}"/>
    <cellStyle name="Финансовый 36 6 2 4" xfId="9809" xr:uid="{00000000-0005-0000-0000-0000924A0000}"/>
    <cellStyle name="Финансовый 36 6 2 4 2" xfId="9810" xr:uid="{00000000-0005-0000-0000-0000934A0000}"/>
    <cellStyle name="Финансовый 36 6 2 4 2 2" xfId="12895" xr:uid="{00000000-0005-0000-0000-0000944A0000}"/>
    <cellStyle name="Финансовый 36 6 2 4 2 2 2" xfId="29984" xr:uid="{C715A5B7-42E3-4351-AC1E-14818FFCFF7C}"/>
    <cellStyle name="Финансовый 36 6 2 4 2 3" xfId="16127" xr:uid="{00000000-0005-0000-0000-0000954A0000}"/>
    <cellStyle name="Финансовый 36 6 2 4 2 3 2" xfId="33140" xr:uid="{B221BBCB-BA4F-4FC3-A38C-61CBB8AA5C9E}"/>
    <cellStyle name="Финансовый 36 6 2 4 2 4" xfId="19208" xr:uid="{00000000-0005-0000-0000-0000964A0000}"/>
    <cellStyle name="Финансовый 36 6 2 4 2 4 2" xfId="36221" xr:uid="{3356C567-D6CF-46D2-B02A-2AB8EB465D6A}"/>
    <cellStyle name="Финансовый 36 6 2 4 2 5" xfId="26911" xr:uid="{C9939D80-2AC3-496B-BF92-E2063067E349}"/>
    <cellStyle name="Финансовый 36 6 2 4 3" xfId="12894" xr:uid="{00000000-0005-0000-0000-0000974A0000}"/>
    <cellStyle name="Финансовый 36 6 2 4 3 2" xfId="29983" xr:uid="{56159669-8876-4030-862D-30C7FCAFA149}"/>
    <cellStyle name="Финансовый 36 6 2 4 4" xfId="16126" xr:uid="{00000000-0005-0000-0000-0000984A0000}"/>
    <cellStyle name="Финансовый 36 6 2 4 4 2" xfId="33139" xr:uid="{3E94FB40-07B8-4A7A-88CA-3836F65A895C}"/>
    <cellStyle name="Финансовый 36 6 2 4 5" xfId="19207" xr:uid="{00000000-0005-0000-0000-0000994A0000}"/>
    <cellStyle name="Финансовый 36 6 2 4 5 2" xfId="36220" xr:uid="{A0B20826-8611-4DFE-A485-30E625A29F87}"/>
    <cellStyle name="Финансовый 36 6 2 4 6" xfId="26910" xr:uid="{4DEAA2EC-5A2C-49B8-8F81-1D69023B8C60}"/>
    <cellStyle name="Финансовый 36 6 2 5" xfId="9811" xr:uid="{00000000-0005-0000-0000-00009A4A0000}"/>
    <cellStyle name="Финансовый 36 6 2 5 2" xfId="12896" xr:uid="{00000000-0005-0000-0000-00009B4A0000}"/>
    <cellStyle name="Финансовый 36 6 2 5 2 2" xfId="29985" xr:uid="{E5C63EA5-11E9-4F4F-852B-042B951589EE}"/>
    <cellStyle name="Финансовый 36 6 2 5 3" xfId="16128" xr:uid="{00000000-0005-0000-0000-00009C4A0000}"/>
    <cellStyle name="Финансовый 36 6 2 5 3 2" xfId="33141" xr:uid="{392F19A3-DB93-4E5B-A2A8-B5E54B143EC3}"/>
    <cellStyle name="Финансовый 36 6 2 5 4" xfId="19209" xr:uid="{00000000-0005-0000-0000-00009D4A0000}"/>
    <cellStyle name="Финансовый 36 6 2 5 4 2" xfId="36222" xr:uid="{1A01EE44-AD71-4532-9E7D-94089D042EE9}"/>
    <cellStyle name="Финансовый 36 6 2 5 5" xfId="26912" xr:uid="{BA023365-AB74-4671-858F-234FB48CD8FE}"/>
    <cellStyle name="Финансовый 36 6 2 6" xfId="12881" xr:uid="{00000000-0005-0000-0000-00009E4A0000}"/>
    <cellStyle name="Финансовый 36 6 2 6 2" xfId="29970" xr:uid="{BC8CC5E1-20D5-4485-A5CA-64E81C08E308}"/>
    <cellStyle name="Финансовый 36 6 2 7" xfId="16113" xr:uid="{00000000-0005-0000-0000-00009F4A0000}"/>
    <cellStyle name="Финансовый 36 6 2 7 2" xfId="33126" xr:uid="{C05AD5FB-F476-4E2B-977A-20DB5798B785}"/>
    <cellStyle name="Финансовый 36 6 2 8" xfId="19194" xr:uid="{00000000-0005-0000-0000-0000A04A0000}"/>
    <cellStyle name="Финансовый 36 6 2 8 2" xfId="36207" xr:uid="{605C030E-A229-46D8-AB70-4FC66AD24404}"/>
    <cellStyle name="Финансовый 36 6 2 9" xfId="26897" xr:uid="{4DEC1D57-8EA2-4725-9BC0-873CFDBC0727}"/>
    <cellStyle name="Финансовый 36 6 3" xfId="9812" xr:uid="{00000000-0005-0000-0000-0000A14A0000}"/>
    <cellStyle name="Финансовый 36 6 3 2" xfId="9813" xr:uid="{00000000-0005-0000-0000-0000A24A0000}"/>
    <cellStyle name="Финансовый 36 6 3 2 2" xfId="9814" xr:uid="{00000000-0005-0000-0000-0000A34A0000}"/>
    <cellStyle name="Финансовый 36 6 3 2 2 2" xfId="9815" xr:uid="{00000000-0005-0000-0000-0000A44A0000}"/>
    <cellStyle name="Финансовый 36 6 3 2 2 2 2" xfId="12900" xr:uid="{00000000-0005-0000-0000-0000A54A0000}"/>
    <cellStyle name="Финансовый 36 6 3 2 2 2 2 2" xfId="29989" xr:uid="{66D5BA1D-FA23-41B3-AF37-621BD3367D44}"/>
    <cellStyle name="Финансовый 36 6 3 2 2 2 3" xfId="16132" xr:uid="{00000000-0005-0000-0000-0000A64A0000}"/>
    <cellStyle name="Финансовый 36 6 3 2 2 2 3 2" xfId="33145" xr:uid="{FF37A4C9-46F5-4B97-ADAC-9B1A336E82A9}"/>
    <cellStyle name="Финансовый 36 6 3 2 2 2 4" xfId="19213" xr:uid="{00000000-0005-0000-0000-0000A74A0000}"/>
    <cellStyle name="Финансовый 36 6 3 2 2 2 4 2" xfId="36226" xr:uid="{EBD1F551-847E-4672-895C-D1D0423CC57E}"/>
    <cellStyle name="Финансовый 36 6 3 2 2 2 5" xfId="26916" xr:uid="{0F6142BB-CA67-4F40-AB3B-14FDB92BCFB8}"/>
    <cellStyle name="Финансовый 36 6 3 2 2 3" xfId="12899" xr:uid="{00000000-0005-0000-0000-0000A84A0000}"/>
    <cellStyle name="Финансовый 36 6 3 2 2 3 2" xfId="29988" xr:uid="{07A87556-1869-4369-9F2C-C037BC6FCDA6}"/>
    <cellStyle name="Финансовый 36 6 3 2 2 4" xfId="16131" xr:uid="{00000000-0005-0000-0000-0000A94A0000}"/>
    <cellStyle name="Финансовый 36 6 3 2 2 4 2" xfId="33144" xr:uid="{AF4CD041-BCE6-4F72-B7B2-9B89D8FBE503}"/>
    <cellStyle name="Финансовый 36 6 3 2 2 5" xfId="19212" xr:uid="{00000000-0005-0000-0000-0000AA4A0000}"/>
    <cellStyle name="Финансовый 36 6 3 2 2 5 2" xfId="36225" xr:uid="{A1EBB20B-E59B-4A82-BE0B-BD03AA5A69FD}"/>
    <cellStyle name="Финансовый 36 6 3 2 2 6" xfId="26915" xr:uid="{FFDEA3B0-2BD9-423F-8915-AB551ECA77B2}"/>
    <cellStyle name="Финансовый 36 6 3 2 3" xfId="9816" xr:uid="{00000000-0005-0000-0000-0000AB4A0000}"/>
    <cellStyle name="Финансовый 36 6 3 2 3 2" xfId="12901" xr:uid="{00000000-0005-0000-0000-0000AC4A0000}"/>
    <cellStyle name="Финансовый 36 6 3 2 3 2 2" xfId="29990" xr:uid="{3D920827-22DD-460F-B5EC-3FEB45F21EBC}"/>
    <cellStyle name="Финансовый 36 6 3 2 3 3" xfId="16133" xr:uid="{00000000-0005-0000-0000-0000AD4A0000}"/>
    <cellStyle name="Финансовый 36 6 3 2 3 3 2" xfId="33146" xr:uid="{01305A53-E635-4A0B-9FC5-00756B30BBE4}"/>
    <cellStyle name="Финансовый 36 6 3 2 3 4" xfId="19214" xr:uid="{00000000-0005-0000-0000-0000AE4A0000}"/>
    <cellStyle name="Финансовый 36 6 3 2 3 4 2" xfId="36227" xr:uid="{F73C466C-9CEC-4273-A41C-7F081079429B}"/>
    <cellStyle name="Финансовый 36 6 3 2 3 5" xfId="26917" xr:uid="{210A9417-76D7-4E8D-8B40-331B2DF478D9}"/>
    <cellStyle name="Финансовый 36 6 3 2 4" xfId="12898" xr:uid="{00000000-0005-0000-0000-0000AF4A0000}"/>
    <cellStyle name="Финансовый 36 6 3 2 4 2" xfId="29987" xr:uid="{5216B0EE-3A97-4BAA-87A3-0F4B5106AADA}"/>
    <cellStyle name="Финансовый 36 6 3 2 5" xfId="16130" xr:uid="{00000000-0005-0000-0000-0000B04A0000}"/>
    <cellStyle name="Финансовый 36 6 3 2 5 2" xfId="33143" xr:uid="{43612FF4-12A0-4513-98A2-B5ED63858F48}"/>
    <cellStyle name="Финансовый 36 6 3 2 6" xfId="19211" xr:uid="{00000000-0005-0000-0000-0000B14A0000}"/>
    <cellStyle name="Финансовый 36 6 3 2 6 2" xfId="36224" xr:uid="{FC3BFBCB-1547-4FCD-955E-DF32555F6B6F}"/>
    <cellStyle name="Финансовый 36 6 3 2 7" xfId="26914" xr:uid="{DC5FDC03-9744-4940-9771-26673C8B547E}"/>
    <cellStyle name="Финансовый 36 6 3 3" xfId="9817" xr:uid="{00000000-0005-0000-0000-0000B24A0000}"/>
    <cellStyle name="Финансовый 36 6 3 3 2" xfId="9818" xr:uid="{00000000-0005-0000-0000-0000B34A0000}"/>
    <cellStyle name="Финансовый 36 6 3 3 2 2" xfId="12903" xr:uid="{00000000-0005-0000-0000-0000B44A0000}"/>
    <cellStyle name="Финансовый 36 6 3 3 2 2 2" xfId="29992" xr:uid="{085B9B4B-C973-4B08-8529-E7FFF5B785FB}"/>
    <cellStyle name="Финансовый 36 6 3 3 2 3" xfId="16135" xr:uid="{00000000-0005-0000-0000-0000B54A0000}"/>
    <cellStyle name="Финансовый 36 6 3 3 2 3 2" xfId="33148" xr:uid="{A43BE209-735A-44A3-B3BE-37C3E3FEFE52}"/>
    <cellStyle name="Финансовый 36 6 3 3 2 4" xfId="19216" xr:uid="{00000000-0005-0000-0000-0000B64A0000}"/>
    <cellStyle name="Финансовый 36 6 3 3 2 4 2" xfId="36229" xr:uid="{3FF4C864-4783-4C04-90A8-70A58C0DA7A7}"/>
    <cellStyle name="Финансовый 36 6 3 3 2 5" xfId="26919" xr:uid="{7417DD6E-E35D-49D7-8EE4-3A6269215863}"/>
    <cellStyle name="Финансовый 36 6 3 3 3" xfId="12902" xr:uid="{00000000-0005-0000-0000-0000B74A0000}"/>
    <cellStyle name="Финансовый 36 6 3 3 3 2" xfId="29991" xr:uid="{A637AD16-BAFF-4187-83EB-A2E92DDF202D}"/>
    <cellStyle name="Финансовый 36 6 3 3 4" xfId="16134" xr:uid="{00000000-0005-0000-0000-0000B84A0000}"/>
    <cellStyle name="Финансовый 36 6 3 3 4 2" xfId="33147" xr:uid="{061B4D40-40E0-4220-BAC5-576DE4F7E629}"/>
    <cellStyle name="Финансовый 36 6 3 3 5" xfId="19215" xr:uid="{00000000-0005-0000-0000-0000B94A0000}"/>
    <cellStyle name="Финансовый 36 6 3 3 5 2" xfId="36228" xr:uid="{FBE6A870-5883-4A97-8625-CDF3CB6DB7CE}"/>
    <cellStyle name="Финансовый 36 6 3 3 6" xfId="26918" xr:uid="{4BE99AAF-3A7E-431C-93E7-BE3D15349DCE}"/>
    <cellStyle name="Финансовый 36 6 3 4" xfId="9819" xr:uid="{00000000-0005-0000-0000-0000BA4A0000}"/>
    <cellStyle name="Финансовый 36 6 3 4 2" xfId="12904" xr:uid="{00000000-0005-0000-0000-0000BB4A0000}"/>
    <cellStyle name="Финансовый 36 6 3 4 2 2" xfId="29993" xr:uid="{A060D3C4-6AF3-44C5-ADF0-D58012FB330C}"/>
    <cellStyle name="Финансовый 36 6 3 4 3" xfId="16136" xr:uid="{00000000-0005-0000-0000-0000BC4A0000}"/>
    <cellStyle name="Финансовый 36 6 3 4 3 2" xfId="33149" xr:uid="{338F0C36-EE30-4C27-B635-C93D4480A5E6}"/>
    <cellStyle name="Финансовый 36 6 3 4 4" xfId="19217" xr:uid="{00000000-0005-0000-0000-0000BD4A0000}"/>
    <cellStyle name="Финансовый 36 6 3 4 4 2" xfId="36230" xr:uid="{4136EA90-87D3-4988-9C39-B4F063961F08}"/>
    <cellStyle name="Финансовый 36 6 3 4 5" xfId="26920" xr:uid="{933F962B-14F7-4502-A9F5-CADBA9C6E152}"/>
    <cellStyle name="Финансовый 36 6 3 5" xfId="12897" xr:uid="{00000000-0005-0000-0000-0000BE4A0000}"/>
    <cellStyle name="Финансовый 36 6 3 5 2" xfId="29986" xr:uid="{7CA46495-9599-4A60-9318-89110DD7AFDE}"/>
    <cellStyle name="Финансовый 36 6 3 6" xfId="16129" xr:uid="{00000000-0005-0000-0000-0000BF4A0000}"/>
    <cellStyle name="Финансовый 36 6 3 6 2" xfId="33142" xr:uid="{DA2CA92B-4326-4C5F-BE59-BE60122FBF66}"/>
    <cellStyle name="Финансовый 36 6 3 7" xfId="19210" xr:uid="{00000000-0005-0000-0000-0000C04A0000}"/>
    <cellStyle name="Финансовый 36 6 3 7 2" xfId="36223" xr:uid="{B8E70C17-75FE-477F-8358-420CC077B7D3}"/>
    <cellStyle name="Финансовый 36 6 3 8" xfId="26913" xr:uid="{F5D59B57-4713-49F7-981A-ACFF6D060304}"/>
    <cellStyle name="Финансовый 36 6 4" xfId="9820" xr:uid="{00000000-0005-0000-0000-0000C14A0000}"/>
    <cellStyle name="Финансовый 36 6 4 2" xfId="9821" xr:uid="{00000000-0005-0000-0000-0000C24A0000}"/>
    <cellStyle name="Финансовый 36 6 4 2 2" xfId="9822" xr:uid="{00000000-0005-0000-0000-0000C34A0000}"/>
    <cellStyle name="Финансовый 36 6 4 2 2 2" xfId="12907" xr:uid="{00000000-0005-0000-0000-0000C44A0000}"/>
    <cellStyle name="Финансовый 36 6 4 2 2 2 2" xfId="29996" xr:uid="{BB75E08C-46F9-43D2-8913-4DADB852B344}"/>
    <cellStyle name="Финансовый 36 6 4 2 2 3" xfId="16139" xr:uid="{00000000-0005-0000-0000-0000C54A0000}"/>
    <cellStyle name="Финансовый 36 6 4 2 2 3 2" xfId="33152" xr:uid="{60AD39A0-86D1-442C-9439-B7FE818A629A}"/>
    <cellStyle name="Финансовый 36 6 4 2 2 4" xfId="19220" xr:uid="{00000000-0005-0000-0000-0000C64A0000}"/>
    <cellStyle name="Финансовый 36 6 4 2 2 4 2" xfId="36233" xr:uid="{8649274A-A343-48E5-9BE7-625A60E7A6DA}"/>
    <cellStyle name="Финансовый 36 6 4 2 2 5" xfId="26923" xr:uid="{D8E80AC0-2096-4EDF-8DEC-4969076100B2}"/>
    <cellStyle name="Финансовый 36 6 4 2 3" xfId="12906" xr:uid="{00000000-0005-0000-0000-0000C74A0000}"/>
    <cellStyle name="Финансовый 36 6 4 2 3 2" xfId="29995" xr:uid="{30FCA3D1-C9CA-4558-BC5D-41396D935E4B}"/>
    <cellStyle name="Финансовый 36 6 4 2 4" xfId="16138" xr:uid="{00000000-0005-0000-0000-0000C84A0000}"/>
    <cellStyle name="Финансовый 36 6 4 2 4 2" xfId="33151" xr:uid="{2E3FAC95-035C-4CBA-8CFE-40D8C481976C}"/>
    <cellStyle name="Финансовый 36 6 4 2 5" xfId="19219" xr:uid="{00000000-0005-0000-0000-0000C94A0000}"/>
    <cellStyle name="Финансовый 36 6 4 2 5 2" xfId="36232" xr:uid="{13CFDB11-728C-4973-8488-DB36378BF702}"/>
    <cellStyle name="Финансовый 36 6 4 2 6" xfId="26922" xr:uid="{1289326F-F92F-4279-8C1D-04298F0A44CF}"/>
    <cellStyle name="Финансовый 36 6 4 3" xfId="9823" xr:uid="{00000000-0005-0000-0000-0000CA4A0000}"/>
    <cellStyle name="Финансовый 36 6 4 3 2" xfId="12908" xr:uid="{00000000-0005-0000-0000-0000CB4A0000}"/>
    <cellStyle name="Финансовый 36 6 4 3 2 2" xfId="29997" xr:uid="{236C8166-CFAA-4BC4-AAB1-F2203F013E3F}"/>
    <cellStyle name="Финансовый 36 6 4 3 3" xfId="16140" xr:uid="{00000000-0005-0000-0000-0000CC4A0000}"/>
    <cellStyle name="Финансовый 36 6 4 3 3 2" xfId="33153" xr:uid="{EB4FD0E4-9DE1-46D6-A04D-028486D22A06}"/>
    <cellStyle name="Финансовый 36 6 4 3 4" xfId="19221" xr:uid="{00000000-0005-0000-0000-0000CD4A0000}"/>
    <cellStyle name="Финансовый 36 6 4 3 4 2" xfId="36234" xr:uid="{0AFBF6AC-1E91-4EA5-9E40-21219CEB6C96}"/>
    <cellStyle name="Финансовый 36 6 4 3 5" xfId="26924" xr:uid="{35082FAB-0D86-4099-A95B-1D7966333B6A}"/>
    <cellStyle name="Финансовый 36 6 4 4" xfId="12905" xr:uid="{00000000-0005-0000-0000-0000CE4A0000}"/>
    <cellStyle name="Финансовый 36 6 4 4 2" xfId="29994" xr:uid="{5AE92175-F1FA-4604-85FB-E545610717EA}"/>
    <cellStyle name="Финансовый 36 6 4 5" xfId="16137" xr:uid="{00000000-0005-0000-0000-0000CF4A0000}"/>
    <cellStyle name="Финансовый 36 6 4 5 2" xfId="33150" xr:uid="{9E7322DA-D86B-4039-9985-D19C1C917508}"/>
    <cellStyle name="Финансовый 36 6 4 6" xfId="19218" xr:uid="{00000000-0005-0000-0000-0000D04A0000}"/>
    <cellStyle name="Финансовый 36 6 4 6 2" xfId="36231" xr:uid="{E1AD8B9F-96D3-462F-8DDF-44298C72F0EC}"/>
    <cellStyle name="Финансовый 36 6 4 7" xfId="26921" xr:uid="{77443E5C-D644-4B80-9DC5-04BF4C2D722B}"/>
    <cellStyle name="Финансовый 36 6 5" xfId="9824" xr:uid="{00000000-0005-0000-0000-0000D14A0000}"/>
    <cellStyle name="Финансовый 36 6 5 2" xfId="9825" xr:uid="{00000000-0005-0000-0000-0000D24A0000}"/>
    <cellStyle name="Финансовый 36 6 5 2 2" xfId="12910" xr:uid="{00000000-0005-0000-0000-0000D34A0000}"/>
    <cellStyle name="Финансовый 36 6 5 2 2 2" xfId="29999" xr:uid="{7ED1F70C-92C4-4D94-8ACB-63E435AE5703}"/>
    <cellStyle name="Финансовый 36 6 5 2 3" xfId="16142" xr:uid="{00000000-0005-0000-0000-0000D44A0000}"/>
    <cellStyle name="Финансовый 36 6 5 2 3 2" xfId="33155" xr:uid="{31139E41-2E99-4DA1-8681-0874EEBBC2C8}"/>
    <cellStyle name="Финансовый 36 6 5 2 4" xfId="19223" xr:uid="{00000000-0005-0000-0000-0000D54A0000}"/>
    <cellStyle name="Финансовый 36 6 5 2 4 2" xfId="36236" xr:uid="{BEC33DA5-B9CF-408A-8431-808C8ADFF7F8}"/>
    <cellStyle name="Финансовый 36 6 5 2 5" xfId="26926" xr:uid="{074E0D38-0B11-43F8-8BB3-433435374C57}"/>
    <cellStyle name="Финансовый 36 6 5 3" xfId="12909" xr:uid="{00000000-0005-0000-0000-0000D64A0000}"/>
    <cellStyle name="Финансовый 36 6 5 3 2" xfId="29998" xr:uid="{20253840-6582-46F3-AA55-27A6D3C400F1}"/>
    <cellStyle name="Финансовый 36 6 5 4" xfId="16141" xr:uid="{00000000-0005-0000-0000-0000D74A0000}"/>
    <cellStyle name="Финансовый 36 6 5 4 2" xfId="33154" xr:uid="{84E60A15-8471-4BFB-A8D0-5E28D29F3141}"/>
    <cellStyle name="Финансовый 36 6 5 5" xfId="19222" xr:uid="{00000000-0005-0000-0000-0000D84A0000}"/>
    <cellStyle name="Финансовый 36 6 5 5 2" xfId="36235" xr:uid="{83B15ADB-1807-4B4C-8698-601B20208409}"/>
    <cellStyle name="Финансовый 36 6 5 6" xfId="26925" xr:uid="{FFEEF5D5-49B0-43AD-A7E8-5784036FAD25}"/>
    <cellStyle name="Финансовый 36 6 6" xfId="9826" xr:uid="{00000000-0005-0000-0000-0000D94A0000}"/>
    <cellStyle name="Финансовый 36 6 6 2" xfId="12911" xr:uid="{00000000-0005-0000-0000-0000DA4A0000}"/>
    <cellStyle name="Финансовый 36 6 6 2 2" xfId="30000" xr:uid="{1016BC87-CE35-4CF4-80AB-213ABC39AA60}"/>
    <cellStyle name="Финансовый 36 6 6 3" xfId="16143" xr:uid="{00000000-0005-0000-0000-0000DB4A0000}"/>
    <cellStyle name="Финансовый 36 6 6 3 2" xfId="33156" xr:uid="{CC7E582C-A260-4196-AF56-47E44B80073C}"/>
    <cellStyle name="Финансовый 36 6 6 4" xfId="19224" xr:uid="{00000000-0005-0000-0000-0000DC4A0000}"/>
    <cellStyle name="Финансовый 36 6 6 4 2" xfId="36237" xr:uid="{8D2ECB33-32C2-46D8-B6E3-E7B725F2E38D}"/>
    <cellStyle name="Финансовый 36 6 6 5" xfId="26927" xr:uid="{C08464BC-906E-4518-9921-95BA3AA8A83E}"/>
    <cellStyle name="Финансовый 36 6 7" xfId="12880" xr:uid="{00000000-0005-0000-0000-0000DD4A0000}"/>
    <cellStyle name="Финансовый 36 6 7 2" xfId="29969" xr:uid="{AF038D03-7CE6-445A-A0F4-567395E00937}"/>
    <cellStyle name="Финансовый 36 6 8" xfId="16112" xr:uid="{00000000-0005-0000-0000-0000DE4A0000}"/>
    <cellStyle name="Финансовый 36 6 8 2" xfId="33125" xr:uid="{838618DD-05F6-491A-9F46-4B4B525CD14B}"/>
    <cellStyle name="Финансовый 36 6 9" xfId="19193" xr:uid="{00000000-0005-0000-0000-0000DF4A0000}"/>
    <cellStyle name="Финансовый 36 6 9 2" xfId="36206" xr:uid="{771B3519-3CC2-442C-AA77-1113D0924F04}"/>
    <cellStyle name="Финансовый 36 7" xfId="9827" xr:uid="{00000000-0005-0000-0000-0000E04A0000}"/>
    <cellStyle name="Финансовый 36 7 2" xfId="9828" xr:uid="{00000000-0005-0000-0000-0000E14A0000}"/>
    <cellStyle name="Финансовый 36 7 2 2" xfId="9829" xr:uid="{00000000-0005-0000-0000-0000E24A0000}"/>
    <cellStyle name="Финансовый 36 7 2 2 2" xfId="9830" xr:uid="{00000000-0005-0000-0000-0000E34A0000}"/>
    <cellStyle name="Финансовый 36 7 2 2 2 2" xfId="9831" xr:uid="{00000000-0005-0000-0000-0000E44A0000}"/>
    <cellStyle name="Финансовый 36 7 2 2 2 2 2" xfId="12916" xr:uid="{00000000-0005-0000-0000-0000E54A0000}"/>
    <cellStyle name="Финансовый 36 7 2 2 2 2 2 2" xfId="30005" xr:uid="{4C1037B7-C8D8-447C-B7B6-186A9857C1FC}"/>
    <cellStyle name="Финансовый 36 7 2 2 2 2 3" xfId="16148" xr:uid="{00000000-0005-0000-0000-0000E64A0000}"/>
    <cellStyle name="Финансовый 36 7 2 2 2 2 3 2" xfId="33161" xr:uid="{BE892AB0-F49F-48C6-853F-D84193CE5118}"/>
    <cellStyle name="Финансовый 36 7 2 2 2 2 4" xfId="19229" xr:uid="{00000000-0005-0000-0000-0000E74A0000}"/>
    <cellStyle name="Финансовый 36 7 2 2 2 2 4 2" xfId="36242" xr:uid="{8E43387E-69DC-40AC-8265-E3625AE0BCAF}"/>
    <cellStyle name="Финансовый 36 7 2 2 2 2 5" xfId="26932" xr:uid="{57DA98D7-85F1-49A3-A955-F40E2343CA3F}"/>
    <cellStyle name="Финансовый 36 7 2 2 2 3" xfId="12915" xr:uid="{00000000-0005-0000-0000-0000E84A0000}"/>
    <cellStyle name="Финансовый 36 7 2 2 2 3 2" xfId="30004" xr:uid="{6ADCAD74-70CA-4FB7-9746-999934C5A1C7}"/>
    <cellStyle name="Финансовый 36 7 2 2 2 4" xfId="16147" xr:uid="{00000000-0005-0000-0000-0000E94A0000}"/>
    <cellStyle name="Финансовый 36 7 2 2 2 4 2" xfId="33160" xr:uid="{5FBEA8D6-E6AB-4533-B2F6-A9EEFD81111D}"/>
    <cellStyle name="Финансовый 36 7 2 2 2 5" xfId="19228" xr:uid="{00000000-0005-0000-0000-0000EA4A0000}"/>
    <cellStyle name="Финансовый 36 7 2 2 2 5 2" xfId="36241" xr:uid="{1CCC9668-9C37-4450-8EC4-A2C3E87E28DA}"/>
    <cellStyle name="Финансовый 36 7 2 2 2 6" xfId="26931" xr:uid="{4D39B4FF-127B-4658-97D9-C1045EB05CF4}"/>
    <cellStyle name="Финансовый 36 7 2 2 3" xfId="9832" xr:uid="{00000000-0005-0000-0000-0000EB4A0000}"/>
    <cellStyle name="Финансовый 36 7 2 2 3 2" xfId="12917" xr:uid="{00000000-0005-0000-0000-0000EC4A0000}"/>
    <cellStyle name="Финансовый 36 7 2 2 3 2 2" xfId="30006" xr:uid="{ABD07C13-C5D3-4328-B911-48871D92CBD3}"/>
    <cellStyle name="Финансовый 36 7 2 2 3 3" xfId="16149" xr:uid="{00000000-0005-0000-0000-0000ED4A0000}"/>
    <cellStyle name="Финансовый 36 7 2 2 3 3 2" xfId="33162" xr:uid="{A34894F1-709B-488F-92E7-F72E09A33CA0}"/>
    <cellStyle name="Финансовый 36 7 2 2 3 4" xfId="19230" xr:uid="{00000000-0005-0000-0000-0000EE4A0000}"/>
    <cellStyle name="Финансовый 36 7 2 2 3 4 2" xfId="36243" xr:uid="{C48350BC-8FB9-4B6D-9187-73338274E4B8}"/>
    <cellStyle name="Финансовый 36 7 2 2 3 5" xfId="26933" xr:uid="{47F9DAD1-2BFE-4AC1-A9FD-AA562F032B71}"/>
    <cellStyle name="Финансовый 36 7 2 2 4" xfId="12914" xr:uid="{00000000-0005-0000-0000-0000EF4A0000}"/>
    <cellStyle name="Финансовый 36 7 2 2 4 2" xfId="30003" xr:uid="{BFF205EC-BE2E-4B16-9E1E-E6AAFC63E42B}"/>
    <cellStyle name="Финансовый 36 7 2 2 5" xfId="16146" xr:uid="{00000000-0005-0000-0000-0000F04A0000}"/>
    <cellStyle name="Финансовый 36 7 2 2 5 2" xfId="33159" xr:uid="{5A08713E-D27D-4D91-91EC-1D06D4FB0E83}"/>
    <cellStyle name="Финансовый 36 7 2 2 6" xfId="19227" xr:uid="{00000000-0005-0000-0000-0000F14A0000}"/>
    <cellStyle name="Финансовый 36 7 2 2 6 2" xfId="36240" xr:uid="{C8BDA1CA-5FA3-4DDE-9AB2-48FDE30552C3}"/>
    <cellStyle name="Финансовый 36 7 2 2 7" xfId="26930" xr:uid="{8F07B6C8-3E3A-4133-AAB0-199A9DB0DC7B}"/>
    <cellStyle name="Финансовый 36 7 2 3" xfId="9833" xr:uid="{00000000-0005-0000-0000-0000F24A0000}"/>
    <cellStyle name="Финансовый 36 7 2 3 2" xfId="9834" xr:uid="{00000000-0005-0000-0000-0000F34A0000}"/>
    <cellStyle name="Финансовый 36 7 2 3 2 2" xfId="12919" xr:uid="{00000000-0005-0000-0000-0000F44A0000}"/>
    <cellStyle name="Финансовый 36 7 2 3 2 2 2" xfId="30008" xr:uid="{2D6862FE-6C24-4237-B3C6-AAE4A474819D}"/>
    <cellStyle name="Финансовый 36 7 2 3 2 3" xfId="16151" xr:uid="{00000000-0005-0000-0000-0000F54A0000}"/>
    <cellStyle name="Финансовый 36 7 2 3 2 3 2" xfId="33164" xr:uid="{131AA176-81B1-4EA7-B1A3-1F9571C19DE3}"/>
    <cellStyle name="Финансовый 36 7 2 3 2 4" xfId="19232" xr:uid="{00000000-0005-0000-0000-0000F64A0000}"/>
    <cellStyle name="Финансовый 36 7 2 3 2 4 2" xfId="36245" xr:uid="{07F28081-EB4F-4F23-A727-29AE1DC240B9}"/>
    <cellStyle name="Финансовый 36 7 2 3 2 5" xfId="26935" xr:uid="{05DAD4CA-46D5-44F3-AE48-78407DA169FA}"/>
    <cellStyle name="Финансовый 36 7 2 3 3" xfId="12918" xr:uid="{00000000-0005-0000-0000-0000F74A0000}"/>
    <cellStyle name="Финансовый 36 7 2 3 3 2" xfId="30007" xr:uid="{8D8588DD-58C2-4444-95C3-CDC474FF4F9A}"/>
    <cellStyle name="Финансовый 36 7 2 3 4" xfId="16150" xr:uid="{00000000-0005-0000-0000-0000F84A0000}"/>
    <cellStyle name="Финансовый 36 7 2 3 4 2" xfId="33163" xr:uid="{C17F5CAE-D9D0-4B17-A8BC-4B3171D0548E}"/>
    <cellStyle name="Финансовый 36 7 2 3 5" xfId="19231" xr:uid="{00000000-0005-0000-0000-0000F94A0000}"/>
    <cellStyle name="Финансовый 36 7 2 3 5 2" xfId="36244" xr:uid="{B65B458B-A271-414F-B40B-0E77FD3B97A8}"/>
    <cellStyle name="Финансовый 36 7 2 3 6" xfId="26934" xr:uid="{BBF13746-6A73-4EC3-832C-693B98A87DDA}"/>
    <cellStyle name="Финансовый 36 7 2 4" xfId="9835" xr:uid="{00000000-0005-0000-0000-0000FA4A0000}"/>
    <cellStyle name="Финансовый 36 7 2 4 2" xfId="12920" xr:uid="{00000000-0005-0000-0000-0000FB4A0000}"/>
    <cellStyle name="Финансовый 36 7 2 4 2 2" xfId="30009" xr:uid="{B6386091-2F32-4246-AAAC-F92205CDB013}"/>
    <cellStyle name="Финансовый 36 7 2 4 3" xfId="16152" xr:uid="{00000000-0005-0000-0000-0000FC4A0000}"/>
    <cellStyle name="Финансовый 36 7 2 4 3 2" xfId="33165" xr:uid="{13D2FC75-847D-425E-A1E9-E3F1CF2B0CB5}"/>
    <cellStyle name="Финансовый 36 7 2 4 4" xfId="19233" xr:uid="{00000000-0005-0000-0000-0000FD4A0000}"/>
    <cellStyle name="Финансовый 36 7 2 4 4 2" xfId="36246" xr:uid="{87CCFFD2-606F-4188-B7B0-428BF4048DE7}"/>
    <cellStyle name="Финансовый 36 7 2 4 5" xfId="26936" xr:uid="{83A20446-5CCC-4AB6-A17A-421597150F46}"/>
    <cellStyle name="Финансовый 36 7 2 5" xfId="12913" xr:uid="{00000000-0005-0000-0000-0000FE4A0000}"/>
    <cellStyle name="Финансовый 36 7 2 5 2" xfId="30002" xr:uid="{784E1D7A-5256-44A8-A05F-2997D8FE9052}"/>
    <cellStyle name="Финансовый 36 7 2 6" xfId="16145" xr:uid="{00000000-0005-0000-0000-0000FF4A0000}"/>
    <cellStyle name="Финансовый 36 7 2 6 2" xfId="33158" xr:uid="{E0B0D8DC-E757-4D3F-AA87-D86041B08CA0}"/>
    <cellStyle name="Финансовый 36 7 2 7" xfId="19226" xr:uid="{00000000-0005-0000-0000-0000004B0000}"/>
    <cellStyle name="Финансовый 36 7 2 7 2" xfId="36239" xr:uid="{E251381A-907C-4F21-9DB3-ECBEB7385569}"/>
    <cellStyle name="Финансовый 36 7 2 8" xfId="26929" xr:uid="{3F62C49B-4D60-4AFF-B2B8-1E393C02B9FA}"/>
    <cellStyle name="Финансовый 36 7 3" xfId="9836" xr:uid="{00000000-0005-0000-0000-0000014B0000}"/>
    <cellStyle name="Финансовый 36 7 3 2" xfId="9837" xr:uid="{00000000-0005-0000-0000-0000024B0000}"/>
    <cellStyle name="Финансовый 36 7 3 2 2" xfId="9838" xr:uid="{00000000-0005-0000-0000-0000034B0000}"/>
    <cellStyle name="Финансовый 36 7 3 2 2 2" xfId="12923" xr:uid="{00000000-0005-0000-0000-0000044B0000}"/>
    <cellStyle name="Финансовый 36 7 3 2 2 2 2" xfId="30012" xr:uid="{8FA7E55C-81E3-49D2-AC97-264FB1D884DF}"/>
    <cellStyle name="Финансовый 36 7 3 2 2 3" xfId="16155" xr:uid="{00000000-0005-0000-0000-0000054B0000}"/>
    <cellStyle name="Финансовый 36 7 3 2 2 3 2" xfId="33168" xr:uid="{781376B2-4EA4-47AE-9490-63AC002A63CE}"/>
    <cellStyle name="Финансовый 36 7 3 2 2 4" xfId="19236" xr:uid="{00000000-0005-0000-0000-0000064B0000}"/>
    <cellStyle name="Финансовый 36 7 3 2 2 4 2" xfId="36249" xr:uid="{6ADD0C82-7BBE-4CAB-8502-4B57EA881A0B}"/>
    <cellStyle name="Финансовый 36 7 3 2 2 5" xfId="26939" xr:uid="{A9A10D6A-1763-44C8-854D-006D70FE9357}"/>
    <cellStyle name="Финансовый 36 7 3 2 3" xfId="12922" xr:uid="{00000000-0005-0000-0000-0000074B0000}"/>
    <cellStyle name="Финансовый 36 7 3 2 3 2" xfId="30011" xr:uid="{2BEDC5A5-EA9E-42E6-835C-F2C53AE348BE}"/>
    <cellStyle name="Финансовый 36 7 3 2 4" xfId="16154" xr:uid="{00000000-0005-0000-0000-0000084B0000}"/>
    <cellStyle name="Финансовый 36 7 3 2 4 2" xfId="33167" xr:uid="{2D87D881-1553-448D-8C2F-066BCD586E87}"/>
    <cellStyle name="Финансовый 36 7 3 2 5" xfId="19235" xr:uid="{00000000-0005-0000-0000-0000094B0000}"/>
    <cellStyle name="Финансовый 36 7 3 2 5 2" xfId="36248" xr:uid="{A5B68E57-96A6-45D7-AF16-DA2D9B69C2C9}"/>
    <cellStyle name="Финансовый 36 7 3 2 6" xfId="26938" xr:uid="{92C42A15-B02D-4CEF-A9A5-C373779026F0}"/>
    <cellStyle name="Финансовый 36 7 3 3" xfId="9839" xr:uid="{00000000-0005-0000-0000-00000A4B0000}"/>
    <cellStyle name="Финансовый 36 7 3 3 2" xfId="12924" xr:uid="{00000000-0005-0000-0000-00000B4B0000}"/>
    <cellStyle name="Финансовый 36 7 3 3 2 2" xfId="30013" xr:uid="{BC5E455C-A112-49FF-BC4C-BAD70B253554}"/>
    <cellStyle name="Финансовый 36 7 3 3 3" xfId="16156" xr:uid="{00000000-0005-0000-0000-00000C4B0000}"/>
    <cellStyle name="Финансовый 36 7 3 3 3 2" xfId="33169" xr:uid="{75AC8BE9-7406-448A-9F97-853686E257F1}"/>
    <cellStyle name="Финансовый 36 7 3 3 4" xfId="19237" xr:uid="{00000000-0005-0000-0000-00000D4B0000}"/>
    <cellStyle name="Финансовый 36 7 3 3 4 2" xfId="36250" xr:uid="{B9F12D28-EA5B-437F-A192-00AE1EF698C5}"/>
    <cellStyle name="Финансовый 36 7 3 3 5" xfId="26940" xr:uid="{2E2B8427-C918-4D44-A430-AE8496FBF116}"/>
    <cellStyle name="Финансовый 36 7 3 4" xfId="12921" xr:uid="{00000000-0005-0000-0000-00000E4B0000}"/>
    <cellStyle name="Финансовый 36 7 3 4 2" xfId="30010" xr:uid="{FFAF1C48-005C-4D0D-B7AD-0E6B23AEABFB}"/>
    <cellStyle name="Финансовый 36 7 3 5" xfId="16153" xr:uid="{00000000-0005-0000-0000-00000F4B0000}"/>
    <cellStyle name="Финансовый 36 7 3 5 2" xfId="33166" xr:uid="{011A5D7A-B41E-4B5A-99FA-91FBCDEABE00}"/>
    <cellStyle name="Финансовый 36 7 3 6" xfId="19234" xr:uid="{00000000-0005-0000-0000-0000104B0000}"/>
    <cellStyle name="Финансовый 36 7 3 6 2" xfId="36247" xr:uid="{0DCCB1BD-EBBA-4610-9B71-BBF8D646A144}"/>
    <cellStyle name="Финансовый 36 7 3 7" xfId="26937" xr:uid="{50170E69-C0C2-4FE0-8690-12CAB9400353}"/>
    <cellStyle name="Финансовый 36 7 4" xfId="9840" xr:uid="{00000000-0005-0000-0000-0000114B0000}"/>
    <cellStyle name="Финансовый 36 7 4 2" xfId="9841" xr:uid="{00000000-0005-0000-0000-0000124B0000}"/>
    <cellStyle name="Финансовый 36 7 4 2 2" xfId="12926" xr:uid="{00000000-0005-0000-0000-0000134B0000}"/>
    <cellStyle name="Финансовый 36 7 4 2 2 2" xfId="30015" xr:uid="{0982A506-8D8C-4F26-BC93-9027AD05F154}"/>
    <cellStyle name="Финансовый 36 7 4 2 3" xfId="16158" xr:uid="{00000000-0005-0000-0000-0000144B0000}"/>
    <cellStyle name="Финансовый 36 7 4 2 3 2" xfId="33171" xr:uid="{D95D84C0-C534-4D86-8A75-31038289BCD4}"/>
    <cellStyle name="Финансовый 36 7 4 2 4" xfId="19239" xr:uid="{00000000-0005-0000-0000-0000154B0000}"/>
    <cellStyle name="Финансовый 36 7 4 2 4 2" xfId="36252" xr:uid="{BED20D06-B1F0-40F7-A974-1928A07B29A7}"/>
    <cellStyle name="Финансовый 36 7 4 2 5" xfId="26942" xr:uid="{9FBED0D9-74DB-486F-9FF4-F9D5ACA60806}"/>
    <cellStyle name="Финансовый 36 7 4 3" xfId="12925" xr:uid="{00000000-0005-0000-0000-0000164B0000}"/>
    <cellStyle name="Финансовый 36 7 4 3 2" xfId="30014" xr:uid="{93094D9B-30F2-4E0D-B1D7-570207D4A87F}"/>
    <cellStyle name="Финансовый 36 7 4 4" xfId="16157" xr:uid="{00000000-0005-0000-0000-0000174B0000}"/>
    <cellStyle name="Финансовый 36 7 4 4 2" xfId="33170" xr:uid="{A6025A42-F10E-4A8E-B32A-F1928188176A}"/>
    <cellStyle name="Финансовый 36 7 4 5" xfId="19238" xr:uid="{00000000-0005-0000-0000-0000184B0000}"/>
    <cellStyle name="Финансовый 36 7 4 5 2" xfId="36251" xr:uid="{1AE9587D-B658-449B-A9C6-EDF859DA0E7E}"/>
    <cellStyle name="Финансовый 36 7 4 6" xfId="26941" xr:uid="{6AACE7B1-82B6-4A6A-9ACC-0412B7DDF0C8}"/>
    <cellStyle name="Финансовый 36 7 5" xfId="9842" xr:uid="{00000000-0005-0000-0000-0000194B0000}"/>
    <cellStyle name="Финансовый 36 7 5 2" xfId="12927" xr:uid="{00000000-0005-0000-0000-00001A4B0000}"/>
    <cellStyle name="Финансовый 36 7 5 2 2" xfId="30016" xr:uid="{897815C3-60D4-4B4D-A88A-9E54AD81DF57}"/>
    <cellStyle name="Финансовый 36 7 5 3" xfId="16159" xr:uid="{00000000-0005-0000-0000-00001B4B0000}"/>
    <cellStyle name="Финансовый 36 7 5 3 2" xfId="33172" xr:uid="{21358991-AD73-471B-A1F3-9C8CB7EE44C5}"/>
    <cellStyle name="Финансовый 36 7 5 4" xfId="19240" xr:uid="{00000000-0005-0000-0000-00001C4B0000}"/>
    <cellStyle name="Финансовый 36 7 5 4 2" xfId="36253" xr:uid="{BAA4FA4E-23BD-4DEB-AF6A-F321CAF25FDB}"/>
    <cellStyle name="Финансовый 36 7 5 5" xfId="26943" xr:uid="{24561C69-0BBB-4E3E-82AE-7E5FDEC49BDC}"/>
    <cellStyle name="Финансовый 36 7 6" xfId="12912" xr:uid="{00000000-0005-0000-0000-00001D4B0000}"/>
    <cellStyle name="Финансовый 36 7 6 2" xfId="30001" xr:uid="{60E66602-4F36-4EFF-9AF7-5B9E31B7EAFB}"/>
    <cellStyle name="Финансовый 36 7 7" xfId="16144" xr:uid="{00000000-0005-0000-0000-00001E4B0000}"/>
    <cellStyle name="Финансовый 36 7 7 2" xfId="33157" xr:uid="{B9E6B338-979A-4022-8218-551B78345072}"/>
    <cellStyle name="Финансовый 36 7 8" xfId="19225" xr:uid="{00000000-0005-0000-0000-00001F4B0000}"/>
    <cellStyle name="Финансовый 36 7 8 2" xfId="36238" xr:uid="{A8FDFEDB-DCC0-4C3B-A10F-9EB0624118B7}"/>
    <cellStyle name="Финансовый 36 7 9" xfId="26928" xr:uid="{B6B77BEB-C7D1-4841-A9EB-25A1C539BD4E}"/>
    <cellStyle name="Финансовый 36 8" xfId="9843" xr:uid="{00000000-0005-0000-0000-0000204B0000}"/>
    <cellStyle name="Финансовый 36 8 2" xfId="9844" xr:uid="{00000000-0005-0000-0000-0000214B0000}"/>
    <cellStyle name="Финансовый 36 8 2 2" xfId="9845" xr:uid="{00000000-0005-0000-0000-0000224B0000}"/>
    <cellStyle name="Финансовый 36 8 2 2 2" xfId="9846" xr:uid="{00000000-0005-0000-0000-0000234B0000}"/>
    <cellStyle name="Финансовый 36 8 2 2 2 2" xfId="12931" xr:uid="{00000000-0005-0000-0000-0000244B0000}"/>
    <cellStyle name="Финансовый 36 8 2 2 2 2 2" xfId="30020" xr:uid="{715D8552-CE69-4513-9278-7DCE11AC165E}"/>
    <cellStyle name="Финансовый 36 8 2 2 2 3" xfId="16163" xr:uid="{00000000-0005-0000-0000-0000254B0000}"/>
    <cellStyle name="Финансовый 36 8 2 2 2 3 2" xfId="33176" xr:uid="{CC2BDC2B-D060-45F3-8994-60C2897D657C}"/>
    <cellStyle name="Финансовый 36 8 2 2 2 4" xfId="19244" xr:uid="{00000000-0005-0000-0000-0000264B0000}"/>
    <cellStyle name="Финансовый 36 8 2 2 2 4 2" xfId="36257" xr:uid="{3E21150B-A93B-42F7-9E57-EF4AA511DA9A}"/>
    <cellStyle name="Финансовый 36 8 2 2 2 5" xfId="26947" xr:uid="{A2985716-1CF5-4B14-A60B-FB8BEF0756B9}"/>
    <cellStyle name="Финансовый 36 8 2 2 3" xfId="12930" xr:uid="{00000000-0005-0000-0000-0000274B0000}"/>
    <cellStyle name="Финансовый 36 8 2 2 3 2" xfId="30019" xr:uid="{8E759C83-FBE4-46D9-82FF-C78E46930DE4}"/>
    <cellStyle name="Финансовый 36 8 2 2 4" xfId="16162" xr:uid="{00000000-0005-0000-0000-0000284B0000}"/>
    <cellStyle name="Финансовый 36 8 2 2 4 2" xfId="33175" xr:uid="{7D2450C6-D56A-43C4-84BD-A635A4B9C611}"/>
    <cellStyle name="Финансовый 36 8 2 2 5" xfId="19243" xr:uid="{00000000-0005-0000-0000-0000294B0000}"/>
    <cellStyle name="Финансовый 36 8 2 2 5 2" xfId="36256" xr:uid="{5142CA6E-3901-4C77-BA8A-FCA8EF4D4F4B}"/>
    <cellStyle name="Финансовый 36 8 2 2 6" xfId="26946" xr:uid="{862A7E44-3FCE-44E3-AB6B-FB52C28686D0}"/>
    <cellStyle name="Финансовый 36 8 2 3" xfId="9847" xr:uid="{00000000-0005-0000-0000-00002A4B0000}"/>
    <cellStyle name="Финансовый 36 8 2 3 2" xfId="12932" xr:uid="{00000000-0005-0000-0000-00002B4B0000}"/>
    <cellStyle name="Финансовый 36 8 2 3 2 2" xfId="30021" xr:uid="{A15A65AB-619C-4E50-8855-70D12D0E6E59}"/>
    <cellStyle name="Финансовый 36 8 2 3 3" xfId="16164" xr:uid="{00000000-0005-0000-0000-00002C4B0000}"/>
    <cellStyle name="Финансовый 36 8 2 3 3 2" xfId="33177" xr:uid="{B5A07BF6-C8D0-4887-94FA-76E339E2CAE4}"/>
    <cellStyle name="Финансовый 36 8 2 3 4" xfId="19245" xr:uid="{00000000-0005-0000-0000-00002D4B0000}"/>
    <cellStyle name="Финансовый 36 8 2 3 4 2" xfId="36258" xr:uid="{D2FEF1A7-CD06-44D3-813A-CE27AAF315EC}"/>
    <cellStyle name="Финансовый 36 8 2 3 5" xfId="26948" xr:uid="{FFD5252B-C0A5-4836-BECC-CF7A23E68DEA}"/>
    <cellStyle name="Финансовый 36 8 2 4" xfId="12929" xr:uid="{00000000-0005-0000-0000-00002E4B0000}"/>
    <cellStyle name="Финансовый 36 8 2 4 2" xfId="30018" xr:uid="{348AD198-43D6-4FA3-8710-0906B77EAA44}"/>
    <cellStyle name="Финансовый 36 8 2 5" xfId="16161" xr:uid="{00000000-0005-0000-0000-00002F4B0000}"/>
    <cellStyle name="Финансовый 36 8 2 5 2" xfId="33174" xr:uid="{FA2BE99C-F292-4EFF-8775-073CEDD384E1}"/>
    <cellStyle name="Финансовый 36 8 2 6" xfId="19242" xr:uid="{00000000-0005-0000-0000-0000304B0000}"/>
    <cellStyle name="Финансовый 36 8 2 6 2" xfId="36255" xr:uid="{27722980-17D0-43D0-ADF1-BBD9A3170D57}"/>
    <cellStyle name="Финансовый 36 8 2 7" xfId="26945" xr:uid="{183C859A-06D7-47D9-A069-C901609E19D4}"/>
    <cellStyle name="Финансовый 36 8 3" xfId="9848" xr:uid="{00000000-0005-0000-0000-0000314B0000}"/>
    <cellStyle name="Финансовый 36 8 3 2" xfId="9849" xr:uid="{00000000-0005-0000-0000-0000324B0000}"/>
    <cellStyle name="Финансовый 36 8 3 2 2" xfId="12934" xr:uid="{00000000-0005-0000-0000-0000334B0000}"/>
    <cellStyle name="Финансовый 36 8 3 2 2 2" xfId="30023" xr:uid="{104AA373-253D-4917-9166-B9460803B3A6}"/>
    <cellStyle name="Финансовый 36 8 3 2 3" xfId="16166" xr:uid="{00000000-0005-0000-0000-0000344B0000}"/>
    <cellStyle name="Финансовый 36 8 3 2 3 2" xfId="33179" xr:uid="{CCE15CCA-FDBB-4F49-9484-652F48579635}"/>
    <cellStyle name="Финансовый 36 8 3 2 4" xfId="19247" xr:uid="{00000000-0005-0000-0000-0000354B0000}"/>
    <cellStyle name="Финансовый 36 8 3 2 4 2" xfId="36260" xr:uid="{4B9E737D-1F48-4775-8C20-DDBF4F9DFA69}"/>
    <cellStyle name="Финансовый 36 8 3 2 5" xfId="26950" xr:uid="{C6E23F0E-CF75-49B4-A670-B25BBC64C054}"/>
    <cellStyle name="Финансовый 36 8 3 3" xfId="12933" xr:uid="{00000000-0005-0000-0000-0000364B0000}"/>
    <cellStyle name="Финансовый 36 8 3 3 2" xfId="30022" xr:uid="{87FC7E0A-606B-467C-BAB4-4932D8FF72B4}"/>
    <cellStyle name="Финансовый 36 8 3 4" xfId="16165" xr:uid="{00000000-0005-0000-0000-0000374B0000}"/>
    <cellStyle name="Финансовый 36 8 3 4 2" xfId="33178" xr:uid="{E2E8E9CB-BF40-4D18-9BEB-B317BB6C8CE8}"/>
    <cellStyle name="Финансовый 36 8 3 5" xfId="19246" xr:uid="{00000000-0005-0000-0000-0000384B0000}"/>
    <cellStyle name="Финансовый 36 8 3 5 2" xfId="36259" xr:uid="{56DCF9E6-617A-4674-B7AA-03044CF3E167}"/>
    <cellStyle name="Финансовый 36 8 3 6" xfId="26949" xr:uid="{C9B2151E-1BE7-4C77-BF59-2E08828A4120}"/>
    <cellStyle name="Финансовый 36 8 4" xfId="9850" xr:uid="{00000000-0005-0000-0000-0000394B0000}"/>
    <cellStyle name="Финансовый 36 8 4 2" xfId="12935" xr:uid="{00000000-0005-0000-0000-00003A4B0000}"/>
    <cellStyle name="Финансовый 36 8 4 2 2" xfId="30024" xr:uid="{51265FE6-C16A-4E4C-A44F-3678150D165A}"/>
    <cellStyle name="Финансовый 36 8 4 3" xfId="16167" xr:uid="{00000000-0005-0000-0000-00003B4B0000}"/>
    <cellStyle name="Финансовый 36 8 4 3 2" xfId="33180" xr:uid="{DC479A6C-32FE-4FF4-A493-30B91F4CDDC1}"/>
    <cellStyle name="Финансовый 36 8 4 4" xfId="19248" xr:uid="{00000000-0005-0000-0000-00003C4B0000}"/>
    <cellStyle name="Финансовый 36 8 4 4 2" xfId="36261" xr:uid="{E7669C3E-E509-45F0-A25E-F2A2C9AFEA31}"/>
    <cellStyle name="Финансовый 36 8 4 5" xfId="26951" xr:uid="{FD86877A-3C69-4101-93FA-2895DCF68CD3}"/>
    <cellStyle name="Финансовый 36 8 5" xfId="12928" xr:uid="{00000000-0005-0000-0000-00003D4B0000}"/>
    <cellStyle name="Финансовый 36 8 5 2" xfId="30017" xr:uid="{F3660464-E65C-40B5-B3AB-DB3751350C74}"/>
    <cellStyle name="Финансовый 36 8 6" xfId="16160" xr:uid="{00000000-0005-0000-0000-00003E4B0000}"/>
    <cellStyle name="Финансовый 36 8 6 2" xfId="33173" xr:uid="{712BDC9B-AB8D-489A-8E1B-D10AD95CD79B}"/>
    <cellStyle name="Финансовый 36 8 7" xfId="19241" xr:uid="{00000000-0005-0000-0000-00003F4B0000}"/>
    <cellStyle name="Финансовый 36 8 7 2" xfId="36254" xr:uid="{79F262DF-350B-4F53-9728-A58D6CB0B0E9}"/>
    <cellStyle name="Финансовый 36 8 8" xfId="26944" xr:uid="{C6FEF933-83E3-4123-AA02-26E7DA1E4C56}"/>
    <cellStyle name="Финансовый 36 9" xfId="9851" xr:uid="{00000000-0005-0000-0000-0000404B0000}"/>
    <cellStyle name="Финансовый 36 9 2" xfId="9852" xr:uid="{00000000-0005-0000-0000-0000414B0000}"/>
    <cellStyle name="Финансовый 36 9 2 2" xfId="9853" xr:uid="{00000000-0005-0000-0000-0000424B0000}"/>
    <cellStyle name="Финансовый 36 9 2 2 2" xfId="12938" xr:uid="{00000000-0005-0000-0000-0000434B0000}"/>
    <cellStyle name="Финансовый 36 9 2 2 2 2" xfId="30027" xr:uid="{7F29C1B0-5EE4-48EF-B428-602D16392052}"/>
    <cellStyle name="Финансовый 36 9 2 2 3" xfId="16170" xr:uid="{00000000-0005-0000-0000-0000444B0000}"/>
    <cellStyle name="Финансовый 36 9 2 2 3 2" xfId="33183" xr:uid="{389C796A-94BA-45DA-83E4-28494E28BAAD}"/>
    <cellStyle name="Финансовый 36 9 2 2 4" xfId="19251" xr:uid="{00000000-0005-0000-0000-0000454B0000}"/>
    <cellStyle name="Финансовый 36 9 2 2 4 2" xfId="36264" xr:uid="{31B7EB59-3A38-462B-BECA-D0665CA7D5E7}"/>
    <cellStyle name="Финансовый 36 9 2 2 5" xfId="26954" xr:uid="{2957C430-E726-4AAF-B58F-452922D72AFB}"/>
    <cellStyle name="Финансовый 36 9 2 3" xfId="12937" xr:uid="{00000000-0005-0000-0000-0000464B0000}"/>
    <cellStyle name="Финансовый 36 9 2 3 2" xfId="30026" xr:uid="{6AAB4A36-6C2E-42AB-8497-EE76F76F9C95}"/>
    <cellStyle name="Финансовый 36 9 2 4" xfId="16169" xr:uid="{00000000-0005-0000-0000-0000474B0000}"/>
    <cellStyle name="Финансовый 36 9 2 4 2" xfId="33182" xr:uid="{DEAFCE49-A5BE-4DA7-A8EF-B3941D766717}"/>
    <cellStyle name="Финансовый 36 9 2 5" xfId="19250" xr:uid="{00000000-0005-0000-0000-0000484B0000}"/>
    <cellStyle name="Финансовый 36 9 2 5 2" xfId="36263" xr:uid="{37B38324-6F8A-4EFE-84FE-6E69E50A6143}"/>
    <cellStyle name="Финансовый 36 9 2 6" xfId="26953" xr:uid="{DB8450A8-2541-41A1-ADC5-F96591E93DF8}"/>
    <cellStyle name="Финансовый 36 9 3" xfId="9854" xr:uid="{00000000-0005-0000-0000-0000494B0000}"/>
    <cellStyle name="Финансовый 36 9 3 2" xfId="12939" xr:uid="{00000000-0005-0000-0000-00004A4B0000}"/>
    <cellStyle name="Финансовый 36 9 3 2 2" xfId="30028" xr:uid="{EA4940CC-2CE8-4FEB-A6B1-A264216375B0}"/>
    <cellStyle name="Финансовый 36 9 3 3" xfId="16171" xr:uid="{00000000-0005-0000-0000-00004B4B0000}"/>
    <cellStyle name="Финансовый 36 9 3 3 2" xfId="33184" xr:uid="{4C4B94D6-04E7-4B54-AAF8-CB2326307C17}"/>
    <cellStyle name="Финансовый 36 9 3 4" xfId="19252" xr:uid="{00000000-0005-0000-0000-00004C4B0000}"/>
    <cellStyle name="Финансовый 36 9 3 4 2" xfId="36265" xr:uid="{58B3667F-C0A7-4ADE-BC77-1E1E0C5485FC}"/>
    <cellStyle name="Финансовый 36 9 3 5" xfId="26955" xr:uid="{7B4B8707-3CA9-4E50-9861-94AC15AF6633}"/>
    <cellStyle name="Финансовый 36 9 4" xfId="12936" xr:uid="{00000000-0005-0000-0000-00004D4B0000}"/>
    <cellStyle name="Финансовый 36 9 4 2" xfId="30025" xr:uid="{78769A43-3536-4F1F-B4D9-C759998F14C0}"/>
    <cellStyle name="Финансовый 36 9 5" xfId="16168" xr:uid="{00000000-0005-0000-0000-00004E4B0000}"/>
    <cellStyle name="Финансовый 36 9 5 2" xfId="33181" xr:uid="{067BD29C-2FCF-41B9-8B83-839614144213}"/>
    <cellStyle name="Финансовый 36 9 6" xfId="19249" xr:uid="{00000000-0005-0000-0000-00004F4B0000}"/>
    <cellStyle name="Финансовый 36 9 6 2" xfId="36262" xr:uid="{59209A7B-3583-4D36-96F5-0D2713298251}"/>
    <cellStyle name="Финансовый 36 9 7" xfId="26952" xr:uid="{235B7129-3E27-4DBA-A0E6-5AC69E3534FC}"/>
    <cellStyle name="Финансовый 37" xfId="9855" xr:uid="{00000000-0005-0000-0000-0000504B0000}"/>
    <cellStyle name="Финансовый 37 10" xfId="9856" xr:uid="{00000000-0005-0000-0000-0000514B0000}"/>
    <cellStyle name="Финансовый 37 10 2" xfId="9857" xr:uid="{00000000-0005-0000-0000-0000524B0000}"/>
    <cellStyle name="Финансовый 37 10 2 2" xfId="12942" xr:uid="{00000000-0005-0000-0000-0000534B0000}"/>
    <cellStyle name="Финансовый 37 10 2 2 2" xfId="30031" xr:uid="{724B2F10-BE2C-4625-83C8-5D286F920B99}"/>
    <cellStyle name="Финансовый 37 10 2 3" xfId="16174" xr:uid="{00000000-0005-0000-0000-0000544B0000}"/>
    <cellStyle name="Финансовый 37 10 2 3 2" xfId="33187" xr:uid="{3084E0B6-42E1-4BB3-ABFC-1ED59887340B}"/>
    <cellStyle name="Финансовый 37 10 2 4" xfId="19255" xr:uid="{00000000-0005-0000-0000-0000554B0000}"/>
    <cellStyle name="Финансовый 37 10 2 4 2" xfId="36268" xr:uid="{6049697D-61E8-4702-904E-3F4C433F6D7D}"/>
    <cellStyle name="Финансовый 37 10 2 5" xfId="26958" xr:uid="{2466BB75-24CA-48BF-8168-43F966F39586}"/>
    <cellStyle name="Финансовый 37 10 3" xfId="12941" xr:uid="{00000000-0005-0000-0000-0000564B0000}"/>
    <cellStyle name="Финансовый 37 10 3 2" xfId="30030" xr:uid="{EAF07A17-D9DD-43FD-9446-3E9A4C461162}"/>
    <cellStyle name="Финансовый 37 10 4" xfId="16173" xr:uid="{00000000-0005-0000-0000-0000574B0000}"/>
    <cellStyle name="Финансовый 37 10 4 2" xfId="33186" xr:uid="{897B6C6D-2B65-4B13-B99B-986F295D219C}"/>
    <cellStyle name="Финансовый 37 10 5" xfId="19254" xr:uid="{00000000-0005-0000-0000-0000584B0000}"/>
    <cellStyle name="Финансовый 37 10 5 2" xfId="36267" xr:uid="{D8727BFE-979B-4F48-B7B1-2738A90AEABE}"/>
    <cellStyle name="Финансовый 37 10 6" xfId="26957" xr:uid="{E1279613-9303-4A71-8292-77B5DF5002FC}"/>
    <cellStyle name="Финансовый 37 11" xfId="9858" xr:uid="{00000000-0005-0000-0000-0000594B0000}"/>
    <cellStyle name="Финансовый 37 11 2" xfId="12943" xr:uid="{00000000-0005-0000-0000-00005A4B0000}"/>
    <cellStyle name="Финансовый 37 11 2 2" xfId="30032" xr:uid="{692B2C5F-F025-41D7-9891-BFB11BCF98E0}"/>
    <cellStyle name="Финансовый 37 11 3" xfId="16175" xr:uid="{00000000-0005-0000-0000-00005B4B0000}"/>
    <cellStyle name="Финансовый 37 11 3 2" xfId="33188" xr:uid="{634BEB71-E996-4220-A5B0-94AD26AE3E15}"/>
    <cellStyle name="Финансовый 37 11 4" xfId="19256" xr:uid="{00000000-0005-0000-0000-00005C4B0000}"/>
    <cellStyle name="Финансовый 37 11 4 2" xfId="36269" xr:uid="{3837DADE-A94A-43C4-8B4E-6E4487A38E69}"/>
    <cellStyle name="Финансовый 37 11 5" xfId="26959" xr:uid="{E4B02D44-8CD1-4513-9376-BDF160447C16}"/>
    <cellStyle name="Финансовый 37 12" xfId="12940" xr:uid="{00000000-0005-0000-0000-00005D4B0000}"/>
    <cellStyle name="Финансовый 37 12 2" xfId="30029" xr:uid="{26452540-BE28-4D34-B1EF-7F45DBE7BD16}"/>
    <cellStyle name="Финансовый 37 13" xfId="16172" xr:uid="{00000000-0005-0000-0000-00005E4B0000}"/>
    <cellStyle name="Финансовый 37 13 2" xfId="33185" xr:uid="{E91758E5-1898-4D44-8935-4DC0804721E1}"/>
    <cellStyle name="Финансовый 37 14" xfId="19253" xr:uid="{00000000-0005-0000-0000-00005F4B0000}"/>
    <cellStyle name="Финансовый 37 14 2" xfId="36266" xr:uid="{923CEAE3-E032-4872-A61E-C5BC5EAE3C7A}"/>
    <cellStyle name="Финансовый 37 15" xfId="26956" xr:uid="{952A9162-369E-418D-9A48-592CE3B6B7C6}"/>
    <cellStyle name="Финансовый 37 2" xfId="9859" xr:uid="{00000000-0005-0000-0000-0000604B0000}"/>
    <cellStyle name="Финансовый 37 2 10" xfId="9860" xr:uid="{00000000-0005-0000-0000-0000614B0000}"/>
    <cellStyle name="Финансовый 37 2 10 2" xfId="12945" xr:uid="{00000000-0005-0000-0000-0000624B0000}"/>
    <cellStyle name="Финансовый 37 2 10 2 2" xfId="30034" xr:uid="{424C92B1-7CE7-46A2-8EF7-E215C0A6266B}"/>
    <cellStyle name="Финансовый 37 2 10 3" xfId="16177" xr:uid="{00000000-0005-0000-0000-0000634B0000}"/>
    <cellStyle name="Финансовый 37 2 10 3 2" xfId="33190" xr:uid="{95B8D685-E830-489E-AE0E-37A2ACD3D62B}"/>
    <cellStyle name="Финансовый 37 2 10 4" xfId="19258" xr:uid="{00000000-0005-0000-0000-0000644B0000}"/>
    <cellStyle name="Финансовый 37 2 10 4 2" xfId="36271" xr:uid="{B8071C82-7FC0-4CB3-98A9-F97FE1FBBB88}"/>
    <cellStyle name="Финансовый 37 2 10 5" xfId="26961" xr:uid="{C8879012-28F6-4F93-91C2-A1697A0323A6}"/>
    <cellStyle name="Финансовый 37 2 11" xfId="12944" xr:uid="{00000000-0005-0000-0000-0000654B0000}"/>
    <cellStyle name="Финансовый 37 2 11 2" xfId="30033" xr:uid="{BF4D7BED-F055-453B-A16C-9FF4C2172627}"/>
    <cellStyle name="Финансовый 37 2 12" xfId="16176" xr:uid="{00000000-0005-0000-0000-0000664B0000}"/>
    <cellStyle name="Финансовый 37 2 12 2" xfId="33189" xr:uid="{231BB7BE-E56A-45BC-A5DD-717BE6D1F75C}"/>
    <cellStyle name="Финансовый 37 2 13" xfId="19257" xr:uid="{00000000-0005-0000-0000-0000674B0000}"/>
    <cellStyle name="Финансовый 37 2 13 2" xfId="36270" xr:uid="{8700A22E-8FCC-4311-9A1A-125D586888DF}"/>
    <cellStyle name="Финансовый 37 2 14" xfId="26960" xr:uid="{8C4B00BE-55A6-4487-B2DE-352EB0C5113E}"/>
    <cellStyle name="Финансовый 37 2 2" xfId="9861" xr:uid="{00000000-0005-0000-0000-0000684B0000}"/>
    <cellStyle name="Финансовый 37 2 2 10" xfId="12946" xr:uid="{00000000-0005-0000-0000-0000694B0000}"/>
    <cellStyle name="Финансовый 37 2 2 10 2" xfId="30035" xr:uid="{80D01167-9C71-4137-8502-4979C1AA756E}"/>
    <cellStyle name="Финансовый 37 2 2 11" xfId="16178" xr:uid="{00000000-0005-0000-0000-00006A4B0000}"/>
    <cellStyle name="Финансовый 37 2 2 11 2" xfId="33191" xr:uid="{B01A225A-02DA-4C9B-B8AA-AD2EA39AD2E2}"/>
    <cellStyle name="Финансовый 37 2 2 12" xfId="19259" xr:uid="{00000000-0005-0000-0000-00006B4B0000}"/>
    <cellStyle name="Финансовый 37 2 2 12 2" xfId="36272" xr:uid="{B689D97E-5591-426B-82F7-E0F6969F9476}"/>
    <cellStyle name="Финансовый 37 2 2 13" xfId="26962" xr:uid="{B9524C31-417F-4B34-AAA5-C7F305BE9502}"/>
    <cellStyle name="Финансовый 37 2 2 2" xfId="9862" xr:uid="{00000000-0005-0000-0000-00006C4B0000}"/>
    <cellStyle name="Финансовый 37 2 2 2 10" xfId="16179" xr:uid="{00000000-0005-0000-0000-00006D4B0000}"/>
    <cellStyle name="Финансовый 37 2 2 2 10 2" xfId="33192" xr:uid="{3560D232-51A2-438B-A49C-E8CDDFCFC352}"/>
    <cellStyle name="Финансовый 37 2 2 2 11" xfId="19260" xr:uid="{00000000-0005-0000-0000-00006E4B0000}"/>
    <cellStyle name="Финансовый 37 2 2 2 11 2" xfId="36273" xr:uid="{87F9EE51-6AE1-495A-81FC-66B101143B2A}"/>
    <cellStyle name="Финансовый 37 2 2 2 12" xfId="26963" xr:uid="{DD7EF3E9-5832-4DE6-9211-022C84A42622}"/>
    <cellStyle name="Финансовый 37 2 2 2 2" xfId="9863" xr:uid="{00000000-0005-0000-0000-00006F4B0000}"/>
    <cellStyle name="Финансовый 37 2 2 2 2 10" xfId="19261" xr:uid="{00000000-0005-0000-0000-0000704B0000}"/>
    <cellStyle name="Финансовый 37 2 2 2 2 10 2" xfId="36274" xr:uid="{09470573-ACA8-4FC6-A8AA-8884F95C3B4F}"/>
    <cellStyle name="Финансовый 37 2 2 2 2 11" xfId="26964" xr:uid="{7423B4AD-42AA-443A-838D-34146546ABEE}"/>
    <cellStyle name="Финансовый 37 2 2 2 2 2" xfId="9864" xr:uid="{00000000-0005-0000-0000-0000714B0000}"/>
    <cellStyle name="Финансовый 37 2 2 2 2 2 10" xfId="26965" xr:uid="{39FC86B6-0035-46D9-9B6C-9F87B7C943FC}"/>
    <cellStyle name="Финансовый 37 2 2 2 2 2 2" xfId="9865" xr:uid="{00000000-0005-0000-0000-0000724B0000}"/>
    <cellStyle name="Финансовый 37 2 2 2 2 2 2 2" xfId="9866" xr:uid="{00000000-0005-0000-0000-0000734B0000}"/>
    <cellStyle name="Финансовый 37 2 2 2 2 2 2 2 2" xfId="9867" xr:uid="{00000000-0005-0000-0000-0000744B0000}"/>
    <cellStyle name="Финансовый 37 2 2 2 2 2 2 2 2 2" xfId="9868" xr:uid="{00000000-0005-0000-0000-0000754B0000}"/>
    <cellStyle name="Финансовый 37 2 2 2 2 2 2 2 2 2 2" xfId="9869" xr:uid="{00000000-0005-0000-0000-0000764B0000}"/>
    <cellStyle name="Финансовый 37 2 2 2 2 2 2 2 2 2 2 2" xfId="12954" xr:uid="{00000000-0005-0000-0000-0000774B0000}"/>
    <cellStyle name="Финансовый 37 2 2 2 2 2 2 2 2 2 2 2 2" xfId="30043" xr:uid="{5A036A65-06E9-4C15-8198-29C9FD4872C4}"/>
    <cellStyle name="Финансовый 37 2 2 2 2 2 2 2 2 2 2 3" xfId="16186" xr:uid="{00000000-0005-0000-0000-0000784B0000}"/>
    <cellStyle name="Финансовый 37 2 2 2 2 2 2 2 2 2 2 3 2" xfId="33199" xr:uid="{FA76A006-92C0-42BA-B8DB-E01D6B66D7FB}"/>
    <cellStyle name="Финансовый 37 2 2 2 2 2 2 2 2 2 2 4" xfId="19267" xr:uid="{00000000-0005-0000-0000-0000794B0000}"/>
    <cellStyle name="Финансовый 37 2 2 2 2 2 2 2 2 2 2 4 2" xfId="36280" xr:uid="{07C0C914-6907-4315-9279-D83EE6FE504E}"/>
    <cellStyle name="Финансовый 37 2 2 2 2 2 2 2 2 2 2 5" xfId="26970" xr:uid="{FA731F9A-8B08-4042-9077-47204D89AF64}"/>
    <cellStyle name="Финансовый 37 2 2 2 2 2 2 2 2 2 3" xfId="12953" xr:uid="{00000000-0005-0000-0000-00007A4B0000}"/>
    <cellStyle name="Финансовый 37 2 2 2 2 2 2 2 2 2 3 2" xfId="30042" xr:uid="{F4B7D347-2DDE-4F64-BEA6-E4620100E0ED}"/>
    <cellStyle name="Финансовый 37 2 2 2 2 2 2 2 2 2 4" xfId="16185" xr:uid="{00000000-0005-0000-0000-00007B4B0000}"/>
    <cellStyle name="Финансовый 37 2 2 2 2 2 2 2 2 2 4 2" xfId="33198" xr:uid="{E84A72A3-A52D-438F-A911-BC2B6839B30E}"/>
    <cellStyle name="Финансовый 37 2 2 2 2 2 2 2 2 2 5" xfId="19266" xr:uid="{00000000-0005-0000-0000-00007C4B0000}"/>
    <cellStyle name="Финансовый 37 2 2 2 2 2 2 2 2 2 5 2" xfId="36279" xr:uid="{253E83CD-FA9F-4FD8-B21A-6D31853C75E0}"/>
    <cellStyle name="Финансовый 37 2 2 2 2 2 2 2 2 2 6" xfId="26969" xr:uid="{96BD2C61-CD5F-4B3D-A2EC-C12458C37DA8}"/>
    <cellStyle name="Финансовый 37 2 2 2 2 2 2 2 2 3" xfId="9870" xr:uid="{00000000-0005-0000-0000-00007D4B0000}"/>
    <cellStyle name="Финансовый 37 2 2 2 2 2 2 2 2 3 2" xfId="12955" xr:uid="{00000000-0005-0000-0000-00007E4B0000}"/>
    <cellStyle name="Финансовый 37 2 2 2 2 2 2 2 2 3 2 2" xfId="30044" xr:uid="{755233F7-4E67-46A7-BC94-50984BD3DC24}"/>
    <cellStyle name="Финансовый 37 2 2 2 2 2 2 2 2 3 3" xfId="16187" xr:uid="{00000000-0005-0000-0000-00007F4B0000}"/>
    <cellStyle name="Финансовый 37 2 2 2 2 2 2 2 2 3 3 2" xfId="33200" xr:uid="{BB24E421-B686-413C-8BDC-61AF4359720F}"/>
    <cellStyle name="Финансовый 37 2 2 2 2 2 2 2 2 3 4" xfId="19268" xr:uid="{00000000-0005-0000-0000-0000804B0000}"/>
    <cellStyle name="Финансовый 37 2 2 2 2 2 2 2 2 3 4 2" xfId="36281" xr:uid="{2AF4080D-5D1D-4435-ADB9-D9C39CFD314B}"/>
    <cellStyle name="Финансовый 37 2 2 2 2 2 2 2 2 3 5" xfId="26971" xr:uid="{9D836400-A622-4382-9FB6-FECBF69106CF}"/>
    <cellStyle name="Финансовый 37 2 2 2 2 2 2 2 2 4" xfId="12952" xr:uid="{00000000-0005-0000-0000-0000814B0000}"/>
    <cellStyle name="Финансовый 37 2 2 2 2 2 2 2 2 4 2" xfId="30041" xr:uid="{CB115FC9-50ED-4776-B824-CA0D0E6F7770}"/>
    <cellStyle name="Финансовый 37 2 2 2 2 2 2 2 2 5" xfId="16184" xr:uid="{00000000-0005-0000-0000-0000824B0000}"/>
    <cellStyle name="Финансовый 37 2 2 2 2 2 2 2 2 5 2" xfId="33197" xr:uid="{DF0A7D9E-00AA-48A0-A78D-64B6A45356AC}"/>
    <cellStyle name="Финансовый 37 2 2 2 2 2 2 2 2 6" xfId="19265" xr:uid="{00000000-0005-0000-0000-0000834B0000}"/>
    <cellStyle name="Финансовый 37 2 2 2 2 2 2 2 2 6 2" xfId="36278" xr:uid="{9E424C3C-35C9-4A48-9852-E041FA87C581}"/>
    <cellStyle name="Финансовый 37 2 2 2 2 2 2 2 2 7" xfId="26968" xr:uid="{7C0F5420-6623-411D-9F9F-15047401F955}"/>
    <cellStyle name="Финансовый 37 2 2 2 2 2 2 2 3" xfId="9871" xr:uid="{00000000-0005-0000-0000-0000844B0000}"/>
    <cellStyle name="Финансовый 37 2 2 2 2 2 2 2 3 2" xfId="9872" xr:uid="{00000000-0005-0000-0000-0000854B0000}"/>
    <cellStyle name="Финансовый 37 2 2 2 2 2 2 2 3 2 2" xfId="12957" xr:uid="{00000000-0005-0000-0000-0000864B0000}"/>
    <cellStyle name="Финансовый 37 2 2 2 2 2 2 2 3 2 2 2" xfId="30046" xr:uid="{BE51ADFA-E76F-4836-8AAE-781A3D3B5539}"/>
    <cellStyle name="Финансовый 37 2 2 2 2 2 2 2 3 2 3" xfId="16189" xr:uid="{00000000-0005-0000-0000-0000874B0000}"/>
    <cellStyle name="Финансовый 37 2 2 2 2 2 2 2 3 2 3 2" xfId="33202" xr:uid="{6384C037-2C17-4151-9BC7-5FF836EE089B}"/>
    <cellStyle name="Финансовый 37 2 2 2 2 2 2 2 3 2 4" xfId="19270" xr:uid="{00000000-0005-0000-0000-0000884B0000}"/>
    <cellStyle name="Финансовый 37 2 2 2 2 2 2 2 3 2 4 2" xfId="36283" xr:uid="{5B276642-0692-4E0C-A604-DDA128CD7830}"/>
    <cellStyle name="Финансовый 37 2 2 2 2 2 2 2 3 2 5" xfId="26973" xr:uid="{DF18A38D-2E5A-4325-96D2-315FE3AB039F}"/>
    <cellStyle name="Финансовый 37 2 2 2 2 2 2 2 3 3" xfId="12956" xr:uid="{00000000-0005-0000-0000-0000894B0000}"/>
    <cellStyle name="Финансовый 37 2 2 2 2 2 2 2 3 3 2" xfId="30045" xr:uid="{7CC823F7-9E2D-4760-A592-FF582C404661}"/>
    <cellStyle name="Финансовый 37 2 2 2 2 2 2 2 3 4" xfId="16188" xr:uid="{00000000-0005-0000-0000-00008A4B0000}"/>
    <cellStyle name="Финансовый 37 2 2 2 2 2 2 2 3 4 2" xfId="33201" xr:uid="{C75A273D-BE74-4912-9626-2AD4244C8C92}"/>
    <cellStyle name="Финансовый 37 2 2 2 2 2 2 2 3 5" xfId="19269" xr:uid="{00000000-0005-0000-0000-00008B4B0000}"/>
    <cellStyle name="Финансовый 37 2 2 2 2 2 2 2 3 5 2" xfId="36282" xr:uid="{8D7A3021-47D1-46F4-B7AE-DC8D5E17A62D}"/>
    <cellStyle name="Финансовый 37 2 2 2 2 2 2 2 3 6" xfId="26972" xr:uid="{2F3E3FA0-A5FC-4DA2-B8EF-06CC6545CBC3}"/>
    <cellStyle name="Финансовый 37 2 2 2 2 2 2 2 4" xfId="9873" xr:uid="{00000000-0005-0000-0000-00008C4B0000}"/>
    <cellStyle name="Финансовый 37 2 2 2 2 2 2 2 4 2" xfId="12958" xr:uid="{00000000-0005-0000-0000-00008D4B0000}"/>
    <cellStyle name="Финансовый 37 2 2 2 2 2 2 2 4 2 2" xfId="30047" xr:uid="{40484ECC-2C62-4542-A7F2-0A9EC5813FCB}"/>
    <cellStyle name="Финансовый 37 2 2 2 2 2 2 2 4 3" xfId="16190" xr:uid="{00000000-0005-0000-0000-00008E4B0000}"/>
    <cellStyle name="Финансовый 37 2 2 2 2 2 2 2 4 3 2" xfId="33203" xr:uid="{1037089A-9B47-4F3A-877F-D2D7FB6B1DEF}"/>
    <cellStyle name="Финансовый 37 2 2 2 2 2 2 2 4 4" xfId="19271" xr:uid="{00000000-0005-0000-0000-00008F4B0000}"/>
    <cellStyle name="Финансовый 37 2 2 2 2 2 2 2 4 4 2" xfId="36284" xr:uid="{10B745A2-225E-4815-9196-D49A82D1EB43}"/>
    <cellStyle name="Финансовый 37 2 2 2 2 2 2 2 4 5" xfId="26974" xr:uid="{5AEB6CD8-8E6B-4649-95A8-DF785EA61413}"/>
    <cellStyle name="Финансовый 37 2 2 2 2 2 2 2 5" xfId="12951" xr:uid="{00000000-0005-0000-0000-0000904B0000}"/>
    <cellStyle name="Финансовый 37 2 2 2 2 2 2 2 5 2" xfId="30040" xr:uid="{736B867D-3958-44DC-B1B7-9BBAD92F70F7}"/>
    <cellStyle name="Финансовый 37 2 2 2 2 2 2 2 6" xfId="16183" xr:uid="{00000000-0005-0000-0000-0000914B0000}"/>
    <cellStyle name="Финансовый 37 2 2 2 2 2 2 2 6 2" xfId="33196" xr:uid="{D5AD1371-917E-4EC9-9AA4-0B9C90DAE72B}"/>
    <cellStyle name="Финансовый 37 2 2 2 2 2 2 2 7" xfId="19264" xr:uid="{00000000-0005-0000-0000-0000924B0000}"/>
    <cellStyle name="Финансовый 37 2 2 2 2 2 2 2 7 2" xfId="36277" xr:uid="{D934B45D-C88E-4FA8-B689-42860F1D905D}"/>
    <cellStyle name="Финансовый 37 2 2 2 2 2 2 2 8" xfId="26967" xr:uid="{8C3F745C-5E37-4E2E-AF88-1940A87F68C1}"/>
    <cellStyle name="Финансовый 37 2 2 2 2 2 2 3" xfId="9874" xr:uid="{00000000-0005-0000-0000-0000934B0000}"/>
    <cellStyle name="Финансовый 37 2 2 2 2 2 2 3 2" xfId="9875" xr:uid="{00000000-0005-0000-0000-0000944B0000}"/>
    <cellStyle name="Финансовый 37 2 2 2 2 2 2 3 2 2" xfId="9876" xr:uid="{00000000-0005-0000-0000-0000954B0000}"/>
    <cellStyle name="Финансовый 37 2 2 2 2 2 2 3 2 2 2" xfId="12961" xr:uid="{00000000-0005-0000-0000-0000964B0000}"/>
    <cellStyle name="Финансовый 37 2 2 2 2 2 2 3 2 2 2 2" xfId="30050" xr:uid="{A52832EE-4C6F-4E32-A229-CFCAF9A7DBC0}"/>
    <cellStyle name="Финансовый 37 2 2 2 2 2 2 3 2 2 3" xfId="16193" xr:uid="{00000000-0005-0000-0000-0000974B0000}"/>
    <cellStyle name="Финансовый 37 2 2 2 2 2 2 3 2 2 3 2" xfId="33206" xr:uid="{9FDDD9A8-261F-4523-9B78-4C01425B61EA}"/>
    <cellStyle name="Финансовый 37 2 2 2 2 2 2 3 2 2 4" xfId="19274" xr:uid="{00000000-0005-0000-0000-0000984B0000}"/>
    <cellStyle name="Финансовый 37 2 2 2 2 2 2 3 2 2 4 2" xfId="36287" xr:uid="{423ECD35-FFBE-48C5-B2B0-03FFDB704095}"/>
    <cellStyle name="Финансовый 37 2 2 2 2 2 2 3 2 2 5" xfId="26977" xr:uid="{9399BB7B-DF68-4555-A9F7-2BCBB215C945}"/>
    <cellStyle name="Финансовый 37 2 2 2 2 2 2 3 2 3" xfId="12960" xr:uid="{00000000-0005-0000-0000-0000994B0000}"/>
    <cellStyle name="Финансовый 37 2 2 2 2 2 2 3 2 3 2" xfId="30049" xr:uid="{DB18164B-9028-47DD-8452-17AC876B31BC}"/>
    <cellStyle name="Финансовый 37 2 2 2 2 2 2 3 2 4" xfId="16192" xr:uid="{00000000-0005-0000-0000-00009A4B0000}"/>
    <cellStyle name="Финансовый 37 2 2 2 2 2 2 3 2 4 2" xfId="33205" xr:uid="{15955146-6ED2-4D89-B07C-3604E7A8A443}"/>
    <cellStyle name="Финансовый 37 2 2 2 2 2 2 3 2 5" xfId="19273" xr:uid="{00000000-0005-0000-0000-00009B4B0000}"/>
    <cellStyle name="Финансовый 37 2 2 2 2 2 2 3 2 5 2" xfId="36286" xr:uid="{23448EE0-2196-47B1-8376-C873B5A5AC0B}"/>
    <cellStyle name="Финансовый 37 2 2 2 2 2 2 3 2 6" xfId="26976" xr:uid="{A0F83B5E-49E1-48C1-9215-744079A3A264}"/>
    <cellStyle name="Финансовый 37 2 2 2 2 2 2 3 3" xfId="9877" xr:uid="{00000000-0005-0000-0000-00009C4B0000}"/>
    <cellStyle name="Финансовый 37 2 2 2 2 2 2 3 3 2" xfId="12962" xr:uid="{00000000-0005-0000-0000-00009D4B0000}"/>
    <cellStyle name="Финансовый 37 2 2 2 2 2 2 3 3 2 2" xfId="30051" xr:uid="{FC0A6B79-388F-4995-B6AE-222DD3DEC7A6}"/>
    <cellStyle name="Финансовый 37 2 2 2 2 2 2 3 3 3" xfId="16194" xr:uid="{00000000-0005-0000-0000-00009E4B0000}"/>
    <cellStyle name="Финансовый 37 2 2 2 2 2 2 3 3 3 2" xfId="33207" xr:uid="{34A292AA-4D43-4CAD-A3C4-B258DE2DE1A0}"/>
    <cellStyle name="Финансовый 37 2 2 2 2 2 2 3 3 4" xfId="19275" xr:uid="{00000000-0005-0000-0000-00009F4B0000}"/>
    <cellStyle name="Финансовый 37 2 2 2 2 2 2 3 3 4 2" xfId="36288" xr:uid="{BBA11F90-9763-482F-BA46-20E21534269D}"/>
    <cellStyle name="Финансовый 37 2 2 2 2 2 2 3 3 5" xfId="26978" xr:uid="{E89031BA-DA43-48EB-884C-5908B2C709E6}"/>
    <cellStyle name="Финансовый 37 2 2 2 2 2 2 3 4" xfId="12959" xr:uid="{00000000-0005-0000-0000-0000A04B0000}"/>
    <cellStyle name="Финансовый 37 2 2 2 2 2 2 3 4 2" xfId="30048" xr:uid="{444FD827-F35C-4F1C-838F-0E54B99E9ADC}"/>
    <cellStyle name="Финансовый 37 2 2 2 2 2 2 3 5" xfId="16191" xr:uid="{00000000-0005-0000-0000-0000A14B0000}"/>
    <cellStyle name="Финансовый 37 2 2 2 2 2 2 3 5 2" xfId="33204" xr:uid="{87977C6F-B75E-4EEE-8148-531FEB830AA6}"/>
    <cellStyle name="Финансовый 37 2 2 2 2 2 2 3 6" xfId="19272" xr:uid="{00000000-0005-0000-0000-0000A24B0000}"/>
    <cellStyle name="Финансовый 37 2 2 2 2 2 2 3 6 2" xfId="36285" xr:uid="{37504FD1-132F-4E43-AC70-8F610D101C1E}"/>
    <cellStyle name="Финансовый 37 2 2 2 2 2 2 3 7" xfId="26975" xr:uid="{C3CE30D6-133E-437C-8D2C-485A57FB9113}"/>
    <cellStyle name="Финансовый 37 2 2 2 2 2 2 4" xfId="9878" xr:uid="{00000000-0005-0000-0000-0000A34B0000}"/>
    <cellStyle name="Финансовый 37 2 2 2 2 2 2 4 2" xfId="9879" xr:uid="{00000000-0005-0000-0000-0000A44B0000}"/>
    <cellStyle name="Финансовый 37 2 2 2 2 2 2 4 2 2" xfId="12964" xr:uid="{00000000-0005-0000-0000-0000A54B0000}"/>
    <cellStyle name="Финансовый 37 2 2 2 2 2 2 4 2 2 2" xfId="30053" xr:uid="{ACB6C2C8-37D0-4555-8866-B743051875D4}"/>
    <cellStyle name="Финансовый 37 2 2 2 2 2 2 4 2 3" xfId="16196" xr:uid="{00000000-0005-0000-0000-0000A64B0000}"/>
    <cellStyle name="Финансовый 37 2 2 2 2 2 2 4 2 3 2" xfId="33209" xr:uid="{B90A9395-E28E-4514-AD65-BCF6A37C1190}"/>
    <cellStyle name="Финансовый 37 2 2 2 2 2 2 4 2 4" xfId="19277" xr:uid="{00000000-0005-0000-0000-0000A74B0000}"/>
    <cellStyle name="Финансовый 37 2 2 2 2 2 2 4 2 4 2" xfId="36290" xr:uid="{20448587-2035-4CE7-BAC6-EC9836DA3BF8}"/>
    <cellStyle name="Финансовый 37 2 2 2 2 2 2 4 2 5" xfId="26980" xr:uid="{79B1B92B-B2A6-42FF-B252-617C20851906}"/>
    <cellStyle name="Финансовый 37 2 2 2 2 2 2 4 3" xfId="12963" xr:uid="{00000000-0005-0000-0000-0000A84B0000}"/>
    <cellStyle name="Финансовый 37 2 2 2 2 2 2 4 3 2" xfId="30052" xr:uid="{416E7C20-3A21-4EC1-88DE-23D86CCDD82B}"/>
    <cellStyle name="Финансовый 37 2 2 2 2 2 2 4 4" xfId="16195" xr:uid="{00000000-0005-0000-0000-0000A94B0000}"/>
    <cellStyle name="Финансовый 37 2 2 2 2 2 2 4 4 2" xfId="33208" xr:uid="{33E096DD-B5CA-42CC-AB4E-C993B73F3198}"/>
    <cellStyle name="Финансовый 37 2 2 2 2 2 2 4 5" xfId="19276" xr:uid="{00000000-0005-0000-0000-0000AA4B0000}"/>
    <cellStyle name="Финансовый 37 2 2 2 2 2 2 4 5 2" xfId="36289" xr:uid="{8F53A8DF-3E39-40F9-8A04-8A04843753DB}"/>
    <cellStyle name="Финансовый 37 2 2 2 2 2 2 4 6" xfId="26979" xr:uid="{93863BB9-EC96-4409-9548-EBDF25C237C3}"/>
    <cellStyle name="Финансовый 37 2 2 2 2 2 2 5" xfId="9880" xr:uid="{00000000-0005-0000-0000-0000AB4B0000}"/>
    <cellStyle name="Финансовый 37 2 2 2 2 2 2 5 2" xfId="12965" xr:uid="{00000000-0005-0000-0000-0000AC4B0000}"/>
    <cellStyle name="Финансовый 37 2 2 2 2 2 2 5 2 2" xfId="30054" xr:uid="{E403ED0D-B88E-40DD-9542-70E89AF67011}"/>
    <cellStyle name="Финансовый 37 2 2 2 2 2 2 5 3" xfId="16197" xr:uid="{00000000-0005-0000-0000-0000AD4B0000}"/>
    <cellStyle name="Финансовый 37 2 2 2 2 2 2 5 3 2" xfId="33210" xr:uid="{042DA6E7-17D1-4215-A019-71814B0E5005}"/>
    <cellStyle name="Финансовый 37 2 2 2 2 2 2 5 4" xfId="19278" xr:uid="{00000000-0005-0000-0000-0000AE4B0000}"/>
    <cellStyle name="Финансовый 37 2 2 2 2 2 2 5 4 2" xfId="36291" xr:uid="{CCC0D4C9-7481-47E4-A01D-12504C06DB80}"/>
    <cellStyle name="Финансовый 37 2 2 2 2 2 2 5 5" xfId="26981" xr:uid="{D68FFA27-8A36-4F92-86D4-458849E0375C}"/>
    <cellStyle name="Финансовый 37 2 2 2 2 2 2 6" xfId="12950" xr:uid="{00000000-0005-0000-0000-0000AF4B0000}"/>
    <cellStyle name="Финансовый 37 2 2 2 2 2 2 6 2" xfId="30039" xr:uid="{0865F133-8344-4B90-8A3A-350D714D61F6}"/>
    <cellStyle name="Финансовый 37 2 2 2 2 2 2 7" xfId="16182" xr:uid="{00000000-0005-0000-0000-0000B04B0000}"/>
    <cellStyle name="Финансовый 37 2 2 2 2 2 2 7 2" xfId="33195" xr:uid="{13F582F5-0490-4944-A56A-20C80CF18D59}"/>
    <cellStyle name="Финансовый 37 2 2 2 2 2 2 8" xfId="19263" xr:uid="{00000000-0005-0000-0000-0000B14B0000}"/>
    <cellStyle name="Финансовый 37 2 2 2 2 2 2 8 2" xfId="36276" xr:uid="{E6D08EDD-A4E0-421A-806C-9D9E58DB4B8D}"/>
    <cellStyle name="Финансовый 37 2 2 2 2 2 2 9" xfId="26966" xr:uid="{F23CB2D5-CB4D-407E-A08E-784EDD3A50C0}"/>
    <cellStyle name="Финансовый 37 2 2 2 2 2 3" xfId="9881" xr:uid="{00000000-0005-0000-0000-0000B24B0000}"/>
    <cellStyle name="Финансовый 37 2 2 2 2 2 3 2" xfId="9882" xr:uid="{00000000-0005-0000-0000-0000B34B0000}"/>
    <cellStyle name="Финансовый 37 2 2 2 2 2 3 2 2" xfId="9883" xr:uid="{00000000-0005-0000-0000-0000B44B0000}"/>
    <cellStyle name="Финансовый 37 2 2 2 2 2 3 2 2 2" xfId="9884" xr:uid="{00000000-0005-0000-0000-0000B54B0000}"/>
    <cellStyle name="Финансовый 37 2 2 2 2 2 3 2 2 2 2" xfId="12969" xr:uid="{00000000-0005-0000-0000-0000B64B0000}"/>
    <cellStyle name="Финансовый 37 2 2 2 2 2 3 2 2 2 2 2" xfId="30058" xr:uid="{6BD13830-A87B-4DE7-86DF-50D767A7E1D4}"/>
    <cellStyle name="Финансовый 37 2 2 2 2 2 3 2 2 2 3" xfId="16201" xr:uid="{00000000-0005-0000-0000-0000B74B0000}"/>
    <cellStyle name="Финансовый 37 2 2 2 2 2 3 2 2 2 3 2" xfId="33214" xr:uid="{686BD5C5-7CC0-41DC-A351-5BFAC00E72B9}"/>
    <cellStyle name="Финансовый 37 2 2 2 2 2 3 2 2 2 4" xfId="19282" xr:uid="{00000000-0005-0000-0000-0000B84B0000}"/>
    <cellStyle name="Финансовый 37 2 2 2 2 2 3 2 2 2 4 2" xfId="36295" xr:uid="{48E79F29-0CFF-4A48-B354-D62EB86EF54E}"/>
    <cellStyle name="Финансовый 37 2 2 2 2 2 3 2 2 2 5" xfId="26985" xr:uid="{2035D2D9-1364-4A10-B7BA-40848422B89F}"/>
    <cellStyle name="Финансовый 37 2 2 2 2 2 3 2 2 3" xfId="12968" xr:uid="{00000000-0005-0000-0000-0000B94B0000}"/>
    <cellStyle name="Финансовый 37 2 2 2 2 2 3 2 2 3 2" xfId="30057" xr:uid="{929CCAC7-504D-4A8D-B680-777CC7E8700A}"/>
    <cellStyle name="Финансовый 37 2 2 2 2 2 3 2 2 4" xfId="16200" xr:uid="{00000000-0005-0000-0000-0000BA4B0000}"/>
    <cellStyle name="Финансовый 37 2 2 2 2 2 3 2 2 4 2" xfId="33213" xr:uid="{B6032C8D-A00B-4637-9C0B-350772F421C7}"/>
    <cellStyle name="Финансовый 37 2 2 2 2 2 3 2 2 5" xfId="19281" xr:uid="{00000000-0005-0000-0000-0000BB4B0000}"/>
    <cellStyle name="Финансовый 37 2 2 2 2 2 3 2 2 5 2" xfId="36294" xr:uid="{8D749B3F-58C1-499C-9B5D-F60CD6B585E3}"/>
    <cellStyle name="Финансовый 37 2 2 2 2 2 3 2 2 6" xfId="26984" xr:uid="{E06BAA2E-906D-424D-8326-674338349D6F}"/>
    <cellStyle name="Финансовый 37 2 2 2 2 2 3 2 3" xfId="9885" xr:uid="{00000000-0005-0000-0000-0000BC4B0000}"/>
    <cellStyle name="Финансовый 37 2 2 2 2 2 3 2 3 2" xfId="12970" xr:uid="{00000000-0005-0000-0000-0000BD4B0000}"/>
    <cellStyle name="Финансовый 37 2 2 2 2 2 3 2 3 2 2" xfId="30059" xr:uid="{9D96C9A6-E0DF-465F-AC8C-94863457C466}"/>
    <cellStyle name="Финансовый 37 2 2 2 2 2 3 2 3 3" xfId="16202" xr:uid="{00000000-0005-0000-0000-0000BE4B0000}"/>
    <cellStyle name="Финансовый 37 2 2 2 2 2 3 2 3 3 2" xfId="33215" xr:uid="{EAB09E95-360C-424A-91B5-A2A3FBA1617A}"/>
    <cellStyle name="Финансовый 37 2 2 2 2 2 3 2 3 4" xfId="19283" xr:uid="{00000000-0005-0000-0000-0000BF4B0000}"/>
    <cellStyle name="Финансовый 37 2 2 2 2 2 3 2 3 4 2" xfId="36296" xr:uid="{E38F7C72-A753-4601-86D0-8C98CA808667}"/>
    <cellStyle name="Финансовый 37 2 2 2 2 2 3 2 3 5" xfId="26986" xr:uid="{25903EBB-A680-4BA8-856A-1E5491405326}"/>
    <cellStyle name="Финансовый 37 2 2 2 2 2 3 2 4" xfId="12967" xr:uid="{00000000-0005-0000-0000-0000C04B0000}"/>
    <cellStyle name="Финансовый 37 2 2 2 2 2 3 2 4 2" xfId="30056" xr:uid="{A83BAD96-353B-4B61-BAF3-19BECB4F3411}"/>
    <cellStyle name="Финансовый 37 2 2 2 2 2 3 2 5" xfId="16199" xr:uid="{00000000-0005-0000-0000-0000C14B0000}"/>
    <cellStyle name="Финансовый 37 2 2 2 2 2 3 2 5 2" xfId="33212" xr:uid="{B111215E-2E47-49B8-8216-8F8E8B81E2FB}"/>
    <cellStyle name="Финансовый 37 2 2 2 2 2 3 2 6" xfId="19280" xr:uid="{00000000-0005-0000-0000-0000C24B0000}"/>
    <cellStyle name="Финансовый 37 2 2 2 2 2 3 2 6 2" xfId="36293" xr:uid="{6913A9E5-5769-4CB3-B439-4AB593373082}"/>
    <cellStyle name="Финансовый 37 2 2 2 2 2 3 2 7" xfId="26983" xr:uid="{1ED4DB58-B7CA-4E1A-8A06-952B8DAB877A}"/>
    <cellStyle name="Финансовый 37 2 2 2 2 2 3 3" xfId="9886" xr:uid="{00000000-0005-0000-0000-0000C34B0000}"/>
    <cellStyle name="Финансовый 37 2 2 2 2 2 3 3 2" xfId="9887" xr:uid="{00000000-0005-0000-0000-0000C44B0000}"/>
    <cellStyle name="Финансовый 37 2 2 2 2 2 3 3 2 2" xfId="12972" xr:uid="{00000000-0005-0000-0000-0000C54B0000}"/>
    <cellStyle name="Финансовый 37 2 2 2 2 2 3 3 2 2 2" xfId="30061" xr:uid="{1F75CA64-1123-4E73-BCEC-786F7896FFCB}"/>
    <cellStyle name="Финансовый 37 2 2 2 2 2 3 3 2 3" xfId="16204" xr:uid="{00000000-0005-0000-0000-0000C64B0000}"/>
    <cellStyle name="Финансовый 37 2 2 2 2 2 3 3 2 3 2" xfId="33217" xr:uid="{49AFB316-242C-400E-A3D1-21434C8FF901}"/>
    <cellStyle name="Финансовый 37 2 2 2 2 2 3 3 2 4" xfId="19285" xr:uid="{00000000-0005-0000-0000-0000C74B0000}"/>
    <cellStyle name="Финансовый 37 2 2 2 2 2 3 3 2 4 2" xfId="36298" xr:uid="{9B0E7E83-DD78-4D23-BC53-BFD434F0E1B2}"/>
    <cellStyle name="Финансовый 37 2 2 2 2 2 3 3 2 5" xfId="26988" xr:uid="{6E0DC34F-3956-46BE-89A8-C3465A6A846B}"/>
    <cellStyle name="Финансовый 37 2 2 2 2 2 3 3 3" xfId="12971" xr:uid="{00000000-0005-0000-0000-0000C84B0000}"/>
    <cellStyle name="Финансовый 37 2 2 2 2 2 3 3 3 2" xfId="30060" xr:uid="{480172F5-3CE8-4677-AF2F-FC7E4A62A738}"/>
    <cellStyle name="Финансовый 37 2 2 2 2 2 3 3 4" xfId="16203" xr:uid="{00000000-0005-0000-0000-0000C94B0000}"/>
    <cellStyle name="Финансовый 37 2 2 2 2 2 3 3 4 2" xfId="33216" xr:uid="{E7436F6F-431D-476F-A13F-6BC4A4E46C39}"/>
    <cellStyle name="Финансовый 37 2 2 2 2 2 3 3 5" xfId="19284" xr:uid="{00000000-0005-0000-0000-0000CA4B0000}"/>
    <cellStyle name="Финансовый 37 2 2 2 2 2 3 3 5 2" xfId="36297" xr:uid="{A422D128-49FD-4873-9166-A612F001F237}"/>
    <cellStyle name="Финансовый 37 2 2 2 2 2 3 3 6" xfId="26987" xr:uid="{C66739F8-7FCF-4B45-BF34-3F45D6E23501}"/>
    <cellStyle name="Финансовый 37 2 2 2 2 2 3 4" xfId="9888" xr:uid="{00000000-0005-0000-0000-0000CB4B0000}"/>
    <cellStyle name="Финансовый 37 2 2 2 2 2 3 4 2" xfId="12973" xr:uid="{00000000-0005-0000-0000-0000CC4B0000}"/>
    <cellStyle name="Финансовый 37 2 2 2 2 2 3 4 2 2" xfId="30062" xr:uid="{4FD3EBC0-49D9-486B-9449-131DE2A27AFF}"/>
    <cellStyle name="Финансовый 37 2 2 2 2 2 3 4 3" xfId="16205" xr:uid="{00000000-0005-0000-0000-0000CD4B0000}"/>
    <cellStyle name="Финансовый 37 2 2 2 2 2 3 4 3 2" xfId="33218" xr:uid="{8F5BFA60-1A02-4D80-A191-AAD6ED3F7E3B}"/>
    <cellStyle name="Финансовый 37 2 2 2 2 2 3 4 4" xfId="19286" xr:uid="{00000000-0005-0000-0000-0000CE4B0000}"/>
    <cellStyle name="Финансовый 37 2 2 2 2 2 3 4 4 2" xfId="36299" xr:uid="{DC319D82-18DE-4F53-A6C0-B6C061FEC2F2}"/>
    <cellStyle name="Финансовый 37 2 2 2 2 2 3 4 5" xfId="26989" xr:uid="{8A814E3F-D99F-4F6E-A757-E809BA1E515D}"/>
    <cellStyle name="Финансовый 37 2 2 2 2 2 3 5" xfId="12966" xr:uid="{00000000-0005-0000-0000-0000CF4B0000}"/>
    <cellStyle name="Финансовый 37 2 2 2 2 2 3 5 2" xfId="30055" xr:uid="{0CB92AD6-4A7A-44F7-BCE1-4337A313ADDA}"/>
    <cellStyle name="Финансовый 37 2 2 2 2 2 3 6" xfId="16198" xr:uid="{00000000-0005-0000-0000-0000D04B0000}"/>
    <cellStyle name="Финансовый 37 2 2 2 2 2 3 6 2" xfId="33211" xr:uid="{215CEF0E-99B5-4193-83ED-E7C015A9794E}"/>
    <cellStyle name="Финансовый 37 2 2 2 2 2 3 7" xfId="19279" xr:uid="{00000000-0005-0000-0000-0000D14B0000}"/>
    <cellStyle name="Финансовый 37 2 2 2 2 2 3 7 2" xfId="36292" xr:uid="{99E7DD77-1B5F-4AF1-8B77-F9994059BBA6}"/>
    <cellStyle name="Финансовый 37 2 2 2 2 2 3 8" xfId="26982" xr:uid="{2DE7D715-2832-4ED2-8CD8-4937CC414676}"/>
    <cellStyle name="Финансовый 37 2 2 2 2 2 4" xfId="9889" xr:uid="{00000000-0005-0000-0000-0000D24B0000}"/>
    <cellStyle name="Финансовый 37 2 2 2 2 2 4 2" xfId="9890" xr:uid="{00000000-0005-0000-0000-0000D34B0000}"/>
    <cellStyle name="Финансовый 37 2 2 2 2 2 4 2 2" xfId="9891" xr:uid="{00000000-0005-0000-0000-0000D44B0000}"/>
    <cellStyle name="Финансовый 37 2 2 2 2 2 4 2 2 2" xfId="12976" xr:uid="{00000000-0005-0000-0000-0000D54B0000}"/>
    <cellStyle name="Финансовый 37 2 2 2 2 2 4 2 2 2 2" xfId="30065" xr:uid="{817071E1-E3B7-4226-A6CA-B509985AE61F}"/>
    <cellStyle name="Финансовый 37 2 2 2 2 2 4 2 2 3" xfId="16208" xr:uid="{00000000-0005-0000-0000-0000D64B0000}"/>
    <cellStyle name="Финансовый 37 2 2 2 2 2 4 2 2 3 2" xfId="33221" xr:uid="{91490A40-27B2-41B1-8273-9102B163CB53}"/>
    <cellStyle name="Финансовый 37 2 2 2 2 2 4 2 2 4" xfId="19289" xr:uid="{00000000-0005-0000-0000-0000D74B0000}"/>
    <cellStyle name="Финансовый 37 2 2 2 2 2 4 2 2 4 2" xfId="36302" xr:uid="{D8447F8F-E47F-4120-A267-C73B2BD36D6C}"/>
    <cellStyle name="Финансовый 37 2 2 2 2 2 4 2 2 5" xfId="26992" xr:uid="{402DCFBA-7B77-4181-A637-586EEFC99A97}"/>
    <cellStyle name="Финансовый 37 2 2 2 2 2 4 2 3" xfId="12975" xr:uid="{00000000-0005-0000-0000-0000D84B0000}"/>
    <cellStyle name="Финансовый 37 2 2 2 2 2 4 2 3 2" xfId="30064" xr:uid="{200FAA52-B47C-4CE5-B369-A2041C893F6B}"/>
    <cellStyle name="Финансовый 37 2 2 2 2 2 4 2 4" xfId="16207" xr:uid="{00000000-0005-0000-0000-0000D94B0000}"/>
    <cellStyle name="Финансовый 37 2 2 2 2 2 4 2 4 2" xfId="33220" xr:uid="{7417804A-5028-4550-A18B-67349753FFA6}"/>
    <cellStyle name="Финансовый 37 2 2 2 2 2 4 2 5" xfId="19288" xr:uid="{00000000-0005-0000-0000-0000DA4B0000}"/>
    <cellStyle name="Финансовый 37 2 2 2 2 2 4 2 5 2" xfId="36301" xr:uid="{CE44EFD6-62AD-47AF-B6EC-6E8798AC87B1}"/>
    <cellStyle name="Финансовый 37 2 2 2 2 2 4 2 6" xfId="26991" xr:uid="{9DCF1A00-FF2A-4837-BB24-C143208779BC}"/>
    <cellStyle name="Финансовый 37 2 2 2 2 2 4 3" xfId="9892" xr:uid="{00000000-0005-0000-0000-0000DB4B0000}"/>
    <cellStyle name="Финансовый 37 2 2 2 2 2 4 3 2" xfId="12977" xr:uid="{00000000-0005-0000-0000-0000DC4B0000}"/>
    <cellStyle name="Финансовый 37 2 2 2 2 2 4 3 2 2" xfId="30066" xr:uid="{D155EA0A-B060-44A2-BD5A-09E85430FDD0}"/>
    <cellStyle name="Финансовый 37 2 2 2 2 2 4 3 3" xfId="16209" xr:uid="{00000000-0005-0000-0000-0000DD4B0000}"/>
    <cellStyle name="Финансовый 37 2 2 2 2 2 4 3 3 2" xfId="33222" xr:uid="{6724CE24-56DD-4288-BEDD-BC036A95F9EC}"/>
    <cellStyle name="Финансовый 37 2 2 2 2 2 4 3 4" xfId="19290" xr:uid="{00000000-0005-0000-0000-0000DE4B0000}"/>
    <cellStyle name="Финансовый 37 2 2 2 2 2 4 3 4 2" xfId="36303" xr:uid="{ACE2B8BD-AE74-4A09-BA8F-64F4556BA161}"/>
    <cellStyle name="Финансовый 37 2 2 2 2 2 4 3 5" xfId="26993" xr:uid="{3354C281-E7DB-4CC8-9D48-BFE93B92E702}"/>
    <cellStyle name="Финансовый 37 2 2 2 2 2 4 4" xfId="12974" xr:uid="{00000000-0005-0000-0000-0000DF4B0000}"/>
    <cellStyle name="Финансовый 37 2 2 2 2 2 4 4 2" xfId="30063" xr:uid="{8D3866F1-B03D-4E54-BE87-0F6552583F2F}"/>
    <cellStyle name="Финансовый 37 2 2 2 2 2 4 5" xfId="16206" xr:uid="{00000000-0005-0000-0000-0000E04B0000}"/>
    <cellStyle name="Финансовый 37 2 2 2 2 2 4 5 2" xfId="33219" xr:uid="{01F7124F-11E5-4E51-B53F-E4ACBA5CB37E}"/>
    <cellStyle name="Финансовый 37 2 2 2 2 2 4 6" xfId="19287" xr:uid="{00000000-0005-0000-0000-0000E14B0000}"/>
    <cellStyle name="Финансовый 37 2 2 2 2 2 4 6 2" xfId="36300" xr:uid="{F57EF007-2546-4865-90E1-2B9568965316}"/>
    <cellStyle name="Финансовый 37 2 2 2 2 2 4 7" xfId="26990" xr:uid="{0C53CBAA-153B-4491-8129-49A320070388}"/>
    <cellStyle name="Финансовый 37 2 2 2 2 2 5" xfId="9893" xr:uid="{00000000-0005-0000-0000-0000E24B0000}"/>
    <cellStyle name="Финансовый 37 2 2 2 2 2 5 2" xfId="9894" xr:uid="{00000000-0005-0000-0000-0000E34B0000}"/>
    <cellStyle name="Финансовый 37 2 2 2 2 2 5 2 2" xfId="12979" xr:uid="{00000000-0005-0000-0000-0000E44B0000}"/>
    <cellStyle name="Финансовый 37 2 2 2 2 2 5 2 2 2" xfId="30068" xr:uid="{6597B52E-CD5D-46CB-94E0-A63B0D5119A8}"/>
    <cellStyle name="Финансовый 37 2 2 2 2 2 5 2 3" xfId="16211" xr:uid="{00000000-0005-0000-0000-0000E54B0000}"/>
    <cellStyle name="Финансовый 37 2 2 2 2 2 5 2 3 2" xfId="33224" xr:uid="{AEFC9E33-8B58-47E7-89D1-197F79E0F5D2}"/>
    <cellStyle name="Финансовый 37 2 2 2 2 2 5 2 4" xfId="19292" xr:uid="{00000000-0005-0000-0000-0000E64B0000}"/>
    <cellStyle name="Финансовый 37 2 2 2 2 2 5 2 4 2" xfId="36305" xr:uid="{BB91729D-77DA-4EF7-891C-23F81CDBFEAD}"/>
    <cellStyle name="Финансовый 37 2 2 2 2 2 5 2 5" xfId="26995" xr:uid="{6FEFB7A1-B82E-4D65-8683-364B8B37E56D}"/>
    <cellStyle name="Финансовый 37 2 2 2 2 2 5 3" xfId="12978" xr:uid="{00000000-0005-0000-0000-0000E74B0000}"/>
    <cellStyle name="Финансовый 37 2 2 2 2 2 5 3 2" xfId="30067" xr:uid="{669B193E-B74B-4478-9871-D66AB06C4985}"/>
    <cellStyle name="Финансовый 37 2 2 2 2 2 5 4" xfId="16210" xr:uid="{00000000-0005-0000-0000-0000E84B0000}"/>
    <cellStyle name="Финансовый 37 2 2 2 2 2 5 4 2" xfId="33223" xr:uid="{41DBE5B2-0AD4-49DB-8C31-89E61000F4F6}"/>
    <cellStyle name="Финансовый 37 2 2 2 2 2 5 5" xfId="19291" xr:uid="{00000000-0005-0000-0000-0000E94B0000}"/>
    <cellStyle name="Финансовый 37 2 2 2 2 2 5 5 2" xfId="36304" xr:uid="{EB26B4AE-1B52-4A61-95BC-74CEC5695B6F}"/>
    <cellStyle name="Финансовый 37 2 2 2 2 2 5 6" xfId="26994" xr:uid="{68B64535-C1C4-413F-B940-F543F8F1CE9A}"/>
    <cellStyle name="Финансовый 37 2 2 2 2 2 6" xfId="9895" xr:uid="{00000000-0005-0000-0000-0000EA4B0000}"/>
    <cellStyle name="Финансовый 37 2 2 2 2 2 6 2" xfId="12980" xr:uid="{00000000-0005-0000-0000-0000EB4B0000}"/>
    <cellStyle name="Финансовый 37 2 2 2 2 2 6 2 2" xfId="30069" xr:uid="{99D2721D-A407-4D70-AF28-BC2D575DF2C3}"/>
    <cellStyle name="Финансовый 37 2 2 2 2 2 6 3" xfId="16212" xr:uid="{00000000-0005-0000-0000-0000EC4B0000}"/>
    <cellStyle name="Финансовый 37 2 2 2 2 2 6 3 2" xfId="33225" xr:uid="{56F7B1AE-34AA-460E-A926-E0560F96DAA9}"/>
    <cellStyle name="Финансовый 37 2 2 2 2 2 6 4" xfId="19293" xr:uid="{00000000-0005-0000-0000-0000ED4B0000}"/>
    <cellStyle name="Финансовый 37 2 2 2 2 2 6 4 2" xfId="36306" xr:uid="{EE074816-B099-40A7-9FEE-97672EE718A1}"/>
    <cellStyle name="Финансовый 37 2 2 2 2 2 6 5" xfId="26996" xr:uid="{9B569319-B53A-4318-A491-F885424DE5D7}"/>
    <cellStyle name="Финансовый 37 2 2 2 2 2 7" xfId="12949" xr:uid="{00000000-0005-0000-0000-0000EE4B0000}"/>
    <cellStyle name="Финансовый 37 2 2 2 2 2 7 2" xfId="30038" xr:uid="{AFB36E71-FA65-458B-BCD9-387B429E7FDF}"/>
    <cellStyle name="Финансовый 37 2 2 2 2 2 8" xfId="16181" xr:uid="{00000000-0005-0000-0000-0000EF4B0000}"/>
    <cellStyle name="Финансовый 37 2 2 2 2 2 8 2" xfId="33194" xr:uid="{4053DB73-0827-4B41-985D-11970CDB75FD}"/>
    <cellStyle name="Финансовый 37 2 2 2 2 2 9" xfId="19262" xr:uid="{00000000-0005-0000-0000-0000F04B0000}"/>
    <cellStyle name="Финансовый 37 2 2 2 2 2 9 2" xfId="36275" xr:uid="{86558067-1A3F-42FD-887D-D35B15AABE71}"/>
    <cellStyle name="Финансовый 37 2 2 2 2 3" xfId="9896" xr:uid="{00000000-0005-0000-0000-0000F14B0000}"/>
    <cellStyle name="Финансовый 37 2 2 2 2 3 2" xfId="9897" xr:uid="{00000000-0005-0000-0000-0000F24B0000}"/>
    <cellStyle name="Финансовый 37 2 2 2 2 3 2 2" xfId="9898" xr:uid="{00000000-0005-0000-0000-0000F34B0000}"/>
    <cellStyle name="Финансовый 37 2 2 2 2 3 2 2 2" xfId="9899" xr:uid="{00000000-0005-0000-0000-0000F44B0000}"/>
    <cellStyle name="Финансовый 37 2 2 2 2 3 2 2 2 2" xfId="9900" xr:uid="{00000000-0005-0000-0000-0000F54B0000}"/>
    <cellStyle name="Финансовый 37 2 2 2 2 3 2 2 2 2 2" xfId="12985" xr:uid="{00000000-0005-0000-0000-0000F64B0000}"/>
    <cellStyle name="Финансовый 37 2 2 2 2 3 2 2 2 2 2 2" xfId="30074" xr:uid="{B60E6AAA-6107-4311-9FDC-AC45FB3D9218}"/>
    <cellStyle name="Финансовый 37 2 2 2 2 3 2 2 2 2 3" xfId="16217" xr:uid="{00000000-0005-0000-0000-0000F74B0000}"/>
    <cellStyle name="Финансовый 37 2 2 2 2 3 2 2 2 2 3 2" xfId="33230" xr:uid="{07E4E76E-0C6D-41F1-9EFD-03FD03F0F7D3}"/>
    <cellStyle name="Финансовый 37 2 2 2 2 3 2 2 2 2 4" xfId="19298" xr:uid="{00000000-0005-0000-0000-0000F84B0000}"/>
    <cellStyle name="Финансовый 37 2 2 2 2 3 2 2 2 2 4 2" xfId="36311" xr:uid="{9EAA4845-D38F-4164-8A64-41755FD2AB0D}"/>
    <cellStyle name="Финансовый 37 2 2 2 2 3 2 2 2 2 5" xfId="27001" xr:uid="{35112200-0A91-4CCB-AF5F-8EC7582F141B}"/>
    <cellStyle name="Финансовый 37 2 2 2 2 3 2 2 2 3" xfId="12984" xr:uid="{00000000-0005-0000-0000-0000F94B0000}"/>
    <cellStyle name="Финансовый 37 2 2 2 2 3 2 2 2 3 2" xfId="30073" xr:uid="{B67EE4BF-2AF4-47B2-83B3-10DB8E780F39}"/>
    <cellStyle name="Финансовый 37 2 2 2 2 3 2 2 2 4" xfId="16216" xr:uid="{00000000-0005-0000-0000-0000FA4B0000}"/>
    <cellStyle name="Финансовый 37 2 2 2 2 3 2 2 2 4 2" xfId="33229" xr:uid="{C26CC63D-8F0B-4FA4-BD64-8759EBDE32BA}"/>
    <cellStyle name="Финансовый 37 2 2 2 2 3 2 2 2 5" xfId="19297" xr:uid="{00000000-0005-0000-0000-0000FB4B0000}"/>
    <cellStyle name="Финансовый 37 2 2 2 2 3 2 2 2 5 2" xfId="36310" xr:uid="{7C8AC456-ED13-4A8A-85DE-527792624869}"/>
    <cellStyle name="Финансовый 37 2 2 2 2 3 2 2 2 6" xfId="27000" xr:uid="{95E6BECA-1A6D-49B2-AB49-82433682FCFE}"/>
    <cellStyle name="Финансовый 37 2 2 2 2 3 2 2 3" xfId="9901" xr:uid="{00000000-0005-0000-0000-0000FC4B0000}"/>
    <cellStyle name="Финансовый 37 2 2 2 2 3 2 2 3 2" xfId="12986" xr:uid="{00000000-0005-0000-0000-0000FD4B0000}"/>
    <cellStyle name="Финансовый 37 2 2 2 2 3 2 2 3 2 2" xfId="30075" xr:uid="{3ADAA0D1-DF5E-4EC8-B306-5099B5341CB4}"/>
    <cellStyle name="Финансовый 37 2 2 2 2 3 2 2 3 3" xfId="16218" xr:uid="{00000000-0005-0000-0000-0000FE4B0000}"/>
    <cellStyle name="Финансовый 37 2 2 2 2 3 2 2 3 3 2" xfId="33231" xr:uid="{18C0728A-362E-4580-A275-FB0069DFDB09}"/>
    <cellStyle name="Финансовый 37 2 2 2 2 3 2 2 3 4" xfId="19299" xr:uid="{00000000-0005-0000-0000-0000FF4B0000}"/>
    <cellStyle name="Финансовый 37 2 2 2 2 3 2 2 3 4 2" xfId="36312" xr:uid="{7F2C11BC-8BAA-4BFE-B30D-68F644D75750}"/>
    <cellStyle name="Финансовый 37 2 2 2 2 3 2 2 3 5" xfId="27002" xr:uid="{7436DD76-369C-4993-9173-B97302D28A70}"/>
    <cellStyle name="Финансовый 37 2 2 2 2 3 2 2 4" xfId="12983" xr:uid="{00000000-0005-0000-0000-0000004C0000}"/>
    <cellStyle name="Финансовый 37 2 2 2 2 3 2 2 4 2" xfId="30072" xr:uid="{A1E3950B-FB90-4466-B270-95AB1D1334F0}"/>
    <cellStyle name="Финансовый 37 2 2 2 2 3 2 2 5" xfId="16215" xr:uid="{00000000-0005-0000-0000-0000014C0000}"/>
    <cellStyle name="Финансовый 37 2 2 2 2 3 2 2 5 2" xfId="33228" xr:uid="{D16F502B-A3FF-402D-8B70-8B65502526B1}"/>
    <cellStyle name="Финансовый 37 2 2 2 2 3 2 2 6" xfId="19296" xr:uid="{00000000-0005-0000-0000-0000024C0000}"/>
    <cellStyle name="Финансовый 37 2 2 2 2 3 2 2 6 2" xfId="36309" xr:uid="{8F44D74C-3654-4EF4-B70C-C5C7344AAFE0}"/>
    <cellStyle name="Финансовый 37 2 2 2 2 3 2 2 7" xfId="26999" xr:uid="{417F8EE7-89D4-4413-AA98-D2586E849432}"/>
    <cellStyle name="Финансовый 37 2 2 2 2 3 2 3" xfId="9902" xr:uid="{00000000-0005-0000-0000-0000034C0000}"/>
    <cellStyle name="Финансовый 37 2 2 2 2 3 2 3 2" xfId="9903" xr:uid="{00000000-0005-0000-0000-0000044C0000}"/>
    <cellStyle name="Финансовый 37 2 2 2 2 3 2 3 2 2" xfId="12988" xr:uid="{00000000-0005-0000-0000-0000054C0000}"/>
    <cellStyle name="Финансовый 37 2 2 2 2 3 2 3 2 2 2" xfId="30077" xr:uid="{C03098C8-7C4A-4C36-A982-10C76AA1D151}"/>
    <cellStyle name="Финансовый 37 2 2 2 2 3 2 3 2 3" xfId="16220" xr:uid="{00000000-0005-0000-0000-0000064C0000}"/>
    <cellStyle name="Финансовый 37 2 2 2 2 3 2 3 2 3 2" xfId="33233" xr:uid="{F442AC8F-058E-4FA8-83DB-3280244B5A8E}"/>
    <cellStyle name="Финансовый 37 2 2 2 2 3 2 3 2 4" xfId="19301" xr:uid="{00000000-0005-0000-0000-0000074C0000}"/>
    <cellStyle name="Финансовый 37 2 2 2 2 3 2 3 2 4 2" xfId="36314" xr:uid="{DBA35971-99FB-4A95-A9B4-058B89B5C957}"/>
    <cellStyle name="Финансовый 37 2 2 2 2 3 2 3 2 5" xfId="27004" xr:uid="{C1BA9A1B-7D44-42A6-B892-82B4905866D9}"/>
    <cellStyle name="Финансовый 37 2 2 2 2 3 2 3 3" xfId="12987" xr:uid="{00000000-0005-0000-0000-0000084C0000}"/>
    <cellStyle name="Финансовый 37 2 2 2 2 3 2 3 3 2" xfId="30076" xr:uid="{943B0C72-7011-40E8-9CED-9630F7553D47}"/>
    <cellStyle name="Финансовый 37 2 2 2 2 3 2 3 4" xfId="16219" xr:uid="{00000000-0005-0000-0000-0000094C0000}"/>
    <cellStyle name="Финансовый 37 2 2 2 2 3 2 3 4 2" xfId="33232" xr:uid="{84C347C8-619D-4049-B6B4-D0BE9DCB029C}"/>
    <cellStyle name="Финансовый 37 2 2 2 2 3 2 3 5" xfId="19300" xr:uid="{00000000-0005-0000-0000-00000A4C0000}"/>
    <cellStyle name="Финансовый 37 2 2 2 2 3 2 3 5 2" xfId="36313" xr:uid="{55A33CB0-4ECE-484B-8492-AFD02010A1D2}"/>
    <cellStyle name="Финансовый 37 2 2 2 2 3 2 3 6" xfId="27003" xr:uid="{5456EC3E-6CE7-46EE-849A-396D29A80E46}"/>
    <cellStyle name="Финансовый 37 2 2 2 2 3 2 4" xfId="9904" xr:uid="{00000000-0005-0000-0000-00000B4C0000}"/>
    <cellStyle name="Финансовый 37 2 2 2 2 3 2 4 2" xfId="12989" xr:uid="{00000000-0005-0000-0000-00000C4C0000}"/>
    <cellStyle name="Финансовый 37 2 2 2 2 3 2 4 2 2" xfId="30078" xr:uid="{4F5F8EEE-EE31-491F-86B5-F5B3C185C1B9}"/>
    <cellStyle name="Финансовый 37 2 2 2 2 3 2 4 3" xfId="16221" xr:uid="{00000000-0005-0000-0000-00000D4C0000}"/>
    <cellStyle name="Финансовый 37 2 2 2 2 3 2 4 3 2" xfId="33234" xr:uid="{54EC1E01-7A5E-4C35-B886-401760B1BFFC}"/>
    <cellStyle name="Финансовый 37 2 2 2 2 3 2 4 4" xfId="19302" xr:uid="{00000000-0005-0000-0000-00000E4C0000}"/>
    <cellStyle name="Финансовый 37 2 2 2 2 3 2 4 4 2" xfId="36315" xr:uid="{CFA53E19-40A0-4674-80D3-ADF647F926BD}"/>
    <cellStyle name="Финансовый 37 2 2 2 2 3 2 4 5" xfId="27005" xr:uid="{A022B933-7A0E-4E40-98A4-550CC4FAA9FC}"/>
    <cellStyle name="Финансовый 37 2 2 2 2 3 2 5" xfId="12982" xr:uid="{00000000-0005-0000-0000-00000F4C0000}"/>
    <cellStyle name="Финансовый 37 2 2 2 2 3 2 5 2" xfId="30071" xr:uid="{BD089BF0-B765-477D-84C5-87A16C33489D}"/>
    <cellStyle name="Финансовый 37 2 2 2 2 3 2 6" xfId="16214" xr:uid="{00000000-0005-0000-0000-0000104C0000}"/>
    <cellStyle name="Финансовый 37 2 2 2 2 3 2 6 2" xfId="33227" xr:uid="{2CE11F90-9C04-4F53-9E8C-931FF63F5B5A}"/>
    <cellStyle name="Финансовый 37 2 2 2 2 3 2 7" xfId="19295" xr:uid="{00000000-0005-0000-0000-0000114C0000}"/>
    <cellStyle name="Финансовый 37 2 2 2 2 3 2 7 2" xfId="36308" xr:uid="{131748CE-36F6-46E4-8DCC-2A1CE35140F6}"/>
    <cellStyle name="Финансовый 37 2 2 2 2 3 2 8" xfId="26998" xr:uid="{4026647D-C32F-4A59-BB0C-64F58426A349}"/>
    <cellStyle name="Финансовый 37 2 2 2 2 3 3" xfId="9905" xr:uid="{00000000-0005-0000-0000-0000124C0000}"/>
    <cellStyle name="Финансовый 37 2 2 2 2 3 3 2" xfId="9906" xr:uid="{00000000-0005-0000-0000-0000134C0000}"/>
    <cellStyle name="Финансовый 37 2 2 2 2 3 3 2 2" xfId="9907" xr:uid="{00000000-0005-0000-0000-0000144C0000}"/>
    <cellStyle name="Финансовый 37 2 2 2 2 3 3 2 2 2" xfId="12992" xr:uid="{00000000-0005-0000-0000-0000154C0000}"/>
    <cellStyle name="Финансовый 37 2 2 2 2 3 3 2 2 2 2" xfId="30081" xr:uid="{F8EF2729-CCA8-48DB-9252-AE12D1206636}"/>
    <cellStyle name="Финансовый 37 2 2 2 2 3 3 2 2 3" xfId="16224" xr:uid="{00000000-0005-0000-0000-0000164C0000}"/>
    <cellStyle name="Финансовый 37 2 2 2 2 3 3 2 2 3 2" xfId="33237" xr:uid="{103E99F5-77CC-46EE-8206-20DE87EFD173}"/>
    <cellStyle name="Финансовый 37 2 2 2 2 3 3 2 2 4" xfId="19305" xr:uid="{00000000-0005-0000-0000-0000174C0000}"/>
    <cellStyle name="Финансовый 37 2 2 2 2 3 3 2 2 4 2" xfId="36318" xr:uid="{AD3680AA-C90C-42A6-AC82-C98A59ED0C9E}"/>
    <cellStyle name="Финансовый 37 2 2 2 2 3 3 2 2 5" xfId="27008" xr:uid="{0812F229-6DC8-4A99-9C3F-072957D385F7}"/>
    <cellStyle name="Финансовый 37 2 2 2 2 3 3 2 3" xfId="12991" xr:uid="{00000000-0005-0000-0000-0000184C0000}"/>
    <cellStyle name="Финансовый 37 2 2 2 2 3 3 2 3 2" xfId="30080" xr:uid="{289A9E4F-7E54-4ABD-A961-2658AEBE83C1}"/>
    <cellStyle name="Финансовый 37 2 2 2 2 3 3 2 4" xfId="16223" xr:uid="{00000000-0005-0000-0000-0000194C0000}"/>
    <cellStyle name="Финансовый 37 2 2 2 2 3 3 2 4 2" xfId="33236" xr:uid="{D3332E8D-CAE4-44A3-B7B4-0CA8E4CCC232}"/>
    <cellStyle name="Финансовый 37 2 2 2 2 3 3 2 5" xfId="19304" xr:uid="{00000000-0005-0000-0000-00001A4C0000}"/>
    <cellStyle name="Финансовый 37 2 2 2 2 3 3 2 5 2" xfId="36317" xr:uid="{10D4A30C-DFDE-4DAD-A5C7-3EDA87BC664D}"/>
    <cellStyle name="Финансовый 37 2 2 2 2 3 3 2 6" xfId="27007" xr:uid="{F8EA3765-5215-40A6-A2E1-D141E0784AC3}"/>
    <cellStyle name="Финансовый 37 2 2 2 2 3 3 3" xfId="9908" xr:uid="{00000000-0005-0000-0000-00001B4C0000}"/>
    <cellStyle name="Финансовый 37 2 2 2 2 3 3 3 2" xfId="12993" xr:uid="{00000000-0005-0000-0000-00001C4C0000}"/>
    <cellStyle name="Финансовый 37 2 2 2 2 3 3 3 2 2" xfId="30082" xr:uid="{2211295B-1379-4990-BD6D-A4CA9C5406F8}"/>
    <cellStyle name="Финансовый 37 2 2 2 2 3 3 3 3" xfId="16225" xr:uid="{00000000-0005-0000-0000-00001D4C0000}"/>
    <cellStyle name="Финансовый 37 2 2 2 2 3 3 3 3 2" xfId="33238" xr:uid="{EADFE268-4D90-4DE7-9F91-A1798A897FBB}"/>
    <cellStyle name="Финансовый 37 2 2 2 2 3 3 3 4" xfId="19306" xr:uid="{00000000-0005-0000-0000-00001E4C0000}"/>
    <cellStyle name="Финансовый 37 2 2 2 2 3 3 3 4 2" xfId="36319" xr:uid="{A5DF8267-7BD9-4AAE-93FF-1BC51E43C0B3}"/>
    <cellStyle name="Финансовый 37 2 2 2 2 3 3 3 5" xfId="27009" xr:uid="{6109EA14-CE79-466E-B258-E50B5C5E933D}"/>
    <cellStyle name="Финансовый 37 2 2 2 2 3 3 4" xfId="12990" xr:uid="{00000000-0005-0000-0000-00001F4C0000}"/>
    <cellStyle name="Финансовый 37 2 2 2 2 3 3 4 2" xfId="30079" xr:uid="{757A97A4-4442-48FF-B5DA-F2A5C63006F3}"/>
    <cellStyle name="Финансовый 37 2 2 2 2 3 3 5" xfId="16222" xr:uid="{00000000-0005-0000-0000-0000204C0000}"/>
    <cellStyle name="Финансовый 37 2 2 2 2 3 3 5 2" xfId="33235" xr:uid="{6592B05D-7B28-42DD-A909-EC10EFB7B29C}"/>
    <cellStyle name="Финансовый 37 2 2 2 2 3 3 6" xfId="19303" xr:uid="{00000000-0005-0000-0000-0000214C0000}"/>
    <cellStyle name="Финансовый 37 2 2 2 2 3 3 6 2" xfId="36316" xr:uid="{D0FF9B14-7C70-4C65-9D6C-8571E7FEDA24}"/>
    <cellStyle name="Финансовый 37 2 2 2 2 3 3 7" xfId="27006" xr:uid="{D1787222-72F8-4232-BE16-9279B67D5927}"/>
    <cellStyle name="Финансовый 37 2 2 2 2 3 4" xfId="9909" xr:uid="{00000000-0005-0000-0000-0000224C0000}"/>
    <cellStyle name="Финансовый 37 2 2 2 2 3 4 2" xfId="9910" xr:uid="{00000000-0005-0000-0000-0000234C0000}"/>
    <cellStyle name="Финансовый 37 2 2 2 2 3 4 2 2" xfId="12995" xr:uid="{00000000-0005-0000-0000-0000244C0000}"/>
    <cellStyle name="Финансовый 37 2 2 2 2 3 4 2 2 2" xfId="30084" xr:uid="{05B06F8E-5D23-4B57-BDA1-0AA62A451AD5}"/>
    <cellStyle name="Финансовый 37 2 2 2 2 3 4 2 3" xfId="16227" xr:uid="{00000000-0005-0000-0000-0000254C0000}"/>
    <cellStyle name="Финансовый 37 2 2 2 2 3 4 2 3 2" xfId="33240" xr:uid="{23DA2527-6B7F-4322-9254-CDB13F0B3C2E}"/>
    <cellStyle name="Финансовый 37 2 2 2 2 3 4 2 4" xfId="19308" xr:uid="{00000000-0005-0000-0000-0000264C0000}"/>
    <cellStyle name="Финансовый 37 2 2 2 2 3 4 2 4 2" xfId="36321" xr:uid="{C21642E6-3F7F-42C2-8403-9691BF0B4430}"/>
    <cellStyle name="Финансовый 37 2 2 2 2 3 4 2 5" xfId="27011" xr:uid="{87818302-B43F-407C-A0E7-28A63482C65B}"/>
    <cellStyle name="Финансовый 37 2 2 2 2 3 4 3" xfId="12994" xr:uid="{00000000-0005-0000-0000-0000274C0000}"/>
    <cellStyle name="Финансовый 37 2 2 2 2 3 4 3 2" xfId="30083" xr:uid="{5F8F2E09-2904-4F0C-AB75-6946E8FE798E}"/>
    <cellStyle name="Финансовый 37 2 2 2 2 3 4 4" xfId="16226" xr:uid="{00000000-0005-0000-0000-0000284C0000}"/>
    <cellStyle name="Финансовый 37 2 2 2 2 3 4 4 2" xfId="33239" xr:uid="{A7249918-DDCE-4D3C-AE5D-929AAF2D36DD}"/>
    <cellStyle name="Финансовый 37 2 2 2 2 3 4 5" xfId="19307" xr:uid="{00000000-0005-0000-0000-0000294C0000}"/>
    <cellStyle name="Финансовый 37 2 2 2 2 3 4 5 2" xfId="36320" xr:uid="{0B801DA6-4830-4498-817E-90078DDEFE17}"/>
    <cellStyle name="Финансовый 37 2 2 2 2 3 4 6" xfId="27010" xr:uid="{DB04CB95-1127-41EA-A6F1-1A8FACA59140}"/>
    <cellStyle name="Финансовый 37 2 2 2 2 3 5" xfId="9911" xr:uid="{00000000-0005-0000-0000-00002A4C0000}"/>
    <cellStyle name="Финансовый 37 2 2 2 2 3 5 2" xfId="12996" xr:uid="{00000000-0005-0000-0000-00002B4C0000}"/>
    <cellStyle name="Финансовый 37 2 2 2 2 3 5 2 2" xfId="30085" xr:uid="{3521011E-3088-434F-AE1D-11E1F48E04D2}"/>
    <cellStyle name="Финансовый 37 2 2 2 2 3 5 3" xfId="16228" xr:uid="{00000000-0005-0000-0000-00002C4C0000}"/>
    <cellStyle name="Финансовый 37 2 2 2 2 3 5 3 2" xfId="33241" xr:uid="{B7E8FC9C-A8EB-4321-9AFA-CF625F22631D}"/>
    <cellStyle name="Финансовый 37 2 2 2 2 3 5 4" xfId="19309" xr:uid="{00000000-0005-0000-0000-00002D4C0000}"/>
    <cellStyle name="Финансовый 37 2 2 2 2 3 5 4 2" xfId="36322" xr:uid="{60E22BD8-341E-4ED3-BB1B-1B274BC14A97}"/>
    <cellStyle name="Финансовый 37 2 2 2 2 3 5 5" xfId="27012" xr:uid="{CFBAA2B8-F35F-43C0-B0AF-D7BA9A9AE664}"/>
    <cellStyle name="Финансовый 37 2 2 2 2 3 6" xfId="12981" xr:uid="{00000000-0005-0000-0000-00002E4C0000}"/>
    <cellStyle name="Финансовый 37 2 2 2 2 3 6 2" xfId="30070" xr:uid="{E7CEF9D1-2587-49B3-B1BF-0FA7B6CAE086}"/>
    <cellStyle name="Финансовый 37 2 2 2 2 3 7" xfId="16213" xr:uid="{00000000-0005-0000-0000-00002F4C0000}"/>
    <cellStyle name="Финансовый 37 2 2 2 2 3 7 2" xfId="33226" xr:uid="{559872C0-0CFE-4DF4-9A70-781D066B8046}"/>
    <cellStyle name="Финансовый 37 2 2 2 2 3 8" xfId="19294" xr:uid="{00000000-0005-0000-0000-0000304C0000}"/>
    <cellStyle name="Финансовый 37 2 2 2 2 3 8 2" xfId="36307" xr:uid="{27310466-3CE9-4826-9C64-2E4F18A9795B}"/>
    <cellStyle name="Финансовый 37 2 2 2 2 3 9" xfId="26997" xr:uid="{68F7B024-4EA0-4F2E-BA94-25F0E7C0647E}"/>
    <cellStyle name="Финансовый 37 2 2 2 2 4" xfId="9912" xr:uid="{00000000-0005-0000-0000-0000314C0000}"/>
    <cellStyle name="Финансовый 37 2 2 2 2 4 2" xfId="9913" xr:uid="{00000000-0005-0000-0000-0000324C0000}"/>
    <cellStyle name="Финансовый 37 2 2 2 2 4 2 2" xfId="9914" xr:uid="{00000000-0005-0000-0000-0000334C0000}"/>
    <cellStyle name="Финансовый 37 2 2 2 2 4 2 2 2" xfId="9915" xr:uid="{00000000-0005-0000-0000-0000344C0000}"/>
    <cellStyle name="Финансовый 37 2 2 2 2 4 2 2 2 2" xfId="13000" xr:uid="{00000000-0005-0000-0000-0000354C0000}"/>
    <cellStyle name="Финансовый 37 2 2 2 2 4 2 2 2 2 2" xfId="30089" xr:uid="{2BF02EAE-1891-4B19-B875-C97AA67D5F6D}"/>
    <cellStyle name="Финансовый 37 2 2 2 2 4 2 2 2 3" xfId="16232" xr:uid="{00000000-0005-0000-0000-0000364C0000}"/>
    <cellStyle name="Финансовый 37 2 2 2 2 4 2 2 2 3 2" xfId="33245" xr:uid="{6D1B44A1-684A-4FF5-95B7-3348905E542A}"/>
    <cellStyle name="Финансовый 37 2 2 2 2 4 2 2 2 4" xfId="19313" xr:uid="{00000000-0005-0000-0000-0000374C0000}"/>
    <cellStyle name="Финансовый 37 2 2 2 2 4 2 2 2 4 2" xfId="36326" xr:uid="{CA123CFD-E40B-4B3E-AE00-3A60205F9F34}"/>
    <cellStyle name="Финансовый 37 2 2 2 2 4 2 2 2 5" xfId="27016" xr:uid="{C8F95A44-1E1D-417F-9554-27D05994A022}"/>
    <cellStyle name="Финансовый 37 2 2 2 2 4 2 2 3" xfId="12999" xr:uid="{00000000-0005-0000-0000-0000384C0000}"/>
    <cellStyle name="Финансовый 37 2 2 2 2 4 2 2 3 2" xfId="30088" xr:uid="{132D2B5A-B2D0-431F-ADF3-4DA6692B430D}"/>
    <cellStyle name="Финансовый 37 2 2 2 2 4 2 2 4" xfId="16231" xr:uid="{00000000-0005-0000-0000-0000394C0000}"/>
    <cellStyle name="Финансовый 37 2 2 2 2 4 2 2 4 2" xfId="33244" xr:uid="{5B2463A8-8C03-4093-A90C-1B8B6AFB3EAB}"/>
    <cellStyle name="Финансовый 37 2 2 2 2 4 2 2 5" xfId="19312" xr:uid="{00000000-0005-0000-0000-00003A4C0000}"/>
    <cellStyle name="Финансовый 37 2 2 2 2 4 2 2 5 2" xfId="36325" xr:uid="{9CAD9C53-6A51-4A0C-AD97-2E5AAD352E9E}"/>
    <cellStyle name="Финансовый 37 2 2 2 2 4 2 2 6" xfId="27015" xr:uid="{F98DF6EC-2E01-435D-BA96-058F474EA0CF}"/>
    <cellStyle name="Финансовый 37 2 2 2 2 4 2 3" xfId="9916" xr:uid="{00000000-0005-0000-0000-00003B4C0000}"/>
    <cellStyle name="Финансовый 37 2 2 2 2 4 2 3 2" xfId="13001" xr:uid="{00000000-0005-0000-0000-00003C4C0000}"/>
    <cellStyle name="Финансовый 37 2 2 2 2 4 2 3 2 2" xfId="30090" xr:uid="{9A7D3706-2217-4806-8EFF-C711469566D7}"/>
    <cellStyle name="Финансовый 37 2 2 2 2 4 2 3 3" xfId="16233" xr:uid="{00000000-0005-0000-0000-00003D4C0000}"/>
    <cellStyle name="Финансовый 37 2 2 2 2 4 2 3 3 2" xfId="33246" xr:uid="{0AD239E5-18D5-4A84-BA1C-CE652A675DAF}"/>
    <cellStyle name="Финансовый 37 2 2 2 2 4 2 3 4" xfId="19314" xr:uid="{00000000-0005-0000-0000-00003E4C0000}"/>
    <cellStyle name="Финансовый 37 2 2 2 2 4 2 3 4 2" xfId="36327" xr:uid="{5723051C-0968-4DA7-B141-78A27B49DF4D}"/>
    <cellStyle name="Финансовый 37 2 2 2 2 4 2 3 5" xfId="27017" xr:uid="{337214D3-C83E-45D3-B18B-6F837180DBCE}"/>
    <cellStyle name="Финансовый 37 2 2 2 2 4 2 4" xfId="12998" xr:uid="{00000000-0005-0000-0000-00003F4C0000}"/>
    <cellStyle name="Финансовый 37 2 2 2 2 4 2 4 2" xfId="30087" xr:uid="{89A4385A-8741-4B14-9B0B-75648AABC006}"/>
    <cellStyle name="Финансовый 37 2 2 2 2 4 2 5" xfId="16230" xr:uid="{00000000-0005-0000-0000-0000404C0000}"/>
    <cellStyle name="Финансовый 37 2 2 2 2 4 2 5 2" xfId="33243" xr:uid="{EF07A98E-0708-4BEA-8EB0-A8F8D3BA0890}"/>
    <cellStyle name="Финансовый 37 2 2 2 2 4 2 6" xfId="19311" xr:uid="{00000000-0005-0000-0000-0000414C0000}"/>
    <cellStyle name="Финансовый 37 2 2 2 2 4 2 6 2" xfId="36324" xr:uid="{0A158CC1-C30D-4DA2-ACC5-C9C8F1A97594}"/>
    <cellStyle name="Финансовый 37 2 2 2 2 4 2 7" xfId="27014" xr:uid="{01F7F810-8219-44D3-ADE9-4F23EB216A98}"/>
    <cellStyle name="Финансовый 37 2 2 2 2 4 3" xfId="9917" xr:uid="{00000000-0005-0000-0000-0000424C0000}"/>
    <cellStyle name="Финансовый 37 2 2 2 2 4 3 2" xfId="9918" xr:uid="{00000000-0005-0000-0000-0000434C0000}"/>
    <cellStyle name="Финансовый 37 2 2 2 2 4 3 2 2" xfId="13003" xr:uid="{00000000-0005-0000-0000-0000444C0000}"/>
    <cellStyle name="Финансовый 37 2 2 2 2 4 3 2 2 2" xfId="30092" xr:uid="{CEC68D0D-C88A-4B22-89A6-590AEF0AD684}"/>
    <cellStyle name="Финансовый 37 2 2 2 2 4 3 2 3" xfId="16235" xr:uid="{00000000-0005-0000-0000-0000454C0000}"/>
    <cellStyle name="Финансовый 37 2 2 2 2 4 3 2 3 2" xfId="33248" xr:uid="{6BE06EC9-F269-40EE-A3DB-2E86C07F4F65}"/>
    <cellStyle name="Финансовый 37 2 2 2 2 4 3 2 4" xfId="19316" xr:uid="{00000000-0005-0000-0000-0000464C0000}"/>
    <cellStyle name="Финансовый 37 2 2 2 2 4 3 2 4 2" xfId="36329" xr:uid="{123FE7DF-2C22-409B-A171-0998EC17E914}"/>
    <cellStyle name="Финансовый 37 2 2 2 2 4 3 2 5" xfId="27019" xr:uid="{0C7B462B-F5CC-4B9A-86F0-EEC602D414D4}"/>
    <cellStyle name="Финансовый 37 2 2 2 2 4 3 3" xfId="13002" xr:uid="{00000000-0005-0000-0000-0000474C0000}"/>
    <cellStyle name="Финансовый 37 2 2 2 2 4 3 3 2" xfId="30091" xr:uid="{3ED726B7-92C9-4615-99C2-B60CEE5B50F6}"/>
    <cellStyle name="Финансовый 37 2 2 2 2 4 3 4" xfId="16234" xr:uid="{00000000-0005-0000-0000-0000484C0000}"/>
    <cellStyle name="Финансовый 37 2 2 2 2 4 3 4 2" xfId="33247" xr:uid="{DB8327A7-A391-4954-99C7-46F6DB5F0172}"/>
    <cellStyle name="Финансовый 37 2 2 2 2 4 3 5" xfId="19315" xr:uid="{00000000-0005-0000-0000-0000494C0000}"/>
    <cellStyle name="Финансовый 37 2 2 2 2 4 3 5 2" xfId="36328" xr:uid="{54F39BDE-6CB3-4EA1-BB50-DE5A095C349E}"/>
    <cellStyle name="Финансовый 37 2 2 2 2 4 3 6" xfId="27018" xr:uid="{38B14D23-8EBE-45BD-93B2-61E8BFEB0377}"/>
    <cellStyle name="Финансовый 37 2 2 2 2 4 4" xfId="9919" xr:uid="{00000000-0005-0000-0000-00004A4C0000}"/>
    <cellStyle name="Финансовый 37 2 2 2 2 4 4 2" xfId="13004" xr:uid="{00000000-0005-0000-0000-00004B4C0000}"/>
    <cellStyle name="Финансовый 37 2 2 2 2 4 4 2 2" xfId="30093" xr:uid="{DC99CFF9-16D4-4BB1-9B52-29D7952E6DCB}"/>
    <cellStyle name="Финансовый 37 2 2 2 2 4 4 3" xfId="16236" xr:uid="{00000000-0005-0000-0000-00004C4C0000}"/>
    <cellStyle name="Финансовый 37 2 2 2 2 4 4 3 2" xfId="33249" xr:uid="{136D8DC4-686D-49F5-9CF2-B0C05FD12F76}"/>
    <cellStyle name="Финансовый 37 2 2 2 2 4 4 4" xfId="19317" xr:uid="{00000000-0005-0000-0000-00004D4C0000}"/>
    <cellStyle name="Финансовый 37 2 2 2 2 4 4 4 2" xfId="36330" xr:uid="{4057632A-DC36-4C10-82BB-15C37B7B85EF}"/>
    <cellStyle name="Финансовый 37 2 2 2 2 4 4 5" xfId="27020" xr:uid="{B3C0FA1B-A762-41CB-B519-48CCE937CF9F}"/>
    <cellStyle name="Финансовый 37 2 2 2 2 4 5" xfId="12997" xr:uid="{00000000-0005-0000-0000-00004E4C0000}"/>
    <cellStyle name="Финансовый 37 2 2 2 2 4 5 2" xfId="30086" xr:uid="{D9A35DEB-0D68-4502-805A-9ACA8CAC6F17}"/>
    <cellStyle name="Финансовый 37 2 2 2 2 4 6" xfId="16229" xr:uid="{00000000-0005-0000-0000-00004F4C0000}"/>
    <cellStyle name="Финансовый 37 2 2 2 2 4 6 2" xfId="33242" xr:uid="{F8AF2C6F-4057-4D5D-B3A4-E4C86A6996D7}"/>
    <cellStyle name="Финансовый 37 2 2 2 2 4 7" xfId="19310" xr:uid="{00000000-0005-0000-0000-0000504C0000}"/>
    <cellStyle name="Финансовый 37 2 2 2 2 4 7 2" xfId="36323" xr:uid="{C0FC2B72-7D01-456C-B916-D134BA582BDA}"/>
    <cellStyle name="Финансовый 37 2 2 2 2 4 8" xfId="27013" xr:uid="{3ECAF0C9-BE9A-4F1D-B81A-454256982582}"/>
    <cellStyle name="Финансовый 37 2 2 2 2 5" xfId="9920" xr:uid="{00000000-0005-0000-0000-0000514C0000}"/>
    <cellStyle name="Финансовый 37 2 2 2 2 5 2" xfId="9921" xr:uid="{00000000-0005-0000-0000-0000524C0000}"/>
    <cellStyle name="Финансовый 37 2 2 2 2 5 2 2" xfId="9922" xr:uid="{00000000-0005-0000-0000-0000534C0000}"/>
    <cellStyle name="Финансовый 37 2 2 2 2 5 2 2 2" xfId="13007" xr:uid="{00000000-0005-0000-0000-0000544C0000}"/>
    <cellStyle name="Финансовый 37 2 2 2 2 5 2 2 2 2" xfId="30096" xr:uid="{1BE5A27C-FE48-4038-A7F4-6717B68CEC70}"/>
    <cellStyle name="Финансовый 37 2 2 2 2 5 2 2 3" xfId="16239" xr:uid="{00000000-0005-0000-0000-0000554C0000}"/>
    <cellStyle name="Финансовый 37 2 2 2 2 5 2 2 3 2" xfId="33252" xr:uid="{B7416B23-7196-4FF2-A641-D4E6FBC7A95F}"/>
    <cellStyle name="Финансовый 37 2 2 2 2 5 2 2 4" xfId="19320" xr:uid="{00000000-0005-0000-0000-0000564C0000}"/>
    <cellStyle name="Финансовый 37 2 2 2 2 5 2 2 4 2" xfId="36333" xr:uid="{FA93262D-C058-48F9-AFEC-5A30EB0146E4}"/>
    <cellStyle name="Финансовый 37 2 2 2 2 5 2 2 5" xfId="27023" xr:uid="{A7D255B5-1BF4-46FD-B624-481E86145525}"/>
    <cellStyle name="Финансовый 37 2 2 2 2 5 2 3" xfId="13006" xr:uid="{00000000-0005-0000-0000-0000574C0000}"/>
    <cellStyle name="Финансовый 37 2 2 2 2 5 2 3 2" xfId="30095" xr:uid="{78F6A117-2FE6-4F64-A1D1-543092CE0EE6}"/>
    <cellStyle name="Финансовый 37 2 2 2 2 5 2 4" xfId="16238" xr:uid="{00000000-0005-0000-0000-0000584C0000}"/>
    <cellStyle name="Финансовый 37 2 2 2 2 5 2 4 2" xfId="33251" xr:uid="{564F35A6-2F3A-4008-8F86-2C74E2FF514D}"/>
    <cellStyle name="Финансовый 37 2 2 2 2 5 2 5" xfId="19319" xr:uid="{00000000-0005-0000-0000-0000594C0000}"/>
    <cellStyle name="Финансовый 37 2 2 2 2 5 2 5 2" xfId="36332" xr:uid="{F47A737B-4A55-4559-A6DE-ACFFC39F0C4C}"/>
    <cellStyle name="Финансовый 37 2 2 2 2 5 2 6" xfId="27022" xr:uid="{C6B2D82D-3564-4C20-87FC-0A36FA32685C}"/>
    <cellStyle name="Финансовый 37 2 2 2 2 5 3" xfId="9923" xr:uid="{00000000-0005-0000-0000-00005A4C0000}"/>
    <cellStyle name="Финансовый 37 2 2 2 2 5 3 2" xfId="13008" xr:uid="{00000000-0005-0000-0000-00005B4C0000}"/>
    <cellStyle name="Финансовый 37 2 2 2 2 5 3 2 2" xfId="30097" xr:uid="{7DB757C3-C366-460B-B6B5-53FC90872E3C}"/>
    <cellStyle name="Финансовый 37 2 2 2 2 5 3 3" xfId="16240" xr:uid="{00000000-0005-0000-0000-00005C4C0000}"/>
    <cellStyle name="Финансовый 37 2 2 2 2 5 3 3 2" xfId="33253" xr:uid="{95CD9399-74BA-4473-87B4-11B29BD9AC60}"/>
    <cellStyle name="Финансовый 37 2 2 2 2 5 3 4" xfId="19321" xr:uid="{00000000-0005-0000-0000-00005D4C0000}"/>
    <cellStyle name="Финансовый 37 2 2 2 2 5 3 4 2" xfId="36334" xr:uid="{F659B4B4-A0F7-45A9-9152-378E35E695A1}"/>
    <cellStyle name="Финансовый 37 2 2 2 2 5 3 5" xfId="27024" xr:uid="{51E9636D-1B3E-41C9-8E08-518041B07E29}"/>
    <cellStyle name="Финансовый 37 2 2 2 2 5 4" xfId="13005" xr:uid="{00000000-0005-0000-0000-00005E4C0000}"/>
    <cellStyle name="Финансовый 37 2 2 2 2 5 4 2" xfId="30094" xr:uid="{2F1ABE83-78D1-488F-8640-B67FC40653F4}"/>
    <cellStyle name="Финансовый 37 2 2 2 2 5 5" xfId="16237" xr:uid="{00000000-0005-0000-0000-00005F4C0000}"/>
    <cellStyle name="Финансовый 37 2 2 2 2 5 5 2" xfId="33250" xr:uid="{FEB96F84-BEDB-4576-87C1-67F7923C7EAD}"/>
    <cellStyle name="Финансовый 37 2 2 2 2 5 6" xfId="19318" xr:uid="{00000000-0005-0000-0000-0000604C0000}"/>
    <cellStyle name="Финансовый 37 2 2 2 2 5 6 2" xfId="36331" xr:uid="{2E0C1802-DFC2-4065-86A0-2D5A31F22F8B}"/>
    <cellStyle name="Финансовый 37 2 2 2 2 5 7" xfId="27021" xr:uid="{5E8D39B5-D1D6-42EE-AEDD-55CF101F8A6D}"/>
    <cellStyle name="Финансовый 37 2 2 2 2 6" xfId="9924" xr:uid="{00000000-0005-0000-0000-0000614C0000}"/>
    <cellStyle name="Финансовый 37 2 2 2 2 6 2" xfId="9925" xr:uid="{00000000-0005-0000-0000-0000624C0000}"/>
    <cellStyle name="Финансовый 37 2 2 2 2 6 2 2" xfId="13010" xr:uid="{00000000-0005-0000-0000-0000634C0000}"/>
    <cellStyle name="Финансовый 37 2 2 2 2 6 2 2 2" xfId="30099" xr:uid="{4197B4C9-972E-4BB9-91C9-B35CBE40547B}"/>
    <cellStyle name="Финансовый 37 2 2 2 2 6 2 3" xfId="16242" xr:uid="{00000000-0005-0000-0000-0000644C0000}"/>
    <cellStyle name="Финансовый 37 2 2 2 2 6 2 3 2" xfId="33255" xr:uid="{4DC6A080-209A-45C9-9C13-8FCD5477187F}"/>
    <cellStyle name="Финансовый 37 2 2 2 2 6 2 4" xfId="19323" xr:uid="{00000000-0005-0000-0000-0000654C0000}"/>
    <cellStyle name="Финансовый 37 2 2 2 2 6 2 4 2" xfId="36336" xr:uid="{55D73242-07BE-4EFB-A555-2094A9F72F08}"/>
    <cellStyle name="Финансовый 37 2 2 2 2 6 2 5" xfId="27026" xr:uid="{F1F3543D-BB47-4411-84DB-461E331447A4}"/>
    <cellStyle name="Финансовый 37 2 2 2 2 6 3" xfId="13009" xr:uid="{00000000-0005-0000-0000-0000664C0000}"/>
    <cellStyle name="Финансовый 37 2 2 2 2 6 3 2" xfId="30098" xr:uid="{C3BB273A-0B36-40C2-899B-AD937C0D70C0}"/>
    <cellStyle name="Финансовый 37 2 2 2 2 6 4" xfId="16241" xr:uid="{00000000-0005-0000-0000-0000674C0000}"/>
    <cellStyle name="Финансовый 37 2 2 2 2 6 4 2" xfId="33254" xr:uid="{B2B90F77-F689-42B7-821C-3568C3E366A1}"/>
    <cellStyle name="Финансовый 37 2 2 2 2 6 5" xfId="19322" xr:uid="{00000000-0005-0000-0000-0000684C0000}"/>
    <cellStyle name="Финансовый 37 2 2 2 2 6 5 2" xfId="36335" xr:uid="{A6EA0E08-EB71-43BC-9284-A9B53446B5D2}"/>
    <cellStyle name="Финансовый 37 2 2 2 2 6 6" xfId="27025" xr:uid="{BA4A34E1-3EF4-4874-BEE5-1FE04069B687}"/>
    <cellStyle name="Финансовый 37 2 2 2 2 7" xfId="9926" xr:uid="{00000000-0005-0000-0000-0000694C0000}"/>
    <cellStyle name="Финансовый 37 2 2 2 2 7 2" xfId="13011" xr:uid="{00000000-0005-0000-0000-00006A4C0000}"/>
    <cellStyle name="Финансовый 37 2 2 2 2 7 2 2" xfId="30100" xr:uid="{E4C88203-9F7F-4AD1-B494-9B82AB1C24B9}"/>
    <cellStyle name="Финансовый 37 2 2 2 2 7 3" xfId="16243" xr:uid="{00000000-0005-0000-0000-00006B4C0000}"/>
    <cellStyle name="Финансовый 37 2 2 2 2 7 3 2" xfId="33256" xr:uid="{ECB67F57-C953-4697-857C-4EA7AA36609E}"/>
    <cellStyle name="Финансовый 37 2 2 2 2 7 4" xfId="19324" xr:uid="{00000000-0005-0000-0000-00006C4C0000}"/>
    <cellStyle name="Финансовый 37 2 2 2 2 7 4 2" xfId="36337" xr:uid="{0BE4F2CA-5FC4-491A-BEAA-80146FBCA5D4}"/>
    <cellStyle name="Финансовый 37 2 2 2 2 7 5" xfId="27027" xr:uid="{4D6C88FB-FBEC-4683-9CF5-431C98B656E4}"/>
    <cellStyle name="Финансовый 37 2 2 2 2 8" xfId="12948" xr:uid="{00000000-0005-0000-0000-00006D4C0000}"/>
    <cellStyle name="Финансовый 37 2 2 2 2 8 2" xfId="30037" xr:uid="{38A9D0B7-2288-48B7-B679-06FA1D95F6DF}"/>
    <cellStyle name="Финансовый 37 2 2 2 2 9" xfId="16180" xr:uid="{00000000-0005-0000-0000-00006E4C0000}"/>
    <cellStyle name="Финансовый 37 2 2 2 2 9 2" xfId="33193" xr:uid="{E384B643-F5C9-4AA5-8BCC-ABEB00D96666}"/>
    <cellStyle name="Финансовый 37 2 2 2 3" xfId="9927" xr:uid="{00000000-0005-0000-0000-00006F4C0000}"/>
    <cellStyle name="Финансовый 37 2 2 2 3 10" xfId="27028" xr:uid="{17C89D02-732E-481D-A72C-39A13CACD77D}"/>
    <cellStyle name="Финансовый 37 2 2 2 3 2" xfId="9928" xr:uid="{00000000-0005-0000-0000-0000704C0000}"/>
    <cellStyle name="Финансовый 37 2 2 2 3 2 2" xfId="9929" xr:uid="{00000000-0005-0000-0000-0000714C0000}"/>
    <cellStyle name="Финансовый 37 2 2 2 3 2 2 2" xfId="9930" xr:uid="{00000000-0005-0000-0000-0000724C0000}"/>
    <cellStyle name="Финансовый 37 2 2 2 3 2 2 2 2" xfId="9931" xr:uid="{00000000-0005-0000-0000-0000734C0000}"/>
    <cellStyle name="Финансовый 37 2 2 2 3 2 2 2 2 2" xfId="9932" xr:uid="{00000000-0005-0000-0000-0000744C0000}"/>
    <cellStyle name="Финансовый 37 2 2 2 3 2 2 2 2 2 2" xfId="13017" xr:uid="{00000000-0005-0000-0000-0000754C0000}"/>
    <cellStyle name="Финансовый 37 2 2 2 3 2 2 2 2 2 2 2" xfId="30106" xr:uid="{D6EEDCCB-E0CC-431B-BF86-275CDF018AFB}"/>
    <cellStyle name="Финансовый 37 2 2 2 3 2 2 2 2 2 3" xfId="16249" xr:uid="{00000000-0005-0000-0000-0000764C0000}"/>
    <cellStyle name="Финансовый 37 2 2 2 3 2 2 2 2 2 3 2" xfId="33262" xr:uid="{8F7F385C-48CE-4D0E-A40C-FEFDA8E57E64}"/>
    <cellStyle name="Финансовый 37 2 2 2 3 2 2 2 2 2 4" xfId="19330" xr:uid="{00000000-0005-0000-0000-0000774C0000}"/>
    <cellStyle name="Финансовый 37 2 2 2 3 2 2 2 2 2 4 2" xfId="36343" xr:uid="{A2E0B6E8-DF51-4CCB-834D-6BC44F7D9062}"/>
    <cellStyle name="Финансовый 37 2 2 2 3 2 2 2 2 2 5" xfId="27033" xr:uid="{42C21047-F275-4FC6-BE9F-3E023D1E3A41}"/>
    <cellStyle name="Финансовый 37 2 2 2 3 2 2 2 2 3" xfId="13016" xr:uid="{00000000-0005-0000-0000-0000784C0000}"/>
    <cellStyle name="Финансовый 37 2 2 2 3 2 2 2 2 3 2" xfId="30105" xr:uid="{EB120802-FD99-4F38-AA36-71A23200CDBB}"/>
    <cellStyle name="Финансовый 37 2 2 2 3 2 2 2 2 4" xfId="16248" xr:uid="{00000000-0005-0000-0000-0000794C0000}"/>
    <cellStyle name="Финансовый 37 2 2 2 3 2 2 2 2 4 2" xfId="33261" xr:uid="{A8AAB3C7-4748-46C6-B556-7FE98215E601}"/>
    <cellStyle name="Финансовый 37 2 2 2 3 2 2 2 2 5" xfId="19329" xr:uid="{00000000-0005-0000-0000-00007A4C0000}"/>
    <cellStyle name="Финансовый 37 2 2 2 3 2 2 2 2 5 2" xfId="36342" xr:uid="{7A23B073-3477-4ED9-8F2F-66492247DB18}"/>
    <cellStyle name="Финансовый 37 2 2 2 3 2 2 2 2 6" xfId="27032" xr:uid="{6CE7A01E-0F9B-49BF-B1C4-0DC8B109CAD0}"/>
    <cellStyle name="Финансовый 37 2 2 2 3 2 2 2 3" xfId="9933" xr:uid="{00000000-0005-0000-0000-00007B4C0000}"/>
    <cellStyle name="Финансовый 37 2 2 2 3 2 2 2 3 2" xfId="13018" xr:uid="{00000000-0005-0000-0000-00007C4C0000}"/>
    <cellStyle name="Финансовый 37 2 2 2 3 2 2 2 3 2 2" xfId="30107" xr:uid="{D9313606-E3F9-4ED2-B196-A0849733CDE8}"/>
    <cellStyle name="Финансовый 37 2 2 2 3 2 2 2 3 3" xfId="16250" xr:uid="{00000000-0005-0000-0000-00007D4C0000}"/>
    <cellStyle name="Финансовый 37 2 2 2 3 2 2 2 3 3 2" xfId="33263" xr:uid="{697641CF-446E-4EE1-A393-FDD24A43781B}"/>
    <cellStyle name="Финансовый 37 2 2 2 3 2 2 2 3 4" xfId="19331" xr:uid="{00000000-0005-0000-0000-00007E4C0000}"/>
    <cellStyle name="Финансовый 37 2 2 2 3 2 2 2 3 4 2" xfId="36344" xr:uid="{B26A2447-C1CA-4803-9F91-EFA9695780A7}"/>
    <cellStyle name="Финансовый 37 2 2 2 3 2 2 2 3 5" xfId="27034" xr:uid="{5466BF68-DB3C-49CC-BE73-DF55CE2999C6}"/>
    <cellStyle name="Финансовый 37 2 2 2 3 2 2 2 4" xfId="13015" xr:uid="{00000000-0005-0000-0000-00007F4C0000}"/>
    <cellStyle name="Финансовый 37 2 2 2 3 2 2 2 4 2" xfId="30104" xr:uid="{52468264-DDC0-4045-AF61-88FC645ECF69}"/>
    <cellStyle name="Финансовый 37 2 2 2 3 2 2 2 5" xfId="16247" xr:uid="{00000000-0005-0000-0000-0000804C0000}"/>
    <cellStyle name="Финансовый 37 2 2 2 3 2 2 2 5 2" xfId="33260" xr:uid="{2995FA24-D99D-4F92-BCE5-D9DDFAEE4293}"/>
    <cellStyle name="Финансовый 37 2 2 2 3 2 2 2 6" xfId="19328" xr:uid="{00000000-0005-0000-0000-0000814C0000}"/>
    <cellStyle name="Финансовый 37 2 2 2 3 2 2 2 6 2" xfId="36341" xr:uid="{6F4DA011-C747-4828-8FCB-DC002B3A9BCE}"/>
    <cellStyle name="Финансовый 37 2 2 2 3 2 2 2 7" xfId="27031" xr:uid="{8E8B6F97-CAE7-43F3-B344-130BAD524304}"/>
    <cellStyle name="Финансовый 37 2 2 2 3 2 2 3" xfId="9934" xr:uid="{00000000-0005-0000-0000-0000824C0000}"/>
    <cellStyle name="Финансовый 37 2 2 2 3 2 2 3 2" xfId="9935" xr:uid="{00000000-0005-0000-0000-0000834C0000}"/>
    <cellStyle name="Финансовый 37 2 2 2 3 2 2 3 2 2" xfId="13020" xr:uid="{00000000-0005-0000-0000-0000844C0000}"/>
    <cellStyle name="Финансовый 37 2 2 2 3 2 2 3 2 2 2" xfId="30109" xr:uid="{A4C53081-5AA2-4F17-A722-33E15D453384}"/>
    <cellStyle name="Финансовый 37 2 2 2 3 2 2 3 2 3" xfId="16252" xr:uid="{00000000-0005-0000-0000-0000854C0000}"/>
    <cellStyle name="Финансовый 37 2 2 2 3 2 2 3 2 3 2" xfId="33265" xr:uid="{A93EF67A-C9D2-4012-BB44-ABEA3CE7818D}"/>
    <cellStyle name="Финансовый 37 2 2 2 3 2 2 3 2 4" xfId="19333" xr:uid="{00000000-0005-0000-0000-0000864C0000}"/>
    <cellStyle name="Финансовый 37 2 2 2 3 2 2 3 2 4 2" xfId="36346" xr:uid="{81B131D3-149B-4276-A4B4-3E810DAFF78B}"/>
    <cellStyle name="Финансовый 37 2 2 2 3 2 2 3 2 5" xfId="27036" xr:uid="{5318BB80-2951-4B09-AF34-99AF3A94BBBF}"/>
    <cellStyle name="Финансовый 37 2 2 2 3 2 2 3 3" xfId="13019" xr:uid="{00000000-0005-0000-0000-0000874C0000}"/>
    <cellStyle name="Финансовый 37 2 2 2 3 2 2 3 3 2" xfId="30108" xr:uid="{4818D28C-0435-4569-9770-F861245674FC}"/>
    <cellStyle name="Финансовый 37 2 2 2 3 2 2 3 4" xfId="16251" xr:uid="{00000000-0005-0000-0000-0000884C0000}"/>
    <cellStyle name="Финансовый 37 2 2 2 3 2 2 3 4 2" xfId="33264" xr:uid="{317441F3-56A3-4AC5-BC87-716BC3509190}"/>
    <cellStyle name="Финансовый 37 2 2 2 3 2 2 3 5" xfId="19332" xr:uid="{00000000-0005-0000-0000-0000894C0000}"/>
    <cellStyle name="Финансовый 37 2 2 2 3 2 2 3 5 2" xfId="36345" xr:uid="{F73BBF9B-B43D-4951-9CA2-9E2075DA94BC}"/>
    <cellStyle name="Финансовый 37 2 2 2 3 2 2 3 6" xfId="27035" xr:uid="{062A224F-3E3D-4642-871F-37A357BD7D55}"/>
    <cellStyle name="Финансовый 37 2 2 2 3 2 2 4" xfId="9936" xr:uid="{00000000-0005-0000-0000-00008A4C0000}"/>
    <cellStyle name="Финансовый 37 2 2 2 3 2 2 4 2" xfId="13021" xr:uid="{00000000-0005-0000-0000-00008B4C0000}"/>
    <cellStyle name="Финансовый 37 2 2 2 3 2 2 4 2 2" xfId="30110" xr:uid="{99CE4049-DC44-4950-A8DD-778CF43A0A09}"/>
    <cellStyle name="Финансовый 37 2 2 2 3 2 2 4 3" xfId="16253" xr:uid="{00000000-0005-0000-0000-00008C4C0000}"/>
    <cellStyle name="Финансовый 37 2 2 2 3 2 2 4 3 2" xfId="33266" xr:uid="{9431BB63-9E05-475A-8DB0-25DFCBE84549}"/>
    <cellStyle name="Финансовый 37 2 2 2 3 2 2 4 4" xfId="19334" xr:uid="{00000000-0005-0000-0000-00008D4C0000}"/>
    <cellStyle name="Финансовый 37 2 2 2 3 2 2 4 4 2" xfId="36347" xr:uid="{AAAEA892-58CB-4B66-B3EA-C817D643970B}"/>
    <cellStyle name="Финансовый 37 2 2 2 3 2 2 4 5" xfId="27037" xr:uid="{69C413AE-9929-476B-82AA-3752DA10F903}"/>
    <cellStyle name="Финансовый 37 2 2 2 3 2 2 5" xfId="13014" xr:uid="{00000000-0005-0000-0000-00008E4C0000}"/>
    <cellStyle name="Финансовый 37 2 2 2 3 2 2 5 2" xfId="30103" xr:uid="{6418FA18-D768-490C-B569-E455B141015D}"/>
    <cellStyle name="Финансовый 37 2 2 2 3 2 2 6" xfId="16246" xr:uid="{00000000-0005-0000-0000-00008F4C0000}"/>
    <cellStyle name="Финансовый 37 2 2 2 3 2 2 6 2" xfId="33259" xr:uid="{72C5389F-1C77-4CD8-AFAB-98271A4887F6}"/>
    <cellStyle name="Финансовый 37 2 2 2 3 2 2 7" xfId="19327" xr:uid="{00000000-0005-0000-0000-0000904C0000}"/>
    <cellStyle name="Финансовый 37 2 2 2 3 2 2 7 2" xfId="36340" xr:uid="{0629FF4C-3A5A-42BB-9B4C-4A0D3BA59EE9}"/>
    <cellStyle name="Финансовый 37 2 2 2 3 2 2 8" xfId="27030" xr:uid="{378D1908-C2AB-4747-A113-8CBED715230B}"/>
    <cellStyle name="Финансовый 37 2 2 2 3 2 3" xfId="9937" xr:uid="{00000000-0005-0000-0000-0000914C0000}"/>
    <cellStyle name="Финансовый 37 2 2 2 3 2 3 2" xfId="9938" xr:uid="{00000000-0005-0000-0000-0000924C0000}"/>
    <cellStyle name="Финансовый 37 2 2 2 3 2 3 2 2" xfId="9939" xr:uid="{00000000-0005-0000-0000-0000934C0000}"/>
    <cellStyle name="Финансовый 37 2 2 2 3 2 3 2 2 2" xfId="13024" xr:uid="{00000000-0005-0000-0000-0000944C0000}"/>
    <cellStyle name="Финансовый 37 2 2 2 3 2 3 2 2 2 2" xfId="30113" xr:uid="{AEE11824-9880-4EA8-B998-EA97A955129F}"/>
    <cellStyle name="Финансовый 37 2 2 2 3 2 3 2 2 3" xfId="16256" xr:uid="{00000000-0005-0000-0000-0000954C0000}"/>
    <cellStyle name="Финансовый 37 2 2 2 3 2 3 2 2 3 2" xfId="33269" xr:uid="{FFDDD4A8-BBA4-4674-A65B-5FC0D0A2D0F9}"/>
    <cellStyle name="Финансовый 37 2 2 2 3 2 3 2 2 4" xfId="19337" xr:uid="{00000000-0005-0000-0000-0000964C0000}"/>
    <cellStyle name="Финансовый 37 2 2 2 3 2 3 2 2 4 2" xfId="36350" xr:uid="{89D6B272-E65C-4AED-B0ED-6034D68748B6}"/>
    <cellStyle name="Финансовый 37 2 2 2 3 2 3 2 2 5" xfId="27040" xr:uid="{B74D627F-FF92-472B-937D-F44C17424FFA}"/>
    <cellStyle name="Финансовый 37 2 2 2 3 2 3 2 3" xfId="13023" xr:uid="{00000000-0005-0000-0000-0000974C0000}"/>
    <cellStyle name="Финансовый 37 2 2 2 3 2 3 2 3 2" xfId="30112" xr:uid="{811014B3-944B-4EB7-ADA4-917B64B07D86}"/>
    <cellStyle name="Финансовый 37 2 2 2 3 2 3 2 4" xfId="16255" xr:uid="{00000000-0005-0000-0000-0000984C0000}"/>
    <cellStyle name="Финансовый 37 2 2 2 3 2 3 2 4 2" xfId="33268" xr:uid="{F8EA5874-1DFD-4F27-8772-B5DF4792FBAD}"/>
    <cellStyle name="Финансовый 37 2 2 2 3 2 3 2 5" xfId="19336" xr:uid="{00000000-0005-0000-0000-0000994C0000}"/>
    <cellStyle name="Финансовый 37 2 2 2 3 2 3 2 5 2" xfId="36349" xr:uid="{E6CF8BF8-95B1-4493-B44D-BB1CDF8EEF97}"/>
    <cellStyle name="Финансовый 37 2 2 2 3 2 3 2 6" xfId="27039" xr:uid="{A9150941-71B4-4DAD-9B66-85567AFEAB39}"/>
    <cellStyle name="Финансовый 37 2 2 2 3 2 3 3" xfId="9940" xr:uid="{00000000-0005-0000-0000-00009A4C0000}"/>
    <cellStyle name="Финансовый 37 2 2 2 3 2 3 3 2" xfId="13025" xr:uid="{00000000-0005-0000-0000-00009B4C0000}"/>
    <cellStyle name="Финансовый 37 2 2 2 3 2 3 3 2 2" xfId="30114" xr:uid="{59833153-4BC9-4968-BAE9-8D99C0A2C0D6}"/>
    <cellStyle name="Финансовый 37 2 2 2 3 2 3 3 3" xfId="16257" xr:uid="{00000000-0005-0000-0000-00009C4C0000}"/>
    <cellStyle name="Финансовый 37 2 2 2 3 2 3 3 3 2" xfId="33270" xr:uid="{0B8B0151-08A9-4979-8F29-CA3F6A8A2785}"/>
    <cellStyle name="Финансовый 37 2 2 2 3 2 3 3 4" xfId="19338" xr:uid="{00000000-0005-0000-0000-00009D4C0000}"/>
    <cellStyle name="Финансовый 37 2 2 2 3 2 3 3 4 2" xfId="36351" xr:uid="{53250A0C-EE26-4303-B23D-F85B95CF0071}"/>
    <cellStyle name="Финансовый 37 2 2 2 3 2 3 3 5" xfId="27041" xr:uid="{39B605B3-6243-43BC-BF81-51CE67D5307F}"/>
    <cellStyle name="Финансовый 37 2 2 2 3 2 3 4" xfId="13022" xr:uid="{00000000-0005-0000-0000-00009E4C0000}"/>
    <cellStyle name="Финансовый 37 2 2 2 3 2 3 4 2" xfId="30111" xr:uid="{2881CCBC-298E-411D-B7ED-148970D81F9C}"/>
    <cellStyle name="Финансовый 37 2 2 2 3 2 3 5" xfId="16254" xr:uid="{00000000-0005-0000-0000-00009F4C0000}"/>
    <cellStyle name="Финансовый 37 2 2 2 3 2 3 5 2" xfId="33267" xr:uid="{C322C47E-F656-4E32-91EC-420CBF12EECA}"/>
    <cellStyle name="Финансовый 37 2 2 2 3 2 3 6" xfId="19335" xr:uid="{00000000-0005-0000-0000-0000A04C0000}"/>
    <cellStyle name="Финансовый 37 2 2 2 3 2 3 6 2" xfId="36348" xr:uid="{D321688A-69E7-4C16-97CE-C561905433D2}"/>
    <cellStyle name="Финансовый 37 2 2 2 3 2 3 7" xfId="27038" xr:uid="{AB0E3527-9398-4E20-8D8C-3CA9D4B70A62}"/>
    <cellStyle name="Финансовый 37 2 2 2 3 2 4" xfId="9941" xr:uid="{00000000-0005-0000-0000-0000A14C0000}"/>
    <cellStyle name="Финансовый 37 2 2 2 3 2 4 2" xfId="9942" xr:uid="{00000000-0005-0000-0000-0000A24C0000}"/>
    <cellStyle name="Финансовый 37 2 2 2 3 2 4 2 2" xfId="13027" xr:uid="{00000000-0005-0000-0000-0000A34C0000}"/>
    <cellStyle name="Финансовый 37 2 2 2 3 2 4 2 2 2" xfId="30116" xr:uid="{E4A3D305-0576-4904-8F4B-371D76464B70}"/>
    <cellStyle name="Финансовый 37 2 2 2 3 2 4 2 3" xfId="16259" xr:uid="{00000000-0005-0000-0000-0000A44C0000}"/>
    <cellStyle name="Финансовый 37 2 2 2 3 2 4 2 3 2" xfId="33272" xr:uid="{70F2B594-4172-4A50-985B-C45803062F6A}"/>
    <cellStyle name="Финансовый 37 2 2 2 3 2 4 2 4" xfId="19340" xr:uid="{00000000-0005-0000-0000-0000A54C0000}"/>
    <cellStyle name="Финансовый 37 2 2 2 3 2 4 2 4 2" xfId="36353" xr:uid="{88EA2C5E-CA7C-4CEA-BE2E-91F7B22C0CA1}"/>
    <cellStyle name="Финансовый 37 2 2 2 3 2 4 2 5" xfId="27043" xr:uid="{255E9B1B-E28D-44DB-B05A-A4813A464E67}"/>
    <cellStyle name="Финансовый 37 2 2 2 3 2 4 3" xfId="13026" xr:uid="{00000000-0005-0000-0000-0000A64C0000}"/>
    <cellStyle name="Финансовый 37 2 2 2 3 2 4 3 2" xfId="30115" xr:uid="{5665556A-81B8-48A1-A77E-BF1304DDF716}"/>
    <cellStyle name="Финансовый 37 2 2 2 3 2 4 4" xfId="16258" xr:uid="{00000000-0005-0000-0000-0000A74C0000}"/>
    <cellStyle name="Финансовый 37 2 2 2 3 2 4 4 2" xfId="33271" xr:uid="{ADDCA6BB-F1A2-45F7-9B04-9517CDE12C83}"/>
    <cellStyle name="Финансовый 37 2 2 2 3 2 4 5" xfId="19339" xr:uid="{00000000-0005-0000-0000-0000A84C0000}"/>
    <cellStyle name="Финансовый 37 2 2 2 3 2 4 5 2" xfId="36352" xr:uid="{9BF03426-D34F-44EB-B1A5-C4AB7D592E53}"/>
    <cellStyle name="Финансовый 37 2 2 2 3 2 4 6" xfId="27042" xr:uid="{3C3624B5-B1B5-4DA2-986B-11DDEDA2E335}"/>
    <cellStyle name="Финансовый 37 2 2 2 3 2 5" xfId="9943" xr:uid="{00000000-0005-0000-0000-0000A94C0000}"/>
    <cellStyle name="Финансовый 37 2 2 2 3 2 5 2" xfId="13028" xr:uid="{00000000-0005-0000-0000-0000AA4C0000}"/>
    <cellStyle name="Финансовый 37 2 2 2 3 2 5 2 2" xfId="30117" xr:uid="{79924CE8-DF0A-4CFD-B346-BB4DBEE435C2}"/>
    <cellStyle name="Финансовый 37 2 2 2 3 2 5 3" xfId="16260" xr:uid="{00000000-0005-0000-0000-0000AB4C0000}"/>
    <cellStyle name="Финансовый 37 2 2 2 3 2 5 3 2" xfId="33273" xr:uid="{803C0BF2-DBFC-40DA-8941-B06E78DBFECC}"/>
    <cellStyle name="Финансовый 37 2 2 2 3 2 5 4" xfId="19341" xr:uid="{00000000-0005-0000-0000-0000AC4C0000}"/>
    <cellStyle name="Финансовый 37 2 2 2 3 2 5 4 2" xfId="36354" xr:uid="{D9A6E718-F41A-4E8F-B20F-78BCC244FC27}"/>
    <cellStyle name="Финансовый 37 2 2 2 3 2 5 5" xfId="27044" xr:uid="{BBFE2B09-ED18-459B-B541-752688C7FFB8}"/>
    <cellStyle name="Финансовый 37 2 2 2 3 2 6" xfId="13013" xr:uid="{00000000-0005-0000-0000-0000AD4C0000}"/>
    <cellStyle name="Финансовый 37 2 2 2 3 2 6 2" xfId="30102" xr:uid="{E62AC401-7909-4555-9C6C-283FA35DBF91}"/>
    <cellStyle name="Финансовый 37 2 2 2 3 2 7" xfId="16245" xr:uid="{00000000-0005-0000-0000-0000AE4C0000}"/>
    <cellStyle name="Финансовый 37 2 2 2 3 2 7 2" xfId="33258" xr:uid="{67DB88C7-EA22-4258-AF93-4935F97CA480}"/>
    <cellStyle name="Финансовый 37 2 2 2 3 2 8" xfId="19326" xr:uid="{00000000-0005-0000-0000-0000AF4C0000}"/>
    <cellStyle name="Финансовый 37 2 2 2 3 2 8 2" xfId="36339" xr:uid="{4BBBBB2E-9AA3-4704-976E-9D50E13851AF}"/>
    <cellStyle name="Финансовый 37 2 2 2 3 2 9" xfId="27029" xr:uid="{9D771764-486B-4AC3-8070-042157BE292C}"/>
    <cellStyle name="Финансовый 37 2 2 2 3 3" xfId="9944" xr:uid="{00000000-0005-0000-0000-0000B04C0000}"/>
    <cellStyle name="Финансовый 37 2 2 2 3 3 2" xfId="9945" xr:uid="{00000000-0005-0000-0000-0000B14C0000}"/>
    <cellStyle name="Финансовый 37 2 2 2 3 3 2 2" xfId="9946" xr:uid="{00000000-0005-0000-0000-0000B24C0000}"/>
    <cellStyle name="Финансовый 37 2 2 2 3 3 2 2 2" xfId="9947" xr:uid="{00000000-0005-0000-0000-0000B34C0000}"/>
    <cellStyle name="Финансовый 37 2 2 2 3 3 2 2 2 2" xfId="13032" xr:uid="{00000000-0005-0000-0000-0000B44C0000}"/>
    <cellStyle name="Финансовый 37 2 2 2 3 3 2 2 2 2 2" xfId="30121" xr:uid="{E52D32EA-F038-4DE5-A526-6C183363E56B}"/>
    <cellStyle name="Финансовый 37 2 2 2 3 3 2 2 2 3" xfId="16264" xr:uid="{00000000-0005-0000-0000-0000B54C0000}"/>
    <cellStyle name="Финансовый 37 2 2 2 3 3 2 2 2 3 2" xfId="33277" xr:uid="{5A230D9C-456C-4CF9-B3C4-9B356AAF5930}"/>
    <cellStyle name="Финансовый 37 2 2 2 3 3 2 2 2 4" xfId="19345" xr:uid="{00000000-0005-0000-0000-0000B64C0000}"/>
    <cellStyle name="Финансовый 37 2 2 2 3 3 2 2 2 4 2" xfId="36358" xr:uid="{6102458C-2968-404E-9753-4BD84DA47876}"/>
    <cellStyle name="Финансовый 37 2 2 2 3 3 2 2 2 5" xfId="27048" xr:uid="{2E935CC9-6F72-4A62-88AD-227A70E154AA}"/>
    <cellStyle name="Финансовый 37 2 2 2 3 3 2 2 3" xfId="13031" xr:uid="{00000000-0005-0000-0000-0000B74C0000}"/>
    <cellStyle name="Финансовый 37 2 2 2 3 3 2 2 3 2" xfId="30120" xr:uid="{8771182D-6F5E-4AEC-955B-47DAEC0D7EDE}"/>
    <cellStyle name="Финансовый 37 2 2 2 3 3 2 2 4" xfId="16263" xr:uid="{00000000-0005-0000-0000-0000B84C0000}"/>
    <cellStyle name="Финансовый 37 2 2 2 3 3 2 2 4 2" xfId="33276" xr:uid="{E71EEE92-3DCC-444D-9433-897AC45DACCD}"/>
    <cellStyle name="Финансовый 37 2 2 2 3 3 2 2 5" xfId="19344" xr:uid="{00000000-0005-0000-0000-0000B94C0000}"/>
    <cellStyle name="Финансовый 37 2 2 2 3 3 2 2 5 2" xfId="36357" xr:uid="{C35FCAF1-3299-424D-A9D3-BBBA8C543AF1}"/>
    <cellStyle name="Финансовый 37 2 2 2 3 3 2 2 6" xfId="27047" xr:uid="{DC640D4E-C130-4BC2-8DC2-F731083D2A30}"/>
    <cellStyle name="Финансовый 37 2 2 2 3 3 2 3" xfId="9948" xr:uid="{00000000-0005-0000-0000-0000BA4C0000}"/>
    <cellStyle name="Финансовый 37 2 2 2 3 3 2 3 2" xfId="13033" xr:uid="{00000000-0005-0000-0000-0000BB4C0000}"/>
    <cellStyle name="Финансовый 37 2 2 2 3 3 2 3 2 2" xfId="30122" xr:uid="{EE233AA4-B70C-44C2-A892-4C090DD7E899}"/>
    <cellStyle name="Финансовый 37 2 2 2 3 3 2 3 3" xfId="16265" xr:uid="{00000000-0005-0000-0000-0000BC4C0000}"/>
    <cellStyle name="Финансовый 37 2 2 2 3 3 2 3 3 2" xfId="33278" xr:uid="{1F627287-CD97-4468-89C8-408B7E20B138}"/>
    <cellStyle name="Финансовый 37 2 2 2 3 3 2 3 4" xfId="19346" xr:uid="{00000000-0005-0000-0000-0000BD4C0000}"/>
    <cellStyle name="Финансовый 37 2 2 2 3 3 2 3 4 2" xfId="36359" xr:uid="{0954848C-6181-40DB-B864-FDF421E66663}"/>
    <cellStyle name="Финансовый 37 2 2 2 3 3 2 3 5" xfId="27049" xr:uid="{C53BE03E-7E5F-4B50-87E5-7F74A09D3E98}"/>
    <cellStyle name="Финансовый 37 2 2 2 3 3 2 4" xfId="13030" xr:uid="{00000000-0005-0000-0000-0000BE4C0000}"/>
    <cellStyle name="Финансовый 37 2 2 2 3 3 2 4 2" xfId="30119" xr:uid="{C6329BC2-E2F8-414A-89DC-B74C53D9C19F}"/>
    <cellStyle name="Финансовый 37 2 2 2 3 3 2 5" xfId="16262" xr:uid="{00000000-0005-0000-0000-0000BF4C0000}"/>
    <cellStyle name="Финансовый 37 2 2 2 3 3 2 5 2" xfId="33275" xr:uid="{ACBBE768-AABD-40B6-BFB4-04541854EF14}"/>
    <cellStyle name="Финансовый 37 2 2 2 3 3 2 6" xfId="19343" xr:uid="{00000000-0005-0000-0000-0000C04C0000}"/>
    <cellStyle name="Финансовый 37 2 2 2 3 3 2 6 2" xfId="36356" xr:uid="{1162BA76-4629-4D0D-B27F-824E64617C51}"/>
    <cellStyle name="Финансовый 37 2 2 2 3 3 2 7" xfId="27046" xr:uid="{6E83AECC-E0E2-4293-95AE-EFB1FB7921D1}"/>
    <cellStyle name="Финансовый 37 2 2 2 3 3 3" xfId="9949" xr:uid="{00000000-0005-0000-0000-0000C14C0000}"/>
    <cellStyle name="Финансовый 37 2 2 2 3 3 3 2" xfId="9950" xr:uid="{00000000-0005-0000-0000-0000C24C0000}"/>
    <cellStyle name="Финансовый 37 2 2 2 3 3 3 2 2" xfId="13035" xr:uid="{00000000-0005-0000-0000-0000C34C0000}"/>
    <cellStyle name="Финансовый 37 2 2 2 3 3 3 2 2 2" xfId="30124" xr:uid="{6C88D2DA-276F-49E7-866D-58FB3B7E7F70}"/>
    <cellStyle name="Финансовый 37 2 2 2 3 3 3 2 3" xfId="16267" xr:uid="{00000000-0005-0000-0000-0000C44C0000}"/>
    <cellStyle name="Финансовый 37 2 2 2 3 3 3 2 3 2" xfId="33280" xr:uid="{B1E51EC5-827F-4AD9-A2BF-1F2CCEB19405}"/>
    <cellStyle name="Финансовый 37 2 2 2 3 3 3 2 4" xfId="19348" xr:uid="{00000000-0005-0000-0000-0000C54C0000}"/>
    <cellStyle name="Финансовый 37 2 2 2 3 3 3 2 4 2" xfId="36361" xr:uid="{0613F517-0295-45B4-A342-BCC177CE18BB}"/>
    <cellStyle name="Финансовый 37 2 2 2 3 3 3 2 5" xfId="27051" xr:uid="{DACE94B8-4968-4929-B660-B271D0215EC8}"/>
    <cellStyle name="Финансовый 37 2 2 2 3 3 3 3" xfId="13034" xr:uid="{00000000-0005-0000-0000-0000C64C0000}"/>
    <cellStyle name="Финансовый 37 2 2 2 3 3 3 3 2" xfId="30123" xr:uid="{5B873ACA-06E5-4A5A-8854-35A5F0C254BB}"/>
    <cellStyle name="Финансовый 37 2 2 2 3 3 3 4" xfId="16266" xr:uid="{00000000-0005-0000-0000-0000C74C0000}"/>
    <cellStyle name="Финансовый 37 2 2 2 3 3 3 4 2" xfId="33279" xr:uid="{53C06EA6-21D9-4444-AF39-D88AF3F3E875}"/>
    <cellStyle name="Финансовый 37 2 2 2 3 3 3 5" xfId="19347" xr:uid="{00000000-0005-0000-0000-0000C84C0000}"/>
    <cellStyle name="Финансовый 37 2 2 2 3 3 3 5 2" xfId="36360" xr:uid="{52900A46-E837-4474-95E1-81A161811E14}"/>
    <cellStyle name="Финансовый 37 2 2 2 3 3 3 6" xfId="27050" xr:uid="{3D9DB035-F528-4F69-802F-E80316052360}"/>
    <cellStyle name="Финансовый 37 2 2 2 3 3 4" xfId="9951" xr:uid="{00000000-0005-0000-0000-0000C94C0000}"/>
    <cellStyle name="Финансовый 37 2 2 2 3 3 4 2" xfId="13036" xr:uid="{00000000-0005-0000-0000-0000CA4C0000}"/>
    <cellStyle name="Финансовый 37 2 2 2 3 3 4 2 2" xfId="30125" xr:uid="{E040FBF7-AE0E-498E-BAC3-E408B6359E09}"/>
    <cellStyle name="Финансовый 37 2 2 2 3 3 4 3" xfId="16268" xr:uid="{00000000-0005-0000-0000-0000CB4C0000}"/>
    <cellStyle name="Финансовый 37 2 2 2 3 3 4 3 2" xfId="33281" xr:uid="{6E936F68-F7C1-4DB1-9E2D-832F5FD4D7DC}"/>
    <cellStyle name="Финансовый 37 2 2 2 3 3 4 4" xfId="19349" xr:uid="{00000000-0005-0000-0000-0000CC4C0000}"/>
    <cellStyle name="Финансовый 37 2 2 2 3 3 4 4 2" xfId="36362" xr:uid="{501B7DCB-0A30-4E73-8761-62795BC9CE3C}"/>
    <cellStyle name="Финансовый 37 2 2 2 3 3 4 5" xfId="27052" xr:uid="{5E8BBDE4-D850-480A-9BF8-D1529ABD35E7}"/>
    <cellStyle name="Финансовый 37 2 2 2 3 3 5" xfId="13029" xr:uid="{00000000-0005-0000-0000-0000CD4C0000}"/>
    <cellStyle name="Финансовый 37 2 2 2 3 3 5 2" xfId="30118" xr:uid="{7269CA65-6B98-4593-8985-029D1760C756}"/>
    <cellStyle name="Финансовый 37 2 2 2 3 3 6" xfId="16261" xr:uid="{00000000-0005-0000-0000-0000CE4C0000}"/>
    <cellStyle name="Финансовый 37 2 2 2 3 3 6 2" xfId="33274" xr:uid="{B94E5922-1A83-4009-A255-556BD4A38B6F}"/>
    <cellStyle name="Финансовый 37 2 2 2 3 3 7" xfId="19342" xr:uid="{00000000-0005-0000-0000-0000CF4C0000}"/>
    <cellStyle name="Финансовый 37 2 2 2 3 3 7 2" xfId="36355" xr:uid="{5CBD09D4-528C-475C-8510-75FCCBD347F0}"/>
    <cellStyle name="Финансовый 37 2 2 2 3 3 8" xfId="27045" xr:uid="{BF26B8E6-BC3C-4889-BAA3-5C2B0F5E793C}"/>
    <cellStyle name="Финансовый 37 2 2 2 3 4" xfId="9952" xr:uid="{00000000-0005-0000-0000-0000D04C0000}"/>
    <cellStyle name="Финансовый 37 2 2 2 3 4 2" xfId="9953" xr:uid="{00000000-0005-0000-0000-0000D14C0000}"/>
    <cellStyle name="Финансовый 37 2 2 2 3 4 2 2" xfId="9954" xr:uid="{00000000-0005-0000-0000-0000D24C0000}"/>
    <cellStyle name="Финансовый 37 2 2 2 3 4 2 2 2" xfId="13039" xr:uid="{00000000-0005-0000-0000-0000D34C0000}"/>
    <cellStyle name="Финансовый 37 2 2 2 3 4 2 2 2 2" xfId="30128" xr:uid="{864D66B2-F60A-45DD-90A8-3DE08D289763}"/>
    <cellStyle name="Финансовый 37 2 2 2 3 4 2 2 3" xfId="16271" xr:uid="{00000000-0005-0000-0000-0000D44C0000}"/>
    <cellStyle name="Финансовый 37 2 2 2 3 4 2 2 3 2" xfId="33284" xr:uid="{BD84E3BF-082B-45B1-A551-0EBE83FC040F}"/>
    <cellStyle name="Финансовый 37 2 2 2 3 4 2 2 4" xfId="19352" xr:uid="{00000000-0005-0000-0000-0000D54C0000}"/>
    <cellStyle name="Финансовый 37 2 2 2 3 4 2 2 4 2" xfId="36365" xr:uid="{54F532D2-8B03-4639-856B-121D183967AF}"/>
    <cellStyle name="Финансовый 37 2 2 2 3 4 2 2 5" xfId="27055" xr:uid="{7D1D494F-B977-47FE-ADD7-14ECCA870B23}"/>
    <cellStyle name="Финансовый 37 2 2 2 3 4 2 3" xfId="13038" xr:uid="{00000000-0005-0000-0000-0000D64C0000}"/>
    <cellStyle name="Финансовый 37 2 2 2 3 4 2 3 2" xfId="30127" xr:uid="{E46353AE-5549-49E8-B34D-8187CA77597D}"/>
    <cellStyle name="Финансовый 37 2 2 2 3 4 2 4" xfId="16270" xr:uid="{00000000-0005-0000-0000-0000D74C0000}"/>
    <cellStyle name="Финансовый 37 2 2 2 3 4 2 4 2" xfId="33283" xr:uid="{E9C3F46A-530C-4033-B054-1A7F4E7D1495}"/>
    <cellStyle name="Финансовый 37 2 2 2 3 4 2 5" xfId="19351" xr:uid="{00000000-0005-0000-0000-0000D84C0000}"/>
    <cellStyle name="Финансовый 37 2 2 2 3 4 2 5 2" xfId="36364" xr:uid="{489B9FEF-11B5-4F07-AA4F-C78F00286718}"/>
    <cellStyle name="Финансовый 37 2 2 2 3 4 2 6" xfId="27054" xr:uid="{12073DBE-9B3F-426F-992A-A3FCE20F90BC}"/>
    <cellStyle name="Финансовый 37 2 2 2 3 4 3" xfId="9955" xr:uid="{00000000-0005-0000-0000-0000D94C0000}"/>
    <cellStyle name="Финансовый 37 2 2 2 3 4 3 2" xfId="13040" xr:uid="{00000000-0005-0000-0000-0000DA4C0000}"/>
    <cellStyle name="Финансовый 37 2 2 2 3 4 3 2 2" xfId="30129" xr:uid="{C4A97731-77B3-40B0-B57D-0DAB4AE6A56E}"/>
    <cellStyle name="Финансовый 37 2 2 2 3 4 3 3" xfId="16272" xr:uid="{00000000-0005-0000-0000-0000DB4C0000}"/>
    <cellStyle name="Финансовый 37 2 2 2 3 4 3 3 2" xfId="33285" xr:uid="{2FDC31EC-2EDC-4D2F-A6D3-9F34B50A4416}"/>
    <cellStyle name="Финансовый 37 2 2 2 3 4 3 4" xfId="19353" xr:uid="{00000000-0005-0000-0000-0000DC4C0000}"/>
    <cellStyle name="Финансовый 37 2 2 2 3 4 3 4 2" xfId="36366" xr:uid="{580D6180-8447-4DE5-8F9D-46E52C10154B}"/>
    <cellStyle name="Финансовый 37 2 2 2 3 4 3 5" xfId="27056" xr:uid="{711420E2-3562-4D56-A92A-E3CEBBFA9B39}"/>
    <cellStyle name="Финансовый 37 2 2 2 3 4 4" xfId="13037" xr:uid="{00000000-0005-0000-0000-0000DD4C0000}"/>
    <cellStyle name="Финансовый 37 2 2 2 3 4 4 2" xfId="30126" xr:uid="{2D35FE00-179D-4F25-8612-92B55810BD4B}"/>
    <cellStyle name="Финансовый 37 2 2 2 3 4 5" xfId="16269" xr:uid="{00000000-0005-0000-0000-0000DE4C0000}"/>
    <cellStyle name="Финансовый 37 2 2 2 3 4 5 2" xfId="33282" xr:uid="{0D4AC75B-B1E2-4AEC-B874-46763AE70852}"/>
    <cellStyle name="Финансовый 37 2 2 2 3 4 6" xfId="19350" xr:uid="{00000000-0005-0000-0000-0000DF4C0000}"/>
    <cellStyle name="Финансовый 37 2 2 2 3 4 6 2" xfId="36363" xr:uid="{BD745A09-9DFB-4742-BA8C-3100273A039D}"/>
    <cellStyle name="Финансовый 37 2 2 2 3 4 7" xfId="27053" xr:uid="{F513E36A-6C32-4E4A-8B25-F0010BF64011}"/>
    <cellStyle name="Финансовый 37 2 2 2 3 5" xfId="9956" xr:uid="{00000000-0005-0000-0000-0000E04C0000}"/>
    <cellStyle name="Финансовый 37 2 2 2 3 5 2" xfId="9957" xr:uid="{00000000-0005-0000-0000-0000E14C0000}"/>
    <cellStyle name="Финансовый 37 2 2 2 3 5 2 2" xfId="13042" xr:uid="{00000000-0005-0000-0000-0000E24C0000}"/>
    <cellStyle name="Финансовый 37 2 2 2 3 5 2 2 2" xfId="30131" xr:uid="{29DCA8B7-9573-401E-866D-7A01E31DD585}"/>
    <cellStyle name="Финансовый 37 2 2 2 3 5 2 3" xfId="16274" xr:uid="{00000000-0005-0000-0000-0000E34C0000}"/>
    <cellStyle name="Финансовый 37 2 2 2 3 5 2 3 2" xfId="33287" xr:uid="{58091DB6-B6F7-476B-BECE-A81F7B7E035B}"/>
    <cellStyle name="Финансовый 37 2 2 2 3 5 2 4" xfId="19355" xr:uid="{00000000-0005-0000-0000-0000E44C0000}"/>
    <cellStyle name="Финансовый 37 2 2 2 3 5 2 4 2" xfId="36368" xr:uid="{5555DA34-DA6F-411E-AB7E-25CEFE4A3E90}"/>
    <cellStyle name="Финансовый 37 2 2 2 3 5 2 5" xfId="27058" xr:uid="{69EE1514-DBA9-4560-952B-4833842F4BEA}"/>
    <cellStyle name="Финансовый 37 2 2 2 3 5 3" xfId="13041" xr:uid="{00000000-0005-0000-0000-0000E54C0000}"/>
    <cellStyle name="Финансовый 37 2 2 2 3 5 3 2" xfId="30130" xr:uid="{18D3443E-D344-4C50-851B-66AF2F0CCEF7}"/>
    <cellStyle name="Финансовый 37 2 2 2 3 5 4" xfId="16273" xr:uid="{00000000-0005-0000-0000-0000E64C0000}"/>
    <cellStyle name="Финансовый 37 2 2 2 3 5 4 2" xfId="33286" xr:uid="{08379F45-28EE-4265-AF96-DCB5ADA356AA}"/>
    <cellStyle name="Финансовый 37 2 2 2 3 5 5" xfId="19354" xr:uid="{00000000-0005-0000-0000-0000E74C0000}"/>
    <cellStyle name="Финансовый 37 2 2 2 3 5 5 2" xfId="36367" xr:uid="{74E1F1AE-4DD3-48B8-AEAC-4F5B2534F67C}"/>
    <cellStyle name="Финансовый 37 2 2 2 3 5 6" xfId="27057" xr:uid="{1C7DDCCE-100F-4124-A157-3F378BE96BFA}"/>
    <cellStyle name="Финансовый 37 2 2 2 3 6" xfId="9958" xr:uid="{00000000-0005-0000-0000-0000E84C0000}"/>
    <cellStyle name="Финансовый 37 2 2 2 3 6 2" xfId="13043" xr:uid="{00000000-0005-0000-0000-0000E94C0000}"/>
    <cellStyle name="Финансовый 37 2 2 2 3 6 2 2" xfId="30132" xr:uid="{21C55B06-AB82-4266-9D0A-9A307567F91E}"/>
    <cellStyle name="Финансовый 37 2 2 2 3 6 3" xfId="16275" xr:uid="{00000000-0005-0000-0000-0000EA4C0000}"/>
    <cellStyle name="Финансовый 37 2 2 2 3 6 3 2" xfId="33288" xr:uid="{935EE640-2565-48D7-A00B-E0EF55347DD6}"/>
    <cellStyle name="Финансовый 37 2 2 2 3 6 4" xfId="19356" xr:uid="{00000000-0005-0000-0000-0000EB4C0000}"/>
    <cellStyle name="Финансовый 37 2 2 2 3 6 4 2" xfId="36369" xr:uid="{A46143AE-A416-46AD-B7B9-CAC979A0F856}"/>
    <cellStyle name="Финансовый 37 2 2 2 3 6 5" xfId="27059" xr:uid="{5C301F70-7EB1-4E5B-8A37-9FD694D14B84}"/>
    <cellStyle name="Финансовый 37 2 2 2 3 7" xfId="13012" xr:uid="{00000000-0005-0000-0000-0000EC4C0000}"/>
    <cellStyle name="Финансовый 37 2 2 2 3 7 2" xfId="30101" xr:uid="{6148916E-D066-4BB7-8EF8-421A8EF5D3D0}"/>
    <cellStyle name="Финансовый 37 2 2 2 3 8" xfId="16244" xr:uid="{00000000-0005-0000-0000-0000ED4C0000}"/>
    <cellStyle name="Финансовый 37 2 2 2 3 8 2" xfId="33257" xr:uid="{00601120-A2A3-47E9-90FB-26E761CCD3A7}"/>
    <cellStyle name="Финансовый 37 2 2 2 3 9" xfId="19325" xr:uid="{00000000-0005-0000-0000-0000EE4C0000}"/>
    <cellStyle name="Финансовый 37 2 2 2 3 9 2" xfId="36338" xr:uid="{E740A153-CB3C-4697-9370-EC76C452A6F6}"/>
    <cellStyle name="Финансовый 37 2 2 2 4" xfId="9959" xr:uid="{00000000-0005-0000-0000-0000EF4C0000}"/>
    <cellStyle name="Финансовый 37 2 2 2 4 2" xfId="9960" xr:uid="{00000000-0005-0000-0000-0000F04C0000}"/>
    <cellStyle name="Финансовый 37 2 2 2 4 2 2" xfId="9961" xr:uid="{00000000-0005-0000-0000-0000F14C0000}"/>
    <cellStyle name="Финансовый 37 2 2 2 4 2 2 2" xfId="9962" xr:uid="{00000000-0005-0000-0000-0000F24C0000}"/>
    <cellStyle name="Финансовый 37 2 2 2 4 2 2 2 2" xfId="9963" xr:uid="{00000000-0005-0000-0000-0000F34C0000}"/>
    <cellStyle name="Финансовый 37 2 2 2 4 2 2 2 2 2" xfId="13048" xr:uid="{00000000-0005-0000-0000-0000F44C0000}"/>
    <cellStyle name="Финансовый 37 2 2 2 4 2 2 2 2 2 2" xfId="30137" xr:uid="{D4BDFB90-5CEA-4BA2-84AE-0BE1E4490B5E}"/>
    <cellStyle name="Финансовый 37 2 2 2 4 2 2 2 2 3" xfId="16280" xr:uid="{00000000-0005-0000-0000-0000F54C0000}"/>
    <cellStyle name="Финансовый 37 2 2 2 4 2 2 2 2 3 2" xfId="33293" xr:uid="{F10A96AC-EDD7-4C5E-AB68-D270DACCDD7E}"/>
    <cellStyle name="Финансовый 37 2 2 2 4 2 2 2 2 4" xfId="19361" xr:uid="{00000000-0005-0000-0000-0000F64C0000}"/>
    <cellStyle name="Финансовый 37 2 2 2 4 2 2 2 2 4 2" xfId="36374" xr:uid="{88D56288-AA13-4BAD-AAAD-23A3B70A8FC5}"/>
    <cellStyle name="Финансовый 37 2 2 2 4 2 2 2 2 5" xfId="27064" xr:uid="{0634952D-3E68-4DD8-B58F-8061A9E8C8C7}"/>
    <cellStyle name="Финансовый 37 2 2 2 4 2 2 2 3" xfId="13047" xr:uid="{00000000-0005-0000-0000-0000F74C0000}"/>
    <cellStyle name="Финансовый 37 2 2 2 4 2 2 2 3 2" xfId="30136" xr:uid="{AE30065F-7FAB-4677-9DE8-D4D6EED490B7}"/>
    <cellStyle name="Финансовый 37 2 2 2 4 2 2 2 4" xfId="16279" xr:uid="{00000000-0005-0000-0000-0000F84C0000}"/>
    <cellStyle name="Финансовый 37 2 2 2 4 2 2 2 4 2" xfId="33292" xr:uid="{1DFC8DA7-BF41-4736-9BBF-7D862ABFB3C8}"/>
    <cellStyle name="Финансовый 37 2 2 2 4 2 2 2 5" xfId="19360" xr:uid="{00000000-0005-0000-0000-0000F94C0000}"/>
    <cellStyle name="Финансовый 37 2 2 2 4 2 2 2 5 2" xfId="36373" xr:uid="{A56A6C39-BCF2-41D4-BD3E-E4FEE088C3D5}"/>
    <cellStyle name="Финансовый 37 2 2 2 4 2 2 2 6" xfId="27063" xr:uid="{EC0D9BCB-5356-4B02-A59F-CF3CFCE4B250}"/>
    <cellStyle name="Финансовый 37 2 2 2 4 2 2 3" xfId="9964" xr:uid="{00000000-0005-0000-0000-0000FA4C0000}"/>
    <cellStyle name="Финансовый 37 2 2 2 4 2 2 3 2" xfId="13049" xr:uid="{00000000-0005-0000-0000-0000FB4C0000}"/>
    <cellStyle name="Финансовый 37 2 2 2 4 2 2 3 2 2" xfId="30138" xr:uid="{1759CAF9-D019-4698-987C-FF5E8C427F7F}"/>
    <cellStyle name="Финансовый 37 2 2 2 4 2 2 3 3" xfId="16281" xr:uid="{00000000-0005-0000-0000-0000FC4C0000}"/>
    <cellStyle name="Финансовый 37 2 2 2 4 2 2 3 3 2" xfId="33294" xr:uid="{AE16CD27-23BD-4359-9602-2DF5FCFE075D}"/>
    <cellStyle name="Финансовый 37 2 2 2 4 2 2 3 4" xfId="19362" xr:uid="{00000000-0005-0000-0000-0000FD4C0000}"/>
    <cellStyle name="Финансовый 37 2 2 2 4 2 2 3 4 2" xfId="36375" xr:uid="{F8BB8C20-702D-44AB-9E9B-811E0F343CDE}"/>
    <cellStyle name="Финансовый 37 2 2 2 4 2 2 3 5" xfId="27065" xr:uid="{C71AABBD-041A-4D4F-AE4A-3367AEEAE401}"/>
    <cellStyle name="Финансовый 37 2 2 2 4 2 2 4" xfId="13046" xr:uid="{00000000-0005-0000-0000-0000FE4C0000}"/>
    <cellStyle name="Финансовый 37 2 2 2 4 2 2 4 2" xfId="30135" xr:uid="{5C84B681-CD1B-428F-98BA-C32D4D3F2517}"/>
    <cellStyle name="Финансовый 37 2 2 2 4 2 2 5" xfId="16278" xr:uid="{00000000-0005-0000-0000-0000FF4C0000}"/>
    <cellStyle name="Финансовый 37 2 2 2 4 2 2 5 2" xfId="33291" xr:uid="{F7DB7652-10A6-407B-9084-BBD1DDABA197}"/>
    <cellStyle name="Финансовый 37 2 2 2 4 2 2 6" xfId="19359" xr:uid="{00000000-0005-0000-0000-0000004D0000}"/>
    <cellStyle name="Финансовый 37 2 2 2 4 2 2 6 2" xfId="36372" xr:uid="{0A98293B-6BBD-4213-8442-82D430A35E4C}"/>
    <cellStyle name="Финансовый 37 2 2 2 4 2 2 7" xfId="27062" xr:uid="{C1F4F8B5-80F0-423D-83C2-EEF900E05C05}"/>
    <cellStyle name="Финансовый 37 2 2 2 4 2 3" xfId="9965" xr:uid="{00000000-0005-0000-0000-0000014D0000}"/>
    <cellStyle name="Финансовый 37 2 2 2 4 2 3 2" xfId="9966" xr:uid="{00000000-0005-0000-0000-0000024D0000}"/>
    <cellStyle name="Финансовый 37 2 2 2 4 2 3 2 2" xfId="13051" xr:uid="{00000000-0005-0000-0000-0000034D0000}"/>
    <cellStyle name="Финансовый 37 2 2 2 4 2 3 2 2 2" xfId="30140" xr:uid="{8531578F-7EF2-40B4-A1EC-A0453194DBF4}"/>
    <cellStyle name="Финансовый 37 2 2 2 4 2 3 2 3" xfId="16283" xr:uid="{00000000-0005-0000-0000-0000044D0000}"/>
    <cellStyle name="Финансовый 37 2 2 2 4 2 3 2 3 2" xfId="33296" xr:uid="{D5A242FF-E50D-4CE5-B869-DE92ACDE8853}"/>
    <cellStyle name="Финансовый 37 2 2 2 4 2 3 2 4" xfId="19364" xr:uid="{00000000-0005-0000-0000-0000054D0000}"/>
    <cellStyle name="Финансовый 37 2 2 2 4 2 3 2 4 2" xfId="36377" xr:uid="{CF43C29B-6D38-4022-BA4C-80166476E896}"/>
    <cellStyle name="Финансовый 37 2 2 2 4 2 3 2 5" xfId="27067" xr:uid="{C4672C38-F464-4482-8F4B-CF5C5262E04F}"/>
    <cellStyle name="Финансовый 37 2 2 2 4 2 3 3" xfId="13050" xr:uid="{00000000-0005-0000-0000-0000064D0000}"/>
    <cellStyle name="Финансовый 37 2 2 2 4 2 3 3 2" xfId="30139" xr:uid="{F239E1F8-DC14-495F-A456-FA520F52DE45}"/>
    <cellStyle name="Финансовый 37 2 2 2 4 2 3 4" xfId="16282" xr:uid="{00000000-0005-0000-0000-0000074D0000}"/>
    <cellStyle name="Финансовый 37 2 2 2 4 2 3 4 2" xfId="33295" xr:uid="{04EBD437-9108-4900-9F0B-6C11D6E82EF6}"/>
    <cellStyle name="Финансовый 37 2 2 2 4 2 3 5" xfId="19363" xr:uid="{00000000-0005-0000-0000-0000084D0000}"/>
    <cellStyle name="Финансовый 37 2 2 2 4 2 3 5 2" xfId="36376" xr:uid="{2086E014-8BF2-47FE-82FF-D817688A09A1}"/>
    <cellStyle name="Финансовый 37 2 2 2 4 2 3 6" xfId="27066" xr:uid="{E6E6BED1-EF0B-48B7-86B1-06697126CC3E}"/>
    <cellStyle name="Финансовый 37 2 2 2 4 2 4" xfId="9967" xr:uid="{00000000-0005-0000-0000-0000094D0000}"/>
    <cellStyle name="Финансовый 37 2 2 2 4 2 4 2" xfId="13052" xr:uid="{00000000-0005-0000-0000-00000A4D0000}"/>
    <cellStyle name="Финансовый 37 2 2 2 4 2 4 2 2" xfId="30141" xr:uid="{AA728CB8-A893-41C2-94A1-9EC891613235}"/>
    <cellStyle name="Финансовый 37 2 2 2 4 2 4 3" xfId="16284" xr:uid="{00000000-0005-0000-0000-00000B4D0000}"/>
    <cellStyle name="Финансовый 37 2 2 2 4 2 4 3 2" xfId="33297" xr:uid="{35A3E89A-A5AA-45BB-A75E-C742642F49B7}"/>
    <cellStyle name="Финансовый 37 2 2 2 4 2 4 4" xfId="19365" xr:uid="{00000000-0005-0000-0000-00000C4D0000}"/>
    <cellStyle name="Финансовый 37 2 2 2 4 2 4 4 2" xfId="36378" xr:uid="{4A542FBC-C830-4DDF-84D9-C9ACDAE5E1D3}"/>
    <cellStyle name="Финансовый 37 2 2 2 4 2 4 5" xfId="27068" xr:uid="{4F97E1B4-5073-469F-9325-19D8BDE90F92}"/>
    <cellStyle name="Финансовый 37 2 2 2 4 2 5" xfId="13045" xr:uid="{00000000-0005-0000-0000-00000D4D0000}"/>
    <cellStyle name="Финансовый 37 2 2 2 4 2 5 2" xfId="30134" xr:uid="{E1ADB1FE-BCC8-4989-9E6B-49FB45CEEF6A}"/>
    <cellStyle name="Финансовый 37 2 2 2 4 2 6" xfId="16277" xr:uid="{00000000-0005-0000-0000-00000E4D0000}"/>
    <cellStyle name="Финансовый 37 2 2 2 4 2 6 2" xfId="33290" xr:uid="{C84A1456-1717-4E44-9B98-3B906FD8920A}"/>
    <cellStyle name="Финансовый 37 2 2 2 4 2 7" xfId="19358" xr:uid="{00000000-0005-0000-0000-00000F4D0000}"/>
    <cellStyle name="Финансовый 37 2 2 2 4 2 7 2" xfId="36371" xr:uid="{500830A8-D82A-48C2-A303-14964FE6A139}"/>
    <cellStyle name="Финансовый 37 2 2 2 4 2 8" xfId="27061" xr:uid="{8BD66919-E290-430F-B83D-2DBBBD09779A}"/>
    <cellStyle name="Финансовый 37 2 2 2 4 3" xfId="9968" xr:uid="{00000000-0005-0000-0000-0000104D0000}"/>
    <cellStyle name="Финансовый 37 2 2 2 4 3 2" xfId="9969" xr:uid="{00000000-0005-0000-0000-0000114D0000}"/>
    <cellStyle name="Финансовый 37 2 2 2 4 3 2 2" xfId="9970" xr:uid="{00000000-0005-0000-0000-0000124D0000}"/>
    <cellStyle name="Финансовый 37 2 2 2 4 3 2 2 2" xfId="13055" xr:uid="{00000000-0005-0000-0000-0000134D0000}"/>
    <cellStyle name="Финансовый 37 2 2 2 4 3 2 2 2 2" xfId="30144" xr:uid="{FC71C36C-69D4-42D5-97B4-6527C81C2927}"/>
    <cellStyle name="Финансовый 37 2 2 2 4 3 2 2 3" xfId="16287" xr:uid="{00000000-0005-0000-0000-0000144D0000}"/>
    <cellStyle name="Финансовый 37 2 2 2 4 3 2 2 3 2" xfId="33300" xr:uid="{70BDE728-22D2-4587-9D53-297AEB37E52B}"/>
    <cellStyle name="Финансовый 37 2 2 2 4 3 2 2 4" xfId="19368" xr:uid="{00000000-0005-0000-0000-0000154D0000}"/>
    <cellStyle name="Финансовый 37 2 2 2 4 3 2 2 4 2" xfId="36381" xr:uid="{7441F938-A193-437B-869F-0195F2C55EB4}"/>
    <cellStyle name="Финансовый 37 2 2 2 4 3 2 2 5" xfId="27071" xr:uid="{FD9009B4-F0AF-4951-AD57-7FEF4505DE2A}"/>
    <cellStyle name="Финансовый 37 2 2 2 4 3 2 3" xfId="13054" xr:uid="{00000000-0005-0000-0000-0000164D0000}"/>
    <cellStyle name="Финансовый 37 2 2 2 4 3 2 3 2" xfId="30143" xr:uid="{D4085FB2-6E93-403B-BB95-949CEDB1467F}"/>
    <cellStyle name="Финансовый 37 2 2 2 4 3 2 4" xfId="16286" xr:uid="{00000000-0005-0000-0000-0000174D0000}"/>
    <cellStyle name="Финансовый 37 2 2 2 4 3 2 4 2" xfId="33299" xr:uid="{C83D856F-6C8E-4A3F-B2C4-7834BE2D7A8D}"/>
    <cellStyle name="Финансовый 37 2 2 2 4 3 2 5" xfId="19367" xr:uid="{00000000-0005-0000-0000-0000184D0000}"/>
    <cellStyle name="Финансовый 37 2 2 2 4 3 2 5 2" xfId="36380" xr:uid="{BE31BF25-FBE1-446A-A5A8-CD052E36B806}"/>
    <cellStyle name="Финансовый 37 2 2 2 4 3 2 6" xfId="27070" xr:uid="{9A0EA8BD-679A-40BC-B785-7C543D4D2218}"/>
    <cellStyle name="Финансовый 37 2 2 2 4 3 3" xfId="9971" xr:uid="{00000000-0005-0000-0000-0000194D0000}"/>
    <cellStyle name="Финансовый 37 2 2 2 4 3 3 2" xfId="13056" xr:uid="{00000000-0005-0000-0000-00001A4D0000}"/>
    <cellStyle name="Финансовый 37 2 2 2 4 3 3 2 2" xfId="30145" xr:uid="{C129FF14-8F93-4C77-B943-3DB7DF43415F}"/>
    <cellStyle name="Финансовый 37 2 2 2 4 3 3 3" xfId="16288" xr:uid="{00000000-0005-0000-0000-00001B4D0000}"/>
    <cellStyle name="Финансовый 37 2 2 2 4 3 3 3 2" xfId="33301" xr:uid="{6368B82E-9451-4EBE-9F96-D644CBA94040}"/>
    <cellStyle name="Финансовый 37 2 2 2 4 3 3 4" xfId="19369" xr:uid="{00000000-0005-0000-0000-00001C4D0000}"/>
    <cellStyle name="Финансовый 37 2 2 2 4 3 3 4 2" xfId="36382" xr:uid="{D80475B5-4534-4785-8DC6-0A5C348D4A8F}"/>
    <cellStyle name="Финансовый 37 2 2 2 4 3 3 5" xfId="27072" xr:uid="{73F94232-A673-468B-8F7E-9A937EB4CDA2}"/>
    <cellStyle name="Финансовый 37 2 2 2 4 3 4" xfId="13053" xr:uid="{00000000-0005-0000-0000-00001D4D0000}"/>
    <cellStyle name="Финансовый 37 2 2 2 4 3 4 2" xfId="30142" xr:uid="{251D03D3-686D-4654-A148-9C014330DBEF}"/>
    <cellStyle name="Финансовый 37 2 2 2 4 3 5" xfId="16285" xr:uid="{00000000-0005-0000-0000-00001E4D0000}"/>
    <cellStyle name="Финансовый 37 2 2 2 4 3 5 2" xfId="33298" xr:uid="{6C5CEC72-3DF4-411A-B821-0DD4C3DC2298}"/>
    <cellStyle name="Финансовый 37 2 2 2 4 3 6" xfId="19366" xr:uid="{00000000-0005-0000-0000-00001F4D0000}"/>
    <cellStyle name="Финансовый 37 2 2 2 4 3 6 2" xfId="36379" xr:uid="{35FC854F-3AF6-434F-8B99-4C94D6A6161A}"/>
    <cellStyle name="Финансовый 37 2 2 2 4 3 7" xfId="27069" xr:uid="{7D91935A-6749-452D-82A4-10C887631E77}"/>
    <cellStyle name="Финансовый 37 2 2 2 4 4" xfId="9972" xr:uid="{00000000-0005-0000-0000-0000204D0000}"/>
    <cellStyle name="Финансовый 37 2 2 2 4 4 2" xfId="9973" xr:uid="{00000000-0005-0000-0000-0000214D0000}"/>
    <cellStyle name="Финансовый 37 2 2 2 4 4 2 2" xfId="13058" xr:uid="{00000000-0005-0000-0000-0000224D0000}"/>
    <cellStyle name="Финансовый 37 2 2 2 4 4 2 2 2" xfId="30147" xr:uid="{8B1E6D28-BCF8-4B0B-93C5-E3F1111FA0A5}"/>
    <cellStyle name="Финансовый 37 2 2 2 4 4 2 3" xfId="16290" xr:uid="{00000000-0005-0000-0000-0000234D0000}"/>
    <cellStyle name="Финансовый 37 2 2 2 4 4 2 3 2" xfId="33303" xr:uid="{FA0030A8-9C65-43B5-A25F-86B03E1B172E}"/>
    <cellStyle name="Финансовый 37 2 2 2 4 4 2 4" xfId="19371" xr:uid="{00000000-0005-0000-0000-0000244D0000}"/>
    <cellStyle name="Финансовый 37 2 2 2 4 4 2 4 2" xfId="36384" xr:uid="{28E8BA0C-CBEB-4EBB-A519-06EC21422507}"/>
    <cellStyle name="Финансовый 37 2 2 2 4 4 2 5" xfId="27074" xr:uid="{B1EBF136-C332-4C07-8FED-4CDEF4DFC6A9}"/>
    <cellStyle name="Финансовый 37 2 2 2 4 4 3" xfId="13057" xr:uid="{00000000-0005-0000-0000-0000254D0000}"/>
    <cellStyle name="Финансовый 37 2 2 2 4 4 3 2" xfId="30146" xr:uid="{E57C5394-AD1A-4913-9209-8C0359485282}"/>
    <cellStyle name="Финансовый 37 2 2 2 4 4 4" xfId="16289" xr:uid="{00000000-0005-0000-0000-0000264D0000}"/>
    <cellStyle name="Финансовый 37 2 2 2 4 4 4 2" xfId="33302" xr:uid="{54B289D8-64A2-4A4E-9A4E-68D72E335C5D}"/>
    <cellStyle name="Финансовый 37 2 2 2 4 4 5" xfId="19370" xr:uid="{00000000-0005-0000-0000-0000274D0000}"/>
    <cellStyle name="Финансовый 37 2 2 2 4 4 5 2" xfId="36383" xr:uid="{FB68E46C-3AFA-4D65-A021-44F20E53CA9E}"/>
    <cellStyle name="Финансовый 37 2 2 2 4 4 6" xfId="27073" xr:uid="{76B0382A-1538-44E3-A98A-0DD16A828985}"/>
    <cellStyle name="Финансовый 37 2 2 2 4 5" xfId="9974" xr:uid="{00000000-0005-0000-0000-0000284D0000}"/>
    <cellStyle name="Финансовый 37 2 2 2 4 5 2" xfId="13059" xr:uid="{00000000-0005-0000-0000-0000294D0000}"/>
    <cellStyle name="Финансовый 37 2 2 2 4 5 2 2" xfId="30148" xr:uid="{A47DB9E1-8C2B-4016-85D7-86BB35A298AB}"/>
    <cellStyle name="Финансовый 37 2 2 2 4 5 3" xfId="16291" xr:uid="{00000000-0005-0000-0000-00002A4D0000}"/>
    <cellStyle name="Финансовый 37 2 2 2 4 5 3 2" xfId="33304" xr:uid="{717DFB2A-60AD-48D5-96A0-47114EF5986C}"/>
    <cellStyle name="Финансовый 37 2 2 2 4 5 4" xfId="19372" xr:uid="{00000000-0005-0000-0000-00002B4D0000}"/>
    <cellStyle name="Финансовый 37 2 2 2 4 5 4 2" xfId="36385" xr:uid="{8CF82FE4-DC1E-479B-82EB-52332F999637}"/>
    <cellStyle name="Финансовый 37 2 2 2 4 5 5" xfId="27075" xr:uid="{83C6C21C-CC65-4B0E-9AC0-5ADD8F4DFFF1}"/>
    <cellStyle name="Финансовый 37 2 2 2 4 6" xfId="13044" xr:uid="{00000000-0005-0000-0000-00002C4D0000}"/>
    <cellStyle name="Финансовый 37 2 2 2 4 6 2" xfId="30133" xr:uid="{B5C3CF75-8DB3-4C62-9529-21F723609455}"/>
    <cellStyle name="Финансовый 37 2 2 2 4 7" xfId="16276" xr:uid="{00000000-0005-0000-0000-00002D4D0000}"/>
    <cellStyle name="Финансовый 37 2 2 2 4 7 2" xfId="33289" xr:uid="{4854D863-7F03-4561-AEDA-DBB810305551}"/>
    <cellStyle name="Финансовый 37 2 2 2 4 8" xfId="19357" xr:uid="{00000000-0005-0000-0000-00002E4D0000}"/>
    <cellStyle name="Финансовый 37 2 2 2 4 8 2" xfId="36370" xr:uid="{633E054D-FDE2-4068-886F-E0C29D0AB11A}"/>
    <cellStyle name="Финансовый 37 2 2 2 4 9" xfId="27060" xr:uid="{36423A05-86E2-46FA-9139-CFC51FA2609C}"/>
    <cellStyle name="Финансовый 37 2 2 2 5" xfId="9975" xr:uid="{00000000-0005-0000-0000-00002F4D0000}"/>
    <cellStyle name="Финансовый 37 2 2 2 5 2" xfId="9976" xr:uid="{00000000-0005-0000-0000-0000304D0000}"/>
    <cellStyle name="Финансовый 37 2 2 2 5 2 2" xfId="9977" xr:uid="{00000000-0005-0000-0000-0000314D0000}"/>
    <cellStyle name="Финансовый 37 2 2 2 5 2 2 2" xfId="9978" xr:uid="{00000000-0005-0000-0000-0000324D0000}"/>
    <cellStyle name="Финансовый 37 2 2 2 5 2 2 2 2" xfId="13063" xr:uid="{00000000-0005-0000-0000-0000334D0000}"/>
    <cellStyle name="Финансовый 37 2 2 2 5 2 2 2 2 2" xfId="30152" xr:uid="{A6DFF6F2-9C80-4E45-9066-55CD4E91714F}"/>
    <cellStyle name="Финансовый 37 2 2 2 5 2 2 2 3" xfId="16295" xr:uid="{00000000-0005-0000-0000-0000344D0000}"/>
    <cellStyle name="Финансовый 37 2 2 2 5 2 2 2 3 2" xfId="33308" xr:uid="{8243C1CD-567E-42A2-AAC8-4E9FB6322CA3}"/>
    <cellStyle name="Финансовый 37 2 2 2 5 2 2 2 4" xfId="19376" xr:uid="{00000000-0005-0000-0000-0000354D0000}"/>
    <cellStyle name="Финансовый 37 2 2 2 5 2 2 2 4 2" xfId="36389" xr:uid="{2C9C0E45-978B-41A5-9D4E-559FED0470F8}"/>
    <cellStyle name="Финансовый 37 2 2 2 5 2 2 2 5" xfId="27079" xr:uid="{E5AD00A9-48EA-4E33-9BF7-322FC073D13F}"/>
    <cellStyle name="Финансовый 37 2 2 2 5 2 2 3" xfId="13062" xr:uid="{00000000-0005-0000-0000-0000364D0000}"/>
    <cellStyle name="Финансовый 37 2 2 2 5 2 2 3 2" xfId="30151" xr:uid="{01C97524-EA72-466E-8655-6C10C49124EE}"/>
    <cellStyle name="Финансовый 37 2 2 2 5 2 2 4" xfId="16294" xr:uid="{00000000-0005-0000-0000-0000374D0000}"/>
    <cellStyle name="Финансовый 37 2 2 2 5 2 2 4 2" xfId="33307" xr:uid="{438D5D95-1127-422F-AD5D-C4F9D8E2FCD8}"/>
    <cellStyle name="Финансовый 37 2 2 2 5 2 2 5" xfId="19375" xr:uid="{00000000-0005-0000-0000-0000384D0000}"/>
    <cellStyle name="Финансовый 37 2 2 2 5 2 2 5 2" xfId="36388" xr:uid="{64D41E93-2577-456E-92FA-9BE73BE56546}"/>
    <cellStyle name="Финансовый 37 2 2 2 5 2 2 6" xfId="27078" xr:uid="{C7E960CD-5E10-4E25-AF73-9FD452D81525}"/>
    <cellStyle name="Финансовый 37 2 2 2 5 2 3" xfId="9979" xr:uid="{00000000-0005-0000-0000-0000394D0000}"/>
    <cellStyle name="Финансовый 37 2 2 2 5 2 3 2" xfId="13064" xr:uid="{00000000-0005-0000-0000-00003A4D0000}"/>
    <cellStyle name="Финансовый 37 2 2 2 5 2 3 2 2" xfId="30153" xr:uid="{ACA117C3-3BDD-4B32-BACE-E196FD3A034A}"/>
    <cellStyle name="Финансовый 37 2 2 2 5 2 3 3" xfId="16296" xr:uid="{00000000-0005-0000-0000-00003B4D0000}"/>
    <cellStyle name="Финансовый 37 2 2 2 5 2 3 3 2" xfId="33309" xr:uid="{6975D465-FE28-4DAC-8455-40B40D4A496D}"/>
    <cellStyle name="Финансовый 37 2 2 2 5 2 3 4" xfId="19377" xr:uid="{00000000-0005-0000-0000-00003C4D0000}"/>
    <cellStyle name="Финансовый 37 2 2 2 5 2 3 4 2" xfId="36390" xr:uid="{A612ED58-8793-4B9D-88B9-4651363A4ABD}"/>
    <cellStyle name="Финансовый 37 2 2 2 5 2 3 5" xfId="27080" xr:uid="{BD4EB491-5003-4B4B-9C32-10A95E633230}"/>
    <cellStyle name="Финансовый 37 2 2 2 5 2 4" xfId="13061" xr:uid="{00000000-0005-0000-0000-00003D4D0000}"/>
    <cellStyle name="Финансовый 37 2 2 2 5 2 4 2" xfId="30150" xr:uid="{01166F56-1448-4070-9B5B-50D98C691D50}"/>
    <cellStyle name="Финансовый 37 2 2 2 5 2 5" xfId="16293" xr:uid="{00000000-0005-0000-0000-00003E4D0000}"/>
    <cellStyle name="Финансовый 37 2 2 2 5 2 5 2" xfId="33306" xr:uid="{1013DCC2-3539-467F-ADF7-395298D9BEB4}"/>
    <cellStyle name="Финансовый 37 2 2 2 5 2 6" xfId="19374" xr:uid="{00000000-0005-0000-0000-00003F4D0000}"/>
    <cellStyle name="Финансовый 37 2 2 2 5 2 6 2" xfId="36387" xr:uid="{38EC1F01-A672-46DD-9C33-267082CDE9C1}"/>
    <cellStyle name="Финансовый 37 2 2 2 5 2 7" xfId="27077" xr:uid="{FD48625C-9157-433E-B177-1BBC8BC1C9E2}"/>
    <cellStyle name="Финансовый 37 2 2 2 5 3" xfId="9980" xr:uid="{00000000-0005-0000-0000-0000404D0000}"/>
    <cellStyle name="Финансовый 37 2 2 2 5 3 2" xfId="9981" xr:uid="{00000000-0005-0000-0000-0000414D0000}"/>
    <cellStyle name="Финансовый 37 2 2 2 5 3 2 2" xfId="13066" xr:uid="{00000000-0005-0000-0000-0000424D0000}"/>
    <cellStyle name="Финансовый 37 2 2 2 5 3 2 2 2" xfId="30155" xr:uid="{26BB4C7E-DDA0-4DA9-A989-B851E0D1D0F8}"/>
    <cellStyle name="Финансовый 37 2 2 2 5 3 2 3" xfId="16298" xr:uid="{00000000-0005-0000-0000-0000434D0000}"/>
    <cellStyle name="Финансовый 37 2 2 2 5 3 2 3 2" xfId="33311" xr:uid="{FC928D51-EA61-4BFB-81B5-DBDC4F3BF9D0}"/>
    <cellStyle name="Финансовый 37 2 2 2 5 3 2 4" xfId="19379" xr:uid="{00000000-0005-0000-0000-0000444D0000}"/>
    <cellStyle name="Финансовый 37 2 2 2 5 3 2 4 2" xfId="36392" xr:uid="{35F51A91-E9DC-4387-82C7-48981578078D}"/>
    <cellStyle name="Финансовый 37 2 2 2 5 3 2 5" xfId="27082" xr:uid="{BCF82073-F1AD-4C83-B973-198A7CBEC047}"/>
    <cellStyle name="Финансовый 37 2 2 2 5 3 3" xfId="13065" xr:uid="{00000000-0005-0000-0000-0000454D0000}"/>
    <cellStyle name="Финансовый 37 2 2 2 5 3 3 2" xfId="30154" xr:uid="{28CE6C1C-0BF4-4819-9050-6E85BF716575}"/>
    <cellStyle name="Финансовый 37 2 2 2 5 3 4" xfId="16297" xr:uid="{00000000-0005-0000-0000-0000464D0000}"/>
    <cellStyle name="Финансовый 37 2 2 2 5 3 4 2" xfId="33310" xr:uid="{1E181D4C-AA5B-4676-BC9F-62FAA5AF6313}"/>
    <cellStyle name="Финансовый 37 2 2 2 5 3 5" xfId="19378" xr:uid="{00000000-0005-0000-0000-0000474D0000}"/>
    <cellStyle name="Финансовый 37 2 2 2 5 3 5 2" xfId="36391" xr:uid="{500EBA95-6DD1-4CF1-A890-309E4687C854}"/>
    <cellStyle name="Финансовый 37 2 2 2 5 3 6" xfId="27081" xr:uid="{DF571DD6-1AF3-42F8-B8F0-5B34ABAD25C2}"/>
    <cellStyle name="Финансовый 37 2 2 2 5 4" xfId="9982" xr:uid="{00000000-0005-0000-0000-0000484D0000}"/>
    <cellStyle name="Финансовый 37 2 2 2 5 4 2" xfId="13067" xr:uid="{00000000-0005-0000-0000-0000494D0000}"/>
    <cellStyle name="Финансовый 37 2 2 2 5 4 2 2" xfId="30156" xr:uid="{BDCF576C-4414-4F1E-A1E5-5A30BD53D273}"/>
    <cellStyle name="Финансовый 37 2 2 2 5 4 3" xfId="16299" xr:uid="{00000000-0005-0000-0000-00004A4D0000}"/>
    <cellStyle name="Финансовый 37 2 2 2 5 4 3 2" xfId="33312" xr:uid="{873AAD6C-1014-4DBB-B1E0-09FA027FC896}"/>
    <cellStyle name="Финансовый 37 2 2 2 5 4 4" xfId="19380" xr:uid="{00000000-0005-0000-0000-00004B4D0000}"/>
    <cellStyle name="Финансовый 37 2 2 2 5 4 4 2" xfId="36393" xr:uid="{19A39840-666D-42B5-9153-A761938BD48B}"/>
    <cellStyle name="Финансовый 37 2 2 2 5 4 5" xfId="27083" xr:uid="{725B56C7-CF89-496C-9F23-F7CFC7E573EB}"/>
    <cellStyle name="Финансовый 37 2 2 2 5 5" xfId="13060" xr:uid="{00000000-0005-0000-0000-00004C4D0000}"/>
    <cellStyle name="Финансовый 37 2 2 2 5 5 2" xfId="30149" xr:uid="{6B2327A6-4961-47C5-BE54-6D747547B734}"/>
    <cellStyle name="Финансовый 37 2 2 2 5 6" xfId="16292" xr:uid="{00000000-0005-0000-0000-00004D4D0000}"/>
    <cellStyle name="Финансовый 37 2 2 2 5 6 2" xfId="33305" xr:uid="{DDCBED08-3924-4DC9-BFA2-91D77C92AF58}"/>
    <cellStyle name="Финансовый 37 2 2 2 5 7" xfId="19373" xr:uid="{00000000-0005-0000-0000-00004E4D0000}"/>
    <cellStyle name="Финансовый 37 2 2 2 5 7 2" xfId="36386" xr:uid="{CA2CCAF5-F201-4C87-97AD-6B8208F28894}"/>
    <cellStyle name="Финансовый 37 2 2 2 5 8" xfId="27076" xr:uid="{EB87C334-354D-46C8-82B0-9C395196E024}"/>
    <cellStyle name="Финансовый 37 2 2 2 6" xfId="9983" xr:uid="{00000000-0005-0000-0000-00004F4D0000}"/>
    <cellStyle name="Финансовый 37 2 2 2 6 2" xfId="9984" xr:uid="{00000000-0005-0000-0000-0000504D0000}"/>
    <cellStyle name="Финансовый 37 2 2 2 6 2 2" xfId="9985" xr:uid="{00000000-0005-0000-0000-0000514D0000}"/>
    <cellStyle name="Финансовый 37 2 2 2 6 2 2 2" xfId="13070" xr:uid="{00000000-0005-0000-0000-0000524D0000}"/>
    <cellStyle name="Финансовый 37 2 2 2 6 2 2 2 2" xfId="30159" xr:uid="{8AA441B6-112E-4F8A-A73D-D0AA0923CC6E}"/>
    <cellStyle name="Финансовый 37 2 2 2 6 2 2 3" xfId="16302" xr:uid="{00000000-0005-0000-0000-0000534D0000}"/>
    <cellStyle name="Финансовый 37 2 2 2 6 2 2 3 2" xfId="33315" xr:uid="{60737EFE-43D5-43FA-956C-FFACF08A62AD}"/>
    <cellStyle name="Финансовый 37 2 2 2 6 2 2 4" xfId="19383" xr:uid="{00000000-0005-0000-0000-0000544D0000}"/>
    <cellStyle name="Финансовый 37 2 2 2 6 2 2 4 2" xfId="36396" xr:uid="{55269469-5205-41BA-B405-981DC3D0A593}"/>
    <cellStyle name="Финансовый 37 2 2 2 6 2 2 5" xfId="27086" xr:uid="{FC5B699B-BAB4-4F75-99B8-D77C44EF6EB1}"/>
    <cellStyle name="Финансовый 37 2 2 2 6 2 3" xfId="13069" xr:uid="{00000000-0005-0000-0000-0000554D0000}"/>
    <cellStyle name="Финансовый 37 2 2 2 6 2 3 2" xfId="30158" xr:uid="{ED1083A1-535A-4C73-8878-A13276149ABD}"/>
    <cellStyle name="Финансовый 37 2 2 2 6 2 4" xfId="16301" xr:uid="{00000000-0005-0000-0000-0000564D0000}"/>
    <cellStyle name="Финансовый 37 2 2 2 6 2 4 2" xfId="33314" xr:uid="{9636E68E-A2B3-4204-93DD-87BE2A7CF944}"/>
    <cellStyle name="Финансовый 37 2 2 2 6 2 5" xfId="19382" xr:uid="{00000000-0005-0000-0000-0000574D0000}"/>
    <cellStyle name="Финансовый 37 2 2 2 6 2 5 2" xfId="36395" xr:uid="{43E0C746-784B-493A-8DA7-7E49880CD6B8}"/>
    <cellStyle name="Финансовый 37 2 2 2 6 2 6" xfId="27085" xr:uid="{AA1BB659-8314-466C-BC52-2D3CBD8FB328}"/>
    <cellStyle name="Финансовый 37 2 2 2 6 3" xfId="9986" xr:uid="{00000000-0005-0000-0000-0000584D0000}"/>
    <cellStyle name="Финансовый 37 2 2 2 6 3 2" xfId="13071" xr:uid="{00000000-0005-0000-0000-0000594D0000}"/>
    <cellStyle name="Финансовый 37 2 2 2 6 3 2 2" xfId="30160" xr:uid="{6FE789A4-4A01-47E5-9461-47073C7DC8AD}"/>
    <cellStyle name="Финансовый 37 2 2 2 6 3 3" xfId="16303" xr:uid="{00000000-0005-0000-0000-00005A4D0000}"/>
    <cellStyle name="Финансовый 37 2 2 2 6 3 3 2" xfId="33316" xr:uid="{451F857F-0D66-48C7-8572-5B517B03694E}"/>
    <cellStyle name="Финансовый 37 2 2 2 6 3 4" xfId="19384" xr:uid="{00000000-0005-0000-0000-00005B4D0000}"/>
    <cellStyle name="Финансовый 37 2 2 2 6 3 4 2" xfId="36397" xr:uid="{FF82157F-AB90-4EA2-8255-FDDFDD5FA11B}"/>
    <cellStyle name="Финансовый 37 2 2 2 6 3 5" xfId="27087" xr:uid="{E7FEC3A6-9734-49E2-B422-76F3C7BA5565}"/>
    <cellStyle name="Финансовый 37 2 2 2 6 4" xfId="13068" xr:uid="{00000000-0005-0000-0000-00005C4D0000}"/>
    <cellStyle name="Финансовый 37 2 2 2 6 4 2" xfId="30157" xr:uid="{DCD17FA9-4A9B-477E-A3EB-89508B86B62A}"/>
    <cellStyle name="Финансовый 37 2 2 2 6 5" xfId="16300" xr:uid="{00000000-0005-0000-0000-00005D4D0000}"/>
    <cellStyle name="Финансовый 37 2 2 2 6 5 2" xfId="33313" xr:uid="{672F7822-FB7A-4D46-A1C2-2099CD99D56F}"/>
    <cellStyle name="Финансовый 37 2 2 2 6 6" xfId="19381" xr:uid="{00000000-0005-0000-0000-00005E4D0000}"/>
    <cellStyle name="Финансовый 37 2 2 2 6 6 2" xfId="36394" xr:uid="{38DF5C14-520D-446D-82EE-93FDEC3456E7}"/>
    <cellStyle name="Финансовый 37 2 2 2 6 7" xfId="27084" xr:uid="{C4788690-5EF9-4C49-B4D3-8F00DAA5B3C1}"/>
    <cellStyle name="Финансовый 37 2 2 2 7" xfId="9987" xr:uid="{00000000-0005-0000-0000-00005F4D0000}"/>
    <cellStyle name="Финансовый 37 2 2 2 7 2" xfId="9988" xr:uid="{00000000-0005-0000-0000-0000604D0000}"/>
    <cellStyle name="Финансовый 37 2 2 2 7 2 2" xfId="13073" xr:uid="{00000000-0005-0000-0000-0000614D0000}"/>
    <cellStyle name="Финансовый 37 2 2 2 7 2 2 2" xfId="30162" xr:uid="{205A5488-0CE6-4673-ACFA-78130817DC94}"/>
    <cellStyle name="Финансовый 37 2 2 2 7 2 3" xfId="16305" xr:uid="{00000000-0005-0000-0000-0000624D0000}"/>
    <cellStyle name="Финансовый 37 2 2 2 7 2 3 2" xfId="33318" xr:uid="{D6FBF408-E404-46F2-A383-B2C53F5A6EC1}"/>
    <cellStyle name="Финансовый 37 2 2 2 7 2 4" xfId="19386" xr:uid="{00000000-0005-0000-0000-0000634D0000}"/>
    <cellStyle name="Финансовый 37 2 2 2 7 2 4 2" xfId="36399" xr:uid="{9E98673F-E6F3-45A4-A373-13E6010AE231}"/>
    <cellStyle name="Финансовый 37 2 2 2 7 2 5" xfId="27089" xr:uid="{5F5B8E61-7DF4-4790-99CD-35239ADB43FD}"/>
    <cellStyle name="Финансовый 37 2 2 2 7 3" xfId="13072" xr:uid="{00000000-0005-0000-0000-0000644D0000}"/>
    <cellStyle name="Финансовый 37 2 2 2 7 3 2" xfId="30161" xr:uid="{486CFA60-A0AD-4CD8-8B11-8461281E7E8E}"/>
    <cellStyle name="Финансовый 37 2 2 2 7 4" xfId="16304" xr:uid="{00000000-0005-0000-0000-0000654D0000}"/>
    <cellStyle name="Финансовый 37 2 2 2 7 4 2" xfId="33317" xr:uid="{9D27196E-FC7A-404B-94D8-BE729D4BAFEB}"/>
    <cellStyle name="Финансовый 37 2 2 2 7 5" xfId="19385" xr:uid="{00000000-0005-0000-0000-0000664D0000}"/>
    <cellStyle name="Финансовый 37 2 2 2 7 5 2" xfId="36398" xr:uid="{BD7B0B66-B141-4076-A74F-6A6A5905416C}"/>
    <cellStyle name="Финансовый 37 2 2 2 7 6" xfId="27088" xr:uid="{9EAC28D1-AC29-43C9-AD3B-993CBD7C14B3}"/>
    <cellStyle name="Финансовый 37 2 2 2 8" xfId="9989" xr:uid="{00000000-0005-0000-0000-0000674D0000}"/>
    <cellStyle name="Финансовый 37 2 2 2 8 2" xfId="13074" xr:uid="{00000000-0005-0000-0000-0000684D0000}"/>
    <cellStyle name="Финансовый 37 2 2 2 8 2 2" xfId="30163" xr:uid="{6D143D7F-9FEC-40BB-B233-2997B2D51E0B}"/>
    <cellStyle name="Финансовый 37 2 2 2 8 3" xfId="16306" xr:uid="{00000000-0005-0000-0000-0000694D0000}"/>
    <cellStyle name="Финансовый 37 2 2 2 8 3 2" xfId="33319" xr:uid="{23AA79FD-5955-4292-A24F-5E915E571344}"/>
    <cellStyle name="Финансовый 37 2 2 2 8 4" xfId="19387" xr:uid="{00000000-0005-0000-0000-00006A4D0000}"/>
    <cellStyle name="Финансовый 37 2 2 2 8 4 2" xfId="36400" xr:uid="{AA737F1B-1E28-428D-A89B-7FEBB5FD5F13}"/>
    <cellStyle name="Финансовый 37 2 2 2 8 5" xfId="27090" xr:uid="{4083B2BD-D4A1-44E7-B61C-BB95CD63A733}"/>
    <cellStyle name="Финансовый 37 2 2 2 9" xfId="12947" xr:uid="{00000000-0005-0000-0000-00006B4D0000}"/>
    <cellStyle name="Финансовый 37 2 2 2 9 2" xfId="30036" xr:uid="{C56B15DF-DF23-4357-93A7-9EE1B010AA44}"/>
    <cellStyle name="Финансовый 37 2 2 3" xfId="9990" xr:uid="{00000000-0005-0000-0000-00006C4D0000}"/>
    <cellStyle name="Финансовый 37 2 2 3 10" xfId="19388" xr:uid="{00000000-0005-0000-0000-00006D4D0000}"/>
    <cellStyle name="Финансовый 37 2 2 3 10 2" xfId="36401" xr:uid="{D341B830-CF44-4D93-AF59-4E4F0FA64055}"/>
    <cellStyle name="Финансовый 37 2 2 3 11" xfId="27091" xr:uid="{AE592A86-FFC7-4702-9BC5-254FE6660542}"/>
    <cellStyle name="Финансовый 37 2 2 3 2" xfId="9991" xr:uid="{00000000-0005-0000-0000-00006E4D0000}"/>
    <cellStyle name="Финансовый 37 2 2 3 2 10" xfId="27092" xr:uid="{779BB68F-FBCC-4B1F-895A-C923491148BA}"/>
    <cellStyle name="Финансовый 37 2 2 3 2 2" xfId="9992" xr:uid="{00000000-0005-0000-0000-00006F4D0000}"/>
    <cellStyle name="Финансовый 37 2 2 3 2 2 2" xfId="9993" xr:uid="{00000000-0005-0000-0000-0000704D0000}"/>
    <cellStyle name="Финансовый 37 2 2 3 2 2 2 2" xfId="9994" xr:uid="{00000000-0005-0000-0000-0000714D0000}"/>
    <cellStyle name="Финансовый 37 2 2 3 2 2 2 2 2" xfId="9995" xr:uid="{00000000-0005-0000-0000-0000724D0000}"/>
    <cellStyle name="Финансовый 37 2 2 3 2 2 2 2 2 2" xfId="9996" xr:uid="{00000000-0005-0000-0000-0000734D0000}"/>
    <cellStyle name="Финансовый 37 2 2 3 2 2 2 2 2 2 2" xfId="13081" xr:uid="{00000000-0005-0000-0000-0000744D0000}"/>
    <cellStyle name="Финансовый 37 2 2 3 2 2 2 2 2 2 2 2" xfId="30170" xr:uid="{C02A20AE-CC73-40B3-9561-D17FD2EB579F}"/>
    <cellStyle name="Финансовый 37 2 2 3 2 2 2 2 2 2 3" xfId="16313" xr:uid="{00000000-0005-0000-0000-0000754D0000}"/>
    <cellStyle name="Финансовый 37 2 2 3 2 2 2 2 2 2 3 2" xfId="33326" xr:uid="{A6387055-48ED-40F0-94B0-4F3D38F25A76}"/>
    <cellStyle name="Финансовый 37 2 2 3 2 2 2 2 2 2 4" xfId="19394" xr:uid="{00000000-0005-0000-0000-0000764D0000}"/>
    <cellStyle name="Финансовый 37 2 2 3 2 2 2 2 2 2 4 2" xfId="36407" xr:uid="{A368B3A3-D9C1-4B19-9360-6BA54CD75317}"/>
    <cellStyle name="Финансовый 37 2 2 3 2 2 2 2 2 2 5" xfId="27097" xr:uid="{9F5E59A3-AAED-48BE-8B7E-B0D6CB04B2DA}"/>
    <cellStyle name="Финансовый 37 2 2 3 2 2 2 2 2 3" xfId="13080" xr:uid="{00000000-0005-0000-0000-0000774D0000}"/>
    <cellStyle name="Финансовый 37 2 2 3 2 2 2 2 2 3 2" xfId="30169" xr:uid="{EAFE134C-AD61-45BE-AE96-D9384BE1000C}"/>
    <cellStyle name="Финансовый 37 2 2 3 2 2 2 2 2 4" xfId="16312" xr:uid="{00000000-0005-0000-0000-0000784D0000}"/>
    <cellStyle name="Финансовый 37 2 2 3 2 2 2 2 2 4 2" xfId="33325" xr:uid="{E7CA34F3-6827-4952-AC6E-B95A3B2AF577}"/>
    <cellStyle name="Финансовый 37 2 2 3 2 2 2 2 2 5" xfId="19393" xr:uid="{00000000-0005-0000-0000-0000794D0000}"/>
    <cellStyle name="Финансовый 37 2 2 3 2 2 2 2 2 5 2" xfId="36406" xr:uid="{350BCC48-9F6B-4D7D-ADB6-C4F4FF30D1E2}"/>
    <cellStyle name="Финансовый 37 2 2 3 2 2 2 2 2 6" xfId="27096" xr:uid="{AEAD8A03-8A3D-489C-8325-375112D7B542}"/>
    <cellStyle name="Финансовый 37 2 2 3 2 2 2 2 3" xfId="9997" xr:uid="{00000000-0005-0000-0000-00007A4D0000}"/>
    <cellStyle name="Финансовый 37 2 2 3 2 2 2 2 3 2" xfId="13082" xr:uid="{00000000-0005-0000-0000-00007B4D0000}"/>
    <cellStyle name="Финансовый 37 2 2 3 2 2 2 2 3 2 2" xfId="30171" xr:uid="{91609566-AF1F-499C-BBA5-CAC898168968}"/>
    <cellStyle name="Финансовый 37 2 2 3 2 2 2 2 3 3" xfId="16314" xr:uid="{00000000-0005-0000-0000-00007C4D0000}"/>
    <cellStyle name="Финансовый 37 2 2 3 2 2 2 2 3 3 2" xfId="33327" xr:uid="{5BE802F2-720A-4AD2-AFC6-14E22C851AAE}"/>
    <cellStyle name="Финансовый 37 2 2 3 2 2 2 2 3 4" xfId="19395" xr:uid="{00000000-0005-0000-0000-00007D4D0000}"/>
    <cellStyle name="Финансовый 37 2 2 3 2 2 2 2 3 4 2" xfId="36408" xr:uid="{D329A584-8EB4-4AFD-912A-263E7866EC61}"/>
    <cellStyle name="Финансовый 37 2 2 3 2 2 2 2 3 5" xfId="27098" xr:uid="{F84C7237-58BC-4FF8-8158-AB7D5CB5B7B3}"/>
    <cellStyle name="Финансовый 37 2 2 3 2 2 2 2 4" xfId="13079" xr:uid="{00000000-0005-0000-0000-00007E4D0000}"/>
    <cellStyle name="Финансовый 37 2 2 3 2 2 2 2 4 2" xfId="30168" xr:uid="{008DCA22-7FBC-4549-B5E6-A0B9DFDB9331}"/>
    <cellStyle name="Финансовый 37 2 2 3 2 2 2 2 5" xfId="16311" xr:uid="{00000000-0005-0000-0000-00007F4D0000}"/>
    <cellStyle name="Финансовый 37 2 2 3 2 2 2 2 5 2" xfId="33324" xr:uid="{69BA0D49-D343-4CBA-B8F0-3D3EDD6113E8}"/>
    <cellStyle name="Финансовый 37 2 2 3 2 2 2 2 6" xfId="19392" xr:uid="{00000000-0005-0000-0000-0000804D0000}"/>
    <cellStyle name="Финансовый 37 2 2 3 2 2 2 2 6 2" xfId="36405" xr:uid="{F3691A2B-B375-4624-AA63-8AAD72983584}"/>
    <cellStyle name="Финансовый 37 2 2 3 2 2 2 2 7" xfId="27095" xr:uid="{EB300E31-827C-47C5-BF13-42D2364D733F}"/>
    <cellStyle name="Финансовый 37 2 2 3 2 2 2 3" xfId="9998" xr:uid="{00000000-0005-0000-0000-0000814D0000}"/>
    <cellStyle name="Финансовый 37 2 2 3 2 2 2 3 2" xfId="9999" xr:uid="{00000000-0005-0000-0000-0000824D0000}"/>
    <cellStyle name="Финансовый 37 2 2 3 2 2 2 3 2 2" xfId="13084" xr:uid="{00000000-0005-0000-0000-0000834D0000}"/>
    <cellStyle name="Финансовый 37 2 2 3 2 2 2 3 2 2 2" xfId="30173" xr:uid="{0A3D0F6D-D8A3-4EA1-ADAB-D71C45024983}"/>
    <cellStyle name="Финансовый 37 2 2 3 2 2 2 3 2 3" xfId="16316" xr:uid="{00000000-0005-0000-0000-0000844D0000}"/>
    <cellStyle name="Финансовый 37 2 2 3 2 2 2 3 2 3 2" xfId="33329" xr:uid="{9623CA38-B602-444D-9DB2-A82C377925DA}"/>
    <cellStyle name="Финансовый 37 2 2 3 2 2 2 3 2 4" xfId="19397" xr:uid="{00000000-0005-0000-0000-0000854D0000}"/>
    <cellStyle name="Финансовый 37 2 2 3 2 2 2 3 2 4 2" xfId="36410" xr:uid="{647B59AF-3174-4104-87F2-5498493829C6}"/>
    <cellStyle name="Финансовый 37 2 2 3 2 2 2 3 2 5" xfId="27100" xr:uid="{198E26BD-B0A4-4A2E-8ACB-1696D885E465}"/>
    <cellStyle name="Финансовый 37 2 2 3 2 2 2 3 3" xfId="13083" xr:uid="{00000000-0005-0000-0000-0000864D0000}"/>
    <cellStyle name="Финансовый 37 2 2 3 2 2 2 3 3 2" xfId="30172" xr:uid="{970A951F-DA8B-4182-BFFA-D982CCE2F903}"/>
    <cellStyle name="Финансовый 37 2 2 3 2 2 2 3 4" xfId="16315" xr:uid="{00000000-0005-0000-0000-0000874D0000}"/>
    <cellStyle name="Финансовый 37 2 2 3 2 2 2 3 4 2" xfId="33328" xr:uid="{07F39CF7-47D1-4BEC-A201-C874AFDB159F}"/>
    <cellStyle name="Финансовый 37 2 2 3 2 2 2 3 5" xfId="19396" xr:uid="{00000000-0005-0000-0000-0000884D0000}"/>
    <cellStyle name="Финансовый 37 2 2 3 2 2 2 3 5 2" xfId="36409" xr:uid="{7292446B-EFF2-439B-BF71-E14241F656DB}"/>
    <cellStyle name="Финансовый 37 2 2 3 2 2 2 3 6" xfId="27099" xr:uid="{51473D53-E686-4CF2-80E2-4A20A7994681}"/>
    <cellStyle name="Финансовый 37 2 2 3 2 2 2 4" xfId="10000" xr:uid="{00000000-0005-0000-0000-0000894D0000}"/>
    <cellStyle name="Финансовый 37 2 2 3 2 2 2 4 2" xfId="13085" xr:uid="{00000000-0005-0000-0000-00008A4D0000}"/>
    <cellStyle name="Финансовый 37 2 2 3 2 2 2 4 2 2" xfId="30174" xr:uid="{0A2E7C29-7C13-45DD-BFC8-3F12153DE848}"/>
    <cellStyle name="Финансовый 37 2 2 3 2 2 2 4 3" xfId="16317" xr:uid="{00000000-0005-0000-0000-00008B4D0000}"/>
    <cellStyle name="Финансовый 37 2 2 3 2 2 2 4 3 2" xfId="33330" xr:uid="{7848E9CB-8CE7-4931-9590-E17F3DBBFD79}"/>
    <cellStyle name="Финансовый 37 2 2 3 2 2 2 4 4" xfId="19398" xr:uid="{00000000-0005-0000-0000-00008C4D0000}"/>
    <cellStyle name="Финансовый 37 2 2 3 2 2 2 4 4 2" xfId="36411" xr:uid="{A4680CB9-EDB4-48C8-AAAA-7CDCBCEADEE6}"/>
    <cellStyle name="Финансовый 37 2 2 3 2 2 2 4 5" xfId="27101" xr:uid="{F0241C01-861B-4E13-B130-C459D6D28CE1}"/>
    <cellStyle name="Финансовый 37 2 2 3 2 2 2 5" xfId="13078" xr:uid="{00000000-0005-0000-0000-00008D4D0000}"/>
    <cellStyle name="Финансовый 37 2 2 3 2 2 2 5 2" xfId="30167" xr:uid="{91672927-220C-49D9-B231-998D1A543451}"/>
    <cellStyle name="Финансовый 37 2 2 3 2 2 2 6" xfId="16310" xr:uid="{00000000-0005-0000-0000-00008E4D0000}"/>
    <cellStyle name="Финансовый 37 2 2 3 2 2 2 6 2" xfId="33323" xr:uid="{B5D58E84-1B63-44F4-9FDD-8021E4B8AC63}"/>
    <cellStyle name="Финансовый 37 2 2 3 2 2 2 7" xfId="19391" xr:uid="{00000000-0005-0000-0000-00008F4D0000}"/>
    <cellStyle name="Финансовый 37 2 2 3 2 2 2 7 2" xfId="36404" xr:uid="{47904CE2-A2C5-4D50-BA4C-324CB33ED965}"/>
    <cellStyle name="Финансовый 37 2 2 3 2 2 2 8" xfId="27094" xr:uid="{C4749749-BA3C-469C-9B47-62F4EB984571}"/>
    <cellStyle name="Финансовый 37 2 2 3 2 2 3" xfId="10001" xr:uid="{00000000-0005-0000-0000-0000904D0000}"/>
    <cellStyle name="Финансовый 37 2 2 3 2 2 3 2" xfId="10002" xr:uid="{00000000-0005-0000-0000-0000914D0000}"/>
    <cellStyle name="Финансовый 37 2 2 3 2 2 3 2 2" xfId="10003" xr:uid="{00000000-0005-0000-0000-0000924D0000}"/>
    <cellStyle name="Финансовый 37 2 2 3 2 2 3 2 2 2" xfId="13088" xr:uid="{00000000-0005-0000-0000-0000934D0000}"/>
    <cellStyle name="Финансовый 37 2 2 3 2 2 3 2 2 2 2" xfId="30177" xr:uid="{FE7314BA-ADD9-420C-8CE5-199D2E9C2029}"/>
    <cellStyle name="Финансовый 37 2 2 3 2 2 3 2 2 3" xfId="16320" xr:uid="{00000000-0005-0000-0000-0000944D0000}"/>
    <cellStyle name="Финансовый 37 2 2 3 2 2 3 2 2 3 2" xfId="33333" xr:uid="{EC005473-7DB5-43A7-9DEC-F3596B2A09C8}"/>
    <cellStyle name="Финансовый 37 2 2 3 2 2 3 2 2 4" xfId="19401" xr:uid="{00000000-0005-0000-0000-0000954D0000}"/>
    <cellStyle name="Финансовый 37 2 2 3 2 2 3 2 2 4 2" xfId="36414" xr:uid="{54C62918-7875-478D-8A34-E256CB220543}"/>
    <cellStyle name="Финансовый 37 2 2 3 2 2 3 2 2 5" xfId="27104" xr:uid="{3D4C8B3A-736A-4204-A2E5-2DF35C4F55FB}"/>
    <cellStyle name="Финансовый 37 2 2 3 2 2 3 2 3" xfId="13087" xr:uid="{00000000-0005-0000-0000-0000964D0000}"/>
    <cellStyle name="Финансовый 37 2 2 3 2 2 3 2 3 2" xfId="30176" xr:uid="{20B0AC07-8CEB-429D-B5EE-CD07F6BA3003}"/>
    <cellStyle name="Финансовый 37 2 2 3 2 2 3 2 4" xfId="16319" xr:uid="{00000000-0005-0000-0000-0000974D0000}"/>
    <cellStyle name="Финансовый 37 2 2 3 2 2 3 2 4 2" xfId="33332" xr:uid="{E7ADD781-35A0-4DD8-804B-84108FA505C0}"/>
    <cellStyle name="Финансовый 37 2 2 3 2 2 3 2 5" xfId="19400" xr:uid="{00000000-0005-0000-0000-0000984D0000}"/>
    <cellStyle name="Финансовый 37 2 2 3 2 2 3 2 5 2" xfId="36413" xr:uid="{2A4C70EB-9E42-4604-9FF6-6090B97F7E39}"/>
    <cellStyle name="Финансовый 37 2 2 3 2 2 3 2 6" xfId="27103" xr:uid="{6B59CE96-B49A-4A6D-998A-5C9D504B7107}"/>
    <cellStyle name="Финансовый 37 2 2 3 2 2 3 3" xfId="10004" xr:uid="{00000000-0005-0000-0000-0000994D0000}"/>
    <cellStyle name="Финансовый 37 2 2 3 2 2 3 3 2" xfId="13089" xr:uid="{00000000-0005-0000-0000-00009A4D0000}"/>
    <cellStyle name="Финансовый 37 2 2 3 2 2 3 3 2 2" xfId="30178" xr:uid="{A067059B-EAE7-4FFD-83BE-71E92D5E8996}"/>
    <cellStyle name="Финансовый 37 2 2 3 2 2 3 3 3" xfId="16321" xr:uid="{00000000-0005-0000-0000-00009B4D0000}"/>
    <cellStyle name="Финансовый 37 2 2 3 2 2 3 3 3 2" xfId="33334" xr:uid="{95F7A015-9ED9-4AE2-8293-0DB7F8D3B7DB}"/>
    <cellStyle name="Финансовый 37 2 2 3 2 2 3 3 4" xfId="19402" xr:uid="{00000000-0005-0000-0000-00009C4D0000}"/>
    <cellStyle name="Финансовый 37 2 2 3 2 2 3 3 4 2" xfId="36415" xr:uid="{EB74885A-0C52-4631-A3A7-C3B35354717D}"/>
    <cellStyle name="Финансовый 37 2 2 3 2 2 3 3 5" xfId="27105" xr:uid="{D04F5495-450A-4981-B1B7-C0C1FF0650EE}"/>
    <cellStyle name="Финансовый 37 2 2 3 2 2 3 4" xfId="13086" xr:uid="{00000000-0005-0000-0000-00009D4D0000}"/>
    <cellStyle name="Финансовый 37 2 2 3 2 2 3 4 2" xfId="30175" xr:uid="{BACCD856-7C01-420A-B574-2D9E4CD1076C}"/>
    <cellStyle name="Финансовый 37 2 2 3 2 2 3 5" xfId="16318" xr:uid="{00000000-0005-0000-0000-00009E4D0000}"/>
    <cellStyle name="Финансовый 37 2 2 3 2 2 3 5 2" xfId="33331" xr:uid="{478B4B01-F323-45F3-A29E-F8C804CD9A3B}"/>
    <cellStyle name="Финансовый 37 2 2 3 2 2 3 6" xfId="19399" xr:uid="{00000000-0005-0000-0000-00009F4D0000}"/>
    <cellStyle name="Финансовый 37 2 2 3 2 2 3 6 2" xfId="36412" xr:uid="{E3117543-5C60-4F91-87F1-29663C8C42E9}"/>
    <cellStyle name="Финансовый 37 2 2 3 2 2 3 7" xfId="27102" xr:uid="{DDE7C8A7-A484-47CE-8DE2-506307CD5607}"/>
    <cellStyle name="Финансовый 37 2 2 3 2 2 4" xfId="10005" xr:uid="{00000000-0005-0000-0000-0000A04D0000}"/>
    <cellStyle name="Финансовый 37 2 2 3 2 2 4 2" xfId="10006" xr:uid="{00000000-0005-0000-0000-0000A14D0000}"/>
    <cellStyle name="Финансовый 37 2 2 3 2 2 4 2 2" xfId="13091" xr:uid="{00000000-0005-0000-0000-0000A24D0000}"/>
    <cellStyle name="Финансовый 37 2 2 3 2 2 4 2 2 2" xfId="30180" xr:uid="{ED5CAE13-40F0-4758-BD4C-8AA051DC0CC9}"/>
    <cellStyle name="Финансовый 37 2 2 3 2 2 4 2 3" xfId="16323" xr:uid="{00000000-0005-0000-0000-0000A34D0000}"/>
    <cellStyle name="Финансовый 37 2 2 3 2 2 4 2 3 2" xfId="33336" xr:uid="{B463F2F4-9317-4159-965F-99E57C9CB72B}"/>
    <cellStyle name="Финансовый 37 2 2 3 2 2 4 2 4" xfId="19404" xr:uid="{00000000-0005-0000-0000-0000A44D0000}"/>
    <cellStyle name="Финансовый 37 2 2 3 2 2 4 2 4 2" xfId="36417" xr:uid="{DBCB850F-47FA-416D-B76B-264CD9FF02E9}"/>
    <cellStyle name="Финансовый 37 2 2 3 2 2 4 2 5" xfId="27107" xr:uid="{3373D2BC-FB3B-47B6-8E58-93D90E6A2F78}"/>
    <cellStyle name="Финансовый 37 2 2 3 2 2 4 3" xfId="13090" xr:uid="{00000000-0005-0000-0000-0000A54D0000}"/>
    <cellStyle name="Финансовый 37 2 2 3 2 2 4 3 2" xfId="30179" xr:uid="{805C1EC6-2F11-4ED9-9010-65E60D78438D}"/>
    <cellStyle name="Финансовый 37 2 2 3 2 2 4 4" xfId="16322" xr:uid="{00000000-0005-0000-0000-0000A64D0000}"/>
    <cellStyle name="Финансовый 37 2 2 3 2 2 4 4 2" xfId="33335" xr:uid="{FE7C9E8A-005C-45C9-88FD-6CB156C165A6}"/>
    <cellStyle name="Финансовый 37 2 2 3 2 2 4 5" xfId="19403" xr:uid="{00000000-0005-0000-0000-0000A74D0000}"/>
    <cellStyle name="Финансовый 37 2 2 3 2 2 4 5 2" xfId="36416" xr:uid="{CA2C5A40-E27A-466D-ACB7-87A46DEC0C4B}"/>
    <cellStyle name="Финансовый 37 2 2 3 2 2 4 6" xfId="27106" xr:uid="{171B917C-D578-41C3-8297-AE8E6312A1BA}"/>
    <cellStyle name="Финансовый 37 2 2 3 2 2 5" xfId="10007" xr:uid="{00000000-0005-0000-0000-0000A84D0000}"/>
    <cellStyle name="Финансовый 37 2 2 3 2 2 5 2" xfId="13092" xr:uid="{00000000-0005-0000-0000-0000A94D0000}"/>
    <cellStyle name="Финансовый 37 2 2 3 2 2 5 2 2" xfId="30181" xr:uid="{D18103FF-D33E-401C-B799-D9405F602F1A}"/>
    <cellStyle name="Финансовый 37 2 2 3 2 2 5 3" xfId="16324" xr:uid="{00000000-0005-0000-0000-0000AA4D0000}"/>
    <cellStyle name="Финансовый 37 2 2 3 2 2 5 3 2" xfId="33337" xr:uid="{CAF1DAFD-BB41-4274-AA5F-ADE48D4DD8AF}"/>
    <cellStyle name="Финансовый 37 2 2 3 2 2 5 4" xfId="19405" xr:uid="{00000000-0005-0000-0000-0000AB4D0000}"/>
    <cellStyle name="Финансовый 37 2 2 3 2 2 5 4 2" xfId="36418" xr:uid="{3FC4FEB6-8C46-405B-9001-6FDFA612606A}"/>
    <cellStyle name="Финансовый 37 2 2 3 2 2 5 5" xfId="27108" xr:uid="{3D6B07B8-391C-4EE3-8146-31B81999D749}"/>
    <cellStyle name="Финансовый 37 2 2 3 2 2 6" xfId="13077" xr:uid="{00000000-0005-0000-0000-0000AC4D0000}"/>
    <cellStyle name="Финансовый 37 2 2 3 2 2 6 2" xfId="30166" xr:uid="{84FE7FFB-97FA-41FD-90BB-398C8505172A}"/>
    <cellStyle name="Финансовый 37 2 2 3 2 2 7" xfId="16309" xr:uid="{00000000-0005-0000-0000-0000AD4D0000}"/>
    <cellStyle name="Финансовый 37 2 2 3 2 2 7 2" xfId="33322" xr:uid="{825B72D2-20A8-4C4E-93BF-D8DA6A787030}"/>
    <cellStyle name="Финансовый 37 2 2 3 2 2 8" xfId="19390" xr:uid="{00000000-0005-0000-0000-0000AE4D0000}"/>
    <cellStyle name="Финансовый 37 2 2 3 2 2 8 2" xfId="36403" xr:uid="{BA3FCDBC-2E14-4C26-A340-0AB8B0B80CE8}"/>
    <cellStyle name="Финансовый 37 2 2 3 2 2 9" xfId="27093" xr:uid="{2FE141B3-2C8C-431B-A01B-92F78A9786FB}"/>
    <cellStyle name="Финансовый 37 2 2 3 2 3" xfId="10008" xr:uid="{00000000-0005-0000-0000-0000AF4D0000}"/>
    <cellStyle name="Финансовый 37 2 2 3 2 3 2" xfId="10009" xr:uid="{00000000-0005-0000-0000-0000B04D0000}"/>
    <cellStyle name="Финансовый 37 2 2 3 2 3 2 2" xfId="10010" xr:uid="{00000000-0005-0000-0000-0000B14D0000}"/>
    <cellStyle name="Финансовый 37 2 2 3 2 3 2 2 2" xfId="10011" xr:uid="{00000000-0005-0000-0000-0000B24D0000}"/>
    <cellStyle name="Финансовый 37 2 2 3 2 3 2 2 2 2" xfId="13096" xr:uid="{00000000-0005-0000-0000-0000B34D0000}"/>
    <cellStyle name="Финансовый 37 2 2 3 2 3 2 2 2 2 2" xfId="30185" xr:uid="{79677ADA-61E6-4D74-95AC-1EC2754D1CF6}"/>
    <cellStyle name="Финансовый 37 2 2 3 2 3 2 2 2 3" xfId="16328" xr:uid="{00000000-0005-0000-0000-0000B44D0000}"/>
    <cellStyle name="Финансовый 37 2 2 3 2 3 2 2 2 3 2" xfId="33341" xr:uid="{4CCC3BFC-0DD4-450D-BD6E-BC483263711E}"/>
    <cellStyle name="Финансовый 37 2 2 3 2 3 2 2 2 4" xfId="19409" xr:uid="{00000000-0005-0000-0000-0000B54D0000}"/>
    <cellStyle name="Финансовый 37 2 2 3 2 3 2 2 2 4 2" xfId="36422" xr:uid="{BC49A8E2-9425-432E-AF49-A4414AC192B3}"/>
    <cellStyle name="Финансовый 37 2 2 3 2 3 2 2 2 5" xfId="27112" xr:uid="{EB8B402B-D578-4280-A766-5FADBEB2494A}"/>
    <cellStyle name="Финансовый 37 2 2 3 2 3 2 2 3" xfId="13095" xr:uid="{00000000-0005-0000-0000-0000B64D0000}"/>
    <cellStyle name="Финансовый 37 2 2 3 2 3 2 2 3 2" xfId="30184" xr:uid="{2356F521-0258-4858-B288-5CFA3B0C75CD}"/>
    <cellStyle name="Финансовый 37 2 2 3 2 3 2 2 4" xfId="16327" xr:uid="{00000000-0005-0000-0000-0000B74D0000}"/>
    <cellStyle name="Финансовый 37 2 2 3 2 3 2 2 4 2" xfId="33340" xr:uid="{B44EF8E4-A2A7-4807-A059-C5F17CBAFF95}"/>
    <cellStyle name="Финансовый 37 2 2 3 2 3 2 2 5" xfId="19408" xr:uid="{00000000-0005-0000-0000-0000B84D0000}"/>
    <cellStyle name="Финансовый 37 2 2 3 2 3 2 2 5 2" xfId="36421" xr:uid="{AB2BB7C6-C7FB-4F8E-BE96-325901A7910C}"/>
    <cellStyle name="Финансовый 37 2 2 3 2 3 2 2 6" xfId="27111" xr:uid="{41DA54DA-72BD-4265-ACAB-A79486F45C17}"/>
    <cellStyle name="Финансовый 37 2 2 3 2 3 2 3" xfId="10012" xr:uid="{00000000-0005-0000-0000-0000B94D0000}"/>
    <cellStyle name="Финансовый 37 2 2 3 2 3 2 3 2" xfId="13097" xr:uid="{00000000-0005-0000-0000-0000BA4D0000}"/>
    <cellStyle name="Финансовый 37 2 2 3 2 3 2 3 2 2" xfId="30186" xr:uid="{C931562C-92F5-44AE-8F0E-A11DD5BF092E}"/>
    <cellStyle name="Финансовый 37 2 2 3 2 3 2 3 3" xfId="16329" xr:uid="{00000000-0005-0000-0000-0000BB4D0000}"/>
    <cellStyle name="Финансовый 37 2 2 3 2 3 2 3 3 2" xfId="33342" xr:uid="{F21DEFBE-1DDC-4609-A883-AADBC43B1915}"/>
    <cellStyle name="Финансовый 37 2 2 3 2 3 2 3 4" xfId="19410" xr:uid="{00000000-0005-0000-0000-0000BC4D0000}"/>
    <cellStyle name="Финансовый 37 2 2 3 2 3 2 3 4 2" xfId="36423" xr:uid="{5E548543-8B45-4788-BCCB-F112611EC4E2}"/>
    <cellStyle name="Финансовый 37 2 2 3 2 3 2 3 5" xfId="27113" xr:uid="{4A26A084-70C4-4570-974C-D5BD9A63BDBE}"/>
    <cellStyle name="Финансовый 37 2 2 3 2 3 2 4" xfId="13094" xr:uid="{00000000-0005-0000-0000-0000BD4D0000}"/>
    <cellStyle name="Финансовый 37 2 2 3 2 3 2 4 2" xfId="30183" xr:uid="{969E897F-AC67-4289-ACE9-242A0A2E3475}"/>
    <cellStyle name="Финансовый 37 2 2 3 2 3 2 5" xfId="16326" xr:uid="{00000000-0005-0000-0000-0000BE4D0000}"/>
    <cellStyle name="Финансовый 37 2 2 3 2 3 2 5 2" xfId="33339" xr:uid="{17603D7A-98A8-4464-8E76-DB6C9B967C40}"/>
    <cellStyle name="Финансовый 37 2 2 3 2 3 2 6" xfId="19407" xr:uid="{00000000-0005-0000-0000-0000BF4D0000}"/>
    <cellStyle name="Финансовый 37 2 2 3 2 3 2 6 2" xfId="36420" xr:uid="{6E63DA02-95DE-432E-B53C-D10DDA0D7BEB}"/>
    <cellStyle name="Финансовый 37 2 2 3 2 3 2 7" xfId="27110" xr:uid="{A7F6A725-5569-455A-B1A1-669FB87A9590}"/>
    <cellStyle name="Финансовый 37 2 2 3 2 3 3" xfId="10013" xr:uid="{00000000-0005-0000-0000-0000C04D0000}"/>
    <cellStyle name="Финансовый 37 2 2 3 2 3 3 2" xfId="10014" xr:uid="{00000000-0005-0000-0000-0000C14D0000}"/>
    <cellStyle name="Финансовый 37 2 2 3 2 3 3 2 2" xfId="13099" xr:uid="{00000000-0005-0000-0000-0000C24D0000}"/>
    <cellStyle name="Финансовый 37 2 2 3 2 3 3 2 2 2" xfId="30188" xr:uid="{46B349C5-B168-48F6-BC97-055C99FC9699}"/>
    <cellStyle name="Финансовый 37 2 2 3 2 3 3 2 3" xfId="16331" xr:uid="{00000000-0005-0000-0000-0000C34D0000}"/>
    <cellStyle name="Финансовый 37 2 2 3 2 3 3 2 3 2" xfId="33344" xr:uid="{23B9A786-7781-4072-9315-F9156D69CDF3}"/>
    <cellStyle name="Финансовый 37 2 2 3 2 3 3 2 4" xfId="19412" xr:uid="{00000000-0005-0000-0000-0000C44D0000}"/>
    <cellStyle name="Финансовый 37 2 2 3 2 3 3 2 4 2" xfId="36425" xr:uid="{82B0A069-C5F0-416E-81D7-6AB3106A3FB9}"/>
    <cellStyle name="Финансовый 37 2 2 3 2 3 3 2 5" xfId="27115" xr:uid="{1E67A1E9-0293-43E6-B500-07FA7FEEDD1B}"/>
    <cellStyle name="Финансовый 37 2 2 3 2 3 3 3" xfId="13098" xr:uid="{00000000-0005-0000-0000-0000C54D0000}"/>
    <cellStyle name="Финансовый 37 2 2 3 2 3 3 3 2" xfId="30187" xr:uid="{64137E0B-3879-437C-AEDB-941C045E00A8}"/>
    <cellStyle name="Финансовый 37 2 2 3 2 3 3 4" xfId="16330" xr:uid="{00000000-0005-0000-0000-0000C64D0000}"/>
    <cellStyle name="Финансовый 37 2 2 3 2 3 3 4 2" xfId="33343" xr:uid="{BE0393A9-13A8-47FB-845A-15B453963D85}"/>
    <cellStyle name="Финансовый 37 2 2 3 2 3 3 5" xfId="19411" xr:uid="{00000000-0005-0000-0000-0000C74D0000}"/>
    <cellStyle name="Финансовый 37 2 2 3 2 3 3 5 2" xfId="36424" xr:uid="{77B8FEF5-B314-48B9-B084-61065664278F}"/>
    <cellStyle name="Финансовый 37 2 2 3 2 3 3 6" xfId="27114" xr:uid="{51240DCB-8236-434F-9416-348C0EB9EC0B}"/>
    <cellStyle name="Финансовый 37 2 2 3 2 3 4" xfId="10015" xr:uid="{00000000-0005-0000-0000-0000C84D0000}"/>
    <cellStyle name="Финансовый 37 2 2 3 2 3 4 2" xfId="13100" xr:uid="{00000000-0005-0000-0000-0000C94D0000}"/>
    <cellStyle name="Финансовый 37 2 2 3 2 3 4 2 2" xfId="30189" xr:uid="{C22E8404-0546-4904-9C84-DDE5A6CA7E4E}"/>
    <cellStyle name="Финансовый 37 2 2 3 2 3 4 3" xfId="16332" xr:uid="{00000000-0005-0000-0000-0000CA4D0000}"/>
    <cellStyle name="Финансовый 37 2 2 3 2 3 4 3 2" xfId="33345" xr:uid="{381BCA17-26F4-473C-9764-B75CD847D202}"/>
    <cellStyle name="Финансовый 37 2 2 3 2 3 4 4" xfId="19413" xr:uid="{00000000-0005-0000-0000-0000CB4D0000}"/>
    <cellStyle name="Финансовый 37 2 2 3 2 3 4 4 2" xfId="36426" xr:uid="{71D25E86-C222-44E9-ADCC-7B4B231A19E7}"/>
    <cellStyle name="Финансовый 37 2 2 3 2 3 4 5" xfId="27116" xr:uid="{F8AC9210-6F0F-4E08-B67F-49444BDAA266}"/>
    <cellStyle name="Финансовый 37 2 2 3 2 3 5" xfId="13093" xr:uid="{00000000-0005-0000-0000-0000CC4D0000}"/>
    <cellStyle name="Финансовый 37 2 2 3 2 3 5 2" xfId="30182" xr:uid="{90B8EFED-F259-4F52-AEDE-13F733512778}"/>
    <cellStyle name="Финансовый 37 2 2 3 2 3 6" xfId="16325" xr:uid="{00000000-0005-0000-0000-0000CD4D0000}"/>
    <cellStyle name="Финансовый 37 2 2 3 2 3 6 2" xfId="33338" xr:uid="{FBC33253-CA34-419A-89D4-5265D839FBC3}"/>
    <cellStyle name="Финансовый 37 2 2 3 2 3 7" xfId="19406" xr:uid="{00000000-0005-0000-0000-0000CE4D0000}"/>
    <cellStyle name="Финансовый 37 2 2 3 2 3 7 2" xfId="36419" xr:uid="{BC7B57F0-7536-4D32-BE95-D871E08D14F0}"/>
    <cellStyle name="Финансовый 37 2 2 3 2 3 8" xfId="27109" xr:uid="{B864C364-54D6-49F7-8703-5906E6D7879D}"/>
    <cellStyle name="Финансовый 37 2 2 3 2 4" xfId="10016" xr:uid="{00000000-0005-0000-0000-0000CF4D0000}"/>
    <cellStyle name="Финансовый 37 2 2 3 2 4 2" xfId="10017" xr:uid="{00000000-0005-0000-0000-0000D04D0000}"/>
    <cellStyle name="Финансовый 37 2 2 3 2 4 2 2" xfId="10018" xr:uid="{00000000-0005-0000-0000-0000D14D0000}"/>
    <cellStyle name="Финансовый 37 2 2 3 2 4 2 2 2" xfId="13103" xr:uid="{00000000-0005-0000-0000-0000D24D0000}"/>
    <cellStyle name="Финансовый 37 2 2 3 2 4 2 2 2 2" xfId="30192" xr:uid="{897E9B51-AEE2-42A2-9748-BFC9950FB55E}"/>
    <cellStyle name="Финансовый 37 2 2 3 2 4 2 2 3" xfId="16335" xr:uid="{00000000-0005-0000-0000-0000D34D0000}"/>
    <cellStyle name="Финансовый 37 2 2 3 2 4 2 2 3 2" xfId="33348" xr:uid="{1660DBE0-243F-4639-900E-04F7CE82B44F}"/>
    <cellStyle name="Финансовый 37 2 2 3 2 4 2 2 4" xfId="19416" xr:uid="{00000000-0005-0000-0000-0000D44D0000}"/>
    <cellStyle name="Финансовый 37 2 2 3 2 4 2 2 4 2" xfId="36429" xr:uid="{E5A84673-AA4F-4040-B2FA-2A2AF773FBB7}"/>
    <cellStyle name="Финансовый 37 2 2 3 2 4 2 2 5" xfId="27119" xr:uid="{8B0C687F-7A62-4CBA-BB74-8CF0635E9AB6}"/>
    <cellStyle name="Финансовый 37 2 2 3 2 4 2 3" xfId="13102" xr:uid="{00000000-0005-0000-0000-0000D54D0000}"/>
    <cellStyle name="Финансовый 37 2 2 3 2 4 2 3 2" xfId="30191" xr:uid="{B7B56211-40B9-4349-8D4C-7CAFDE5B0F72}"/>
    <cellStyle name="Финансовый 37 2 2 3 2 4 2 4" xfId="16334" xr:uid="{00000000-0005-0000-0000-0000D64D0000}"/>
    <cellStyle name="Финансовый 37 2 2 3 2 4 2 4 2" xfId="33347" xr:uid="{D73AF4C8-3834-444E-A2B1-A6A91E6D8A30}"/>
    <cellStyle name="Финансовый 37 2 2 3 2 4 2 5" xfId="19415" xr:uid="{00000000-0005-0000-0000-0000D74D0000}"/>
    <cellStyle name="Финансовый 37 2 2 3 2 4 2 5 2" xfId="36428" xr:uid="{3A47F3F9-1F7C-4B3F-8048-4C741994B280}"/>
    <cellStyle name="Финансовый 37 2 2 3 2 4 2 6" xfId="27118" xr:uid="{0879E0A5-FF9D-4CB5-92D8-218708843F10}"/>
    <cellStyle name="Финансовый 37 2 2 3 2 4 3" xfId="10019" xr:uid="{00000000-0005-0000-0000-0000D84D0000}"/>
    <cellStyle name="Финансовый 37 2 2 3 2 4 3 2" xfId="13104" xr:uid="{00000000-0005-0000-0000-0000D94D0000}"/>
    <cellStyle name="Финансовый 37 2 2 3 2 4 3 2 2" xfId="30193" xr:uid="{0E723C49-D787-402A-AECF-6BED3C073A89}"/>
    <cellStyle name="Финансовый 37 2 2 3 2 4 3 3" xfId="16336" xr:uid="{00000000-0005-0000-0000-0000DA4D0000}"/>
    <cellStyle name="Финансовый 37 2 2 3 2 4 3 3 2" xfId="33349" xr:uid="{D8AF1F7C-1766-41F2-AF5B-EC27AA5361AD}"/>
    <cellStyle name="Финансовый 37 2 2 3 2 4 3 4" xfId="19417" xr:uid="{00000000-0005-0000-0000-0000DB4D0000}"/>
    <cellStyle name="Финансовый 37 2 2 3 2 4 3 4 2" xfId="36430" xr:uid="{9A54323E-A7B0-4F0C-AE93-0802196BD4F2}"/>
    <cellStyle name="Финансовый 37 2 2 3 2 4 3 5" xfId="27120" xr:uid="{1EF9A57D-4756-4231-BE96-A1523A52C25E}"/>
    <cellStyle name="Финансовый 37 2 2 3 2 4 4" xfId="13101" xr:uid="{00000000-0005-0000-0000-0000DC4D0000}"/>
    <cellStyle name="Финансовый 37 2 2 3 2 4 4 2" xfId="30190" xr:uid="{09F79B21-311B-41F5-9325-2460FF408852}"/>
    <cellStyle name="Финансовый 37 2 2 3 2 4 5" xfId="16333" xr:uid="{00000000-0005-0000-0000-0000DD4D0000}"/>
    <cellStyle name="Финансовый 37 2 2 3 2 4 5 2" xfId="33346" xr:uid="{775C6E91-4ADC-4B29-A284-C65138868F72}"/>
    <cellStyle name="Финансовый 37 2 2 3 2 4 6" xfId="19414" xr:uid="{00000000-0005-0000-0000-0000DE4D0000}"/>
    <cellStyle name="Финансовый 37 2 2 3 2 4 6 2" xfId="36427" xr:uid="{4358D22C-0228-49DC-9D2D-7BA1368AD8E4}"/>
    <cellStyle name="Финансовый 37 2 2 3 2 4 7" xfId="27117" xr:uid="{66B2FCBD-86EB-4C36-B766-41A53B1C83C8}"/>
    <cellStyle name="Финансовый 37 2 2 3 2 5" xfId="10020" xr:uid="{00000000-0005-0000-0000-0000DF4D0000}"/>
    <cellStyle name="Финансовый 37 2 2 3 2 5 2" xfId="10021" xr:uid="{00000000-0005-0000-0000-0000E04D0000}"/>
    <cellStyle name="Финансовый 37 2 2 3 2 5 2 2" xfId="13106" xr:uid="{00000000-0005-0000-0000-0000E14D0000}"/>
    <cellStyle name="Финансовый 37 2 2 3 2 5 2 2 2" xfId="30195" xr:uid="{F2E45232-E4F0-49D3-985D-433CB0DBB8BF}"/>
    <cellStyle name="Финансовый 37 2 2 3 2 5 2 3" xfId="16338" xr:uid="{00000000-0005-0000-0000-0000E24D0000}"/>
    <cellStyle name="Финансовый 37 2 2 3 2 5 2 3 2" xfId="33351" xr:uid="{A913321F-8EA2-4110-96B2-D85DC10BDA2A}"/>
    <cellStyle name="Финансовый 37 2 2 3 2 5 2 4" xfId="19419" xr:uid="{00000000-0005-0000-0000-0000E34D0000}"/>
    <cellStyle name="Финансовый 37 2 2 3 2 5 2 4 2" xfId="36432" xr:uid="{ED16FE21-06EC-4CA7-BA23-78CC8E14A8C3}"/>
    <cellStyle name="Финансовый 37 2 2 3 2 5 2 5" xfId="27122" xr:uid="{0C5D4908-9DFC-498F-AEC0-3246D0C98A89}"/>
    <cellStyle name="Финансовый 37 2 2 3 2 5 3" xfId="13105" xr:uid="{00000000-0005-0000-0000-0000E44D0000}"/>
    <cellStyle name="Финансовый 37 2 2 3 2 5 3 2" xfId="30194" xr:uid="{9221F611-4019-4E80-8FB7-8732E4457632}"/>
    <cellStyle name="Финансовый 37 2 2 3 2 5 4" xfId="16337" xr:uid="{00000000-0005-0000-0000-0000E54D0000}"/>
    <cellStyle name="Финансовый 37 2 2 3 2 5 4 2" xfId="33350" xr:uid="{253CBFAB-0E77-4171-93BA-1944D311FFF9}"/>
    <cellStyle name="Финансовый 37 2 2 3 2 5 5" xfId="19418" xr:uid="{00000000-0005-0000-0000-0000E64D0000}"/>
    <cellStyle name="Финансовый 37 2 2 3 2 5 5 2" xfId="36431" xr:uid="{8CE68EC6-CBE2-4561-A1E2-72DA751ECF17}"/>
    <cellStyle name="Финансовый 37 2 2 3 2 5 6" xfId="27121" xr:uid="{B1B2E36D-11B0-404B-836D-0C8F2462E320}"/>
    <cellStyle name="Финансовый 37 2 2 3 2 6" xfId="10022" xr:uid="{00000000-0005-0000-0000-0000E74D0000}"/>
    <cellStyle name="Финансовый 37 2 2 3 2 6 2" xfId="13107" xr:uid="{00000000-0005-0000-0000-0000E84D0000}"/>
    <cellStyle name="Финансовый 37 2 2 3 2 6 2 2" xfId="30196" xr:uid="{DE650926-3552-4527-9364-CAF9DE0BE541}"/>
    <cellStyle name="Финансовый 37 2 2 3 2 6 3" xfId="16339" xr:uid="{00000000-0005-0000-0000-0000E94D0000}"/>
    <cellStyle name="Финансовый 37 2 2 3 2 6 3 2" xfId="33352" xr:uid="{0806FF57-6674-4861-BBF2-52058ED6091B}"/>
    <cellStyle name="Финансовый 37 2 2 3 2 6 4" xfId="19420" xr:uid="{00000000-0005-0000-0000-0000EA4D0000}"/>
    <cellStyle name="Финансовый 37 2 2 3 2 6 4 2" xfId="36433" xr:uid="{A7191B50-BCFE-4BC1-8B41-D80934DC8D69}"/>
    <cellStyle name="Финансовый 37 2 2 3 2 6 5" xfId="27123" xr:uid="{5DCBE5DB-C981-472F-81C0-8BA48D4BB3EB}"/>
    <cellStyle name="Финансовый 37 2 2 3 2 7" xfId="13076" xr:uid="{00000000-0005-0000-0000-0000EB4D0000}"/>
    <cellStyle name="Финансовый 37 2 2 3 2 7 2" xfId="30165" xr:uid="{65F725DC-72B1-439C-B5AE-5F7DA2187CC6}"/>
    <cellStyle name="Финансовый 37 2 2 3 2 8" xfId="16308" xr:uid="{00000000-0005-0000-0000-0000EC4D0000}"/>
    <cellStyle name="Финансовый 37 2 2 3 2 8 2" xfId="33321" xr:uid="{2FE216B9-FF77-4443-89D3-93EA4F98E642}"/>
    <cellStyle name="Финансовый 37 2 2 3 2 9" xfId="19389" xr:uid="{00000000-0005-0000-0000-0000ED4D0000}"/>
    <cellStyle name="Финансовый 37 2 2 3 2 9 2" xfId="36402" xr:uid="{BA2C02FF-CD19-40E7-9113-E701B453F9D0}"/>
    <cellStyle name="Финансовый 37 2 2 3 3" xfId="10023" xr:uid="{00000000-0005-0000-0000-0000EE4D0000}"/>
    <cellStyle name="Финансовый 37 2 2 3 3 2" xfId="10024" xr:uid="{00000000-0005-0000-0000-0000EF4D0000}"/>
    <cellStyle name="Финансовый 37 2 2 3 3 2 2" xfId="10025" xr:uid="{00000000-0005-0000-0000-0000F04D0000}"/>
    <cellStyle name="Финансовый 37 2 2 3 3 2 2 2" xfId="10026" xr:uid="{00000000-0005-0000-0000-0000F14D0000}"/>
    <cellStyle name="Финансовый 37 2 2 3 3 2 2 2 2" xfId="10027" xr:uid="{00000000-0005-0000-0000-0000F24D0000}"/>
    <cellStyle name="Финансовый 37 2 2 3 3 2 2 2 2 2" xfId="13112" xr:uid="{00000000-0005-0000-0000-0000F34D0000}"/>
    <cellStyle name="Финансовый 37 2 2 3 3 2 2 2 2 2 2" xfId="30201" xr:uid="{56A50D81-373C-4C5C-9BA7-C9C95496F701}"/>
    <cellStyle name="Финансовый 37 2 2 3 3 2 2 2 2 3" xfId="16344" xr:uid="{00000000-0005-0000-0000-0000F44D0000}"/>
    <cellStyle name="Финансовый 37 2 2 3 3 2 2 2 2 3 2" xfId="33357" xr:uid="{D47D4B10-CC9B-4F99-8947-5BA103D5DEBF}"/>
    <cellStyle name="Финансовый 37 2 2 3 3 2 2 2 2 4" xfId="19425" xr:uid="{00000000-0005-0000-0000-0000F54D0000}"/>
    <cellStyle name="Финансовый 37 2 2 3 3 2 2 2 2 4 2" xfId="36438" xr:uid="{CD482ABD-5F50-4BA4-AFCE-28C4FAECE095}"/>
    <cellStyle name="Финансовый 37 2 2 3 3 2 2 2 2 5" xfId="27128" xr:uid="{05A24BC5-F25E-4DE9-B06E-E976316C1E36}"/>
    <cellStyle name="Финансовый 37 2 2 3 3 2 2 2 3" xfId="13111" xr:uid="{00000000-0005-0000-0000-0000F64D0000}"/>
    <cellStyle name="Финансовый 37 2 2 3 3 2 2 2 3 2" xfId="30200" xr:uid="{93D63048-DA37-4819-AE07-0D9DD6CDEAAE}"/>
    <cellStyle name="Финансовый 37 2 2 3 3 2 2 2 4" xfId="16343" xr:uid="{00000000-0005-0000-0000-0000F74D0000}"/>
    <cellStyle name="Финансовый 37 2 2 3 3 2 2 2 4 2" xfId="33356" xr:uid="{99285C78-A2F5-47DE-892C-229EBA92A481}"/>
    <cellStyle name="Финансовый 37 2 2 3 3 2 2 2 5" xfId="19424" xr:uid="{00000000-0005-0000-0000-0000F84D0000}"/>
    <cellStyle name="Финансовый 37 2 2 3 3 2 2 2 5 2" xfId="36437" xr:uid="{AC2C58E7-9CB2-446E-8573-31F93D8D87F5}"/>
    <cellStyle name="Финансовый 37 2 2 3 3 2 2 2 6" xfId="27127" xr:uid="{7779C3F4-0770-4B85-B5E3-8D3D6756B75E}"/>
    <cellStyle name="Финансовый 37 2 2 3 3 2 2 3" xfId="10028" xr:uid="{00000000-0005-0000-0000-0000F94D0000}"/>
    <cellStyle name="Финансовый 37 2 2 3 3 2 2 3 2" xfId="13113" xr:uid="{00000000-0005-0000-0000-0000FA4D0000}"/>
    <cellStyle name="Финансовый 37 2 2 3 3 2 2 3 2 2" xfId="30202" xr:uid="{3DA92789-1D88-4387-82E2-8BED605C64F3}"/>
    <cellStyle name="Финансовый 37 2 2 3 3 2 2 3 3" xfId="16345" xr:uid="{00000000-0005-0000-0000-0000FB4D0000}"/>
    <cellStyle name="Финансовый 37 2 2 3 3 2 2 3 3 2" xfId="33358" xr:uid="{33A701F3-A0C2-4163-BA72-0B031F33DAD6}"/>
    <cellStyle name="Финансовый 37 2 2 3 3 2 2 3 4" xfId="19426" xr:uid="{00000000-0005-0000-0000-0000FC4D0000}"/>
    <cellStyle name="Финансовый 37 2 2 3 3 2 2 3 4 2" xfId="36439" xr:uid="{1ECA0FA0-9B0D-43DF-9B65-0B795C45D37E}"/>
    <cellStyle name="Финансовый 37 2 2 3 3 2 2 3 5" xfId="27129" xr:uid="{9AD243EA-2EF1-41B1-A9EC-BCFAA79AB318}"/>
    <cellStyle name="Финансовый 37 2 2 3 3 2 2 4" xfId="13110" xr:uid="{00000000-0005-0000-0000-0000FD4D0000}"/>
    <cellStyle name="Финансовый 37 2 2 3 3 2 2 4 2" xfId="30199" xr:uid="{36A7EC52-7BCE-48CB-B69D-4878DF1BCEED}"/>
    <cellStyle name="Финансовый 37 2 2 3 3 2 2 5" xfId="16342" xr:uid="{00000000-0005-0000-0000-0000FE4D0000}"/>
    <cellStyle name="Финансовый 37 2 2 3 3 2 2 5 2" xfId="33355" xr:uid="{5882C891-29FE-4048-9A48-BD07F8955DE0}"/>
    <cellStyle name="Финансовый 37 2 2 3 3 2 2 6" xfId="19423" xr:uid="{00000000-0005-0000-0000-0000FF4D0000}"/>
    <cellStyle name="Финансовый 37 2 2 3 3 2 2 6 2" xfId="36436" xr:uid="{06A41E38-23F3-4351-9E5F-310DCE10465A}"/>
    <cellStyle name="Финансовый 37 2 2 3 3 2 2 7" xfId="27126" xr:uid="{55DED355-72D0-4E8B-9BBC-8E32F94643A9}"/>
    <cellStyle name="Финансовый 37 2 2 3 3 2 3" xfId="10029" xr:uid="{00000000-0005-0000-0000-0000004E0000}"/>
    <cellStyle name="Финансовый 37 2 2 3 3 2 3 2" xfId="10030" xr:uid="{00000000-0005-0000-0000-0000014E0000}"/>
    <cellStyle name="Финансовый 37 2 2 3 3 2 3 2 2" xfId="13115" xr:uid="{00000000-0005-0000-0000-0000024E0000}"/>
    <cellStyle name="Финансовый 37 2 2 3 3 2 3 2 2 2" xfId="30204" xr:uid="{3206E67E-1420-4C9B-A481-C6D8612D93CA}"/>
    <cellStyle name="Финансовый 37 2 2 3 3 2 3 2 3" xfId="16347" xr:uid="{00000000-0005-0000-0000-0000034E0000}"/>
    <cellStyle name="Финансовый 37 2 2 3 3 2 3 2 3 2" xfId="33360" xr:uid="{9F74FDDA-BDCC-4E0E-AF5F-AAA0A67610E6}"/>
    <cellStyle name="Финансовый 37 2 2 3 3 2 3 2 4" xfId="19428" xr:uid="{00000000-0005-0000-0000-0000044E0000}"/>
    <cellStyle name="Финансовый 37 2 2 3 3 2 3 2 4 2" xfId="36441" xr:uid="{6A3AF1D5-0479-4F2B-8270-A722A2CAC568}"/>
    <cellStyle name="Финансовый 37 2 2 3 3 2 3 2 5" xfId="27131" xr:uid="{97B9516E-1814-475E-BC0A-35E890734134}"/>
    <cellStyle name="Финансовый 37 2 2 3 3 2 3 3" xfId="13114" xr:uid="{00000000-0005-0000-0000-0000054E0000}"/>
    <cellStyle name="Финансовый 37 2 2 3 3 2 3 3 2" xfId="30203" xr:uid="{111EE9D4-BA52-431D-A637-BB97E3107F94}"/>
    <cellStyle name="Финансовый 37 2 2 3 3 2 3 4" xfId="16346" xr:uid="{00000000-0005-0000-0000-0000064E0000}"/>
    <cellStyle name="Финансовый 37 2 2 3 3 2 3 4 2" xfId="33359" xr:uid="{71304C62-5743-4B9D-8AB1-D6924EE485A3}"/>
    <cellStyle name="Финансовый 37 2 2 3 3 2 3 5" xfId="19427" xr:uid="{00000000-0005-0000-0000-0000074E0000}"/>
    <cellStyle name="Финансовый 37 2 2 3 3 2 3 5 2" xfId="36440" xr:uid="{DDEC96AF-767C-4A9C-BA34-11D11505E50B}"/>
    <cellStyle name="Финансовый 37 2 2 3 3 2 3 6" xfId="27130" xr:uid="{D36D0C9E-6C19-44E3-B4FC-5B338577ED4B}"/>
    <cellStyle name="Финансовый 37 2 2 3 3 2 4" xfId="10031" xr:uid="{00000000-0005-0000-0000-0000084E0000}"/>
    <cellStyle name="Финансовый 37 2 2 3 3 2 4 2" xfId="13116" xr:uid="{00000000-0005-0000-0000-0000094E0000}"/>
    <cellStyle name="Финансовый 37 2 2 3 3 2 4 2 2" xfId="30205" xr:uid="{6A41C38F-1097-4D36-ABA0-73397A6653DC}"/>
    <cellStyle name="Финансовый 37 2 2 3 3 2 4 3" xfId="16348" xr:uid="{00000000-0005-0000-0000-00000A4E0000}"/>
    <cellStyle name="Финансовый 37 2 2 3 3 2 4 3 2" xfId="33361" xr:uid="{DE6261AA-0F5C-4C0E-A044-AB64FB47DD9D}"/>
    <cellStyle name="Финансовый 37 2 2 3 3 2 4 4" xfId="19429" xr:uid="{00000000-0005-0000-0000-00000B4E0000}"/>
    <cellStyle name="Финансовый 37 2 2 3 3 2 4 4 2" xfId="36442" xr:uid="{6AF39FAA-4784-4742-9BE7-33CE66C46A96}"/>
    <cellStyle name="Финансовый 37 2 2 3 3 2 4 5" xfId="27132" xr:uid="{CCDDA837-013C-40FC-BA8C-BBFB0CFE7B80}"/>
    <cellStyle name="Финансовый 37 2 2 3 3 2 5" xfId="13109" xr:uid="{00000000-0005-0000-0000-00000C4E0000}"/>
    <cellStyle name="Финансовый 37 2 2 3 3 2 5 2" xfId="30198" xr:uid="{F6F9A4D7-470B-4D70-B79A-CE60168B3A24}"/>
    <cellStyle name="Финансовый 37 2 2 3 3 2 6" xfId="16341" xr:uid="{00000000-0005-0000-0000-00000D4E0000}"/>
    <cellStyle name="Финансовый 37 2 2 3 3 2 6 2" xfId="33354" xr:uid="{BDF235A7-46B3-4D63-8BDC-7461CC38FB43}"/>
    <cellStyle name="Финансовый 37 2 2 3 3 2 7" xfId="19422" xr:uid="{00000000-0005-0000-0000-00000E4E0000}"/>
    <cellStyle name="Финансовый 37 2 2 3 3 2 7 2" xfId="36435" xr:uid="{53F44B26-F46D-4F09-8ACB-1B0CBA0EA5DC}"/>
    <cellStyle name="Финансовый 37 2 2 3 3 2 8" xfId="27125" xr:uid="{2EBD9D52-9470-4AD1-AAD3-94663653145B}"/>
    <cellStyle name="Финансовый 37 2 2 3 3 3" xfId="10032" xr:uid="{00000000-0005-0000-0000-00000F4E0000}"/>
    <cellStyle name="Финансовый 37 2 2 3 3 3 2" xfId="10033" xr:uid="{00000000-0005-0000-0000-0000104E0000}"/>
    <cellStyle name="Финансовый 37 2 2 3 3 3 2 2" xfId="10034" xr:uid="{00000000-0005-0000-0000-0000114E0000}"/>
    <cellStyle name="Финансовый 37 2 2 3 3 3 2 2 2" xfId="13119" xr:uid="{00000000-0005-0000-0000-0000124E0000}"/>
    <cellStyle name="Финансовый 37 2 2 3 3 3 2 2 2 2" xfId="30208" xr:uid="{EE543F1D-D35A-4102-894E-335CC833E44A}"/>
    <cellStyle name="Финансовый 37 2 2 3 3 3 2 2 3" xfId="16351" xr:uid="{00000000-0005-0000-0000-0000134E0000}"/>
    <cellStyle name="Финансовый 37 2 2 3 3 3 2 2 3 2" xfId="33364" xr:uid="{66E027DD-ADEB-47BC-B88A-23378B290570}"/>
    <cellStyle name="Финансовый 37 2 2 3 3 3 2 2 4" xfId="19432" xr:uid="{00000000-0005-0000-0000-0000144E0000}"/>
    <cellStyle name="Финансовый 37 2 2 3 3 3 2 2 4 2" xfId="36445" xr:uid="{5EBC709C-1AC6-45BA-BB5F-AB4FD69413F6}"/>
    <cellStyle name="Финансовый 37 2 2 3 3 3 2 2 5" xfId="27135" xr:uid="{D402F726-FBF0-4064-9530-00CC349CA703}"/>
    <cellStyle name="Финансовый 37 2 2 3 3 3 2 3" xfId="13118" xr:uid="{00000000-0005-0000-0000-0000154E0000}"/>
    <cellStyle name="Финансовый 37 2 2 3 3 3 2 3 2" xfId="30207" xr:uid="{F825F744-30C0-43BA-8009-655D53AB6A9B}"/>
    <cellStyle name="Финансовый 37 2 2 3 3 3 2 4" xfId="16350" xr:uid="{00000000-0005-0000-0000-0000164E0000}"/>
    <cellStyle name="Финансовый 37 2 2 3 3 3 2 4 2" xfId="33363" xr:uid="{D70F6349-B644-4D91-8596-1C0F10767F57}"/>
    <cellStyle name="Финансовый 37 2 2 3 3 3 2 5" xfId="19431" xr:uid="{00000000-0005-0000-0000-0000174E0000}"/>
    <cellStyle name="Финансовый 37 2 2 3 3 3 2 5 2" xfId="36444" xr:uid="{A810CBF8-4D18-4FD1-AC2C-026DFADB20E0}"/>
    <cellStyle name="Финансовый 37 2 2 3 3 3 2 6" xfId="27134" xr:uid="{6350570E-C425-4073-B0A3-CACA15289EBF}"/>
    <cellStyle name="Финансовый 37 2 2 3 3 3 3" xfId="10035" xr:uid="{00000000-0005-0000-0000-0000184E0000}"/>
    <cellStyle name="Финансовый 37 2 2 3 3 3 3 2" xfId="13120" xr:uid="{00000000-0005-0000-0000-0000194E0000}"/>
    <cellStyle name="Финансовый 37 2 2 3 3 3 3 2 2" xfId="30209" xr:uid="{C788F246-ECC1-4F71-8157-6254FE8EB2D9}"/>
    <cellStyle name="Финансовый 37 2 2 3 3 3 3 3" xfId="16352" xr:uid="{00000000-0005-0000-0000-00001A4E0000}"/>
    <cellStyle name="Финансовый 37 2 2 3 3 3 3 3 2" xfId="33365" xr:uid="{CD26674D-AA47-42E9-9D48-D72E3300CDE2}"/>
    <cellStyle name="Финансовый 37 2 2 3 3 3 3 4" xfId="19433" xr:uid="{00000000-0005-0000-0000-00001B4E0000}"/>
    <cellStyle name="Финансовый 37 2 2 3 3 3 3 4 2" xfId="36446" xr:uid="{3FEB769D-3F31-4300-9ABB-12A91D160787}"/>
    <cellStyle name="Финансовый 37 2 2 3 3 3 3 5" xfId="27136" xr:uid="{04D59F59-A9C4-48B5-B61F-1DEDB55620BF}"/>
    <cellStyle name="Финансовый 37 2 2 3 3 3 4" xfId="13117" xr:uid="{00000000-0005-0000-0000-00001C4E0000}"/>
    <cellStyle name="Финансовый 37 2 2 3 3 3 4 2" xfId="30206" xr:uid="{7BC26566-27E4-4D61-BDDA-3CB804398650}"/>
    <cellStyle name="Финансовый 37 2 2 3 3 3 5" xfId="16349" xr:uid="{00000000-0005-0000-0000-00001D4E0000}"/>
    <cellStyle name="Финансовый 37 2 2 3 3 3 5 2" xfId="33362" xr:uid="{797506B9-45E5-4057-8FF0-A7745F52ACE6}"/>
    <cellStyle name="Финансовый 37 2 2 3 3 3 6" xfId="19430" xr:uid="{00000000-0005-0000-0000-00001E4E0000}"/>
    <cellStyle name="Финансовый 37 2 2 3 3 3 6 2" xfId="36443" xr:uid="{406FD091-ADEB-4508-8D08-2C3A086E923F}"/>
    <cellStyle name="Финансовый 37 2 2 3 3 3 7" xfId="27133" xr:uid="{F1F9726C-49B6-4CFE-A058-F8F710766BAE}"/>
    <cellStyle name="Финансовый 37 2 2 3 3 4" xfId="10036" xr:uid="{00000000-0005-0000-0000-00001F4E0000}"/>
    <cellStyle name="Финансовый 37 2 2 3 3 4 2" xfId="10037" xr:uid="{00000000-0005-0000-0000-0000204E0000}"/>
    <cellStyle name="Финансовый 37 2 2 3 3 4 2 2" xfId="13122" xr:uid="{00000000-0005-0000-0000-0000214E0000}"/>
    <cellStyle name="Финансовый 37 2 2 3 3 4 2 2 2" xfId="30211" xr:uid="{46349607-18A7-45AC-88E8-9500860A28D5}"/>
    <cellStyle name="Финансовый 37 2 2 3 3 4 2 3" xfId="16354" xr:uid="{00000000-0005-0000-0000-0000224E0000}"/>
    <cellStyle name="Финансовый 37 2 2 3 3 4 2 3 2" xfId="33367" xr:uid="{14DB8055-E9C4-4864-B6A3-7E7EC8A4082D}"/>
    <cellStyle name="Финансовый 37 2 2 3 3 4 2 4" xfId="19435" xr:uid="{00000000-0005-0000-0000-0000234E0000}"/>
    <cellStyle name="Финансовый 37 2 2 3 3 4 2 4 2" xfId="36448" xr:uid="{AEB8134C-4CC5-47F0-9760-DA95BF05762F}"/>
    <cellStyle name="Финансовый 37 2 2 3 3 4 2 5" xfId="27138" xr:uid="{BFF7798E-D6B3-4229-BC99-0380865321F3}"/>
    <cellStyle name="Финансовый 37 2 2 3 3 4 3" xfId="13121" xr:uid="{00000000-0005-0000-0000-0000244E0000}"/>
    <cellStyle name="Финансовый 37 2 2 3 3 4 3 2" xfId="30210" xr:uid="{A5D6362A-F3A2-430F-9DA3-FF33A21AB3BB}"/>
    <cellStyle name="Финансовый 37 2 2 3 3 4 4" xfId="16353" xr:uid="{00000000-0005-0000-0000-0000254E0000}"/>
    <cellStyle name="Финансовый 37 2 2 3 3 4 4 2" xfId="33366" xr:uid="{AE674C5D-4A79-4AE8-A3C2-E79F7C75CB43}"/>
    <cellStyle name="Финансовый 37 2 2 3 3 4 5" xfId="19434" xr:uid="{00000000-0005-0000-0000-0000264E0000}"/>
    <cellStyle name="Финансовый 37 2 2 3 3 4 5 2" xfId="36447" xr:uid="{2BB8C3B7-5A4A-4438-B096-0D323D72D126}"/>
    <cellStyle name="Финансовый 37 2 2 3 3 4 6" xfId="27137" xr:uid="{D4788BAA-7C56-486A-A8EC-171C114BFC2E}"/>
    <cellStyle name="Финансовый 37 2 2 3 3 5" xfId="10038" xr:uid="{00000000-0005-0000-0000-0000274E0000}"/>
    <cellStyle name="Финансовый 37 2 2 3 3 5 2" xfId="13123" xr:uid="{00000000-0005-0000-0000-0000284E0000}"/>
    <cellStyle name="Финансовый 37 2 2 3 3 5 2 2" xfId="30212" xr:uid="{DCBBE4B9-1F2F-4020-BFF8-034CCB3292BC}"/>
    <cellStyle name="Финансовый 37 2 2 3 3 5 3" xfId="16355" xr:uid="{00000000-0005-0000-0000-0000294E0000}"/>
    <cellStyle name="Финансовый 37 2 2 3 3 5 3 2" xfId="33368" xr:uid="{A828621B-EBDF-4142-845A-D666AE81B6D6}"/>
    <cellStyle name="Финансовый 37 2 2 3 3 5 4" xfId="19436" xr:uid="{00000000-0005-0000-0000-00002A4E0000}"/>
    <cellStyle name="Финансовый 37 2 2 3 3 5 4 2" xfId="36449" xr:uid="{296FF66B-96CF-4008-AAAC-4C1B7E8E5101}"/>
    <cellStyle name="Финансовый 37 2 2 3 3 5 5" xfId="27139" xr:uid="{7E86BD61-F480-48BB-B9D6-44904176E483}"/>
    <cellStyle name="Финансовый 37 2 2 3 3 6" xfId="13108" xr:uid="{00000000-0005-0000-0000-00002B4E0000}"/>
    <cellStyle name="Финансовый 37 2 2 3 3 6 2" xfId="30197" xr:uid="{AECF2184-9D3A-43AD-9A50-B4728157E154}"/>
    <cellStyle name="Финансовый 37 2 2 3 3 7" xfId="16340" xr:uid="{00000000-0005-0000-0000-00002C4E0000}"/>
    <cellStyle name="Финансовый 37 2 2 3 3 7 2" xfId="33353" xr:uid="{509B1E8A-E77F-4621-876A-123879459C84}"/>
    <cellStyle name="Финансовый 37 2 2 3 3 8" xfId="19421" xr:uid="{00000000-0005-0000-0000-00002D4E0000}"/>
    <cellStyle name="Финансовый 37 2 2 3 3 8 2" xfId="36434" xr:uid="{8B842BD6-991F-4A7A-8E3E-67C440BACCF7}"/>
    <cellStyle name="Финансовый 37 2 2 3 3 9" xfId="27124" xr:uid="{503CC338-EFBE-4B7C-9B24-C7B5EBED56EE}"/>
    <cellStyle name="Финансовый 37 2 2 3 4" xfId="10039" xr:uid="{00000000-0005-0000-0000-00002E4E0000}"/>
    <cellStyle name="Финансовый 37 2 2 3 4 2" xfId="10040" xr:uid="{00000000-0005-0000-0000-00002F4E0000}"/>
    <cellStyle name="Финансовый 37 2 2 3 4 2 2" xfId="10041" xr:uid="{00000000-0005-0000-0000-0000304E0000}"/>
    <cellStyle name="Финансовый 37 2 2 3 4 2 2 2" xfId="10042" xr:uid="{00000000-0005-0000-0000-0000314E0000}"/>
    <cellStyle name="Финансовый 37 2 2 3 4 2 2 2 2" xfId="13127" xr:uid="{00000000-0005-0000-0000-0000324E0000}"/>
    <cellStyle name="Финансовый 37 2 2 3 4 2 2 2 2 2" xfId="30216" xr:uid="{A5E752A6-8AC6-48BB-8EC2-A4744D616574}"/>
    <cellStyle name="Финансовый 37 2 2 3 4 2 2 2 3" xfId="16359" xr:uid="{00000000-0005-0000-0000-0000334E0000}"/>
    <cellStyle name="Финансовый 37 2 2 3 4 2 2 2 3 2" xfId="33372" xr:uid="{FE6ABBF3-B3C4-4044-9136-AD7B989181E4}"/>
    <cellStyle name="Финансовый 37 2 2 3 4 2 2 2 4" xfId="19440" xr:uid="{00000000-0005-0000-0000-0000344E0000}"/>
    <cellStyle name="Финансовый 37 2 2 3 4 2 2 2 4 2" xfId="36453" xr:uid="{8C6BCF20-54BF-4A66-B9F0-D4AEF23D1A25}"/>
    <cellStyle name="Финансовый 37 2 2 3 4 2 2 2 5" xfId="27143" xr:uid="{7DF1F124-CD8D-4814-B42A-28F52675C24B}"/>
    <cellStyle name="Финансовый 37 2 2 3 4 2 2 3" xfId="13126" xr:uid="{00000000-0005-0000-0000-0000354E0000}"/>
    <cellStyle name="Финансовый 37 2 2 3 4 2 2 3 2" xfId="30215" xr:uid="{132B7B55-469F-46C9-AE4C-D91DEF0EA67D}"/>
    <cellStyle name="Финансовый 37 2 2 3 4 2 2 4" xfId="16358" xr:uid="{00000000-0005-0000-0000-0000364E0000}"/>
    <cellStyle name="Финансовый 37 2 2 3 4 2 2 4 2" xfId="33371" xr:uid="{2646970C-8E87-409A-A800-FD5E32F2C661}"/>
    <cellStyle name="Финансовый 37 2 2 3 4 2 2 5" xfId="19439" xr:uid="{00000000-0005-0000-0000-0000374E0000}"/>
    <cellStyle name="Финансовый 37 2 2 3 4 2 2 5 2" xfId="36452" xr:uid="{5CEB5DB7-4CF5-4520-88CA-FDD927B8F861}"/>
    <cellStyle name="Финансовый 37 2 2 3 4 2 2 6" xfId="27142" xr:uid="{EB1DF3D8-844C-47FB-8D4B-6859294A74D7}"/>
    <cellStyle name="Финансовый 37 2 2 3 4 2 3" xfId="10043" xr:uid="{00000000-0005-0000-0000-0000384E0000}"/>
    <cellStyle name="Финансовый 37 2 2 3 4 2 3 2" xfId="13128" xr:uid="{00000000-0005-0000-0000-0000394E0000}"/>
    <cellStyle name="Финансовый 37 2 2 3 4 2 3 2 2" xfId="30217" xr:uid="{2A93C9B2-0990-419E-8257-A534388D5DFB}"/>
    <cellStyle name="Финансовый 37 2 2 3 4 2 3 3" xfId="16360" xr:uid="{00000000-0005-0000-0000-00003A4E0000}"/>
    <cellStyle name="Финансовый 37 2 2 3 4 2 3 3 2" xfId="33373" xr:uid="{7DF30B8B-CC96-4A2C-A259-0EFCDB457EBF}"/>
    <cellStyle name="Финансовый 37 2 2 3 4 2 3 4" xfId="19441" xr:uid="{00000000-0005-0000-0000-00003B4E0000}"/>
    <cellStyle name="Финансовый 37 2 2 3 4 2 3 4 2" xfId="36454" xr:uid="{1324DFAE-BBD6-47AE-A6F0-AEF7E00ADC18}"/>
    <cellStyle name="Финансовый 37 2 2 3 4 2 3 5" xfId="27144" xr:uid="{916F97DA-FA15-441D-908C-18A8FD9EABBF}"/>
    <cellStyle name="Финансовый 37 2 2 3 4 2 4" xfId="13125" xr:uid="{00000000-0005-0000-0000-00003C4E0000}"/>
    <cellStyle name="Финансовый 37 2 2 3 4 2 4 2" xfId="30214" xr:uid="{F5DDD62C-7998-4CA6-82E4-88B1B53AF0BB}"/>
    <cellStyle name="Финансовый 37 2 2 3 4 2 5" xfId="16357" xr:uid="{00000000-0005-0000-0000-00003D4E0000}"/>
    <cellStyle name="Финансовый 37 2 2 3 4 2 5 2" xfId="33370" xr:uid="{275296A2-4053-4C8D-A4E7-D0AB1C45E2E0}"/>
    <cellStyle name="Финансовый 37 2 2 3 4 2 6" xfId="19438" xr:uid="{00000000-0005-0000-0000-00003E4E0000}"/>
    <cellStyle name="Финансовый 37 2 2 3 4 2 6 2" xfId="36451" xr:uid="{834AACAC-5E4A-454B-AF1B-8721A4E6AC3A}"/>
    <cellStyle name="Финансовый 37 2 2 3 4 2 7" xfId="27141" xr:uid="{A8B0543D-90D7-42EF-A960-5EE4ED33FDBB}"/>
    <cellStyle name="Финансовый 37 2 2 3 4 3" xfId="10044" xr:uid="{00000000-0005-0000-0000-00003F4E0000}"/>
    <cellStyle name="Финансовый 37 2 2 3 4 3 2" xfId="10045" xr:uid="{00000000-0005-0000-0000-0000404E0000}"/>
    <cellStyle name="Финансовый 37 2 2 3 4 3 2 2" xfId="13130" xr:uid="{00000000-0005-0000-0000-0000414E0000}"/>
    <cellStyle name="Финансовый 37 2 2 3 4 3 2 2 2" xfId="30219" xr:uid="{8BE6AC77-025D-4865-A708-8A3C2B07D867}"/>
    <cellStyle name="Финансовый 37 2 2 3 4 3 2 3" xfId="16362" xr:uid="{00000000-0005-0000-0000-0000424E0000}"/>
    <cellStyle name="Финансовый 37 2 2 3 4 3 2 3 2" xfId="33375" xr:uid="{D061387A-55B0-4DD7-9A3B-55C11FA147E3}"/>
    <cellStyle name="Финансовый 37 2 2 3 4 3 2 4" xfId="19443" xr:uid="{00000000-0005-0000-0000-0000434E0000}"/>
    <cellStyle name="Финансовый 37 2 2 3 4 3 2 4 2" xfId="36456" xr:uid="{6EE66F11-3A3A-4C06-968A-CEFD53585D77}"/>
    <cellStyle name="Финансовый 37 2 2 3 4 3 2 5" xfId="27146" xr:uid="{C6CA0346-2ACF-4E87-A2D6-921DFA1020C3}"/>
    <cellStyle name="Финансовый 37 2 2 3 4 3 3" xfId="13129" xr:uid="{00000000-0005-0000-0000-0000444E0000}"/>
    <cellStyle name="Финансовый 37 2 2 3 4 3 3 2" xfId="30218" xr:uid="{A167624D-54CD-4AE8-B113-B31E84353BC0}"/>
    <cellStyle name="Финансовый 37 2 2 3 4 3 4" xfId="16361" xr:uid="{00000000-0005-0000-0000-0000454E0000}"/>
    <cellStyle name="Финансовый 37 2 2 3 4 3 4 2" xfId="33374" xr:uid="{79E832ED-1BAE-46E8-B948-F9E47735A9DD}"/>
    <cellStyle name="Финансовый 37 2 2 3 4 3 5" xfId="19442" xr:uid="{00000000-0005-0000-0000-0000464E0000}"/>
    <cellStyle name="Финансовый 37 2 2 3 4 3 5 2" xfId="36455" xr:uid="{4DD24F52-2E83-486C-A8A1-4331E27FCD9A}"/>
    <cellStyle name="Финансовый 37 2 2 3 4 3 6" xfId="27145" xr:uid="{FD83F683-7940-4538-88D4-E072DE7669B5}"/>
    <cellStyle name="Финансовый 37 2 2 3 4 4" xfId="10046" xr:uid="{00000000-0005-0000-0000-0000474E0000}"/>
    <cellStyle name="Финансовый 37 2 2 3 4 4 2" xfId="13131" xr:uid="{00000000-0005-0000-0000-0000484E0000}"/>
    <cellStyle name="Финансовый 37 2 2 3 4 4 2 2" xfId="30220" xr:uid="{673E58CC-E8E8-43A2-AEAA-858E7DD82541}"/>
    <cellStyle name="Финансовый 37 2 2 3 4 4 3" xfId="16363" xr:uid="{00000000-0005-0000-0000-0000494E0000}"/>
    <cellStyle name="Финансовый 37 2 2 3 4 4 3 2" xfId="33376" xr:uid="{46E93336-4378-44AA-B212-64FE24FBBFB6}"/>
    <cellStyle name="Финансовый 37 2 2 3 4 4 4" xfId="19444" xr:uid="{00000000-0005-0000-0000-00004A4E0000}"/>
    <cellStyle name="Финансовый 37 2 2 3 4 4 4 2" xfId="36457" xr:uid="{3F88F470-1511-4BD5-9936-52E80B264C10}"/>
    <cellStyle name="Финансовый 37 2 2 3 4 4 5" xfId="27147" xr:uid="{2889C304-9A7A-4D71-869A-74EA00BA663F}"/>
    <cellStyle name="Финансовый 37 2 2 3 4 5" xfId="13124" xr:uid="{00000000-0005-0000-0000-00004B4E0000}"/>
    <cellStyle name="Финансовый 37 2 2 3 4 5 2" xfId="30213" xr:uid="{A6F64793-118A-4517-9284-AB69ED4F0059}"/>
    <cellStyle name="Финансовый 37 2 2 3 4 6" xfId="16356" xr:uid="{00000000-0005-0000-0000-00004C4E0000}"/>
    <cellStyle name="Финансовый 37 2 2 3 4 6 2" xfId="33369" xr:uid="{6A5CB6F5-A565-4CD1-92D3-DA508995FA09}"/>
    <cellStyle name="Финансовый 37 2 2 3 4 7" xfId="19437" xr:uid="{00000000-0005-0000-0000-00004D4E0000}"/>
    <cellStyle name="Финансовый 37 2 2 3 4 7 2" xfId="36450" xr:uid="{CCF76778-C0DC-4654-BCD5-5C61AF867287}"/>
    <cellStyle name="Финансовый 37 2 2 3 4 8" xfId="27140" xr:uid="{DFFF611A-24E6-4210-BDD2-0F98EC3AF2D3}"/>
    <cellStyle name="Финансовый 37 2 2 3 5" xfId="10047" xr:uid="{00000000-0005-0000-0000-00004E4E0000}"/>
    <cellStyle name="Финансовый 37 2 2 3 5 2" xfId="10048" xr:uid="{00000000-0005-0000-0000-00004F4E0000}"/>
    <cellStyle name="Финансовый 37 2 2 3 5 2 2" xfId="10049" xr:uid="{00000000-0005-0000-0000-0000504E0000}"/>
    <cellStyle name="Финансовый 37 2 2 3 5 2 2 2" xfId="13134" xr:uid="{00000000-0005-0000-0000-0000514E0000}"/>
    <cellStyle name="Финансовый 37 2 2 3 5 2 2 2 2" xfId="30223" xr:uid="{8E917A35-E48E-433C-8D54-9AD196321685}"/>
    <cellStyle name="Финансовый 37 2 2 3 5 2 2 3" xfId="16366" xr:uid="{00000000-0005-0000-0000-0000524E0000}"/>
    <cellStyle name="Финансовый 37 2 2 3 5 2 2 3 2" xfId="33379" xr:uid="{958BAB6C-6951-4D1C-9306-A9B5E95A8759}"/>
    <cellStyle name="Финансовый 37 2 2 3 5 2 2 4" xfId="19447" xr:uid="{00000000-0005-0000-0000-0000534E0000}"/>
    <cellStyle name="Финансовый 37 2 2 3 5 2 2 4 2" xfId="36460" xr:uid="{5E81DCED-FFB1-4535-ADAA-57695AD03FC7}"/>
    <cellStyle name="Финансовый 37 2 2 3 5 2 2 5" xfId="27150" xr:uid="{3C4654CC-580C-46BD-AB20-65D6AEDA91DF}"/>
    <cellStyle name="Финансовый 37 2 2 3 5 2 3" xfId="13133" xr:uid="{00000000-0005-0000-0000-0000544E0000}"/>
    <cellStyle name="Финансовый 37 2 2 3 5 2 3 2" xfId="30222" xr:uid="{73C3BE1B-8697-4E10-ABE2-3EDF1A9ACE08}"/>
    <cellStyle name="Финансовый 37 2 2 3 5 2 4" xfId="16365" xr:uid="{00000000-0005-0000-0000-0000554E0000}"/>
    <cellStyle name="Финансовый 37 2 2 3 5 2 4 2" xfId="33378" xr:uid="{F0991623-D4E7-4502-AD4A-26093D15FBB6}"/>
    <cellStyle name="Финансовый 37 2 2 3 5 2 5" xfId="19446" xr:uid="{00000000-0005-0000-0000-0000564E0000}"/>
    <cellStyle name="Финансовый 37 2 2 3 5 2 5 2" xfId="36459" xr:uid="{A4735AF2-57B0-4AFE-885B-5DDCC5C556BE}"/>
    <cellStyle name="Финансовый 37 2 2 3 5 2 6" xfId="27149" xr:uid="{EA43149C-3F1E-4577-B01C-E0688A21DE70}"/>
    <cellStyle name="Финансовый 37 2 2 3 5 3" xfId="10050" xr:uid="{00000000-0005-0000-0000-0000574E0000}"/>
    <cellStyle name="Финансовый 37 2 2 3 5 3 2" xfId="13135" xr:uid="{00000000-0005-0000-0000-0000584E0000}"/>
    <cellStyle name="Финансовый 37 2 2 3 5 3 2 2" xfId="30224" xr:uid="{B2EED5A1-55FA-4762-8FC8-50AF3AA6B748}"/>
    <cellStyle name="Финансовый 37 2 2 3 5 3 3" xfId="16367" xr:uid="{00000000-0005-0000-0000-0000594E0000}"/>
    <cellStyle name="Финансовый 37 2 2 3 5 3 3 2" xfId="33380" xr:uid="{57DCA41B-D200-4D02-8458-2E0AFE78F132}"/>
    <cellStyle name="Финансовый 37 2 2 3 5 3 4" xfId="19448" xr:uid="{00000000-0005-0000-0000-00005A4E0000}"/>
    <cellStyle name="Финансовый 37 2 2 3 5 3 4 2" xfId="36461" xr:uid="{A21C8E92-FA85-460E-8805-AF5484C98145}"/>
    <cellStyle name="Финансовый 37 2 2 3 5 3 5" xfId="27151" xr:uid="{22D446EA-9BCE-4429-9AD6-0C5B5BF9B223}"/>
    <cellStyle name="Финансовый 37 2 2 3 5 4" xfId="13132" xr:uid="{00000000-0005-0000-0000-00005B4E0000}"/>
    <cellStyle name="Финансовый 37 2 2 3 5 4 2" xfId="30221" xr:uid="{A90C6102-2512-4DEC-A523-C66C082ED422}"/>
    <cellStyle name="Финансовый 37 2 2 3 5 5" xfId="16364" xr:uid="{00000000-0005-0000-0000-00005C4E0000}"/>
    <cellStyle name="Финансовый 37 2 2 3 5 5 2" xfId="33377" xr:uid="{56D05118-8BA8-4FFA-A43C-128BFB1BEB04}"/>
    <cellStyle name="Финансовый 37 2 2 3 5 6" xfId="19445" xr:uid="{00000000-0005-0000-0000-00005D4E0000}"/>
    <cellStyle name="Финансовый 37 2 2 3 5 6 2" xfId="36458" xr:uid="{D75E9EA4-7728-4616-81AE-5C98A39AD5C0}"/>
    <cellStyle name="Финансовый 37 2 2 3 5 7" xfId="27148" xr:uid="{19128AFC-20FC-41EE-83D8-6D2E53BE8242}"/>
    <cellStyle name="Финансовый 37 2 2 3 6" xfId="10051" xr:uid="{00000000-0005-0000-0000-00005E4E0000}"/>
    <cellStyle name="Финансовый 37 2 2 3 6 2" xfId="10052" xr:uid="{00000000-0005-0000-0000-00005F4E0000}"/>
    <cellStyle name="Финансовый 37 2 2 3 6 2 2" xfId="13137" xr:uid="{00000000-0005-0000-0000-0000604E0000}"/>
    <cellStyle name="Финансовый 37 2 2 3 6 2 2 2" xfId="30226" xr:uid="{F64B419D-E35D-4DE6-AEB1-2E84BCF66CD0}"/>
    <cellStyle name="Финансовый 37 2 2 3 6 2 3" xfId="16369" xr:uid="{00000000-0005-0000-0000-0000614E0000}"/>
    <cellStyle name="Финансовый 37 2 2 3 6 2 3 2" xfId="33382" xr:uid="{B286EEEF-4E78-4DEB-9F34-E0FECAC77EFA}"/>
    <cellStyle name="Финансовый 37 2 2 3 6 2 4" xfId="19450" xr:uid="{00000000-0005-0000-0000-0000624E0000}"/>
    <cellStyle name="Финансовый 37 2 2 3 6 2 4 2" xfId="36463" xr:uid="{0E8C48AD-A980-43BF-AD17-D3FC9FDC4A7D}"/>
    <cellStyle name="Финансовый 37 2 2 3 6 2 5" xfId="27153" xr:uid="{D84F0906-FF73-456E-A33A-B7EB7234D1DD}"/>
    <cellStyle name="Финансовый 37 2 2 3 6 3" xfId="13136" xr:uid="{00000000-0005-0000-0000-0000634E0000}"/>
    <cellStyle name="Финансовый 37 2 2 3 6 3 2" xfId="30225" xr:uid="{527F5E41-9C08-4B41-AA4C-104202133165}"/>
    <cellStyle name="Финансовый 37 2 2 3 6 4" xfId="16368" xr:uid="{00000000-0005-0000-0000-0000644E0000}"/>
    <cellStyle name="Финансовый 37 2 2 3 6 4 2" xfId="33381" xr:uid="{ECF85161-A946-44E5-A783-F305DDB0AA48}"/>
    <cellStyle name="Финансовый 37 2 2 3 6 5" xfId="19449" xr:uid="{00000000-0005-0000-0000-0000654E0000}"/>
    <cellStyle name="Финансовый 37 2 2 3 6 5 2" xfId="36462" xr:uid="{61357689-D107-4AFC-BDCA-21B6AB02F168}"/>
    <cellStyle name="Финансовый 37 2 2 3 6 6" xfId="27152" xr:uid="{E7BFC1C1-59EF-470C-A744-E9A4CBBB91B8}"/>
    <cellStyle name="Финансовый 37 2 2 3 7" xfId="10053" xr:uid="{00000000-0005-0000-0000-0000664E0000}"/>
    <cellStyle name="Финансовый 37 2 2 3 7 2" xfId="13138" xr:uid="{00000000-0005-0000-0000-0000674E0000}"/>
    <cellStyle name="Финансовый 37 2 2 3 7 2 2" xfId="30227" xr:uid="{5EA6F837-17F6-4CE8-9154-FB908FEA3FDA}"/>
    <cellStyle name="Финансовый 37 2 2 3 7 3" xfId="16370" xr:uid="{00000000-0005-0000-0000-0000684E0000}"/>
    <cellStyle name="Финансовый 37 2 2 3 7 3 2" xfId="33383" xr:uid="{CE29DD6A-789A-4CF4-8082-9ED7B97E0BA3}"/>
    <cellStyle name="Финансовый 37 2 2 3 7 4" xfId="19451" xr:uid="{00000000-0005-0000-0000-0000694E0000}"/>
    <cellStyle name="Финансовый 37 2 2 3 7 4 2" xfId="36464" xr:uid="{249F7AC6-317B-4332-9FF9-7C782C1EF2F3}"/>
    <cellStyle name="Финансовый 37 2 2 3 7 5" xfId="27154" xr:uid="{C0A03E28-4D30-422F-8F11-159FC0090110}"/>
    <cellStyle name="Финансовый 37 2 2 3 8" xfId="13075" xr:uid="{00000000-0005-0000-0000-00006A4E0000}"/>
    <cellStyle name="Финансовый 37 2 2 3 8 2" xfId="30164" xr:uid="{6ACD3641-A06D-45E9-AD58-9958131B0807}"/>
    <cellStyle name="Финансовый 37 2 2 3 9" xfId="16307" xr:uid="{00000000-0005-0000-0000-00006B4E0000}"/>
    <cellStyle name="Финансовый 37 2 2 3 9 2" xfId="33320" xr:uid="{4A0B75A7-28A0-4E2A-B6FF-6A1E3ACC95D3}"/>
    <cellStyle name="Финансовый 37 2 2 4" xfId="10054" xr:uid="{00000000-0005-0000-0000-00006C4E0000}"/>
    <cellStyle name="Финансовый 37 2 2 4 10" xfId="27155" xr:uid="{940BF13E-7913-4352-9CBE-55EDB65EBDFF}"/>
    <cellStyle name="Финансовый 37 2 2 4 2" xfId="10055" xr:uid="{00000000-0005-0000-0000-00006D4E0000}"/>
    <cellStyle name="Финансовый 37 2 2 4 2 2" xfId="10056" xr:uid="{00000000-0005-0000-0000-00006E4E0000}"/>
    <cellStyle name="Финансовый 37 2 2 4 2 2 2" xfId="10057" xr:uid="{00000000-0005-0000-0000-00006F4E0000}"/>
    <cellStyle name="Финансовый 37 2 2 4 2 2 2 2" xfId="10058" xr:uid="{00000000-0005-0000-0000-0000704E0000}"/>
    <cellStyle name="Финансовый 37 2 2 4 2 2 2 2 2" xfId="10059" xr:uid="{00000000-0005-0000-0000-0000714E0000}"/>
    <cellStyle name="Финансовый 37 2 2 4 2 2 2 2 2 2" xfId="13144" xr:uid="{00000000-0005-0000-0000-0000724E0000}"/>
    <cellStyle name="Финансовый 37 2 2 4 2 2 2 2 2 2 2" xfId="30233" xr:uid="{3FBC0EAA-06D6-4FC2-9E76-C23A3CA2C00C}"/>
    <cellStyle name="Финансовый 37 2 2 4 2 2 2 2 2 3" xfId="16376" xr:uid="{00000000-0005-0000-0000-0000734E0000}"/>
    <cellStyle name="Финансовый 37 2 2 4 2 2 2 2 2 3 2" xfId="33389" xr:uid="{CE74366C-E1CF-49EC-B1DC-79A2527E1C00}"/>
    <cellStyle name="Финансовый 37 2 2 4 2 2 2 2 2 4" xfId="19457" xr:uid="{00000000-0005-0000-0000-0000744E0000}"/>
    <cellStyle name="Финансовый 37 2 2 4 2 2 2 2 2 4 2" xfId="36470" xr:uid="{7739073B-8D76-4CF6-9F26-6FA9D3DC8D7B}"/>
    <cellStyle name="Финансовый 37 2 2 4 2 2 2 2 2 5" xfId="27160" xr:uid="{9BB58173-7594-4BF0-BD80-EC64FB154F87}"/>
    <cellStyle name="Финансовый 37 2 2 4 2 2 2 2 3" xfId="13143" xr:uid="{00000000-0005-0000-0000-0000754E0000}"/>
    <cellStyle name="Финансовый 37 2 2 4 2 2 2 2 3 2" xfId="30232" xr:uid="{B6247574-C132-49AF-B62B-6EDB16E1105B}"/>
    <cellStyle name="Финансовый 37 2 2 4 2 2 2 2 4" xfId="16375" xr:uid="{00000000-0005-0000-0000-0000764E0000}"/>
    <cellStyle name="Финансовый 37 2 2 4 2 2 2 2 4 2" xfId="33388" xr:uid="{ED08B175-15C7-4B82-9E74-4128F90A7A6A}"/>
    <cellStyle name="Финансовый 37 2 2 4 2 2 2 2 5" xfId="19456" xr:uid="{00000000-0005-0000-0000-0000774E0000}"/>
    <cellStyle name="Финансовый 37 2 2 4 2 2 2 2 5 2" xfId="36469" xr:uid="{D92EE91B-5939-411F-B48F-B62D3FF60222}"/>
    <cellStyle name="Финансовый 37 2 2 4 2 2 2 2 6" xfId="27159" xr:uid="{C811674E-209C-4255-BABC-397B520AB1FB}"/>
    <cellStyle name="Финансовый 37 2 2 4 2 2 2 3" xfId="10060" xr:uid="{00000000-0005-0000-0000-0000784E0000}"/>
    <cellStyle name="Финансовый 37 2 2 4 2 2 2 3 2" xfId="13145" xr:uid="{00000000-0005-0000-0000-0000794E0000}"/>
    <cellStyle name="Финансовый 37 2 2 4 2 2 2 3 2 2" xfId="30234" xr:uid="{D8A9AD8B-93D4-4A9F-BE89-31F83126000F}"/>
    <cellStyle name="Финансовый 37 2 2 4 2 2 2 3 3" xfId="16377" xr:uid="{00000000-0005-0000-0000-00007A4E0000}"/>
    <cellStyle name="Финансовый 37 2 2 4 2 2 2 3 3 2" xfId="33390" xr:uid="{E8617355-6F08-4407-BFAC-D056BC64BC63}"/>
    <cellStyle name="Финансовый 37 2 2 4 2 2 2 3 4" xfId="19458" xr:uid="{00000000-0005-0000-0000-00007B4E0000}"/>
    <cellStyle name="Финансовый 37 2 2 4 2 2 2 3 4 2" xfId="36471" xr:uid="{CD445108-BBAF-44FA-9174-75F0D85ABFE6}"/>
    <cellStyle name="Финансовый 37 2 2 4 2 2 2 3 5" xfId="27161" xr:uid="{831D3D22-727B-4A33-935B-DB12A7621CF0}"/>
    <cellStyle name="Финансовый 37 2 2 4 2 2 2 4" xfId="13142" xr:uid="{00000000-0005-0000-0000-00007C4E0000}"/>
    <cellStyle name="Финансовый 37 2 2 4 2 2 2 4 2" xfId="30231" xr:uid="{5C0823A8-E695-4686-88B1-466E210D8E6B}"/>
    <cellStyle name="Финансовый 37 2 2 4 2 2 2 5" xfId="16374" xr:uid="{00000000-0005-0000-0000-00007D4E0000}"/>
    <cellStyle name="Финансовый 37 2 2 4 2 2 2 5 2" xfId="33387" xr:uid="{A7E5FBC9-DB2B-41ED-9C91-0F4C2012FBDC}"/>
    <cellStyle name="Финансовый 37 2 2 4 2 2 2 6" xfId="19455" xr:uid="{00000000-0005-0000-0000-00007E4E0000}"/>
    <cellStyle name="Финансовый 37 2 2 4 2 2 2 6 2" xfId="36468" xr:uid="{E9A98682-675C-479B-9C47-6B821D8F4508}"/>
    <cellStyle name="Финансовый 37 2 2 4 2 2 2 7" xfId="27158" xr:uid="{9CFA26CB-61B2-45D0-AC2A-C3210696F299}"/>
    <cellStyle name="Финансовый 37 2 2 4 2 2 3" xfId="10061" xr:uid="{00000000-0005-0000-0000-00007F4E0000}"/>
    <cellStyle name="Финансовый 37 2 2 4 2 2 3 2" xfId="10062" xr:uid="{00000000-0005-0000-0000-0000804E0000}"/>
    <cellStyle name="Финансовый 37 2 2 4 2 2 3 2 2" xfId="13147" xr:uid="{00000000-0005-0000-0000-0000814E0000}"/>
    <cellStyle name="Финансовый 37 2 2 4 2 2 3 2 2 2" xfId="30236" xr:uid="{1DDCD8B4-9C64-4136-9FFD-BCC46F239A82}"/>
    <cellStyle name="Финансовый 37 2 2 4 2 2 3 2 3" xfId="16379" xr:uid="{00000000-0005-0000-0000-0000824E0000}"/>
    <cellStyle name="Финансовый 37 2 2 4 2 2 3 2 3 2" xfId="33392" xr:uid="{95330805-8263-4D3C-9EF9-0732D707042A}"/>
    <cellStyle name="Финансовый 37 2 2 4 2 2 3 2 4" xfId="19460" xr:uid="{00000000-0005-0000-0000-0000834E0000}"/>
    <cellStyle name="Финансовый 37 2 2 4 2 2 3 2 4 2" xfId="36473" xr:uid="{D221246C-60F0-456A-AEDF-7B823CCA85B3}"/>
    <cellStyle name="Финансовый 37 2 2 4 2 2 3 2 5" xfId="27163" xr:uid="{E16DB0AF-DE08-4754-BD6C-54F579CB2D6E}"/>
    <cellStyle name="Финансовый 37 2 2 4 2 2 3 3" xfId="13146" xr:uid="{00000000-0005-0000-0000-0000844E0000}"/>
    <cellStyle name="Финансовый 37 2 2 4 2 2 3 3 2" xfId="30235" xr:uid="{F75E1DA2-F89C-4365-BF52-3B8349DC2F76}"/>
    <cellStyle name="Финансовый 37 2 2 4 2 2 3 4" xfId="16378" xr:uid="{00000000-0005-0000-0000-0000854E0000}"/>
    <cellStyle name="Финансовый 37 2 2 4 2 2 3 4 2" xfId="33391" xr:uid="{18B5728F-FD56-46FB-AFCF-6C8665169746}"/>
    <cellStyle name="Финансовый 37 2 2 4 2 2 3 5" xfId="19459" xr:uid="{00000000-0005-0000-0000-0000864E0000}"/>
    <cellStyle name="Финансовый 37 2 2 4 2 2 3 5 2" xfId="36472" xr:uid="{B6CE680D-AED9-492C-A274-D6F35F0B1174}"/>
    <cellStyle name="Финансовый 37 2 2 4 2 2 3 6" xfId="27162" xr:uid="{CB0AF31F-AAFB-4380-90AD-655366584D3B}"/>
    <cellStyle name="Финансовый 37 2 2 4 2 2 4" xfId="10063" xr:uid="{00000000-0005-0000-0000-0000874E0000}"/>
    <cellStyle name="Финансовый 37 2 2 4 2 2 4 2" xfId="13148" xr:uid="{00000000-0005-0000-0000-0000884E0000}"/>
    <cellStyle name="Финансовый 37 2 2 4 2 2 4 2 2" xfId="30237" xr:uid="{AF6B4B91-A2AB-406A-8148-B727DBD04E29}"/>
    <cellStyle name="Финансовый 37 2 2 4 2 2 4 3" xfId="16380" xr:uid="{00000000-0005-0000-0000-0000894E0000}"/>
    <cellStyle name="Финансовый 37 2 2 4 2 2 4 3 2" xfId="33393" xr:uid="{D0CE76EF-14DC-4EA6-B1AE-02708D5CF965}"/>
    <cellStyle name="Финансовый 37 2 2 4 2 2 4 4" xfId="19461" xr:uid="{00000000-0005-0000-0000-00008A4E0000}"/>
    <cellStyle name="Финансовый 37 2 2 4 2 2 4 4 2" xfId="36474" xr:uid="{BB7E466B-D72E-449F-829E-B1606C54C68D}"/>
    <cellStyle name="Финансовый 37 2 2 4 2 2 4 5" xfId="27164" xr:uid="{D1C64C7B-7B0A-484C-9C57-1A4CEB3B39FE}"/>
    <cellStyle name="Финансовый 37 2 2 4 2 2 5" xfId="13141" xr:uid="{00000000-0005-0000-0000-00008B4E0000}"/>
    <cellStyle name="Финансовый 37 2 2 4 2 2 5 2" xfId="30230" xr:uid="{3B171717-F2A9-46A5-BFFE-75805224772C}"/>
    <cellStyle name="Финансовый 37 2 2 4 2 2 6" xfId="16373" xr:uid="{00000000-0005-0000-0000-00008C4E0000}"/>
    <cellStyle name="Финансовый 37 2 2 4 2 2 6 2" xfId="33386" xr:uid="{CBE78FCE-379C-4B4E-98BD-298496030A01}"/>
    <cellStyle name="Финансовый 37 2 2 4 2 2 7" xfId="19454" xr:uid="{00000000-0005-0000-0000-00008D4E0000}"/>
    <cellStyle name="Финансовый 37 2 2 4 2 2 7 2" xfId="36467" xr:uid="{74D01253-C64E-448F-9764-DE06F12B9522}"/>
    <cellStyle name="Финансовый 37 2 2 4 2 2 8" xfId="27157" xr:uid="{9346C6A9-4395-4552-9355-3C1376E907DB}"/>
    <cellStyle name="Финансовый 37 2 2 4 2 3" xfId="10064" xr:uid="{00000000-0005-0000-0000-00008E4E0000}"/>
    <cellStyle name="Финансовый 37 2 2 4 2 3 2" xfId="10065" xr:uid="{00000000-0005-0000-0000-00008F4E0000}"/>
    <cellStyle name="Финансовый 37 2 2 4 2 3 2 2" xfId="10066" xr:uid="{00000000-0005-0000-0000-0000904E0000}"/>
    <cellStyle name="Финансовый 37 2 2 4 2 3 2 2 2" xfId="13151" xr:uid="{00000000-0005-0000-0000-0000914E0000}"/>
    <cellStyle name="Финансовый 37 2 2 4 2 3 2 2 2 2" xfId="30240" xr:uid="{6EE596B5-149E-4A74-8BB0-B54AE6D412B0}"/>
    <cellStyle name="Финансовый 37 2 2 4 2 3 2 2 3" xfId="16383" xr:uid="{00000000-0005-0000-0000-0000924E0000}"/>
    <cellStyle name="Финансовый 37 2 2 4 2 3 2 2 3 2" xfId="33396" xr:uid="{392101CF-E2B6-4BC8-A0F2-8FEEFA250375}"/>
    <cellStyle name="Финансовый 37 2 2 4 2 3 2 2 4" xfId="19464" xr:uid="{00000000-0005-0000-0000-0000934E0000}"/>
    <cellStyle name="Финансовый 37 2 2 4 2 3 2 2 4 2" xfId="36477" xr:uid="{9992739F-0704-4688-B9BA-6D58CF4777B5}"/>
    <cellStyle name="Финансовый 37 2 2 4 2 3 2 2 5" xfId="27167" xr:uid="{4F823665-D24B-4E8E-9277-735185FAE282}"/>
    <cellStyle name="Финансовый 37 2 2 4 2 3 2 3" xfId="13150" xr:uid="{00000000-0005-0000-0000-0000944E0000}"/>
    <cellStyle name="Финансовый 37 2 2 4 2 3 2 3 2" xfId="30239" xr:uid="{A015BCE6-B057-4F3A-81B3-4F928C786E63}"/>
    <cellStyle name="Финансовый 37 2 2 4 2 3 2 4" xfId="16382" xr:uid="{00000000-0005-0000-0000-0000954E0000}"/>
    <cellStyle name="Финансовый 37 2 2 4 2 3 2 4 2" xfId="33395" xr:uid="{D905C965-F825-44D6-9B8D-CF5E7E1DCDC0}"/>
    <cellStyle name="Финансовый 37 2 2 4 2 3 2 5" xfId="19463" xr:uid="{00000000-0005-0000-0000-0000964E0000}"/>
    <cellStyle name="Финансовый 37 2 2 4 2 3 2 5 2" xfId="36476" xr:uid="{2DD148EA-1630-490A-98A8-52E4BF05A73F}"/>
    <cellStyle name="Финансовый 37 2 2 4 2 3 2 6" xfId="27166" xr:uid="{391E8936-D32B-43F4-AF78-97A665D0A8E9}"/>
    <cellStyle name="Финансовый 37 2 2 4 2 3 3" xfId="10067" xr:uid="{00000000-0005-0000-0000-0000974E0000}"/>
    <cellStyle name="Финансовый 37 2 2 4 2 3 3 2" xfId="13152" xr:uid="{00000000-0005-0000-0000-0000984E0000}"/>
    <cellStyle name="Финансовый 37 2 2 4 2 3 3 2 2" xfId="30241" xr:uid="{D24C07E6-A906-4F86-BE82-1619B4ED0321}"/>
    <cellStyle name="Финансовый 37 2 2 4 2 3 3 3" xfId="16384" xr:uid="{00000000-0005-0000-0000-0000994E0000}"/>
    <cellStyle name="Финансовый 37 2 2 4 2 3 3 3 2" xfId="33397" xr:uid="{6B327EDD-F955-4690-9DC1-88058C8FBCD7}"/>
    <cellStyle name="Финансовый 37 2 2 4 2 3 3 4" xfId="19465" xr:uid="{00000000-0005-0000-0000-00009A4E0000}"/>
    <cellStyle name="Финансовый 37 2 2 4 2 3 3 4 2" xfId="36478" xr:uid="{238010BA-DC5F-48F9-A83D-9A5C7A7FE3A8}"/>
    <cellStyle name="Финансовый 37 2 2 4 2 3 3 5" xfId="27168" xr:uid="{F5D9CE8E-7D37-4D82-8A76-4DDBA10EFCE6}"/>
    <cellStyle name="Финансовый 37 2 2 4 2 3 4" xfId="13149" xr:uid="{00000000-0005-0000-0000-00009B4E0000}"/>
    <cellStyle name="Финансовый 37 2 2 4 2 3 4 2" xfId="30238" xr:uid="{41052037-E20A-4F7E-AE5C-D3B19D58C579}"/>
    <cellStyle name="Финансовый 37 2 2 4 2 3 5" xfId="16381" xr:uid="{00000000-0005-0000-0000-00009C4E0000}"/>
    <cellStyle name="Финансовый 37 2 2 4 2 3 5 2" xfId="33394" xr:uid="{11E8F086-E92B-4AF3-BBDD-AF3B53483F10}"/>
    <cellStyle name="Финансовый 37 2 2 4 2 3 6" xfId="19462" xr:uid="{00000000-0005-0000-0000-00009D4E0000}"/>
    <cellStyle name="Финансовый 37 2 2 4 2 3 6 2" xfId="36475" xr:uid="{3559D4CD-9450-4B9C-A562-FE4E31B082C7}"/>
    <cellStyle name="Финансовый 37 2 2 4 2 3 7" xfId="27165" xr:uid="{461F7601-FA3B-4163-87D5-14643E92BAF1}"/>
    <cellStyle name="Финансовый 37 2 2 4 2 4" xfId="10068" xr:uid="{00000000-0005-0000-0000-00009E4E0000}"/>
    <cellStyle name="Финансовый 37 2 2 4 2 4 2" xfId="10069" xr:uid="{00000000-0005-0000-0000-00009F4E0000}"/>
    <cellStyle name="Финансовый 37 2 2 4 2 4 2 2" xfId="13154" xr:uid="{00000000-0005-0000-0000-0000A04E0000}"/>
    <cellStyle name="Финансовый 37 2 2 4 2 4 2 2 2" xfId="30243" xr:uid="{325EE6E4-BBFA-417B-8620-D0A1682BABD8}"/>
    <cellStyle name="Финансовый 37 2 2 4 2 4 2 3" xfId="16386" xr:uid="{00000000-0005-0000-0000-0000A14E0000}"/>
    <cellStyle name="Финансовый 37 2 2 4 2 4 2 3 2" xfId="33399" xr:uid="{432DC95C-AE08-4928-9B95-90343499F496}"/>
    <cellStyle name="Финансовый 37 2 2 4 2 4 2 4" xfId="19467" xr:uid="{00000000-0005-0000-0000-0000A24E0000}"/>
    <cellStyle name="Финансовый 37 2 2 4 2 4 2 4 2" xfId="36480" xr:uid="{1B50E58C-1963-46FF-BBAF-80DCEB705C80}"/>
    <cellStyle name="Финансовый 37 2 2 4 2 4 2 5" xfId="27170" xr:uid="{84753719-A700-476A-9289-6869BE7ED91A}"/>
    <cellStyle name="Финансовый 37 2 2 4 2 4 3" xfId="13153" xr:uid="{00000000-0005-0000-0000-0000A34E0000}"/>
    <cellStyle name="Финансовый 37 2 2 4 2 4 3 2" xfId="30242" xr:uid="{3079BFF7-9591-4CED-B896-719B8AFE9ACC}"/>
    <cellStyle name="Финансовый 37 2 2 4 2 4 4" xfId="16385" xr:uid="{00000000-0005-0000-0000-0000A44E0000}"/>
    <cellStyle name="Финансовый 37 2 2 4 2 4 4 2" xfId="33398" xr:uid="{7E54AE3E-1648-41EF-91FC-094DD346DFBA}"/>
    <cellStyle name="Финансовый 37 2 2 4 2 4 5" xfId="19466" xr:uid="{00000000-0005-0000-0000-0000A54E0000}"/>
    <cellStyle name="Финансовый 37 2 2 4 2 4 5 2" xfId="36479" xr:uid="{49CD8593-0EB5-43E9-93F2-4A18F030B4CE}"/>
    <cellStyle name="Финансовый 37 2 2 4 2 4 6" xfId="27169" xr:uid="{A7EB0F3E-7C58-4825-A659-536BA87220D8}"/>
    <cellStyle name="Финансовый 37 2 2 4 2 5" xfId="10070" xr:uid="{00000000-0005-0000-0000-0000A64E0000}"/>
    <cellStyle name="Финансовый 37 2 2 4 2 5 2" xfId="13155" xr:uid="{00000000-0005-0000-0000-0000A74E0000}"/>
    <cellStyle name="Финансовый 37 2 2 4 2 5 2 2" xfId="30244" xr:uid="{FF50D205-7725-49D5-A67F-8724524A3F3C}"/>
    <cellStyle name="Финансовый 37 2 2 4 2 5 3" xfId="16387" xr:uid="{00000000-0005-0000-0000-0000A84E0000}"/>
    <cellStyle name="Финансовый 37 2 2 4 2 5 3 2" xfId="33400" xr:uid="{ABACA64A-B277-45AE-9DCD-F8951DBC9502}"/>
    <cellStyle name="Финансовый 37 2 2 4 2 5 4" xfId="19468" xr:uid="{00000000-0005-0000-0000-0000A94E0000}"/>
    <cellStyle name="Финансовый 37 2 2 4 2 5 4 2" xfId="36481" xr:uid="{B6D4968A-7688-4DE3-9F8B-5D176BA11B75}"/>
    <cellStyle name="Финансовый 37 2 2 4 2 5 5" xfId="27171" xr:uid="{5DD28541-28B9-48F3-B5A3-E8A8ACFAD320}"/>
    <cellStyle name="Финансовый 37 2 2 4 2 6" xfId="13140" xr:uid="{00000000-0005-0000-0000-0000AA4E0000}"/>
    <cellStyle name="Финансовый 37 2 2 4 2 6 2" xfId="30229" xr:uid="{817C4F88-4381-401A-A5E1-487FDB8260B7}"/>
    <cellStyle name="Финансовый 37 2 2 4 2 7" xfId="16372" xr:uid="{00000000-0005-0000-0000-0000AB4E0000}"/>
    <cellStyle name="Финансовый 37 2 2 4 2 7 2" xfId="33385" xr:uid="{1BCBFC87-E6C0-4D67-A5D9-754567252219}"/>
    <cellStyle name="Финансовый 37 2 2 4 2 8" xfId="19453" xr:uid="{00000000-0005-0000-0000-0000AC4E0000}"/>
    <cellStyle name="Финансовый 37 2 2 4 2 8 2" xfId="36466" xr:uid="{E742F344-9187-4694-A029-8BAF091087E4}"/>
    <cellStyle name="Финансовый 37 2 2 4 2 9" xfId="27156" xr:uid="{C185D766-CA6C-4B92-9A53-FEB3D9FD9998}"/>
    <cellStyle name="Финансовый 37 2 2 4 3" xfId="10071" xr:uid="{00000000-0005-0000-0000-0000AD4E0000}"/>
    <cellStyle name="Финансовый 37 2 2 4 3 2" xfId="10072" xr:uid="{00000000-0005-0000-0000-0000AE4E0000}"/>
    <cellStyle name="Финансовый 37 2 2 4 3 2 2" xfId="10073" xr:uid="{00000000-0005-0000-0000-0000AF4E0000}"/>
    <cellStyle name="Финансовый 37 2 2 4 3 2 2 2" xfId="10074" xr:uid="{00000000-0005-0000-0000-0000B04E0000}"/>
    <cellStyle name="Финансовый 37 2 2 4 3 2 2 2 2" xfId="13159" xr:uid="{00000000-0005-0000-0000-0000B14E0000}"/>
    <cellStyle name="Финансовый 37 2 2 4 3 2 2 2 2 2" xfId="30248" xr:uid="{3F971124-D43E-433C-A5E5-10D24E4696C2}"/>
    <cellStyle name="Финансовый 37 2 2 4 3 2 2 2 3" xfId="16391" xr:uid="{00000000-0005-0000-0000-0000B24E0000}"/>
    <cellStyle name="Финансовый 37 2 2 4 3 2 2 2 3 2" xfId="33404" xr:uid="{C9906719-D1A6-48B8-88C2-7A06271BEB50}"/>
    <cellStyle name="Финансовый 37 2 2 4 3 2 2 2 4" xfId="19472" xr:uid="{00000000-0005-0000-0000-0000B34E0000}"/>
    <cellStyle name="Финансовый 37 2 2 4 3 2 2 2 4 2" xfId="36485" xr:uid="{12C3519D-50C2-4098-A0EA-E6462F2C14FE}"/>
    <cellStyle name="Финансовый 37 2 2 4 3 2 2 2 5" xfId="27175" xr:uid="{7BAE8AD7-4F21-4A06-B027-1A78285AC2C3}"/>
    <cellStyle name="Финансовый 37 2 2 4 3 2 2 3" xfId="13158" xr:uid="{00000000-0005-0000-0000-0000B44E0000}"/>
    <cellStyle name="Финансовый 37 2 2 4 3 2 2 3 2" xfId="30247" xr:uid="{D7D0BCE2-4FE7-4584-9786-7B38206E9A1B}"/>
    <cellStyle name="Финансовый 37 2 2 4 3 2 2 4" xfId="16390" xr:uid="{00000000-0005-0000-0000-0000B54E0000}"/>
    <cellStyle name="Финансовый 37 2 2 4 3 2 2 4 2" xfId="33403" xr:uid="{0A9E88A3-F243-40DF-AFCA-87706FC69471}"/>
    <cellStyle name="Финансовый 37 2 2 4 3 2 2 5" xfId="19471" xr:uid="{00000000-0005-0000-0000-0000B64E0000}"/>
    <cellStyle name="Финансовый 37 2 2 4 3 2 2 5 2" xfId="36484" xr:uid="{1E36B9E6-3DF1-4931-8EF2-F8CF610E96AB}"/>
    <cellStyle name="Финансовый 37 2 2 4 3 2 2 6" xfId="27174" xr:uid="{AFE52393-6C5E-48D9-9A4B-16431D721797}"/>
    <cellStyle name="Финансовый 37 2 2 4 3 2 3" xfId="10075" xr:uid="{00000000-0005-0000-0000-0000B74E0000}"/>
    <cellStyle name="Финансовый 37 2 2 4 3 2 3 2" xfId="13160" xr:uid="{00000000-0005-0000-0000-0000B84E0000}"/>
    <cellStyle name="Финансовый 37 2 2 4 3 2 3 2 2" xfId="30249" xr:uid="{33A0BE0A-EB0A-4F08-918A-0905561A3C8C}"/>
    <cellStyle name="Финансовый 37 2 2 4 3 2 3 3" xfId="16392" xr:uid="{00000000-0005-0000-0000-0000B94E0000}"/>
    <cellStyle name="Финансовый 37 2 2 4 3 2 3 3 2" xfId="33405" xr:uid="{2ADE7E78-7F53-4EDD-821C-781C2C814C03}"/>
    <cellStyle name="Финансовый 37 2 2 4 3 2 3 4" xfId="19473" xr:uid="{00000000-0005-0000-0000-0000BA4E0000}"/>
    <cellStyle name="Финансовый 37 2 2 4 3 2 3 4 2" xfId="36486" xr:uid="{15847767-A603-453C-96B5-C08835E68580}"/>
    <cellStyle name="Финансовый 37 2 2 4 3 2 3 5" xfId="27176" xr:uid="{3C403DFC-7C72-496B-9368-3DD5C863A4A5}"/>
    <cellStyle name="Финансовый 37 2 2 4 3 2 4" xfId="13157" xr:uid="{00000000-0005-0000-0000-0000BB4E0000}"/>
    <cellStyle name="Финансовый 37 2 2 4 3 2 4 2" xfId="30246" xr:uid="{D70D41DF-3A51-4AAA-B124-187BAFDEF555}"/>
    <cellStyle name="Финансовый 37 2 2 4 3 2 5" xfId="16389" xr:uid="{00000000-0005-0000-0000-0000BC4E0000}"/>
    <cellStyle name="Финансовый 37 2 2 4 3 2 5 2" xfId="33402" xr:uid="{834BA639-20A8-473E-AAC9-64C286FCEE46}"/>
    <cellStyle name="Финансовый 37 2 2 4 3 2 6" xfId="19470" xr:uid="{00000000-0005-0000-0000-0000BD4E0000}"/>
    <cellStyle name="Финансовый 37 2 2 4 3 2 6 2" xfId="36483" xr:uid="{681BEBC1-294F-4DE9-8BF8-870CC122CA17}"/>
    <cellStyle name="Финансовый 37 2 2 4 3 2 7" xfId="27173" xr:uid="{52FE3EED-AB51-4993-99CB-4752B2F1FE24}"/>
    <cellStyle name="Финансовый 37 2 2 4 3 3" xfId="10076" xr:uid="{00000000-0005-0000-0000-0000BE4E0000}"/>
    <cellStyle name="Финансовый 37 2 2 4 3 3 2" xfId="10077" xr:uid="{00000000-0005-0000-0000-0000BF4E0000}"/>
    <cellStyle name="Финансовый 37 2 2 4 3 3 2 2" xfId="13162" xr:uid="{00000000-0005-0000-0000-0000C04E0000}"/>
    <cellStyle name="Финансовый 37 2 2 4 3 3 2 2 2" xfId="30251" xr:uid="{D051F2BB-2348-41E9-9C84-2376F49845EC}"/>
    <cellStyle name="Финансовый 37 2 2 4 3 3 2 3" xfId="16394" xr:uid="{00000000-0005-0000-0000-0000C14E0000}"/>
    <cellStyle name="Финансовый 37 2 2 4 3 3 2 3 2" xfId="33407" xr:uid="{8498A24F-C130-45CE-8F2D-38FDBE6CE02D}"/>
    <cellStyle name="Финансовый 37 2 2 4 3 3 2 4" xfId="19475" xr:uid="{00000000-0005-0000-0000-0000C24E0000}"/>
    <cellStyle name="Финансовый 37 2 2 4 3 3 2 4 2" xfId="36488" xr:uid="{6AAF8B59-1D72-45F0-87A6-2738D0E83E59}"/>
    <cellStyle name="Финансовый 37 2 2 4 3 3 2 5" xfId="27178" xr:uid="{F8BBAB2B-1DBB-4C27-9AB4-CBDF4DFD0551}"/>
    <cellStyle name="Финансовый 37 2 2 4 3 3 3" xfId="13161" xr:uid="{00000000-0005-0000-0000-0000C34E0000}"/>
    <cellStyle name="Финансовый 37 2 2 4 3 3 3 2" xfId="30250" xr:uid="{B7543BA0-F6A2-436B-86FC-0674982AB41D}"/>
    <cellStyle name="Финансовый 37 2 2 4 3 3 4" xfId="16393" xr:uid="{00000000-0005-0000-0000-0000C44E0000}"/>
    <cellStyle name="Финансовый 37 2 2 4 3 3 4 2" xfId="33406" xr:uid="{26AFC22E-A9EC-4CB4-B026-94BD5E3B23D4}"/>
    <cellStyle name="Финансовый 37 2 2 4 3 3 5" xfId="19474" xr:uid="{00000000-0005-0000-0000-0000C54E0000}"/>
    <cellStyle name="Финансовый 37 2 2 4 3 3 5 2" xfId="36487" xr:uid="{55C06A42-90B6-43C0-8755-6B7DF6F9FDCA}"/>
    <cellStyle name="Финансовый 37 2 2 4 3 3 6" xfId="27177" xr:uid="{3F6CF390-DAE2-4374-BC64-807D558D8D68}"/>
    <cellStyle name="Финансовый 37 2 2 4 3 4" xfId="10078" xr:uid="{00000000-0005-0000-0000-0000C64E0000}"/>
    <cellStyle name="Финансовый 37 2 2 4 3 4 2" xfId="13163" xr:uid="{00000000-0005-0000-0000-0000C74E0000}"/>
    <cellStyle name="Финансовый 37 2 2 4 3 4 2 2" xfId="30252" xr:uid="{378A5C80-3B6E-4638-9E41-93755151DC0B}"/>
    <cellStyle name="Финансовый 37 2 2 4 3 4 3" xfId="16395" xr:uid="{00000000-0005-0000-0000-0000C84E0000}"/>
    <cellStyle name="Финансовый 37 2 2 4 3 4 3 2" xfId="33408" xr:uid="{F30A9E24-E37F-49E8-8848-ED52C86C5CF2}"/>
    <cellStyle name="Финансовый 37 2 2 4 3 4 4" xfId="19476" xr:uid="{00000000-0005-0000-0000-0000C94E0000}"/>
    <cellStyle name="Финансовый 37 2 2 4 3 4 4 2" xfId="36489" xr:uid="{1CF3E52B-1894-477B-8C6C-8A72D66874DE}"/>
    <cellStyle name="Финансовый 37 2 2 4 3 4 5" xfId="27179" xr:uid="{68990924-0A40-4289-82B4-E80E7A02ACCE}"/>
    <cellStyle name="Финансовый 37 2 2 4 3 5" xfId="13156" xr:uid="{00000000-0005-0000-0000-0000CA4E0000}"/>
    <cellStyle name="Финансовый 37 2 2 4 3 5 2" xfId="30245" xr:uid="{69799C5A-5D22-4F54-A67D-92EDA1082029}"/>
    <cellStyle name="Финансовый 37 2 2 4 3 6" xfId="16388" xr:uid="{00000000-0005-0000-0000-0000CB4E0000}"/>
    <cellStyle name="Финансовый 37 2 2 4 3 6 2" xfId="33401" xr:uid="{E6E44857-2652-4B4A-80E5-6C32A0CE3C0C}"/>
    <cellStyle name="Финансовый 37 2 2 4 3 7" xfId="19469" xr:uid="{00000000-0005-0000-0000-0000CC4E0000}"/>
    <cellStyle name="Финансовый 37 2 2 4 3 7 2" xfId="36482" xr:uid="{3E31BC38-52FB-4281-8A53-816BC3FB3959}"/>
    <cellStyle name="Финансовый 37 2 2 4 3 8" xfId="27172" xr:uid="{E2D2FF85-F63F-4F98-A99E-A0A2A50FFC93}"/>
    <cellStyle name="Финансовый 37 2 2 4 4" xfId="10079" xr:uid="{00000000-0005-0000-0000-0000CD4E0000}"/>
    <cellStyle name="Финансовый 37 2 2 4 4 2" xfId="10080" xr:uid="{00000000-0005-0000-0000-0000CE4E0000}"/>
    <cellStyle name="Финансовый 37 2 2 4 4 2 2" xfId="10081" xr:uid="{00000000-0005-0000-0000-0000CF4E0000}"/>
    <cellStyle name="Финансовый 37 2 2 4 4 2 2 2" xfId="13166" xr:uid="{00000000-0005-0000-0000-0000D04E0000}"/>
    <cellStyle name="Финансовый 37 2 2 4 4 2 2 2 2" xfId="30255" xr:uid="{19F216E5-9647-4A10-8C45-DE7DA4CDE2EE}"/>
    <cellStyle name="Финансовый 37 2 2 4 4 2 2 3" xfId="16398" xr:uid="{00000000-0005-0000-0000-0000D14E0000}"/>
    <cellStyle name="Финансовый 37 2 2 4 4 2 2 3 2" xfId="33411" xr:uid="{D7F14E03-DC09-47A7-AB83-9CD7E75144C9}"/>
    <cellStyle name="Финансовый 37 2 2 4 4 2 2 4" xfId="19479" xr:uid="{00000000-0005-0000-0000-0000D24E0000}"/>
    <cellStyle name="Финансовый 37 2 2 4 4 2 2 4 2" xfId="36492" xr:uid="{A5029A8B-BCA7-414F-B365-7F7E905BE193}"/>
    <cellStyle name="Финансовый 37 2 2 4 4 2 2 5" xfId="27182" xr:uid="{4E790E4F-A9F2-426F-A809-0980A5E358B6}"/>
    <cellStyle name="Финансовый 37 2 2 4 4 2 3" xfId="13165" xr:uid="{00000000-0005-0000-0000-0000D34E0000}"/>
    <cellStyle name="Финансовый 37 2 2 4 4 2 3 2" xfId="30254" xr:uid="{8B0A19F4-DBCA-4A64-BB4E-7CD007CFE949}"/>
    <cellStyle name="Финансовый 37 2 2 4 4 2 4" xfId="16397" xr:uid="{00000000-0005-0000-0000-0000D44E0000}"/>
    <cellStyle name="Финансовый 37 2 2 4 4 2 4 2" xfId="33410" xr:uid="{1CF03F4D-9224-41DD-B230-4B9C7E1DF681}"/>
    <cellStyle name="Финансовый 37 2 2 4 4 2 5" xfId="19478" xr:uid="{00000000-0005-0000-0000-0000D54E0000}"/>
    <cellStyle name="Финансовый 37 2 2 4 4 2 5 2" xfId="36491" xr:uid="{F0890879-2807-47E5-8ED7-E45D2F652E9E}"/>
    <cellStyle name="Финансовый 37 2 2 4 4 2 6" xfId="27181" xr:uid="{ADCF1593-82C3-44C0-A183-084D449F8311}"/>
    <cellStyle name="Финансовый 37 2 2 4 4 3" xfId="10082" xr:uid="{00000000-0005-0000-0000-0000D64E0000}"/>
    <cellStyle name="Финансовый 37 2 2 4 4 3 2" xfId="13167" xr:uid="{00000000-0005-0000-0000-0000D74E0000}"/>
    <cellStyle name="Финансовый 37 2 2 4 4 3 2 2" xfId="30256" xr:uid="{1E052261-CBE4-45EE-834A-BAA1FC1E3EB9}"/>
    <cellStyle name="Финансовый 37 2 2 4 4 3 3" xfId="16399" xr:uid="{00000000-0005-0000-0000-0000D84E0000}"/>
    <cellStyle name="Финансовый 37 2 2 4 4 3 3 2" xfId="33412" xr:uid="{883E2E4A-AE89-419B-B585-7B1D22E89619}"/>
    <cellStyle name="Финансовый 37 2 2 4 4 3 4" xfId="19480" xr:uid="{00000000-0005-0000-0000-0000D94E0000}"/>
    <cellStyle name="Финансовый 37 2 2 4 4 3 4 2" xfId="36493" xr:uid="{62B4D448-6AEB-46DF-9740-ED90DC4DEA9E}"/>
    <cellStyle name="Финансовый 37 2 2 4 4 3 5" xfId="27183" xr:uid="{7DBB0EF8-A931-43B9-9B3E-0A6C16C974F7}"/>
    <cellStyle name="Финансовый 37 2 2 4 4 4" xfId="13164" xr:uid="{00000000-0005-0000-0000-0000DA4E0000}"/>
    <cellStyle name="Финансовый 37 2 2 4 4 4 2" xfId="30253" xr:uid="{D8A49DAF-F9A3-415B-997B-9A38F6CEC868}"/>
    <cellStyle name="Финансовый 37 2 2 4 4 5" xfId="16396" xr:uid="{00000000-0005-0000-0000-0000DB4E0000}"/>
    <cellStyle name="Финансовый 37 2 2 4 4 5 2" xfId="33409" xr:uid="{34085351-DE40-4B7E-AE96-DD0CC9F58289}"/>
    <cellStyle name="Финансовый 37 2 2 4 4 6" xfId="19477" xr:uid="{00000000-0005-0000-0000-0000DC4E0000}"/>
    <cellStyle name="Финансовый 37 2 2 4 4 6 2" xfId="36490" xr:uid="{634EE0B6-881D-405F-97D2-ED3CEBA037CB}"/>
    <cellStyle name="Финансовый 37 2 2 4 4 7" xfId="27180" xr:uid="{FB431A36-C30F-43CE-952B-24537CF479BD}"/>
    <cellStyle name="Финансовый 37 2 2 4 5" xfId="10083" xr:uid="{00000000-0005-0000-0000-0000DD4E0000}"/>
    <cellStyle name="Финансовый 37 2 2 4 5 2" xfId="10084" xr:uid="{00000000-0005-0000-0000-0000DE4E0000}"/>
    <cellStyle name="Финансовый 37 2 2 4 5 2 2" xfId="13169" xr:uid="{00000000-0005-0000-0000-0000DF4E0000}"/>
    <cellStyle name="Финансовый 37 2 2 4 5 2 2 2" xfId="30258" xr:uid="{BC5D1341-2C4E-4C3B-8912-E8495B5B3FCF}"/>
    <cellStyle name="Финансовый 37 2 2 4 5 2 3" xfId="16401" xr:uid="{00000000-0005-0000-0000-0000E04E0000}"/>
    <cellStyle name="Финансовый 37 2 2 4 5 2 3 2" xfId="33414" xr:uid="{6C84F48D-050B-41F8-9DC7-EE60F749593A}"/>
    <cellStyle name="Финансовый 37 2 2 4 5 2 4" xfId="19482" xr:uid="{00000000-0005-0000-0000-0000E14E0000}"/>
    <cellStyle name="Финансовый 37 2 2 4 5 2 4 2" xfId="36495" xr:uid="{E434955C-3681-4A51-AB07-9A34756E3255}"/>
    <cellStyle name="Финансовый 37 2 2 4 5 2 5" xfId="27185" xr:uid="{4272885D-28A8-45FC-A87B-138D40BF986E}"/>
    <cellStyle name="Финансовый 37 2 2 4 5 3" xfId="13168" xr:uid="{00000000-0005-0000-0000-0000E24E0000}"/>
    <cellStyle name="Финансовый 37 2 2 4 5 3 2" xfId="30257" xr:uid="{DBC884CE-43B5-4675-A2FE-673D1D077904}"/>
    <cellStyle name="Финансовый 37 2 2 4 5 4" xfId="16400" xr:uid="{00000000-0005-0000-0000-0000E34E0000}"/>
    <cellStyle name="Финансовый 37 2 2 4 5 4 2" xfId="33413" xr:uid="{FB04247B-D0F6-424F-B953-AC6D032BAF5E}"/>
    <cellStyle name="Финансовый 37 2 2 4 5 5" xfId="19481" xr:uid="{00000000-0005-0000-0000-0000E44E0000}"/>
    <cellStyle name="Финансовый 37 2 2 4 5 5 2" xfId="36494" xr:uid="{C7B0805B-B512-420D-9C99-9FB8E1DAF64D}"/>
    <cellStyle name="Финансовый 37 2 2 4 5 6" xfId="27184" xr:uid="{8A21ED68-3239-4F66-AD99-9925582E7BB1}"/>
    <cellStyle name="Финансовый 37 2 2 4 6" xfId="10085" xr:uid="{00000000-0005-0000-0000-0000E54E0000}"/>
    <cellStyle name="Финансовый 37 2 2 4 6 2" xfId="13170" xr:uid="{00000000-0005-0000-0000-0000E64E0000}"/>
    <cellStyle name="Финансовый 37 2 2 4 6 2 2" xfId="30259" xr:uid="{FCE5777A-4793-48D3-AA52-66C5228BAAFB}"/>
    <cellStyle name="Финансовый 37 2 2 4 6 3" xfId="16402" xr:uid="{00000000-0005-0000-0000-0000E74E0000}"/>
    <cellStyle name="Финансовый 37 2 2 4 6 3 2" xfId="33415" xr:uid="{96763A94-5467-4AB2-8585-3FF0C4DE90BA}"/>
    <cellStyle name="Финансовый 37 2 2 4 6 4" xfId="19483" xr:uid="{00000000-0005-0000-0000-0000E84E0000}"/>
    <cellStyle name="Финансовый 37 2 2 4 6 4 2" xfId="36496" xr:uid="{6BC177E3-331A-42F3-B52E-6FE127045860}"/>
    <cellStyle name="Финансовый 37 2 2 4 6 5" xfId="27186" xr:uid="{7220874D-1185-49BF-875E-031C55F31118}"/>
    <cellStyle name="Финансовый 37 2 2 4 7" xfId="13139" xr:uid="{00000000-0005-0000-0000-0000E94E0000}"/>
    <cellStyle name="Финансовый 37 2 2 4 7 2" xfId="30228" xr:uid="{F425D2D4-4302-44D6-AB36-77B39B940062}"/>
    <cellStyle name="Финансовый 37 2 2 4 8" xfId="16371" xr:uid="{00000000-0005-0000-0000-0000EA4E0000}"/>
    <cellStyle name="Финансовый 37 2 2 4 8 2" xfId="33384" xr:uid="{D05E8CFE-4745-492E-895F-C7C1DD17E655}"/>
    <cellStyle name="Финансовый 37 2 2 4 9" xfId="19452" xr:uid="{00000000-0005-0000-0000-0000EB4E0000}"/>
    <cellStyle name="Финансовый 37 2 2 4 9 2" xfId="36465" xr:uid="{1A78F581-D098-4076-9EDB-1194D040F880}"/>
    <cellStyle name="Финансовый 37 2 2 5" xfId="10086" xr:uid="{00000000-0005-0000-0000-0000EC4E0000}"/>
    <cellStyle name="Финансовый 37 2 2 5 2" xfId="10087" xr:uid="{00000000-0005-0000-0000-0000ED4E0000}"/>
    <cellStyle name="Финансовый 37 2 2 5 2 2" xfId="10088" xr:uid="{00000000-0005-0000-0000-0000EE4E0000}"/>
    <cellStyle name="Финансовый 37 2 2 5 2 2 2" xfId="10089" xr:uid="{00000000-0005-0000-0000-0000EF4E0000}"/>
    <cellStyle name="Финансовый 37 2 2 5 2 2 2 2" xfId="10090" xr:uid="{00000000-0005-0000-0000-0000F04E0000}"/>
    <cellStyle name="Финансовый 37 2 2 5 2 2 2 2 2" xfId="13175" xr:uid="{00000000-0005-0000-0000-0000F14E0000}"/>
    <cellStyle name="Финансовый 37 2 2 5 2 2 2 2 2 2" xfId="30264" xr:uid="{348433DE-6701-491E-8528-1F2D327F9B89}"/>
    <cellStyle name="Финансовый 37 2 2 5 2 2 2 2 3" xfId="16407" xr:uid="{00000000-0005-0000-0000-0000F24E0000}"/>
    <cellStyle name="Финансовый 37 2 2 5 2 2 2 2 3 2" xfId="33420" xr:uid="{23757F89-EEA5-470F-AC50-D0BB061FF0B0}"/>
    <cellStyle name="Финансовый 37 2 2 5 2 2 2 2 4" xfId="19488" xr:uid="{00000000-0005-0000-0000-0000F34E0000}"/>
    <cellStyle name="Финансовый 37 2 2 5 2 2 2 2 4 2" xfId="36501" xr:uid="{28A03790-FD5A-4C83-ACA5-67152093971F}"/>
    <cellStyle name="Финансовый 37 2 2 5 2 2 2 2 5" xfId="27191" xr:uid="{8C107532-8786-465B-8F0E-C693C9588B19}"/>
    <cellStyle name="Финансовый 37 2 2 5 2 2 2 3" xfId="13174" xr:uid="{00000000-0005-0000-0000-0000F44E0000}"/>
    <cellStyle name="Финансовый 37 2 2 5 2 2 2 3 2" xfId="30263" xr:uid="{0D45FB3A-E3BF-4F3A-9FDE-8738CF8815DD}"/>
    <cellStyle name="Финансовый 37 2 2 5 2 2 2 4" xfId="16406" xr:uid="{00000000-0005-0000-0000-0000F54E0000}"/>
    <cellStyle name="Финансовый 37 2 2 5 2 2 2 4 2" xfId="33419" xr:uid="{5FF542A9-6C7A-41DD-A696-0902BD1C041D}"/>
    <cellStyle name="Финансовый 37 2 2 5 2 2 2 5" xfId="19487" xr:uid="{00000000-0005-0000-0000-0000F64E0000}"/>
    <cellStyle name="Финансовый 37 2 2 5 2 2 2 5 2" xfId="36500" xr:uid="{EADF74E2-95A3-43ED-B696-9BE43CB1304F}"/>
    <cellStyle name="Финансовый 37 2 2 5 2 2 2 6" xfId="27190" xr:uid="{40B4AFD8-D137-4A01-8822-DCCB6E19F1B7}"/>
    <cellStyle name="Финансовый 37 2 2 5 2 2 3" xfId="10091" xr:uid="{00000000-0005-0000-0000-0000F74E0000}"/>
    <cellStyle name="Финансовый 37 2 2 5 2 2 3 2" xfId="13176" xr:uid="{00000000-0005-0000-0000-0000F84E0000}"/>
    <cellStyle name="Финансовый 37 2 2 5 2 2 3 2 2" xfId="30265" xr:uid="{917EF985-BB4D-47DA-A258-50BE8068C4A7}"/>
    <cellStyle name="Финансовый 37 2 2 5 2 2 3 3" xfId="16408" xr:uid="{00000000-0005-0000-0000-0000F94E0000}"/>
    <cellStyle name="Финансовый 37 2 2 5 2 2 3 3 2" xfId="33421" xr:uid="{B17B5068-ADCD-4C68-A489-D5604454A97F}"/>
    <cellStyle name="Финансовый 37 2 2 5 2 2 3 4" xfId="19489" xr:uid="{00000000-0005-0000-0000-0000FA4E0000}"/>
    <cellStyle name="Финансовый 37 2 2 5 2 2 3 4 2" xfId="36502" xr:uid="{32A3CDD5-4760-475F-8F29-853040F127E5}"/>
    <cellStyle name="Финансовый 37 2 2 5 2 2 3 5" xfId="27192" xr:uid="{93E9BE83-C1CE-4B56-AE98-541F1FA64175}"/>
    <cellStyle name="Финансовый 37 2 2 5 2 2 4" xfId="13173" xr:uid="{00000000-0005-0000-0000-0000FB4E0000}"/>
    <cellStyle name="Финансовый 37 2 2 5 2 2 4 2" xfId="30262" xr:uid="{E0E79046-EB41-4216-9A9A-B7868E55F139}"/>
    <cellStyle name="Финансовый 37 2 2 5 2 2 5" xfId="16405" xr:uid="{00000000-0005-0000-0000-0000FC4E0000}"/>
    <cellStyle name="Финансовый 37 2 2 5 2 2 5 2" xfId="33418" xr:uid="{521F75F8-0E80-4D09-BA36-384D6ED39DAF}"/>
    <cellStyle name="Финансовый 37 2 2 5 2 2 6" xfId="19486" xr:uid="{00000000-0005-0000-0000-0000FD4E0000}"/>
    <cellStyle name="Финансовый 37 2 2 5 2 2 6 2" xfId="36499" xr:uid="{E3F6772C-D5FA-46E7-8B5F-908C22A825F6}"/>
    <cellStyle name="Финансовый 37 2 2 5 2 2 7" xfId="27189" xr:uid="{DE324323-F0F0-4A02-8DA4-166D4DCEF537}"/>
    <cellStyle name="Финансовый 37 2 2 5 2 3" xfId="10092" xr:uid="{00000000-0005-0000-0000-0000FE4E0000}"/>
    <cellStyle name="Финансовый 37 2 2 5 2 3 2" xfId="10093" xr:uid="{00000000-0005-0000-0000-0000FF4E0000}"/>
    <cellStyle name="Финансовый 37 2 2 5 2 3 2 2" xfId="13178" xr:uid="{00000000-0005-0000-0000-0000004F0000}"/>
    <cellStyle name="Финансовый 37 2 2 5 2 3 2 2 2" xfId="30267" xr:uid="{5822FA67-A241-45AA-816E-76930AE5A4E3}"/>
    <cellStyle name="Финансовый 37 2 2 5 2 3 2 3" xfId="16410" xr:uid="{00000000-0005-0000-0000-0000014F0000}"/>
    <cellStyle name="Финансовый 37 2 2 5 2 3 2 3 2" xfId="33423" xr:uid="{06D0DB20-3A30-4CF2-A01C-AD6682EE1D2B}"/>
    <cellStyle name="Финансовый 37 2 2 5 2 3 2 4" xfId="19491" xr:uid="{00000000-0005-0000-0000-0000024F0000}"/>
    <cellStyle name="Финансовый 37 2 2 5 2 3 2 4 2" xfId="36504" xr:uid="{60E37BA0-A9C1-44C6-8967-918C0E14A011}"/>
    <cellStyle name="Финансовый 37 2 2 5 2 3 2 5" xfId="27194" xr:uid="{301539E6-A957-460A-8D22-915D269AE29C}"/>
    <cellStyle name="Финансовый 37 2 2 5 2 3 3" xfId="13177" xr:uid="{00000000-0005-0000-0000-0000034F0000}"/>
    <cellStyle name="Финансовый 37 2 2 5 2 3 3 2" xfId="30266" xr:uid="{E03694C6-8737-4A0D-9F88-F7367ADD7E06}"/>
    <cellStyle name="Финансовый 37 2 2 5 2 3 4" xfId="16409" xr:uid="{00000000-0005-0000-0000-0000044F0000}"/>
    <cellStyle name="Финансовый 37 2 2 5 2 3 4 2" xfId="33422" xr:uid="{C653213E-C2BA-4481-9A0A-2DF8798462A5}"/>
    <cellStyle name="Финансовый 37 2 2 5 2 3 5" xfId="19490" xr:uid="{00000000-0005-0000-0000-0000054F0000}"/>
    <cellStyle name="Финансовый 37 2 2 5 2 3 5 2" xfId="36503" xr:uid="{21920BD0-3151-4D88-9195-3E7DF80224BE}"/>
    <cellStyle name="Финансовый 37 2 2 5 2 3 6" xfId="27193" xr:uid="{17EBD2FD-4FAC-42EF-8F2E-DD040FB0824F}"/>
    <cellStyle name="Финансовый 37 2 2 5 2 4" xfId="10094" xr:uid="{00000000-0005-0000-0000-0000064F0000}"/>
    <cellStyle name="Финансовый 37 2 2 5 2 4 2" xfId="13179" xr:uid="{00000000-0005-0000-0000-0000074F0000}"/>
    <cellStyle name="Финансовый 37 2 2 5 2 4 2 2" xfId="30268" xr:uid="{656BA4C7-F528-42D9-838B-37B67707CE5F}"/>
    <cellStyle name="Финансовый 37 2 2 5 2 4 3" xfId="16411" xr:uid="{00000000-0005-0000-0000-0000084F0000}"/>
    <cellStyle name="Финансовый 37 2 2 5 2 4 3 2" xfId="33424" xr:uid="{855F37C5-2A85-406B-A672-0B28A5815C66}"/>
    <cellStyle name="Финансовый 37 2 2 5 2 4 4" xfId="19492" xr:uid="{00000000-0005-0000-0000-0000094F0000}"/>
    <cellStyle name="Финансовый 37 2 2 5 2 4 4 2" xfId="36505" xr:uid="{EB868702-17CF-4DCF-AC6C-D25ABBC5B06F}"/>
    <cellStyle name="Финансовый 37 2 2 5 2 4 5" xfId="27195" xr:uid="{DFA4B852-3491-4D40-A9D0-3C83409C49AD}"/>
    <cellStyle name="Финансовый 37 2 2 5 2 5" xfId="13172" xr:uid="{00000000-0005-0000-0000-00000A4F0000}"/>
    <cellStyle name="Финансовый 37 2 2 5 2 5 2" xfId="30261" xr:uid="{055C0ECD-46D3-4721-9619-70B28679EA49}"/>
    <cellStyle name="Финансовый 37 2 2 5 2 6" xfId="16404" xr:uid="{00000000-0005-0000-0000-00000B4F0000}"/>
    <cellStyle name="Финансовый 37 2 2 5 2 6 2" xfId="33417" xr:uid="{001A7655-CF7A-47DC-B58F-0E056E203846}"/>
    <cellStyle name="Финансовый 37 2 2 5 2 7" xfId="19485" xr:uid="{00000000-0005-0000-0000-00000C4F0000}"/>
    <cellStyle name="Финансовый 37 2 2 5 2 7 2" xfId="36498" xr:uid="{74805E93-5B24-4F52-8336-3D7046CFB1CE}"/>
    <cellStyle name="Финансовый 37 2 2 5 2 8" xfId="27188" xr:uid="{ABCDA664-FA6B-4C92-A8FC-D98FB19514CD}"/>
    <cellStyle name="Финансовый 37 2 2 5 3" xfId="10095" xr:uid="{00000000-0005-0000-0000-00000D4F0000}"/>
    <cellStyle name="Финансовый 37 2 2 5 3 2" xfId="10096" xr:uid="{00000000-0005-0000-0000-00000E4F0000}"/>
    <cellStyle name="Финансовый 37 2 2 5 3 2 2" xfId="10097" xr:uid="{00000000-0005-0000-0000-00000F4F0000}"/>
    <cellStyle name="Финансовый 37 2 2 5 3 2 2 2" xfId="13182" xr:uid="{00000000-0005-0000-0000-0000104F0000}"/>
    <cellStyle name="Финансовый 37 2 2 5 3 2 2 2 2" xfId="30271" xr:uid="{98851416-780D-48A8-BF04-218251D0F21E}"/>
    <cellStyle name="Финансовый 37 2 2 5 3 2 2 3" xfId="16414" xr:uid="{00000000-0005-0000-0000-0000114F0000}"/>
    <cellStyle name="Финансовый 37 2 2 5 3 2 2 3 2" xfId="33427" xr:uid="{04CB2421-C77C-4863-986C-F75150F6798B}"/>
    <cellStyle name="Финансовый 37 2 2 5 3 2 2 4" xfId="19495" xr:uid="{00000000-0005-0000-0000-0000124F0000}"/>
    <cellStyle name="Финансовый 37 2 2 5 3 2 2 4 2" xfId="36508" xr:uid="{FED2277B-2D77-425F-B3D0-B3852A013E94}"/>
    <cellStyle name="Финансовый 37 2 2 5 3 2 2 5" xfId="27198" xr:uid="{B01A20E4-BA66-4210-BE04-E2FC76E04DA1}"/>
    <cellStyle name="Финансовый 37 2 2 5 3 2 3" xfId="13181" xr:uid="{00000000-0005-0000-0000-0000134F0000}"/>
    <cellStyle name="Финансовый 37 2 2 5 3 2 3 2" xfId="30270" xr:uid="{4AC13FAF-D318-4E85-9BCE-C5FAB0371392}"/>
    <cellStyle name="Финансовый 37 2 2 5 3 2 4" xfId="16413" xr:uid="{00000000-0005-0000-0000-0000144F0000}"/>
    <cellStyle name="Финансовый 37 2 2 5 3 2 4 2" xfId="33426" xr:uid="{5A242A9F-8D92-44ED-8DFC-A31844941FB5}"/>
    <cellStyle name="Финансовый 37 2 2 5 3 2 5" xfId="19494" xr:uid="{00000000-0005-0000-0000-0000154F0000}"/>
    <cellStyle name="Финансовый 37 2 2 5 3 2 5 2" xfId="36507" xr:uid="{4FC65B85-8DE8-41C4-BDF6-95733298B3AF}"/>
    <cellStyle name="Финансовый 37 2 2 5 3 2 6" xfId="27197" xr:uid="{911A4CE7-B22B-4169-936D-654EFC65C79D}"/>
    <cellStyle name="Финансовый 37 2 2 5 3 3" xfId="10098" xr:uid="{00000000-0005-0000-0000-0000164F0000}"/>
    <cellStyle name="Финансовый 37 2 2 5 3 3 2" xfId="13183" xr:uid="{00000000-0005-0000-0000-0000174F0000}"/>
    <cellStyle name="Финансовый 37 2 2 5 3 3 2 2" xfId="30272" xr:uid="{7AAAA493-AF6B-4FB3-AEE7-56F1DBCAD77B}"/>
    <cellStyle name="Финансовый 37 2 2 5 3 3 3" xfId="16415" xr:uid="{00000000-0005-0000-0000-0000184F0000}"/>
    <cellStyle name="Финансовый 37 2 2 5 3 3 3 2" xfId="33428" xr:uid="{12E7D49D-AC05-4CD4-8601-C232F39E2BD9}"/>
    <cellStyle name="Финансовый 37 2 2 5 3 3 4" xfId="19496" xr:uid="{00000000-0005-0000-0000-0000194F0000}"/>
    <cellStyle name="Финансовый 37 2 2 5 3 3 4 2" xfId="36509" xr:uid="{72324B7E-00D6-48B8-8CCE-FCFE0C1B97E7}"/>
    <cellStyle name="Финансовый 37 2 2 5 3 3 5" xfId="27199" xr:uid="{B124FCDA-76A8-4965-B036-D188A0FB3041}"/>
    <cellStyle name="Финансовый 37 2 2 5 3 4" xfId="13180" xr:uid="{00000000-0005-0000-0000-00001A4F0000}"/>
    <cellStyle name="Финансовый 37 2 2 5 3 4 2" xfId="30269" xr:uid="{FC276BFD-743A-4909-AE6A-F155B678054F}"/>
    <cellStyle name="Финансовый 37 2 2 5 3 5" xfId="16412" xr:uid="{00000000-0005-0000-0000-00001B4F0000}"/>
    <cellStyle name="Финансовый 37 2 2 5 3 5 2" xfId="33425" xr:uid="{99C5BC5B-C7C9-422E-9CFF-EF9CE8781BBD}"/>
    <cellStyle name="Финансовый 37 2 2 5 3 6" xfId="19493" xr:uid="{00000000-0005-0000-0000-00001C4F0000}"/>
    <cellStyle name="Финансовый 37 2 2 5 3 6 2" xfId="36506" xr:uid="{BFC8174C-DADE-43CC-9CC6-378C18DA5C5D}"/>
    <cellStyle name="Финансовый 37 2 2 5 3 7" xfId="27196" xr:uid="{6AB57037-30B1-44AB-B4E8-E7830688ABA4}"/>
    <cellStyle name="Финансовый 37 2 2 5 4" xfId="10099" xr:uid="{00000000-0005-0000-0000-00001D4F0000}"/>
    <cellStyle name="Финансовый 37 2 2 5 4 2" xfId="10100" xr:uid="{00000000-0005-0000-0000-00001E4F0000}"/>
    <cellStyle name="Финансовый 37 2 2 5 4 2 2" xfId="13185" xr:uid="{00000000-0005-0000-0000-00001F4F0000}"/>
    <cellStyle name="Финансовый 37 2 2 5 4 2 2 2" xfId="30274" xr:uid="{3964E80B-4AE7-4BCB-A45F-553898D30077}"/>
    <cellStyle name="Финансовый 37 2 2 5 4 2 3" xfId="16417" xr:uid="{00000000-0005-0000-0000-0000204F0000}"/>
    <cellStyle name="Финансовый 37 2 2 5 4 2 3 2" xfId="33430" xr:uid="{DA8A29DF-5C3F-48A2-B7A0-8F63A4753964}"/>
    <cellStyle name="Финансовый 37 2 2 5 4 2 4" xfId="19498" xr:uid="{00000000-0005-0000-0000-0000214F0000}"/>
    <cellStyle name="Финансовый 37 2 2 5 4 2 4 2" xfId="36511" xr:uid="{36ED4BC9-631B-4E87-9D07-1FAFC65B8ACA}"/>
    <cellStyle name="Финансовый 37 2 2 5 4 2 5" xfId="27201" xr:uid="{52360981-8AE6-43FE-A2CA-C2AC58BB9449}"/>
    <cellStyle name="Финансовый 37 2 2 5 4 3" xfId="13184" xr:uid="{00000000-0005-0000-0000-0000224F0000}"/>
    <cellStyle name="Финансовый 37 2 2 5 4 3 2" xfId="30273" xr:uid="{95483135-B1FE-4BDF-9487-3469055221D0}"/>
    <cellStyle name="Финансовый 37 2 2 5 4 4" xfId="16416" xr:uid="{00000000-0005-0000-0000-0000234F0000}"/>
    <cellStyle name="Финансовый 37 2 2 5 4 4 2" xfId="33429" xr:uid="{D200644B-E5F8-4507-A96A-8AA0A43FBA72}"/>
    <cellStyle name="Финансовый 37 2 2 5 4 5" xfId="19497" xr:uid="{00000000-0005-0000-0000-0000244F0000}"/>
    <cellStyle name="Финансовый 37 2 2 5 4 5 2" xfId="36510" xr:uid="{7149DA27-A469-4E68-AAAC-861515AF5889}"/>
    <cellStyle name="Финансовый 37 2 2 5 4 6" xfId="27200" xr:uid="{57B59026-D0A5-4C19-B074-256999ECF731}"/>
    <cellStyle name="Финансовый 37 2 2 5 5" xfId="10101" xr:uid="{00000000-0005-0000-0000-0000254F0000}"/>
    <cellStyle name="Финансовый 37 2 2 5 5 2" xfId="13186" xr:uid="{00000000-0005-0000-0000-0000264F0000}"/>
    <cellStyle name="Финансовый 37 2 2 5 5 2 2" xfId="30275" xr:uid="{C5E49F58-EFAF-47B3-B021-6AFCB148ADBB}"/>
    <cellStyle name="Финансовый 37 2 2 5 5 3" xfId="16418" xr:uid="{00000000-0005-0000-0000-0000274F0000}"/>
    <cellStyle name="Финансовый 37 2 2 5 5 3 2" xfId="33431" xr:uid="{70D38998-DD5A-4EEE-BBEC-49803CDB2548}"/>
    <cellStyle name="Финансовый 37 2 2 5 5 4" xfId="19499" xr:uid="{00000000-0005-0000-0000-0000284F0000}"/>
    <cellStyle name="Финансовый 37 2 2 5 5 4 2" xfId="36512" xr:uid="{47EEEC17-DC5C-4360-B31A-922BE609CF50}"/>
    <cellStyle name="Финансовый 37 2 2 5 5 5" xfId="27202" xr:uid="{3FBB298F-ED3A-4AFD-9262-BE0D9B1780B3}"/>
    <cellStyle name="Финансовый 37 2 2 5 6" xfId="13171" xr:uid="{00000000-0005-0000-0000-0000294F0000}"/>
    <cellStyle name="Финансовый 37 2 2 5 6 2" xfId="30260" xr:uid="{7F603799-9F00-4F04-B545-04D0E551DC98}"/>
    <cellStyle name="Финансовый 37 2 2 5 7" xfId="16403" xr:uid="{00000000-0005-0000-0000-00002A4F0000}"/>
    <cellStyle name="Финансовый 37 2 2 5 7 2" xfId="33416" xr:uid="{9C36F763-943B-458A-9997-C91A57747FAC}"/>
    <cellStyle name="Финансовый 37 2 2 5 8" xfId="19484" xr:uid="{00000000-0005-0000-0000-00002B4F0000}"/>
    <cellStyle name="Финансовый 37 2 2 5 8 2" xfId="36497" xr:uid="{54B1E5BD-BD6D-45AF-815D-7B8DAEC05BDE}"/>
    <cellStyle name="Финансовый 37 2 2 5 9" xfId="27187" xr:uid="{AC35D3F5-1A1E-42A3-BC74-294625F69BD3}"/>
    <cellStyle name="Финансовый 37 2 2 6" xfId="10102" xr:uid="{00000000-0005-0000-0000-00002C4F0000}"/>
    <cellStyle name="Финансовый 37 2 2 6 2" xfId="10103" xr:uid="{00000000-0005-0000-0000-00002D4F0000}"/>
    <cellStyle name="Финансовый 37 2 2 6 2 2" xfId="10104" xr:uid="{00000000-0005-0000-0000-00002E4F0000}"/>
    <cellStyle name="Финансовый 37 2 2 6 2 2 2" xfId="10105" xr:uid="{00000000-0005-0000-0000-00002F4F0000}"/>
    <cellStyle name="Финансовый 37 2 2 6 2 2 2 2" xfId="13190" xr:uid="{00000000-0005-0000-0000-0000304F0000}"/>
    <cellStyle name="Финансовый 37 2 2 6 2 2 2 2 2" xfId="30279" xr:uid="{F18C3B25-14C5-40EB-8461-E7FFCD67DAC2}"/>
    <cellStyle name="Финансовый 37 2 2 6 2 2 2 3" xfId="16422" xr:uid="{00000000-0005-0000-0000-0000314F0000}"/>
    <cellStyle name="Финансовый 37 2 2 6 2 2 2 3 2" xfId="33435" xr:uid="{F8180ABC-BEEF-4500-BC05-D5F60F755F2A}"/>
    <cellStyle name="Финансовый 37 2 2 6 2 2 2 4" xfId="19503" xr:uid="{00000000-0005-0000-0000-0000324F0000}"/>
    <cellStyle name="Финансовый 37 2 2 6 2 2 2 4 2" xfId="36516" xr:uid="{97146FFF-A12F-4DEF-98DF-D374C6F9F667}"/>
    <cellStyle name="Финансовый 37 2 2 6 2 2 2 5" xfId="27206" xr:uid="{BE587AE7-0A2F-4C23-B188-1E6AAE06261D}"/>
    <cellStyle name="Финансовый 37 2 2 6 2 2 3" xfId="13189" xr:uid="{00000000-0005-0000-0000-0000334F0000}"/>
    <cellStyle name="Финансовый 37 2 2 6 2 2 3 2" xfId="30278" xr:uid="{C93C46CA-141B-4B9A-93BF-7ACC1236BC71}"/>
    <cellStyle name="Финансовый 37 2 2 6 2 2 4" xfId="16421" xr:uid="{00000000-0005-0000-0000-0000344F0000}"/>
    <cellStyle name="Финансовый 37 2 2 6 2 2 4 2" xfId="33434" xr:uid="{D3A90B4E-16B5-4272-BA74-60422ADA7FC9}"/>
    <cellStyle name="Финансовый 37 2 2 6 2 2 5" xfId="19502" xr:uid="{00000000-0005-0000-0000-0000354F0000}"/>
    <cellStyle name="Финансовый 37 2 2 6 2 2 5 2" xfId="36515" xr:uid="{74905528-8173-42D8-9ED6-2ECD84E77B5F}"/>
    <cellStyle name="Финансовый 37 2 2 6 2 2 6" xfId="27205" xr:uid="{52F86C0F-F478-443B-B7EB-BA71E20C292C}"/>
    <cellStyle name="Финансовый 37 2 2 6 2 3" xfId="10106" xr:uid="{00000000-0005-0000-0000-0000364F0000}"/>
    <cellStyle name="Финансовый 37 2 2 6 2 3 2" xfId="13191" xr:uid="{00000000-0005-0000-0000-0000374F0000}"/>
    <cellStyle name="Финансовый 37 2 2 6 2 3 2 2" xfId="30280" xr:uid="{FA3AE753-6E8B-4027-92F4-65757ADC1EA9}"/>
    <cellStyle name="Финансовый 37 2 2 6 2 3 3" xfId="16423" xr:uid="{00000000-0005-0000-0000-0000384F0000}"/>
    <cellStyle name="Финансовый 37 2 2 6 2 3 3 2" xfId="33436" xr:uid="{B80FF3CE-A489-4EF0-82AE-F1EE6D6E99F7}"/>
    <cellStyle name="Финансовый 37 2 2 6 2 3 4" xfId="19504" xr:uid="{00000000-0005-0000-0000-0000394F0000}"/>
    <cellStyle name="Финансовый 37 2 2 6 2 3 4 2" xfId="36517" xr:uid="{5AA1610C-820E-440F-8DB8-800DFC517343}"/>
    <cellStyle name="Финансовый 37 2 2 6 2 3 5" xfId="27207" xr:uid="{CECB3B4E-2CAE-4078-8B5D-9662E8920E04}"/>
    <cellStyle name="Финансовый 37 2 2 6 2 4" xfId="13188" xr:uid="{00000000-0005-0000-0000-00003A4F0000}"/>
    <cellStyle name="Финансовый 37 2 2 6 2 4 2" xfId="30277" xr:uid="{CD074E67-0D72-4F0C-A064-363368910FDC}"/>
    <cellStyle name="Финансовый 37 2 2 6 2 5" xfId="16420" xr:uid="{00000000-0005-0000-0000-00003B4F0000}"/>
    <cellStyle name="Финансовый 37 2 2 6 2 5 2" xfId="33433" xr:uid="{2C518E5A-3170-4253-95B3-D6435D48DA9E}"/>
    <cellStyle name="Финансовый 37 2 2 6 2 6" xfId="19501" xr:uid="{00000000-0005-0000-0000-00003C4F0000}"/>
    <cellStyle name="Финансовый 37 2 2 6 2 6 2" xfId="36514" xr:uid="{2D30B77E-D808-4D2A-94CC-5F4C403DA5BF}"/>
    <cellStyle name="Финансовый 37 2 2 6 2 7" xfId="27204" xr:uid="{43B31B8B-AB0B-40C2-A7CA-F38E569E6AF7}"/>
    <cellStyle name="Финансовый 37 2 2 6 3" xfId="10107" xr:uid="{00000000-0005-0000-0000-00003D4F0000}"/>
    <cellStyle name="Финансовый 37 2 2 6 3 2" xfId="10108" xr:uid="{00000000-0005-0000-0000-00003E4F0000}"/>
    <cellStyle name="Финансовый 37 2 2 6 3 2 2" xfId="13193" xr:uid="{00000000-0005-0000-0000-00003F4F0000}"/>
    <cellStyle name="Финансовый 37 2 2 6 3 2 2 2" xfId="30282" xr:uid="{3EF0FA35-3E88-4728-B948-8B932E7E9C14}"/>
    <cellStyle name="Финансовый 37 2 2 6 3 2 3" xfId="16425" xr:uid="{00000000-0005-0000-0000-0000404F0000}"/>
    <cellStyle name="Финансовый 37 2 2 6 3 2 3 2" xfId="33438" xr:uid="{51125F7A-770F-4504-872C-11B6AE97D91C}"/>
    <cellStyle name="Финансовый 37 2 2 6 3 2 4" xfId="19506" xr:uid="{00000000-0005-0000-0000-0000414F0000}"/>
    <cellStyle name="Финансовый 37 2 2 6 3 2 4 2" xfId="36519" xr:uid="{0463C719-2694-404A-8107-5F44A4170300}"/>
    <cellStyle name="Финансовый 37 2 2 6 3 2 5" xfId="27209" xr:uid="{271E508A-2F47-45C0-A404-32A643B005F0}"/>
    <cellStyle name="Финансовый 37 2 2 6 3 3" xfId="13192" xr:uid="{00000000-0005-0000-0000-0000424F0000}"/>
    <cellStyle name="Финансовый 37 2 2 6 3 3 2" xfId="30281" xr:uid="{FFCEB2F5-C80B-4418-A902-2B264F95C394}"/>
    <cellStyle name="Финансовый 37 2 2 6 3 4" xfId="16424" xr:uid="{00000000-0005-0000-0000-0000434F0000}"/>
    <cellStyle name="Финансовый 37 2 2 6 3 4 2" xfId="33437" xr:uid="{9B0CD029-D9BD-4622-8FB2-16B13C22D5E0}"/>
    <cellStyle name="Финансовый 37 2 2 6 3 5" xfId="19505" xr:uid="{00000000-0005-0000-0000-0000444F0000}"/>
    <cellStyle name="Финансовый 37 2 2 6 3 5 2" xfId="36518" xr:uid="{2EFA4148-042A-444E-A4BE-01875724AFE9}"/>
    <cellStyle name="Финансовый 37 2 2 6 3 6" xfId="27208" xr:uid="{30800AB1-63AC-4D7F-9AFF-23438554D7F9}"/>
    <cellStyle name="Финансовый 37 2 2 6 4" xfId="10109" xr:uid="{00000000-0005-0000-0000-0000454F0000}"/>
    <cellStyle name="Финансовый 37 2 2 6 4 2" xfId="13194" xr:uid="{00000000-0005-0000-0000-0000464F0000}"/>
    <cellStyle name="Финансовый 37 2 2 6 4 2 2" xfId="30283" xr:uid="{4B5E0B02-16FA-489C-80EA-DCA429AFDB5A}"/>
    <cellStyle name="Финансовый 37 2 2 6 4 3" xfId="16426" xr:uid="{00000000-0005-0000-0000-0000474F0000}"/>
    <cellStyle name="Финансовый 37 2 2 6 4 3 2" xfId="33439" xr:uid="{8F0A60C9-27B3-4AAC-BCD4-20F7E8C9BBB4}"/>
    <cellStyle name="Финансовый 37 2 2 6 4 4" xfId="19507" xr:uid="{00000000-0005-0000-0000-0000484F0000}"/>
    <cellStyle name="Финансовый 37 2 2 6 4 4 2" xfId="36520" xr:uid="{2BACB8FB-E5D5-4130-80B9-22890A5D17C1}"/>
    <cellStyle name="Финансовый 37 2 2 6 4 5" xfId="27210" xr:uid="{5E2350AC-6349-416D-8FA5-2376FE432836}"/>
    <cellStyle name="Финансовый 37 2 2 6 5" xfId="13187" xr:uid="{00000000-0005-0000-0000-0000494F0000}"/>
    <cellStyle name="Финансовый 37 2 2 6 5 2" xfId="30276" xr:uid="{06A9B5CB-5F90-44C0-92D6-7D7125AFE22C}"/>
    <cellStyle name="Финансовый 37 2 2 6 6" xfId="16419" xr:uid="{00000000-0005-0000-0000-00004A4F0000}"/>
    <cellStyle name="Финансовый 37 2 2 6 6 2" xfId="33432" xr:uid="{AE986AFE-C4B0-41CD-A287-0AE29FAA006C}"/>
    <cellStyle name="Финансовый 37 2 2 6 7" xfId="19500" xr:uid="{00000000-0005-0000-0000-00004B4F0000}"/>
    <cellStyle name="Финансовый 37 2 2 6 7 2" xfId="36513" xr:uid="{43C4EAF2-913F-4DEE-82D6-9E893921DBA3}"/>
    <cellStyle name="Финансовый 37 2 2 6 8" xfId="27203" xr:uid="{48929B5F-FF4E-4C8B-BB3D-72C7D923B10C}"/>
    <cellStyle name="Финансовый 37 2 2 7" xfId="10110" xr:uid="{00000000-0005-0000-0000-00004C4F0000}"/>
    <cellStyle name="Финансовый 37 2 2 7 2" xfId="10111" xr:uid="{00000000-0005-0000-0000-00004D4F0000}"/>
    <cellStyle name="Финансовый 37 2 2 7 2 2" xfId="10112" xr:uid="{00000000-0005-0000-0000-00004E4F0000}"/>
    <cellStyle name="Финансовый 37 2 2 7 2 2 2" xfId="13197" xr:uid="{00000000-0005-0000-0000-00004F4F0000}"/>
    <cellStyle name="Финансовый 37 2 2 7 2 2 2 2" xfId="30286" xr:uid="{D80FBC9F-67FB-4E17-96C9-DE4B30B71384}"/>
    <cellStyle name="Финансовый 37 2 2 7 2 2 3" xfId="16429" xr:uid="{00000000-0005-0000-0000-0000504F0000}"/>
    <cellStyle name="Финансовый 37 2 2 7 2 2 3 2" xfId="33442" xr:uid="{36F4E511-691D-435C-9841-57848B5917B1}"/>
    <cellStyle name="Финансовый 37 2 2 7 2 2 4" xfId="19510" xr:uid="{00000000-0005-0000-0000-0000514F0000}"/>
    <cellStyle name="Финансовый 37 2 2 7 2 2 4 2" xfId="36523" xr:uid="{D8FD629D-503E-409F-98A2-86EC778EF236}"/>
    <cellStyle name="Финансовый 37 2 2 7 2 2 5" xfId="27213" xr:uid="{409D7790-64C2-4668-B597-481C0A1A365D}"/>
    <cellStyle name="Финансовый 37 2 2 7 2 3" xfId="13196" xr:uid="{00000000-0005-0000-0000-0000524F0000}"/>
    <cellStyle name="Финансовый 37 2 2 7 2 3 2" xfId="30285" xr:uid="{19F73FF6-A8A2-4B7B-BD89-AF8B120876A6}"/>
    <cellStyle name="Финансовый 37 2 2 7 2 4" xfId="16428" xr:uid="{00000000-0005-0000-0000-0000534F0000}"/>
    <cellStyle name="Финансовый 37 2 2 7 2 4 2" xfId="33441" xr:uid="{370782D8-A7EE-41E5-B576-B2E7EF2C52AB}"/>
    <cellStyle name="Финансовый 37 2 2 7 2 5" xfId="19509" xr:uid="{00000000-0005-0000-0000-0000544F0000}"/>
    <cellStyle name="Финансовый 37 2 2 7 2 5 2" xfId="36522" xr:uid="{7650E3C3-8698-4DB6-845F-CD7FD5E77F54}"/>
    <cellStyle name="Финансовый 37 2 2 7 2 6" xfId="27212" xr:uid="{32009DE3-E2EE-4D55-9F76-78803B921698}"/>
    <cellStyle name="Финансовый 37 2 2 7 3" xfId="10113" xr:uid="{00000000-0005-0000-0000-0000554F0000}"/>
    <cellStyle name="Финансовый 37 2 2 7 3 2" xfId="13198" xr:uid="{00000000-0005-0000-0000-0000564F0000}"/>
    <cellStyle name="Финансовый 37 2 2 7 3 2 2" xfId="30287" xr:uid="{38A1A7CA-93EF-490C-A9B2-EF24E4C459D5}"/>
    <cellStyle name="Финансовый 37 2 2 7 3 3" xfId="16430" xr:uid="{00000000-0005-0000-0000-0000574F0000}"/>
    <cellStyle name="Финансовый 37 2 2 7 3 3 2" xfId="33443" xr:uid="{497917E2-E8CB-46CA-A98B-141912DA72A8}"/>
    <cellStyle name="Финансовый 37 2 2 7 3 4" xfId="19511" xr:uid="{00000000-0005-0000-0000-0000584F0000}"/>
    <cellStyle name="Финансовый 37 2 2 7 3 4 2" xfId="36524" xr:uid="{9ABEB4A0-F3EE-426E-8345-6E4FCB7A050D}"/>
    <cellStyle name="Финансовый 37 2 2 7 3 5" xfId="27214" xr:uid="{0B05A375-5D6C-4327-B2E0-DA329ACA80A0}"/>
    <cellStyle name="Финансовый 37 2 2 7 4" xfId="13195" xr:uid="{00000000-0005-0000-0000-0000594F0000}"/>
    <cellStyle name="Финансовый 37 2 2 7 4 2" xfId="30284" xr:uid="{7C9ABEBC-83F3-4E00-B4EB-F70AE365227E}"/>
    <cellStyle name="Финансовый 37 2 2 7 5" xfId="16427" xr:uid="{00000000-0005-0000-0000-00005A4F0000}"/>
    <cellStyle name="Финансовый 37 2 2 7 5 2" xfId="33440" xr:uid="{8BCA2969-6276-4B34-8DEC-DBC115B3B93F}"/>
    <cellStyle name="Финансовый 37 2 2 7 6" xfId="19508" xr:uid="{00000000-0005-0000-0000-00005B4F0000}"/>
    <cellStyle name="Финансовый 37 2 2 7 6 2" xfId="36521" xr:uid="{386738B1-22F4-4722-892C-086DAC3B4EF8}"/>
    <cellStyle name="Финансовый 37 2 2 7 7" xfId="27211" xr:uid="{CB1EE839-0EEF-401A-8688-C1718A72A3CD}"/>
    <cellStyle name="Финансовый 37 2 2 8" xfId="10114" xr:uid="{00000000-0005-0000-0000-00005C4F0000}"/>
    <cellStyle name="Финансовый 37 2 2 8 2" xfId="10115" xr:uid="{00000000-0005-0000-0000-00005D4F0000}"/>
    <cellStyle name="Финансовый 37 2 2 8 2 2" xfId="13200" xr:uid="{00000000-0005-0000-0000-00005E4F0000}"/>
    <cellStyle name="Финансовый 37 2 2 8 2 2 2" xfId="30289" xr:uid="{F7FC7884-DCCE-4E90-A992-CFB382905C43}"/>
    <cellStyle name="Финансовый 37 2 2 8 2 3" xfId="16432" xr:uid="{00000000-0005-0000-0000-00005F4F0000}"/>
    <cellStyle name="Финансовый 37 2 2 8 2 3 2" xfId="33445" xr:uid="{3BBC4238-2AA8-43EC-B811-A91831EF0A73}"/>
    <cellStyle name="Финансовый 37 2 2 8 2 4" xfId="19513" xr:uid="{00000000-0005-0000-0000-0000604F0000}"/>
    <cellStyle name="Финансовый 37 2 2 8 2 4 2" xfId="36526" xr:uid="{5F0FFDAE-54F7-421D-A1B0-5D9231C9264C}"/>
    <cellStyle name="Финансовый 37 2 2 8 2 5" xfId="27216" xr:uid="{63DD1506-0257-4811-85FB-4E09BFE86AF6}"/>
    <cellStyle name="Финансовый 37 2 2 8 3" xfId="13199" xr:uid="{00000000-0005-0000-0000-0000614F0000}"/>
    <cellStyle name="Финансовый 37 2 2 8 3 2" xfId="30288" xr:uid="{53538D6C-C316-4B0B-84D2-C5F7E3C5ED1B}"/>
    <cellStyle name="Финансовый 37 2 2 8 4" xfId="16431" xr:uid="{00000000-0005-0000-0000-0000624F0000}"/>
    <cellStyle name="Финансовый 37 2 2 8 4 2" xfId="33444" xr:uid="{62B7FE54-4743-4EBF-AEC2-505CB6CE09F1}"/>
    <cellStyle name="Финансовый 37 2 2 8 5" xfId="19512" xr:uid="{00000000-0005-0000-0000-0000634F0000}"/>
    <cellStyle name="Финансовый 37 2 2 8 5 2" xfId="36525" xr:uid="{D6E72705-5ACE-472B-BF7D-FC5EA1368363}"/>
    <cellStyle name="Финансовый 37 2 2 8 6" xfId="27215" xr:uid="{4FDB8C40-9829-4DBB-ADB1-859C3F8949ED}"/>
    <cellStyle name="Финансовый 37 2 2 9" xfId="10116" xr:uid="{00000000-0005-0000-0000-0000644F0000}"/>
    <cellStyle name="Финансовый 37 2 2 9 2" xfId="13201" xr:uid="{00000000-0005-0000-0000-0000654F0000}"/>
    <cellStyle name="Финансовый 37 2 2 9 2 2" xfId="30290" xr:uid="{7459D86C-1827-4203-A258-D3F3BA7EDAC1}"/>
    <cellStyle name="Финансовый 37 2 2 9 3" xfId="16433" xr:uid="{00000000-0005-0000-0000-0000664F0000}"/>
    <cellStyle name="Финансовый 37 2 2 9 3 2" xfId="33446" xr:uid="{0B5EC171-2623-4C8B-81CB-896129747E4B}"/>
    <cellStyle name="Финансовый 37 2 2 9 4" xfId="19514" xr:uid="{00000000-0005-0000-0000-0000674F0000}"/>
    <cellStyle name="Финансовый 37 2 2 9 4 2" xfId="36527" xr:uid="{1AD7A5AF-3B4A-4280-92DA-F2CB47A5234E}"/>
    <cellStyle name="Финансовый 37 2 2 9 5" xfId="27217" xr:uid="{7ABC654D-EE51-4FBD-B018-992ADC88E9FC}"/>
    <cellStyle name="Финансовый 37 2 3" xfId="10117" xr:uid="{00000000-0005-0000-0000-0000684F0000}"/>
    <cellStyle name="Финансовый 37 2 3 10" xfId="16434" xr:uid="{00000000-0005-0000-0000-0000694F0000}"/>
    <cellStyle name="Финансовый 37 2 3 10 2" xfId="33447" xr:uid="{5D46999C-DED6-4021-BDAF-CE76FD561521}"/>
    <cellStyle name="Финансовый 37 2 3 11" xfId="19515" xr:uid="{00000000-0005-0000-0000-00006A4F0000}"/>
    <cellStyle name="Финансовый 37 2 3 11 2" xfId="36528" xr:uid="{1FA0C032-7AA9-489A-B6BA-68596E51D6A9}"/>
    <cellStyle name="Финансовый 37 2 3 12" xfId="27218" xr:uid="{8DABDCC6-BFF6-4CF9-A8DA-E83DDD5879C7}"/>
    <cellStyle name="Финансовый 37 2 3 2" xfId="10118" xr:uid="{00000000-0005-0000-0000-00006B4F0000}"/>
    <cellStyle name="Финансовый 37 2 3 2 10" xfId="19516" xr:uid="{00000000-0005-0000-0000-00006C4F0000}"/>
    <cellStyle name="Финансовый 37 2 3 2 10 2" xfId="36529" xr:uid="{C53B9E77-92FD-4D43-90DB-8E3276A84C78}"/>
    <cellStyle name="Финансовый 37 2 3 2 11" xfId="27219" xr:uid="{5F30048A-9748-4C27-A32E-71E17E8246B1}"/>
    <cellStyle name="Финансовый 37 2 3 2 2" xfId="10119" xr:uid="{00000000-0005-0000-0000-00006D4F0000}"/>
    <cellStyle name="Финансовый 37 2 3 2 2 10" xfId="27220" xr:uid="{240C3296-EEC0-466B-A104-09A01ACADBF2}"/>
    <cellStyle name="Финансовый 37 2 3 2 2 2" xfId="10120" xr:uid="{00000000-0005-0000-0000-00006E4F0000}"/>
    <cellStyle name="Финансовый 37 2 3 2 2 2 2" xfId="10121" xr:uid="{00000000-0005-0000-0000-00006F4F0000}"/>
    <cellStyle name="Финансовый 37 2 3 2 2 2 2 2" xfId="10122" xr:uid="{00000000-0005-0000-0000-0000704F0000}"/>
    <cellStyle name="Финансовый 37 2 3 2 2 2 2 2 2" xfId="10123" xr:uid="{00000000-0005-0000-0000-0000714F0000}"/>
    <cellStyle name="Финансовый 37 2 3 2 2 2 2 2 2 2" xfId="10124" xr:uid="{00000000-0005-0000-0000-0000724F0000}"/>
    <cellStyle name="Финансовый 37 2 3 2 2 2 2 2 2 2 2" xfId="13209" xr:uid="{00000000-0005-0000-0000-0000734F0000}"/>
    <cellStyle name="Финансовый 37 2 3 2 2 2 2 2 2 2 2 2" xfId="30298" xr:uid="{948B214B-164A-4E8A-B6C7-E52A350AC689}"/>
    <cellStyle name="Финансовый 37 2 3 2 2 2 2 2 2 2 3" xfId="16441" xr:uid="{00000000-0005-0000-0000-0000744F0000}"/>
    <cellStyle name="Финансовый 37 2 3 2 2 2 2 2 2 2 3 2" xfId="33454" xr:uid="{AEEFBD20-D4DF-450F-BF57-1A58F29D8643}"/>
    <cellStyle name="Финансовый 37 2 3 2 2 2 2 2 2 2 4" xfId="19522" xr:uid="{00000000-0005-0000-0000-0000754F0000}"/>
    <cellStyle name="Финансовый 37 2 3 2 2 2 2 2 2 2 4 2" xfId="36535" xr:uid="{FC5858D8-E46A-4596-BBF4-B1CC00219BE1}"/>
    <cellStyle name="Финансовый 37 2 3 2 2 2 2 2 2 2 5" xfId="27225" xr:uid="{D7262518-542B-4ACB-9214-11365D225478}"/>
    <cellStyle name="Финансовый 37 2 3 2 2 2 2 2 2 3" xfId="13208" xr:uid="{00000000-0005-0000-0000-0000764F0000}"/>
    <cellStyle name="Финансовый 37 2 3 2 2 2 2 2 2 3 2" xfId="30297" xr:uid="{21A054EC-7299-414D-893F-D4C09C74E4ED}"/>
    <cellStyle name="Финансовый 37 2 3 2 2 2 2 2 2 4" xfId="16440" xr:uid="{00000000-0005-0000-0000-0000774F0000}"/>
    <cellStyle name="Финансовый 37 2 3 2 2 2 2 2 2 4 2" xfId="33453" xr:uid="{B8F1CDF6-1F4D-4EF1-836D-27FC83774130}"/>
    <cellStyle name="Финансовый 37 2 3 2 2 2 2 2 2 5" xfId="19521" xr:uid="{00000000-0005-0000-0000-0000784F0000}"/>
    <cellStyle name="Финансовый 37 2 3 2 2 2 2 2 2 5 2" xfId="36534" xr:uid="{426BF9F9-AF2E-4860-8C3D-8289C206498F}"/>
    <cellStyle name="Финансовый 37 2 3 2 2 2 2 2 2 6" xfId="27224" xr:uid="{7F7DBF14-F7A3-4237-BB13-3F8BA578F3C7}"/>
    <cellStyle name="Финансовый 37 2 3 2 2 2 2 2 3" xfId="10125" xr:uid="{00000000-0005-0000-0000-0000794F0000}"/>
    <cellStyle name="Финансовый 37 2 3 2 2 2 2 2 3 2" xfId="13210" xr:uid="{00000000-0005-0000-0000-00007A4F0000}"/>
    <cellStyle name="Финансовый 37 2 3 2 2 2 2 2 3 2 2" xfId="30299" xr:uid="{DC9BA8C0-60C0-4D0E-AEE7-EA6A18741CC6}"/>
    <cellStyle name="Финансовый 37 2 3 2 2 2 2 2 3 3" xfId="16442" xr:uid="{00000000-0005-0000-0000-00007B4F0000}"/>
    <cellStyle name="Финансовый 37 2 3 2 2 2 2 2 3 3 2" xfId="33455" xr:uid="{4AF7CD94-E845-4B6B-AEAC-76C9C5AC20D0}"/>
    <cellStyle name="Финансовый 37 2 3 2 2 2 2 2 3 4" xfId="19523" xr:uid="{00000000-0005-0000-0000-00007C4F0000}"/>
    <cellStyle name="Финансовый 37 2 3 2 2 2 2 2 3 4 2" xfId="36536" xr:uid="{0F51038B-2454-42E4-B526-4353151B67E7}"/>
    <cellStyle name="Финансовый 37 2 3 2 2 2 2 2 3 5" xfId="27226" xr:uid="{69A83AA5-74D7-4FCA-8012-65D56F74FD14}"/>
    <cellStyle name="Финансовый 37 2 3 2 2 2 2 2 4" xfId="13207" xr:uid="{00000000-0005-0000-0000-00007D4F0000}"/>
    <cellStyle name="Финансовый 37 2 3 2 2 2 2 2 4 2" xfId="30296" xr:uid="{C77798D9-8C56-489C-A2C1-6B7A16B72842}"/>
    <cellStyle name="Финансовый 37 2 3 2 2 2 2 2 5" xfId="16439" xr:uid="{00000000-0005-0000-0000-00007E4F0000}"/>
    <cellStyle name="Финансовый 37 2 3 2 2 2 2 2 5 2" xfId="33452" xr:uid="{316AA711-E2C4-4713-9CEB-224E3399BA45}"/>
    <cellStyle name="Финансовый 37 2 3 2 2 2 2 2 6" xfId="19520" xr:uid="{00000000-0005-0000-0000-00007F4F0000}"/>
    <cellStyle name="Финансовый 37 2 3 2 2 2 2 2 6 2" xfId="36533" xr:uid="{50EF3BC6-EB1D-46DB-B401-17E7904BC880}"/>
    <cellStyle name="Финансовый 37 2 3 2 2 2 2 2 7" xfId="27223" xr:uid="{6CBE2DF7-F0AE-4224-AFC8-3ABB56CA7413}"/>
    <cellStyle name="Финансовый 37 2 3 2 2 2 2 3" xfId="10126" xr:uid="{00000000-0005-0000-0000-0000804F0000}"/>
    <cellStyle name="Финансовый 37 2 3 2 2 2 2 3 2" xfId="10127" xr:uid="{00000000-0005-0000-0000-0000814F0000}"/>
    <cellStyle name="Финансовый 37 2 3 2 2 2 2 3 2 2" xfId="13212" xr:uid="{00000000-0005-0000-0000-0000824F0000}"/>
    <cellStyle name="Финансовый 37 2 3 2 2 2 2 3 2 2 2" xfId="30301" xr:uid="{212B918E-4790-43D1-B03C-1B1F23C4EFB2}"/>
    <cellStyle name="Финансовый 37 2 3 2 2 2 2 3 2 3" xfId="16444" xr:uid="{00000000-0005-0000-0000-0000834F0000}"/>
    <cellStyle name="Финансовый 37 2 3 2 2 2 2 3 2 3 2" xfId="33457" xr:uid="{F70EDEEC-471B-4760-B3C6-6C72C958824B}"/>
    <cellStyle name="Финансовый 37 2 3 2 2 2 2 3 2 4" xfId="19525" xr:uid="{00000000-0005-0000-0000-0000844F0000}"/>
    <cellStyle name="Финансовый 37 2 3 2 2 2 2 3 2 4 2" xfId="36538" xr:uid="{891FEA23-DD8F-4CDD-A115-941CE77D866E}"/>
    <cellStyle name="Финансовый 37 2 3 2 2 2 2 3 2 5" xfId="27228" xr:uid="{FD57E5DB-F919-49C8-B614-133D6FAB2AB7}"/>
    <cellStyle name="Финансовый 37 2 3 2 2 2 2 3 3" xfId="13211" xr:uid="{00000000-0005-0000-0000-0000854F0000}"/>
    <cellStyle name="Финансовый 37 2 3 2 2 2 2 3 3 2" xfId="30300" xr:uid="{34CBC2CA-B557-4174-ACFF-AB57348F120D}"/>
    <cellStyle name="Финансовый 37 2 3 2 2 2 2 3 4" xfId="16443" xr:uid="{00000000-0005-0000-0000-0000864F0000}"/>
    <cellStyle name="Финансовый 37 2 3 2 2 2 2 3 4 2" xfId="33456" xr:uid="{DE15F6ED-9D3E-45D7-A056-4C7920F5F246}"/>
    <cellStyle name="Финансовый 37 2 3 2 2 2 2 3 5" xfId="19524" xr:uid="{00000000-0005-0000-0000-0000874F0000}"/>
    <cellStyle name="Финансовый 37 2 3 2 2 2 2 3 5 2" xfId="36537" xr:uid="{C3EE0622-5FF3-44D7-975A-7C701B9DB53B}"/>
    <cellStyle name="Финансовый 37 2 3 2 2 2 2 3 6" xfId="27227" xr:uid="{8AD1BB81-C6A4-473A-9029-0E47788E02FB}"/>
    <cellStyle name="Финансовый 37 2 3 2 2 2 2 4" xfId="10128" xr:uid="{00000000-0005-0000-0000-0000884F0000}"/>
    <cellStyle name="Финансовый 37 2 3 2 2 2 2 4 2" xfId="13213" xr:uid="{00000000-0005-0000-0000-0000894F0000}"/>
    <cellStyle name="Финансовый 37 2 3 2 2 2 2 4 2 2" xfId="30302" xr:uid="{48DEC12E-4DB8-42F8-98FB-6F6CFB5F7AA9}"/>
    <cellStyle name="Финансовый 37 2 3 2 2 2 2 4 3" xfId="16445" xr:uid="{00000000-0005-0000-0000-00008A4F0000}"/>
    <cellStyle name="Финансовый 37 2 3 2 2 2 2 4 3 2" xfId="33458" xr:uid="{36B096B3-EA3F-4756-AD4B-E78050D1D130}"/>
    <cellStyle name="Финансовый 37 2 3 2 2 2 2 4 4" xfId="19526" xr:uid="{00000000-0005-0000-0000-00008B4F0000}"/>
    <cellStyle name="Финансовый 37 2 3 2 2 2 2 4 4 2" xfId="36539" xr:uid="{FFBFCF5E-B15D-4DFC-AB12-17EF2377AFBD}"/>
    <cellStyle name="Финансовый 37 2 3 2 2 2 2 4 5" xfId="27229" xr:uid="{1FF9FD05-DA3C-4E17-8FB8-586571132759}"/>
    <cellStyle name="Финансовый 37 2 3 2 2 2 2 5" xfId="13206" xr:uid="{00000000-0005-0000-0000-00008C4F0000}"/>
    <cellStyle name="Финансовый 37 2 3 2 2 2 2 5 2" xfId="30295" xr:uid="{323B70BB-AB66-4A2E-924E-C6B3544CF504}"/>
    <cellStyle name="Финансовый 37 2 3 2 2 2 2 6" xfId="16438" xr:uid="{00000000-0005-0000-0000-00008D4F0000}"/>
    <cellStyle name="Финансовый 37 2 3 2 2 2 2 6 2" xfId="33451" xr:uid="{EFCD5E6D-697D-4D1D-92D9-EE820D1EA4AC}"/>
    <cellStyle name="Финансовый 37 2 3 2 2 2 2 7" xfId="19519" xr:uid="{00000000-0005-0000-0000-00008E4F0000}"/>
    <cellStyle name="Финансовый 37 2 3 2 2 2 2 7 2" xfId="36532" xr:uid="{A8A67C45-3FB5-4180-814F-F1481B9BB114}"/>
    <cellStyle name="Финансовый 37 2 3 2 2 2 2 8" xfId="27222" xr:uid="{5D48969D-2886-470D-9207-FFDF270C28D1}"/>
    <cellStyle name="Финансовый 37 2 3 2 2 2 3" xfId="10129" xr:uid="{00000000-0005-0000-0000-00008F4F0000}"/>
    <cellStyle name="Финансовый 37 2 3 2 2 2 3 2" xfId="10130" xr:uid="{00000000-0005-0000-0000-0000904F0000}"/>
    <cellStyle name="Финансовый 37 2 3 2 2 2 3 2 2" xfId="10131" xr:uid="{00000000-0005-0000-0000-0000914F0000}"/>
    <cellStyle name="Финансовый 37 2 3 2 2 2 3 2 2 2" xfId="13216" xr:uid="{00000000-0005-0000-0000-0000924F0000}"/>
    <cellStyle name="Финансовый 37 2 3 2 2 2 3 2 2 2 2" xfId="30305" xr:uid="{4AA16A97-05E3-4BDF-84F9-FB8BFDE97170}"/>
    <cellStyle name="Финансовый 37 2 3 2 2 2 3 2 2 3" xfId="16448" xr:uid="{00000000-0005-0000-0000-0000934F0000}"/>
    <cellStyle name="Финансовый 37 2 3 2 2 2 3 2 2 3 2" xfId="33461" xr:uid="{E3B96EFA-5A61-4421-9510-1A20F7EF0665}"/>
    <cellStyle name="Финансовый 37 2 3 2 2 2 3 2 2 4" xfId="19529" xr:uid="{00000000-0005-0000-0000-0000944F0000}"/>
    <cellStyle name="Финансовый 37 2 3 2 2 2 3 2 2 4 2" xfId="36542" xr:uid="{EDEFF5CC-7459-4C2F-8AD9-B990CD4223F8}"/>
    <cellStyle name="Финансовый 37 2 3 2 2 2 3 2 2 5" xfId="27232" xr:uid="{8C7F9DD5-B0BE-499C-89C9-F5BEDB08AB76}"/>
    <cellStyle name="Финансовый 37 2 3 2 2 2 3 2 3" xfId="13215" xr:uid="{00000000-0005-0000-0000-0000954F0000}"/>
    <cellStyle name="Финансовый 37 2 3 2 2 2 3 2 3 2" xfId="30304" xr:uid="{5748F1DA-8714-4170-BD66-639A4FF787F6}"/>
    <cellStyle name="Финансовый 37 2 3 2 2 2 3 2 4" xfId="16447" xr:uid="{00000000-0005-0000-0000-0000964F0000}"/>
    <cellStyle name="Финансовый 37 2 3 2 2 2 3 2 4 2" xfId="33460" xr:uid="{B7F66C7E-CC68-4D4E-AB25-97959E808112}"/>
    <cellStyle name="Финансовый 37 2 3 2 2 2 3 2 5" xfId="19528" xr:uid="{00000000-0005-0000-0000-0000974F0000}"/>
    <cellStyle name="Финансовый 37 2 3 2 2 2 3 2 5 2" xfId="36541" xr:uid="{7E5368C9-E340-40A7-B3D6-21FDF8A84A05}"/>
    <cellStyle name="Финансовый 37 2 3 2 2 2 3 2 6" xfId="27231" xr:uid="{040DA7FC-A209-4751-A692-66F13877481B}"/>
    <cellStyle name="Финансовый 37 2 3 2 2 2 3 3" xfId="10132" xr:uid="{00000000-0005-0000-0000-0000984F0000}"/>
    <cellStyle name="Финансовый 37 2 3 2 2 2 3 3 2" xfId="13217" xr:uid="{00000000-0005-0000-0000-0000994F0000}"/>
    <cellStyle name="Финансовый 37 2 3 2 2 2 3 3 2 2" xfId="30306" xr:uid="{2649EEC0-B813-4BD2-BA69-549A776999BB}"/>
    <cellStyle name="Финансовый 37 2 3 2 2 2 3 3 3" xfId="16449" xr:uid="{00000000-0005-0000-0000-00009A4F0000}"/>
    <cellStyle name="Финансовый 37 2 3 2 2 2 3 3 3 2" xfId="33462" xr:uid="{209B31E1-0DF5-4BE2-ABE3-6C9732620789}"/>
    <cellStyle name="Финансовый 37 2 3 2 2 2 3 3 4" xfId="19530" xr:uid="{00000000-0005-0000-0000-00009B4F0000}"/>
    <cellStyle name="Финансовый 37 2 3 2 2 2 3 3 4 2" xfId="36543" xr:uid="{9BE991EC-4F84-48E3-9299-30E78689F7B7}"/>
    <cellStyle name="Финансовый 37 2 3 2 2 2 3 3 5" xfId="27233" xr:uid="{DCDF4BBC-AB4A-4E8C-8FBF-FC501D4A903C}"/>
    <cellStyle name="Финансовый 37 2 3 2 2 2 3 4" xfId="13214" xr:uid="{00000000-0005-0000-0000-00009C4F0000}"/>
    <cellStyle name="Финансовый 37 2 3 2 2 2 3 4 2" xfId="30303" xr:uid="{EFFC80AC-ABA7-4D34-8275-9860B8CD8F15}"/>
    <cellStyle name="Финансовый 37 2 3 2 2 2 3 5" xfId="16446" xr:uid="{00000000-0005-0000-0000-00009D4F0000}"/>
    <cellStyle name="Финансовый 37 2 3 2 2 2 3 5 2" xfId="33459" xr:uid="{9693802C-CD14-4162-87A6-819E0EA3376F}"/>
    <cellStyle name="Финансовый 37 2 3 2 2 2 3 6" xfId="19527" xr:uid="{00000000-0005-0000-0000-00009E4F0000}"/>
    <cellStyle name="Финансовый 37 2 3 2 2 2 3 6 2" xfId="36540" xr:uid="{AE8B90E9-91B8-42FD-BB61-D885F206D238}"/>
    <cellStyle name="Финансовый 37 2 3 2 2 2 3 7" xfId="27230" xr:uid="{25A90CB3-EB4F-4F08-A5CB-F9520D09929A}"/>
    <cellStyle name="Финансовый 37 2 3 2 2 2 4" xfId="10133" xr:uid="{00000000-0005-0000-0000-00009F4F0000}"/>
    <cellStyle name="Финансовый 37 2 3 2 2 2 4 2" xfId="10134" xr:uid="{00000000-0005-0000-0000-0000A04F0000}"/>
    <cellStyle name="Финансовый 37 2 3 2 2 2 4 2 2" xfId="13219" xr:uid="{00000000-0005-0000-0000-0000A14F0000}"/>
    <cellStyle name="Финансовый 37 2 3 2 2 2 4 2 2 2" xfId="30308" xr:uid="{B6655868-C00F-48D0-8143-41E4302C6847}"/>
    <cellStyle name="Финансовый 37 2 3 2 2 2 4 2 3" xfId="16451" xr:uid="{00000000-0005-0000-0000-0000A24F0000}"/>
    <cellStyle name="Финансовый 37 2 3 2 2 2 4 2 3 2" xfId="33464" xr:uid="{B041F997-39AD-43B8-B8E9-D38DF4F28467}"/>
    <cellStyle name="Финансовый 37 2 3 2 2 2 4 2 4" xfId="19532" xr:uid="{00000000-0005-0000-0000-0000A34F0000}"/>
    <cellStyle name="Финансовый 37 2 3 2 2 2 4 2 4 2" xfId="36545" xr:uid="{246554F9-4BD0-4DC9-B662-3E220EDB343A}"/>
    <cellStyle name="Финансовый 37 2 3 2 2 2 4 2 5" xfId="27235" xr:uid="{A940A8A8-CDA7-416D-B372-ECEA8B19D8EA}"/>
    <cellStyle name="Финансовый 37 2 3 2 2 2 4 3" xfId="13218" xr:uid="{00000000-0005-0000-0000-0000A44F0000}"/>
    <cellStyle name="Финансовый 37 2 3 2 2 2 4 3 2" xfId="30307" xr:uid="{6FAB41D7-1C2D-4F96-B900-1936013ED46E}"/>
    <cellStyle name="Финансовый 37 2 3 2 2 2 4 4" xfId="16450" xr:uid="{00000000-0005-0000-0000-0000A54F0000}"/>
    <cellStyle name="Финансовый 37 2 3 2 2 2 4 4 2" xfId="33463" xr:uid="{BD22C2BA-E1DA-4471-8C5A-9E5E4F5AE8D3}"/>
    <cellStyle name="Финансовый 37 2 3 2 2 2 4 5" xfId="19531" xr:uid="{00000000-0005-0000-0000-0000A64F0000}"/>
    <cellStyle name="Финансовый 37 2 3 2 2 2 4 5 2" xfId="36544" xr:uid="{68DA915F-F109-4F34-9466-CB06610A65C0}"/>
    <cellStyle name="Финансовый 37 2 3 2 2 2 4 6" xfId="27234" xr:uid="{8F6551AA-B717-4416-A42C-7C382A04D1DF}"/>
    <cellStyle name="Финансовый 37 2 3 2 2 2 5" xfId="10135" xr:uid="{00000000-0005-0000-0000-0000A74F0000}"/>
    <cellStyle name="Финансовый 37 2 3 2 2 2 5 2" xfId="13220" xr:uid="{00000000-0005-0000-0000-0000A84F0000}"/>
    <cellStyle name="Финансовый 37 2 3 2 2 2 5 2 2" xfId="30309" xr:uid="{6F9B11F8-28DC-4644-BD97-31534F045EC9}"/>
    <cellStyle name="Финансовый 37 2 3 2 2 2 5 3" xfId="16452" xr:uid="{00000000-0005-0000-0000-0000A94F0000}"/>
    <cellStyle name="Финансовый 37 2 3 2 2 2 5 3 2" xfId="33465" xr:uid="{BA20E9FE-3E6E-4179-83FA-9C76898CEB5F}"/>
    <cellStyle name="Финансовый 37 2 3 2 2 2 5 4" xfId="19533" xr:uid="{00000000-0005-0000-0000-0000AA4F0000}"/>
    <cellStyle name="Финансовый 37 2 3 2 2 2 5 4 2" xfId="36546" xr:uid="{0A060D26-1696-4F38-A33A-F701F0BE16DF}"/>
    <cellStyle name="Финансовый 37 2 3 2 2 2 5 5" xfId="27236" xr:uid="{04A4C38D-0587-4464-8EB1-91F860CFEF1A}"/>
    <cellStyle name="Финансовый 37 2 3 2 2 2 6" xfId="13205" xr:uid="{00000000-0005-0000-0000-0000AB4F0000}"/>
    <cellStyle name="Финансовый 37 2 3 2 2 2 6 2" xfId="30294" xr:uid="{2DA94B92-F821-4FD5-8296-B6FC9EE6C8C5}"/>
    <cellStyle name="Финансовый 37 2 3 2 2 2 7" xfId="16437" xr:uid="{00000000-0005-0000-0000-0000AC4F0000}"/>
    <cellStyle name="Финансовый 37 2 3 2 2 2 7 2" xfId="33450" xr:uid="{BF43D825-7B5D-4F8F-A261-A8200E6B079E}"/>
    <cellStyle name="Финансовый 37 2 3 2 2 2 8" xfId="19518" xr:uid="{00000000-0005-0000-0000-0000AD4F0000}"/>
    <cellStyle name="Финансовый 37 2 3 2 2 2 8 2" xfId="36531" xr:uid="{5589E80A-8E37-465A-8AAF-2179C9C3BB5E}"/>
    <cellStyle name="Финансовый 37 2 3 2 2 2 9" xfId="27221" xr:uid="{58B79028-D45F-4932-BBF5-8F9B06011A40}"/>
    <cellStyle name="Финансовый 37 2 3 2 2 3" xfId="10136" xr:uid="{00000000-0005-0000-0000-0000AE4F0000}"/>
    <cellStyle name="Финансовый 37 2 3 2 2 3 2" xfId="10137" xr:uid="{00000000-0005-0000-0000-0000AF4F0000}"/>
    <cellStyle name="Финансовый 37 2 3 2 2 3 2 2" xfId="10138" xr:uid="{00000000-0005-0000-0000-0000B04F0000}"/>
    <cellStyle name="Финансовый 37 2 3 2 2 3 2 2 2" xfId="10139" xr:uid="{00000000-0005-0000-0000-0000B14F0000}"/>
    <cellStyle name="Финансовый 37 2 3 2 2 3 2 2 2 2" xfId="13224" xr:uid="{00000000-0005-0000-0000-0000B24F0000}"/>
    <cellStyle name="Финансовый 37 2 3 2 2 3 2 2 2 2 2" xfId="30313" xr:uid="{AD84CDD1-68DE-4E90-ABE0-B972EE89B641}"/>
    <cellStyle name="Финансовый 37 2 3 2 2 3 2 2 2 3" xfId="16456" xr:uid="{00000000-0005-0000-0000-0000B34F0000}"/>
    <cellStyle name="Финансовый 37 2 3 2 2 3 2 2 2 3 2" xfId="33469" xr:uid="{D9FFA984-1D0C-4198-89FD-314001977F21}"/>
    <cellStyle name="Финансовый 37 2 3 2 2 3 2 2 2 4" xfId="19537" xr:uid="{00000000-0005-0000-0000-0000B44F0000}"/>
    <cellStyle name="Финансовый 37 2 3 2 2 3 2 2 2 4 2" xfId="36550" xr:uid="{DC237757-A086-4359-8B10-41B283C080A4}"/>
    <cellStyle name="Финансовый 37 2 3 2 2 3 2 2 2 5" xfId="27240" xr:uid="{80F4E02C-75AE-461C-941B-DB34B654BB10}"/>
    <cellStyle name="Финансовый 37 2 3 2 2 3 2 2 3" xfId="13223" xr:uid="{00000000-0005-0000-0000-0000B54F0000}"/>
    <cellStyle name="Финансовый 37 2 3 2 2 3 2 2 3 2" xfId="30312" xr:uid="{DCF07C9D-87B6-4DE3-90E6-DDF57300389A}"/>
    <cellStyle name="Финансовый 37 2 3 2 2 3 2 2 4" xfId="16455" xr:uid="{00000000-0005-0000-0000-0000B64F0000}"/>
    <cellStyle name="Финансовый 37 2 3 2 2 3 2 2 4 2" xfId="33468" xr:uid="{4419119E-9F24-4C5D-B967-EEFE5AB820B3}"/>
    <cellStyle name="Финансовый 37 2 3 2 2 3 2 2 5" xfId="19536" xr:uid="{00000000-0005-0000-0000-0000B74F0000}"/>
    <cellStyle name="Финансовый 37 2 3 2 2 3 2 2 5 2" xfId="36549" xr:uid="{4572A07B-62D4-4A66-9678-B924EE343997}"/>
    <cellStyle name="Финансовый 37 2 3 2 2 3 2 2 6" xfId="27239" xr:uid="{BB621B85-E15B-42E2-B1E4-EA27C2211825}"/>
    <cellStyle name="Финансовый 37 2 3 2 2 3 2 3" xfId="10140" xr:uid="{00000000-0005-0000-0000-0000B84F0000}"/>
    <cellStyle name="Финансовый 37 2 3 2 2 3 2 3 2" xfId="13225" xr:uid="{00000000-0005-0000-0000-0000B94F0000}"/>
    <cellStyle name="Финансовый 37 2 3 2 2 3 2 3 2 2" xfId="30314" xr:uid="{F000455D-83B6-4604-B453-C4EE9F7AE9E0}"/>
    <cellStyle name="Финансовый 37 2 3 2 2 3 2 3 3" xfId="16457" xr:uid="{00000000-0005-0000-0000-0000BA4F0000}"/>
    <cellStyle name="Финансовый 37 2 3 2 2 3 2 3 3 2" xfId="33470" xr:uid="{B809DA4A-99AD-446E-95E7-F8770615156E}"/>
    <cellStyle name="Финансовый 37 2 3 2 2 3 2 3 4" xfId="19538" xr:uid="{00000000-0005-0000-0000-0000BB4F0000}"/>
    <cellStyle name="Финансовый 37 2 3 2 2 3 2 3 4 2" xfId="36551" xr:uid="{3EF660E4-93C8-40CC-A4B5-7F7607A515F4}"/>
    <cellStyle name="Финансовый 37 2 3 2 2 3 2 3 5" xfId="27241" xr:uid="{B75C4744-E3B0-476B-9097-FDA7180AF349}"/>
    <cellStyle name="Финансовый 37 2 3 2 2 3 2 4" xfId="13222" xr:uid="{00000000-0005-0000-0000-0000BC4F0000}"/>
    <cellStyle name="Финансовый 37 2 3 2 2 3 2 4 2" xfId="30311" xr:uid="{F966D9B5-2D56-4CF9-B173-186A9C7603C2}"/>
    <cellStyle name="Финансовый 37 2 3 2 2 3 2 5" xfId="16454" xr:uid="{00000000-0005-0000-0000-0000BD4F0000}"/>
    <cellStyle name="Финансовый 37 2 3 2 2 3 2 5 2" xfId="33467" xr:uid="{D73B5F89-E7CA-4060-BA20-7AB8DDABC57B}"/>
    <cellStyle name="Финансовый 37 2 3 2 2 3 2 6" xfId="19535" xr:uid="{00000000-0005-0000-0000-0000BE4F0000}"/>
    <cellStyle name="Финансовый 37 2 3 2 2 3 2 6 2" xfId="36548" xr:uid="{8F90200B-92D3-4242-9680-57691FDE9AB2}"/>
    <cellStyle name="Финансовый 37 2 3 2 2 3 2 7" xfId="27238" xr:uid="{EE25E469-0542-44A6-B4E9-4206B26C073D}"/>
    <cellStyle name="Финансовый 37 2 3 2 2 3 3" xfId="10141" xr:uid="{00000000-0005-0000-0000-0000BF4F0000}"/>
    <cellStyle name="Финансовый 37 2 3 2 2 3 3 2" xfId="10142" xr:uid="{00000000-0005-0000-0000-0000C04F0000}"/>
    <cellStyle name="Финансовый 37 2 3 2 2 3 3 2 2" xfId="13227" xr:uid="{00000000-0005-0000-0000-0000C14F0000}"/>
    <cellStyle name="Финансовый 37 2 3 2 2 3 3 2 2 2" xfId="30316" xr:uid="{308A6B73-1E2F-45F8-BF01-FA86D33493BE}"/>
    <cellStyle name="Финансовый 37 2 3 2 2 3 3 2 3" xfId="16459" xr:uid="{00000000-0005-0000-0000-0000C24F0000}"/>
    <cellStyle name="Финансовый 37 2 3 2 2 3 3 2 3 2" xfId="33472" xr:uid="{B1343FF1-B7E0-46B8-BEEE-BA55C32AFFE9}"/>
    <cellStyle name="Финансовый 37 2 3 2 2 3 3 2 4" xfId="19540" xr:uid="{00000000-0005-0000-0000-0000C34F0000}"/>
    <cellStyle name="Финансовый 37 2 3 2 2 3 3 2 4 2" xfId="36553" xr:uid="{ACDEFF1B-B2EE-4657-9389-9E3FFFE224B5}"/>
    <cellStyle name="Финансовый 37 2 3 2 2 3 3 2 5" xfId="27243" xr:uid="{2B6AB0B9-FCAB-4E0F-9F58-C00D028E5588}"/>
    <cellStyle name="Финансовый 37 2 3 2 2 3 3 3" xfId="13226" xr:uid="{00000000-0005-0000-0000-0000C44F0000}"/>
    <cellStyle name="Финансовый 37 2 3 2 2 3 3 3 2" xfId="30315" xr:uid="{4166D7C3-F257-4076-84DE-03B9F6C9730C}"/>
    <cellStyle name="Финансовый 37 2 3 2 2 3 3 4" xfId="16458" xr:uid="{00000000-0005-0000-0000-0000C54F0000}"/>
    <cellStyle name="Финансовый 37 2 3 2 2 3 3 4 2" xfId="33471" xr:uid="{08E97EF0-1960-42FB-B727-9EDC29D8186A}"/>
    <cellStyle name="Финансовый 37 2 3 2 2 3 3 5" xfId="19539" xr:uid="{00000000-0005-0000-0000-0000C64F0000}"/>
    <cellStyle name="Финансовый 37 2 3 2 2 3 3 5 2" xfId="36552" xr:uid="{D04C3F38-26E1-4F56-BD12-F181C7462AA0}"/>
    <cellStyle name="Финансовый 37 2 3 2 2 3 3 6" xfId="27242" xr:uid="{AEEE2B32-13A3-4827-B7AA-B15AF5ECE8CD}"/>
    <cellStyle name="Финансовый 37 2 3 2 2 3 4" xfId="10143" xr:uid="{00000000-0005-0000-0000-0000C74F0000}"/>
    <cellStyle name="Финансовый 37 2 3 2 2 3 4 2" xfId="13228" xr:uid="{00000000-0005-0000-0000-0000C84F0000}"/>
    <cellStyle name="Финансовый 37 2 3 2 2 3 4 2 2" xfId="30317" xr:uid="{F153EA47-794D-4F75-AF22-D35642FBAF0C}"/>
    <cellStyle name="Финансовый 37 2 3 2 2 3 4 3" xfId="16460" xr:uid="{00000000-0005-0000-0000-0000C94F0000}"/>
    <cellStyle name="Финансовый 37 2 3 2 2 3 4 3 2" xfId="33473" xr:uid="{72CEBDF7-81B7-49B4-97A5-C341EB62E73A}"/>
    <cellStyle name="Финансовый 37 2 3 2 2 3 4 4" xfId="19541" xr:uid="{00000000-0005-0000-0000-0000CA4F0000}"/>
    <cellStyle name="Финансовый 37 2 3 2 2 3 4 4 2" xfId="36554" xr:uid="{2946CE05-9173-414D-A2DA-5BA2C0CEC0CD}"/>
    <cellStyle name="Финансовый 37 2 3 2 2 3 4 5" xfId="27244" xr:uid="{3AB6ACF3-2E72-4003-B94E-D1C073FF355B}"/>
    <cellStyle name="Финансовый 37 2 3 2 2 3 5" xfId="13221" xr:uid="{00000000-0005-0000-0000-0000CB4F0000}"/>
    <cellStyle name="Финансовый 37 2 3 2 2 3 5 2" xfId="30310" xr:uid="{9C1F46D9-77BD-431E-84F0-8148279799C8}"/>
    <cellStyle name="Финансовый 37 2 3 2 2 3 6" xfId="16453" xr:uid="{00000000-0005-0000-0000-0000CC4F0000}"/>
    <cellStyle name="Финансовый 37 2 3 2 2 3 6 2" xfId="33466" xr:uid="{973FA961-B621-42A0-91CB-09E6D2078031}"/>
    <cellStyle name="Финансовый 37 2 3 2 2 3 7" xfId="19534" xr:uid="{00000000-0005-0000-0000-0000CD4F0000}"/>
    <cellStyle name="Финансовый 37 2 3 2 2 3 7 2" xfId="36547" xr:uid="{DB81D3E4-B685-443B-9713-125035F966F8}"/>
    <cellStyle name="Финансовый 37 2 3 2 2 3 8" xfId="27237" xr:uid="{DE62AC28-2CB3-4646-B505-16AA96511D6D}"/>
    <cellStyle name="Финансовый 37 2 3 2 2 4" xfId="10144" xr:uid="{00000000-0005-0000-0000-0000CE4F0000}"/>
    <cellStyle name="Финансовый 37 2 3 2 2 4 2" xfId="10145" xr:uid="{00000000-0005-0000-0000-0000CF4F0000}"/>
    <cellStyle name="Финансовый 37 2 3 2 2 4 2 2" xfId="10146" xr:uid="{00000000-0005-0000-0000-0000D04F0000}"/>
    <cellStyle name="Финансовый 37 2 3 2 2 4 2 2 2" xfId="13231" xr:uid="{00000000-0005-0000-0000-0000D14F0000}"/>
    <cellStyle name="Финансовый 37 2 3 2 2 4 2 2 2 2" xfId="30320" xr:uid="{A54CF124-4BEA-4FF8-AAE9-7F6C4D9181AE}"/>
    <cellStyle name="Финансовый 37 2 3 2 2 4 2 2 3" xfId="16463" xr:uid="{00000000-0005-0000-0000-0000D24F0000}"/>
    <cellStyle name="Финансовый 37 2 3 2 2 4 2 2 3 2" xfId="33476" xr:uid="{222198CC-7A95-4C93-9956-811F0931694A}"/>
    <cellStyle name="Финансовый 37 2 3 2 2 4 2 2 4" xfId="19544" xr:uid="{00000000-0005-0000-0000-0000D34F0000}"/>
    <cellStyle name="Финансовый 37 2 3 2 2 4 2 2 4 2" xfId="36557" xr:uid="{F813A7DC-A3FA-42D9-9134-DB90190BA517}"/>
    <cellStyle name="Финансовый 37 2 3 2 2 4 2 2 5" xfId="27247" xr:uid="{C500FD60-D741-4743-85C3-64129D7D4ADC}"/>
    <cellStyle name="Финансовый 37 2 3 2 2 4 2 3" xfId="13230" xr:uid="{00000000-0005-0000-0000-0000D44F0000}"/>
    <cellStyle name="Финансовый 37 2 3 2 2 4 2 3 2" xfId="30319" xr:uid="{C78A64C7-42BF-42E4-98BF-850219E5296F}"/>
    <cellStyle name="Финансовый 37 2 3 2 2 4 2 4" xfId="16462" xr:uid="{00000000-0005-0000-0000-0000D54F0000}"/>
    <cellStyle name="Финансовый 37 2 3 2 2 4 2 4 2" xfId="33475" xr:uid="{D8AAC67D-7628-424F-821D-EA177A265A21}"/>
    <cellStyle name="Финансовый 37 2 3 2 2 4 2 5" xfId="19543" xr:uid="{00000000-0005-0000-0000-0000D64F0000}"/>
    <cellStyle name="Финансовый 37 2 3 2 2 4 2 5 2" xfId="36556" xr:uid="{B2B32C11-A48A-49CC-9233-B090F8552389}"/>
    <cellStyle name="Финансовый 37 2 3 2 2 4 2 6" xfId="27246" xr:uid="{8374E5B6-B4C9-4B43-A89D-3C6084F39928}"/>
    <cellStyle name="Финансовый 37 2 3 2 2 4 3" xfId="10147" xr:uid="{00000000-0005-0000-0000-0000D74F0000}"/>
    <cellStyle name="Финансовый 37 2 3 2 2 4 3 2" xfId="13232" xr:uid="{00000000-0005-0000-0000-0000D84F0000}"/>
    <cellStyle name="Финансовый 37 2 3 2 2 4 3 2 2" xfId="30321" xr:uid="{E14C0D34-C00B-493A-B8F4-31AA9862F12D}"/>
    <cellStyle name="Финансовый 37 2 3 2 2 4 3 3" xfId="16464" xr:uid="{00000000-0005-0000-0000-0000D94F0000}"/>
    <cellStyle name="Финансовый 37 2 3 2 2 4 3 3 2" xfId="33477" xr:uid="{EADF8D1E-4AC2-4713-B95A-32E4EBD8356E}"/>
    <cellStyle name="Финансовый 37 2 3 2 2 4 3 4" xfId="19545" xr:uid="{00000000-0005-0000-0000-0000DA4F0000}"/>
    <cellStyle name="Финансовый 37 2 3 2 2 4 3 4 2" xfId="36558" xr:uid="{0A740341-0A18-4278-B3D2-A675A26E93E9}"/>
    <cellStyle name="Финансовый 37 2 3 2 2 4 3 5" xfId="27248" xr:uid="{0DA936D3-0691-4E0E-B473-8CCA6F381709}"/>
    <cellStyle name="Финансовый 37 2 3 2 2 4 4" xfId="13229" xr:uid="{00000000-0005-0000-0000-0000DB4F0000}"/>
    <cellStyle name="Финансовый 37 2 3 2 2 4 4 2" xfId="30318" xr:uid="{71EC3F60-E6E6-4C81-A13E-E7055A54464A}"/>
    <cellStyle name="Финансовый 37 2 3 2 2 4 5" xfId="16461" xr:uid="{00000000-0005-0000-0000-0000DC4F0000}"/>
    <cellStyle name="Финансовый 37 2 3 2 2 4 5 2" xfId="33474" xr:uid="{2F6D41CD-4B09-44A7-AB68-8D4ADFE42BB2}"/>
    <cellStyle name="Финансовый 37 2 3 2 2 4 6" xfId="19542" xr:uid="{00000000-0005-0000-0000-0000DD4F0000}"/>
    <cellStyle name="Финансовый 37 2 3 2 2 4 6 2" xfId="36555" xr:uid="{1A42B4DB-EDDF-4A57-97A7-A18D5184F9AD}"/>
    <cellStyle name="Финансовый 37 2 3 2 2 4 7" xfId="27245" xr:uid="{D02AF970-1441-4DF1-8B8D-0E89F3D480A7}"/>
    <cellStyle name="Финансовый 37 2 3 2 2 5" xfId="10148" xr:uid="{00000000-0005-0000-0000-0000DE4F0000}"/>
    <cellStyle name="Финансовый 37 2 3 2 2 5 2" xfId="10149" xr:uid="{00000000-0005-0000-0000-0000DF4F0000}"/>
    <cellStyle name="Финансовый 37 2 3 2 2 5 2 2" xfId="13234" xr:uid="{00000000-0005-0000-0000-0000E04F0000}"/>
    <cellStyle name="Финансовый 37 2 3 2 2 5 2 2 2" xfId="30323" xr:uid="{414A3874-3B53-4855-B109-471C3BF1D85B}"/>
    <cellStyle name="Финансовый 37 2 3 2 2 5 2 3" xfId="16466" xr:uid="{00000000-0005-0000-0000-0000E14F0000}"/>
    <cellStyle name="Финансовый 37 2 3 2 2 5 2 3 2" xfId="33479" xr:uid="{6A0108E0-3EF9-4E3F-82CA-7A6027E9F16E}"/>
    <cellStyle name="Финансовый 37 2 3 2 2 5 2 4" xfId="19547" xr:uid="{00000000-0005-0000-0000-0000E24F0000}"/>
    <cellStyle name="Финансовый 37 2 3 2 2 5 2 4 2" xfId="36560" xr:uid="{3910E5AA-94F0-49B9-A7BA-8835FABA4EEC}"/>
    <cellStyle name="Финансовый 37 2 3 2 2 5 2 5" xfId="27250" xr:uid="{83D4B4EA-5059-4632-8203-E2B11330BA5C}"/>
    <cellStyle name="Финансовый 37 2 3 2 2 5 3" xfId="13233" xr:uid="{00000000-0005-0000-0000-0000E34F0000}"/>
    <cellStyle name="Финансовый 37 2 3 2 2 5 3 2" xfId="30322" xr:uid="{FA0539E3-BFFC-4B23-9EFD-62F07E7713CC}"/>
    <cellStyle name="Финансовый 37 2 3 2 2 5 4" xfId="16465" xr:uid="{00000000-0005-0000-0000-0000E44F0000}"/>
    <cellStyle name="Финансовый 37 2 3 2 2 5 4 2" xfId="33478" xr:uid="{44DDE0B8-9FBC-45D4-AD58-3D5A383AD32F}"/>
    <cellStyle name="Финансовый 37 2 3 2 2 5 5" xfId="19546" xr:uid="{00000000-0005-0000-0000-0000E54F0000}"/>
    <cellStyle name="Финансовый 37 2 3 2 2 5 5 2" xfId="36559" xr:uid="{394DCC15-EC1A-4076-AD93-DA89371539DF}"/>
    <cellStyle name="Финансовый 37 2 3 2 2 5 6" xfId="27249" xr:uid="{AC052B2E-B125-41E1-B20C-0D691D390AFD}"/>
    <cellStyle name="Финансовый 37 2 3 2 2 6" xfId="10150" xr:uid="{00000000-0005-0000-0000-0000E64F0000}"/>
    <cellStyle name="Финансовый 37 2 3 2 2 6 2" xfId="13235" xr:uid="{00000000-0005-0000-0000-0000E74F0000}"/>
    <cellStyle name="Финансовый 37 2 3 2 2 6 2 2" xfId="30324" xr:uid="{67A36754-DBD1-4E4C-A67C-FA180D208A9D}"/>
    <cellStyle name="Финансовый 37 2 3 2 2 6 3" xfId="16467" xr:uid="{00000000-0005-0000-0000-0000E84F0000}"/>
    <cellStyle name="Финансовый 37 2 3 2 2 6 3 2" xfId="33480" xr:uid="{BFE453D7-62C1-44F0-A045-71011C810E96}"/>
    <cellStyle name="Финансовый 37 2 3 2 2 6 4" xfId="19548" xr:uid="{00000000-0005-0000-0000-0000E94F0000}"/>
    <cellStyle name="Финансовый 37 2 3 2 2 6 4 2" xfId="36561" xr:uid="{73CF63D3-7470-40EE-B152-8EACF07C0499}"/>
    <cellStyle name="Финансовый 37 2 3 2 2 6 5" xfId="27251" xr:uid="{F99F99CD-86C0-4E45-A6A5-FBF8338988D6}"/>
    <cellStyle name="Финансовый 37 2 3 2 2 7" xfId="13204" xr:uid="{00000000-0005-0000-0000-0000EA4F0000}"/>
    <cellStyle name="Финансовый 37 2 3 2 2 7 2" xfId="30293" xr:uid="{A5935897-D3BE-4CA4-BF72-50486B11867E}"/>
    <cellStyle name="Финансовый 37 2 3 2 2 8" xfId="16436" xr:uid="{00000000-0005-0000-0000-0000EB4F0000}"/>
    <cellStyle name="Финансовый 37 2 3 2 2 8 2" xfId="33449" xr:uid="{EEB26043-A5A4-4A44-803A-984048014AFF}"/>
    <cellStyle name="Финансовый 37 2 3 2 2 9" xfId="19517" xr:uid="{00000000-0005-0000-0000-0000EC4F0000}"/>
    <cellStyle name="Финансовый 37 2 3 2 2 9 2" xfId="36530" xr:uid="{6FF77312-E4DD-4781-A16C-9EE6DA167852}"/>
    <cellStyle name="Финансовый 37 2 3 2 3" xfId="10151" xr:uid="{00000000-0005-0000-0000-0000ED4F0000}"/>
    <cellStyle name="Финансовый 37 2 3 2 3 2" xfId="10152" xr:uid="{00000000-0005-0000-0000-0000EE4F0000}"/>
    <cellStyle name="Финансовый 37 2 3 2 3 2 2" xfId="10153" xr:uid="{00000000-0005-0000-0000-0000EF4F0000}"/>
    <cellStyle name="Финансовый 37 2 3 2 3 2 2 2" xfId="10154" xr:uid="{00000000-0005-0000-0000-0000F04F0000}"/>
    <cellStyle name="Финансовый 37 2 3 2 3 2 2 2 2" xfId="10155" xr:uid="{00000000-0005-0000-0000-0000F14F0000}"/>
    <cellStyle name="Финансовый 37 2 3 2 3 2 2 2 2 2" xfId="13240" xr:uid="{00000000-0005-0000-0000-0000F24F0000}"/>
    <cellStyle name="Финансовый 37 2 3 2 3 2 2 2 2 2 2" xfId="30329" xr:uid="{B3409461-D394-4A65-8B97-32C9C25C939B}"/>
    <cellStyle name="Финансовый 37 2 3 2 3 2 2 2 2 3" xfId="16472" xr:uid="{00000000-0005-0000-0000-0000F34F0000}"/>
    <cellStyle name="Финансовый 37 2 3 2 3 2 2 2 2 3 2" xfId="33485" xr:uid="{31F107A1-226C-4BBE-92C3-C87D909086B6}"/>
    <cellStyle name="Финансовый 37 2 3 2 3 2 2 2 2 4" xfId="19553" xr:uid="{00000000-0005-0000-0000-0000F44F0000}"/>
    <cellStyle name="Финансовый 37 2 3 2 3 2 2 2 2 4 2" xfId="36566" xr:uid="{4498EA0C-26D1-4043-AC30-B0E34425482F}"/>
    <cellStyle name="Финансовый 37 2 3 2 3 2 2 2 2 5" xfId="27256" xr:uid="{23E03D8D-5309-4F11-A31B-DCBC2FE22A45}"/>
    <cellStyle name="Финансовый 37 2 3 2 3 2 2 2 3" xfId="13239" xr:uid="{00000000-0005-0000-0000-0000F54F0000}"/>
    <cellStyle name="Финансовый 37 2 3 2 3 2 2 2 3 2" xfId="30328" xr:uid="{32DF8F06-1DEB-41D5-BAFA-60DA8BE7B9C1}"/>
    <cellStyle name="Финансовый 37 2 3 2 3 2 2 2 4" xfId="16471" xr:uid="{00000000-0005-0000-0000-0000F64F0000}"/>
    <cellStyle name="Финансовый 37 2 3 2 3 2 2 2 4 2" xfId="33484" xr:uid="{A7AFDEEF-53AE-4622-B3D2-46036453674C}"/>
    <cellStyle name="Финансовый 37 2 3 2 3 2 2 2 5" xfId="19552" xr:uid="{00000000-0005-0000-0000-0000F74F0000}"/>
    <cellStyle name="Финансовый 37 2 3 2 3 2 2 2 5 2" xfId="36565" xr:uid="{1B5C2985-D7DF-4669-96F8-0F078611620C}"/>
    <cellStyle name="Финансовый 37 2 3 2 3 2 2 2 6" xfId="27255" xr:uid="{BF0B5C50-37EE-4250-A4B8-EF384D801247}"/>
    <cellStyle name="Финансовый 37 2 3 2 3 2 2 3" xfId="10156" xr:uid="{00000000-0005-0000-0000-0000F84F0000}"/>
    <cellStyle name="Финансовый 37 2 3 2 3 2 2 3 2" xfId="13241" xr:uid="{00000000-0005-0000-0000-0000F94F0000}"/>
    <cellStyle name="Финансовый 37 2 3 2 3 2 2 3 2 2" xfId="30330" xr:uid="{2EA8261F-EFC9-4981-9807-FEBF71190FB5}"/>
    <cellStyle name="Финансовый 37 2 3 2 3 2 2 3 3" xfId="16473" xr:uid="{00000000-0005-0000-0000-0000FA4F0000}"/>
    <cellStyle name="Финансовый 37 2 3 2 3 2 2 3 3 2" xfId="33486" xr:uid="{9AC2514B-D590-4F50-A2DD-C260F1585722}"/>
    <cellStyle name="Финансовый 37 2 3 2 3 2 2 3 4" xfId="19554" xr:uid="{00000000-0005-0000-0000-0000FB4F0000}"/>
    <cellStyle name="Финансовый 37 2 3 2 3 2 2 3 4 2" xfId="36567" xr:uid="{520BE551-9D5A-4E78-B057-1F35E0724247}"/>
    <cellStyle name="Финансовый 37 2 3 2 3 2 2 3 5" xfId="27257" xr:uid="{23825097-1CBD-49D0-8A12-4FF2C5B9DA0E}"/>
    <cellStyle name="Финансовый 37 2 3 2 3 2 2 4" xfId="13238" xr:uid="{00000000-0005-0000-0000-0000FC4F0000}"/>
    <cellStyle name="Финансовый 37 2 3 2 3 2 2 4 2" xfId="30327" xr:uid="{CF076294-DD1E-4725-B04D-D265EFA6A9CA}"/>
    <cellStyle name="Финансовый 37 2 3 2 3 2 2 5" xfId="16470" xr:uid="{00000000-0005-0000-0000-0000FD4F0000}"/>
    <cellStyle name="Финансовый 37 2 3 2 3 2 2 5 2" xfId="33483" xr:uid="{7B5DA9B9-1271-4031-B7C6-DCDC6A992C30}"/>
    <cellStyle name="Финансовый 37 2 3 2 3 2 2 6" xfId="19551" xr:uid="{00000000-0005-0000-0000-0000FE4F0000}"/>
    <cellStyle name="Финансовый 37 2 3 2 3 2 2 6 2" xfId="36564" xr:uid="{57A9B83C-22A9-46C9-9F5A-B9B8941FAF77}"/>
    <cellStyle name="Финансовый 37 2 3 2 3 2 2 7" xfId="27254" xr:uid="{6C0EBA7B-F6A9-4EAB-A572-4025586C3427}"/>
    <cellStyle name="Финансовый 37 2 3 2 3 2 3" xfId="10157" xr:uid="{00000000-0005-0000-0000-0000FF4F0000}"/>
    <cellStyle name="Финансовый 37 2 3 2 3 2 3 2" xfId="10158" xr:uid="{00000000-0005-0000-0000-000000500000}"/>
    <cellStyle name="Финансовый 37 2 3 2 3 2 3 2 2" xfId="13243" xr:uid="{00000000-0005-0000-0000-000001500000}"/>
    <cellStyle name="Финансовый 37 2 3 2 3 2 3 2 2 2" xfId="30332" xr:uid="{5AAB66D2-77D8-4B94-B3F2-1EE30BF56CE3}"/>
    <cellStyle name="Финансовый 37 2 3 2 3 2 3 2 3" xfId="16475" xr:uid="{00000000-0005-0000-0000-000002500000}"/>
    <cellStyle name="Финансовый 37 2 3 2 3 2 3 2 3 2" xfId="33488" xr:uid="{0F56CD2C-7EF6-4885-A35B-E3541DA6CDC6}"/>
    <cellStyle name="Финансовый 37 2 3 2 3 2 3 2 4" xfId="19556" xr:uid="{00000000-0005-0000-0000-000003500000}"/>
    <cellStyle name="Финансовый 37 2 3 2 3 2 3 2 4 2" xfId="36569" xr:uid="{7F4B00AF-5E82-45FE-84E3-DF6C60FA28C2}"/>
    <cellStyle name="Финансовый 37 2 3 2 3 2 3 2 5" xfId="27259" xr:uid="{46CB68E4-E484-4A12-95A2-C5C511A9E65E}"/>
    <cellStyle name="Финансовый 37 2 3 2 3 2 3 3" xfId="13242" xr:uid="{00000000-0005-0000-0000-000004500000}"/>
    <cellStyle name="Финансовый 37 2 3 2 3 2 3 3 2" xfId="30331" xr:uid="{4F2F0A26-7C36-40ED-B23D-1A8EA47E0833}"/>
    <cellStyle name="Финансовый 37 2 3 2 3 2 3 4" xfId="16474" xr:uid="{00000000-0005-0000-0000-000005500000}"/>
    <cellStyle name="Финансовый 37 2 3 2 3 2 3 4 2" xfId="33487" xr:uid="{B33635AF-4C38-4EB1-87A3-0C9420B99A56}"/>
    <cellStyle name="Финансовый 37 2 3 2 3 2 3 5" xfId="19555" xr:uid="{00000000-0005-0000-0000-000006500000}"/>
    <cellStyle name="Финансовый 37 2 3 2 3 2 3 5 2" xfId="36568" xr:uid="{F6420316-8558-4BA3-A784-6C3BE693FC36}"/>
    <cellStyle name="Финансовый 37 2 3 2 3 2 3 6" xfId="27258" xr:uid="{328CF3F8-DB09-4BA6-BC47-E2D4C0E2CE5D}"/>
    <cellStyle name="Финансовый 37 2 3 2 3 2 4" xfId="10159" xr:uid="{00000000-0005-0000-0000-000007500000}"/>
    <cellStyle name="Финансовый 37 2 3 2 3 2 4 2" xfId="13244" xr:uid="{00000000-0005-0000-0000-000008500000}"/>
    <cellStyle name="Финансовый 37 2 3 2 3 2 4 2 2" xfId="30333" xr:uid="{789093BC-882B-4D04-A967-DF213FA1C231}"/>
    <cellStyle name="Финансовый 37 2 3 2 3 2 4 3" xfId="16476" xr:uid="{00000000-0005-0000-0000-000009500000}"/>
    <cellStyle name="Финансовый 37 2 3 2 3 2 4 3 2" xfId="33489" xr:uid="{E0ECE83E-B2AD-4EAB-90F4-C57289103A39}"/>
    <cellStyle name="Финансовый 37 2 3 2 3 2 4 4" xfId="19557" xr:uid="{00000000-0005-0000-0000-00000A500000}"/>
    <cellStyle name="Финансовый 37 2 3 2 3 2 4 4 2" xfId="36570" xr:uid="{A845E77D-010D-4ACC-AA96-05C501BB1D63}"/>
    <cellStyle name="Финансовый 37 2 3 2 3 2 4 5" xfId="27260" xr:uid="{EF2889B3-EE5C-4183-B2CD-BE26E379B583}"/>
    <cellStyle name="Финансовый 37 2 3 2 3 2 5" xfId="13237" xr:uid="{00000000-0005-0000-0000-00000B500000}"/>
    <cellStyle name="Финансовый 37 2 3 2 3 2 5 2" xfId="30326" xr:uid="{E8CA4262-AB54-4846-8ED5-6DD813264B82}"/>
    <cellStyle name="Финансовый 37 2 3 2 3 2 6" xfId="16469" xr:uid="{00000000-0005-0000-0000-00000C500000}"/>
    <cellStyle name="Финансовый 37 2 3 2 3 2 6 2" xfId="33482" xr:uid="{F1D0819D-0030-4D1E-8281-2A859B437E71}"/>
    <cellStyle name="Финансовый 37 2 3 2 3 2 7" xfId="19550" xr:uid="{00000000-0005-0000-0000-00000D500000}"/>
    <cellStyle name="Финансовый 37 2 3 2 3 2 7 2" xfId="36563" xr:uid="{577073BF-0AE1-4CFB-AB03-4AC3796D177C}"/>
    <cellStyle name="Финансовый 37 2 3 2 3 2 8" xfId="27253" xr:uid="{11E722EC-A6EE-4B60-9D1E-ED1F62542BE9}"/>
    <cellStyle name="Финансовый 37 2 3 2 3 3" xfId="10160" xr:uid="{00000000-0005-0000-0000-00000E500000}"/>
    <cellStyle name="Финансовый 37 2 3 2 3 3 2" xfId="10161" xr:uid="{00000000-0005-0000-0000-00000F500000}"/>
    <cellStyle name="Финансовый 37 2 3 2 3 3 2 2" xfId="10162" xr:uid="{00000000-0005-0000-0000-000010500000}"/>
    <cellStyle name="Финансовый 37 2 3 2 3 3 2 2 2" xfId="13247" xr:uid="{00000000-0005-0000-0000-000011500000}"/>
    <cellStyle name="Финансовый 37 2 3 2 3 3 2 2 2 2" xfId="30336" xr:uid="{0DA5FD2B-1E82-40FC-A5ED-F55A4CF2F62A}"/>
    <cellStyle name="Финансовый 37 2 3 2 3 3 2 2 3" xfId="16479" xr:uid="{00000000-0005-0000-0000-000012500000}"/>
    <cellStyle name="Финансовый 37 2 3 2 3 3 2 2 3 2" xfId="33492" xr:uid="{1873A025-F4BE-471A-90E0-661144DA30D1}"/>
    <cellStyle name="Финансовый 37 2 3 2 3 3 2 2 4" xfId="19560" xr:uid="{00000000-0005-0000-0000-000013500000}"/>
    <cellStyle name="Финансовый 37 2 3 2 3 3 2 2 4 2" xfId="36573" xr:uid="{D294A588-DCD6-4C5C-BC06-3BB5169ABE1C}"/>
    <cellStyle name="Финансовый 37 2 3 2 3 3 2 2 5" xfId="27263" xr:uid="{D3726C1D-C2D0-4BAB-A106-F98C612B8543}"/>
    <cellStyle name="Финансовый 37 2 3 2 3 3 2 3" xfId="13246" xr:uid="{00000000-0005-0000-0000-000014500000}"/>
    <cellStyle name="Финансовый 37 2 3 2 3 3 2 3 2" xfId="30335" xr:uid="{503DF19A-488B-4BB7-8FCC-A9BFADF6A083}"/>
    <cellStyle name="Финансовый 37 2 3 2 3 3 2 4" xfId="16478" xr:uid="{00000000-0005-0000-0000-000015500000}"/>
    <cellStyle name="Финансовый 37 2 3 2 3 3 2 4 2" xfId="33491" xr:uid="{200D08CA-F94A-405E-AF59-0C90B6F4BF82}"/>
    <cellStyle name="Финансовый 37 2 3 2 3 3 2 5" xfId="19559" xr:uid="{00000000-0005-0000-0000-000016500000}"/>
    <cellStyle name="Финансовый 37 2 3 2 3 3 2 5 2" xfId="36572" xr:uid="{ABF7F721-37CE-42FD-A72E-0C862E67E5B4}"/>
    <cellStyle name="Финансовый 37 2 3 2 3 3 2 6" xfId="27262" xr:uid="{C9808643-F299-4068-A58B-6239EA407E15}"/>
    <cellStyle name="Финансовый 37 2 3 2 3 3 3" xfId="10163" xr:uid="{00000000-0005-0000-0000-000017500000}"/>
    <cellStyle name="Финансовый 37 2 3 2 3 3 3 2" xfId="13248" xr:uid="{00000000-0005-0000-0000-000018500000}"/>
    <cellStyle name="Финансовый 37 2 3 2 3 3 3 2 2" xfId="30337" xr:uid="{E7C7001E-ACEF-4C62-B63D-40441CE28FBE}"/>
    <cellStyle name="Финансовый 37 2 3 2 3 3 3 3" xfId="16480" xr:uid="{00000000-0005-0000-0000-000019500000}"/>
    <cellStyle name="Финансовый 37 2 3 2 3 3 3 3 2" xfId="33493" xr:uid="{A098E39E-D4C0-4404-8B52-B9E3BE6E2D0D}"/>
    <cellStyle name="Финансовый 37 2 3 2 3 3 3 4" xfId="19561" xr:uid="{00000000-0005-0000-0000-00001A500000}"/>
    <cellStyle name="Финансовый 37 2 3 2 3 3 3 4 2" xfId="36574" xr:uid="{C8F52168-1F62-4006-9B5B-29EEC12D1988}"/>
    <cellStyle name="Финансовый 37 2 3 2 3 3 3 5" xfId="27264" xr:uid="{71861A8E-A19C-447D-B3AF-687FCE77FCC0}"/>
    <cellStyle name="Финансовый 37 2 3 2 3 3 4" xfId="13245" xr:uid="{00000000-0005-0000-0000-00001B500000}"/>
    <cellStyle name="Финансовый 37 2 3 2 3 3 4 2" xfId="30334" xr:uid="{AFFE1059-2656-45F0-8F58-C9967A0106A3}"/>
    <cellStyle name="Финансовый 37 2 3 2 3 3 5" xfId="16477" xr:uid="{00000000-0005-0000-0000-00001C500000}"/>
    <cellStyle name="Финансовый 37 2 3 2 3 3 5 2" xfId="33490" xr:uid="{FBDC1F54-0940-478A-9646-97C0A7B68F4F}"/>
    <cellStyle name="Финансовый 37 2 3 2 3 3 6" xfId="19558" xr:uid="{00000000-0005-0000-0000-00001D500000}"/>
    <cellStyle name="Финансовый 37 2 3 2 3 3 6 2" xfId="36571" xr:uid="{35152601-C2EC-4832-8C07-DA618E368E27}"/>
    <cellStyle name="Финансовый 37 2 3 2 3 3 7" xfId="27261" xr:uid="{396534D3-04F6-4601-9DAD-646BBE3AD435}"/>
    <cellStyle name="Финансовый 37 2 3 2 3 4" xfId="10164" xr:uid="{00000000-0005-0000-0000-00001E500000}"/>
    <cellStyle name="Финансовый 37 2 3 2 3 4 2" xfId="10165" xr:uid="{00000000-0005-0000-0000-00001F500000}"/>
    <cellStyle name="Финансовый 37 2 3 2 3 4 2 2" xfId="13250" xr:uid="{00000000-0005-0000-0000-000020500000}"/>
    <cellStyle name="Финансовый 37 2 3 2 3 4 2 2 2" xfId="30339" xr:uid="{0DC6B2B3-C9CB-4538-88B4-672248B4804F}"/>
    <cellStyle name="Финансовый 37 2 3 2 3 4 2 3" xfId="16482" xr:uid="{00000000-0005-0000-0000-000021500000}"/>
    <cellStyle name="Финансовый 37 2 3 2 3 4 2 3 2" xfId="33495" xr:uid="{8F820607-0041-4F3D-9CC2-9A5BE2777049}"/>
    <cellStyle name="Финансовый 37 2 3 2 3 4 2 4" xfId="19563" xr:uid="{00000000-0005-0000-0000-000022500000}"/>
    <cellStyle name="Финансовый 37 2 3 2 3 4 2 4 2" xfId="36576" xr:uid="{8C9EDDAB-222C-4E5A-A2AC-A8733CFB87BA}"/>
    <cellStyle name="Финансовый 37 2 3 2 3 4 2 5" xfId="27266" xr:uid="{7FC5A6E1-5EC7-43F2-8F87-84E17C39E746}"/>
    <cellStyle name="Финансовый 37 2 3 2 3 4 3" xfId="13249" xr:uid="{00000000-0005-0000-0000-000023500000}"/>
    <cellStyle name="Финансовый 37 2 3 2 3 4 3 2" xfId="30338" xr:uid="{251090BD-0456-46EA-93B4-66367D15B271}"/>
    <cellStyle name="Финансовый 37 2 3 2 3 4 4" xfId="16481" xr:uid="{00000000-0005-0000-0000-000024500000}"/>
    <cellStyle name="Финансовый 37 2 3 2 3 4 4 2" xfId="33494" xr:uid="{721A24CC-EBB2-4311-A4D2-5FF3AC638F1E}"/>
    <cellStyle name="Финансовый 37 2 3 2 3 4 5" xfId="19562" xr:uid="{00000000-0005-0000-0000-000025500000}"/>
    <cellStyle name="Финансовый 37 2 3 2 3 4 5 2" xfId="36575" xr:uid="{AD9A43B0-8149-46CE-869D-A4819D82CDC7}"/>
    <cellStyle name="Финансовый 37 2 3 2 3 4 6" xfId="27265" xr:uid="{E9844C71-AA92-4F59-88FD-E96E1DDEE1F0}"/>
    <cellStyle name="Финансовый 37 2 3 2 3 5" xfId="10166" xr:uid="{00000000-0005-0000-0000-000026500000}"/>
    <cellStyle name="Финансовый 37 2 3 2 3 5 2" xfId="13251" xr:uid="{00000000-0005-0000-0000-000027500000}"/>
    <cellStyle name="Финансовый 37 2 3 2 3 5 2 2" xfId="30340" xr:uid="{B1210E71-A493-41D2-9793-FD24D2C4BDED}"/>
    <cellStyle name="Финансовый 37 2 3 2 3 5 3" xfId="16483" xr:uid="{00000000-0005-0000-0000-000028500000}"/>
    <cellStyle name="Финансовый 37 2 3 2 3 5 3 2" xfId="33496" xr:uid="{4185C294-A5A0-447C-8919-BEB0DC78FA3A}"/>
    <cellStyle name="Финансовый 37 2 3 2 3 5 4" xfId="19564" xr:uid="{00000000-0005-0000-0000-000029500000}"/>
    <cellStyle name="Финансовый 37 2 3 2 3 5 4 2" xfId="36577" xr:uid="{5B652CA1-544A-483C-BD34-715BB7F2C2F8}"/>
    <cellStyle name="Финансовый 37 2 3 2 3 5 5" xfId="27267" xr:uid="{2850A250-61A7-4D7C-8955-44572C98A495}"/>
    <cellStyle name="Финансовый 37 2 3 2 3 6" xfId="13236" xr:uid="{00000000-0005-0000-0000-00002A500000}"/>
    <cellStyle name="Финансовый 37 2 3 2 3 6 2" xfId="30325" xr:uid="{11591106-A0B1-4D1D-92D0-567C4E5BD6E0}"/>
    <cellStyle name="Финансовый 37 2 3 2 3 7" xfId="16468" xr:uid="{00000000-0005-0000-0000-00002B500000}"/>
    <cellStyle name="Финансовый 37 2 3 2 3 7 2" xfId="33481" xr:uid="{85EF402D-4C45-41ED-B483-C1C1391B167F}"/>
    <cellStyle name="Финансовый 37 2 3 2 3 8" xfId="19549" xr:uid="{00000000-0005-0000-0000-00002C500000}"/>
    <cellStyle name="Финансовый 37 2 3 2 3 8 2" xfId="36562" xr:uid="{98730214-E557-4B6C-B2C9-2192A5131931}"/>
    <cellStyle name="Финансовый 37 2 3 2 3 9" xfId="27252" xr:uid="{DA30C97A-4E29-445C-86C2-5161A730BB25}"/>
    <cellStyle name="Финансовый 37 2 3 2 4" xfId="10167" xr:uid="{00000000-0005-0000-0000-00002D500000}"/>
    <cellStyle name="Финансовый 37 2 3 2 4 2" xfId="10168" xr:uid="{00000000-0005-0000-0000-00002E500000}"/>
    <cellStyle name="Финансовый 37 2 3 2 4 2 2" xfId="10169" xr:uid="{00000000-0005-0000-0000-00002F500000}"/>
    <cellStyle name="Финансовый 37 2 3 2 4 2 2 2" xfId="10170" xr:uid="{00000000-0005-0000-0000-000030500000}"/>
    <cellStyle name="Финансовый 37 2 3 2 4 2 2 2 2" xfId="13255" xr:uid="{00000000-0005-0000-0000-000031500000}"/>
    <cellStyle name="Финансовый 37 2 3 2 4 2 2 2 2 2" xfId="30344" xr:uid="{6437F5A7-83CA-4EBC-B993-32F77F7F23F0}"/>
    <cellStyle name="Финансовый 37 2 3 2 4 2 2 2 3" xfId="16487" xr:uid="{00000000-0005-0000-0000-000032500000}"/>
    <cellStyle name="Финансовый 37 2 3 2 4 2 2 2 3 2" xfId="33500" xr:uid="{5CB02DE0-F2E5-4C12-907E-22D496F69C19}"/>
    <cellStyle name="Финансовый 37 2 3 2 4 2 2 2 4" xfId="19568" xr:uid="{00000000-0005-0000-0000-000033500000}"/>
    <cellStyle name="Финансовый 37 2 3 2 4 2 2 2 4 2" xfId="36581" xr:uid="{2A613BEE-2E64-47E2-928E-B5725357063F}"/>
    <cellStyle name="Финансовый 37 2 3 2 4 2 2 2 5" xfId="27271" xr:uid="{36A24143-2682-4704-96EA-8A20C2DF197C}"/>
    <cellStyle name="Финансовый 37 2 3 2 4 2 2 3" xfId="13254" xr:uid="{00000000-0005-0000-0000-000034500000}"/>
    <cellStyle name="Финансовый 37 2 3 2 4 2 2 3 2" xfId="30343" xr:uid="{31AE8564-2748-4D9B-BBFF-910B5E766B65}"/>
    <cellStyle name="Финансовый 37 2 3 2 4 2 2 4" xfId="16486" xr:uid="{00000000-0005-0000-0000-000035500000}"/>
    <cellStyle name="Финансовый 37 2 3 2 4 2 2 4 2" xfId="33499" xr:uid="{4E4D3AB1-5F39-4FE1-A530-E627375F3B4D}"/>
    <cellStyle name="Финансовый 37 2 3 2 4 2 2 5" xfId="19567" xr:uid="{00000000-0005-0000-0000-000036500000}"/>
    <cellStyle name="Финансовый 37 2 3 2 4 2 2 5 2" xfId="36580" xr:uid="{DD893D08-FEFB-483E-98A3-56BDAFCE3C68}"/>
    <cellStyle name="Финансовый 37 2 3 2 4 2 2 6" xfId="27270" xr:uid="{B0AE3E1D-26E0-4DBF-A2C0-B2E9ED5C158A}"/>
    <cellStyle name="Финансовый 37 2 3 2 4 2 3" xfId="10171" xr:uid="{00000000-0005-0000-0000-000037500000}"/>
    <cellStyle name="Финансовый 37 2 3 2 4 2 3 2" xfId="13256" xr:uid="{00000000-0005-0000-0000-000038500000}"/>
    <cellStyle name="Финансовый 37 2 3 2 4 2 3 2 2" xfId="30345" xr:uid="{E4A719DC-D323-4B02-B2B4-5820953B429E}"/>
    <cellStyle name="Финансовый 37 2 3 2 4 2 3 3" xfId="16488" xr:uid="{00000000-0005-0000-0000-000039500000}"/>
    <cellStyle name="Финансовый 37 2 3 2 4 2 3 3 2" xfId="33501" xr:uid="{1624B1FD-3D71-4385-9110-B3514A328708}"/>
    <cellStyle name="Финансовый 37 2 3 2 4 2 3 4" xfId="19569" xr:uid="{00000000-0005-0000-0000-00003A500000}"/>
    <cellStyle name="Финансовый 37 2 3 2 4 2 3 4 2" xfId="36582" xr:uid="{AB59DD73-EF50-4D8B-A9F4-C29A4B314FB5}"/>
    <cellStyle name="Финансовый 37 2 3 2 4 2 3 5" xfId="27272" xr:uid="{43A47785-1EE8-4357-9694-E6770F61DF30}"/>
    <cellStyle name="Финансовый 37 2 3 2 4 2 4" xfId="13253" xr:uid="{00000000-0005-0000-0000-00003B500000}"/>
    <cellStyle name="Финансовый 37 2 3 2 4 2 4 2" xfId="30342" xr:uid="{A66B0D5A-5936-47EA-A4D9-97D3A86EBC3C}"/>
    <cellStyle name="Финансовый 37 2 3 2 4 2 5" xfId="16485" xr:uid="{00000000-0005-0000-0000-00003C500000}"/>
    <cellStyle name="Финансовый 37 2 3 2 4 2 5 2" xfId="33498" xr:uid="{ED46EE55-FAE0-483E-9A8F-9BC9EDF9B3F0}"/>
    <cellStyle name="Финансовый 37 2 3 2 4 2 6" xfId="19566" xr:uid="{00000000-0005-0000-0000-00003D500000}"/>
    <cellStyle name="Финансовый 37 2 3 2 4 2 6 2" xfId="36579" xr:uid="{94AAD6EB-7A0D-48E4-8635-6CC5CFD3FA04}"/>
    <cellStyle name="Финансовый 37 2 3 2 4 2 7" xfId="27269" xr:uid="{D9C34D50-1DA3-4D8A-9CF8-9F9C62222DC1}"/>
    <cellStyle name="Финансовый 37 2 3 2 4 3" xfId="10172" xr:uid="{00000000-0005-0000-0000-00003E500000}"/>
    <cellStyle name="Финансовый 37 2 3 2 4 3 2" xfId="10173" xr:uid="{00000000-0005-0000-0000-00003F500000}"/>
    <cellStyle name="Финансовый 37 2 3 2 4 3 2 2" xfId="13258" xr:uid="{00000000-0005-0000-0000-000040500000}"/>
    <cellStyle name="Финансовый 37 2 3 2 4 3 2 2 2" xfId="30347" xr:uid="{8A206626-DF88-4075-92D0-9E711F648168}"/>
    <cellStyle name="Финансовый 37 2 3 2 4 3 2 3" xfId="16490" xr:uid="{00000000-0005-0000-0000-000041500000}"/>
    <cellStyle name="Финансовый 37 2 3 2 4 3 2 3 2" xfId="33503" xr:uid="{E18EFD64-DFBD-4F5D-9B33-C44044D086B6}"/>
    <cellStyle name="Финансовый 37 2 3 2 4 3 2 4" xfId="19571" xr:uid="{00000000-0005-0000-0000-000042500000}"/>
    <cellStyle name="Финансовый 37 2 3 2 4 3 2 4 2" xfId="36584" xr:uid="{4FEFEF9D-A266-41AE-A34C-E9DCF943C34F}"/>
    <cellStyle name="Финансовый 37 2 3 2 4 3 2 5" xfId="27274" xr:uid="{2F81DD3F-634C-464C-BCB7-0E8737CCB0B7}"/>
    <cellStyle name="Финансовый 37 2 3 2 4 3 3" xfId="13257" xr:uid="{00000000-0005-0000-0000-000043500000}"/>
    <cellStyle name="Финансовый 37 2 3 2 4 3 3 2" xfId="30346" xr:uid="{954AFA9E-3E37-4D85-8B11-377DF866C591}"/>
    <cellStyle name="Финансовый 37 2 3 2 4 3 4" xfId="16489" xr:uid="{00000000-0005-0000-0000-000044500000}"/>
    <cellStyle name="Финансовый 37 2 3 2 4 3 4 2" xfId="33502" xr:uid="{7817B9D6-C2E4-499D-90F9-D1A1C0213901}"/>
    <cellStyle name="Финансовый 37 2 3 2 4 3 5" xfId="19570" xr:uid="{00000000-0005-0000-0000-000045500000}"/>
    <cellStyle name="Финансовый 37 2 3 2 4 3 5 2" xfId="36583" xr:uid="{72D49931-6D7F-4854-9E1C-CB57C1417D93}"/>
    <cellStyle name="Финансовый 37 2 3 2 4 3 6" xfId="27273" xr:uid="{26E53AF6-A228-4B12-8B01-D7F9C0D41A47}"/>
    <cellStyle name="Финансовый 37 2 3 2 4 4" xfId="10174" xr:uid="{00000000-0005-0000-0000-000046500000}"/>
    <cellStyle name="Финансовый 37 2 3 2 4 4 2" xfId="13259" xr:uid="{00000000-0005-0000-0000-000047500000}"/>
    <cellStyle name="Финансовый 37 2 3 2 4 4 2 2" xfId="30348" xr:uid="{2B1DBDCC-06C1-43B3-AA6B-2DD3159D2DC6}"/>
    <cellStyle name="Финансовый 37 2 3 2 4 4 3" xfId="16491" xr:uid="{00000000-0005-0000-0000-000048500000}"/>
    <cellStyle name="Финансовый 37 2 3 2 4 4 3 2" xfId="33504" xr:uid="{152E2535-40D7-47C0-9A8A-CAC9FAFEF7E3}"/>
    <cellStyle name="Финансовый 37 2 3 2 4 4 4" xfId="19572" xr:uid="{00000000-0005-0000-0000-000049500000}"/>
    <cellStyle name="Финансовый 37 2 3 2 4 4 4 2" xfId="36585" xr:uid="{EF0ED96C-E070-4DE0-842F-6057E2A5615A}"/>
    <cellStyle name="Финансовый 37 2 3 2 4 4 5" xfId="27275" xr:uid="{4C6891B9-C7D0-48DC-9395-C627C7FC2196}"/>
    <cellStyle name="Финансовый 37 2 3 2 4 5" xfId="13252" xr:uid="{00000000-0005-0000-0000-00004A500000}"/>
    <cellStyle name="Финансовый 37 2 3 2 4 5 2" xfId="30341" xr:uid="{A3A765BA-9C96-471B-95A2-9E962C9DB075}"/>
    <cellStyle name="Финансовый 37 2 3 2 4 6" xfId="16484" xr:uid="{00000000-0005-0000-0000-00004B500000}"/>
    <cellStyle name="Финансовый 37 2 3 2 4 6 2" xfId="33497" xr:uid="{4ED5282D-F913-4277-B34A-A4E9AADA84E0}"/>
    <cellStyle name="Финансовый 37 2 3 2 4 7" xfId="19565" xr:uid="{00000000-0005-0000-0000-00004C500000}"/>
    <cellStyle name="Финансовый 37 2 3 2 4 7 2" xfId="36578" xr:uid="{68DF7C52-605E-4FA9-B1EC-6C54E9B842D1}"/>
    <cellStyle name="Финансовый 37 2 3 2 4 8" xfId="27268" xr:uid="{E6CC75FE-4296-4EAD-A16E-1F6A4734D689}"/>
    <cellStyle name="Финансовый 37 2 3 2 5" xfId="10175" xr:uid="{00000000-0005-0000-0000-00004D500000}"/>
    <cellStyle name="Финансовый 37 2 3 2 5 2" xfId="10176" xr:uid="{00000000-0005-0000-0000-00004E500000}"/>
    <cellStyle name="Финансовый 37 2 3 2 5 2 2" xfId="10177" xr:uid="{00000000-0005-0000-0000-00004F500000}"/>
    <cellStyle name="Финансовый 37 2 3 2 5 2 2 2" xfId="13262" xr:uid="{00000000-0005-0000-0000-000050500000}"/>
    <cellStyle name="Финансовый 37 2 3 2 5 2 2 2 2" xfId="30351" xr:uid="{4BDAD2E4-1E41-41D2-9302-C47657797D4D}"/>
    <cellStyle name="Финансовый 37 2 3 2 5 2 2 3" xfId="16494" xr:uid="{00000000-0005-0000-0000-000051500000}"/>
    <cellStyle name="Финансовый 37 2 3 2 5 2 2 3 2" xfId="33507" xr:uid="{D3989EA8-DEBC-438B-AB0E-C125A137F3F6}"/>
    <cellStyle name="Финансовый 37 2 3 2 5 2 2 4" xfId="19575" xr:uid="{00000000-0005-0000-0000-000052500000}"/>
    <cellStyle name="Финансовый 37 2 3 2 5 2 2 4 2" xfId="36588" xr:uid="{5574CF24-E632-4F40-9B8F-F1B9BC0FC987}"/>
    <cellStyle name="Финансовый 37 2 3 2 5 2 2 5" xfId="27278" xr:uid="{2A0203C7-8228-4073-8627-D8E54F8D4D00}"/>
    <cellStyle name="Финансовый 37 2 3 2 5 2 3" xfId="13261" xr:uid="{00000000-0005-0000-0000-000053500000}"/>
    <cellStyle name="Финансовый 37 2 3 2 5 2 3 2" xfId="30350" xr:uid="{41C0F4EC-E363-437D-8060-3CDD6329AB06}"/>
    <cellStyle name="Финансовый 37 2 3 2 5 2 4" xfId="16493" xr:uid="{00000000-0005-0000-0000-000054500000}"/>
    <cellStyle name="Финансовый 37 2 3 2 5 2 4 2" xfId="33506" xr:uid="{0F8D9E40-C173-4307-9DFF-5626D3B7850B}"/>
    <cellStyle name="Финансовый 37 2 3 2 5 2 5" xfId="19574" xr:uid="{00000000-0005-0000-0000-000055500000}"/>
    <cellStyle name="Финансовый 37 2 3 2 5 2 5 2" xfId="36587" xr:uid="{103D08BE-9B44-4200-8D82-ACFF3014D790}"/>
    <cellStyle name="Финансовый 37 2 3 2 5 2 6" xfId="27277" xr:uid="{AFB277A2-4A67-4841-81CC-87E54BB373FC}"/>
    <cellStyle name="Финансовый 37 2 3 2 5 3" xfId="10178" xr:uid="{00000000-0005-0000-0000-000056500000}"/>
    <cellStyle name="Финансовый 37 2 3 2 5 3 2" xfId="13263" xr:uid="{00000000-0005-0000-0000-000057500000}"/>
    <cellStyle name="Финансовый 37 2 3 2 5 3 2 2" xfId="30352" xr:uid="{58339CAC-EEBE-4CC6-8301-A1E922ED16E0}"/>
    <cellStyle name="Финансовый 37 2 3 2 5 3 3" xfId="16495" xr:uid="{00000000-0005-0000-0000-000058500000}"/>
    <cellStyle name="Финансовый 37 2 3 2 5 3 3 2" xfId="33508" xr:uid="{B6DB08BF-6AFB-4A78-9C5F-14D4425A26A7}"/>
    <cellStyle name="Финансовый 37 2 3 2 5 3 4" xfId="19576" xr:uid="{00000000-0005-0000-0000-000059500000}"/>
    <cellStyle name="Финансовый 37 2 3 2 5 3 4 2" xfId="36589" xr:uid="{BCF804A3-ADA0-40C9-BCCD-645B7D86B739}"/>
    <cellStyle name="Финансовый 37 2 3 2 5 3 5" xfId="27279" xr:uid="{AAD870CE-3DF8-4101-9523-AB0FEC1A10B8}"/>
    <cellStyle name="Финансовый 37 2 3 2 5 4" xfId="13260" xr:uid="{00000000-0005-0000-0000-00005A500000}"/>
    <cellStyle name="Финансовый 37 2 3 2 5 4 2" xfId="30349" xr:uid="{309CA710-6BF7-4AD4-A913-D28C59D7CC6A}"/>
    <cellStyle name="Финансовый 37 2 3 2 5 5" xfId="16492" xr:uid="{00000000-0005-0000-0000-00005B500000}"/>
    <cellStyle name="Финансовый 37 2 3 2 5 5 2" xfId="33505" xr:uid="{7EC0D4C5-AD00-4181-82A3-C03F78B01AB3}"/>
    <cellStyle name="Финансовый 37 2 3 2 5 6" xfId="19573" xr:uid="{00000000-0005-0000-0000-00005C500000}"/>
    <cellStyle name="Финансовый 37 2 3 2 5 6 2" xfId="36586" xr:uid="{0C00D688-CB5F-451E-88FB-20E7915F638F}"/>
    <cellStyle name="Финансовый 37 2 3 2 5 7" xfId="27276" xr:uid="{4EE459FA-4149-4D24-8AC4-05ECF89D0FFA}"/>
    <cellStyle name="Финансовый 37 2 3 2 6" xfId="10179" xr:uid="{00000000-0005-0000-0000-00005D500000}"/>
    <cellStyle name="Финансовый 37 2 3 2 6 2" xfId="10180" xr:uid="{00000000-0005-0000-0000-00005E500000}"/>
    <cellStyle name="Финансовый 37 2 3 2 6 2 2" xfId="13265" xr:uid="{00000000-0005-0000-0000-00005F500000}"/>
    <cellStyle name="Финансовый 37 2 3 2 6 2 2 2" xfId="30354" xr:uid="{8878E8D9-DF1A-4DB1-8859-B8AA8648C830}"/>
    <cellStyle name="Финансовый 37 2 3 2 6 2 3" xfId="16497" xr:uid="{00000000-0005-0000-0000-000060500000}"/>
    <cellStyle name="Финансовый 37 2 3 2 6 2 3 2" xfId="33510" xr:uid="{347C5D38-300B-4666-ABC6-484837FBA4F4}"/>
    <cellStyle name="Финансовый 37 2 3 2 6 2 4" xfId="19578" xr:uid="{00000000-0005-0000-0000-000061500000}"/>
    <cellStyle name="Финансовый 37 2 3 2 6 2 4 2" xfId="36591" xr:uid="{FF5C208E-0136-4657-B593-6297E8C96E8E}"/>
    <cellStyle name="Финансовый 37 2 3 2 6 2 5" xfId="27281" xr:uid="{4A47D008-BE73-4B1B-AAAA-AEA85B77A223}"/>
    <cellStyle name="Финансовый 37 2 3 2 6 3" xfId="13264" xr:uid="{00000000-0005-0000-0000-000062500000}"/>
    <cellStyle name="Финансовый 37 2 3 2 6 3 2" xfId="30353" xr:uid="{F5DC0239-5F97-4745-B012-0B3AEE39FEC8}"/>
    <cellStyle name="Финансовый 37 2 3 2 6 4" xfId="16496" xr:uid="{00000000-0005-0000-0000-000063500000}"/>
    <cellStyle name="Финансовый 37 2 3 2 6 4 2" xfId="33509" xr:uid="{BC703334-8992-4C65-A46D-3D6E317B6E9A}"/>
    <cellStyle name="Финансовый 37 2 3 2 6 5" xfId="19577" xr:uid="{00000000-0005-0000-0000-000064500000}"/>
    <cellStyle name="Финансовый 37 2 3 2 6 5 2" xfId="36590" xr:uid="{5658AD92-1785-40EF-8AA1-6CDF8AE69E0D}"/>
    <cellStyle name="Финансовый 37 2 3 2 6 6" xfId="27280" xr:uid="{5B67AAB1-75AD-49B2-ACBE-F4C27BF88061}"/>
    <cellStyle name="Финансовый 37 2 3 2 7" xfId="10181" xr:uid="{00000000-0005-0000-0000-000065500000}"/>
    <cellStyle name="Финансовый 37 2 3 2 7 2" xfId="13266" xr:uid="{00000000-0005-0000-0000-000066500000}"/>
    <cellStyle name="Финансовый 37 2 3 2 7 2 2" xfId="30355" xr:uid="{E53AE392-149C-42D4-A52E-90A91FECC79E}"/>
    <cellStyle name="Финансовый 37 2 3 2 7 3" xfId="16498" xr:uid="{00000000-0005-0000-0000-000067500000}"/>
    <cellStyle name="Финансовый 37 2 3 2 7 3 2" xfId="33511" xr:uid="{CFEA8671-0147-415B-A3B3-8AB90992B043}"/>
    <cellStyle name="Финансовый 37 2 3 2 7 4" xfId="19579" xr:uid="{00000000-0005-0000-0000-000068500000}"/>
    <cellStyle name="Финансовый 37 2 3 2 7 4 2" xfId="36592" xr:uid="{DE1DDA65-9E5C-4980-928C-8AA508B797C6}"/>
    <cellStyle name="Финансовый 37 2 3 2 7 5" xfId="27282" xr:uid="{01C459EA-9DB6-4A34-A95D-89820A663B06}"/>
    <cellStyle name="Финансовый 37 2 3 2 8" xfId="13203" xr:uid="{00000000-0005-0000-0000-000069500000}"/>
    <cellStyle name="Финансовый 37 2 3 2 8 2" xfId="30292" xr:uid="{B4E0AE9E-B150-4E74-9FE7-BBD30C68A9AE}"/>
    <cellStyle name="Финансовый 37 2 3 2 9" xfId="16435" xr:uid="{00000000-0005-0000-0000-00006A500000}"/>
    <cellStyle name="Финансовый 37 2 3 2 9 2" xfId="33448" xr:uid="{8F450B8F-DCFE-4A2D-B839-0E389EF250F3}"/>
    <cellStyle name="Финансовый 37 2 3 3" xfId="10182" xr:uid="{00000000-0005-0000-0000-00006B500000}"/>
    <cellStyle name="Финансовый 37 2 3 3 10" xfId="27283" xr:uid="{E1D5B5F6-9BD0-46B7-8330-75BE22766797}"/>
    <cellStyle name="Финансовый 37 2 3 3 2" xfId="10183" xr:uid="{00000000-0005-0000-0000-00006C500000}"/>
    <cellStyle name="Финансовый 37 2 3 3 2 2" xfId="10184" xr:uid="{00000000-0005-0000-0000-00006D500000}"/>
    <cellStyle name="Финансовый 37 2 3 3 2 2 2" xfId="10185" xr:uid="{00000000-0005-0000-0000-00006E500000}"/>
    <cellStyle name="Финансовый 37 2 3 3 2 2 2 2" xfId="10186" xr:uid="{00000000-0005-0000-0000-00006F500000}"/>
    <cellStyle name="Финансовый 37 2 3 3 2 2 2 2 2" xfId="10187" xr:uid="{00000000-0005-0000-0000-000070500000}"/>
    <cellStyle name="Финансовый 37 2 3 3 2 2 2 2 2 2" xfId="13272" xr:uid="{00000000-0005-0000-0000-000071500000}"/>
    <cellStyle name="Финансовый 37 2 3 3 2 2 2 2 2 2 2" xfId="30361" xr:uid="{14C36CC5-331C-45D1-8013-820E3209B015}"/>
    <cellStyle name="Финансовый 37 2 3 3 2 2 2 2 2 3" xfId="16504" xr:uid="{00000000-0005-0000-0000-000072500000}"/>
    <cellStyle name="Финансовый 37 2 3 3 2 2 2 2 2 3 2" xfId="33517" xr:uid="{9D8B945B-1362-4F04-B91C-5072AEBE2B91}"/>
    <cellStyle name="Финансовый 37 2 3 3 2 2 2 2 2 4" xfId="19585" xr:uid="{00000000-0005-0000-0000-000073500000}"/>
    <cellStyle name="Финансовый 37 2 3 3 2 2 2 2 2 4 2" xfId="36598" xr:uid="{AF9BA053-2261-4A70-A28A-7FDB3A839A5A}"/>
    <cellStyle name="Финансовый 37 2 3 3 2 2 2 2 2 5" xfId="27288" xr:uid="{DD816E3E-A3E7-499D-AF98-E937A5501875}"/>
    <cellStyle name="Финансовый 37 2 3 3 2 2 2 2 3" xfId="13271" xr:uid="{00000000-0005-0000-0000-000074500000}"/>
    <cellStyle name="Финансовый 37 2 3 3 2 2 2 2 3 2" xfId="30360" xr:uid="{ADB4607C-61F3-4302-9942-9256D046FAFE}"/>
    <cellStyle name="Финансовый 37 2 3 3 2 2 2 2 4" xfId="16503" xr:uid="{00000000-0005-0000-0000-000075500000}"/>
    <cellStyle name="Финансовый 37 2 3 3 2 2 2 2 4 2" xfId="33516" xr:uid="{908262A5-4C01-4951-998D-3CB776989A87}"/>
    <cellStyle name="Финансовый 37 2 3 3 2 2 2 2 5" xfId="19584" xr:uid="{00000000-0005-0000-0000-000076500000}"/>
    <cellStyle name="Финансовый 37 2 3 3 2 2 2 2 5 2" xfId="36597" xr:uid="{9FEFB157-957D-402F-866A-A003433F3469}"/>
    <cellStyle name="Финансовый 37 2 3 3 2 2 2 2 6" xfId="27287" xr:uid="{2965C39A-C09D-4690-9D91-2A3C430A21FE}"/>
    <cellStyle name="Финансовый 37 2 3 3 2 2 2 3" xfId="10188" xr:uid="{00000000-0005-0000-0000-000077500000}"/>
    <cellStyle name="Финансовый 37 2 3 3 2 2 2 3 2" xfId="13273" xr:uid="{00000000-0005-0000-0000-000078500000}"/>
    <cellStyle name="Финансовый 37 2 3 3 2 2 2 3 2 2" xfId="30362" xr:uid="{431182A5-6F08-432A-AA11-421F9F1E2CFC}"/>
    <cellStyle name="Финансовый 37 2 3 3 2 2 2 3 3" xfId="16505" xr:uid="{00000000-0005-0000-0000-000079500000}"/>
    <cellStyle name="Финансовый 37 2 3 3 2 2 2 3 3 2" xfId="33518" xr:uid="{649544A3-0F8A-4E80-9AC0-529245739700}"/>
    <cellStyle name="Финансовый 37 2 3 3 2 2 2 3 4" xfId="19586" xr:uid="{00000000-0005-0000-0000-00007A500000}"/>
    <cellStyle name="Финансовый 37 2 3 3 2 2 2 3 4 2" xfId="36599" xr:uid="{5ACA34AD-50BB-4C7A-949A-A39C62F77283}"/>
    <cellStyle name="Финансовый 37 2 3 3 2 2 2 3 5" xfId="27289" xr:uid="{EF215B64-E916-4865-89AC-F281581DF27D}"/>
    <cellStyle name="Финансовый 37 2 3 3 2 2 2 4" xfId="13270" xr:uid="{00000000-0005-0000-0000-00007B500000}"/>
    <cellStyle name="Финансовый 37 2 3 3 2 2 2 4 2" xfId="30359" xr:uid="{A1E5C307-CBB7-4736-A0D7-F440BC1D226F}"/>
    <cellStyle name="Финансовый 37 2 3 3 2 2 2 5" xfId="16502" xr:uid="{00000000-0005-0000-0000-00007C500000}"/>
    <cellStyle name="Финансовый 37 2 3 3 2 2 2 5 2" xfId="33515" xr:uid="{C63C1A99-C916-4731-9494-74E360A98375}"/>
    <cellStyle name="Финансовый 37 2 3 3 2 2 2 6" xfId="19583" xr:uid="{00000000-0005-0000-0000-00007D500000}"/>
    <cellStyle name="Финансовый 37 2 3 3 2 2 2 6 2" xfId="36596" xr:uid="{3DB98CCC-E91A-45F5-91A0-4D3E2DCA5654}"/>
    <cellStyle name="Финансовый 37 2 3 3 2 2 2 7" xfId="27286" xr:uid="{710D4716-64A9-42AD-8A7A-10DCB2537A1F}"/>
    <cellStyle name="Финансовый 37 2 3 3 2 2 3" xfId="10189" xr:uid="{00000000-0005-0000-0000-00007E500000}"/>
    <cellStyle name="Финансовый 37 2 3 3 2 2 3 2" xfId="10190" xr:uid="{00000000-0005-0000-0000-00007F500000}"/>
    <cellStyle name="Финансовый 37 2 3 3 2 2 3 2 2" xfId="13275" xr:uid="{00000000-0005-0000-0000-000080500000}"/>
    <cellStyle name="Финансовый 37 2 3 3 2 2 3 2 2 2" xfId="30364" xr:uid="{12B1B594-B7EE-413B-94E0-3C376AEE674B}"/>
    <cellStyle name="Финансовый 37 2 3 3 2 2 3 2 3" xfId="16507" xr:uid="{00000000-0005-0000-0000-000081500000}"/>
    <cellStyle name="Финансовый 37 2 3 3 2 2 3 2 3 2" xfId="33520" xr:uid="{538673AC-FC52-4DD0-8BCD-13F4BC5A3700}"/>
    <cellStyle name="Финансовый 37 2 3 3 2 2 3 2 4" xfId="19588" xr:uid="{00000000-0005-0000-0000-000082500000}"/>
    <cellStyle name="Финансовый 37 2 3 3 2 2 3 2 4 2" xfId="36601" xr:uid="{7D1C5E0C-D068-42BD-A483-AC51CD1300FF}"/>
    <cellStyle name="Финансовый 37 2 3 3 2 2 3 2 5" xfId="27291" xr:uid="{90D17370-5991-4D50-B58E-7AAFE560B454}"/>
    <cellStyle name="Финансовый 37 2 3 3 2 2 3 3" xfId="13274" xr:uid="{00000000-0005-0000-0000-000083500000}"/>
    <cellStyle name="Финансовый 37 2 3 3 2 2 3 3 2" xfId="30363" xr:uid="{4611B3DB-BC78-4E75-AC38-48F7C1239BB2}"/>
    <cellStyle name="Финансовый 37 2 3 3 2 2 3 4" xfId="16506" xr:uid="{00000000-0005-0000-0000-000084500000}"/>
    <cellStyle name="Финансовый 37 2 3 3 2 2 3 4 2" xfId="33519" xr:uid="{70D9365A-FCF1-4E64-AC26-A5DAD14A2F32}"/>
    <cellStyle name="Финансовый 37 2 3 3 2 2 3 5" xfId="19587" xr:uid="{00000000-0005-0000-0000-000085500000}"/>
    <cellStyle name="Финансовый 37 2 3 3 2 2 3 5 2" xfId="36600" xr:uid="{6335D6D5-7DD8-4CEB-85D4-5A343F55E609}"/>
    <cellStyle name="Финансовый 37 2 3 3 2 2 3 6" xfId="27290" xr:uid="{6516C630-E985-4654-9C4A-0EC22B3850E9}"/>
    <cellStyle name="Финансовый 37 2 3 3 2 2 4" xfId="10191" xr:uid="{00000000-0005-0000-0000-000086500000}"/>
    <cellStyle name="Финансовый 37 2 3 3 2 2 4 2" xfId="13276" xr:uid="{00000000-0005-0000-0000-000087500000}"/>
    <cellStyle name="Финансовый 37 2 3 3 2 2 4 2 2" xfId="30365" xr:uid="{7E03F2A8-90D1-4CD1-A626-1072BD1858D7}"/>
    <cellStyle name="Финансовый 37 2 3 3 2 2 4 3" xfId="16508" xr:uid="{00000000-0005-0000-0000-000088500000}"/>
    <cellStyle name="Финансовый 37 2 3 3 2 2 4 3 2" xfId="33521" xr:uid="{294B8F3A-8BEE-46D5-BD7B-78D3FE40D7AC}"/>
    <cellStyle name="Финансовый 37 2 3 3 2 2 4 4" xfId="19589" xr:uid="{00000000-0005-0000-0000-000089500000}"/>
    <cellStyle name="Финансовый 37 2 3 3 2 2 4 4 2" xfId="36602" xr:uid="{DADD2DDA-F94E-4D14-8B59-1F5E7C949A6B}"/>
    <cellStyle name="Финансовый 37 2 3 3 2 2 4 5" xfId="27292" xr:uid="{A2155325-9E6A-4A17-B9E9-E37765468CE7}"/>
    <cellStyle name="Финансовый 37 2 3 3 2 2 5" xfId="13269" xr:uid="{00000000-0005-0000-0000-00008A500000}"/>
    <cellStyle name="Финансовый 37 2 3 3 2 2 5 2" xfId="30358" xr:uid="{BE411B16-E945-46E8-8FC4-229A4B32BDEE}"/>
    <cellStyle name="Финансовый 37 2 3 3 2 2 6" xfId="16501" xr:uid="{00000000-0005-0000-0000-00008B500000}"/>
    <cellStyle name="Финансовый 37 2 3 3 2 2 6 2" xfId="33514" xr:uid="{5EC82EC7-D7E9-47C6-AA22-99E34C8C5EEE}"/>
    <cellStyle name="Финансовый 37 2 3 3 2 2 7" xfId="19582" xr:uid="{00000000-0005-0000-0000-00008C500000}"/>
    <cellStyle name="Финансовый 37 2 3 3 2 2 7 2" xfId="36595" xr:uid="{297C4EA1-6E29-43F3-A460-5FA831BF3D88}"/>
    <cellStyle name="Финансовый 37 2 3 3 2 2 8" xfId="27285" xr:uid="{02317A13-4D6D-4473-B2C5-52E59C885653}"/>
    <cellStyle name="Финансовый 37 2 3 3 2 3" xfId="10192" xr:uid="{00000000-0005-0000-0000-00008D500000}"/>
    <cellStyle name="Финансовый 37 2 3 3 2 3 2" xfId="10193" xr:uid="{00000000-0005-0000-0000-00008E500000}"/>
    <cellStyle name="Финансовый 37 2 3 3 2 3 2 2" xfId="10194" xr:uid="{00000000-0005-0000-0000-00008F500000}"/>
    <cellStyle name="Финансовый 37 2 3 3 2 3 2 2 2" xfId="13279" xr:uid="{00000000-0005-0000-0000-000090500000}"/>
    <cellStyle name="Финансовый 37 2 3 3 2 3 2 2 2 2" xfId="30368" xr:uid="{43AB1FFE-5272-4019-A9B8-D84BD818943F}"/>
    <cellStyle name="Финансовый 37 2 3 3 2 3 2 2 3" xfId="16511" xr:uid="{00000000-0005-0000-0000-000091500000}"/>
    <cellStyle name="Финансовый 37 2 3 3 2 3 2 2 3 2" xfId="33524" xr:uid="{95937343-6904-4177-8687-AF4E92486284}"/>
    <cellStyle name="Финансовый 37 2 3 3 2 3 2 2 4" xfId="19592" xr:uid="{00000000-0005-0000-0000-000092500000}"/>
    <cellStyle name="Финансовый 37 2 3 3 2 3 2 2 4 2" xfId="36605" xr:uid="{890ECBDC-652C-49BB-83EC-5E062702CFBB}"/>
    <cellStyle name="Финансовый 37 2 3 3 2 3 2 2 5" xfId="27295" xr:uid="{7E96E940-2B40-4847-86AC-B9BBBDB1BDB8}"/>
    <cellStyle name="Финансовый 37 2 3 3 2 3 2 3" xfId="13278" xr:uid="{00000000-0005-0000-0000-000093500000}"/>
    <cellStyle name="Финансовый 37 2 3 3 2 3 2 3 2" xfId="30367" xr:uid="{F4661F57-BD59-4F47-BCD2-B93CA3B298DE}"/>
    <cellStyle name="Финансовый 37 2 3 3 2 3 2 4" xfId="16510" xr:uid="{00000000-0005-0000-0000-000094500000}"/>
    <cellStyle name="Финансовый 37 2 3 3 2 3 2 4 2" xfId="33523" xr:uid="{44740BB5-120E-4E8D-AEA1-740ED448446B}"/>
    <cellStyle name="Финансовый 37 2 3 3 2 3 2 5" xfId="19591" xr:uid="{00000000-0005-0000-0000-000095500000}"/>
    <cellStyle name="Финансовый 37 2 3 3 2 3 2 5 2" xfId="36604" xr:uid="{717163E8-EC7A-43AC-9E56-B84D92EB8175}"/>
    <cellStyle name="Финансовый 37 2 3 3 2 3 2 6" xfId="27294" xr:uid="{43581C53-0711-4523-89A2-079788D13196}"/>
    <cellStyle name="Финансовый 37 2 3 3 2 3 3" xfId="10195" xr:uid="{00000000-0005-0000-0000-000096500000}"/>
    <cellStyle name="Финансовый 37 2 3 3 2 3 3 2" xfId="13280" xr:uid="{00000000-0005-0000-0000-000097500000}"/>
    <cellStyle name="Финансовый 37 2 3 3 2 3 3 2 2" xfId="30369" xr:uid="{485197E9-E5A5-4B02-BBCA-7CF39C0E5CCE}"/>
    <cellStyle name="Финансовый 37 2 3 3 2 3 3 3" xfId="16512" xr:uid="{00000000-0005-0000-0000-000098500000}"/>
    <cellStyle name="Финансовый 37 2 3 3 2 3 3 3 2" xfId="33525" xr:uid="{3669C425-42DE-47A4-8A63-68AB79F40F49}"/>
    <cellStyle name="Финансовый 37 2 3 3 2 3 3 4" xfId="19593" xr:uid="{00000000-0005-0000-0000-000099500000}"/>
    <cellStyle name="Финансовый 37 2 3 3 2 3 3 4 2" xfId="36606" xr:uid="{0DF10232-DB7C-4E9D-B35F-AD0D507F6B40}"/>
    <cellStyle name="Финансовый 37 2 3 3 2 3 3 5" xfId="27296" xr:uid="{E6870AD9-5129-4D85-AFFF-392D3FE68790}"/>
    <cellStyle name="Финансовый 37 2 3 3 2 3 4" xfId="13277" xr:uid="{00000000-0005-0000-0000-00009A500000}"/>
    <cellStyle name="Финансовый 37 2 3 3 2 3 4 2" xfId="30366" xr:uid="{773E91FA-2F78-4DC6-AAFB-A62E547E9F9C}"/>
    <cellStyle name="Финансовый 37 2 3 3 2 3 5" xfId="16509" xr:uid="{00000000-0005-0000-0000-00009B500000}"/>
    <cellStyle name="Финансовый 37 2 3 3 2 3 5 2" xfId="33522" xr:uid="{79C28986-DD41-4074-9CC3-A3F7F37C4EF7}"/>
    <cellStyle name="Финансовый 37 2 3 3 2 3 6" xfId="19590" xr:uid="{00000000-0005-0000-0000-00009C500000}"/>
    <cellStyle name="Финансовый 37 2 3 3 2 3 6 2" xfId="36603" xr:uid="{685FE6FC-688A-4563-99B5-D550EEF1A589}"/>
    <cellStyle name="Финансовый 37 2 3 3 2 3 7" xfId="27293" xr:uid="{F0E8DADE-7E1F-4096-827D-14FFADC1E078}"/>
    <cellStyle name="Финансовый 37 2 3 3 2 4" xfId="10196" xr:uid="{00000000-0005-0000-0000-00009D500000}"/>
    <cellStyle name="Финансовый 37 2 3 3 2 4 2" xfId="10197" xr:uid="{00000000-0005-0000-0000-00009E500000}"/>
    <cellStyle name="Финансовый 37 2 3 3 2 4 2 2" xfId="13282" xr:uid="{00000000-0005-0000-0000-00009F500000}"/>
    <cellStyle name="Финансовый 37 2 3 3 2 4 2 2 2" xfId="30371" xr:uid="{FD243D60-B7A7-43E2-B3D8-71A9A8510647}"/>
    <cellStyle name="Финансовый 37 2 3 3 2 4 2 3" xfId="16514" xr:uid="{00000000-0005-0000-0000-0000A0500000}"/>
    <cellStyle name="Финансовый 37 2 3 3 2 4 2 3 2" xfId="33527" xr:uid="{0572039E-AF2F-4572-BFCF-C4F2C985E805}"/>
    <cellStyle name="Финансовый 37 2 3 3 2 4 2 4" xfId="19595" xr:uid="{00000000-0005-0000-0000-0000A1500000}"/>
    <cellStyle name="Финансовый 37 2 3 3 2 4 2 4 2" xfId="36608" xr:uid="{E8BCB8CE-2398-4833-9FB5-3A3A004D8CB4}"/>
    <cellStyle name="Финансовый 37 2 3 3 2 4 2 5" xfId="27298" xr:uid="{80DAA5E1-ED4A-4011-83CD-7080B302F8ED}"/>
    <cellStyle name="Финансовый 37 2 3 3 2 4 3" xfId="13281" xr:uid="{00000000-0005-0000-0000-0000A2500000}"/>
    <cellStyle name="Финансовый 37 2 3 3 2 4 3 2" xfId="30370" xr:uid="{935E6375-6FBC-4C1E-84E5-DE8DDD718720}"/>
    <cellStyle name="Финансовый 37 2 3 3 2 4 4" xfId="16513" xr:uid="{00000000-0005-0000-0000-0000A3500000}"/>
    <cellStyle name="Финансовый 37 2 3 3 2 4 4 2" xfId="33526" xr:uid="{771EDF94-209C-4C0C-89CE-EDB49749E29A}"/>
    <cellStyle name="Финансовый 37 2 3 3 2 4 5" xfId="19594" xr:uid="{00000000-0005-0000-0000-0000A4500000}"/>
    <cellStyle name="Финансовый 37 2 3 3 2 4 5 2" xfId="36607" xr:uid="{BBCC8758-701D-4A59-9551-039204CA46DC}"/>
    <cellStyle name="Финансовый 37 2 3 3 2 4 6" xfId="27297" xr:uid="{1DBF8395-F8DD-4F83-BE25-D756204F8B72}"/>
    <cellStyle name="Финансовый 37 2 3 3 2 5" xfId="10198" xr:uid="{00000000-0005-0000-0000-0000A5500000}"/>
    <cellStyle name="Финансовый 37 2 3 3 2 5 2" xfId="13283" xr:uid="{00000000-0005-0000-0000-0000A6500000}"/>
    <cellStyle name="Финансовый 37 2 3 3 2 5 2 2" xfId="30372" xr:uid="{41DB38E0-DE1E-46AE-8255-C4873A8699D5}"/>
    <cellStyle name="Финансовый 37 2 3 3 2 5 3" xfId="16515" xr:uid="{00000000-0005-0000-0000-0000A7500000}"/>
    <cellStyle name="Финансовый 37 2 3 3 2 5 3 2" xfId="33528" xr:uid="{C2DB9D10-BD82-457D-A90B-778F1326AE56}"/>
    <cellStyle name="Финансовый 37 2 3 3 2 5 4" xfId="19596" xr:uid="{00000000-0005-0000-0000-0000A8500000}"/>
    <cellStyle name="Финансовый 37 2 3 3 2 5 4 2" xfId="36609" xr:uid="{85479707-0C86-4EF3-9001-48615B9753F2}"/>
    <cellStyle name="Финансовый 37 2 3 3 2 5 5" xfId="27299" xr:uid="{A8317262-D0CA-46D6-AF62-50CB5ACBE549}"/>
    <cellStyle name="Финансовый 37 2 3 3 2 6" xfId="13268" xr:uid="{00000000-0005-0000-0000-0000A9500000}"/>
    <cellStyle name="Финансовый 37 2 3 3 2 6 2" xfId="30357" xr:uid="{7900A34B-9AE1-4F23-9A99-89ADA8D4E839}"/>
    <cellStyle name="Финансовый 37 2 3 3 2 7" xfId="16500" xr:uid="{00000000-0005-0000-0000-0000AA500000}"/>
    <cellStyle name="Финансовый 37 2 3 3 2 7 2" xfId="33513" xr:uid="{AE5C2385-B986-4FC1-89AF-4DCCF7FD8243}"/>
    <cellStyle name="Финансовый 37 2 3 3 2 8" xfId="19581" xr:uid="{00000000-0005-0000-0000-0000AB500000}"/>
    <cellStyle name="Финансовый 37 2 3 3 2 8 2" xfId="36594" xr:uid="{73548C66-347F-4ED1-A73F-C5921B262664}"/>
    <cellStyle name="Финансовый 37 2 3 3 2 9" xfId="27284" xr:uid="{CE34CFE8-2214-4789-9D8A-5DA0541190C1}"/>
    <cellStyle name="Финансовый 37 2 3 3 3" xfId="10199" xr:uid="{00000000-0005-0000-0000-0000AC500000}"/>
    <cellStyle name="Финансовый 37 2 3 3 3 2" xfId="10200" xr:uid="{00000000-0005-0000-0000-0000AD500000}"/>
    <cellStyle name="Финансовый 37 2 3 3 3 2 2" xfId="10201" xr:uid="{00000000-0005-0000-0000-0000AE500000}"/>
    <cellStyle name="Финансовый 37 2 3 3 3 2 2 2" xfId="10202" xr:uid="{00000000-0005-0000-0000-0000AF500000}"/>
    <cellStyle name="Финансовый 37 2 3 3 3 2 2 2 2" xfId="13287" xr:uid="{00000000-0005-0000-0000-0000B0500000}"/>
    <cellStyle name="Финансовый 37 2 3 3 3 2 2 2 2 2" xfId="30376" xr:uid="{F172EDBB-B86D-470D-932B-DFD06B2365CB}"/>
    <cellStyle name="Финансовый 37 2 3 3 3 2 2 2 3" xfId="16519" xr:uid="{00000000-0005-0000-0000-0000B1500000}"/>
    <cellStyle name="Финансовый 37 2 3 3 3 2 2 2 3 2" xfId="33532" xr:uid="{A2FD3589-B380-46BE-9D61-76D0B33B9A2F}"/>
    <cellStyle name="Финансовый 37 2 3 3 3 2 2 2 4" xfId="19600" xr:uid="{00000000-0005-0000-0000-0000B2500000}"/>
    <cellStyle name="Финансовый 37 2 3 3 3 2 2 2 4 2" xfId="36613" xr:uid="{86F101BA-ECC9-4856-84AF-6D2BA732D6C0}"/>
    <cellStyle name="Финансовый 37 2 3 3 3 2 2 2 5" xfId="27303" xr:uid="{47F4C598-8456-49B7-B0C9-6683DCBC7980}"/>
    <cellStyle name="Финансовый 37 2 3 3 3 2 2 3" xfId="13286" xr:uid="{00000000-0005-0000-0000-0000B3500000}"/>
    <cellStyle name="Финансовый 37 2 3 3 3 2 2 3 2" xfId="30375" xr:uid="{9CAA10DA-5BF3-4A32-B558-F106B3A66D1F}"/>
    <cellStyle name="Финансовый 37 2 3 3 3 2 2 4" xfId="16518" xr:uid="{00000000-0005-0000-0000-0000B4500000}"/>
    <cellStyle name="Финансовый 37 2 3 3 3 2 2 4 2" xfId="33531" xr:uid="{C9A2B950-9750-4631-9B91-2FBE86014C83}"/>
    <cellStyle name="Финансовый 37 2 3 3 3 2 2 5" xfId="19599" xr:uid="{00000000-0005-0000-0000-0000B5500000}"/>
    <cellStyle name="Финансовый 37 2 3 3 3 2 2 5 2" xfId="36612" xr:uid="{E408C469-85A3-4CDE-B85C-7A6996C47EAF}"/>
    <cellStyle name="Финансовый 37 2 3 3 3 2 2 6" xfId="27302" xr:uid="{3DAEF9D4-99F7-4B22-A9AA-67B4EBDD46A4}"/>
    <cellStyle name="Финансовый 37 2 3 3 3 2 3" xfId="10203" xr:uid="{00000000-0005-0000-0000-0000B6500000}"/>
    <cellStyle name="Финансовый 37 2 3 3 3 2 3 2" xfId="13288" xr:uid="{00000000-0005-0000-0000-0000B7500000}"/>
    <cellStyle name="Финансовый 37 2 3 3 3 2 3 2 2" xfId="30377" xr:uid="{C3E4E501-EB0D-4AF5-93AE-C747CDAFDB03}"/>
    <cellStyle name="Финансовый 37 2 3 3 3 2 3 3" xfId="16520" xr:uid="{00000000-0005-0000-0000-0000B8500000}"/>
    <cellStyle name="Финансовый 37 2 3 3 3 2 3 3 2" xfId="33533" xr:uid="{7B4FA0EC-7EDE-4A54-B7AA-305E81170F47}"/>
    <cellStyle name="Финансовый 37 2 3 3 3 2 3 4" xfId="19601" xr:uid="{00000000-0005-0000-0000-0000B9500000}"/>
    <cellStyle name="Финансовый 37 2 3 3 3 2 3 4 2" xfId="36614" xr:uid="{478B695B-F3A0-487D-97FA-C1D3BD3C9BCB}"/>
    <cellStyle name="Финансовый 37 2 3 3 3 2 3 5" xfId="27304" xr:uid="{05A1A421-406F-46C4-BCC1-D33B6D20156A}"/>
    <cellStyle name="Финансовый 37 2 3 3 3 2 4" xfId="13285" xr:uid="{00000000-0005-0000-0000-0000BA500000}"/>
    <cellStyle name="Финансовый 37 2 3 3 3 2 4 2" xfId="30374" xr:uid="{FD66A7F4-6661-4E9C-8231-FD51CC9B0340}"/>
    <cellStyle name="Финансовый 37 2 3 3 3 2 5" xfId="16517" xr:uid="{00000000-0005-0000-0000-0000BB500000}"/>
    <cellStyle name="Финансовый 37 2 3 3 3 2 5 2" xfId="33530" xr:uid="{89B2DDBC-CFC0-4680-B8BD-EDEA53782668}"/>
    <cellStyle name="Финансовый 37 2 3 3 3 2 6" xfId="19598" xr:uid="{00000000-0005-0000-0000-0000BC500000}"/>
    <cellStyle name="Финансовый 37 2 3 3 3 2 6 2" xfId="36611" xr:uid="{5E5F8FF6-8ECB-49BA-8683-03565AADF24E}"/>
    <cellStyle name="Финансовый 37 2 3 3 3 2 7" xfId="27301" xr:uid="{A398A710-0158-4313-9F60-B90992A588D6}"/>
    <cellStyle name="Финансовый 37 2 3 3 3 3" xfId="10204" xr:uid="{00000000-0005-0000-0000-0000BD500000}"/>
    <cellStyle name="Финансовый 37 2 3 3 3 3 2" xfId="10205" xr:uid="{00000000-0005-0000-0000-0000BE500000}"/>
    <cellStyle name="Финансовый 37 2 3 3 3 3 2 2" xfId="13290" xr:uid="{00000000-0005-0000-0000-0000BF500000}"/>
    <cellStyle name="Финансовый 37 2 3 3 3 3 2 2 2" xfId="30379" xr:uid="{FF7344CB-A57C-4D6F-9DB3-9CA727D64820}"/>
    <cellStyle name="Финансовый 37 2 3 3 3 3 2 3" xfId="16522" xr:uid="{00000000-0005-0000-0000-0000C0500000}"/>
    <cellStyle name="Финансовый 37 2 3 3 3 3 2 3 2" xfId="33535" xr:uid="{83127853-7CE8-4BC6-A1E1-C30F0749429C}"/>
    <cellStyle name="Финансовый 37 2 3 3 3 3 2 4" xfId="19603" xr:uid="{00000000-0005-0000-0000-0000C1500000}"/>
    <cellStyle name="Финансовый 37 2 3 3 3 3 2 4 2" xfId="36616" xr:uid="{F9844A4B-763E-4961-ACC8-2C4474F5A174}"/>
    <cellStyle name="Финансовый 37 2 3 3 3 3 2 5" xfId="27306" xr:uid="{6FBDF8CA-3D31-44DE-B2CE-9C3035B9580A}"/>
    <cellStyle name="Финансовый 37 2 3 3 3 3 3" xfId="13289" xr:uid="{00000000-0005-0000-0000-0000C2500000}"/>
    <cellStyle name="Финансовый 37 2 3 3 3 3 3 2" xfId="30378" xr:uid="{D6BA8B54-940B-4C3C-B0BD-E7B51B54AEBA}"/>
    <cellStyle name="Финансовый 37 2 3 3 3 3 4" xfId="16521" xr:uid="{00000000-0005-0000-0000-0000C3500000}"/>
    <cellStyle name="Финансовый 37 2 3 3 3 3 4 2" xfId="33534" xr:uid="{59511CC1-C62E-4F53-AB9B-EFEB4ABB1BA9}"/>
    <cellStyle name="Финансовый 37 2 3 3 3 3 5" xfId="19602" xr:uid="{00000000-0005-0000-0000-0000C4500000}"/>
    <cellStyle name="Финансовый 37 2 3 3 3 3 5 2" xfId="36615" xr:uid="{731B54A9-8FC7-48B3-A8D4-35AC169BBC6B}"/>
    <cellStyle name="Финансовый 37 2 3 3 3 3 6" xfId="27305" xr:uid="{2CC15A0D-A313-4BA5-AA80-278F94453E6C}"/>
    <cellStyle name="Финансовый 37 2 3 3 3 4" xfId="10206" xr:uid="{00000000-0005-0000-0000-0000C5500000}"/>
    <cellStyle name="Финансовый 37 2 3 3 3 4 2" xfId="13291" xr:uid="{00000000-0005-0000-0000-0000C6500000}"/>
    <cellStyle name="Финансовый 37 2 3 3 3 4 2 2" xfId="30380" xr:uid="{ADF941F4-159F-46C4-B5EB-BCE1566E26DD}"/>
    <cellStyle name="Финансовый 37 2 3 3 3 4 3" xfId="16523" xr:uid="{00000000-0005-0000-0000-0000C7500000}"/>
    <cellStyle name="Финансовый 37 2 3 3 3 4 3 2" xfId="33536" xr:uid="{1059DB9E-759C-41BD-A770-C1EF4B26B484}"/>
    <cellStyle name="Финансовый 37 2 3 3 3 4 4" xfId="19604" xr:uid="{00000000-0005-0000-0000-0000C8500000}"/>
    <cellStyle name="Финансовый 37 2 3 3 3 4 4 2" xfId="36617" xr:uid="{D45305D4-2F24-4F73-9860-C2F61D2F9AE3}"/>
    <cellStyle name="Финансовый 37 2 3 3 3 4 5" xfId="27307" xr:uid="{55BC5932-2671-4E46-8860-8CCF8EEF9834}"/>
    <cellStyle name="Финансовый 37 2 3 3 3 5" xfId="13284" xr:uid="{00000000-0005-0000-0000-0000C9500000}"/>
    <cellStyle name="Финансовый 37 2 3 3 3 5 2" xfId="30373" xr:uid="{37B5AE0F-F5EE-4465-99F5-39EF2CC88445}"/>
    <cellStyle name="Финансовый 37 2 3 3 3 6" xfId="16516" xr:uid="{00000000-0005-0000-0000-0000CA500000}"/>
    <cellStyle name="Финансовый 37 2 3 3 3 6 2" xfId="33529" xr:uid="{4BF9D1D9-2CC7-4146-B85A-B00C92D25C75}"/>
    <cellStyle name="Финансовый 37 2 3 3 3 7" xfId="19597" xr:uid="{00000000-0005-0000-0000-0000CB500000}"/>
    <cellStyle name="Финансовый 37 2 3 3 3 7 2" xfId="36610" xr:uid="{34DAB574-CD97-444B-AFDD-EA74908D8D3C}"/>
    <cellStyle name="Финансовый 37 2 3 3 3 8" xfId="27300" xr:uid="{D718DDDA-F033-437A-98A9-5EA7DB9F4A37}"/>
    <cellStyle name="Финансовый 37 2 3 3 4" xfId="10207" xr:uid="{00000000-0005-0000-0000-0000CC500000}"/>
    <cellStyle name="Финансовый 37 2 3 3 4 2" xfId="10208" xr:uid="{00000000-0005-0000-0000-0000CD500000}"/>
    <cellStyle name="Финансовый 37 2 3 3 4 2 2" xfId="10209" xr:uid="{00000000-0005-0000-0000-0000CE500000}"/>
    <cellStyle name="Финансовый 37 2 3 3 4 2 2 2" xfId="13294" xr:uid="{00000000-0005-0000-0000-0000CF500000}"/>
    <cellStyle name="Финансовый 37 2 3 3 4 2 2 2 2" xfId="30383" xr:uid="{A8316500-E5CB-4DE4-8519-A07D47E81B6A}"/>
    <cellStyle name="Финансовый 37 2 3 3 4 2 2 3" xfId="16526" xr:uid="{00000000-0005-0000-0000-0000D0500000}"/>
    <cellStyle name="Финансовый 37 2 3 3 4 2 2 3 2" xfId="33539" xr:uid="{FF57D55D-E110-4BF5-80BB-08A1A892041B}"/>
    <cellStyle name="Финансовый 37 2 3 3 4 2 2 4" xfId="19607" xr:uid="{00000000-0005-0000-0000-0000D1500000}"/>
    <cellStyle name="Финансовый 37 2 3 3 4 2 2 4 2" xfId="36620" xr:uid="{EEC5BE28-2CC9-4903-BBED-72C0CE9BC8CA}"/>
    <cellStyle name="Финансовый 37 2 3 3 4 2 2 5" xfId="27310" xr:uid="{DB13CC09-D221-4419-AC79-51311B812279}"/>
    <cellStyle name="Финансовый 37 2 3 3 4 2 3" xfId="13293" xr:uid="{00000000-0005-0000-0000-0000D2500000}"/>
    <cellStyle name="Финансовый 37 2 3 3 4 2 3 2" xfId="30382" xr:uid="{5F3A3689-0C14-4D94-B8EA-B82F2833B2BE}"/>
    <cellStyle name="Финансовый 37 2 3 3 4 2 4" xfId="16525" xr:uid="{00000000-0005-0000-0000-0000D3500000}"/>
    <cellStyle name="Финансовый 37 2 3 3 4 2 4 2" xfId="33538" xr:uid="{29681D63-C325-42E5-9F7E-D4C87E593C2C}"/>
    <cellStyle name="Финансовый 37 2 3 3 4 2 5" xfId="19606" xr:uid="{00000000-0005-0000-0000-0000D4500000}"/>
    <cellStyle name="Финансовый 37 2 3 3 4 2 5 2" xfId="36619" xr:uid="{225B9778-0F47-4F2F-82E3-D7F3F0C4D0C1}"/>
    <cellStyle name="Финансовый 37 2 3 3 4 2 6" xfId="27309" xr:uid="{B8AD2BAC-2ECB-4410-8397-E30D07D7711F}"/>
    <cellStyle name="Финансовый 37 2 3 3 4 3" xfId="10210" xr:uid="{00000000-0005-0000-0000-0000D5500000}"/>
    <cellStyle name="Финансовый 37 2 3 3 4 3 2" xfId="13295" xr:uid="{00000000-0005-0000-0000-0000D6500000}"/>
    <cellStyle name="Финансовый 37 2 3 3 4 3 2 2" xfId="30384" xr:uid="{2DC00D45-68AB-4E79-90CB-4FB98E94C100}"/>
    <cellStyle name="Финансовый 37 2 3 3 4 3 3" xfId="16527" xr:uid="{00000000-0005-0000-0000-0000D7500000}"/>
    <cellStyle name="Финансовый 37 2 3 3 4 3 3 2" xfId="33540" xr:uid="{F166C930-C4F9-4411-AD72-C9889C1F5306}"/>
    <cellStyle name="Финансовый 37 2 3 3 4 3 4" xfId="19608" xr:uid="{00000000-0005-0000-0000-0000D8500000}"/>
    <cellStyle name="Финансовый 37 2 3 3 4 3 4 2" xfId="36621" xr:uid="{684D3F31-62FD-4F85-923B-143106E30CF6}"/>
    <cellStyle name="Финансовый 37 2 3 3 4 3 5" xfId="27311" xr:uid="{26DEC9D6-EB04-4BB5-A0C9-DAFAC30E0E3C}"/>
    <cellStyle name="Финансовый 37 2 3 3 4 4" xfId="13292" xr:uid="{00000000-0005-0000-0000-0000D9500000}"/>
    <cellStyle name="Финансовый 37 2 3 3 4 4 2" xfId="30381" xr:uid="{FCDA5F19-D939-4513-B37D-249641196840}"/>
    <cellStyle name="Финансовый 37 2 3 3 4 5" xfId="16524" xr:uid="{00000000-0005-0000-0000-0000DA500000}"/>
    <cellStyle name="Финансовый 37 2 3 3 4 5 2" xfId="33537" xr:uid="{5BD299A9-AFB2-43E8-B199-2746AE0C9D40}"/>
    <cellStyle name="Финансовый 37 2 3 3 4 6" xfId="19605" xr:uid="{00000000-0005-0000-0000-0000DB500000}"/>
    <cellStyle name="Финансовый 37 2 3 3 4 6 2" xfId="36618" xr:uid="{86023D21-BC0E-426E-ADDA-9AC4FF2576FB}"/>
    <cellStyle name="Финансовый 37 2 3 3 4 7" xfId="27308" xr:uid="{5869DF4C-6D10-4309-860C-11BABCD7E128}"/>
    <cellStyle name="Финансовый 37 2 3 3 5" xfId="10211" xr:uid="{00000000-0005-0000-0000-0000DC500000}"/>
    <cellStyle name="Финансовый 37 2 3 3 5 2" xfId="10212" xr:uid="{00000000-0005-0000-0000-0000DD500000}"/>
    <cellStyle name="Финансовый 37 2 3 3 5 2 2" xfId="13297" xr:uid="{00000000-0005-0000-0000-0000DE500000}"/>
    <cellStyle name="Финансовый 37 2 3 3 5 2 2 2" xfId="30386" xr:uid="{AB6B7152-11BA-4F71-A19D-42ACF99AD209}"/>
    <cellStyle name="Финансовый 37 2 3 3 5 2 3" xfId="16529" xr:uid="{00000000-0005-0000-0000-0000DF500000}"/>
    <cellStyle name="Финансовый 37 2 3 3 5 2 3 2" xfId="33542" xr:uid="{777ADF4C-4D33-40ED-8B4E-395BA184B81F}"/>
    <cellStyle name="Финансовый 37 2 3 3 5 2 4" xfId="19610" xr:uid="{00000000-0005-0000-0000-0000E0500000}"/>
    <cellStyle name="Финансовый 37 2 3 3 5 2 4 2" xfId="36623" xr:uid="{1DC570B5-B411-4E61-A3EA-93A549EF1AC1}"/>
    <cellStyle name="Финансовый 37 2 3 3 5 2 5" xfId="27313" xr:uid="{53BF0870-A203-4B21-A3C8-EB7FD02B3F91}"/>
    <cellStyle name="Финансовый 37 2 3 3 5 3" xfId="13296" xr:uid="{00000000-0005-0000-0000-0000E1500000}"/>
    <cellStyle name="Финансовый 37 2 3 3 5 3 2" xfId="30385" xr:uid="{9E91A3D1-0480-4552-83A4-090496508B97}"/>
    <cellStyle name="Финансовый 37 2 3 3 5 4" xfId="16528" xr:uid="{00000000-0005-0000-0000-0000E2500000}"/>
    <cellStyle name="Финансовый 37 2 3 3 5 4 2" xfId="33541" xr:uid="{509B13A5-719D-4387-BAA0-8367B800A4C8}"/>
    <cellStyle name="Финансовый 37 2 3 3 5 5" xfId="19609" xr:uid="{00000000-0005-0000-0000-0000E3500000}"/>
    <cellStyle name="Финансовый 37 2 3 3 5 5 2" xfId="36622" xr:uid="{DA307620-0ECA-4751-806B-40CDDC9FE46A}"/>
    <cellStyle name="Финансовый 37 2 3 3 5 6" xfId="27312" xr:uid="{2CD76588-867A-4343-82E6-8987334049CC}"/>
    <cellStyle name="Финансовый 37 2 3 3 6" xfId="10213" xr:uid="{00000000-0005-0000-0000-0000E4500000}"/>
    <cellStyle name="Финансовый 37 2 3 3 6 2" xfId="13298" xr:uid="{00000000-0005-0000-0000-0000E5500000}"/>
    <cellStyle name="Финансовый 37 2 3 3 6 2 2" xfId="30387" xr:uid="{3D2E5302-BB62-4AFE-A7E1-B8B453F11324}"/>
    <cellStyle name="Финансовый 37 2 3 3 6 3" xfId="16530" xr:uid="{00000000-0005-0000-0000-0000E6500000}"/>
    <cellStyle name="Финансовый 37 2 3 3 6 3 2" xfId="33543" xr:uid="{ED0FDC84-2027-4F6C-BB04-B7AD58AF168A}"/>
    <cellStyle name="Финансовый 37 2 3 3 6 4" xfId="19611" xr:uid="{00000000-0005-0000-0000-0000E7500000}"/>
    <cellStyle name="Финансовый 37 2 3 3 6 4 2" xfId="36624" xr:uid="{9848F821-87BB-457F-A8A9-C5643EC1FD03}"/>
    <cellStyle name="Финансовый 37 2 3 3 6 5" xfId="27314" xr:uid="{8F9EAC83-54A1-40C5-A2D3-E4DD0EEBAB30}"/>
    <cellStyle name="Финансовый 37 2 3 3 7" xfId="13267" xr:uid="{00000000-0005-0000-0000-0000E8500000}"/>
    <cellStyle name="Финансовый 37 2 3 3 7 2" xfId="30356" xr:uid="{428FA88F-E749-482A-9F7A-434C461473F0}"/>
    <cellStyle name="Финансовый 37 2 3 3 8" xfId="16499" xr:uid="{00000000-0005-0000-0000-0000E9500000}"/>
    <cellStyle name="Финансовый 37 2 3 3 8 2" xfId="33512" xr:uid="{FD3DD7D1-62CE-4806-B386-F77D5FCF635C}"/>
    <cellStyle name="Финансовый 37 2 3 3 9" xfId="19580" xr:uid="{00000000-0005-0000-0000-0000EA500000}"/>
    <cellStyle name="Финансовый 37 2 3 3 9 2" xfId="36593" xr:uid="{8711CE67-3809-411A-BEDF-710D9F4B6430}"/>
    <cellStyle name="Финансовый 37 2 3 4" xfId="10214" xr:uid="{00000000-0005-0000-0000-0000EB500000}"/>
    <cellStyle name="Финансовый 37 2 3 4 2" xfId="10215" xr:uid="{00000000-0005-0000-0000-0000EC500000}"/>
    <cellStyle name="Финансовый 37 2 3 4 2 2" xfId="10216" xr:uid="{00000000-0005-0000-0000-0000ED500000}"/>
    <cellStyle name="Финансовый 37 2 3 4 2 2 2" xfId="10217" xr:uid="{00000000-0005-0000-0000-0000EE500000}"/>
    <cellStyle name="Финансовый 37 2 3 4 2 2 2 2" xfId="10218" xr:uid="{00000000-0005-0000-0000-0000EF500000}"/>
    <cellStyle name="Финансовый 37 2 3 4 2 2 2 2 2" xfId="13303" xr:uid="{00000000-0005-0000-0000-0000F0500000}"/>
    <cellStyle name="Финансовый 37 2 3 4 2 2 2 2 2 2" xfId="30392" xr:uid="{6D986C01-BF35-45ED-8342-45BBE5728480}"/>
    <cellStyle name="Финансовый 37 2 3 4 2 2 2 2 3" xfId="16535" xr:uid="{00000000-0005-0000-0000-0000F1500000}"/>
    <cellStyle name="Финансовый 37 2 3 4 2 2 2 2 3 2" xfId="33548" xr:uid="{7720D262-9D36-469E-8F16-AC892E308829}"/>
    <cellStyle name="Финансовый 37 2 3 4 2 2 2 2 4" xfId="19616" xr:uid="{00000000-0005-0000-0000-0000F2500000}"/>
    <cellStyle name="Финансовый 37 2 3 4 2 2 2 2 4 2" xfId="36629" xr:uid="{FE2ED8C7-BD59-4EBA-9D28-CCF41D562F60}"/>
    <cellStyle name="Финансовый 37 2 3 4 2 2 2 2 5" xfId="27319" xr:uid="{C1036AFA-1D44-4CA8-839D-61E961631600}"/>
    <cellStyle name="Финансовый 37 2 3 4 2 2 2 3" xfId="13302" xr:uid="{00000000-0005-0000-0000-0000F3500000}"/>
    <cellStyle name="Финансовый 37 2 3 4 2 2 2 3 2" xfId="30391" xr:uid="{167843FA-6106-41EC-BB78-4A035561DD90}"/>
    <cellStyle name="Финансовый 37 2 3 4 2 2 2 4" xfId="16534" xr:uid="{00000000-0005-0000-0000-0000F4500000}"/>
    <cellStyle name="Финансовый 37 2 3 4 2 2 2 4 2" xfId="33547" xr:uid="{7D09795E-3D34-48BC-9D1A-612D9EBD9C24}"/>
    <cellStyle name="Финансовый 37 2 3 4 2 2 2 5" xfId="19615" xr:uid="{00000000-0005-0000-0000-0000F5500000}"/>
    <cellStyle name="Финансовый 37 2 3 4 2 2 2 5 2" xfId="36628" xr:uid="{4DA1DFD3-0B5A-4D32-9870-009D8E83EFD6}"/>
    <cellStyle name="Финансовый 37 2 3 4 2 2 2 6" xfId="27318" xr:uid="{0A6A3F86-BBBB-499C-91CA-D4A164B24B58}"/>
    <cellStyle name="Финансовый 37 2 3 4 2 2 3" xfId="10219" xr:uid="{00000000-0005-0000-0000-0000F6500000}"/>
    <cellStyle name="Финансовый 37 2 3 4 2 2 3 2" xfId="13304" xr:uid="{00000000-0005-0000-0000-0000F7500000}"/>
    <cellStyle name="Финансовый 37 2 3 4 2 2 3 2 2" xfId="30393" xr:uid="{B5421533-99BC-42F0-B5FB-E971021B2C7E}"/>
    <cellStyle name="Финансовый 37 2 3 4 2 2 3 3" xfId="16536" xr:uid="{00000000-0005-0000-0000-0000F8500000}"/>
    <cellStyle name="Финансовый 37 2 3 4 2 2 3 3 2" xfId="33549" xr:uid="{A9D2AF16-3464-4774-B799-8712B82411F6}"/>
    <cellStyle name="Финансовый 37 2 3 4 2 2 3 4" xfId="19617" xr:uid="{00000000-0005-0000-0000-0000F9500000}"/>
    <cellStyle name="Финансовый 37 2 3 4 2 2 3 4 2" xfId="36630" xr:uid="{2B0437FD-CA58-4291-A2B8-997699704C31}"/>
    <cellStyle name="Финансовый 37 2 3 4 2 2 3 5" xfId="27320" xr:uid="{1A4A9B7A-5D27-422B-A7CB-58E6C00B1D7F}"/>
    <cellStyle name="Финансовый 37 2 3 4 2 2 4" xfId="13301" xr:uid="{00000000-0005-0000-0000-0000FA500000}"/>
    <cellStyle name="Финансовый 37 2 3 4 2 2 4 2" xfId="30390" xr:uid="{BEF1527A-BD13-4D07-B096-0AB831781E10}"/>
    <cellStyle name="Финансовый 37 2 3 4 2 2 5" xfId="16533" xr:uid="{00000000-0005-0000-0000-0000FB500000}"/>
    <cellStyle name="Финансовый 37 2 3 4 2 2 5 2" xfId="33546" xr:uid="{2667237B-6E2D-4714-B32F-D977DF4BEBF0}"/>
    <cellStyle name="Финансовый 37 2 3 4 2 2 6" xfId="19614" xr:uid="{00000000-0005-0000-0000-0000FC500000}"/>
    <cellStyle name="Финансовый 37 2 3 4 2 2 6 2" xfId="36627" xr:uid="{AFA0B97C-1185-45B2-B2BF-F9B6FB196405}"/>
    <cellStyle name="Финансовый 37 2 3 4 2 2 7" xfId="27317" xr:uid="{49321177-300B-48B4-99AD-02CA2675B0EC}"/>
    <cellStyle name="Финансовый 37 2 3 4 2 3" xfId="10220" xr:uid="{00000000-0005-0000-0000-0000FD500000}"/>
    <cellStyle name="Финансовый 37 2 3 4 2 3 2" xfId="10221" xr:uid="{00000000-0005-0000-0000-0000FE500000}"/>
    <cellStyle name="Финансовый 37 2 3 4 2 3 2 2" xfId="13306" xr:uid="{00000000-0005-0000-0000-0000FF500000}"/>
    <cellStyle name="Финансовый 37 2 3 4 2 3 2 2 2" xfId="30395" xr:uid="{BB8137AF-A393-4297-98E0-8CE4ECDE8C1E}"/>
    <cellStyle name="Финансовый 37 2 3 4 2 3 2 3" xfId="16538" xr:uid="{00000000-0005-0000-0000-000000510000}"/>
    <cellStyle name="Финансовый 37 2 3 4 2 3 2 3 2" xfId="33551" xr:uid="{59D642E4-8313-4B23-955B-342EFAADD79D}"/>
    <cellStyle name="Финансовый 37 2 3 4 2 3 2 4" xfId="19619" xr:uid="{00000000-0005-0000-0000-000001510000}"/>
    <cellStyle name="Финансовый 37 2 3 4 2 3 2 4 2" xfId="36632" xr:uid="{F3CC49D2-D822-4890-884B-8A00CC536A36}"/>
    <cellStyle name="Финансовый 37 2 3 4 2 3 2 5" xfId="27322" xr:uid="{D6391AAE-275C-4BCF-B81A-A67F2CE2959E}"/>
    <cellStyle name="Финансовый 37 2 3 4 2 3 3" xfId="13305" xr:uid="{00000000-0005-0000-0000-000002510000}"/>
    <cellStyle name="Финансовый 37 2 3 4 2 3 3 2" xfId="30394" xr:uid="{93E66A5C-87BC-4B6E-95CD-617D587F3380}"/>
    <cellStyle name="Финансовый 37 2 3 4 2 3 4" xfId="16537" xr:uid="{00000000-0005-0000-0000-000003510000}"/>
    <cellStyle name="Финансовый 37 2 3 4 2 3 4 2" xfId="33550" xr:uid="{3F3E1D05-09A0-4AF3-A903-3E8361850364}"/>
    <cellStyle name="Финансовый 37 2 3 4 2 3 5" xfId="19618" xr:uid="{00000000-0005-0000-0000-000004510000}"/>
    <cellStyle name="Финансовый 37 2 3 4 2 3 5 2" xfId="36631" xr:uid="{D55DF44E-E069-4FB3-ACA0-5B7314F16E82}"/>
    <cellStyle name="Финансовый 37 2 3 4 2 3 6" xfId="27321" xr:uid="{87F7ADD8-6C76-40D9-B42A-9E8F099037AA}"/>
    <cellStyle name="Финансовый 37 2 3 4 2 4" xfId="10222" xr:uid="{00000000-0005-0000-0000-000005510000}"/>
    <cellStyle name="Финансовый 37 2 3 4 2 4 2" xfId="13307" xr:uid="{00000000-0005-0000-0000-000006510000}"/>
    <cellStyle name="Финансовый 37 2 3 4 2 4 2 2" xfId="30396" xr:uid="{465CA96B-FD7A-4BF6-9376-3F0A168D5BB8}"/>
    <cellStyle name="Финансовый 37 2 3 4 2 4 3" xfId="16539" xr:uid="{00000000-0005-0000-0000-000007510000}"/>
    <cellStyle name="Финансовый 37 2 3 4 2 4 3 2" xfId="33552" xr:uid="{61360568-1143-4DCD-B4B2-F1C383D5761B}"/>
    <cellStyle name="Финансовый 37 2 3 4 2 4 4" xfId="19620" xr:uid="{00000000-0005-0000-0000-000008510000}"/>
    <cellStyle name="Финансовый 37 2 3 4 2 4 4 2" xfId="36633" xr:uid="{BE16EA37-861A-4B70-ABB6-4652626353B6}"/>
    <cellStyle name="Финансовый 37 2 3 4 2 4 5" xfId="27323" xr:uid="{D11DE9E5-938A-4795-A937-58BDF38C0C73}"/>
    <cellStyle name="Финансовый 37 2 3 4 2 5" xfId="13300" xr:uid="{00000000-0005-0000-0000-000009510000}"/>
    <cellStyle name="Финансовый 37 2 3 4 2 5 2" xfId="30389" xr:uid="{8B0C760E-1947-44FA-AFF4-03FD622CB86C}"/>
    <cellStyle name="Финансовый 37 2 3 4 2 6" xfId="16532" xr:uid="{00000000-0005-0000-0000-00000A510000}"/>
    <cellStyle name="Финансовый 37 2 3 4 2 6 2" xfId="33545" xr:uid="{1C9F03BE-37AB-4D10-911D-A29B260D8349}"/>
    <cellStyle name="Финансовый 37 2 3 4 2 7" xfId="19613" xr:uid="{00000000-0005-0000-0000-00000B510000}"/>
    <cellStyle name="Финансовый 37 2 3 4 2 7 2" xfId="36626" xr:uid="{40F32E1A-BB19-4FC3-B6F5-63492B84D1F2}"/>
    <cellStyle name="Финансовый 37 2 3 4 2 8" xfId="27316" xr:uid="{929033F1-9BA6-444B-9FA0-803345682C85}"/>
    <cellStyle name="Финансовый 37 2 3 4 3" xfId="10223" xr:uid="{00000000-0005-0000-0000-00000C510000}"/>
    <cellStyle name="Финансовый 37 2 3 4 3 2" xfId="10224" xr:uid="{00000000-0005-0000-0000-00000D510000}"/>
    <cellStyle name="Финансовый 37 2 3 4 3 2 2" xfId="10225" xr:uid="{00000000-0005-0000-0000-00000E510000}"/>
    <cellStyle name="Финансовый 37 2 3 4 3 2 2 2" xfId="13310" xr:uid="{00000000-0005-0000-0000-00000F510000}"/>
    <cellStyle name="Финансовый 37 2 3 4 3 2 2 2 2" xfId="30399" xr:uid="{448A7383-6EC1-4FF5-808A-A15E8A23069F}"/>
    <cellStyle name="Финансовый 37 2 3 4 3 2 2 3" xfId="16542" xr:uid="{00000000-0005-0000-0000-000010510000}"/>
    <cellStyle name="Финансовый 37 2 3 4 3 2 2 3 2" xfId="33555" xr:uid="{5B3D4BCB-942F-496E-A0DF-15898590ED96}"/>
    <cellStyle name="Финансовый 37 2 3 4 3 2 2 4" xfId="19623" xr:uid="{00000000-0005-0000-0000-000011510000}"/>
    <cellStyle name="Финансовый 37 2 3 4 3 2 2 4 2" xfId="36636" xr:uid="{A72458CA-6B69-4B85-AE21-9F1A4E538B5E}"/>
    <cellStyle name="Финансовый 37 2 3 4 3 2 2 5" xfId="27326" xr:uid="{39E49E1E-7495-4937-9771-C38A53ACED36}"/>
    <cellStyle name="Финансовый 37 2 3 4 3 2 3" xfId="13309" xr:uid="{00000000-0005-0000-0000-000012510000}"/>
    <cellStyle name="Финансовый 37 2 3 4 3 2 3 2" xfId="30398" xr:uid="{A31ED9CD-59EA-41EE-87A7-636BE1A112C9}"/>
    <cellStyle name="Финансовый 37 2 3 4 3 2 4" xfId="16541" xr:uid="{00000000-0005-0000-0000-000013510000}"/>
    <cellStyle name="Финансовый 37 2 3 4 3 2 4 2" xfId="33554" xr:uid="{38506917-DC45-43AA-8055-C0D013EF2B36}"/>
    <cellStyle name="Финансовый 37 2 3 4 3 2 5" xfId="19622" xr:uid="{00000000-0005-0000-0000-000014510000}"/>
    <cellStyle name="Финансовый 37 2 3 4 3 2 5 2" xfId="36635" xr:uid="{E6D437F0-60BA-43BD-84A6-53885C47E6E3}"/>
    <cellStyle name="Финансовый 37 2 3 4 3 2 6" xfId="27325" xr:uid="{F3652E1D-A234-4962-A13C-FF220A8E653F}"/>
    <cellStyle name="Финансовый 37 2 3 4 3 3" xfId="10226" xr:uid="{00000000-0005-0000-0000-000015510000}"/>
    <cellStyle name="Финансовый 37 2 3 4 3 3 2" xfId="13311" xr:uid="{00000000-0005-0000-0000-000016510000}"/>
    <cellStyle name="Финансовый 37 2 3 4 3 3 2 2" xfId="30400" xr:uid="{6309E317-1772-44DE-961C-41E1AE34544B}"/>
    <cellStyle name="Финансовый 37 2 3 4 3 3 3" xfId="16543" xr:uid="{00000000-0005-0000-0000-000017510000}"/>
    <cellStyle name="Финансовый 37 2 3 4 3 3 3 2" xfId="33556" xr:uid="{85ED8E6B-52DF-40AC-AF58-B1F81D8868C7}"/>
    <cellStyle name="Финансовый 37 2 3 4 3 3 4" xfId="19624" xr:uid="{00000000-0005-0000-0000-000018510000}"/>
    <cellStyle name="Финансовый 37 2 3 4 3 3 4 2" xfId="36637" xr:uid="{9D0A34E6-8D91-4F9B-80DF-30FAF9910262}"/>
    <cellStyle name="Финансовый 37 2 3 4 3 3 5" xfId="27327" xr:uid="{063A858C-5ED8-4661-9530-5814E90D459A}"/>
    <cellStyle name="Финансовый 37 2 3 4 3 4" xfId="13308" xr:uid="{00000000-0005-0000-0000-000019510000}"/>
    <cellStyle name="Финансовый 37 2 3 4 3 4 2" xfId="30397" xr:uid="{3D20623F-E360-4DCB-A4E2-06FA6B72C0F1}"/>
    <cellStyle name="Финансовый 37 2 3 4 3 5" xfId="16540" xr:uid="{00000000-0005-0000-0000-00001A510000}"/>
    <cellStyle name="Финансовый 37 2 3 4 3 5 2" xfId="33553" xr:uid="{387E7686-C6F1-4988-A862-92A0858226B5}"/>
    <cellStyle name="Финансовый 37 2 3 4 3 6" xfId="19621" xr:uid="{00000000-0005-0000-0000-00001B510000}"/>
    <cellStyle name="Финансовый 37 2 3 4 3 6 2" xfId="36634" xr:uid="{8AE43F37-F989-4066-8D2E-631FAF46B22D}"/>
    <cellStyle name="Финансовый 37 2 3 4 3 7" xfId="27324" xr:uid="{5CB8D668-069E-4AFC-9F75-882CB5F22041}"/>
    <cellStyle name="Финансовый 37 2 3 4 4" xfId="10227" xr:uid="{00000000-0005-0000-0000-00001C510000}"/>
    <cellStyle name="Финансовый 37 2 3 4 4 2" xfId="10228" xr:uid="{00000000-0005-0000-0000-00001D510000}"/>
    <cellStyle name="Финансовый 37 2 3 4 4 2 2" xfId="13313" xr:uid="{00000000-0005-0000-0000-00001E510000}"/>
    <cellStyle name="Финансовый 37 2 3 4 4 2 2 2" xfId="30402" xr:uid="{3058368D-9FEF-46A5-A3A4-5D61954C315B}"/>
    <cellStyle name="Финансовый 37 2 3 4 4 2 3" xfId="16545" xr:uid="{00000000-0005-0000-0000-00001F510000}"/>
    <cellStyle name="Финансовый 37 2 3 4 4 2 3 2" xfId="33558" xr:uid="{04235B60-8A2B-4870-9E35-1C3F0F51C88B}"/>
    <cellStyle name="Финансовый 37 2 3 4 4 2 4" xfId="19626" xr:uid="{00000000-0005-0000-0000-000020510000}"/>
    <cellStyle name="Финансовый 37 2 3 4 4 2 4 2" xfId="36639" xr:uid="{0A6E3F50-8EE6-4E9B-B2B4-F55735984B88}"/>
    <cellStyle name="Финансовый 37 2 3 4 4 2 5" xfId="27329" xr:uid="{8C8B2F60-FEC6-4E7C-8616-7CBA684889EF}"/>
    <cellStyle name="Финансовый 37 2 3 4 4 3" xfId="13312" xr:uid="{00000000-0005-0000-0000-000021510000}"/>
    <cellStyle name="Финансовый 37 2 3 4 4 3 2" xfId="30401" xr:uid="{E62804E4-B18F-4AA7-9F25-040F9E44421C}"/>
    <cellStyle name="Финансовый 37 2 3 4 4 4" xfId="16544" xr:uid="{00000000-0005-0000-0000-000022510000}"/>
    <cellStyle name="Финансовый 37 2 3 4 4 4 2" xfId="33557" xr:uid="{B9E09FE5-47D9-4B62-B3F6-C296C2F390B8}"/>
    <cellStyle name="Финансовый 37 2 3 4 4 5" xfId="19625" xr:uid="{00000000-0005-0000-0000-000023510000}"/>
    <cellStyle name="Финансовый 37 2 3 4 4 5 2" xfId="36638" xr:uid="{7F605542-ECC4-411C-ABA3-EBD02AF9DC5F}"/>
    <cellStyle name="Финансовый 37 2 3 4 4 6" xfId="27328" xr:uid="{CA7094DB-32AA-4665-82AD-FEA81B420C2A}"/>
    <cellStyle name="Финансовый 37 2 3 4 5" xfId="10229" xr:uid="{00000000-0005-0000-0000-000024510000}"/>
    <cellStyle name="Финансовый 37 2 3 4 5 2" xfId="13314" xr:uid="{00000000-0005-0000-0000-000025510000}"/>
    <cellStyle name="Финансовый 37 2 3 4 5 2 2" xfId="30403" xr:uid="{DA8B3EDB-E4EC-4071-8AA0-68853868E1A1}"/>
    <cellStyle name="Финансовый 37 2 3 4 5 3" xfId="16546" xr:uid="{00000000-0005-0000-0000-000026510000}"/>
    <cellStyle name="Финансовый 37 2 3 4 5 3 2" xfId="33559" xr:uid="{30308366-85E9-42F6-94BA-837F1B60DE2F}"/>
    <cellStyle name="Финансовый 37 2 3 4 5 4" xfId="19627" xr:uid="{00000000-0005-0000-0000-000027510000}"/>
    <cellStyle name="Финансовый 37 2 3 4 5 4 2" xfId="36640" xr:uid="{0708A4E1-97F4-4F28-9CD0-E88ADC8672AD}"/>
    <cellStyle name="Финансовый 37 2 3 4 5 5" xfId="27330" xr:uid="{321FB42B-4799-4EC8-A737-CF3D2C9550EE}"/>
    <cellStyle name="Финансовый 37 2 3 4 6" xfId="13299" xr:uid="{00000000-0005-0000-0000-000028510000}"/>
    <cellStyle name="Финансовый 37 2 3 4 6 2" xfId="30388" xr:uid="{73AF7329-052F-43D8-A1E0-3267279AF389}"/>
    <cellStyle name="Финансовый 37 2 3 4 7" xfId="16531" xr:uid="{00000000-0005-0000-0000-000029510000}"/>
    <cellStyle name="Финансовый 37 2 3 4 7 2" xfId="33544" xr:uid="{DEF554E2-394F-4FF3-91A7-195EB680E529}"/>
    <cellStyle name="Финансовый 37 2 3 4 8" xfId="19612" xr:uid="{00000000-0005-0000-0000-00002A510000}"/>
    <cellStyle name="Финансовый 37 2 3 4 8 2" xfId="36625" xr:uid="{6CA16F67-9A51-48A5-808A-6BF91C7BA492}"/>
    <cellStyle name="Финансовый 37 2 3 4 9" xfId="27315" xr:uid="{901647CC-6060-4D42-8050-512F873E7AB9}"/>
    <cellStyle name="Финансовый 37 2 3 5" xfId="10230" xr:uid="{00000000-0005-0000-0000-00002B510000}"/>
    <cellStyle name="Финансовый 37 2 3 5 2" xfId="10231" xr:uid="{00000000-0005-0000-0000-00002C510000}"/>
    <cellStyle name="Финансовый 37 2 3 5 2 2" xfId="10232" xr:uid="{00000000-0005-0000-0000-00002D510000}"/>
    <cellStyle name="Финансовый 37 2 3 5 2 2 2" xfId="10233" xr:uid="{00000000-0005-0000-0000-00002E510000}"/>
    <cellStyle name="Финансовый 37 2 3 5 2 2 2 2" xfId="13318" xr:uid="{00000000-0005-0000-0000-00002F510000}"/>
    <cellStyle name="Финансовый 37 2 3 5 2 2 2 2 2" xfId="30407" xr:uid="{F04B5A5F-E716-41FD-9DBE-5FD945AD64B6}"/>
    <cellStyle name="Финансовый 37 2 3 5 2 2 2 3" xfId="16550" xr:uid="{00000000-0005-0000-0000-000030510000}"/>
    <cellStyle name="Финансовый 37 2 3 5 2 2 2 3 2" xfId="33563" xr:uid="{B7698572-F101-495F-8962-6A275E104A54}"/>
    <cellStyle name="Финансовый 37 2 3 5 2 2 2 4" xfId="19631" xr:uid="{00000000-0005-0000-0000-000031510000}"/>
    <cellStyle name="Финансовый 37 2 3 5 2 2 2 4 2" xfId="36644" xr:uid="{C2C76909-C656-4B16-A747-0CE948A81314}"/>
    <cellStyle name="Финансовый 37 2 3 5 2 2 2 5" xfId="27334" xr:uid="{59C5DB59-014C-462F-A63F-44FB7DDB5A6C}"/>
    <cellStyle name="Финансовый 37 2 3 5 2 2 3" xfId="13317" xr:uid="{00000000-0005-0000-0000-000032510000}"/>
    <cellStyle name="Финансовый 37 2 3 5 2 2 3 2" xfId="30406" xr:uid="{DF4E1910-8BB0-4B9C-9616-FF7C32EAED2C}"/>
    <cellStyle name="Финансовый 37 2 3 5 2 2 4" xfId="16549" xr:uid="{00000000-0005-0000-0000-000033510000}"/>
    <cellStyle name="Финансовый 37 2 3 5 2 2 4 2" xfId="33562" xr:uid="{C35CFFF9-1E38-430D-811D-F34506E4D9CE}"/>
    <cellStyle name="Финансовый 37 2 3 5 2 2 5" xfId="19630" xr:uid="{00000000-0005-0000-0000-000034510000}"/>
    <cellStyle name="Финансовый 37 2 3 5 2 2 5 2" xfId="36643" xr:uid="{1377B947-DF4F-4B75-A931-636DBF6993DE}"/>
    <cellStyle name="Финансовый 37 2 3 5 2 2 6" xfId="27333" xr:uid="{1D3EAB77-F61B-42DC-8BDD-D6D829F640C5}"/>
    <cellStyle name="Финансовый 37 2 3 5 2 3" xfId="10234" xr:uid="{00000000-0005-0000-0000-000035510000}"/>
    <cellStyle name="Финансовый 37 2 3 5 2 3 2" xfId="13319" xr:uid="{00000000-0005-0000-0000-000036510000}"/>
    <cellStyle name="Финансовый 37 2 3 5 2 3 2 2" xfId="30408" xr:uid="{AA05CF43-83EA-4C1F-B04D-ADFDFE2A07BA}"/>
    <cellStyle name="Финансовый 37 2 3 5 2 3 3" xfId="16551" xr:uid="{00000000-0005-0000-0000-000037510000}"/>
    <cellStyle name="Финансовый 37 2 3 5 2 3 3 2" xfId="33564" xr:uid="{4BB9D50F-EF9D-4347-8D71-64D5E24C31E3}"/>
    <cellStyle name="Финансовый 37 2 3 5 2 3 4" xfId="19632" xr:uid="{00000000-0005-0000-0000-000038510000}"/>
    <cellStyle name="Финансовый 37 2 3 5 2 3 4 2" xfId="36645" xr:uid="{9318E296-F643-4C48-A5AD-3A4065CA4DE8}"/>
    <cellStyle name="Финансовый 37 2 3 5 2 3 5" xfId="27335" xr:uid="{68B8E306-82B6-4105-8C8D-BB06559A71B6}"/>
    <cellStyle name="Финансовый 37 2 3 5 2 4" xfId="13316" xr:uid="{00000000-0005-0000-0000-000039510000}"/>
    <cellStyle name="Финансовый 37 2 3 5 2 4 2" xfId="30405" xr:uid="{E42EB53C-15F7-4576-8E86-F660A9B59754}"/>
    <cellStyle name="Финансовый 37 2 3 5 2 5" xfId="16548" xr:uid="{00000000-0005-0000-0000-00003A510000}"/>
    <cellStyle name="Финансовый 37 2 3 5 2 5 2" xfId="33561" xr:uid="{8EE0D757-ACF8-496A-B261-286637A6AD05}"/>
    <cellStyle name="Финансовый 37 2 3 5 2 6" xfId="19629" xr:uid="{00000000-0005-0000-0000-00003B510000}"/>
    <cellStyle name="Финансовый 37 2 3 5 2 6 2" xfId="36642" xr:uid="{3B364926-0FFA-43D0-80BC-7824419CF13D}"/>
    <cellStyle name="Финансовый 37 2 3 5 2 7" xfId="27332" xr:uid="{50A3DB01-2B10-4DEF-923B-F986CBA1367D}"/>
    <cellStyle name="Финансовый 37 2 3 5 3" xfId="10235" xr:uid="{00000000-0005-0000-0000-00003C510000}"/>
    <cellStyle name="Финансовый 37 2 3 5 3 2" xfId="10236" xr:uid="{00000000-0005-0000-0000-00003D510000}"/>
    <cellStyle name="Финансовый 37 2 3 5 3 2 2" xfId="13321" xr:uid="{00000000-0005-0000-0000-00003E510000}"/>
    <cellStyle name="Финансовый 37 2 3 5 3 2 2 2" xfId="30410" xr:uid="{74935DCD-40EA-4216-AB6F-E9CA827781B8}"/>
    <cellStyle name="Финансовый 37 2 3 5 3 2 3" xfId="16553" xr:uid="{00000000-0005-0000-0000-00003F510000}"/>
    <cellStyle name="Финансовый 37 2 3 5 3 2 3 2" xfId="33566" xr:uid="{50B8ADAF-11F8-4F74-8A10-C2D98B82A0A6}"/>
    <cellStyle name="Финансовый 37 2 3 5 3 2 4" xfId="19634" xr:uid="{00000000-0005-0000-0000-000040510000}"/>
    <cellStyle name="Финансовый 37 2 3 5 3 2 4 2" xfId="36647" xr:uid="{CF023662-B091-41DE-BE31-72EFBBD6130F}"/>
    <cellStyle name="Финансовый 37 2 3 5 3 2 5" xfId="27337" xr:uid="{89F82CAD-3C08-43BE-A5D7-48C55FB59E94}"/>
    <cellStyle name="Финансовый 37 2 3 5 3 3" xfId="13320" xr:uid="{00000000-0005-0000-0000-000041510000}"/>
    <cellStyle name="Финансовый 37 2 3 5 3 3 2" xfId="30409" xr:uid="{3D0EC720-7EDD-4AE4-AF66-3094EF2C783D}"/>
    <cellStyle name="Финансовый 37 2 3 5 3 4" xfId="16552" xr:uid="{00000000-0005-0000-0000-000042510000}"/>
    <cellStyle name="Финансовый 37 2 3 5 3 4 2" xfId="33565" xr:uid="{761B260D-FD26-4C64-9EE0-9241E1DFD5C4}"/>
    <cellStyle name="Финансовый 37 2 3 5 3 5" xfId="19633" xr:uid="{00000000-0005-0000-0000-000043510000}"/>
    <cellStyle name="Финансовый 37 2 3 5 3 5 2" xfId="36646" xr:uid="{BE90AF0F-61E4-48B9-B2EA-5E3F3C55EC89}"/>
    <cellStyle name="Финансовый 37 2 3 5 3 6" xfId="27336" xr:uid="{F31EFAF0-199C-46E1-BCF3-7746448C8265}"/>
    <cellStyle name="Финансовый 37 2 3 5 4" xfId="10237" xr:uid="{00000000-0005-0000-0000-000044510000}"/>
    <cellStyle name="Финансовый 37 2 3 5 4 2" xfId="13322" xr:uid="{00000000-0005-0000-0000-000045510000}"/>
    <cellStyle name="Финансовый 37 2 3 5 4 2 2" xfId="30411" xr:uid="{90F673C8-931A-4551-AC81-FAD3D0F6470C}"/>
    <cellStyle name="Финансовый 37 2 3 5 4 3" xfId="16554" xr:uid="{00000000-0005-0000-0000-000046510000}"/>
    <cellStyle name="Финансовый 37 2 3 5 4 3 2" xfId="33567" xr:uid="{45E3F302-DF30-4D8A-AA01-1DA4DFA8026C}"/>
    <cellStyle name="Финансовый 37 2 3 5 4 4" xfId="19635" xr:uid="{00000000-0005-0000-0000-000047510000}"/>
    <cellStyle name="Финансовый 37 2 3 5 4 4 2" xfId="36648" xr:uid="{4FA52F04-398C-4EF7-B10B-DA47EB6B6FC9}"/>
    <cellStyle name="Финансовый 37 2 3 5 4 5" xfId="27338" xr:uid="{708C04C4-E981-46ED-BDCF-3D63426EC04C}"/>
    <cellStyle name="Финансовый 37 2 3 5 5" xfId="13315" xr:uid="{00000000-0005-0000-0000-000048510000}"/>
    <cellStyle name="Финансовый 37 2 3 5 5 2" xfId="30404" xr:uid="{81C7CC79-6BD3-4AAD-8D1C-9CA36411A885}"/>
    <cellStyle name="Финансовый 37 2 3 5 6" xfId="16547" xr:uid="{00000000-0005-0000-0000-000049510000}"/>
    <cellStyle name="Финансовый 37 2 3 5 6 2" xfId="33560" xr:uid="{B28B5578-8A9D-40FE-81BF-468EDDC6D4F4}"/>
    <cellStyle name="Финансовый 37 2 3 5 7" xfId="19628" xr:uid="{00000000-0005-0000-0000-00004A510000}"/>
    <cellStyle name="Финансовый 37 2 3 5 7 2" xfId="36641" xr:uid="{80DF46AF-24C3-44FE-9190-B0653EAD3EDC}"/>
    <cellStyle name="Финансовый 37 2 3 5 8" xfId="27331" xr:uid="{BB0F90FD-311B-4F5A-929B-39124981B4E0}"/>
    <cellStyle name="Финансовый 37 2 3 6" xfId="10238" xr:uid="{00000000-0005-0000-0000-00004B510000}"/>
    <cellStyle name="Финансовый 37 2 3 6 2" xfId="10239" xr:uid="{00000000-0005-0000-0000-00004C510000}"/>
    <cellStyle name="Финансовый 37 2 3 6 2 2" xfId="10240" xr:uid="{00000000-0005-0000-0000-00004D510000}"/>
    <cellStyle name="Финансовый 37 2 3 6 2 2 2" xfId="13325" xr:uid="{00000000-0005-0000-0000-00004E510000}"/>
    <cellStyle name="Финансовый 37 2 3 6 2 2 2 2" xfId="30414" xr:uid="{80DFCC9D-7A44-4E00-87E8-11EDA4B2EB83}"/>
    <cellStyle name="Финансовый 37 2 3 6 2 2 3" xfId="16557" xr:uid="{00000000-0005-0000-0000-00004F510000}"/>
    <cellStyle name="Финансовый 37 2 3 6 2 2 3 2" xfId="33570" xr:uid="{4A75B33B-19ED-4671-8C08-345FF347A9BE}"/>
    <cellStyle name="Финансовый 37 2 3 6 2 2 4" xfId="19638" xr:uid="{00000000-0005-0000-0000-000050510000}"/>
    <cellStyle name="Финансовый 37 2 3 6 2 2 4 2" xfId="36651" xr:uid="{4F7A779C-9E7B-405F-B9F2-0AA13EF87EFE}"/>
    <cellStyle name="Финансовый 37 2 3 6 2 2 5" xfId="27341" xr:uid="{FA5DB17B-9101-40F1-BAB3-7D0D628F0752}"/>
    <cellStyle name="Финансовый 37 2 3 6 2 3" xfId="13324" xr:uid="{00000000-0005-0000-0000-000051510000}"/>
    <cellStyle name="Финансовый 37 2 3 6 2 3 2" xfId="30413" xr:uid="{244A3BA2-8219-49D7-AC2D-69ACAFAB3055}"/>
    <cellStyle name="Финансовый 37 2 3 6 2 4" xfId="16556" xr:uid="{00000000-0005-0000-0000-000052510000}"/>
    <cellStyle name="Финансовый 37 2 3 6 2 4 2" xfId="33569" xr:uid="{C5AD69F5-4A7D-4421-91D6-A07A8955D1C7}"/>
    <cellStyle name="Финансовый 37 2 3 6 2 5" xfId="19637" xr:uid="{00000000-0005-0000-0000-000053510000}"/>
    <cellStyle name="Финансовый 37 2 3 6 2 5 2" xfId="36650" xr:uid="{CF053D68-38EA-474A-856C-976C4F117020}"/>
    <cellStyle name="Финансовый 37 2 3 6 2 6" xfId="27340" xr:uid="{32C7477C-F324-4171-BCED-D0E0F5E3D6B3}"/>
    <cellStyle name="Финансовый 37 2 3 6 3" xfId="10241" xr:uid="{00000000-0005-0000-0000-000054510000}"/>
    <cellStyle name="Финансовый 37 2 3 6 3 2" xfId="13326" xr:uid="{00000000-0005-0000-0000-000055510000}"/>
    <cellStyle name="Финансовый 37 2 3 6 3 2 2" xfId="30415" xr:uid="{92F90ABE-1AC8-4D4B-97D5-E6E8242E5770}"/>
    <cellStyle name="Финансовый 37 2 3 6 3 3" xfId="16558" xr:uid="{00000000-0005-0000-0000-000056510000}"/>
    <cellStyle name="Финансовый 37 2 3 6 3 3 2" xfId="33571" xr:uid="{1707CF9B-3FC2-49E9-A59C-E86CC7D6B487}"/>
    <cellStyle name="Финансовый 37 2 3 6 3 4" xfId="19639" xr:uid="{00000000-0005-0000-0000-000057510000}"/>
    <cellStyle name="Финансовый 37 2 3 6 3 4 2" xfId="36652" xr:uid="{37067F78-CD1A-4849-9928-94BD0ED23804}"/>
    <cellStyle name="Финансовый 37 2 3 6 3 5" xfId="27342" xr:uid="{B810625B-168A-4D27-A2FE-173A72719C80}"/>
    <cellStyle name="Финансовый 37 2 3 6 4" xfId="13323" xr:uid="{00000000-0005-0000-0000-000058510000}"/>
    <cellStyle name="Финансовый 37 2 3 6 4 2" xfId="30412" xr:uid="{CEBFF6AA-279C-4711-BA72-D5F6317680F0}"/>
    <cellStyle name="Финансовый 37 2 3 6 5" xfId="16555" xr:uid="{00000000-0005-0000-0000-000059510000}"/>
    <cellStyle name="Финансовый 37 2 3 6 5 2" xfId="33568" xr:uid="{D88416DA-25C6-45CF-B9B9-F48C528AD1C0}"/>
    <cellStyle name="Финансовый 37 2 3 6 6" xfId="19636" xr:uid="{00000000-0005-0000-0000-00005A510000}"/>
    <cellStyle name="Финансовый 37 2 3 6 6 2" xfId="36649" xr:uid="{A9830913-2D9B-4656-A3FA-6E96F7858F58}"/>
    <cellStyle name="Финансовый 37 2 3 6 7" xfId="27339" xr:uid="{D24FA185-BF69-44F2-8AFF-85CFE1556C18}"/>
    <cellStyle name="Финансовый 37 2 3 7" xfId="10242" xr:uid="{00000000-0005-0000-0000-00005B510000}"/>
    <cellStyle name="Финансовый 37 2 3 7 2" xfId="10243" xr:uid="{00000000-0005-0000-0000-00005C510000}"/>
    <cellStyle name="Финансовый 37 2 3 7 2 2" xfId="13328" xr:uid="{00000000-0005-0000-0000-00005D510000}"/>
    <cellStyle name="Финансовый 37 2 3 7 2 2 2" xfId="30417" xr:uid="{79738F4F-0ABF-454A-85C6-FB350BE55BA5}"/>
    <cellStyle name="Финансовый 37 2 3 7 2 3" xfId="16560" xr:uid="{00000000-0005-0000-0000-00005E510000}"/>
    <cellStyle name="Финансовый 37 2 3 7 2 3 2" xfId="33573" xr:uid="{17CEF279-5D2F-4B4D-884A-4C8AF5D84DF7}"/>
    <cellStyle name="Финансовый 37 2 3 7 2 4" xfId="19641" xr:uid="{00000000-0005-0000-0000-00005F510000}"/>
    <cellStyle name="Финансовый 37 2 3 7 2 4 2" xfId="36654" xr:uid="{D612F5A2-202F-45F2-AB41-96B042AD058A}"/>
    <cellStyle name="Финансовый 37 2 3 7 2 5" xfId="27344" xr:uid="{E16126A5-688A-4E4F-A419-8BF7136A5503}"/>
    <cellStyle name="Финансовый 37 2 3 7 3" xfId="13327" xr:uid="{00000000-0005-0000-0000-000060510000}"/>
    <cellStyle name="Финансовый 37 2 3 7 3 2" xfId="30416" xr:uid="{C41F8A46-C406-469E-ACBA-474AB90CD775}"/>
    <cellStyle name="Финансовый 37 2 3 7 4" xfId="16559" xr:uid="{00000000-0005-0000-0000-000061510000}"/>
    <cellStyle name="Финансовый 37 2 3 7 4 2" xfId="33572" xr:uid="{CF76E04C-8FAF-4344-B2DA-ECE7E504AC56}"/>
    <cellStyle name="Финансовый 37 2 3 7 5" xfId="19640" xr:uid="{00000000-0005-0000-0000-000062510000}"/>
    <cellStyle name="Финансовый 37 2 3 7 5 2" xfId="36653" xr:uid="{C530A58B-9802-4F8A-8EC9-E18F388A10F5}"/>
    <cellStyle name="Финансовый 37 2 3 7 6" xfId="27343" xr:uid="{D45A1C60-FE02-48BC-9681-64BAD6AF1DD6}"/>
    <cellStyle name="Финансовый 37 2 3 8" xfId="10244" xr:uid="{00000000-0005-0000-0000-000063510000}"/>
    <cellStyle name="Финансовый 37 2 3 8 2" xfId="13329" xr:uid="{00000000-0005-0000-0000-000064510000}"/>
    <cellStyle name="Финансовый 37 2 3 8 2 2" xfId="30418" xr:uid="{C6B3B5EF-442E-4A02-8891-8E23C2CFA942}"/>
    <cellStyle name="Финансовый 37 2 3 8 3" xfId="16561" xr:uid="{00000000-0005-0000-0000-000065510000}"/>
    <cellStyle name="Финансовый 37 2 3 8 3 2" xfId="33574" xr:uid="{276870C3-FE8B-4804-8A87-B3C9F9CD073E}"/>
    <cellStyle name="Финансовый 37 2 3 8 4" xfId="19642" xr:uid="{00000000-0005-0000-0000-000066510000}"/>
    <cellStyle name="Финансовый 37 2 3 8 4 2" xfId="36655" xr:uid="{C715661D-B44B-4845-90AB-05B16CBA6A61}"/>
    <cellStyle name="Финансовый 37 2 3 8 5" xfId="27345" xr:uid="{02A24A40-D1AA-4249-867C-B6491A9768DC}"/>
    <cellStyle name="Финансовый 37 2 3 9" xfId="13202" xr:uid="{00000000-0005-0000-0000-000067510000}"/>
    <cellStyle name="Финансовый 37 2 3 9 2" xfId="30291" xr:uid="{BA7F278E-F457-4E88-BA97-077E36516CC3}"/>
    <cellStyle name="Финансовый 37 2 4" xfId="10245" xr:uid="{00000000-0005-0000-0000-000068510000}"/>
    <cellStyle name="Финансовый 37 2 4 10" xfId="19643" xr:uid="{00000000-0005-0000-0000-000069510000}"/>
    <cellStyle name="Финансовый 37 2 4 10 2" xfId="36656" xr:uid="{176A1DEF-B603-4FBE-947E-0F5B51B0C63B}"/>
    <cellStyle name="Финансовый 37 2 4 11" xfId="27346" xr:uid="{AEE56285-37EF-4FA5-B546-E2EF9FD27367}"/>
    <cellStyle name="Финансовый 37 2 4 2" xfId="10246" xr:uid="{00000000-0005-0000-0000-00006A510000}"/>
    <cellStyle name="Финансовый 37 2 4 2 10" xfId="27347" xr:uid="{6582BFE1-D583-4F1A-B87F-FC6ACC800FF2}"/>
    <cellStyle name="Финансовый 37 2 4 2 2" xfId="10247" xr:uid="{00000000-0005-0000-0000-00006B510000}"/>
    <cellStyle name="Финансовый 37 2 4 2 2 2" xfId="10248" xr:uid="{00000000-0005-0000-0000-00006C510000}"/>
    <cellStyle name="Финансовый 37 2 4 2 2 2 2" xfId="10249" xr:uid="{00000000-0005-0000-0000-00006D510000}"/>
    <cellStyle name="Финансовый 37 2 4 2 2 2 2 2" xfId="10250" xr:uid="{00000000-0005-0000-0000-00006E510000}"/>
    <cellStyle name="Финансовый 37 2 4 2 2 2 2 2 2" xfId="10251" xr:uid="{00000000-0005-0000-0000-00006F510000}"/>
    <cellStyle name="Финансовый 37 2 4 2 2 2 2 2 2 2" xfId="13336" xr:uid="{00000000-0005-0000-0000-000070510000}"/>
    <cellStyle name="Финансовый 37 2 4 2 2 2 2 2 2 2 2" xfId="30425" xr:uid="{3BFAD663-5817-479C-95BB-D328B75B9C2D}"/>
    <cellStyle name="Финансовый 37 2 4 2 2 2 2 2 2 3" xfId="16568" xr:uid="{00000000-0005-0000-0000-000071510000}"/>
    <cellStyle name="Финансовый 37 2 4 2 2 2 2 2 2 3 2" xfId="33581" xr:uid="{115F12BE-CE12-4F78-8DE4-218D0659D636}"/>
    <cellStyle name="Финансовый 37 2 4 2 2 2 2 2 2 4" xfId="19649" xr:uid="{00000000-0005-0000-0000-000072510000}"/>
    <cellStyle name="Финансовый 37 2 4 2 2 2 2 2 2 4 2" xfId="36662" xr:uid="{CB1288FE-AE7D-4803-A98D-E8AEACA34348}"/>
    <cellStyle name="Финансовый 37 2 4 2 2 2 2 2 2 5" xfId="27352" xr:uid="{F00D0ED1-405D-48E2-A707-96FBCD86385A}"/>
    <cellStyle name="Финансовый 37 2 4 2 2 2 2 2 3" xfId="13335" xr:uid="{00000000-0005-0000-0000-000073510000}"/>
    <cellStyle name="Финансовый 37 2 4 2 2 2 2 2 3 2" xfId="30424" xr:uid="{CE79ABD0-CB91-4B08-AE71-2F563DBD0855}"/>
    <cellStyle name="Финансовый 37 2 4 2 2 2 2 2 4" xfId="16567" xr:uid="{00000000-0005-0000-0000-000074510000}"/>
    <cellStyle name="Финансовый 37 2 4 2 2 2 2 2 4 2" xfId="33580" xr:uid="{DACF4074-2527-4241-973E-341A201E737D}"/>
    <cellStyle name="Финансовый 37 2 4 2 2 2 2 2 5" xfId="19648" xr:uid="{00000000-0005-0000-0000-000075510000}"/>
    <cellStyle name="Финансовый 37 2 4 2 2 2 2 2 5 2" xfId="36661" xr:uid="{16F4D909-A6D2-4EFD-AF40-210A7227BD08}"/>
    <cellStyle name="Финансовый 37 2 4 2 2 2 2 2 6" xfId="27351" xr:uid="{CE9293E1-EA21-4BD4-906F-5E35CA65D138}"/>
    <cellStyle name="Финансовый 37 2 4 2 2 2 2 3" xfId="10252" xr:uid="{00000000-0005-0000-0000-000076510000}"/>
    <cellStyle name="Финансовый 37 2 4 2 2 2 2 3 2" xfId="13337" xr:uid="{00000000-0005-0000-0000-000077510000}"/>
    <cellStyle name="Финансовый 37 2 4 2 2 2 2 3 2 2" xfId="30426" xr:uid="{BDAF08D7-96F9-4436-B86C-FFBFEDD8E88E}"/>
    <cellStyle name="Финансовый 37 2 4 2 2 2 2 3 3" xfId="16569" xr:uid="{00000000-0005-0000-0000-000078510000}"/>
    <cellStyle name="Финансовый 37 2 4 2 2 2 2 3 3 2" xfId="33582" xr:uid="{71047839-C50C-4FDB-B221-B45506F5045F}"/>
    <cellStyle name="Финансовый 37 2 4 2 2 2 2 3 4" xfId="19650" xr:uid="{00000000-0005-0000-0000-000079510000}"/>
    <cellStyle name="Финансовый 37 2 4 2 2 2 2 3 4 2" xfId="36663" xr:uid="{8DF7C4EC-C721-4528-A821-5B384D2CBD9D}"/>
    <cellStyle name="Финансовый 37 2 4 2 2 2 2 3 5" xfId="27353" xr:uid="{29C9F4F7-96C7-4D1B-9A5B-B6F3E560462F}"/>
    <cellStyle name="Финансовый 37 2 4 2 2 2 2 4" xfId="13334" xr:uid="{00000000-0005-0000-0000-00007A510000}"/>
    <cellStyle name="Финансовый 37 2 4 2 2 2 2 4 2" xfId="30423" xr:uid="{2F1C5B7A-4A20-49E1-8209-EF7D9BA8A831}"/>
    <cellStyle name="Финансовый 37 2 4 2 2 2 2 5" xfId="16566" xr:uid="{00000000-0005-0000-0000-00007B510000}"/>
    <cellStyle name="Финансовый 37 2 4 2 2 2 2 5 2" xfId="33579" xr:uid="{D705EB35-35A5-4052-91F1-B3208DC30AC8}"/>
    <cellStyle name="Финансовый 37 2 4 2 2 2 2 6" xfId="19647" xr:uid="{00000000-0005-0000-0000-00007C510000}"/>
    <cellStyle name="Финансовый 37 2 4 2 2 2 2 6 2" xfId="36660" xr:uid="{9AC1DCA3-9E17-484B-9AD4-905485FD5FE9}"/>
    <cellStyle name="Финансовый 37 2 4 2 2 2 2 7" xfId="27350" xr:uid="{14B98B17-5C6A-4E40-97D7-9757BC1A59A2}"/>
    <cellStyle name="Финансовый 37 2 4 2 2 2 3" xfId="10253" xr:uid="{00000000-0005-0000-0000-00007D510000}"/>
    <cellStyle name="Финансовый 37 2 4 2 2 2 3 2" xfId="10254" xr:uid="{00000000-0005-0000-0000-00007E510000}"/>
    <cellStyle name="Финансовый 37 2 4 2 2 2 3 2 2" xfId="13339" xr:uid="{00000000-0005-0000-0000-00007F510000}"/>
    <cellStyle name="Финансовый 37 2 4 2 2 2 3 2 2 2" xfId="30428" xr:uid="{D70C61B4-8334-4DB2-BF3E-F7211B529617}"/>
    <cellStyle name="Финансовый 37 2 4 2 2 2 3 2 3" xfId="16571" xr:uid="{00000000-0005-0000-0000-000080510000}"/>
    <cellStyle name="Финансовый 37 2 4 2 2 2 3 2 3 2" xfId="33584" xr:uid="{7EFB8D77-552D-4F1D-8899-312E57FC79B3}"/>
    <cellStyle name="Финансовый 37 2 4 2 2 2 3 2 4" xfId="19652" xr:uid="{00000000-0005-0000-0000-000081510000}"/>
    <cellStyle name="Финансовый 37 2 4 2 2 2 3 2 4 2" xfId="36665" xr:uid="{D33306F8-E621-4926-B7E5-005CEBC3A7C4}"/>
    <cellStyle name="Финансовый 37 2 4 2 2 2 3 2 5" xfId="27355" xr:uid="{D3189DF2-B811-4098-8DBE-3B5EE0712193}"/>
    <cellStyle name="Финансовый 37 2 4 2 2 2 3 3" xfId="13338" xr:uid="{00000000-0005-0000-0000-000082510000}"/>
    <cellStyle name="Финансовый 37 2 4 2 2 2 3 3 2" xfId="30427" xr:uid="{B4E06A0A-C228-429A-89E0-E176CE7F456F}"/>
    <cellStyle name="Финансовый 37 2 4 2 2 2 3 4" xfId="16570" xr:uid="{00000000-0005-0000-0000-000083510000}"/>
    <cellStyle name="Финансовый 37 2 4 2 2 2 3 4 2" xfId="33583" xr:uid="{CCFFE14F-AC2B-4EAE-B84F-97235EEA1337}"/>
    <cellStyle name="Финансовый 37 2 4 2 2 2 3 5" xfId="19651" xr:uid="{00000000-0005-0000-0000-000084510000}"/>
    <cellStyle name="Финансовый 37 2 4 2 2 2 3 5 2" xfId="36664" xr:uid="{8AB93356-F85B-4F71-9CC8-AA0FCC89992B}"/>
    <cellStyle name="Финансовый 37 2 4 2 2 2 3 6" xfId="27354" xr:uid="{4F4A4C1B-B0B3-4C17-A706-E81FD96911C0}"/>
    <cellStyle name="Финансовый 37 2 4 2 2 2 4" xfId="10255" xr:uid="{00000000-0005-0000-0000-000085510000}"/>
    <cellStyle name="Финансовый 37 2 4 2 2 2 4 2" xfId="13340" xr:uid="{00000000-0005-0000-0000-000086510000}"/>
    <cellStyle name="Финансовый 37 2 4 2 2 2 4 2 2" xfId="30429" xr:uid="{A9E0AC74-5716-4384-BF22-1CF9B33D0C3B}"/>
    <cellStyle name="Финансовый 37 2 4 2 2 2 4 3" xfId="16572" xr:uid="{00000000-0005-0000-0000-000087510000}"/>
    <cellStyle name="Финансовый 37 2 4 2 2 2 4 3 2" xfId="33585" xr:uid="{9B5A6E72-5A18-4DB6-9BE4-0F05A89407E1}"/>
    <cellStyle name="Финансовый 37 2 4 2 2 2 4 4" xfId="19653" xr:uid="{00000000-0005-0000-0000-000088510000}"/>
    <cellStyle name="Финансовый 37 2 4 2 2 2 4 4 2" xfId="36666" xr:uid="{90DDCC20-7D50-413B-A393-89303752F644}"/>
    <cellStyle name="Финансовый 37 2 4 2 2 2 4 5" xfId="27356" xr:uid="{060DCEEA-BCC6-4663-9D59-5E7A557BAA4E}"/>
    <cellStyle name="Финансовый 37 2 4 2 2 2 5" xfId="13333" xr:uid="{00000000-0005-0000-0000-000089510000}"/>
    <cellStyle name="Финансовый 37 2 4 2 2 2 5 2" xfId="30422" xr:uid="{4D67B30C-67DB-4387-91B8-918881FD2B67}"/>
    <cellStyle name="Финансовый 37 2 4 2 2 2 6" xfId="16565" xr:uid="{00000000-0005-0000-0000-00008A510000}"/>
    <cellStyle name="Финансовый 37 2 4 2 2 2 6 2" xfId="33578" xr:uid="{944D4F92-B174-40B5-B054-0452B38257E7}"/>
    <cellStyle name="Финансовый 37 2 4 2 2 2 7" xfId="19646" xr:uid="{00000000-0005-0000-0000-00008B510000}"/>
    <cellStyle name="Финансовый 37 2 4 2 2 2 7 2" xfId="36659" xr:uid="{778F6281-90EF-41BB-BA3F-353D12C3B814}"/>
    <cellStyle name="Финансовый 37 2 4 2 2 2 8" xfId="27349" xr:uid="{94FB22CC-9A99-41B8-8760-5972F7C87D1B}"/>
    <cellStyle name="Финансовый 37 2 4 2 2 3" xfId="10256" xr:uid="{00000000-0005-0000-0000-00008C510000}"/>
    <cellStyle name="Финансовый 37 2 4 2 2 3 2" xfId="10257" xr:uid="{00000000-0005-0000-0000-00008D510000}"/>
    <cellStyle name="Финансовый 37 2 4 2 2 3 2 2" xfId="10258" xr:uid="{00000000-0005-0000-0000-00008E510000}"/>
    <cellStyle name="Финансовый 37 2 4 2 2 3 2 2 2" xfId="13343" xr:uid="{00000000-0005-0000-0000-00008F510000}"/>
    <cellStyle name="Финансовый 37 2 4 2 2 3 2 2 2 2" xfId="30432" xr:uid="{F664FBA9-A9DB-4611-B07F-C73DD5C8DAD2}"/>
    <cellStyle name="Финансовый 37 2 4 2 2 3 2 2 3" xfId="16575" xr:uid="{00000000-0005-0000-0000-000090510000}"/>
    <cellStyle name="Финансовый 37 2 4 2 2 3 2 2 3 2" xfId="33588" xr:uid="{CD3FBA73-571E-4530-A043-253DD5503218}"/>
    <cellStyle name="Финансовый 37 2 4 2 2 3 2 2 4" xfId="19656" xr:uid="{00000000-0005-0000-0000-000091510000}"/>
    <cellStyle name="Финансовый 37 2 4 2 2 3 2 2 4 2" xfId="36669" xr:uid="{7877FC8B-15B8-4CCE-BC5E-18F833A09950}"/>
    <cellStyle name="Финансовый 37 2 4 2 2 3 2 2 5" xfId="27359" xr:uid="{D405DAF8-29F9-4804-9720-B1DF05B3FCD2}"/>
    <cellStyle name="Финансовый 37 2 4 2 2 3 2 3" xfId="13342" xr:uid="{00000000-0005-0000-0000-000092510000}"/>
    <cellStyle name="Финансовый 37 2 4 2 2 3 2 3 2" xfId="30431" xr:uid="{1B97B909-8DD6-480B-A5F7-F640D3C7154D}"/>
    <cellStyle name="Финансовый 37 2 4 2 2 3 2 4" xfId="16574" xr:uid="{00000000-0005-0000-0000-000093510000}"/>
    <cellStyle name="Финансовый 37 2 4 2 2 3 2 4 2" xfId="33587" xr:uid="{2DDFC313-916F-4AB3-ADB8-77D88B3987A7}"/>
    <cellStyle name="Финансовый 37 2 4 2 2 3 2 5" xfId="19655" xr:uid="{00000000-0005-0000-0000-000094510000}"/>
    <cellStyle name="Финансовый 37 2 4 2 2 3 2 5 2" xfId="36668" xr:uid="{0D448580-5B1C-4908-8171-21A6E661E48E}"/>
    <cellStyle name="Финансовый 37 2 4 2 2 3 2 6" xfId="27358" xr:uid="{92663521-F446-4BCB-A4B0-3AF1AF4136B5}"/>
    <cellStyle name="Финансовый 37 2 4 2 2 3 3" xfId="10259" xr:uid="{00000000-0005-0000-0000-000095510000}"/>
    <cellStyle name="Финансовый 37 2 4 2 2 3 3 2" xfId="13344" xr:uid="{00000000-0005-0000-0000-000096510000}"/>
    <cellStyle name="Финансовый 37 2 4 2 2 3 3 2 2" xfId="30433" xr:uid="{30E62EF9-98AA-41EE-A22E-D77D0911D358}"/>
    <cellStyle name="Финансовый 37 2 4 2 2 3 3 3" xfId="16576" xr:uid="{00000000-0005-0000-0000-000097510000}"/>
    <cellStyle name="Финансовый 37 2 4 2 2 3 3 3 2" xfId="33589" xr:uid="{28A2D581-491B-4A99-A2B2-01D097C7752B}"/>
    <cellStyle name="Финансовый 37 2 4 2 2 3 3 4" xfId="19657" xr:uid="{00000000-0005-0000-0000-000098510000}"/>
    <cellStyle name="Финансовый 37 2 4 2 2 3 3 4 2" xfId="36670" xr:uid="{9C28B1AD-5DFE-42EF-9157-5865FB686004}"/>
    <cellStyle name="Финансовый 37 2 4 2 2 3 3 5" xfId="27360" xr:uid="{24E9B197-1EAA-425A-8520-A346FCF07DC8}"/>
    <cellStyle name="Финансовый 37 2 4 2 2 3 4" xfId="13341" xr:uid="{00000000-0005-0000-0000-000099510000}"/>
    <cellStyle name="Финансовый 37 2 4 2 2 3 4 2" xfId="30430" xr:uid="{681EA14C-F3F2-4258-94E0-F09F81411B56}"/>
    <cellStyle name="Финансовый 37 2 4 2 2 3 5" xfId="16573" xr:uid="{00000000-0005-0000-0000-00009A510000}"/>
    <cellStyle name="Финансовый 37 2 4 2 2 3 5 2" xfId="33586" xr:uid="{D895230D-77CF-4854-8A9B-82101B662E93}"/>
    <cellStyle name="Финансовый 37 2 4 2 2 3 6" xfId="19654" xr:uid="{00000000-0005-0000-0000-00009B510000}"/>
    <cellStyle name="Финансовый 37 2 4 2 2 3 6 2" xfId="36667" xr:uid="{52D3A6FB-1AC6-417D-9A94-766E8E584D45}"/>
    <cellStyle name="Финансовый 37 2 4 2 2 3 7" xfId="27357" xr:uid="{2D606525-0CEF-413C-82E9-71B8B0994B24}"/>
    <cellStyle name="Финансовый 37 2 4 2 2 4" xfId="10260" xr:uid="{00000000-0005-0000-0000-00009C510000}"/>
    <cellStyle name="Финансовый 37 2 4 2 2 4 2" xfId="10261" xr:uid="{00000000-0005-0000-0000-00009D510000}"/>
    <cellStyle name="Финансовый 37 2 4 2 2 4 2 2" xfId="13346" xr:uid="{00000000-0005-0000-0000-00009E510000}"/>
    <cellStyle name="Финансовый 37 2 4 2 2 4 2 2 2" xfId="30435" xr:uid="{185C7DC1-C5CF-4356-91FE-19EFB3772BC5}"/>
    <cellStyle name="Финансовый 37 2 4 2 2 4 2 3" xfId="16578" xr:uid="{00000000-0005-0000-0000-00009F510000}"/>
    <cellStyle name="Финансовый 37 2 4 2 2 4 2 3 2" xfId="33591" xr:uid="{84E71EFC-F40A-4071-A97D-8B55A734AD4C}"/>
    <cellStyle name="Финансовый 37 2 4 2 2 4 2 4" xfId="19659" xr:uid="{00000000-0005-0000-0000-0000A0510000}"/>
    <cellStyle name="Финансовый 37 2 4 2 2 4 2 4 2" xfId="36672" xr:uid="{5C8B4A6D-CCC5-44FF-A4F0-D4CDE17AFF3F}"/>
    <cellStyle name="Финансовый 37 2 4 2 2 4 2 5" xfId="27362" xr:uid="{26DF3196-0C45-4661-A3E1-2CFA094C9DE6}"/>
    <cellStyle name="Финансовый 37 2 4 2 2 4 3" xfId="13345" xr:uid="{00000000-0005-0000-0000-0000A1510000}"/>
    <cellStyle name="Финансовый 37 2 4 2 2 4 3 2" xfId="30434" xr:uid="{B595F48E-607F-4968-A8EF-154A73EBC3FC}"/>
    <cellStyle name="Финансовый 37 2 4 2 2 4 4" xfId="16577" xr:uid="{00000000-0005-0000-0000-0000A2510000}"/>
    <cellStyle name="Финансовый 37 2 4 2 2 4 4 2" xfId="33590" xr:uid="{A6725880-8D8B-4383-AC7F-A0CB6CA66AF9}"/>
    <cellStyle name="Финансовый 37 2 4 2 2 4 5" xfId="19658" xr:uid="{00000000-0005-0000-0000-0000A3510000}"/>
    <cellStyle name="Финансовый 37 2 4 2 2 4 5 2" xfId="36671" xr:uid="{A17AB274-8A7D-4A94-841C-801536BE2D44}"/>
    <cellStyle name="Финансовый 37 2 4 2 2 4 6" xfId="27361" xr:uid="{2C82C7BD-1582-4C2A-81F9-F5B7BBCF7800}"/>
    <cellStyle name="Финансовый 37 2 4 2 2 5" xfId="10262" xr:uid="{00000000-0005-0000-0000-0000A4510000}"/>
    <cellStyle name="Финансовый 37 2 4 2 2 5 2" xfId="13347" xr:uid="{00000000-0005-0000-0000-0000A5510000}"/>
    <cellStyle name="Финансовый 37 2 4 2 2 5 2 2" xfId="30436" xr:uid="{8A631AB0-A3BC-4857-A8B3-7E7404D35D91}"/>
    <cellStyle name="Финансовый 37 2 4 2 2 5 3" xfId="16579" xr:uid="{00000000-0005-0000-0000-0000A6510000}"/>
    <cellStyle name="Финансовый 37 2 4 2 2 5 3 2" xfId="33592" xr:uid="{64BE98A4-9190-41A3-B0BB-43C8FBFA54B8}"/>
    <cellStyle name="Финансовый 37 2 4 2 2 5 4" xfId="19660" xr:uid="{00000000-0005-0000-0000-0000A7510000}"/>
    <cellStyle name="Финансовый 37 2 4 2 2 5 4 2" xfId="36673" xr:uid="{5B2A23AB-9DAA-48F2-A37E-F26B08407149}"/>
    <cellStyle name="Финансовый 37 2 4 2 2 5 5" xfId="27363" xr:uid="{7995FD77-C77D-4594-BB27-64DC10AB24FF}"/>
    <cellStyle name="Финансовый 37 2 4 2 2 6" xfId="13332" xr:uid="{00000000-0005-0000-0000-0000A8510000}"/>
    <cellStyle name="Финансовый 37 2 4 2 2 6 2" xfId="30421" xr:uid="{C133BCD8-8EA5-433F-B6AA-7884AC94079B}"/>
    <cellStyle name="Финансовый 37 2 4 2 2 7" xfId="16564" xr:uid="{00000000-0005-0000-0000-0000A9510000}"/>
    <cellStyle name="Финансовый 37 2 4 2 2 7 2" xfId="33577" xr:uid="{A087855A-CEC5-438D-BA45-E2EE6E15FDC7}"/>
    <cellStyle name="Финансовый 37 2 4 2 2 8" xfId="19645" xr:uid="{00000000-0005-0000-0000-0000AA510000}"/>
    <cellStyle name="Финансовый 37 2 4 2 2 8 2" xfId="36658" xr:uid="{63115F36-E766-4529-82BC-8D3F396220EF}"/>
    <cellStyle name="Финансовый 37 2 4 2 2 9" xfId="27348" xr:uid="{6BCE7328-E993-4ACA-A259-C32FF7164DF6}"/>
    <cellStyle name="Финансовый 37 2 4 2 3" xfId="10263" xr:uid="{00000000-0005-0000-0000-0000AB510000}"/>
    <cellStyle name="Финансовый 37 2 4 2 3 2" xfId="10264" xr:uid="{00000000-0005-0000-0000-0000AC510000}"/>
    <cellStyle name="Финансовый 37 2 4 2 3 2 2" xfId="10265" xr:uid="{00000000-0005-0000-0000-0000AD510000}"/>
    <cellStyle name="Финансовый 37 2 4 2 3 2 2 2" xfId="10266" xr:uid="{00000000-0005-0000-0000-0000AE510000}"/>
    <cellStyle name="Финансовый 37 2 4 2 3 2 2 2 2" xfId="13351" xr:uid="{00000000-0005-0000-0000-0000AF510000}"/>
    <cellStyle name="Финансовый 37 2 4 2 3 2 2 2 2 2" xfId="30440" xr:uid="{7CCFE4BF-E55B-4226-8288-5D5503689B66}"/>
    <cellStyle name="Финансовый 37 2 4 2 3 2 2 2 3" xfId="16583" xr:uid="{00000000-0005-0000-0000-0000B0510000}"/>
    <cellStyle name="Финансовый 37 2 4 2 3 2 2 2 3 2" xfId="33596" xr:uid="{8E3B0EAE-613C-40A9-9C14-BF328F3ADD0B}"/>
    <cellStyle name="Финансовый 37 2 4 2 3 2 2 2 4" xfId="19664" xr:uid="{00000000-0005-0000-0000-0000B1510000}"/>
    <cellStyle name="Финансовый 37 2 4 2 3 2 2 2 4 2" xfId="36677" xr:uid="{B0FC8DB5-D254-4E89-909A-E34386D9B9EF}"/>
    <cellStyle name="Финансовый 37 2 4 2 3 2 2 2 5" xfId="27367" xr:uid="{7B47052A-BC7D-4B1F-B07B-220269BF2B9B}"/>
    <cellStyle name="Финансовый 37 2 4 2 3 2 2 3" xfId="13350" xr:uid="{00000000-0005-0000-0000-0000B2510000}"/>
    <cellStyle name="Финансовый 37 2 4 2 3 2 2 3 2" xfId="30439" xr:uid="{C43FC550-32F9-4921-9139-3F268E3239BA}"/>
    <cellStyle name="Финансовый 37 2 4 2 3 2 2 4" xfId="16582" xr:uid="{00000000-0005-0000-0000-0000B3510000}"/>
    <cellStyle name="Финансовый 37 2 4 2 3 2 2 4 2" xfId="33595" xr:uid="{C8E03263-EA43-46D9-810D-0F55B8707494}"/>
    <cellStyle name="Финансовый 37 2 4 2 3 2 2 5" xfId="19663" xr:uid="{00000000-0005-0000-0000-0000B4510000}"/>
    <cellStyle name="Финансовый 37 2 4 2 3 2 2 5 2" xfId="36676" xr:uid="{042FFF62-5784-457F-B768-16CF2BDC277F}"/>
    <cellStyle name="Финансовый 37 2 4 2 3 2 2 6" xfId="27366" xr:uid="{5F9D86AB-035E-46E1-944D-AA8967FD38D1}"/>
    <cellStyle name="Финансовый 37 2 4 2 3 2 3" xfId="10267" xr:uid="{00000000-0005-0000-0000-0000B5510000}"/>
    <cellStyle name="Финансовый 37 2 4 2 3 2 3 2" xfId="13352" xr:uid="{00000000-0005-0000-0000-0000B6510000}"/>
    <cellStyle name="Финансовый 37 2 4 2 3 2 3 2 2" xfId="30441" xr:uid="{6E6929C6-7AFC-45A4-B297-0EBADB469677}"/>
    <cellStyle name="Финансовый 37 2 4 2 3 2 3 3" xfId="16584" xr:uid="{00000000-0005-0000-0000-0000B7510000}"/>
    <cellStyle name="Финансовый 37 2 4 2 3 2 3 3 2" xfId="33597" xr:uid="{53FE3F1B-625E-4FC2-8D80-8F77B93513E4}"/>
    <cellStyle name="Финансовый 37 2 4 2 3 2 3 4" xfId="19665" xr:uid="{00000000-0005-0000-0000-0000B8510000}"/>
    <cellStyle name="Финансовый 37 2 4 2 3 2 3 4 2" xfId="36678" xr:uid="{B50D8479-C469-4A04-8845-F79C9AF4CA29}"/>
    <cellStyle name="Финансовый 37 2 4 2 3 2 3 5" xfId="27368" xr:uid="{70D32CD2-ADFA-47D6-92F0-087EC02686C0}"/>
    <cellStyle name="Финансовый 37 2 4 2 3 2 4" xfId="13349" xr:uid="{00000000-0005-0000-0000-0000B9510000}"/>
    <cellStyle name="Финансовый 37 2 4 2 3 2 4 2" xfId="30438" xr:uid="{559315FE-B793-4D59-81D9-EEF648DDCB97}"/>
    <cellStyle name="Финансовый 37 2 4 2 3 2 5" xfId="16581" xr:uid="{00000000-0005-0000-0000-0000BA510000}"/>
    <cellStyle name="Финансовый 37 2 4 2 3 2 5 2" xfId="33594" xr:uid="{86AEED8F-B1BC-405D-83BB-FFBAADCD1D1E}"/>
    <cellStyle name="Финансовый 37 2 4 2 3 2 6" xfId="19662" xr:uid="{00000000-0005-0000-0000-0000BB510000}"/>
    <cellStyle name="Финансовый 37 2 4 2 3 2 6 2" xfId="36675" xr:uid="{88C56906-6FC1-4BE1-BDF1-AAB6CAE153EF}"/>
    <cellStyle name="Финансовый 37 2 4 2 3 2 7" xfId="27365" xr:uid="{DCABF597-666A-4639-A26E-5FEE757FB349}"/>
    <cellStyle name="Финансовый 37 2 4 2 3 3" xfId="10268" xr:uid="{00000000-0005-0000-0000-0000BC510000}"/>
    <cellStyle name="Финансовый 37 2 4 2 3 3 2" xfId="10269" xr:uid="{00000000-0005-0000-0000-0000BD510000}"/>
    <cellStyle name="Финансовый 37 2 4 2 3 3 2 2" xfId="13354" xr:uid="{00000000-0005-0000-0000-0000BE510000}"/>
    <cellStyle name="Финансовый 37 2 4 2 3 3 2 2 2" xfId="30443" xr:uid="{A3D3D120-B7C5-4A17-84CC-A90FA81F692F}"/>
    <cellStyle name="Финансовый 37 2 4 2 3 3 2 3" xfId="16586" xr:uid="{00000000-0005-0000-0000-0000BF510000}"/>
    <cellStyle name="Финансовый 37 2 4 2 3 3 2 3 2" xfId="33599" xr:uid="{6A665763-5D53-4284-B3E8-DFCB74F60769}"/>
    <cellStyle name="Финансовый 37 2 4 2 3 3 2 4" xfId="19667" xr:uid="{00000000-0005-0000-0000-0000C0510000}"/>
    <cellStyle name="Финансовый 37 2 4 2 3 3 2 4 2" xfId="36680" xr:uid="{20A0B6C7-F0D6-49F9-A149-2F571A08F3D9}"/>
    <cellStyle name="Финансовый 37 2 4 2 3 3 2 5" xfId="27370" xr:uid="{0BE9679B-E96A-4075-9401-A11D67BC302F}"/>
    <cellStyle name="Финансовый 37 2 4 2 3 3 3" xfId="13353" xr:uid="{00000000-0005-0000-0000-0000C1510000}"/>
    <cellStyle name="Финансовый 37 2 4 2 3 3 3 2" xfId="30442" xr:uid="{F7CA9B56-8346-4838-9B18-71894E26B331}"/>
    <cellStyle name="Финансовый 37 2 4 2 3 3 4" xfId="16585" xr:uid="{00000000-0005-0000-0000-0000C2510000}"/>
    <cellStyle name="Финансовый 37 2 4 2 3 3 4 2" xfId="33598" xr:uid="{5D7A1F08-96ED-46BD-91F7-91977EEB91BB}"/>
    <cellStyle name="Финансовый 37 2 4 2 3 3 5" xfId="19666" xr:uid="{00000000-0005-0000-0000-0000C3510000}"/>
    <cellStyle name="Финансовый 37 2 4 2 3 3 5 2" xfId="36679" xr:uid="{CA40CBBC-F0CF-476D-9C03-21EBE3C8D5E5}"/>
    <cellStyle name="Финансовый 37 2 4 2 3 3 6" xfId="27369" xr:uid="{D5972D83-EBDF-4A95-BD59-3A7B0AD1678E}"/>
    <cellStyle name="Финансовый 37 2 4 2 3 4" xfId="10270" xr:uid="{00000000-0005-0000-0000-0000C4510000}"/>
    <cellStyle name="Финансовый 37 2 4 2 3 4 2" xfId="13355" xr:uid="{00000000-0005-0000-0000-0000C5510000}"/>
    <cellStyle name="Финансовый 37 2 4 2 3 4 2 2" xfId="30444" xr:uid="{2F7DD0CE-5073-4A06-8C2C-A4205B1E9EC8}"/>
    <cellStyle name="Финансовый 37 2 4 2 3 4 3" xfId="16587" xr:uid="{00000000-0005-0000-0000-0000C6510000}"/>
    <cellStyle name="Финансовый 37 2 4 2 3 4 3 2" xfId="33600" xr:uid="{C1C7051E-5B33-4CF2-9D85-B26E8063FF77}"/>
    <cellStyle name="Финансовый 37 2 4 2 3 4 4" xfId="19668" xr:uid="{00000000-0005-0000-0000-0000C7510000}"/>
    <cellStyle name="Финансовый 37 2 4 2 3 4 4 2" xfId="36681" xr:uid="{5B14FE45-09C7-4DB7-A639-FA5C7B4B266C}"/>
    <cellStyle name="Финансовый 37 2 4 2 3 4 5" xfId="27371" xr:uid="{19AC9E8D-FF83-48A9-884F-4F20F4ADF9FE}"/>
    <cellStyle name="Финансовый 37 2 4 2 3 5" xfId="13348" xr:uid="{00000000-0005-0000-0000-0000C8510000}"/>
    <cellStyle name="Финансовый 37 2 4 2 3 5 2" xfId="30437" xr:uid="{B63906AF-EEAB-406A-AF33-5B5B9787B926}"/>
    <cellStyle name="Финансовый 37 2 4 2 3 6" xfId="16580" xr:uid="{00000000-0005-0000-0000-0000C9510000}"/>
    <cellStyle name="Финансовый 37 2 4 2 3 6 2" xfId="33593" xr:uid="{7A8C81B0-4C35-469E-A4A0-0EB5CF431A73}"/>
    <cellStyle name="Финансовый 37 2 4 2 3 7" xfId="19661" xr:uid="{00000000-0005-0000-0000-0000CA510000}"/>
    <cellStyle name="Финансовый 37 2 4 2 3 7 2" xfId="36674" xr:uid="{B3362417-3707-46A9-8530-D9C867AEC50F}"/>
    <cellStyle name="Финансовый 37 2 4 2 3 8" xfId="27364" xr:uid="{6DAF14D0-AC37-4CA9-9258-AD1CC688F89A}"/>
    <cellStyle name="Финансовый 37 2 4 2 4" xfId="10271" xr:uid="{00000000-0005-0000-0000-0000CB510000}"/>
    <cellStyle name="Финансовый 37 2 4 2 4 2" xfId="10272" xr:uid="{00000000-0005-0000-0000-0000CC510000}"/>
    <cellStyle name="Финансовый 37 2 4 2 4 2 2" xfId="10273" xr:uid="{00000000-0005-0000-0000-0000CD510000}"/>
    <cellStyle name="Финансовый 37 2 4 2 4 2 2 2" xfId="13358" xr:uid="{00000000-0005-0000-0000-0000CE510000}"/>
    <cellStyle name="Финансовый 37 2 4 2 4 2 2 2 2" xfId="30447" xr:uid="{8F552F2B-FD66-467F-AED9-D2EE85DF1A5B}"/>
    <cellStyle name="Финансовый 37 2 4 2 4 2 2 3" xfId="16590" xr:uid="{00000000-0005-0000-0000-0000CF510000}"/>
    <cellStyle name="Финансовый 37 2 4 2 4 2 2 3 2" xfId="33603" xr:uid="{7AC0098D-4CEE-4A80-B0F3-465BBAEEBBDC}"/>
    <cellStyle name="Финансовый 37 2 4 2 4 2 2 4" xfId="19671" xr:uid="{00000000-0005-0000-0000-0000D0510000}"/>
    <cellStyle name="Финансовый 37 2 4 2 4 2 2 4 2" xfId="36684" xr:uid="{FC5E2A1C-F36F-4231-8E04-145019131814}"/>
    <cellStyle name="Финансовый 37 2 4 2 4 2 2 5" xfId="27374" xr:uid="{BC660C61-4CA2-4401-8741-2D8EB35E3A7F}"/>
    <cellStyle name="Финансовый 37 2 4 2 4 2 3" xfId="13357" xr:uid="{00000000-0005-0000-0000-0000D1510000}"/>
    <cellStyle name="Финансовый 37 2 4 2 4 2 3 2" xfId="30446" xr:uid="{D5498B7F-244B-4F9A-8C41-0A27331AB79E}"/>
    <cellStyle name="Финансовый 37 2 4 2 4 2 4" xfId="16589" xr:uid="{00000000-0005-0000-0000-0000D2510000}"/>
    <cellStyle name="Финансовый 37 2 4 2 4 2 4 2" xfId="33602" xr:uid="{642E0851-2CBB-485D-8309-282AC5FC0CB3}"/>
    <cellStyle name="Финансовый 37 2 4 2 4 2 5" xfId="19670" xr:uid="{00000000-0005-0000-0000-0000D3510000}"/>
    <cellStyle name="Финансовый 37 2 4 2 4 2 5 2" xfId="36683" xr:uid="{4A074F87-445F-48B5-B8C9-47E1297D2C91}"/>
    <cellStyle name="Финансовый 37 2 4 2 4 2 6" xfId="27373" xr:uid="{69B4D65F-E843-4020-AD39-F256D29B4EAD}"/>
    <cellStyle name="Финансовый 37 2 4 2 4 3" xfId="10274" xr:uid="{00000000-0005-0000-0000-0000D4510000}"/>
    <cellStyle name="Финансовый 37 2 4 2 4 3 2" xfId="13359" xr:uid="{00000000-0005-0000-0000-0000D5510000}"/>
    <cellStyle name="Финансовый 37 2 4 2 4 3 2 2" xfId="30448" xr:uid="{CBEB612D-7CA7-4235-BB82-1229198AF5C4}"/>
    <cellStyle name="Финансовый 37 2 4 2 4 3 3" xfId="16591" xr:uid="{00000000-0005-0000-0000-0000D6510000}"/>
    <cellStyle name="Финансовый 37 2 4 2 4 3 3 2" xfId="33604" xr:uid="{6B9BEA45-C785-475E-8C83-FF9BA7B6CA21}"/>
    <cellStyle name="Финансовый 37 2 4 2 4 3 4" xfId="19672" xr:uid="{00000000-0005-0000-0000-0000D7510000}"/>
    <cellStyle name="Финансовый 37 2 4 2 4 3 4 2" xfId="36685" xr:uid="{BA3EBB16-3056-48C7-B4F1-EB5FE82F4607}"/>
    <cellStyle name="Финансовый 37 2 4 2 4 3 5" xfId="27375" xr:uid="{6D9AD6E8-334C-492C-BDD7-0463CB9D3987}"/>
    <cellStyle name="Финансовый 37 2 4 2 4 4" xfId="13356" xr:uid="{00000000-0005-0000-0000-0000D8510000}"/>
    <cellStyle name="Финансовый 37 2 4 2 4 4 2" xfId="30445" xr:uid="{D844DB89-CEDD-4F47-AD15-8BA5BA0F7C49}"/>
    <cellStyle name="Финансовый 37 2 4 2 4 5" xfId="16588" xr:uid="{00000000-0005-0000-0000-0000D9510000}"/>
    <cellStyle name="Финансовый 37 2 4 2 4 5 2" xfId="33601" xr:uid="{9F6E81B0-5527-4589-802A-149EBA9FD18A}"/>
    <cellStyle name="Финансовый 37 2 4 2 4 6" xfId="19669" xr:uid="{00000000-0005-0000-0000-0000DA510000}"/>
    <cellStyle name="Финансовый 37 2 4 2 4 6 2" xfId="36682" xr:uid="{00B5E519-DBC0-4129-AA14-1BB7E5B8E8AA}"/>
    <cellStyle name="Финансовый 37 2 4 2 4 7" xfId="27372" xr:uid="{486A9C42-9973-4CD1-9810-1C2192F16C14}"/>
    <cellStyle name="Финансовый 37 2 4 2 5" xfId="10275" xr:uid="{00000000-0005-0000-0000-0000DB510000}"/>
    <cellStyle name="Финансовый 37 2 4 2 5 2" xfId="10276" xr:uid="{00000000-0005-0000-0000-0000DC510000}"/>
    <cellStyle name="Финансовый 37 2 4 2 5 2 2" xfId="13361" xr:uid="{00000000-0005-0000-0000-0000DD510000}"/>
    <cellStyle name="Финансовый 37 2 4 2 5 2 2 2" xfId="30450" xr:uid="{B1B91F95-7F85-4476-8C81-7401A3242715}"/>
    <cellStyle name="Финансовый 37 2 4 2 5 2 3" xfId="16593" xr:uid="{00000000-0005-0000-0000-0000DE510000}"/>
    <cellStyle name="Финансовый 37 2 4 2 5 2 3 2" xfId="33606" xr:uid="{71A4676F-37D1-4747-8367-B4A98A1F63BA}"/>
    <cellStyle name="Финансовый 37 2 4 2 5 2 4" xfId="19674" xr:uid="{00000000-0005-0000-0000-0000DF510000}"/>
    <cellStyle name="Финансовый 37 2 4 2 5 2 4 2" xfId="36687" xr:uid="{1255FD36-FB8E-45AC-B324-2F5C9EB9FBE1}"/>
    <cellStyle name="Финансовый 37 2 4 2 5 2 5" xfId="27377" xr:uid="{ADD6C097-DC28-491C-B2A3-48571684D732}"/>
    <cellStyle name="Финансовый 37 2 4 2 5 3" xfId="13360" xr:uid="{00000000-0005-0000-0000-0000E0510000}"/>
    <cellStyle name="Финансовый 37 2 4 2 5 3 2" xfId="30449" xr:uid="{CAF67FEE-2AF9-4B60-AB85-604B9D82CC82}"/>
    <cellStyle name="Финансовый 37 2 4 2 5 4" xfId="16592" xr:uid="{00000000-0005-0000-0000-0000E1510000}"/>
    <cellStyle name="Финансовый 37 2 4 2 5 4 2" xfId="33605" xr:uid="{9453B7DC-C8A7-491F-A364-69F45EE131C6}"/>
    <cellStyle name="Финансовый 37 2 4 2 5 5" xfId="19673" xr:uid="{00000000-0005-0000-0000-0000E2510000}"/>
    <cellStyle name="Финансовый 37 2 4 2 5 5 2" xfId="36686" xr:uid="{5CBF886B-57CF-48F7-8926-23B5073869C3}"/>
    <cellStyle name="Финансовый 37 2 4 2 5 6" xfId="27376" xr:uid="{39EB2CA9-13B5-44A0-B6D1-D69CE7633DBD}"/>
    <cellStyle name="Финансовый 37 2 4 2 6" xfId="10277" xr:uid="{00000000-0005-0000-0000-0000E3510000}"/>
    <cellStyle name="Финансовый 37 2 4 2 6 2" xfId="13362" xr:uid="{00000000-0005-0000-0000-0000E4510000}"/>
    <cellStyle name="Финансовый 37 2 4 2 6 2 2" xfId="30451" xr:uid="{9761C6F9-9199-4A9E-8E36-BB44C7030AC7}"/>
    <cellStyle name="Финансовый 37 2 4 2 6 3" xfId="16594" xr:uid="{00000000-0005-0000-0000-0000E5510000}"/>
    <cellStyle name="Финансовый 37 2 4 2 6 3 2" xfId="33607" xr:uid="{DA114084-D1E5-4293-9C99-D6CACDA220F9}"/>
    <cellStyle name="Финансовый 37 2 4 2 6 4" xfId="19675" xr:uid="{00000000-0005-0000-0000-0000E6510000}"/>
    <cellStyle name="Финансовый 37 2 4 2 6 4 2" xfId="36688" xr:uid="{73702E03-78B0-40A9-8630-BCE3198DA285}"/>
    <cellStyle name="Финансовый 37 2 4 2 6 5" xfId="27378" xr:uid="{B20B36E8-866E-4C64-A8EB-A9D83022247B}"/>
    <cellStyle name="Финансовый 37 2 4 2 7" xfId="13331" xr:uid="{00000000-0005-0000-0000-0000E7510000}"/>
    <cellStyle name="Финансовый 37 2 4 2 7 2" xfId="30420" xr:uid="{C09289BF-B9AF-4E1D-AC2A-6290E48FC9ED}"/>
    <cellStyle name="Финансовый 37 2 4 2 8" xfId="16563" xr:uid="{00000000-0005-0000-0000-0000E8510000}"/>
    <cellStyle name="Финансовый 37 2 4 2 8 2" xfId="33576" xr:uid="{C9F16ACF-69F0-4D79-8BFC-AFBBBAAA2808}"/>
    <cellStyle name="Финансовый 37 2 4 2 9" xfId="19644" xr:uid="{00000000-0005-0000-0000-0000E9510000}"/>
    <cellStyle name="Финансовый 37 2 4 2 9 2" xfId="36657" xr:uid="{941D4F19-A324-403D-BEF8-8C94FFE8EE1B}"/>
    <cellStyle name="Финансовый 37 2 4 3" xfId="10278" xr:uid="{00000000-0005-0000-0000-0000EA510000}"/>
    <cellStyle name="Финансовый 37 2 4 3 2" xfId="10279" xr:uid="{00000000-0005-0000-0000-0000EB510000}"/>
    <cellStyle name="Финансовый 37 2 4 3 2 2" xfId="10280" xr:uid="{00000000-0005-0000-0000-0000EC510000}"/>
    <cellStyle name="Финансовый 37 2 4 3 2 2 2" xfId="10281" xr:uid="{00000000-0005-0000-0000-0000ED510000}"/>
    <cellStyle name="Финансовый 37 2 4 3 2 2 2 2" xfId="10282" xr:uid="{00000000-0005-0000-0000-0000EE510000}"/>
    <cellStyle name="Финансовый 37 2 4 3 2 2 2 2 2" xfId="13367" xr:uid="{00000000-0005-0000-0000-0000EF510000}"/>
    <cellStyle name="Финансовый 37 2 4 3 2 2 2 2 2 2" xfId="30456" xr:uid="{254A6FD2-ED3E-4E1D-BB62-54933A1DFAFE}"/>
    <cellStyle name="Финансовый 37 2 4 3 2 2 2 2 3" xfId="16599" xr:uid="{00000000-0005-0000-0000-0000F0510000}"/>
    <cellStyle name="Финансовый 37 2 4 3 2 2 2 2 3 2" xfId="33612" xr:uid="{CE9BA8E4-2ADE-4F81-975B-9209B4CCE72D}"/>
    <cellStyle name="Финансовый 37 2 4 3 2 2 2 2 4" xfId="19680" xr:uid="{00000000-0005-0000-0000-0000F1510000}"/>
    <cellStyle name="Финансовый 37 2 4 3 2 2 2 2 4 2" xfId="36693" xr:uid="{B47B8451-610B-4B7B-9838-3C85D91F5192}"/>
    <cellStyle name="Финансовый 37 2 4 3 2 2 2 2 5" xfId="27383" xr:uid="{4A24D831-C0E1-45DF-8117-E725A41AD7A2}"/>
    <cellStyle name="Финансовый 37 2 4 3 2 2 2 3" xfId="13366" xr:uid="{00000000-0005-0000-0000-0000F2510000}"/>
    <cellStyle name="Финансовый 37 2 4 3 2 2 2 3 2" xfId="30455" xr:uid="{976C5BF8-D95F-4842-89B4-D0072E2E68EA}"/>
    <cellStyle name="Финансовый 37 2 4 3 2 2 2 4" xfId="16598" xr:uid="{00000000-0005-0000-0000-0000F3510000}"/>
    <cellStyle name="Финансовый 37 2 4 3 2 2 2 4 2" xfId="33611" xr:uid="{886B4C2A-53A0-422B-910A-A6E3064B2E8A}"/>
    <cellStyle name="Финансовый 37 2 4 3 2 2 2 5" xfId="19679" xr:uid="{00000000-0005-0000-0000-0000F4510000}"/>
    <cellStyle name="Финансовый 37 2 4 3 2 2 2 5 2" xfId="36692" xr:uid="{8FCC1C68-435A-4B29-B81D-9144B0744213}"/>
    <cellStyle name="Финансовый 37 2 4 3 2 2 2 6" xfId="27382" xr:uid="{77F91497-ADA6-4464-B52C-48A193EFF9A5}"/>
    <cellStyle name="Финансовый 37 2 4 3 2 2 3" xfId="10283" xr:uid="{00000000-0005-0000-0000-0000F5510000}"/>
    <cellStyle name="Финансовый 37 2 4 3 2 2 3 2" xfId="13368" xr:uid="{00000000-0005-0000-0000-0000F6510000}"/>
    <cellStyle name="Финансовый 37 2 4 3 2 2 3 2 2" xfId="30457" xr:uid="{78353691-A450-46F3-A8CE-042B2EEE5C53}"/>
    <cellStyle name="Финансовый 37 2 4 3 2 2 3 3" xfId="16600" xr:uid="{00000000-0005-0000-0000-0000F7510000}"/>
    <cellStyle name="Финансовый 37 2 4 3 2 2 3 3 2" xfId="33613" xr:uid="{C00E5568-7447-4386-AC64-E514A028B3FB}"/>
    <cellStyle name="Финансовый 37 2 4 3 2 2 3 4" xfId="19681" xr:uid="{00000000-0005-0000-0000-0000F8510000}"/>
    <cellStyle name="Финансовый 37 2 4 3 2 2 3 4 2" xfId="36694" xr:uid="{33588C21-4832-4269-94CB-A504740AFE90}"/>
    <cellStyle name="Финансовый 37 2 4 3 2 2 3 5" xfId="27384" xr:uid="{4825EA4E-1067-4C4C-B1FB-E032FAFD43B3}"/>
    <cellStyle name="Финансовый 37 2 4 3 2 2 4" xfId="13365" xr:uid="{00000000-0005-0000-0000-0000F9510000}"/>
    <cellStyle name="Финансовый 37 2 4 3 2 2 4 2" xfId="30454" xr:uid="{2BEB62D5-A346-4D46-AAE6-B60EE2BE43C7}"/>
    <cellStyle name="Финансовый 37 2 4 3 2 2 5" xfId="16597" xr:uid="{00000000-0005-0000-0000-0000FA510000}"/>
    <cellStyle name="Финансовый 37 2 4 3 2 2 5 2" xfId="33610" xr:uid="{7EF8F418-5821-4D1B-8110-E00687AC254F}"/>
    <cellStyle name="Финансовый 37 2 4 3 2 2 6" xfId="19678" xr:uid="{00000000-0005-0000-0000-0000FB510000}"/>
    <cellStyle name="Финансовый 37 2 4 3 2 2 6 2" xfId="36691" xr:uid="{9F4F0DB4-198B-40FA-9F78-DE3434BD9393}"/>
    <cellStyle name="Финансовый 37 2 4 3 2 2 7" xfId="27381" xr:uid="{5C27B30E-8F74-4671-A6A1-57940203C6E0}"/>
    <cellStyle name="Финансовый 37 2 4 3 2 3" xfId="10284" xr:uid="{00000000-0005-0000-0000-0000FC510000}"/>
    <cellStyle name="Финансовый 37 2 4 3 2 3 2" xfId="10285" xr:uid="{00000000-0005-0000-0000-0000FD510000}"/>
    <cellStyle name="Финансовый 37 2 4 3 2 3 2 2" xfId="13370" xr:uid="{00000000-0005-0000-0000-0000FE510000}"/>
    <cellStyle name="Финансовый 37 2 4 3 2 3 2 2 2" xfId="30459" xr:uid="{C251568C-F6B3-4294-9DAD-C74DA364E932}"/>
    <cellStyle name="Финансовый 37 2 4 3 2 3 2 3" xfId="16602" xr:uid="{00000000-0005-0000-0000-0000FF510000}"/>
    <cellStyle name="Финансовый 37 2 4 3 2 3 2 3 2" xfId="33615" xr:uid="{67D07F34-A4AD-414B-91E1-40ECCAB9565C}"/>
    <cellStyle name="Финансовый 37 2 4 3 2 3 2 4" xfId="19683" xr:uid="{00000000-0005-0000-0000-000000520000}"/>
    <cellStyle name="Финансовый 37 2 4 3 2 3 2 4 2" xfId="36696" xr:uid="{2BC3BE45-C4BA-45CB-A3F1-1F648155D02D}"/>
    <cellStyle name="Финансовый 37 2 4 3 2 3 2 5" xfId="27386" xr:uid="{7FA602AE-12BB-4D17-B7E0-52AC0516E289}"/>
    <cellStyle name="Финансовый 37 2 4 3 2 3 3" xfId="13369" xr:uid="{00000000-0005-0000-0000-000001520000}"/>
    <cellStyle name="Финансовый 37 2 4 3 2 3 3 2" xfId="30458" xr:uid="{414B8E38-CEA6-4806-A33B-C71CE9B86E8E}"/>
    <cellStyle name="Финансовый 37 2 4 3 2 3 4" xfId="16601" xr:uid="{00000000-0005-0000-0000-000002520000}"/>
    <cellStyle name="Финансовый 37 2 4 3 2 3 4 2" xfId="33614" xr:uid="{A41D8595-B6A7-41A9-9BDE-DEA2A3A682D8}"/>
    <cellStyle name="Финансовый 37 2 4 3 2 3 5" xfId="19682" xr:uid="{00000000-0005-0000-0000-000003520000}"/>
    <cellStyle name="Финансовый 37 2 4 3 2 3 5 2" xfId="36695" xr:uid="{1AD91F2F-1E4A-48EB-8389-DC46B6598E2D}"/>
    <cellStyle name="Финансовый 37 2 4 3 2 3 6" xfId="27385" xr:uid="{1C681591-E581-42D8-B2FD-D7883B4A35E5}"/>
    <cellStyle name="Финансовый 37 2 4 3 2 4" xfId="10286" xr:uid="{00000000-0005-0000-0000-000004520000}"/>
    <cellStyle name="Финансовый 37 2 4 3 2 4 2" xfId="13371" xr:uid="{00000000-0005-0000-0000-000005520000}"/>
    <cellStyle name="Финансовый 37 2 4 3 2 4 2 2" xfId="30460" xr:uid="{DBFE0E04-9B57-4B2C-A291-5E28E7ACE744}"/>
    <cellStyle name="Финансовый 37 2 4 3 2 4 3" xfId="16603" xr:uid="{00000000-0005-0000-0000-000006520000}"/>
    <cellStyle name="Финансовый 37 2 4 3 2 4 3 2" xfId="33616" xr:uid="{2C64DF0B-10BE-415E-8895-2A2EFC8C6288}"/>
    <cellStyle name="Финансовый 37 2 4 3 2 4 4" xfId="19684" xr:uid="{00000000-0005-0000-0000-000007520000}"/>
    <cellStyle name="Финансовый 37 2 4 3 2 4 4 2" xfId="36697" xr:uid="{7BDCA8D8-66F0-4D9A-A048-9C572AA03280}"/>
    <cellStyle name="Финансовый 37 2 4 3 2 4 5" xfId="27387" xr:uid="{AE829A98-438B-4937-83FC-29CA8483657E}"/>
    <cellStyle name="Финансовый 37 2 4 3 2 5" xfId="13364" xr:uid="{00000000-0005-0000-0000-000008520000}"/>
    <cellStyle name="Финансовый 37 2 4 3 2 5 2" xfId="30453" xr:uid="{3AFCEAA1-29A2-4BB5-B4DA-A80BAE13142E}"/>
    <cellStyle name="Финансовый 37 2 4 3 2 6" xfId="16596" xr:uid="{00000000-0005-0000-0000-000009520000}"/>
    <cellStyle name="Финансовый 37 2 4 3 2 6 2" xfId="33609" xr:uid="{F6A00333-2B2B-4419-AB30-F90E20924BDD}"/>
    <cellStyle name="Финансовый 37 2 4 3 2 7" xfId="19677" xr:uid="{00000000-0005-0000-0000-00000A520000}"/>
    <cellStyle name="Финансовый 37 2 4 3 2 7 2" xfId="36690" xr:uid="{731CD264-B42B-415C-B156-10BCEE9E2217}"/>
    <cellStyle name="Финансовый 37 2 4 3 2 8" xfId="27380" xr:uid="{BFC03EC5-D246-415D-957A-F8E7AFF6C79A}"/>
    <cellStyle name="Финансовый 37 2 4 3 3" xfId="10287" xr:uid="{00000000-0005-0000-0000-00000B520000}"/>
    <cellStyle name="Финансовый 37 2 4 3 3 2" xfId="10288" xr:uid="{00000000-0005-0000-0000-00000C520000}"/>
    <cellStyle name="Финансовый 37 2 4 3 3 2 2" xfId="10289" xr:uid="{00000000-0005-0000-0000-00000D520000}"/>
    <cellStyle name="Финансовый 37 2 4 3 3 2 2 2" xfId="13374" xr:uid="{00000000-0005-0000-0000-00000E520000}"/>
    <cellStyle name="Финансовый 37 2 4 3 3 2 2 2 2" xfId="30463" xr:uid="{9B994D29-847E-4BE9-8B7D-00CA0F10E52C}"/>
    <cellStyle name="Финансовый 37 2 4 3 3 2 2 3" xfId="16606" xr:uid="{00000000-0005-0000-0000-00000F520000}"/>
    <cellStyle name="Финансовый 37 2 4 3 3 2 2 3 2" xfId="33619" xr:uid="{69685A77-911F-474C-99D0-AF0E50AC8941}"/>
    <cellStyle name="Финансовый 37 2 4 3 3 2 2 4" xfId="19687" xr:uid="{00000000-0005-0000-0000-000010520000}"/>
    <cellStyle name="Финансовый 37 2 4 3 3 2 2 4 2" xfId="36700" xr:uid="{8FBB5755-6C27-437C-851C-5578DB6AE371}"/>
    <cellStyle name="Финансовый 37 2 4 3 3 2 2 5" xfId="27390" xr:uid="{78D9F8A1-77F3-4315-8431-9E5822C24405}"/>
    <cellStyle name="Финансовый 37 2 4 3 3 2 3" xfId="13373" xr:uid="{00000000-0005-0000-0000-000011520000}"/>
    <cellStyle name="Финансовый 37 2 4 3 3 2 3 2" xfId="30462" xr:uid="{90130A2B-3F85-4D95-A62B-497F8D751C12}"/>
    <cellStyle name="Финансовый 37 2 4 3 3 2 4" xfId="16605" xr:uid="{00000000-0005-0000-0000-000012520000}"/>
    <cellStyle name="Финансовый 37 2 4 3 3 2 4 2" xfId="33618" xr:uid="{CC815451-E730-49AA-A93C-7A4D808BF4CF}"/>
    <cellStyle name="Финансовый 37 2 4 3 3 2 5" xfId="19686" xr:uid="{00000000-0005-0000-0000-000013520000}"/>
    <cellStyle name="Финансовый 37 2 4 3 3 2 5 2" xfId="36699" xr:uid="{529BEB8C-94AD-40FC-AF50-5DA71BF24C3C}"/>
    <cellStyle name="Финансовый 37 2 4 3 3 2 6" xfId="27389" xr:uid="{7759CD27-F0BD-4F74-8764-39E743BA250F}"/>
    <cellStyle name="Финансовый 37 2 4 3 3 3" xfId="10290" xr:uid="{00000000-0005-0000-0000-000014520000}"/>
    <cellStyle name="Финансовый 37 2 4 3 3 3 2" xfId="13375" xr:uid="{00000000-0005-0000-0000-000015520000}"/>
    <cellStyle name="Финансовый 37 2 4 3 3 3 2 2" xfId="30464" xr:uid="{791E07D2-24BF-41C0-AA7A-B7B569814117}"/>
    <cellStyle name="Финансовый 37 2 4 3 3 3 3" xfId="16607" xr:uid="{00000000-0005-0000-0000-000016520000}"/>
    <cellStyle name="Финансовый 37 2 4 3 3 3 3 2" xfId="33620" xr:uid="{C7B27230-F494-47E5-8E3E-59809F1F02A2}"/>
    <cellStyle name="Финансовый 37 2 4 3 3 3 4" xfId="19688" xr:uid="{00000000-0005-0000-0000-000017520000}"/>
    <cellStyle name="Финансовый 37 2 4 3 3 3 4 2" xfId="36701" xr:uid="{4C9BCBE9-6CFB-4907-AD7E-7281DB6DDE28}"/>
    <cellStyle name="Финансовый 37 2 4 3 3 3 5" xfId="27391" xr:uid="{2221B053-417C-4B36-89DE-2ECFB1221486}"/>
    <cellStyle name="Финансовый 37 2 4 3 3 4" xfId="13372" xr:uid="{00000000-0005-0000-0000-000018520000}"/>
    <cellStyle name="Финансовый 37 2 4 3 3 4 2" xfId="30461" xr:uid="{DADAC84F-1581-430E-AA98-87BFB17A3E86}"/>
    <cellStyle name="Финансовый 37 2 4 3 3 5" xfId="16604" xr:uid="{00000000-0005-0000-0000-000019520000}"/>
    <cellStyle name="Финансовый 37 2 4 3 3 5 2" xfId="33617" xr:uid="{F1C69D0E-FC2F-4A38-BB06-182891A1649E}"/>
    <cellStyle name="Финансовый 37 2 4 3 3 6" xfId="19685" xr:uid="{00000000-0005-0000-0000-00001A520000}"/>
    <cellStyle name="Финансовый 37 2 4 3 3 6 2" xfId="36698" xr:uid="{7D4511CA-3E8E-4F0F-88B4-805EA659133B}"/>
    <cellStyle name="Финансовый 37 2 4 3 3 7" xfId="27388" xr:uid="{796A3392-C0C1-4A45-84AE-B7EEA6F1C93A}"/>
    <cellStyle name="Финансовый 37 2 4 3 4" xfId="10291" xr:uid="{00000000-0005-0000-0000-00001B520000}"/>
    <cellStyle name="Финансовый 37 2 4 3 4 2" xfId="10292" xr:uid="{00000000-0005-0000-0000-00001C520000}"/>
    <cellStyle name="Финансовый 37 2 4 3 4 2 2" xfId="13377" xr:uid="{00000000-0005-0000-0000-00001D520000}"/>
    <cellStyle name="Финансовый 37 2 4 3 4 2 2 2" xfId="30466" xr:uid="{1C0B6459-707C-4DDB-B4AC-C4F3EDE627EA}"/>
    <cellStyle name="Финансовый 37 2 4 3 4 2 3" xfId="16609" xr:uid="{00000000-0005-0000-0000-00001E520000}"/>
    <cellStyle name="Финансовый 37 2 4 3 4 2 3 2" xfId="33622" xr:uid="{DABDB37E-D6D8-427A-A27B-07134310BEAD}"/>
    <cellStyle name="Финансовый 37 2 4 3 4 2 4" xfId="19690" xr:uid="{00000000-0005-0000-0000-00001F520000}"/>
    <cellStyle name="Финансовый 37 2 4 3 4 2 4 2" xfId="36703" xr:uid="{FF219270-1482-449B-9C13-A5B904EC643D}"/>
    <cellStyle name="Финансовый 37 2 4 3 4 2 5" xfId="27393" xr:uid="{350EFA98-3A94-4DFD-855C-BDA2E8A5B719}"/>
    <cellStyle name="Финансовый 37 2 4 3 4 3" xfId="13376" xr:uid="{00000000-0005-0000-0000-000020520000}"/>
    <cellStyle name="Финансовый 37 2 4 3 4 3 2" xfId="30465" xr:uid="{609BFE57-5916-4FE6-A968-FA5CFD7EB99E}"/>
    <cellStyle name="Финансовый 37 2 4 3 4 4" xfId="16608" xr:uid="{00000000-0005-0000-0000-000021520000}"/>
    <cellStyle name="Финансовый 37 2 4 3 4 4 2" xfId="33621" xr:uid="{D517AEC4-4D1D-4808-A434-CDE3B2F9A968}"/>
    <cellStyle name="Финансовый 37 2 4 3 4 5" xfId="19689" xr:uid="{00000000-0005-0000-0000-000022520000}"/>
    <cellStyle name="Финансовый 37 2 4 3 4 5 2" xfId="36702" xr:uid="{96100195-60E3-4CCC-AE82-F6F6FEE8CC91}"/>
    <cellStyle name="Финансовый 37 2 4 3 4 6" xfId="27392" xr:uid="{8D4BA0C2-70F2-4757-885E-2D70B7FF1023}"/>
    <cellStyle name="Финансовый 37 2 4 3 5" xfId="10293" xr:uid="{00000000-0005-0000-0000-000023520000}"/>
    <cellStyle name="Финансовый 37 2 4 3 5 2" xfId="13378" xr:uid="{00000000-0005-0000-0000-000024520000}"/>
    <cellStyle name="Финансовый 37 2 4 3 5 2 2" xfId="30467" xr:uid="{F10475AE-5F6C-49B1-AE46-6B785EEC14B0}"/>
    <cellStyle name="Финансовый 37 2 4 3 5 3" xfId="16610" xr:uid="{00000000-0005-0000-0000-000025520000}"/>
    <cellStyle name="Финансовый 37 2 4 3 5 3 2" xfId="33623" xr:uid="{51354A4F-C091-46CE-B9FD-F8DD9E06ED9C}"/>
    <cellStyle name="Финансовый 37 2 4 3 5 4" xfId="19691" xr:uid="{00000000-0005-0000-0000-000026520000}"/>
    <cellStyle name="Финансовый 37 2 4 3 5 4 2" xfId="36704" xr:uid="{C7C0BDB8-3A0D-4264-8A52-194B4DEB3976}"/>
    <cellStyle name="Финансовый 37 2 4 3 5 5" xfId="27394" xr:uid="{DB44B14A-73D3-443D-AB66-2BC0311A6B30}"/>
    <cellStyle name="Финансовый 37 2 4 3 6" xfId="13363" xr:uid="{00000000-0005-0000-0000-000027520000}"/>
    <cellStyle name="Финансовый 37 2 4 3 6 2" xfId="30452" xr:uid="{E2C5C80A-C528-4BF6-A00D-B19B68D972A9}"/>
    <cellStyle name="Финансовый 37 2 4 3 7" xfId="16595" xr:uid="{00000000-0005-0000-0000-000028520000}"/>
    <cellStyle name="Финансовый 37 2 4 3 7 2" xfId="33608" xr:uid="{A48B1EFD-60A6-488A-AD02-47C359C16725}"/>
    <cellStyle name="Финансовый 37 2 4 3 8" xfId="19676" xr:uid="{00000000-0005-0000-0000-000029520000}"/>
    <cellStyle name="Финансовый 37 2 4 3 8 2" xfId="36689" xr:uid="{21FE4A55-1B01-4E67-81EC-58631A1CC988}"/>
    <cellStyle name="Финансовый 37 2 4 3 9" xfId="27379" xr:uid="{330AFE82-1238-4561-AE7B-74C3BAC193A5}"/>
    <cellStyle name="Финансовый 37 2 4 4" xfId="10294" xr:uid="{00000000-0005-0000-0000-00002A520000}"/>
    <cellStyle name="Финансовый 37 2 4 4 2" xfId="10295" xr:uid="{00000000-0005-0000-0000-00002B520000}"/>
    <cellStyle name="Финансовый 37 2 4 4 2 2" xfId="10296" xr:uid="{00000000-0005-0000-0000-00002C520000}"/>
    <cellStyle name="Финансовый 37 2 4 4 2 2 2" xfId="10297" xr:uid="{00000000-0005-0000-0000-00002D520000}"/>
    <cellStyle name="Финансовый 37 2 4 4 2 2 2 2" xfId="13382" xr:uid="{00000000-0005-0000-0000-00002E520000}"/>
    <cellStyle name="Финансовый 37 2 4 4 2 2 2 2 2" xfId="30471" xr:uid="{361DEF0D-7AA1-416F-90DA-3F8711366892}"/>
    <cellStyle name="Финансовый 37 2 4 4 2 2 2 3" xfId="16614" xr:uid="{00000000-0005-0000-0000-00002F520000}"/>
    <cellStyle name="Финансовый 37 2 4 4 2 2 2 3 2" xfId="33627" xr:uid="{81E6427F-7F89-4438-B7F9-633DB0F21455}"/>
    <cellStyle name="Финансовый 37 2 4 4 2 2 2 4" xfId="19695" xr:uid="{00000000-0005-0000-0000-000030520000}"/>
    <cellStyle name="Финансовый 37 2 4 4 2 2 2 4 2" xfId="36708" xr:uid="{C37B5F59-5733-4A05-BD4E-FA5FD89D402E}"/>
    <cellStyle name="Финансовый 37 2 4 4 2 2 2 5" xfId="27398" xr:uid="{5672C09B-C734-4D08-9260-B7533A398213}"/>
    <cellStyle name="Финансовый 37 2 4 4 2 2 3" xfId="13381" xr:uid="{00000000-0005-0000-0000-000031520000}"/>
    <cellStyle name="Финансовый 37 2 4 4 2 2 3 2" xfId="30470" xr:uid="{718DFCB4-497D-4A0C-930D-15EF6722494B}"/>
    <cellStyle name="Финансовый 37 2 4 4 2 2 4" xfId="16613" xr:uid="{00000000-0005-0000-0000-000032520000}"/>
    <cellStyle name="Финансовый 37 2 4 4 2 2 4 2" xfId="33626" xr:uid="{A053E30D-DB98-441C-B268-610BD1B1651F}"/>
    <cellStyle name="Финансовый 37 2 4 4 2 2 5" xfId="19694" xr:uid="{00000000-0005-0000-0000-000033520000}"/>
    <cellStyle name="Финансовый 37 2 4 4 2 2 5 2" xfId="36707" xr:uid="{E56970EB-FADF-429C-BAED-F6ABA712D2CD}"/>
    <cellStyle name="Финансовый 37 2 4 4 2 2 6" xfId="27397" xr:uid="{1D166E31-769D-4287-A506-39AC912C0080}"/>
    <cellStyle name="Финансовый 37 2 4 4 2 3" xfId="10298" xr:uid="{00000000-0005-0000-0000-000034520000}"/>
    <cellStyle name="Финансовый 37 2 4 4 2 3 2" xfId="13383" xr:uid="{00000000-0005-0000-0000-000035520000}"/>
    <cellStyle name="Финансовый 37 2 4 4 2 3 2 2" xfId="30472" xr:uid="{DFEA2B6A-8D06-48F9-9EB4-A855DC53E1A6}"/>
    <cellStyle name="Финансовый 37 2 4 4 2 3 3" xfId="16615" xr:uid="{00000000-0005-0000-0000-000036520000}"/>
    <cellStyle name="Финансовый 37 2 4 4 2 3 3 2" xfId="33628" xr:uid="{90A286DC-6BC5-4D0E-83D8-FB70B2A21CE4}"/>
    <cellStyle name="Финансовый 37 2 4 4 2 3 4" xfId="19696" xr:uid="{00000000-0005-0000-0000-000037520000}"/>
    <cellStyle name="Финансовый 37 2 4 4 2 3 4 2" xfId="36709" xr:uid="{60D8E029-A2B9-4F36-B5F7-E81062A526FF}"/>
    <cellStyle name="Финансовый 37 2 4 4 2 3 5" xfId="27399" xr:uid="{EFAE16E0-3184-43BD-A0C6-D43034C4E963}"/>
    <cellStyle name="Финансовый 37 2 4 4 2 4" xfId="13380" xr:uid="{00000000-0005-0000-0000-000038520000}"/>
    <cellStyle name="Финансовый 37 2 4 4 2 4 2" xfId="30469" xr:uid="{0EE15354-B1D7-4C25-819A-A545592B946B}"/>
    <cellStyle name="Финансовый 37 2 4 4 2 5" xfId="16612" xr:uid="{00000000-0005-0000-0000-000039520000}"/>
    <cellStyle name="Финансовый 37 2 4 4 2 5 2" xfId="33625" xr:uid="{24D966D0-099D-4A54-B334-6277F8910DE8}"/>
    <cellStyle name="Финансовый 37 2 4 4 2 6" xfId="19693" xr:uid="{00000000-0005-0000-0000-00003A520000}"/>
    <cellStyle name="Финансовый 37 2 4 4 2 6 2" xfId="36706" xr:uid="{D83DC67E-4595-4337-8A9C-B5676E737AAA}"/>
    <cellStyle name="Финансовый 37 2 4 4 2 7" xfId="27396" xr:uid="{BDDE32DD-A5E3-4EC9-8812-42871F4902DA}"/>
    <cellStyle name="Финансовый 37 2 4 4 3" xfId="10299" xr:uid="{00000000-0005-0000-0000-00003B520000}"/>
    <cellStyle name="Финансовый 37 2 4 4 3 2" xfId="10300" xr:uid="{00000000-0005-0000-0000-00003C520000}"/>
    <cellStyle name="Финансовый 37 2 4 4 3 2 2" xfId="13385" xr:uid="{00000000-0005-0000-0000-00003D520000}"/>
    <cellStyle name="Финансовый 37 2 4 4 3 2 2 2" xfId="30474" xr:uid="{D30A35A3-ABF8-472D-9EE7-648E9D0F97D8}"/>
    <cellStyle name="Финансовый 37 2 4 4 3 2 3" xfId="16617" xr:uid="{00000000-0005-0000-0000-00003E520000}"/>
    <cellStyle name="Финансовый 37 2 4 4 3 2 3 2" xfId="33630" xr:uid="{EB95866A-C9E9-401D-8FB0-6C1D532B7876}"/>
    <cellStyle name="Финансовый 37 2 4 4 3 2 4" xfId="19698" xr:uid="{00000000-0005-0000-0000-00003F520000}"/>
    <cellStyle name="Финансовый 37 2 4 4 3 2 4 2" xfId="36711" xr:uid="{01E1BC3D-0E2F-415E-B663-738A7A2849A6}"/>
    <cellStyle name="Финансовый 37 2 4 4 3 2 5" xfId="27401" xr:uid="{707F633D-47A7-4D2D-9D2E-7A2E661340A4}"/>
    <cellStyle name="Финансовый 37 2 4 4 3 3" xfId="13384" xr:uid="{00000000-0005-0000-0000-000040520000}"/>
    <cellStyle name="Финансовый 37 2 4 4 3 3 2" xfId="30473" xr:uid="{7DFE048D-BA70-4BA1-A976-DAF8137072B7}"/>
    <cellStyle name="Финансовый 37 2 4 4 3 4" xfId="16616" xr:uid="{00000000-0005-0000-0000-000041520000}"/>
    <cellStyle name="Финансовый 37 2 4 4 3 4 2" xfId="33629" xr:uid="{DCDC79FB-A109-4D62-AA5F-DC24837F12C9}"/>
    <cellStyle name="Финансовый 37 2 4 4 3 5" xfId="19697" xr:uid="{00000000-0005-0000-0000-000042520000}"/>
    <cellStyle name="Финансовый 37 2 4 4 3 5 2" xfId="36710" xr:uid="{01BFE0D7-64ED-4063-B5B1-855CACDEE231}"/>
    <cellStyle name="Финансовый 37 2 4 4 3 6" xfId="27400" xr:uid="{0BAB99BF-A4C9-4B44-930C-CAEB1765D794}"/>
    <cellStyle name="Финансовый 37 2 4 4 4" xfId="10301" xr:uid="{00000000-0005-0000-0000-000043520000}"/>
    <cellStyle name="Финансовый 37 2 4 4 4 2" xfId="13386" xr:uid="{00000000-0005-0000-0000-000044520000}"/>
    <cellStyle name="Финансовый 37 2 4 4 4 2 2" xfId="30475" xr:uid="{7235F5E3-A489-406D-9E4F-17FC8F95F731}"/>
    <cellStyle name="Финансовый 37 2 4 4 4 3" xfId="16618" xr:uid="{00000000-0005-0000-0000-000045520000}"/>
    <cellStyle name="Финансовый 37 2 4 4 4 3 2" xfId="33631" xr:uid="{1C09DFD3-BE7E-44A8-ADC0-EA6A6C2E1EB7}"/>
    <cellStyle name="Финансовый 37 2 4 4 4 4" xfId="19699" xr:uid="{00000000-0005-0000-0000-000046520000}"/>
    <cellStyle name="Финансовый 37 2 4 4 4 4 2" xfId="36712" xr:uid="{2F896845-F19D-4A34-8980-E12A5F28A338}"/>
    <cellStyle name="Финансовый 37 2 4 4 4 5" xfId="27402" xr:uid="{C8EDEC59-F13E-4B7F-8D58-DB7061B177FD}"/>
    <cellStyle name="Финансовый 37 2 4 4 5" xfId="13379" xr:uid="{00000000-0005-0000-0000-000047520000}"/>
    <cellStyle name="Финансовый 37 2 4 4 5 2" xfId="30468" xr:uid="{1217D231-6093-4B5A-96F8-65FBCB8E7397}"/>
    <cellStyle name="Финансовый 37 2 4 4 6" xfId="16611" xr:uid="{00000000-0005-0000-0000-000048520000}"/>
    <cellStyle name="Финансовый 37 2 4 4 6 2" xfId="33624" xr:uid="{C218297C-2AA9-4ECF-9D6F-9F5707098FCE}"/>
    <cellStyle name="Финансовый 37 2 4 4 7" xfId="19692" xr:uid="{00000000-0005-0000-0000-000049520000}"/>
    <cellStyle name="Финансовый 37 2 4 4 7 2" xfId="36705" xr:uid="{CE2F973D-F976-4B3F-A187-16931498EB8D}"/>
    <cellStyle name="Финансовый 37 2 4 4 8" xfId="27395" xr:uid="{29295C22-D03F-40F4-BD65-E3D9B0E092BF}"/>
    <cellStyle name="Финансовый 37 2 4 5" xfId="10302" xr:uid="{00000000-0005-0000-0000-00004A520000}"/>
    <cellStyle name="Финансовый 37 2 4 5 2" xfId="10303" xr:uid="{00000000-0005-0000-0000-00004B520000}"/>
    <cellStyle name="Финансовый 37 2 4 5 2 2" xfId="10304" xr:uid="{00000000-0005-0000-0000-00004C520000}"/>
    <cellStyle name="Финансовый 37 2 4 5 2 2 2" xfId="13389" xr:uid="{00000000-0005-0000-0000-00004D520000}"/>
    <cellStyle name="Финансовый 37 2 4 5 2 2 2 2" xfId="30478" xr:uid="{CA77348F-12D4-41BB-9BDB-755BCD3AE20D}"/>
    <cellStyle name="Финансовый 37 2 4 5 2 2 3" xfId="16621" xr:uid="{00000000-0005-0000-0000-00004E520000}"/>
    <cellStyle name="Финансовый 37 2 4 5 2 2 3 2" xfId="33634" xr:uid="{879244B6-430C-4CF9-9B0F-D844D88CECBB}"/>
    <cellStyle name="Финансовый 37 2 4 5 2 2 4" xfId="19702" xr:uid="{00000000-0005-0000-0000-00004F520000}"/>
    <cellStyle name="Финансовый 37 2 4 5 2 2 4 2" xfId="36715" xr:uid="{DDD37D20-2E64-4421-8F48-6665397969F8}"/>
    <cellStyle name="Финансовый 37 2 4 5 2 2 5" xfId="27405" xr:uid="{7768576C-7A63-4B24-B664-B54318C1EF39}"/>
    <cellStyle name="Финансовый 37 2 4 5 2 3" xfId="13388" xr:uid="{00000000-0005-0000-0000-000050520000}"/>
    <cellStyle name="Финансовый 37 2 4 5 2 3 2" xfId="30477" xr:uid="{2E3F2C15-830F-4734-AD2F-549DB684C48B}"/>
    <cellStyle name="Финансовый 37 2 4 5 2 4" xfId="16620" xr:uid="{00000000-0005-0000-0000-000051520000}"/>
    <cellStyle name="Финансовый 37 2 4 5 2 4 2" xfId="33633" xr:uid="{32A0FD89-34A7-4DFF-91D3-B1E262EADECF}"/>
    <cellStyle name="Финансовый 37 2 4 5 2 5" xfId="19701" xr:uid="{00000000-0005-0000-0000-000052520000}"/>
    <cellStyle name="Финансовый 37 2 4 5 2 5 2" xfId="36714" xr:uid="{28D63E10-F16D-4F6F-A7D1-2C7BA25177F1}"/>
    <cellStyle name="Финансовый 37 2 4 5 2 6" xfId="27404" xr:uid="{C4EE1ED0-AADE-45EE-A01A-22CAC9C2F587}"/>
    <cellStyle name="Финансовый 37 2 4 5 3" xfId="10305" xr:uid="{00000000-0005-0000-0000-000053520000}"/>
    <cellStyle name="Финансовый 37 2 4 5 3 2" xfId="13390" xr:uid="{00000000-0005-0000-0000-000054520000}"/>
    <cellStyle name="Финансовый 37 2 4 5 3 2 2" xfId="30479" xr:uid="{AC25792F-92E4-4F5D-83B7-9011F3E59093}"/>
    <cellStyle name="Финансовый 37 2 4 5 3 3" xfId="16622" xr:uid="{00000000-0005-0000-0000-000055520000}"/>
    <cellStyle name="Финансовый 37 2 4 5 3 3 2" xfId="33635" xr:uid="{8BC44AD1-A13B-480E-85F3-3601F946BC59}"/>
    <cellStyle name="Финансовый 37 2 4 5 3 4" xfId="19703" xr:uid="{00000000-0005-0000-0000-000056520000}"/>
    <cellStyle name="Финансовый 37 2 4 5 3 4 2" xfId="36716" xr:uid="{2BC92D05-C119-447A-815B-C8DA5ABFF768}"/>
    <cellStyle name="Финансовый 37 2 4 5 3 5" xfId="27406" xr:uid="{1E0605EA-2FAF-4E29-A642-489B43ECD91A}"/>
    <cellStyle name="Финансовый 37 2 4 5 4" xfId="13387" xr:uid="{00000000-0005-0000-0000-000057520000}"/>
    <cellStyle name="Финансовый 37 2 4 5 4 2" xfId="30476" xr:uid="{5EA49F7E-7CEC-461D-A164-46AF427895B9}"/>
    <cellStyle name="Финансовый 37 2 4 5 5" xfId="16619" xr:uid="{00000000-0005-0000-0000-000058520000}"/>
    <cellStyle name="Финансовый 37 2 4 5 5 2" xfId="33632" xr:uid="{68B85B75-2174-4A1E-B5AD-AD884CCBB497}"/>
    <cellStyle name="Финансовый 37 2 4 5 6" xfId="19700" xr:uid="{00000000-0005-0000-0000-000059520000}"/>
    <cellStyle name="Финансовый 37 2 4 5 6 2" xfId="36713" xr:uid="{D92071A8-9BF1-499A-926B-7F9A9577D2EE}"/>
    <cellStyle name="Финансовый 37 2 4 5 7" xfId="27403" xr:uid="{CE4B4308-1D8A-45FF-BF46-2975767EDFE1}"/>
    <cellStyle name="Финансовый 37 2 4 6" xfId="10306" xr:uid="{00000000-0005-0000-0000-00005A520000}"/>
    <cellStyle name="Финансовый 37 2 4 6 2" xfId="10307" xr:uid="{00000000-0005-0000-0000-00005B520000}"/>
    <cellStyle name="Финансовый 37 2 4 6 2 2" xfId="13392" xr:uid="{00000000-0005-0000-0000-00005C520000}"/>
    <cellStyle name="Финансовый 37 2 4 6 2 2 2" xfId="30481" xr:uid="{B653ADF2-5784-4DDB-A6C8-FA34FA9C1203}"/>
    <cellStyle name="Финансовый 37 2 4 6 2 3" xfId="16624" xr:uid="{00000000-0005-0000-0000-00005D520000}"/>
    <cellStyle name="Финансовый 37 2 4 6 2 3 2" xfId="33637" xr:uid="{8BB51A88-FCFA-43DB-B819-22412812D143}"/>
    <cellStyle name="Финансовый 37 2 4 6 2 4" xfId="19705" xr:uid="{00000000-0005-0000-0000-00005E520000}"/>
    <cellStyle name="Финансовый 37 2 4 6 2 4 2" xfId="36718" xr:uid="{A41DE7E6-9B63-4C67-801C-40040BB4DE8C}"/>
    <cellStyle name="Финансовый 37 2 4 6 2 5" xfId="27408" xr:uid="{F2EAE4FD-ACC7-44DF-96B3-8C933E471F82}"/>
    <cellStyle name="Финансовый 37 2 4 6 3" xfId="13391" xr:uid="{00000000-0005-0000-0000-00005F520000}"/>
    <cellStyle name="Финансовый 37 2 4 6 3 2" xfId="30480" xr:uid="{B61B8D7B-DB4B-45A6-84A7-9046DE28E30C}"/>
    <cellStyle name="Финансовый 37 2 4 6 4" xfId="16623" xr:uid="{00000000-0005-0000-0000-000060520000}"/>
    <cellStyle name="Финансовый 37 2 4 6 4 2" xfId="33636" xr:uid="{627EDE1A-5DA2-46C7-85E8-0F304656B727}"/>
    <cellStyle name="Финансовый 37 2 4 6 5" xfId="19704" xr:uid="{00000000-0005-0000-0000-000061520000}"/>
    <cellStyle name="Финансовый 37 2 4 6 5 2" xfId="36717" xr:uid="{BF454AB2-CE25-4890-97DF-05D4362C24DE}"/>
    <cellStyle name="Финансовый 37 2 4 6 6" xfId="27407" xr:uid="{99CDC03C-D70A-466D-9DCC-ED2AF1CF67A4}"/>
    <cellStyle name="Финансовый 37 2 4 7" xfId="10308" xr:uid="{00000000-0005-0000-0000-000062520000}"/>
    <cellStyle name="Финансовый 37 2 4 7 2" xfId="13393" xr:uid="{00000000-0005-0000-0000-000063520000}"/>
    <cellStyle name="Финансовый 37 2 4 7 2 2" xfId="30482" xr:uid="{AF085EAE-1536-498C-B2E5-09F6884BD7A1}"/>
    <cellStyle name="Финансовый 37 2 4 7 3" xfId="16625" xr:uid="{00000000-0005-0000-0000-000064520000}"/>
    <cellStyle name="Финансовый 37 2 4 7 3 2" xfId="33638" xr:uid="{3593481B-217A-4082-B14F-BA97DBB60601}"/>
    <cellStyle name="Финансовый 37 2 4 7 4" xfId="19706" xr:uid="{00000000-0005-0000-0000-000065520000}"/>
    <cellStyle name="Финансовый 37 2 4 7 4 2" xfId="36719" xr:uid="{C39B8E9F-E363-4068-A5A3-141126B8E448}"/>
    <cellStyle name="Финансовый 37 2 4 7 5" xfId="27409" xr:uid="{244EFB64-6D73-457D-86A7-AFA1427CB532}"/>
    <cellStyle name="Финансовый 37 2 4 8" xfId="13330" xr:uid="{00000000-0005-0000-0000-000066520000}"/>
    <cellStyle name="Финансовый 37 2 4 8 2" xfId="30419" xr:uid="{27A4B4BB-03CB-4314-82B5-4B3F6EF0079C}"/>
    <cellStyle name="Финансовый 37 2 4 9" xfId="16562" xr:uid="{00000000-0005-0000-0000-000067520000}"/>
    <cellStyle name="Финансовый 37 2 4 9 2" xfId="33575" xr:uid="{083AD4E8-7DF2-4799-972C-EE1C17E6E600}"/>
    <cellStyle name="Финансовый 37 2 5" xfId="10309" xr:uid="{00000000-0005-0000-0000-000068520000}"/>
    <cellStyle name="Финансовый 37 2 5 10" xfId="27410" xr:uid="{42BE12E5-0A45-4162-B171-DF3A4796CDE8}"/>
    <cellStyle name="Финансовый 37 2 5 2" xfId="10310" xr:uid="{00000000-0005-0000-0000-000069520000}"/>
    <cellStyle name="Финансовый 37 2 5 2 2" xfId="10311" xr:uid="{00000000-0005-0000-0000-00006A520000}"/>
    <cellStyle name="Финансовый 37 2 5 2 2 2" xfId="10312" xr:uid="{00000000-0005-0000-0000-00006B520000}"/>
    <cellStyle name="Финансовый 37 2 5 2 2 2 2" xfId="10313" xr:uid="{00000000-0005-0000-0000-00006C520000}"/>
    <cellStyle name="Финансовый 37 2 5 2 2 2 2 2" xfId="10314" xr:uid="{00000000-0005-0000-0000-00006D520000}"/>
    <cellStyle name="Финансовый 37 2 5 2 2 2 2 2 2" xfId="13399" xr:uid="{00000000-0005-0000-0000-00006E520000}"/>
    <cellStyle name="Финансовый 37 2 5 2 2 2 2 2 2 2" xfId="30488" xr:uid="{0C665B91-013B-4CDD-96F6-DB9851834D83}"/>
    <cellStyle name="Финансовый 37 2 5 2 2 2 2 2 3" xfId="16631" xr:uid="{00000000-0005-0000-0000-00006F520000}"/>
    <cellStyle name="Финансовый 37 2 5 2 2 2 2 2 3 2" xfId="33644" xr:uid="{A2FA14F0-8203-4459-966C-E2F47D32721A}"/>
    <cellStyle name="Финансовый 37 2 5 2 2 2 2 2 4" xfId="19712" xr:uid="{00000000-0005-0000-0000-000070520000}"/>
    <cellStyle name="Финансовый 37 2 5 2 2 2 2 2 4 2" xfId="36725" xr:uid="{91F8AADC-23B3-40D9-8A05-0D8F8A44FCDE}"/>
    <cellStyle name="Финансовый 37 2 5 2 2 2 2 2 5" xfId="27415" xr:uid="{C67AE9F0-5850-4E30-9DC1-4F99E3D6D0DD}"/>
    <cellStyle name="Финансовый 37 2 5 2 2 2 2 3" xfId="13398" xr:uid="{00000000-0005-0000-0000-000071520000}"/>
    <cellStyle name="Финансовый 37 2 5 2 2 2 2 3 2" xfId="30487" xr:uid="{26FDDD4C-637D-4031-A562-E604EFB737BA}"/>
    <cellStyle name="Финансовый 37 2 5 2 2 2 2 4" xfId="16630" xr:uid="{00000000-0005-0000-0000-000072520000}"/>
    <cellStyle name="Финансовый 37 2 5 2 2 2 2 4 2" xfId="33643" xr:uid="{3584DF58-365A-41AA-A575-7951565DE176}"/>
    <cellStyle name="Финансовый 37 2 5 2 2 2 2 5" xfId="19711" xr:uid="{00000000-0005-0000-0000-000073520000}"/>
    <cellStyle name="Финансовый 37 2 5 2 2 2 2 5 2" xfId="36724" xr:uid="{9F59E35F-C35B-4511-9A1E-54C017D70890}"/>
    <cellStyle name="Финансовый 37 2 5 2 2 2 2 6" xfId="27414" xr:uid="{A8A7CEBE-9B36-4DAB-A589-0668D730B3CD}"/>
    <cellStyle name="Финансовый 37 2 5 2 2 2 3" xfId="10315" xr:uid="{00000000-0005-0000-0000-000074520000}"/>
    <cellStyle name="Финансовый 37 2 5 2 2 2 3 2" xfId="13400" xr:uid="{00000000-0005-0000-0000-000075520000}"/>
    <cellStyle name="Финансовый 37 2 5 2 2 2 3 2 2" xfId="30489" xr:uid="{19109000-1520-4B90-99C3-50810AC19D40}"/>
    <cellStyle name="Финансовый 37 2 5 2 2 2 3 3" xfId="16632" xr:uid="{00000000-0005-0000-0000-000076520000}"/>
    <cellStyle name="Финансовый 37 2 5 2 2 2 3 3 2" xfId="33645" xr:uid="{BBC6AA8E-2071-438F-A707-59B45A8C13EA}"/>
    <cellStyle name="Финансовый 37 2 5 2 2 2 3 4" xfId="19713" xr:uid="{00000000-0005-0000-0000-000077520000}"/>
    <cellStyle name="Финансовый 37 2 5 2 2 2 3 4 2" xfId="36726" xr:uid="{9AA18206-3A42-49FF-83B7-2A127AE2F006}"/>
    <cellStyle name="Финансовый 37 2 5 2 2 2 3 5" xfId="27416" xr:uid="{AA119355-69F8-45E6-AD9B-E6C2AC852E1A}"/>
    <cellStyle name="Финансовый 37 2 5 2 2 2 4" xfId="13397" xr:uid="{00000000-0005-0000-0000-000078520000}"/>
    <cellStyle name="Финансовый 37 2 5 2 2 2 4 2" xfId="30486" xr:uid="{1272AEB1-A0F6-40FD-9CA2-2899D2779339}"/>
    <cellStyle name="Финансовый 37 2 5 2 2 2 5" xfId="16629" xr:uid="{00000000-0005-0000-0000-000079520000}"/>
    <cellStyle name="Финансовый 37 2 5 2 2 2 5 2" xfId="33642" xr:uid="{280D4E85-D892-4D03-B5B6-06DE569494B4}"/>
    <cellStyle name="Финансовый 37 2 5 2 2 2 6" xfId="19710" xr:uid="{00000000-0005-0000-0000-00007A520000}"/>
    <cellStyle name="Финансовый 37 2 5 2 2 2 6 2" xfId="36723" xr:uid="{11A5AB9D-EE3C-4ABA-9252-C90C614B8E1A}"/>
    <cellStyle name="Финансовый 37 2 5 2 2 2 7" xfId="27413" xr:uid="{4E82EA81-22AB-4817-893D-9B9754735958}"/>
    <cellStyle name="Финансовый 37 2 5 2 2 3" xfId="10316" xr:uid="{00000000-0005-0000-0000-00007B520000}"/>
    <cellStyle name="Финансовый 37 2 5 2 2 3 2" xfId="10317" xr:uid="{00000000-0005-0000-0000-00007C520000}"/>
    <cellStyle name="Финансовый 37 2 5 2 2 3 2 2" xfId="13402" xr:uid="{00000000-0005-0000-0000-00007D520000}"/>
    <cellStyle name="Финансовый 37 2 5 2 2 3 2 2 2" xfId="30491" xr:uid="{40518DD6-43C7-4769-9E66-7674BA42CC33}"/>
    <cellStyle name="Финансовый 37 2 5 2 2 3 2 3" xfId="16634" xr:uid="{00000000-0005-0000-0000-00007E520000}"/>
    <cellStyle name="Финансовый 37 2 5 2 2 3 2 3 2" xfId="33647" xr:uid="{786FFEAB-372D-422D-84EE-117BC4C10FBF}"/>
    <cellStyle name="Финансовый 37 2 5 2 2 3 2 4" xfId="19715" xr:uid="{00000000-0005-0000-0000-00007F520000}"/>
    <cellStyle name="Финансовый 37 2 5 2 2 3 2 4 2" xfId="36728" xr:uid="{6E26170F-A39E-4DF5-A482-93B302672ADB}"/>
    <cellStyle name="Финансовый 37 2 5 2 2 3 2 5" xfId="27418" xr:uid="{5B91B390-EF42-4858-9C31-461C06C436C0}"/>
    <cellStyle name="Финансовый 37 2 5 2 2 3 3" xfId="13401" xr:uid="{00000000-0005-0000-0000-000080520000}"/>
    <cellStyle name="Финансовый 37 2 5 2 2 3 3 2" xfId="30490" xr:uid="{7D803105-5025-40A2-B13B-41C240A07322}"/>
    <cellStyle name="Финансовый 37 2 5 2 2 3 4" xfId="16633" xr:uid="{00000000-0005-0000-0000-000081520000}"/>
    <cellStyle name="Финансовый 37 2 5 2 2 3 4 2" xfId="33646" xr:uid="{D2E0D114-76EB-41C0-A89F-D3E54EB27ED7}"/>
    <cellStyle name="Финансовый 37 2 5 2 2 3 5" xfId="19714" xr:uid="{00000000-0005-0000-0000-000082520000}"/>
    <cellStyle name="Финансовый 37 2 5 2 2 3 5 2" xfId="36727" xr:uid="{49C5E2B0-BB14-434F-B40F-24B346FAD97E}"/>
    <cellStyle name="Финансовый 37 2 5 2 2 3 6" xfId="27417" xr:uid="{AC33C365-81F7-4391-B180-9E5533EA5F31}"/>
    <cellStyle name="Финансовый 37 2 5 2 2 4" xfId="10318" xr:uid="{00000000-0005-0000-0000-000083520000}"/>
    <cellStyle name="Финансовый 37 2 5 2 2 4 2" xfId="13403" xr:uid="{00000000-0005-0000-0000-000084520000}"/>
    <cellStyle name="Финансовый 37 2 5 2 2 4 2 2" xfId="30492" xr:uid="{452FC184-CB84-4A6F-9F9C-4D7168011A92}"/>
    <cellStyle name="Финансовый 37 2 5 2 2 4 3" xfId="16635" xr:uid="{00000000-0005-0000-0000-000085520000}"/>
    <cellStyle name="Финансовый 37 2 5 2 2 4 3 2" xfId="33648" xr:uid="{7FBFC81A-C0A1-4EDA-AB56-56645264AEB0}"/>
    <cellStyle name="Финансовый 37 2 5 2 2 4 4" xfId="19716" xr:uid="{00000000-0005-0000-0000-000086520000}"/>
    <cellStyle name="Финансовый 37 2 5 2 2 4 4 2" xfId="36729" xr:uid="{7A46FD0D-7365-42FC-99B0-AC552D81E482}"/>
    <cellStyle name="Финансовый 37 2 5 2 2 4 5" xfId="27419" xr:uid="{5CEB69AE-A1C4-4EC3-9EB4-1E9E89D05A8C}"/>
    <cellStyle name="Финансовый 37 2 5 2 2 5" xfId="13396" xr:uid="{00000000-0005-0000-0000-000087520000}"/>
    <cellStyle name="Финансовый 37 2 5 2 2 5 2" xfId="30485" xr:uid="{2B9B610F-5000-4BBB-A222-FAC4281CBAFE}"/>
    <cellStyle name="Финансовый 37 2 5 2 2 6" xfId="16628" xr:uid="{00000000-0005-0000-0000-000088520000}"/>
    <cellStyle name="Финансовый 37 2 5 2 2 6 2" xfId="33641" xr:uid="{A43702A3-0C52-4DB2-9BC6-22493C75BDF6}"/>
    <cellStyle name="Финансовый 37 2 5 2 2 7" xfId="19709" xr:uid="{00000000-0005-0000-0000-000089520000}"/>
    <cellStyle name="Финансовый 37 2 5 2 2 7 2" xfId="36722" xr:uid="{8D77078F-09C8-45F0-9F98-03ADD8F60F0D}"/>
    <cellStyle name="Финансовый 37 2 5 2 2 8" xfId="27412" xr:uid="{E9036AA0-052C-4E89-AA20-612261809466}"/>
    <cellStyle name="Финансовый 37 2 5 2 3" xfId="10319" xr:uid="{00000000-0005-0000-0000-00008A520000}"/>
    <cellStyle name="Финансовый 37 2 5 2 3 2" xfId="10320" xr:uid="{00000000-0005-0000-0000-00008B520000}"/>
    <cellStyle name="Финансовый 37 2 5 2 3 2 2" xfId="10321" xr:uid="{00000000-0005-0000-0000-00008C520000}"/>
    <cellStyle name="Финансовый 37 2 5 2 3 2 2 2" xfId="13406" xr:uid="{00000000-0005-0000-0000-00008D520000}"/>
    <cellStyle name="Финансовый 37 2 5 2 3 2 2 2 2" xfId="30495" xr:uid="{29D24065-441C-4FEA-8180-8A5E21A78ABB}"/>
    <cellStyle name="Финансовый 37 2 5 2 3 2 2 3" xfId="16638" xr:uid="{00000000-0005-0000-0000-00008E520000}"/>
    <cellStyle name="Финансовый 37 2 5 2 3 2 2 3 2" xfId="33651" xr:uid="{83F07E74-A140-47D5-92D2-4EDA75AFCCF6}"/>
    <cellStyle name="Финансовый 37 2 5 2 3 2 2 4" xfId="19719" xr:uid="{00000000-0005-0000-0000-00008F520000}"/>
    <cellStyle name="Финансовый 37 2 5 2 3 2 2 4 2" xfId="36732" xr:uid="{DB179EA5-2447-4C5A-817A-464CC5C94B33}"/>
    <cellStyle name="Финансовый 37 2 5 2 3 2 2 5" xfId="27422" xr:uid="{9DCFB2F7-888F-496E-AEFD-959A9DDABAE7}"/>
    <cellStyle name="Финансовый 37 2 5 2 3 2 3" xfId="13405" xr:uid="{00000000-0005-0000-0000-000090520000}"/>
    <cellStyle name="Финансовый 37 2 5 2 3 2 3 2" xfId="30494" xr:uid="{78FBE221-A65A-454B-8AF5-0095C4BC098C}"/>
    <cellStyle name="Финансовый 37 2 5 2 3 2 4" xfId="16637" xr:uid="{00000000-0005-0000-0000-000091520000}"/>
    <cellStyle name="Финансовый 37 2 5 2 3 2 4 2" xfId="33650" xr:uid="{9E25DDA8-A3BA-4E46-8632-E7428D6D7815}"/>
    <cellStyle name="Финансовый 37 2 5 2 3 2 5" xfId="19718" xr:uid="{00000000-0005-0000-0000-000092520000}"/>
    <cellStyle name="Финансовый 37 2 5 2 3 2 5 2" xfId="36731" xr:uid="{5BB9098F-7C4E-43B7-A8A8-77E45BB70DF9}"/>
    <cellStyle name="Финансовый 37 2 5 2 3 2 6" xfId="27421" xr:uid="{A00F6825-A7A0-4860-93EE-18593FCBC4B8}"/>
    <cellStyle name="Финансовый 37 2 5 2 3 3" xfId="10322" xr:uid="{00000000-0005-0000-0000-000093520000}"/>
    <cellStyle name="Финансовый 37 2 5 2 3 3 2" xfId="13407" xr:uid="{00000000-0005-0000-0000-000094520000}"/>
    <cellStyle name="Финансовый 37 2 5 2 3 3 2 2" xfId="30496" xr:uid="{436239D3-129F-4CB6-9554-3DF31121A219}"/>
    <cellStyle name="Финансовый 37 2 5 2 3 3 3" xfId="16639" xr:uid="{00000000-0005-0000-0000-000095520000}"/>
    <cellStyle name="Финансовый 37 2 5 2 3 3 3 2" xfId="33652" xr:uid="{F047262A-8B76-45D3-A7EE-1AD740375681}"/>
    <cellStyle name="Финансовый 37 2 5 2 3 3 4" xfId="19720" xr:uid="{00000000-0005-0000-0000-000096520000}"/>
    <cellStyle name="Финансовый 37 2 5 2 3 3 4 2" xfId="36733" xr:uid="{DE650AB7-661E-47FA-B78D-2CB834A5AAB2}"/>
    <cellStyle name="Финансовый 37 2 5 2 3 3 5" xfId="27423" xr:uid="{BF890269-A348-4DCD-83AE-FC58F01F0F5C}"/>
    <cellStyle name="Финансовый 37 2 5 2 3 4" xfId="13404" xr:uid="{00000000-0005-0000-0000-000097520000}"/>
    <cellStyle name="Финансовый 37 2 5 2 3 4 2" xfId="30493" xr:uid="{5EA70B91-9657-4931-A005-8C653279E3B8}"/>
    <cellStyle name="Финансовый 37 2 5 2 3 5" xfId="16636" xr:uid="{00000000-0005-0000-0000-000098520000}"/>
    <cellStyle name="Финансовый 37 2 5 2 3 5 2" xfId="33649" xr:uid="{5B8BB8BC-78B3-4527-A5EB-AD8F849A9F66}"/>
    <cellStyle name="Финансовый 37 2 5 2 3 6" xfId="19717" xr:uid="{00000000-0005-0000-0000-000099520000}"/>
    <cellStyle name="Финансовый 37 2 5 2 3 6 2" xfId="36730" xr:uid="{4D4D0AE7-EE07-415D-A7F9-0ED8F39B60E6}"/>
    <cellStyle name="Финансовый 37 2 5 2 3 7" xfId="27420" xr:uid="{C6365030-006B-443B-BB4A-073C17033461}"/>
    <cellStyle name="Финансовый 37 2 5 2 4" xfId="10323" xr:uid="{00000000-0005-0000-0000-00009A520000}"/>
    <cellStyle name="Финансовый 37 2 5 2 4 2" xfId="10324" xr:uid="{00000000-0005-0000-0000-00009B520000}"/>
    <cellStyle name="Финансовый 37 2 5 2 4 2 2" xfId="13409" xr:uid="{00000000-0005-0000-0000-00009C520000}"/>
    <cellStyle name="Финансовый 37 2 5 2 4 2 2 2" xfId="30498" xr:uid="{C0D59E6A-48F1-4819-89B4-ED03425F5C0D}"/>
    <cellStyle name="Финансовый 37 2 5 2 4 2 3" xfId="16641" xr:uid="{00000000-0005-0000-0000-00009D520000}"/>
    <cellStyle name="Финансовый 37 2 5 2 4 2 3 2" xfId="33654" xr:uid="{B287432B-1246-499C-AAA5-69C675A15523}"/>
    <cellStyle name="Финансовый 37 2 5 2 4 2 4" xfId="19722" xr:uid="{00000000-0005-0000-0000-00009E520000}"/>
    <cellStyle name="Финансовый 37 2 5 2 4 2 4 2" xfId="36735" xr:uid="{E8B86BD0-E906-4077-B60F-38342931F18F}"/>
    <cellStyle name="Финансовый 37 2 5 2 4 2 5" xfId="27425" xr:uid="{42323465-B8E2-4B99-AE3A-BFBBD5101860}"/>
    <cellStyle name="Финансовый 37 2 5 2 4 3" xfId="13408" xr:uid="{00000000-0005-0000-0000-00009F520000}"/>
    <cellStyle name="Финансовый 37 2 5 2 4 3 2" xfId="30497" xr:uid="{BD1F19CA-069C-45EE-B965-0FD389D06661}"/>
    <cellStyle name="Финансовый 37 2 5 2 4 4" xfId="16640" xr:uid="{00000000-0005-0000-0000-0000A0520000}"/>
    <cellStyle name="Финансовый 37 2 5 2 4 4 2" xfId="33653" xr:uid="{15B95572-3F41-4C6B-9019-14EA576F4845}"/>
    <cellStyle name="Финансовый 37 2 5 2 4 5" xfId="19721" xr:uid="{00000000-0005-0000-0000-0000A1520000}"/>
    <cellStyle name="Финансовый 37 2 5 2 4 5 2" xfId="36734" xr:uid="{19264563-4960-4DFF-82A1-FA44D36BA6B8}"/>
    <cellStyle name="Финансовый 37 2 5 2 4 6" xfId="27424" xr:uid="{BF4CA52C-66AF-4504-9602-AC80760E488E}"/>
    <cellStyle name="Финансовый 37 2 5 2 5" xfId="10325" xr:uid="{00000000-0005-0000-0000-0000A2520000}"/>
    <cellStyle name="Финансовый 37 2 5 2 5 2" xfId="13410" xr:uid="{00000000-0005-0000-0000-0000A3520000}"/>
    <cellStyle name="Финансовый 37 2 5 2 5 2 2" xfId="30499" xr:uid="{E8EE9B60-695E-46A2-B37C-D48F0BE4E926}"/>
    <cellStyle name="Финансовый 37 2 5 2 5 3" xfId="16642" xr:uid="{00000000-0005-0000-0000-0000A4520000}"/>
    <cellStyle name="Финансовый 37 2 5 2 5 3 2" xfId="33655" xr:uid="{956EFE25-C6E3-438B-A7BB-63CD34CCBE8B}"/>
    <cellStyle name="Финансовый 37 2 5 2 5 4" xfId="19723" xr:uid="{00000000-0005-0000-0000-0000A5520000}"/>
    <cellStyle name="Финансовый 37 2 5 2 5 4 2" xfId="36736" xr:uid="{27D57A8E-D707-4AE1-B08D-1A27E35C2114}"/>
    <cellStyle name="Финансовый 37 2 5 2 5 5" xfId="27426" xr:uid="{5425DBC3-5578-495A-8216-96C495F5200F}"/>
    <cellStyle name="Финансовый 37 2 5 2 6" xfId="13395" xr:uid="{00000000-0005-0000-0000-0000A6520000}"/>
    <cellStyle name="Финансовый 37 2 5 2 6 2" xfId="30484" xr:uid="{B2FFA18C-0DF8-47EC-B36E-233A1A5DF184}"/>
    <cellStyle name="Финансовый 37 2 5 2 7" xfId="16627" xr:uid="{00000000-0005-0000-0000-0000A7520000}"/>
    <cellStyle name="Финансовый 37 2 5 2 7 2" xfId="33640" xr:uid="{F6E55D6F-3AEF-474E-92F0-3858831F5A87}"/>
    <cellStyle name="Финансовый 37 2 5 2 8" xfId="19708" xr:uid="{00000000-0005-0000-0000-0000A8520000}"/>
    <cellStyle name="Финансовый 37 2 5 2 8 2" xfId="36721" xr:uid="{5298E484-0E3E-4243-8B54-792E4C03CF81}"/>
    <cellStyle name="Финансовый 37 2 5 2 9" xfId="27411" xr:uid="{F6BA2027-416B-4971-A069-CDDA795D2EAD}"/>
    <cellStyle name="Финансовый 37 2 5 3" xfId="10326" xr:uid="{00000000-0005-0000-0000-0000A9520000}"/>
    <cellStyle name="Финансовый 37 2 5 3 2" xfId="10327" xr:uid="{00000000-0005-0000-0000-0000AA520000}"/>
    <cellStyle name="Финансовый 37 2 5 3 2 2" xfId="10328" xr:uid="{00000000-0005-0000-0000-0000AB520000}"/>
    <cellStyle name="Финансовый 37 2 5 3 2 2 2" xfId="10329" xr:uid="{00000000-0005-0000-0000-0000AC520000}"/>
    <cellStyle name="Финансовый 37 2 5 3 2 2 2 2" xfId="13414" xr:uid="{00000000-0005-0000-0000-0000AD520000}"/>
    <cellStyle name="Финансовый 37 2 5 3 2 2 2 2 2" xfId="30503" xr:uid="{92FDDECE-94B1-4010-BC9D-C96642368F77}"/>
    <cellStyle name="Финансовый 37 2 5 3 2 2 2 3" xfId="16646" xr:uid="{00000000-0005-0000-0000-0000AE520000}"/>
    <cellStyle name="Финансовый 37 2 5 3 2 2 2 3 2" xfId="33659" xr:uid="{313F6B1C-2EE5-4468-BB38-ABBBEA084C75}"/>
    <cellStyle name="Финансовый 37 2 5 3 2 2 2 4" xfId="19727" xr:uid="{00000000-0005-0000-0000-0000AF520000}"/>
    <cellStyle name="Финансовый 37 2 5 3 2 2 2 4 2" xfId="36740" xr:uid="{03BFBDFB-C1C3-41C4-B73B-2CB89A77DA0D}"/>
    <cellStyle name="Финансовый 37 2 5 3 2 2 2 5" xfId="27430" xr:uid="{13708826-E3BD-4C26-9980-688D3C2ABEB1}"/>
    <cellStyle name="Финансовый 37 2 5 3 2 2 3" xfId="13413" xr:uid="{00000000-0005-0000-0000-0000B0520000}"/>
    <cellStyle name="Финансовый 37 2 5 3 2 2 3 2" xfId="30502" xr:uid="{AEF8F00F-8ED1-415E-A2F8-20DD6F835D16}"/>
    <cellStyle name="Финансовый 37 2 5 3 2 2 4" xfId="16645" xr:uid="{00000000-0005-0000-0000-0000B1520000}"/>
    <cellStyle name="Финансовый 37 2 5 3 2 2 4 2" xfId="33658" xr:uid="{5E5E4050-6023-42D5-8BB5-550EECF732C0}"/>
    <cellStyle name="Финансовый 37 2 5 3 2 2 5" xfId="19726" xr:uid="{00000000-0005-0000-0000-0000B2520000}"/>
    <cellStyle name="Финансовый 37 2 5 3 2 2 5 2" xfId="36739" xr:uid="{FFD7F7EC-BFCF-4696-8E3A-656B5B02834B}"/>
    <cellStyle name="Финансовый 37 2 5 3 2 2 6" xfId="27429" xr:uid="{BEF8733F-3A20-4FB5-AD0C-C79B986C8430}"/>
    <cellStyle name="Финансовый 37 2 5 3 2 3" xfId="10330" xr:uid="{00000000-0005-0000-0000-0000B3520000}"/>
    <cellStyle name="Финансовый 37 2 5 3 2 3 2" xfId="13415" xr:uid="{00000000-0005-0000-0000-0000B4520000}"/>
    <cellStyle name="Финансовый 37 2 5 3 2 3 2 2" xfId="30504" xr:uid="{77AFE77D-D18C-4B63-953F-0B1FF0F45B52}"/>
    <cellStyle name="Финансовый 37 2 5 3 2 3 3" xfId="16647" xr:uid="{00000000-0005-0000-0000-0000B5520000}"/>
    <cellStyle name="Финансовый 37 2 5 3 2 3 3 2" xfId="33660" xr:uid="{15AB2F63-CB83-4C35-AC78-C766BB7D7402}"/>
    <cellStyle name="Финансовый 37 2 5 3 2 3 4" xfId="19728" xr:uid="{00000000-0005-0000-0000-0000B6520000}"/>
    <cellStyle name="Финансовый 37 2 5 3 2 3 4 2" xfId="36741" xr:uid="{CA79BB6A-11DE-47ED-A3BA-F3CE68BE45AC}"/>
    <cellStyle name="Финансовый 37 2 5 3 2 3 5" xfId="27431" xr:uid="{C6DE924B-D7F1-4A4B-A63C-C9DD3A3AF07F}"/>
    <cellStyle name="Финансовый 37 2 5 3 2 4" xfId="13412" xr:uid="{00000000-0005-0000-0000-0000B7520000}"/>
    <cellStyle name="Финансовый 37 2 5 3 2 4 2" xfId="30501" xr:uid="{963DDAB7-405B-42CF-8A61-3BD60DA4E7BC}"/>
    <cellStyle name="Финансовый 37 2 5 3 2 5" xfId="16644" xr:uid="{00000000-0005-0000-0000-0000B8520000}"/>
    <cellStyle name="Финансовый 37 2 5 3 2 5 2" xfId="33657" xr:uid="{E289D148-C33C-44EA-8CC4-89C3FDCAE052}"/>
    <cellStyle name="Финансовый 37 2 5 3 2 6" xfId="19725" xr:uid="{00000000-0005-0000-0000-0000B9520000}"/>
    <cellStyle name="Финансовый 37 2 5 3 2 6 2" xfId="36738" xr:uid="{56F021D7-2052-4097-A7DE-6C4F68BFDB26}"/>
    <cellStyle name="Финансовый 37 2 5 3 2 7" xfId="27428" xr:uid="{E4F8C533-0AB6-4A1B-BD87-7D1C1441C4D5}"/>
    <cellStyle name="Финансовый 37 2 5 3 3" xfId="10331" xr:uid="{00000000-0005-0000-0000-0000BA520000}"/>
    <cellStyle name="Финансовый 37 2 5 3 3 2" xfId="10332" xr:uid="{00000000-0005-0000-0000-0000BB520000}"/>
    <cellStyle name="Финансовый 37 2 5 3 3 2 2" xfId="13417" xr:uid="{00000000-0005-0000-0000-0000BC520000}"/>
    <cellStyle name="Финансовый 37 2 5 3 3 2 2 2" xfId="30506" xr:uid="{6CCD03D4-7C44-4945-BE8D-8D94DD75F0B6}"/>
    <cellStyle name="Финансовый 37 2 5 3 3 2 3" xfId="16649" xr:uid="{00000000-0005-0000-0000-0000BD520000}"/>
    <cellStyle name="Финансовый 37 2 5 3 3 2 3 2" xfId="33662" xr:uid="{F18C0E67-BB35-4655-9132-A426E6508446}"/>
    <cellStyle name="Финансовый 37 2 5 3 3 2 4" xfId="19730" xr:uid="{00000000-0005-0000-0000-0000BE520000}"/>
    <cellStyle name="Финансовый 37 2 5 3 3 2 4 2" xfId="36743" xr:uid="{0DC6EBF1-AF0D-4108-B5E5-C2B4FF0F7EAB}"/>
    <cellStyle name="Финансовый 37 2 5 3 3 2 5" xfId="27433" xr:uid="{8E6DAD5F-B2BC-4862-99B9-CE89B173F4BC}"/>
    <cellStyle name="Финансовый 37 2 5 3 3 3" xfId="13416" xr:uid="{00000000-0005-0000-0000-0000BF520000}"/>
    <cellStyle name="Финансовый 37 2 5 3 3 3 2" xfId="30505" xr:uid="{AE4409EC-322C-46AC-9D82-8FDBEA845CAF}"/>
    <cellStyle name="Финансовый 37 2 5 3 3 4" xfId="16648" xr:uid="{00000000-0005-0000-0000-0000C0520000}"/>
    <cellStyle name="Финансовый 37 2 5 3 3 4 2" xfId="33661" xr:uid="{6EC5EEA9-16C6-4F75-979C-A2683F63A7C2}"/>
    <cellStyle name="Финансовый 37 2 5 3 3 5" xfId="19729" xr:uid="{00000000-0005-0000-0000-0000C1520000}"/>
    <cellStyle name="Финансовый 37 2 5 3 3 5 2" xfId="36742" xr:uid="{E78D72F5-31C6-4CCE-97DD-0B5960E299A4}"/>
    <cellStyle name="Финансовый 37 2 5 3 3 6" xfId="27432" xr:uid="{F8F40C9E-D479-4A6F-9018-9706303F3ABA}"/>
    <cellStyle name="Финансовый 37 2 5 3 4" xfId="10333" xr:uid="{00000000-0005-0000-0000-0000C2520000}"/>
    <cellStyle name="Финансовый 37 2 5 3 4 2" xfId="13418" xr:uid="{00000000-0005-0000-0000-0000C3520000}"/>
    <cellStyle name="Финансовый 37 2 5 3 4 2 2" xfId="30507" xr:uid="{5D66FC94-49AD-40FB-A3E3-5DF211C5BCF9}"/>
    <cellStyle name="Финансовый 37 2 5 3 4 3" xfId="16650" xr:uid="{00000000-0005-0000-0000-0000C4520000}"/>
    <cellStyle name="Финансовый 37 2 5 3 4 3 2" xfId="33663" xr:uid="{F1406839-36A6-4D95-8EEB-5F4363CAA194}"/>
    <cellStyle name="Финансовый 37 2 5 3 4 4" xfId="19731" xr:uid="{00000000-0005-0000-0000-0000C5520000}"/>
    <cellStyle name="Финансовый 37 2 5 3 4 4 2" xfId="36744" xr:uid="{F753CCA9-1B02-4203-BFCF-8E576DBAC295}"/>
    <cellStyle name="Финансовый 37 2 5 3 4 5" xfId="27434" xr:uid="{3A7EE567-5F51-42A4-AAAB-B8F3897E4051}"/>
    <cellStyle name="Финансовый 37 2 5 3 5" xfId="13411" xr:uid="{00000000-0005-0000-0000-0000C6520000}"/>
    <cellStyle name="Финансовый 37 2 5 3 5 2" xfId="30500" xr:uid="{5CCCACF0-7449-43B0-802E-934B2AD201F9}"/>
    <cellStyle name="Финансовый 37 2 5 3 6" xfId="16643" xr:uid="{00000000-0005-0000-0000-0000C7520000}"/>
    <cellStyle name="Финансовый 37 2 5 3 6 2" xfId="33656" xr:uid="{C341E3F8-F3FC-418C-97D2-2240A230DFA8}"/>
    <cellStyle name="Финансовый 37 2 5 3 7" xfId="19724" xr:uid="{00000000-0005-0000-0000-0000C8520000}"/>
    <cellStyle name="Финансовый 37 2 5 3 7 2" xfId="36737" xr:uid="{311E2EE9-7EB6-4074-BC39-9C621428062A}"/>
    <cellStyle name="Финансовый 37 2 5 3 8" xfId="27427" xr:uid="{C6EEA723-8C60-4991-99F5-F66DB6B3CA54}"/>
    <cellStyle name="Финансовый 37 2 5 4" xfId="10334" xr:uid="{00000000-0005-0000-0000-0000C9520000}"/>
    <cellStyle name="Финансовый 37 2 5 4 2" xfId="10335" xr:uid="{00000000-0005-0000-0000-0000CA520000}"/>
    <cellStyle name="Финансовый 37 2 5 4 2 2" xfId="10336" xr:uid="{00000000-0005-0000-0000-0000CB520000}"/>
    <cellStyle name="Финансовый 37 2 5 4 2 2 2" xfId="13421" xr:uid="{00000000-0005-0000-0000-0000CC520000}"/>
    <cellStyle name="Финансовый 37 2 5 4 2 2 2 2" xfId="30510" xr:uid="{F724C431-9856-4DEE-A8D8-1A29CF4E3BCF}"/>
    <cellStyle name="Финансовый 37 2 5 4 2 2 3" xfId="16653" xr:uid="{00000000-0005-0000-0000-0000CD520000}"/>
    <cellStyle name="Финансовый 37 2 5 4 2 2 3 2" xfId="33666" xr:uid="{61F7B7E7-26A6-4EBB-986F-4305B52826AC}"/>
    <cellStyle name="Финансовый 37 2 5 4 2 2 4" xfId="19734" xr:uid="{00000000-0005-0000-0000-0000CE520000}"/>
    <cellStyle name="Финансовый 37 2 5 4 2 2 4 2" xfId="36747" xr:uid="{EAC001B9-8C6F-49A1-B2FD-407C5263D5EE}"/>
    <cellStyle name="Финансовый 37 2 5 4 2 2 5" xfId="27437" xr:uid="{16F637CC-626E-4D8C-8393-058C9C41F5B2}"/>
    <cellStyle name="Финансовый 37 2 5 4 2 3" xfId="13420" xr:uid="{00000000-0005-0000-0000-0000CF520000}"/>
    <cellStyle name="Финансовый 37 2 5 4 2 3 2" xfId="30509" xr:uid="{63008165-FFA2-4215-AC0F-83C380B748B1}"/>
    <cellStyle name="Финансовый 37 2 5 4 2 4" xfId="16652" xr:uid="{00000000-0005-0000-0000-0000D0520000}"/>
    <cellStyle name="Финансовый 37 2 5 4 2 4 2" xfId="33665" xr:uid="{800C95A0-6C09-4341-9170-54FAF03261A1}"/>
    <cellStyle name="Финансовый 37 2 5 4 2 5" xfId="19733" xr:uid="{00000000-0005-0000-0000-0000D1520000}"/>
    <cellStyle name="Финансовый 37 2 5 4 2 5 2" xfId="36746" xr:uid="{57BA2BD4-C799-483E-9FD5-B688E16DFAA4}"/>
    <cellStyle name="Финансовый 37 2 5 4 2 6" xfId="27436" xr:uid="{0BC7C47A-302C-4641-8A7F-B0B107730EE5}"/>
    <cellStyle name="Финансовый 37 2 5 4 3" xfId="10337" xr:uid="{00000000-0005-0000-0000-0000D2520000}"/>
    <cellStyle name="Финансовый 37 2 5 4 3 2" xfId="13422" xr:uid="{00000000-0005-0000-0000-0000D3520000}"/>
    <cellStyle name="Финансовый 37 2 5 4 3 2 2" xfId="30511" xr:uid="{88AE7FD5-1CAA-47BB-8717-05AF89AC7CE6}"/>
    <cellStyle name="Финансовый 37 2 5 4 3 3" xfId="16654" xr:uid="{00000000-0005-0000-0000-0000D4520000}"/>
    <cellStyle name="Финансовый 37 2 5 4 3 3 2" xfId="33667" xr:uid="{61470BC4-405B-40FC-83B4-3F2B09AE1D58}"/>
    <cellStyle name="Финансовый 37 2 5 4 3 4" xfId="19735" xr:uid="{00000000-0005-0000-0000-0000D5520000}"/>
    <cellStyle name="Финансовый 37 2 5 4 3 4 2" xfId="36748" xr:uid="{94CF1092-9A76-4757-BCEC-F6FE60661F88}"/>
    <cellStyle name="Финансовый 37 2 5 4 3 5" xfId="27438" xr:uid="{A62D2F19-A1E6-42CD-9801-72E37E7B6DDB}"/>
    <cellStyle name="Финансовый 37 2 5 4 4" xfId="13419" xr:uid="{00000000-0005-0000-0000-0000D6520000}"/>
    <cellStyle name="Финансовый 37 2 5 4 4 2" xfId="30508" xr:uid="{3ACC5447-D281-460B-A876-1186E4FF644F}"/>
    <cellStyle name="Финансовый 37 2 5 4 5" xfId="16651" xr:uid="{00000000-0005-0000-0000-0000D7520000}"/>
    <cellStyle name="Финансовый 37 2 5 4 5 2" xfId="33664" xr:uid="{5FE4DB86-64C6-4B59-95E1-608F5F5E7E3B}"/>
    <cellStyle name="Финансовый 37 2 5 4 6" xfId="19732" xr:uid="{00000000-0005-0000-0000-0000D8520000}"/>
    <cellStyle name="Финансовый 37 2 5 4 6 2" xfId="36745" xr:uid="{A1D76774-A86B-4ABB-A64A-E7AB373971AC}"/>
    <cellStyle name="Финансовый 37 2 5 4 7" xfId="27435" xr:uid="{F411E43A-E406-4B11-A04A-B05D82CCA474}"/>
    <cellStyle name="Финансовый 37 2 5 5" xfId="10338" xr:uid="{00000000-0005-0000-0000-0000D9520000}"/>
    <cellStyle name="Финансовый 37 2 5 5 2" xfId="10339" xr:uid="{00000000-0005-0000-0000-0000DA520000}"/>
    <cellStyle name="Финансовый 37 2 5 5 2 2" xfId="13424" xr:uid="{00000000-0005-0000-0000-0000DB520000}"/>
    <cellStyle name="Финансовый 37 2 5 5 2 2 2" xfId="30513" xr:uid="{7EC66C11-6336-49FE-95B1-81B37A2FE596}"/>
    <cellStyle name="Финансовый 37 2 5 5 2 3" xfId="16656" xr:uid="{00000000-0005-0000-0000-0000DC520000}"/>
    <cellStyle name="Финансовый 37 2 5 5 2 3 2" xfId="33669" xr:uid="{223C0AC0-3999-49FA-B406-71AECBA05373}"/>
    <cellStyle name="Финансовый 37 2 5 5 2 4" xfId="19737" xr:uid="{00000000-0005-0000-0000-0000DD520000}"/>
    <cellStyle name="Финансовый 37 2 5 5 2 4 2" xfId="36750" xr:uid="{03F46F6D-57AC-4B79-B09D-21DD6E89DCB5}"/>
    <cellStyle name="Финансовый 37 2 5 5 2 5" xfId="27440" xr:uid="{AF0E309D-6C2A-40DC-96C9-5E4487F1D4C7}"/>
    <cellStyle name="Финансовый 37 2 5 5 3" xfId="13423" xr:uid="{00000000-0005-0000-0000-0000DE520000}"/>
    <cellStyle name="Финансовый 37 2 5 5 3 2" xfId="30512" xr:uid="{861AA82D-2573-4745-8483-A28D27F87CC0}"/>
    <cellStyle name="Финансовый 37 2 5 5 4" xfId="16655" xr:uid="{00000000-0005-0000-0000-0000DF520000}"/>
    <cellStyle name="Финансовый 37 2 5 5 4 2" xfId="33668" xr:uid="{970D5B9B-80D6-442D-877F-41623430E835}"/>
    <cellStyle name="Финансовый 37 2 5 5 5" xfId="19736" xr:uid="{00000000-0005-0000-0000-0000E0520000}"/>
    <cellStyle name="Финансовый 37 2 5 5 5 2" xfId="36749" xr:uid="{D5C3D354-9467-4AE9-88F5-F65F35CEE420}"/>
    <cellStyle name="Финансовый 37 2 5 5 6" xfId="27439" xr:uid="{C86D0D7C-5311-4083-AFBD-B35C7BAC613D}"/>
    <cellStyle name="Финансовый 37 2 5 6" xfId="10340" xr:uid="{00000000-0005-0000-0000-0000E1520000}"/>
    <cellStyle name="Финансовый 37 2 5 6 2" xfId="13425" xr:uid="{00000000-0005-0000-0000-0000E2520000}"/>
    <cellStyle name="Финансовый 37 2 5 6 2 2" xfId="30514" xr:uid="{E9E68DD6-7326-4FFC-B87F-8D10F64DD043}"/>
    <cellStyle name="Финансовый 37 2 5 6 3" xfId="16657" xr:uid="{00000000-0005-0000-0000-0000E3520000}"/>
    <cellStyle name="Финансовый 37 2 5 6 3 2" xfId="33670" xr:uid="{E8814465-DDCC-4CD6-9D25-640E8FE93C4E}"/>
    <cellStyle name="Финансовый 37 2 5 6 4" xfId="19738" xr:uid="{00000000-0005-0000-0000-0000E4520000}"/>
    <cellStyle name="Финансовый 37 2 5 6 4 2" xfId="36751" xr:uid="{425B0467-FE54-4887-BB4A-84B17D03CC9D}"/>
    <cellStyle name="Финансовый 37 2 5 6 5" xfId="27441" xr:uid="{60957C9F-AA12-4354-A905-B1D0A0BF60D8}"/>
    <cellStyle name="Финансовый 37 2 5 7" xfId="13394" xr:uid="{00000000-0005-0000-0000-0000E5520000}"/>
    <cellStyle name="Финансовый 37 2 5 7 2" xfId="30483" xr:uid="{0A5A6AB7-437B-42EA-A2CA-54EA876CF51B}"/>
    <cellStyle name="Финансовый 37 2 5 8" xfId="16626" xr:uid="{00000000-0005-0000-0000-0000E6520000}"/>
    <cellStyle name="Финансовый 37 2 5 8 2" xfId="33639" xr:uid="{691AF273-CEDE-4374-B008-82581C5785EA}"/>
    <cellStyle name="Финансовый 37 2 5 9" xfId="19707" xr:uid="{00000000-0005-0000-0000-0000E7520000}"/>
    <cellStyle name="Финансовый 37 2 5 9 2" xfId="36720" xr:uid="{722552AD-BE26-4FE4-AA33-13CA34E07B56}"/>
    <cellStyle name="Финансовый 37 2 6" xfId="10341" xr:uid="{00000000-0005-0000-0000-0000E8520000}"/>
    <cellStyle name="Финансовый 37 2 6 2" xfId="10342" xr:uid="{00000000-0005-0000-0000-0000E9520000}"/>
    <cellStyle name="Финансовый 37 2 6 2 2" xfId="10343" xr:uid="{00000000-0005-0000-0000-0000EA520000}"/>
    <cellStyle name="Финансовый 37 2 6 2 2 2" xfId="10344" xr:uid="{00000000-0005-0000-0000-0000EB520000}"/>
    <cellStyle name="Финансовый 37 2 6 2 2 2 2" xfId="10345" xr:uid="{00000000-0005-0000-0000-0000EC520000}"/>
    <cellStyle name="Финансовый 37 2 6 2 2 2 2 2" xfId="13430" xr:uid="{00000000-0005-0000-0000-0000ED520000}"/>
    <cellStyle name="Финансовый 37 2 6 2 2 2 2 2 2" xfId="30519" xr:uid="{D27D9803-DB6F-4D06-B6D6-AE59CFB1E532}"/>
    <cellStyle name="Финансовый 37 2 6 2 2 2 2 3" xfId="16662" xr:uid="{00000000-0005-0000-0000-0000EE520000}"/>
    <cellStyle name="Финансовый 37 2 6 2 2 2 2 3 2" xfId="33675" xr:uid="{06C51CB3-4AB8-42E4-BE0B-CEFA981F1155}"/>
    <cellStyle name="Финансовый 37 2 6 2 2 2 2 4" xfId="19743" xr:uid="{00000000-0005-0000-0000-0000EF520000}"/>
    <cellStyle name="Финансовый 37 2 6 2 2 2 2 4 2" xfId="36756" xr:uid="{E574F9F6-1661-4C8E-818F-4158A3A377B4}"/>
    <cellStyle name="Финансовый 37 2 6 2 2 2 2 5" xfId="27446" xr:uid="{01B42C3E-6790-4337-9FC7-67F41C711D40}"/>
    <cellStyle name="Финансовый 37 2 6 2 2 2 3" xfId="13429" xr:uid="{00000000-0005-0000-0000-0000F0520000}"/>
    <cellStyle name="Финансовый 37 2 6 2 2 2 3 2" xfId="30518" xr:uid="{F64709F2-AF9C-4AB3-9A47-0B8DA1504D78}"/>
    <cellStyle name="Финансовый 37 2 6 2 2 2 4" xfId="16661" xr:uid="{00000000-0005-0000-0000-0000F1520000}"/>
    <cellStyle name="Финансовый 37 2 6 2 2 2 4 2" xfId="33674" xr:uid="{D235CAFE-9D9F-4BD4-B1E2-EC5ACA0CF995}"/>
    <cellStyle name="Финансовый 37 2 6 2 2 2 5" xfId="19742" xr:uid="{00000000-0005-0000-0000-0000F2520000}"/>
    <cellStyle name="Финансовый 37 2 6 2 2 2 5 2" xfId="36755" xr:uid="{E6AD8986-A04F-473B-98F2-6547D96558FE}"/>
    <cellStyle name="Финансовый 37 2 6 2 2 2 6" xfId="27445" xr:uid="{E13D4B83-AAE1-4166-88C3-CF104DB6E252}"/>
    <cellStyle name="Финансовый 37 2 6 2 2 3" xfId="10346" xr:uid="{00000000-0005-0000-0000-0000F3520000}"/>
    <cellStyle name="Финансовый 37 2 6 2 2 3 2" xfId="13431" xr:uid="{00000000-0005-0000-0000-0000F4520000}"/>
    <cellStyle name="Финансовый 37 2 6 2 2 3 2 2" xfId="30520" xr:uid="{03E216C8-2D11-45E7-A8C6-80FB926AA72E}"/>
    <cellStyle name="Финансовый 37 2 6 2 2 3 3" xfId="16663" xr:uid="{00000000-0005-0000-0000-0000F5520000}"/>
    <cellStyle name="Финансовый 37 2 6 2 2 3 3 2" xfId="33676" xr:uid="{300742C8-1185-492F-A7D0-AD07BA294EDE}"/>
    <cellStyle name="Финансовый 37 2 6 2 2 3 4" xfId="19744" xr:uid="{00000000-0005-0000-0000-0000F6520000}"/>
    <cellStyle name="Финансовый 37 2 6 2 2 3 4 2" xfId="36757" xr:uid="{A2E2B129-8710-4D43-ACA9-6151DC22CC44}"/>
    <cellStyle name="Финансовый 37 2 6 2 2 3 5" xfId="27447" xr:uid="{F07C2510-0333-494E-8949-8920F309ADC8}"/>
    <cellStyle name="Финансовый 37 2 6 2 2 4" xfId="13428" xr:uid="{00000000-0005-0000-0000-0000F7520000}"/>
    <cellStyle name="Финансовый 37 2 6 2 2 4 2" xfId="30517" xr:uid="{A8815370-F890-4316-A162-9C525041B305}"/>
    <cellStyle name="Финансовый 37 2 6 2 2 5" xfId="16660" xr:uid="{00000000-0005-0000-0000-0000F8520000}"/>
    <cellStyle name="Финансовый 37 2 6 2 2 5 2" xfId="33673" xr:uid="{6E4152FB-4588-4B41-9330-BCFB94B62290}"/>
    <cellStyle name="Финансовый 37 2 6 2 2 6" xfId="19741" xr:uid="{00000000-0005-0000-0000-0000F9520000}"/>
    <cellStyle name="Финансовый 37 2 6 2 2 6 2" xfId="36754" xr:uid="{1D84DBDC-8599-43A1-9C99-ABEA10AAECD8}"/>
    <cellStyle name="Финансовый 37 2 6 2 2 7" xfId="27444" xr:uid="{0F3ADAB6-5059-4652-B1EC-7CDC0B312AAF}"/>
    <cellStyle name="Финансовый 37 2 6 2 3" xfId="10347" xr:uid="{00000000-0005-0000-0000-0000FA520000}"/>
    <cellStyle name="Финансовый 37 2 6 2 3 2" xfId="10348" xr:uid="{00000000-0005-0000-0000-0000FB520000}"/>
    <cellStyle name="Финансовый 37 2 6 2 3 2 2" xfId="13433" xr:uid="{00000000-0005-0000-0000-0000FC520000}"/>
    <cellStyle name="Финансовый 37 2 6 2 3 2 2 2" xfId="30522" xr:uid="{D6D134ED-03AA-4FDA-8C2B-3BB45EEDEAFD}"/>
    <cellStyle name="Финансовый 37 2 6 2 3 2 3" xfId="16665" xr:uid="{00000000-0005-0000-0000-0000FD520000}"/>
    <cellStyle name="Финансовый 37 2 6 2 3 2 3 2" xfId="33678" xr:uid="{5D35ADEE-7712-480F-8AE0-ABDEB58C54A1}"/>
    <cellStyle name="Финансовый 37 2 6 2 3 2 4" xfId="19746" xr:uid="{00000000-0005-0000-0000-0000FE520000}"/>
    <cellStyle name="Финансовый 37 2 6 2 3 2 4 2" xfId="36759" xr:uid="{7E1ABABC-DBED-4CEB-B9CC-497FF3C6B84C}"/>
    <cellStyle name="Финансовый 37 2 6 2 3 2 5" xfId="27449" xr:uid="{08C7F6B0-6A1D-46FC-9479-8490108A1991}"/>
    <cellStyle name="Финансовый 37 2 6 2 3 3" xfId="13432" xr:uid="{00000000-0005-0000-0000-0000FF520000}"/>
    <cellStyle name="Финансовый 37 2 6 2 3 3 2" xfId="30521" xr:uid="{3FCE6CF8-227A-463C-8220-327083364605}"/>
    <cellStyle name="Финансовый 37 2 6 2 3 4" xfId="16664" xr:uid="{00000000-0005-0000-0000-000000530000}"/>
    <cellStyle name="Финансовый 37 2 6 2 3 4 2" xfId="33677" xr:uid="{260D0CF6-426F-42C7-A875-BC6E5B677336}"/>
    <cellStyle name="Финансовый 37 2 6 2 3 5" xfId="19745" xr:uid="{00000000-0005-0000-0000-000001530000}"/>
    <cellStyle name="Финансовый 37 2 6 2 3 5 2" xfId="36758" xr:uid="{10FD0A99-4D76-420C-A9E2-A0A6183B85E7}"/>
    <cellStyle name="Финансовый 37 2 6 2 3 6" xfId="27448" xr:uid="{0B0A028F-2C61-4F4A-B5CD-81A806AF664B}"/>
    <cellStyle name="Финансовый 37 2 6 2 4" xfId="10349" xr:uid="{00000000-0005-0000-0000-000002530000}"/>
    <cellStyle name="Финансовый 37 2 6 2 4 2" xfId="13434" xr:uid="{00000000-0005-0000-0000-000003530000}"/>
    <cellStyle name="Финансовый 37 2 6 2 4 2 2" xfId="30523" xr:uid="{C4ECEBE2-B1B8-4C08-85A6-27F84A5FB613}"/>
    <cellStyle name="Финансовый 37 2 6 2 4 3" xfId="16666" xr:uid="{00000000-0005-0000-0000-000004530000}"/>
    <cellStyle name="Финансовый 37 2 6 2 4 3 2" xfId="33679" xr:uid="{5FC1AD9B-C211-48D9-9315-EAF324BA08D0}"/>
    <cellStyle name="Финансовый 37 2 6 2 4 4" xfId="19747" xr:uid="{00000000-0005-0000-0000-000005530000}"/>
    <cellStyle name="Финансовый 37 2 6 2 4 4 2" xfId="36760" xr:uid="{AF65CDCB-3235-48AC-952B-7BD39D8F7AFE}"/>
    <cellStyle name="Финансовый 37 2 6 2 4 5" xfId="27450" xr:uid="{93F2F10B-88E3-41C9-82B4-7DBCB55C032C}"/>
    <cellStyle name="Финансовый 37 2 6 2 5" xfId="13427" xr:uid="{00000000-0005-0000-0000-000006530000}"/>
    <cellStyle name="Финансовый 37 2 6 2 5 2" xfId="30516" xr:uid="{AC9634F8-16B2-4E2C-B1DC-5AA434E65DA6}"/>
    <cellStyle name="Финансовый 37 2 6 2 6" xfId="16659" xr:uid="{00000000-0005-0000-0000-000007530000}"/>
    <cellStyle name="Финансовый 37 2 6 2 6 2" xfId="33672" xr:uid="{0ACCCE10-7E70-456F-9020-793366741A2B}"/>
    <cellStyle name="Финансовый 37 2 6 2 7" xfId="19740" xr:uid="{00000000-0005-0000-0000-000008530000}"/>
    <cellStyle name="Финансовый 37 2 6 2 7 2" xfId="36753" xr:uid="{B00A39CB-C5CB-4FAB-81B0-B56870E50681}"/>
    <cellStyle name="Финансовый 37 2 6 2 8" xfId="27443" xr:uid="{3855812D-6579-4EC3-A01C-F6E18E21E34C}"/>
    <cellStyle name="Финансовый 37 2 6 3" xfId="10350" xr:uid="{00000000-0005-0000-0000-000009530000}"/>
    <cellStyle name="Финансовый 37 2 6 3 2" xfId="10351" xr:uid="{00000000-0005-0000-0000-00000A530000}"/>
    <cellStyle name="Финансовый 37 2 6 3 2 2" xfId="10352" xr:uid="{00000000-0005-0000-0000-00000B530000}"/>
    <cellStyle name="Финансовый 37 2 6 3 2 2 2" xfId="13437" xr:uid="{00000000-0005-0000-0000-00000C530000}"/>
    <cellStyle name="Финансовый 37 2 6 3 2 2 2 2" xfId="30526" xr:uid="{64BD39B7-0BAA-4925-AD62-0E42BC3C8A57}"/>
    <cellStyle name="Финансовый 37 2 6 3 2 2 3" xfId="16669" xr:uid="{00000000-0005-0000-0000-00000D530000}"/>
    <cellStyle name="Финансовый 37 2 6 3 2 2 3 2" xfId="33682" xr:uid="{F8B62D15-ABA1-4D67-8D3D-BE0A66BB7C34}"/>
    <cellStyle name="Финансовый 37 2 6 3 2 2 4" xfId="19750" xr:uid="{00000000-0005-0000-0000-00000E530000}"/>
    <cellStyle name="Финансовый 37 2 6 3 2 2 4 2" xfId="36763" xr:uid="{69946FFD-9A3B-4F94-8CE9-AE20C358374E}"/>
    <cellStyle name="Финансовый 37 2 6 3 2 2 5" xfId="27453" xr:uid="{E4B9B623-8776-437D-B412-2A6C7D34E29C}"/>
    <cellStyle name="Финансовый 37 2 6 3 2 3" xfId="13436" xr:uid="{00000000-0005-0000-0000-00000F530000}"/>
    <cellStyle name="Финансовый 37 2 6 3 2 3 2" xfId="30525" xr:uid="{CBBD91EE-6492-4E45-BFC7-B3C7E05DCDB8}"/>
    <cellStyle name="Финансовый 37 2 6 3 2 4" xfId="16668" xr:uid="{00000000-0005-0000-0000-000010530000}"/>
    <cellStyle name="Финансовый 37 2 6 3 2 4 2" xfId="33681" xr:uid="{C6953EE3-2A45-4BBE-9573-E995CAAEC652}"/>
    <cellStyle name="Финансовый 37 2 6 3 2 5" xfId="19749" xr:uid="{00000000-0005-0000-0000-000011530000}"/>
    <cellStyle name="Финансовый 37 2 6 3 2 5 2" xfId="36762" xr:uid="{59046EB9-5977-4F75-B518-CE7047943975}"/>
    <cellStyle name="Финансовый 37 2 6 3 2 6" xfId="27452" xr:uid="{9B0983B2-F9B7-4AF0-94BB-4A3A34C80645}"/>
    <cellStyle name="Финансовый 37 2 6 3 3" xfId="10353" xr:uid="{00000000-0005-0000-0000-000012530000}"/>
    <cellStyle name="Финансовый 37 2 6 3 3 2" xfId="13438" xr:uid="{00000000-0005-0000-0000-000013530000}"/>
    <cellStyle name="Финансовый 37 2 6 3 3 2 2" xfId="30527" xr:uid="{9C2B61ED-414B-4E73-BCE4-2086F50DB3FB}"/>
    <cellStyle name="Финансовый 37 2 6 3 3 3" xfId="16670" xr:uid="{00000000-0005-0000-0000-000014530000}"/>
    <cellStyle name="Финансовый 37 2 6 3 3 3 2" xfId="33683" xr:uid="{4EFF0893-3965-4D25-8085-C26A4CAA4800}"/>
    <cellStyle name="Финансовый 37 2 6 3 3 4" xfId="19751" xr:uid="{00000000-0005-0000-0000-000015530000}"/>
    <cellStyle name="Финансовый 37 2 6 3 3 4 2" xfId="36764" xr:uid="{0D371E28-F7D7-44FD-9408-DB1FAA197DF5}"/>
    <cellStyle name="Финансовый 37 2 6 3 3 5" xfId="27454" xr:uid="{97C5EEDC-83C7-4E34-8AFE-F2F4B26A212D}"/>
    <cellStyle name="Финансовый 37 2 6 3 4" xfId="13435" xr:uid="{00000000-0005-0000-0000-000016530000}"/>
    <cellStyle name="Финансовый 37 2 6 3 4 2" xfId="30524" xr:uid="{CED5363B-50B7-44AF-84E2-A8DDE5F07A0C}"/>
    <cellStyle name="Финансовый 37 2 6 3 5" xfId="16667" xr:uid="{00000000-0005-0000-0000-000017530000}"/>
    <cellStyle name="Финансовый 37 2 6 3 5 2" xfId="33680" xr:uid="{0C92C148-0E2F-43CD-B0E1-41692F7809EE}"/>
    <cellStyle name="Финансовый 37 2 6 3 6" xfId="19748" xr:uid="{00000000-0005-0000-0000-000018530000}"/>
    <cellStyle name="Финансовый 37 2 6 3 6 2" xfId="36761" xr:uid="{7B666EBF-FB1C-4591-85E8-3BDDD9CEA325}"/>
    <cellStyle name="Финансовый 37 2 6 3 7" xfId="27451" xr:uid="{0C9FA2F9-D829-4177-8659-13EAEEE448CC}"/>
    <cellStyle name="Финансовый 37 2 6 4" xfId="10354" xr:uid="{00000000-0005-0000-0000-000019530000}"/>
    <cellStyle name="Финансовый 37 2 6 4 2" xfId="10355" xr:uid="{00000000-0005-0000-0000-00001A530000}"/>
    <cellStyle name="Финансовый 37 2 6 4 2 2" xfId="13440" xr:uid="{00000000-0005-0000-0000-00001B530000}"/>
    <cellStyle name="Финансовый 37 2 6 4 2 2 2" xfId="30529" xr:uid="{79431DC2-6591-411F-BDF3-3BE865FD52F8}"/>
    <cellStyle name="Финансовый 37 2 6 4 2 3" xfId="16672" xr:uid="{00000000-0005-0000-0000-00001C530000}"/>
    <cellStyle name="Финансовый 37 2 6 4 2 3 2" xfId="33685" xr:uid="{FB89015E-9555-4741-9F11-D92EA29CE6DB}"/>
    <cellStyle name="Финансовый 37 2 6 4 2 4" xfId="19753" xr:uid="{00000000-0005-0000-0000-00001D530000}"/>
    <cellStyle name="Финансовый 37 2 6 4 2 4 2" xfId="36766" xr:uid="{E3D14D44-93E3-4376-881A-901D18F89054}"/>
    <cellStyle name="Финансовый 37 2 6 4 2 5" xfId="27456" xr:uid="{DDBECA3D-DBA8-4FEC-834E-361D6211F7AC}"/>
    <cellStyle name="Финансовый 37 2 6 4 3" xfId="13439" xr:uid="{00000000-0005-0000-0000-00001E530000}"/>
    <cellStyle name="Финансовый 37 2 6 4 3 2" xfId="30528" xr:uid="{47046BA6-380E-4DCD-8F96-F9D65F6181C7}"/>
    <cellStyle name="Финансовый 37 2 6 4 4" xfId="16671" xr:uid="{00000000-0005-0000-0000-00001F530000}"/>
    <cellStyle name="Финансовый 37 2 6 4 4 2" xfId="33684" xr:uid="{6BDBCA2A-127E-431B-957B-6A79070D52F5}"/>
    <cellStyle name="Финансовый 37 2 6 4 5" xfId="19752" xr:uid="{00000000-0005-0000-0000-000020530000}"/>
    <cellStyle name="Финансовый 37 2 6 4 5 2" xfId="36765" xr:uid="{9DC9D440-75A7-413F-9D83-466D86D569A6}"/>
    <cellStyle name="Финансовый 37 2 6 4 6" xfId="27455" xr:uid="{3D159DE7-EFA9-4157-8E1E-2F6C176A88CD}"/>
    <cellStyle name="Финансовый 37 2 6 5" xfId="10356" xr:uid="{00000000-0005-0000-0000-000021530000}"/>
    <cellStyle name="Финансовый 37 2 6 5 2" xfId="13441" xr:uid="{00000000-0005-0000-0000-000022530000}"/>
    <cellStyle name="Финансовый 37 2 6 5 2 2" xfId="30530" xr:uid="{76097EDD-9BFE-4D49-8C0E-E6D0B5564FE4}"/>
    <cellStyle name="Финансовый 37 2 6 5 3" xfId="16673" xr:uid="{00000000-0005-0000-0000-000023530000}"/>
    <cellStyle name="Финансовый 37 2 6 5 3 2" xfId="33686" xr:uid="{07000414-536D-41FC-A549-3008E6163E9C}"/>
    <cellStyle name="Финансовый 37 2 6 5 4" xfId="19754" xr:uid="{00000000-0005-0000-0000-000024530000}"/>
    <cellStyle name="Финансовый 37 2 6 5 4 2" xfId="36767" xr:uid="{8BCE3F53-7C56-4E68-A6BD-291717B01E5B}"/>
    <cellStyle name="Финансовый 37 2 6 5 5" xfId="27457" xr:uid="{E325A49F-FA0A-4FD0-8D6A-48E1EA00E29C}"/>
    <cellStyle name="Финансовый 37 2 6 6" xfId="13426" xr:uid="{00000000-0005-0000-0000-000025530000}"/>
    <cellStyle name="Финансовый 37 2 6 6 2" xfId="30515" xr:uid="{E86C3137-32F8-4B20-8711-4595A9F1C684}"/>
    <cellStyle name="Финансовый 37 2 6 7" xfId="16658" xr:uid="{00000000-0005-0000-0000-000026530000}"/>
    <cellStyle name="Финансовый 37 2 6 7 2" xfId="33671" xr:uid="{4D064838-2D5D-4F4F-8E4E-7981DD396B5D}"/>
    <cellStyle name="Финансовый 37 2 6 8" xfId="19739" xr:uid="{00000000-0005-0000-0000-000027530000}"/>
    <cellStyle name="Финансовый 37 2 6 8 2" xfId="36752" xr:uid="{3C23C245-9D59-4841-A918-F3289295027B}"/>
    <cellStyle name="Финансовый 37 2 6 9" xfId="27442" xr:uid="{399318E4-6722-4E6D-9441-3244956D532B}"/>
    <cellStyle name="Финансовый 37 2 7" xfId="10357" xr:uid="{00000000-0005-0000-0000-000028530000}"/>
    <cellStyle name="Финансовый 37 2 7 2" xfId="10358" xr:uid="{00000000-0005-0000-0000-000029530000}"/>
    <cellStyle name="Финансовый 37 2 7 2 2" xfId="10359" xr:uid="{00000000-0005-0000-0000-00002A530000}"/>
    <cellStyle name="Финансовый 37 2 7 2 2 2" xfId="10360" xr:uid="{00000000-0005-0000-0000-00002B530000}"/>
    <cellStyle name="Финансовый 37 2 7 2 2 2 2" xfId="13445" xr:uid="{00000000-0005-0000-0000-00002C530000}"/>
    <cellStyle name="Финансовый 37 2 7 2 2 2 2 2" xfId="30534" xr:uid="{5CE467F9-9A06-46F3-89DE-5ADE1F29B90F}"/>
    <cellStyle name="Финансовый 37 2 7 2 2 2 3" xfId="16677" xr:uid="{00000000-0005-0000-0000-00002D530000}"/>
    <cellStyle name="Финансовый 37 2 7 2 2 2 3 2" xfId="33690" xr:uid="{A41C3641-8F9C-4462-B4A3-C2950E13182B}"/>
    <cellStyle name="Финансовый 37 2 7 2 2 2 4" xfId="19758" xr:uid="{00000000-0005-0000-0000-00002E530000}"/>
    <cellStyle name="Финансовый 37 2 7 2 2 2 4 2" xfId="36771" xr:uid="{0DBD6B09-D940-442F-B84D-2D14DF4FE477}"/>
    <cellStyle name="Финансовый 37 2 7 2 2 2 5" xfId="27461" xr:uid="{EE3861B0-D593-4CE7-AE30-60F201A62A03}"/>
    <cellStyle name="Финансовый 37 2 7 2 2 3" xfId="13444" xr:uid="{00000000-0005-0000-0000-00002F530000}"/>
    <cellStyle name="Финансовый 37 2 7 2 2 3 2" xfId="30533" xr:uid="{F915E5BF-A7BA-4E0B-9B9D-B02B60FBECAC}"/>
    <cellStyle name="Финансовый 37 2 7 2 2 4" xfId="16676" xr:uid="{00000000-0005-0000-0000-000030530000}"/>
    <cellStyle name="Финансовый 37 2 7 2 2 4 2" xfId="33689" xr:uid="{DF6A571A-23C8-4393-A57B-1C3FC788DE61}"/>
    <cellStyle name="Финансовый 37 2 7 2 2 5" xfId="19757" xr:uid="{00000000-0005-0000-0000-000031530000}"/>
    <cellStyle name="Финансовый 37 2 7 2 2 5 2" xfId="36770" xr:uid="{BBF44D48-081E-4096-A330-AD6483D9D64F}"/>
    <cellStyle name="Финансовый 37 2 7 2 2 6" xfId="27460" xr:uid="{8CB96FD2-83EE-4AF6-865B-0398A25FE5DE}"/>
    <cellStyle name="Финансовый 37 2 7 2 3" xfId="10361" xr:uid="{00000000-0005-0000-0000-000032530000}"/>
    <cellStyle name="Финансовый 37 2 7 2 3 2" xfId="13446" xr:uid="{00000000-0005-0000-0000-000033530000}"/>
    <cellStyle name="Финансовый 37 2 7 2 3 2 2" xfId="30535" xr:uid="{717066D1-30AB-4FE6-892C-0D48FC8D3564}"/>
    <cellStyle name="Финансовый 37 2 7 2 3 3" xfId="16678" xr:uid="{00000000-0005-0000-0000-000034530000}"/>
    <cellStyle name="Финансовый 37 2 7 2 3 3 2" xfId="33691" xr:uid="{77A35ADE-D849-4BA8-A887-5D5CFAE50B0B}"/>
    <cellStyle name="Финансовый 37 2 7 2 3 4" xfId="19759" xr:uid="{00000000-0005-0000-0000-000035530000}"/>
    <cellStyle name="Финансовый 37 2 7 2 3 4 2" xfId="36772" xr:uid="{36FCEB01-FF74-4B7B-AF18-E9A7E08CD1A8}"/>
    <cellStyle name="Финансовый 37 2 7 2 3 5" xfId="27462" xr:uid="{6FBECD80-18CD-45B6-8BC3-C44BE87ABB90}"/>
    <cellStyle name="Финансовый 37 2 7 2 4" xfId="13443" xr:uid="{00000000-0005-0000-0000-000036530000}"/>
    <cellStyle name="Финансовый 37 2 7 2 4 2" xfId="30532" xr:uid="{232C153C-8309-4D0B-ADAC-D5F0178B2E69}"/>
    <cellStyle name="Финансовый 37 2 7 2 5" xfId="16675" xr:uid="{00000000-0005-0000-0000-000037530000}"/>
    <cellStyle name="Финансовый 37 2 7 2 5 2" xfId="33688" xr:uid="{99ADFE42-55C4-4A6F-A1F0-9E02E789EA4D}"/>
    <cellStyle name="Финансовый 37 2 7 2 6" xfId="19756" xr:uid="{00000000-0005-0000-0000-000038530000}"/>
    <cellStyle name="Финансовый 37 2 7 2 6 2" xfId="36769" xr:uid="{EEEA93C7-5F95-481C-8219-0C0CD5562A79}"/>
    <cellStyle name="Финансовый 37 2 7 2 7" xfId="27459" xr:uid="{8014BC65-BAE0-4691-BBB1-9AFF728DCDF4}"/>
    <cellStyle name="Финансовый 37 2 7 3" xfId="10362" xr:uid="{00000000-0005-0000-0000-000039530000}"/>
    <cellStyle name="Финансовый 37 2 7 3 2" xfId="10363" xr:uid="{00000000-0005-0000-0000-00003A530000}"/>
    <cellStyle name="Финансовый 37 2 7 3 2 2" xfId="13448" xr:uid="{00000000-0005-0000-0000-00003B530000}"/>
    <cellStyle name="Финансовый 37 2 7 3 2 2 2" xfId="30537" xr:uid="{88697A3A-9762-40BA-BDAD-B07F954CCB90}"/>
    <cellStyle name="Финансовый 37 2 7 3 2 3" xfId="16680" xr:uid="{00000000-0005-0000-0000-00003C530000}"/>
    <cellStyle name="Финансовый 37 2 7 3 2 3 2" xfId="33693" xr:uid="{9FCF7D28-3F92-4A95-8CE3-23B07B10682A}"/>
    <cellStyle name="Финансовый 37 2 7 3 2 4" xfId="19761" xr:uid="{00000000-0005-0000-0000-00003D530000}"/>
    <cellStyle name="Финансовый 37 2 7 3 2 4 2" xfId="36774" xr:uid="{942ABC1E-CD30-4DE7-9041-DA79B141F7C6}"/>
    <cellStyle name="Финансовый 37 2 7 3 2 5" xfId="27464" xr:uid="{950E0F79-5B10-4DD3-83C0-D1A91DE2B5D6}"/>
    <cellStyle name="Финансовый 37 2 7 3 3" xfId="13447" xr:uid="{00000000-0005-0000-0000-00003E530000}"/>
    <cellStyle name="Финансовый 37 2 7 3 3 2" xfId="30536" xr:uid="{3259C6EA-0E39-4D6A-8580-A9F02B14DCE0}"/>
    <cellStyle name="Финансовый 37 2 7 3 4" xfId="16679" xr:uid="{00000000-0005-0000-0000-00003F530000}"/>
    <cellStyle name="Финансовый 37 2 7 3 4 2" xfId="33692" xr:uid="{C74D22AA-302A-4E8A-94E6-D2C38954E087}"/>
    <cellStyle name="Финансовый 37 2 7 3 5" xfId="19760" xr:uid="{00000000-0005-0000-0000-000040530000}"/>
    <cellStyle name="Финансовый 37 2 7 3 5 2" xfId="36773" xr:uid="{EFA60A18-6FDE-41C8-9F68-523E604793BF}"/>
    <cellStyle name="Финансовый 37 2 7 3 6" xfId="27463" xr:uid="{D6FFCB80-3503-45A7-A138-85DF1C452BC8}"/>
    <cellStyle name="Финансовый 37 2 7 4" xfId="10364" xr:uid="{00000000-0005-0000-0000-000041530000}"/>
    <cellStyle name="Финансовый 37 2 7 4 2" xfId="13449" xr:uid="{00000000-0005-0000-0000-000042530000}"/>
    <cellStyle name="Финансовый 37 2 7 4 2 2" xfId="30538" xr:uid="{0747EFE3-5899-41B8-AA02-1A664BF000F2}"/>
    <cellStyle name="Финансовый 37 2 7 4 3" xfId="16681" xr:uid="{00000000-0005-0000-0000-000043530000}"/>
    <cellStyle name="Финансовый 37 2 7 4 3 2" xfId="33694" xr:uid="{07C3E81D-F44A-4959-B9BE-0FF542D419BB}"/>
    <cellStyle name="Финансовый 37 2 7 4 4" xfId="19762" xr:uid="{00000000-0005-0000-0000-000044530000}"/>
    <cellStyle name="Финансовый 37 2 7 4 4 2" xfId="36775" xr:uid="{55736A04-6CE0-42AC-9134-2ACF5B50F623}"/>
    <cellStyle name="Финансовый 37 2 7 4 5" xfId="27465" xr:uid="{3547A091-2009-4BD1-8ECC-09B9BD945C09}"/>
    <cellStyle name="Финансовый 37 2 7 5" xfId="13442" xr:uid="{00000000-0005-0000-0000-000045530000}"/>
    <cellStyle name="Финансовый 37 2 7 5 2" xfId="30531" xr:uid="{A1CDCFB7-4CF4-444C-B08D-4D8F89973B4B}"/>
    <cellStyle name="Финансовый 37 2 7 6" xfId="16674" xr:uid="{00000000-0005-0000-0000-000046530000}"/>
    <cellStyle name="Финансовый 37 2 7 6 2" xfId="33687" xr:uid="{FC895EDD-4B89-4BCF-8494-114321BA701B}"/>
    <cellStyle name="Финансовый 37 2 7 7" xfId="19755" xr:uid="{00000000-0005-0000-0000-000047530000}"/>
    <cellStyle name="Финансовый 37 2 7 7 2" xfId="36768" xr:uid="{03681D47-7023-4E05-9E95-4DECEDAFB804}"/>
    <cellStyle name="Финансовый 37 2 7 8" xfId="27458" xr:uid="{03C2DE97-0BC1-445E-B9C7-4C87312A8226}"/>
    <cellStyle name="Финансовый 37 2 8" xfId="10365" xr:uid="{00000000-0005-0000-0000-000048530000}"/>
    <cellStyle name="Финансовый 37 2 8 2" xfId="10366" xr:uid="{00000000-0005-0000-0000-000049530000}"/>
    <cellStyle name="Финансовый 37 2 8 2 2" xfId="10367" xr:uid="{00000000-0005-0000-0000-00004A530000}"/>
    <cellStyle name="Финансовый 37 2 8 2 2 2" xfId="13452" xr:uid="{00000000-0005-0000-0000-00004B530000}"/>
    <cellStyle name="Финансовый 37 2 8 2 2 2 2" xfId="30541" xr:uid="{E8B6E9B0-2284-47C0-A98C-D47915989F6B}"/>
    <cellStyle name="Финансовый 37 2 8 2 2 3" xfId="16684" xr:uid="{00000000-0005-0000-0000-00004C530000}"/>
    <cellStyle name="Финансовый 37 2 8 2 2 3 2" xfId="33697" xr:uid="{4A211F68-0468-4F25-8AC4-7F8EFC329254}"/>
    <cellStyle name="Финансовый 37 2 8 2 2 4" xfId="19765" xr:uid="{00000000-0005-0000-0000-00004D530000}"/>
    <cellStyle name="Финансовый 37 2 8 2 2 4 2" xfId="36778" xr:uid="{6F4ED90B-CB17-42E8-AE43-3EE3946910AD}"/>
    <cellStyle name="Финансовый 37 2 8 2 2 5" xfId="27468" xr:uid="{A42C3CEB-27F6-4406-AC1B-5E0CAC0E2DED}"/>
    <cellStyle name="Финансовый 37 2 8 2 3" xfId="13451" xr:uid="{00000000-0005-0000-0000-00004E530000}"/>
    <cellStyle name="Финансовый 37 2 8 2 3 2" xfId="30540" xr:uid="{FAF0A268-3643-469D-847C-E4126A9527DA}"/>
    <cellStyle name="Финансовый 37 2 8 2 4" xfId="16683" xr:uid="{00000000-0005-0000-0000-00004F530000}"/>
    <cellStyle name="Финансовый 37 2 8 2 4 2" xfId="33696" xr:uid="{63CF9B71-46D3-4F00-BA0B-41352C5A6EE8}"/>
    <cellStyle name="Финансовый 37 2 8 2 5" xfId="19764" xr:uid="{00000000-0005-0000-0000-000050530000}"/>
    <cellStyle name="Финансовый 37 2 8 2 5 2" xfId="36777" xr:uid="{B9EA8F3F-967C-4C6A-8947-BB72D3B623DE}"/>
    <cellStyle name="Финансовый 37 2 8 2 6" xfId="27467" xr:uid="{2A530349-85EC-4425-8A3C-C9B2569E378E}"/>
    <cellStyle name="Финансовый 37 2 8 3" xfId="10368" xr:uid="{00000000-0005-0000-0000-000051530000}"/>
    <cellStyle name="Финансовый 37 2 8 3 2" xfId="13453" xr:uid="{00000000-0005-0000-0000-000052530000}"/>
    <cellStyle name="Финансовый 37 2 8 3 2 2" xfId="30542" xr:uid="{3AF80B2D-45C5-480F-A6E0-2CD634CA2CC3}"/>
    <cellStyle name="Финансовый 37 2 8 3 3" xfId="16685" xr:uid="{00000000-0005-0000-0000-000053530000}"/>
    <cellStyle name="Финансовый 37 2 8 3 3 2" xfId="33698" xr:uid="{678482B7-6701-4260-BA51-4D9EBCEA9BCC}"/>
    <cellStyle name="Финансовый 37 2 8 3 4" xfId="19766" xr:uid="{00000000-0005-0000-0000-000054530000}"/>
    <cellStyle name="Финансовый 37 2 8 3 4 2" xfId="36779" xr:uid="{E83B2952-C67B-4B03-92AB-D241C626F552}"/>
    <cellStyle name="Финансовый 37 2 8 3 5" xfId="27469" xr:uid="{7A39DFD9-B164-4E60-B3DE-8AE695AF1630}"/>
    <cellStyle name="Финансовый 37 2 8 4" xfId="13450" xr:uid="{00000000-0005-0000-0000-000055530000}"/>
    <cellStyle name="Финансовый 37 2 8 4 2" xfId="30539" xr:uid="{BED0D7EE-D749-4DF6-8187-EB13BB9E2962}"/>
    <cellStyle name="Финансовый 37 2 8 5" xfId="16682" xr:uid="{00000000-0005-0000-0000-000056530000}"/>
    <cellStyle name="Финансовый 37 2 8 5 2" xfId="33695" xr:uid="{7401DFEB-BCDC-4BBD-AB65-763B75ED6A87}"/>
    <cellStyle name="Финансовый 37 2 8 6" xfId="19763" xr:uid="{00000000-0005-0000-0000-000057530000}"/>
    <cellStyle name="Финансовый 37 2 8 6 2" xfId="36776" xr:uid="{71FC9B37-5C5F-48BE-ADA2-7447301ADAFC}"/>
    <cellStyle name="Финансовый 37 2 8 7" xfId="27466" xr:uid="{02EC4727-3EEE-4D25-88B9-C714078E0CA1}"/>
    <cellStyle name="Финансовый 37 2 9" xfId="10369" xr:uid="{00000000-0005-0000-0000-000058530000}"/>
    <cellStyle name="Финансовый 37 2 9 2" xfId="10370" xr:uid="{00000000-0005-0000-0000-000059530000}"/>
    <cellStyle name="Финансовый 37 2 9 2 2" xfId="13455" xr:uid="{00000000-0005-0000-0000-00005A530000}"/>
    <cellStyle name="Финансовый 37 2 9 2 2 2" xfId="30544" xr:uid="{3B2B595E-3DB7-440E-A72B-80D5F2026A62}"/>
    <cellStyle name="Финансовый 37 2 9 2 3" xfId="16687" xr:uid="{00000000-0005-0000-0000-00005B530000}"/>
    <cellStyle name="Финансовый 37 2 9 2 3 2" xfId="33700" xr:uid="{42A75466-A138-437D-BE1F-B9C6128805CB}"/>
    <cellStyle name="Финансовый 37 2 9 2 4" xfId="19768" xr:uid="{00000000-0005-0000-0000-00005C530000}"/>
    <cellStyle name="Финансовый 37 2 9 2 4 2" xfId="36781" xr:uid="{5A9448C5-B140-4478-87B3-19E5EE5907DB}"/>
    <cellStyle name="Финансовый 37 2 9 2 5" xfId="27471" xr:uid="{6BCAC883-3652-4621-ADBB-2EADA774979E}"/>
    <cellStyle name="Финансовый 37 2 9 3" xfId="13454" xr:uid="{00000000-0005-0000-0000-00005D530000}"/>
    <cellStyle name="Финансовый 37 2 9 3 2" xfId="30543" xr:uid="{D186BDBC-50EE-40C1-967F-5BD161636604}"/>
    <cellStyle name="Финансовый 37 2 9 4" xfId="16686" xr:uid="{00000000-0005-0000-0000-00005E530000}"/>
    <cellStyle name="Финансовый 37 2 9 4 2" xfId="33699" xr:uid="{30BADEA7-72E1-4705-B417-D45184FBAB86}"/>
    <cellStyle name="Финансовый 37 2 9 5" xfId="19767" xr:uid="{00000000-0005-0000-0000-00005F530000}"/>
    <cellStyle name="Финансовый 37 2 9 5 2" xfId="36780" xr:uid="{3C7F032D-A7DE-43D0-BCD5-E320EEF5FAEF}"/>
    <cellStyle name="Финансовый 37 2 9 6" xfId="27470" xr:uid="{1EAED5DD-F7B7-455E-8F49-D86C90B1FEBF}"/>
    <cellStyle name="Финансовый 37 3" xfId="10371" xr:uid="{00000000-0005-0000-0000-000060530000}"/>
    <cellStyle name="Финансовый 37 3 10" xfId="13456" xr:uid="{00000000-0005-0000-0000-000061530000}"/>
    <cellStyle name="Финансовый 37 3 10 2" xfId="30545" xr:uid="{042E42CE-D06B-4C61-A5E8-4B928399F633}"/>
    <cellStyle name="Финансовый 37 3 11" xfId="16688" xr:uid="{00000000-0005-0000-0000-000062530000}"/>
    <cellStyle name="Финансовый 37 3 11 2" xfId="33701" xr:uid="{4F19686E-DC4C-4048-8D9C-123747FC43BE}"/>
    <cellStyle name="Финансовый 37 3 12" xfId="19769" xr:uid="{00000000-0005-0000-0000-000063530000}"/>
    <cellStyle name="Финансовый 37 3 12 2" xfId="36782" xr:uid="{5AF1639D-98F7-4431-96D7-5AF44DFCF875}"/>
    <cellStyle name="Финансовый 37 3 13" xfId="27472" xr:uid="{7FFC969C-3D80-4F90-999A-0290FDDACD15}"/>
    <cellStyle name="Финансовый 37 3 2" xfId="10372" xr:uid="{00000000-0005-0000-0000-000064530000}"/>
    <cellStyle name="Финансовый 37 3 2 10" xfId="16689" xr:uid="{00000000-0005-0000-0000-000065530000}"/>
    <cellStyle name="Финансовый 37 3 2 10 2" xfId="33702" xr:uid="{9F70A4B0-09C0-45B2-9A9A-E02BF22B0F55}"/>
    <cellStyle name="Финансовый 37 3 2 11" xfId="19770" xr:uid="{00000000-0005-0000-0000-000066530000}"/>
    <cellStyle name="Финансовый 37 3 2 11 2" xfId="36783" xr:uid="{C683237C-90B0-4D18-B5C0-E1A0C7C8C126}"/>
    <cellStyle name="Финансовый 37 3 2 12" xfId="27473" xr:uid="{D50BDB37-4088-42D8-B862-4BB6F7D5B043}"/>
    <cellStyle name="Финансовый 37 3 2 2" xfId="10373" xr:uid="{00000000-0005-0000-0000-000067530000}"/>
    <cellStyle name="Финансовый 37 3 2 2 10" xfId="19771" xr:uid="{00000000-0005-0000-0000-000068530000}"/>
    <cellStyle name="Финансовый 37 3 2 2 10 2" xfId="36784" xr:uid="{AEB1547E-3DF0-4E13-94F2-83776130B6E3}"/>
    <cellStyle name="Финансовый 37 3 2 2 11" xfId="27474" xr:uid="{30042661-C300-4903-9C81-6FD3FBCE77C3}"/>
    <cellStyle name="Финансовый 37 3 2 2 2" xfId="10374" xr:uid="{00000000-0005-0000-0000-000069530000}"/>
    <cellStyle name="Финансовый 37 3 2 2 2 10" xfId="27475" xr:uid="{5B5B9370-6CAA-4681-8404-EEB3DD8CB288}"/>
    <cellStyle name="Финансовый 37 3 2 2 2 2" xfId="10375" xr:uid="{00000000-0005-0000-0000-00006A530000}"/>
    <cellStyle name="Финансовый 37 3 2 2 2 2 2" xfId="10376" xr:uid="{00000000-0005-0000-0000-00006B530000}"/>
    <cellStyle name="Финансовый 37 3 2 2 2 2 2 2" xfId="10377" xr:uid="{00000000-0005-0000-0000-00006C530000}"/>
    <cellStyle name="Финансовый 37 3 2 2 2 2 2 2 2" xfId="10378" xr:uid="{00000000-0005-0000-0000-00006D530000}"/>
    <cellStyle name="Финансовый 37 3 2 2 2 2 2 2 2 2" xfId="10379" xr:uid="{00000000-0005-0000-0000-00006E530000}"/>
    <cellStyle name="Финансовый 37 3 2 2 2 2 2 2 2 2 2" xfId="13464" xr:uid="{00000000-0005-0000-0000-00006F530000}"/>
    <cellStyle name="Финансовый 37 3 2 2 2 2 2 2 2 2 2 2" xfId="30553" xr:uid="{20CDC1DB-85A7-4F16-8868-D904D817FDC5}"/>
    <cellStyle name="Финансовый 37 3 2 2 2 2 2 2 2 2 3" xfId="16696" xr:uid="{00000000-0005-0000-0000-000070530000}"/>
    <cellStyle name="Финансовый 37 3 2 2 2 2 2 2 2 2 3 2" xfId="33709" xr:uid="{7EE060C7-F2C7-4C7B-8C04-862229C43AC0}"/>
    <cellStyle name="Финансовый 37 3 2 2 2 2 2 2 2 2 4" xfId="19777" xr:uid="{00000000-0005-0000-0000-000071530000}"/>
    <cellStyle name="Финансовый 37 3 2 2 2 2 2 2 2 2 4 2" xfId="36790" xr:uid="{D6A7CDAF-7B47-4209-AE9B-4123E78E9FB2}"/>
    <cellStyle name="Финансовый 37 3 2 2 2 2 2 2 2 2 5" xfId="27480" xr:uid="{513E8DB4-E985-4C1F-B64A-C5C75F409462}"/>
    <cellStyle name="Финансовый 37 3 2 2 2 2 2 2 2 3" xfId="13463" xr:uid="{00000000-0005-0000-0000-000072530000}"/>
    <cellStyle name="Финансовый 37 3 2 2 2 2 2 2 2 3 2" xfId="30552" xr:uid="{67E920D5-B22E-4611-9132-CB8E772D8A21}"/>
    <cellStyle name="Финансовый 37 3 2 2 2 2 2 2 2 4" xfId="16695" xr:uid="{00000000-0005-0000-0000-000073530000}"/>
    <cellStyle name="Финансовый 37 3 2 2 2 2 2 2 2 4 2" xfId="33708" xr:uid="{E86651D8-5AAA-4CE7-A112-D65B56ED4ABB}"/>
    <cellStyle name="Финансовый 37 3 2 2 2 2 2 2 2 5" xfId="19776" xr:uid="{00000000-0005-0000-0000-000074530000}"/>
    <cellStyle name="Финансовый 37 3 2 2 2 2 2 2 2 5 2" xfId="36789" xr:uid="{13958DE9-5B76-4B87-847E-4F5BE58165F1}"/>
    <cellStyle name="Финансовый 37 3 2 2 2 2 2 2 2 6" xfId="27479" xr:uid="{1EEE227F-6FFD-4CD1-B7C2-F8FE82B91F99}"/>
    <cellStyle name="Финансовый 37 3 2 2 2 2 2 2 3" xfId="10380" xr:uid="{00000000-0005-0000-0000-000075530000}"/>
    <cellStyle name="Финансовый 37 3 2 2 2 2 2 2 3 2" xfId="13465" xr:uid="{00000000-0005-0000-0000-000076530000}"/>
    <cellStyle name="Финансовый 37 3 2 2 2 2 2 2 3 2 2" xfId="30554" xr:uid="{057EC5FF-E8AA-42A3-AFE3-9F4D940B07AC}"/>
    <cellStyle name="Финансовый 37 3 2 2 2 2 2 2 3 3" xfId="16697" xr:uid="{00000000-0005-0000-0000-000077530000}"/>
    <cellStyle name="Финансовый 37 3 2 2 2 2 2 2 3 3 2" xfId="33710" xr:uid="{0D6F13F8-278B-4F6D-8B45-D9A3A1E1B144}"/>
    <cellStyle name="Финансовый 37 3 2 2 2 2 2 2 3 4" xfId="19778" xr:uid="{00000000-0005-0000-0000-000078530000}"/>
    <cellStyle name="Финансовый 37 3 2 2 2 2 2 2 3 4 2" xfId="36791" xr:uid="{C3D4774A-B424-4CB9-8888-A6444E211A7E}"/>
    <cellStyle name="Финансовый 37 3 2 2 2 2 2 2 3 5" xfId="27481" xr:uid="{8952685C-7183-4EE4-AA51-1B6D149C6856}"/>
    <cellStyle name="Финансовый 37 3 2 2 2 2 2 2 4" xfId="13462" xr:uid="{00000000-0005-0000-0000-000079530000}"/>
    <cellStyle name="Финансовый 37 3 2 2 2 2 2 2 4 2" xfId="30551" xr:uid="{66801C11-7C04-4256-849F-092C23952DCB}"/>
    <cellStyle name="Финансовый 37 3 2 2 2 2 2 2 5" xfId="16694" xr:uid="{00000000-0005-0000-0000-00007A530000}"/>
    <cellStyle name="Финансовый 37 3 2 2 2 2 2 2 5 2" xfId="33707" xr:uid="{94D2059E-6EC3-43E1-8951-4DC8736EFAF8}"/>
    <cellStyle name="Финансовый 37 3 2 2 2 2 2 2 6" xfId="19775" xr:uid="{00000000-0005-0000-0000-00007B530000}"/>
    <cellStyle name="Финансовый 37 3 2 2 2 2 2 2 6 2" xfId="36788" xr:uid="{F4E5F295-CB5E-4485-B656-057542C08E03}"/>
    <cellStyle name="Финансовый 37 3 2 2 2 2 2 2 7" xfId="27478" xr:uid="{26DFA262-0844-4F07-BF44-242712E438AD}"/>
    <cellStyle name="Финансовый 37 3 2 2 2 2 2 3" xfId="10381" xr:uid="{00000000-0005-0000-0000-00007C530000}"/>
    <cellStyle name="Финансовый 37 3 2 2 2 2 2 3 2" xfId="10382" xr:uid="{00000000-0005-0000-0000-00007D530000}"/>
    <cellStyle name="Финансовый 37 3 2 2 2 2 2 3 2 2" xfId="13467" xr:uid="{00000000-0005-0000-0000-00007E530000}"/>
    <cellStyle name="Финансовый 37 3 2 2 2 2 2 3 2 2 2" xfId="30556" xr:uid="{C68232E1-8B6B-4BBC-82C4-FAE76C981153}"/>
    <cellStyle name="Финансовый 37 3 2 2 2 2 2 3 2 3" xfId="16699" xr:uid="{00000000-0005-0000-0000-00007F530000}"/>
    <cellStyle name="Финансовый 37 3 2 2 2 2 2 3 2 3 2" xfId="33712" xr:uid="{58B1C27E-0D1F-4110-A627-1F44F8B3DF42}"/>
    <cellStyle name="Финансовый 37 3 2 2 2 2 2 3 2 4" xfId="19780" xr:uid="{00000000-0005-0000-0000-000080530000}"/>
    <cellStyle name="Финансовый 37 3 2 2 2 2 2 3 2 4 2" xfId="36793" xr:uid="{E62B9025-0052-43E5-A327-52DC1DFCC5AF}"/>
    <cellStyle name="Финансовый 37 3 2 2 2 2 2 3 2 5" xfId="27483" xr:uid="{C62DB1D0-0D02-4970-899B-54E886ACE571}"/>
    <cellStyle name="Финансовый 37 3 2 2 2 2 2 3 3" xfId="13466" xr:uid="{00000000-0005-0000-0000-000081530000}"/>
    <cellStyle name="Финансовый 37 3 2 2 2 2 2 3 3 2" xfId="30555" xr:uid="{44A014CD-582C-4ECB-9BD2-3EFA2ACA308D}"/>
    <cellStyle name="Финансовый 37 3 2 2 2 2 2 3 4" xfId="16698" xr:uid="{00000000-0005-0000-0000-000082530000}"/>
    <cellStyle name="Финансовый 37 3 2 2 2 2 2 3 4 2" xfId="33711" xr:uid="{E6449974-3FAD-4439-8FD4-83A40895E32F}"/>
    <cellStyle name="Финансовый 37 3 2 2 2 2 2 3 5" xfId="19779" xr:uid="{00000000-0005-0000-0000-000083530000}"/>
    <cellStyle name="Финансовый 37 3 2 2 2 2 2 3 5 2" xfId="36792" xr:uid="{A6C6C742-68C1-4E0A-A210-5B072CA73BCA}"/>
    <cellStyle name="Финансовый 37 3 2 2 2 2 2 3 6" xfId="27482" xr:uid="{6C13FA05-EC3F-4A98-A074-EBFC54F28490}"/>
    <cellStyle name="Финансовый 37 3 2 2 2 2 2 4" xfId="10383" xr:uid="{00000000-0005-0000-0000-000084530000}"/>
    <cellStyle name="Финансовый 37 3 2 2 2 2 2 4 2" xfId="13468" xr:uid="{00000000-0005-0000-0000-000085530000}"/>
    <cellStyle name="Финансовый 37 3 2 2 2 2 2 4 2 2" xfId="30557" xr:uid="{017ECC61-1634-4808-B47F-62002ED416BA}"/>
    <cellStyle name="Финансовый 37 3 2 2 2 2 2 4 3" xfId="16700" xr:uid="{00000000-0005-0000-0000-000086530000}"/>
    <cellStyle name="Финансовый 37 3 2 2 2 2 2 4 3 2" xfId="33713" xr:uid="{9187B23E-A321-4812-8CB2-6212F5417D51}"/>
    <cellStyle name="Финансовый 37 3 2 2 2 2 2 4 4" xfId="19781" xr:uid="{00000000-0005-0000-0000-000087530000}"/>
    <cellStyle name="Финансовый 37 3 2 2 2 2 2 4 4 2" xfId="36794" xr:uid="{2EF47BDC-95C2-4FBD-94AB-4075189A53E6}"/>
    <cellStyle name="Финансовый 37 3 2 2 2 2 2 4 5" xfId="27484" xr:uid="{ADF623A5-9452-406C-8CAB-BAEA03F80B87}"/>
    <cellStyle name="Финансовый 37 3 2 2 2 2 2 5" xfId="13461" xr:uid="{00000000-0005-0000-0000-000088530000}"/>
    <cellStyle name="Финансовый 37 3 2 2 2 2 2 5 2" xfId="30550" xr:uid="{7F349C9C-87E2-4E0F-92B6-B45C03450748}"/>
    <cellStyle name="Финансовый 37 3 2 2 2 2 2 6" xfId="16693" xr:uid="{00000000-0005-0000-0000-000089530000}"/>
    <cellStyle name="Финансовый 37 3 2 2 2 2 2 6 2" xfId="33706" xr:uid="{878833A2-3766-440B-B5E7-AB2E0749C0A7}"/>
    <cellStyle name="Финансовый 37 3 2 2 2 2 2 7" xfId="19774" xr:uid="{00000000-0005-0000-0000-00008A530000}"/>
    <cellStyle name="Финансовый 37 3 2 2 2 2 2 7 2" xfId="36787" xr:uid="{64F3D824-A516-4E1F-BA5F-248C65E56BE7}"/>
    <cellStyle name="Финансовый 37 3 2 2 2 2 2 8" xfId="27477" xr:uid="{71CFF20C-E61D-408C-9735-0B169AE6694C}"/>
    <cellStyle name="Финансовый 37 3 2 2 2 2 3" xfId="10384" xr:uid="{00000000-0005-0000-0000-00008B530000}"/>
    <cellStyle name="Финансовый 37 3 2 2 2 2 3 2" xfId="10385" xr:uid="{00000000-0005-0000-0000-00008C530000}"/>
    <cellStyle name="Финансовый 37 3 2 2 2 2 3 2 2" xfId="10386" xr:uid="{00000000-0005-0000-0000-00008D530000}"/>
    <cellStyle name="Финансовый 37 3 2 2 2 2 3 2 2 2" xfId="13471" xr:uid="{00000000-0005-0000-0000-00008E530000}"/>
    <cellStyle name="Финансовый 37 3 2 2 2 2 3 2 2 2 2" xfId="30560" xr:uid="{74F394C3-C8F9-4DF2-A3A0-F462095D0CA6}"/>
    <cellStyle name="Финансовый 37 3 2 2 2 2 3 2 2 3" xfId="16703" xr:uid="{00000000-0005-0000-0000-00008F530000}"/>
    <cellStyle name="Финансовый 37 3 2 2 2 2 3 2 2 3 2" xfId="33716" xr:uid="{4C86FF06-4F87-4B3F-B4E3-026D7FB0E744}"/>
    <cellStyle name="Финансовый 37 3 2 2 2 2 3 2 2 4" xfId="19784" xr:uid="{00000000-0005-0000-0000-000090530000}"/>
    <cellStyle name="Финансовый 37 3 2 2 2 2 3 2 2 4 2" xfId="36797" xr:uid="{E0551F22-5650-475D-AD5D-DD349870AB5E}"/>
    <cellStyle name="Финансовый 37 3 2 2 2 2 3 2 2 5" xfId="27487" xr:uid="{8CA2979A-C97E-433B-A7CD-C335CB361886}"/>
    <cellStyle name="Финансовый 37 3 2 2 2 2 3 2 3" xfId="13470" xr:uid="{00000000-0005-0000-0000-000091530000}"/>
    <cellStyle name="Финансовый 37 3 2 2 2 2 3 2 3 2" xfId="30559" xr:uid="{770CA782-8862-4263-801C-8B32A8F297C9}"/>
    <cellStyle name="Финансовый 37 3 2 2 2 2 3 2 4" xfId="16702" xr:uid="{00000000-0005-0000-0000-000092530000}"/>
    <cellStyle name="Финансовый 37 3 2 2 2 2 3 2 4 2" xfId="33715" xr:uid="{119BDA64-5ACB-4C0C-970F-48FF7EA8A9F2}"/>
    <cellStyle name="Финансовый 37 3 2 2 2 2 3 2 5" xfId="19783" xr:uid="{00000000-0005-0000-0000-000093530000}"/>
    <cellStyle name="Финансовый 37 3 2 2 2 2 3 2 5 2" xfId="36796" xr:uid="{AFF3290E-FB89-4AE0-B179-A58958A25891}"/>
    <cellStyle name="Финансовый 37 3 2 2 2 2 3 2 6" xfId="27486" xr:uid="{0A61807A-0436-4E1C-AEAB-85FC4957C1FF}"/>
    <cellStyle name="Финансовый 37 3 2 2 2 2 3 3" xfId="10387" xr:uid="{00000000-0005-0000-0000-000094530000}"/>
    <cellStyle name="Финансовый 37 3 2 2 2 2 3 3 2" xfId="13472" xr:uid="{00000000-0005-0000-0000-000095530000}"/>
    <cellStyle name="Финансовый 37 3 2 2 2 2 3 3 2 2" xfId="30561" xr:uid="{3B14B449-AF5C-489C-8635-13232525A327}"/>
    <cellStyle name="Финансовый 37 3 2 2 2 2 3 3 3" xfId="16704" xr:uid="{00000000-0005-0000-0000-000096530000}"/>
    <cellStyle name="Финансовый 37 3 2 2 2 2 3 3 3 2" xfId="33717" xr:uid="{2A11BC16-0507-4A78-BCE8-2233C2A61049}"/>
    <cellStyle name="Финансовый 37 3 2 2 2 2 3 3 4" xfId="19785" xr:uid="{00000000-0005-0000-0000-000097530000}"/>
    <cellStyle name="Финансовый 37 3 2 2 2 2 3 3 4 2" xfId="36798" xr:uid="{C35963A4-1A6C-416A-8E49-FA228ECAECE2}"/>
    <cellStyle name="Финансовый 37 3 2 2 2 2 3 3 5" xfId="27488" xr:uid="{9DA64548-BBAE-4A7B-8DD1-22818CE79AC8}"/>
    <cellStyle name="Финансовый 37 3 2 2 2 2 3 4" xfId="13469" xr:uid="{00000000-0005-0000-0000-000098530000}"/>
    <cellStyle name="Финансовый 37 3 2 2 2 2 3 4 2" xfId="30558" xr:uid="{3F73F63D-0734-48DD-91C1-5A1A5866CBAA}"/>
    <cellStyle name="Финансовый 37 3 2 2 2 2 3 5" xfId="16701" xr:uid="{00000000-0005-0000-0000-000099530000}"/>
    <cellStyle name="Финансовый 37 3 2 2 2 2 3 5 2" xfId="33714" xr:uid="{AC160808-9D83-4693-A864-A58B4428562C}"/>
    <cellStyle name="Финансовый 37 3 2 2 2 2 3 6" xfId="19782" xr:uid="{00000000-0005-0000-0000-00009A530000}"/>
    <cellStyle name="Финансовый 37 3 2 2 2 2 3 6 2" xfId="36795" xr:uid="{5193F084-15C0-42DE-B901-47D717C3CBB2}"/>
    <cellStyle name="Финансовый 37 3 2 2 2 2 3 7" xfId="27485" xr:uid="{B117627D-3C57-4109-A250-3FC77D957DD5}"/>
    <cellStyle name="Финансовый 37 3 2 2 2 2 4" xfId="10388" xr:uid="{00000000-0005-0000-0000-00009B530000}"/>
    <cellStyle name="Финансовый 37 3 2 2 2 2 4 2" xfId="10389" xr:uid="{00000000-0005-0000-0000-00009C530000}"/>
    <cellStyle name="Финансовый 37 3 2 2 2 2 4 2 2" xfId="13474" xr:uid="{00000000-0005-0000-0000-00009D530000}"/>
    <cellStyle name="Финансовый 37 3 2 2 2 2 4 2 2 2" xfId="30563" xr:uid="{A9B51F32-80BA-46FF-B51E-F1DAD48A2846}"/>
    <cellStyle name="Финансовый 37 3 2 2 2 2 4 2 3" xfId="16706" xr:uid="{00000000-0005-0000-0000-00009E530000}"/>
    <cellStyle name="Финансовый 37 3 2 2 2 2 4 2 3 2" xfId="33719" xr:uid="{098447E5-CE6D-4620-B53A-DF1C24F727A8}"/>
    <cellStyle name="Финансовый 37 3 2 2 2 2 4 2 4" xfId="19787" xr:uid="{00000000-0005-0000-0000-00009F530000}"/>
    <cellStyle name="Финансовый 37 3 2 2 2 2 4 2 4 2" xfId="36800" xr:uid="{FCF05A89-DFDA-45F0-8859-15DEF29AD9FD}"/>
    <cellStyle name="Финансовый 37 3 2 2 2 2 4 2 5" xfId="27490" xr:uid="{24EE6586-7F62-4814-B8FD-00A49E9422C8}"/>
    <cellStyle name="Финансовый 37 3 2 2 2 2 4 3" xfId="13473" xr:uid="{00000000-0005-0000-0000-0000A0530000}"/>
    <cellStyle name="Финансовый 37 3 2 2 2 2 4 3 2" xfId="30562" xr:uid="{6A903302-1121-4740-B1B6-9A6807A7A2BC}"/>
    <cellStyle name="Финансовый 37 3 2 2 2 2 4 4" xfId="16705" xr:uid="{00000000-0005-0000-0000-0000A1530000}"/>
    <cellStyle name="Финансовый 37 3 2 2 2 2 4 4 2" xfId="33718" xr:uid="{41749461-7C40-4C1E-8407-5499892792C5}"/>
    <cellStyle name="Финансовый 37 3 2 2 2 2 4 5" xfId="19786" xr:uid="{00000000-0005-0000-0000-0000A2530000}"/>
    <cellStyle name="Финансовый 37 3 2 2 2 2 4 5 2" xfId="36799" xr:uid="{6DC8195C-091C-4A68-A125-ACEB66B06E15}"/>
    <cellStyle name="Финансовый 37 3 2 2 2 2 4 6" xfId="27489" xr:uid="{D3B963D9-FADA-4FFB-BA13-D15831AAFB4F}"/>
    <cellStyle name="Финансовый 37 3 2 2 2 2 5" xfId="10390" xr:uid="{00000000-0005-0000-0000-0000A3530000}"/>
    <cellStyle name="Финансовый 37 3 2 2 2 2 5 2" xfId="13475" xr:uid="{00000000-0005-0000-0000-0000A4530000}"/>
    <cellStyle name="Финансовый 37 3 2 2 2 2 5 2 2" xfId="30564" xr:uid="{C26FC920-408B-457D-8260-9AB5258B25B9}"/>
    <cellStyle name="Финансовый 37 3 2 2 2 2 5 3" xfId="16707" xr:uid="{00000000-0005-0000-0000-0000A5530000}"/>
    <cellStyle name="Финансовый 37 3 2 2 2 2 5 3 2" xfId="33720" xr:uid="{92910CD5-E42B-4F8C-81E2-AA5E3B2DBAC4}"/>
    <cellStyle name="Финансовый 37 3 2 2 2 2 5 4" xfId="19788" xr:uid="{00000000-0005-0000-0000-0000A6530000}"/>
    <cellStyle name="Финансовый 37 3 2 2 2 2 5 4 2" xfId="36801" xr:uid="{1D0B9F2F-908B-4C61-8B05-B2BEC7263545}"/>
    <cellStyle name="Финансовый 37 3 2 2 2 2 5 5" xfId="27491" xr:uid="{35102350-8C07-4688-8EAD-DA15691FFFDF}"/>
    <cellStyle name="Финансовый 37 3 2 2 2 2 6" xfId="13460" xr:uid="{00000000-0005-0000-0000-0000A7530000}"/>
    <cellStyle name="Финансовый 37 3 2 2 2 2 6 2" xfId="30549" xr:uid="{28CA64B9-2644-4818-97D1-0AC83804B543}"/>
    <cellStyle name="Финансовый 37 3 2 2 2 2 7" xfId="16692" xr:uid="{00000000-0005-0000-0000-0000A8530000}"/>
    <cellStyle name="Финансовый 37 3 2 2 2 2 7 2" xfId="33705" xr:uid="{DAB0BFE7-0C70-4EB8-808F-62BF7E44D957}"/>
    <cellStyle name="Финансовый 37 3 2 2 2 2 8" xfId="19773" xr:uid="{00000000-0005-0000-0000-0000A9530000}"/>
    <cellStyle name="Финансовый 37 3 2 2 2 2 8 2" xfId="36786" xr:uid="{106E823C-2223-42F9-A95D-13ABCB17BBEA}"/>
    <cellStyle name="Финансовый 37 3 2 2 2 2 9" xfId="27476" xr:uid="{33848D77-177C-445B-918E-DADD8503BB8F}"/>
    <cellStyle name="Финансовый 37 3 2 2 2 3" xfId="10391" xr:uid="{00000000-0005-0000-0000-0000AA530000}"/>
    <cellStyle name="Финансовый 37 3 2 2 2 3 2" xfId="10392" xr:uid="{00000000-0005-0000-0000-0000AB530000}"/>
    <cellStyle name="Финансовый 37 3 2 2 2 3 2 2" xfId="10393" xr:uid="{00000000-0005-0000-0000-0000AC530000}"/>
    <cellStyle name="Финансовый 37 3 2 2 2 3 2 2 2" xfId="10394" xr:uid="{00000000-0005-0000-0000-0000AD530000}"/>
    <cellStyle name="Финансовый 37 3 2 2 2 3 2 2 2 2" xfId="13479" xr:uid="{00000000-0005-0000-0000-0000AE530000}"/>
    <cellStyle name="Финансовый 37 3 2 2 2 3 2 2 2 2 2" xfId="30568" xr:uid="{ECE55329-1E2D-4D5C-95A5-AFFFE35DB5D7}"/>
    <cellStyle name="Финансовый 37 3 2 2 2 3 2 2 2 3" xfId="16711" xr:uid="{00000000-0005-0000-0000-0000AF530000}"/>
    <cellStyle name="Финансовый 37 3 2 2 2 3 2 2 2 3 2" xfId="33724" xr:uid="{B27F028E-8B08-4F56-8892-B48F43181EE3}"/>
    <cellStyle name="Финансовый 37 3 2 2 2 3 2 2 2 4" xfId="19792" xr:uid="{00000000-0005-0000-0000-0000B0530000}"/>
    <cellStyle name="Финансовый 37 3 2 2 2 3 2 2 2 4 2" xfId="36805" xr:uid="{4D43CF3E-26AE-47ED-8C6D-18E1CD61CCF2}"/>
    <cellStyle name="Финансовый 37 3 2 2 2 3 2 2 2 5" xfId="27495" xr:uid="{CC999A2D-9147-42D7-99DE-EBC864440943}"/>
    <cellStyle name="Финансовый 37 3 2 2 2 3 2 2 3" xfId="13478" xr:uid="{00000000-0005-0000-0000-0000B1530000}"/>
    <cellStyle name="Финансовый 37 3 2 2 2 3 2 2 3 2" xfId="30567" xr:uid="{222DA530-491D-4B17-88E8-8D8DB3AA7615}"/>
    <cellStyle name="Финансовый 37 3 2 2 2 3 2 2 4" xfId="16710" xr:uid="{00000000-0005-0000-0000-0000B2530000}"/>
    <cellStyle name="Финансовый 37 3 2 2 2 3 2 2 4 2" xfId="33723" xr:uid="{B68806AF-A33E-4F43-B71F-D3D9002E477A}"/>
    <cellStyle name="Финансовый 37 3 2 2 2 3 2 2 5" xfId="19791" xr:uid="{00000000-0005-0000-0000-0000B3530000}"/>
    <cellStyle name="Финансовый 37 3 2 2 2 3 2 2 5 2" xfId="36804" xr:uid="{EEFEE6A8-E1A7-4934-B0CF-56B7647C8CE4}"/>
    <cellStyle name="Финансовый 37 3 2 2 2 3 2 2 6" xfId="27494" xr:uid="{8D300D51-DF1B-4044-93DB-3B1985668453}"/>
    <cellStyle name="Финансовый 37 3 2 2 2 3 2 3" xfId="10395" xr:uid="{00000000-0005-0000-0000-0000B4530000}"/>
    <cellStyle name="Финансовый 37 3 2 2 2 3 2 3 2" xfId="13480" xr:uid="{00000000-0005-0000-0000-0000B5530000}"/>
    <cellStyle name="Финансовый 37 3 2 2 2 3 2 3 2 2" xfId="30569" xr:uid="{9BA607F7-EFF5-4597-9A5E-F4CFB7AA127E}"/>
    <cellStyle name="Финансовый 37 3 2 2 2 3 2 3 3" xfId="16712" xr:uid="{00000000-0005-0000-0000-0000B6530000}"/>
    <cellStyle name="Финансовый 37 3 2 2 2 3 2 3 3 2" xfId="33725" xr:uid="{36838904-5872-4620-BDE1-582935D0C148}"/>
    <cellStyle name="Финансовый 37 3 2 2 2 3 2 3 4" xfId="19793" xr:uid="{00000000-0005-0000-0000-0000B7530000}"/>
    <cellStyle name="Финансовый 37 3 2 2 2 3 2 3 4 2" xfId="36806" xr:uid="{E7A7A4C3-3FBC-4133-957F-449A9FAB1C58}"/>
    <cellStyle name="Финансовый 37 3 2 2 2 3 2 3 5" xfId="27496" xr:uid="{4CF142CF-63EF-408D-9E15-4F680A5AEE2D}"/>
    <cellStyle name="Финансовый 37 3 2 2 2 3 2 4" xfId="13477" xr:uid="{00000000-0005-0000-0000-0000B8530000}"/>
    <cellStyle name="Финансовый 37 3 2 2 2 3 2 4 2" xfId="30566" xr:uid="{B4A9E036-5A2C-4343-B1B4-A8160AA411AF}"/>
    <cellStyle name="Финансовый 37 3 2 2 2 3 2 5" xfId="16709" xr:uid="{00000000-0005-0000-0000-0000B9530000}"/>
    <cellStyle name="Финансовый 37 3 2 2 2 3 2 5 2" xfId="33722" xr:uid="{C0565B08-006C-4966-88F7-0199DD8754F6}"/>
    <cellStyle name="Финансовый 37 3 2 2 2 3 2 6" xfId="19790" xr:uid="{00000000-0005-0000-0000-0000BA530000}"/>
    <cellStyle name="Финансовый 37 3 2 2 2 3 2 6 2" xfId="36803" xr:uid="{9140165F-7144-40FD-BEFF-F806AE010233}"/>
    <cellStyle name="Финансовый 37 3 2 2 2 3 2 7" xfId="27493" xr:uid="{A0612F4C-9339-470C-9227-65A85ED79D74}"/>
    <cellStyle name="Финансовый 37 3 2 2 2 3 3" xfId="10396" xr:uid="{00000000-0005-0000-0000-0000BB530000}"/>
    <cellStyle name="Финансовый 37 3 2 2 2 3 3 2" xfId="10397" xr:uid="{00000000-0005-0000-0000-0000BC530000}"/>
    <cellStyle name="Финансовый 37 3 2 2 2 3 3 2 2" xfId="13482" xr:uid="{00000000-0005-0000-0000-0000BD530000}"/>
    <cellStyle name="Финансовый 37 3 2 2 2 3 3 2 2 2" xfId="30571" xr:uid="{C424A4C9-CF5F-4101-BB5A-44771E1FC6A4}"/>
    <cellStyle name="Финансовый 37 3 2 2 2 3 3 2 3" xfId="16714" xr:uid="{00000000-0005-0000-0000-0000BE530000}"/>
    <cellStyle name="Финансовый 37 3 2 2 2 3 3 2 3 2" xfId="33727" xr:uid="{3CE4DAD8-0EB7-45D4-965F-E6B2F4BA32BB}"/>
    <cellStyle name="Финансовый 37 3 2 2 2 3 3 2 4" xfId="19795" xr:uid="{00000000-0005-0000-0000-0000BF530000}"/>
    <cellStyle name="Финансовый 37 3 2 2 2 3 3 2 4 2" xfId="36808" xr:uid="{D3E9B72D-B3EF-4340-A8E8-C2DB392727F3}"/>
    <cellStyle name="Финансовый 37 3 2 2 2 3 3 2 5" xfId="27498" xr:uid="{4CDB1583-0B70-4006-9C40-C2F514003165}"/>
    <cellStyle name="Финансовый 37 3 2 2 2 3 3 3" xfId="13481" xr:uid="{00000000-0005-0000-0000-0000C0530000}"/>
    <cellStyle name="Финансовый 37 3 2 2 2 3 3 3 2" xfId="30570" xr:uid="{66817CBB-B3CA-4ED4-AD9F-7F1B08DD3591}"/>
    <cellStyle name="Финансовый 37 3 2 2 2 3 3 4" xfId="16713" xr:uid="{00000000-0005-0000-0000-0000C1530000}"/>
    <cellStyle name="Финансовый 37 3 2 2 2 3 3 4 2" xfId="33726" xr:uid="{EA6B6AE3-59D1-4D42-94FC-1E866B730451}"/>
    <cellStyle name="Финансовый 37 3 2 2 2 3 3 5" xfId="19794" xr:uid="{00000000-0005-0000-0000-0000C2530000}"/>
    <cellStyle name="Финансовый 37 3 2 2 2 3 3 5 2" xfId="36807" xr:uid="{F3866360-10F5-4C12-9F72-C0216D6441F1}"/>
    <cellStyle name="Финансовый 37 3 2 2 2 3 3 6" xfId="27497" xr:uid="{131E5E9E-6719-4B93-99ED-4620313A93F6}"/>
    <cellStyle name="Финансовый 37 3 2 2 2 3 4" xfId="10398" xr:uid="{00000000-0005-0000-0000-0000C3530000}"/>
    <cellStyle name="Финансовый 37 3 2 2 2 3 4 2" xfId="13483" xr:uid="{00000000-0005-0000-0000-0000C4530000}"/>
    <cellStyle name="Финансовый 37 3 2 2 2 3 4 2 2" xfId="30572" xr:uid="{BE7555AD-6AFA-4F6B-A2FE-A08115198C2E}"/>
    <cellStyle name="Финансовый 37 3 2 2 2 3 4 3" xfId="16715" xr:uid="{00000000-0005-0000-0000-0000C5530000}"/>
    <cellStyle name="Финансовый 37 3 2 2 2 3 4 3 2" xfId="33728" xr:uid="{B987955B-CBC2-4DEC-90DE-E12F2422EE8D}"/>
    <cellStyle name="Финансовый 37 3 2 2 2 3 4 4" xfId="19796" xr:uid="{00000000-0005-0000-0000-0000C6530000}"/>
    <cellStyle name="Финансовый 37 3 2 2 2 3 4 4 2" xfId="36809" xr:uid="{499051A1-616F-4FE1-B129-7AE9DED4C228}"/>
    <cellStyle name="Финансовый 37 3 2 2 2 3 4 5" xfId="27499" xr:uid="{A1827B33-54C9-407B-A22F-484FC8E54A38}"/>
    <cellStyle name="Финансовый 37 3 2 2 2 3 5" xfId="13476" xr:uid="{00000000-0005-0000-0000-0000C7530000}"/>
    <cellStyle name="Финансовый 37 3 2 2 2 3 5 2" xfId="30565" xr:uid="{947DA4D2-AB3B-48F3-8623-B73BA61BA16F}"/>
    <cellStyle name="Финансовый 37 3 2 2 2 3 6" xfId="16708" xr:uid="{00000000-0005-0000-0000-0000C8530000}"/>
    <cellStyle name="Финансовый 37 3 2 2 2 3 6 2" xfId="33721" xr:uid="{26F9D997-0EFD-4299-A19A-D72413BCD251}"/>
    <cellStyle name="Финансовый 37 3 2 2 2 3 7" xfId="19789" xr:uid="{00000000-0005-0000-0000-0000C9530000}"/>
    <cellStyle name="Финансовый 37 3 2 2 2 3 7 2" xfId="36802" xr:uid="{040DFF5A-723F-491B-A35A-759180916686}"/>
    <cellStyle name="Финансовый 37 3 2 2 2 3 8" xfId="27492" xr:uid="{2746EB07-344F-476C-83D9-155A0F9EDB8A}"/>
    <cellStyle name="Финансовый 37 3 2 2 2 4" xfId="10399" xr:uid="{00000000-0005-0000-0000-0000CA530000}"/>
    <cellStyle name="Финансовый 37 3 2 2 2 4 2" xfId="10400" xr:uid="{00000000-0005-0000-0000-0000CB530000}"/>
    <cellStyle name="Финансовый 37 3 2 2 2 4 2 2" xfId="10401" xr:uid="{00000000-0005-0000-0000-0000CC530000}"/>
    <cellStyle name="Финансовый 37 3 2 2 2 4 2 2 2" xfId="13486" xr:uid="{00000000-0005-0000-0000-0000CD530000}"/>
    <cellStyle name="Финансовый 37 3 2 2 2 4 2 2 2 2" xfId="30575" xr:uid="{3497B434-7311-4DE0-8DB7-08D118A182C9}"/>
    <cellStyle name="Финансовый 37 3 2 2 2 4 2 2 3" xfId="16718" xr:uid="{00000000-0005-0000-0000-0000CE530000}"/>
    <cellStyle name="Финансовый 37 3 2 2 2 4 2 2 3 2" xfId="33731" xr:uid="{F791FCC7-8A1B-44F6-AB73-C869F3ECAD1A}"/>
    <cellStyle name="Финансовый 37 3 2 2 2 4 2 2 4" xfId="19799" xr:uid="{00000000-0005-0000-0000-0000CF530000}"/>
    <cellStyle name="Финансовый 37 3 2 2 2 4 2 2 4 2" xfId="36812" xr:uid="{09D122F8-E2A1-48BD-99F4-E5F8F2572C94}"/>
    <cellStyle name="Финансовый 37 3 2 2 2 4 2 2 5" xfId="27502" xr:uid="{B17F26EE-591A-4F43-BB75-250EEBA4DEC6}"/>
    <cellStyle name="Финансовый 37 3 2 2 2 4 2 3" xfId="13485" xr:uid="{00000000-0005-0000-0000-0000D0530000}"/>
    <cellStyle name="Финансовый 37 3 2 2 2 4 2 3 2" xfId="30574" xr:uid="{6D2292DC-1A41-417A-960B-E49227974B9A}"/>
    <cellStyle name="Финансовый 37 3 2 2 2 4 2 4" xfId="16717" xr:uid="{00000000-0005-0000-0000-0000D1530000}"/>
    <cellStyle name="Финансовый 37 3 2 2 2 4 2 4 2" xfId="33730" xr:uid="{90A16C07-3E29-4297-82B0-F6AB21A01BFF}"/>
    <cellStyle name="Финансовый 37 3 2 2 2 4 2 5" xfId="19798" xr:uid="{00000000-0005-0000-0000-0000D2530000}"/>
    <cellStyle name="Финансовый 37 3 2 2 2 4 2 5 2" xfId="36811" xr:uid="{6B088753-25E1-4611-BFC6-FD4C526713DC}"/>
    <cellStyle name="Финансовый 37 3 2 2 2 4 2 6" xfId="27501" xr:uid="{3ED69009-3728-41EA-9E33-CBD55BD24491}"/>
    <cellStyle name="Финансовый 37 3 2 2 2 4 3" xfId="10402" xr:uid="{00000000-0005-0000-0000-0000D3530000}"/>
    <cellStyle name="Финансовый 37 3 2 2 2 4 3 2" xfId="13487" xr:uid="{00000000-0005-0000-0000-0000D4530000}"/>
    <cellStyle name="Финансовый 37 3 2 2 2 4 3 2 2" xfId="30576" xr:uid="{E921E118-7B05-41CF-A85A-BFC898AC94C6}"/>
    <cellStyle name="Финансовый 37 3 2 2 2 4 3 3" xfId="16719" xr:uid="{00000000-0005-0000-0000-0000D5530000}"/>
    <cellStyle name="Финансовый 37 3 2 2 2 4 3 3 2" xfId="33732" xr:uid="{E0DCDA5A-3A40-42AD-B528-639B035728A3}"/>
    <cellStyle name="Финансовый 37 3 2 2 2 4 3 4" xfId="19800" xr:uid="{00000000-0005-0000-0000-0000D6530000}"/>
    <cellStyle name="Финансовый 37 3 2 2 2 4 3 4 2" xfId="36813" xr:uid="{328A85D0-F17B-4300-AA68-7C57DBE7CE40}"/>
    <cellStyle name="Финансовый 37 3 2 2 2 4 3 5" xfId="27503" xr:uid="{653FAA94-EB3C-4942-8ED8-59426903D554}"/>
    <cellStyle name="Финансовый 37 3 2 2 2 4 4" xfId="13484" xr:uid="{00000000-0005-0000-0000-0000D7530000}"/>
    <cellStyle name="Финансовый 37 3 2 2 2 4 4 2" xfId="30573" xr:uid="{054846CF-D51B-4706-BBE2-4D95BF8D2219}"/>
    <cellStyle name="Финансовый 37 3 2 2 2 4 5" xfId="16716" xr:uid="{00000000-0005-0000-0000-0000D8530000}"/>
    <cellStyle name="Финансовый 37 3 2 2 2 4 5 2" xfId="33729" xr:uid="{A1649DAB-2F1C-4F2B-9BF5-26C2CD9B08C6}"/>
    <cellStyle name="Финансовый 37 3 2 2 2 4 6" xfId="19797" xr:uid="{00000000-0005-0000-0000-0000D9530000}"/>
    <cellStyle name="Финансовый 37 3 2 2 2 4 6 2" xfId="36810" xr:uid="{3F0E3093-A3D5-4F77-8502-9645E5226D9F}"/>
    <cellStyle name="Финансовый 37 3 2 2 2 4 7" xfId="27500" xr:uid="{7BF850B5-BE98-4BD3-A03D-A6C9201164FC}"/>
    <cellStyle name="Финансовый 37 3 2 2 2 5" xfId="10403" xr:uid="{00000000-0005-0000-0000-0000DA530000}"/>
    <cellStyle name="Финансовый 37 3 2 2 2 5 2" xfId="10404" xr:uid="{00000000-0005-0000-0000-0000DB530000}"/>
    <cellStyle name="Финансовый 37 3 2 2 2 5 2 2" xfId="13489" xr:uid="{00000000-0005-0000-0000-0000DC530000}"/>
    <cellStyle name="Финансовый 37 3 2 2 2 5 2 2 2" xfId="30578" xr:uid="{CDD8719F-3077-44B0-9483-ABC0EA4CD42C}"/>
    <cellStyle name="Финансовый 37 3 2 2 2 5 2 3" xfId="16721" xr:uid="{00000000-0005-0000-0000-0000DD530000}"/>
    <cellStyle name="Финансовый 37 3 2 2 2 5 2 3 2" xfId="33734" xr:uid="{694AFF6B-2177-4E2C-A61B-0122DF1B1A62}"/>
    <cellStyle name="Финансовый 37 3 2 2 2 5 2 4" xfId="19802" xr:uid="{00000000-0005-0000-0000-0000DE530000}"/>
    <cellStyle name="Финансовый 37 3 2 2 2 5 2 4 2" xfId="36815" xr:uid="{F95C33E1-8679-467E-A49B-A38CE5E3E032}"/>
    <cellStyle name="Финансовый 37 3 2 2 2 5 2 5" xfId="27505" xr:uid="{0B888DA3-5A9B-4750-8F71-47472A450AD1}"/>
    <cellStyle name="Финансовый 37 3 2 2 2 5 3" xfId="13488" xr:uid="{00000000-0005-0000-0000-0000DF530000}"/>
    <cellStyle name="Финансовый 37 3 2 2 2 5 3 2" xfId="30577" xr:uid="{0DA6894D-438C-4B0C-9035-9684BCB40048}"/>
    <cellStyle name="Финансовый 37 3 2 2 2 5 4" xfId="16720" xr:uid="{00000000-0005-0000-0000-0000E0530000}"/>
    <cellStyle name="Финансовый 37 3 2 2 2 5 4 2" xfId="33733" xr:uid="{4FA914FD-1F16-4BD0-A00A-71539E1687E4}"/>
    <cellStyle name="Финансовый 37 3 2 2 2 5 5" xfId="19801" xr:uid="{00000000-0005-0000-0000-0000E1530000}"/>
    <cellStyle name="Финансовый 37 3 2 2 2 5 5 2" xfId="36814" xr:uid="{492C93C6-9094-4A9A-B0B2-8F65D12938D4}"/>
    <cellStyle name="Финансовый 37 3 2 2 2 5 6" xfId="27504" xr:uid="{71B37C96-5C77-4D46-ACD2-69A5B35E0617}"/>
    <cellStyle name="Финансовый 37 3 2 2 2 6" xfId="10405" xr:uid="{00000000-0005-0000-0000-0000E2530000}"/>
    <cellStyle name="Финансовый 37 3 2 2 2 6 2" xfId="13490" xr:uid="{00000000-0005-0000-0000-0000E3530000}"/>
    <cellStyle name="Финансовый 37 3 2 2 2 6 2 2" xfId="30579" xr:uid="{74F05F59-E851-48E8-ADD4-28EB95339F3E}"/>
    <cellStyle name="Финансовый 37 3 2 2 2 6 3" xfId="16722" xr:uid="{00000000-0005-0000-0000-0000E4530000}"/>
    <cellStyle name="Финансовый 37 3 2 2 2 6 3 2" xfId="33735" xr:uid="{C979E23D-302F-429E-A478-91280BFB38C1}"/>
    <cellStyle name="Финансовый 37 3 2 2 2 6 4" xfId="19803" xr:uid="{00000000-0005-0000-0000-0000E5530000}"/>
    <cellStyle name="Финансовый 37 3 2 2 2 6 4 2" xfId="36816" xr:uid="{5E629A4C-0A25-48B8-8C7D-AD93AEB1C8CB}"/>
    <cellStyle name="Финансовый 37 3 2 2 2 6 5" xfId="27506" xr:uid="{E7B1D629-AD0D-446F-AAA8-2D374C5D9FD6}"/>
    <cellStyle name="Финансовый 37 3 2 2 2 7" xfId="13459" xr:uid="{00000000-0005-0000-0000-0000E6530000}"/>
    <cellStyle name="Финансовый 37 3 2 2 2 7 2" xfId="30548" xr:uid="{64204974-AA49-4D40-8922-04CABDEC85D7}"/>
    <cellStyle name="Финансовый 37 3 2 2 2 8" xfId="16691" xr:uid="{00000000-0005-0000-0000-0000E7530000}"/>
    <cellStyle name="Финансовый 37 3 2 2 2 8 2" xfId="33704" xr:uid="{59F07F8D-B15F-49F8-92CC-924943643F93}"/>
    <cellStyle name="Финансовый 37 3 2 2 2 9" xfId="19772" xr:uid="{00000000-0005-0000-0000-0000E8530000}"/>
    <cellStyle name="Финансовый 37 3 2 2 2 9 2" xfId="36785" xr:uid="{2E2FDEB0-89B1-44FB-A5F0-90A845DBD822}"/>
    <cellStyle name="Финансовый 37 3 2 2 3" xfId="10406" xr:uid="{00000000-0005-0000-0000-0000E9530000}"/>
    <cellStyle name="Финансовый 37 3 2 2 3 2" xfId="10407" xr:uid="{00000000-0005-0000-0000-0000EA530000}"/>
    <cellStyle name="Финансовый 37 3 2 2 3 2 2" xfId="10408" xr:uid="{00000000-0005-0000-0000-0000EB530000}"/>
    <cellStyle name="Финансовый 37 3 2 2 3 2 2 2" xfId="10409" xr:uid="{00000000-0005-0000-0000-0000EC530000}"/>
    <cellStyle name="Финансовый 37 3 2 2 3 2 2 2 2" xfId="10410" xr:uid="{00000000-0005-0000-0000-0000ED530000}"/>
    <cellStyle name="Финансовый 37 3 2 2 3 2 2 2 2 2" xfId="13495" xr:uid="{00000000-0005-0000-0000-0000EE530000}"/>
    <cellStyle name="Финансовый 37 3 2 2 3 2 2 2 2 2 2" xfId="30584" xr:uid="{4B39D04F-6132-452F-A634-5D468C99DA88}"/>
    <cellStyle name="Финансовый 37 3 2 2 3 2 2 2 2 3" xfId="16727" xr:uid="{00000000-0005-0000-0000-0000EF530000}"/>
    <cellStyle name="Финансовый 37 3 2 2 3 2 2 2 2 3 2" xfId="33740" xr:uid="{EA628B5B-061E-4046-BE47-E3F68D15600D}"/>
    <cellStyle name="Финансовый 37 3 2 2 3 2 2 2 2 4" xfId="19808" xr:uid="{00000000-0005-0000-0000-0000F0530000}"/>
    <cellStyle name="Финансовый 37 3 2 2 3 2 2 2 2 4 2" xfId="36821" xr:uid="{2C5D0EFB-292C-46D0-B6BD-24189C9AEC82}"/>
    <cellStyle name="Финансовый 37 3 2 2 3 2 2 2 2 5" xfId="27511" xr:uid="{C173249A-A3A1-4A3A-9A15-691EE7BA186C}"/>
    <cellStyle name="Финансовый 37 3 2 2 3 2 2 2 3" xfId="13494" xr:uid="{00000000-0005-0000-0000-0000F1530000}"/>
    <cellStyle name="Финансовый 37 3 2 2 3 2 2 2 3 2" xfId="30583" xr:uid="{E575ACFF-C194-495A-9015-DFB1811C7810}"/>
    <cellStyle name="Финансовый 37 3 2 2 3 2 2 2 4" xfId="16726" xr:uid="{00000000-0005-0000-0000-0000F2530000}"/>
    <cellStyle name="Финансовый 37 3 2 2 3 2 2 2 4 2" xfId="33739" xr:uid="{3F804705-3F92-4623-A3FA-6FA0E8D0B8BC}"/>
    <cellStyle name="Финансовый 37 3 2 2 3 2 2 2 5" xfId="19807" xr:uid="{00000000-0005-0000-0000-0000F3530000}"/>
    <cellStyle name="Финансовый 37 3 2 2 3 2 2 2 5 2" xfId="36820" xr:uid="{D9DE848F-82D2-490C-9E0D-A8C6775C687E}"/>
    <cellStyle name="Финансовый 37 3 2 2 3 2 2 2 6" xfId="27510" xr:uid="{68152C89-6EBF-44F2-8EE4-53988F0A733D}"/>
    <cellStyle name="Финансовый 37 3 2 2 3 2 2 3" xfId="10411" xr:uid="{00000000-0005-0000-0000-0000F4530000}"/>
    <cellStyle name="Финансовый 37 3 2 2 3 2 2 3 2" xfId="13496" xr:uid="{00000000-0005-0000-0000-0000F5530000}"/>
    <cellStyle name="Финансовый 37 3 2 2 3 2 2 3 2 2" xfId="30585" xr:uid="{0A3080A5-C3EC-40DA-81B4-6CDD036AEC7E}"/>
    <cellStyle name="Финансовый 37 3 2 2 3 2 2 3 3" xfId="16728" xr:uid="{00000000-0005-0000-0000-0000F6530000}"/>
    <cellStyle name="Финансовый 37 3 2 2 3 2 2 3 3 2" xfId="33741" xr:uid="{8721BE37-8C81-478A-A8B8-6B06D33CA27D}"/>
    <cellStyle name="Финансовый 37 3 2 2 3 2 2 3 4" xfId="19809" xr:uid="{00000000-0005-0000-0000-0000F7530000}"/>
    <cellStyle name="Финансовый 37 3 2 2 3 2 2 3 4 2" xfId="36822" xr:uid="{323377C3-423A-4CEB-B86C-D058472C4BF7}"/>
    <cellStyle name="Финансовый 37 3 2 2 3 2 2 3 5" xfId="27512" xr:uid="{3A168315-C3C8-43A6-B71E-EB8FFA2E253E}"/>
    <cellStyle name="Финансовый 37 3 2 2 3 2 2 4" xfId="13493" xr:uid="{00000000-0005-0000-0000-0000F8530000}"/>
    <cellStyle name="Финансовый 37 3 2 2 3 2 2 4 2" xfId="30582" xr:uid="{E642D154-BF0F-4C94-840F-7E6DA952C4B4}"/>
    <cellStyle name="Финансовый 37 3 2 2 3 2 2 5" xfId="16725" xr:uid="{00000000-0005-0000-0000-0000F9530000}"/>
    <cellStyle name="Финансовый 37 3 2 2 3 2 2 5 2" xfId="33738" xr:uid="{4060CE85-134F-45A6-94AA-213DA7FE81F1}"/>
    <cellStyle name="Финансовый 37 3 2 2 3 2 2 6" xfId="19806" xr:uid="{00000000-0005-0000-0000-0000FA530000}"/>
    <cellStyle name="Финансовый 37 3 2 2 3 2 2 6 2" xfId="36819" xr:uid="{7E2BF9C7-7CB1-4368-BC44-971423626ECD}"/>
    <cellStyle name="Финансовый 37 3 2 2 3 2 2 7" xfId="27509" xr:uid="{C9D4F69D-FD71-4DEB-A11A-553A4F0058E4}"/>
    <cellStyle name="Финансовый 37 3 2 2 3 2 3" xfId="10412" xr:uid="{00000000-0005-0000-0000-0000FB530000}"/>
    <cellStyle name="Финансовый 37 3 2 2 3 2 3 2" xfId="10413" xr:uid="{00000000-0005-0000-0000-0000FC530000}"/>
    <cellStyle name="Финансовый 37 3 2 2 3 2 3 2 2" xfId="13498" xr:uid="{00000000-0005-0000-0000-0000FD530000}"/>
    <cellStyle name="Финансовый 37 3 2 2 3 2 3 2 2 2" xfId="30587" xr:uid="{8B88F5F7-99A4-4DA1-BCC9-2FAB2C5C785B}"/>
    <cellStyle name="Финансовый 37 3 2 2 3 2 3 2 3" xfId="16730" xr:uid="{00000000-0005-0000-0000-0000FE530000}"/>
    <cellStyle name="Финансовый 37 3 2 2 3 2 3 2 3 2" xfId="33743" xr:uid="{6399D53B-D6DE-4CBB-BE05-46B654AF753F}"/>
    <cellStyle name="Финансовый 37 3 2 2 3 2 3 2 4" xfId="19811" xr:uid="{00000000-0005-0000-0000-0000FF530000}"/>
    <cellStyle name="Финансовый 37 3 2 2 3 2 3 2 4 2" xfId="36824" xr:uid="{617282DA-8286-4942-B9C6-1F7AAB129ECE}"/>
    <cellStyle name="Финансовый 37 3 2 2 3 2 3 2 5" xfId="27514" xr:uid="{29AEB297-509B-46E3-AC90-86B4CCC39315}"/>
    <cellStyle name="Финансовый 37 3 2 2 3 2 3 3" xfId="13497" xr:uid="{00000000-0005-0000-0000-000000540000}"/>
    <cellStyle name="Финансовый 37 3 2 2 3 2 3 3 2" xfId="30586" xr:uid="{4D0B4763-F25F-400D-A342-545CF7EFD5ED}"/>
    <cellStyle name="Финансовый 37 3 2 2 3 2 3 4" xfId="16729" xr:uid="{00000000-0005-0000-0000-000001540000}"/>
    <cellStyle name="Финансовый 37 3 2 2 3 2 3 4 2" xfId="33742" xr:uid="{26248A74-92D9-453E-82D6-BC2D5158853D}"/>
    <cellStyle name="Финансовый 37 3 2 2 3 2 3 5" xfId="19810" xr:uid="{00000000-0005-0000-0000-000002540000}"/>
    <cellStyle name="Финансовый 37 3 2 2 3 2 3 5 2" xfId="36823" xr:uid="{BAEAF07C-DC09-47F2-B36F-AD6C0095D277}"/>
    <cellStyle name="Финансовый 37 3 2 2 3 2 3 6" xfId="27513" xr:uid="{BFEFBBCB-C4D9-407A-B30B-D8969AD2C7A5}"/>
    <cellStyle name="Финансовый 37 3 2 2 3 2 4" xfId="10414" xr:uid="{00000000-0005-0000-0000-000003540000}"/>
    <cellStyle name="Финансовый 37 3 2 2 3 2 4 2" xfId="13499" xr:uid="{00000000-0005-0000-0000-000004540000}"/>
    <cellStyle name="Финансовый 37 3 2 2 3 2 4 2 2" xfId="30588" xr:uid="{5B9C49DF-7A7B-45F3-9446-FDDB478ACB05}"/>
    <cellStyle name="Финансовый 37 3 2 2 3 2 4 3" xfId="16731" xr:uid="{00000000-0005-0000-0000-000005540000}"/>
    <cellStyle name="Финансовый 37 3 2 2 3 2 4 3 2" xfId="33744" xr:uid="{53A122EA-9629-4A79-A7B2-4B93CD9994F2}"/>
    <cellStyle name="Финансовый 37 3 2 2 3 2 4 4" xfId="19812" xr:uid="{00000000-0005-0000-0000-000006540000}"/>
    <cellStyle name="Финансовый 37 3 2 2 3 2 4 4 2" xfId="36825" xr:uid="{22F4CABF-E113-41AD-8C6B-26092D84B93A}"/>
    <cellStyle name="Финансовый 37 3 2 2 3 2 4 5" xfId="27515" xr:uid="{7BC15545-F1E8-40E2-ADE7-B6AF9BA57D06}"/>
    <cellStyle name="Финансовый 37 3 2 2 3 2 5" xfId="13492" xr:uid="{00000000-0005-0000-0000-000007540000}"/>
    <cellStyle name="Финансовый 37 3 2 2 3 2 5 2" xfId="30581" xr:uid="{B8CDD468-A4F8-42DC-BB2A-E25BD851E5B7}"/>
    <cellStyle name="Финансовый 37 3 2 2 3 2 6" xfId="16724" xr:uid="{00000000-0005-0000-0000-000008540000}"/>
    <cellStyle name="Финансовый 37 3 2 2 3 2 6 2" xfId="33737" xr:uid="{0B598CBF-23FE-4BEB-89E1-2E5EA7D37E3A}"/>
    <cellStyle name="Финансовый 37 3 2 2 3 2 7" xfId="19805" xr:uid="{00000000-0005-0000-0000-000009540000}"/>
    <cellStyle name="Финансовый 37 3 2 2 3 2 7 2" xfId="36818" xr:uid="{0B7BC3BD-4B33-4283-A335-E4B9DD3E28D0}"/>
    <cellStyle name="Финансовый 37 3 2 2 3 2 8" xfId="27508" xr:uid="{CD40CBFA-BB79-4EAA-9F52-4278F26E5953}"/>
    <cellStyle name="Финансовый 37 3 2 2 3 3" xfId="10415" xr:uid="{00000000-0005-0000-0000-00000A540000}"/>
    <cellStyle name="Финансовый 37 3 2 2 3 3 2" xfId="10416" xr:uid="{00000000-0005-0000-0000-00000B540000}"/>
    <cellStyle name="Финансовый 37 3 2 2 3 3 2 2" xfId="10417" xr:uid="{00000000-0005-0000-0000-00000C540000}"/>
    <cellStyle name="Финансовый 37 3 2 2 3 3 2 2 2" xfId="13502" xr:uid="{00000000-0005-0000-0000-00000D540000}"/>
    <cellStyle name="Финансовый 37 3 2 2 3 3 2 2 2 2" xfId="30591" xr:uid="{5A0873CF-CE12-451C-BECA-63F910FAC6C8}"/>
    <cellStyle name="Финансовый 37 3 2 2 3 3 2 2 3" xfId="16734" xr:uid="{00000000-0005-0000-0000-00000E540000}"/>
    <cellStyle name="Финансовый 37 3 2 2 3 3 2 2 3 2" xfId="33747" xr:uid="{5F920754-C28E-49D4-A949-481D0A5C0F35}"/>
    <cellStyle name="Финансовый 37 3 2 2 3 3 2 2 4" xfId="19815" xr:uid="{00000000-0005-0000-0000-00000F540000}"/>
    <cellStyle name="Финансовый 37 3 2 2 3 3 2 2 4 2" xfId="36828" xr:uid="{E70F444C-0F31-44B3-8385-8B951BC97B37}"/>
    <cellStyle name="Финансовый 37 3 2 2 3 3 2 2 5" xfId="27518" xr:uid="{0F87FF20-3727-4AB8-8E9E-2C16CD2D3082}"/>
    <cellStyle name="Финансовый 37 3 2 2 3 3 2 3" xfId="13501" xr:uid="{00000000-0005-0000-0000-000010540000}"/>
    <cellStyle name="Финансовый 37 3 2 2 3 3 2 3 2" xfId="30590" xr:uid="{B914F6DF-37D1-4FC3-A556-8D6CF89D57B1}"/>
    <cellStyle name="Финансовый 37 3 2 2 3 3 2 4" xfId="16733" xr:uid="{00000000-0005-0000-0000-000011540000}"/>
    <cellStyle name="Финансовый 37 3 2 2 3 3 2 4 2" xfId="33746" xr:uid="{E63E3EA7-3145-4F2A-BEC0-FFA86DD41F75}"/>
    <cellStyle name="Финансовый 37 3 2 2 3 3 2 5" xfId="19814" xr:uid="{00000000-0005-0000-0000-000012540000}"/>
    <cellStyle name="Финансовый 37 3 2 2 3 3 2 5 2" xfId="36827" xr:uid="{95DAA20C-5B8A-4301-8496-4B408EFEC916}"/>
    <cellStyle name="Финансовый 37 3 2 2 3 3 2 6" xfId="27517" xr:uid="{F70BDEC3-22D3-4FF1-AB44-25EDAAA69068}"/>
    <cellStyle name="Финансовый 37 3 2 2 3 3 3" xfId="10418" xr:uid="{00000000-0005-0000-0000-000013540000}"/>
    <cellStyle name="Финансовый 37 3 2 2 3 3 3 2" xfId="13503" xr:uid="{00000000-0005-0000-0000-000014540000}"/>
    <cellStyle name="Финансовый 37 3 2 2 3 3 3 2 2" xfId="30592" xr:uid="{5463F17D-0CD3-4C09-B5F9-CA7E6AB35B11}"/>
    <cellStyle name="Финансовый 37 3 2 2 3 3 3 3" xfId="16735" xr:uid="{00000000-0005-0000-0000-000015540000}"/>
    <cellStyle name="Финансовый 37 3 2 2 3 3 3 3 2" xfId="33748" xr:uid="{8DE263AD-D6E8-4CF8-80B0-C5371BF42BEB}"/>
    <cellStyle name="Финансовый 37 3 2 2 3 3 3 4" xfId="19816" xr:uid="{00000000-0005-0000-0000-000016540000}"/>
    <cellStyle name="Финансовый 37 3 2 2 3 3 3 4 2" xfId="36829" xr:uid="{277DE907-2AEB-4F0D-AC11-6E66733F757B}"/>
    <cellStyle name="Финансовый 37 3 2 2 3 3 3 5" xfId="27519" xr:uid="{3C2E2463-FA31-42FA-BA4C-36463CAE2505}"/>
    <cellStyle name="Финансовый 37 3 2 2 3 3 4" xfId="13500" xr:uid="{00000000-0005-0000-0000-000017540000}"/>
    <cellStyle name="Финансовый 37 3 2 2 3 3 4 2" xfId="30589" xr:uid="{2FB96703-2E82-48F3-8AB7-090193ED1C48}"/>
    <cellStyle name="Финансовый 37 3 2 2 3 3 5" xfId="16732" xr:uid="{00000000-0005-0000-0000-000018540000}"/>
    <cellStyle name="Финансовый 37 3 2 2 3 3 5 2" xfId="33745" xr:uid="{FFA871F5-6CC9-4883-A99E-94E970D58ADE}"/>
    <cellStyle name="Финансовый 37 3 2 2 3 3 6" xfId="19813" xr:uid="{00000000-0005-0000-0000-000019540000}"/>
    <cellStyle name="Финансовый 37 3 2 2 3 3 6 2" xfId="36826" xr:uid="{89C7E6AC-FDDF-471C-AF99-7212112F9C72}"/>
    <cellStyle name="Финансовый 37 3 2 2 3 3 7" xfId="27516" xr:uid="{951598A7-2D16-4741-B89A-F60315B2DD53}"/>
    <cellStyle name="Финансовый 37 3 2 2 3 4" xfId="10419" xr:uid="{00000000-0005-0000-0000-00001A540000}"/>
    <cellStyle name="Финансовый 37 3 2 2 3 4 2" xfId="10420" xr:uid="{00000000-0005-0000-0000-00001B540000}"/>
    <cellStyle name="Финансовый 37 3 2 2 3 4 2 2" xfId="13505" xr:uid="{00000000-0005-0000-0000-00001C540000}"/>
    <cellStyle name="Финансовый 37 3 2 2 3 4 2 2 2" xfId="30594" xr:uid="{CF3BC8B8-9CE7-49B8-9296-70E522F803B3}"/>
    <cellStyle name="Финансовый 37 3 2 2 3 4 2 3" xfId="16737" xr:uid="{00000000-0005-0000-0000-00001D540000}"/>
    <cellStyle name="Финансовый 37 3 2 2 3 4 2 3 2" xfId="33750" xr:uid="{884A6A6C-41AD-4611-908C-A8D697DC5ABE}"/>
    <cellStyle name="Финансовый 37 3 2 2 3 4 2 4" xfId="19818" xr:uid="{00000000-0005-0000-0000-00001E540000}"/>
    <cellStyle name="Финансовый 37 3 2 2 3 4 2 4 2" xfId="36831" xr:uid="{C094C014-7F8C-42EF-9468-599B224C89D0}"/>
    <cellStyle name="Финансовый 37 3 2 2 3 4 2 5" xfId="27521" xr:uid="{24838092-BA2F-48CE-A61D-2E35E3F8FDD1}"/>
    <cellStyle name="Финансовый 37 3 2 2 3 4 3" xfId="13504" xr:uid="{00000000-0005-0000-0000-00001F540000}"/>
    <cellStyle name="Финансовый 37 3 2 2 3 4 3 2" xfId="30593" xr:uid="{2807B50D-0EED-4041-8774-7C27632D4FA5}"/>
    <cellStyle name="Финансовый 37 3 2 2 3 4 4" xfId="16736" xr:uid="{00000000-0005-0000-0000-000020540000}"/>
    <cellStyle name="Финансовый 37 3 2 2 3 4 4 2" xfId="33749" xr:uid="{2233827D-F625-4680-93D6-F49A6C42349E}"/>
    <cellStyle name="Финансовый 37 3 2 2 3 4 5" xfId="19817" xr:uid="{00000000-0005-0000-0000-000021540000}"/>
    <cellStyle name="Финансовый 37 3 2 2 3 4 5 2" xfId="36830" xr:uid="{660DFE4F-1317-4004-B407-5AC7BB444C14}"/>
    <cellStyle name="Финансовый 37 3 2 2 3 4 6" xfId="27520" xr:uid="{7EBE46FA-D072-4AAE-B53B-8CDB1203DBB2}"/>
    <cellStyle name="Финансовый 37 3 2 2 3 5" xfId="10421" xr:uid="{00000000-0005-0000-0000-000022540000}"/>
    <cellStyle name="Финансовый 37 3 2 2 3 5 2" xfId="13506" xr:uid="{00000000-0005-0000-0000-000023540000}"/>
    <cellStyle name="Финансовый 37 3 2 2 3 5 2 2" xfId="30595" xr:uid="{4A4620A6-F5F5-45E3-B233-8A4034C26AF6}"/>
    <cellStyle name="Финансовый 37 3 2 2 3 5 3" xfId="16738" xr:uid="{00000000-0005-0000-0000-000024540000}"/>
    <cellStyle name="Финансовый 37 3 2 2 3 5 3 2" xfId="33751" xr:uid="{1412EA1A-516B-4E4E-9450-CD84D38FACB9}"/>
    <cellStyle name="Финансовый 37 3 2 2 3 5 4" xfId="19819" xr:uid="{00000000-0005-0000-0000-000025540000}"/>
    <cellStyle name="Финансовый 37 3 2 2 3 5 4 2" xfId="36832" xr:uid="{63F783C5-36C5-4B5F-ABA2-A94152C2E89B}"/>
    <cellStyle name="Финансовый 37 3 2 2 3 5 5" xfId="27522" xr:uid="{9A42127C-5792-40CF-8BF6-386C5883226C}"/>
    <cellStyle name="Финансовый 37 3 2 2 3 6" xfId="13491" xr:uid="{00000000-0005-0000-0000-000026540000}"/>
    <cellStyle name="Финансовый 37 3 2 2 3 6 2" xfId="30580" xr:uid="{09D57E4D-D82A-46B4-A3A3-238ECBA719B9}"/>
    <cellStyle name="Финансовый 37 3 2 2 3 7" xfId="16723" xr:uid="{00000000-0005-0000-0000-000027540000}"/>
    <cellStyle name="Финансовый 37 3 2 2 3 7 2" xfId="33736" xr:uid="{504D5AD6-2ED5-453C-AFA5-DE4DC5C5EB6C}"/>
    <cellStyle name="Финансовый 37 3 2 2 3 8" xfId="19804" xr:uid="{00000000-0005-0000-0000-000028540000}"/>
    <cellStyle name="Финансовый 37 3 2 2 3 8 2" xfId="36817" xr:uid="{8DB0DAFD-4554-4E1C-8355-4EA2D7896E66}"/>
    <cellStyle name="Финансовый 37 3 2 2 3 9" xfId="27507" xr:uid="{3B834AC4-C67E-4CD2-97B9-6903544066D5}"/>
    <cellStyle name="Финансовый 37 3 2 2 4" xfId="10422" xr:uid="{00000000-0005-0000-0000-000029540000}"/>
    <cellStyle name="Финансовый 37 3 2 2 4 2" xfId="10423" xr:uid="{00000000-0005-0000-0000-00002A540000}"/>
    <cellStyle name="Финансовый 37 3 2 2 4 2 2" xfId="10424" xr:uid="{00000000-0005-0000-0000-00002B540000}"/>
    <cellStyle name="Финансовый 37 3 2 2 4 2 2 2" xfId="10425" xr:uid="{00000000-0005-0000-0000-00002C540000}"/>
    <cellStyle name="Финансовый 37 3 2 2 4 2 2 2 2" xfId="13510" xr:uid="{00000000-0005-0000-0000-00002D540000}"/>
    <cellStyle name="Финансовый 37 3 2 2 4 2 2 2 2 2" xfId="30599" xr:uid="{B7FB5D36-FB77-4460-B821-E8357AE916A1}"/>
    <cellStyle name="Финансовый 37 3 2 2 4 2 2 2 3" xfId="16742" xr:uid="{00000000-0005-0000-0000-00002E540000}"/>
    <cellStyle name="Финансовый 37 3 2 2 4 2 2 2 3 2" xfId="33755" xr:uid="{7B27789D-7856-4EA3-92F8-911FFEB85A7F}"/>
    <cellStyle name="Финансовый 37 3 2 2 4 2 2 2 4" xfId="19823" xr:uid="{00000000-0005-0000-0000-00002F540000}"/>
    <cellStyle name="Финансовый 37 3 2 2 4 2 2 2 4 2" xfId="36836" xr:uid="{7B43CE42-1A4E-45A0-9547-C2B503F5FF5D}"/>
    <cellStyle name="Финансовый 37 3 2 2 4 2 2 2 5" xfId="27526" xr:uid="{423C43F6-8A92-4477-8C2F-055A8D9FDABB}"/>
    <cellStyle name="Финансовый 37 3 2 2 4 2 2 3" xfId="13509" xr:uid="{00000000-0005-0000-0000-000030540000}"/>
    <cellStyle name="Финансовый 37 3 2 2 4 2 2 3 2" xfId="30598" xr:uid="{61C5B285-CDEA-4D59-8F00-038F179098D0}"/>
    <cellStyle name="Финансовый 37 3 2 2 4 2 2 4" xfId="16741" xr:uid="{00000000-0005-0000-0000-000031540000}"/>
    <cellStyle name="Финансовый 37 3 2 2 4 2 2 4 2" xfId="33754" xr:uid="{2F70F323-35BF-4099-A4ED-AA7752C70E6F}"/>
    <cellStyle name="Финансовый 37 3 2 2 4 2 2 5" xfId="19822" xr:uid="{00000000-0005-0000-0000-000032540000}"/>
    <cellStyle name="Финансовый 37 3 2 2 4 2 2 5 2" xfId="36835" xr:uid="{B8D8E948-4D6A-4F00-8542-F41103A54660}"/>
    <cellStyle name="Финансовый 37 3 2 2 4 2 2 6" xfId="27525" xr:uid="{EB937DBE-46D8-48C7-BEF1-1242F39CC1B4}"/>
    <cellStyle name="Финансовый 37 3 2 2 4 2 3" xfId="10426" xr:uid="{00000000-0005-0000-0000-000033540000}"/>
    <cellStyle name="Финансовый 37 3 2 2 4 2 3 2" xfId="13511" xr:uid="{00000000-0005-0000-0000-000034540000}"/>
    <cellStyle name="Финансовый 37 3 2 2 4 2 3 2 2" xfId="30600" xr:uid="{AA4FEDA4-B5C0-4BCE-8DFA-71DAD9D37417}"/>
    <cellStyle name="Финансовый 37 3 2 2 4 2 3 3" xfId="16743" xr:uid="{00000000-0005-0000-0000-000035540000}"/>
    <cellStyle name="Финансовый 37 3 2 2 4 2 3 3 2" xfId="33756" xr:uid="{09BDAFB2-DD3B-4B64-96A2-DEC8039ADDB4}"/>
    <cellStyle name="Финансовый 37 3 2 2 4 2 3 4" xfId="19824" xr:uid="{00000000-0005-0000-0000-000036540000}"/>
    <cellStyle name="Финансовый 37 3 2 2 4 2 3 4 2" xfId="36837" xr:uid="{949A1E20-7626-49B2-A454-910B8C5F8D0A}"/>
    <cellStyle name="Финансовый 37 3 2 2 4 2 3 5" xfId="27527" xr:uid="{0D06EA0E-CFD0-4652-94BD-0040726EDF33}"/>
    <cellStyle name="Финансовый 37 3 2 2 4 2 4" xfId="13508" xr:uid="{00000000-0005-0000-0000-000037540000}"/>
    <cellStyle name="Финансовый 37 3 2 2 4 2 4 2" xfId="30597" xr:uid="{0D44F954-71BE-4213-B20B-2BC1137F01E8}"/>
    <cellStyle name="Финансовый 37 3 2 2 4 2 5" xfId="16740" xr:uid="{00000000-0005-0000-0000-000038540000}"/>
    <cellStyle name="Финансовый 37 3 2 2 4 2 5 2" xfId="33753" xr:uid="{CAA08B6D-9E8C-437B-ABE9-EDC77B293AEC}"/>
    <cellStyle name="Финансовый 37 3 2 2 4 2 6" xfId="19821" xr:uid="{00000000-0005-0000-0000-000039540000}"/>
    <cellStyle name="Финансовый 37 3 2 2 4 2 6 2" xfId="36834" xr:uid="{72FCB744-3608-4845-8C49-9C6C6BFEDCD8}"/>
    <cellStyle name="Финансовый 37 3 2 2 4 2 7" xfId="27524" xr:uid="{8181E747-0397-4847-8FF5-C828FF37795A}"/>
    <cellStyle name="Финансовый 37 3 2 2 4 3" xfId="10427" xr:uid="{00000000-0005-0000-0000-00003A540000}"/>
    <cellStyle name="Финансовый 37 3 2 2 4 3 2" xfId="10428" xr:uid="{00000000-0005-0000-0000-00003B540000}"/>
    <cellStyle name="Финансовый 37 3 2 2 4 3 2 2" xfId="13513" xr:uid="{00000000-0005-0000-0000-00003C540000}"/>
    <cellStyle name="Финансовый 37 3 2 2 4 3 2 2 2" xfId="30602" xr:uid="{4C0CF81A-3B3E-44D6-850A-C6C7328338BE}"/>
    <cellStyle name="Финансовый 37 3 2 2 4 3 2 3" xfId="16745" xr:uid="{00000000-0005-0000-0000-00003D540000}"/>
    <cellStyle name="Финансовый 37 3 2 2 4 3 2 3 2" xfId="33758" xr:uid="{F9C9F257-FC1E-467A-A778-FDE722F0F0E3}"/>
    <cellStyle name="Финансовый 37 3 2 2 4 3 2 4" xfId="19826" xr:uid="{00000000-0005-0000-0000-00003E540000}"/>
    <cellStyle name="Финансовый 37 3 2 2 4 3 2 4 2" xfId="36839" xr:uid="{7077B69A-AAC5-4186-921B-A638A2293E92}"/>
    <cellStyle name="Финансовый 37 3 2 2 4 3 2 5" xfId="27529" xr:uid="{2ACD9130-E259-4DFF-B6E2-60D72B8CBB53}"/>
    <cellStyle name="Финансовый 37 3 2 2 4 3 3" xfId="13512" xr:uid="{00000000-0005-0000-0000-00003F540000}"/>
    <cellStyle name="Финансовый 37 3 2 2 4 3 3 2" xfId="30601" xr:uid="{1A91C134-BC4E-4F4C-9C53-2246EED21E28}"/>
    <cellStyle name="Финансовый 37 3 2 2 4 3 4" xfId="16744" xr:uid="{00000000-0005-0000-0000-000040540000}"/>
    <cellStyle name="Финансовый 37 3 2 2 4 3 4 2" xfId="33757" xr:uid="{4154E962-A68C-4570-BE22-726D5AF567F1}"/>
    <cellStyle name="Финансовый 37 3 2 2 4 3 5" xfId="19825" xr:uid="{00000000-0005-0000-0000-000041540000}"/>
    <cellStyle name="Финансовый 37 3 2 2 4 3 5 2" xfId="36838" xr:uid="{4BF8753A-6AAA-4F93-BB66-CD9B4177B0DE}"/>
    <cellStyle name="Финансовый 37 3 2 2 4 3 6" xfId="27528" xr:uid="{F9CC37C8-0BC9-4035-A74F-7B878B2D74DF}"/>
    <cellStyle name="Финансовый 37 3 2 2 4 4" xfId="10429" xr:uid="{00000000-0005-0000-0000-000042540000}"/>
    <cellStyle name="Финансовый 37 3 2 2 4 4 2" xfId="13514" xr:uid="{00000000-0005-0000-0000-000043540000}"/>
    <cellStyle name="Финансовый 37 3 2 2 4 4 2 2" xfId="30603" xr:uid="{199AC699-B0D7-44D1-B38C-C42B9AAAE3B7}"/>
    <cellStyle name="Финансовый 37 3 2 2 4 4 3" xfId="16746" xr:uid="{00000000-0005-0000-0000-000044540000}"/>
    <cellStyle name="Финансовый 37 3 2 2 4 4 3 2" xfId="33759" xr:uid="{F926B8EF-3F88-4ADA-A4D3-B94B0023117C}"/>
    <cellStyle name="Финансовый 37 3 2 2 4 4 4" xfId="19827" xr:uid="{00000000-0005-0000-0000-000045540000}"/>
    <cellStyle name="Финансовый 37 3 2 2 4 4 4 2" xfId="36840" xr:uid="{D627BA21-CF95-4ADB-8422-45EA46A4CD11}"/>
    <cellStyle name="Финансовый 37 3 2 2 4 4 5" xfId="27530" xr:uid="{B5F9EEEA-989A-4A40-B037-76CB81C534C3}"/>
    <cellStyle name="Финансовый 37 3 2 2 4 5" xfId="13507" xr:uid="{00000000-0005-0000-0000-000046540000}"/>
    <cellStyle name="Финансовый 37 3 2 2 4 5 2" xfId="30596" xr:uid="{3E1ABB20-A49E-4E1E-883C-3F836EEE3269}"/>
    <cellStyle name="Финансовый 37 3 2 2 4 6" xfId="16739" xr:uid="{00000000-0005-0000-0000-000047540000}"/>
    <cellStyle name="Финансовый 37 3 2 2 4 6 2" xfId="33752" xr:uid="{F99E59CE-31E5-415A-99E3-F8FED319634B}"/>
    <cellStyle name="Финансовый 37 3 2 2 4 7" xfId="19820" xr:uid="{00000000-0005-0000-0000-000048540000}"/>
    <cellStyle name="Финансовый 37 3 2 2 4 7 2" xfId="36833" xr:uid="{A7E1489D-397E-4F72-8892-C55C896E1A3B}"/>
    <cellStyle name="Финансовый 37 3 2 2 4 8" xfId="27523" xr:uid="{1B176A24-DE90-4510-A547-0545564A0ADB}"/>
    <cellStyle name="Финансовый 37 3 2 2 5" xfId="10430" xr:uid="{00000000-0005-0000-0000-000049540000}"/>
    <cellStyle name="Финансовый 37 3 2 2 5 2" xfId="10431" xr:uid="{00000000-0005-0000-0000-00004A540000}"/>
    <cellStyle name="Финансовый 37 3 2 2 5 2 2" xfId="10432" xr:uid="{00000000-0005-0000-0000-00004B540000}"/>
    <cellStyle name="Финансовый 37 3 2 2 5 2 2 2" xfId="13517" xr:uid="{00000000-0005-0000-0000-00004C540000}"/>
    <cellStyle name="Финансовый 37 3 2 2 5 2 2 2 2" xfId="30606" xr:uid="{BBE98768-44ED-461D-AC71-DB9FB61396B6}"/>
    <cellStyle name="Финансовый 37 3 2 2 5 2 2 3" xfId="16749" xr:uid="{00000000-0005-0000-0000-00004D540000}"/>
    <cellStyle name="Финансовый 37 3 2 2 5 2 2 3 2" xfId="33762" xr:uid="{15CEB131-0EB4-4661-9939-D7C24CC597BC}"/>
    <cellStyle name="Финансовый 37 3 2 2 5 2 2 4" xfId="19830" xr:uid="{00000000-0005-0000-0000-00004E540000}"/>
    <cellStyle name="Финансовый 37 3 2 2 5 2 2 4 2" xfId="36843" xr:uid="{74C2A860-E6B3-486B-832F-4F4D321A8FF3}"/>
    <cellStyle name="Финансовый 37 3 2 2 5 2 2 5" xfId="27533" xr:uid="{9685C665-F08C-4D97-B364-FC2501D79ED8}"/>
    <cellStyle name="Финансовый 37 3 2 2 5 2 3" xfId="13516" xr:uid="{00000000-0005-0000-0000-00004F540000}"/>
    <cellStyle name="Финансовый 37 3 2 2 5 2 3 2" xfId="30605" xr:uid="{F33F0D1A-6698-44B5-B59D-E0665F80DCEC}"/>
    <cellStyle name="Финансовый 37 3 2 2 5 2 4" xfId="16748" xr:uid="{00000000-0005-0000-0000-000050540000}"/>
    <cellStyle name="Финансовый 37 3 2 2 5 2 4 2" xfId="33761" xr:uid="{9A37F026-3AE8-4776-90B0-42694243BE34}"/>
    <cellStyle name="Финансовый 37 3 2 2 5 2 5" xfId="19829" xr:uid="{00000000-0005-0000-0000-000051540000}"/>
    <cellStyle name="Финансовый 37 3 2 2 5 2 5 2" xfId="36842" xr:uid="{66297A57-71ED-4DFC-87F9-80307B973AC6}"/>
    <cellStyle name="Финансовый 37 3 2 2 5 2 6" xfId="27532" xr:uid="{6B7C8CB1-9D41-4B27-8F6E-78AD6BE0D57D}"/>
    <cellStyle name="Финансовый 37 3 2 2 5 3" xfId="10433" xr:uid="{00000000-0005-0000-0000-000052540000}"/>
    <cellStyle name="Финансовый 37 3 2 2 5 3 2" xfId="13518" xr:uid="{00000000-0005-0000-0000-000053540000}"/>
    <cellStyle name="Финансовый 37 3 2 2 5 3 2 2" xfId="30607" xr:uid="{739C6A43-9953-48E6-96EA-A3DE75B4742D}"/>
    <cellStyle name="Финансовый 37 3 2 2 5 3 3" xfId="16750" xr:uid="{00000000-0005-0000-0000-000054540000}"/>
    <cellStyle name="Финансовый 37 3 2 2 5 3 3 2" xfId="33763" xr:uid="{F7B50DE0-EA78-4A8C-9210-937980778D8C}"/>
    <cellStyle name="Финансовый 37 3 2 2 5 3 4" xfId="19831" xr:uid="{00000000-0005-0000-0000-000055540000}"/>
    <cellStyle name="Финансовый 37 3 2 2 5 3 4 2" xfId="36844" xr:uid="{03E7F207-E31A-4178-B8E6-668519322FBE}"/>
    <cellStyle name="Финансовый 37 3 2 2 5 3 5" xfId="27534" xr:uid="{584D3C89-E549-4F85-A867-126533568EB1}"/>
    <cellStyle name="Финансовый 37 3 2 2 5 4" xfId="13515" xr:uid="{00000000-0005-0000-0000-000056540000}"/>
    <cellStyle name="Финансовый 37 3 2 2 5 4 2" xfId="30604" xr:uid="{38F67D7E-CB11-4391-9D68-AC7DB1D5057D}"/>
    <cellStyle name="Финансовый 37 3 2 2 5 5" xfId="16747" xr:uid="{00000000-0005-0000-0000-000057540000}"/>
    <cellStyle name="Финансовый 37 3 2 2 5 5 2" xfId="33760" xr:uid="{B9CD497A-D3B9-4F46-91CF-3F262EA53A38}"/>
    <cellStyle name="Финансовый 37 3 2 2 5 6" xfId="19828" xr:uid="{00000000-0005-0000-0000-000058540000}"/>
    <cellStyle name="Финансовый 37 3 2 2 5 6 2" xfId="36841" xr:uid="{49D00C10-8DA3-42BD-9916-E462FB6725CD}"/>
    <cellStyle name="Финансовый 37 3 2 2 5 7" xfId="27531" xr:uid="{3B756D5A-F849-46B9-A2B8-360A7AF2D9C7}"/>
    <cellStyle name="Финансовый 37 3 2 2 6" xfId="10434" xr:uid="{00000000-0005-0000-0000-000059540000}"/>
    <cellStyle name="Финансовый 37 3 2 2 6 2" xfId="10435" xr:uid="{00000000-0005-0000-0000-00005A540000}"/>
    <cellStyle name="Финансовый 37 3 2 2 6 2 2" xfId="13520" xr:uid="{00000000-0005-0000-0000-00005B540000}"/>
    <cellStyle name="Финансовый 37 3 2 2 6 2 2 2" xfId="30609" xr:uid="{2FBAC3BD-490A-4ACC-BBA0-69F50F85348D}"/>
    <cellStyle name="Финансовый 37 3 2 2 6 2 3" xfId="16752" xr:uid="{00000000-0005-0000-0000-00005C540000}"/>
    <cellStyle name="Финансовый 37 3 2 2 6 2 3 2" xfId="33765" xr:uid="{E55BED8D-E3C3-4036-AFCD-A8C39B7B0F6B}"/>
    <cellStyle name="Финансовый 37 3 2 2 6 2 4" xfId="19833" xr:uid="{00000000-0005-0000-0000-00005D540000}"/>
    <cellStyle name="Финансовый 37 3 2 2 6 2 4 2" xfId="36846" xr:uid="{10D53F29-6159-4B55-984E-2C59CB4E7DE7}"/>
    <cellStyle name="Финансовый 37 3 2 2 6 2 5" xfId="27536" xr:uid="{8FBBB0A6-632D-4FF3-8524-2C12A8A12339}"/>
    <cellStyle name="Финансовый 37 3 2 2 6 3" xfId="13519" xr:uid="{00000000-0005-0000-0000-00005E540000}"/>
    <cellStyle name="Финансовый 37 3 2 2 6 3 2" xfId="30608" xr:uid="{A134BC73-9BA8-4E63-A929-23DDA4FBA757}"/>
    <cellStyle name="Финансовый 37 3 2 2 6 4" xfId="16751" xr:uid="{00000000-0005-0000-0000-00005F540000}"/>
    <cellStyle name="Финансовый 37 3 2 2 6 4 2" xfId="33764" xr:uid="{1309529A-8FD8-4BFD-BAD5-6041B547A406}"/>
    <cellStyle name="Финансовый 37 3 2 2 6 5" xfId="19832" xr:uid="{00000000-0005-0000-0000-000060540000}"/>
    <cellStyle name="Финансовый 37 3 2 2 6 5 2" xfId="36845" xr:uid="{89595F03-45CD-4024-B93E-B32D9D67DF81}"/>
    <cellStyle name="Финансовый 37 3 2 2 6 6" xfId="27535" xr:uid="{98524167-D37A-45E4-885E-E5357EB8B819}"/>
    <cellStyle name="Финансовый 37 3 2 2 7" xfId="10436" xr:uid="{00000000-0005-0000-0000-000061540000}"/>
    <cellStyle name="Финансовый 37 3 2 2 7 2" xfId="13521" xr:uid="{00000000-0005-0000-0000-000062540000}"/>
    <cellStyle name="Финансовый 37 3 2 2 7 2 2" xfId="30610" xr:uid="{EC439BAA-F6BD-4FA0-BA2E-218BAB79949D}"/>
    <cellStyle name="Финансовый 37 3 2 2 7 3" xfId="16753" xr:uid="{00000000-0005-0000-0000-000063540000}"/>
    <cellStyle name="Финансовый 37 3 2 2 7 3 2" xfId="33766" xr:uid="{3AFDC5BD-E630-49CB-A549-707522FE4430}"/>
    <cellStyle name="Финансовый 37 3 2 2 7 4" xfId="19834" xr:uid="{00000000-0005-0000-0000-000064540000}"/>
    <cellStyle name="Финансовый 37 3 2 2 7 4 2" xfId="36847" xr:uid="{8C466338-51DC-4170-9FD6-4FF11AE30DC8}"/>
    <cellStyle name="Финансовый 37 3 2 2 7 5" xfId="27537" xr:uid="{53B06B60-A2A5-449F-9FE8-4B387498D038}"/>
    <cellStyle name="Финансовый 37 3 2 2 8" xfId="13458" xr:uid="{00000000-0005-0000-0000-000065540000}"/>
    <cellStyle name="Финансовый 37 3 2 2 8 2" xfId="30547" xr:uid="{CBD5A475-768F-46A1-829C-E52282FB6A18}"/>
    <cellStyle name="Финансовый 37 3 2 2 9" xfId="16690" xr:uid="{00000000-0005-0000-0000-000066540000}"/>
    <cellStyle name="Финансовый 37 3 2 2 9 2" xfId="33703" xr:uid="{CA42EC8B-C92C-4A7C-878B-E1AD7F110E8A}"/>
    <cellStyle name="Финансовый 37 3 2 3" xfId="10437" xr:uid="{00000000-0005-0000-0000-000067540000}"/>
    <cellStyle name="Финансовый 37 3 2 3 10" xfId="27538" xr:uid="{198F9BE6-2B8C-4501-A376-6D75D3C2211E}"/>
    <cellStyle name="Финансовый 37 3 2 3 2" xfId="10438" xr:uid="{00000000-0005-0000-0000-000068540000}"/>
    <cellStyle name="Финансовый 37 3 2 3 2 2" xfId="10439" xr:uid="{00000000-0005-0000-0000-000069540000}"/>
    <cellStyle name="Финансовый 37 3 2 3 2 2 2" xfId="10440" xr:uid="{00000000-0005-0000-0000-00006A540000}"/>
    <cellStyle name="Финансовый 37 3 2 3 2 2 2 2" xfId="10441" xr:uid="{00000000-0005-0000-0000-00006B540000}"/>
    <cellStyle name="Финансовый 37 3 2 3 2 2 2 2 2" xfId="10442" xr:uid="{00000000-0005-0000-0000-00006C540000}"/>
    <cellStyle name="Финансовый 37 3 2 3 2 2 2 2 2 2" xfId="13527" xr:uid="{00000000-0005-0000-0000-00006D540000}"/>
    <cellStyle name="Финансовый 37 3 2 3 2 2 2 2 2 2 2" xfId="30616" xr:uid="{F74F83B5-B39A-4D38-A7A5-2BE627ABD9F5}"/>
    <cellStyle name="Финансовый 37 3 2 3 2 2 2 2 2 3" xfId="16759" xr:uid="{00000000-0005-0000-0000-00006E540000}"/>
    <cellStyle name="Финансовый 37 3 2 3 2 2 2 2 2 3 2" xfId="33772" xr:uid="{C29ED9CE-48D3-464A-9F4E-095135EE9E31}"/>
    <cellStyle name="Финансовый 37 3 2 3 2 2 2 2 2 4" xfId="19840" xr:uid="{00000000-0005-0000-0000-00006F540000}"/>
    <cellStyle name="Финансовый 37 3 2 3 2 2 2 2 2 4 2" xfId="36853" xr:uid="{C8A8C3CE-CB6E-44E5-A12E-C7A0572616A5}"/>
    <cellStyle name="Финансовый 37 3 2 3 2 2 2 2 2 5" xfId="27543" xr:uid="{14BB76B3-4AB1-43B1-8DFD-4CB6A28A867B}"/>
    <cellStyle name="Финансовый 37 3 2 3 2 2 2 2 3" xfId="13526" xr:uid="{00000000-0005-0000-0000-000070540000}"/>
    <cellStyle name="Финансовый 37 3 2 3 2 2 2 2 3 2" xfId="30615" xr:uid="{A7E95E03-FA9E-4329-A9AD-FA0556AE02A2}"/>
    <cellStyle name="Финансовый 37 3 2 3 2 2 2 2 4" xfId="16758" xr:uid="{00000000-0005-0000-0000-000071540000}"/>
    <cellStyle name="Финансовый 37 3 2 3 2 2 2 2 4 2" xfId="33771" xr:uid="{B87DDD79-2E26-4E55-B065-55F7022A9954}"/>
    <cellStyle name="Финансовый 37 3 2 3 2 2 2 2 5" xfId="19839" xr:uid="{00000000-0005-0000-0000-000072540000}"/>
    <cellStyle name="Финансовый 37 3 2 3 2 2 2 2 5 2" xfId="36852" xr:uid="{6260EBFC-F332-48AD-8BBB-49A67125E671}"/>
    <cellStyle name="Финансовый 37 3 2 3 2 2 2 2 6" xfId="27542" xr:uid="{DE57E706-4796-48A3-B650-8C9B2D8E931F}"/>
    <cellStyle name="Финансовый 37 3 2 3 2 2 2 3" xfId="10443" xr:uid="{00000000-0005-0000-0000-000073540000}"/>
    <cellStyle name="Финансовый 37 3 2 3 2 2 2 3 2" xfId="13528" xr:uid="{00000000-0005-0000-0000-000074540000}"/>
    <cellStyle name="Финансовый 37 3 2 3 2 2 2 3 2 2" xfId="30617" xr:uid="{C23C2238-FE45-4314-99DC-4957581FCF81}"/>
    <cellStyle name="Финансовый 37 3 2 3 2 2 2 3 3" xfId="16760" xr:uid="{00000000-0005-0000-0000-000075540000}"/>
    <cellStyle name="Финансовый 37 3 2 3 2 2 2 3 3 2" xfId="33773" xr:uid="{4E207964-64F8-427A-920F-EB9BF41E6770}"/>
    <cellStyle name="Финансовый 37 3 2 3 2 2 2 3 4" xfId="19841" xr:uid="{00000000-0005-0000-0000-000076540000}"/>
    <cellStyle name="Финансовый 37 3 2 3 2 2 2 3 4 2" xfId="36854" xr:uid="{C25B57CC-7C2F-422E-AFA4-24421CDF008A}"/>
    <cellStyle name="Финансовый 37 3 2 3 2 2 2 3 5" xfId="27544" xr:uid="{DEDAF3D7-821F-4AFB-B8C7-5D4F95C61CA3}"/>
    <cellStyle name="Финансовый 37 3 2 3 2 2 2 4" xfId="13525" xr:uid="{00000000-0005-0000-0000-000077540000}"/>
    <cellStyle name="Финансовый 37 3 2 3 2 2 2 4 2" xfId="30614" xr:uid="{3634E8EA-D64D-4F47-A593-118B3AD437D2}"/>
    <cellStyle name="Финансовый 37 3 2 3 2 2 2 5" xfId="16757" xr:uid="{00000000-0005-0000-0000-000078540000}"/>
    <cellStyle name="Финансовый 37 3 2 3 2 2 2 5 2" xfId="33770" xr:uid="{58671B7D-CCB5-4038-97E3-E80FA76E09A4}"/>
    <cellStyle name="Финансовый 37 3 2 3 2 2 2 6" xfId="19838" xr:uid="{00000000-0005-0000-0000-000079540000}"/>
    <cellStyle name="Финансовый 37 3 2 3 2 2 2 6 2" xfId="36851" xr:uid="{64227517-B400-4CEB-816E-A10974C64897}"/>
    <cellStyle name="Финансовый 37 3 2 3 2 2 2 7" xfId="27541" xr:uid="{9B021A20-A8CB-4C17-9DB8-A926D9C04227}"/>
    <cellStyle name="Финансовый 37 3 2 3 2 2 3" xfId="10444" xr:uid="{00000000-0005-0000-0000-00007A540000}"/>
    <cellStyle name="Финансовый 37 3 2 3 2 2 3 2" xfId="10445" xr:uid="{00000000-0005-0000-0000-00007B540000}"/>
    <cellStyle name="Финансовый 37 3 2 3 2 2 3 2 2" xfId="13530" xr:uid="{00000000-0005-0000-0000-00007C540000}"/>
    <cellStyle name="Финансовый 37 3 2 3 2 2 3 2 2 2" xfId="30619" xr:uid="{B24E14C3-8D6B-47F3-9315-0AE2ED0C038A}"/>
    <cellStyle name="Финансовый 37 3 2 3 2 2 3 2 3" xfId="16762" xr:uid="{00000000-0005-0000-0000-00007D540000}"/>
    <cellStyle name="Финансовый 37 3 2 3 2 2 3 2 3 2" xfId="33775" xr:uid="{F45A57B0-7296-48C2-BDBF-3640C4BEB824}"/>
    <cellStyle name="Финансовый 37 3 2 3 2 2 3 2 4" xfId="19843" xr:uid="{00000000-0005-0000-0000-00007E540000}"/>
    <cellStyle name="Финансовый 37 3 2 3 2 2 3 2 4 2" xfId="36856" xr:uid="{905705A3-8E25-457F-9E38-466D6597ADFC}"/>
    <cellStyle name="Финансовый 37 3 2 3 2 2 3 2 5" xfId="27546" xr:uid="{08D517FD-8408-4B37-9317-03B5F523A9BB}"/>
    <cellStyle name="Финансовый 37 3 2 3 2 2 3 3" xfId="13529" xr:uid="{00000000-0005-0000-0000-00007F540000}"/>
    <cellStyle name="Финансовый 37 3 2 3 2 2 3 3 2" xfId="30618" xr:uid="{E1B5DC2D-8CBE-4AF9-B668-08E7D1FE72A2}"/>
    <cellStyle name="Финансовый 37 3 2 3 2 2 3 4" xfId="16761" xr:uid="{00000000-0005-0000-0000-000080540000}"/>
    <cellStyle name="Финансовый 37 3 2 3 2 2 3 4 2" xfId="33774" xr:uid="{175C46D1-4DF0-412E-87C4-0F740E2661C0}"/>
    <cellStyle name="Финансовый 37 3 2 3 2 2 3 5" xfId="19842" xr:uid="{00000000-0005-0000-0000-000081540000}"/>
    <cellStyle name="Финансовый 37 3 2 3 2 2 3 5 2" xfId="36855" xr:uid="{38247268-81FD-41E8-B2FD-DE8B4206975D}"/>
    <cellStyle name="Финансовый 37 3 2 3 2 2 3 6" xfId="27545" xr:uid="{FC07A6FB-2E4A-40B3-8CD3-3333DB3A53DF}"/>
    <cellStyle name="Финансовый 37 3 2 3 2 2 4" xfId="10446" xr:uid="{00000000-0005-0000-0000-000082540000}"/>
    <cellStyle name="Финансовый 37 3 2 3 2 2 4 2" xfId="13531" xr:uid="{00000000-0005-0000-0000-000083540000}"/>
    <cellStyle name="Финансовый 37 3 2 3 2 2 4 2 2" xfId="30620" xr:uid="{3FB67C6D-E331-4A83-A096-2B927E498FD8}"/>
    <cellStyle name="Финансовый 37 3 2 3 2 2 4 3" xfId="16763" xr:uid="{00000000-0005-0000-0000-000084540000}"/>
    <cellStyle name="Финансовый 37 3 2 3 2 2 4 3 2" xfId="33776" xr:uid="{A4BF1263-1B4D-4BE4-8EC8-BABF647E1CD3}"/>
    <cellStyle name="Финансовый 37 3 2 3 2 2 4 4" xfId="19844" xr:uid="{00000000-0005-0000-0000-000085540000}"/>
    <cellStyle name="Финансовый 37 3 2 3 2 2 4 4 2" xfId="36857" xr:uid="{E14C18CD-2053-4705-91DC-C10A9033C810}"/>
    <cellStyle name="Финансовый 37 3 2 3 2 2 4 5" xfId="27547" xr:uid="{CD4D3762-A5BB-455B-8A70-6C230514E9B6}"/>
    <cellStyle name="Финансовый 37 3 2 3 2 2 5" xfId="13524" xr:uid="{00000000-0005-0000-0000-000086540000}"/>
    <cellStyle name="Финансовый 37 3 2 3 2 2 5 2" xfId="30613" xr:uid="{AF79B72D-705D-4E63-B861-D5502156F502}"/>
    <cellStyle name="Финансовый 37 3 2 3 2 2 6" xfId="16756" xr:uid="{00000000-0005-0000-0000-000087540000}"/>
    <cellStyle name="Финансовый 37 3 2 3 2 2 6 2" xfId="33769" xr:uid="{60D8FA39-6D2B-4996-831A-9691FA03B16A}"/>
    <cellStyle name="Финансовый 37 3 2 3 2 2 7" xfId="19837" xr:uid="{00000000-0005-0000-0000-000088540000}"/>
    <cellStyle name="Финансовый 37 3 2 3 2 2 7 2" xfId="36850" xr:uid="{A588524D-AFC1-4C4D-A70F-BB5D25972706}"/>
    <cellStyle name="Финансовый 37 3 2 3 2 2 8" xfId="27540" xr:uid="{437A24C2-E525-4C93-A13D-6FB2C38937F7}"/>
    <cellStyle name="Финансовый 37 3 2 3 2 3" xfId="10447" xr:uid="{00000000-0005-0000-0000-000089540000}"/>
    <cellStyle name="Финансовый 37 3 2 3 2 3 2" xfId="10448" xr:uid="{00000000-0005-0000-0000-00008A540000}"/>
    <cellStyle name="Финансовый 37 3 2 3 2 3 2 2" xfId="10449" xr:uid="{00000000-0005-0000-0000-00008B540000}"/>
    <cellStyle name="Финансовый 37 3 2 3 2 3 2 2 2" xfId="13534" xr:uid="{00000000-0005-0000-0000-00008C540000}"/>
    <cellStyle name="Финансовый 37 3 2 3 2 3 2 2 2 2" xfId="30623" xr:uid="{8A73B692-0D5A-4853-AE26-E8D466F4F093}"/>
    <cellStyle name="Финансовый 37 3 2 3 2 3 2 2 3" xfId="16766" xr:uid="{00000000-0005-0000-0000-00008D540000}"/>
    <cellStyle name="Финансовый 37 3 2 3 2 3 2 2 3 2" xfId="33779" xr:uid="{51945754-38AC-4755-9403-777F22E9A6CF}"/>
    <cellStyle name="Финансовый 37 3 2 3 2 3 2 2 4" xfId="19847" xr:uid="{00000000-0005-0000-0000-00008E540000}"/>
    <cellStyle name="Финансовый 37 3 2 3 2 3 2 2 4 2" xfId="36860" xr:uid="{8B8D4C72-F8EC-4574-A49D-5FD99A3ACE5C}"/>
    <cellStyle name="Финансовый 37 3 2 3 2 3 2 2 5" xfId="27550" xr:uid="{8F8B371A-F7E7-47A2-9B80-C616E3EDDCFA}"/>
    <cellStyle name="Финансовый 37 3 2 3 2 3 2 3" xfId="13533" xr:uid="{00000000-0005-0000-0000-00008F540000}"/>
    <cellStyle name="Финансовый 37 3 2 3 2 3 2 3 2" xfId="30622" xr:uid="{C6D6999D-88AD-4102-98A4-6F0A9164C95D}"/>
    <cellStyle name="Финансовый 37 3 2 3 2 3 2 4" xfId="16765" xr:uid="{00000000-0005-0000-0000-000090540000}"/>
    <cellStyle name="Финансовый 37 3 2 3 2 3 2 4 2" xfId="33778" xr:uid="{D4D96070-8C93-46B4-BF4A-86DB550FE5C7}"/>
    <cellStyle name="Финансовый 37 3 2 3 2 3 2 5" xfId="19846" xr:uid="{00000000-0005-0000-0000-000091540000}"/>
    <cellStyle name="Финансовый 37 3 2 3 2 3 2 5 2" xfId="36859" xr:uid="{59DF969C-D39F-44E7-A5ED-12C0406DCC5C}"/>
    <cellStyle name="Финансовый 37 3 2 3 2 3 2 6" xfId="27549" xr:uid="{CC68D9E9-6B18-4C89-8374-46F76849B98D}"/>
    <cellStyle name="Финансовый 37 3 2 3 2 3 3" xfId="10450" xr:uid="{00000000-0005-0000-0000-000092540000}"/>
    <cellStyle name="Финансовый 37 3 2 3 2 3 3 2" xfId="13535" xr:uid="{00000000-0005-0000-0000-000093540000}"/>
    <cellStyle name="Финансовый 37 3 2 3 2 3 3 2 2" xfId="30624" xr:uid="{0343D41D-F637-41D9-8DF1-F455DEE8AA66}"/>
    <cellStyle name="Финансовый 37 3 2 3 2 3 3 3" xfId="16767" xr:uid="{00000000-0005-0000-0000-000094540000}"/>
    <cellStyle name="Финансовый 37 3 2 3 2 3 3 3 2" xfId="33780" xr:uid="{8513CF9A-7E86-457E-BF2D-ADEF25D6C5DA}"/>
    <cellStyle name="Финансовый 37 3 2 3 2 3 3 4" xfId="19848" xr:uid="{00000000-0005-0000-0000-000095540000}"/>
    <cellStyle name="Финансовый 37 3 2 3 2 3 3 4 2" xfId="36861" xr:uid="{24B6C5CE-871C-4A61-95C3-619E432395EC}"/>
    <cellStyle name="Финансовый 37 3 2 3 2 3 3 5" xfId="27551" xr:uid="{4878A958-13E3-4B2E-B35E-C94EE57F0067}"/>
    <cellStyle name="Финансовый 37 3 2 3 2 3 4" xfId="13532" xr:uid="{00000000-0005-0000-0000-000096540000}"/>
    <cellStyle name="Финансовый 37 3 2 3 2 3 4 2" xfId="30621" xr:uid="{109B374C-068C-424C-9A22-0D40EFCAD677}"/>
    <cellStyle name="Финансовый 37 3 2 3 2 3 5" xfId="16764" xr:uid="{00000000-0005-0000-0000-000097540000}"/>
    <cellStyle name="Финансовый 37 3 2 3 2 3 5 2" xfId="33777" xr:uid="{07B2372D-6EB1-4C94-98BC-3BA979EAA130}"/>
    <cellStyle name="Финансовый 37 3 2 3 2 3 6" xfId="19845" xr:uid="{00000000-0005-0000-0000-000098540000}"/>
    <cellStyle name="Финансовый 37 3 2 3 2 3 6 2" xfId="36858" xr:uid="{4F79E2AB-A228-417F-B727-B7D77F3D4D10}"/>
    <cellStyle name="Финансовый 37 3 2 3 2 3 7" xfId="27548" xr:uid="{415F3FB1-9425-46AB-8F40-E8885215C384}"/>
    <cellStyle name="Финансовый 37 3 2 3 2 4" xfId="10451" xr:uid="{00000000-0005-0000-0000-000099540000}"/>
    <cellStyle name="Финансовый 37 3 2 3 2 4 2" xfId="10452" xr:uid="{00000000-0005-0000-0000-00009A540000}"/>
    <cellStyle name="Финансовый 37 3 2 3 2 4 2 2" xfId="13537" xr:uid="{00000000-0005-0000-0000-00009B540000}"/>
    <cellStyle name="Финансовый 37 3 2 3 2 4 2 2 2" xfId="30626" xr:uid="{217B97E1-8185-41AF-B3FA-9E6048C9E63B}"/>
    <cellStyle name="Финансовый 37 3 2 3 2 4 2 3" xfId="16769" xr:uid="{00000000-0005-0000-0000-00009C540000}"/>
    <cellStyle name="Финансовый 37 3 2 3 2 4 2 3 2" xfId="33782" xr:uid="{EA476C91-7629-4FDD-B1FF-3BA8372F643B}"/>
    <cellStyle name="Финансовый 37 3 2 3 2 4 2 4" xfId="19850" xr:uid="{00000000-0005-0000-0000-00009D540000}"/>
    <cellStyle name="Финансовый 37 3 2 3 2 4 2 4 2" xfId="36863" xr:uid="{FDA0F8F3-3F74-412E-B1BB-F42F1DAB1340}"/>
    <cellStyle name="Финансовый 37 3 2 3 2 4 2 5" xfId="27553" xr:uid="{0414C75B-9293-4658-B6D1-522216868D5D}"/>
    <cellStyle name="Финансовый 37 3 2 3 2 4 3" xfId="13536" xr:uid="{00000000-0005-0000-0000-00009E540000}"/>
    <cellStyle name="Финансовый 37 3 2 3 2 4 3 2" xfId="30625" xr:uid="{F0F1186E-66A8-4BD3-B7F3-EE5E694D197C}"/>
    <cellStyle name="Финансовый 37 3 2 3 2 4 4" xfId="16768" xr:uid="{00000000-0005-0000-0000-00009F540000}"/>
    <cellStyle name="Финансовый 37 3 2 3 2 4 4 2" xfId="33781" xr:uid="{3108C7BD-AA98-4BFC-BEAC-4E5ECB09BFCD}"/>
    <cellStyle name="Финансовый 37 3 2 3 2 4 5" xfId="19849" xr:uid="{00000000-0005-0000-0000-0000A0540000}"/>
    <cellStyle name="Финансовый 37 3 2 3 2 4 5 2" xfId="36862" xr:uid="{38DBDB52-DC14-4439-8569-2A3ECF16EA06}"/>
    <cellStyle name="Финансовый 37 3 2 3 2 4 6" xfId="27552" xr:uid="{2FAF3949-67BB-433E-904A-B46CCA2A724B}"/>
    <cellStyle name="Финансовый 37 3 2 3 2 5" xfId="10453" xr:uid="{00000000-0005-0000-0000-0000A1540000}"/>
    <cellStyle name="Финансовый 37 3 2 3 2 5 2" xfId="13538" xr:uid="{00000000-0005-0000-0000-0000A2540000}"/>
    <cellStyle name="Финансовый 37 3 2 3 2 5 2 2" xfId="30627" xr:uid="{31C9FDC6-B2CB-4B00-B897-38CA05E50A55}"/>
    <cellStyle name="Финансовый 37 3 2 3 2 5 3" xfId="16770" xr:uid="{00000000-0005-0000-0000-0000A3540000}"/>
    <cellStyle name="Финансовый 37 3 2 3 2 5 3 2" xfId="33783" xr:uid="{CE75CDD9-6FDD-483B-83EF-9A719E2E1047}"/>
    <cellStyle name="Финансовый 37 3 2 3 2 5 4" xfId="19851" xr:uid="{00000000-0005-0000-0000-0000A4540000}"/>
    <cellStyle name="Финансовый 37 3 2 3 2 5 4 2" xfId="36864" xr:uid="{57E67DE9-4EB9-42D6-B1A2-72661FC46308}"/>
    <cellStyle name="Финансовый 37 3 2 3 2 5 5" xfId="27554" xr:uid="{AB113C41-4DC6-438F-B578-CD3287684C56}"/>
    <cellStyle name="Финансовый 37 3 2 3 2 6" xfId="13523" xr:uid="{00000000-0005-0000-0000-0000A5540000}"/>
    <cellStyle name="Финансовый 37 3 2 3 2 6 2" xfId="30612" xr:uid="{EE4EAB0C-ECE4-45E7-B9FA-1160B6CC19EA}"/>
    <cellStyle name="Финансовый 37 3 2 3 2 7" xfId="16755" xr:uid="{00000000-0005-0000-0000-0000A6540000}"/>
    <cellStyle name="Финансовый 37 3 2 3 2 7 2" xfId="33768" xr:uid="{C842BD6C-F810-4307-9289-18DA7B913F04}"/>
    <cellStyle name="Финансовый 37 3 2 3 2 8" xfId="19836" xr:uid="{00000000-0005-0000-0000-0000A7540000}"/>
    <cellStyle name="Финансовый 37 3 2 3 2 8 2" xfId="36849" xr:uid="{AE98967A-645B-4079-8172-0C4AFD5C98FC}"/>
    <cellStyle name="Финансовый 37 3 2 3 2 9" xfId="27539" xr:uid="{7C1C8E83-6FE0-4670-BA40-7FD0A93BF1E8}"/>
    <cellStyle name="Финансовый 37 3 2 3 3" xfId="10454" xr:uid="{00000000-0005-0000-0000-0000A8540000}"/>
    <cellStyle name="Финансовый 37 3 2 3 3 2" xfId="10455" xr:uid="{00000000-0005-0000-0000-0000A9540000}"/>
    <cellStyle name="Финансовый 37 3 2 3 3 2 2" xfId="10456" xr:uid="{00000000-0005-0000-0000-0000AA540000}"/>
    <cellStyle name="Финансовый 37 3 2 3 3 2 2 2" xfId="10457" xr:uid="{00000000-0005-0000-0000-0000AB540000}"/>
    <cellStyle name="Финансовый 37 3 2 3 3 2 2 2 2" xfId="13542" xr:uid="{00000000-0005-0000-0000-0000AC540000}"/>
    <cellStyle name="Финансовый 37 3 2 3 3 2 2 2 2 2" xfId="30631" xr:uid="{0D828FCB-8614-4BCE-A503-11BE734C4125}"/>
    <cellStyle name="Финансовый 37 3 2 3 3 2 2 2 3" xfId="16774" xr:uid="{00000000-0005-0000-0000-0000AD540000}"/>
    <cellStyle name="Финансовый 37 3 2 3 3 2 2 2 3 2" xfId="33787" xr:uid="{F6F36A22-66B0-452C-A952-E67A68EAE20A}"/>
    <cellStyle name="Финансовый 37 3 2 3 3 2 2 2 4" xfId="19855" xr:uid="{00000000-0005-0000-0000-0000AE540000}"/>
    <cellStyle name="Финансовый 37 3 2 3 3 2 2 2 4 2" xfId="36868" xr:uid="{AF0F1B5E-E7CE-473D-9B04-ED3CAABA260D}"/>
    <cellStyle name="Финансовый 37 3 2 3 3 2 2 2 5" xfId="27558" xr:uid="{F7497B5F-B232-4A81-8EBB-1F1A0AB760D4}"/>
    <cellStyle name="Финансовый 37 3 2 3 3 2 2 3" xfId="13541" xr:uid="{00000000-0005-0000-0000-0000AF540000}"/>
    <cellStyle name="Финансовый 37 3 2 3 3 2 2 3 2" xfId="30630" xr:uid="{BAEF59A4-EF14-4326-A4EB-B4ADE168781B}"/>
    <cellStyle name="Финансовый 37 3 2 3 3 2 2 4" xfId="16773" xr:uid="{00000000-0005-0000-0000-0000B0540000}"/>
    <cellStyle name="Финансовый 37 3 2 3 3 2 2 4 2" xfId="33786" xr:uid="{3732C570-5F73-450A-9683-6F1BFDE7C819}"/>
    <cellStyle name="Финансовый 37 3 2 3 3 2 2 5" xfId="19854" xr:uid="{00000000-0005-0000-0000-0000B1540000}"/>
    <cellStyle name="Финансовый 37 3 2 3 3 2 2 5 2" xfId="36867" xr:uid="{2E72A475-BE99-4694-86AA-D3CEB71EDEDA}"/>
    <cellStyle name="Финансовый 37 3 2 3 3 2 2 6" xfId="27557" xr:uid="{52483411-6AD5-4EA5-89AC-052EB3E06648}"/>
    <cellStyle name="Финансовый 37 3 2 3 3 2 3" xfId="10458" xr:uid="{00000000-0005-0000-0000-0000B2540000}"/>
    <cellStyle name="Финансовый 37 3 2 3 3 2 3 2" xfId="13543" xr:uid="{00000000-0005-0000-0000-0000B3540000}"/>
    <cellStyle name="Финансовый 37 3 2 3 3 2 3 2 2" xfId="30632" xr:uid="{1BA6ECA3-DBC2-4794-9B57-719830E6349F}"/>
    <cellStyle name="Финансовый 37 3 2 3 3 2 3 3" xfId="16775" xr:uid="{00000000-0005-0000-0000-0000B4540000}"/>
    <cellStyle name="Финансовый 37 3 2 3 3 2 3 3 2" xfId="33788" xr:uid="{E94BFC3B-82B2-4355-9783-EDB4FD6F26C3}"/>
    <cellStyle name="Финансовый 37 3 2 3 3 2 3 4" xfId="19856" xr:uid="{00000000-0005-0000-0000-0000B5540000}"/>
    <cellStyle name="Финансовый 37 3 2 3 3 2 3 4 2" xfId="36869" xr:uid="{5A2424E7-9A3B-4E92-A958-5B08BFE640C9}"/>
    <cellStyle name="Финансовый 37 3 2 3 3 2 3 5" xfId="27559" xr:uid="{FE6DF08C-E671-4BC6-A7EF-5E2678837E07}"/>
    <cellStyle name="Финансовый 37 3 2 3 3 2 4" xfId="13540" xr:uid="{00000000-0005-0000-0000-0000B6540000}"/>
    <cellStyle name="Финансовый 37 3 2 3 3 2 4 2" xfId="30629" xr:uid="{64A5F9F8-28F5-4F08-8791-C5BD0AE52578}"/>
    <cellStyle name="Финансовый 37 3 2 3 3 2 5" xfId="16772" xr:uid="{00000000-0005-0000-0000-0000B7540000}"/>
    <cellStyle name="Финансовый 37 3 2 3 3 2 5 2" xfId="33785" xr:uid="{EC82A9DD-B807-44EE-B778-AD8E3ABFBA22}"/>
    <cellStyle name="Финансовый 37 3 2 3 3 2 6" xfId="19853" xr:uid="{00000000-0005-0000-0000-0000B8540000}"/>
    <cellStyle name="Финансовый 37 3 2 3 3 2 6 2" xfId="36866" xr:uid="{23977080-FDA5-435F-A34E-1186961589B6}"/>
    <cellStyle name="Финансовый 37 3 2 3 3 2 7" xfId="27556" xr:uid="{679622FE-7834-45FC-8F15-E326A9B320F2}"/>
    <cellStyle name="Финансовый 37 3 2 3 3 3" xfId="10459" xr:uid="{00000000-0005-0000-0000-0000B9540000}"/>
    <cellStyle name="Финансовый 37 3 2 3 3 3 2" xfId="10460" xr:uid="{00000000-0005-0000-0000-0000BA540000}"/>
    <cellStyle name="Финансовый 37 3 2 3 3 3 2 2" xfId="13545" xr:uid="{00000000-0005-0000-0000-0000BB540000}"/>
    <cellStyle name="Финансовый 37 3 2 3 3 3 2 2 2" xfId="30634" xr:uid="{91F546FA-8481-4C70-B955-86B5EBEF273D}"/>
    <cellStyle name="Финансовый 37 3 2 3 3 3 2 3" xfId="16777" xr:uid="{00000000-0005-0000-0000-0000BC540000}"/>
    <cellStyle name="Финансовый 37 3 2 3 3 3 2 3 2" xfId="33790" xr:uid="{F41B8F25-1B17-4AFC-9E62-84684CDE5B36}"/>
    <cellStyle name="Финансовый 37 3 2 3 3 3 2 4" xfId="19858" xr:uid="{00000000-0005-0000-0000-0000BD540000}"/>
    <cellStyle name="Финансовый 37 3 2 3 3 3 2 4 2" xfId="36871" xr:uid="{8C49B9DD-65AE-4E34-A6E7-069C098E4BF3}"/>
    <cellStyle name="Финансовый 37 3 2 3 3 3 2 5" xfId="27561" xr:uid="{396591C4-4841-4DFD-805A-EE2713B9AE82}"/>
    <cellStyle name="Финансовый 37 3 2 3 3 3 3" xfId="13544" xr:uid="{00000000-0005-0000-0000-0000BE540000}"/>
    <cellStyle name="Финансовый 37 3 2 3 3 3 3 2" xfId="30633" xr:uid="{D797CBDE-D63A-4DED-8129-1EEA257578AD}"/>
    <cellStyle name="Финансовый 37 3 2 3 3 3 4" xfId="16776" xr:uid="{00000000-0005-0000-0000-0000BF540000}"/>
    <cellStyle name="Финансовый 37 3 2 3 3 3 4 2" xfId="33789" xr:uid="{77CF3E15-E954-437C-8730-FAC481708BA6}"/>
    <cellStyle name="Финансовый 37 3 2 3 3 3 5" xfId="19857" xr:uid="{00000000-0005-0000-0000-0000C0540000}"/>
    <cellStyle name="Финансовый 37 3 2 3 3 3 5 2" xfId="36870" xr:uid="{EBA2C497-56BC-4BC4-AE26-695929BFF092}"/>
    <cellStyle name="Финансовый 37 3 2 3 3 3 6" xfId="27560" xr:uid="{04492E13-F9AF-4EC0-832A-A26FD65A4730}"/>
    <cellStyle name="Финансовый 37 3 2 3 3 4" xfId="10461" xr:uid="{00000000-0005-0000-0000-0000C1540000}"/>
    <cellStyle name="Финансовый 37 3 2 3 3 4 2" xfId="13546" xr:uid="{00000000-0005-0000-0000-0000C2540000}"/>
    <cellStyle name="Финансовый 37 3 2 3 3 4 2 2" xfId="30635" xr:uid="{2107EA92-2022-4D81-969D-C14DFC4FF02E}"/>
    <cellStyle name="Финансовый 37 3 2 3 3 4 3" xfId="16778" xr:uid="{00000000-0005-0000-0000-0000C3540000}"/>
    <cellStyle name="Финансовый 37 3 2 3 3 4 3 2" xfId="33791" xr:uid="{EB76F161-A2E8-45AE-B23F-D641BD28D3BB}"/>
    <cellStyle name="Финансовый 37 3 2 3 3 4 4" xfId="19859" xr:uid="{00000000-0005-0000-0000-0000C4540000}"/>
    <cellStyle name="Финансовый 37 3 2 3 3 4 4 2" xfId="36872" xr:uid="{E28A9CA5-88D4-420C-AF18-C23129FA4CE3}"/>
    <cellStyle name="Финансовый 37 3 2 3 3 4 5" xfId="27562" xr:uid="{BA1FDAB3-5676-460C-A0B5-8B770B7D99F5}"/>
    <cellStyle name="Финансовый 37 3 2 3 3 5" xfId="13539" xr:uid="{00000000-0005-0000-0000-0000C5540000}"/>
    <cellStyle name="Финансовый 37 3 2 3 3 5 2" xfId="30628" xr:uid="{19388AF1-C429-46BE-A242-ABF11AA5B191}"/>
    <cellStyle name="Финансовый 37 3 2 3 3 6" xfId="16771" xr:uid="{00000000-0005-0000-0000-0000C6540000}"/>
    <cellStyle name="Финансовый 37 3 2 3 3 6 2" xfId="33784" xr:uid="{456BDC1D-D576-4717-AE08-C22D8213A3DA}"/>
    <cellStyle name="Финансовый 37 3 2 3 3 7" xfId="19852" xr:uid="{00000000-0005-0000-0000-0000C7540000}"/>
    <cellStyle name="Финансовый 37 3 2 3 3 7 2" xfId="36865" xr:uid="{4B73A549-1C0D-41A7-AC59-47589FA10CB3}"/>
    <cellStyle name="Финансовый 37 3 2 3 3 8" xfId="27555" xr:uid="{7333A834-A10C-4A41-886A-EC95F4852A27}"/>
    <cellStyle name="Финансовый 37 3 2 3 4" xfId="10462" xr:uid="{00000000-0005-0000-0000-0000C8540000}"/>
    <cellStyle name="Финансовый 37 3 2 3 4 2" xfId="10463" xr:uid="{00000000-0005-0000-0000-0000C9540000}"/>
    <cellStyle name="Финансовый 37 3 2 3 4 2 2" xfId="10464" xr:uid="{00000000-0005-0000-0000-0000CA540000}"/>
    <cellStyle name="Финансовый 37 3 2 3 4 2 2 2" xfId="13549" xr:uid="{00000000-0005-0000-0000-0000CB540000}"/>
    <cellStyle name="Финансовый 37 3 2 3 4 2 2 2 2" xfId="30638" xr:uid="{28C9DFAF-C8AF-44DE-A853-5004BC0F09D5}"/>
    <cellStyle name="Финансовый 37 3 2 3 4 2 2 3" xfId="16781" xr:uid="{00000000-0005-0000-0000-0000CC540000}"/>
    <cellStyle name="Финансовый 37 3 2 3 4 2 2 3 2" xfId="33794" xr:uid="{5EEB3838-926B-4B95-A1C0-707E7A2B7E61}"/>
    <cellStyle name="Финансовый 37 3 2 3 4 2 2 4" xfId="19862" xr:uid="{00000000-0005-0000-0000-0000CD540000}"/>
    <cellStyle name="Финансовый 37 3 2 3 4 2 2 4 2" xfId="36875" xr:uid="{65C137F7-9D7D-4D85-B412-01B055396950}"/>
    <cellStyle name="Финансовый 37 3 2 3 4 2 2 5" xfId="27565" xr:uid="{509916B4-5279-4216-899B-B3E0536BA29F}"/>
    <cellStyle name="Финансовый 37 3 2 3 4 2 3" xfId="13548" xr:uid="{00000000-0005-0000-0000-0000CE540000}"/>
    <cellStyle name="Финансовый 37 3 2 3 4 2 3 2" xfId="30637" xr:uid="{986F3703-71F0-4D1E-868D-B373EA092495}"/>
    <cellStyle name="Финансовый 37 3 2 3 4 2 4" xfId="16780" xr:uid="{00000000-0005-0000-0000-0000CF540000}"/>
    <cellStyle name="Финансовый 37 3 2 3 4 2 4 2" xfId="33793" xr:uid="{1622C22F-98B7-4817-BED8-D247443164A7}"/>
    <cellStyle name="Финансовый 37 3 2 3 4 2 5" xfId="19861" xr:uid="{00000000-0005-0000-0000-0000D0540000}"/>
    <cellStyle name="Финансовый 37 3 2 3 4 2 5 2" xfId="36874" xr:uid="{07AEF73C-B4A1-49ED-BCD4-FC975ED44A0C}"/>
    <cellStyle name="Финансовый 37 3 2 3 4 2 6" xfId="27564" xr:uid="{BAF19310-4B5F-4313-8FFB-A434AEE6F281}"/>
    <cellStyle name="Финансовый 37 3 2 3 4 3" xfId="10465" xr:uid="{00000000-0005-0000-0000-0000D1540000}"/>
    <cellStyle name="Финансовый 37 3 2 3 4 3 2" xfId="13550" xr:uid="{00000000-0005-0000-0000-0000D2540000}"/>
    <cellStyle name="Финансовый 37 3 2 3 4 3 2 2" xfId="30639" xr:uid="{02A3B38B-D404-4768-9659-0DA938D8DA56}"/>
    <cellStyle name="Финансовый 37 3 2 3 4 3 3" xfId="16782" xr:uid="{00000000-0005-0000-0000-0000D3540000}"/>
    <cellStyle name="Финансовый 37 3 2 3 4 3 3 2" xfId="33795" xr:uid="{B027EBA9-E13F-4283-81AF-E727E4C6219A}"/>
    <cellStyle name="Финансовый 37 3 2 3 4 3 4" xfId="19863" xr:uid="{00000000-0005-0000-0000-0000D4540000}"/>
    <cellStyle name="Финансовый 37 3 2 3 4 3 4 2" xfId="36876" xr:uid="{0331BE99-9AAB-4A9B-848A-C9CCB5424A48}"/>
    <cellStyle name="Финансовый 37 3 2 3 4 3 5" xfId="27566" xr:uid="{5A135ECE-EC43-4B08-A5D1-41CBBFB85907}"/>
    <cellStyle name="Финансовый 37 3 2 3 4 4" xfId="13547" xr:uid="{00000000-0005-0000-0000-0000D5540000}"/>
    <cellStyle name="Финансовый 37 3 2 3 4 4 2" xfId="30636" xr:uid="{DB2C7C1B-5131-447B-A1DF-67EEC3EE7361}"/>
    <cellStyle name="Финансовый 37 3 2 3 4 5" xfId="16779" xr:uid="{00000000-0005-0000-0000-0000D6540000}"/>
    <cellStyle name="Финансовый 37 3 2 3 4 5 2" xfId="33792" xr:uid="{7F3FD285-4671-4D4C-BF05-1CAD2BC49748}"/>
    <cellStyle name="Финансовый 37 3 2 3 4 6" xfId="19860" xr:uid="{00000000-0005-0000-0000-0000D7540000}"/>
    <cellStyle name="Финансовый 37 3 2 3 4 6 2" xfId="36873" xr:uid="{B5ACEF18-C83B-4B3E-9512-CDCF2FB177C9}"/>
    <cellStyle name="Финансовый 37 3 2 3 4 7" xfId="27563" xr:uid="{85BB643C-38AE-43D2-AE79-61F5367E2460}"/>
    <cellStyle name="Финансовый 37 3 2 3 5" xfId="10466" xr:uid="{00000000-0005-0000-0000-0000D8540000}"/>
    <cellStyle name="Финансовый 37 3 2 3 5 2" xfId="10467" xr:uid="{00000000-0005-0000-0000-0000D9540000}"/>
    <cellStyle name="Финансовый 37 3 2 3 5 2 2" xfId="13552" xr:uid="{00000000-0005-0000-0000-0000DA540000}"/>
    <cellStyle name="Финансовый 37 3 2 3 5 2 2 2" xfId="30641" xr:uid="{5C2E98FC-1788-47D3-9AF7-019F16BDB9CE}"/>
    <cellStyle name="Финансовый 37 3 2 3 5 2 3" xfId="16784" xr:uid="{00000000-0005-0000-0000-0000DB540000}"/>
    <cellStyle name="Финансовый 37 3 2 3 5 2 3 2" xfId="33797" xr:uid="{5917DBFF-F5A2-43EE-A59A-C3563175C429}"/>
    <cellStyle name="Финансовый 37 3 2 3 5 2 4" xfId="19865" xr:uid="{00000000-0005-0000-0000-0000DC540000}"/>
    <cellStyle name="Финансовый 37 3 2 3 5 2 4 2" xfId="36878" xr:uid="{457CB0D9-0588-4B11-B6F8-0B807909654B}"/>
    <cellStyle name="Финансовый 37 3 2 3 5 2 5" xfId="27568" xr:uid="{01432623-FAD5-4EC4-88F6-480C8DE4E0E6}"/>
    <cellStyle name="Финансовый 37 3 2 3 5 3" xfId="13551" xr:uid="{00000000-0005-0000-0000-0000DD540000}"/>
    <cellStyle name="Финансовый 37 3 2 3 5 3 2" xfId="30640" xr:uid="{75130C9B-050A-4416-979E-7642DFE95FDD}"/>
    <cellStyle name="Финансовый 37 3 2 3 5 4" xfId="16783" xr:uid="{00000000-0005-0000-0000-0000DE540000}"/>
    <cellStyle name="Финансовый 37 3 2 3 5 4 2" xfId="33796" xr:uid="{3AA81983-19EA-46C1-88A2-0AE01253029E}"/>
    <cellStyle name="Финансовый 37 3 2 3 5 5" xfId="19864" xr:uid="{00000000-0005-0000-0000-0000DF540000}"/>
    <cellStyle name="Финансовый 37 3 2 3 5 5 2" xfId="36877" xr:uid="{760CABB1-F43A-4FC0-A89C-6170A301493B}"/>
    <cellStyle name="Финансовый 37 3 2 3 5 6" xfId="27567" xr:uid="{4A526E64-14E5-44E5-B27C-DCBD706D2184}"/>
    <cellStyle name="Финансовый 37 3 2 3 6" xfId="10468" xr:uid="{00000000-0005-0000-0000-0000E0540000}"/>
    <cellStyle name="Финансовый 37 3 2 3 6 2" xfId="13553" xr:uid="{00000000-0005-0000-0000-0000E1540000}"/>
    <cellStyle name="Финансовый 37 3 2 3 6 2 2" xfId="30642" xr:uid="{A874575B-D3AC-43DD-B941-834FD5E512C7}"/>
    <cellStyle name="Финансовый 37 3 2 3 6 3" xfId="16785" xr:uid="{00000000-0005-0000-0000-0000E2540000}"/>
    <cellStyle name="Финансовый 37 3 2 3 6 3 2" xfId="33798" xr:uid="{9277BA6B-3F29-4C44-95E9-64417298F7FE}"/>
    <cellStyle name="Финансовый 37 3 2 3 6 4" xfId="19866" xr:uid="{00000000-0005-0000-0000-0000E3540000}"/>
    <cellStyle name="Финансовый 37 3 2 3 6 4 2" xfId="36879" xr:uid="{109B804C-44C1-4CD7-8B33-D03483148A6E}"/>
    <cellStyle name="Финансовый 37 3 2 3 6 5" xfId="27569" xr:uid="{360B1EED-59EF-4F93-8FD7-632CCCE227AD}"/>
    <cellStyle name="Финансовый 37 3 2 3 7" xfId="13522" xr:uid="{00000000-0005-0000-0000-0000E4540000}"/>
    <cellStyle name="Финансовый 37 3 2 3 7 2" xfId="30611" xr:uid="{4CD5A3D2-A7D9-40AA-B798-1CC883AF5023}"/>
    <cellStyle name="Финансовый 37 3 2 3 8" xfId="16754" xr:uid="{00000000-0005-0000-0000-0000E5540000}"/>
    <cellStyle name="Финансовый 37 3 2 3 8 2" xfId="33767" xr:uid="{5A853FC1-1331-42CD-B5B3-D05EE3A32971}"/>
    <cellStyle name="Финансовый 37 3 2 3 9" xfId="19835" xr:uid="{00000000-0005-0000-0000-0000E6540000}"/>
    <cellStyle name="Финансовый 37 3 2 3 9 2" xfId="36848" xr:uid="{7C207810-94A1-40BD-808B-772455CF01C7}"/>
    <cellStyle name="Финансовый 37 3 2 4" xfId="10469" xr:uid="{00000000-0005-0000-0000-0000E7540000}"/>
    <cellStyle name="Финансовый 37 3 2 4 2" xfId="10470" xr:uid="{00000000-0005-0000-0000-0000E8540000}"/>
    <cellStyle name="Финансовый 37 3 2 4 2 2" xfId="10471" xr:uid="{00000000-0005-0000-0000-0000E9540000}"/>
    <cellStyle name="Финансовый 37 3 2 4 2 2 2" xfId="10472" xr:uid="{00000000-0005-0000-0000-0000EA540000}"/>
    <cellStyle name="Финансовый 37 3 2 4 2 2 2 2" xfId="10473" xr:uid="{00000000-0005-0000-0000-0000EB540000}"/>
    <cellStyle name="Финансовый 37 3 2 4 2 2 2 2 2" xfId="13558" xr:uid="{00000000-0005-0000-0000-0000EC540000}"/>
    <cellStyle name="Финансовый 37 3 2 4 2 2 2 2 2 2" xfId="30647" xr:uid="{862BA412-2480-4075-8B2C-DEBF4FAE525F}"/>
    <cellStyle name="Финансовый 37 3 2 4 2 2 2 2 3" xfId="16790" xr:uid="{00000000-0005-0000-0000-0000ED540000}"/>
    <cellStyle name="Финансовый 37 3 2 4 2 2 2 2 3 2" xfId="33803" xr:uid="{4386AFD5-CC79-4C84-960E-04FE69D0967C}"/>
    <cellStyle name="Финансовый 37 3 2 4 2 2 2 2 4" xfId="19871" xr:uid="{00000000-0005-0000-0000-0000EE540000}"/>
    <cellStyle name="Финансовый 37 3 2 4 2 2 2 2 4 2" xfId="36884" xr:uid="{E53D93CF-89AE-43B6-B3E4-B59F89FF30EE}"/>
    <cellStyle name="Финансовый 37 3 2 4 2 2 2 2 5" xfId="27574" xr:uid="{A4711EAA-2C6C-438A-A4EC-9D4013C5C35D}"/>
    <cellStyle name="Финансовый 37 3 2 4 2 2 2 3" xfId="13557" xr:uid="{00000000-0005-0000-0000-0000EF540000}"/>
    <cellStyle name="Финансовый 37 3 2 4 2 2 2 3 2" xfId="30646" xr:uid="{BD188706-265A-42F7-B9B3-758D9C62F222}"/>
    <cellStyle name="Финансовый 37 3 2 4 2 2 2 4" xfId="16789" xr:uid="{00000000-0005-0000-0000-0000F0540000}"/>
    <cellStyle name="Финансовый 37 3 2 4 2 2 2 4 2" xfId="33802" xr:uid="{44882113-D177-4287-BC07-383D42254FF8}"/>
    <cellStyle name="Финансовый 37 3 2 4 2 2 2 5" xfId="19870" xr:uid="{00000000-0005-0000-0000-0000F1540000}"/>
    <cellStyle name="Финансовый 37 3 2 4 2 2 2 5 2" xfId="36883" xr:uid="{37889B1C-F0BF-484D-9B5C-401CDC176A31}"/>
    <cellStyle name="Финансовый 37 3 2 4 2 2 2 6" xfId="27573" xr:uid="{708DC39C-687F-4A8C-88F6-055FBBB25FF3}"/>
    <cellStyle name="Финансовый 37 3 2 4 2 2 3" xfId="10474" xr:uid="{00000000-0005-0000-0000-0000F2540000}"/>
    <cellStyle name="Финансовый 37 3 2 4 2 2 3 2" xfId="13559" xr:uid="{00000000-0005-0000-0000-0000F3540000}"/>
    <cellStyle name="Финансовый 37 3 2 4 2 2 3 2 2" xfId="30648" xr:uid="{3F4296C9-15AE-4B62-86A1-923CC3E8BF4A}"/>
    <cellStyle name="Финансовый 37 3 2 4 2 2 3 3" xfId="16791" xr:uid="{00000000-0005-0000-0000-0000F4540000}"/>
    <cellStyle name="Финансовый 37 3 2 4 2 2 3 3 2" xfId="33804" xr:uid="{8C28BDC7-0289-421A-8933-A40EDA6748FC}"/>
    <cellStyle name="Финансовый 37 3 2 4 2 2 3 4" xfId="19872" xr:uid="{00000000-0005-0000-0000-0000F5540000}"/>
    <cellStyle name="Финансовый 37 3 2 4 2 2 3 4 2" xfId="36885" xr:uid="{F0AB8971-662F-4C03-A802-81890A6CE753}"/>
    <cellStyle name="Финансовый 37 3 2 4 2 2 3 5" xfId="27575" xr:uid="{8E93E148-6E10-4B61-ABB4-AAC79F45A671}"/>
    <cellStyle name="Финансовый 37 3 2 4 2 2 4" xfId="13556" xr:uid="{00000000-0005-0000-0000-0000F6540000}"/>
    <cellStyle name="Финансовый 37 3 2 4 2 2 4 2" xfId="30645" xr:uid="{C0F22A30-9F0A-435A-9DCA-1CB4E878076A}"/>
    <cellStyle name="Финансовый 37 3 2 4 2 2 5" xfId="16788" xr:uid="{00000000-0005-0000-0000-0000F7540000}"/>
    <cellStyle name="Финансовый 37 3 2 4 2 2 5 2" xfId="33801" xr:uid="{FF5D297F-A2C0-4D36-96C5-3F79A2DD9B47}"/>
    <cellStyle name="Финансовый 37 3 2 4 2 2 6" xfId="19869" xr:uid="{00000000-0005-0000-0000-0000F8540000}"/>
    <cellStyle name="Финансовый 37 3 2 4 2 2 6 2" xfId="36882" xr:uid="{AFA9F1AF-4C7E-4B6D-A93A-43B1DD399257}"/>
    <cellStyle name="Финансовый 37 3 2 4 2 2 7" xfId="27572" xr:uid="{048D53BF-9F7C-4EB3-9B55-EC6E47364BC8}"/>
    <cellStyle name="Финансовый 37 3 2 4 2 3" xfId="10475" xr:uid="{00000000-0005-0000-0000-0000F9540000}"/>
    <cellStyle name="Финансовый 37 3 2 4 2 3 2" xfId="10476" xr:uid="{00000000-0005-0000-0000-0000FA540000}"/>
    <cellStyle name="Финансовый 37 3 2 4 2 3 2 2" xfId="13561" xr:uid="{00000000-0005-0000-0000-0000FB540000}"/>
    <cellStyle name="Финансовый 37 3 2 4 2 3 2 2 2" xfId="30650" xr:uid="{D343DB96-5BCE-4122-A865-0CE3933D78D0}"/>
    <cellStyle name="Финансовый 37 3 2 4 2 3 2 3" xfId="16793" xr:uid="{00000000-0005-0000-0000-0000FC540000}"/>
    <cellStyle name="Финансовый 37 3 2 4 2 3 2 3 2" xfId="33806" xr:uid="{5BA188DD-971D-49A4-88B7-B8BDCB980128}"/>
    <cellStyle name="Финансовый 37 3 2 4 2 3 2 4" xfId="19874" xr:uid="{00000000-0005-0000-0000-0000FD540000}"/>
    <cellStyle name="Финансовый 37 3 2 4 2 3 2 4 2" xfId="36887" xr:uid="{D65711B9-E078-41CF-B352-D383A6866FD5}"/>
    <cellStyle name="Финансовый 37 3 2 4 2 3 2 5" xfId="27577" xr:uid="{5025E7DC-0FB2-4E5A-BCA5-BD94E96EEDA5}"/>
    <cellStyle name="Финансовый 37 3 2 4 2 3 3" xfId="13560" xr:uid="{00000000-0005-0000-0000-0000FE540000}"/>
    <cellStyle name="Финансовый 37 3 2 4 2 3 3 2" xfId="30649" xr:uid="{CDB9B97A-73BF-4A1C-B93D-BF6482CB79BC}"/>
    <cellStyle name="Финансовый 37 3 2 4 2 3 4" xfId="16792" xr:uid="{00000000-0005-0000-0000-0000FF540000}"/>
    <cellStyle name="Финансовый 37 3 2 4 2 3 4 2" xfId="33805" xr:uid="{66292868-D2EF-4BE1-A41A-A1459974D0C2}"/>
    <cellStyle name="Финансовый 37 3 2 4 2 3 5" xfId="19873" xr:uid="{00000000-0005-0000-0000-000000550000}"/>
    <cellStyle name="Финансовый 37 3 2 4 2 3 5 2" xfId="36886" xr:uid="{EE95C05A-10AE-40C7-84D9-59399E4A9C4C}"/>
    <cellStyle name="Финансовый 37 3 2 4 2 3 6" xfId="27576" xr:uid="{B814842A-A714-4A9B-99F8-7816F18189C8}"/>
    <cellStyle name="Финансовый 37 3 2 4 2 4" xfId="10477" xr:uid="{00000000-0005-0000-0000-000001550000}"/>
    <cellStyle name="Финансовый 37 3 2 4 2 4 2" xfId="13562" xr:uid="{00000000-0005-0000-0000-000002550000}"/>
    <cellStyle name="Финансовый 37 3 2 4 2 4 2 2" xfId="30651" xr:uid="{F23EB1DE-CE99-463F-98F8-E4EEABA675EE}"/>
    <cellStyle name="Финансовый 37 3 2 4 2 4 3" xfId="16794" xr:uid="{00000000-0005-0000-0000-000003550000}"/>
    <cellStyle name="Финансовый 37 3 2 4 2 4 3 2" xfId="33807" xr:uid="{BD06CC8B-4F51-4CA4-9BFF-87D61E5D183F}"/>
    <cellStyle name="Финансовый 37 3 2 4 2 4 4" xfId="19875" xr:uid="{00000000-0005-0000-0000-000004550000}"/>
    <cellStyle name="Финансовый 37 3 2 4 2 4 4 2" xfId="36888" xr:uid="{1C4394D8-2A10-49CC-9F0F-48BF4692200B}"/>
    <cellStyle name="Финансовый 37 3 2 4 2 4 5" xfId="27578" xr:uid="{7C15382A-BD2B-40FF-A33F-2C451AAA930F}"/>
    <cellStyle name="Финансовый 37 3 2 4 2 5" xfId="13555" xr:uid="{00000000-0005-0000-0000-000005550000}"/>
    <cellStyle name="Финансовый 37 3 2 4 2 5 2" xfId="30644" xr:uid="{F2125882-E74F-4256-A4FD-C6A387ABFA96}"/>
    <cellStyle name="Финансовый 37 3 2 4 2 6" xfId="16787" xr:uid="{00000000-0005-0000-0000-000006550000}"/>
    <cellStyle name="Финансовый 37 3 2 4 2 6 2" xfId="33800" xr:uid="{F4300A42-CBA8-4988-A4D4-0B07CF41085E}"/>
    <cellStyle name="Финансовый 37 3 2 4 2 7" xfId="19868" xr:uid="{00000000-0005-0000-0000-000007550000}"/>
    <cellStyle name="Финансовый 37 3 2 4 2 7 2" xfId="36881" xr:uid="{301C6908-C801-413C-ADD5-CB2C016A16AC}"/>
    <cellStyle name="Финансовый 37 3 2 4 2 8" xfId="27571" xr:uid="{55FE57DA-64B3-4B14-83E7-1554A24495AD}"/>
    <cellStyle name="Финансовый 37 3 2 4 3" xfId="10478" xr:uid="{00000000-0005-0000-0000-000008550000}"/>
    <cellStyle name="Финансовый 37 3 2 4 3 2" xfId="10479" xr:uid="{00000000-0005-0000-0000-000009550000}"/>
    <cellStyle name="Финансовый 37 3 2 4 3 2 2" xfId="10480" xr:uid="{00000000-0005-0000-0000-00000A550000}"/>
    <cellStyle name="Финансовый 37 3 2 4 3 2 2 2" xfId="13565" xr:uid="{00000000-0005-0000-0000-00000B550000}"/>
    <cellStyle name="Финансовый 37 3 2 4 3 2 2 2 2" xfId="30654" xr:uid="{2A91C159-D77E-47DF-A599-4BD7D3452B39}"/>
    <cellStyle name="Финансовый 37 3 2 4 3 2 2 3" xfId="16797" xr:uid="{00000000-0005-0000-0000-00000C550000}"/>
    <cellStyle name="Финансовый 37 3 2 4 3 2 2 3 2" xfId="33810" xr:uid="{B9809A32-D4FC-4054-81B3-78B9384F68F3}"/>
    <cellStyle name="Финансовый 37 3 2 4 3 2 2 4" xfId="19878" xr:uid="{00000000-0005-0000-0000-00000D550000}"/>
    <cellStyle name="Финансовый 37 3 2 4 3 2 2 4 2" xfId="36891" xr:uid="{DA8C5B0C-A2AF-4B02-A523-6B62AA7C8111}"/>
    <cellStyle name="Финансовый 37 3 2 4 3 2 2 5" xfId="27581" xr:uid="{BC00245D-94B6-45CD-983B-E66B61FEE7EC}"/>
    <cellStyle name="Финансовый 37 3 2 4 3 2 3" xfId="13564" xr:uid="{00000000-0005-0000-0000-00000E550000}"/>
    <cellStyle name="Финансовый 37 3 2 4 3 2 3 2" xfId="30653" xr:uid="{22100128-E10B-4C1F-8E08-6CD3E7F77822}"/>
    <cellStyle name="Финансовый 37 3 2 4 3 2 4" xfId="16796" xr:uid="{00000000-0005-0000-0000-00000F550000}"/>
    <cellStyle name="Финансовый 37 3 2 4 3 2 4 2" xfId="33809" xr:uid="{6BEDE634-9737-4565-965B-EDC8B61676EC}"/>
    <cellStyle name="Финансовый 37 3 2 4 3 2 5" xfId="19877" xr:uid="{00000000-0005-0000-0000-000010550000}"/>
    <cellStyle name="Финансовый 37 3 2 4 3 2 5 2" xfId="36890" xr:uid="{5C24ECFB-2079-48D1-98BD-E7EE2EDD169B}"/>
    <cellStyle name="Финансовый 37 3 2 4 3 2 6" xfId="27580" xr:uid="{4E68C780-9255-4EE0-A6D0-6289E558AA5F}"/>
    <cellStyle name="Финансовый 37 3 2 4 3 3" xfId="10481" xr:uid="{00000000-0005-0000-0000-000011550000}"/>
    <cellStyle name="Финансовый 37 3 2 4 3 3 2" xfId="13566" xr:uid="{00000000-0005-0000-0000-000012550000}"/>
    <cellStyle name="Финансовый 37 3 2 4 3 3 2 2" xfId="30655" xr:uid="{35B7E340-51D5-4E87-9AA6-78AE2F4A19D2}"/>
    <cellStyle name="Финансовый 37 3 2 4 3 3 3" xfId="16798" xr:uid="{00000000-0005-0000-0000-000013550000}"/>
    <cellStyle name="Финансовый 37 3 2 4 3 3 3 2" xfId="33811" xr:uid="{9A830A49-B562-4392-A03E-49123AB83D4E}"/>
    <cellStyle name="Финансовый 37 3 2 4 3 3 4" xfId="19879" xr:uid="{00000000-0005-0000-0000-000014550000}"/>
    <cellStyle name="Финансовый 37 3 2 4 3 3 4 2" xfId="36892" xr:uid="{C6517D35-EE37-4A9F-A90E-F4C9713747D7}"/>
    <cellStyle name="Финансовый 37 3 2 4 3 3 5" xfId="27582" xr:uid="{66983FB6-EA9F-437E-9F94-1C446B64E515}"/>
    <cellStyle name="Финансовый 37 3 2 4 3 4" xfId="13563" xr:uid="{00000000-0005-0000-0000-000015550000}"/>
    <cellStyle name="Финансовый 37 3 2 4 3 4 2" xfId="30652" xr:uid="{C5FA62A4-41D4-422E-A355-696C8D88F47F}"/>
    <cellStyle name="Финансовый 37 3 2 4 3 5" xfId="16795" xr:uid="{00000000-0005-0000-0000-000016550000}"/>
    <cellStyle name="Финансовый 37 3 2 4 3 5 2" xfId="33808" xr:uid="{A47DF6CA-0ECB-45C6-A589-5E072E5AF1DB}"/>
    <cellStyle name="Финансовый 37 3 2 4 3 6" xfId="19876" xr:uid="{00000000-0005-0000-0000-000017550000}"/>
    <cellStyle name="Финансовый 37 3 2 4 3 6 2" xfId="36889" xr:uid="{61EE9B6D-2FB4-45FF-88AB-18349798C93C}"/>
    <cellStyle name="Финансовый 37 3 2 4 3 7" xfId="27579" xr:uid="{52D18229-EE07-4EAB-B7FE-7FC498249735}"/>
    <cellStyle name="Финансовый 37 3 2 4 4" xfId="10482" xr:uid="{00000000-0005-0000-0000-000018550000}"/>
    <cellStyle name="Финансовый 37 3 2 4 4 2" xfId="10483" xr:uid="{00000000-0005-0000-0000-000019550000}"/>
    <cellStyle name="Финансовый 37 3 2 4 4 2 2" xfId="13568" xr:uid="{00000000-0005-0000-0000-00001A550000}"/>
    <cellStyle name="Финансовый 37 3 2 4 4 2 2 2" xfId="30657" xr:uid="{1C6A3D9D-41A4-4030-8A5F-0E01EF2B73CF}"/>
    <cellStyle name="Финансовый 37 3 2 4 4 2 3" xfId="16800" xr:uid="{00000000-0005-0000-0000-00001B550000}"/>
    <cellStyle name="Финансовый 37 3 2 4 4 2 3 2" xfId="33813" xr:uid="{3E86BE19-1A1E-4A46-B2DC-8EE7C7E36447}"/>
    <cellStyle name="Финансовый 37 3 2 4 4 2 4" xfId="19881" xr:uid="{00000000-0005-0000-0000-00001C550000}"/>
    <cellStyle name="Финансовый 37 3 2 4 4 2 4 2" xfId="36894" xr:uid="{599171EA-04F4-4933-9C4F-4EF85D8542A0}"/>
    <cellStyle name="Финансовый 37 3 2 4 4 2 5" xfId="27584" xr:uid="{3FE41FFC-B2E5-47B7-BD98-9BFD52C325CC}"/>
    <cellStyle name="Финансовый 37 3 2 4 4 3" xfId="13567" xr:uid="{00000000-0005-0000-0000-00001D550000}"/>
    <cellStyle name="Финансовый 37 3 2 4 4 3 2" xfId="30656" xr:uid="{CD185E33-95C4-4424-B8A2-148E467CDAA0}"/>
    <cellStyle name="Финансовый 37 3 2 4 4 4" xfId="16799" xr:uid="{00000000-0005-0000-0000-00001E550000}"/>
    <cellStyle name="Финансовый 37 3 2 4 4 4 2" xfId="33812" xr:uid="{0ED3C402-BBBE-4A47-BFD3-74C279551309}"/>
    <cellStyle name="Финансовый 37 3 2 4 4 5" xfId="19880" xr:uid="{00000000-0005-0000-0000-00001F550000}"/>
    <cellStyle name="Финансовый 37 3 2 4 4 5 2" xfId="36893" xr:uid="{ABAFFB53-23B7-4C1D-82E2-EC3EB2F1F0C9}"/>
    <cellStyle name="Финансовый 37 3 2 4 4 6" xfId="27583" xr:uid="{19D163A3-3337-4AB2-A3B6-D97E065C5FF9}"/>
    <cellStyle name="Финансовый 37 3 2 4 5" xfId="10484" xr:uid="{00000000-0005-0000-0000-000020550000}"/>
    <cellStyle name="Финансовый 37 3 2 4 5 2" xfId="13569" xr:uid="{00000000-0005-0000-0000-000021550000}"/>
    <cellStyle name="Финансовый 37 3 2 4 5 2 2" xfId="30658" xr:uid="{BC2A2F07-3903-4B80-9762-06E672B932A2}"/>
    <cellStyle name="Финансовый 37 3 2 4 5 3" xfId="16801" xr:uid="{00000000-0005-0000-0000-000022550000}"/>
    <cellStyle name="Финансовый 37 3 2 4 5 3 2" xfId="33814" xr:uid="{2860D969-0D80-410C-9D5D-D5CF3EA80394}"/>
    <cellStyle name="Финансовый 37 3 2 4 5 4" xfId="19882" xr:uid="{00000000-0005-0000-0000-000023550000}"/>
    <cellStyle name="Финансовый 37 3 2 4 5 4 2" xfId="36895" xr:uid="{F0832C5F-7FB9-40E5-BEFE-0FA00461275D}"/>
    <cellStyle name="Финансовый 37 3 2 4 5 5" xfId="27585" xr:uid="{CB464A66-3727-47CE-A9F0-526B88A87A80}"/>
    <cellStyle name="Финансовый 37 3 2 4 6" xfId="13554" xr:uid="{00000000-0005-0000-0000-000024550000}"/>
    <cellStyle name="Финансовый 37 3 2 4 6 2" xfId="30643" xr:uid="{9A2AE2E9-8C6B-4F7F-8D96-E8AC031D96B6}"/>
    <cellStyle name="Финансовый 37 3 2 4 7" xfId="16786" xr:uid="{00000000-0005-0000-0000-000025550000}"/>
    <cellStyle name="Финансовый 37 3 2 4 7 2" xfId="33799" xr:uid="{72940974-9C28-4433-A611-FC578B8810AD}"/>
    <cellStyle name="Финансовый 37 3 2 4 8" xfId="19867" xr:uid="{00000000-0005-0000-0000-000026550000}"/>
    <cellStyle name="Финансовый 37 3 2 4 8 2" xfId="36880" xr:uid="{26A2087E-E0F7-4E18-94C2-50F3B7258408}"/>
    <cellStyle name="Финансовый 37 3 2 4 9" xfId="27570" xr:uid="{DB8C2C4D-A900-4C76-BB7A-4DA2FEE13040}"/>
    <cellStyle name="Финансовый 37 3 2 5" xfId="10485" xr:uid="{00000000-0005-0000-0000-000027550000}"/>
    <cellStyle name="Финансовый 37 3 2 5 2" xfId="10486" xr:uid="{00000000-0005-0000-0000-000028550000}"/>
    <cellStyle name="Финансовый 37 3 2 5 2 2" xfId="10487" xr:uid="{00000000-0005-0000-0000-000029550000}"/>
    <cellStyle name="Финансовый 37 3 2 5 2 2 2" xfId="10488" xr:uid="{00000000-0005-0000-0000-00002A550000}"/>
    <cellStyle name="Финансовый 37 3 2 5 2 2 2 2" xfId="13573" xr:uid="{00000000-0005-0000-0000-00002B550000}"/>
    <cellStyle name="Финансовый 37 3 2 5 2 2 2 2 2" xfId="30662" xr:uid="{108100B2-0990-41F6-B936-16DA3624CC5A}"/>
    <cellStyle name="Финансовый 37 3 2 5 2 2 2 3" xfId="16805" xr:uid="{00000000-0005-0000-0000-00002C550000}"/>
    <cellStyle name="Финансовый 37 3 2 5 2 2 2 3 2" xfId="33818" xr:uid="{D44BCD67-8524-4E63-9301-2E3787DB188A}"/>
    <cellStyle name="Финансовый 37 3 2 5 2 2 2 4" xfId="19886" xr:uid="{00000000-0005-0000-0000-00002D550000}"/>
    <cellStyle name="Финансовый 37 3 2 5 2 2 2 4 2" xfId="36899" xr:uid="{B4412F25-2FD3-4EE1-AF5E-B8F6097A689F}"/>
    <cellStyle name="Финансовый 37 3 2 5 2 2 2 5" xfId="27589" xr:uid="{B0B4217F-DE53-42AC-80D0-D9365735DD0D}"/>
    <cellStyle name="Финансовый 37 3 2 5 2 2 3" xfId="13572" xr:uid="{00000000-0005-0000-0000-00002E550000}"/>
    <cellStyle name="Финансовый 37 3 2 5 2 2 3 2" xfId="30661" xr:uid="{9EDD6A52-9C83-4AE9-BA1D-A0376B526431}"/>
    <cellStyle name="Финансовый 37 3 2 5 2 2 4" xfId="16804" xr:uid="{00000000-0005-0000-0000-00002F550000}"/>
    <cellStyle name="Финансовый 37 3 2 5 2 2 4 2" xfId="33817" xr:uid="{383E672B-B19B-4A58-874B-A88101E7C54B}"/>
    <cellStyle name="Финансовый 37 3 2 5 2 2 5" xfId="19885" xr:uid="{00000000-0005-0000-0000-000030550000}"/>
    <cellStyle name="Финансовый 37 3 2 5 2 2 5 2" xfId="36898" xr:uid="{5B88903D-9DB5-46BF-B356-4CC4996A222D}"/>
    <cellStyle name="Финансовый 37 3 2 5 2 2 6" xfId="27588" xr:uid="{3343CA10-129E-432D-9F7B-340AB7654B44}"/>
    <cellStyle name="Финансовый 37 3 2 5 2 3" xfId="10489" xr:uid="{00000000-0005-0000-0000-000031550000}"/>
    <cellStyle name="Финансовый 37 3 2 5 2 3 2" xfId="13574" xr:uid="{00000000-0005-0000-0000-000032550000}"/>
    <cellStyle name="Финансовый 37 3 2 5 2 3 2 2" xfId="30663" xr:uid="{FB1C0D4E-75D5-49CF-928C-69E4BC95EDF0}"/>
    <cellStyle name="Финансовый 37 3 2 5 2 3 3" xfId="16806" xr:uid="{00000000-0005-0000-0000-000033550000}"/>
    <cellStyle name="Финансовый 37 3 2 5 2 3 3 2" xfId="33819" xr:uid="{3833715C-1576-4B84-9B0B-6F9843015C67}"/>
    <cellStyle name="Финансовый 37 3 2 5 2 3 4" xfId="19887" xr:uid="{00000000-0005-0000-0000-000034550000}"/>
    <cellStyle name="Финансовый 37 3 2 5 2 3 4 2" xfId="36900" xr:uid="{F3638CFF-7DDD-4B41-B2D2-24C2ABD65A30}"/>
    <cellStyle name="Финансовый 37 3 2 5 2 3 5" xfId="27590" xr:uid="{9569B924-3BC2-42C5-96F4-26BDF26B40B2}"/>
    <cellStyle name="Финансовый 37 3 2 5 2 4" xfId="13571" xr:uid="{00000000-0005-0000-0000-000035550000}"/>
    <cellStyle name="Финансовый 37 3 2 5 2 4 2" xfId="30660" xr:uid="{B7ED3AA0-2A0A-44C8-A79A-715EF99382DA}"/>
    <cellStyle name="Финансовый 37 3 2 5 2 5" xfId="16803" xr:uid="{00000000-0005-0000-0000-000036550000}"/>
    <cellStyle name="Финансовый 37 3 2 5 2 5 2" xfId="33816" xr:uid="{A3A984E0-DB82-445A-A1C2-ABC218E42C76}"/>
    <cellStyle name="Финансовый 37 3 2 5 2 6" xfId="19884" xr:uid="{00000000-0005-0000-0000-000037550000}"/>
    <cellStyle name="Финансовый 37 3 2 5 2 6 2" xfId="36897" xr:uid="{DC4ECD55-769B-45E9-A686-18B3CAAD61C5}"/>
    <cellStyle name="Финансовый 37 3 2 5 2 7" xfId="27587" xr:uid="{1A27F8FC-E420-403D-BAA2-31261072ACF2}"/>
    <cellStyle name="Финансовый 37 3 2 5 3" xfId="10490" xr:uid="{00000000-0005-0000-0000-000038550000}"/>
    <cellStyle name="Финансовый 37 3 2 5 3 2" xfId="10491" xr:uid="{00000000-0005-0000-0000-000039550000}"/>
    <cellStyle name="Финансовый 37 3 2 5 3 2 2" xfId="13576" xr:uid="{00000000-0005-0000-0000-00003A550000}"/>
    <cellStyle name="Финансовый 37 3 2 5 3 2 2 2" xfId="30665" xr:uid="{E80E0511-EFE9-48C1-948D-F4EDD5ADEEDF}"/>
    <cellStyle name="Финансовый 37 3 2 5 3 2 3" xfId="16808" xr:uid="{00000000-0005-0000-0000-00003B550000}"/>
    <cellStyle name="Финансовый 37 3 2 5 3 2 3 2" xfId="33821" xr:uid="{41828EC2-EC04-4D7A-9F10-CE48B921F800}"/>
    <cellStyle name="Финансовый 37 3 2 5 3 2 4" xfId="19889" xr:uid="{00000000-0005-0000-0000-00003C550000}"/>
    <cellStyle name="Финансовый 37 3 2 5 3 2 4 2" xfId="36902" xr:uid="{E0CE5640-D36D-451B-97C6-EA5DB4B96E9D}"/>
    <cellStyle name="Финансовый 37 3 2 5 3 2 5" xfId="27592" xr:uid="{D235F53F-10F3-4C4B-9762-56488BD5033B}"/>
    <cellStyle name="Финансовый 37 3 2 5 3 3" xfId="13575" xr:uid="{00000000-0005-0000-0000-00003D550000}"/>
    <cellStyle name="Финансовый 37 3 2 5 3 3 2" xfId="30664" xr:uid="{9D8AD294-6474-44C5-AE28-FC2C66ECC688}"/>
    <cellStyle name="Финансовый 37 3 2 5 3 4" xfId="16807" xr:uid="{00000000-0005-0000-0000-00003E550000}"/>
    <cellStyle name="Финансовый 37 3 2 5 3 4 2" xfId="33820" xr:uid="{BE7B6760-DCE5-4BF5-9813-1A800565E0C1}"/>
    <cellStyle name="Финансовый 37 3 2 5 3 5" xfId="19888" xr:uid="{00000000-0005-0000-0000-00003F550000}"/>
    <cellStyle name="Финансовый 37 3 2 5 3 5 2" xfId="36901" xr:uid="{61CF89A8-9DFF-46F9-BCB5-DEFCF5F598D8}"/>
    <cellStyle name="Финансовый 37 3 2 5 3 6" xfId="27591" xr:uid="{D2BD9EAA-05B6-4DCC-B755-06BF95A1B227}"/>
    <cellStyle name="Финансовый 37 3 2 5 4" xfId="10492" xr:uid="{00000000-0005-0000-0000-000040550000}"/>
    <cellStyle name="Финансовый 37 3 2 5 4 2" xfId="13577" xr:uid="{00000000-0005-0000-0000-000041550000}"/>
    <cellStyle name="Финансовый 37 3 2 5 4 2 2" xfId="30666" xr:uid="{B414666B-1152-4392-9136-6377BA37688E}"/>
    <cellStyle name="Финансовый 37 3 2 5 4 3" xfId="16809" xr:uid="{00000000-0005-0000-0000-000042550000}"/>
    <cellStyle name="Финансовый 37 3 2 5 4 3 2" xfId="33822" xr:uid="{B874117A-A523-454A-B033-03117D0B6A75}"/>
    <cellStyle name="Финансовый 37 3 2 5 4 4" xfId="19890" xr:uid="{00000000-0005-0000-0000-000043550000}"/>
    <cellStyle name="Финансовый 37 3 2 5 4 4 2" xfId="36903" xr:uid="{415AE50E-6CCC-4F28-BBDA-4306B00A4D32}"/>
    <cellStyle name="Финансовый 37 3 2 5 4 5" xfId="27593" xr:uid="{A18B2D14-FC10-4A66-AC80-51744CEFDE80}"/>
    <cellStyle name="Финансовый 37 3 2 5 5" xfId="13570" xr:uid="{00000000-0005-0000-0000-000044550000}"/>
    <cellStyle name="Финансовый 37 3 2 5 5 2" xfId="30659" xr:uid="{70226F23-0FA1-4BAD-B8E3-E586F494CDCC}"/>
    <cellStyle name="Финансовый 37 3 2 5 6" xfId="16802" xr:uid="{00000000-0005-0000-0000-000045550000}"/>
    <cellStyle name="Финансовый 37 3 2 5 6 2" xfId="33815" xr:uid="{202F3BE4-4251-4219-91DE-87456626A18B}"/>
    <cellStyle name="Финансовый 37 3 2 5 7" xfId="19883" xr:uid="{00000000-0005-0000-0000-000046550000}"/>
    <cellStyle name="Финансовый 37 3 2 5 7 2" xfId="36896" xr:uid="{A5C41555-5F60-435C-A8EC-4C016535BCD3}"/>
    <cellStyle name="Финансовый 37 3 2 5 8" xfId="27586" xr:uid="{740C4413-866A-43E3-9A99-84317C882749}"/>
    <cellStyle name="Финансовый 37 3 2 6" xfId="10493" xr:uid="{00000000-0005-0000-0000-000047550000}"/>
    <cellStyle name="Финансовый 37 3 2 6 2" xfId="10494" xr:uid="{00000000-0005-0000-0000-000048550000}"/>
    <cellStyle name="Финансовый 37 3 2 6 2 2" xfId="10495" xr:uid="{00000000-0005-0000-0000-000049550000}"/>
    <cellStyle name="Финансовый 37 3 2 6 2 2 2" xfId="13580" xr:uid="{00000000-0005-0000-0000-00004A550000}"/>
    <cellStyle name="Финансовый 37 3 2 6 2 2 2 2" xfId="30669" xr:uid="{38C9D10D-13D5-4A08-8E9E-32A3032051AC}"/>
    <cellStyle name="Финансовый 37 3 2 6 2 2 3" xfId="16812" xr:uid="{00000000-0005-0000-0000-00004B550000}"/>
    <cellStyle name="Финансовый 37 3 2 6 2 2 3 2" xfId="33825" xr:uid="{28DA0F24-8371-4EEE-B393-CB198FE1A48E}"/>
    <cellStyle name="Финансовый 37 3 2 6 2 2 4" xfId="19893" xr:uid="{00000000-0005-0000-0000-00004C550000}"/>
    <cellStyle name="Финансовый 37 3 2 6 2 2 4 2" xfId="36906" xr:uid="{447BDE9C-775E-4C09-B7DC-A075C75B95FA}"/>
    <cellStyle name="Финансовый 37 3 2 6 2 2 5" xfId="27596" xr:uid="{72518B29-5C6A-4E6B-95A8-B7E1DEEB65A1}"/>
    <cellStyle name="Финансовый 37 3 2 6 2 3" xfId="13579" xr:uid="{00000000-0005-0000-0000-00004D550000}"/>
    <cellStyle name="Финансовый 37 3 2 6 2 3 2" xfId="30668" xr:uid="{922193BD-8BBB-40DF-A917-16D3A816596A}"/>
    <cellStyle name="Финансовый 37 3 2 6 2 4" xfId="16811" xr:uid="{00000000-0005-0000-0000-00004E550000}"/>
    <cellStyle name="Финансовый 37 3 2 6 2 4 2" xfId="33824" xr:uid="{CD09231B-1C75-4D6C-8800-5689E57E8D52}"/>
    <cellStyle name="Финансовый 37 3 2 6 2 5" xfId="19892" xr:uid="{00000000-0005-0000-0000-00004F550000}"/>
    <cellStyle name="Финансовый 37 3 2 6 2 5 2" xfId="36905" xr:uid="{7878D3B3-E527-49A5-B701-73C80BCE0698}"/>
    <cellStyle name="Финансовый 37 3 2 6 2 6" xfId="27595" xr:uid="{7FC836D6-35A2-4121-9486-8331BF451C41}"/>
    <cellStyle name="Финансовый 37 3 2 6 3" xfId="10496" xr:uid="{00000000-0005-0000-0000-000050550000}"/>
    <cellStyle name="Финансовый 37 3 2 6 3 2" xfId="13581" xr:uid="{00000000-0005-0000-0000-000051550000}"/>
    <cellStyle name="Финансовый 37 3 2 6 3 2 2" xfId="30670" xr:uid="{FE7F3DA6-93F5-47AD-B00C-83A22777B10B}"/>
    <cellStyle name="Финансовый 37 3 2 6 3 3" xfId="16813" xr:uid="{00000000-0005-0000-0000-000052550000}"/>
    <cellStyle name="Финансовый 37 3 2 6 3 3 2" xfId="33826" xr:uid="{460B1848-C8C8-4DBA-AC7C-9A8CC7DB48FA}"/>
    <cellStyle name="Финансовый 37 3 2 6 3 4" xfId="19894" xr:uid="{00000000-0005-0000-0000-000053550000}"/>
    <cellStyle name="Финансовый 37 3 2 6 3 4 2" xfId="36907" xr:uid="{013780A8-E332-44B9-B986-29D264E8847A}"/>
    <cellStyle name="Финансовый 37 3 2 6 3 5" xfId="27597" xr:uid="{66781B59-425E-4747-9737-31C4EF51BA84}"/>
    <cellStyle name="Финансовый 37 3 2 6 4" xfId="13578" xr:uid="{00000000-0005-0000-0000-000054550000}"/>
    <cellStyle name="Финансовый 37 3 2 6 4 2" xfId="30667" xr:uid="{5E332FBE-45DA-4AC1-9EB9-BC68403AADCD}"/>
    <cellStyle name="Финансовый 37 3 2 6 5" xfId="16810" xr:uid="{00000000-0005-0000-0000-000055550000}"/>
    <cellStyle name="Финансовый 37 3 2 6 5 2" xfId="33823" xr:uid="{584EA8BF-B27E-4045-9FD9-717C76564C22}"/>
    <cellStyle name="Финансовый 37 3 2 6 6" xfId="19891" xr:uid="{00000000-0005-0000-0000-000056550000}"/>
    <cellStyle name="Финансовый 37 3 2 6 6 2" xfId="36904" xr:uid="{2767488F-1BAE-4A46-9999-A2E80A468541}"/>
    <cellStyle name="Финансовый 37 3 2 6 7" xfId="27594" xr:uid="{96CA9E8C-7F1F-44F4-933C-C5A1C0FD4EDD}"/>
    <cellStyle name="Финансовый 37 3 2 7" xfId="10497" xr:uid="{00000000-0005-0000-0000-000057550000}"/>
    <cellStyle name="Финансовый 37 3 2 7 2" xfId="10498" xr:uid="{00000000-0005-0000-0000-000058550000}"/>
    <cellStyle name="Финансовый 37 3 2 7 2 2" xfId="13583" xr:uid="{00000000-0005-0000-0000-000059550000}"/>
    <cellStyle name="Финансовый 37 3 2 7 2 2 2" xfId="30672" xr:uid="{B3AE8320-14E9-46A0-8809-D64DF159B57F}"/>
    <cellStyle name="Финансовый 37 3 2 7 2 3" xfId="16815" xr:uid="{00000000-0005-0000-0000-00005A550000}"/>
    <cellStyle name="Финансовый 37 3 2 7 2 3 2" xfId="33828" xr:uid="{AE9FA124-38C9-4093-9E4B-BDADF62BBA89}"/>
    <cellStyle name="Финансовый 37 3 2 7 2 4" xfId="19896" xr:uid="{00000000-0005-0000-0000-00005B550000}"/>
    <cellStyle name="Финансовый 37 3 2 7 2 4 2" xfId="36909" xr:uid="{DB359E41-4AE5-4228-B3A6-E4BB570BC802}"/>
    <cellStyle name="Финансовый 37 3 2 7 2 5" xfId="27599" xr:uid="{95F28342-3774-44FD-9820-C4A48A0C4902}"/>
    <cellStyle name="Финансовый 37 3 2 7 3" xfId="13582" xr:uid="{00000000-0005-0000-0000-00005C550000}"/>
    <cellStyle name="Финансовый 37 3 2 7 3 2" xfId="30671" xr:uid="{352FB84C-F42F-43A5-9ABE-58577FB2FC7F}"/>
    <cellStyle name="Финансовый 37 3 2 7 4" xfId="16814" xr:uid="{00000000-0005-0000-0000-00005D550000}"/>
    <cellStyle name="Финансовый 37 3 2 7 4 2" xfId="33827" xr:uid="{1CFF9616-2DE3-4B47-8618-22C8D4B3D727}"/>
    <cellStyle name="Финансовый 37 3 2 7 5" xfId="19895" xr:uid="{00000000-0005-0000-0000-00005E550000}"/>
    <cellStyle name="Финансовый 37 3 2 7 5 2" xfId="36908" xr:uid="{D8637F6D-CB85-4A7C-B021-B3ACC7871AAC}"/>
    <cellStyle name="Финансовый 37 3 2 7 6" xfId="27598" xr:uid="{F58067FF-1E42-4FD2-A33A-6908003CC091}"/>
    <cellStyle name="Финансовый 37 3 2 8" xfId="10499" xr:uid="{00000000-0005-0000-0000-00005F550000}"/>
    <cellStyle name="Финансовый 37 3 2 8 2" xfId="13584" xr:uid="{00000000-0005-0000-0000-000060550000}"/>
    <cellStyle name="Финансовый 37 3 2 8 2 2" xfId="30673" xr:uid="{5F656818-0A0E-4F2A-9992-CC3C88AA67AB}"/>
    <cellStyle name="Финансовый 37 3 2 8 3" xfId="16816" xr:uid="{00000000-0005-0000-0000-000061550000}"/>
    <cellStyle name="Финансовый 37 3 2 8 3 2" xfId="33829" xr:uid="{180FBA0A-A859-4E21-AF7D-CD0BD9B700C5}"/>
    <cellStyle name="Финансовый 37 3 2 8 4" xfId="19897" xr:uid="{00000000-0005-0000-0000-000062550000}"/>
    <cellStyle name="Финансовый 37 3 2 8 4 2" xfId="36910" xr:uid="{B48C82C0-2072-4C06-B31E-196AA4AC2467}"/>
    <cellStyle name="Финансовый 37 3 2 8 5" xfId="27600" xr:uid="{DA07EC1F-C743-4A75-AC68-406A9DB5A61A}"/>
    <cellStyle name="Финансовый 37 3 2 9" xfId="13457" xr:uid="{00000000-0005-0000-0000-000063550000}"/>
    <cellStyle name="Финансовый 37 3 2 9 2" xfId="30546" xr:uid="{B3335F38-6B38-4147-8A90-56DDBF5DB17A}"/>
    <cellStyle name="Финансовый 37 3 3" xfId="10500" xr:uid="{00000000-0005-0000-0000-000064550000}"/>
    <cellStyle name="Финансовый 37 3 3 10" xfId="19898" xr:uid="{00000000-0005-0000-0000-000065550000}"/>
    <cellStyle name="Финансовый 37 3 3 10 2" xfId="36911" xr:uid="{44DB08D3-A311-45FE-9731-44CFB2675448}"/>
    <cellStyle name="Финансовый 37 3 3 11" xfId="27601" xr:uid="{E0C1C3DE-93D4-4226-B2FC-11D1DFE75AA8}"/>
    <cellStyle name="Финансовый 37 3 3 2" xfId="10501" xr:uid="{00000000-0005-0000-0000-000066550000}"/>
    <cellStyle name="Финансовый 37 3 3 2 10" xfId="27602" xr:uid="{8DB34E83-88C9-4B3D-9BD4-4AB28AF4DE09}"/>
    <cellStyle name="Финансовый 37 3 3 2 2" xfId="10502" xr:uid="{00000000-0005-0000-0000-000067550000}"/>
    <cellStyle name="Финансовый 37 3 3 2 2 2" xfId="10503" xr:uid="{00000000-0005-0000-0000-000068550000}"/>
    <cellStyle name="Финансовый 37 3 3 2 2 2 2" xfId="10504" xr:uid="{00000000-0005-0000-0000-000069550000}"/>
    <cellStyle name="Финансовый 37 3 3 2 2 2 2 2" xfId="10505" xr:uid="{00000000-0005-0000-0000-00006A550000}"/>
    <cellStyle name="Финансовый 37 3 3 2 2 2 2 2 2" xfId="10506" xr:uid="{00000000-0005-0000-0000-00006B550000}"/>
    <cellStyle name="Финансовый 37 3 3 2 2 2 2 2 2 2" xfId="13591" xr:uid="{00000000-0005-0000-0000-00006C550000}"/>
    <cellStyle name="Финансовый 37 3 3 2 2 2 2 2 2 2 2" xfId="30680" xr:uid="{E06F16E3-7C86-46A4-AD62-5E1D1DB73990}"/>
    <cellStyle name="Финансовый 37 3 3 2 2 2 2 2 2 3" xfId="16823" xr:uid="{00000000-0005-0000-0000-00006D550000}"/>
    <cellStyle name="Финансовый 37 3 3 2 2 2 2 2 2 3 2" xfId="33836" xr:uid="{2DF60889-E30E-4ACD-8261-1178484735AC}"/>
    <cellStyle name="Финансовый 37 3 3 2 2 2 2 2 2 4" xfId="19904" xr:uid="{00000000-0005-0000-0000-00006E550000}"/>
    <cellStyle name="Финансовый 37 3 3 2 2 2 2 2 2 4 2" xfId="36917" xr:uid="{7EA63C4B-9F2E-45BD-8B46-A127A086E042}"/>
    <cellStyle name="Финансовый 37 3 3 2 2 2 2 2 2 5" xfId="27607" xr:uid="{A4B6C720-B13C-4B00-906B-2F9B3703437F}"/>
    <cellStyle name="Финансовый 37 3 3 2 2 2 2 2 3" xfId="13590" xr:uid="{00000000-0005-0000-0000-00006F550000}"/>
    <cellStyle name="Финансовый 37 3 3 2 2 2 2 2 3 2" xfId="30679" xr:uid="{C71B40D6-7717-4B86-9147-6F2403D7FDCE}"/>
    <cellStyle name="Финансовый 37 3 3 2 2 2 2 2 4" xfId="16822" xr:uid="{00000000-0005-0000-0000-000070550000}"/>
    <cellStyle name="Финансовый 37 3 3 2 2 2 2 2 4 2" xfId="33835" xr:uid="{E0108EF1-21FA-4C98-8C7C-231504E2A618}"/>
    <cellStyle name="Финансовый 37 3 3 2 2 2 2 2 5" xfId="19903" xr:uid="{00000000-0005-0000-0000-000071550000}"/>
    <cellStyle name="Финансовый 37 3 3 2 2 2 2 2 5 2" xfId="36916" xr:uid="{01501BD6-6A16-4653-BF03-6736C385AB56}"/>
    <cellStyle name="Финансовый 37 3 3 2 2 2 2 2 6" xfId="27606" xr:uid="{81A698CA-E2D3-41BD-8330-EB69265FA062}"/>
    <cellStyle name="Финансовый 37 3 3 2 2 2 2 3" xfId="10507" xr:uid="{00000000-0005-0000-0000-000072550000}"/>
    <cellStyle name="Финансовый 37 3 3 2 2 2 2 3 2" xfId="13592" xr:uid="{00000000-0005-0000-0000-000073550000}"/>
    <cellStyle name="Финансовый 37 3 3 2 2 2 2 3 2 2" xfId="30681" xr:uid="{F61FAA67-007F-4DB0-A609-A5893122E0BF}"/>
    <cellStyle name="Финансовый 37 3 3 2 2 2 2 3 3" xfId="16824" xr:uid="{00000000-0005-0000-0000-000074550000}"/>
    <cellStyle name="Финансовый 37 3 3 2 2 2 2 3 3 2" xfId="33837" xr:uid="{27347870-1749-4599-B045-F1885E2EBDBB}"/>
    <cellStyle name="Финансовый 37 3 3 2 2 2 2 3 4" xfId="19905" xr:uid="{00000000-0005-0000-0000-000075550000}"/>
    <cellStyle name="Финансовый 37 3 3 2 2 2 2 3 4 2" xfId="36918" xr:uid="{046F5A54-2B09-4C36-A30A-3CA677D4F5CC}"/>
    <cellStyle name="Финансовый 37 3 3 2 2 2 2 3 5" xfId="27608" xr:uid="{6ACDAD63-5B69-4A74-9272-52C3EEC0471C}"/>
    <cellStyle name="Финансовый 37 3 3 2 2 2 2 4" xfId="13589" xr:uid="{00000000-0005-0000-0000-000076550000}"/>
    <cellStyle name="Финансовый 37 3 3 2 2 2 2 4 2" xfId="30678" xr:uid="{07FA1D58-2058-446A-83DA-8F602BD58066}"/>
    <cellStyle name="Финансовый 37 3 3 2 2 2 2 5" xfId="16821" xr:uid="{00000000-0005-0000-0000-000077550000}"/>
    <cellStyle name="Финансовый 37 3 3 2 2 2 2 5 2" xfId="33834" xr:uid="{1EA890EE-C33D-4446-A5ED-A4C829479AC4}"/>
    <cellStyle name="Финансовый 37 3 3 2 2 2 2 6" xfId="19902" xr:uid="{00000000-0005-0000-0000-000078550000}"/>
    <cellStyle name="Финансовый 37 3 3 2 2 2 2 6 2" xfId="36915" xr:uid="{E6C35338-AA94-4B6B-B3E9-A950A8EF2F5E}"/>
    <cellStyle name="Финансовый 37 3 3 2 2 2 2 7" xfId="27605" xr:uid="{D5F5547B-5087-4DBF-947A-3B689C502C00}"/>
    <cellStyle name="Финансовый 37 3 3 2 2 2 3" xfId="10508" xr:uid="{00000000-0005-0000-0000-000079550000}"/>
    <cellStyle name="Финансовый 37 3 3 2 2 2 3 2" xfId="10509" xr:uid="{00000000-0005-0000-0000-00007A550000}"/>
    <cellStyle name="Финансовый 37 3 3 2 2 2 3 2 2" xfId="13594" xr:uid="{00000000-0005-0000-0000-00007B550000}"/>
    <cellStyle name="Финансовый 37 3 3 2 2 2 3 2 2 2" xfId="30683" xr:uid="{21C8A4A5-EBFA-4C91-976B-01F409A29F71}"/>
    <cellStyle name="Финансовый 37 3 3 2 2 2 3 2 3" xfId="16826" xr:uid="{00000000-0005-0000-0000-00007C550000}"/>
    <cellStyle name="Финансовый 37 3 3 2 2 2 3 2 3 2" xfId="33839" xr:uid="{5F4E39D8-FE99-40B1-BCE4-57A2065106F9}"/>
    <cellStyle name="Финансовый 37 3 3 2 2 2 3 2 4" xfId="19907" xr:uid="{00000000-0005-0000-0000-00007D550000}"/>
    <cellStyle name="Финансовый 37 3 3 2 2 2 3 2 4 2" xfId="36920" xr:uid="{E2BD0F32-A973-4F01-AE6F-3D0A50E55BC8}"/>
    <cellStyle name="Финансовый 37 3 3 2 2 2 3 2 5" xfId="27610" xr:uid="{E8C2326D-05CD-4E3F-BEE3-0FF7C0E4F146}"/>
    <cellStyle name="Финансовый 37 3 3 2 2 2 3 3" xfId="13593" xr:uid="{00000000-0005-0000-0000-00007E550000}"/>
    <cellStyle name="Финансовый 37 3 3 2 2 2 3 3 2" xfId="30682" xr:uid="{B765223B-DB19-492A-A913-C74E339F4006}"/>
    <cellStyle name="Финансовый 37 3 3 2 2 2 3 4" xfId="16825" xr:uid="{00000000-0005-0000-0000-00007F550000}"/>
    <cellStyle name="Финансовый 37 3 3 2 2 2 3 4 2" xfId="33838" xr:uid="{7624E778-7763-439D-93FE-4DF09C3602B8}"/>
    <cellStyle name="Финансовый 37 3 3 2 2 2 3 5" xfId="19906" xr:uid="{00000000-0005-0000-0000-000080550000}"/>
    <cellStyle name="Финансовый 37 3 3 2 2 2 3 5 2" xfId="36919" xr:uid="{17217948-9D7D-48C3-BCBD-264A6A8E5CBF}"/>
    <cellStyle name="Финансовый 37 3 3 2 2 2 3 6" xfId="27609" xr:uid="{B6DEE5F5-2C37-4B03-8C93-926E0226E794}"/>
    <cellStyle name="Финансовый 37 3 3 2 2 2 4" xfId="10510" xr:uid="{00000000-0005-0000-0000-000081550000}"/>
    <cellStyle name="Финансовый 37 3 3 2 2 2 4 2" xfId="13595" xr:uid="{00000000-0005-0000-0000-000082550000}"/>
    <cellStyle name="Финансовый 37 3 3 2 2 2 4 2 2" xfId="30684" xr:uid="{AC63F3A3-F6FC-4836-83F4-DDB76E78C62F}"/>
    <cellStyle name="Финансовый 37 3 3 2 2 2 4 3" xfId="16827" xr:uid="{00000000-0005-0000-0000-000083550000}"/>
    <cellStyle name="Финансовый 37 3 3 2 2 2 4 3 2" xfId="33840" xr:uid="{DA0E2855-8E4F-419D-913B-1A1806F26F44}"/>
    <cellStyle name="Финансовый 37 3 3 2 2 2 4 4" xfId="19908" xr:uid="{00000000-0005-0000-0000-000084550000}"/>
    <cellStyle name="Финансовый 37 3 3 2 2 2 4 4 2" xfId="36921" xr:uid="{DF8E547F-60BA-4F35-9C40-68FA5C5229D2}"/>
    <cellStyle name="Финансовый 37 3 3 2 2 2 4 5" xfId="27611" xr:uid="{F8D2B573-3653-4AD2-86C6-171146C15000}"/>
    <cellStyle name="Финансовый 37 3 3 2 2 2 5" xfId="13588" xr:uid="{00000000-0005-0000-0000-000085550000}"/>
    <cellStyle name="Финансовый 37 3 3 2 2 2 5 2" xfId="30677" xr:uid="{DF5B1F6F-2CBC-47AB-8D6C-610037C4C6F7}"/>
    <cellStyle name="Финансовый 37 3 3 2 2 2 6" xfId="16820" xr:uid="{00000000-0005-0000-0000-000086550000}"/>
    <cellStyle name="Финансовый 37 3 3 2 2 2 6 2" xfId="33833" xr:uid="{E752798A-E73F-41F9-9598-7A7689756E30}"/>
    <cellStyle name="Финансовый 37 3 3 2 2 2 7" xfId="19901" xr:uid="{00000000-0005-0000-0000-000087550000}"/>
    <cellStyle name="Финансовый 37 3 3 2 2 2 7 2" xfId="36914" xr:uid="{C78D5905-680A-4053-B8A1-D8EA2604F51C}"/>
    <cellStyle name="Финансовый 37 3 3 2 2 2 8" xfId="27604" xr:uid="{E2B8CF09-22AB-459E-ADB3-80C864C3A567}"/>
    <cellStyle name="Финансовый 37 3 3 2 2 3" xfId="10511" xr:uid="{00000000-0005-0000-0000-000088550000}"/>
    <cellStyle name="Финансовый 37 3 3 2 2 3 2" xfId="10512" xr:uid="{00000000-0005-0000-0000-000089550000}"/>
    <cellStyle name="Финансовый 37 3 3 2 2 3 2 2" xfId="10513" xr:uid="{00000000-0005-0000-0000-00008A550000}"/>
    <cellStyle name="Финансовый 37 3 3 2 2 3 2 2 2" xfId="13598" xr:uid="{00000000-0005-0000-0000-00008B550000}"/>
    <cellStyle name="Финансовый 37 3 3 2 2 3 2 2 2 2" xfId="30687" xr:uid="{B56F0E64-1BA0-40EE-8A53-FD66EDDBDF70}"/>
    <cellStyle name="Финансовый 37 3 3 2 2 3 2 2 3" xfId="16830" xr:uid="{00000000-0005-0000-0000-00008C550000}"/>
    <cellStyle name="Финансовый 37 3 3 2 2 3 2 2 3 2" xfId="33843" xr:uid="{4CCC09AC-1C34-4BCB-9F08-666C4CE35B80}"/>
    <cellStyle name="Финансовый 37 3 3 2 2 3 2 2 4" xfId="19911" xr:uid="{00000000-0005-0000-0000-00008D550000}"/>
    <cellStyle name="Финансовый 37 3 3 2 2 3 2 2 4 2" xfId="36924" xr:uid="{BDB80213-E489-402D-9C7F-7DE44DFD1957}"/>
    <cellStyle name="Финансовый 37 3 3 2 2 3 2 2 5" xfId="27614" xr:uid="{C4534476-A8C0-4FF2-94F6-463DE75F6A41}"/>
    <cellStyle name="Финансовый 37 3 3 2 2 3 2 3" xfId="13597" xr:uid="{00000000-0005-0000-0000-00008E550000}"/>
    <cellStyle name="Финансовый 37 3 3 2 2 3 2 3 2" xfId="30686" xr:uid="{291473D1-A033-4664-BC1E-E5B9EB75C4F2}"/>
    <cellStyle name="Финансовый 37 3 3 2 2 3 2 4" xfId="16829" xr:uid="{00000000-0005-0000-0000-00008F550000}"/>
    <cellStyle name="Финансовый 37 3 3 2 2 3 2 4 2" xfId="33842" xr:uid="{F449707F-6BDD-44BE-8234-76FE692D0DCF}"/>
    <cellStyle name="Финансовый 37 3 3 2 2 3 2 5" xfId="19910" xr:uid="{00000000-0005-0000-0000-000090550000}"/>
    <cellStyle name="Финансовый 37 3 3 2 2 3 2 5 2" xfId="36923" xr:uid="{E4A70345-1A9F-45B4-9C94-EF0174B416DB}"/>
    <cellStyle name="Финансовый 37 3 3 2 2 3 2 6" xfId="27613" xr:uid="{2EBD06C1-E007-4482-B215-D61B1A310282}"/>
    <cellStyle name="Финансовый 37 3 3 2 2 3 3" xfId="10514" xr:uid="{00000000-0005-0000-0000-000091550000}"/>
    <cellStyle name="Финансовый 37 3 3 2 2 3 3 2" xfId="13599" xr:uid="{00000000-0005-0000-0000-000092550000}"/>
    <cellStyle name="Финансовый 37 3 3 2 2 3 3 2 2" xfId="30688" xr:uid="{3CE12014-CF24-47E0-AE40-BFB6A90F98D5}"/>
    <cellStyle name="Финансовый 37 3 3 2 2 3 3 3" xfId="16831" xr:uid="{00000000-0005-0000-0000-000093550000}"/>
    <cellStyle name="Финансовый 37 3 3 2 2 3 3 3 2" xfId="33844" xr:uid="{5AAB69F1-584A-4A79-AABF-BD6B7F8D72B5}"/>
    <cellStyle name="Финансовый 37 3 3 2 2 3 3 4" xfId="19912" xr:uid="{00000000-0005-0000-0000-000094550000}"/>
    <cellStyle name="Финансовый 37 3 3 2 2 3 3 4 2" xfId="36925" xr:uid="{A12F275A-35FE-492F-A5B3-9B66F0F33BAF}"/>
    <cellStyle name="Финансовый 37 3 3 2 2 3 3 5" xfId="27615" xr:uid="{0F9FA926-E468-4CA5-8F67-F293333FC0A3}"/>
    <cellStyle name="Финансовый 37 3 3 2 2 3 4" xfId="13596" xr:uid="{00000000-0005-0000-0000-000095550000}"/>
    <cellStyle name="Финансовый 37 3 3 2 2 3 4 2" xfId="30685" xr:uid="{C2C4821F-E950-4D54-9F95-84B718831EB3}"/>
    <cellStyle name="Финансовый 37 3 3 2 2 3 5" xfId="16828" xr:uid="{00000000-0005-0000-0000-000096550000}"/>
    <cellStyle name="Финансовый 37 3 3 2 2 3 5 2" xfId="33841" xr:uid="{AB268FD9-545F-4943-AEF7-85D4CBF7B177}"/>
    <cellStyle name="Финансовый 37 3 3 2 2 3 6" xfId="19909" xr:uid="{00000000-0005-0000-0000-000097550000}"/>
    <cellStyle name="Финансовый 37 3 3 2 2 3 6 2" xfId="36922" xr:uid="{610B054D-E77C-4ED2-993B-4CC4D0DEAAB8}"/>
    <cellStyle name="Финансовый 37 3 3 2 2 3 7" xfId="27612" xr:uid="{5763492F-7807-44B6-ACCF-803B33070B2C}"/>
    <cellStyle name="Финансовый 37 3 3 2 2 4" xfId="10515" xr:uid="{00000000-0005-0000-0000-000098550000}"/>
    <cellStyle name="Финансовый 37 3 3 2 2 4 2" xfId="10516" xr:uid="{00000000-0005-0000-0000-000099550000}"/>
    <cellStyle name="Финансовый 37 3 3 2 2 4 2 2" xfId="13601" xr:uid="{00000000-0005-0000-0000-00009A550000}"/>
    <cellStyle name="Финансовый 37 3 3 2 2 4 2 2 2" xfId="30690" xr:uid="{522B2EB4-E4E9-42A7-BAA5-DA28267BE3EF}"/>
    <cellStyle name="Финансовый 37 3 3 2 2 4 2 3" xfId="16833" xr:uid="{00000000-0005-0000-0000-00009B550000}"/>
    <cellStyle name="Финансовый 37 3 3 2 2 4 2 3 2" xfId="33846" xr:uid="{21DAF98A-30DC-42C9-88AD-9DBC26AD3A4D}"/>
    <cellStyle name="Финансовый 37 3 3 2 2 4 2 4" xfId="19914" xr:uid="{00000000-0005-0000-0000-00009C550000}"/>
    <cellStyle name="Финансовый 37 3 3 2 2 4 2 4 2" xfId="36927" xr:uid="{E5EE617C-7C9E-4E85-8EB1-9E8B8B583A07}"/>
    <cellStyle name="Финансовый 37 3 3 2 2 4 2 5" xfId="27617" xr:uid="{6EC5311E-E51C-4989-8B3B-93A76D779600}"/>
    <cellStyle name="Финансовый 37 3 3 2 2 4 3" xfId="13600" xr:uid="{00000000-0005-0000-0000-00009D550000}"/>
    <cellStyle name="Финансовый 37 3 3 2 2 4 3 2" xfId="30689" xr:uid="{0B2B259D-3D3B-48F9-962B-E4FA4CF89CD0}"/>
    <cellStyle name="Финансовый 37 3 3 2 2 4 4" xfId="16832" xr:uid="{00000000-0005-0000-0000-00009E550000}"/>
    <cellStyle name="Финансовый 37 3 3 2 2 4 4 2" xfId="33845" xr:uid="{DDAD1EA7-280D-4DC5-BDE7-E99EE6F926E6}"/>
    <cellStyle name="Финансовый 37 3 3 2 2 4 5" xfId="19913" xr:uid="{00000000-0005-0000-0000-00009F550000}"/>
    <cellStyle name="Финансовый 37 3 3 2 2 4 5 2" xfId="36926" xr:uid="{CAD74DA6-2D22-43F2-B46C-AC781ECF701B}"/>
    <cellStyle name="Финансовый 37 3 3 2 2 4 6" xfId="27616" xr:uid="{C4AC5276-8F9B-4AE9-A839-E98132BFD881}"/>
    <cellStyle name="Финансовый 37 3 3 2 2 5" xfId="10517" xr:uid="{00000000-0005-0000-0000-0000A0550000}"/>
    <cellStyle name="Финансовый 37 3 3 2 2 5 2" xfId="13602" xr:uid="{00000000-0005-0000-0000-0000A1550000}"/>
    <cellStyle name="Финансовый 37 3 3 2 2 5 2 2" xfId="30691" xr:uid="{317BF4E2-E669-4604-8BF6-9C959FD758C6}"/>
    <cellStyle name="Финансовый 37 3 3 2 2 5 3" xfId="16834" xr:uid="{00000000-0005-0000-0000-0000A2550000}"/>
    <cellStyle name="Финансовый 37 3 3 2 2 5 3 2" xfId="33847" xr:uid="{2AD5B0D7-0037-48E5-993D-B5CE85CC97B3}"/>
    <cellStyle name="Финансовый 37 3 3 2 2 5 4" xfId="19915" xr:uid="{00000000-0005-0000-0000-0000A3550000}"/>
    <cellStyle name="Финансовый 37 3 3 2 2 5 4 2" xfId="36928" xr:uid="{57F5272C-52D8-4EB6-B6A2-646CD8C9B82D}"/>
    <cellStyle name="Финансовый 37 3 3 2 2 5 5" xfId="27618" xr:uid="{60A7D6D7-7670-4279-A651-382AF9A569D9}"/>
    <cellStyle name="Финансовый 37 3 3 2 2 6" xfId="13587" xr:uid="{00000000-0005-0000-0000-0000A4550000}"/>
    <cellStyle name="Финансовый 37 3 3 2 2 6 2" xfId="30676" xr:uid="{1CF4D66A-20E2-4DDB-B33E-2892FFF0A686}"/>
    <cellStyle name="Финансовый 37 3 3 2 2 7" xfId="16819" xr:uid="{00000000-0005-0000-0000-0000A5550000}"/>
    <cellStyle name="Финансовый 37 3 3 2 2 7 2" xfId="33832" xr:uid="{35EE99DF-8412-492A-A2FE-3ABF780916F8}"/>
    <cellStyle name="Финансовый 37 3 3 2 2 8" xfId="19900" xr:uid="{00000000-0005-0000-0000-0000A6550000}"/>
    <cellStyle name="Финансовый 37 3 3 2 2 8 2" xfId="36913" xr:uid="{D792D749-AEA9-4C42-98EC-DBB33E495E1D}"/>
    <cellStyle name="Финансовый 37 3 3 2 2 9" xfId="27603" xr:uid="{84FB7598-089F-4275-9798-F83EEFB27061}"/>
    <cellStyle name="Финансовый 37 3 3 2 3" xfId="10518" xr:uid="{00000000-0005-0000-0000-0000A7550000}"/>
    <cellStyle name="Финансовый 37 3 3 2 3 2" xfId="10519" xr:uid="{00000000-0005-0000-0000-0000A8550000}"/>
    <cellStyle name="Финансовый 37 3 3 2 3 2 2" xfId="10520" xr:uid="{00000000-0005-0000-0000-0000A9550000}"/>
    <cellStyle name="Финансовый 37 3 3 2 3 2 2 2" xfId="10521" xr:uid="{00000000-0005-0000-0000-0000AA550000}"/>
    <cellStyle name="Финансовый 37 3 3 2 3 2 2 2 2" xfId="13606" xr:uid="{00000000-0005-0000-0000-0000AB550000}"/>
    <cellStyle name="Финансовый 37 3 3 2 3 2 2 2 2 2" xfId="30695" xr:uid="{0655DDD8-9FD8-4CED-83A1-C72F15DD84DA}"/>
    <cellStyle name="Финансовый 37 3 3 2 3 2 2 2 3" xfId="16838" xr:uid="{00000000-0005-0000-0000-0000AC550000}"/>
    <cellStyle name="Финансовый 37 3 3 2 3 2 2 2 3 2" xfId="33851" xr:uid="{39A51E32-972A-4E61-8FC6-2945F0262888}"/>
    <cellStyle name="Финансовый 37 3 3 2 3 2 2 2 4" xfId="19919" xr:uid="{00000000-0005-0000-0000-0000AD550000}"/>
    <cellStyle name="Финансовый 37 3 3 2 3 2 2 2 4 2" xfId="36932" xr:uid="{7ADC4A84-3262-4327-B19A-3E6237481BA4}"/>
    <cellStyle name="Финансовый 37 3 3 2 3 2 2 2 5" xfId="27622" xr:uid="{177D1A45-CE72-4FB5-B842-5BFA46CE4C08}"/>
    <cellStyle name="Финансовый 37 3 3 2 3 2 2 3" xfId="13605" xr:uid="{00000000-0005-0000-0000-0000AE550000}"/>
    <cellStyle name="Финансовый 37 3 3 2 3 2 2 3 2" xfId="30694" xr:uid="{ECBBE17E-6098-4D17-9BA5-E91BAA0BB47A}"/>
    <cellStyle name="Финансовый 37 3 3 2 3 2 2 4" xfId="16837" xr:uid="{00000000-0005-0000-0000-0000AF550000}"/>
    <cellStyle name="Финансовый 37 3 3 2 3 2 2 4 2" xfId="33850" xr:uid="{91C30C40-EFFE-4518-A34A-6D13A83B6E47}"/>
    <cellStyle name="Финансовый 37 3 3 2 3 2 2 5" xfId="19918" xr:uid="{00000000-0005-0000-0000-0000B0550000}"/>
    <cellStyle name="Финансовый 37 3 3 2 3 2 2 5 2" xfId="36931" xr:uid="{FF180B48-C560-4BA8-B55A-E677FF22AEE7}"/>
    <cellStyle name="Финансовый 37 3 3 2 3 2 2 6" xfId="27621" xr:uid="{52A89B3B-37C9-4084-8F9E-63D425F31DAA}"/>
    <cellStyle name="Финансовый 37 3 3 2 3 2 3" xfId="10522" xr:uid="{00000000-0005-0000-0000-0000B1550000}"/>
    <cellStyle name="Финансовый 37 3 3 2 3 2 3 2" xfId="13607" xr:uid="{00000000-0005-0000-0000-0000B2550000}"/>
    <cellStyle name="Финансовый 37 3 3 2 3 2 3 2 2" xfId="30696" xr:uid="{27E0EC97-56CE-4CBB-9F33-3AD722C518A3}"/>
    <cellStyle name="Финансовый 37 3 3 2 3 2 3 3" xfId="16839" xr:uid="{00000000-0005-0000-0000-0000B3550000}"/>
    <cellStyle name="Финансовый 37 3 3 2 3 2 3 3 2" xfId="33852" xr:uid="{C401925D-E810-41A6-8EDF-8770E42ED42B}"/>
    <cellStyle name="Финансовый 37 3 3 2 3 2 3 4" xfId="19920" xr:uid="{00000000-0005-0000-0000-0000B4550000}"/>
    <cellStyle name="Финансовый 37 3 3 2 3 2 3 4 2" xfId="36933" xr:uid="{CFDD469E-C906-41C9-AC2B-35E4BE355D15}"/>
    <cellStyle name="Финансовый 37 3 3 2 3 2 3 5" xfId="27623" xr:uid="{383AB786-88E9-4F10-8FBB-D132F9696638}"/>
    <cellStyle name="Финансовый 37 3 3 2 3 2 4" xfId="13604" xr:uid="{00000000-0005-0000-0000-0000B5550000}"/>
    <cellStyle name="Финансовый 37 3 3 2 3 2 4 2" xfId="30693" xr:uid="{7DBA5B6E-8FC5-424C-8AEF-44317D2E62B7}"/>
    <cellStyle name="Финансовый 37 3 3 2 3 2 5" xfId="16836" xr:uid="{00000000-0005-0000-0000-0000B6550000}"/>
    <cellStyle name="Финансовый 37 3 3 2 3 2 5 2" xfId="33849" xr:uid="{AFBE4AC4-4786-4E78-82AE-0E8EF485D008}"/>
    <cellStyle name="Финансовый 37 3 3 2 3 2 6" xfId="19917" xr:uid="{00000000-0005-0000-0000-0000B7550000}"/>
    <cellStyle name="Финансовый 37 3 3 2 3 2 6 2" xfId="36930" xr:uid="{A0E7FAA3-F63B-440E-B371-24AB9975C812}"/>
    <cellStyle name="Финансовый 37 3 3 2 3 2 7" xfId="27620" xr:uid="{B5BDA559-87D4-42D1-8C3E-95F3EA06CD07}"/>
    <cellStyle name="Финансовый 37 3 3 2 3 3" xfId="10523" xr:uid="{00000000-0005-0000-0000-0000B8550000}"/>
    <cellStyle name="Финансовый 37 3 3 2 3 3 2" xfId="10524" xr:uid="{00000000-0005-0000-0000-0000B9550000}"/>
    <cellStyle name="Финансовый 37 3 3 2 3 3 2 2" xfId="13609" xr:uid="{00000000-0005-0000-0000-0000BA550000}"/>
    <cellStyle name="Финансовый 37 3 3 2 3 3 2 2 2" xfId="30698" xr:uid="{6AAE4ED2-F8A7-49E2-8714-7D4341A16095}"/>
    <cellStyle name="Финансовый 37 3 3 2 3 3 2 3" xfId="16841" xr:uid="{00000000-0005-0000-0000-0000BB550000}"/>
    <cellStyle name="Финансовый 37 3 3 2 3 3 2 3 2" xfId="33854" xr:uid="{A6030471-D82E-4F49-9BCB-6298ABA6FCAB}"/>
    <cellStyle name="Финансовый 37 3 3 2 3 3 2 4" xfId="19922" xr:uid="{00000000-0005-0000-0000-0000BC550000}"/>
    <cellStyle name="Финансовый 37 3 3 2 3 3 2 4 2" xfId="36935" xr:uid="{E91C456A-FE04-4441-B3F3-48CD01672639}"/>
    <cellStyle name="Финансовый 37 3 3 2 3 3 2 5" xfId="27625" xr:uid="{B8BC57E4-3184-466B-ADF5-53EE547889C8}"/>
    <cellStyle name="Финансовый 37 3 3 2 3 3 3" xfId="13608" xr:uid="{00000000-0005-0000-0000-0000BD550000}"/>
    <cellStyle name="Финансовый 37 3 3 2 3 3 3 2" xfId="30697" xr:uid="{02C4528F-30D0-433B-BAA6-67590A8D14E5}"/>
    <cellStyle name="Финансовый 37 3 3 2 3 3 4" xfId="16840" xr:uid="{00000000-0005-0000-0000-0000BE550000}"/>
    <cellStyle name="Финансовый 37 3 3 2 3 3 4 2" xfId="33853" xr:uid="{EC70C596-3A8E-4502-9807-167AF0A53CA8}"/>
    <cellStyle name="Финансовый 37 3 3 2 3 3 5" xfId="19921" xr:uid="{00000000-0005-0000-0000-0000BF550000}"/>
    <cellStyle name="Финансовый 37 3 3 2 3 3 5 2" xfId="36934" xr:uid="{FC1DFABA-9019-4572-956D-4762D732B69A}"/>
    <cellStyle name="Финансовый 37 3 3 2 3 3 6" xfId="27624" xr:uid="{64E18FC2-4DEA-4225-955A-D70222EA2F97}"/>
    <cellStyle name="Финансовый 37 3 3 2 3 4" xfId="10525" xr:uid="{00000000-0005-0000-0000-0000C0550000}"/>
    <cellStyle name="Финансовый 37 3 3 2 3 4 2" xfId="13610" xr:uid="{00000000-0005-0000-0000-0000C1550000}"/>
    <cellStyle name="Финансовый 37 3 3 2 3 4 2 2" xfId="30699" xr:uid="{FBC4DEE6-D4DE-4016-9B52-EDB59C6FF47C}"/>
    <cellStyle name="Финансовый 37 3 3 2 3 4 3" xfId="16842" xr:uid="{00000000-0005-0000-0000-0000C2550000}"/>
    <cellStyle name="Финансовый 37 3 3 2 3 4 3 2" xfId="33855" xr:uid="{2C36D14B-5E8C-4E4D-BFD2-15A5C4815C9C}"/>
    <cellStyle name="Финансовый 37 3 3 2 3 4 4" xfId="19923" xr:uid="{00000000-0005-0000-0000-0000C3550000}"/>
    <cellStyle name="Финансовый 37 3 3 2 3 4 4 2" xfId="36936" xr:uid="{C15F4D30-296A-4893-9A95-4829DCA7A2BC}"/>
    <cellStyle name="Финансовый 37 3 3 2 3 4 5" xfId="27626" xr:uid="{85B744B1-2C71-402D-8141-7ED0213FB167}"/>
    <cellStyle name="Финансовый 37 3 3 2 3 5" xfId="13603" xr:uid="{00000000-0005-0000-0000-0000C4550000}"/>
    <cellStyle name="Финансовый 37 3 3 2 3 5 2" xfId="30692" xr:uid="{614EACF2-EEF9-418A-A5F6-47D25141E724}"/>
    <cellStyle name="Финансовый 37 3 3 2 3 6" xfId="16835" xr:uid="{00000000-0005-0000-0000-0000C5550000}"/>
    <cellStyle name="Финансовый 37 3 3 2 3 6 2" xfId="33848" xr:uid="{FD0430F0-176F-4085-9770-01CA9F2D20FB}"/>
    <cellStyle name="Финансовый 37 3 3 2 3 7" xfId="19916" xr:uid="{00000000-0005-0000-0000-0000C6550000}"/>
    <cellStyle name="Финансовый 37 3 3 2 3 7 2" xfId="36929" xr:uid="{E6BA2791-59A7-4528-BE19-00ECA1B9B242}"/>
    <cellStyle name="Финансовый 37 3 3 2 3 8" xfId="27619" xr:uid="{09E6D733-6593-4FF7-AB5D-D1DE7A4E1059}"/>
    <cellStyle name="Финансовый 37 3 3 2 4" xfId="10526" xr:uid="{00000000-0005-0000-0000-0000C7550000}"/>
    <cellStyle name="Финансовый 37 3 3 2 4 2" xfId="10527" xr:uid="{00000000-0005-0000-0000-0000C8550000}"/>
    <cellStyle name="Финансовый 37 3 3 2 4 2 2" xfId="10528" xr:uid="{00000000-0005-0000-0000-0000C9550000}"/>
    <cellStyle name="Финансовый 37 3 3 2 4 2 2 2" xfId="13613" xr:uid="{00000000-0005-0000-0000-0000CA550000}"/>
    <cellStyle name="Финансовый 37 3 3 2 4 2 2 2 2" xfId="30702" xr:uid="{614EAC2B-BECA-4229-BC3B-76E1FBBBC051}"/>
    <cellStyle name="Финансовый 37 3 3 2 4 2 2 3" xfId="16845" xr:uid="{00000000-0005-0000-0000-0000CB550000}"/>
    <cellStyle name="Финансовый 37 3 3 2 4 2 2 3 2" xfId="33858" xr:uid="{03D629CA-E3DB-4AF3-9742-0C3C2933BAAF}"/>
    <cellStyle name="Финансовый 37 3 3 2 4 2 2 4" xfId="19926" xr:uid="{00000000-0005-0000-0000-0000CC550000}"/>
    <cellStyle name="Финансовый 37 3 3 2 4 2 2 4 2" xfId="36939" xr:uid="{1080BD7D-0660-4801-AF76-28C04F52C6AC}"/>
    <cellStyle name="Финансовый 37 3 3 2 4 2 2 5" xfId="27629" xr:uid="{F6C08B61-4187-4B24-9D5F-D9025E8F9878}"/>
    <cellStyle name="Финансовый 37 3 3 2 4 2 3" xfId="13612" xr:uid="{00000000-0005-0000-0000-0000CD550000}"/>
    <cellStyle name="Финансовый 37 3 3 2 4 2 3 2" xfId="30701" xr:uid="{9E41C34E-8194-4D09-A55A-1871A0B1D0EC}"/>
    <cellStyle name="Финансовый 37 3 3 2 4 2 4" xfId="16844" xr:uid="{00000000-0005-0000-0000-0000CE550000}"/>
    <cellStyle name="Финансовый 37 3 3 2 4 2 4 2" xfId="33857" xr:uid="{BBADE49C-5B88-451A-BE8A-0E2F22DE85EE}"/>
    <cellStyle name="Финансовый 37 3 3 2 4 2 5" xfId="19925" xr:uid="{00000000-0005-0000-0000-0000CF550000}"/>
    <cellStyle name="Финансовый 37 3 3 2 4 2 5 2" xfId="36938" xr:uid="{76583EB5-ECFA-4B5B-A22A-9F595A17AEC1}"/>
    <cellStyle name="Финансовый 37 3 3 2 4 2 6" xfId="27628" xr:uid="{D1C7AB83-6B07-4053-8678-157FC33588B7}"/>
    <cellStyle name="Финансовый 37 3 3 2 4 3" xfId="10529" xr:uid="{00000000-0005-0000-0000-0000D0550000}"/>
    <cellStyle name="Финансовый 37 3 3 2 4 3 2" xfId="13614" xr:uid="{00000000-0005-0000-0000-0000D1550000}"/>
    <cellStyle name="Финансовый 37 3 3 2 4 3 2 2" xfId="30703" xr:uid="{566A3355-D425-4658-A15D-8CC42DCEF52C}"/>
    <cellStyle name="Финансовый 37 3 3 2 4 3 3" xfId="16846" xr:uid="{00000000-0005-0000-0000-0000D2550000}"/>
    <cellStyle name="Финансовый 37 3 3 2 4 3 3 2" xfId="33859" xr:uid="{A3080709-7BE4-45F4-B8CD-C91FCB3E4A37}"/>
    <cellStyle name="Финансовый 37 3 3 2 4 3 4" xfId="19927" xr:uid="{00000000-0005-0000-0000-0000D3550000}"/>
    <cellStyle name="Финансовый 37 3 3 2 4 3 4 2" xfId="36940" xr:uid="{202D3E80-4CBF-4689-BFC3-7C70BAAC898E}"/>
    <cellStyle name="Финансовый 37 3 3 2 4 3 5" xfId="27630" xr:uid="{6BF09B43-DAF4-4123-B860-8E6BE22F1856}"/>
    <cellStyle name="Финансовый 37 3 3 2 4 4" xfId="13611" xr:uid="{00000000-0005-0000-0000-0000D4550000}"/>
    <cellStyle name="Финансовый 37 3 3 2 4 4 2" xfId="30700" xr:uid="{76E7D278-3638-48F5-AF2F-067B07FA76A0}"/>
    <cellStyle name="Финансовый 37 3 3 2 4 5" xfId="16843" xr:uid="{00000000-0005-0000-0000-0000D5550000}"/>
    <cellStyle name="Финансовый 37 3 3 2 4 5 2" xfId="33856" xr:uid="{51EA4AEB-5B46-4A0A-BE88-6D6024EAB212}"/>
    <cellStyle name="Финансовый 37 3 3 2 4 6" xfId="19924" xr:uid="{00000000-0005-0000-0000-0000D6550000}"/>
    <cellStyle name="Финансовый 37 3 3 2 4 6 2" xfId="36937" xr:uid="{14B09DEC-AFE7-4291-BDE0-DD521B30919E}"/>
    <cellStyle name="Финансовый 37 3 3 2 4 7" xfId="27627" xr:uid="{9614A089-7AE2-448E-A61F-63DC1E34E0FA}"/>
    <cellStyle name="Финансовый 37 3 3 2 5" xfId="10530" xr:uid="{00000000-0005-0000-0000-0000D7550000}"/>
    <cellStyle name="Финансовый 37 3 3 2 5 2" xfId="10531" xr:uid="{00000000-0005-0000-0000-0000D8550000}"/>
    <cellStyle name="Финансовый 37 3 3 2 5 2 2" xfId="13616" xr:uid="{00000000-0005-0000-0000-0000D9550000}"/>
    <cellStyle name="Финансовый 37 3 3 2 5 2 2 2" xfId="30705" xr:uid="{E38690F5-56C0-4E3F-B312-1E0E199BF514}"/>
    <cellStyle name="Финансовый 37 3 3 2 5 2 3" xfId="16848" xr:uid="{00000000-0005-0000-0000-0000DA550000}"/>
    <cellStyle name="Финансовый 37 3 3 2 5 2 3 2" xfId="33861" xr:uid="{654238FE-7FF2-46E7-86C5-01D2C0D78EA5}"/>
    <cellStyle name="Финансовый 37 3 3 2 5 2 4" xfId="19929" xr:uid="{00000000-0005-0000-0000-0000DB550000}"/>
    <cellStyle name="Финансовый 37 3 3 2 5 2 4 2" xfId="36942" xr:uid="{229874C4-A739-4103-A18A-BFAF1756FD1B}"/>
    <cellStyle name="Финансовый 37 3 3 2 5 2 5" xfId="27632" xr:uid="{C82E7041-E041-4FE6-9AA9-B05C454413F6}"/>
    <cellStyle name="Финансовый 37 3 3 2 5 3" xfId="13615" xr:uid="{00000000-0005-0000-0000-0000DC550000}"/>
    <cellStyle name="Финансовый 37 3 3 2 5 3 2" xfId="30704" xr:uid="{94BD36FA-C1EC-472D-B9ED-987C49138B53}"/>
    <cellStyle name="Финансовый 37 3 3 2 5 4" xfId="16847" xr:uid="{00000000-0005-0000-0000-0000DD550000}"/>
    <cellStyle name="Финансовый 37 3 3 2 5 4 2" xfId="33860" xr:uid="{501E6D61-A71C-496E-9321-A588DCC55A47}"/>
    <cellStyle name="Финансовый 37 3 3 2 5 5" xfId="19928" xr:uid="{00000000-0005-0000-0000-0000DE550000}"/>
    <cellStyle name="Финансовый 37 3 3 2 5 5 2" xfId="36941" xr:uid="{114CC4ED-C268-44F7-8DC3-63906B31BD87}"/>
    <cellStyle name="Финансовый 37 3 3 2 5 6" xfId="27631" xr:uid="{F53FA775-42D0-4754-B7F2-F47CCD93949C}"/>
    <cellStyle name="Финансовый 37 3 3 2 6" xfId="10532" xr:uid="{00000000-0005-0000-0000-0000DF550000}"/>
    <cellStyle name="Финансовый 37 3 3 2 6 2" xfId="13617" xr:uid="{00000000-0005-0000-0000-0000E0550000}"/>
    <cellStyle name="Финансовый 37 3 3 2 6 2 2" xfId="30706" xr:uid="{D16C88DD-F682-4E72-B4BA-FE4794168140}"/>
    <cellStyle name="Финансовый 37 3 3 2 6 3" xfId="16849" xr:uid="{00000000-0005-0000-0000-0000E1550000}"/>
    <cellStyle name="Финансовый 37 3 3 2 6 3 2" xfId="33862" xr:uid="{9A794064-B5F6-427D-AE7F-FABD28B05E9D}"/>
    <cellStyle name="Финансовый 37 3 3 2 6 4" xfId="19930" xr:uid="{00000000-0005-0000-0000-0000E2550000}"/>
    <cellStyle name="Финансовый 37 3 3 2 6 4 2" xfId="36943" xr:uid="{F898EABB-712E-4976-842F-5D75B374A8E2}"/>
    <cellStyle name="Финансовый 37 3 3 2 6 5" xfId="27633" xr:uid="{2FC5CE45-259D-440B-B114-060E8A2B6A42}"/>
    <cellStyle name="Финансовый 37 3 3 2 7" xfId="13586" xr:uid="{00000000-0005-0000-0000-0000E3550000}"/>
    <cellStyle name="Финансовый 37 3 3 2 7 2" xfId="30675" xr:uid="{680923A4-5CA8-4D9A-BC1F-176F9F916A57}"/>
    <cellStyle name="Финансовый 37 3 3 2 8" xfId="16818" xr:uid="{00000000-0005-0000-0000-0000E4550000}"/>
    <cellStyle name="Финансовый 37 3 3 2 8 2" xfId="33831" xr:uid="{46F120EA-2C4B-4A53-A4F1-77A172FC1919}"/>
    <cellStyle name="Финансовый 37 3 3 2 9" xfId="19899" xr:uid="{00000000-0005-0000-0000-0000E5550000}"/>
    <cellStyle name="Финансовый 37 3 3 2 9 2" xfId="36912" xr:uid="{3DA8DD1C-9D76-490D-ACAE-48C24D5E0A61}"/>
    <cellStyle name="Финансовый 37 3 3 3" xfId="10533" xr:uid="{00000000-0005-0000-0000-0000E6550000}"/>
    <cellStyle name="Финансовый 37 3 3 3 2" xfId="10534" xr:uid="{00000000-0005-0000-0000-0000E7550000}"/>
    <cellStyle name="Финансовый 37 3 3 3 2 2" xfId="10535" xr:uid="{00000000-0005-0000-0000-0000E8550000}"/>
    <cellStyle name="Финансовый 37 3 3 3 2 2 2" xfId="10536" xr:uid="{00000000-0005-0000-0000-0000E9550000}"/>
    <cellStyle name="Финансовый 37 3 3 3 2 2 2 2" xfId="10537" xr:uid="{00000000-0005-0000-0000-0000EA550000}"/>
    <cellStyle name="Финансовый 37 3 3 3 2 2 2 2 2" xfId="13622" xr:uid="{00000000-0005-0000-0000-0000EB550000}"/>
    <cellStyle name="Финансовый 37 3 3 3 2 2 2 2 2 2" xfId="30711" xr:uid="{162A8163-9065-48F4-95DA-7BBA95529139}"/>
    <cellStyle name="Финансовый 37 3 3 3 2 2 2 2 3" xfId="16854" xr:uid="{00000000-0005-0000-0000-0000EC550000}"/>
    <cellStyle name="Финансовый 37 3 3 3 2 2 2 2 3 2" xfId="33867" xr:uid="{FDBADD03-55CB-440B-A074-FA56A50D7B31}"/>
    <cellStyle name="Финансовый 37 3 3 3 2 2 2 2 4" xfId="19935" xr:uid="{00000000-0005-0000-0000-0000ED550000}"/>
    <cellStyle name="Финансовый 37 3 3 3 2 2 2 2 4 2" xfId="36948" xr:uid="{14E7EF73-B0AB-43AD-AC53-87BD826500C8}"/>
    <cellStyle name="Финансовый 37 3 3 3 2 2 2 2 5" xfId="27638" xr:uid="{AE002E9D-2E2C-42D5-BB19-C556330A0B9C}"/>
    <cellStyle name="Финансовый 37 3 3 3 2 2 2 3" xfId="13621" xr:uid="{00000000-0005-0000-0000-0000EE550000}"/>
    <cellStyle name="Финансовый 37 3 3 3 2 2 2 3 2" xfId="30710" xr:uid="{F29BF7C0-BCD6-444F-818E-0AFB8B792A4A}"/>
    <cellStyle name="Финансовый 37 3 3 3 2 2 2 4" xfId="16853" xr:uid="{00000000-0005-0000-0000-0000EF550000}"/>
    <cellStyle name="Финансовый 37 3 3 3 2 2 2 4 2" xfId="33866" xr:uid="{823C9199-C9B9-4443-AF85-585B03A9588D}"/>
    <cellStyle name="Финансовый 37 3 3 3 2 2 2 5" xfId="19934" xr:uid="{00000000-0005-0000-0000-0000F0550000}"/>
    <cellStyle name="Финансовый 37 3 3 3 2 2 2 5 2" xfId="36947" xr:uid="{31CEA289-AEA9-423A-8EF9-C651968C98FE}"/>
    <cellStyle name="Финансовый 37 3 3 3 2 2 2 6" xfId="27637" xr:uid="{E7A48CD5-2E95-476B-957D-C504E9DF7341}"/>
    <cellStyle name="Финансовый 37 3 3 3 2 2 3" xfId="10538" xr:uid="{00000000-0005-0000-0000-0000F1550000}"/>
    <cellStyle name="Финансовый 37 3 3 3 2 2 3 2" xfId="13623" xr:uid="{00000000-0005-0000-0000-0000F2550000}"/>
    <cellStyle name="Финансовый 37 3 3 3 2 2 3 2 2" xfId="30712" xr:uid="{75B0EA93-20DA-407B-A6EB-9E2A3B5C2430}"/>
    <cellStyle name="Финансовый 37 3 3 3 2 2 3 3" xfId="16855" xr:uid="{00000000-0005-0000-0000-0000F3550000}"/>
    <cellStyle name="Финансовый 37 3 3 3 2 2 3 3 2" xfId="33868" xr:uid="{8F8C6697-519A-4C63-B307-7946064CDF6F}"/>
    <cellStyle name="Финансовый 37 3 3 3 2 2 3 4" xfId="19936" xr:uid="{00000000-0005-0000-0000-0000F4550000}"/>
    <cellStyle name="Финансовый 37 3 3 3 2 2 3 4 2" xfId="36949" xr:uid="{F8864708-80CB-4927-965B-EE70651159D7}"/>
    <cellStyle name="Финансовый 37 3 3 3 2 2 3 5" xfId="27639" xr:uid="{B672C3DB-B738-4CBF-9736-416F6531F4E2}"/>
    <cellStyle name="Финансовый 37 3 3 3 2 2 4" xfId="13620" xr:uid="{00000000-0005-0000-0000-0000F5550000}"/>
    <cellStyle name="Финансовый 37 3 3 3 2 2 4 2" xfId="30709" xr:uid="{3937F8F1-A45C-4A0E-9FA9-7D372C234504}"/>
    <cellStyle name="Финансовый 37 3 3 3 2 2 5" xfId="16852" xr:uid="{00000000-0005-0000-0000-0000F6550000}"/>
    <cellStyle name="Финансовый 37 3 3 3 2 2 5 2" xfId="33865" xr:uid="{3433EBA5-87CF-4C7E-8A57-4924F2C48434}"/>
    <cellStyle name="Финансовый 37 3 3 3 2 2 6" xfId="19933" xr:uid="{00000000-0005-0000-0000-0000F7550000}"/>
    <cellStyle name="Финансовый 37 3 3 3 2 2 6 2" xfId="36946" xr:uid="{76359861-B583-4FAF-A31D-00951516F2C1}"/>
    <cellStyle name="Финансовый 37 3 3 3 2 2 7" xfId="27636" xr:uid="{490B05B2-C8D3-4ECE-8EBB-88CE5002EC25}"/>
    <cellStyle name="Финансовый 37 3 3 3 2 3" xfId="10539" xr:uid="{00000000-0005-0000-0000-0000F8550000}"/>
    <cellStyle name="Финансовый 37 3 3 3 2 3 2" xfId="10540" xr:uid="{00000000-0005-0000-0000-0000F9550000}"/>
    <cellStyle name="Финансовый 37 3 3 3 2 3 2 2" xfId="13625" xr:uid="{00000000-0005-0000-0000-0000FA550000}"/>
    <cellStyle name="Финансовый 37 3 3 3 2 3 2 2 2" xfId="30714" xr:uid="{7C5B52C3-3683-4E19-A9D6-FD553236D085}"/>
    <cellStyle name="Финансовый 37 3 3 3 2 3 2 3" xfId="16857" xr:uid="{00000000-0005-0000-0000-0000FB550000}"/>
    <cellStyle name="Финансовый 37 3 3 3 2 3 2 3 2" xfId="33870" xr:uid="{1D986441-0500-4B01-B7A1-186A7C6325CB}"/>
    <cellStyle name="Финансовый 37 3 3 3 2 3 2 4" xfId="19938" xr:uid="{00000000-0005-0000-0000-0000FC550000}"/>
    <cellStyle name="Финансовый 37 3 3 3 2 3 2 4 2" xfId="36951" xr:uid="{48433488-17CE-4B92-B975-A4602DE5EB40}"/>
    <cellStyle name="Финансовый 37 3 3 3 2 3 2 5" xfId="27641" xr:uid="{2821C752-D0DB-4D92-809D-CF317B723176}"/>
    <cellStyle name="Финансовый 37 3 3 3 2 3 3" xfId="13624" xr:uid="{00000000-0005-0000-0000-0000FD550000}"/>
    <cellStyle name="Финансовый 37 3 3 3 2 3 3 2" xfId="30713" xr:uid="{2B431B00-5998-4D0D-AD11-C043A4DB2425}"/>
    <cellStyle name="Финансовый 37 3 3 3 2 3 4" xfId="16856" xr:uid="{00000000-0005-0000-0000-0000FE550000}"/>
    <cellStyle name="Финансовый 37 3 3 3 2 3 4 2" xfId="33869" xr:uid="{3718413F-9ECA-4D9D-B00B-3CD2B23BF276}"/>
    <cellStyle name="Финансовый 37 3 3 3 2 3 5" xfId="19937" xr:uid="{00000000-0005-0000-0000-0000FF550000}"/>
    <cellStyle name="Финансовый 37 3 3 3 2 3 5 2" xfId="36950" xr:uid="{2CE944BE-CCB4-4C98-8346-5666C6F4F543}"/>
    <cellStyle name="Финансовый 37 3 3 3 2 3 6" xfId="27640" xr:uid="{031DA638-EC43-41AA-8DEF-8C8E0658D9E1}"/>
    <cellStyle name="Финансовый 37 3 3 3 2 4" xfId="10541" xr:uid="{00000000-0005-0000-0000-000000560000}"/>
    <cellStyle name="Финансовый 37 3 3 3 2 4 2" xfId="13626" xr:uid="{00000000-0005-0000-0000-000001560000}"/>
    <cellStyle name="Финансовый 37 3 3 3 2 4 2 2" xfId="30715" xr:uid="{0A21F46E-19A3-4E21-B8C9-0DE9C0C9A5B7}"/>
    <cellStyle name="Финансовый 37 3 3 3 2 4 3" xfId="16858" xr:uid="{00000000-0005-0000-0000-000002560000}"/>
    <cellStyle name="Финансовый 37 3 3 3 2 4 3 2" xfId="33871" xr:uid="{63E164ED-C965-41C2-9392-89B19021CFCC}"/>
    <cellStyle name="Финансовый 37 3 3 3 2 4 4" xfId="19939" xr:uid="{00000000-0005-0000-0000-000003560000}"/>
    <cellStyle name="Финансовый 37 3 3 3 2 4 4 2" xfId="36952" xr:uid="{3621B08E-8F3A-424C-8B5D-FD516AD0CD42}"/>
    <cellStyle name="Финансовый 37 3 3 3 2 4 5" xfId="27642" xr:uid="{54E735A2-B307-4CF3-9FA8-62EDD516659A}"/>
    <cellStyle name="Финансовый 37 3 3 3 2 5" xfId="13619" xr:uid="{00000000-0005-0000-0000-000004560000}"/>
    <cellStyle name="Финансовый 37 3 3 3 2 5 2" xfId="30708" xr:uid="{B0D07F03-BA45-456A-818E-184E19599431}"/>
    <cellStyle name="Финансовый 37 3 3 3 2 6" xfId="16851" xr:uid="{00000000-0005-0000-0000-000005560000}"/>
    <cellStyle name="Финансовый 37 3 3 3 2 6 2" xfId="33864" xr:uid="{0A48ACE8-C7FD-4DA7-BB6B-3DC688DE3B3B}"/>
    <cellStyle name="Финансовый 37 3 3 3 2 7" xfId="19932" xr:uid="{00000000-0005-0000-0000-000006560000}"/>
    <cellStyle name="Финансовый 37 3 3 3 2 7 2" xfId="36945" xr:uid="{32E7D7A5-8B23-4D54-90A1-59E82048C735}"/>
    <cellStyle name="Финансовый 37 3 3 3 2 8" xfId="27635" xr:uid="{93B09165-865C-49A6-B744-B4CF9EEC045C}"/>
    <cellStyle name="Финансовый 37 3 3 3 3" xfId="10542" xr:uid="{00000000-0005-0000-0000-000007560000}"/>
    <cellStyle name="Финансовый 37 3 3 3 3 2" xfId="10543" xr:uid="{00000000-0005-0000-0000-000008560000}"/>
    <cellStyle name="Финансовый 37 3 3 3 3 2 2" xfId="10544" xr:uid="{00000000-0005-0000-0000-000009560000}"/>
    <cellStyle name="Финансовый 37 3 3 3 3 2 2 2" xfId="13629" xr:uid="{00000000-0005-0000-0000-00000A560000}"/>
    <cellStyle name="Финансовый 37 3 3 3 3 2 2 2 2" xfId="30718" xr:uid="{FC0FDC4E-B0A8-41E6-9FB0-5E08B3FF610E}"/>
    <cellStyle name="Финансовый 37 3 3 3 3 2 2 3" xfId="16861" xr:uid="{00000000-0005-0000-0000-00000B560000}"/>
    <cellStyle name="Финансовый 37 3 3 3 3 2 2 3 2" xfId="33874" xr:uid="{E5C67474-2ED1-4F57-96EE-86154ED8DF45}"/>
    <cellStyle name="Финансовый 37 3 3 3 3 2 2 4" xfId="19942" xr:uid="{00000000-0005-0000-0000-00000C560000}"/>
    <cellStyle name="Финансовый 37 3 3 3 3 2 2 4 2" xfId="36955" xr:uid="{23E8D698-C449-4E69-A1E8-9673487EA74F}"/>
    <cellStyle name="Финансовый 37 3 3 3 3 2 2 5" xfId="27645" xr:uid="{BCCFF744-011F-4FF4-AE84-A920ADD7727B}"/>
    <cellStyle name="Финансовый 37 3 3 3 3 2 3" xfId="13628" xr:uid="{00000000-0005-0000-0000-00000D560000}"/>
    <cellStyle name="Финансовый 37 3 3 3 3 2 3 2" xfId="30717" xr:uid="{B7F0CF8E-A120-4BC6-BD04-9D7EC83AC80D}"/>
    <cellStyle name="Финансовый 37 3 3 3 3 2 4" xfId="16860" xr:uid="{00000000-0005-0000-0000-00000E560000}"/>
    <cellStyle name="Финансовый 37 3 3 3 3 2 4 2" xfId="33873" xr:uid="{F21DA147-3357-4ECD-ADA8-02E7324CDF4D}"/>
    <cellStyle name="Финансовый 37 3 3 3 3 2 5" xfId="19941" xr:uid="{00000000-0005-0000-0000-00000F560000}"/>
    <cellStyle name="Финансовый 37 3 3 3 3 2 5 2" xfId="36954" xr:uid="{90A5272A-3A33-4C76-A884-4809BFF3884D}"/>
    <cellStyle name="Финансовый 37 3 3 3 3 2 6" xfId="27644" xr:uid="{4D1DEACC-57F4-47EA-8570-77A6A234C3D7}"/>
    <cellStyle name="Финансовый 37 3 3 3 3 3" xfId="10545" xr:uid="{00000000-0005-0000-0000-000010560000}"/>
    <cellStyle name="Финансовый 37 3 3 3 3 3 2" xfId="13630" xr:uid="{00000000-0005-0000-0000-000011560000}"/>
    <cellStyle name="Финансовый 37 3 3 3 3 3 2 2" xfId="30719" xr:uid="{D872194C-BF56-495D-AB87-4C27511B1D34}"/>
    <cellStyle name="Финансовый 37 3 3 3 3 3 3" xfId="16862" xr:uid="{00000000-0005-0000-0000-000012560000}"/>
    <cellStyle name="Финансовый 37 3 3 3 3 3 3 2" xfId="33875" xr:uid="{233EBFFF-BA60-4C09-8F30-D0B13D24670E}"/>
    <cellStyle name="Финансовый 37 3 3 3 3 3 4" xfId="19943" xr:uid="{00000000-0005-0000-0000-000013560000}"/>
    <cellStyle name="Финансовый 37 3 3 3 3 3 4 2" xfId="36956" xr:uid="{09F12280-B831-411A-9EC5-C925BE0FD1BE}"/>
    <cellStyle name="Финансовый 37 3 3 3 3 3 5" xfId="27646" xr:uid="{CAF34A31-E2E8-428A-8A8C-945C879F2A99}"/>
    <cellStyle name="Финансовый 37 3 3 3 3 4" xfId="13627" xr:uid="{00000000-0005-0000-0000-000014560000}"/>
    <cellStyle name="Финансовый 37 3 3 3 3 4 2" xfId="30716" xr:uid="{BCDE0014-FF73-41D8-8167-8EC5D1A67A14}"/>
    <cellStyle name="Финансовый 37 3 3 3 3 5" xfId="16859" xr:uid="{00000000-0005-0000-0000-000015560000}"/>
    <cellStyle name="Финансовый 37 3 3 3 3 5 2" xfId="33872" xr:uid="{4357789B-A2B6-463D-BC08-3A4B4A783048}"/>
    <cellStyle name="Финансовый 37 3 3 3 3 6" xfId="19940" xr:uid="{00000000-0005-0000-0000-000016560000}"/>
    <cellStyle name="Финансовый 37 3 3 3 3 6 2" xfId="36953" xr:uid="{BA61F74B-D390-46C2-9975-F6578CF01A0A}"/>
    <cellStyle name="Финансовый 37 3 3 3 3 7" xfId="27643" xr:uid="{B79337CB-4C3C-4F6F-93A8-7019C661F4FA}"/>
    <cellStyle name="Финансовый 37 3 3 3 4" xfId="10546" xr:uid="{00000000-0005-0000-0000-000017560000}"/>
    <cellStyle name="Финансовый 37 3 3 3 4 2" xfId="10547" xr:uid="{00000000-0005-0000-0000-000018560000}"/>
    <cellStyle name="Финансовый 37 3 3 3 4 2 2" xfId="13632" xr:uid="{00000000-0005-0000-0000-000019560000}"/>
    <cellStyle name="Финансовый 37 3 3 3 4 2 2 2" xfId="30721" xr:uid="{CCA79C7C-FB96-40DF-9837-43DFE29E197A}"/>
    <cellStyle name="Финансовый 37 3 3 3 4 2 3" xfId="16864" xr:uid="{00000000-0005-0000-0000-00001A560000}"/>
    <cellStyle name="Финансовый 37 3 3 3 4 2 3 2" xfId="33877" xr:uid="{24C13910-98DF-4AB4-89DE-6707974F0A48}"/>
    <cellStyle name="Финансовый 37 3 3 3 4 2 4" xfId="19945" xr:uid="{00000000-0005-0000-0000-00001B560000}"/>
    <cellStyle name="Финансовый 37 3 3 3 4 2 4 2" xfId="36958" xr:uid="{72D0908E-9B03-4B3C-BD00-37A3A96DD31C}"/>
    <cellStyle name="Финансовый 37 3 3 3 4 2 5" xfId="27648" xr:uid="{A87E912F-9707-42A5-BD23-2793DAD7A0F2}"/>
    <cellStyle name="Финансовый 37 3 3 3 4 3" xfId="13631" xr:uid="{00000000-0005-0000-0000-00001C560000}"/>
    <cellStyle name="Финансовый 37 3 3 3 4 3 2" xfId="30720" xr:uid="{B58528EC-4289-41D4-9DA0-FDB0BD108227}"/>
    <cellStyle name="Финансовый 37 3 3 3 4 4" xfId="16863" xr:uid="{00000000-0005-0000-0000-00001D560000}"/>
    <cellStyle name="Финансовый 37 3 3 3 4 4 2" xfId="33876" xr:uid="{926615D5-1BF6-49C1-A1E7-7267F14A7585}"/>
    <cellStyle name="Финансовый 37 3 3 3 4 5" xfId="19944" xr:uid="{00000000-0005-0000-0000-00001E560000}"/>
    <cellStyle name="Финансовый 37 3 3 3 4 5 2" xfId="36957" xr:uid="{B83D5FE9-1EB2-4CA1-9A51-AE94550B4C8D}"/>
    <cellStyle name="Финансовый 37 3 3 3 4 6" xfId="27647" xr:uid="{1AC966C5-A196-47E2-927A-1A8A9D392290}"/>
    <cellStyle name="Финансовый 37 3 3 3 5" xfId="10548" xr:uid="{00000000-0005-0000-0000-00001F560000}"/>
    <cellStyle name="Финансовый 37 3 3 3 5 2" xfId="13633" xr:uid="{00000000-0005-0000-0000-000020560000}"/>
    <cellStyle name="Финансовый 37 3 3 3 5 2 2" xfId="30722" xr:uid="{01F82A23-6016-49EC-AA5B-C122BA21FABC}"/>
    <cellStyle name="Финансовый 37 3 3 3 5 3" xfId="16865" xr:uid="{00000000-0005-0000-0000-000021560000}"/>
    <cellStyle name="Финансовый 37 3 3 3 5 3 2" xfId="33878" xr:uid="{E4030BBA-755B-41DD-BF8C-4BBCCCE477C5}"/>
    <cellStyle name="Финансовый 37 3 3 3 5 4" xfId="19946" xr:uid="{00000000-0005-0000-0000-000022560000}"/>
    <cellStyle name="Финансовый 37 3 3 3 5 4 2" xfId="36959" xr:uid="{79D58700-4784-4C4E-BB4F-9B39B3200826}"/>
    <cellStyle name="Финансовый 37 3 3 3 5 5" xfId="27649" xr:uid="{F6520E79-36D1-45FF-98AC-0F7CDEF94943}"/>
    <cellStyle name="Финансовый 37 3 3 3 6" xfId="13618" xr:uid="{00000000-0005-0000-0000-000023560000}"/>
    <cellStyle name="Финансовый 37 3 3 3 6 2" xfId="30707" xr:uid="{2CEB6648-A217-401D-B534-8AF73A8D2A11}"/>
    <cellStyle name="Финансовый 37 3 3 3 7" xfId="16850" xr:uid="{00000000-0005-0000-0000-000024560000}"/>
    <cellStyle name="Финансовый 37 3 3 3 7 2" xfId="33863" xr:uid="{2CF1AB17-34BF-4F2F-8610-CA0BE74265B3}"/>
    <cellStyle name="Финансовый 37 3 3 3 8" xfId="19931" xr:uid="{00000000-0005-0000-0000-000025560000}"/>
    <cellStyle name="Финансовый 37 3 3 3 8 2" xfId="36944" xr:uid="{A5C2B96E-032D-4A40-B837-EBE23EFBB635}"/>
    <cellStyle name="Финансовый 37 3 3 3 9" xfId="27634" xr:uid="{9228B182-06C0-472C-A652-74AFC21732EF}"/>
    <cellStyle name="Финансовый 37 3 3 4" xfId="10549" xr:uid="{00000000-0005-0000-0000-000026560000}"/>
    <cellStyle name="Финансовый 37 3 3 4 2" xfId="10550" xr:uid="{00000000-0005-0000-0000-000027560000}"/>
    <cellStyle name="Финансовый 37 3 3 4 2 2" xfId="10551" xr:uid="{00000000-0005-0000-0000-000028560000}"/>
    <cellStyle name="Финансовый 37 3 3 4 2 2 2" xfId="10552" xr:uid="{00000000-0005-0000-0000-000029560000}"/>
    <cellStyle name="Финансовый 37 3 3 4 2 2 2 2" xfId="13637" xr:uid="{00000000-0005-0000-0000-00002A560000}"/>
    <cellStyle name="Финансовый 37 3 3 4 2 2 2 2 2" xfId="30726" xr:uid="{1AA76E8C-A3C8-4DC3-A316-B2551F51F33A}"/>
    <cellStyle name="Финансовый 37 3 3 4 2 2 2 3" xfId="16869" xr:uid="{00000000-0005-0000-0000-00002B560000}"/>
    <cellStyle name="Финансовый 37 3 3 4 2 2 2 3 2" xfId="33882" xr:uid="{425A7CC0-09EE-48C2-B4BB-B7264AB77C6F}"/>
    <cellStyle name="Финансовый 37 3 3 4 2 2 2 4" xfId="19950" xr:uid="{00000000-0005-0000-0000-00002C560000}"/>
    <cellStyle name="Финансовый 37 3 3 4 2 2 2 4 2" xfId="36963" xr:uid="{900715B0-0973-4E5E-A004-49D9E0A4E9B7}"/>
    <cellStyle name="Финансовый 37 3 3 4 2 2 2 5" xfId="27653" xr:uid="{9FC56BE5-C280-4205-9865-0EB695C4BF6A}"/>
    <cellStyle name="Финансовый 37 3 3 4 2 2 3" xfId="13636" xr:uid="{00000000-0005-0000-0000-00002D560000}"/>
    <cellStyle name="Финансовый 37 3 3 4 2 2 3 2" xfId="30725" xr:uid="{D4366413-3FDC-4D62-8AFB-E1EEC73BA023}"/>
    <cellStyle name="Финансовый 37 3 3 4 2 2 4" xfId="16868" xr:uid="{00000000-0005-0000-0000-00002E560000}"/>
    <cellStyle name="Финансовый 37 3 3 4 2 2 4 2" xfId="33881" xr:uid="{1B6E232E-5A7D-4420-AAC0-BC45A008D44E}"/>
    <cellStyle name="Финансовый 37 3 3 4 2 2 5" xfId="19949" xr:uid="{00000000-0005-0000-0000-00002F560000}"/>
    <cellStyle name="Финансовый 37 3 3 4 2 2 5 2" xfId="36962" xr:uid="{E492F2AC-DCCE-4DB8-B9E7-B7242B67A0EF}"/>
    <cellStyle name="Финансовый 37 3 3 4 2 2 6" xfId="27652" xr:uid="{34B4814F-F5F0-41BF-BBE4-93E49498C36F}"/>
    <cellStyle name="Финансовый 37 3 3 4 2 3" xfId="10553" xr:uid="{00000000-0005-0000-0000-000030560000}"/>
    <cellStyle name="Финансовый 37 3 3 4 2 3 2" xfId="13638" xr:uid="{00000000-0005-0000-0000-000031560000}"/>
    <cellStyle name="Финансовый 37 3 3 4 2 3 2 2" xfId="30727" xr:uid="{3DF9CB2B-C35D-4756-B86B-FDDC0F7510F9}"/>
    <cellStyle name="Финансовый 37 3 3 4 2 3 3" xfId="16870" xr:uid="{00000000-0005-0000-0000-000032560000}"/>
    <cellStyle name="Финансовый 37 3 3 4 2 3 3 2" xfId="33883" xr:uid="{3CD3F660-8F23-497A-926F-58E805806C27}"/>
    <cellStyle name="Финансовый 37 3 3 4 2 3 4" xfId="19951" xr:uid="{00000000-0005-0000-0000-000033560000}"/>
    <cellStyle name="Финансовый 37 3 3 4 2 3 4 2" xfId="36964" xr:uid="{3A0F0D13-AD85-419F-A835-DB245070ABB5}"/>
    <cellStyle name="Финансовый 37 3 3 4 2 3 5" xfId="27654" xr:uid="{924C71AD-A60C-422E-9E58-70ADF6207A6B}"/>
    <cellStyle name="Финансовый 37 3 3 4 2 4" xfId="13635" xr:uid="{00000000-0005-0000-0000-000034560000}"/>
    <cellStyle name="Финансовый 37 3 3 4 2 4 2" xfId="30724" xr:uid="{B8B45B7B-1886-48FA-8B18-B799A5946A8E}"/>
    <cellStyle name="Финансовый 37 3 3 4 2 5" xfId="16867" xr:uid="{00000000-0005-0000-0000-000035560000}"/>
    <cellStyle name="Финансовый 37 3 3 4 2 5 2" xfId="33880" xr:uid="{6218568A-49C0-48B4-9707-7B710A23FFDD}"/>
    <cellStyle name="Финансовый 37 3 3 4 2 6" xfId="19948" xr:uid="{00000000-0005-0000-0000-000036560000}"/>
    <cellStyle name="Финансовый 37 3 3 4 2 6 2" xfId="36961" xr:uid="{4BE71978-99D6-4D2C-9B07-4C0D3F1D3393}"/>
    <cellStyle name="Финансовый 37 3 3 4 2 7" xfId="27651" xr:uid="{34E0783D-9E2B-4F89-A15C-0BAB2814D650}"/>
    <cellStyle name="Финансовый 37 3 3 4 3" xfId="10554" xr:uid="{00000000-0005-0000-0000-000037560000}"/>
    <cellStyle name="Финансовый 37 3 3 4 3 2" xfId="10555" xr:uid="{00000000-0005-0000-0000-000038560000}"/>
    <cellStyle name="Финансовый 37 3 3 4 3 2 2" xfId="13640" xr:uid="{00000000-0005-0000-0000-000039560000}"/>
    <cellStyle name="Финансовый 37 3 3 4 3 2 2 2" xfId="30729" xr:uid="{19946698-A1B8-4CDE-A1EE-9DC569C9EE09}"/>
    <cellStyle name="Финансовый 37 3 3 4 3 2 3" xfId="16872" xr:uid="{00000000-0005-0000-0000-00003A560000}"/>
    <cellStyle name="Финансовый 37 3 3 4 3 2 3 2" xfId="33885" xr:uid="{E0B38CA4-EE30-40BB-9222-4964FB1FDA0E}"/>
    <cellStyle name="Финансовый 37 3 3 4 3 2 4" xfId="19953" xr:uid="{00000000-0005-0000-0000-00003B560000}"/>
    <cellStyle name="Финансовый 37 3 3 4 3 2 4 2" xfId="36966" xr:uid="{D1EF1E76-64E3-4D85-9593-AF4F3A112DEE}"/>
    <cellStyle name="Финансовый 37 3 3 4 3 2 5" xfId="27656" xr:uid="{4B654E4A-96D7-40B9-934A-4415EF935DAD}"/>
    <cellStyle name="Финансовый 37 3 3 4 3 3" xfId="13639" xr:uid="{00000000-0005-0000-0000-00003C560000}"/>
    <cellStyle name="Финансовый 37 3 3 4 3 3 2" xfId="30728" xr:uid="{D9AAF65A-45BB-429D-A72A-D15908FDB7EA}"/>
    <cellStyle name="Финансовый 37 3 3 4 3 4" xfId="16871" xr:uid="{00000000-0005-0000-0000-00003D560000}"/>
    <cellStyle name="Финансовый 37 3 3 4 3 4 2" xfId="33884" xr:uid="{AF726A9B-EC8D-4F0A-87AC-6BDBD88FEAEE}"/>
    <cellStyle name="Финансовый 37 3 3 4 3 5" xfId="19952" xr:uid="{00000000-0005-0000-0000-00003E560000}"/>
    <cellStyle name="Финансовый 37 3 3 4 3 5 2" xfId="36965" xr:uid="{516DDB88-529A-44EC-9BEB-23DBC6571E90}"/>
    <cellStyle name="Финансовый 37 3 3 4 3 6" xfId="27655" xr:uid="{CF84165F-2F7E-4230-879C-2A257E36C808}"/>
    <cellStyle name="Финансовый 37 3 3 4 4" xfId="10556" xr:uid="{00000000-0005-0000-0000-00003F560000}"/>
    <cellStyle name="Финансовый 37 3 3 4 4 2" xfId="13641" xr:uid="{00000000-0005-0000-0000-000040560000}"/>
    <cellStyle name="Финансовый 37 3 3 4 4 2 2" xfId="30730" xr:uid="{8D360135-FB47-4EB3-AD59-B3E0C7B06ADF}"/>
    <cellStyle name="Финансовый 37 3 3 4 4 3" xfId="16873" xr:uid="{00000000-0005-0000-0000-000041560000}"/>
    <cellStyle name="Финансовый 37 3 3 4 4 3 2" xfId="33886" xr:uid="{CF64B8B8-E541-4983-81A5-4E71163DB006}"/>
    <cellStyle name="Финансовый 37 3 3 4 4 4" xfId="19954" xr:uid="{00000000-0005-0000-0000-000042560000}"/>
    <cellStyle name="Финансовый 37 3 3 4 4 4 2" xfId="36967" xr:uid="{8FE4B7BC-FB4B-489F-AC92-DE740800D238}"/>
    <cellStyle name="Финансовый 37 3 3 4 4 5" xfId="27657" xr:uid="{4922A53E-4C2A-44AD-8F8C-D1B741EDD19F}"/>
    <cellStyle name="Финансовый 37 3 3 4 5" xfId="13634" xr:uid="{00000000-0005-0000-0000-000043560000}"/>
    <cellStyle name="Финансовый 37 3 3 4 5 2" xfId="30723" xr:uid="{BF2DA78C-13B9-43F9-9835-4B75D3DAD48E}"/>
    <cellStyle name="Финансовый 37 3 3 4 6" xfId="16866" xr:uid="{00000000-0005-0000-0000-000044560000}"/>
    <cellStyle name="Финансовый 37 3 3 4 6 2" xfId="33879" xr:uid="{4D29F469-6A35-431D-BAE4-5052536A1A5F}"/>
    <cellStyle name="Финансовый 37 3 3 4 7" xfId="19947" xr:uid="{00000000-0005-0000-0000-000045560000}"/>
    <cellStyle name="Финансовый 37 3 3 4 7 2" xfId="36960" xr:uid="{63BAB94F-0569-491B-9715-447FC5EDF383}"/>
    <cellStyle name="Финансовый 37 3 3 4 8" xfId="27650" xr:uid="{CD30E458-A749-4E74-BF14-6872A98F9188}"/>
    <cellStyle name="Финансовый 37 3 3 5" xfId="10557" xr:uid="{00000000-0005-0000-0000-000046560000}"/>
    <cellStyle name="Финансовый 37 3 3 5 2" xfId="10558" xr:uid="{00000000-0005-0000-0000-000047560000}"/>
    <cellStyle name="Финансовый 37 3 3 5 2 2" xfId="10559" xr:uid="{00000000-0005-0000-0000-000048560000}"/>
    <cellStyle name="Финансовый 37 3 3 5 2 2 2" xfId="13644" xr:uid="{00000000-0005-0000-0000-000049560000}"/>
    <cellStyle name="Финансовый 37 3 3 5 2 2 2 2" xfId="30733" xr:uid="{7857469B-E145-4CD7-BDDC-4193B2B7B343}"/>
    <cellStyle name="Финансовый 37 3 3 5 2 2 3" xfId="16876" xr:uid="{00000000-0005-0000-0000-00004A560000}"/>
    <cellStyle name="Финансовый 37 3 3 5 2 2 3 2" xfId="33889" xr:uid="{DC32880A-7F0C-4B50-9A3C-C5DC0AF63C7D}"/>
    <cellStyle name="Финансовый 37 3 3 5 2 2 4" xfId="19957" xr:uid="{00000000-0005-0000-0000-00004B560000}"/>
    <cellStyle name="Финансовый 37 3 3 5 2 2 4 2" xfId="36970" xr:uid="{52343323-14B1-44F2-B76A-8F3101A4BF20}"/>
    <cellStyle name="Финансовый 37 3 3 5 2 2 5" xfId="27660" xr:uid="{5D11B760-EAB4-41A4-9586-016A8AF9EC05}"/>
    <cellStyle name="Финансовый 37 3 3 5 2 3" xfId="13643" xr:uid="{00000000-0005-0000-0000-00004C560000}"/>
    <cellStyle name="Финансовый 37 3 3 5 2 3 2" xfId="30732" xr:uid="{1FAD0FA0-26DA-4A13-8BC0-70ADC245B7D6}"/>
    <cellStyle name="Финансовый 37 3 3 5 2 4" xfId="16875" xr:uid="{00000000-0005-0000-0000-00004D560000}"/>
    <cellStyle name="Финансовый 37 3 3 5 2 4 2" xfId="33888" xr:uid="{84779AC7-AF0F-4CB9-933C-D4CB3F21795A}"/>
    <cellStyle name="Финансовый 37 3 3 5 2 5" xfId="19956" xr:uid="{00000000-0005-0000-0000-00004E560000}"/>
    <cellStyle name="Финансовый 37 3 3 5 2 5 2" xfId="36969" xr:uid="{E1CBA908-A223-4AA4-B08A-B652AFA1F73F}"/>
    <cellStyle name="Финансовый 37 3 3 5 2 6" xfId="27659" xr:uid="{EC42EF7A-7878-43AD-9BDD-4F197B6963E9}"/>
    <cellStyle name="Финансовый 37 3 3 5 3" xfId="10560" xr:uid="{00000000-0005-0000-0000-00004F560000}"/>
    <cellStyle name="Финансовый 37 3 3 5 3 2" xfId="13645" xr:uid="{00000000-0005-0000-0000-000050560000}"/>
    <cellStyle name="Финансовый 37 3 3 5 3 2 2" xfId="30734" xr:uid="{5379F7D2-5C29-45D3-A16C-A6F7F48B3B66}"/>
    <cellStyle name="Финансовый 37 3 3 5 3 3" xfId="16877" xr:uid="{00000000-0005-0000-0000-000051560000}"/>
    <cellStyle name="Финансовый 37 3 3 5 3 3 2" xfId="33890" xr:uid="{64901869-9D91-477F-8AC4-FD89D08A2F87}"/>
    <cellStyle name="Финансовый 37 3 3 5 3 4" xfId="19958" xr:uid="{00000000-0005-0000-0000-000052560000}"/>
    <cellStyle name="Финансовый 37 3 3 5 3 4 2" xfId="36971" xr:uid="{3D96A891-5D32-4DDC-90B3-D534CF29FD00}"/>
    <cellStyle name="Финансовый 37 3 3 5 3 5" xfId="27661" xr:uid="{73623CED-08AA-4A79-98EF-7B02C3B3058D}"/>
    <cellStyle name="Финансовый 37 3 3 5 4" xfId="13642" xr:uid="{00000000-0005-0000-0000-000053560000}"/>
    <cellStyle name="Финансовый 37 3 3 5 4 2" xfId="30731" xr:uid="{112054C0-2142-4D34-BE5C-62A28F4C910E}"/>
    <cellStyle name="Финансовый 37 3 3 5 5" xfId="16874" xr:uid="{00000000-0005-0000-0000-000054560000}"/>
    <cellStyle name="Финансовый 37 3 3 5 5 2" xfId="33887" xr:uid="{4C3C461F-A070-4F0A-B366-FE660EDBACA5}"/>
    <cellStyle name="Финансовый 37 3 3 5 6" xfId="19955" xr:uid="{00000000-0005-0000-0000-000055560000}"/>
    <cellStyle name="Финансовый 37 3 3 5 6 2" xfId="36968" xr:uid="{09DF8C4A-2BE0-482D-BE1E-935F0DEB06D8}"/>
    <cellStyle name="Финансовый 37 3 3 5 7" xfId="27658" xr:uid="{AB488363-B311-4888-A0FB-9F04A27293A3}"/>
    <cellStyle name="Финансовый 37 3 3 6" xfId="10561" xr:uid="{00000000-0005-0000-0000-000056560000}"/>
    <cellStyle name="Финансовый 37 3 3 6 2" xfId="10562" xr:uid="{00000000-0005-0000-0000-000057560000}"/>
    <cellStyle name="Финансовый 37 3 3 6 2 2" xfId="13647" xr:uid="{00000000-0005-0000-0000-000058560000}"/>
    <cellStyle name="Финансовый 37 3 3 6 2 2 2" xfId="30736" xr:uid="{AB95F827-B500-41CB-BF40-B8F545820624}"/>
    <cellStyle name="Финансовый 37 3 3 6 2 3" xfId="16879" xr:uid="{00000000-0005-0000-0000-000059560000}"/>
    <cellStyle name="Финансовый 37 3 3 6 2 3 2" xfId="33892" xr:uid="{63EE7742-BF53-4BF0-BA41-CBE72B4B54AF}"/>
    <cellStyle name="Финансовый 37 3 3 6 2 4" xfId="19960" xr:uid="{00000000-0005-0000-0000-00005A560000}"/>
    <cellStyle name="Финансовый 37 3 3 6 2 4 2" xfId="36973" xr:uid="{7A4E5068-546A-4964-B599-2CFC5C14DF99}"/>
    <cellStyle name="Финансовый 37 3 3 6 2 5" xfId="27663" xr:uid="{A276B342-275B-4FF8-B097-A61E351711FE}"/>
    <cellStyle name="Финансовый 37 3 3 6 3" xfId="13646" xr:uid="{00000000-0005-0000-0000-00005B560000}"/>
    <cellStyle name="Финансовый 37 3 3 6 3 2" xfId="30735" xr:uid="{B0A0B5BC-DB8B-4D5C-91A3-597BA6FED09E}"/>
    <cellStyle name="Финансовый 37 3 3 6 4" xfId="16878" xr:uid="{00000000-0005-0000-0000-00005C560000}"/>
    <cellStyle name="Финансовый 37 3 3 6 4 2" xfId="33891" xr:uid="{570565B2-E5C3-42C3-8780-09CF08335D70}"/>
    <cellStyle name="Финансовый 37 3 3 6 5" xfId="19959" xr:uid="{00000000-0005-0000-0000-00005D560000}"/>
    <cellStyle name="Финансовый 37 3 3 6 5 2" xfId="36972" xr:uid="{58496250-E3EA-41CB-A12A-AAD0B9B0667C}"/>
    <cellStyle name="Финансовый 37 3 3 6 6" xfId="27662" xr:uid="{68FAE000-C2ED-4397-BFD0-3F8983DC209C}"/>
    <cellStyle name="Финансовый 37 3 3 7" xfId="10563" xr:uid="{00000000-0005-0000-0000-00005E560000}"/>
    <cellStyle name="Финансовый 37 3 3 7 2" xfId="13648" xr:uid="{00000000-0005-0000-0000-00005F560000}"/>
    <cellStyle name="Финансовый 37 3 3 7 2 2" xfId="30737" xr:uid="{80C5F816-9A3B-4ABD-BC66-6FD71D7916E3}"/>
    <cellStyle name="Финансовый 37 3 3 7 3" xfId="16880" xr:uid="{00000000-0005-0000-0000-000060560000}"/>
    <cellStyle name="Финансовый 37 3 3 7 3 2" xfId="33893" xr:uid="{B0F27480-0EC1-44EB-9BE4-371152CCFDB2}"/>
    <cellStyle name="Финансовый 37 3 3 7 4" xfId="19961" xr:uid="{00000000-0005-0000-0000-000061560000}"/>
    <cellStyle name="Финансовый 37 3 3 7 4 2" xfId="36974" xr:uid="{34218618-E556-4AD6-9024-9A05752B2572}"/>
    <cellStyle name="Финансовый 37 3 3 7 5" xfId="27664" xr:uid="{3618065C-8B05-4F60-AC4E-CEBAD1DE7AD2}"/>
    <cellStyle name="Финансовый 37 3 3 8" xfId="13585" xr:uid="{00000000-0005-0000-0000-000062560000}"/>
    <cellStyle name="Финансовый 37 3 3 8 2" xfId="30674" xr:uid="{5F5430A9-5F7D-4A6F-B037-86FE12C74FAC}"/>
    <cellStyle name="Финансовый 37 3 3 9" xfId="16817" xr:uid="{00000000-0005-0000-0000-000063560000}"/>
    <cellStyle name="Финансовый 37 3 3 9 2" xfId="33830" xr:uid="{64782347-7BCD-4C79-A659-FA70127F91DF}"/>
    <cellStyle name="Финансовый 37 3 4" xfId="10564" xr:uid="{00000000-0005-0000-0000-000064560000}"/>
    <cellStyle name="Финансовый 37 3 4 10" xfId="27665" xr:uid="{5033D7ED-2634-4793-BA45-7E0CAF4AC91C}"/>
    <cellStyle name="Финансовый 37 3 4 2" xfId="10565" xr:uid="{00000000-0005-0000-0000-000065560000}"/>
    <cellStyle name="Финансовый 37 3 4 2 2" xfId="10566" xr:uid="{00000000-0005-0000-0000-000066560000}"/>
    <cellStyle name="Финансовый 37 3 4 2 2 2" xfId="10567" xr:uid="{00000000-0005-0000-0000-000067560000}"/>
    <cellStyle name="Финансовый 37 3 4 2 2 2 2" xfId="10568" xr:uid="{00000000-0005-0000-0000-000068560000}"/>
    <cellStyle name="Финансовый 37 3 4 2 2 2 2 2" xfId="10569" xr:uid="{00000000-0005-0000-0000-000069560000}"/>
    <cellStyle name="Финансовый 37 3 4 2 2 2 2 2 2" xfId="13654" xr:uid="{00000000-0005-0000-0000-00006A560000}"/>
    <cellStyle name="Финансовый 37 3 4 2 2 2 2 2 2 2" xfId="30743" xr:uid="{6F15D72C-126C-4295-BF1B-FA932624576F}"/>
    <cellStyle name="Финансовый 37 3 4 2 2 2 2 2 3" xfId="16886" xr:uid="{00000000-0005-0000-0000-00006B560000}"/>
    <cellStyle name="Финансовый 37 3 4 2 2 2 2 2 3 2" xfId="33899" xr:uid="{0FF8F558-B99C-46D9-A2C3-747DD12E6AF8}"/>
    <cellStyle name="Финансовый 37 3 4 2 2 2 2 2 4" xfId="19967" xr:uid="{00000000-0005-0000-0000-00006C560000}"/>
    <cellStyle name="Финансовый 37 3 4 2 2 2 2 2 4 2" xfId="36980" xr:uid="{DBB37BC2-A3C9-42D7-9C23-3D5481C33C63}"/>
    <cellStyle name="Финансовый 37 3 4 2 2 2 2 2 5" xfId="27670" xr:uid="{948BEACA-4953-4C38-9491-46AE8C1338BA}"/>
    <cellStyle name="Финансовый 37 3 4 2 2 2 2 3" xfId="13653" xr:uid="{00000000-0005-0000-0000-00006D560000}"/>
    <cellStyle name="Финансовый 37 3 4 2 2 2 2 3 2" xfId="30742" xr:uid="{278D6A44-4730-4E63-8920-47D7B8D83788}"/>
    <cellStyle name="Финансовый 37 3 4 2 2 2 2 4" xfId="16885" xr:uid="{00000000-0005-0000-0000-00006E560000}"/>
    <cellStyle name="Финансовый 37 3 4 2 2 2 2 4 2" xfId="33898" xr:uid="{33B46C55-626E-4A04-BB7B-598C687582E1}"/>
    <cellStyle name="Финансовый 37 3 4 2 2 2 2 5" xfId="19966" xr:uid="{00000000-0005-0000-0000-00006F560000}"/>
    <cellStyle name="Финансовый 37 3 4 2 2 2 2 5 2" xfId="36979" xr:uid="{FAFF80DD-EF24-4181-81A6-7E8E255B8CD5}"/>
    <cellStyle name="Финансовый 37 3 4 2 2 2 2 6" xfId="27669" xr:uid="{8E569CC0-27EF-4CE6-93D3-8F3069C25288}"/>
    <cellStyle name="Финансовый 37 3 4 2 2 2 3" xfId="10570" xr:uid="{00000000-0005-0000-0000-000070560000}"/>
    <cellStyle name="Финансовый 37 3 4 2 2 2 3 2" xfId="13655" xr:uid="{00000000-0005-0000-0000-000071560000}"/>
    <cellStyle name="Финансовый 37 3 4 2 2 2 3 2 2" xfId="30744" xr:uid="{93462A79-FB81-4D9F-B4EE-EFB7B3D36E99}"/>
    <cellStyle name="Финансовый 37 3 4 2 2 2 3 3" xfId="16887" xr:uid="{00000000-0005-0000-0000-000072560000}"/>
    <cellStyle name="Финансовый 37 3 4 2 2 2 3 3 2" xfId="33900" xr:uid="{A9F52DDE-A4D7-4D2A-B535-923322F33F5A}"/>
    <cellStyle name="Финансовый 37 3 4 2 2 2 3 4" xfId="19968" xr:uid="{00000000-0005-0000-0000-000073560000}"/>
    <cellStyle name="Финансовый 37 3 4 2 2 2 3 4 2" xfId="36981" xr:uid="{F14F3B69-ADF8-4A40-9337-27014C093300}"/>
    <cellStyle name="Финансовый 37 3 4 2 2 2 3 5" xfId="27671" xr:uid="{E23B10CE-565D-479B-85B3-77F686214915}"/>
    <cellStyle name="Финансовый 37 3 4 2 2 2 4" xfId="13652" xr:uid="{00000000-0005-0000-0000-000074560000}"/>
    <cellStyle name="Финансовый 37 3 4 2 2 2 4 2" xfId="30741" xr:uid="{6FB652DB-C445-4C8F-A7DD-E96EA488A29E}"/>
    <cellStyle name="Финансовый 37 3 4 2 2 2 5" xfId="16884" xr:uid="{00000000-0005-0000-0000-000075560000}"/>
    <cellStyle name="Финансовый 37 3 4 2 2 2 5 2" xfId="33897" xr:uid="{A3A4B2A8-B79A-47AB-A523-89AB9D9B6160}"/>
    <cellStyle name="Финансовый 37 3 4 2 2 2 6" xfId="19965" xr:uid="{00000000-0005-0000-0000-000076560000}"/>
    <cellStyle name="Финансовый 37 3 4 2 2 2 6 2" xfId="36978" xr:uid="{C95F66CC-F135-4A16-A25B-72C2EE82EEA0}"/>
    <cellStyle name="Финансовый 37 3 4 2 2 2 7" xfId="27668" xr:uid="{3B02C288-745F-4BCA-B6F7-99D3E7C8F597}"/>
    <cellStyle name="Финансовый 37 3 4 2 2 3" xfId="10571" xr:uid="{00000000-0005-0000-0000-000077560000}"/>
    <cellStyle name="Финансовый 37 3 4 2 2 3 2" xfId="10572" xr:uid="{00000000-0005-0000-0000-000078560000}"/>
    <cellStyle name="Финансовый 37 3 4 2 2 3 2 2" xfId="13657" xr:uid="{00000000-0005-0000-0000-000079560000}"/>
    <cellStyle name="Финансовый 37 3 4 2 2 3 2 2 2" xfId="30746" xr:uid="{8EB69175-336B-4905-960B-81D74196E809}"/>
    <cellStyle name="Финансовый 37 3 4 2 2 3 2 3" xfId="16889" xr:uid="{00000000-0005-0000-0000-00007A560000}"/>
    <cellStyle name="Финансовый 37 3 4 2 2 3 2 3 2" xfId="33902" xr:uid="{D7B82AC9-CB3F-4F07-A69D-494F668B7873}"/>
    <cellStyle name="Финансовый 37 3 4 2 2 3 2 4" xfId="19970" xr:uid="{00000000-0005-0000-0000-00007B560000}"/>
    <cellStyle name="Финансовый 37 3 4 2 2 3 2 4 2" xfId="36983" xr:uid="{FA12415F-29BF-4999-99D7-303541735DDD}"/>
    <cellStyle name="Финансовый 37 3 4 2 2 3 2 5" xfId="27673" xr:uid="{388E2C03-242E-4F61-A196-B9E218A73710}"/>
    <cellStyle name="Финансовый 37 3 4 2 2 3 3" xfId="13656" xr:uid="{00000000-0005-0000-0000-00007C560000}"/>
    <cellStyle name="Финансовый 37 3 4 2 2 3 3 2" xfId="30745" xr:uid="{19EE9A0A-7937-4F16-A72D-BD345B06BC12}"/>
    <cellStyle name="Финансовый 37 3 4 2 2 3 4" xfId="16888" xr:uid="{00000000-0005-0000-0000-00007D560000}"/>
    <cellStyle name="Финансовый 37 3 4 2 2 3 4 2" xfId="33901" xr:uid="{D51DEFD3-3B6E-4DF1-8168-A7C0E22E6D5E}"/>
    <cellStyle name="Финансовый 37 3 4 2 2 3 5" xfId="19969" xr:uid="{00000000-0005-0000-0000-00007E560000}"/>
    <cellStyle name="Финансовый 37 3 4 2 2 3 5 2" xfId="36982" xr:uid="{CC01193E-B8F5-46D6-B6F6-1A5236E9CD7B}"/>
    <cellStyle name="Финансовый 37 3 4 2 2 3 6" xfId="27672" xr:uid="{E9A9CD79-4BAF-4C1D-95CD-93ADFC491327}"/>
    <cellStyle name="Финансовый 37 3 4 2 2 4" xfId="10573" xr:uid="{00000000-0005-0000-0000-00007F560000}"/>
    <cellStyle name="Финансовый 37 3 4 2 2 4 2" xfId="13658" xr:uid="{00000000-0005-0000-0000-000080560000}"/>
    <cellStyle name="Финансовый 37 3 4 2 2 4 2 2" xfId="30747" xr:uid="{444C0582-B746-4FC9-8924-FA63EB25951E}"/>
    <cellStyle name="Финансовый 37 3 4 2 2 4 3" xfId="16890" xr:uid="{00000000-0005-0000-0000-000081560000}"/>
    <cellStyle name="Финансовый 37 3 4 2 2 4 3 2" xfId="33903" xr:uid="{0E199679-3436-41DC-9DB9-9ECB8483CEA6}"/>
    <cellStyle name="Финансовый 37 3 4 2 2 4 4" xfId="19971" xr:uid="{00000000-0005-0000-0000-000082560000}"/>
    <cellStyle name="Финансовый 37 3 4 2 2 4 4 2" xfId="36984" xr:uid="{A095BC73-5BC1-493C-A9F1-C0992EC326EF}"/>
    <cellStyle name="Финансовый 37 3 4 2 2 4 5" xfId="27674" xr:uid="{AA7DE131-D96F-49CE-92EC-B0FD041AB66D}"/>
    <cellStyle name="Финансовый 37 3 4 2 2 5" xfId="13651" xr:uid="{00000000-0005-0000-0000-000083560000}"/>
    <cellStyle name="Финансовый 37 3 4 2 2 5 2" xfId="30740" xr:uid="{244C0EAC-9738-4EB9-852B-77F84AFCDACF}"/>
    <cellStyle name="Финансовый 37 3 4 2 2 6" xfId="16883" xr:uid="{00000000-0005-0000-0000-000084560000}"/>
    <cellStyle name="Финансовый 37 3 4 2 2 6 2" xfId="33896" xr:uid="{E060CBE6-FD79-4F21-9754-F945862D3462}"/>
    <cellStyle name="Финансовый 37 3 4 2 2 7" xfId="19964" xr:uid="{00000000-0005-0000-0000-000085560000}"/>
    <cellStyle name="Финансовый 37 3 4 2 2 7 2" xfId="36977" xr:uid="{55411982-52C2-4B5B-9634-84C693DE0530}"/>
    <cellStyle name="Финансовый 37 3 4 2 2 8" xfId="27667" xr:uid="{0EFA3F18-03A9-46DD-AF58-6FC25B42FA11}"/>
    <cellStyle name="Финансовый 37 3 4 2 3" xfId="10574" xr:uid="{00000000-0005-0000-0000-000086560000}"/>
    <cellStyle name="Финансовый 37 3 4 2 3 2" xfId="10575" xr:uid="{00000000-0005-0000-0000-000087560000}"/>
    <cellStyle name="Финансовый 37 3 4 2 3 2 2" xfId="10576" xr:uid="{00000000-0005-0000-0000-000088560000}"/>
    <cellStyle name="Финансовый 37 3 4 2 3 2 2 2" xfId="13661" xr:uid="{00000000-0005-0000-0000-000089560000}"/>
    <cellStyle name="Финансовый 37 3 4 2 3 2 2 2 2" xfId="30750" xr:uid="{B97FF355-FA37-4188-90B9-84932A606F6B}"/>
    <cellStyle name="Финансовый 37 3 4 2 3 2 2 3" xfId="16893" xr:uid="{00000000-0005-0000-0000-00008A560000}"/>
    <cellStyle name="Финансовый 37 3 4 2 3 2 2 3 2" xfId="33906" xr:uid="{F10B6691-1F8C-40D3-80B1-BBCC8CDEFCAB}"/>
    <cellStyle name="Финансовый 37 3 4 2 3 2 2 4" xfId="19974" xr:uid="{00000000-0005-0000-0000-00008B560000}"/>
    <cellStyle name="Финансовый 37 3 4 2 3 2 2 4 2" xfId="36987" xr:uid="{31AD74A4-410C-42ED-8D16-533AC5F52664}"/>
    <cellStyle name="Финансовый 37 3 4 2 3 2 2 5" xfId="27677" xr:uid="{3474BB99-9BDC-4ECB-ACCB-3CA026A890D6}"/>
    <cellStyle name="Финансовый 37 3 4 2 3 2 3" xfId="13660" xr:uid="{00000000-0005-0000-0000-00008C560000}"/>
    <cellStyle name="Финансовый 37 3 4 2 3 2 3 2" xfId="30749" xr:uid="{D2CC7EB3-6831-4F94-A71A-62D8035D6ADB}"/>
    <cellStyle name="Финансовый 37 3 4 2 3 2 4" xfId="16892" xr:uid="{00000000-0005-0000-0000-00008D560000}"/>
    <cellStyle name="Финансовый 37 3 4 2 3 2 4 2" xfId="33905" xr:uid="{A0D4050C-D1A4-4BCD-BA69-766126A7C297}"/>
    <cellStyle name="Финансовый 37 3 4 2 3 2 5" xfId="19973" xr:uid="{00000000-0005-0000-0000-00008E560000}"/>
    <cellStyle name="Финансовый 37 3 4 2 3 2 5 2" xfId="36986" xr:uid="{40199282-47DB-4BD1-8EC4-D15BECC44DC8}"/>
    <cellStyle name="Финансовый 37 3 4 2 3 2 6" xfId="27676" xr:uid="{B4FD03A5-9326-4D38-9F8D-F20A46DECCFB}"/>
    <cellStyle name="Финансовый 37 3 4 2 3 3" xfId="10577" xr:uid="{00000000-0005-0000-0000-00008F560000}"/>
    <cellStyle name="Финансовый 37 3 4 2 3 3 2" xfId="13662" xr:uid="{00000000-0005-0000-0000-000090560000}"/>
    <cellStyle name="Финансовый 37 3 4 2 3 3 2 2" xfId="30751" xr:uid="{A1AAF744-035F-4E16-BE4D-635BFEEFF53B}"/>
    <cellStyle name="Финансовый 37 3 4 2 3 3 3" xfId="16894" xr:uid="{00000000-0005-0000-0000-000091560000}"/>
    <cellStyle name="Финансовый 37 3 4 2 3 3 3 2" xfId="33907" xr:uid="{17C3EB42-8BC5-47B9-A776-B39F29379CCA}"/>
    <cellStyle name="Финансовый 37 3 4 2 3 3 4" xfId="19975" xr:uid="{00000000-0005-0000-0000-000092560000}"/>
    <cellStyle name="Финансовый 37 3 4 2 3 3 4 2" xfId="36988" xr:uid="{BD4EDA42-665A-471A-AFFB-7BCF4CF915BD}"/>
    <cellStyle name="Финансовый 37 3 4 2 3 3 5" xfId="27678" xr:uid="{D03DB3D6-C7ED-4B0C-9A7A-76502CDDB67E}"/>
    <cellStyle name="Финансовый 37 3 4 2 3 4" xfId="13659" xr:uid="{00000000-0005-0000-0000-000093560000}"/>
    <cellStyle name="Финансовый 37 3 4 2 3 4 2" xfId="30748" xr:uid="{8B5E235E-80ED-4E7D-B8DC-FE4A39CB679B}"/>
    <cellStyle name="Финансовый 37 3 4 2 3 5" xfId="16891" xr:uid="{00000000-0005-0000-0000-000094560000}"/>
    <cellStyle name="Финансовый 37 3 4 2 3 5 2" xfId="33904" xr:uid="{937CE167-C7B3-406A-97E4-D51764B10738}"/>
    <cellStyle name="Финансовый 37 3 4 2 3 6" xfId="19972" xr:uid="{00000000-0005-0000-0000-000095560000}"/>
    <cellStyle name="Финансовый 37 3 4 2 3 6 2" xfId="36985" xr:uid="{9D5FAC0B-F60C-4853-840A-A636A46A873F}"/>
    <cellStyle name="Финансовый 37 3 4 2 3 7" xfId="27675" xr:uid="{3D9363A6-4AAC-4021-A9FF-50BACC8A18BC}"/>
    <cellStyle name="Финансовый 37 3 4 2 4" xfId="10578" xr:uid="{00000000-0005-0000-0000-000096560000}"/>
    <cellStyle name="Финансовый 37 3 4 2 4 2" xfId="10579" xr:uid="{00000000-0005-0000-0000-000097560000}"/>
    <cellStyle name="Финансовый 37 3 4 2 4 2 2" xfId="13664" xr:uid="{00000000-0005-0000-0000-000098560000}"/>
    <cellStyle name="Финансовый 37 3 4 2 4 2 2 2" xfId="30753" xr:uid="{F955A11F-7364-4F18-8AC1-3723A137701D}"/>
    <cellStyle name="Финансовый 37 3 4 2 4 2 3" xfId="16896" xr:uid="{00000000-0005-0000-0000-000099560000}"/>
    <cellStyle name="Финансовый 37 3 4 2 4 2 3 2" xfId="33909" xr:uid="{B0343D64-FBD4-469C-B169-04E67EE1DE61}"/>
    <cellStyle name="Финансовый 37 3 4 2 4 2 4" xfId="19977" xr:uid="{00000000-0005-0000-0000-00009A560000}"/>
    <cellStyle name="Финансовый 37 3 4 2 4 2 4 2" xfId="36990" xr:uid="{7D282BB2-87C8-4548-B6C7-5AA9E5F9F0D1}"/>
    <cellStyle name="Финансовый 37 3 4 2 4 2 5" xfId="27680" xr:uid="{DF8702A9-17CE-4775-857B-868F9B5020FD}"/>
    <cellStyle name="Финансовый 37 3 4 2 4 3" xfId="13663" xr:uid="{00000000-0005-0000-0000-00009B560000}"/>
    <cellStyle name="Финансовый 37 3 4 2 4 3 2" xfId="30752" xr:uid="{D3BBF875-AC7B-4976-834D-6479126EB8DC}"/>
    <cellStyle name="Финансовый 37 3 4 2 4 4" xfId="16895" xr:uid="{00000000-0005-0000-0000-00009C560000}"/>
    <cellStyle name="Финансовый 37 3 4 2 4 4 2" xfId="33908" xr:uid="{55AD3F10-F447-40BB-9284-FB6B8AE36F9F}"/>
    <cellStyle name="Финансовый 37 3 4 2 4 5" xfId="19976" xr:uid="{00000000-0005-0000-0000-00009D560000}"/>
    <cellStyle name="Финансовый 37 3 4 2 4 5 2" xfId="36989" xr:uid="{D938BE34-FE61-475C-ABCB-D8504F8FDE01}"/>
    <cellStyle name="Финансовый 37 3 4 2 4 6" xfId="27679" xr:uid="{085B4F55-63BE-40A8-A7FE-4A429C48837D}"/>
    <cellStyle name="Финансовый 37 3 4 2 5" xfId="10580" xr:uid="{00000000-0005-0000-0000-00009E560000}"/>
    <cellStyle name="Финансовый 37 3 4 2 5 2" xfId="13665" xr:uid="{00000000-0005-0000-0000-00009F560000}"/>
    <cellStyle name="Финансовый 37 3 4 2 5 2 2" xfId="30754" xr:uid="{FFB8B100-A14A-40D2-99D5-01934388A4E2}"/>
    <cellStyle name="Финансовый 37 3 4 2 5 3" xfId="16897" xr:uid="{00000000-0005-0000-0000-0000A0560000}"/>
    <cellStyle name="Финансовый 37 3 4 2 5 3 2" xfId="33910" xr:uid="{08A23C45-4C0E-4200-AC21-21901548EBAE}"/>
    <cellStyle name="Финансовый 37 3 4 2 5 4" xfId="19978" xr:uid="{00000000-0005-0000-0000-0000A1560000}"/>
    <cellStyle name="Финансовый 37 3 4 2 5 4 2" xfId="36991" xr:uid="{1AF09DE4-C74D-422C-BE47-1B60151D484C}"/>
    <cellStyle name="Финансовый 37 3 4 2 5 5" xfId="27681" xr:uid="{D6292453-053C-4B4E-94A6-82C4ED28EA5C}"/>
    <cellStyle name="Финансовый 37 3 4 2 6" xfId="13650" xr:uid="{00000000-0005-0000-0000-0000A2560000}"/>
    <cellStyle name="Финансовый 37 3 4 2 6 2" xfId="30739" xr:uid="{B8863CC4-7A16-4F6B-9166-B3D194E126B0}"/>
    <cellStyle name="Финансовый 37 3 4 2 7" xfId="16882" xr:uid="{00000000-0005-0000-0000-0000A3560000}"/>
    <cellStyle name="Финансовый 37 3 4 2 7 2" xfId="33895" xr:uid="{1FB74AD1-99FD-44D0-A24A-FD55FDE1ACE3}"/>
    <cellStyle name="Финансовый 37 3 4 2 8" xfId="19963" xr:uid="{00000000-0005-0000-0000-0000A4560000}"/>
    <cellStyle name="Финансовый 37 3 4 2 8 2" xfId="36976" xr:uid="{F749E8B0-8478-407A-8720-35C8FF0B089C}"/>
    <cellStyle name="Финансовый 37 3 4 2 9" xfId="27666" xr:uid="{D39275F2-8E69-4C67-84C4-BC6E02658BBF}"/>
    <cellStyle name="Финансовый 37 3 4 3" xfId="10581" xr:uid="{00000000-0005-0000-0000-0000A5560000}"/>
    <cellStyle name="Финансовый 37 3 4 3 2" xfId="10582" xr:uid="{00000000-0005-0000-0000-0000A6560000}"/>
    <cellStyle name="Финансовый 37 3 4 3 2 2" xfId="10583" xr:uid="{00000000-0005-0000-0000-0000A7560000}"/>
    <cellStyle name="Финансовый 37 3 4 3 2 2 2" xfId="10584" xr:uid="{00000000-0005-0000-0000-0000A8560000}"/>
    <cellStyle name="Финансовый 37 3 4 3 2 2 2 2" xfId="13669" xr:uid="{00000000-0005-0000-0000-0000A9560000}"/>
    <cellStyle name="Финансовый 37 3 4 3 2 2 2 2 2" xfId="30758" xr:uid="{0A5429E1-C41A-457D-BDD8-7EC6EBF728FE}"/>
    <cellStyle name="Финансовый 37 3 4 3 2 2 2 3" xfId="16901" xr:uid="{00000000-0005-0000-0000-0000AA560000}"/>
    <cellStyle name="Финансовый 37 3 4 3 2 2 2 3 2" xfId="33914" xr:uid="{8608EAB2-C4A1-455C-BB70-7150DA2D6916}"/>
    <cellStyle name="Финансовый 37 3 4 3 2 2 2 4" xfId="19982" xr:uid="{00000000-0005-0000-0000-0000AB560000}"/>
    <cellStyle name="Финансовый 37 3 4 3 2 2 2 4 2" xfId="36995" xr:uid="{55D22AF2-FBB0-4A09-BB57-648989453B1E}"/>
    <cellStyle name="Финансовый 37 3 4 3 2 2 2 5" xfId="27685" xr:uid="{3EAB4D8B-F367-4073-83AC-C55C94908DAF}"/>
    <cellStyle name="Финансовый 37 3 4 3 2 2 3" xfId="13668" xr:uid="{00000000-0005-0000-0000-0000AC560000}"/>
    <cellStyle name="Финансовый 37 3 4 3 2 2 3 2" xfId="30757" xr:uid="{FB168084-A72B-49D6-8FA1-FA9A7572E4C7}"/>
    <cellStyle name="Финансовый 37 3 4 3 2 2 4" xfId="16900" xr:uid="{00000000-0005-0000-0000-0000AD560000}"/>
    <cellStyle name="Финансовый 37 3 4 3 2 2 4 2" xfId="33913" xr:uid="{68FAA544-00B5-406F-9360-761E91C92758}"/>
    <cellStyle name="Финансовый 37 3 4 3 2 2 5" xfId="19981" xr:uid="{00000000-0005-0000-0000-0000AE560000}"/>
    <cellStyle name="Финансовый 37 3 4 3 2 2 5 2" xfId="36994" xr:uid="{896B625E-3AC7-491D-9386-380080C56C56}"/>
    <cellStyle name="Финансовый 37 3 4 3 2 2 6" xfId="27684" xr:uid="{01293E51-9F9A-4AAE-AACE-C379B27EB1E0}"/>
    <cellStyle name="Финансовый 37 3 4 3 2 3" xfId="10585" xr:uid="{00000000-0005-0000-0000-0000AF560000}"/>
    <cellStyle name="Финансовый 37 3 4 3 2 3 2" xfId="13670" xr:uid="{00000000-0005-0000-0000-0000B0560000}"/>
    <cellStyle name="Финансовый 37 3 4 3 2 3 2 2" xfId="30759" xr:uid="{251E2DCA-12AC-43F4-8B27-AEC1EBF9A764}"/>
    <cellStyle name="Финансовый 37 3 4 3 2 3 3" xfId="16902" xr:uid="{00000000-0005-0000-0000-0000B1560000}"/>
    <cellStyle name="Финансовый 37 3 4 3 2 3 3 2" xfId="33915" xr:uid="{F3043E98-6F2D-4623-873B-DD42BA2EF8C1}"/>
    <cellStyle name="Финансовый 37 3 4 3 2 3 4" xfId="19983" xr:uid="{00000000-0005-0000-0000-0000B2560000}"/>
    <cellStyle name="Финансовый 37 3 4 3 2 3 4 2" xfId="36996" xr:uid="{8E3694A5-8356-4319-9DD9-6A83E1C197AF}"/>
    <cellStyle name="Финансовый 37 3 4 3 2 3 5" xfId="27686" xr:uid="{29D1AB3D-C312-408A-9FEB-496D09EEA540}"/>
    <cellStyle name="Финансовый 37 3 4 3 2 4" xfId="13667" xr:uid="{00000000-0005-0000-0000-0000B3560000}"/>
    <cellStyle name="Финансовый 37 3 4 3 2 4 2" xfId="30756" xr:uid="{5DA6B443-5262-4E69-969D-E40F4CFA6F6B}"/>
    <cellStyle name="Финансовый 37 3 4 3 2 5" xfId="16899" xr:uid="{00000000-0005-0000-0000-0000B4560000}"/>
    <cellStyle name="Финансовый 37 3 4 3 2 5 2" xfId="33912" xr:uid="{D8196B19-9502-46E1-84E4-BFBA38EE1936}"/>
    <cellStyle name="Финансовый 37 3 4 3 2 6" xfId="19980" xr:uid="{00000000-0005-0000-0000-0000B5560000}"/>
    <cellStyle name="Финансовый 37 3 4 3 2 6 2" xfId="36993" xr:uid="{93F36E0B-741B-4E54-8423-EC485CB21651}"/>
    <cellStyle name="Финансовый 37 3 4 3 2 7" xfId="27683" xr:uid="{83B2C5A5-B097-4F93-B050-084101FBFE6D}"/>
    <cellStyle name="Финансовый 37 3 4 3 3" xfId="10586" xr:uid="{00000000-0005-0000-0000-0000B6560000}"/>
    <cellStyle name="Финансовый 37 3 4 3 3 2" xfId="10587" xr:uid="{00000000-0005-0000-0000-0000B7560000}"/>
    <cellStyle name="Финансовый 37 3 4 3 3 2 2" xfId="13672" xr:uid="{00000000-0005-0000-0000-0000B8560000}"/>
    <cellStyle name="Финансовый 37 3 4 3 3 2 2 2" xfId="30761" xr:uid="{7E3CB3B8-3EE4-4019-B92D-F7893DBEAB4D}"/>
    <cellStyle name="Финансовый 37 3 4 3 3 2 3" xfId="16904" xr:uid="{00000000-0005-0000-0000-0000B9560000}"/>
    <cellStyle name="Финансовый 37 3 4 3 3 2 3 2" xfId="33917" xr:uid="{F0BFC379-D8AE-4B57-B1C2-6B13ED4ABC96}"/>
    <cellStyle name="Финансовый 37 3 4 3 3 2 4" xfId="19985" xr:uid="{00000000-0005-0000-0000-0000BA560000}"/>
    <cellStyle name="Финансовый 37 3 4 3 3 2 4 2" xfId="36998" xr:uid="{75C172D2-F05E-4FF2-9CBE-E844C7AE66C4}"/>
    <cellStyle name="Финансовый 37 3 4 3 3 2 5" xfId="27688" xr:uid="{47D783C9-D17E-4A46-A339-0DA7E9B5FCD5}"/>
    <cellStyle name="Финансовый 37 3 4 3 3 3" xfId="13671" xr:uid="{00000000-0005-0000-0000-0000BB560000}"/>
    <cellStyle name="Финансовый 37 3 4 3 3 3 2" xfId="30760" xr:uid="{CBD37C2C-71EB-4DDD-80F0-54E3B45AE2CD}"/>
    <cellStyle name="Финансовый 37 3 4 3 3 4" xfId="16903" xr:uid="{00000000-0005-0000-0000-0000BC560000}"/>
    <cellStyle name="Финансовый 37 3 4 3 3 4 2" xfId="33916" xr:uid="{03D4D0DC-0AB1-4B3A-85ED-B9B9509768E0}"/>
    <cellStyle name="Финансовый 37 3 4 3 3 5" xfId="19984" xr:uid="{00000000-0005-0000-0000-0000BD560000}"/>
    <cellStyle name="Финансовый 37 3 4 3 3 5 2" xfId="36997" xr:uid="{995E105D-F7EF-4BE1-B9C7-5CA4779B797D}"/>
    <cellStyle name="Финансовый 37 3 4 3 3 6" xfId="27687" xr:uid="{40157516-743F-4B8A-9AA8-6D09207F5BAC}"/>
    <cellStyle name="Финансовый 37 3 4 3 4" xfId="10588" xr:uid="{00000000-0005-0000-0000-0000BE560000}"/>
    <cellStyle name="Финансовый 37 3 4 3 4 2" xfId="13673" xr:uid="{00000000-0005-0000-0000-0000BF560000}"/>
    <cellStyle name="Финансовый 37 3 4 3 4 2 2" xfId="30762" xr:uid="{E73A7956-03CC-4913-AC3C-B6E3D1444220}"/>
    <cellStyle name="Финансовый 37 3 4 3 4 3" xfId="16905" xr:uid="{00000000-0005-0000-0000-0000C0560000}"/>
    <cellStyle name="Финансовый 37 3 4 3 4 3 2" xfId="33918" xr:uid="{845F3BEA-3BA2-45E8-9AF9-481BE0448C8F}"/>
    <cellStyle name="Финансовый 37 3 4 3 4 4" xfId="19986" xr:uid="{00000000-0005-0000-0000-0000C1560000}"/>
    <cellStyle name="Финансовый 37 3 4 3 4 4 2" xfId="36999" xr:uid="{8168B03C-F41D-4386-A54F-B61A42268D56}"/>
    <cellStyle name="Финансовый 37 3 4 3 4 5" xfId="27689" xr:uid="{8EBD09E1-A0F2-400E-912C-CA8DB92EE4E6}"/>
    <cellStyle name="Финансовый 37 3 4 3 5" xfId="13666" xr:uid="{00000000-0005-0000-0000-0000C2560000}"/>
    <cellStyle name="Финансовый 37 3 4 3 5 2" xfId="30755" xr:uid="{226E949A-08BD-4719-9E9D-3F90F11CA519}"/>
    <cellStyle name="Финансовый 37 3 4 3 6" xfId="16898" xr:uid="{00000000-0005-0000-0000-0000C3560000}"/>
    <cellStyle name="Финансовый 37 3 4 3 6 2" xfId="33911" xr:uid="{A8B4C9D4-4FC0-464D-8A1C-014A7DB7A5DF}"/>
    <cellStyle name="Финансовый 37 3 4 3 7" xfId="19979" xr:uid="{00000000-0005-0000-0000-0000C4560000}"/>
    <cellStyle name="Финансовый 37 3 4 3 7 2" xfId="36992" xr:uid="{A48C7330-AEC8-477D-B252-651A3D990495}"/>
    <cellStyle name="Финансовый 37 3 4 3 8" xfId="27682" xr:uid="{B55428A2-BF98-44AD-8592-62A3039E1674}"/>
    <cellStyle name="Финансовый 37 3 4 4" xfId="10589" xr:uid="{00000000-0005-0000-0000-0000C5560000}"/>
    <cellStyle name="Финансовый 37 3 4 4 2" xfId="10590" xr:uid="{00000000-0005-0000-0000-0000C6560000}"/>
    <cellStyle name="Финансовый 37 3 4 4 2 2" xfId="10591" xr:uid="{00000000-0005-0000-0000-0000C7560000}"/>
    <cellStyle name="Финансовый 37 3 4 4 2 2 2" xfId="13676" xr:uid="{00000000-0005-0000-0000-0000C8560000}"/>
    <cellStyle name="Финансовый 37 3 4 4 2 2 2 2" xfId="30765" xr:uid="{CADD0A0C-B636-4F70-8567-60CE5426D7ED}"/>
    <cellStyle name="Финансовый 37 3 4 4 2 2 3" xfId="16908" xr:uid="{00000000-0005-0000-0000-0000C9560000}"/>
    <cellStyle name="Финансовый 37 3 4 4 2 2 3 2" xfId="33921" xr:uid="{4EAC7BCC-FD98-4874-B80F-BDB551163C82}"/>
    <cellStyle name="Финансовый 37 3 4 4 2 2 4" xfId="19989" xr:uid="{00000000-0005-0000-0000-0000CA560000}"/>
    <cellStyle name="Финансовый 37 3 4 4 2 2 4 2" xfId="37002" xr:uid="{07C75129-48CA-4A4D-BCA3-B2EB975A813B}"/>
    <cellStyle name="Финансовый 37 3 4 4 2 2 5" xfId="27692" xr:uid="{CD25A4E9-BBCA-4B5A-8FBA-019AB3CA6799}"/>
    <cellStyle name="Финансовый 37 3 4 4 2 3" xfId="13675" xr:uid="{00000000-0005-0000-0000-0000CB560000}"/>
    <cellStyle name="Финансовый 37 3 4 4 2 3 2" xfId="30764" xr:uid="{4E87B65A-2BB0-441F-8517-91ECB799155B}"/>
    <cellStyle name="Финансовый 37 3 4 4 2 4" xfId="16907" xr:uid="{00000000-0005-0000-0000-0000CC560000}"/>
    <cellStyle name="Финансовый 37 3 4 4 2 4 2" xfId="33920" xr:uid="{AC843F5D-FC83-4830-BF7C-8FD21F081D67}"/>
    <cellStyle name="Финансовый 37 3 4 4 2 5" xfId="19988" xr:uid="{00000000-0005-0000-0000-0000CD560000}"/>
    <cellStyle name="Финансовый 37 3 4 4 2 5 2" xfId="37001" xr:uid="{AE0A0204-710A-4B7D-9655-3A81D5AE70C3}"/>
    <cellStyle name="Финансовый 37 3 4 4 2 6" xfId="27691" xr:uid="{44798590-7FDA-4C93-A397-89973B84DE75}"/>
    <cellStyle name="Финансовый 37 3 4 4 3" xfId="10592" xr:uid="{00000000-0005-0000-0000-0000CE560000}"/>
    <cellStyle name="Финансовый 37 3 4 4 3 2" xfId="13677" xr:uid="{00000000-0005-0000-0000-0000CF560000}"/>
    <cellStyle name="Финансовый 37 3 4 4 3 2 2" xfId="30766" xr:uid="{C14A33FD-B7F5-4CBD-98FD-CB7BC049CED1}"/>
    <cellStyle name="Финансовый 37 3 4 4 3 3" xfId="16909" xr:uid="{00000000-0005-0000-0000-0000D0560000}"/>
    <cellStyle name="Финансовый 37 3 4 4 3 3 2" xfId="33922" xr:uid="{5E88EDEA-C57A-4072-8CCA-56D5A5D4C25C}"/>
    <cellStyle name="Финансовый 37 3 4 4 3 4" xfId="19990" xr:uid="{00000000-0005-0000-0000-0000D1560000}"/>
    <cellStyle name="Финансовый 37 3 4 4 3 4 2" xfId="37003" xr:uid="{4ED53E27-C612-4502-809C-9DE22B169CD2}"/>
    <cellStyle name="Финансовый 37 3 4 4 3 5" xfId="27693" xr:uid="{5B29A1B3-D8E6-402F-B690-83A46C47BE27}"/>
    <cellStyle name="Финансовый 37 3 4 4 4" xfId="13674" xr:uid="{00000000-0005-0000-0000-0000D2560000}"/>
    <cellStyle name="Финансовый 37 3 4 4 4 2" xfId="30763" xr:uid="{B9CD6412-8A46-4BC0-8B1A-C4D615638813}"/>
    <cellStyle name="Финансовый 37 3 4 4 5" xfId="16906" xr:uid="{00000000-0005-0000-0000-0000D3560000}"/>
    <cellStyle name="Финансовый 37 3 4 4 5 2" xfId="33919" xr:uid="{E30B5D37-55AF-472E-A975-2B7ABB3CA346}"/>
    <cellStyle name="Финансовый 37 3 4 4 6" xfId="19987" xr:uid="{00000000-0005-0000-0000-0000D4560000}"/>
    <cellStyle name="Финансовый 37 3 4 4 6 2" xfId="37000" xr:uid="{FE44BB63-7D04-4DCF-BA81-F2079F9D3593}"/>
    <cellStyle name="Финансовый 37 3 4 4 7" xfId="27690" xr:uid="{3169B2E3-A610-4A5C-A16B-9CAB51493123}"/>
    <cellStyle name="Финансовый 37 3 4 5" xfId="10593" xr:uid="{00000000-0005-0000-0000-0000D5560000}"/>
    <cellStyle name="Финансовый 37 3 4 5 2" xfId="10594" xr:uid="{00000000-0005-0000-0000-0000D6560000}"/>
    <cellStyle name="Финансовый 37 3 4 5 2 2" xfId="13679" xr:uid="{00000000-0005-0000-0000-0000D7560000}"/>
    <cellStyle name="Финансовый 37 3 4 5 2 2 2" xfId="30768" xr:uid="{7900266A-12DE-4665-9F35-D4C759E0F32F}"/>
    <cellStyle name="Финансовый 37 3 4 5 2 3" xfId="16911" xr:uid="{00000000-0005-0000-0000-0000D8560000}"/>
    <cellStyle name="Финансовый 37 3 4 5 2 3 2" xfId="33924" xr:uid="{961265D0-9245-4EC5-842E-F7E607F350DE}"/>
    <cellStyle name="Финансовый 37 3 4 5 2 4" xfId="19992" xr:uid="{00000000-0005-0000-0000-0000D9560000}"/>
    <cellStyle name="Финансовый 37 3 4 5 2 4 2" xfId="37005" xr:uid="{D0B66C4D-2B46-409F-8FC4-12B9A699CB34}"/>
    <cellStyle name="Финансовый 37 3 4 5 2 5" xfId="27695" xr:uid="{DF6CC1C9-CBEE-4894-8771-E379EEDED819}"/>
    <cellStyle name="Финансовый 37 3 4 5 3" xfId="13678" xr:uid="{00000000-0005-0000-0000-0000DA560000}"/>
    <cellStyle name="Финансовый 37 3 4 5 3 2" xfId="30767" xr:uid="{F7C6708C-1BA3-49A0-AEE2-3DEC1D8FBCF9}"/>
    <cellStyle name="Финансовый 37 3 4 5 4" xfId="16910" xr:uid="{00000000-0005-0000-0000-0000DB560000}"/>
    <cellStyle name="Финансовый 37 3 4 5 4 2" xfId="33923" xr:uid="{FC574100-DD00-4C68-9A7B-DB07FD719C06}"/>
    <cellStyle name="Финансовый 37 3 4 5 5" xfId="19991" xr:uid="{00000000-0005-0000-0000-0000DC560000}"/>
    <cellStyle name="Финансовый 37 3 4 5 5 2" xfId="37004" xr:uid="{D1C25F9B-49E8-4D5A-9F98-0BDF0E3B8D2D}"/>
    <cellStyle name="Финансовый 37 3 4 5 6" xfId="27694" xr:uid="{C3712CE3-2A12-4DB8-8E7C-D9A10A87BD52}"/>
    <cellStyle name="Финансовый 37 3 4 6" xfId="10595" xr:uid="{00000000-0005-0000-0000-0000DD560000}"/>
    <cellStyle name="Финансовый 37 3 4 6 2" xfId="13680" xr:uid="{00000000-0005-0000-0000-0000DE560000}"/>
    <cellStyle name="Финансовый 37 3 4 6 2 2" xfId="30769" xr:uid="{48727683-5B88-47B3-83C7-7A71D2BE60A6}"/>
    <cellStyle name="Финансовый 37 3 4 6 3" xfId="16912" xr:uid="{00000000-0005-0000-0000-0000DF560000}"/>
    <cellStyle name="Финансовый 37 3 4 6 3 2" xfId="33925" xr:uid="{BC8D049D-4BCA-46E9-A030-8F4F8BA36DF6}"/>
    <cellStyle name="Финансовый 37 3 4 6 4" xfId="19993" xr:uid="{00000000-0005-0000-0000-0000E0560000}"/>
    <cellStyle name="Финансовый 37 3 4 6 4 2" xfId="37006" xr:uid="{757130B0-4C27-44CF-9528-EC28FA8A1BA1}"/>
    <cellStyle name="Финансовый 37 3 4 6 5" xfId="27696" xr:uid="{51A57E39-C209-4F73-8F80-222D10311ACC}"/>
    <cellStyle name="Финансовый 37 3 4 7" xfId="13649" xr:uid="{00000000-0005-0000-0000-0000E1560000}"/>
    <cellStyle name="Финансовый 37 3 4 7 2" xfId="30738" xr:uid="{432E51C6-1C76-4219-ABDA-B47EE7F1CB9F}"/>
    <cellStyle name="Финансовый 37 3 4 8" xfId="16881" xr:uid="{00000000-0005-0000-0000-0000E2560000}"/>
    <cellStyle name="Финансовый 37 3 4 8 2" xfId="33894" xr:uid="{3C55452E-19D2-4773-982F-EFCCD7D8457A}"/>
    <cellStyle name="Финансовый 37 3 4 9" xfId="19962" xr:uid="{00000000-0005-0000-0000-0000E3560000}"/>
    <cellStyle name="Финансовый 37 3 4 9 2" xfId="36975" xr:uid="{4835B0A9-B1F4-40C8-8FEE-FCAE83A41C65}"/>
    <cellStyle name="Финансовый 37 3 5" xfId="10596" xr:uid="{00000000-0005-0000-0000-0000E4560000}"/>
    <cellStyle name="Финансовый 37 3 5 2" xfId="10597" xr:uid="{00000000-0005-0000-0000-0000E5560000}"/>
    <cellStyle name="Финансовый 37 3 5 2 2" xfId="10598" xr:uid="{00000000-0005-0000-0000-0000E6560000}"/>
    <cellStyle name="Финансовый 37 3 5 2 2 2" xfId="10599" xr:uid="{00000000-0005-0000-0000-0000E7560000}"/>
    <cellStyle name="Финансовый 37 3 5 2 2 2 2" xfId="10600" xr:uid="{00000000-0005-0000-0000-0000E8560000}"/>
    <cellStyle name="Финансовый 37 3 5 2 2 2 2 2" xfId="13685" xr:uid="{00000000-0005-0000-0000-0000E9560000}"/>
    <cellStyle name="Финансовый 37 3 5 2 2 2 2 2 2" xfId="30774" xr:uid="{7A3BE55E-1D76-4CF5-9BA7-B99103A71BEB}"/>
    <cellStyle name="Финансовый 37 3 5 2 2 2 2 3" xfId="16917" xr:uid="{00000000-0005-0000-0000-0000EA560000}"/>
    <cellStyle name="Финансовый 37 3 5 2 2 2 2 3 2" xfId="33930" xr:uid="{769D9B38-9F08-4FC3-9B8A-F41CB16780CE}"/>
    <cellStyle name="Финансовый 37 3 5 2 2 2 2 4" xfId="19998" xr:uid="{00000000-0005-0000-0000-0000EB560000}"/>
    <cellStyle name="Финансовый 37 3 5 2 2 2 2 4 2" xfId="37011" xr:uid="{F3356E66-F67E-47BF-AF4E-200987A38654}"/>
    <cellStyle name="Финансовый 37 3 5 2 2 2 2 5" xfId="27701" xr:uid="{709661BC-B413-480B-93DC-51E94483976A}"/>
    <cellStyle name="Финансовый 37 3 5 2 2 2 3" xfId="13684" xr:uid="{00000000-0005-0000-0000-0000EC560000}"/>
    <cellStyle name="Финансовый 37 3 5 2 2 2 3 2" xfId="30773" xr:uid="{E87E827E-95E1-4512-83FB-0FE10D3AC9C1}"/>
    <cellStyle name="Финансовый 37 3 5 2 2 2 4" xfId="16916" xr:uid="{00000000-0005-0000-0000-0000ED560000}"/>
    <cellStyle name="Финансовый 37 3 5 2 2 2 4 2" xfId="33929" xr:uid="{FABD91D7-970C-4E65-9A4B-7023B530DE47}"/>
    <cellStyle name="Финансовый 37 3 5 2 2 2 5" xfId="19997" xr:uid="{00000000-0005-0000-0000-0000EE560000}"/>
    <cellStyle name="Финансовый 37 3 5 2 2 2 5 2" xfId="37010" xr:uid="{159BEEA6-62F4-44AA-B0F3-A81F1991EE13}"/>
    <cellStyle name="Финансовый 37 3 5 2 2 2 6" xfId="27700" xr:uid="{FE22CBC5-464F-472B-9DB8-D4F92D5D0072}"/>
    <cellStyle name="Финансовый 37 3 5 2 2 3" xfId="10601" xr:uid="{00000000-0005-0000-0000-0000EF560000}"/>
    <cellStyle name="Финансовый 37 3 5 2 2 3 2" xfId="13686" xr:uid="{00000000-0005-0000-0000-0000F0560000}"/>
    <cellStyle name="Финансовый 37 3 5 2 2 3 2 2" xfId="30775" xr:uid="{5D4A5478-9FF2-4977-84BB-922C55144784}"/>
    <cellStyle name="Финансовый 37 3 5 2 2 3 3" xfId="16918" xr:uid="{00000000-0005-0000-0000-0000F1560000}"/>
    <cellStyle name="Финансовый 37 3 5 2 2 3 3 2" xfId="33931" xr:uid="{9C62368B-E60A-4769-85BE-34CA8BF601D1}"/>
    <cellStyle name="Финансовый 37 3 5 2 2 3 4" xfId="19999" xr:uid="{00000000-0005-0000-0000-0000F2560000}"/>
    <cellStyle name="Финансовый 37 3 5 2 2 3 4 2" xfId="37012" xr:uid="{BED50741-2C16-4DD8-B329-604DF8CA9A2C}"/>
    <cellStyle name="Финансовый 37 3 5 2 2 3 5" xfId="27702" xr:uid="{3655ECA0-4405-4190-8A0B-88ECB996C4C9}"/>
    <cellStyle name="Финансовый 37 3 5 2 2 4" xfId="13683" xr:uid="{00000000-0005-0000-0000-0000F3560000}"/>
    <cellStyle name="Финансовый 37 3 5 2 2 4 2" xfId="30772" xr:uid="{B34D1B4F-0AA1-493F-9825-96B814D52860}"/>
    <cellStyle name="Финансовый 37 3 5 2 2 5" xfId="16915" xr:uid="{00000000-0005-0000-0000-0000F4560000}"/>
    <cellStyle name="Финансовый 37 3 5 2 2 5 2" xfId="33928" xr:uid="{FE6A44BD-950B-4A2D-897D-82CE76CE2419}"/>
    <cellStyle name="Финансовый 37 3 5 2 2 6" xfId="19996" xr:uid="{00000000-0005-0000-0000-0000F5560000}"/>
    <cellStyle name="Финансовый 37 3 5 2 2 6 2" xfId="37009" xr:uid="{077F8828-E357-4935-BF16-46383293DFA7}"/>
    <cellStyle name="Финансовый 37 3 5 2 2 7" xfId="27699" xr:uid="{37637092-D0BD-44D5-9397-CEC44FBAD4EE}"/>
    <cellStyle name="Финансовый 37 3 5 2 3" xfId="10602" xr:uid="{00000000-0005-0000-0000-0000F6560000}"/>
    <cellStyle name="Финансовый 37 3 5 2 3 2" xfId="10603" xr:uid="{00000000-0005-0000-0000-0000F7560000}"/>
    <cellStyle name="Финансовый 37 3 5 2 3 2 2" xfId="13688" xr:uid="{00000000-0005-0000-0000-0000F8560000}"/>
    <cellStyle name="Финансовый 37 3 5 2 3 2 2 2" xfId="30777" xr:uid="{9E65559E-524C-4D30-85ED-125595B689FB}"/>
    <cellStyle name="Финансовый 37 3 5 2 3 2 3" xfId="16920" xr:uid="{00000000-0005-0000-0000-0000F9560000}"/>
    <cellStyle name="Финансовый 37 3 5 2 3 2 3 2" xfId="33933" xr:uid="{D371CC79-6C0E-4FF7-9FFE-E459951F3EBB}"/>
    <cellStyle name="Финансовый 37 3 5 2 3 2 4" xfId="20001" xr:uid="{00000000-0005-0000-0000-0000FA560000}"/>
    <cellStyle name="Финансовый 37 3 5 2 3 2 4 2" xfId="37014" xr:uid="{70D922E9-0941-4C78-80FC-418CDEE58A17}"/>
    <cellStyle name="Финансовый 37 3 5 2 3 2 5" xfId="27704" xr:uid="{0292EC03-9371-4B40-8086-508708A6B69D}"/>
    <cellStyle name="Финансовый 37 3 5 2 3 3" xfId="13687" xr:uid="{00000000-0005-0000-0000-0000FB560000}"/>
    <cellStyle name="Финансовый 37 3 5 2 3 3 2" xfId="30776" xr:uid="{8ED34A60-5C33-4545-83B4-728189E03C1E}"/>
    <cellStyle name="Финансовый 37 3 5 2 3 4" xfId="16919" xr:uid="{00000000-0005-0000-0000-0000FC560000}"/>
    <cellStyle name="Финансовый 37 3 5 2 3 4 2" xfId="33932" xr:uid="{523925C4-B26B-4BE9-822F-A39621AB65B0}"/>
    <cellStyle name="Финансовый 37 3 5 2 3 5" xfId="20000" xr:uid="{00000000-0005-0000-0000-0000FD560000}"/>
    <cellStyle name="Финансовый 37 3 5 2 3 5 2" xfId="37013" xr:uid="{EB6BDD55-8AED-40AE-8557-84DCDE71C38D}"/>
    <cellStyle name="Финансовый 37 3 5 2 3 6" xfId="27703" xr:uid="{A84F8CE3-4E73-4595-891C-D16648604AAF}"/>
    <cellStyle name="Финансовый 37 3 5 2 4" xfId="10604" xr:uid="{00000000-0005-0000-0000-0000FE560000}"/>
    <cellStyle name="Финансовый 37 3 5 2 4 2" xfId="13689" xr:uid="{00000000-0005-0000-0000-0000FF560000}"/>
    <cellStyle name="Финансовый 37 3 5 2 4 2 2" xfId="30778" xr:uid="{98312176-4019-43AB-8FA0-85CF942F3EF9}"/>
    <cellStyle name="Финансовый 37 3 5 2 4 3" xfId="16921" xr:uid="{00000000-0005-0000-0000-000000570000}"/>
    <cellStyle name="Финансовый 37 3 5 2 4 3 2" xfId="33934" xr:uid="{B0BF2D48-0BF9-42B9-9CF1-FC93F1B8F151}"/>
    <cellStyle name="Финансовый 37 3 5 2 4 4" xfId="20002" xr:uid="{00000000-0005-0000-0000-000001570000}"/>
    <cellStyle name="Финансовый 37 3 5 2 4 4 2" xfId="37015" xr:uid="{4EE58620-A239-4580-8B06-83E06CA329E6}"/>
    <cellStyle name="Финансовый 37 3 5 2 4 5" xfId="27705" xr:uid="{600765D4-DFB8-4995-A7CC-3DB68154EBCE}"/>
    <cellStyle name="Финансовый 37 3 5 2 5" xfId="13682" xr:uid="{00000000-0005-0000-0000-000002570000}"/>
    <cellStyle name="Финансовый 37 3 5 2 5 2" xfId="30771" xr:uid="{02D2A315-78D0-4234-A502-A2C7442281E4}"/>
    <cellStyle name="Финансовый 37 3 5 2 6" xfId="16914" xr:uid="{00000000-0005-0000-0000-000003570000}"/>
    <cellStyle name="Финансовый 37 3 5 2 6 2" xfId="33927" xr:uid="{F5811B78-A56C-4B99-9460-6216B6710C57}"/>
    <cellStyle name="Финансовый 37 3 5 2 7" xfId="19995" xr:uid="{00000000-0005-0000-0000-000004570000}"/>
    <cellStyle name="Финансовый 37 3 5 2 7 2" xfId="37008" xr:uid="{4F44CDC2-7DCF-4D78-98E6-AB480AACC738}"/>
    <cellStyle name="Финансовый 37 3 5 2 8" xfId="27698" xr:uid="{677FB4F6-867F-4A29-B411-3A0A060CBEA0}"/>
    <cellStyle name="Финансовый 37 3 5 3" xfId="10605" xr:uid="{00000000-0005-0000-0000-000005570000}"/>
    <cellStyle name="Финансовый 37 3 5 3 2" xfId="10606" xr:uid="{00000000-0005-0000-0000-000006570000}"/>
    <cellStyle name="Финансовый 37 3 5 3 2 2" xfId="10607" xr:uid="{00000000-0005-0000-0000-000007570000}"/>
    <cellStyle name="Финансовый 37 3 5 3 2 2 2" xfId="13692" xr:uid="{00000000-0005-0000-0000-000008570000}"/>
    <cellStyle name="Финансовый 37 3 5 3 2 2 2 2" xfId="30781" xr:uid="{BBEEEE33-A874-4DC1-8CD6-460F6715315A}"/>
    <cellStyle name="Финансовый 37 3 5 3 2 2 3" xfId="16924" xr:uid="{00000000-0005-0000-0000-000009570000}"/>
    <cellStyle name="Финансовый 37 3 5 3 2 2 3 2" xfId="33937" xr:uid="{0B4E2B6E-CA06-4BEC-9B0C-0A18972F0F48}"/>
    <cellStyle name="Финансовый 37 3 5 3 2 2 4" xfId="20005" xr:uid="{00000000-0005-0000-0000-00000A570000}"/>
    <cellStyle name="Финансовый 37 3 5 3 2 2 4 2" xfId="37018" xr:uid="{A2CFC4AF-761C-4FDD-9429-03EE542A6ABD}"/>
    <cellStyle name="Финансовый 37 3 5 3 2 2 5" xfId="27708" xr:uid="{AD64FB29-86C7-4219-8F9D-45191C42F2B3}"/>
    <cellStyle name="Финансовый 37 3 5 3 2 3" xfId="13691" xr:uid="{00000000-0005-0000-0000-00000B570000}"/>
    <cellStyle name="Финансовый 37 3 5 3 2 3 2" xfId="30780" xr:uid="{F89647B5-46AB-4E56-A1ED-A6CC7EB100CD}"/>
    <cellStyle name="Финансовый 37 3 5 3 2 4" xfId="16923" xr:uid="{00000000-0005-0000-0000-00000C570000}"/>
    <cellStyle name="Финансовый 37 3 5 3 2 4 2" xfId="33936" xr:uid="{5E4F3E1A-3989-4908-A2D4-CD1BAFA3F33A}"/>
    <cellStyle name="Финансовый 37 3 5 3 2 5" xfId="20004" xr:uid="{00000000-0005-0000-0000-00000D570000}"/>
    <cellStyle name="Финансовый 37 3 5 3 2 5 2" xfId="37017" xr:uid="{E34446E3-AA2E-43A5-A92B-BDC905C2F5CD}"/>
    <cellStyle name="Финансовый 37 3 5 3 2 6" xfId="27707" xr:uid="{059635D3-D946-491E-8858-542AFD5C5321}"/>
    <cellStyle name="Финансовый 37 3 5 3 3" xfId="10608" xr:uid="{00000000-0005-0000-0000-00000E570000}"/>
    <cellStyle name="Финансовый 37 3 5 3 3 2" xfId="13693" xr:uid="{00000000-0005-0000-0000-00000F570000}"/>
    <cellStyle name="Финансовый 37 3 5 3 3 2 2" xfId="30782" xr:uid="{25D30C55-63A4-4CFD-A278-641F17BC05E5}"/>
    <cellStyle name="Финансовый 37 3 5 3 3 3" xfId="16925" xr:uid="{00000000-0005-0000-0000-000010570000}"/>
    <cellStyle name="Финансовый 37 3 5 3 3 3 2" xfId="33938" xr:uid="{BA4C8265-6B87-43BF-AFBF-E6C03A22C5F5}"/>
    <cellStyle name="Финансовый 37 3 5 3 3 4" xfId="20006" xr:uid="{00000000-0005-0000-0000-000011570000}"/>
    <cellStyle name="Финансовый 37 3 5 3 3 4 2" xfId="37019" xr:uid="{1E7515EB-39C0-495E-BF1E-24CCF3083EED}"/>
    <cellStyle name="Финансовый 37 3 5 3 3 5" xfId="27709" xr:uid="{E8200BBC-5389-4E45-83B9-AA569DFBB70F}"/>
    <cellStyle name="Финансовый 37 3 5 3 4" xfId="13690" xr:uid="{00000000-0005-0000-0000-000012570000}"/>
    <cellStyle name="Финансовый 37 3 5 3 4 2" xfId="30779" xr:uid="{499B0EA7-0701-44C1-AC01-3C27C7222A4E}"/>
    <cellStyle name="Финансовый 37 3 5 3 5" xfId="16922" xr:uid="{00000000-0005-0000-0000-000013570000}"/>
    <cellStyle name="Финансовый 37 3 5 3 5 2" xfId="33935" xr:uid="{A982228F-6069-48FC-93AE-DA349E705CE7}"/>
    <cellStyle name="Финансовый 37 3 5 3 6" xfId="20003" xr:uid="{00000000-0005-0000-0000-000014570000}"/>
    <cellStyle name="Финансовый 37 3 5 3 6 2" xfId="37016" xr:uid="{7FD7F19C-569D-4020-BF44-E3B6DC1D1DCF}"/>
    <cellStyle name="Финансовый 37 3 5 3 7" xfId="27706" xr:uid="{3F240782-A160-445A-A701-534F54AC4E2B}"/>
    <cellStyle name="Финансовый 37 3 5 4" xfId="10609" xr:uid="{00000000-0005-0000-0000-000015570000}"/>
    <cellStyle name="Финансовый 37 3 5 4 2" xfId="10610" xr:uid="{00000000-0005-0000-0000-000016570000}"/>
    <cellStyle name="Финансовый 37 3 5 4 2 2" xfId="13695" xr:uid="{00000000-0005-0000-0000-000017570000}"/>
    <cellStyle name="Финансовый 37 3 5 4 2 2 2" xfId="30784" xr:uid="{4CFFE9FA-2132-49FB-8CA0-2B1F1491CF19}"/>
    <cellStyle name="Финансовый 37 3 5 4 2 3" xfId="16927" xr:uid="{00000000-0005-0000-0000-000018570000}"/>
    <cellStyle name="Финансовый 37 3 5 4 2 3 2" xfId="33940" xr:uid="{CCFFE56E-4E52-43F0-B579-3082EE457357}"/>
    <cellStyle name="Финансовый 37 3 5 4 2 4" xfId="20008" xr:uid="{00000000-0005-0000-0000-000019570000}"/>
    <cellStyle name="Финансовый 37 3 5 4 2 4 2" xfId="37021" xr:uid="{495DB375-BC96-494B-8B7F-B6314A1441C0}"/>
    <cellStyle name="Финансовый 37 3 5 4 2 5" xfId="27711" xr:uid="{D1643BB1-A5D6-4E93-B738-46FED208D7ED}"/>
    <cellStyle name="Финансовый 37 3 5 4 3" xfId="13694" xr:uid="{00000000-0005-0000-0000-00001A570000}"/>
    <cellStyle name="Финансовый 37 3 5 4 3 2" xfId="30783" xr:uid="{40B468F7-3ADF-4CEC-8CDA-DED7EAA4C115}"/>
    <cellStyle name="Финансовый 37 3 5 4 4" xfId="16926" xr:uid="{00000000-0005-0000-0000-00001B570000}"/>
    <cellStyle name="Финансовый 37 3 5 4 4 2" xfId="33939" xr:uid="{07815A14-B72F-409D-9C19-96B1BEFDD8A6}"/>
    <cellStyle name="Финансовый 37 3 5 4 5" xfId="20007" xr:uid="{00000000-0005-0000-0000-00001C570000}"/>
    <cellStyle name="Финансовый 37 3 5 4 5 2" xfId="37020" xr:uid="{4B2CF9DB-3571-49AA-A44A-0AECCD386112}"/>
    <cellStyle name="Финансовый 37 3 5 4 6" xfId="27710" xr:uid="{9A74D889-1D70-4356-8916-0ADF5E04A4BB}"/>
    <cellStyle name="Финансовый 37 3 5 5" xfId="10611" xr:uid="{00000000-0005-0000-0000-00001D570000}"/>
    <cellStyle name="Финансовый 37 3 5 5 2" xfId="13696" xr:uid="{00000000-0005-0000-0000-00001E570000}"/>
    <cellStyle name="Финансовый 37 3 5 5 2 2" xfId="30785" xr:uid="{534656F2-2DFB-4BFB-B0AD-FEE303DDF92B}"/>
    <cellStyle name="Финансовый 37 3 5 5 3" xfId="16928" xr:uid="{00000000-0005-0000-0000-00001F570000}"/>
    <cellStyle name="Финансовый 37 3 5 5 3 2" xfId="33941" xr:uid="{12C171FE-11D1-4E93-BB0A-7546ECB8EE2C}"/>
    <cellStyle name="Финансовый 37 3 5 5 4" xfId="20009" xr:uid="{00000000-0005-0000-0000-000020570000}"/>
    <cellStyle name="Финансовый 37 3 5 5 4 2" xfId="37022" xr:uid="{E7D44DA5-F45C-4E0D-AB9A-AC0A23B6418D}"/>
    <cellStyle name="Финансовый 37 3 5 5 5" xfId="27712" xr:uid="{15948883-7CCF-422C-8397-8B4E1765B396}"/>
    <cellStyle name="Финансовый 37 3 5 6" xfId="13681" xr:uid="{00000000-0005-0000-0000-000021570000}"/>
    <cellStyle name="Финансовый 37 3 5 6 2" xfId="30770" xr:uid="{76986E20-D8F3-41F5-AE60-E9AA0B7ADAB5}"/>
    <cellStyle name="Финансовый 37 3 5 7" xfId="16913" xr:uid="{00000000-0005-0000-0000-000022570000}"/>
    <cellStyle name="Финансовый 37 3 5 7 2" xfId="33926" xr:uid="{95F0D1D0-1BA2-4E07-ADA7-88DB6186018F}"/>
    <cellStyle name="Финансовый 37 3 5 8" xfId="19994" xr:uid="{00000000-0005-0000-0000-000023570000}"/>
    <cellStyle name="Финансовый 37 3 5 8 2" xfId="37007" xr:uid="{46F723BB-5C1B-463F-8ACB-43FDB72F6AEE}"/>
    <cellStyle name="Финансовый 37 3 5 9" xfId="27697" xr:uid="{91196C46-0966-4FF7-B0E1-2D55ED306587}"/>
    <cellStyle name="Финансовый 37 3 6" xfId="10612" xr:uid="{00000000-0005-0000-0000-000024570000}"/>
    <cellStyle name="Финансовый 37 3 6 2" xfId="10613" xr:uid="{00000000-0005-0000-0000-000025570000}"/>
    <cellStyle name="Финансовый 37 3 6 2 2" xfId="10614" xr:uid="{00000000-0005-0000-0000-000026570000}"/>
    <cellStyle name="Финансовый 37 3 6 2 2 2" xfId="10615" xr:uid="{00000000-0005-0000-0000-000027570000}"/>
    <cellStyle name="Финансовый 37 3 6 2 2 2 2" xfId="13700" xr:uid="{00000000-0005-0000-0000-000028570000}"/>
    <cellStyle name="Финансовый 37 3 6 2 2 2 2 2" xfId="30789" xr:uid="{91CF4037-C916-488B-9D55-F1A5522D868E}"/>
    <cellStyle name="Финансовый 37 3 6 2 2 2 3" xfId="16932" xr:uid="{00000000-0005-0000-0000-000029570000}"/>
    <cellStyle name="Финансовый 37 3 6 2 2 2 3 2" xfId="33945" xr:uid="{B0D521D6-A21A-495F-B91B-CAB8E64AE2FD}"/>
    <cellStyle name="Финансовый 37 3 6 2 2 2 4" xfId="20013" xr:uid="{00000000-0005-0000-0000-00002A570000}"/>
    <cellStyle name="Финансовый 37 3 6 2 2 2 4 2" xfId="37026" xr:uid="{DC745D33-4812-4866-BE3D-1136EE9EA912}"/>
    <cellStyle name="Финансовый 37 3 6 2 2 2 5" xfId="27716" xr:uid="{6700BA41-5825-4255-B85D-793867D0A677}"/>
    <cellStyle name="Финансовый 37 3 6 2 2 3" xfId="13699" xr:uid="{00000000-0005-0000-0000-00002B570000}"/>
    <cellStyle name="Финансовый 37 3 6 2 2 3 2" xfId="30788" xr:uid="{A719C69E-3E3D-4A98-8BF1-1376EA3C25F3}"/>
    <cellStyle name="Финансовый 37 3 6 2 2 4" xfId="16931" xr:uid="{00000000-0005-0000-0000-00002C570000}"/>
    <cellStyle name="Финансовый 37 3 6 2 2 4 2" xfId="33944" xr:uid="{530F2282-A724-4C46-B058-E6B4AFEC44AA}"/>
    <cellStyle name="Финансовый 37 3 6 2 2 5" xfId="20012" xr:uid="{00000000-0005-0000-0000-00002D570000}"/>
    <cellStyle name="Финансовый 37 3 6 2 2 5 2" xfId="37025" xr:uid="{C3142472-8149-48B3-8B75-39F367ACECEC}"/>
    <cellStyle name="Финансовый 37 3 6 2 2 6" xfId="27715" xr:uid="{6FBC7783-6335-4F1F-B9C4-1B8B1926B275}"/>
    <cellStyle name="Финансовый 37 3 6 2 3" xfId="10616" xr:uid="{00000000-0005-0000-0000-00002E570000}"/>
    <cellStyle name="Финансовый 37 3 6 2 3 2" xfId="13701" xr:uid="{00000000-0005-0000-0000-00002F570000}"/>
    <cellStyle name="Финансовый 37 3 6 2 3 2 2" xfId="30790" xr:uid="{56C6BD61-C52B-48AA-940E-76C87259831C}"/>
    <cellStyle name="Финансовый 37 3 6 2 3 3" xfId="16933" xr:uid="{00000000-0005-0000-0000-000030570000}"/>
    <cellStyle name="Финансовый 37 3 6 2 3 3 2" xfId="33946" xr:uid="{DF381E6F-9284-4CCD-A5E3-4044353D0863}"/>
    <cellStyle name="Финансовый 37 3 6 2 3 4" xfId="20014" xr:uid="{00000000-0005-0000-0000-000031570000}"/>
    <cellStyle name="Финансовый 37 3 6 2 3 4 2" xfId="37027" xr:uid="{22A118F5-3B56-4D1C-B661-20736457EE72}"/>
    <cellStyle name="Финансовый 37 3 6 2 3 5" xfId="27717" xr:uid="{26CE30F8-9CCC-4DA1-A192-F7127C47E11A}"/>
    <cellStyle name="Финансовый 37 3 6 2 4" xfId="13698" xr:uid="{00000000-0005-0000-0000-000032570000}"/>
    <cellStyle name="Финансовый 37 3 6 2 4 2" xfId="30787" xr:uid="{032010D0-BCE4-4ECB-974D-E3FCEF13FFF3}"/>
    <cellStyle name="Финансовый 37 3 6 2 5" xfId="16930" xr:uid="{00000000-0005-0000-0000-000033570000}"/>
    <cellStyle name="Финансовый 37 3 6 2 5 2" xfId="33943" xr:uid="{8D1F93E7-3B68-44F8-94C9-BDEA1BC2255F}"/>
    <cellStyle name="Финансовый 37 3 6 2 6" xfId="20011" xr:uid="{00000000-0005-0000-0000-000034570000}"/>
    <cellStyle name="Финансовый 37 3 6 2 6 2" xfId="37024" xr:uid="{5FF20446-770A-4B2B-8D76-1BCBD1EED065}"/>
    <cellStyle name="Финансовый 37 3 6 2 7" xfId="27714" xr:uid="{16D22D4D-8190-4746-9EC6-EC16CA3AEA24}"/>
    <cellStyle name="Финансовый 37 3 6 3" xfId="10617" xr:uid="{00000000-0005-0000-0000-000035570000}"/>
    <cellStyle name="Финансовый 37 3 6 3 2" xfId="10618" xr:uid="{00000000-0005-0000-0000-000036570000}"/>
    <cellStyle name="Финансовый 37 3 6 3 2 2" xfId="13703" xr:uid="{00000000-0005-0000-0000-000037570000}"/>
    <cellStyle name="Финансовый 37 3 6 3 2 2 2" xfId="30792" xr:uid="{CC14CF3E-B69F-4536-9233-FAFD321F3CE3}"/>
    <cellStyle name="Финансовый 37 3 6 3 2 3" xfId="16935" xr:uid="{00000000-0005-0000-0000-000038570000}"/>
    <cellStyle name="Финансовый 37 3 6 3 2 3 2" xfId="33948" xr:uid="{C615EDAC-7E95-498E-A035-E429FABAEA16}"/>
    <cellStyle name="Финансовый 37 3 6 3 2 4" xfId="20016" xr:uid="{00000000-0005-0000-0000-000039570000}"/>
    <cellStyle name="Финансовый 37 3 6 3 2 4 2" xfId="37029" xr:uid="{95A6050F-4E79-4FC1-B238-DBC0CCF3C313}"/>
    <cellStyle name="Финансовый 37 3 6 3 2 5" xfId="27719" xr:uid="{B4297EA6-C879-4043-8A58-5D821AAB1B23}"/>
    <cellStyle name="Финансовый 37 3 6 3 3" xfId="13702" xr:uid="{00000000-0005-0000-0000-00003A570000}"/>
    <cellStyle name="Финансовый 37 3 6 3 3 2" xfId="30791" xr:uid="{B60CDC3B-C8BF-4BC5-B9FB-2888A518BABD}"/>
    <cellStyle name="Финансовый 37 3 6 3 4" xfId="16934" xr:uid="{00000000-0005-0000-0000-00003B570000}"/>
    <cellStyle name="Финансовый 37 3 6 3 4 2" xfId="33947" xr:uid="{76522973-FAF5-4896-9144-E119AFACDE07}"/>
    <cellStyle name="Финансовый 37 3 6 3 5" xfId="20015" xr:uid="{00000000-0005-0000-0000-00003C570000}"/>
    <cellStyle name="Финансовый 37 3 6 3 5 2" xfId="37028" xr:uid="{7807727F-B9EB-4E69-BB57-18A8DD41D82B}"/>
    <cellStyle name="Финансовый 37 3 6 3 6" xfId="27718" xr:uid="{077EE05A-F550-42E2-A76A-5D6D5497525A}"/>
    <cellStyle name="Финансовый 37 3 6 4" xfId="10619" xr:uid="{00000000-0005-0000-0000-00003D570000}"/>
    <cellStyle name="Финансовый 37 3 6 4 2" xfId="13704" xr:uid="{00000000-0005-0000-0000-00003E570000}"/>
    <cellStyle name="Финансовый 37 3 6 4 2 2" xfId="30793" xr:uid="{A6877CCD-C511-4D23-A6F9-F42A07E7588B}"/>
    <cellStyle name="Финансовый 37 3 6 4 3" xfId="16936" xr:uid="{00000000-0005-0000-0000-00003F570000}"/>
    <cellStyle name="Финансовый 37 3 6 4 3 2" xfId="33949" xr:uid="{9E2D6FA6-5B41-4F6E-8ADD-929364B09E71}"/>
    <cellStyle name="Финансовый 37 3 6 4 4" xfId="20017" xr:uid="{00000000-0005-0000-0000-000040570000}"/>
    <cellStyle name="Финансовый 37 3 6 4 4 2" xfId="37030" xr:uid="{BEAB459E-E75D-4958-97CA-15D12748A5D5}"/>
    <cellStyle name="Финансовый 37 3 6 4 5" xfId="27720" xr:uid="{8D493CC0-9F03-4A1E-912A-0F1291EAD9D3}"/>
    <cellStyle name="Финансовый 37 3 6 5" xfId="13697" xr:uid="{00000000-0005-0000-0000-000041570000}"/>
    <cellStyle name="Финансовый 37 3 6 5 2" xfId="30786" xr:uid="{F77BE9D2-550D-44AE-B934-0D7C5EA37794}"/>
    <cellStyle name="Финансовый 37 3 6 6" xfId="16929" xr:uid="{00000000-0005-0000-0000-000042570000}"/>
    <cellStyle name="Финансовый 37 3 6 6 2" xfId="33942" xr:uid="{FFC9F898-EAD7-4951-8461-EE555BB1A340}"/>
    <cellStyle name="Финансовый 37 3 6 7" xfId="20010" xr:uid="{00000000-0005-0000-0000-000043570000}"/>
    <cellStyle name="Финансовый 37 3 6 7 2" xfId="37023" xr:uid="{F562BC37-14D9-47BF-91C8-EE52C9C25970}"/>
    <cellStyle name="Финансовый 37 3 6 8" xfId="27713" xr:uid="{E9F930C2-05E0-4A94-B5A0-338EBDCF23CF}"/>
    <cellStyle name="Финансовый 37 3 7" xfId="10620" xr:uid="{00000000-0005-0000-0000-000044570000}"/>
    <cellStyle name="Финансовый 37 3 7 2" xfId="10621" xr:uid="{00000000-0005-0000-0000-000045570000}"/>
    <cellStyle name="Финансовый 37 3 7 2 2" xfId="10622" xr:uid="{00000000-0005-0000-0000-000046570000}"/>
    <cellStyle name="Финансовый 37 3 7 2 2 2" xfId="13707" xr:uid="{00000000-0005-0000-0000-000047570000}"/>
    <cellStyle name="Финансовый 37 3 7 2 2 2 2" xfId="30796" xr:uid="{50D70672-0810-4C09-8F11-FA7F30A9E59B}"/>
    <cellStyle name="Финансовый 37 3 7 2 2 3" xfId="16939" xr:uid="{00000000-0005-0000-0000-000048570000}"/>
    <cellStyle name="Финансовый 37 3 7 2 2 3 2" xfId="33952" xr:uid="{F1CD5D9D-4E63-46A8-80E7-088336AA0689}"/>
    <cellStyle name="Финансовый 37 3 7 2 2 4" xfId="20020" xr:uid="{00000000-0005-0000-0000-000049570000}"/>
    <cellStyle name="Финансовый 37 3 7 2 2 4 2" xfId="37033" xr:uid="{07F03665-9CFC-49E0-975B-AF41CD2C214B}"/>
    <cellStyle name="Финансовый 37 3 7 2 2 5" xfId="27723" xr:uid="{82F0165A-F904-47FF-A71D-EC5F08790612}"/>
    <cellStyle name="Финансовый 37 3 7 2 3" xfId="13706" xr:uid="{00000000-0005-0000-0000-00004A570000}"/>
    <cellStyle name="Финансовый 37 3 7 2 3 2" xfId="30795" xr:uid="{FBFA55EF-08E5-492D-9DE1-05A0630DB6FF}"/>
    <cellStyle name="Финансовый 37 3 7 2 4" xfId="16938" xr:uid="{00000000-0005-0000-0000-00004B570000}"/>
    <cellStyle name="Финансовый 37 3 7 2 4 2" xfId="33951" xr:uid="{1E0E9F0E-CE41-4304-9594-D31986686C98}"/>
    <cellStyle name="Финансовый 37 3 7 2 5" xfId="20019" xr:uid="{00000000-0005-0000-0000-00004C570000}"/>
    <cellStyle name="Финансовый 37 3 7 2 5 2" xfId="37032" xr:uid="{E3E3B416-D851-4D4F-B670-F531A87A5D97}"/>
    <cellStyle name="Финансовый 37 3 7 2 6" xfId="27722" xr:uid="{356F3DDB-4D32-4856-9FED-03AADC078D06}"/>
    <cellStyle name="Финансовый 37 3 7 3" xfId="10623" xr:uid="{00000000-0005-0000-0000-00004D570000}"/>
    <cellStyle name="Финансовый 37 3 7 3 2" xfId="13708" xr:uid="{00000000-0005-0000-0000-00004E570000}"/>
    <cellStyle name="Финансовый 37 3 7 3 2 2" xfId="30797" xr:uid="{BA7CDAC6-1834-43A0-BE87-7054E17C2528}"/>
    <cellStyle name="Финансовый 37 3 7 3 3" xfId="16940" xr:uid="{00000000-0005-0000-0000-00004F570000}"/>
    <cellStyle name="Финансовый 37 3 7 3 3 2" xfId="33953" xr:uid="{89DD939B-EE31-45B3-A180-F4C4F055FAD4}"/>
    <cellStyle name="Финансовый 37 3 7 3 4" xfId="20021" xr:uid="{00000000-0005-0000-0000-000050570000}"/>
    <cellStyle name="Финансовый 37 3 7 3 4 2" xfId="37034" xr:uid="{712FCC2A-B555-4705-9AEC-FACDF2936628}"/>
    <cellStyle name="Финансовый 37 3 7 3 5" xfId="27724" xr:uid="{34080D8F-C50C-46CC-9D79-D4348D3161D0}"/>
    <cellStyle name="Финансовый 37 3 7 4" xfId="13705" xr:uid="{00000000-0005-0000-0000-000051570000}"/>
    <cellStyle name="Финансовый 37 3 7 4 2" xfId="30794" xr:uid="{F305DA61-19A9-4271-82F1-CC95DAA6387E}"/>
    <cellStyle name="Финансовый 37 3 7 5" xfId="16937" xr:uid="{00000000-0005-0000-0000-000052570000}"/>
    <cellStyle name="Финансовый 37 3 7 5 2" xfId="33950" xr:uid="{AA2F01D9-0EE2-43CF-9820-AF3DE9A04D7E}"/>
    <cellStyle name="Финансовый 37 3 7 6" xfId="20018" xr:uid="{00000000-0005-0000-0000-000053570000}"/>
    <cellStyle name="Финансовый 37 3 7 6 2" xfId="37031" xr:uid="{30AB2408-3439-413E-80E6-6406B86946C5}"/>
    <cellStyle name="Финансовый 37 3 7 7" xfId="27721" xr:uid="{5EAD51E8-FA13-4F1F-A7C8-B2F5C596D0DA}"/>
    <cellStyle name="Финансовый 37 3 8" xfId="10624" xr:uid="{00000000-0005-0000-0000-000054570000}"/>
    <cellStyle name="Финансовый 37 3 8 2" xfId="10625" xr:uid="{00000000-0005-0000-0000-000055570000}"/>
    <cellStyle name="Финансовый 37 3 8 2 2" xfId="13710" xr:uid="{00000000-0005-0000-0000-000056570000}"/>
    <cellStyle name="Финансовый 37 3 8 2 2 2" xfId="30799" xr:uid="{477C1E30-36B2-47A5-96F2-583BB2302FE3}"/>
    <cellStyle name="Финансовый 37 3 8 2 3" xfId="16942" xr:uid="{00000000-0005-0000-0000-000057570000}"/>
    <cellStyle name="Финансовый 37 3 8 2 3 2" xfId="33955" xr:uid="{14A17B7B-F9F0-464B-A3E4-37FE71461A21}"/>
    <cellStyle name="Финансовый 37 3 8 2 4" xfId="20023" xr:uid="{00000000-0005-0000-0000-000058570000}"/>
    <cellStyle name="Финансовый 37 3 8 2 4 2" xfId="37036" xr:uid="{02DE6028-2FAF-4C09-B932-4169FDD5311B}"/>
    <cellStyle name="Финансовый 37 3 8 2 5" xfId="27726" xr:uid="{C7ABB23D-F2DD-4BC3-BC0D-8AD08E1B59E3}"/>
    <cellStyle name="Финансовый 37 3 8 3" xfId="13709" xr:uid="{00000000-0005-0000-0000-000059570000}"/>
    <cellStyle name="Финансовый 37 3 8 3 2" xfId="30798" xr:uid="{937C6D1A-2D05-4A5E-A69A-13D670E99B93}"/>
    <cellStyle name="Финансовый 37 3 8 4" xfId="16941" xr:uid="{00000000-0005-0000-0000-00005A570000}"/>
    <cellStyle name="Финансовый 37 3 8 4 2" xfId="33954" xr:uid="{38DFCAFB-8C9B-4C9B-BB50-D00C502643DF}"/>
    <cellStyle name="Финансовый 37 3 8 5" xfId="20022" xr:uid="{00000000-0005-0000-0000-00005B570000}"/>
    <cellStyle name="Финансовый 37 3 8 5 2" xfId="37035" xr:uid="{CB62B184-98CD-4AD7-AA86-68C85983E4F5}"/>
    <cellStyle name="Финансовый 37 3 8 6" xfId="27725" xr:uid="{C0A76ACE-7E72-4A9C-A98E-4591D1E23A93}"/>
    <cellStyle name="Финансовый 37 3 9" xfId="10626" xr:uid="{00000000-0005-0000-0000-00005C570000}"/>
    <cellStyle name="Финансовый 37 3 9 2" xfId="13711" xr:uid="{00000000-0005-0000-0000-00005D570000}"/>
    <cellStyle name="Финансовый 37 3 9 2 2" xfId="30800" xr:uid="{3EE1A2B9-0940-4CE3-9DCD-FAF33A36FC97}"/>
    <cellStyle name="Финансовый 37 3 9 3" xfId="16943" xr:uid="{00000000-0005-0000-0000-00005E570000}"/>
    <cellStyle name="Финансовый 37 3 9 3 2" xfId="33956" xr:uid="{9E446DA9-0F01-42C7-B969-722655F97561}"/>
    <cellStyle name="Финансовый 37 3 9 4" xfId="20024" xr:uid="{00000000-0005-0000-0000-00005F570000}"/>
    <cellStyle name="Финансовый 37 3 9 4 2" xfId="37037" xr:uid="{9D70991B-9B5C-400F-AB31-78774F0345F2}"/>
    <cellStyle name="Финансовый 37 3 9 5" xfId="27727" xr:uid="{416DC918-F4DF-496C-A970-CA66274873E7}"/>
    <cellStyle name="Финансовый 37 4" xfId="10627" xr:uid="{00000000-0005-0000-0000-000060570000}"/>
    <cellStyle name="Финансовый 37 4 10" xfId="16944" xr:uid="{00000000-0005-0000-0000-000061570000}"/>
    <cellStyle name="Финансовый 37 4 10 2" xfId="33957" xr:uid="{5C1EC7CE-89A5-40D5-AE05-405A73E5E33C}"/>
    <cellStyle name="Финансовый 37 4 11" xfId="20025" xr:uid="{00000000-0005-0000-0000-000062570000}"/>
    <cellStyle name="Финансовый 37 4 11 2" xfId="37038" xr:uid="{D71F613D-55E7-4DA2-9724-3EA68581A906}"/>
    <cellStyle name="Финансовый 37 4 12" xfId="27728" xr:uid="{B74A62B8-A5C0-4092-9982-9C15BC619DDC}"/>
    <cellStyle name="Финансовый 37 4 2" xfId="10628" xr:uid="{00000000-0005-0000-0000-000063570000}"/>
    <cellStyle name="Финансовый 37 4 2 10" xfId="20026" xr:uid="{00000000-0005-0000-0000-000064570000}"/>
    <cellStyle name="Финансовый 37 4 2 10 2" xfId="37039" xr:uid="{B625AA50-C9FB-4B08-8E70-460A86B37C80}"/>
    <cellStyle name="Финансовый 37 4 2 11" xfId="27729" xr:uid="{85E3C7A4-AA96-419E-8476-4A7625891B6B}"/>
    <cellStyle name="Финансовый 37 4 2 2" xfId="10629" xr:uid="{00000000-0005-0000-0000-000065570000}"/>
    <cellStyle name="Финансовый 37 4 2 2 10" xfId="27730" xr:uid="{76731A20-8C30-4794-AFF6-34CBE6C374C0}"/>
    <cellStyle name="Финансовый 37 4 2 2 2" xfId="10630" xr:uid="{00000000-0005-0000-0000-000066570000}"/>
    <cellStyle name="Финансовый 37 4 2 2 2 2" xfId="10631" xr:uid="{00000000-0005-0000-0000-000067570000}"/>
    <cellStyle name="Финансовый 37 4 2 2 2 2 2" xfId="10632" xr:uid="{00000000-0005-0000-0000-000068570000}"/>
    <cellStyle name="Финансовый 37 4 2 2 2 2 2 2" xfId="10633" xr:uid="{00000000-0005-0000-0000-000069570000}"/>
    <cellStyle name="Финансовый 37 4 2 2 2 2 2 2 2" xfId="10634" xr:uid="{00000000-0005-0000-0000-00006A570000}"/>
    <cellStyle name="Финансовый 37 4 2 2 2 2 2 2 2 2" xfId="13719" xr:uid="{00000000-0005-0000-0000-00006B570000}"/>
    <cellStyle name="Финансовый 37 4 2 2 2 2 2 2 2 2 2" xfId="30808" xr:uid="{4E9496F2-A814-471C-976A-81D9DC65DE20}"/>
    <cellStyle name="Финансовый 37 4 2 2 2 2 2 2 2 3" xfId="16951" xr:uid="{00000000-0005-0000-0000-00006C570000}"/>
    <cellStyle name="Финансовый 37 4 2 2 2 2 2 2 2 3 2" xfId="33964" xr:uid="{1F5CE31D-77A5-435D-A3EC-863EF0B06955}"/>
    <cellStyle name="Финансовый 37 4 2 2 2 2 2 2 2 4" xfId="20032" xr:uid="{00000000-0005-0000-0000-00006D570000}"/>
    <cellStyle name="Финансовый 37 4 2 2 2 2 2 2 2 4 2" xfId="37045" xr:uid="{56BCD00A-B191-43B4-A2F8-CA00EE98B52A}"/>
    <cellStyle name="Финансовый 37 4 2 2 2 2 2 2 2 5" xfId="27735" xr:uid="{8F7A645D-68C2-424B-A6B3-B1460A155CAA}"/>
    <cellStyle name="Финансовый 37 4 2 2 2 2 2 2 3" xfId="13718" xr:uid="{00000000-0005-0000-0000-00006E570000}"/>
    <cellStyle name="Финансовый 37 4 2 2 2 2 2 2 3 2" xfId="30807" xr:uid="{1F413C7F-D2CA-4007-A23C-B0748A713BCD}"/>
    <cellStyle name="Финансовый 37 4 2 2 2 2 2 2 4" xfId="16950" xr:uid="{00000000-0005-0000-0000-00006F570000}"/>
    <cellStyle name="Финансовый 37 4 2 2 2 2 2 2 4 2" xfId="33963" xr:uid="{0FEE0EC6-114B-4265-AC92-DF4D358890D9}"/>
    <cellStyle name="Финансовый 37 4 2 2 2 2 2 2 5" xfId="20031" xr:uid="{00000000-0005-0000-0000-000070570000}"/>
    <cellStyle name="Финансовый 37 4 2 2 2 2 2 2 5 2" xfId="37044" xr:uid="{E5DDC4F1-30EF-40B3-BF56-A29B8EB6F31C}"/>
    <cellStyle name="Финансовый 37 4 2 2 2 2 2 2 6" xfId="27734" xr:uid="{80F646D0-E49A-4F18-ACF9-B136A0682451}"/>
    <cellStyle name="Финансовый 37 4 2 2 2 2 2 3" xfId="10635" xr:uid="{00000000-0005-0000-0000-000071570000}"/>
    <cellStyle name="Финансовый 37 4 2 2 2 2 2 3 2" xfId="13720" xr:uid="{00000000-0005-0000-0000-000072570000}"/>
    <cellStyle name="Финансовый 37 4 2 2 2 2 2 3 2 2" xfId="30809" xr:uid="{0CBC69D0-050D-4D49-A9B9-764C2F933697}"/>
    <cellStyle name="Финансовый 37 4 2 2 2 2 2 3 3" xfId="16952" xr:uid="{00000000-0005-0000-0000-000073570000}"/>
    <cellStyle name="Финансовый 37 4 2 2 2 2 2 3 3 2" xfId="33965" xr:uid="{065708EB-A0AE-40FB-AAF1-E58A745B4DC1}"/>
    <cellStyle name="Финансовый 37 4 2 2 2 2 2 3 4" xfId="20033" xr:uid="{00000000-0005-0000-0000-000074570000}"/>
    <cellStyle name="Финансовый 37 4 2 2 2 2 2 3 4 2" xfId="37046" xr:uid="{4A60659C-8596-476A-B777-64D64F55C063}"/>
    <cellStyle name="Финансовый 37 4 2 2 2 2 2 3 5" xfId="27736" xr:uid="{2676C723-A7BC-4271-8A44-0EED34CF8A48}"/>
    <cellStyle name="Финансовый 37 4 2 2 2 2 2 4" xfId="13717" xr:uid="{00000000-0005-0000-0000-000075570000}"/>
    <cellStyle name="Финансовый 37 4 2 2 2 2 2 4 2" xfId="30806" xr:uid="{4F065CD5-5341-4D0E-B855-4A4634FD1780}"/>
    <cellStyle name="Финансовый 37 4 2 2 2 2 2 5" xfId="16949" xr:uid="{00000000-0005-0000-0000-000076570000}"/>
    <cellStyle name="Финансовый 37 4 2 2 2 2 2 5 2" xfId="33962" xr:uid="{5018A26D-86D7-452A-BC06-83A3E5AA5544}"/>
    <cellStyle name="Финансовый 37 4 2 2 2 2 2 6" xfId="20030" xr:uid="{00000000-0005-0000-0000-000077570000}"/>
    <cellStyle name="Финансовый 37 4 2 2 2 2 2 6 2" xfId="37043" xr:uid="{ADD4CD24-46C6-49E3-9C07-D385CEC18DC3}"/>
    <cellStyle name="Финансовый 37 4 2 2 2 2 2 7" xfId="27733" xr:uid="{2BEC2388-7E99-4601-B693-2CC74EF211DA}"/>
    <cellStyle name="Финансовый 37 4 2 2 2 2 3" xfId="10636" xr:uid="{00000000-0005-0000-0000-000078570000}"/>
    <cellStyle name="Финансовый 37 4 2 2 2 2 3 2" xfId="10637" xr:uid="{00000000-0005-0000-0000-000079570000}"/>
    <cellStyle name="Финансовый 37 4 2 2 2 2 3 2 2" xfId="13722" xr:uid="{00000000-0005-0000-0000-00007A570000}"/>
    <cellStyle name="Финансовый 37 4 2 2 2 2 3 2 2 2" xfId="30811" xr:uid="{D8183C5A-63BC-4BE1-9FE9-2A23F5BE8050}"/>
    <cellStyle name="Финансовый 37 4 2 2 2 2 3 2 3" xfId="16954" xr:uid="{00000000-0005-0000-0000-00007B570000}"/>
    <cellStyle name="Финансовый 37 4 2 2 2 2 3 2 3 2" xfId="33967" xr:uid="{30ACBAA2-BBEF-4AEC-B420-FB65A8021BD1}"/>
    <cellStyle name="Финансовый 37 4 2 2 2 2 3 2 4" xfId="20035" xr:uid="{00000000-0005-0000-0000-00007C570000}"/>
    <cellStyle name="Финансовый 37 4 2 2 2 2 3 2 4 2" xfId="37048" xr:uid="{B7AD10B1-68CD-4B6A-AD73-FE29F01057A0}"/>
    <cellStyle name="Финансовый 37 4 2 2 2 2 3 2 5" xfId="27738" xr:uid="{38A3BD8F-75FD-4A49-8838-0CA3E4D0A283}"/>
    <cellStyle name="Финансовый 37 4 2 2 2 2 3 3" xfId="13721" xr:uid="{00000000-0005-0000-0000-00007D570000}"/>
    <cellStyle name="Финансовый 37 4 2 2 2 2 3 3 2" xfId="30810" xr:uid="{5738F16E-2A59-45E6-8103-80B764333EE7}"/>
    <cellStyle name="Финансовый 37 4 2 2 2 2 3 4" xfId="16953" xr:uid="{00000000-0005-0000-0000-00007E570000}"/>
    <cellStyle name="Финансовый 37 4 2 2 2 2 3 4 2" xfId="33966" xr:uid="{6CAF84E4-5334-4851-8684-BD992F3C9B49}"/>
    <cellStyle name="Финансовый 37 4 2 2 2 2 3 5" xfId="20034" xr:uid="{00000000-0005-0000-0000-00007F570000}"/>
    <cellStyle name="Финансовый 37 4 2 2 2 2 3 5 2" xfId="37047" xr:uid="{67C9C997-A958-4735-A584-7372728573AB}"/>
    <cellStyle name="Финансовый 37 4 2 2 2 2 3 6" xfId="27737" xr:uid="{1A9D6DB6-2705-418B-A90A-40A1ED4711CD}"/>
    <cellStyle name="Финансовый 37 4 2 2 2 2 4" xfId="10638" xr:uid="{00000000-0005-0000-0000-000080570000}"/>
    <cellStyle name="Финансовый 37 4 2 2 2 2 4 2" xfId="13723" xr:uid="{00000000-0005-0000-0000-000081570000}"/>
    <cellStyle name="Финансовый 37 4 2 2 2 2 4 2 2" xfId="30812" xr:uid="{AFD175B5-3AD5-456B-A9F0-0EA5AA44FC31}"/>
    <cellStyle name="Финансовый 37 4 2 2 2 2 4 3" xfId="16955" xr:uid="{00000000-0005-0000-0000-000082570000}"/>
    <cellStyle name="Финансовый 37 4 2 2 2 2 4 3 2" xfId="33968" xr:uid="{8F9B0B88-2963-481C-B86A-51A3B739B531}"/>
    <cellStyle name="Финансовый 37 4 2 2 2 2 4 4" xfId="20036" xr:uid="{00000000-0005-0000-0000-000083570000}"/>
    <cellStyle name="Финансовый 37 4 2 2 2 2 4 4 2" xfId="37049" xr:uid="{0B98FCA0-A40D-45A7-97F1-109DC1F392F8}"/>
    <cellStyle name="Финансовый 37 4 2 2 2 2 4 5" xfId="27739" xr:uid="{67A93B94-34C4-499A-8EAD-B66EAFB6A49B}"/>
    <cellStyle name="Финансовый 37 4 2 2 2 2 5" xfId="13716" xr:uid="{00000000-0005-0000-0000-000084570000}"/>
    <cellStyle name="Финансовый 37 4 2 2 2 2 5 2" xfId="30805" xr:uid="{3F72CAE1-EE13-4E1F-9F5D-8EBD8D866428}"/>
    <cellStyle name="Финансовый 37 4 2 2 2 2 6" xfId="16948" xr:uid="{00000000-0005-0000-0000-000085570000}"/>
    <cellStyle name="Финансовый 37 4 2 2 2 2 6 2" xfId="33961" xr:uid="{75629CE2-8E48-4C97-B688-64ADBBC2CC40}"/>
    <cellStyle name="Финансовый 37 4 2 2 2 2 7" xfId="20029" xr:uid="{00000000-0005-0000-0000-000086570000}"/>
    <cellStyle name="Финансовый 37 4 2 2 2 2 7 2" xfId="37042" xr:uid="{4786B59A-55B1-458E-90E6-9FA4E0101433}"/>
    <cellStyle name="Финансовый 37 4 2 2 2 2 8" xfId="27732" xr:uid="{75ACCEC4-7526-44D0-BE1F-0517B9932EA9}"/>
    <cellStyle name="Финансовый 37 4 2 2 2 3" xfId="10639" xr:uid="{00000000-0005-0000-0000-000087570000}"/>
    <cellStyle name="Финансовый 37 4 2 2 2 3 2" xfId="10640" xr:uid="{00000000-0005-0000-0000-000088570000}"/>
    <cellStyle name="Финансовый 37 4 2 2 2 3 2 2" xfId="10641" xr:uid="{00000000-0005-0000-0000-000089570000}"/>
    <cellStyle name="Финансовый 37 4 2 2 2 3 2 2 2" xfId="13726" xr:uid="{00000000-0005-0000-0000-00008A570000}"/>
    <cellStyle name="Финансовый 37 4 2 2 2 3 2 2 2 2" xfId="30815" xr:uid="{6063D37F-309A-42D0-80C7-92175CB256CD}"/>
    <cellStyle name="Финансовый 37 4 2 2 2 3 2 2 3" xfId="16958" xr:uid="{00000000-0005-0000-0000-00008B570000}"/>
    <cellStyle name="Финансовый 37 4 2 2 2 3 2 2 3 2" xfId="33971" xr:uid="{C8CFC449-1DCB-4776-8347-2D6AE7A56529}"/>
    <cellStyle name="Финансовый 37 4 2 2 2 3 2 2 4" xfId="20039" xr:uid="{00000000-0005-0000-0000-00008C570000}"/>
    <cellStyle name="Финансовый 37 4 2 2 2 3 2 2 4 2" xfId="37052" xr:uid="{2807F6E4-5D4B-4E58-934C-B0C5E73A5F8D}"/>
    <cellStyle name="Финансовый 37 4 2 2 2 3 2 2 5" xfId="27742" xr:uid="{CDCF1E56-BD87-4073-B1E0-DA24F508D734}"/>
    <cellStyle name="Финансовый 37 4 2 2 2 3 2 3" xfId="13725" xr:uid="{00000000-0005-0000-0000-00008D570000}"/>
    <cellStyle name="Финансовый 37 4 2 2 2 3 2 3 2" xfId="30814" xr:uid="{053280FC-D1F8-40C2-9697-084A8C89C694}"/>
    <cellStyle name="Финансовый 37 4 2 2 2 3 2 4" xfId="16957" xr:uid="{00000000-0005-0000-0000-00008E570000}"/>
    <cellStyle name="Финансовый 37 4 2 2 2 3 2 4 2" xfId="33970" xr:uid="{B902DA0A-BA62-49B7-8E01-454BF75DBF44}"/>
    <cellStyle name="Финансовый 37 4 2 2 2 3 2 5" xfId="20038" xr:uid="{00000000-0005-0000-0000-00008F570000}"/>
    <cellStyle name="Финансовый 37 4 2 2 2 3 2 5 2" xfId="37051" xr:uid="{51F2C26F-2242-4229-8913-4410503585F8}"/>
    <cellStyle name="Финансовый 37 4 2 2 2 3 2 6" xfId="27741" xr:uid="{D20CE992-E55F-49B3-B1D1-49D1F420C5CF}"/>
    <cellStyle name="Финансовый 37 4 2 2 2 3 3" xfId="10642" xr:uid="{00000000-0005-0000-0000-000090570000}"/>
    <cellStyle name="Финансовый 37 4 2 2 2 3 3 2" xfId="13727" xr:uid="{00000000-0005-0000-0000-000091570000}"/>
    <cellStyle name="Финансовый 37 4 2 2 2 3 3 2 2" xfId="30816" xr:uid="{9188DF0E-9748-47A1-B5F9-4682E1BBD641}"/>
    <cellStyle name="Финансовый 37 4 2 2 2 3 3 3" xfId="16959" xr:uid="{00000000-0005-0000-0000-000092570000}"/>
    <cellStyle name="Финансовый 37 4 2 2 2 3 3 3 2" xfId="33972" xr:uid="{3886EF04-3496-4AA3-9CB1-B6CD7D398CA7}"/>
    <cellStyle name="Финансовый 37 4 2 2 2 3 3 4" xfId="20040" xr:uid="{00000000-0005-0000-0000-000093570000}"/>
    <cellStyle name="Финансовый 37 4 2 2 2 3 3 4 2" xfId="37053" xr:uid="{7949A549-F0EF-45DE-843A-AA6929CF8949}"/>
    <cellStyle name="Финансовый 37 4 2 2 2 3 3 5" xfId="27743" xr:uid="{517D2C86-4A65-4922-9B35-E7C19012BFD4}"/>
    <cellStyle name="Финансовый 37 4 2 2 2 3 4" xfId="13724" xr:uid="{00000000-0005-0000-0000-000094570000}"/>
    <cellStyle name="Финансовый 37 4 2 2 2 3 4 2" xfId="30813" xr:uid="{67FF3F51-F1FF-4844-ADFC-66B9ED92D12C}"/>
    <cellStyle name="Финансовый 37 4 2 2 2 3 5" xfId="16956" xr:uid="{00000000-0005-0000-0000-000095570000}"/>
    <cellStyle name="Финансовый 37 4 2 2 2 3 5 2" xfId="33969" xr:uid="{AB7D86D7-0EC7-4CB9-95E5-19796E8F312C}"/>
    <cellStyle name="Финансовый 37 4 2 2 2 3 6" xfId="20037" xr:uid="{00000000-0005-0000-0000-000096570000}"/>
    <cellStyle name="Финансовый 37 4 2 2 2 3 6 2" xfId="37050" xr:uid="{AD4F689C-CDE5-47F6-93A2-A8EE9E880606}"/>
    <cellStyle name="Финансовый 37 4 2 2 2 3 7" xfId="27740" xr:uid="{4F2B634D-7A3D-4906-9A13-FC0E0F1DEC1F}"/>
    <cellStyle name="Финансовый 37 4 2 2 2 4" xfId="10643" xr:uid="{00000000-0005-0000-0000-000097570000}"/>
    <cellStyle name="Финансовый 37 4 2 2 2 4 2" xfId="10644" xr:uid="{00000000-0005-0000-0000-000098570000}"/>
    <cellStyle name="Финансовый 37 4 2 2 2 4 2 2" xfId="13729" xr:uid="{00000000-0005-0000-0000-000099570000}"/>
    <cellStyle name="Финансовый 37 4 2 2 2 4 2 2 2" xfId="30818" xr:uid="{77CF05FA-F524-4FF4-8CB5-4A74397570D9}"/>
    <cellStyle name="Финансовый 37 4 2 2 2 4 2 3" xfId="16961" xr:uid="{00000000-0005-0000-0000-00009A570000}"/>
    <cellStyle name="Финансовый 37 4 2 2 2 4 2 3 2" xfId="33974" xr:uid="{1B1069B9-8870-4E91-915F-A30656C58D3D}"/>
    <cellStyle name="Финансовый 37 4 2 2 2 4 2 4" xfId="20042" xr:uid="{00000000-0005-0000-0000-00009B570000}"/>
    <cellStyle name="Финансовый 37 4 2 2 2 4 2 4 2" xfId="37055" xr:uid="{A5318947-2355-45D4-AE90-A12871D622AC}"/>
    <cellStyle name="Финансовый 37 4 2 2 2 4 2 5" xfId="27745" xr:uid="{62F7B891-E817-402E-9336-8074DC855CF7}"/>
    <cellStyle name="Финансовый 37 4 2 2 2 4 3" xfId="13728" xr:uid="{00000000-0005-0000-0000-00009C570000}"/>
    <cellStyle name="Финансовый 37 4 2 2 2 4 3 2" xfId="30817" xr:uid="{384BF5BF-AE9B-442D-9060-BDCCFDA36F21}"/>
    <cellStyle name="Финансовый 37 4 2 2 2 4 4" xfId="16960" xr:uid="{00000000-0005-0000-0000-00009D570000}"/>
    <cellStyle name="Финансовый 37 4 2 2 2 4 4 2" xfId="33973" xr:uid="{AD3F0DDD-2478-499E-9B00-CD86DF56B0D9}"/>
    <cellStyle name="Финансовый 37 4 2 2 2 4 5" xfId="20041" xr:uid="{00000000-0005-0000-0000-00009E570000}"/>
    <cellStyle name="Финансовый 37 4 2 2 2 4 5 2" xfId="37054" xr:uid="{2C284FAE-91DF-460A-93C6-ACE47D2B7D73}"/>
    <cellStyle name="Финансовый 37 4 2 2 2 4 6" xfId="27744" xr:uid="{16860EF0-AD71-4987-B00A-39AD60963D59}"/>
    <cellStyle name="Финансовый 37 4 2 2 2 5" xfId="10645" xr:uid="{00000000-0005-0000-0000-00009F570000}"/>
    <cellStyle name="Финансовый 37 4 2 2 2 5 2" xfId="13730" xr:uid="{00000000-0005-0000-0000-0000A0570000}"/>
    <cellStyle name="Финансовый 37 4 2 2 2 5 2 2" xfId="30819" xr:uid="{C0C0B535-DCB3-4182-8CEE-0C1B49C621D4}"/>
    <cellStyle name="Финансовый 37 4 2 2 2 5 3" xfId="16962" xr:uid="{00000000-0005-0000-0000-0000A1570000}"/>
    <cellStyle name="Финансовый 37 4 2 2 2 5 3 2" xfId="33975" xr:uid="{69B510B9-1765-4E40-9A3E-9056FEFE2E10}"/>
    <cellStyle name="Финансовый 37 4 2 2 2 5 4" xfId="20043" xr:uid="{00000000-0005-0000-0000-0000A2570000}"/>
    <cellStyle name="Финансовый 37 4 2 2 2 5 4 2" xfId="37056" xr:uid="{453B83B5-3BF2-4001-8C26-EEF5FAAC0BCB}"/>
    <cellStyle name="Финансовый 37 4 2 2 2 5 5" xfId="27746" xr:uid="{5EE4E4D8-7F39-48FC-9834-5D34C080D066}"/>
    <cellStyle name="Финансовый 37 4 2 2 2 6" xfId="13715" xr:uid="{00000000-0005-0000-0000-0000A3570000}"/>
    <cellStyle name="Финансовый 37 4 2 2 2 6 2" xfId="30804" xr:uid="{F0988970-217F-432B-90DC-17986FD7CAB6}"/>
    <cellStyle name="Финансовый 37 4 2 2 2 7" xfId="16947" xr:uid="{00000000-0005-0000-0000-0000A4570000}"/>
    <cellStyle name="Финансовый 37 4 2 2 2 7 2" xfId="33960" xr:uid="{1C6937CD-0FE8-4040-9BCA-8A47F23AC555}"/>
    <cellStyle name="Финансовый 37 4 2 2 2 8" xfId="20028" xr:uid="{00000000-0005-0000-0000-0000A5570000}"/>
    <cellStyle name="Финансовый 37 4 2 2 2 8 2" xfId="37041" xr:uid="{AA13259C-9350-460D-B396-F2685472CE96}"/>
    <cellStyle name="Финансовый 37 4 2 2 2 9" xfId="27731" xr:uid="{F4E64B5E-212A-4C7C-8449-1382CE76DC4B}"/>
    <cellStyle name="Финансовый 37 4 2 2 3" xfId="10646" xr:uid="{00000000-0005-0000-0000-0000A6570000}"/>
    <cellStyle name="Финансовый 37 4 2 2 3 2" xfId="10647" xr:uid="{00000000-0005-0000-0000-0000A7570000}"/>
    <cellStyle name="Финансовый 37 4 2 2 3 2 2" xfId="10648" xr:uid="{00000000-0005-0000-0000-0000A8570000}"/>
    <cellStyle name="Финансовый 37 4 2 2 3 2 2 2" xfId="10649" xr:uid="{00000000-0005-0000-0000-0000A9570000}"/>
    <cellStyle name="Финансовый 37 4 2 2 3 2 2 2 2" xfId="13734" xr:uid="{00000000-0005-0000-0000-0000AA570000}"/>
    <cellStyle name="Финансовый 37 4 2 2 3 2 2 2 2 2" xfId="30823" xr:uid="{A9CF43D9-A1E9-4A1C-82D0-587B3A1DBF67}"/>
    <cellStyle name="Финансовый 37 4 2 2 3 2 2 2 3" xfId="16966" xr:uid="{00000000-0005-0000-0000-0000AB570000}"/>
    <cellStyle name="Финансовый 37 4 2 2 3 2 2 2 3 2" xfId="33979" xr:uid="{C8E68320-2407-40C3-97F1-D9560BC595C1}"/>
    <cellStyle name="Финансовый 37 4 2 2 3 2 2 2 4" xfId="20047" xr:uid="{00000000-0005-0000-0000-0000AC570000}"/>
    <cellStyle name="Финансовый 37 4 2 2 3 2 2 2 4 2" xfId="37060" xr:uid="{AE9055FA-3000-4484-9E44-7B41BB8394D3}"/>
    <cellStyle name="Финансовый 37 4 2 2 3 2 2 2 5" xfId="27750" xr:uid="{8569A4C0-83A8-49DB-9DDD-643BBF876033}"/>
    <cellStyle name="Финансовый 37 4 2 2 3 2 2 3" xfId="13733" xr:uid="{00000000-0005-0000-0000-0000AD570000}"/>
    <cellStyle name="Финансовый 37 4 2 2 3 2 2 3 2" xfId="30822" xr:uid="{3F623004-76B4-42BC-86D9-873CA840DD06}"/>
    <cellStyle name="Финансовый 37 4 2 2 3 2 2 4" xfId="16965" xr:uid="{00000000-0005-0000-0000-0000AE570000}"/>
    <cellStyle name="Финансовый 37 4 2 2 3 2 2 4 2" xfId="33978" xr:uid="{7D362504-2925-4D11-96B0-7945FB545023}"/>
    <cellStyle name="Финансовый 37 4 2 2 3 2 2 5" xfId="20046" xr:uid="{00000000-0005-0000-0000-0000AF570000}"/>
    <cellStyle name="Финансовый 37 4 2 2 3 2 2 5 2" xfId="37059" xr:uid="{3DC46046-0B4B-42BB-A6D6-D7F1BDEB9C1F}"/>
    <cellStyle name="Финансовый 37 4 2 2 3 2 2 6" xfId="27749" xr:uid="{1C0A4C5D-40CA-40A4-BE48-2267D32FD6D0}"/>
    <cellStyle name="Финансовый 37 4 2 2 3 2 3" xfId="10650" xr:uid="{00000000-0005-0000-0000-0000B0570000}"/>
    <cellStyle name="Финансовый 37 4 2 2 3 2 3 2" xfId="13735" xr:uid="{00000000-0005-0000-0000-0000B1570000}"/>
    <cellStyle name="Финансовый 37 4 2 2 3 2 3 2 2" xfId="30824" xr:uid="{61F37448-5CAB-4680-9D2A-0091FD4DDFF7}"/>
    <cellStyle name="Финансовый 37 4 2 2 3 2 3 3" xfId="16967" xr:uid="{00000000-0005-0000-0000-0000B2570000}"/>
    <cellStyle name="Финансовый 37 4 2 2 3 2 3 3 2" xfId="33980" xr:uid="{DD6454DE-A15C-4D91-B421-119819AEED02}"/>
    <cellStyle name="Финансовый 37 4 2 2 3 2 3 4" xfId="20048" xr:uid="{00000000-0005-0000-0000-0000B3570000}"/>
    <cellStyle name="Финансовый 37 4 2 2 3 2 3 4 2" xfId="37061" xr:uid="{6FF747E8-E9AB-4255-AEAA-956844536C14}"/>
    <cellStyle name="Финансовый 37 4 2 2 3 2 3 5" xfId="27751" xr:uid="{B8766D8F-AB6A-4E50-9420-25764D4AAE0E}"/>
    <cellStyle name="Финансовый 37 4 2 2 3 2 4" xfId="13732" xr:uid="{00000000-0005-0000-0000-0000B4570000}"/>
    <cellStyle name="Финансовый 37 4 2 2 3 2 4 2" xfId="30821" xr:uid="{EB8639F9-43C1-48B4-8851-53A5899C37C7}"/>
    <cellStyle name="Финансовый 37 4 2 2 3 2 5" xfId="16964" xr:uid="{00000000-0005-0000-0000-0000B5570000}"/>
    <cellStyle name="Финансовый 37 4 2 2 3 2 5 2" xfId="33977" xr:uid="{CB518867-E91F-49EC-A6ED-3317D8C6FC93}"/>
    <cellStyle name="Финансовый 37 4 2 2 3 2 6" xfId="20045" xr:uid="{00000000-0005-0000-0000-0000B6570000}"/>
    <cellStyle name="Финансовый 37 4 2 2 3 2 6 2" xfId="37058" xr:uid="{4CB74E5B-89F1-4F76-932B-CB41135D3F8D}"/>
    <cellStyle name="Финансовый 37 4 2 2 3 2 7" xfId="27748" xr:uid="{F95ACC57-83E1-4F1A-99D2-4402336B6AC6}"/>
    <cellStyle name="Финансовый 37 4 2 2 3 3" xfId="10651" xr:uid="{00000000-0005-0000-0000-0000B7570000}"/>
    <cellStyle name="Финансовый 37 4 2 2 3 3 2" xfId="10652" xr:uid="{00000000-0005-0000-0000-0000B8570000}"/>
    <cellStyle name="Финансовый 37 4 2 2 3 3 2 2" xfId="13737" xr:uid="{00000000-0005-0000-0000-0000B9570000}"/>
    <cellStyle name="Финансовый 37 4 2 2 3 3 2 2 2" xfId="30826" xr:uid="{5276B88D-6985-4AC3-BA06-4E79A947C50B}"/>
    <cellStyle name="Финансовый 37 4 2 2 3 3 2 3" xfId="16969" xr:uid="{00000000-0005-0000-0000-0000BA570000}"/>
    <cellStyle name="Финансовый 37 4 2 2 3 3 2 3 2" xfId="33982" xr:uid="{D0C42965-5456-43DF-8736-646E493B9CA4}"/>
    <cellStyle name="Финансовый 37 4 2 2 3 3 2 4" xfId="20050" xr:uid="{00000000-0005-0000-0000-0000BB570000}"/>
    <cellStyle name="Финансовый 37 4 2 2 3 3 2 4 2" xfId="37063" xr:uid="{C1FB9F9E-11E5-495E-B2B0-569557707D3F}"/>
    <cellStyle name="Финансовый 37 4 2 2 3 3 2 5" xfId="27753" xr:uid="{EC586C0C-5AAB-43A6-8500-CF39038A795C}"/>
    <cellStyle name="Финансовый 37 4 2 2 3 3 3" xfId="13736" xr:uid="{00000000-0005-0000-0000-0000BC570000}"/>
    <cellStyle name="Финансовый 37 4 2 2 3 3 3 2" xfId="30825" xr:uid="{339B78CC-6C9A-4A88-AF92-31F1276EC562}"/>
    <cellStyle name="Финансовый 37 4 2 2 3 3 4" xfId="16968" xr:uid="{00000000-0005-0000-0000-0000BD570000}"/>
    <cellStyle name="Финансовый 37 4 2 2 3 3 4 2" xfId="33981" xr:uid="{120BFF20-CAF4-4F39-B50D-5E42072D4EC2}"/>
    <cellStyle name="Финансовый 37 4 2 2 3 3 5" xfId="20049" xr:uid="{00000000-0005-0000-0000-0000BE570000}"/>
    <cellStyle name="Финансовый 37 4 2 2 3 3 5 2" xfId="37062" xr:uid="{B13432F6-FD54-4C7A-B657-6C045B33AC2D}"/>
    <cellStyle name="Финансовый 37 4 2 2 3 3 6" xfId="27752" xr:uid="{B6335DA0-8731-40AA-BB39-6BB597B63FB9}"/>
    <cellStyle name="Финансовый 37 4 2 2 3 4" xfId="10653" xr:uid="{00000000-0005-0000-0000-0000BF570000}"/>
    <cellStyle name="Финансовый 37 4 2 2 3 4 2" xfId="13738" xr:uid="{00000000-0005-0000-0000-0000C0570000}"/>
    <cellStyle name="Финансовый 37 4 2 2 3 4 2 2" xfId="30827" xr:uid="{83E0811B-D8DD-4DB5-8DC0-38227BDCCA67}"/>
    <cellStyle name="Финансовый 37 4 2 2 3 4 3" xfId="16970" xr:uid="{00000000-0005-0000-0000-0000C1570000}"/>
    <cellStyle name="Финансовый 37 4 2 2 3 4 3 2" xfId="33983" xr:uid="{01ACEE8E-ADDA-43D1-8633-AC45DF0BA580}"/>
    <cellStyle name="Финансовый 37 4 2 2 3 4 4" xfId="20051" xr:uid="{00000000-0005-0000-0000-0000C2570000}"/>
    <cellStyle name="Финансовый 37 4 2 2 3 4 4 2" xfId="37064" xr:uid="{2FEF1DAF-3A0F-4182-8161-EA1763E21E20}"/>
    <cellStyle name="Финансовый 37 4 2 2 3 4 5" xfId="27754" xr:uid="{388E23FA-171F-4733-AA1E-5585926D7F64}"/>
    <cellStyle name="Финансовый 37 4 2 2 3 5" xfId="13731" xr:uid="{00000000-0005-0000-0000-0000C3570000}"/>
    <cellStyle name="Финансовый 37 4 2 2 3 5 2" xfId="30820" xr:uid="{EEBBD872-A8D9-4570-B93C-4FC9A189D8CC}"/>
    <cellStyle name="Финансовый 37 4 2 2 3 6" xfId="16963" xr:uid="{00000000-0005-0000-0000-0000C4570000}"/>
    <cellStyle name="Финансовый 37 4 2 2 3 6 2" xfId="33976" xr:uid="{8D79A054-6549-4A4D-9311-174D391D50AC}"/>
    <cellStyle name="Финансовый 37 4 2 2 3 7" xfId="20044" xr:uid="{00000000-0005-0000-0000-0000C5570000}"/>
    <cellStyle name="Финансовый 37 4 2 2 3 7 2" xfId="37057" xr:uid="{7AA4CC10-6DEC-4BCF-8EDF-16AAC4FB0FA0}"/>
    <cellStyle name="Финансовый 37 4 2 2 3 8" xfId="27747" xr:uid="{F904AF32-602E-4DFD-AB35-D98250FA2FA4}"/>
    <cellStyle name="Финансовый 37 4 2 2 4" xfId="10654" xr:uid="{00000000-0005-0000-0000-0000C6570000}"/>
    <cellStyle name="Финансовый 37 4 2 2 4 2" xfId="10655" xr:uid="{00000000-0005-0000-0000-0000C7570000}"/>
    <cellStyle name="Финансовый 37 4 2 2 4 2 2" xfId="10656" xr:uid="{00000000-0005-0000-0000-0000C8570000}"/>
    <cellStyle name="Финансовый 37 4 2 2 4 2 2 2" xfId="13741" xr:uid="{00000000-0005-0000-0000-0000C9570000}"/>
    <cellStyle name="Финансовый 37 4 2 2 4 2 2 2 2" xfId="30830" xr:uid="{642B1D45-0D75-41BF-A500-AFED3615FD6B}"/>
    <cellStyle name="Финансовый 37 4 2 2 4 2 2 3" xfId="16973" xr:uid="{00000000-0005-0000-0000-0000CA570000}"/>
    <cellStyle name="Финансовый 37 4 2 2 4 2 2 3 2" xfId="33986" xr:uid="{766544C9-349F-4E92-AD7E-57F6566DDA83}"/>
    <cellStyle name="Финансовый 37 4 2 2 4 2 2 4" xfId="20054" xr:uid="{00000000-0005-0000-0000-0000CB570000}"/>
    <cellStyle name="Финансовый 37 4 2 2 4 2 2 4 2" xfId="37067" xr:uid="{D75DC5CA-ED50-4041-8C1E-5C397D984F46}"/>
    <cellStyle name="Финансовый 37 4 2 2 4 2 2 5" xfId="27757" xr:uid="{C6144923-976A-4118-9208-B32ABBE02D41}"/>
    <cellStyle name="Финансовый 37 4 2 2 4 2 3" xfId="13740" xr:uid="{00000000-0005-0000-0000-0000CC570000}"/>
    <cellStyle name="Финансовый 37 4 2 2 4 2 3 2" xfId="30829" xr:uid="{17994332-9473-4E58-83B1-DE4EB8415470}"/>
    <cellStyle name="Финансовый 37 4 2 2 4 2 4" xfId="16972" xr:uid="{00000000-0005-0000-0000-0000CD570000}"/>
    <cellStyle name="Финансовый 37 4 2 2 4 2 4 2" xfId="33985" xr:uid="{D3F84BE6-026C-4CD8-BA7B-B1E64F3A4BAD}"/>
    <cellStyle name="Финансовый 37 4 2 2 4 2 5" xfId="20053" xr:uid="{00000000-0005-0000-0000-0000CE570000}"/>
    <cellStyle name="Финансовый 37 4 2 2 4 2 5 2" xfId="37066" xr:uid="{437BFE16-9743-432E-9353-926A9DA6BF35}"/>
    <cellStyle name="Финансовый 37 4 2 2 4 2 6" xfId="27756" xr:uid="{1F696152-25C2-4431-87EA-59EB5DAD8ABB}"/>
    <cellStyle name="Финансовый 37 4 2 2 4 3" xfId="10657" xr:uid="{00000000-0005-0000-0000-0000CF570000}"/>
    <cellStyle name="Финансовый 37 4 2 2 4 3 2" xfId="13742" xr:uid="{00000000-0005-0000-0000-0000D0570000}"/>
    <cellStyle name="Финансовый 37 4 2 2 4 3 2 2" xfId="30831" xr:uid="{DF3D5A2A-3CFC-49F4-A764-17C29F0379ED}"/>
    <cellStyle name="Финансовый 37 4 2 2 4 3 3" xfId="16974" xr:uid="{00000000-0005-0000-0000-0000D1570000}"/>
    <cellStyle name="Финансовый 37 4 2 2 4 3 3 2" xfId="33987" xr:uid="{BC63488A-FD93-4C41-9339-AD04C2F0EC7B}"/>
    <cellStyle name="Финансовый 37 4 2 2 4 3 4" xfId="20055" xr:uid="{00000000-0005-0000-0000-0000D2570000}"/>
    <cellStyle name="Финансовый 37 4 2 2 4 3 4 2" xfId="37068" xr:uid="{AF8ECE14-727D-4D13-8BA5-B48DA6B45C92}"/>
    <cellStyle name="Финансовый 37 4 2 2 4 3 5" xfId="27758" xr:uid="{0F5E353E-DBCF-49CA-AFE1-40B5BD392B08}"/>
    <cellStyle name="Финансовый 37 4 2 2 4 4" xfId="13739" xr:uid="{00000000-0005-0000-0000-0000D3570000}"/>
    <cellStyle name="Финансовый 37 4 2 2 4 4 2" xfId="30828" xr:uid="{62AB521F-DCA0-4C2F-9779-6D864869A525}"/>
    <cellStyle name="Финансовый 37 4 2 2 4 5" xfId="16971" xr:uid="{00000000-0005-0000-0000-0000D4570000}"/>
    <cellStyle name="Финансовый 37 4 2 2 4 5 2" xfId="33984" xr:uid="{F3EE3961-046D-4A1C-B93D-E5CADC4C84A2}"/>
    <cellStyle name="Финансовый 37 4 2 2 4 6" xfId="20052" xr:uid="{00000000-0005-0000-0000-0000D5570000}"/>
    <cellStyle name="Финансовый 37 4 2 2 4 6 2" xfId="37065" xr:uid="{361E14C5-9A48-4CFF-8ACC-EA80B5C970F9}"/>
    <cellStyle name="Финансовый 37 4 2 2 4 7" xfId="27755" xr:uid="{990CB1B0-5E62-430E-B852-50BF35C230DC}"/>
    <cellStyle name="Финансовый 37 4 2 2 5" xfId="10658" xr:uid="{00000000-0005-0000-0000-0000D6570000}"/>
    <cellStyle name="Финансовый 37 4 2 2 5 2" xfId="10659" xr:uid="{00000000-0005-0000-0000-0000D7570000}"/>
    <cellStyle name="Финансовый 37 4 2 2 5 2 2" xfId="13744" xr:uid="{00000000-0005-0000-0000-0000D8570000}"/>
    <cellStyle name="Финансовый 37 4 2 2 5 2 2 2" xfId="30833" xr:uid="{144FE06D-5787-4979-9459-41496EA261F5}"/>
    <cellStyle name="Финансовый 37 4 2 2 5 2 3" xfId="16976" xr:uid="{00000000-0005-0000-0000-0000D9570000}"/>
    <cellStyle name="Финансовый 37 4 2 2 5 2 3 2" xfId="33989" xr:uid="{40A16C31-AC97-4B2B-90DD-547AE2705B87}"/>
    <cellStyle name="Финансовый 37 4 2 2 5 2 4" xfId="20057" xr:uid="{00000000-0005-0000-0000-0000DA570000}"/>
    <cellStyle name="Финансовый 37 4 2 2 5 2 4 2" xfId="37070" xr:uid="{90504A66-31C0-4307-84B3-5FBBD3BE1311}"/>
    <cellStyle name="Финансовый 37 4 2 2 5 2 5" xfId="27760" xr:uid="{3F2B20C5-1BC6-4EFE-BFC0-0727FEE32872}"/>
    <cellStyle name="Финансовый 37 4 2 2 5 3" xfId="13743" xr:uid="{00000000-0005-0000-0000-0000DB570000}"/>
    <cellStyle name="Финансовый 37 4 2 2 5 3 2" xfId="30832" xr:uid="{DDAC7B32-DA43-43A3-BF8C-5F5466787820}"/>
    <cellStyle name="Финансовый 37 4 2 2 5 4" xfId="16975" xr:uid="{00000000-0005-0000-0000-0000DC570000}"/>
    <cellStyle name="Финансовый 37 4 2 2 5 4 2" xfId="33988" xr:uid="{92DF8013-8582-47E6-A06B-41CE2D227505}"/>
    <cellStyle name="Финансовый 37 4 2 2 5 5" xfId="20056" xr:uid="{00000000-0005-0000-0000-0000DD570000}"/>
    <cellStyle name="Финансовый 37 4 2 2 5 5 2" xfId="37069" xr:uid="{870EE2DB-4D31-4146-810A-9BDEED4291E2}"/>
    <cellStyle name="Финансовый 37 4 2 2 5 6" xfId="27759" xr:uid="{6DB88D0F-EC19-4E9D-BD08-815677EA47A3}"/>
    <cellStyle name="Финансовый 37 4 2 2 6" xfId="10660" xr:uid="{00000000-0005-0000-0000-0000DE570000}"/>
    <cellStyle name="Финансовый 37 4 2 2 6 2" xfId="13745" xr:uid="{00000000-0005-0000-0000-0000DF570000}"/>
    <cellStyle name="Финансовый 37 4 2 2 6 2 2" xfId="30834" xr:uid="{5FF0D0B9-C2ED-4B84-9C60-0E24697488F5}"/>
    <cellStyle name="Финансовый 37 4 2 2 6 3" xfId="16977" xr:uid="{00000000-0005-0000-0000-0000E0570000}"/>
    <cellStyle name="Финансовый 37 4 2 2 6 3 2" xfId="33990" xr:uid="{DC158027-D200-42F1-A479-B5DD7086C707}"/>
    <cellStyle name="Финансовый 37 4 2 2 6 4" xfId="20058" xr:uid="{00000000-0005-0000-0000-0000E1570000}"/>
    <cellStyle name="Финансовый 37 4 2 2 6 4 2" xfId="37071" xr:uid="{3DF6E1C4-0127-4F1C-8E97-4DCF5A4FB1EC}"/>
    <cellStyle name="Финансовый 37 4 2 2 6 5" xfId="27761" xr:uid="{E8915CF0-D672-4387-B644-6FE47FAD6450}"/>
    <cellStyle name="Финансовый 37 4 2 2 7" xfId="13714" xr:uid="{00000000-0005-0000-0000-0000E2570000}"/>
    <cellStyle name="Финансовый 37 4 2 2 7 2" xfId="30803" xr:uid="{DCE1E998-F3AC-4AA8-893A-7B54A60FAFB2}"/>
    <cellStyle name="Финансовый 37 4 2 2 8" xfId="16946" xr:uid="{00000000-0005-0000-0000-0000E3570000}"/>
    <cellStyle name="Финансовый 37 4 2 2 8 2" xfId="33959" xr:uid="{ECF566D5-815B-4F94-AA51-8D0A4DC406F6}"/>
    <cellStyle name="Финансовый 37 4 2 2 9" xfId="20027" xr:uid="{00000000-0005-0000-0000-0000E4570000}"/>
    <cellStyle name="Финансовый 37 4 2 2 9 2" xfId="37040" xr:uid="{79B3847C-A865-40A6-9C9C-7B55160E82DC}"/>
    <cellStyle name="Финансовый 37 4 2 3" xfId="10661" xr:uid="{00000000-0005-0000-0000-0000E5570000}"/>
    <cellStyle name="Финансовый 37 4 2 3 2" xfId="10662" xr:uid="{00000000-0005-0000-0000-0000E6570000}"/>
    <cellStyle name="Финансовый 37 4 2 3 2 2" xfId="10663" xr:uid="{00000000-0005-0000-0000-0000E7570000}"/>
    <cellStyle name="Финансовый 37 4 2 3 2 2 2" xfId="10664" xr:uid="{00000000-0005-0000-0000-0000E8570000}"/>
    <cellStyle name="Финансовый 37 4 2 3 2 2 2 2" xfId="10665" xr:uid="{00000000-0005-0000-0000-0000E9570000}"/>
    <cellStyle name="Финансовый 37 4 2 3 2 2 2 2 2" xfId="13750" xr:uid="{00000000-0005-0000-0000-0000EA570000}"/>
    <cellStyle name="Финансовый 37 4 2 3 2 2 2 2 2 2" xfId="30839" xr:uid="{B673C82C-10EC-4F99-AF11-AA5F8DF72985}"/>
    <cellStyle name="Финансовый 37 4 2 3 2 2 2 2 3" xfId="16982" xr:uid="{00000000-0005-0000-0000-0000EB570000}"/>
    <cellStyle name="Финансовый 37 4 2 3 2 2 2 2 3 2" xfId="33995" xr:uid="{01DA4E51-817D-4DB4-89D5-EFA42BFD0C0A}"/>
    <cellStyle name="Финансовый 37 4 2 3 2 2 2 2 4" xfId="20063" xr:uid="{00000000-0005-0000-0000-0000EC570000}"/>
    <cellStyle name="Финансовый 37 4 2 3 2 2 2 2 4 2" xfId="37076" xr:uid="{AE0E67E0-6161-4752-9B7E-4F0CA3867805}"/>
    <cellStyle name="Финансовый 37 4 2 3 2 2 2 2 5" xfId="27766" xr:uid="{0141742F-D5D0-4E60-916B-871EF4ABDC08}"/>
    <cellStyle name="Финансовый 37 4 2 3 2 2 2 3" xfId="13749" xr:uid="{00000000-0005-0000-0000-0000ED570000}"/>
    <cellStyle name="Финансовый 37 4 2 3 2 2 2 3 2" xfId="30838" xr:uid="{DDB46D4A-8565-47E8-9653-D4D7BD46AF42}"/>
    <cellStyle name="Финансовый 37 4 2 3 2 2 2 4" xfId="16981" xr:uid="{00000000-0005-0000-0000-0000EE570000}"/>
    <cellStyle name="Финансовый 37 4 2 3 2 2 2 4 2" xfId="33994" xr:uid="{56B2DC6D-F1E8-499A-AA2A-7B824EEFBC05}"/>
    <cellStyle name="Финансовый 37 4 2 3 2 2 2 5" xfId="20062" xr:uid="{00000000-0005-0000-0000-0000EF570000}"/>
    <cellStyle name="Финансовый 37 4 2 3 2 2 2 5 2" xfId="37075" xr:uid="{780C563A-3DAB-4077-AF31-1CD30FB8AF3E}"/>
    <cellStyle name="Финансовый 37 4 2 3 2 2 2 6" xfId="27765" xr:uid="{F9A3F268-4625-4C49-9EC0-D00A4E6C41BB}"/>
    <cellStyle name="Финансовый 37 4 2 3 2 2 3" xfId="10666" xr:uid="{00000000-0005-0000-0000-0000F0570000}"/>
    <cellStyle name="Финансовый 37 4 2 3 2 2 3 2" xfId="13751" xr:uid="{00000000-0005-0000-0000-0000F1570000}"/>
    <cellStyle name="Финансовый 37 4 2 3 2 2 3 2 2" xfId="30840" xr:uid="{689BB1E4-0CA8-4D95-94DE-657F0820B337}"/>
    <cellStyle name="Финансовый 37 4 2 3 2 2 3 3" xfId="16983" xr:uid="{00000000-0005-0000-0000-0000F2570000}"/>
    <cellStyle name="Финансовый 37 4 2 3 2 2 3 3 2" xfId="33996" xr:uid="{DC207EE6-91FE-48E3-8B1C-3BEBEB0EFD54}"/>
    <cellStyle name="Финансовый 37 4 2 3 2 2 3 4" xfId="20064" xr:uid="{00000000-0005-0000-0000-0000F3570000}"/>
    <cellStyle name="Финансовый 37 4 2 3 2 2 3 4 2" xfId="37077" xr:uid="{A67DC470-2539-4329-B348-52D2CEFEC296}"/>
    <cellStyle name="Финансовый 37 4 2 3 2 2 3 5" xfId="27767" xr:uid="{AFCE933A-054D-415D-9611-33550E5853CD}"/>
    <cellStyle name="Финансовый 37 4 2 3 2 2 4" xfId="13748" xr:uid="{00000000-0005-0000-0000-0000F4570000}"/>
    <cellStyle name="Финансовый 37 4 2 3 2 2 4 2" xfId="30837" xr:uid="{9E5E9E23-371F-40D8-B6E3-623F69460582}"/>
    <cellStyle name="Финансовый 37 4 2 3 2 2 5" xfId="16980" xr:uid="{00000000-0005-0000-0000-0000F5570000}"/>
    <cellStyle name="Финансовый 37 4 2 3 2 2 5 2" xfId="33993" xr:uid="{0161EE5B-DDA2-46F2-99AF-61AC367606DD}"/>
    <cellStyle name="Финансовый 37 4 2 3 2 2 6" xfId="20061" xr:uid="{00000000-0005-0000-0000-0000F6570000}"/>
    <cellStyle name="Финансовый 37 4 2 3 2 2 6 2" xfId="37074" xr:uid="{C481EE3C-1AD2-49CA-85D8-97497F18A51F}"/>
    <cellStyle name="Финансовый 37 4 2 3 2 2 7" xfId="27764" xr:uid="{CFEEF2FB-3DE9-4CA7-9FFA-AEE86F35C37F}"/>
    <cellStyle name="Финансовый 37 4 2 3 2 3" xfId="10667" xr:uid="{00000000-0005-0000-0000-0000F7570000}"/>
    <cellStyle name="Финансовый 37 4 2 3 2 3 2" xfId="10668" xr:uid="{00000000-0005-0000-0000-0000F8570000}"/>
    <cellStyle name="Финансовый 37 4 2 3 2 3 2 2" xfId="13753" xr:uid="{00000000-0005-0000-0000-0000F9570000}"/>
    <cellStyle name="Финансовый 37 4 2 3 2 3 2 2 2" xfId="30842" xr:uid="{71047BDF-E962-4106-B2C6-54FFAF1C9A64}"/>
    <cellStyle name="Финансовый 37 4 2 3 2 3 2 3" xfId="16985" xr:uid="{00000000-0005-0000-0000-0000FA570000}"/>
    <cellStyle name="Финансовый 37 4 2 3 2 3 2 3 2" xfId="33998" xr:uid="{A7260596-06AB-4CF1-911D-8643A558D646}"/>
    <cellStyle name="Финансовый 37 4 2 3 2 3 2 4" xfId="20066" xr:uid="{00000000-0005-0000-0000-0000FB570000}"/>
    <cellStyle name="Финансовый 37 4 2 3 2 3 2 4 2" xfId="37079" xr:uid="{D2E04581-9D4E-4D07-82F9-66C579A69A47}"/>
    <cellStyle name="Финансовый 37 4 2 3 2 3 2 5" xfId="27769" xr:uid="{D19CB1BC-BA21-4890-9911-13F1D3F81586}"/>
    <cellStyle name="Финансовый 37 4 2 3 2 3 3" xfId="13752" xr:uid="{00000000-0005-0000-0000-0000FC570000}"/>
    <cellStyle name="Финансовый 37 4 2 3 2 3 3 2" xfId="30841" xr:uid="{A9AEFD00-7307-45C5-9A2B-D005F22D61CF}"/>
    <cellStyle name="Финансовый 37 4 2 3 2 3 4" xfId="16984" xr:uid="{00000000-0005-0000-0000-0000FD570000}"/>
    <cellStyle name="Финансовый 37 4 2 3 2 3 4 2" xfId="33997" xr:uid="{566DF608-F437-4C28-A38F-FC634CEBCA5F}"/>
    <cellStyle name="Финансовый 37 4 2 3 2 3 5" xfId="20065" xr:uid="{00000000-0005-0000-0000-0000FE570000}"/>
    <cellStyle name="Финансовый 37 4 2 3 2 3 5 2" xfId="37078" xr:uid="{27CD6599-8C8C-4D65-9E33-EEA9D4B0B833}"/>
    <cellStyle name="Финансовый 37 4 2 3 2 3 6" xfId="27768" xr:uid="{A3BA8EBF-E3E6-4015-B9E2-51F5FA8C4A5D}"/>
    <cellStyle name="Финансовый 37 4 2 3 2 4" xfId="10669" xr:uid="{00000000-0005-0000-0000-0000FF570000}"/>
    <cellStyle name="Финансовый 37 4 2 3 2 4 2" xfId="13754" xr:uid="{00000000-0005-0000-0000-000000580000}"/>
    <cellStyle name="Финансовый 37 4 2 3 2 4 2 2" xfId="30843" xr:uid="{AEB72CFC-1A8E-4EE1-839C-708BAFD9E678}"/>
    <cellStyle name="Финансовый 37 4 2 3 2 4 3" xfId="16986" xr:uid="{00000000-0005-0000-0000-000001580000}"/>
    <cellStyle name="Финансовый 37 4 2 3 2 4 3 2" xfId="33999" xr:uid="{0AA5040C-ED3E-4E42-BBF5-FA7A17B12ABF}"/>
    <cellStyle name="Финансовый 37 4 2 3 2 4 4" xfId="20067" xr:uid="{00000000-0005-0000-0000-000002580000}"/>
    <cellStyle name="Финансовый 37 4 2 3 2 4 4 2" xfId="37080" xr:uid="{B6B2A1C8-BDFA-4EEE-918C-2D624589F6B7}"/>
    <cellStyle name="Финансовый 37 4 2 3 2 4 5" xfId="27770" xr:uid="{DEC5BED3-CFDD-4057-9527-A3628FE94B7B}"/>
    <cellStyle name="Финансовый 37 4 2 3 2 5" xfId="13747" xr:uid="{00000000-0005-0000-0000-000003580000}"/>
    <cellStyle name="Финансовый 37 4 2 3 2 5 2" xfId="30836" xr:uid="{4AF7D488-961D-4D09-80A0-5458928BC6BA}"/>
    <cellStyle name="Финансовый 37 4 2 3 2 6" xfId="16979" xr:uid="{00000000-0005-0000-0000-000004580000}"/>
    <cellStyle name="Финансовый 37 4 2 3 2 6 2" xfId="33992" xr:uid="{B71B824C-19CA-40F9-B29C-A2C31B1A2370}"/>
    <cellStyle name="Финансовый 37 4 2 3 2 7" xfId="20060" xr:uid="{00000000-0005-0000-0000-000005580000}"/>
    <cellStyle name="Финансовый 37 4 2 3 2 7 2" xfId="37073" xr:uid="{A411CEF2-2274-4CDF-AEFB-81BBE998BD84}"/>
    <cellStyle name="Финансовый 37 4 2 3 2 8" xfId="27763" xr:uid="{F8159E81-E455-432B-8297-36AAC1AE2D0D}"/>
    <cellStyle name="Финансовый 37 4 2 3 3" xfId="10670" xr:uid="{00000000-0005-0000-0000-000006580000}"/>
    <cellStyle name="Финансовый 37 4 2 3 3 2" xfId="10671" xr:uid="{00000000-0005-0000-0000-000007580000}"/>
    <cellStyle name="Финансовый 37 4 2 3 3 2 2" xfId="10672" xr:uid="{00000000-0005-0000-0000-000008580000}"/>
    <cellStyle name="Финансовый 37 4 2 3 3 2 2 2" xfId="13757" xr:uid="{00000000-0005-0000-0000-000009580000}"/>
    <cellStyle name="Финансовый 37 4 2 3 3 2 2 2 2" xfId="30846" xr:uid="{3EA7BA99-E074-46CF-B096-D22F11BB07DB}"/>
    <cellStyle name="Финансовый 37 4 2 3 3 2 2 3" xfId="16989" xr:uid="{00000000-0005-0000-0000-00000A580000}"/>
    <cellStyle name="Финансовый 37 4 2 3 3 2 2 3 2" xfId="34002" xr:uid="{2A3CBBE4-C3C9-4E97-9674-EEB961586FDC}"/>
    <cellStyle name="Финансовый 37 4 2 3 3 2 2 4" xfId="20070" xr:uid="{00000000-0005-0000-0000-00000B580000}"/>
    <cellStyle name="Финансовый 37 4 2 3 3 2 2 4 2" xfId="37083" xr:uid="{B23140D3-3E29-45D0-9316-2B10C779A615}"/>
    <cellStyle name="Финансовый 37 4 2 3 3 2 2 5" xfId="27773" xr:uid="{887FDE4E-D4D6-4249-B1CC-86CD25A5E693}"/>
    <cellStyle name="Финансовый 37 4 2 3 3 2 3" xfId="13756" xr:uid="{00000000-0005-0000-0000-00000C580000}"/>
    <cellStyle name="Финансовый 37 4 2 3 3 2 3 2" xfId="30845" xr:uid="{98BEED61-F40B-4749-8FCF-2280DAA04BB1}"/>
    <cellStyle name="Финансовый 37 4 2 3 3 2 4" xfId="16988" xr:uid="{00000000-0005-0000-0000-00000D580000}"/>
    <cellStyle name="Финансовый 37 4 2 3 3 2 4 2" xfId="34001" xr:uid="{43A612EF-10C8-4E52-84CB-101B8CF88EAC}"/>
    <cellStyle name="Финансовый 37 4 2 3 3 2 5" xfId="20069" xr:uid="{00000000-0005-0000-0000-00000E580000}"/>
    <cellStyle name="Финансовый 37 4 2 3 3 2 5 2" xfId="37082" xr:uid="{71CA87AC-1392-4CBD-AE17-51AA18C373E7}"/>
    <cellStyle name="Финансовый 37 4 2 3 3 2 6" xfId="27772" xr:uid="{6DAB658F-7BCA-4E16-99C3-A603FFE0EF3B}"/>
    <cellStyle name="Финансовый 37 4 2 3 3 3" xfId="10673" xr:uid="{00000000-0005-0000-0000-00000F580000}"/>
    <cellStyle name="Финансовый 37 4 2 3 3 3 2" xfId="13758" xr:uid="{00000000-0005-0000-0000-000010580000}"/>
    <cellStyle name="Финансовый 37 4 2 3 3 3 2 2" xfId="30847" xr:uid="{5E419C59-FF0B-49AE-90E9-8FA723D93C10}"/>
    <cellStyle name="Финансовый 37 4 2 3 3 3 3" xfId="16990" xr:uid="{00000000-0005-0000-0000-000011580000}"/>
    <cellStyle name="Финансовый 37 4 2 3 3 3 3 2" xfId="34003" xr:uid="{25704EF3-E473-468C-AD30-84D6492ED91D}"/>
    <cellStyle name="Финансовый 37 4 2 3 3 3 4" xfId="20071" xr:uid="{00000000-0005-0000-0000-000012580000}"/>
    <cellStyle name="Финансовый 37 4 2 3 3 3 4 2" xfId="37084" xr:uid="{9C445752-D117-4395-A8B3-DD8E923BDF65}"/>
    <cellStyle name="Финансовый 37 4 2 3 3 3 5" xfId="27774" xr:uid="{A90E00D6-D64C-4565-A075-ACD23FD81231}"/>
    <cellStyle name="Финансовый 37 4 2 3 3 4" xfId="13755" xr:uid="{00000000-0005-0000-0000-000013580000}"/>
    <cellStyle name="Финансовый 37 4 2 3 3 4 2" xfId="30844" xr:uid="{2367EBC7-BC20-4375-A8B1-8650E1A4BB03}"/>
    <cellStyle name="Финансовый 37 4 2 3 3 5" xfId="16987" xr:uid="{00000000-0005-0000-0000-000014580000}"/>
    <cellStyle name="Финансовый 37 4 2 3 3 5 2" xfId="34000" xr:uid="{9F7C05E7-2A45-497C-AC74-F549B00C91B8}"/>
    <cellStyle name="Финансовый 37 4 2 3 3 6" xfId="20068" xr:uid="{00000000-0005-0000-0000-000015580000}"/>
    <cellStyle name="Финансовый 37 4 2 3 3 6 2" xfId="37081" xr:uid="{CF0BCCEB-CBF7-439D-988B-8B02D6DAEAAF}"/>
    <cellStyle name="Финансовый 37 4 2 3 3 7" xfId="27771" xr:uid="{CF1F169F-B8CE-40B7-AD73-979078750650}"/>
    <cellStyle name="Финансовый 37 4 2 3 4" xfId="10674" xr:uid="{00000000-0005-0000-0000-000016580000}"/>
    <cellStyle name="Финансовый 37 4 2 3 4 2" xfId="10675" xr:uid="{00000000-0005-0000-0000-000017580000}"/>
    <cellStyle name="Финансовый 37 4 2 3 4 2 2" xfId="13760" xr:uid="{00000000-0005-0000-0000-000018580000}"/>
    <cellStyle name="Финансовый 37 4 2 3 4 2 2 2" xfId="30849" xr:uid="{FA2ADA56-DBB0-4923-B2F6-FB85B77BDF61}"/>
    <cellStyle name="Финансовый 37 4 2 3 4 2 3" xfId="16992" xr:uid="{00000000-0005-0000-0000-000019580000}"/>
    <cellStyle name="Финансовый 37 4 2 3 4 2 3 2" xfId="34005" xr:uid="{10397B7F-0307-4571-906E-9A3E92B0BAB2}"/>
    <cellStyle name="Финансовый 37 4 2 3 4 2 4" xfId="20073" xr:uid="{00000000-0005-0000-0000-00001A580000}"/>
    <cellStyle name="Финансовый 37 4 2 3 4 2 4 2" xfId="37086" xr:uid="{330D89E9-6379-40B8-BAF1-539A0AECC1CE}"/>
    <cellStyle name="Финансовый 37 4 2 3 4 2 5" xfId="27776" xr:uid="{7B11E381-1DC1-4667-9ACD-A46605CEE058}"/>
    <cellStyle name="Финансовый 37 4 2 3 4 3" xfId="13759" xr:uid="{00000000-0005-0000-0000-00001B580000}"/>
    <cellStyle name="Финансовый 37 4 2 3 4 3 2" xfId="30848" xr:uid="{811610E9-E193-4EC4-9827-956DE80C6655}"/>
    <cellStyle name="Финансовый 37 4 2 3 4 4" xfId="16991" xr:uid="{00000000-0005-0000-0000-00001C580000}"/>
    <cellStyle name="Финансовый 37 4 2 3 4 4 2" xfId="34004" xr:uid="{FF4901B4-7A93-4A70-B054-C7FC027E9025}"/>
    <cellStyle name="Финансовый 37 4 2 3 4 5" xfId="20072" xr:uid="{00000000-0005-0000-0000-00001D580000}"/>
    <cellStyle name="Финансовый 37 4 2 3 4 5 2" xfId="37085" xr:uid="{234CB840-5D03-4A7F-A8E0-5F144617B85C}"/>
    <cellStyle name="Финансовый 37 4 2 3 4 6" xfId="27775" xr:uid="{39B38C8C-1C14-4D34-8CF8-DCA238901C2A}"/>
    <cellStyle name="Финансовый 37 4 2 3 5" xfId="10676" xr:uid="{00000000-0005-0000-0000-00001E580000}"/>
    <cellStyle name="Финансовый 37 4 2 3 5 2" xfId="13761" xr:uid="{00000000-0005-0000-0000-00001F580000}"/>
    <cellStyle name="Финансовый 37 4 2 3 5 2 2" xfId="30850" xr:uid="{0F15DA14-80A4-4A65-82F4-36652F42117A}"/>
    <cellStyle name="Финансовый 37 4 2 3 5 3" xfId="16993" xr:uid="{00000000-0005-0000-0000-000020580000}"/>
    <cellStyle name="Финансовый 37 4 2 3 5 3 2" xfId="34006" xr:uid="{28E4CCDA-8974-4820-9187-99908373CD02}"/>
    <cellStyle name="Финансовый 37 4 2 3 5 4" xfId="20074" xr:uid="{00000000-0005-0000-0000-000021580000}"/>
    <cellStyle name="Финансовый 37 4 2 3 5 4 2" xfId="37087" xr:uid="{80090A93-3B50-45CE-95EB-0D282EFB53A5}"/>
    <cellStyle name="Финансовый 37 4 2 3 5 5" xfId="27777" xr:uid="{EF49539F-512C-4BD9-9246-0784FC211BDE}"/>
    <cellStyle name="Финансовый 37 4 2 3 6" xfId="13746" xr:uid="{00000000-0005-0000-0000-000022580000}"/>
    <cellStyle name="Финансовый 37 4 2 3 6 2" xfId="30835" xr:uid="{A56B5D5A-8677-4443-8F09-F03FF7AB1A92}"/>
    <cellStyle name="Финансовый 37 4 2 3 7" xfId="16978" xr:uid="{00000000-0005-0000-0000-000023580000}"/>
    <cellStyle name="Финансовый 37 4 2 3 7 2" xfId="33991" xr:uid="{FA37FBBC-DC11-4CEB-AD89-8A98475A11B9}"/>
    <cellStyle name="Финансовый 37 4 2 3 8" xfId="20059" xr:uid="{00000000-0005-0000-0000-000024580000}"/>
    <cellStyle name="Финансовый 37 4 2 3 8 2" xfId="37072" xr:uid="{83F3EC6F-6156-499B-AB41-EFB61C4628EC}"/>
    <cellStyle name="Финансовый 37 4 2 3 9" xfId="27762" xr:uid="{9B4E156D-7E39-423D-9A2B-1D237D2E97E1}"/>
    <cellStyle name="Финансовый 37 4 2 4" xfId="10677" xr:uid="{00000000-0005-0000-0000-000025580000}"/>
    <cellStyle name="Финансовый 37 4 2 4 2" xfId="10678" xr:uid="{00000000-0005-0000-0000-000026580000}"/>
    <cellStyle name="Финансовый 37 4 2 4 2 2" xfId="10679" xr:uid="{00000000-0005-0000-0000-000027580000}"/>
    <cellStyle name="Финансовый 37 4 2 4 2 2 2" xfId="10680" xr:uid="{00000000-0005-0000-0000-000028580000}"/>
    <cellStyle name="Финансовый 37 4 2 4 2 2 2 2" xfId="13765" xr:uid="{00000000-0005-0000-0000-000029580000}"/>
    <cellStyle name="Финансовый 37 4 2 4 2 2 2 2 2" xfId="30854" xr:uid="{968E301E-D706-4A35-ABBF-8AEBB9327980}"/>
    <cellStyle name="Финансовый 37 4 2 4 2 2 2 3" xfId="16997" xr:uid="{00000000-0005-0000-0000-00002A580000}"/>
    <cellStyle name="Финансовый 37 4 2 4 2 2 2 3 2" xfId="34010" xr:uid="{BAFE4BB0-2B8F-4B3D-A222-4A7DCB8EEDEE}"/>
    <cellStyle name="Финансовый 37 4 2 4 2 2 2 4" xfId="20078" xr:uid="{00000000-0005-0000-0000-00002B580000}"/>
    <cellStyle name="Финансовый 37 4 2 4 2 2 2 4 2" xfId="37091" xr:uid="{40FA8C20-F618-42F9-BCAF-C9E079FF4EFB}"/>
    <cellStyle name="Финансовый 37 4 2 4 2 2 2 5" xfId="27781" xr:uid="{1BC0FFE0-D0A8-4D7E-A562-BC8B6DE1368E}"/>
    <cellStyle name="Финансовый 37 4 2 4 2 2 3" xfId="13764" xr:uid="{00000000-0005-0000-0000-00002C580000}"/>
    <cellStyle name="Финансовый 37 4 2 4 2 2 3 2" xfId="30853" xr:uid="{62AC362F-C339-4007-BAF9-985BE61838B2}"/>
    <cellStyle name="Финансовый 37 4 2 4 2 2 4" xfId="16996" xr:uid="{00000000-0005-0000-0000-00002D580000}"/>
    <cellStyle name="Финансовый 37 4 2 4 2 2 4 2" xfId="34009" xr:uid="{6AAF666A-81C5-4D68-930F-0806B2C7740C}"/>
    <cellStyle name="Финансовый 37 4 2 4 2 2 5" xfId="20077" xr:uid="{00000000-0005-0000-0000-00002E580000}"/>
    <cellStyle name="Финансовый 37 4 2 4 2 2 5 2" xfId="37090" xr:uid="{B164072E-0CB2-4080-A3E2-CCE039A36663}"/>
    <cellStyle name="Финансовый 37 4 2 4 2 2 6" xfId="27780" xr:uid="{F25F5D23-332A-442E-9567-CDFED5AAF0B4}"/>
    <cellStyle name="Финансовый 37 4 2 4 2 3" xfId="10681" xr:uid="{00000000-0005-0000-0000-00002F580000}"/>
    <cellStyle name="Финансовый 37 4 2 4 2 3 2" xfId="13766" xr:uid="{00000000-0005-0000-0000-000030580000}"/>
    <cellStyle name="Финансовый 37 4 2 4 2 3 2 2" xfId="30855" xr:uid="{ABAF2C13-8410-4A0E-AE43-7D8DFA9B4473}"/>
    <cellStyle name="Финансовый 37 4 2 4 2 3 3" xfId="16998" xr:uid="{00000000-0005-0000-0000-000031580000}"/>
    <cellStyle name="Финансовый 37 4 2 4 2 3 3 2" xfId="34011" xr:uid="{18D44EDC-214E-46A7-A5DE-506C5995120E}"/>
    <cellStyle name="Финансовый 37 4 2 4 2 3 4" xfId="20079" xr:uid="{00000000-0005-0000-0000-000032580000}"/>
    <cellStyle name="Финансовый 37 4 2 4 2 3 4 2" xfId="37092" xr:uid="{35799E3D-6AC5-4F20-8792-438B5B8415DE}"/>
    <cellStyle name="Финансовый 37 4 2 4 2 3 5" xfId="27782" xr:uid="{C4E14238-8D0D-4AF7-B942-CA022F251594}"/>
    <cellStyle name="Финансовый 37 4 2 4 2 4" xfId="13763" xr:uid="{00000000-0005-0000-0000-000033580000}"/>
    <cellStyle name="Финансовый 37 4 2 4 2 4 2" xfId="30852" xr:uid="{C9E1F54A-AEEF-4ECC-BA2D-EE2E28CCEB71}"/>
    <cellStyle name="Финансовый 37 4 2 4 2 5" xfId="16995" xr:uid="{00000000-0005-0000-0000-000034580000}"/>
    <cellStyle name="Финансовый 37 4 2 4 2 5 2" xfId="34008" xr:uid="{AC997EEE-182D-4086-8977-8DBBC02EC43B}"/>
    <cellStyle name="Финансовый 37 4 2 4 2 6" xfId="20076" xr:uid="{00000000-0005-0000-0000-000035580000}"/>
    <cellStyle name="Финансовый 37 4 2 4 2 6 2" xfId="37089" xr:uid="{E7FF6644-69AB-4815-8B53-E136874211CF}"/>
    <cellStyle name="Финансовый 37 4 2 4 2 7" xfId="27779" xr:uid="{BDC92EB1-925F-4C53-94C7-8CB0AAFE3ABE}"/>
    <cellStyle name="Финансовый 37 4 2 4 3" xfId="10682" xr:uid="{00000000-0005-0000-0000-000036580000}"/>
    <cellStyle name="Финансовый 37 4 2 4 3 2" xfId="10683" xr:uid="{00000000-0005-0000-0000-000037580000}"/>
    <cellStyle name="Финансовый 37 4 2 4 3 2 2" xfId="13768" xr:uid="{00000000-0005-0000-0000-000038580000}"/>
    <cellStyle name="Финансовый 37 4 2 4 3 2 2 2" xfId="30857" xr:uid="{ED018EFF-4855-4740-9A65-F762C81CF89F}"/>
    <cellStyle name="Финансовый 37 4 2 4 3 2 3" xfId="17000" xr:uid="{00000000-0005-0000-0000-000039580000}"/>
    <cellStyle name="Финансовый 37 4 2 4 3 2 3 2" xfId="34013" xr:uid="{703D6BE3-0EF2-4FD8-88B3-7F6213A15421}"/>
    <cellStyle name="Финансовый 37 4 2 4 3 2 4" xfId="20081" xr:uid="{00000000-0005-0000-0000-00003A580000}"/>
    <cellStyle name="Финансовый 37 4 2 4 3 2 4 2" xfId="37094" xr:uid="{B918B11C-F520-44FA-B79E-4BAC8E6C3D9B}"/>
    <cellStyle name="Финансовый 37 4 2 4 3 2 5" xfId="27784" xr:uid="{6E491452-EE3F-4262-A3B9-36CE689BED2C}"/>
    <cellStyle name="Финансовый 37 4 2 4 3 3" xfId="13767" xr:uid="{00000000-0005-0000-0000-00003B580000}"/>
    <cellStyle name="Финансовый 37 4 2 4 3 3 2" xfId="30856" xr:uid="{570E4469-DE98-4239-B82D-78A91C8DBAD1}"/>
    <cellStyle name="Финансовый 37 4 2 4 3 4" xfId="16999" xr:uid="{00000000-0005-0000-0000-00003C580000}"/>
    <cellStyle name="Финансовый 37 4 2 4 3 4 2" xfId="34012" xr:uid="{3ECC0C2A-E77E-4886-869A-678CFB131EF0}"/>
    <cellStyle name="Финансовый 37 4 2 4 3 5" xfId="20080" xr:uid="{00000000-0005-0000-0000-00003D580000}"/>
    <cellStyle name="Финансовый 37 4 2 4 3 5 2" xfId="37093" xr:uid="{38BEA459-937D-49BE-BFF4-9B758794A354}"/>
    <cellStyle name="Финансовый 37 4 2 4 3 6" xfId="27783" xr:uid="{E13999A4-1CE7-4DA7-B6F0-BF1C2A2B9A8D}"/>
    <cellStyle name="Финансовый 37 4 2 4 4" xfId="10684" xr:uid="{00000000-0005-0000-0000-00003E580000}"/>
    <cellStyle name="Финансовый 37 4 2 4 4 2" xfId="13769" xr:uid="{00000000-0005-0000-0000-00003F580000}"/>
    <cellStyle name="Финансовый 37 4 2 4 4 2 2" xfId="30858" xr:uid="{B360C873-1B71-4AED-AF2C-A5389A25F016}"/>
    <cellStyle name="Финансовый 37 4 2 4 4 3" xfId="17001" xr:uid="{00000000-0005-0000-0000-000040580000}"/>
    <cellStyle name="Финансовый 37 4 2 4 4 3 2" xfId="34014" xr:uid="{384C0F17-99A8-4141-8563-FE824B18D99A}"/>
    <cellStyle name="Финансовый 37 4 2 4 4 4" xfId="20082" xr:uid="{00000000-0005-0000-0000-000041580000}"/>
    <cellStyle name="Финансовый 37 4 2 4 4 4 2" xfId="37095" xr:uid="{73570272-AED7-4B3A-B411-2542070D9F1B}"/>
    <cellStyle name="Финансовый 37 4 2 4 4 5" xfId="27785" xr:uid="{1DE4C34F-ADDF-48D3-B381-D04A91122E12}"/>
    <cellStyle name="Финансовый 37 4 2 4 5" xfId="13762" xr:uid="{00000000-0005-0000-0000-000042580000}"/>
    <cellStyle name="Финансовый 37 4 2 4 5 2" xfId="30851" xr:uid="{FB236F78-9DAB-4A97-97AC-62E061BE4DB5}"/>
    <cellStyle name="Финансовый 37 4 2 4 6" xfId="16994" xr:uid="{00000000-0005-0000-0000-000043580000}"/>
    <cellStyle name="Финансовый 37 4 2 4 6 2" xfId="34007" xr:uid="{2179EF2F-B1A1-45FA-BB05-D64AD7D4ECB4}"/>
    <cellStyle name="Финансовый 37 4 2 4 7" xfId="20075" xr:uid="{00000000-0005-0000-0000-000044580000}"/>
    <cellStyle name="Финансовый 37 4 2 4 7 2" xfId="37088" xr:uid="{DBB8BEF7-BA95-4614-A521-219B08749900}"/>
    <cellStyle name="Финансовый 37 4 2 4 8" xfId="27778" xr:uid="{032725CC-8387-45D8-8D40-5A3BC6D44069}"/>
    <cellStyle name="Финансовый 37 4 2 5" xfId="10685" xr:uid="{00000000-0005-0000-0000-000045580000}"/>
    <cellStyle name="Финансовый 37 4 2 5 2" xfId="10686" xr:uid="{00000000-0005-0000-0000-000046580000}"/>
    <cellStyle name="Финансовый 37 4 2 5 2 2" xfId="10687" xr:uid="{00000000-0005-0000-0000-000047580000}"/>
    <cellStyle name="Финансовый 37 4 2 5 2 2 2" xfId="13772" xr:uid="{00000000-0005-0000-0000-000048580000}"/>
    <cellStyle name="Финансовый 37 4 2 5 2 2 2 2" xfId="30861" xr:uid="{C9968BD9-B27E-4595-BD67-D83BF6B5F900}"/>
    <cellStyle name="Финансовый 37 4 2 5 2 2 3" xfId="17004" xr:uid="{00000000-0005-0000-0000-000049580000}"/>
    <cellStyle name="Финансовый 37 4 2 5 2 2 3 2" xfId="34017" xr:uid="{964CE5D0-7214-4033-B4AA-978B6A9566DB}"/>
    <cellStyle name="Финансовый 37 4 2 5 2 2 4" xfId="20085" xr:uid="{00000000-0005-0000-0000-00004A580000}"/>
    <cellStyle name="Финансовый 37 4 2 5 2 2 4 2" xfId="37098" xr:uid="{3AFA6868-13B0-4E1B-B772-04F002383717}"/>
    <cellStyle name="Финансовый 37 4 2 5 2 2 5" xfId="27788" xr:uid="{A7090DE8-9AFF-4943-AF4E-2D61E3DCD633}"/>
    <cellStyle name="Финансовый 37 4 2 5 2 3" xfId="13771" xr:uid="{00000000-0005-0000-0000-00004B580000}"/>
    <cellStyle name="Финансовый 37 4 2 5 2 3 2" xfId="30860" xr:uid="{BB7DE3BE-1C08-496F-9ABD-A3865D5B24C4}"/>
    <cellStyle name="Финансовый 37 4 2 5 2 4" xfId="17003" xr:uid="{00000000-0005-0000-0000-00004C580000}"/>
    <cellStyle name="Финансовый 37 4 2 5 2 4 2" xfId="34016" xr:uid="{61DAD895-0ADC-4B1E-AAB0-90181D187AD9}"/>
    <cellStyle name="Финансовый 37 4 2 5 2 5" xfId="20084" xr:uid="{00000000-0005-0000-0000-00004D580000}"/>
    <cellStyle name="Финансовый 37 4 2 5 2 5 2" xfId="37097" xr:uid="{02A37FAF-E930-4CC6-B11E-005EC38A433B}"/>
    <cellStyle name="Финансовый 37 4 2 5 2 6" xfId="27787" xr:uid="{002322D4-C638-4306-920C-5BCFBD701C59}"/>
    <cellStyle name="Финансовый 37 4 2 5 3" xfId="10688" xr:uid="{00000000-0005-0000-0000-00004E580000}"/>
    <cellStyle name="Финансовый 37 4 2 5 3 2" xfId="13773" xr:uid="{00000000-0005-0000-0000-00004F580000}"/>
    <cellStyle name="Финансовый 37 4 2 5 3 2 2" xfId="30862" xr:uid="{6FD215F6-8A94-4BD5-B63A-DA7725610B33}"/>
    <cellStyle name="Финансовый 37 4 2 5 3 3" xfId="17005" xr:uid="{00000000-0005-0000-0000-000050580000}"/>
    <cellStyle name="Финансовый 37 4 2 5 3 3 2" xfId="34018" xr:uid="{C2D68D1C-7FB9-4779-96CD-7FE0236CF682}"/>
    <cellStyle name="Финансовый 37 4 2 5 3 4" xfId="20086" xr:uid="{00000000-0005-0000-0000-000051580000}"/>
    <cellStyle name="Финансовый 37 4 2 5 3 4 2" xfId="37099" xr:uid="{AEA60C39-F743-4AE4-9DD5-F81BCB5F7D28}"/>
    <cellStyle name="Финансовый 37 4 2 5 3 5" xfId="27789" xr:uid="{F1E92BFC-71CC-4B7D-8367-6F535EF3F837}"/>
    <cellStyle name="Финансовый 37 4 2 5 4" xfId="13770" xr:uid="{00000000-0005-0000-0000-000052580000}"/>
    <cellStyle name="Финансовый 37 4 2 5 4 2" xfId="30859" xr:uid="{CF19A761-148A-419F-9A26-AA902D4BBDA6}"/>
    <cellStyle name="Финансовый 37 4 2 5 5" xfId="17002" xr:uid="{00000000-0005-0000-0000-000053580000}"/>
    <cellStyle name="Финансовый 37 4 2 5 5 2" xfId="34015" xr:uid="{911DFD02-0CDE-468F-850F-3F96D7032011}"/>
    <cellStyle name="Финансовый 37 4 2 5 6" xfId="20083" xr:uid="{00000000-0005-0000-0000-000054580000}"/>
    <cellStyle name="Финансовый 37 4 2 5 6 2" xfId="37096" xr:uid="{8EE0BE8F-39CD-4AFA-8660-A8162452CB79}"/>
    <cellStyle name="Финансовый 37 4 2 5 7" xfId="27786" xr:uid="{71F37DC6-2FE9-497E-994E-754E4E0EC309}"/>
    <cellStyle name="Финансовый 37 4 2 6" xfId="10689" xr:uid="{00000000-0005-0000-0000-000055580000}"/>
    <cellStyle name="Финансовый 37 4 2 6 2" xfId="10690" xr:uid="{00000000-0005-0000-0000-000056580000}"/>
    <cellStyle name="Финансовый 37 4 2 6 2 2" xfId="13775" xr:uid="{00000000-0005-0000-0000-000057580000}"/>
    <cellStyle name="Финансовый 37 4 2 6 2 2 2" xfId="30864" xr:uid="{91D9D594-4263-4F84-967E-1A313AEDBD47}"/>
    <cellStyle name="Финансовый 37 4 2 6 2 3" xfId="17007" xr:uid="{00000000-0005-0000-0000-000058580000}"/>
    <cellStyle name="Финансовый 37 4 2 6 2 3 2" xfId="34020" xr:uid="{46F1591C-5572-4DEB-8BA3-7781653DE779}"/>
    <cellStyle name="Финансовый 37 4 2 6 2 4" xfId="20088" xr:uid="{00000000-0005-0000-0000-000059580000}"/>
    <cellStyle name="Финансовый 37 4 2 6 2 4 2" xfId="37101" xr:uid="{6322FB74-6A22-4DC6-804F-365FF621BA28}"/>
    <cellStyle name="Финансовый 37 4 2 6 2 5" xfId="27791" xr:uid="{198913A4-AB3A-4650-8F18-075DDF2DEACE}"/>
    <cellStyle name="Финансовый 37 4 2 6 3" xfId="13774" xr:uid="{00000000-0005-0000-0000-00005A580000}"/>
    <cellStyle name="Финансовый 37 4 2 6 3 2" xfId="30863" xr:uid="{AFF1CA64-CFA5-40BA-9443-FC82691CB504}"/>
    <cellStyle name="Финансовый 37 4 2 6 4" xfId="17006" xr:uid="{00000000-0005-0000-0000-00005B580000}"/>
    <cellStyle name="Финансовый 37 4 2 6 4 2" xfId="34019" xr:uid="{F013A4A4-EF8E-4777-BB92-F4D83D796741}"/>
    <cellStyle name="Финансовый 37 4 2 6 5" xfId="20087" xr:uid="{00000000-0005-0000-0000-00005C580000}"/>
    <cellStyle name="Финансовый 37 4 2 6 5 2" xfId="37100" xr:uid="{1E4A1A56-B7D2-49A9-9E8E-238FDAFFF305}"/>
    <cellStyle name="Финансовый 37 4 2 6 6" xfId="27790" xr:uid="{2D18D455-E4A5-4DA1-BA71-8D77455F8E2F}"/>
    <cellStyle name="Финансовый 37 4 2 7" xfId="10691" xr:uid="{00000000-0005-0000-0000-00005D580000}"/>
    <cellStyle name="Финансовый 37 4 2 7 2" xfId="13776" xr:uid="{00000000-0005-0000-0000-00005E580000}"/>
    <cellStyle name="Финансовый 37 4 2 7 2 2" xfId="30865" xr:uid="{D148A18A-72CB-4300-9877-9DA5CC57D9FF}"/>
    <cellStyle name="Финансовый 37 4 2 7 3" xfId="17008" xr:uid="{00000000-0005-0000-0000-00005F580000}"/>
    <cellStyle name="Финансовый 37 4 2 7 3 2" xfId="34021" xr:uid="{980C3E20-00A0-4CF9-86C3-F95F90C78CE3}"/>
    <cellStyle name="Финансовый 37 4 2 7 4" xfId="20089" xr:uid="{00000000-0005-0000-0000-000060580000}"/>
    <cellStyle name="Финансовый 37 4 2 7 4 2" xfId="37102" xr:uid="{1668865A-717D-4FBA-A054-C406BAAF9B3F}"/>
    <cellStyle name="Финансовый 37 4 2 7 5" xfId="27792" xr:uid="{614CD558-ECEA-49F8-B01B-C20789651FF0}"/>
    <cellStyle name="Финансовый 37 4 2 8" xfId="13713" xr:uid="{00000000-0005-0000-0000-000061580000}"/>
    <cellStyle name="Финансовый 37 4 2 8 2" xfId="30802" xr:uid="{AFDC720A-8C44-4CF3-8030-B802006C09B1}"/>
    <cellStyle name="Финансовый 37 4 2 9" xfId="16945" xr:uid="{00000000-0005-0000-0000-000062580000}"/>
    <cellStyle name="Финансовый 37 4 2 9 2" xfId="33958" xr:uid="{0A8D5618-3454-4B9B-8C5F-02314123D6FE}"/>
    <cellStyle name="Финансовый 37 4 3" xfId="10692" xr:uid="{00000000-0005-0000-0000-000063580000}"/>
    <cellStyle name="Финансовый 37 4 3 10" xfId="27793" xr:uid="{D553F84C-1BE2-4E70-827C-67F1EEAAE4D8}"/>
    <cellStyle name="Финансовый 37 4 3 2" xfId="10693" xr:uid="{00000000-0005-0000-0000-000064580000}"/>
    <cellStyle name="Финансовый 37 4 3 2 2" xfId="10694" xr:uid="{00000000-0005-0000-0000-000065580000}"/>
    <cellStyle name="Финансовый 37 4 3 2 2 2" xfId="10695" xr:uid="{00000000-0005-0000-0000-000066580000}"/>
    <cellStyle name="Финансовый 37 4 3 2 2 2 2" xfId="10696" xr:uid="{00000000-0005-0000-0000-000067580000}"/>
    <cellStyle name="Финансовый 37 4 3 2 2 2 2 2" xfId="10697" xr:uid="{00000000-0005-0000-0000-000068580000}"/>
    <cellStyle name="Финансовый 37 4 3 2 2 2 2 2 2" xfId="13782" xr:uid="{00000000-0005-0000-0000-000069580000}"/>
    <cellStyle name="Финансовый 37 4 3 2 2 2 2 2 2 2" xfId="30871" xr:uid="{C876C1AE-5197-4B3D-AF0D-A3F6245B3B83}"/>
    <cellStyle name="Финансовый 37 4 3 2 2 2 2 2 3" xfId="17014" xr:uid="{00000000-0005-0000-0000-00006A580000}"/>
    <cellStyle name="Финансовый 37 4 3 2 2 2 2 2 3 2" xfId="34027" xr:uid="{7D3D05DE-F9BD-474A-A3C0-AF35332BA654}"/>
    <cellStyle name="Финансовый 37 4 3 2 2 2 2 2 4" xfId="20095" xr:uid="{00000000-0005-0000-0000-00006B580000}"/>
    <cellStyle name="Финансовый 37 4 3 2 2 2 2 2 4 2" xfId="37108" xr:uid="{0DF93BD5-E380-4A22-A348-06FC1CC6B570}"/>
    <cellStyle name="Финансовый 37 4 3 2 2 2 2 2 5" xfId="27798" xr:uid="{6B1728E7-AB14-49A4-913E-92EFEA572942}"/>
    <cellStyle name="Финансовый 37 4 3 2 2 2 2 3" xfId="13781" xr:uid="{00000000-0005-0000-0000-00006C580000}"/>
    <cellStyle name="Финансовый 37 4 3 2 2 2 2 3 2" xfId="30870" xr:uid="{23FEC5BC-A3B5-483E-B6F5-D2D299835E37}"/>
    <cellStyle name="Финансовый 37 4 3 2 2 2 2 4" xfId="17013" xr:uid="{00000000-0005-0000-0000-00006D580000}"/>
    <cellStyle name="Финансовый 37 4 3 2 2 2 2 4 2" xfId="34026" xr:uid="{854A99EA-6A54-4198-A9C1-F97A54E21755}"/>
    <cellStyle name="Финансовый 37 4 3 2 2 2 2 5" xfId="20094" xr:uid="{00000000-0005-0000-0000-00006E580000}"/>
    <cellStyle name="Финансовый 37 4 3 2 2 2 2 5 2" xfId="37107" xr:uid="{BF213FDC-7B46-4AD8-81ED-552F39AD2990}"/>
    <cellStyle name="Финансовый 37 4 3 2 2 2 2 6" xfId="27797" xr:uid="{029404F1-F25C-47AF-8172-1B7EBDF1DF21}"/>
    <cellStyle name="Финансовый 37 4 3 2 2 2 3" xfId="10698" xr:uid="{00000000-0005-0000-0000-00006F580000}"/>
    <cellStyle name="Финансовый 37 4 3 2 2 2 3 2" xfId="13783" xr:uid="{00000000-0005-0000-0000-000070580000}"/>
    <cellStyle name="Финансовый 37 4 3 2 2 2 3 2 2" xfId="30872" xr:uid="{D6BE66E3-4BC2-4315-B838-79179E5AD110}"/>
    <cellStyle name="Финансовый 37 4 3 2 2 2 3 3" xfId="17015" xr:uid="{00000000-0005-0000-0000-000071580000}"/>
    <cellStyle name="Финансовый 37 4 3 2 2 2 3 3 2" xfId="34028" xr:uid="{DE289488-FEA2-47F1-8D59-59B579CDF5F2}"/>
    <cellStyle name="Финансовый 37 4 3 2 2 2 3 4" xfId="20096" xr:uid="{00000000-0005-0000-0000-000072580000}"/>
    <cellStyle name="Финансовый 37 4 3 2 2 2 3 4 2" xfId="37109" xr:uid="{E800C46E-CC31-4AD2-92BA-B421C051BAE1}"/>
    <cellStyle name="Финансовый 37 4 3 2 2 2 3 5" xfId="27799" xr:uid="{9B7811C2-4A8E-4FC0-BA51-8AEEA8C85686}"/>
    <cellStyle name="Финансовый 37 4 3 2 2 2 4" xfId="13780" xr:uid="{00000000-0005-0000-0000-000073580000}"/>
    <cellStyle name="Финансовый 37 4 3 2 2 2 4 2" xfId="30869" xr:uid="{941AEC3C-E74D-4E5D-B97D-E988D23656EB}"/>
    <cellStyle name="Финансовый 37 4 3 2 2 2 5" xfId="17012" xr:uid="{00000000-0005-0000-0000-000074580000}"/>
    <cellStyle name="Финансовый 37 4 3 2 2 2 5 2" xfId="34025" xr:uid="{E62CD9FC-19B0-4EE6-A393-4BBF4F73DA36}"/>
    <cellStyle name="Финансовый 37 4 3 2 2 2 6" xfId="20093" xr:uid="{00000000-0005-0000-0000-000075580000}"/>
    <cellStyle name="Финансовый 37 4 3 2 2 2 6 2" xfId="37106" xr:uid="{7137B34B-38E3-4FD5-9E1E-468044A3FCD4}"/>
    <cellStyle name="Финансовый 37 4 3 2 2 2 7" xfId="27796" xr:uid="{3A0D814E-4D0D-43B1-A838-EAC75675A81E}"/>
    <cellStyle name="Финансовый 37 4 3 2 2 3" xfId="10699" xr:uid="{00000000-0005-0000-0000-000076580000}"/>
    <cellStyle name="Финансовый 37 4 3 2 2 3 2" xfId="10700" xr:uid="{00000000-0005-0000-0000-000077580000}"/>
    <cellStyle name="Финансовый 37 4 3 2 2 3 2 2" xfId="13785" xr:uid="{00000000-0005-0000-0000-000078580000}"/>
    <cellStyle name="Финансовый 37 4 3 2 2 3 2 2 2" xfId="30874" xr:uid="{A582CA6A-B43A-4B45-931B-5CAE1B739103}"/>
    <cellStyle name="Финансовый 37 4 3 2 2 3 2 3" xfId="17017" xr:uid="{00000000-0005-0000-0000-000079580000}"/>
    <cellStyle name="Финансовый 37 4 3 2 2 3 2 3 2" xfId="34030" xr:uid="{72FDA86F-C12F-4D78-BD0A-6E5AFBF73974}"/>
    <cellStyle name="Финансовый 37 4 3 2 2 3 2 4" xfId="20098" xr:uid="{00000000-0005-0000-0000-00007A580000}"/>
    <cellStyle name="Финансовый 37 4 3 2 2 3 2 4 2" xfId="37111" xr:uid="{155C8CA2-DE15-436C-B22A-968D756B7BF0}"/>
    <cellStyle name="Финансовый 37 4 3 2 2 3 2 5" xfId="27801" xr:uid="{B91523B9-5B1C-41B4-B7B4-5A9408DF1412}"/>
    <cellStyle name="Финансовый 37 4 3 2 2 3 3" xfId="13784" xr:uid="{00000000-0005-0000-0000-00007B580000}"/>
    <cellStyle name="Финансовый 37 4 3 2 2 3 3 2" xfId="30873" xr:uid="{C4871FE3-4895-4866-9E85-1E7509779D27}"/>
    <cellStyle name="Финансовый 37 4 3 2 2 3 4" xfId="17016" xr:uid="{00000000-0005-0000-0000-00007C580000}"/>
    <cellStyle name="Финансовый 37 4 3 2 2 3 4 2" xfId="34029" xr:uid="{A65EB7C0-EEDF-4AEB-A76E-F354C8527979}"/>
    <cellStyle name="Финансовый 37 4 3 2 2 3 5" xfId="20097" xr:uid="{00000000-0005-0000-0000-00007D580000}"/>
    <cellStyle name="Финансовый 37 4 3 2 2 3 5 2" xfId="37110" xr:uid="{40A1BFC8-2A1F-49E1-B321-E088690DC042}"/>
    <cellStyle name="Финансовый 37 4 3 2 2 3 6" xfId="27800" xr:uid="{77050439-83C0-4A5F-8955-C30AB168A91A}"/>
    <cellStyle name="Финансовый 37 4 3 2 2 4" xfId="10701" xr:uid="{00000000-0005-0000-0000-00007E580000}"/>
    <cellStyle name="Финансовый 37 4 3 2 2 4 2" xfId="13786" xr:uid="{00000000-0005-0000-0000-00007F580000}"/>
    <cellStyle name="Финансовый 37 4 3 2 2 4 2 2" xfId="30875" xr:uid="{904718AC-780A-4659-8A1D-7F5E2BBA040A}"/>
    <cellStyle name="Финансовый 37 4 3 2 2 4 3" xfId="17018" xr:uid="{00000000-0005-0000-0000-000080580000}"/>
    <cellStyle name="Финансовый 37 4 3 2 2 4 3 2" xfId="34031" xr:uid="{52EB5977-C2EA-44D5-9307-5AE6AA51D77D}"/>
    <cellStyle name="Финансовый 37 4 3 2 2 4 4" xfId="20099" xr:uid="{00000000-0005-0000-0000-000081580000}"/>
    <cellStyle name="Финансовый 37 4 3 2 2 4 4 2" xfId="37112" xr:uid="{26449D7F-FE48-4BEB-8BE8-36841751B5D3}"/>
    <cellStyle name="Финансовый 37 4 3 2 2 4 5" xfId="27802" xr:uid="{F7339504-9109-43F6-97EA-05DE1B073D33}"/>
    <cellStyle name="Финансовый 37 4 3 2 2 5" xfId="13779" xr:uid="{00000000-0005-0000-0000-000082580000}"/>
    <cellStyle name="Финансовый 37 4 3 2 2 5 2" xfId="30868" xr:uid="{1513E047-9323-4E56-86B1-698DAD622084}"/>
    <cellStyle name="Финансовый 37 4 3 2 2 6" xfId="17011" xr:uid="{00000000-0005-0000-0000-000083580000}"/>
    <cellStyle name="Финансовый 37 4 3 2 2 6 2" xfId="34024" xr:uid="{B11C6C74-6522-4DCA-B0DC-D0335C1E7BAA}"/>
    <cellStyle name="Финансовый 37 4 3 2 2 7" xfId="20092" xr:uid="{00000000-0005-0000-0000-000084580000}"/>
    <cellStyle name="Финансовый 37 4 3 2 2 7 2" xfId="37105" xr:uid="{0DC38106-7AC2-4370-BC55-85C5A7BEE799}"/>
    <cellStyle name="Финансовый 37 4 3 2 2 8" xfId="27795" xr:uid="{5380EF77-C894-4FA5-8144-691E694AF041}"/>
    <cellStyle name="Финансовый 37 4 3 2 3" xfId="10702" xr:uid="{00000000-0005-0000-0000-000085580000}"/>
    <cellStyle name="Финансовый 37 4 3 2 3 2" xfId="10703" xr:uid="{00000000-0005-0000-0000-000086580000}"/>
    <cellStyle name="Финансовый 37 4 3 2 3 2 2" xfId="10704" xr:uid="{00000000-0005-0000-0000-000087580000}"/>
    <cellStyle name="Финансовый 37 4 3 2 3 2 2 2" xfId="13789" xr:uid="{00000000-0005-0000-0000-000088580000}"/>
    <cellStyle name="Финансовый 37 4 3 2 3 2 2 2 2" xfId="30878" xr:uid="{C11811EE-C00D-4B3C-B751-8C38DD70119D}"/>
    <cellStyle name="Финансовый 37 4 3 2 3 2 2 3" xfId="17021" xr:uid="{00000000-0005-0000-0000-000089580000}"/>
    <cellStyle name="Финансовый 37 4 3 2 3 2 2 3 2" xfId="34034" xr:uid="{4E9C0421-90C3-4A1D-969B-154CB5B3C69E}"/>
    <cellStyle name="Финансовый 37 4 3 2 3 2 2 4" xfId="20102" xr:uid="{00000000-0005-0000-0000-00008A580000}"/>
    <cellStyle name="Финансовый 37 4 3 2 3 2 2 4 2" xfId="37115" xr:uid="{54DF1603-D2EA-4137-BA4E-2149B1529D24}"/>
    <cellStyle name="Финансовый 37 4 3 2 3 2 2 5" xfId="27805" xr:uid="{A897439D-6FA1-4563-BE0A-59F4874930F2}"/>
    <cellStyle name="Финансовый 37 4 3 2 3 2 3" xfId="13788" xr:uid="{00000000-0005-0000-0000-00008B580000}"/>
    <cellStyle name="Финансовый 37 4 3 2 3 2 3 2" xfId="30877" xr:uid="{4A95E327-CA20-4310-9E61-B0B62054F0BC}"/>
    <cellStyle name="Финансовый 37 4 3 2 3 2 4" xfId="17020" xr:uid="{00000000-0005-0000-0000-00008C580000}"/>
    <cellStyle name="Финансовый 37 4 3 2 3 2 4 2" xfId="34033" xr:uid="{E8A841EC-24D5-4EEE-A363-98F6BCFC3E01}"/>
    <cellStyle name="Финансовый 37 4 3 2 3 2 5" xfId="20101" xr:uid="{00000000-0005-0000-0000-00008D580000}"/>
    <cellStyle name="Финансовый 37 4 3 2 3 2 5 2" xfId="37114" xr:uid="{A985676D-BC6F-42F0-A5E7-335B38E67D3C}"/>
    <cellStyle name="Финансовый 37 4 3 2 3 2 6" xfId="27804" xr:uid="{8B7394CA-489A-41B4-A09A-AFB0F2EA9D82}"/>
    <cellStyle name="Финансовый 37 4 3 2 3 3" xfId="10705" xr:uid="{00000000-0005-0000-0000-00008E580000}"/>
    <cellStyle name="Финансовый 37 4 3 2 3 3 2" xfId="13790" xr:uid="{00000000-0005-0000-0000-00008F580000}"/>
    <cellStyle name="Финансовый 37 4 3 2 3 3 2 2" xfId="30879" xr:uid="{CA627BF6-EA00-4754-923B-90D0A7D418F3}"/>
    <cellStyle name="Финансовый 37 4 3 2 3 3 3" xfId="17022" xr:uid="{00000000-0005-0000-0000-000090580000}"/>
    <cellStyle name="Финансовый 37 4 3 2 3 3 3 2" xfId="34035" xr:uid="{5A61CCCB-AF03-465B-BD73-4A93983B2816}"/>
    <cellStyle name="Финансовый 37 4 3 2 3 3 4" xfId="20103" xr:uid="{00000000-0005-0000-0000-000091580000}"/>
    <cellStyle name="Финансовый 37 4 3 2 3 3 4 2" xfId="37116" xr:uid="{6E64C33A-D2E4-4FBF-8F52-13BB75A38562}"/>
    <cellStyle name="Финансовый 37 4 3 2 3 3 5" xfId="27806" xr:uid="{AB4745AC-73DF-4F47-B925-CE35A3456E15}"/>
    <cellStyle name="Финансовый 37 4 3 2 3 4" xfId="13787" xr:uid="{00000000-0005-0000-0000-000092580000}"/>
    <cellStyle name="Финансовый 37 4 3 2 3 4 2" xfId="30876" xr:uid="{217F7CA9-2CF9-475E-962A-DC240EB3B54A}"/>
    <cellStyle name="Финансовый 37 4 3 2 3 5" xfId="17019" xr:uid="{00000000-0005-0000-0000-000093580000}"/>
    <cellStyle name="Финансовый 37 4 3 2 3 5 2" xfId="34032" xr:uid="{AA7878B3-5777-4D2D-88E6-227362325FEC}"/>
    <cellStyle name="Финансовый 37 4 3 2 3 6" xfId="20100" xr:uid="{00000000-0005-0000-0000-000094580000}"/>
    <cellStyle name="Финансовый 37 4 3 2 3 6 2" xfId="37113" xr:uid="{66428019-7735-46EE-A76C-667E96E0848C}"/>
    <cellStyle name="Финансовый 37 4 3 2 3 7" xfId="27803" xr:uid="{213AFBF7-A52A-43BC-B532-85747D4C02DC}"/>
    <cellStyle name="Финансовый 37 4 3 2 4" xfId="10706" xr:uid="{00000000-0005-0000-0000-000095580000}"/>
    <cellStyle name="Финансовый 37 4 3 2 4 2" xfId="10707" xr:uid="{00000000-0005-0000-0000-000096580000}"/>
    <cellStyle name="Финансовый 37 4 3 2 4 2 2" xfId="13792" xr:uid="{00000000-0005-0000-0000-000097580000}"/>
    <cellStyle name="Финансовый 37 4 3 2 4 2 2 2" xfId="30881" xr:uid="{515A61C2-494A-4B29-A853-C7240D7481AF}"/>
    <cellStyle name="Финансовый 37 4 3 2 4 2 3" xfId="17024" xr:uid="{00000000-0005-0000-0000-000098580000}"/>
    <cellStyle name="Финансовый 37 4 3 2 4 2 3 2" xfId="34037" xr:uid="{AC39C521-37B5-411F-B3D5-413E17303968}"/>
    <cellStyle name="Финансовый 37 4 3 2 4 2 4" xfId="20105" xr:uid="{00000000-0005-0000-0000-000099580000}"/>
    <cellStyle name="Финансовый 37 4 3 2 4 2 4 2" xfId="37118" xr:uid="{E7691EE3-4FDC-496A-9A36-80B174642907}"/>
    <cellStyle name="Финансовый 37 4 3 2 4 2 5" xfId="27808" xr:uid="{A81776A0-4EC3-4504-BB3F-BB11E20CFD30}"/>
    <cellStyle name="Финансовый 37 4 3 2 4 3" xfId="13791" xr:uid="{00000000-0005-0000-0000-00009A580000}"/>
    <cellStyle name="Финансовый 37 4 3 2 4 3 2" xfId="30880" xr:uid="{7C868FB9-E01C-4629-8D60-B8BA7CE51CC1}"/>
    <cellStyle name="Финансовый 37 4 3 2 4 4" xfId="17023" xr:uid="{00000000-0005-0000-0000-00009B580000}"/>
    <cellStyle name="Финансовый 37 4 3 2 4 4 2" xfId="34036" xr:uid="{42B8FC72-38D2-4E6C-B510-C997A0658674}"/>
    <cellStyle name="Финансовый 37 4 3 2 4 5" xfId="20104" xr:uid="{00000000-0005-0000-0000-00009C580000}"/>
    <cellStyle name="Финансовый 37 4 3 2 4 5 2" xfId="37117" xr:uid="{E809788E-ABF5-4F10-8ECB-78F6FAD451DB}"/>
    <cellStyle name="Финансовый 37 4 3 2 4 6" xfId="27807" xr:uid="{7AAAC6C4-7F57-423A-BDE5-C4CE972D42F0}"/>
    <cellStyle name="Финансовый 37 4 3 2 5" xfId="10708" xr:uid="{00000000-0005-0000-0000-00009D580000}"/>
    <cellStyle name="Финансовый 37 4 3 2 5 2" xfId="13793" xr:uid="{00000000-0005-0000-0000-00009E580000}"/>
    <cellStyle name="Финансовый 37 4 3 2 5 2 2" xfId="30882" xr:uid="{8A40C796-7B61-4471-8A35-EC061193367C}"/>
    <cellStyle name="Финансовый 37 4 3 2 5 3" xfId="17025" xr:uid="{00000000-0005-0000-0000-00009F580000}"/>
    <cellStyle name="Финансовый 37 4 3 2 5 3 2" xfId="34038" xr:uid="{A30237DA-A816-4F1C-8510-645B994C97EB}"/>
    <cellStyle name="Финансовый 37 4 3 2 5 4" xfId="20106" xr:uid="{00000000-0005-0000-0000-0000A0580000}"/>
    <cellStyle name="Финансовый 37 4 3 2 5 4 2" xfId="37119" xr:uid="{FC2F08EA-0EC2-423E-B31D-5028FCCB4BD0}"/>
    <cellStyle name="Финансовый 37 4 3 2 5 5" xfId="27809" xr:uid="{E9385EA2-EB86-44CC-8604-492D500823C1}"/>
    <cellStyle name="Финансовый 37 4 3 2 6" xfId="13778" xr:uid="{00000000-0005-0000-0000-0000A1580000}"/>
    <cellStyle name="Финансовый 37 4 3 2 6 2" xfId="30867" xr:uid="{72FC105A-0133-4694-8E3A-D659A1DDC3A9}"/>
    <cellStyle name="Финансовый 37 4 3 2 7" xfId="17010" xr:uid="{00000000-0005-0000-0000-0000A2580000}"/>
    <cellStyle name="Финансовый 37 4 3 2 7 2" xfId="34023" xr:uid="{3206547F-E798-4A7C-A334-EDF0A27F8F11}"/>
    <cellStyle name="Финансовый 37 4 3 2 8" xfId="20091" xr:uid="{00000000-0005-0000-0000-0000A3580000}"/>
    <cellStyle name="Финансовый 37 4 3 2 8 2" xfId="37104" xr:uid="{13A27FD1-9C73-4FB9-A812-CEF7294082EB}"/>
    <cellStyle name="Финансовый 37 4 3 2 9" xfId="27794" xr:uid="{F80CC12D-06B8-48AA-9C30-7346CE8506C7}"/>
    <cellStyle name="Финансовый 37 4 3 3" xfId="10709" xr:uid="{00000000-0005-0000-0000-0000A4580000}"/>
    <cellStyle name="Финансовый 37 4 3 3 2" xfId="10710" xr:uid="{00000000-0005-0000-0000-0000A5580000}"/>
    <cellStyle name="Финансовый 37 4 3 3 2 2" xfId="10711" xr:uid="{00000000-0005-0000-0000-0000A6580000}"/>
    <cellStyle name="Финансовый 37 4 3 3 2 2 2" xfId="10712" xr:uid="{00000000-0005-0000-0000-0000A7580000}"/>
    <cellStyle name="Финансовый 37 4 3 3 2 2 2 2" xfId="13797" xr:uid="{00000000-0005-0000-0000-0000A8580000}"/>
    <cellStyle name="Финансовый 37 4 3 3 2 2 2 2 2" xfId="30886" xr:uid="{9EAF6163-78B0-4204-8BCA-E88E0D4AF288}"/>
    <cellStyle name="Финансовый 37 4 3 3 2 2 2 3" xfId="17029" xr:uid="{00000000-0005-0000-0000-0000A9580000}"/>
    <cellStyle name="Финансовый 37 4 3 3 2 2 2 3 2" xfId="34042" xr:uid="{4CC8D423-B019-4511-A50B-8C8C69C8BAE9}"/>
    <cellStyle name="Финансовый 37 4 3 3 2 2 2 4" xfId="20110" xr:uid="{00000000-0005-0000-0000-0000AA580000}"/>
    <cellStyle name="Финансовый 37 4 3 3 2 2 2 4 2" xfId="37123" xr:uid="{C5F3AF82-733F-4299-8B05-6698EE5D98E6}"/>
    <cellStyle name="Финансовый 37 4 3 3 2 2 2 5" xfId="27813" xr:uid="{28CD4D13-1C5B-4380-8B83-3F0EE61FDBFF}"/>
    <cellStyle name="Финансовый 37 4 3 3 2 2 3" xfId="13796" xr:uid="{00000000-0005-0000-0000-0000AB580000}"/>
    <cellStyle name="Финансовый 37 4 3 3 2 2 3 2" xfId="30885" xr:uid="{2E0EDEA3-CDC6-4F13-A21B-9D0D33469153}"/>
    <cellStyle name="Финансовый 37 4 3 3 2 2 4" xfId="17028" xr:uid="{00000000-0005-0000-0000-0000AC580000}"/>
    <cellStyle name="Финансовый 37 4 3 3 2 2 4 2" xfId="34041" xr:uid="{C7515975-3706-4D96-BBF1-746B85B2A155}"/>
    <cellStyle name="Финансовый 37 4 3 3 2 2 5" xfId="20109" xr:uid="{00000000-0005-0000-0000-0000AD580000}"/>
    <cellStyle name="Финансовый 37 4 3 3 2 2 5 2" xfId="37122" xr:uid="{EE6EB1E0-F156-487D-84EA-3742FC4414A3}"/>
    <cellStyle name="Финансовый 37 4 3 3 2 2 6" xfId="27812" xr:uid="{8427EC12-629B-48CF-ADE4-97E5F914C77A}"/>
    <cellStyle name="Финансовый 37 4 3 3 2 3" xfId="10713" xr:uid="{00000000-0005-0000-0000-0000AE580000}"/>
    <cellStyle name="Финансовый 37 4 3 3 2 3 2" xfId="13798" xr:uid="{00000000-0005-0000-0000-0000AF580000}"/>
    <cellStyle name="Финансовый 37 4 3 3 2 3 2 2" xfId="30887" xr:uid="{4957CEAD-50D9-4F80-90BA-33CC31B36A83}"/>
    <cellStyle name="Финансовый 37 4 3 3 2 3 3" xfId="17030" xr:uid="{00000000-0005-0000-0000-0000B0580000}"/>
    <cellStyle name="Финансовый 37 4 3 3 2 3 3 2" xfId="34043" xr:uid="{EBF3FCC9-714B-4A77-BE9E-7085E781EA22}"/>
    <cellStyle name="Финансовый 37 4 3 3 2 3 4" xfId="20111" xr:uid="{00000000-0005-0000-0000-0000B1580000}"/>
    <cellStyle name="Финансовый 37 4 3 3 2 3 4 2" xfId="37124" xr:uid="{D9F80224-5020-4518-9600-510C78B8D04E}"/>
    <cellStyle name="Финансовый 37 4 3 3 2 3 5" xfId="27814" xr:uid="{E37EF05B-F5C2-4157-B9E6-5DAB84B590E6}"/>
    <cellStyle name="Финансовый 37 4 3 3 2 4" xfId="13795" xr:uid="{00000000-0005-0000-0000-0000B2580000}"/>
    <cellStyle name="Финансовый 37 4 3 3 2 4 2" xfId="30884" xr:uid="{B8D99B57-054F-4DB9-9CAB-DF5C5EB3D83D}"/>
    <cellStyle name="Финансовый 37 4 3 3 2 5" xfId="17027" xr:uid="{00000000-0005-0000-0000-0000B3580000}"/>
    <cellStyle name="Финансовый 37 4 3 3 2 5 2" xfId="34040" xr:uid="{405FD528-69BB-480D-AAF8-D2BAA7EFEF85}"/>
    <cellStyle name="Финансовый 37 4 3 3 2 6" xfId="20108" xr:uid="{00000000-0005-0000-0000-0000B4580000}"/>
    <cellStyle name="Финансовый 37 4 3 3 2 6 2" xfId="37121" xr:uid="{2CD1C44C-8C44-4A57-96AE-DFBC9316F072}"/>
    <cellStyle name="Финансовый 37 4 3 3 2 7" xfId="27811" xr:uid="{9FD81F63-3081-4F18-9566-A6DA2372F0AE}"/>
    <cellStyle name="Финансовый 37 4 3 3 3" xfId="10714" xr:uid="{00000000-0005-0000-0000-0000B5580000}"/>
    <cellStyle name="Финансовый 37 4 3 3 3 2" xfId="10715" xr:uid="{00000000-0005-0000-0000-0000B6580000}"/>
    <cellStyle name="Финансовый 37 4 3 3 3 2 2" xfId="13800" xr:uid="{00000000-0005-0000-0000-0000B7580000}"/>
    <cellStyle name="Финансовый 37 4 3 3 3 2 2 2" xfId="30889" xr:uid="{E368BA2B-E7A8-4D94-95C4-0E713752A33B}"/>
    <cellStyle name="Финансовый 37 4 3 3 3 2 3" xfId="17032" xr:uid="{00000000-0005-0000-0000-0000B8580000}"/>
    <cellStyle name="Финансовый 37 4 3 3 3 2 3 2" xfId="34045" xr:uid="{DCAB96C9-360D-4D4F-AF77-D7028F00DF5F}"/>
    <cellStyle name="Финансовый 37 4 3 3 3 2 4" xfId="20113" xr:uid="{00000000-0005-0000-0000-0000B9580000}"/>
    <cellStyle name="Финансовый 37 4 3 3 3 2 4 2" xfId="37126" xr:uid="{6FF26896-45D3-44B8-B205-02BCFF1BBADF}"/>
    <cellStyle name="Финансовый 37 4 3 3 3 2 5" xfId="27816" xr:uid="{91EC249E-C924-4457-AA8A-E0532EC8EC5A}"/>
    <cellStyle name="Финансовый 37 4 3 3 3 3" xfId="13799" xr:uid="{00000000-0005-0000-0000-0000BA580000}"/>
    <cellStyle name="Финансовый 37 4 3 3 3 3 2" xfId="30888" xr:uid="{7A16646D-A49C-481E-9A30-8117EFA80B76}"/>
    <cellStyle name="Финансовый 37 4 3 3 3 4" xfId="17031" xr:uid="{00000000-0005-0000-0000-0000BB580000}"/>
    <cellStyle name="Финансовый 37 4 3 3 3 4 2" xfId="34044" xr:uid="{B6816692-2D4C-4BE1-B0E1-A0F6A24BFA69}"/>
    <cellStyle name="Финансовый 37 4 3 3 3 5" xfId="20112" xr:uid="{00000000-0005-0000-0000-0000BC580000}"/>
    <cellStyle name="Финансовый 37 4 3 3 3 5 2" xfId="37125" xr:uid="{D8E8A77D-442A-47DF-8E36-E040497E54BA}"/>
    <cellStyle name="Финансовый 37 4 3 3 3 6" xfId="27815" xr:uid="{2B04CC3D-6029-46EC-8E7B-05FC0C013C24}"/>
    <cellStyle name="Финансовый 37 4 3 3 4" xfId="10716" xr:uid="{00000000-0005-0000-0000-0000BD580000}"/>
    <cellStyle name="Финансовый 37 4 3 3 4 2" xfId="13801" xr:uid="{00000000-0005-0000-0000-0000BE580000}"/>
    <cellStyle name="Финансовый 37 4 3 3 4 2 2" xfId="30890" xr:uid="{51105CBC-B3AD-4CE3-8CB7-A9432D59E768}"/>
    <cellStyle name="Финансовый 37 4 3 3 4 3" xfId="17033" xr:uid="{00000000-0005-0000-0000-0000BF580000}"/>
    <cellStyle name="Финансовый 37 4 3 3 4 3 2" xfId="34046" xr:uid="{855E6869-703A-4CB8-96DB-CF4B60A211C4}"/>
    <cellStyle name="Финансовый 37 4 3 3 4 4" xfId="20114" xr:uid="{00000000-0005-0000-0000-0000C0580000}"/>
    <cellStyle name="Финансовый 37 4 3 3 4 4 2" xfId="37127" xr:uid="{497A1053-03F6-4942-A61B-7F9978F8E1BA}"/>
    <cellStyle name="Финансовый 37 4 3 3 4 5" xfId="27817" xr:uid="{C7082DF7-6B3B-418C-B205-C07BDD500774}"/>
    <cellStyle name="Финансовый 37 4 3 3 5" xfId="13794" xr:uid="{00000000-0005-0000-0000-0000C1580000}"/>
    <cellStyle name="Финансовый 37 4 3 3 5 2" xfId="30883" xr:uid="{6760914B-DA26-41CA-91C1-3466DCC5D442}"/>
    <cellStyle name="Финансовый 37 4 3 3 6" xfId="17026" xr:uid="{00000000-0005-0000-0000-0000C2580000}"/>
    <cellStyle name="Финансовый 37 4 3 3 6 2" xfId="34039" xr:uid="{638317E6-EA63-4F29-A4B6-CE4F39025CFB}"/>
    <cellStyle name="Финансовый 37 4 3 3 7" xfId="20107" xr:uid="{00000000-0005-0000-0000-0000C3580000}"/>
    <cellStyle name="Финансовый 37 4 3 3 7 2" xfId="37120" xr:uid="{DEBEE877-E989-4BAE-83FD-9876E11187F5}"/>
    <cellStyle name="Финансовый 37 4 3 3 8" xfId="27810" xr:uid="{CE65B28B-4A44-467A-A918-09F114B01248}"/>
    <cellStyle name="Финансовый 37 4 3 4" xfId="10717" xr:uid="{00000000-0005-0000-0000-0000C4580000}"/>
    <cellStyle name="Финансовый 37 4 3 4 2" xfId="10718" xr:uid="{00000000-0005-0000-0000-0000C5580000}"/>
    <cellStyle name="Финансовый 37 4 3 4 2 2" xfId="10719" xr:uid="{00000000-0005-0000-0000-0000C6580000}"/>
    <cellStyle name="Финансовый 37 4 3 4 2 2 2" xfId="13804" xr:uid="{00000000-0005-0000-0000-0000C7580000}"/>
    <cellStyle name="Финансовый 37 4 3 4 2 2 2 2" xfId="30893" xr:uid="{E2A00D70-B397-4020-BCD1-F46DDA8497B5}"/>
    <cellStyle name="Финансовый 37 4 3 4 2 2 3" xfId="17036" xr:uid="{00000000-0005-0000-0000-0000C8580000}"/>
    <cellStyle name="Финансовый 37 4 3 4 2 2 3 2" xfId="34049" xr:uid="{7FB8756E-E88B-42A6-966A-1E95652165B4}"/>
    <cellStyle name="Финансовый 37 4 3 4 2 2 4" xfId="20117" xr:uid="{00000000-0005-0000-0000-0000C9580000}"/>
    <cellStyle name="Финансовый 37 4 3 4 2 2 4 2" xfId="37130" xr:uid="{C4E40FE3-EB1B-4C61-80B0-BF8F8B2C4A37}"/>
    <cellStyle name="Финансовый 37 4 3 4 2 2 5" xfId="27820" xr:uid="{473CBD9A-182C-4770-BD23-F7F102167998}"/>
    <cellStyle name="Финансовый 37 4 3 4 2 3" xfId="13803" xr:uid="{00000000-0005-0000-0000-0000CA580000}"/>
    <cellStyle name="Финансовый 37 4 3 4 2 3 2" xfId="30892" xr:uid="{4926CDB0-C394-4BBC-8593-387041953E7B}"/>
    <cellStyle name="Финансовый 37 4 3 4 2 4" xfId="17035" xr:uid="{00000000-0005-0000-0000-0000CB580000}"/>
    <cellStyle name="Финансовый 37 4 3 4 2 4 2" xfId="34048" xr:uid="{57A2FD13-85AA-440E-BFE4-8705E7755594}"/>
    <cellStyle name="Финансовый 37 4 3 4 2 5" xfId="20116" xr:uid="{00000000-0005-0000-0000-0000CC580000}"/>
    <cellStyle name="Финансовый 37 4 3 4 2 5 2" xfId="37129" xr:uid="{C7281FA7-0712-42A5-B1E6-CC622DBA5F88}"/>
    <cellStyle name="Финансовый 37 4 3 4 2 6" xfId="27819" xr:uid="{551601A7-DC79-4BCD-BED6-26A7FEAFC6E2}"/>
    <cellStyle name="Финансовый 37 4 3 4 3" xfId="10720" xr:uid="{00000000-0005-0000-0000-0000CD580000}"/>
    <cellStyle name="Финансовый 37 4 3 4 3 2" xfId="13805" xr:uid="{00000000-0005-0000-0000-0000CE580000}"/>
    <cellStyle name="Финансовый 37 4 3 4 3 2 2" xfId="30894" xr:uid="{446B4E7D-AD77-45DA-969D-B0CB51DCB2E1}"/>
    <cellStyle name="Финансовый 37 4 3 4 3 3" xfId="17037" xr:uid="{00000000-0005-0000-0000-0000CF580000}"/>
    <cellStyle name="Финансовый 37 4 3 4 3 3 2" xfId="34050" xr:uid="{277836F7-934E-4C06-84C7-52D7F3E92DC9}"/>
    <cellStyle name="Финансовый 37 4 3 4 3 4" xfId="20118" xr:uid="{00000000-0005-0000-0000-0000D0580000}"/>
    <cellStyle name="Финансовый 37 4 3 4 3 4 2" xfId="37131" xr:uid="{36DD37D4-9C1E-4020-83A7-DB5A4F007AD6}"/>
    <cellStyle name="Финансовый 37 4 3 4 3 5" xfId="27821" xr:uid="{CDE77FC2-0944-42D2-8CFA-D3C0660BAA06}"/>
    <cellStyle name="Финансовый 37 4 3 4 4" xfId="13802" xr:uid="{00000000-0005-0000-0000-0000D1580000}"/>
    <cellStyle name="Финансовый 37 4 3 4 4 2" xfId="30891" xr:uid="{9CBD7F87-527C-4CCE-9358-043D13B83DE0}"/>
    <cellStyle name="Финансовый 37 4 3 4 5" xfId="17034" xr:uid="{00000000-0005-0000-0000-0000D2580000}"/>
    <cellStyle name="Финансовый 37 4 3 4 5 2" xfId="34047" xr:uid="{47BF8B57-720C-46C4-A215-A8E4043779B9}"/>
    <cellStyle name="Финансовый 37 4 3 4 6" xfId="20115" xr:uid="{00000000-0005-0000-0000-0000D3580000}"/>
    <cellStyle name="Финансовый 37 4 3 4 6 2" xfId="37128" xr:uid="{E09E3C85-4917-4C3D-B4A2-0FC9672EC803}"/>
    <cellStyle name="Финансовый 37 4 3 4 7" xfId="27818" xr:uid="{7C1DA064-8867-4252-BDA5-D04CD84BE3D8}"/>
    <cellStyle name="Финансовый 37 4 3 5" xfId="10721" xr:uid="{00000000-0005-0000-0000-0000D4580000}"/>
    <cellStyle name="Финансовый 37 4 3 5 2" xfId="10722" xr:uid="{00000000-0005-0000-0000-0000D5580000}"/>
    <cellStyle name="Финансовый 37 4 3 5 2 2" xfId="13807" xr:uid="{00000000-0005-0000-0000-0000D6580000}"/>
    <cellStyle name="Финансовый 37 4 3 5 2 2 2" xfId="30896" xr:uid="{4C0F09EF-58F8-4AE1-AD4F-8B337C901180}"/>
    <cellStyle name="Финансовый 37 4 3 5 2 3" xfId="17039" xr:uid="{00000000-0005-0000-0000-0000D7580000}"/>
    <cellStyle name="Финансовый 37 4 3 5 2 3 2" xfId="34052" xr:uid="{90F8A03A-6EBE-43C0-88BC-2A211064C49F}"/>
    <cellStyle name="Финансовый 37 4 3 5 2 4" xfId="20120" xr:uid="{00000000-0005-0000-0000-0000D8580000}"/>
    <cellStyle name="Финансовый 37 4 3 5 2 4 2" xfId="37133" xr:uid="{38541C88-F01F-40E0-8E0E-8875C2A877BC}"/>
    <cellStyle name="Финансовый 37 4 3 5 2 5" xfId="27823" xr:uid="{AA8ADEED-5BBB-4838-A921-7C1207A7A26F}"/>
    <cellStyle name="Финансовый 37 4 3 5 3" xfId="13806" xr:uid="{00000000-0005-0000-0000-0000D9580000}"/>
    <cellStyle name="Финансовый 37 4 3 5 3 2" xfId="30895" xr:uid="{0FD0AE4F-6C87-4AFB-AAD5-2A34E6F93EB7}"/>
    <cellStyle name="Финансовый 37 4 3 5 4" xfId="17038" xr:uid="{00000000-0005-0000-0000-0000DA580000}"/>
    <cellStyle name="Финансовый 37 4 3 5 4 2" xfId="34051" xr:uid="{979EC998-CCAC-463F-844E-AA61522A3161}"/>
    <cellStyle name="Финансовый 37 4 3 5 5" xfId="20119" xr:uid="{00000000-0005-0000-0000-0000DB580000}"/>
    <cellStyle name="Финансовый 37 4 3 5 5 2" xfId="37132" xr:uid="{0936E6FF-016B-4A45-94C4-0C60D1140FB6}"/>
    <cellStyle name="Финансовый 37 4 3 5 6" xfId="27822" xr:uid="{F29FAD77-ECC3-46E7-B4C1-06E6D3224D66}"/>
    <cellStyle name="Финансовый 37 4 3 6" xfId="10723" xr:uid="{00000000-0005-0000-0000-0000DC580000}"/>
    <cellStyle name="Финансовый 37 4 3 6 2" xfId="13808" xr:uid="{00000000-0005-0000-0000-0000DD580000}"/>
    <cellStyle name="Финансовый 37 4 3 6 2 2" xfId="30897" xr:uid="{AB7A7236-2B50-49BB-9BE5-68DD2C33A1CB}"/>
    <cellStyle name="Финансовый 37 4 3 6 3" xfId="17040" xr:uid="{00000000-0005-0000-0000-0000DE580000}"/>
    <cellStyle name="Финансовый 37 4 3 6 3 2" xfId="34053" xr:uid="{7E8225BC-054F-44DB-9126-205C51CDBE95}"/>
    <cellStyle name="Финансовый 37 4 3 6 4" xfId="20121" xr:uid="{00000000-0005-0000-0000-0000DF580000}"/>
    <cellStyle name="Финансовый 37 4 3 6 4 2" xfId="37134" xr:uid="{B799E896-1BB4-4587-9887-FE2980CBCAF8}"/>
    <cellStyle name="Финансовый 37 4 3 6 5" xfId="27824" xr:uid="{2E040782-FC32-4B43-9550-28D1D7787CF9}"/>
    <cellStyle name="Финансовый 37 4 3 7" xfId="13777" xr:uid="{00000000-0005-0000-0000-0000E0580000}"/>
    <cellStyle name="Финансовый 37 4 3 7 2" xfId="30866" xr:uid="{918683AB-8B1A-4050-AA14-7ADF3F7BC313}"/>
    <cellStyle name="Финансовый 37 4 3 8" xfId="17009" xr:uid="{00000000-0005-0000-0000-0000E1580000}"/>
    <cellStyle name="Финансовый 37 4 3 8 2" xfId="34022" xr:uid="{AA4A5BA3-0429-44B9-BE66-1F6875DB2EB9}"/>
    <cellStyle name="Финансовый 37 4 3 9" xfId="20090" xr:uid="{00000000-0005-0000-0000-0000E2580000}"/>
    <cellStyle name="Финансовый 37 4 3 9 2" xfId="37103" xr:uid="{004A95F2-65C4-4BD3-828C-787F1BACAF7D}"/>
    <cellStyle name="Финансовый 37 4 4" xfId="10724" xr:uid="{00000000-0005-0000-0000-0000E3580000}"/>
    <cellStyle name="Финансовый 37 4 4 2" xfId="10725" xr:uid="{00000000-0005-0000-0000-0000E4580000}"/>
    <cellStyle name="Финансовый 37 4 4 2 2" xfId="10726" xr:uid="{00000000-0005-0000-0000-0000E5580000}"/>
    <cellStyle name="Финансовый 37 4 4 2 2 2" xfId="10727" xr:uid="{00000000-0005-0000-0000-0000E6580000}"/>
    <cellStyle name="Финансовый 37 4 4 2 2 2 2" xfId="10728" xr:uid="{00000000-0005-0000-0000-0000E7580000}"/>
    <cellStyle name="Финансовый 37 4 4 2 2 2 2 2" xfId="13813" xr:uid="{00000000-0005-0000-0000-0000E8580000}"/>
    <cellStyle name="Финансовый 37 4 4 2 2 2 2 2 2" xfId="30902" xr:uid="{8453D0DF-FC3B-4F3F-9963-734AF254D25F}"/>
    <cellStyle name="Финансовый 37 4 4 2 2 2 2 3" xfId="17045" xr:uid="{00000000-0005-0000-0000-0000E9580000}"/>
    <cellStyle name="Финансовый 37 4 4 2 2 2 2 3 2" xfId="34058" xr:uid="{71B77E15-0345-4B46-87C2-DC92FF561F53}"/>
    <cellStyle name="Финансовый 37 4 4 2 2 2 2 4" xfId="20126" xr:uid="{00000000-0005-0000-0000-0000EA580000}"/>
    <cellStyle name="Финансовый 37 4 4 2 2 2 2 4 2" xfId="37139" xr:uid="{BBC333E0-88D3-4BCE-A964-25FF8CE72CB0}"/>
    <cellStyle name="Финансовый 37 4 4 2 2 2 2 5" xfId="27829" xr:uid="{88809672-C3A0-4E50-854B-DD1E8B251007}"/>
    <cellStyle name="Финансовый 37 4 4 2 2 2 3" xfId="13812" xr:uid="{00000000-0005-0000-0000-0000EB580000}"/>
    <cellStyle name="Финансовый 37 4 4 2 2 2 3 2" xfId="30901" xr:uid="{5F5356B3-8574-44A6-B6A4-D6126CC9D6BC}"/>
    <cellStyle name="Финансовый 37 4 4 2 2 2 4" xfId="17044" xr:uid="{00000000-0005-0000-0000-0000EC580000}"/>
    <cellStyle name="Финансовый 37 4 4 2 2 2 4 2" xfId="34057" xr:uid="{E0EDC1DA-23E3-484F-84A3-7923859A6F56}"/>
    <cellStyle name="Финансовый 37 4 4 2 2 2 5" xfId="20125" xr:uid="{00000000-0005-0000-0000-0000ED580000}"/>
    <cellStyle name="Финансовый 37 4 4 2 2 2 5 2" xfId="37138" xr:uid="{EF5A0417-DA08-4FE0-8307-5B9DF5977D1D}"/>
    <cellStyle name="Финансовый 37 4 4 2 2 2 6" xfId="27828" xr:uid="{98C8222A-4641-435B-BD19-824EE443A1D8}"/>
    <cellStyle name="Финансовый 37 4 4 2 2 3" xfId="10729" xr:uid="{00000000-0005-0000-0000-0000EE580000}"/>
    <cellStyle name="Финансовый 37 4 4 2 2 3 2" xfId="13814" xr:uid="{00000000-0005-0000-0000-0000EF580000}"/>
    <cellStyle name="Финансовый 37 4 4 2 2 3 2 2" xfId="30903" xr:uid="{12B28B36-A79E-45A4-A57A-EA62443BA99B}"/>
    <cellStyle name="Финансовый 37 4 4 2 2 3 3" xfId="17046" xr:uid="{00000000-0005-0000-0000-0000F0580000}"/>
    <cellStyle name="Финансовый 37 4 4 2 2 3 3 2" xfId="34059" xr:uid="{D405ACC3-2E06-49E4-947D-DDA442AAA8CD}"/>
    <cellStyle name="Финансовый 37 4 4 2 2 3 4" xfId="20127" xr:uid="{00000000-0005-0000-0000-0000F1580000}"/>
    <cellStyle name="Финансовый 37 4 4 2 2 3 4 2" xfId="37140" xr:uid="{EF50B982-7596-4659-A389-3714BBB57330}"/>
    <cellStyle name="Финансовый 37 4 4 2 2 3 5" xfId="27830" xr:uid="{C813A498-DCCE-4FDC-BA07-B5B55285B612}"/>
    <cellStyle name="Финансовый 37 4 4 2 2 4" xfId="13811" xr:uid="{00000000-0005-0000-0000-0000F2580000}"/>
    <cellStyle name="Финансовый 37 4 4 2 2 4 2" xfId="30900" xr:uid="{3A8A43B1-2487-4077-B0E5-1BD1A8895AFC}"/>
    <cellStyle name="Финансовый 37 4 4 2 2 5" xfId="17043" xr:uid="{00000000-0005-0000-0000-0000F3580000}"/>
    <cellStyle name="Финансовый 37 4 4 2 2 5 2" xfId="34056" xr:uid="{1ED35597-BC16-4D2F-A493-1512FAC299D3}"/>
    <cellStyle name="Финансовый 37 4 4 2 2 6" xfId="20124" xr:uid="{00000000-0005-0000-0000-0000F4580000}"/>
    <cellStyle name="Финансовый 37 4 4 2 2 6 2" xfId="37137" xr:uid="{B1955983-34FA-47C8-A4A1-DF4C4CD878C9}"/>
    <cellStyle name="Финансовый 37 4 4 2 2 7" xfId="27827" xr:uid="{1BE20257-4079-4A68-9981-5739CCE9A4B8}"/>
    <cellStyle name="Финансовый 37 4 4 2 3" xfId="10730" xr:uid="{00000000-0005-0000-0000-0000F5580000}"/>
    <cellStyle name="Финансовый 37 4 4 2 3 2" xfId="10731" xr:uid="{00000000-0005-0000-0000-0000F6580000}"/>
    <cellStyle name="Финансовый 37 4 4 2 3 2 2" xfId="13816" xr:uid="{00000000-0005-0000-0000-0000F7580000}"/>
    <cellStyle name="Финансовый 37 4 4 2 3 2 2 2" xfId="30905" xr:uid="{EC559984-D4DF-427F-894D-C0D54065E12F}"/>
    <cellStyle name="Финансовый 37 4 4 2 3 2 3" xfId="17048" xr:uid="{00000000-0005-0000-0000-0000F8580000}"/>
    <cellStyle name="Финансовый 37 4 4 2 3 2 3 2" xfId="34061" xr:uid="{7DE7B749-4642-4C53-B488-D27E023E8ECC}"/>
    <cellStyle name="Финансовый 37 4 4 2 3 2 4" xfId="20129" xr:uid="{00000000-0005-0000-0000-0000F9580000}"/>
    <cellStyle name="Финансовый 37 4 4 2 3 2 4 2" xfId="37142" xr:uid="{2A5AC2C4-6CF9-4AE0-9780-88396AC898FE}"/>
    <cellStyle name="Финансовый 37 4 4 2 3 2 5" xfId="27832" xr:uid="{CF008491-582D-46DA-8DC2-99BB89A88873}"/>
    <cellStyle name="Финансовый 37 4 4 2 3 3" xfId="13815" xr:uid="{00000000-0005-0000-0000-0000FA580000}"/>
    <cellStyle name="Финансовый 37 4 4 2 3 3 2" xfId="30904" xr:uid="{1D4FDFB9-C606-4F40-9E49-CC2CBB80CB68}"/>
    <cellStyle name="Финансовый 37 4 4 2 3 4" xfId="17047" xr:uid="{00000000-0005-0000-0000-0000FB580000}"/>
    <cellStyle name="Финансовый 37 4 4 2 3 4 2" xfId="34060" xr:uid="{EEC82FD6-304C-441F-A590-A10E7D977B46}"/>
    <cellStyle name="Финансовый 37 4 4 2 3 5" xfId="20128" xr:uid="{00000000-0005-0000-0000-0000FC580000}"/>
    <cellStyle name="Финансовый 37 4 4 2 3 5 2" xfId="37141" xr:uid="{EFCC8CA8-B04A-45D6-AB35-4366BB1CD853}"/>
    <cellStyle name="Финансовый 37 4 4 2 3 6" xfId="27831" xr:uid="{6109E0BD-5517-451D-B033-78B2AC845517}"/>
    <cellStyle name="Финансовый 37 4 4 2 4" xfId="10732" xr:uid="{00000000-0005-0000-0000-0000FD580000}"/>
    <cellStyle name="Финансовый 37 4 4 2 4 2" xfId="13817" xr:uid="{00000000-0005-0000-0000-0000FE580000}"/>
    <cellStyle name="Финансовый 37 4 4 2 4 2 2" xfId="30906" xr:uid="{BA7EC43D-BF94-481A-A156-9D8C492CBAB3}"/>
    <cellStyle name="Финансовый 37 4 4 2 4 3" xfId="17049" xr:uid="{00000000-0005-0000-0000-0000FF580000}"/>
    <cellStyle name="Финансовый 37 4 4 2 4 3 2" xfId="34062" xr:uid="{CA58B1D8-7DA2-401F-A9F6-996CABE36BAF}"/>
    <cellStyle name="Финансовый 37 4 4 2 4 4" xfId="20130" xr:uid="{00000000-0005-0000-0000-000000590000}"/>
    <cellStyle name="Финансовый 37 4 4 2 4 4 2" xfId="37143" xr:uid="{B7AD0787-A3BC-4F10-9794-929A503C512E}"/>
    <cellStyle name="Финансовый 37 4 4 2 4 5" xfId="27833" xr:uid="{7DB61292-EA1B-4BE3-B541-DFADBDAC26EA}"/>
    <cellStyle name="Финансовый 37 4 4 2 5" xfId="13810" xr:uid="{00000000-0005-0000-0000-000001590000}"/>
    <cellStyle name="Финансовый 37 4 4 2 5 2" xfId="30899" xr:uid="{716ECF7E-F076-48A5-A7BA-1A2451C14876}"/>
    <cellStyle name="Финансовый 37 4 4 2 6" xfId="17042" xr:uid="{00000000-0005-0000-0000-000002590000}"/>
    <cellStyle name="Финансовый 37 4 4 2 6 2" xfId="34055" xr:uid="{C050190E-830A-4FF5-9779-9D39219F8ACE}"/>
    <cellStyle name="Финансовый 37 4 4 2 7" xfId="20123" xr:uid="{00000000-0005-0000-0000-000003590000}"/>
    <cellStyle name="Финансовый 37 4 4 2 7 2" xfId="37136" xr:uid="{598127E0-FF53-4845-8186-AD6821D30DD6}"/>
    <cellStyle name="Финансовый 37 4 4 2 8" xfId="27826" xr:uid="{53C0A656-BFBC-4B3D-8336-70A5FFA8C645}"/>
    <cellStyle name="Финансовый 37 4 4 3" xfId="10733" xr:uid="{00000000-0005-0000-0000-000004590000}"/>
    <cellStyle name="Финансовый 37 4 4 3 2" xfId="10734" xr:uid="{00000000-0005-0000-0000-000005590000}"/>
    <cellStyle name="Финансовый 37 4 4 3 2 2" xfId="10735" xr:uid="{00000000-0005-0000-0000-000006590000}"/>
    <cellStyle name="Финансовый 37 4 4 3 2 2 2" xfId="13820" xr:uid="{00000000-0005-0000-0000-000007590000}"/>
    <cellStyle name="Финансовый 37 4 4 3 2 2 2 2" xfId="30909" xr:uid="{52EDA073-5E6A-4ED9-8772-83C97742C95D}"/>
    <cellStyle name="Финансовый 37 4 4 3 2 2 3" xfId="17052" xr:uid="{00000000-0005-0000-0000-000008590000}"/>
    <cellStyle name="Финансовый 37 4 4 3 2 2 3 2" xfId="34065" xr:uid="{ABB48AF1-1585-421A-935C-812C3A8BAF59}"/>
    <cellStyle name="Финансовый 37 4 4 3 2 2 4" xfId="20133" xr:uid="{00000000-0005-0000-0000-000009590000}"/>
    <cellStyle name="Финансовый 37 4 4 3 2 2 4 2" xfId="37146" xr:uid="{544BDA2C-E9F1-4FE5-AA4B-B0F231B7CE27}"/>
    <cellStyle name="Финансовый 37 4 4 3 2 2 5" xfId="27836" xr:uid="{6A86DE1B-F640-41E6-A02D-A7C93D6FDE3C}"/>
    <cellStyle name="Финансовый 37 4 4 3 2 3" xfId="13819" xr:uid="{00000000-0005-0000-0000-00000A590000}"/>
    <cellStyle name="Финансовый 37 4 4 3 2 3 2" xfId="30908" xr:uid="{B73C1A4E-4F1E-4022-9616-7FCD1AB6956D}"/>
    <cellStyle name="Финансовый 37 4 4 3 2 4" xfId="17051" xr:uid="{00000000-0005-0000-0000-00000B590000}"/>
    <cellStyle name="Финансовый 37 4 4 3 2 4 2" xfId="34064" xr:uid="{EFA152E1-7DC1-48FC-B300-EF5F82DA47B6}"/>
    <cellStyle name="Финансовый 37 4 4 3 2 5" xfId="20132" xr:uid="{00000000-0005-0000-0000-00000C590000}"/>
    <cellStyle name="Финансовый 37 4 4 3 2 5 2" xfId="37145" xr:uid="{3C032C1C-04F3-462F-81D0-4973540DFB32}"/>
    <cellStyle name="Финансовый 37 4 4 3 2 6" xfId="27835" xr:uid="{A76831E7-BAFF-49F4-8735-BC358E5D1B52}"/>
    <cellStyle name="Финансовый 37 4 4 3 3" xfId="10736" xr:uid="{00000000-0005-0000-0000-00000D590000}"/>
    <cellStyle name="Финансовый 37 4 4 3 3 2" xfId="13821" xr:uid="{00000000-0005-0000-0000-00000E590000}"/>
    <cellStyle name="Финансовый 37 4 4 3 3 2 2" xfId="30910" xr:uid="{1398A8C9-7587-4691-9AD2-E4736B9BC83F}"/>
    <cellStyle name="Финансовый 37 4 4 3 3 3" xfId="17053" xr:uid="{00000000-0005-0000-0000-00000F590000}"/>
    <cellStyle name="Финансовый 37 4 4 3 3 3 2" xfId="34066" xr:uid="{34003520-AC2B-401F-8E4D-0A85A0EA116E}"/>
    <cellStyle name="Финансовый 37 4 4 3 3 4" xfId="20134" xr:uid="{00000000-0005-0000-0000-000010590000}"/>
    <cellStyle name="Финансовый 37 4 4 3 3 4 2" xfId="37147" xr:uid="{3C0C48CE-7812-48DE-94F3-DD5BA5EA3883}"/>
    <cellStyle name="Финансовый 37 4 4 3 3 5" xfId="27837" xr:uid="{3530355B-B89E-4EA6-AE11-E39C2E7AFFCC}"/>
    <cellStyle name="Финансовый 37 4 4 3 4" xfId="13818" xr:uid="{00000000-0005-0000-0000-000011590000}"/>
    <cellStyle name="Финансовый 37 4 4 3 4 2" xfId="30907" xr:uid="{2362D031-0CEA-44C5-832D-013891ABE2AC}"/>
    <cellStyle name="Финансовый 37 4 4 3 5" xfId="17050" xr:uid="{00000000-0005-0000-0000-000012590000}"/>
    <cellStyle name="Финансовый 37 4 4 3 5 2" xfId="34063" xr:uid="{AA8E40AF-A18C-401D-9CD6-6BBC8736D428}"/>
    <cellStyle name="Финансовый 37 4 4 3 6" xfId="20131" xr:uid="{00000000-0005-0000-0000-000013590000}"/>
    <cellStyle name="Финансовый 37 4 4 3 6 2" xfId="37144" xr:uid="{AC0F65CE-85AF-46D2-8C91-FBEE59617CE6}"/>
    <cellStyle name="Финансовый 37 4 4 3 7" xfId="27834" xr:uid="{B972F015-6066-412D-9518-EDCB65807946}"/>
    <cellStyle name="Финансовый 37 4 4 4" xfId="10737" xr:uid="{00000000-0005-0000-0000-000014590000}"/>
    <cellStyle name="Финансовый 37 4 4 4 2" xfId="10738" xr:uid="{00000000-0005-0000-0000-000015590000}"/>
    <cellStyle name="Финансовый 37 4 4 4 2 2" xfId="13823" xr:uid="{00000000-0005-0000-0000-000016590000}"/>
    <cellStyle name="Финансовый 37 4 4 4 2 2 2" xfId="30912" xr:uid="{4CCAE485-C1ED-4D61-A28B-B3619D5521F1}"/>
    <cellStyle name="Финансовый 37 4 4 4 2 3" xfId="17055" xr:uid="{00000000-0005-0000-0000-000017590000}"/>
    <cellStyle name="Финансовый 37 4 4 4 2 3 2" xfId="34068" xr:uid="{1C761937-680A-4CE4-8E2E-10E62ABC3EE6}"/>
    <cellStyle name="Финансовый 37 4 4 4 2 4" xfId="20136" xr:uid="{00000000-0005-0000-0000-000018590000}"/>
    <cellStyle name="Финансовый 37 4 4 4 2 4 2" xfId="37149" xr:uid="{EFE6733F-0379-44E2-ADCF-FE0251452D62}"/>
    <cellStyle name="Финансовый 37 4 4 4 2 5" xfId="27839" xr:uid="{56F7AC37-5ADF-47D9-A6CA-F6C41BE3E387}"/>
    <cellStyle name="Финансовый 37 4 4 4 3" xfId="13822" xr:uid="{00000000-0005-0000-0000-000019590000}"/>
    <cellStyle name="Финансовый 37 4 4 4 3 2" xfId="30911" xr:uid="{52296D73-9EAD-4894-BFF3-6C85173E96C0}"/>
    <cellStyle name="Финансовый 37 4 4 4 4" xfId="17054" xr:uid="{00000000-0005-0000-0000-00001A590000}"/>
    <cellStyle name="Финансовый 37 4 4 4 4 2" xfId="34067" xr:uid="{01ADB806-1877-4539-8C9F-6AC92E61E7D7}"/>
    <cellStyle name="Финансовый 37 4 4 4 5" xfId="20135" xr:uid="{00000000-0005-0000-0000-00001B590000}"/>
    <cellStyle name="Финансовый 37 4 4 4 5 2" xfId="37148" xr:uid="{D181EFA2-E111-4A24-85EE-AF2E6EF56B05}"/>
    <cellStyle name="Финансовый 37 4 4 4 6" xfId="27838" xr:uid="{2E6DE713-F912-4970-A28B-50B0DEF07C5D}"/>
    <cellStyle name="Финансовый 37 4 4 5" xfId="10739" xr:uid="{00000000-0005-0000-0000-00001C590000}"/>
    <cellStyle name="Финансовый 37 4 4 5 2" xfId="13824" xr:uid="{00000000-0005-0000-0000-00001D590000}"/>
    <cellStyle name="Финансовый 37 4 4 5 2 2" xfId="30913" xr:uid="{F9D5D77A-4911-4C26-8C9B-12D56A27EA31}"/>
    <cellStyle name="Финансовый 37 4 4 5 3" xfId="17056" xr:uid="{00000000-0005-0000-0000-00001E590000}"/>
    <cellStyle name="Финансовый 37 4 4 5 3 2" xfId="34069" xr:uid="{230CAED1-D055-4644-9D27-8CCB1DC8B340}"/>
    <cellStyle name="Финансовый 37 4 4 5 4" xfId="20137" xr:uid="{00000000-0005-0000-0000-00001F590000}"/>
    <cellStyle name="Финансовый 37 4 4 5 4 2" xfId="37150" xr:uid="{044C30B3-84D0-44C5-9B20-765F0776739D}"/>
    <cellStyle name="Финансовый 37 4 4 5 5" xfId="27840" xr:uid="{45D0F1A1-A273-4483-BCE3-E3CA111BB535}"/>
    <cellStyle name="Финансовый 37 4 4 6" xfId="13809" xr:uid="{00000000-0005-0000-0000-000020590000}"/>
    <cellStyle name="Финансовый 37 4 4 6 2" xfId="30898" xr:uid="{D3E66E23-B08A-45BB-A5A5-E4ADCE051B4B}"/>
    <cellStyle name="Финансовый 37 4 4 7" xfId="17041" xr:uid="{00000000-0005-0000-0000-000021590000}"/>
    <cellStyle name="Финансовый 37 4 4 7 2" xfId="34054" xr:uid="{A698EA7A-DA39-47E6-B565-4F9D41161813}"/>
    <cellStyle name="Финансовый 37 4 4 8" xfId="20122" xr:uid="{00000000-0005-0000-0000-000022590000}"/>
    <cellStyle name="Финансовый 37 4 4 8 2" xfId="37135" xr:uid="{644325C9-989B-4ADD-B0E1-F8A576C2BE02}"/>
    <cellStyle name="Финансовый 37 4 4 9" xfId="27825" xr:uid="{DDB223C7-A120-4341-9A82-9CD2E7CFA891}"/>
    <cellStyle name="Финансовый 37 4 5" xfId="10740" xr:uid="{00000000-0005-0000-0000-000023590000}"/>
    <cellStyle name="Финансовый 37 4 5 2" xfId="10741" xr:uid="{00000000-0005-0000-0000-000024590000}"/>
    <cellStyle name="Финансовый 37 4 5 2 2" xfId="10742" xr:uid="{00000000-0005-0000-0000-000025590000}"/>
    <cellStyle name="Финансовый 37 4 5 2 2 2" xfId="10743" xr:uid="{00000000-0005-0000-0000-000026590000}"/>
    <cellStyle name="Финансовый 37 4 5 2 2 2 2" xfId="13828" xr:uid="{00000000-0005-0000-0000-000027590000}"/>
    <cellStyle name="Финансовый 37 4 5 2 2 2 2 2" xfId="30917" xr:uid="{AA79FC41-60D1-453C-BD78-21B4E033E6CB}"/>
    <cellStyle name="Финансовый 37 4 5 2 2 2 3" xfId="17060" xr:uid="{00000000-0005-0000-0000-000028590000}"/>
    <cellStyle name="Финансовый 37 4 5 2 2 2 3 2" xfId="34073" xr:uid="{FB4E7084-AFB2-4E86-B56C-7124C36771AE}"/>
    <cellStyle name="Финансовый 37 4 5 2 2 2 4" xfId="20141" xr:uid="{00000000-0005-0000-0000-000029590000}"/>
    <cellStyle name="Финансовый 37 4 5 2 2 2 4 2" xfId="37154" xr:uid="{35B4966C-20AD-497B-B4E3-6AA53C535B9E}"/>
    <cellStyle name="Финансовый 37 4 5 2 2 2 5" xfId="27844" xr:uid="{4F3A3849-B55A-4E48-8EBB-7BB99BF3E37D}"/>
    <cellStyle name="Финансовый 37 4 5 2 2 3" xfId="13827" xr:uid="{00000000-0005-0000-0000-00002A590000}"/>
    <cellStyle name="Финансовый 37 4 5 2 2 3 2" xfId="30916" xr:uid="{1147670C-113B-4B87-B937-CC0CAEB0283E}"/>
    <cellStyle name="Финансовый 37 4 5 2 2 4" xfId="17059" xr:uid="{00000000-0005-0000-0000-00002B590000}"/>
    <cellStyle name="Финансовый 37 4 5 2 2 4 2" xfId="34072" xr:uid="{CF100848-3517-4DED-A661-DA668019D46B}"/>
    <cellStyle name="Финансовый 37 4 5 2 2 5" xfId="20140" xr:uid="{00000000-0005-0000-0000-00002C590000}"/>
    <cellStyle name="Финансовый 37 4 5 2 2 5 2" xfId="37153" xr:uid="{3382008F-B8BE-4CAA-8DFF-5D22272412BE}"/>
    <cellStyle name="Финансовый 37 4 5 2 2 6" xfId="27843" xr:uid="{41BDEB45-77C5-477E-A23B-569E7E26053B}"/>
    <cellStyle name="Финансовый 37 4 5 2 3" xfId="10744" xr:uid="{00000000-0005-0000-0000-00002D590000}"/>
    <cellStyle name="Финансовый 37 4 5 2 3 2" xfId="13829" xr:uid="{00000000-0005-0000-0000-00002E590000}"/>
    <cellStyle name="Финансовый 37 4 5 2 3 2 2" xfId="30918" xr:uid="{F85F5B40-ABAF-4689-B941-BA8A92E7A728}"/>
    <cellStyle name="Финансовый 37 4 5 2 3 3" xfId="17061" xr:uid="{00000000-0005-0000-0000-00002F590000}"/>
    <cellStyle name="Финансовый 37 4 5 2 3 3 2" xfId="34074" xr:uid="{63A17F8E-C690-4783-999B-C5859867F344}"/>
    <cellStyle name="Финансовый 37 4 5 2 3 4" xfId="20142" xr:uid="{00000000-0005-0000-0000-000030590000}"/>
    <cellStyle name="Финансовый 37 4 5 2 3 4 2" xfId="37155" xr:uid="{3DA1564A-9FBD-4B39-B1B8-68E31664B7E9}"/>
    <cellStyle name="Финансовый 37 4 5 2 3 5" xfId="27845" xr:uid="{AB167933-28F0-4047-9DF7-171A3FCD2D2C}"/>
    <cellStyle name="Финансовый 37 4 5 2 4" xfId="13826" xr:uid="{00000000-0005-0000-0000-000031590000}"/>
    <cellStyle name="Финансовый 37 4 5 2 4 2" xfId="30915" xr:uid="{EF4E4801-4AB6-4F9C-A2DB-0F590F352710}"/>
    <cellStyle name="Финансовый 37 4 5 2 5" xfId="17058" xr:uid="{00000000-0005-0000-0000-000032590000}"/>
    <cellStyle name="Финансовый 37 4 5 2 5 2" xfId="34071" xr:uid="{FAD1FC47-D186-4F15-A7B3-96F7FA683449}"/>
    <cellStyle name="Финансовый 37 4 5 2 6" xfId="20139" xr:uid="{00000000-0005-0000-0000-000033590000}"/>
    <cellStyle name="Финансовый 37 4 5 2 6 2" xfId="37152" xr:uid="{F84AC66B-0782-4CF2-B009-F869184AF98D}"/>
    <cellStyle name="Финансовый 37 4 5 2 7" xfId="27842" xr:uid="{A6DFE2A4-E519-460C-9992-D4F98B1275AE}"/>
    <cellStyle name="Финансовый 37 4 5 3" xfId="10745" xr:uid="{00000000-0005-0000-0000-000034590000}"/>
    <cellStyle name="Финансовый 37 4 5 3 2" xfId="10746" xr:uid="{00000000-0005-0000-0000-000035590000}"/>
    <cellStyle name="Финансовый 37 4 5 3 2 2" xfId="13831" xr:uid="{00000000-0005-0000-0000-000036590000}"/>
    <cellStyle name="Финансовый 37 4 5 3 2 2 2" xfId="30920" xr:uid="{2E69FFA3-863C-4208-AEEB-7D794B12AEF1}"/>
    <cellStyle name="Финансовый 37 4 5 3 2 3" xfId="17063" xr:uid="{00000000-0005-0000-0000-000037590000}"/>
    <cellStyle name="Финансовый 37 4 5 3 2 3 2" xfId="34076" xr:uid="{E987354B-2BE4-4C5B-9B78-3AFCDF17ED8D}"/>
    <cellStyle name="Финансовый 37 4 5 3 2 4" xfId="20144" xr:uid="{00000000-0005-0000-0000-000038590000}"/>
    <cellStyle name="Финансовый 37 4 5 3 2 4 2" xfId="37157" xr:uid="{12CCDF6F-CE95-4E58-88EE-BCF8769A75FF}"/>
    <cellStyle name="Финансовый 37 4 5 3 2 5" xfId="27847" xr:uid="{3CF98E53-C8D8-40FC-9032-108999299BCC}"/>
    <cellStyle name="Финансовый 37 4 5 3 3" xfId="13830" xr:uid="{00000000-0005-0000-0000-000039590000}"/>
    <cellStyle name="Финансовый 37 4 5 3 3 2" xfId="30919" xr:uid="{FE8B9567-3298-45D4-B5E4-473D16EC78E6}"/>
    <cellStyle name="Финансовый 37 4 5 3 4" xfId="17062" xr:uid="{00000000-0005-0000-0000-00003A590000}"/>
    <cellStyle name="Финансовый 37 4 5 3 4 2" xfId="34075" xr:uid="{91E01473-30AA-4D2D-ACE3-E432140E257B}"/>
    <cellStyle name="Финансовый 37 4 5 3 5" xfId="20143" xr:uid="{00000000-0005-0000-0000-00003B590000}"/>
    <cellStyle name="Финансовый 37 4 5 3 5 2" xfId="37156" xr:uid="{49C8F72F-DAA2-43BC-A683-7025C03804E5}"/>
    <cellStyle name="Финансовый 37 4 5 3 6" xfId="27846" xr:uid="{D85056C5-8E00-484A-91F8-57B7F5CEB638}"/>
    <cellStyle name="Финансовый 37 4 5 4" xfId="10747" xr:uid="{00000000-0005-0000-0000-00003C590000}"/>
    <cellStyle name="Финансовый 37 4 5 4 2" xfId="13832" xr:uid="{00000000-0005-0000-0000-00003D590000}"/>
    <cellStyle name="Финансовый 37 4 5 4 2 2" xfId="30921" xr:uid="{619B1AF2-2D32-4E12-8FCD-19EC20293A9D}"/>
    <cellStyle name="Финансовый 37 4 5 4 3" xfId="17064" xr:uid="{00000000-0005-0000-0000-00003E590000}"/>
    <cellStyle name="Финансовый 37 4 5 4 3 2" xfId="34077" xr:uid="{D1A6955B-2C0D-4C02-B5B4-3E903F13FD07}"/>
    <cellStyle name="Финансовый 37 4 5 4 4" xfId="20145" xr:uid="{00000000-0005-0000-0000-00003F590000}"/>
    <cellStyle name="Финансовый 37 4 5 4 4 2" xfId="37158" xr:uid="{FB6CA6E7-6895-4E23-B310-B8B0E8685410}"/>
    <cellStyle name="Финансовый 37 4 5 4 5" xfId="27848" xr:uid="{029D5714-8C54-4170-AF39-2442096009BB}"/>
    <cellStyle name="Финансовый 37 4 5 5" xfId="13825" xr:uid="{00000000-0005-0000-0000-000040590000}"/>
    <cellStyle name="Финансовый 37 4 5 5 2" xfId="30914" xr:uid="{1D69FC85-51A6-4A86-8CD9-744D23BB6EA8}"/>
    <cellStyle name="Финансовый 37 4 5 6" xfId="17057" xr:uid="{00000000-0005-0000-0000-000041590000}"/>
    <cellStyle name="Финансовый 37 4 5 6 2" xfId="34070" xr:uid="{27C7035E-1986-4E87-BB90-BA8A23505597}"/>
    <cellStyle name="Финансовый 37 4 5 7" xfId="20138" xr:uid="{00000000-0005-0000-0000-000042590000}"/>
    <cellStyle name="Финансовый 37 4 5 7 2" xfId="37151" xr:uid="{AE18F27C-851F-42A0-AD8D-540ABCC5A6D1}"/>
    <cellStyle name="Финансовый 37 4 5 8" xfId="27841" xr:uid="{00CF0FBF-2797-46B6-9FF7-A046EA57FF35}"/>
    <cellStyle name="Финансовый 37 4 6" xfId="10748" xr:uid="{00000000-0005-0000-0000-000043590000}"/>
    <cellStyle name="Финансовый 37 4 6 2" xfId="10749" xr:uid="{00000000-0005-0000-0000-000044590000}"/>
    <cellStyle name="Финансовый 37 4 6 2 2" xfId="10750" xr:uid="{00000000-0005-0000-0000-000045590000}"/>
    <cellStyle name="Финансовый 37 4 6 2 2 2" xfId="13835" xr:uid="{00000000-0005-0000-0000-000046590000}"/>
    <cellStyle name="Финансовый 37 4 6 2 2 2 2" xfId="30924" xr:uid="{B04E21DF-9EAA-4C55-A557-D5B3693CDC78}"/>
    <cellStyle name="Финансовый 37 4 6 2 2 3" xfId="17067" xr:uid="{00000000-0005-0000-0000-000047590000}"/>
    <cellStyle name="Финансовый 37 4 6 2 2 3 2" xfId="34080" xr:uid="{ECBA48A6-7298-4526-9025-5B5DA0C3D36E}"/>
    <cellStyle name="Финансовый 37 4 6 2 2 4" xfId="20148" xr:uid="{00000000-0005-0000-0000-000048590000}"/>
    <cellStyle name="Финансовый 37 4 6 2 2 4 2" xfId="37161" xr:uid="{CD1F53EC-B139-4F83-B836-A8E2CF0A709E}"/>
    <cellStyle name="Финансовый 37 4 6 2 2 5" xfId="27851" xr:uid="{954AE334-AE1A-44F4-9CE5-E3ACF63823AE}"/>
    <cellStyle name="Финансовый 37 4 6 2 3" xfId="13834" xr:uid="{00000000-0005-0000-0000-000049590000}"/>
    <cellStyle name="Финансовый 37 4 6 2 3 2" xfId="30923" xr:uid="{90C3DCFA-6D85-4A6A-B732-265B7A395592}"/>
    <cellStyle name="Финансовый 37 4 6 2 4" xfId="17066" xr:uid="{00000000-0005-0000-0000-00004A590000}"/>
    <cellStyle name="Финансовый 37 4 6 2 4 2" xfId="34079" xr:uid="{86FE729E-2148-4339-98B0-BE2FB065283B}"/>
    <cellStyle name="Финансовый 37 4 6 2 5" xfId="20147" xr:uid="{00000000-0005-0000-0000-00004B590000}"/>
    <cellStyle name="Финансовый 37 4 6 2 5 2" xfId="37160" xr:uid="{B3CBFBA4-86A9-4C3D-8B2E-DCE9F2C1A77B}"/>
    <cellStyle name="Финансовый 37 4 6 2 6" xfId="27850" xr:uid="{B4426B32-FE75-48B5-985E-EF1C4DD1D677}"/>
    <cellStyle name="Финансовый 37 4 6 3" xfId="10751" xr:uid="{00000000-0005-0000-0000-00004C590000}"/>
    <cellStyle name="Финансовый 37 4 6 3 2" xfId="13836" xr:uid="{00000000-0005-0000-0000-00004D590000}"/>
    <cellStyle name="Финансовый 37 4 6 3 2 2" xfId="30925" xr:uid="{35B49F71-04B7-41B0-B1A2-6B57AC4BB0DE}"/>
    <cellStyle name="Финансовый 37 4 6 3 3" xfId="17068" xr:uid="{00000000-0005-0000-0000-00004E590000}"/>
    <cellStyle name="Финансовый 37 4 6 3 3 2" xfId="34081" xr:uid="{5362AD68-9C91-43AA-A599-0445C175FBA4}"/>
    <cellStyle name="Финансовый 37 4 6 3 4" xfId="20149" xr:uid="{00000000-0005-0000-0000-00004F590000}"/>
    <cellStyle name="Финансовый 37 4 6 3 4 2" xfId="37162" xr:uid="{042B68CA-E28E-41EC-8C6C-4F96E9077A3F}"/>
    <cellStyle name="Финансовый 37 4 6 3 5" xfId="27852" xr:uid="{DB4B18C6-A7E8-475C-A26A-0AC4816D37E2}"/>
    <cellStyle name="Финансовый 37 4 6 4" xfId="13833" xr:uid="{00000000-0005-0000-0000-000050590000}"/>
    <cellStyle name="Финансовый 37 4 6 4 2" xfId="30922" xr:uid="{ACFE7459-C480-47B7-A1DF-F329BB18DDE9}"/>
    <cellStyle name="Финансовый 37 4 6 5" xfId="17065" xr:uid="{00000000-0005-0000-0000-000051590000}"/>
    <cellStyle name="Финансовый 37 4 6 5 2" xfId="34078" xr:uid="{BF56AC6A-9678-47FB-A687-E00D18D6B8E5}"/>
    <cellStyle name="Финансовый 37 4 6 6" xfId="20146" xr:uid="{00000000-0005-0000-0000-000052590000}"/>
    <cellStyle name="Финансовый 37 4 6 6 2" xfId="37159" xr:uid="{3AF825B2-BBE4-4993-B7FF-7FF0E8039362}"/>
    <cellStyle name="Финансовый 37 4 6 7" xfId="27849" xr:uid="{086B2B57-9FF7-4EF1-9659-B779002AC4CC}"/>
    <cellStyle name="Финансовый 37 4 7" xfId="10752" xr:uid="{00000000-0005-0000-0000-000053590000}"/>
    <cellStyle name="Финансовый 37 4 7 2" xfId="10753" xr:uid="{00000000-0005-0000-0000-000054590000}"/>
    <cellStyle name="Финансовый 37 4 7 2 2" xfId="13838" xr:uid="{00000000-0005-0000-0000-000055590000}"/>
    <cellStyle name="Финансовый 37 4 7 2 2 2" xfId="30927" xr:uid="{22F57968-78B4-49BD-A783-E21C1B0793FE}"/>
    <cellStyle name="Финансовый 37 4 7 2 3" xfId="17070" xr:uid="{00000000-0005-0000-0000-000056590000}"/>
    <cellStyle name="Финансовый 37 4 7 2 3 2" xfId="34083" xr:uid="{30FADE53-E098-4EC7-9270-BA65DE6D1B44}"/>
    <cellStyle name="Финансовый 37 4 7 2 4" xfId="20151" xr:uid="{00000000-0005-0000-0000-000057590000}"/>
    <cellStyle name="Финансовый 37 4 7 2 4 2" xfId="37164" xr:uid="{BBC1B3A7-B7A1-4729-B80C-859F32EA3E7E}"/>
    <cellStyle name="Финансовый 37 4 7 2 5" xfId="27854" xr:uid="{83C382E2-E36D-45D2-8217-1A38BD5C8A11}"/>
    <cellStyle name="Финансовый 37 4 7 3" xfId="13837" xr:uid="{00000000-0005-0000-0000-000058590000}"/>
    <cellStyle name="Финансовый 37 4 7 3 2" xfId="30926" xr:uid="{50CC86BA-6A72-4D66-8FDB-C66A351ACA9C}"/>
    <cellStyle name="Финансовый 37 4 7 4" xfId="17069" xr:uid="{00000000-0005-0000-0000-000059590000}"/>
    <cellStyle name="Финансовый 37 4 7 4 2" xfId="34082" xr:uid="{4BFDD8CB-F268-4332-9B70-5A987ED91C5F}"/>
    <cellStyle name="Финансовый 37 4 7 5" xfId="20150" xr:uid="{00000000-0005-0000-0000-00005A590000}"/>
    <cellStyle name="Финансовый 37 4 7 5 2" xfId="37163" xr:uid="{2214AEB7-E08E-4786-9E45-A630887D7DB1}"/>
    <cellStyle name="Финансовый 37 4 7 6" xfId="27853" xr:uid="{C5704585-5B05-461E-99C0-8A5EB279A7BC}"/>
    <cellStyle name="Финансовый 37 4 8" xfId="10754" xr:uid="{00000000-0005-0000-0000-00005B590000}"/>
    <cellStyle name="Финансовый 37 4 8 2" xfId="13839" xr:uid="{00000000-0005-0000-0000-00005C590000}"/>
    <cellStyle name="Финансовый 37 4 8 2 2" xfId="30928" xr:uid="{4B33CD91-E2A4-45EA-A2F1-8BA334A570FA}"/>
    <cellStyle name="Финансовый 37 4 8 3" xfId="17071" xr:uid="{00000000-0005-0000-0000-00005D590000}"/>
    <cellStyle name="Финансовый 37 4 8 3 2" xfId="34084" xr:uid="{BFEFC7F0-F615-4FB7-A2AD-C0413A750993}"/>
    <cellStyle name="Финансовый 37 4 8 4" xfId="20152" xr:uid="{00000000-0005-0000-0000-00005E590000}"/>
    <cellStyle name="Финансовый 37 4 8 4 2" xfId="37165" xr:uid="{592AB611-1A84-48A1-9EE9-F56BFBA815E9}"/>
    <cellStyle name="Финансовый 37 4 8 5" xfId="27855" xr:uid="{54F7675E-507F-415D-922A-DFB983E34FE4}"/>
    <cellStyle name="Финансовый 37 4 9" xfId="13712" xr:uid="{00000000-0005-0000-0000-00005F590000}"/>
    <cellStyle name="Финансовый 37 4 9 2" xfId="30801" xr:uid="{EF7B3A4B-CBC4-4419-85B2-B5C8CE6F6BAE}"/>
    <cellStyle name="Финансовый 37 5" xfId="10755" xr:uid="{00000000-0005-0000-0000-000060590000}"/>
    <cellStyle name="Финансовый 37 5 10" xfId="20153" xr:uid="{00000000-0005-0000-0000-000061590000}"/>
    <cellStyle name="Финансовый 37 5 10 2" xfId="37166" xr:uid="{494CE5B3-A069-421A-9702-DB212B9E898E}"/>
    <cellStyle name="Финансовый 37 5 11" xfId="27856" xr:uid="{7342DC95-ECFB-4347-86B5-8A3CB4BD969F}"/>
    <cellStyle name="Финансовый 37 5 2" xfId="10756" xr:uid="{00000000-0005-0000-0000-000062590000}"/>
    <cellStyle name="Финансовый 37 5 2 10" xfId="27857" xr:uid="{3D5218D0-BB6C-4EF0-B6B9-C9D8AEB1399F}"/>
    <cellStyle name="Финансовый 37 5 2 2" xfId="10757" xr:uid="{00000000-0005-0000-0000-000063590000}"/>
    <cellStyle name="Финансовый 37 5 2 2 2" xfId="10758" xr:uid="{00000000-0005-0000-0000-000064590000}"/>
    <cellStyle name="Финансовый 37 5 2 2 2 2" xfId="10759" xr:uid="{00000000-0005-0000-0000-000065590000}"/>
    <cellStyle name="Финансовый 37 5 2 2 2 2 2" xfId="10760" xr:uid="{00000000-0005-0000-0000-000066590000}"/>
    <cellStyle name="Финансовый 37 5 2 2 2 2 2 2" xfId="10761" xr:uid="{00000000-0005-0000-0000-000067590000}"/>
    <cellStyle name="Финансовый 37 5 2 2 2 2 2 2 2" xfId="13846" xr:uid="{00000000-0005-0000-0000-000068590000}"/>
    <cellStyle name="Финансовый 37 5 2 2 2 2 2 2 2 2" xfId="30935" xr:uid="{67728907-331C-47DA-82B9-BAF2D0E31BA4}"/>
    <cellStyle name="Финансовый 37 5 2 2 2 2 2 2 3" xfId="17078" xr:uid="{00000000-0005-0000-0000-000069590000}"/>
    <cellStyle name="Финансовый 37 5 2 2 2 2 2 2 3 2" xfId="34091" xr:uid="{20B8A2BF-6BF2-4642-AFC9-1A2385B44FDB}"/>
    <cellStyle name="Финансовый 37 5 2 2 2 2 2 2 4" xfId="20159" xr:uid="{00000000-0005-0000-0000-00006A590000}"/>
    <cellStyle name="Финансовый 37 5 2 2 2 2 2 2 4 2" xfId="37172" xr:uid="{A8CDA8B2-BDF2-4F56-AB3C-5EACD7B6A37D}"/>
    <cellStyle name="Финансовый 37 5 2 2 2 2 2 2 5" xfId="27862" xr:uid="{9E76EAE2-5201-4D68-AB12-342DCE2A0F03}"/>
    <cellStyle name="Финансовый 37 5 2 2 2 2 2 3" xfId="13845" xr:uid="{00000000-0005-0000-0000-00006B590000}"/>
    <cellStyle name="Финансовый 37 5 2 2 2 2 2 3 2" xfId="30934" xr:uid="{E1672366-1B6F-4F7C-8A03-C1E6FC29578D}"/>
    <cellStyle name="Финансовый 37 5 2 2 2 2 2 4" xfId="17077" xr:uid="{00000000-0005-0000-0000-00006C590000}"/>
    <cellStyle name="Финансовый 37 5 2 2 2 2 2 4 2" xfId="34090" xr:uid="{8CA9BC0F-1E36-43B2-9C35-17EA51806ED8}"/>
    <cellStyle name="Финансовый 37 5 2 2 2 2 2 5" xfId="20158" xr:uid="{00000000-0005-0000-0000-00006D590000}"/>
    <cellStyle name="Финансовый 37 5 2 2 2 2 2 5 2" xfId="37171" xr:uid="{3C5ECB5F-9CA6-4608-B0EE-D0F53427D786}"/>
    <cellStyle name="Финансовый 37 5 2 2 2 2 2 6" xfId="27861" xr:uid="{C8A5A6E2-9327-45AA-8E10-D7393B5DA576}"/>
    <cellStyle name="Финансовый 37 5 2 2 2 2 3" xfId="10762" xr:uid="{00000000-0005-0000-0000-00006E590000}"/>
    <cellStyle name="Финансовый 37 5 2 2 2 2 3 2" xfId="13847" xr:uid="{00000000-0005-0000-0000-00006F590000}"/>
    <cellStyle name="Финансовый 37 5 2 2 2 2 3 2 2" xfId="30936" xr:uid="{FE08B1D3-B276-4CFB-B396-B8C231740E5C}"/>
    <cellStyle name="Финансовый 37 5 2 2 2 2 3 3" xfId="17079" xr:uid="{00000000-0005-0000-0000-000070590000}"/>
    <cellStyle name="Финансовый 37 5 2 2 2 2 3 3 2" xfId="34092" xr:uid="{F051E0EB-27E5-4AAB-8ADA-017E4D606E3F}"/>
    <cellStyle name="Финансовый 37 5 2 2 2 2 3 4" xfId="20160" xr:uid="{00000000-0005-0000-0000-000071590000}"/>
    <cellStyle name="Финансовый 37 5 2 2 2 2 3 4 2" xfId="37173" xr:uid="{82C86AFC-7A75-4360-A424-C42497D15409}"/>
    <cellStyle name="Финансовый 37 5 2 2 2 2 3 5" xfId="27863" xr:uid="{02F26E19-2DC2-489F-87BE-A1A6B1C58F13}"/>
    <cellStyle name="Финансовый 37 5 2 2 2 2 4" xfId="13844" xr:uid="{00000000-0005-0000-0000-000072590000}"/>
    <cellStyle name="Финансовый 37 5 2 2 2 2 4 2" xfId="30933" xr:uid="{5A09F8B4-A301-4D50-8262-B684CB5DD251}"/>
    <cellStyle name="Финансовый 37 5 2 2 2 2 5" xfId="17076" xr:uid="{00000000-0005-0000-0000-000073590000}"/>
    <cellStyle name="Финансовый 37 5 2 2 2 2 5 2" xfId="34089" xr:uid="{63A7E15E-6235-4777-946B-9BB12B99FDAB}"/>
    <cellStyle name="Финансовый 37 5 2 2 2 2 6" xfId="20157" xr:uid="{00000000-0005-0000-0000-000074590000}"/>
    <cellStyle name="Финансовый 37 5 2 2 2 2 6 2" xfId="37170" xr:uid="{F4741B09-E678-4C3B-B652-A52F9DFBFBDF}"/>
    <cellStyle name="Финансовый 37 5 2 2 2 2 7" xfId="27860" xr:uid="{61EA62BF-408C-49F5-829F-7BD3B112D13B}"/>
    <cellStyle name="Финансовый 37 5 2 2 2 3" xfId="10763" xr:uid="{00000000-0005-0000-0000-000075590000}"/>
    <cellStyle name="Финансовый 37 5 2 2 2 3 2" xfId="10764" xr:uid="{00000000-0005-0000-0000-000076590000}"/>
    <cellStyle name="Финансовый 37 5 2 2 2 3 2 2" xfId="13849" xr:uid="{00000000-0005-0000-0000-000077590000}"/>
    <cellStyle name="Финансовый 37 5 2 2 2 3 2 2 2" xfId="30938" xr:uid="{8F959DB6-A21B-44BC-B755-296AFD2D5D86}"/>
    <cellStyle name="Финансовый 37 5 2 2 2 3 2 3" xfId="17081" xr:uid="{00000000-0005-0000-0000-000078590000}"/>
    <cellStyle name="Финансовый 37 5 2 2 2 3 2 3 2" xfId="34094" xr:uid="{0C1AEF63-D121-4B64-8CC5-9476A634253F}"/>
    <cellStyle name="Финансовый 37 5 2 2 2 3 2 4" xfId="20162" xr:uid="{00000000-0005-0000-0000-000079590000}"/>
    <cellStyle name="Финансовый 37 5 2 2 2 3 2 4 2" xfId="37175" xr:uid="{97A7E2F4-9991-466C-93C0-9E5D24D0896C}"/>
    <cellStyle name="Финансовый 37 5 2 2 2 3 2 5" xfId="27865" xr:uid="{D1478070-BDD0-4327-B8E5-8262111771A5}"/>
    <cellStyle name="Финансовый 37 5 2 2 2 3 3" xfId="13848" xr:uid="{00000000-0005-0000-0000-00007A590000}"/>
    <cellStyle name="Финансовый 37 5 2 2 2 3 3 2" xfId="30937" xr:uid="{D8350E83-4E56-452B-B09C-716A022F98E5}"/>
    <cellStyle name="Финансовый 37 5 2 2 2 3 4" xfId="17080" xr:uid="{00000000-0005-0000-0000-00007B590000}"/>
    <cellStyle name="Финансовый 37 5 2 2 2 3 4 2" xfId="34093" xr:uid="{7044B87F-F6B7-4C64-87BF-B0475DB2232E}"/>
    <cellStyle name="Финансовый 37 5 2 2 2 3 5" xfId="20161" xr:uid="{00000000-0005-0000-0000-00007C590000}"/>
    <cellStyle name="Финансовый 37 5 2 2 2 3 5 2" xfId="37174" xr:uid="{D03731BF-E41E-432E-B440-6B20C12CC122}"/>
    <cellStyle name="Финансовый 37 5 2 2 2 3 6" xfId="27864" xr:uid="{7B0E4048-C88C-4704-9BB3-45DA1F4E8A42}"/>
    <cellStyle name="Финансовый 37 5 2 2 2 4" xfId="10765" xr:uid="{00000000-0005-0000-0000-00007D590000}"/>
    <cellStyle name="Финансовый 37 5 2 2 2 4 2" xfId="13850" xr:uid="{00000000-0005-0000-0000-00007E590000}"/>
    <cellStyle name="Финансовый 37 5 2 2 2 4 2 2" xfId="30939" xr:uid="{4E20F3EE-CA3A-426E-A466-0D6FF9E74052}"/>
    <cellStyle name="Финансовый 37 5 2 2 2 4 3" xfId="17082" xr:uid="{00000000-0005-0000-0000-00007F590000}"/>
    <cellStyle name="Финансовый 37 5 2 2 2 4 3 2" xfId="34095" xr:uid="{AD4B7096-0D39-46CF-986F-565B4D401060}"/>
    <cellStyle name="Финансовый 37 5 2 2 2 4 4" xfId="20163" xr:uid="{00000000-0005-0000-0000-000080590000}"/>
    <cellStyle name="Финансовый 37 5 2 2 2 4 4 2" xfId="37176" xr:uid="{1ACEFB81-654F-4360-9DCF-DBFBFC721515}"/>
    <cellStyle name="Финансовый 37 5 2 2 2 4 5" xfId="27866" xr:uid="{A9C2D5E9-1846-4449-88FE-94B9D771D79C}"/>
    <cellStyle name="Финансовый 37 5 2 2 2 5" xfId="13843" xr:uid="{00000000-0005-0000-0000-000081590000}"/>
    <cellStyle name="Финансовый 37 5 2 2 2 5 2" xfId="30932" xr:uid="{B5DE01C6-24C2-489D-B3F8-EB061F97F1D8}"/>
    <cellStyle name="Финансовый 37 5 2 2 2 6" xfId="17075" xr:uid="{00000000-0005-0000-0000-000082590000}"/>
    <cellStyle name="Финансовый 37 5 2 2 2 6 2" xfId="34088" xr:uid="{7ABFE927-A99A-4F5C-9E6B-3E8C0495D50A}"/>
    <cellStyle name="Финансовый 37 5 2 2 2 7" xfId="20156" xr:uid="{00000000-0005-0000-0000-000083590000}"/>
    <cellStyle name="Финансовый 37 5 2 2 2 7 2" xfId="37169" xr:uid="{1047B81E-BB14-42A8-A179-354875EFDA3A}"/>
    <cellStyle name="Финансовый 37 5 2 2 2 8" xfId="27859" xr:uid="{9AFFD63A-DCDA-4E99-AF0A-3AC9989532DF}"/>
    <cellStyle name="Финансовый 37 5 2 2 3" xfId="10766" xr:uid="{00000000-0005-0000-0000-000084590000}"/>
    <cellStyle name="Финансовый 37 5 2 2 3 2" xfId="10767" xr:uid="{00000000-0005-0000-0000-000085590000}"/>
    <cellStyle name="Финансовый 37 5 2 2 3 2 2" xfId="10768" xr:uid="{00000000-0005-0000-0000-000086590000}"/>
    <cellStyle name="Финансовый 37 5 2 2 3 2 2 2" xfId="13853" xr:uid="{00000000-0005-0000-0000-000087590000}"/>
    <cellStyle name="Финансовый 37 5 2 2 3 2 2 2 2" xfId="30942" xr:uid="{D057789A-3669-4B20-AE20-7E4F7CFC20EC}"/>
    <cellStyle name="Финансовый 37 5 2 2 3 2 2 3" xfId="17085" xr:uid="{00000000-0005-0000-0000-000088590000}"/>
    <cellStyle name="Финансовый 37 5 2 2 3 2 2 3 2" xfId="34098" xr:uid="{6C1032A8-C30D-4D5A-9999-12B1C757F008}"/>
    <cellStyle name="Финансовый 37 5 2 2 3 2 2 4" xfId="20166" xr:uid="{00000000-0005-0000-0000-000089590000}"/>
    <cellStyle name="Финансовый 37 5 2 2 3 2 2 4 2" xfId="37179" xr:uid="{FC8DCD45-3B9A-4931-9A88-4402CC2F1313}"/>
    <cellStyle name="Финансовый 37 5 2 2 3 2 2 5" xfId="27869" xr:uid="{786A39A0-878C-44F2-8BBC-4D348ACBD4F6}"/>
    <cellStyle name="Финансовый 37 5 2 2 3 2 3" xfId="13852" xr:uid="{00000000-0005-0000-0000-00008A590000}"/>
    <cellStyle name="Финансовый 37 5 2 2 3 2 3 2" xfId="30941" xr:uid="{7DA74826-120C-40F7-A8EB-536B83D2649F}"/>
    <cellStyle name="Финансовый 37 5 2 2 3 2 4" xfId="17084" xr:uid="{00000000-0005-0000-0000-00008B590000}"/>
    <cellStyle name="Финансовый 37 5 2 2 3 2 4 2" xfId="34097" xr:uid="{7FB81AAB-8CB0-48B1-96B5-CE27BC8BBB27}"/>
    <cellStyle name="Финансовый 37 5 2 2 3 2 5" xfId="20165" xr:uid="{00000000-0005-0000-0000-00008C590000}"/>
    <cellStyle name="Финансовый 37 5 2 2 3 2 5 2" xfId="37178" xr:uid="{2D87BA3C-AC64-451D-8A16-44B9EEAE3DC4}"/>
    <cellStyle name="Финансовый 37 5 2 2 3 2 6" xfId="27868" xr:uid="{8E0FAB48-C485-4A61-8A5D-9319E1F286C7}"/>
    <cellStyle name="Финансовый 37 5 2 2 3 3" xfId="10769" xr:uid="{00000000-0005-0000-0000-00008D590000}"/>
    <cellStyle name="Финансовый 37 5 2 2 3 3 2" xfId="13854" xr:uid="{00000000-0005-0000-0000-00008E590000}"/>
    <cellStyle name="Финансовый 37 5 2 2 3 3 2 2" xfId="30943" xr:uid="{7E74488D-0B3C-41C1-9446-9AACDA524EC3}"/>
    <cellStyle name="Финансовый 37 5 2 2 3 3 3" xfId="17086" xr:uid="{00000000-0005-0000-0000-00008F590000}"/>
    <cellStyle name="Финансовый 37 5 2 2 3 3 3 2" xfId="34099" xr:uid="{2773B28D-5D23-40CF-BCD9-87C1D96659E6}"/>
    <cellStyle name="Финансовый 37 5 2 2 3 3 4" xfId="20167" xr:uid="{00000000-0005-0000-0000-000090590000}"/>
    <cellStyle name="Финансовый 37 5 2 2 3 3 4 2" xfId="37180" xr:uid="{C5494639-C871-4DF6-B0CD-2BA22C5E8BA6}"/>
    <cellStyle name="Финансовый 37 5 2 2 3 3 5" xfId="27870" xr:uid="{101FBC57-B91F-47B9-88E1-BA33414B0AB5}"/>
    <cellStyle name="Финансовый 37 5 2 2 3 4" xfId="13851" xr:uid="{00000000-0005-0000-0000-000091590000}"/>
    <cellStyle name="Финансовый 37 5 2 2 3 4 2" xfId="30940" xr:uid="{FD204F4C-14FE-455C-A8AD-5DF4FB2ADF7E}"/>
    <cellStyle name="Финансовый 37 5 2 2 3 5" xfId="17083" xr:uid="{00000000-0005-0000-0000-000092590000}"/>
    <cellStyle name="Финансовый 37 5 2 2 3 5 2" xfId="34096" xr:uid="{853F3EF3-D897-488B-85F2-0D2D5D086AF7}"/>
    <cellStyle name="Финансовый 37 5 2 2 3 6" xfId="20164" xr:uid="{00000000-0005-0000-0000-000093590000}"/>
    <cellStyle name="Финансовый 37 5 2 2 3 6 2" xfId="37177" xr:uid="{13B56DEB-E970-4B6D-9F3F-76ABEE1753C3}"/>
    <cellStyle name="Финансовый 37 5 2 2 3 7" xfId="27867" xr:uid="{50071207-B529-4672-9F31-53E7BB6DEDEA}"/>
    <cellStyle name="Финансовый 37 5 2 2 4" xfId="10770" xr:uid="{00000000-0005-0000-0000-000094590000}"/>
    <cellStyle name="Финансовый 37 5 2 2 4 2" xfId="10771" xr:uid="{00000000-0005-0000-0000-000095590000}"/>
    <cellStyle name="Финансовый 37 5 2 2 4 2 2" xfId="13856" xr:uid="{00000000-0005-0000-0000-000096590000}"/>
    <cellStyle name="Финансовый 37 5 2 2 4 2 2 2" xfId="30945" xr:uid="{F991741F-EA45-42A1-87E0-B995D5662280}"/>
    <cellStyle name="Финансовый 37 5 2 2 4 2 3" xfId="17088" xr:uid="{00000000-0005-0000-0000-000097590000}"/>
    <cellStyle name="Финансовый 37 5 2 2 4 2 3 2" xfId="34101" xr:uid="{903BB4D1-FD11-44E4-8B4E-5CA3710938B5}"/>
    <cellStyle name="Финансовый 37 5 2 2 4 2 4" xfId="20169" xr:uid="{00000000-0005-0000-0000-000098590000}"/>
    <cellStyle name="Финансовый 37 5 2 2 4 2 4 2" xfId="37182" xr:uid="{D6ED5893-D654-4B25-8871-AF6AC14E765E}"/>
    <cellStyle name="Финансовый 37 5 2 2 4 2 5" xfId="27872" xr:uid="{1E7C1D73-901B-4C4F-833C-FC3989A7E1B3}"/>
    <cellStyle name="Финансовый 37 5 2 2 4 3" xfId="13855" xr:uid="{00000000-0005-0000-0000-000099590000}"/>
    <cellStyle name="Финансовый 37 5 2 2 4 3 2" xfId="30944" xr:uid="{67A0C946-AA88-4E37-9905-4024FBDA4E65}"/>
    <cellStyle name="Финансовый 37 5 2 2 4 4" xfId="17087" xr:uid="{00000000-0005-0000-0000-00009A590000}"/>
    <cellStyle name="Финансовый 37 5 2 2 4 4 2" xfId="34100" xr:uid="{BC98C4C9-FB40-4371-8839-3BCA1547866D}"/>
    <cellStyle name="Финансовый 37 5 2 2 4 5" xfId="20168" xr:uid="{00000000-0005-0000-0000-00009B590000}"/>
    <cellStyle name="Финансовый 37 5 2 2 4 5 2" xfId="37181" xr:uid="{5E003812-263F-4647-B2FA-891C242AF747}"/>
    <cellStyle name="Финансовый 37 5 2 2 4 6" xfId="27871" xr:uid="{33B695CF-04CF-465E-A7C6-19658076A784}"/>
    <cellStyle name="Финансовый 37 5 2 2 5" xfId="10772" xr:uid="{00000000-0005-0000-0000-00009C590000}"/>
    <cellStyle name="Финансовый 37 5 2 2 5 2" xfId="13857" xr:uid="{00000000-0005-0000-0000-00009D590000}"/>
    <cellStyle name="Финансовый 37 5 2 2 5 2 2" xfId="30946" xr:uid="{515D91C7-16C9-4D7D-B32F-EE9D94317EA1}"/>
    <cellStyle name="Финансовый 37 5 2 2 5 3" xfId="17089" xr:uid="{00000000-0005-0000-0000-00009E590000}"/>
    <cellStyle name="Финансовый 37 5 2 2 5 3 2" xfId="34102" xr:uid="{95CA8275-73F1-435B-934E-DAC2A18739E8}"/>
    <cellStyle name="Финансовый 37 5 2 2 5 4" xfId="20170" xr:uid="{00000000-0005-0000-0000-00009F590000}"/>
    <cellStyle name="Финансовый 37 5 2 2 5 4 2" xfId="37183" xr:uid="{4569213D-6319-4FFC-8E2C-BE14C3A920D0}"/>
    <cellStyle name="Финансовый 37 5 2 2 5 5" xfId="27873" xr:uid="{0BC3A030-824C-47CB-A07F-707246D01EF7}"/>
    <cellStyle name="Финансовый 37 5 2 2 6" xfId="13842" xr:uid="{00000000-0005-0000-0000-0000A0590000}"/>
    <cellStyle name="Финансовый 37 5 2 2 6 2" xfId="30931" xr:uid="{49A032A9-61AF-4AA9-8CEC-D2A0430B5FE9}"/>
    <cellStyle name="Финансовый 37 5 2 2 7" xfId="17074" xr:uid="{00000000-0005-0000-0000-0000A1590000}"/>
    <cellStyle name="Финансовый 37 5 2 2 7 2" xfId="34087" xr:uid="{177664A9-1EB6-44BF-8515-96EF8A0B1D75}"/>
    <cellStyle name="Финансовый 37 5 2 2 8" xfId="20155" xr:uid="{00000000-0005-0000-0000-0000A2590000}"/>
    <cellStyle name="Финансовый 37 5 2 2 8 2" xfId="37168" xr:uid="{F5B5D099-3294-453E-B3AA-2478CC1DDD0C}"/>
    <cellStyle name="Финансовый 37 5 2 2 9" xfId="27858" xr:uid="{1052A16E-0203-4A89-BE78-9D97AC1CEDE6}"/>
    <cellStyle name="Финансовый 37 5 2 3" xfId="10773" xr:uid="{00000000-0005-0000-0000-0000A3590000}"/>
    <cellStyle name="Финансовый 37 5 2 3 2" xfId="10774" xr:uid="{00000000-0005-0000-0000-0000A4590000}"/>
    <cellStyle name="Финансовый 37 5 2 3 2 2" xfId="10775" xr:uid="{00000000-0005-0000-0000-0000A5590000}"/>
    <cellStyle name="Финансовый 37 5 2 3 2 2 2" xfId="10776" xr:uid="{00000000-0005-0000-0000-0000A6590000}"/>
    <cellStyle name="Финансовый 37 5 2 3 2 2 2 2" xfId="13861" xr:uid="{00000000-0005-0000-0000-0000A7590000}"/>
    <cellStyle name="Финансовый 37 5 2 3 2 2 2 2 2" xfId="30950" xr:uid="{108AEC7A-E4EC-4F9A-B390-075ED69E22AA}"/>
    <cellStyle name="Финансовый 37 5 2 3 2 2 2 3" xfId="17093" xr:uid="{00000000-0005-0000-0000-0000A8590000}"/>
    <cellStyle name="Финансовый 37 5 2 3 2 2 2 3 2" xfId="34106" xr:uid="{867C723A-A20E-4C30-85A4-7DBCB76D183A}"/>
    <cellStyle name="Финансовый 37 5 2 3 2 2 2 4" xfId="20174" xr:uid="{00000000-0005-0000-0000-0000A9590000}"/>
    <cellStyle name="Финансовый 37 5 2 3 2 2 2 4 2" xfId="37187" xr:uid="{7FB9AE4F-0BC4-437A-ABD8-2FD79EC7E468}"/>
    <cellStyle name="Финансовый 37 5 2 3 2 2 2 5" xfId="27877" xr:uid="{6164073C-B4C5-43E5-B67E-478D25F83436}"/>
    <cellStyle name="Финансовый 37 5 2 3 2 2 3" xfId="13860" xr:uid="{00000000-0005-0000-0000-0000AA590000}"/>
    <cellStyle name="Финансовый 37 5 2 3 2 2 3 2" xfId="30949" xr:uid="{B2C05108-63CF-4172-B5D1-2FA45FA03C5F}"/>
    <cellStyle name="Финансовый 37 5 2 3 2 2 4" xfId="17092" xr:uid="{00000000-0005-0000-0000-0000AB590000}"/>
    <cellStyle name="Финансовый 37 5 2 3 2 2 4 2" xfId="34105" xr:uid="{4768AA45-7356-4B8C-8D8A-D87C377205DA}"/>
    <cellStyle name="Финансовый 37 5 2 3 2 2 5" xfId="20173" xr:uid="{00000000-0005-0000-0000-0000AC590000}"/>
    <cellStyle name="Финансовый 37 5 2 3 2 2 5 2" xfId="37186" xr:uid="{CE2D1FA9-F96A-454D-99F4-246D3A49E77B}"/>
    <cellStyle name="Финансовый 37 5 2 3 2 2 6" xfId="27876" xr:uid="{F28B989F-3044-4850-94B0-20AA937F42E8}"/>
    <cellStyle name="Финансовый 37 5 2 3 2 3" xfId="10777" xr:uid="{00000000-0005-0000-0000-0000AD590000}"/>
    <cellStyle name="Финансовый 37 5 2 3 2 3 2" xfId="13862" xr:uid="{00000000-0005-0000-0000-0000AE590000}"/>
    <cellStyle name="Финансовый 37 5 2 3 2 3 2 2" xfId="30951" xr:uid="{6D183AEE-817F-4E64-82A2-85C539700E6A}"/>
    <cellStyle name="Финансовый 37 5 2 3 2 3 3" xfId="17094" xr:uid="{00000000-0005-0000-0000-0000AF590000}"/>
    <cellStyle name="Финансовый 37 5 2 3 2 3 3 2" xfId="34107" xr:uid="{104F0358-8570-4F06-A83D-5177E3C52B68}"/>
    <cellStyle name="Финансовый 37 5 2 3 2 3 4" xfId="20175" xr:uid="{00000000-0005-0000-0000-0000B0590000}"/>
    <cellStyle name="Финансовый 37 5 2 3 2 3 4 2" xfId="37188" xr:uid="{473ED7B4-98FB-4733-94DC-A4F28C035307}"/>
    <cellStyle name="Финансовый 37 5 2 3 2 3 5" xfId="27878" xr:uid="{CAA1EEDE-613F-484E-8F5B-EE125F9CC981}"/>
    <cellStyle name="Финансовый 37 5 2 3 2 4" xfId="13859" xr:uid="{00000000-0005-0000-0000-0000B1590000}"/>
    <cellStyle name="Финансовый 37 5 2 3 2 4 2" xfId="30948" xr:uid="{B4AD7208-BFC8-4321-AFCA-F75C2DAC4FD9}"/>
    <cellStyle name="Финансовый 37 5 2 3 2 5" xfId="17091" xr:uid="{00000000-0005-0000-0000-0000B2590000}"/>
    <cellStyle name="Финансовый 37 5 2 3 2 5 2" xfId="34104" xr:uid="{BAF7FF8C-0044-4377-930F-72318B6FFF66}"/>
    <cellStyle name="Финансовый 37 5 2 3 2 6" xfId="20172" xr:uid="{00000000-0005-0000-0000-0000B3590000}"/>
    <cellStyle name="Финансовый 37 5 2 3 2 6 2" xfId="37185" xr:uid="{F36D8624-6A83-4D73-88F0-E7BCD040CBE2}"/>
    <cellStyle name="Финансовый 37 5 2 3 2 7" xfId="27875" xr:uid="{B8015A8B-DF7A-49AA-A062-6DBC8BBF1D67}"/>
    <cellStyle name="Финансовый 37 5 2 3 3" xfId="10778" xr:uid="{00000000-0005-0000-0000-0000B4590000}"/>
    <cellStyle name="Финансовый 37 5 2 3 3 2" xfId="10779" xr:uid="{00000000-0005-0000-0000-0000B5590000}"/>
    <cellStyle name="Финансовый 37 5 2 3 3 2 2" xfId="13864" xr:uid="{00000000-0005-0000-0000-0000B6590000}"/>
    <cellStyle name="Финансовый 37 5 2 3 3 2 2 2" xfId="30953" xr:uid="{BE53787D-DA11-4F3A-A276-3756CD5811FB}"/>
    <cellStyle name="Финансовый 37 5 2 3 3 2 3" xfId="17096" xr:uid="{00000000-0005-0000-0000-0000B7590000}"/>
    <cellStyle name="Финансовый 37 5 2 3 3 2 3 2" xfId="34109" xr:uid="{1B2AFA87-84DE-4A5D-A325-7CAC6569A26D}"/>
    <cellStyle name="Финансовый 37 5 2 3 3 2 4" xfId="20177" xr:uid="{00000000-0005-0000-0000-0000B8590000}"/>
    <cellStyle name="Финансовый 37 5 2 3 3 2 4 2" xfId="37190" xr:uid="{711FB0D8-60A4-43B5-A5B4-441FD4CB621D}"/>
    <cellStyle name="Финансовый 37 5 2 3 3 2 5" xfId="27880" xr:uid="{A988206F-0CDA-4DDE-AF11-0B5753EF7D97}"/>
    <cellStyle name="Финансовый 37 5 2 3 3 3" xfId="13863" xr:uid="{00000000-0005-0000-0000-0000B9590000}"/>
    <cellStyle name="Финансовый 37 5 2 3 3 3 2" xfId="30952" xr:uid="{231F3499-1553-4136-81E0-76E09DAF243C}"/>
    <cellStyle name="Финансовый 37 5 2 3 3 4" xfId="17095" xr:uid="{00000000-0005-0000-0000-0000BA590000}"/>
    <cellStyle name="Финансовый 37 5 2 3 3 4 2" xfId="34108" xr:uid="{AB1DA746-4E21-4473-A377-9F3E395983C3}"/>
    <cellStyle name="Финансовый 37 5 2 3 3 5" xfId="20176" xr:uid="{00000000-0005-0000-0000-0000BB590000}"/>
    <cellStyle name="Финансовый 37 5 2 3 3 5 2" xfId="37189" xr:uid="{47F7FE39-F95B-410E-A4D3-C569C629786D}"/>
    <cellStyle name="Финансовый 37 5 2 3 3 6" xfId="27879" xr:uid="{6FF2CEF4-BEAE-4A8B-B104-FF8D8214BE84}"/>
    <cellStyle name="Финансовый 37 5 2 3 4" xfId="10780" xr:uid="{00000000-0005-0000-0000-0000BC590000}"/>
    <cellStyle name="Финансовый 37 5 2 3 4 2" xfId="13865" xr:uid="{00000000-0005-0000-0000-0000BD590000}"/>
    <cellStyle name="Финансовый 37 5 2 3 4 2 2" xfId="30954" xr:uid="{D9804EDB-C726-45AA-AFB2-D95F1F7EE0AE}"/>
    <cellStyle name="Финансовый 37 5 2 3 4 3" xfId="17097" xr:uid="{00000000-0005-0000-0000-0000BE590000}"/>
    <cellStyle name="Финансовый 37 5 2 3 4 3 2" xfId="34110" xr:uid="{DC22F471-431A-4B02-A40D-583AFB30607C}"/>
    <cellStyle name="Финансовый 37 5 2 3 4 4" xfId="20178" xr:uid="{00000000-0005-0000-0000-0000BF590000}"/>
    <cellStyle name="Финансовый 37 5 2 3 4 4 2" xfId="37191" xr:uid="{266612B7-136F-4C8D-9C5B-9076FA357A12}"/>
    <cellStyle name="Финансовый 37 5 2 3 4 5" xfId="27881" xr:uid="{A6780DBD-4CFA-4C0A-9146-56C491059ECC}"/>
    <cellStyle name="Финансовый 37 5 2 3 5" xfId="13858" xr:uid="{00000000-0005-0000-0000-0000C0590000}"/>
    <cellStyle name="Финансовый 37 5 2 3 5 2" xfId="30947" xr:uid="{C9321903-FE90-4B56-BC4C-825C791F4F0D}"/>
    <cellStyle name="Финансовый 37 5 2 3 6" xfId="17090" xr:uid="{00000000-0005-0000-0000-0000C1590000}"/>
    <cellStyle name="Финансовый 37 5 2 3 6 2" xfId="34103" xr:uid="{7DF48C76-E67C-49C4-B58B-0487BBE4C436}"/>
    <cellStyle name="Финансовый 37 5 2 3 7" xfId="20171" xr:uid="{00000000-0005-0000-0000-0000C2590000}"/>
    <cellStyle name="Финансовый 37 5 2 3 7 2" xfId="37184" xr:uid="{090E83C0-8620-489C-A323-73DB35E433DC}"/>
    <cellStyle name="Финансовый 37 5 2 3 8" xfId="27874" xr:uid="{4402CE43-AC08-4F1C-88C6-6E7F7DA33F20}"/>
    <cellStyle name="Финансовый 37 5 2 4" xfId="10781" xr:uid="{00000000-0005-0000-0000-0000C3590000}"/>
    <cellStyle name="Финансовый 37 5 2 4 2" xfId="10782" xr:uid="{00000000-0005-0000-0000-0000C4590000}"/>
    <cellStyle name="Финансовый 37 5 2 4 2 2" xfId="10783" xr:uid="{00000000-0005-0000-0000-0000C5590000}"/>
    <cellStyle name="Финансовый 37 5 2 4 2 2 2" xfId="13868" xr:uid="{00000000-0005-0000-0000-0000C6590000}"/>
    <cellStyle name="Финансовый 37 5 2 4 2 2 2 2" xfId="30957" xr:uid="{6D24C9B7-8648-4524-987E-E6378E4B626A}"/>
    <cellStyle name="Финансовый 37 5 2 4 2 2 3" xfId="17100" xr:uid="{00000000-0005-0000-0000-0000C7590000}"/>
    <cellStyle name="Финансовый 37 5 2 4 2 2 3 2" xfId="34113" xr:uid="{1A282483-76A3-42F3-9CE0-2BDF0F3DD508}"/>
    <cellStyle name="Финансовый 37 5 2 4 2 2 4" xfId="20181" xr:uid="{00000000-0005-0000-0000-0000C8590000}"/>
    <cellStyle name="Финансовый 37 5 2 4 2 2 4 2" xfId="37194" xr:uid="{D7165ED1-C649-4B9A-9B21-CC86CBA38A4B}"/>
    <cellStyle name="Финансовый 37 5 2 4 2 2 5" xfId="27884" xr:uid="{BC516B63-4115-493D-AECB-5594B9FDF27C}"/>
    <cellStyle name="Финансовый 37 5 2 4 2 3" xfId="13867" xr:uid="{00000000-0005-0000-0000-0000C9590000}"/>
    <cellStyle name="Финансовый 37 5 2 4 2 3 2" xfId="30956" xr:uid="{5242B842-BC9E-4B5C-BB2D-60567E482606}"/>
    <cellStyle name="Финансовый 37 5 2 4 2 4" xfId="17099" xr:uid="{00000000-0005-0000-0000-0000CA590000}"/>
    <cellStyle name="Финансовый 37 5 2 4 2 4 2" xfId="34112" xr:uid="{C951F9D2-4BA5-42B2-AC24-8F053FB1A94A}"/>
    <cellStyle name="Финансовый 37 5 2 4 2 5" xfId="20180" xr:uid="{00000000-0005-0000-0000-0000CB590000}"/>
    <cellStyle name="Финансовый 37 5 2 4 2 5 2" xfId="37193" xr:uid="{8C81B480-A0B2-4EEB-A2C8-1523E2BC5DBF}"/>
    <cellStyle name="Финансовый 37 5 2 4 2 6" xfId="27883" xr:uid="{9BC4A8A9-F5B0-4008-82B7-AFB0B45BB2EC}"/>
    <cellStyle name="Финансовый 37 5 2 4 3" xfId="10784" xr:uid="{00000000-0005-0000-0000-0000CC590000}"/>
    <cellStyle name="Финансовый 37 5 2 4 3 2" xfId="13869" xr:uid="{00000000-0005-0000-0000-0000CD590000}"/>
    <cellStyle name="Финансовый 37 5 2 4 3 2 2" xfId="30958" xr:uid="{A516E977-3781-45E9-9C46-866F85C544B9}"/>
    <cellStyle name="Финансовый 37 5 2 4 3 3" xfId="17101" xr:uid="{00000000-0005-0000-0000-0000CE590000}"/>
    <cellStyle name="Финансовый 37 5 2 4 3 3 2" xfId="34114" xr:uid="{C38E736C-73F0-41B9-B1A9-E17AD30CC187}"/>
    <cellStyle name="Финансовый 37 5 2 4 3 4" xfId="20182" xr:uid="{00000000-0005-0000-0000-0000CF590000}"/>
    <cellStyle name="Финансовый 37 5 2 4 3 4 2" xfId="37195" xr:uid="{38864020-AC4D-42B0-98EB-FB1D6AA65A8E}"/>
    <cellStyle name="Финансовый 37 5 2 4 3 5" xfId="27885" xr:uid="{D259E800-05A2-4D3D-B307-0234EF37BC99}"/>
    <cellStyle name="Финансовый 37 5 2 4 4" xfId="13866" xr:uid="{00000000-0005-0000-0000-0000D0590000}"/>
    <cellStyle name="Финансовый 37 5 2 4 4 2" xfId="30955" xr:uid="{01E42C43-8CE6-4749-90CA-D9F256AE62CE}"/>
    <cellStyle name="Финансовый 37 5 2 4 5" xfId="17098" xr:uid="{00000000-0005-0000-0000-0000D1590000}"/>
    <cellStyle name="Финансовый 37 5 2 4 5 2" xfId="34111" xr:uid="{4A3E36CF-A2B9-4B86-A304-4F6F49D2D9B4}"/>
    <cellStyle name="Финансовый 37 5 2 4 6" xfId="20179" xr:uid="{00000000-0005-0000-0000-0000D2590000}"/>
    <cellStyle name="Финансовый 37 5 2 4 6 2" xfId="37192" xr:uid="{4A5B5040-2B03-424D-ACB0-2E761A6165FD}"/>
    <cellStyle name="Финансовый 37 5 2 4 7" xfId="27882" xr:uid="{07F2B74A-5A74-4F8B-87EF-62900352D3DB}"/>
    <cellStyle name="Финансовый 37 5 2 5" xfId="10785" xr:uid="{00000000-0005-0000-0000-0000D3590000}"/>
    <cellStyle name="Финансовый 37 5 2 5 2" xfId="10786" xr:uid="{00000000-0005-0000-0000-0000D4590000}"/>
    <cellStyle name="Финансовый 37 5 2 5 2 2" xfId="13871" xr:uid="{00000000-0005-0000-0000-0000D5590000}"/>
    <cellStyle name="Финансовый 37 5 2 5 2 2 2" xfId="30960" xr:uid="{6520C6AE-FDA7-485C-B7F9-0154C0635E56}"/>
    <cellStyle name="Финансовый 37 5 2 5 2 3" xfId="17103" xr:uid="{00000000-0005-0000-0000-0000D6590000}"/>
    <cellStyle name="Финансовый 37 5 2 5 2 3 2" xfId="34116" xr:uid="{396D50A5-0A7C-4AA1-80FF-BB82A257A307}"/>
    <cellStyle name="Финансовый 37 5 2 5 2 4" xfId="20184" xr:uid="{00000000-0005-0000-0000-0000D7590000}"/>
    <cellStyle name="Финансовый 37 5 2 5 2 4 2" xfId="37197" xr:uid="{C860F299-BD34-41D6-84A0-38A12133397E}"/>
    <cellStyle name="Финансовый 37 5 2 5 2 5" xfId="27887" xr:uid="{7B60944F-B937-4F92-ABFD-7F9125FEB4FA}"/>
    <cellStyle name="Финансовый 37 5 2 5 3" xfId="13870" xr:uid="{00000000-0005-0000-0000-0000D8590000}"/>
    <cellStyle name="Финансовый 37 5 2 5 3 2" xfId="30959" xr:uid="{59CDDFAB-A2CA-4CFA-B467-BE915DBFE1C9}"/>
    <cellStyle name="Финансовый 37 5 2 5 4" xfId="17102" xr:uid="{00000000-0005-0000-0000-0000D9590000}"/>
    <cellStyle name="Финансовый 37 5 2 5 4 2" xfId="34115" xr:uid="{59EF4139-46AB-4C2E-8096-DD19594F0FBB}"/>
    <cellStyle name="Финансовый 37 5 2 5 5" xfId="20183" xr:uid="{00000000-0005-0000-0000-0000DA590000}"/>
    <cellStyle name="Финансовый 37 5 2 5 5 2" xfId="37196" xr:uid="{D1177404-40B2-4980-A7D5-3BCD0D215180}"/>
    <cellStyle name="Финансовый 37 5 2 5 6" xfId="27886" xr:uid="{A109BEA7-6B2C-4361-B628-7B24FEADA0A3}"/>
    <cellStyle name="Финансовый 37 5 2 6" xfId="10787" xr:uid="{00000000-0005-0000-0000-0000DB590000}"/>
    <cellStyle name="Финансовый 37 5 2 6 2" xfId="13872" xr:uid="{00000000-0005-0000-0000-0000DC590000}"/>
    <cellStyle name="Финансовый 37 5 2 6 2 2" xfId="30961" xr:uid="{1C69143F-E4DE-4743-86CA-4499EAE3D19A}"/>
    <cellStyle name="Финансовый 37 5 2 6 3" xfId="17104" xr:uid="{00000000-0005-0000-0000-0000DD590000}"/>
    <cellStyle name="Финансовый 37 5 2 6 3 2" xfId="34117" xr:uid="{8F562613-4096-499E-97A7-36CDF6BE5A22}"/>
    <cellStyle name="Финансовый 37 5 2 6 4" xfId="20185" xr:uid="{00000000-0005-0000-0000-0000DE590000}"/>
    <cellStyle name="Финансовый 37 5 2 6 4 2" xfId="37198" xr:uid="{288E889E-650B-44BB-A034-A121A9937F4A}"/>
    <cellStyle name="Финансовый 37 5 2 6 5" xfId="27888" xr:uid="{BCC6EF70-05B8-4137-A6C3-F4B9C706FAED}"/>
    <cellStyle name="Финансовый 37 5 2 7" xfId="13841" xr:uid="{00000000-0005-0000-0000-0000DF590000}"/>
    <cellStyle name="Финансовый 37 5 2 7 2" xfId="30930" xr:uid="{4799B444-3205-4EF7-9AFF-024D539027FF}"/>
    <cellStyle name="Финансовый 37 5 2 8" xfId="17073" xr:uid="{00000000-0005-0000-0000-0000E0590000}"/>
    <cellStyle name="Финансовый 37 5 2 8 2" xfId="34086" xr:uid="{6788DEA7-AB51-4A11-8E5F-8E6559DD954A}"/>
    <cellStyle name="Финансовый 37 5 2 9" xfId="20154" xr:uid="{00000000-0005-0000-0000-0000E1590000}"/>
    <cellStyle name="Финансовый 37 5 2 9 2" xfId="37167" xr:uid="{1F2D1017-B732-40C3-AAE3-ED5B437F6AE3}"/>
    <cellStyle name="Финансовый 37 5 3" xfId="10788" xr:uid="{00000000-0005-0000-0000-0000E2590000}"/>
    <cellStyle name="Финансовый 37 5 3 2" xfId="10789" xr:uid="{00000000-0005-0000-0000-0000E3590000}"/>
    <cellStyle name="Финансовый 37 5 3 2 2" xfId="10790" xr:uid="{00000000-0005-0000-0000-0000E4590000}"/>
    <cellStyle name="Финансовый 37 5 3 2 2 2" xfId="10791" xr:uid="{00000000-0005-0000-0000-0000E5590000}"/>
    <cellStyle name="Финансовый 37 5 3 2 2 2 2" xfId="10792" xr:uid="{00000000-0005-0000-0000-0000E6590000}"/>
    <cellStyle name="Финансовый 37 5 3 2 2 2 2 2" xfId="13877" xr:uid="{00000000-0005-0000-0000-0000E7590000}"/>
    <cellStyle name="Финансовый 37 5 3 2 2 2 2 2 2" xfId="30966" xr:uid="{379EB672-BC64-48F5-91EA-857BAFAF0F05}"/>
    <cellStyle name="Финансовый 37 5 3 2 2 2 2 3" xfId="17109" xr:uid="{00000000-0005-0000-0000-0000E8590000}"/>
    <cellStyle name="Финансовый 37 5 3 2 2 2 2 3 2" xfId="34122" xr:uid="{CE27B839-893F-4C09-9F7A-B77E0D1FF8BF}"/>
    <cellStyle name="Финансовый 37 5 3 2 2 2 2 4" xfId="20190" xr:uid="{00000000-0005-0000-0000-0000E9590000}"/>
    <cellStyle name="Финансовый 37 5 3 2 2 2 2 4 2" xfId="37203" xr:uid="{63963C0B-59BD-439C-8D97-9342569AF58F}"/>
    <cellStyle name="Финансовый 37 5 3 2 2 2 2 5" xfId="27893" xr:uid="{A7D9737C-D249-44CE-8977-EC6494547403}"/>
    <cellStyle name="Финансовый 37 5 3 2 2 2 3" xfId="13876" xr:uid="{00000000-0005-0000-0000-0000EA590000}"/>
    <cellStyle name="Финансовый 37 5 3 2 2 2 3 2" xfId="30965" xr:uid="{B39100A9-82C1-43E3-9B5C-C6CE1A959B12}"/>
    <cellStyle name="Финансовый 37 5 3 2 2 2 4" xfId="17108" xr:uid="{00000000-0005-0000-0000-0000EB590000}"/>
    <cellStyle name="Финансовый 37 5 3 2 2 2 4 2" xfId="34121" xr:uid="{6DC393CF-FD73-4B52-964B-0B5CB0C9657C}"/>
    <cellStyle name="Финансовый 37 5 3 2 2 2 5" xfId="20189" xr:uid="{00000000-0005-0000-0000-0000EC590000}"/>
    <cellStyle name="Финансовый 37 5 3 2 2 2 5 2" xfId="37202" xr:uid="{CF02BC09-6339-4F54-BEB8-C237E236366E}"/>
    <cellStyle name="Финансовый 37 5 3 2 2 2 6" xfId="27892" xr:uid="{5ED4FED6-23C1-4D6F-A73C-D5A5B4E0CA5F}"/>
    <cellStyle name="Финансовый 37 5 3 2 2 3" xfId="10793" xr:uid="{00000000-0005-0000-0000-0000ED590000}"/>
    <cellStyle name="Финансовый 37 5 3 2 2 3 2" xfId="13878" xr:uid="{00000000-0005-0000-0000-0000EE590000}"/>
    <cellStyle name="Финансовый 37 5 3 2 2 3 2 2" xfId="30967" xr:uid="{FC5A99E5-71FC-4395-943A-C7C76DBE0919}"/>
    <cellStyle name="Финансовый 37 5 3 2 2 3 3" xfId="17110" xr:uid="{00000000-0005-0000-0000-0000EF590000}"/>
    <cellStyle name="Финансовый 37 5 3 2 2 3 3 2" xfId="34123" xr:uid="{B678A44A-418C-4F45-B1D4-523C1C8E36E1}"/>
    <cellStyle name="Финансовый 37 5 3 2 2 3 4" xfId="20191" xr:uid="{00000000-0005-0000-0000-0000F0590000}"/>
    <cellStyle name="Финансовый 37 5 3 2 2 3 4 2" xfId="37204" xr:uid="{A4CF996B-18F4-448B-8742-0EFDEF964254}"/>
    <cellStyle name="Финансовый 37 5 3 2 2 3 5" xfId="27894" xr:uid="{14B5FD9C-2EFE-4903-9267-F79B512AEE33}"/>
    <cellStyle name="Финансовый 37 5 3 2 2 4" xfId="13875" xr:uid="{00000000-0005-0000-0000-0000F1590000}"/>
    <cellStyle name="Финансовый 37 5 3 2 2 4 2" xfId="30964" xr:uid="{FFC59ECC-A17F-4A30-A07F-44389A986007}"/>
    <cellStyle name="Финансовый 37 5 3 2 2 5" xfId="17107" xr:uid="{00000000-0005-0000-0000-0000F2590000}"/>
    <cellStyle name="Финансовый 37 5 3 2 2 5 2" xfId="34120" xr:uid="{3F9ECD45-E589-49BA-8854-0F7638FA129B}"/>
    <cellStyle name="Финансовый 37 5 3 2 2 6" xfId="20188" xr:uid="{00000000-0005-0000-0000-0000F3590000}"/>
    <cellStyle name="Финансовый 37 5 3 2 2 6 2" xfId="37201" xr:uid="{502A071C-EF35-48BF-ACA6-E402B5518680}"/>
    <cellStyle name="Финансовый 37 5 3 2 2 7" xfId="27891" xr:uid="{FC521FF2-ABC6-4F36-9752-11350441FB06}"/>
    <cellStyle name="Финансовый 37 5 3 2 3" xfId="10794" xr:uid="{00000000-0005-0000-0000-0000F4590000}"/>
    <cellStyle name="Финансовый 37 5 3 2 3 2" xfId="10795" xr:uid="{00000000-0005-0000-0000-0000F5590000}"/>
    <cellStyle name="Финансовый 37 5 3 2 3 2 2" xfId="13880" xr:uid="{00000000-0005-0000-0000-0000F6590000}"/>
    <cellStyle name="Финансовый 37 5 3 2 3 2 2 2" xfId="30969" xr:uid="{A7D275EB-4CF2-472F-800B-302077EB2AAB}"/>
    <cellStyle name="Финансовый 37 5 3 2 3 2 3" xfId="17112" xr:uid="{00000000-0005-0000-0000-0000F7590000}"/>
    <cellStyle name="Финансовый 37 5 3 2 3 2 3 2" xfId="34125" xr:uid="{4EC82F41-36A1-465D-8C25-374A43578936}"/>
    <cellStyle name="Финансовый 37 5 3 2 3 2 4" xfId="20193" xr:uid="{00000000-0005-0000-0000-0000F8590000}"/>
    <cellStyle name="Финансовый 37 5 3 2 3 2 4 2" xfId="37206" xr:uid="{81E784DA-5EA2-4CED-AC55-21EC985B8353}"/>
    <cellStyle name="Финансовый 37 5 3 2 3 2 5" xfId="27896" xr:uid="{3AB82D68-E50C-4A1B-9AFE-745B3F330126}"/>
    <cellStyle name="Финансовый 37 5 3 2 3 3" xfId="13879" xr:uid="{00000000-0005-0000-0000-0000F9590000}"/>
    <cellStyle name="Финансовый 37 5 3 2 3 3 2" xfId="30968" xr:uid="{279ACA84-DF53-45CA-AF1C-5720A68870E0}"/>
    <cellStyle name="Финансовый 37 5 3 2 3 4" xfId="17111" xr:uid="{00000000-0005-0000-0000-0000FA590000}"/>
    <cellStyle name="Финансовый 37 5 3 2 3 4 2" xfId="34124" xr:uid="{33F2C454-494D-4BE4-98C9-E668A05DA9AC}"/>
    <cellStyle name="Финансовый 37 5 3 2 3 5" xfId="20192" xr:uid="{00000000-0005-0000-0000-0000FB590000}"/>
    <cellStyle name="Финансовый 37 5 3 2 3 5 2" xfId="37205" xr:uid="{60B65E58-2CD8-497F-8659-4553C7879DD0}"/>
    <cellStyle name="Финансовый 37 5 3 2 3 6" xfId="27895" xr:uid="{32192C8D-314D-42BB-AD97-B652B4996132}"/>
    <cellStyle name="Финансовый 37 5 3 2 4" xfId="10796" xr:uid="{00000000-0005-0000-0000-0000FC590000}"/>
    <cellStyle name="Финансовый 37 5 3 2 4 2" xfId="13881" xr:uid="{00000000-0005-0000-0000-0000FD590000}"/>
    <cellStyle name="Финансовый 37 5 3 2 4 2 2" xfId="30970" xr:uid="{063AAE5B-BE4C-4526-B575-3E5C6DBE6659}"/>
    <cellStyle name="Финансовый 37 5 3 2 4 3" xfId="17113" xr:uid="{00000000-0005-0000-0000-0000FE590000}"/>
    <cellStyle name="Финансовый 37 5 3 2 4 3 2" xfId="34126" xr:uid="{2D3E11F1-45A4-40DB-9F8D-41E051236ECF}"/>
    <cellStyle name="Финансовый 37 5 3 2 4 4" xfId="20194" xr:uid="{00000000-0005-0000-0000-0000FF590000}"/>
    <cellStyle name="Финансовый 37 5 3 2 4 4 2" xfId="37207" xr:uid="{22AE0167-3D43-46D3-B21B-8D20395EAB80}"/>
    <cellStyle name="Финансовый 37 5 3 2 4 5" xfId="27897" xr:uid="{38E671F3-8347-42D4-8BC1-EA55719F16D0}"/>
    <cellStyle name="Финансовый 37 5 3 2 5" xfId="13874" xr:uid="{00000000-0005-0000-0000-0000005A0000}"/>
    <cellStyle name="Финансовый 37 5 3 2 5 2" xfId="30963" xr:uid="{68F6D349-E6A6-4F72-AD5D-CC4F28B3D3CB}"/>
    <cellStyle name="Финансовый 37 5 3 2 6" xfId="17106" xr:uid="{00000000-0005-0000-0000-0000015A0000}"/>
    <cellStyle name="Финансовый 37 5 3 2 6 2" xfId="34119" xr:uid="{DDADE5EC-91D7-4DF5-9A8D-1A4A64FF1C18}"/>
    <cellStyle name="Финансовый 37 5 3 2 7" xfId="20187" xr:uid="{00000000-0005-0000-0000-0000025A0000}"/>
    <cellStyle name="Финансовый 37 5 3 2 7 2" xfId="37200" xr:uid="{8354CFEC-C640-40C9-BFA6-578015D4A47C}"/>
    <cellStyle name="Финансовый 37 5 3 2 8" xfId="27890" xr:uid="{78273C69-6A57-44C4-AA26-B8C14D81E143}"/>
    <cellStyle name="Финансовый 37 5 3 3" xfId="10797" xr:uid="{00000000-0005-0000-0000-0000035A0000}"/>
    <cellStyle name="Финансовый 37 5 3 3 2" xfId="10798" xr:uid="{00000000-0005-0000-0000-0000045A0000}"/>
    <cellStyle name="Финансовый 37 5 3 3 2 2" xfId="10799" xr:uid="{00000000-0005-0000-0000-0000055A0000}"/>
    <cellStyle name="Финансовый 37 5 3 3 2 2 2" xfId="13884" xr:uid="{00000000-0005-0000-0000-0000065A0000}"/>
    <cellStyle name="Финансовый 37 5 3 3 2 2 2 2" xfId="30973" xr:uid="{D97DDCEA-7470-49CF-87A6-FEDFD960D3C6}"/>
    <cellStyle name="Финансовый 37 5 3 3 2 2 3" xfId="17116" xr:uid="{00000000-0005-0000-0000-0000075A0000}"/>
    <cellStyle name="Финансовый 37 5 3 3 2 2 3 2" xfId="34129" xr:uid="{2CB260C8-4597-4574-9BED-D5864C4A8517}"/>
    <cellStyle name="Финансовый 37 5 3 3 2 2 4" xfId="20197" xr:uid="{00000000-0005-0000-0000-0000085A0000}"/>
    <cellStyle name="Финансовый 37 5 3 3 2 2 4 2" xfId="37210" xr:uid="{55DB521E-3A9D-47EC-996B-03109AF4558B}"/>
    <cellStyle name="Финансовый 37 5 3 3 2 2 5" xfId="27900" xr:uid="{48607231-0766-487F-AEA2-AE14CCD3399B}"/>
    <cellStyle name="Финансовый 37 5 3 3 2 3" xfId="13883" xr:uid="{00000000-0005-0000-0000-0000095A0000}"/>
    <cellStyle name="Финансовый 37 5 3 3 2 3 2" xfId="30972" xr:uid="{E7036388-C67B-4572-8587-2AD2C918208C}"/>
    <cellStyle name="Финансовый 37 5 3 3 2 4" xfId="17115" xr:uid="{00000000-0005-0000-0000-00000A5A0000}"/>
    <cellStyle name="Финансовый 37 5 3 3 2 4 2" xfId="34128" xr:uid="{67EEE8CF-F4EA-46BC-BF96-23ABC279843C}"/>
    <cellStyle name="Финансовый 37 5 3 3 2 5" xfId="20196" xr:uid="{00000000-0005-0000-0000-00000B5A0000}"/>
    <cellStyle name="Финансовый 37 5 3 3 2 5 2" xfId="37209" xr:uid="{CD870F6B-3951-4D28-AC27-BDAFBD67BDCB}"/>
    <cellStyle name="Финансовый 37 5 3 3 2 6" xfId="27899" xr:uid="{386515E5-418A-438F-8852-2CDBF0DEA0FC}"/>
    <cellStyle name="Финансовый 37 5 3 3 3" xfId="10800" xr:uid="{00000000-0005-0000-0000-00000C5A0000}"/>
    <cellStyle name="Финансовый 37 5 3 3 3 2" xfId="13885" xr:uid="{00000000-0005-0000-0000-00000D5A0000}"/>
    <cellStyle name="Финансовый 37 5 3 3 3 2 2" xfId="30974" xr:uid="{BF5689FF-F21E-4415-A051-6FCC77F36F8A}"/>
    <cellStyle name="Финансовый 37 5 3 3 3 3" xfId="17117" xr:uid="{00000000-0005-0000-0000-00000E5A0000}"/>
    <cellStyle name="Финансовый 37 5 3 3 3 3 2" xfId="34130" xr:uid="{693A6FD1-EB8D-4C47-98D3-CC8DBE07A4E5}"/>
    <cellStyle name="Финансовый 37 5 3 3 3 4" xfId="20198" xr:uid="{00000000-0005-0000-0000-00000F5A0000}"/>
    <cellStyle name="Финансовый 37 5 3 3 3 4 2" xfId="37211" xr:uid="{FE587B03-378A-41DE-8539-6C1396439CA8}"/>
    <cellStyle name="Финансовый 37 5 3 3 3 5" xfId="27901" xr:uid="{6775041F-83B2-4075-A1B0-08B33515CE55}"/>
    <cellStyle name="Финансовый 37 5 3 3 4" xfId="13882" xr:uid="{00000000-0005-0000-0000-0000105A0000}"/>
    <cellStyle name="Финансовый 37 5 3 3 4 2" xfId="30971" xr:uid="{FFB106FF-211A-4135-AE0E-1FD5F1F92F81}"/>
    <cellStyle name="Финансовый 37 5 3 3 5" xfId="17114" xr:uid="{00000000-0005-0000-0000-0000115A0000}"/>
    <cellStyle name="Финансовый 37 5 3 3 5 2" xfId="34127" xr:uid="{5F47228D-ED28-4E3D-A978-E48DD35F66A1}"/>
    <cellStyle name="Финансовый 37 5 3 3 6" xfId="20195" xr:uid="{00000000-0005-0000-0000-0000125A0000}"/>
    <cellStyle name="Финансовый 37 5 3 3 6 2" xfId="37208" xr:uid="{C156E1C6-CC32-4DC4-8525-B702810BAF1E}"/>
    <cellStyle name="Финансовый 37 5 3 3 7" xfId="27898" xr:uid="{7225C3A0-D82B-4DD2-B038-7AF3C56BBF68}"/>
    <cellStyle name="Финансовый 37 5 3 4" xfId="10801" xr:uid="{00000000-0005-0000-0000-0000135A0000}"/>
    <cellStyle name="Финансовый 37 5 3 4 2" xfId="10802" xr:uid="{00000000-0005-0000-0000-0000145A0000}"/>
    <cellStyle name="Финансовый 37 5 3 4 2 2" xfId="13887" xr:uid="{00000000-0005-0000-0000-0000155A0000}"/>
    <cellStyle name="Финансовый 37 5 3 4 2 2 2" xfId="30976" xr:uid="{D47E846F-1A20-4A4E-A0D7-2077D9FEE8C5}"/>
    <cellStyle name="Финансовый 37 5 3 4 2 3" xfId="17119" xr:uid="{00000000-0005-0000-0000-0000165A0000}"/>
    <cellStyle name="Финансовый 37 5 3 4 2 3 2" xfId="34132" xr:uid="{8C06AACC-B489-4490-A4E9-5C895842AF94}"/>
    <cellStyle name="Финансовый 37 5 3 4 2 4" xfId="20200" xr:uid="{00000000-0005-0000-0000-0000175A0000}"/>
    <cellStyle name="Финансовый 37 5 3 4 2 4 2" xfId="37213" xr:uid="{0432161A-2C5D-44FB-B294-016346521987}"/>
    <cellStyle name="Финансовый 37 5 3 4 2 5" xfId="27903" xr:uid="{68079E96-FAFD-4260-A94C-246307E5C856}"/>
    <cellStyle name="Финансовый 37 5 3 4 3" xfId="13886" xr:uid="{00000000-0005-0000-0000-0000185A0000}"/>
    <cellStyle name="Финансовый 37 5 3 4 3 2" xfId="30975" xr:uid="{9BF429F5-D5B0-4DA4-9CFA-89A258082CA0}"/>
    <cellStyle name="Финансовый 37 5 3 4 4" xfId="17118" xr:uid="{00000000-0005-0000-0000-0000195A0000}"/>
    <cellStyle name="Финансовый 37 5 3 4 4 2" xfId="34131" xr:uid="{B98509E4-FDC2-4991-A4B6-97F39AA1D642}"/>
    <cellStyle name="Финансовый 37 5 3 4 5" xfId="20199" xr:uid="{00000000-0005-0000-0000-00001A5A0000}"/>
    <cellStyle name="Финансовый 37 5 3 4 5 2" xfId="37212" xr:uid="{1AB64319-BB00-47FA-A5DC-F2D6B6CE9C84}"/>
    <cellStyle name="Финансовый 37 5 3 4 6" xfId="27902" xr:uid="{A45770BF-44F0-4836-A701-69E04F6391CF}"/>
    <cellStyle name="Финансовый 37 5 3 5" xfId="10803" xr:uid="{00000000-0005-0000-0000-00001B5A0000}"/>
    <cellStyle name="Финансовый 37 5 3 5 2" xfId="13888" xr:uid="{00000000-0005-0000-0000-00001C5A0000}"/>
    <cellStyle name="Финансовый 37 5 3 5 2 2" xfId="30977" xr:uid="{70805212-9413-4DE9-A7A2-F7D06CA63479}"/>
    <cellStyle name="Финансовый 37 5 3 5 3" xfId="17120" xr:uid="{00000000-0005-0000-0000-00001D5A0000}"/>
    <cellStyle name="Финансовый 37 5 3 5 3 2" xfId="34133" xr:uid="{1A2B70A0-D83C-4581-A4DC-4BAC99BAD260}"/>
    <cellStyle name="Финансовый 37 5 3 5 4" xfId="20201" xr:uid="{00000000-0005-0000-0000-00001E5A0000}"/>
    <cellStyle name="Финансовый 37 5 3 5 4 2" xfId="37214" xr:uid="{4887F708-10ED-46AA-A0F5-3FB70986C05F}"/>
    <cellStyle name="Финансовый 37 5 3 5 5" xfId="27904" xr:uid="{64DB07E6-D5A9-433A-A029-BDA2285B12D1}"/>
    <cellStyle name="Финансовый 37 5 3 6" xfId="13873" xr:uid="{00000000-0005-0000-0000-00001F5A0000}"/>
    <cellStyle name="Финансовый 37 5 3 6 2" xfId="30962" xr:uid="{55A1B75D-5987-4A7B-AF86-C174D3572095}"/>
    <cellStyle name="Финансовый 37 5 3 7" xfId="17105" xr:uid="{00000000-0005-0000-0000-0000205A0000}"/>
    <cellStyle name="Финансовый 37 5 3 7 2" xfId="34118" xr:uid="{805C9FB9-0375-4583-BB5B-6C3D7CA959EC}"/>
    <cellStyle name="Финансовый 37 5 3 8" xfId="20186" xr:uid="{00000000-0005-0000-0000-0000215A0000}"/>
    <cellStyle name="Финансовый 37 5 3 8 2" xfId="37199" xr:uid="{838F43CC-5CB2-4933-A90F-9162F307592F}"/>
    <cellStyle name="Финансовый 37 5 3 9" xfId="27889" xr:uid="{DB2E8707-7011-4D6C-B825-64B3F441AE2E}"/>
    <cellStyle name="Финансовый 37 5 4" xfId="10804" xr:uid="{00000000-0005-0000-0000-0000225A0000}"/>
    <cellStyle name="Финансовый 37 5 4 2" xfId="10805" xr:uid="{00000000-0005-0000-0000-0000235A0000}"/>
    <cellStyle name="Финансовый 37 5 4 2 2" xfId="10806" xr:uid="{00000000-0005-0000-0000-0000245A0000}"/>
    <cellStyle name="Финансовый 37 5 4 2 2 2" xfId="10807" xr:uid="{00000000-0005-0000-0000-0000255A0000}"/>
    <cellStyle name="Финансовый 37 5 4 2 2 2 2" xfId="13892" xr:uid="{00000000-0005-0000-0000-0000265A0000}"/>
    <cellStyle name="Финансовый 37 5 4 2 2 2 2 2" xfId="30981" xr:uid="{8D746C11-9F9C-4DDA-80A0-6CDF20303E7D}"/>
    <cellStyle name="Финансовый 37 5 4 2 2 2 3" xfId="17124" xr:uid="{00000000-0005-0000-0000-0000275A0000}"/>
    <cellStyle name="Финансовый 37 5 4 2 2 2 3 2" xfId="34137" xr:uid="{3B454C0B-CCC4-4BC5-84C9-35D8721AA113}"/>
    <cellStyle name="Финансовый 37 5 4 2 2 2 4" xfId="20205" xr:uid="{00000000-0005-0000-0000-0000285A0000}"/>
    <cellStyle name="Финансовый 37 5 4 2 2 2 4 2" xfId="37218" xr:uid="{73C9F1DA-1A94-414D-B10C-F039207AD557}"/>
    <cellStyle name="Финансовый 37 5 4 2 2 2 5" xfId="27908" xr:uid="{C2BA1078-3C94-44B8-A418-081677DDF3AF}"/>
    <cellStyle name="Финансовый 37 5 4 2 2 3" xfId="13891" xr:uid="{00000000-0005-0000-0000-0000295A0000}"/>
    <cellStyle name="Финансовый 37 5 4 2 2 3 2" xfId="30980" xr:uid="{840D8C78-4A3F-4BA9-969B-B6A36D2A55FE}"/>
    <cellStyle name="Финансовый 37 5 4 2 2 4" xfId="17123" xr:uid="{00000000-0005-0000-0000-00002A5A0000}"/>
    <cellStyle name="Финансовый 37 5 4 2 2 4 2" xfId="34136" xr:uid="{DC658FEA-5921-424A-8FBC-CFB7CC62B6E9}"/>
    <cellStyle name="Финансовый 37 5 4 2 2 5" xfId="20204" xr:uid="{00000000-0005-0000-0000-00002B5A0000}"/>
    <cellStyle name="Финансовый 37 5 4 2 2 5 2" xfId="37217" xr:uid="{567F6877-2263-4219-9631-B9BDB53A7A62}"/>
    <cellStyle name="Финансовый 37 5 4 2 2 6" xfId="27907" xr:uid="{EBEF5BE7-D13A-4276-81C6-4075C92E982E}"/>
    <cellStyle name="Финансовый 37 5 4 2 3" xfId="10808" xr:uid="{00000000-0005-0000-0000-00002C5A0000}"/>
    <cellStyle name="Финансовый 37 5 4 2 3 2" xfId="13893" xr:uid="{00000000-0005-0000-0000-00002D5A0000}"/>
    <cellStyle name="Финансовый 37 5 4 2 3 2 2" xfId="30982" xr:uid="{EF975727-92A3-4DEC-A760-F98166940FF1}"/>
    <cellStyle name="Финансовый 37 5 4 2 3 3" xfId="17125" xr:uid="{00000000-0005-0000-0000-00002E5A0000}"/>
    <cellStyle name="Финансовый 37 5 4 2 3 3 2" xfId="34138" xr:uid="{108B2F73-6C0D-4DAC-8206-AB53C6FC0284}"/>
    <cellStyle name="Финансовый 37 5 4 2 3 4" xfId="20206" xr:uid="{00000000-0005-0000-0000-00002F5A0000}"/>
    <cellStyle name="Финансовый 37 5 4 2 3 4 2" xfId="37219" xr:uid="{187FCDD2-8A4F-4453-BCFE-C2894E210336}"/>
    <cellStyle name="Финансовый 37 5 4 2 3 5" xfId="27909" xr:uid="{4B5C1311-1035-4758-92EB-9D327B815502}"/>
    <cellStyle name="Финансовый 37 5 4 2 4" xfId="13890" xr:uid="{00000000-0005-0000-0000-0000305A0000}"/>
    <cellStyle name="Финансовый 37 5 4 2 4 2" xfId="30979" xr:uid="{426D5AF0-3FB2-401E-B092-F52D3AD2D4DA}"/>
    <cellStyle name="Финансовый 37 5 4 2 5" xfId="17122" xr:uid="{00000000-0005-0000-0000-0000315A0000}"/>
    <cellStyle name="Финансовый 37 5 4 2 5 2" xfId="34135" xr:uid="{121782B2-C61D-4658-9559-3CA89176A94E}"/>
    <cellStyle name="Финансовый 37 5 4 2 6" xfId="20203" xr:uid="{00000000-0005-0000-0000-0000325A0000}"/>
    <cellStyle name="Финансовый 37 5 4 2 6 2" xfId="37216" xr:uid="{7CEA84E7-0B0E-4DB9-A54B-60A1A347F762}"/>
    <cellStyle name="Финансовый 37 5 4 2 7" xfId="27906" xr:uid="{D6ECAE76-4BD2-414D-9C61-634F341C29B6}"/>
    <cellStyle name="Финансовый 37 5 4 3" xfId="10809" xr:uid="{00000000-0005-0000-0000-0000335A0000}"/>
    <cellStyle name="Финансовый 37 5 4 3 2" xfId="10810" xr:uid="{00000000-0005-0000-0000-0000345A0000}"/>
    <cellStyle name="Финансовый 37 5 4 3 2 2" xfId="13895" xr:uid="{00000000-0005-0000-0000-0000355A0000}"/>
    <cellStyle name="Финансовый 37 5 4 3 2 2 2" xfId="30984" xr:uid="{1259B250-796A-4849-BD19-5D9DE15BEF7E}"/>
    <cellStyle name="Финансовый 37 5 4 3 2 3" xfId="17127" xr:uid="{00000000-0005-0000-0000-0000365A0000}"/>
    <cellStyle name="Финансовый 37 5 4 3 2 3 2" xfId="34140" xr:uid="{8A975451-52C1-44BE-9C69-627F58AC4E9B}"/>
    <cellStyle name="Финансовый 37 5 4 3 2 4" xfId="20208" xr:uid="{00000000-0005-0000-0000-0000375A0000}"/>
    <cellStyle name="Финансовый 37 5 4 3 2 4 2" xfId="37221" xr:uid="{B4DEF117-4925-4D64-8763-E4D7D3C1C071}"/>
    <cellStyle name="Финансовый 37 5 4 3 2 5" xfId="27911" xr:uid="{E71BFDF7-1A06-420F-8167-E6A4B36FF50F}"/>
    <cellStyle name="Финансовый 37 5 4 3 3" xfId="13894" xr:uid="{00000000-0005-0000-0000-0000385A0000}"/>
    <cellStyle name="Финансовый 37 5 4 3 3 2" xfId="30983" xr:uid="{6CBDB02F-EF51-4242-A8D8-F1806405DF0A}"/>
    <cellStyle name="Финансовый 37 5 4 3 4" xfId="17126" xr:uid="{00000000-0005-0000-0000-0000395A0000}"/>
    <cellStyle name="Финансовый 37 5 4 3 4 2" xfId="34139" xr:uid="{6BD8200C-A4A0-48C5-8724-BE48BEA39C69}"/>
    <cellStyle name="Финансовый 37 5 4 3 5" xfId="20207" xr:uid="{00000000-0005-0000-0000-00003A5A0000}"/>
    <cellStyle name="Финансовый 37 5 4 3 5 2" xfId="37220" xr:uid="{EEB27172-D58E-46C7-89D3-2C2BE1E9471B}"/>
    <cellStyle name="Финансовый 37 5 4 3 6" xfId="27910" xr:uid="{424D46D8-99DD-4FE6-92F2-75B42CAA97A6}"/>
    <cellStyle name="Финансовый 37 5 4 4" xfId="10811" xr:uid="{00000000-0005-0000-0000-00003B5A0000}"/>
    <cellStyle name="Финансовый 37 5 4 4 2" xfId="13896" xr:uid="{00000000-0005-0000-0000-00003C5A0000}"/>
    <cellStyle name="Финансовый 37 5 4 4 2 2" xfId="30985" xr:uid="{BFFB1D6A-1C3C-4F9E-A0BC-647E3D880208}"/>
    <cellStyle name="Финансовый 37 5 4 4 3" xfId="17128" xr:uid="{00000000-0005-0000-0000-00003D5A0000}"/>
    <cellStyle name="Финансовый 37 5 4 4 3 2" xfId="34141" xr:uid="{47570055-4884-43EA-8F0D-28040D612452}"/>
    <cellStyle name="Финансовый 37 5 4 4 4" xfId="20209" xr:uid="{00000000-0005-0000-0000-00003E5A0000}"/>
    <cellStyle name="Финансовый 37 5 4 4 4 2" xfId="37222" xr:uid="{35DCA40A-A532-4F4C-8C60-16CB04C65F8D}"/>
    <cellStyle name="Финансовый 37 5 4 4 5" xfId="27912" xr:uid="{35925410-F380-4DCC-83D6-7778E9D84A38}"/>
    <cellStyle name="Финансовый 37 5 4 5" xfId="13889" xr:uid="{00000000-0005-0000-0000-00003F5A0000}"/>
    <cellStyle name="Финансовый 37 5 4 5 2" xfId="30978" xr:uid="{E680C802-4DFC-4E8E-A3B4-E55CA96CC911}"/>
    <cellStyle name="Финансовый 37 5 4 6" xfId="17121" xr:uid="{00000000-0005-0000-0000-0000405A0000}"/>
    <cellStyle name="Финансовый 37 5 4 6 2" xfId="34134" xr:uid="{902EAB61-649D-4AE6-99ED-4D04A18A3CFF}"/>
    <cellStyle name="Финансовый 37 5 4 7" xfId="20202" xr:uid="{00000000-0005-0000-0000-0000415A0000}"/>
    <cellStyle name="Финансовый 37 5 4 7 2" xfId="37215" xr:uid="{26464F4C-E074-41F0-A85C-2C6B0D31AB4F}"/>
    <cellStyle name="Финансовый 37 5 4 8" xfId="27905" xr:uid="{8F161F6D-6BF6-4E6C-BFA5-A2DD20CC3F60}"/>
    <cellStyle name="Финансовый 37 5 5" xfId="10812" xr:uid="{00000000-0005-0000-0000-0000425A0000}"/>
    <cellStyle name="Финансовый 37 5 5 2" xfId="10813" xr:uid="{00000000-0005-0000-0000-0000435A0000}"/>
    <cellStyle name="Финансовый 37 5 5 2 2" xfId="10814" xr:uid="{00000000-0005-0000-0000-0000445A0000}"/>
    <cellStyle name="Финансовый 37 5 5 2 2 2" xfId="13899" xr:uid="{00000000-0005-0000-0000-0000455A0000}"/>
    <cellStyle name="Финансовый 37 5 5 2 2 2 2" xfId="30988" xr:uid="{A0C52B1C-F0EE-4649-BC2A-E2639E1731B8}"/>
    <cellStyle name="Финансовый 37 5 5 2 2 3" xfId="17131" xr:uid="{00000000-0005-0000-0000-0000465A0000}"/>
    <cellStyle name="Финансовый 37 5 5 2 2 3 2" xfId="34144" xr:uid="{FB79A20E-6B97-4AD6-B05E-0E460E85F806}"/>
    <cellStyle name="Финансовый 37 5 5 2 2 4" xfId="20212" xr:uid="{00000000-0005-0000-0000-0000475A0000}"/>
    <cellStyle name="Финансовый 37 5 5 2 2 4 2" xfId="37225" xr:uid="{B28A4B0E-198F-4ACD-9638-574BFF79FE2A}"/>
    <cellStyle name="Финансовый 37 5 5 2 2 5" xfId="27915" xr:uid="{F68AE8D5-C49F-49C1-90DB-9D556E3707CE}"/>
    <cellStyle name="Финансовый 37 5 5 2 3" xfId="13898" xr:uid="{00000000-0005-0000-0000-0000485A0000}"/>
    <cellStyle name="Финансовый 37 5 5 2 3 2" xfId="30987" xr:uid="{367DCFF5-0C85-4496-8AFA-AC1C41CDC130}"/>
    <cellStyle name="Финансовый 37 5 5 2 4" xfId="17130" xr:uid="{00000000-0005-0000-0000-0000495A0000}"/>
    <cellStyle name="Финансовый 37 5 5 2 4 2" xfId="34143" xr:uid="{4898A5A4-5CB3-472A-91FA-77A5A10599C4}"/>
    <cellStyle name="Финансовый 37 5 5 2 5" xfId="20211" xr:uid="{00000000-0005-0000-0000-00004A5A0000}"/>
    <cellStyle name="Финансовый 37 5 5 2 5 2" xfId="37224" xr:uid="{24B3DB4D-AB16-429F-A6D6-EE212E1FD92F}"/>
    <cellStyle name="Финансовый 37 5 5 2 6" xfId="27914" xr:uid="{8F05A5D0-1EBA-4D8E-A585-33829CB318C0}"/>
    <cellStyle name="Финансовый 37 5 5 3" xfId="10815" xr:uid="{00000000-0005-0000-0000-00004B5A0000}"/>
    <cellStyle name="Финансовый 37 5 5 3 2" xfId="13900" xr:uid="{00000000-0005-0000-0000-00004C5A0000}"/>
    <cellStyle name="Финансовый 37 5 5 3 2 2" xfId="30989" xr:uid="{953A6CA3-FEF3-4599-8A77-DD6ECD7DC762}"/>
    <cellStyle name="Финансовый 37 5 5 3 3" xfId="17132" xr:uid="{00000000-0005-0000-0000-00004D5A0000}"/>
    <cellStyle name="Финансовый 37 5 5 3 3 2" xfId="34145" xr:uid="{4F2AA54B-5461-452D-9563-1E96717C5D4E}"/>
    <cellStyle name="Финансовый 37 5 5 3 4" xfId="20213" xr:uid="{00000000-0005-0000-0000-00004E5A0000}"/>
    <cellStyle name="Финансовый 37 5 5 3 4 2" xfId="37226" xr:uid="{C8CBEBF9-E816-48B1-9EB5-929CE48DDC32}"/>
    <cellStyle name="Финансовый 37 5 5 3 5" xfId="27916" xr:uid="{B6718C5D-5627-4103-A94F-3AAAEE1EF39A}"/>
    <cellStyle name="Финансовый 37 5 5 4" xfId="13897" xr:uid="{00000000-0005-0000-0000-00004F5A0000}"/>
    <cellStyle name="Финансовый 37 5 5 4 2" xfId="30986" xr:uid="{F54F75E8-00EC-40B1-8413-217A0014E4B1}"/>
    <cellStyle name="Финансовый 37 5 5 5" xfId="17129" xr:uid="{00000000-0005-0000-0000-0000505A0000}"/>
    <cellStyle name="Финансовый 37 5 5 5 2" xfId="34142" xr:uid="{2E91FCA6-ACDF-414A-8761-B62F62AC6F74}"/>
    <cellStyle name="Финансовый 37 5 5 6" xfId="20210" xr:uid="{00000000-0005-0000-0000-0000515A0000}"/>
    <cellStyle name="Финансовый 37 5 5 6 2" xfId="37223" xr:uid="{88574CDF-6154-4C57-94F5-4291DF3EFEAF}"/>
    <cellStyle name="Финансовый 37 5 5 7" xfId="27913" xr:uid="{F42B7BD2-FEBA-48CC-8115-C881CC0E0760}"/>
    <cellStyle name="Финансовый 37 5 6" xfId="10816" xr:uid="{00000000-0005-0000-0000-0000525A0000}"/>
    <cellStyle name="Финансовый 37 5 6 2" xfId="10817" xr:uid="{00000000-0005-0000-0000-0000535A0000}"/>
    <cellStyle name="Финансовый 37 5 6 2 2" xfId="13902" xr:uid="{00000000-0005-0000-0000-0000545A0000}"/>
    <cellStyle name="Финансовый 37 5 6 2 2 2" xfId="30991" xr:uid="{A9EDB44D-77A6-4E06-9136-F75CBFE7804F}"/>
    <cellStyle name="Финансовый 37 5 6 2 3" xfId="17134" xr:uid="{00000000-0005-0000-0000-0000555A0000}"/>
    <cellStyle name="Финансовый 37 5 6 2 3 2" xfId="34147" xr:uid="{14EDABD8-45FE-4690-87F5-751DD62C86DC}"/>
    <cellStyle name="Финансовый 37 5 6 2 4" xfId="20215" xr:uid="{00000000-0005-0000-0000-0000565A0000}"/>
    <cellStyle name="Финансовый 37 5 6 2 4 2" xfId="37228" xr:uid="{0A0C6CD2-6BCE-4A65-B2EC-B9A62FF53277}"/>
    <cellStyle name="Финансовый 37 5 6 2 5" xfId="27918" xr:uid="{8D1C5C63-89A2-4934-9B2E-96C0D032380E}"/>
    <cellStyle name="Финансовый 37 5 6 3" xfId="13901" xr:uid="{00000000-0005-0000-0000-0000575A0000}"/>
    <cellStyle name="Финансовый 37 5 6 3 2" xfId="30990" xr:uid="{434F7D7C-E55E-4F73-8D5D-8D8B7CD20EF0}"/>
    <cellStyle name="Финансовый 37 5 6 4" xfId="17133" xr:uid="{00000000-0005-0000-0000-0000585A0000}"/>
    <cellStyle name="Финансовый 37 5 6 4 2" xfId="34146" xr:uid="{4AA6DF7A-4067-4A5F-9B1D-26493220F4EB}"/>
    <cellStyle name="Финансовый 37 5 6 5" xfId="20214" xr:uid="{00000000-0005-0000-0000-0000595A0000}"/>
    <cellStyle name="Финансовый 37 5 6 5 2" xfId="37227" xr:uid="{0F245253-CF4F-4AE7-8192-47ABC7607CA9}"/>
    <cellStyle name="Финансовый 37 5 6 6" xfId="27917" xr:uid="{1493F11E-1CF9-4EE1-9579-4D2D7C316168}"/>
    <cellStyle name="Финансовый 37 5 7" xfId="10818" xr:uid="{00000000-0005-0000-0000-00005A5A0000}"/>
    <cellStyle name="Финансовый 37 5 7 2" xfId="13903" xr:uid="{00000000-0005-0000-0000-00005B5A0000}"/>
    <cellStyle name="Финансовый 37 5 7 2 2" xfId="30992" xr:uid="{68461EB0-A579-4D00-90AD-2C54E92B22C7}"/>
    <cellStyle name="Финансовый 37 5 7 3" xfId="17135" xr:uid="{00000000-0005-0000-0000-00005C5A0000}"/>
    <cellStyle name="Финансовый 37 5 7 3 2" xfId="34148" xr:uid="{FA2EA8F3-9B76-4A66-888E-9E008E2F8D14}"/>
    <cellStyle name="Финансовый 37 5 7 4" xfId="20216" xr:uid="{00000000-0005-0000-0000-00005D5A0000}"/>
    <cellStyle name="Финансовый 37 5 7 4 2" xfId="37229" xr:uid="{010E2796-C9AF-4C8F-8F07-19C5D5913183}"/>
    <cellStyle name="Финансовый 37 5 7 5" xfId="27919" xr:uid="{2AE9F6CC-BC4F-4EE4-B961-E6EC9A036E85}"/>
    <cellStyle name="Финансовый 37 5 8" xfId="13840" xr:uid="{00000000-0005-0000-0000-00005E5A0000}"/>
    <cellStyle name="Финансовый 37 5 8 2" xfId="30929" xr:uid="{EC9F0A67-60EA-4CCD-B01A-F4054258BC91}"/>
    <cellStyle name="Финансовый 37 5 9" xfId="17072" xr:uid="{00000000-0005-0000-0000-00005F5A0000}"/>
    <cellStyle name="Финансовый 37 5 9 2" xfId="34085" xr:uid="{7A3B2142-A14B-4C09-8149-7757D026AE13}"/>
    <cellStyle name="Финансовый 37 6" xfId="10819" xr:uid="{00000000-0005-0000-0000-0000605A0000}"/>
    <cellStyle name="Финансовый 37 6 10" xfId="27920" xr:uid="{35AEA852-E8A7-46E9-942D-1A6740FB0BEE}"/>
    <cellStyle name="Финансовый 37 6 2" xfId="10820" xr:uid="{00000000-0005-0000-0000-0000615A0000}"/>
    <cellStyle name="Финансовый 37 6 2 2" xfId="10821" xr:uid="{00000000-0005-0000-0000-0000625A0000}"/>
    <cellStyle name="Финансовый 37 6 2 2 2" xfId="10822" xr:uid="{00000000-0005-0000-0000-0000635A0000}"/>
    <cellStyle name="Финансовый 37 6 2 2 2 2" xfId="10823" xr:uid="{00000000-0005-0000-0000-0000645A0000}"/>
    <cellStyle name="Финансовый 37 6 2 2 2 2 2" xfId="10824" xr:uid="{00000000-0005-0000-0000-0000655A0000}"/>
    <cellStyle name="Финансовый 37 6 2 2 2 2 2 2" xfId="13909" xr:uid="{00000000-0005-0000-0000-0000665A0000}"/>
    <cellStyle name="Финансовый 37 6 2 2 2 2 2 2 2" xfId="30998" xr:uid="{D9BC657D-DC74-4554-A709-28254FC73BE9}"/>
    <cellStyle name="Финансовый 37 6 2 2 2 2 2 3" xfId="17141" xr:uid="{00000000-0005-0000-0000-0000675A0000}"/>
    <cellStyle name="Финансовый 37 6 2 2 2 2 2 3 2" xfId="34154" xr:uid="{9654C9FB-D415-4E21-9FBD-FEF1D5C5DF92}"/>
    <cellStyle name="Финансовый 37 6 2 2 2 2 2 4" xfId="20222" xr:uid="{00000000-0005-0000-0000-0000685A0000}"/>
    <cellStyle name="Финансовый 37 6 2 2 2 2 2 4 2" xfId="37235" xr:uid="{83ECF165-4E03-42C8-ADE2-1E66E8EE27F1}"/>
    <cellStyle name="Финансовый 37 6 2 2 2 2 2 5" xfId="27925" xr:uid="{A34FFC42-C652-4D94-AF3E-8ACFEA70AC87}"/>
    <cellStyle name="Финансовый 37 6 2 2 2 2 3" xfId="13908" xr:uid="{00000000-0005-0000-0000-0000695A0000}"/>
    <cellStyle name="Финансовый 37 6 2 2 2 2 3 2" xfId="30997" xr:uid="{B7DF3B79-53F2-4898-AD45-F2258F7772DF}"/>
    <cellStyle name="Финансовый 37 6 2 2 2 2 4" xfId="17140" xr:uid="{00000000-0005-0000-0000-00006A5A0000}"/>
    <cellStyle name="Финансовый 37 6 2 2 2 2 4 2" xfId="34153" xr:uid="{208956CB-FB5F-42DC-B060-E1B9F7A372AD}"/>
    <cellStyle name="Финансовый 37 6 2 2 2 2 5" xfId="20221" xr:uid="{00000000-0005-0000-0000-00006B5A0000}"/>
    <cellStyle name="Финансовый 37 6 2 2 2 2 5 2" xfId="37234" xr:uid="{EE0B16E9-8EE5-4430-BA9D-9BC10627BBC5}"/>
    <cellStyle name="Финансовый 37 6 2 2 2 2 6" xfId="27924" xr:uid="{8121FA2F-529F-4A6F-8614-2F163EDBE515}"/>
    <cellStyle name="Финансовый 37 6 2 2 2 3" xfId="10825" xr:uid="{00000000-0005-0000-0000-00006C5A0000}"/>
    <cellStyle name="Финансовый 37 6 2 2 2 3 2" xfId="13910" xr:uid="{00000000-0005-0000-0000-00006D5A0000}"/>
    <cellStyle name="Финансовый 37 6 2 2 2 3 2 2" xfId="30999" xr:uid="{A87E22EA-4275-4CC2-A040-85A8EE15D450}"/>
    <cellStyle name="Финансовый 37 6 2 2 2 3 3" xfId="17142" xr:uid="{00000000-0005-0000-0000-00006E5A0000}"/>
    <cellStyle name="Финансовый 37 6 2 2 2 3 3 2" xfId="34155" xr:uid="{3F352258-FE08-4298-8E5F-7FE6BD9CCDA6}"/>
    <cellStyle name="Финансовый 37 6 2 2 2 3 4" xfId="20223" xr:uid="{00000000-0005-0000-0000-00006F5A0000}"/>
    <cellStyle name="Финансовый 37 6 2 2 2 3 4 2" xfId="37236" xr:uid="{FDF04D3E-D73A-443D-847B-71A6A662B73C}"/>
    <cellStyle name="Финансовый 37 6 2 2 2 3 5" xfId="27926" xr:uid="{42767DCF-DD1C-4F0F-9199-2F0315F7BD4A}"/>
    <cellStyle name="Финансовый 37 6 2 2 2 4" xfId="13907" xr:uid="{00000000-0005-0000-0000-0000705A0000}"/>
    <cellStyle name="Финансовый 37 6 2 2 2 4 2" xfId="30996" xr:uid="{DD88B0C7-4A0C-476D-993B-FBBE77779837}"/>
    <cellStyle name="Финансовый 37 6 2 2 2 5" xfId="17139" xr:uid="{00000000-0005-0000-0000-0000715A0000}"/>
    <cellStyle name="Финансовый 37 6 2 2 2 5 2" xfId="34152" xr:uid="{69D9673E-D87C-4276-B36F-3C840DD0A165}"/>
    <cellStyle name="Финансовый 37 6 2 2 2 6" xfId="20220" xr:uid="{00000000-0005-0000-0000-0000725A0000}"/>
    <cellStyle name="Финансовый 37 6 2 2 2 6 2" xfId="37233" xr:uid="{1713794C-64EF-40F9-9E23-79C01C18254A}"/>
    <cellStyle name="Финансовый 37 6 2 2 2 7" xfId="27923" xr:uid="{389AAD42-20AF-4E91-B95D-4C4B4686A73C}"/>
    <cellStyle name="Финансовый 37 6 2 2 3" xfId="10826" xr:uid="{00000000-0005-0000-0000-0000735A0000}"/>
    <cellStyle name="Финансовый 37 6 2 2 3 2" xfId="10827" xr:uid="{00000000-0005-0000-0000-0000745A0000}"/>
    <cellStyle name="Финансовый 37 6 2 2 3 2 2" xfId="13912" xr:uid="{00000000-0005-0000-0000-0000755A0000}"/>
    <cellStyle name="Финансовый 37 6 2 2 3 2 2 2" xfId="31001" xr:uid="{31FCA6FE-0CC9-4D6B-BCD7-504A00C7AC3C}"/>
    <cellStyle name="Финансовый 37 6 2 2 3 2 3" xfId="17144" xr:uid="{00000000-0005-0000-0000-0000765A0000}"/>
    <cellStyle name="Финансовый 37 6 2 2 3 2 3 2" xfId="34157" xr:uid="{71E9680D-58EE-41C8-8181-2A2DBC6CA91C}"/>
    <cellStyle name="Финансовый 37 6 2 2 3 2 4" xfId="20225" xr:uid="{00000000-0005-0000-0000-0000775A0000}"/>
    <cellStyle name="Финансовый 37 6 2 2 3 2 4 2" xfId="37238" xr:uid="{C4363B10-2AB2-4654-94A9-BF60FE7726DC}"/>
    <cellStyle name="Финансовый 37 6 2 2 3 2 5" xfId="27928" xr:uid="{5B722C17-2000-44B8-B7A7-037A49412EC6}"/>
    <cellStyle name="Финансовый 37 6 2 2 3 3" xfId="13911" xr:uid="{00000000-0005-0000-0000-0000785A0000}"/>
    <cellStyle name="Финансовый 37 6 2 2 3 3 2" xfId="31000" xr:uid="{1985E782-C579-43D2-945C-7B0FDB7DC6AF}"/>
    <cellStyle name="Финансовый 37 6 2 2 3 4" xfId="17143" xr:uid="{00000000-0005-0000-0000-0000795A0000}"/>
    <cellStyle name="Финансовый 37 6 2 2 3 4 2" xfId="34156" xr:uid="{33C21E42-9538-4AD6-B621-AA4B4C7E6EE0}"/>
    <cellStyle name="Финансовый 37 6 2 2 3 5" xfId="20224" xr:uid="{00000000-0005-0000-0000-00007A5A0000}"/>
    <cellStyle name="Финансовый 37 6 2 2 3 5 2" xfId="37237" xr:uid="{6EEA6097-214C-46C7-8239-566CDA419E86}"/>
    <cellStyle name="Финансовый 37 6 2 2 3 6" xfId="27927" xr:uid="{066C44BE-B35D-4AC7-9EAF-44ED88BD53E3}"/>
    <cellStyle name="Финансовый 37 6 2 2 4" xfId="10828" xr:uid="{00000000-0005-0000-0000-00007B5A0000}"/>
    <cellStyle name="Финансовый 37 6 2 2 4 2" xfId="13913" xr:uid="{00000000-0005-0000-0000-00007C5A0000}"/>
    <cellStyle name="Финансовый 37 6 2 2 4 2 2" xfId="31002" xr:uid="{192EF339-3535-4DDB-BF25-F600FBF28057}"/>
    <cellStyle name="Финансовый 37 6 2 2 4 3" xfId="17145" xr:uid="{00000000-0005-0000-0000-00007D5A0000}"/>
    <cellStyle name="Финансовый 37 6 2 2 4 3 2" xfId="34158" xr:uid="{03C0B189-653B-499D-A7AF-394D46E4E64B}"/>
    <cellStyle name="Финансовый 37 6 2 2 4 4" xfId="20226" xr:uid="{00000000-0005-0000-0000-00007E5A0000}"/>
    <cellStyle name="Финансовый 37 6 2 2 4 4 2" xfId="37239" xr:uid="{C5045CA7-D323-4AE7-A514-AE5EAD763647}"/>
    <cellStyle name="Финансовый 37 6 2 2 4 5" xfId="27929" xr:uid="{7D920F4A-57DE-41C1-98E9-B1459AF0D3B1}"/>
    <cellStyle name="Финансовый 37 6 2 2 5" xfId="13906" xr:uid="{00000000-0005-0000-0000-00007F5A0000}"/>
    <cellStyle name="Финансовый 37 6 2 2 5 2" xfId="30995" xr:uid="{6959B755-0A87-40CC-94EB-4936D096F025}"/>
    <cellStyle name="Финансовый 37 6 2 2 6" xfId="17138" xr:uid="{00000000-0005-0000-0000-0000805A0000}"/>
    <cellStyle name="Финансовый 37 6 2 2 6 2" xfId="34151" xr:uid="{945A3161-A603-452F-B953-38A68ECA2BF6}"/>
    <cellStyle name="Финансовый 37 6 2 2 7" xfId="20219" xr:uid="{00000000-0005-0000-0000-0000815A0000}"/>
    <cellStyle name="Финансовый 37 6 2 2 7 2" xfId="37232" xr:uid="{F2A1B2AE-734A-40FD-94FB-61FF421BFC48}"/>
    <cellStyle name="Финансовый 37 6 2 2 8" xfId="27922" xr:uid="{11A984F4-4977-479A-88F8-4BBB9777042C}"/>
    <cellStyle name="Финансовый 37 6 2 3" xfId="10829" xr:uid="{00000000-0005-0000-0000-0000825A0000}"/>
    <cellStyle name="Финансовый 37 6 2 3 2" xfId="10830" xr:uid="{00000000-0005-0000-0000-0000835A0000}"/>
    <cellStyle name="Финансовый 37 6 2 3 2 2" xfId="10831" xr:uid="{00000000-0005-0000-0000-0000845A0000}"/>
    <cellStyle name="Финансовый 37 6 2 3 2 2 2" xfId="13916" xr:uid="{00000000-0005-0000-0000-0000855A0000}"/>
    <cellStyle name="Финансовый 37 6 2 3 2 2 2 2" xfId="31005" xr:uid="{AC3BF137-C830-4B7E-94EC-2D15CCF86DD0}"/>
    <cellStyle name="Финансовый 37 6 2 3 2 2 3" xfId="17148" xr:uid="{00000000-0005-0000-0000-0000865A0000}"/>
    <cellStyle name="Финансовый 37 6 2 3 2 2 3 2" xfId="34161" xr:uid="{BC4862BA-5DA4-4800-8B71-F86D1F13255E}"/>
    <cellStyle name="Финансовый 37 6 2 3 2 2 4" xfId="20229" xr:uid="{00000000-0005-0000-0000-0000875A0000}"/>
    <cellStyle name="Финансовый 37 6 2 3 2 2 4 2" xfId="37242" xr:uid="{F39CEBC3-AC93-465A-B38C-19B0924A6B76}"/>
    <cellStyle name="Финансовый 37 6 2 3 2 2 5" xfId="27932" xr:uid="{2AB2B98B-B70C-4EAD-91AB-A64D1E73AD95}"/>
    <cellStyle name="Финансовый 37 6 2 3 2 3" xfId="13915" xr:uid="{00000000-0005-0000-0000-0000885A0000}"/>
    <cellStyle name="Финансовый 37 6 2 3 2 3 2" xfId="31004" xr:uid="{60CEFC6D-64CC-4288-AD7D-0DCD3FC56393}"/>
    <cellStyle name="Финансовый 37 6 2 3 2 4" xfId="17147" xr:uid="{00000000-0005-0000-0000-0000895A0000}"/>
    <cellStyle name="Финансовый 37 6 2 3 2 4 2" xfId="34160" xr:uid="{0811A4F0-1AAB-4F91-BAD1-4026D531BED4}"/>
    <cellStyle name="Финансовый 37 6 2 3 2 5" xfId="20228" xr:uid="{00000000-0005-0000-0000-00008A5A0000}"/>
    <cellStyle name="Финансовый 37 6 2 3 2 5 2" xfId="37241" xr:uid="{6A9DBD82-884F-4966-976C-3B5BF9AD9248}"/>
    <cellStyle name="Финансовый 37 6 2 3 2 6" xfId="27931" xr:uid="{473A6CFA-F1B2-45E0-9CA3-0EBBAD72690C}"/>
    <cellStyle name="Финансовый 37 6 2 3 3" xfId="10832" xr:uid="{00000000-0005-0000-0000-00008B5A0000}"/>
    <cellStyle name="Финансовый 37 6 2 3 3 2" xfId="13917" xr:uid="{00000000-0005-0000-0000-00008C5A0000}"/>
    <cellStyle name="Финансовый 37 6 2 3 3 2 2" xfId="31006" xr:uid="{32E3A117-F4DF-4C1D-8651-87EBE85C013D}"/>
    <cellStyle name="Финансовый 37 6 2 3 3 3" xfId="17149" xr:uid="{00000000-0005-0000-0000-00008D5A0000}"/>
    <cellStyle name="Финансовый 37 6 2 3 3 3 2" xfId="34162" xr:uid="{9E959EE9-437C-4A9C-8916-D6872BB8B704}"/>
    <cellStyle name="Финансовый 37 6 2 3 3 4" xfId="20230" xr:uid="{00000000-0005-0000-0000-00008E5A0000}"/>
    <cellStyle name="Финансовый 37 6 2 3 3 4 2" xfId="37243" xr:uid="{AFDC9E42-F28A-4D5E-8136-43F227FAED20}"/>
    <cellStyle name="Финансовый 37 6 2 3 3 5" xfId="27933" xr:uid="{BC5ECE5F-AE78-4EE7-9987-6330F3EDCCCE}"/>
    <cellStyle name="Финансовый 37 6 2 3 4" xfId="13914" xr:uid="{00000000-0005-0000-0000-00008F5A0000}"/>
    <cellStyle name="Финансовый 37 6 2 3 4 2" xfId="31003" xr:uid="{A7E84924-2BE9-4282-A7B7-EF238800043E}"/>
    <cellStyle name="Финансовый 37 6 2 3 5" xfId="17146" xr:uid="{00000000-0005-0000-0000-0000905A0000}"/>
    <cellStyle name="Финансовый 37 6 2 3 5 2" xfId="34159" xr:uid="{BE2B1A90-51E2-4E6B-A8E3-BC52DA9113B3}"/>
    <cellStyle name="Финансовый 37 6 2 3 6" xfId="20227" xr:uid="{00000000-0005-0000-0000-0000915A0000}"/>
    <cellStyle name="Финансовый 37 6 2 3 6 2" xfId="37240" xr:uid="{3E0BDE06-6034-44D5-B607-AAE1D6619A70}"/>
    <cellStyle name="Финансовый 37 6 2 3 7" xfId="27930" xr:uid="{A06FF406-0C3D-4200-99B9-5922CB09C457}"/>
    <cellStyle name="Финансовый 37 6 2 4" xfId="10833" xr:uid="{00000000-0005-0000-0000-0000925A0000}"/>
    <cellStyle name="Финансовый 37 6 2 4 2" xfId="10834" xr:uid="{00000000-0005-0000-0000-0000935A0000}"/>
    <cellStyle name="Финансовый 37 6 2 4 2 2" xfId="13919" xr:uid="{00000000-0005-0000-0000-0000945A0000}"/>
    <cellStyle name="Финансовый 37 6 2 4 2 2 2" xfId="31008" xr:uid="{5EBF5CD9-002F-4B94-BCF5-0F401D4DDF45}"/>
    <cellStyle name="Финансовый 37 6 2 4 2 3" xfId="17151" xr:uid="{00000000-0005-0000-0000-0000955A0000}"/>
    <cellStyle name="Финансовый 37 6 2 4 2 3 2" xfId="34164" xr:uid="{369E8D59-9B09-47E1-BF61-D0871D7BEABF}"/>
    <cellStyle name="Финансовый 37 6 2 4 2 4" xfId="20232" xr:uid="{00000000-0005-0000-0000-0000965A0000}"/>
    <cellStyle name="Финансовый 37 6 2 4 2 4 2" xfId="37245" xr:uid="{3B504C4F-D7C3-4C01-AEA8-A54296886C1A}"/>
    <cellStyle name="Финансовый 37 6 2 4 2 5" xfId="27935" xr:uid="{C3DB653E-F49A-45EF-AED6-3DDDD6758B15}"/>
    <cellStyle name="Финансовый 37 6 2 4 3" xfId="13918" xr:uid="{00000000-0005-0000-0000-0000975A0000}"/>
    <cellStyle name="Финансовый 37 6 2 4 3 2" xfId="31007" xr:uid="{6034396E-F411-44DE-AD3F-0D08FA932513}"/>
    <cellStyle name="Финансовый 37 6 2 4 4" xfId="17150" xr:uid="{00000000-0005-0000-0000-0000985A0000}"/>
    <cellStyle name="Финансовый 37 6 2 4 4 2" xfId="34163" xr:uid="{5D0890FE-76D7-4F97-964B-DAE87D4F9267}"/>
    <cellStyle name="Финансовый 37 6 2 4 5" xfId="20231" xr:uid="{00000000-0005-0000-0000-0000995A0000}"/>
    <cellStyle name="Финансовый 37 6 2 4 5 2" xfId="37244" xr:uid="{DC229F69-6DE1-46DF-9CA3-754FB537E231}"/>
    <cellStyle name="Финансовый 37 6 2 4 6" xfId="27934" xr:uid="{447BC520-9C4C-4ADA-961F-3F3188711C96}"/>
    <cellStyle name="Финансовый 37 6 2 5" xfId="10835" xr:uid="{00000000-0005-0000-0000-00009A5A0000}"/>
    <cellStyle name="Финансовый 37 6 2 5 2" xfId="13920" xr:uid="{00000000-0005-0000-0000-00009B5A0000}"/>
    <cellStyle name="Финансовый 37 6 2 5 2 2" xfId="31009" xr:uid="{163F1259-C5DB-46CC-B22C-D58BD00FB916}"/>
    <cellStyle name="Финансовый 37 6 2 5 3" xfId="17152" xr:uid="{00000000-0005-0000-0000-00009C5A0000}"/>
    <cellStyle name="Финансовый 37 6 2 5 3 2" xfId="34165" xr:uid="{F7164D90-3268-410C-85E5-DE3813ACFB40}"/>
    <cellStyle name="Финансовый 37 6 2 5 4" xfId="20233" xr:uid="{00000000-0005-0000-0000-00009D5A0000}"/>
    <cellStyle name="Финансовый 37 6 2 5 4 2" xfId="37246" xr:uid="{0D545E05-B99A-44FD-9E30-5B35A938C9E5}"/>
    <cellStyle name="Финансовый 37 6 2 5 5" xfId="27936" xr:uid="{AE69F014-F2DF-46AA-9583-F672D06A09C4}"/>
    <cellStyle name="Финансовый 37 6 2 6" xfId="13905" xr:uid="{00000000-0005-0000-0000-00009E5A0000}"/>
    <cellStyle name="Финансовый 37 6 2 6 2" xfId="30994" xr:uid="{C1A4A89C-C338-4B88-B3FA-17C0F8483992}"/>
    <cellStyle name="Финансовый 37 6 2 7" xfId="17137" xr:uid="{00000000-0005-0000-0000-00009F5A0000}"/>
    <cellStyle name="Финансовый 37 6 2 7 2" xfId="34150" xr:uid="{2C9284DC-9C46-445C-82F0-6D7CCE1D3BED}"/>
    <cellStyle name="Финансовый 37 6 2 8" xfId="20218" xr:uid="{00000000-0005-0000-0000-0000A05A0000}"/>
    <cellStyle name="Финансовый 37 6 2 8 2" xfId="37231" xr:uid="{66D3781B-41A3-49B5-92E2-0A56D0D95DCC}"/>
    <cellStyle name="Финансовый 37 6 2 9" xfId="27921" xr:uid="{36736057-164E-4DBF-9056-F951BF8985C0}"/>
    <cellStyle name="Финансовый 37 6 3" xfId="10836" xr:uid="{00000000-0005-0000-0000-0000A15A0000}"/>
    <cellStyle name="Финансовый 37 6 3 2" xfId="10837" xr:uid="{00000000-0005-0000-0000-0000A25A0000}"/>
    <cellStyle name="Финансовый 37 6 3 2 2" xfId="10838" xr:uid="{00000000-0005-0000-0000-0000A35A0000}"/>
    <cellStyle name="Финансовый 37 6 3 2 2 2" xfId="10839" xr:uid="{00000000-0005-0000-0000-0000A45A0000}"/>
    <cellStyle name="Финансовый 37 6 3 2 2 2 2" xfId="13924" xr:uid="{00000000-0005-0000-0000-0000A55A0000}"/>
    <cellStyle name="Финансовый 37 6 3 2 2 2 2 2" xfId="31013" xr:uid="{638DC329-16D2-4B4E-842E-04B9700C8068}"/>
    <cellStyle name="Финансовый 37 6 3 2 2 2 3" xfId="17156" xr:uid="{00000000-0005-0000-0000-0000A65A0000}"/>
    <cellStyle name="Финансовый 37 6 3 2 2 2 3 2" xfId="34169" xr:uid="{B5411BCF-F546-4E8F-AB46-B7A0BAE6B8D6}"/>
    <cellStyle name="Финансовый 37 6 3 2 2 2 4" xfId="20237" xr:uid="{00000000-0005-0000-0000-0000A75A0000}"/>
    <cellStyle name="Финансовый 37 6 3 2 2 2 4 2" xfId="37250" xr:uid="{AD2ACC1C-F0B5-4FF7-AF25-10839A8CBF07}"/>
    <cellStyle name="Финансовый 37 6 3 2 2 2 5" xfId="27940" xr:uid="{45911126-C01C-4068-8AC6-A9AA6082BA58}"/>
    <cellStyle name="Финансовый 37 6 3 2 2 3" xfId="13923" xr:uid="{00000000-0005-0000-0000-0000A85A0000}"/>
    <cellStyle name="Финансовый 37 6 3 2 2 3 2" xfId="31012" xr:uid="{B6ADCE67-5AE3-43D8-A160-2A9F98AAAAAE}"/>
    <cellStyle name="Финансовый 37 6 3 2 2 4" xfId="17155" xr:uid="{00000000-0005-0000-0000-0000A95A0000}"/>
    <cellStyle name="Финансовый 37 6 3 2 2 4 2" xfId="34168" xr:uid="{E923E71F-65BD-436C-84FF-8AD0A2EC170E}"/>
    <cellStyle name="Финансовый 37 6 3 2 2 5" xfId="20236" xr:uid="{00000000-0005-0000-0000-0000AA5A0000}"/>
    <cellStyle name="Финансовый 37 6 3 2 2 5 2" xfId="37249" xr:uid="{AF70085A-6B81-42EC-9E0B-5F351564253A}"/>
    <cellStyle name="Финансовый 37 6 3 2 2 6" xfId="27939" xr:uid="{7D189814-EFB8-4A6B-A42E-8103A225E131}"/>
    <cellStyle name="Финансовый 37 6 3 2 3" xfId="10840" xr:uid="{00000000-0005-0000-0000-0000AB5A0000}"/>
    <cellStyle name="Финансовый 37 6 3 2 3 2" xfId="13925" xr:uid="{00000000-0005-0000-0000-0000AC5A0000}"/>
    <cellStyle name="Финансовый 37 6 3 2 3 2 2" xfId="31014" xr:uid="{26873D02-0F9A-4B1A-91E0-21E1D2339766}"/>
    <cellStyle name="Финансовый 37 6 3 2 3 3" xfId="17157" xr:uid="{00000000-0005-0000-0000-0000AD5A0000}"/>
    <cellStyle name="Финансовый 37 6 3 2 3 3 2" xfId="34170" xr:uid="{7C2E3DD6-B7C9-4088-A4FF-3E06E67DB115}"/>
    <cellStyle name="Финансовый 37 6 3 2 3 4" xfId="20238" xr:uid="{00000000-0005-0000-0000-0000AE5A0000}"/>
    <cellStyle name="Финансовый 37 6 3 2 3 4 2" xfId="37251" xr:uid="{39F43C51-A9CE-4214-90EF-256F743F8663}"/>
    <cellStyle name="Финансовый 37 6 3 2 3 5" xfId="27941" xr:uid="{EDFD28F6-06D9-485E-943E-8850C801A590}"/>
    <cellStyle name="Финансовый 37 6 3 2 4" xfId="13922" xr:uid="{00000000-0005-0000-0000-0000AF5A0000}"/>
    <cellStyle name="Финансовый 37 6 3 2 4 2" xfId="31011" xr:uid="{9E4C6282-1147-459F-AB5B-8C0681D0CF95}"/>
    <cellStyle name="Финансовый 37 6 3 2 5" xfId="17154" xr:uid="{00000000-0005-0000-0000-0000B05A0000}"/>
    <cellStyle name="Финансовый 37 6 3 2 5 2" xfId="34167" xr:uid="{428130F4-4CD1-4F0A-8719-8860D29271D1}"/>
    <cellStyle name="Финансовый 37 6 3 2 6" xfId="20235" xr:uid="{00000000-0005-0000-0000-0000B15A0000}"/>
    <cellStyle name="Финансовый 37 6 3 2 6 2" xfId="37248" xr:uid="{3277D9F9-D61A-416E-8E2C-A452967C2D33}"/>
    <cellStyle name="Финансовый 37 6 3 2 7" xfId="27938" xr:uid="{B3D640D9-6AA9-4E29-AC43-6143FD5E3C25}"/>
    <cellStyle name="Финансовый 37 6 3 3" xfId="10841" xr:uid="{00000000-0005-0000-0000-0000B25A0000}"/>
    <cellStyle name="Финансовый 37 6 3 3 2" xfId="10842" xr:uid="{00000000-0005-0000-0000-0000B35A0000}"/>
    <cellStyle name="Финансовый 37 6 3 3 2 2" xfId="13927" xr:uid="{00000000-0005-0000-0000-0000B45A0000}"/>
    <cellStyle name="Финансовый 37 6 3 3 2 2 2" xfId="31016" xr:uid="{34F96C04-75A0-41B1-BEE4-1DF632F148EF}"/>
    <cellStyle name="Финансовый 37 6 3 3 2 3" xfId="17159" xr:uid="{00000000-0005-0000-0000-0000B55A0000}"/>
    <cellStyle name="Финансовый 37 6 3 3 2 3 2" xfId="34172" xr:uid="{192F8698-84D0-44FD-A572-7E65123B0A8E}"/>
    <cellStyle name="Финансовый 37 6 3 3 2 4" xfId="20240" xr:uid="{00000000-0005-0000-0000-0000B65A0000}"/>
    <cellStyle name="Финансовый 37 6 3 3 2 4 2" xfId="37253" xr:uid="{BD4B4A73-3339-441D-A47A-6FD445038FCB}"/>
    <cellStyle name="Финансовый 37 6 3 3 2 5" xfId="27943" xr:uid="{24EA10D2-05E7-4D61-9E45-4ED1DBDEBEF4}"/>
    <cellStyle name="Финансовый 37 6 3 3 3" xfId="13926" xr:uid="{00000000-0005-0000-0000-0000B75A0000}"/>
    <cellStyle name="Финансовый 37 6 3 3 3 2" xfId="31015" xr:uid="{F11AC44C-C442-46DB-BCB7-D9B0AF749586}"/>
    <cellStyle name="Финансовый 37 6 3 3 4" xfId="17158" xr:uid="{00000000-0005-0000-0000-0000B85A0000}"/>
    <cellStyle name="Финансовый 37 6 3 3 4 2" xfId="34171" xr:uid="{45ECB5E5-2C89-4F8D-98A1-81B4D298AE2B}"/>
    <cellStyle name="Финансовый 37 6 3 3 5" xfId="20239" xr:uid="{00000000-0005-0000-0000-0000B95A0000}"/>
    <cellStyle name="Финансовый 37 6 3 3 5 2" xfId="37252" xr:uid="{A80F9866-C081-46E5-BFBD-081A18FC6B21}"/>
    <cellStyle name="Финансовый 37 6 3 3 6" xfId="27942" xr:uid="{EB87D33B-1B48-45D7-9913-EE765CBC8F83}"/>
    <cellStyle name="Финансовый 37 6 3 4" xfId="10843" xr:uid="{00000000-0005-0000-0000-0000BA5A0000}"/>
    <cellStyle name="Финансовый 37 6 3 4 2" xfId="13928" xr:uid="{00000000-0005-0000-0000-0000BB5A0000}"/>
    <cellStyle name="Финансовый 37 6 3 4 2 2" xfId="31017" xr:uid="{B6EC5178-091A-49C8-B853-6023A91F2FAC}"/>
    <cellStyle name="Финансовый 37 6 3 4 3" xfId="17160" xr:uid="{00000000-0005-0000-0000-0000BC5A0000}"/>
    <cellStyle name="Финансовый 37 6 3 4 3 2" xfId="34173" xr:uid="{BF3059C8-2D99-4299-9109-D95B7E2802E1}"/>
    <cellStyle name="Финансовый 37 6 3 4 4" xfId="20241" xr:uid="{00000000-0005-0000-0000-0000BD5A0000}"/>
    <cellStyle name="Финансовый 37 6 3 4 4 2" xfId="37254" xr:uid="{961CA58C-9376-4DF1-A43E-393A4F9FB200}"/>
    <cellStyle name="Финансовый 37 6 3 4 5" xfId="27944" xr:uid="{4F5A05DB-C90F-4DAE-AEB1-0788EC08BF65}"/>
    <cellStyle name="Финансовый 37 6 3 5" xfId="13921" xr:uid="{00000000-0005-0000-0000-0000BE5A0000}"/>
    <cellStyle name="Финансовый 37 6 3 5 2" xfId="31010" xr:uid="{800B7E8D-71D2-4D8B-9924-80DB79D7F91E}"/>
    <cellStyle name="Финансовый 37 6 3 6" xfId="17153" xr:uid="{00000000-0005-0000-0000-0000BF5A0000}"/>
    <cellStyle name="Финансовый 37 6 3 6 2" xfId="34166" xr:uid="{C1018E1A-327E-43C1-8157-090261D7B7FC}"/>
    <cellStyle name="Финансовый 37 6 3 7" xfId="20234" xr:uid="{00000000-0005-0000-0000-0000C05A0000}"/>
    <cellStyle name="Финансовый 37 6 3 7 2" xfId="37247" xr:uid="{D814168F-A15D-4B4A-8B51-D26BAB9563CB}"/>
    <cellStyle name="Финансовый 37 6 3 8" xfId="27937" xr:uid="{257C4A9B-A3AB-4139-92A6-22721B1E7448}"/>
    <cellStyle name="Финансовый 37 6 4" xfId="10844" xr:uid="{00000000-0005-0000-0000-0000C15A0000}"/>
    <cellStyle name="Финансовый 37 6 4 2" xfId="10845" xr:uid="{00000000-0005-0000-0000-0000C25A0000}"/>
    <cellStyle name="Финансовый 37 6 4 2 2" xfId="10846" xr:uid="{00000000-0005-0000-0000-0000C35A0000}"/>
    <cellStyle name="Финансовый 37 6 4 2 2 2" xfId="13931" xr:uid="{00000000-0005-0000-0000-0000C45A0000}"/>
    <cellStyle name="Финансовый 37 6 4 2 2 2 2" xfId="31020" xr:uid="{A4383899-8713-4C1C-89D4-F253B6838184}"/>
    <cellStyle name="Финансовый 37 6 4 2 2 3" xfId="17163" xr:uid="{00000000-0005-0000-0000-0000C55A0000}"/>
    <cellStyle name="Финансовый 37 6 4 2 2 3 2" xfId="34176" xr:uid="{11AC60BA-2D25-4A85-AE90-61A878C9C001}"/>
    <cellStyle name="Финансовый 37 6 4 2 2 4" xfId="20244" xr:uid="{00000000-0005-0000-0000-0000C65A0000}"/>
    <cellStyle name="Финансовый 37 6 4 2 2 4 2" xfId="37257" xr:uid="{D4B00C09-15F0-4789-8B41-EF59F0958A7E}"/>
    <cellStyle name="Финансовый 37 6 4 2 2 5" xfId="27947" xr:uid="{A26FD793-68B7-491F-9589-4A0390AB5BD1}"/>
    <cellStyle name="Финансовый 37 6 4 2 3" xfId="13930" xr:uid="{00000000-0005-0000-0000-0000C75A0000}"/>
    <cellStyle name="Финансовый 37 6 4 2 3 2" xfId="31019" xr:uid="{06D60EBF-7801-4E1B-850C-630C2CFB8231}"/>
    <cellStyle name="Финансовый 37 6 4 2 4" xfId="17162" xr:uid="{00000000-0005-0000-0000-0000C85A0000}"/>
    <cellStyle name="Финансовый 37 6 4 2 4 2" xfId="34175" xr:uid="{C63CF736-CF93-4DC3-BB3A-117FEBEF56B4}"/>
    <cellStyle name="Финансовый 37 6 4 2 5" xfId="20243" xr:uid="{00000000-0005-0000-0000-0000C95A0000}"/>
    <cellStyle name="Финансовый 37 6 4 2 5 2" xfId="37256" xr:uid="{79682146-21EA-4556-AD4A-9AB934570DF4}"/>
    <cellStyle name="Финансовый 37 6 4 2 6" xfId="27946" xr:uid="{6E067273-A8F0-47DB-A8A5-AF20E83192DA}"/>
    <cellStyle name="Финансовый 37 6 4 3" xfId="10847" xr:uid="{00000000-0005-0000-0000-0000CA5A0000}"/>
    <cellStyle name="Финансовый 37 6 4 3 2" xfId="13932" xr:uid="{00000000-0005-0000-0000-0000CB5A0000}"/>
    <cellStyle name="Финансовый 37 6 4 3 2 2" xfId="31021" xr:uid="{F7F1285D-7AFB-400A-B802-603878A46E04}"/>
    <cellStyle name="Финансовый 37 6 4 3 3" xfId="17164" xr:uid="{00000000-0005-0000-0000-0000CC5A0000}"/>
    <cellStyle name="Финансовый 37 6 4 3 3 2" xfId="34177" xr:uid="{0AFB9633-89EE-40E0-AE98-44EFF0F06CF0}"/>
    <cellStyle name="Финансовый 37 6 4 3 4" xfId="20245" xr:uid="{00000000-0005-0000-0000-0000CD5A0000}"/>
    <cellStyle name="Финансовый 37 6 4 3 4 2" xfId="37258" xr:uid="{0FD14B2C-D16D-4E71-B2B2-F09402BAE467}"/>
    <cellStyle name="Финансовый 37 6 4 3 5" xfId="27948" xr:uid="{D177DACD-32DE-4AAB-8350-075AE10DAB70}"/>
    <cellStyle name="Финансовый 37 6 4 4" xfId="13929" xr:uid="{00000000-0005-0000-0000-0000CE5A0000}"/>
    <cellStyle name="Финансовый 37 6 4 4 2" xfId="31018" xr:uid="{8212F33D-38A0-4DEA-B173-2DBD6DFABD84}"/>
    <cellStyle name="Финансовый 37 6 4 5" xfId="17161" xr:uid="{00000000-0005-0000-0000-0000CF5A0000}"/>
    <cellStyle name="Финансовый 37 6 4 5 2" xfId="34174" xr:uid="{419E4392-22BD-48CF-A18E-3D892E0EC180}"/>
    <cellStyle name="Финансовый 37 6 4 6" xfId="20242" xr:uid="{00000000-0005-0000-0000-0000D05A0000}"/>
    <cellStyle name="Финансовый 37 6 4 6 2" xfId="37255" xr:uid="{8A26B4CE-2953-4744-9BE5-CD85FF6EA435}"/>
    <cellStyle name="Финансовый 37 6 4 7" xfId="27945" xr:uid="{7A2F886E-45E7-42FD-AEF1-2E367770A080}"/>
    <cellStyle name="Финансовый 37 6 5" xfId="10848" xr:uid="{00000000-0005-0000-0000-0000D15A0000}"/>
    <cellStyle name="Финансовый 37 6 5 2" xfId="10849" xr:uid="{00000000-0005-0000-0000-0000D25A0000}"/>
    <cellStyle name="Финансовый 37 6 5 2 2" xfId="13934" xr:uid="{00000000-0005-0000-0000-0000D35A0000}"/>
    <cellStyle name="Финансовый 37 6 5 2 2 2" xfId="31023" xr:uid="{7865CB95-36D6-4D18-8581-6698CF09224E}"/>
    <cellStyle name="Финансовый 37 6 5 2 3" xfId="17166" xr:uid="{00000000-0005-0000-0000-0000D45A0000}"/>
    <cellStyle name="Финансовый 37 6 5 2 3 2" xfId="34179" xr:uid="{5CF55EF5-9A33-4AF0-8E0B-4644CB7B2690}"/>
    <cellStyle name="Финансовый 37 6 5 2 4" xfId="20247" xr:uid="{00000000-0005-0000-0000-0000D55A0000}"/>
    <cellStyle name="Финансовый 37 6 5 2 4 2" xfId="37260" xr:uid="{08A00DFA-BB90-4F46-BE05-3084295F622E}"/>
    <cellStyle name="Финансовый 37 6 5 2 5" xfId="27950" xr:uid="{04463F49-4EEF-45D0-96D3-810D413AAB24}"/>
    <cellStyle name="Финансовый 37 6 5 3" xfId="13933" xr:uid="{00000000-0005-0000-0000-0000D65A0000}"/>
    <cellStyle name="Финансовый 37 6 5 3 2" xfId="31022" xr:uid="{9AE5F676-DE06-4327-A08D-D720F59D18D8}"/>
    <cellStyle name="Финансовый 37 6 5 4" xfId="17165" xr:uid="{00000000-0005-0000-0000-0000D75A0000}"/>
    <cellStyle name="Финансовый 37 6 5 4 2" xfId="34178" xr:uid="{6608956B-A464-4376-9648-B57FE6861C56}"/>
    <cellStyle name="Финансовый 37 6 5 5" xfId="20246" xr:uid="{00000000-0005-0000-0000-0000D85A0000}"/>
    <cellStyle name="Финансовый 37 6 5 5 2" xfId="37259" xr:uid="{9EA30B72-9E34-47D6-B83C-5C4158FEBECE}"/>
    <cellStyle name="Финансовый 37 6 5 6" xfId="27949" xr:uid="{AFED42B0-2F0C-42FF-A3AD-223DF1E288E7}"/>
    <cellStyle name="Финансовый 37 6 6" xfId="10850" xr:uid="{00000000-0005-0000-0000-0000D95A0000}"/>
    <cellStyle name="Финансовый 37 6 6 2" xfId="13935" xr:uid="{00000000-0005-0000-0000-0000DA5A0000}"/>
    <cellStyle name="Финансовый 37 6 6 2 2" xfId="31024" xr:uid="{1059FA9D-CBA2-4867-BA8B-9C801C269A10}"/>
    <cellStyle name="Финансовый 37 6 6 3" xfId="17167" xr:uid="{00000000-0005-0000-0000-0000DB5A0000}"/>
    <cellStyle name="Финансовый 37 6 6 3 2" xfId="34180" xr:uid="{082D98B9-C126-4129-9C49-CB1D44E8B0FC}"/>
    <cellStyle name="Финансовый 37 6 6 4" xfId="20248" xr:uid="{00000000-0005-0000-0000-0000DC5A0000}"/>
    <cellStyle name="Финансовый 37 6 6 4 2" xfId="37261" xr:uid="{0F77262D-E3CE-4022-B3E1-364CE18DE94E}"/>
    <cellStyle name="Финансовый 37 6 6 5" xfId="27951" xr:uid="{2C73BADB-8852-45C8-B182-FFF6BA79E966}"/>
    <cellStyle name="Финансовый 37 6 7" xfId="13904" xr:uid="{00000000-0005-0000-0000-0000DD5A0000}"/>
    <cellStyle name="Финансовый 37 6 7 2" xfId="30993" xr:uid="{BB9AF0DB-6C2F-47E4-BC02-6EFC8A64DE2D}"/>
    <cellStyle name="Финансовый 37 6 8" xfId="17136" xr:uid="{00000000-0005-0000-0000-0000DE5A0000}"/>
    <cellStyle name="Финансовый 37 6 8 2" xfId="34149" xr:uid="{E2824276-3A4C-4FED-9ED0-10CA286F0190}"/>
    <cellStyle name="Финансовый 37 6 9" xfId="20217" xr:uid="{00000000-0005-0000-0000-0000DF5A0000}"/>
    <cellStyle name="Финансовый 37 6 9 2" xfId="37230" xr:uid="{D666192F-31FE-490E-9903-BEE54C9520BC}"/>
    <cellStyle name="Финансовый 37 7" xfId="10851" xr:uid="{00000000-0005-0000-0000-0000E05A0000}"/>
    <cellStyle name="Финансовый 37 7 2" xfId="10852" xr:uid="{00000000-0005-0000-0000-0000E15A0000}"/>
    <cellStyle name="Финансовый 37 7 2 2" xfId="10853" xr:uid="{00000000-0005-0000-0000-0000E25A0000}"/>
    <cellStyle name="Финансовый 37 7 2 2 2" xfId="10854" xr:uid="{00000000-0005-0000-0000-0000E35A0000}"/>
    <cellStyle name="Финансовый 37 7 2 2 2 2" xfId="10855" xr:uid="{00000000-0005-0000-0000-0000E45A0000}"/>
    <cellStyle name="Финансовый 37 7 2 2 2 2 2" xfId="13940" xr:uid="{00000000-0005-0000-0000-0000E55A0000}"/>
    <cellStyle name="Финансовый 37 7 2 2 2 2 2 2" xfId="31029" xr:uid="{AE8E203A-6272-4CD4-964A-C4FA41A4400F}"/>
    <cellStyle name="Финансовый 37 7 2 2 2 2 3" xfId="17172" xr:uid="{00000000-0005-0000-0000-0000E65A0000}"/>
    <cellStyle name="Финансовый 37 7 2 2 2 2 3 2" xfId="34185" xr:uid="{06954395-8B30-4DB5-94DF-B92F6F9EB4E7}"/>
    <cellStyle name="Финансовый 37 7 2 2 2 2 4" xfId="20253" xr:uid="{00000000-0005-0000-0000-0000E75A0000}"/>
    <cellStyle name="Финансовый 37 7 2 2 2 2 4 2" xfId="37266" xr:uid="{4DFB9111-4DC0-4E3E-9689-57BAC958A0B1}"/>
    <cellStyle name="Финансовый 37 7 2 2 2 2 5" xfId="27956" xr:uid="{28EE9B4B-CEA0-4B6B-9652-ED6C79C3043F}"/>
    <cellStyle name="Финансовый 37 7 2 2 2 3" xfId="13939" xr:uid="{00000000-0005-0000-0000-0000E85A0000}"/>
    <cellStyle name="Финансовый 37 7 2 2 2 3 2" xfId="31028" xr:uid="{7F532854-EF5D-4DF5-A0A0-6CEC6B090CFF}"/>
    <cellStyle name="Финансовый 37 7 2 2 2 4" xfId="17171" xr:uid="{00000000-0005-0000-0000-0000E95A0000}"/>
    <cellStyle name="Финансовый 37 7 2 2 2 4 2" xfId="34184" xr:uid="{1190E1FF-16BC-4231-AAB3-9C817FF48199}"/>
    <cellStyle name="Финансовый 37 7 2 2 2 5" xfId="20252" xr:uid="{00000000-0005-0000-0000-0000EA5A0000}"/>
    <cellStyle name="Финансовый 37 7 2 2 2 5 2" xfId="37265" xr:uid="{309B54AD-21CE-48DD-A42D-4CABA8295E45}"/>
    <cellStyle name="Финансовый 37 7 2 2 2 6" xfId="27955" xr:uid="{4BAAA4FA-715A-483B-8048-820B2E300117}"/>
    <cellStyle name="Финансовый 37 7 2 2 3" xfId="10856" xr:uid="{00000000-0005-0000-0000-0000EB5A0000}"/>
    <cellStyle name="Финансовый 37 7 2 2 3 2" xfId="13941" xr:uid="{00000000-0005-0000-0000-0000EC5A0000}"/>
    <cellStyle name="Финансовый 37 7 2 2 3 2 2" xfId="31030" xr:uid="{4C9A75D4-8E57-45AA-A901-86BA88E5E499}"/>
    <cellStyle name="Финансовый 37 7 2 2 3 3" xfId="17173" xr:uid="{00000000-0005-0000-0000-0000ED5A0000}"/>
    <cellStyle name="Финансовый 37 7 2 2 3 3 2" xfId="34186" xr:uid="{A3A6591B-8D56-408A-AC4C-0A630DA2400E}"/>
    <cellStyle name="Финансовый 37 7 2 2 3 4" xfId="20254" xr:uid="{00000000-0005-0000-0000-0000EE5A0000}"/>
    <cellStyle name="Финансовый 37 7 2 2 3 4 2" xfId="37267" xr:uid="{BA07AC08-29D9-427C-8466-14A21709C3B0}"/>
    <cellStyle name="Финансовый 37 7 2 2 3 5" xfId="27957" xr:uid="{B2655F21-03B9-4C5F-95F1-1AF506F06394}"/>
    <cellStyle name="Финансовый 37 7 2 2 4" xfId="13938" xr:uid="{00000000-0005-0000-0000-0000EF5A0000}"/>
    <cellStyle name="Финансовый 37 7 2 2 4 2" xfId="31027" xr:uid="{4B327E10-B1CA-4D9A-9298-9D6869E050E7}"/>
    <cellStyle name="Финансовый 37 7 2 2 5" xfId="17170" xr:uid="{00000000-0005-0000-0000-0000F05A0000}"/>
    <cellStyle name="Финансовый 37 7 2 2 5 2" xfId="34183" xr:uid="{8C88AE52-871A-4100-9A68-BA2FF79BBB7E}"/>
    <cellStyle name="Финансовый 37 7 2 2 6" xfId="20251" xr:uid="{00000000-0005-0000-0000-0000F15A0000}"/>
    <cellStyle name="Финансовый 37 7 2 2 6 2" xfId="37264" xr:uid="{F8639EAA-4914-4253-A22B-85343CD43686}"/>
    <cellStyle name="Финансовый 37 7 2 2 7" xfId="27954" xr:uid="{4488C1D2-B535-426C-BA78-7DAC966C63D5}"/>
    <cellStyle name="Финансовый 37 7 2 3" xfId="10857" xr:uid="{00000000-0005-0000-0000-0000F25A0000}"/>
    <cellStyle name="Финансовый 37 7 2 3 2" xfId="10858" xr:uid="{00000000-0005-0000-0000-0000F35A0000}"/>
    <cellStyle name="Финансовый 37 7 2 3 2 2" xfId="13943" xr:uid="{00000000-0005-0000-0000-0000F45A0000}"/>
    <cellStyle name="Финансовый 37 7 2 3 2 2 2" xfId="31032" xr:uid="{EC7C9EB5-6EDE-481B-AD9F-9FA61BB2988C}"/>
    <cellStyle name="Финансовый 37 7 2 3 2 3" xfId="17175" xr:uid="{00000000-0005-0000-0000-0000F55A0000}"/>
    <cellStyle name="Финансовый 37 7 2 3 2 3 2" xfId="34188" xr:uid="{CBCC531A-1F30-4B9F-AB58-EC200755B001}"/>
    <cellStyle name="Финансовый 37 7 2 3 2 4" xfId="20256" xr:uid="{00000000-0005-0000-0000-0000F65A0000}"/>
    <cellStyle name="Финансовый 37 7 2 3 2 4 2" xfId="37269" xr:uid="{F338786B-0B5B-4E69-BE15-0F8DB62FC5AB}"/>
    <cellStyle name="Финансовый 37 7 2 3 2 5" xfId="27959" xr:uid="{C0A22C9E-40DC-4A6F-A239-91A963B11C91}"/>
    <cellStyle name="Финансовый 37 7 2 3 3" xfId="13942" xr:uid="{00000000-0005-0000-0000-0000F75A0000}"/>
    <cellStyle name="Финансовый 37 7 2 3 3 2" xfId="31031" xr:uid="{F97A1453-0AE9-4568-A636-1ABE6A13D647}"/>
    <cellStyle name="Финансовый 37 7 2 3 4" xfId="17174" xr:uid="{00000000-0005-0000-0000-0000F85A0000}"/>
    <cellStyle name="Финансовый 37 7 2 3 4 2" xfId="34187" xr:uid="{DD058482-93C0-4118-83B2-0E8B9674105C}"/>
    <cellStyle name="Финансовый 37 7 2 3 5" xfId="20255" xr:uid="{00000000-0005-0000-0000-0000F95A0000}"/>
    <cellStyle name="Финансовый 37 7 2 3 5 2" xfId="37268" xr:uid="{799784F5-BBC0-427E-8250-4C361FE7EABE}"/>
    <cellStyle name="Финансовый 37 7 2 3 6" xfId="27958" xr:uid="{CA1F2F25-7633-4953-9058-BF2E8E133CFC}"/>
    <cellStyle name="Финансовый 37 7 2 4" xfId="10859" xr:uid="{00000000-0005-0000-0000-0000FA5A0000}"/>
    <cellStyle name="Финансовый 37 7 2 4 2" xfId="13944" xr:uid="{00000000-0005-0000-0000-0000FB5A0000}"/>
    <cellStyle name="Финансовый 37 7 2 4 2 2" xfId="31033" xr:uid="{608465DC-18CB-4564-BB78-1C262426A897}"/>
    <cellStyle name="Финансовый 37 7 2 4 3" xfId="17176" xr:uid="{00000000-0005-0000-0000-0000FC5A0000}"/>
    <cellStyle name="Финансовый 37 7 2 4 3 2" xfId="34189" xr:uid="{8A4B1F0E-3E36-4DD6-82F2-DD122CA2CAE4}"/>
    <cellStyle name="Финансовый 37 7 2 4 4" xfId="20257" xr:uid="{00000000-0005-0000-0000-0000FD5A0000}"/>
    <cellStyle name="Финансовый 37 7 2 4 4 2" xfId="37270" xr:uid="{BFAD3951-05AF-4BF9-822B-E7DE3F6739AB}"/>
    <cellStyle name="Финансовый 37 7 2 4 5" xfId="27960" xr:uid="{C1D2D52C-F6AD-4ED5-81C3-DCA7E67BA8F6}"/>
    <cellStyle name="Финансовый 37 7 2 5" xfId="13937" xr:uid="{00000000-0005-0000-0000-0000FE5A0000}"/>
    <cellStyle name="Финансовый 37 7 2 5 2" xfId="31026" xr:uid="{7DDFAE98-22DB-455C-B5FC-157128439CB8}"/>
    <cellStyle name="Финансовый 37 7 2 6" xfId="17169" xr:uid="{00000000-0005-0000-0000-0000FF5A0000}"/>
    <cellStyle name="Финансовый 37 7 2 6 2" xfId="34182" xr:uid="{061A7003-D7CF-4736-91ED-27281B988E7B}"/>
    <cellStyle name="Финансовый 37 7 2 7" xfId="20250" xr:uid="{00000000-0005-0000-0000-0000005B0000}"/>
    <cellStyle name="Финансовый 37 7 2 7 2" xfId="37263" xr:uid="{1F93DF34-396F-4CC2-B521-0D555E32CCEB}"/>
    <cellStyle name="Финансовый 37 7 2 8" xfId="27953" xr:uid="{4B491BD9-5D2C-45E4-AE80-CCDB55180F4B}"/>
    <cellStyle name="Финансовый 37 7 3" xfId="10860" xr:uid="{00000000-0005-0000-0000-0000015B0000}"/>
    <cellStyle name="Финансовый 37 7 3 2" xfId="10861" xr:uid="{00000000-0005-0000-0000-0000025B0000}"/>
    <cellStyle name="Финансовый 37 7 3 2 2" xfId="10862" xr:uid="{00000000-0005-0000-0000-0000035B0000}"/>
    <cellStyle name="Финансовый 37 7 3 2 2 2" xfId="13947" xr:uid="{00000000-0005-0000-0000-0000045B0000}"/>
    <cellStyle name="Финансовый 37 7 3 2 2 2 2" xfId="31036" xr:uid="{F07BB891-2110-4A65-BF93-04C9760D6BD3}"/>
    <cellStyle name="Финансовый 37 7 3 2 2 3" xfId="17179" xr:uid="{00000000-0005-0000-0000-0000055B0000}"/>
    <cellStyle name="Финансовый 37 7 3 2 2 3 2" xfId="34192" xr:uid="{4A1F7420-5AEC-4C8E-8BA5-08C23899D8CE}"/>
    <cellStyle name="Финансовый 37 7 3 2 2 4" xfId="20260" xr:uid="{00000000-0005-0000-0000-0000065B0000}"/>
    <cellStyle name="Финансовый 37 7 3 2 2 4 2" xfId="37273" xr:uid="{C2EC9D6D-5DDE-46C7-8961-94B473EEE588}"/>
    <cellStyle name="Финансовый 37 7 3 2 2 5" xfId="27963" xr:uid="{9D901CD7-DF33-47E6-BCCA-1BD80D472E3B}"/>
    <cellStyle name="Финансовый 37 7 3 2 3" xfId="13946" xr:uid="{00000000-0005-0000-0000-0000075B0000}"/>
    <cellStyle name="Финансовый 37 7 3 2 3 2" xfId="31035" xr:uid="{4D535676-C294-434A-A287-819A4D7C3D90}"/>
    <cellStyle name="Финансовый 37 7 3 2 4" xfId="17178" xr:uid="{00000000-0005-0000-0000-0000085B0000}"/>
    <cellStyle name="Финансовый 37 7 3 2 4 2" xfId="34191" xr:uid="{EC798EC7-70AB-45DD-B6D3-A9C6C94BB232}"/>
    <cellStyle name="Финансовый 37 7 3 2 5" xfId="20259" xr:uid="{00000000-0005-0000-0000-0000095B0000}"/>
    <cellStyle name="Финансовый 37 7 3 2 5 2" xfId="37272" xr:uid="{A0330E4B-959F-45F5-979D-F5BB0CE3B155}"/>
    <cellStyle name="Финансовый 37 7 3 2 6" xfId="27962" xr:uid="{5DDE5728-85D0-4788-BE44-B9FA8D7462A3}"/>
    <cellStyle name="Финансовый 37 7 3 3" xfId="10863" xr:uid="{00000000-0005-0000-0000-00000A5B0000}"/>
    <cellStyle name="Финансовый 37 7 3 3 2" xfId="13948" xr:uid="{00000000-0005-0000-0000-00000B5B0000}"/>
    <cellStyle name="Финансовый 37 7 3 3 2 2" xfId="31037" xr:uid="{7144BEC4-FD21-4E15-A15F-8E3F77264126}"/>
    <cellStyle name="Финансовый 37 7 3 3 3" xfId="17180" xr:uid="{00000000-0005-0000-0000-00000C5B0000}"/>
    <cellStyle name="Финансовый 37 7 3 3 3 2" xfId="34193" xr:uid="{C8434B53-9FFC-480D-82A5-4D01F1EA8A68}"/>
    <cellStyle name="Финансовый 37 7 3 3 4" xfId="20261" xr:uid="{00000000-0005-0000-0000-00000D5B0000}"/>
    <cellStyle name="Финансовый 37 7 3 3 4 2" xfId="37274" xr:uid="{852D8E58-E086-4C53-B608-394EADB222F9}"/>
    <cellStyle name="Финансовый 37 7 3 3 5" xfId="27964" xr:uid="{40B50A37-469C-43A6-80C8-61B3205A7034}"/>
    <cellStyle name="Финансовый 37 7 3 4" xfId="13945" xr:uid="{00000000-0005-0000-0000-00000E5B0000}"/>
    <cellStyle name="Финансовый 37 7 3 4 2" xfId="31034" xr:uid="{83A1D7CA-A825-43DF-A4F6-C7E9D4E853C0}"/>
    <cellStyle name="Финансовый 37 7 3 5" xfId="17177" xr:uid="{00000000-0005-0000-0000-00000F5B0000}"/>
    <cellStyle name="Финансовый 37 7 3 5 2" xfId="34190" xr:uid="{755151C9-1653-48A1-9099-6475F5220F05}"/>
    <cellStyle name="Финансовый 37 7 3 6" xfId="20258" xr:uid="{00000000-0005-0000-0000-0000105B0000}"/>
    <cellStyle name="Финансовый 37 7 3 6 2" xfId="37271" xr:uid="{EBF8AB45-22FB-4C2F-8471-21AAACC56A88}"/>
    <cellStyle name="Финансовый 37 7 3 7" xfId="27961" xr:uid="{B78B6A18-91E1-4011-B284-34DA7FEF68EA}"/>
    <cellStyle name="Финансовый 37 7 4" xfId="10864" xr:uid="{00000000-0005-0000-0000-0000115B0000}"/>
    <cellStyle name="Финансовый 37 7 4 2" xfId="10865" xr:uid="{00000000-0005-0000-0000-0000125B0000}"/>
    <cellStyle name="Финансовый 37 7 4 2 2" xfId="13950" xr:uid="{00000000-0005-0000-0000-0000135B0000}"/>
    <cellStyle name="Финансовый 37 7 4 2 2 2" xfId="31039" xr:uid="{15296060-0163-47CD-B10D-EEBC4CF9D91D}"/>
    <cellStyle name="Финансовый 37 7 4 2 3" xfId="17182" xr:uid="{00000000-0005-0000-0000-0000145B0000}"/>
    <cellStyle name="Финансовый 37 7 4 2 3 2" xfId="34195" xr:uid="{6EE2A7D9-DC07-41CC-9DA4-EB2028D204E4}"/>
    <cellStyle name="Финансовый 37 7 4 2 4" xfId="20263" xr:uid="{00000000-0005-0000-0000-0000155B0000}"/>
    <cellStyle name="Финансовый 37 7 4 2 4 2" xfId="37276" xr:uid="{1191FF23-335E-4503-A9D6-0EED39F38979}"/>
    <cellStyle name="Финансовый 37 7 4 2 5" xfId="27966" xr:uid="{02ED61B4-33AC-4898-8378-59AD0933917A}"/>
    <cellStyle name="Финансовый 37 7 4 3" xfId="13949" xr:uid="{00000000-0005-0000-0000-0000165B0000}"/>
    <cellStyle name="Финансовый 37 7 4 3 2" xfId="31038" xr:uid="{C4672CC1-6002-4D2F-AD48-1E3CC1826E36}"/>
    <cellStyle name="Финансовый 37 7 4 4" xfId="17181" xr:uid="{00000000-0005-0000-0000-0000175B0000}"/>
    <cellStyle name="Финансовый 37 7 4 4 2" xfId="34194" xr:uid="{73387923-7BC1-429D-8126-7C17E2A42EC8}"/>
    <cellStyle name="Финансовый 37 7 4 5" xfId="20262" xr:uid="{00000000-0005-0000-0000-0000185B0000}"/>
    <cellStyle name="Финансовый 37 7 4 5 2" xfId="37275" xr:uid="{AB5B7F0D-6E15-420D-8189-0EDEF299BD22}"/>
    <cellStyle name="Финансовый 37 7 4 6" xfId="27965" xr:uid="{D9F01DE9-9D15-44FA-9F5C-8485D7A2516F}"/>
    <cellStyle name="Финансовый 37 7 5" xfId="10866" xr:uid="{00000000-0005-0000-0000-0000195B0000}"/>
    <cellStyle name="Финансовый 37 7 5 2" xfId="13951" xr:uid="{00000000-0005-0000-0000-00001A5B0000}"/>
    <cellStyle name="Финансовый 37 7 5 2 2" xfId="31040" xr:uid="{07DAA06D-6601-4C69-A00F-17BCB02D9DB8}"/>
    <cellStyle name="Финансовый 37 7 5 3" xfId="17183" xr:uid="{00000000-0005-0000-0000-00001B5B0000}"/>
    <cellStyle name="Финансовый 37 7 5 3 2" xfId="34196" xr:uid="{F02432AA-E5EE-4EB4-A749-52C0181B50C8}"/>
    <cellStyle name="Финансовый 37 7 5 4" xfId="20264" xr:uid="{00000000-0005-0000-0000-00001C5B0000}"/>
    <cellStyle name="Финансовый 37 7 5 4 2" xfId="37277" xr:uid="{426BEADF-EE80-466E-9DE2-D6CB752651D8}"/>
    <cellStyle name="Финансовый 37 7 5 5" xfId="27967" xr:uid="{B0B968A7-FA4C-43D7-B7BB-0B8D0FE0C354}"/>
    <cellStyle name="Финансовый 37 7 6" xfId="13936" xr:uid="{00000000-0005-0000-0000-00001D5B0000}"/>
    <cellStyle name="Финансовый 37 7 6 2" xfId="31025" xr:uid="{43C2B854-BD11-4BF0-B084-8F2506AABA6A}"/>
    <cellStyle name="Финансовый 37 7 7" xfId="17168" xr:uid="{00000000-0005-0000-0000-00001E5B0000}"/>
    <cellStyle name="Финансовый 37 7 7 2" xfId="34181" xr:uid="{FD54001E-2BFF-4060-95F6-440014A0D978}"/>
    <cellStyle name="Финансовый 37 7 8" xfId="20249" xr:uid="{00000000-0005-0000-0000-00001F5B0000}"/>
    <cellStyle name="Финансовый 37 7 8 2" xfId="37262" xr:uid="{60B21D55-9951-4AFB-9150-00A2250248F3}"/>
    <cellStyle name="Финансовый 37 7 9" xfId="27952" xr:uid="{D111283F-0E2D-493C-BC8D-A97DB7A9C8B8}"/>
    <cellStyle name="Финансовый 37 8" xfId="10867" xr:uid="{00000000-0005-0000-0000-0000205B0000}"/>
    <cellStyle name="Финансовый 37 8 2" xfId="10868" xr:uid="{00000000-0005-0000-0000-0000215B0000}"/>
    <cellStyle name="Финансовый 37 8 2 2" xfId="10869" xr:uid="{00000000-0005-0000-0000-0000225B0000}"/>
    <cellStyle name="Финансовый 37 8 2 2 2" xfId="10870" xr:uid="{00000000-0005-0000-0000-0000235B0000}"/>
    <cellStyle name="Финансовый 37 8 2 2 2 2" xfId="13955" xr:uid="{00000000-0005-0000-0000-0000245B0000}"/>
    <cellStyle name="Финансовый 37 8 2 2 2 2 2" xfId="31044" xr:uid="{7B50642A-F170-4743-A953-6F824A467F38}"/>
    <cellStyle name="Финансовый 37 8 2 2 2 3" xfId="17187" xr:uid="{00000000-0005-0000-0000-0000255B0000}"/>
    <cellStyle name="Финансовый 37 8 2 2 2 3 2" xfId="34200" xr:uid="{D615BD1D-4A36-4CF0-9ACD-F4787C4748CC}"/>
    <cellStyle name="Финансовый 37 8 2 2 2 4" xfId="20268" xr:uid="{00000000-0005-0000-0000-0000265B0000}"/>
    <cellStyle name="Финансовый 37 8 2 2 2 4 2" xfId="37281" xr:uid="{C97E220B-D70C-42C0-B9A1-AB564B3E05E4}"/>
    <cellStyle name="Финансовый 37 8 2 2 2 5" xfId="27971" xr:uid="{C6D28856-9E8F-4894-8447-E225602E475A}"/>
    <cellStyle name="Финансовый 37 8 2 2 3" xfId="13954" xr:uid="{00000000-0005-0000-0000-0000275B0000}"/>
    <cellStyle name="Финансовый 37 8 2 2 3 2" xfId="31043" xr:uid="{0542353A-2110-4659-A906-9B33B63823CD}"/>
    <cellStyle name="Финансовый 37 8 2 2 4" xfId="17186" xr:uid="{00000000-0005-0000-0000-0000285B0000}"/>
    <cellStyle name="Финансовый 37 8 2 2 4 2" xfId="34199" xr:uid="{8F6E7E6C-CF03-4DF1-8F76-35531E5C678F}"/>
    <cellStyle name="Финансовый 37 8 2 2 5" xfId="20267" xr:uid="{00000000-0005-0000-0000-0000295B0000}"/>
    <cellStyle name="Финансовый 37 8 2 2 5 2" xfId="37280" xr:uid="{F9BB333B-6DEA-4273-902D-CEE05C770420}"/>
    <cellStyle name="Финансовый 37 8 2 2 6" xfId="27970" xr:uid="{E94631DB-9389-4872-97B8-6442F96FC0BE}"/>
    <cellStyle name="Финансовый 37 8 2 3" xfId="10871" xr:uid="{00000000-0005-0000-0000-00002A5B0000}"/>
    <cellStyle name="Финансовый 37 8 2 3 2" xfId="13956" xr:uid="{00000000-0005-0000-0000-00002B5B0000}"/>
    <cellStyle name="Финансовый 37 8 2 3 2 2" xfId="31045" xr:uid="{918ED813-DF21-463A-B412-5F125C14B0A8}"/>
    <cellStyle name="Финансовый 37 8 2 3 3" xfId="17188" xr:uid="{00000000-0005-0000-0000-00002C5B0000}"/>
    <cellStyle name="Финансовый 37 8 2 3 3 2" xfId="34201" xr:uid="{12162799-7900-46F2-A50B-881A854DB98B}"/>
    <cellStyle name="Финансовый 37 8 2 3 4" xfId="20269" xr:uid="{00000000-0005-0000-0000-00002D5B0000}"/>
    <cellStyle name="Финансовый 37 8 2 3 4 2" xfId="37282" xr:uid="{3CB8FA9C-7B58-485E-9C71-62FF8387C558}"/>
    <cellStyle name="Финансовый 37 8 2 3 5" xfId="27972" xr:uid="{771E1A8C-2447-4F96-AEDF-E023E4372603}"/>
    <cellStyle name="Финансовый 37 8 2 4" xfId="13953" xr:uid="{00000000-0005-0000-0000-00002E5B0000}"/>
    <cellStyle name="Финансовый 37 8 2 4 2" xfId="31042" xr:uid="{EB78E5C3-01F8-4259-8C8B-277CDB8E12D9}"/>
    <cellStyle name="Финансовый 37 8 2 5" xfId="17185" xr:uid="{00000000-0005-0000-0000-00002F5B0000}"/>
    <cellStyle name="Финансовый 37 8 2 5 2" xfId="34198" xr:uid="{E214AAAB-FE15-4AB5-87E7-D338E079FD57}"/>
    <cellStyle name="Финансовый 37 8 2 6" xfId="20266" xr:uid="{00000000-0005-0000-0000-0000305B0000}"/>
    <cellStyle name="Финансовый 37 8 2 6 2" xfId="37279" xr:uid="{AC112E75-BE52-40CB-947C-32C84A4B71E8}"/>
    <cellStyle name="Финансовый 37 8 2 7" xfId="27969" xr:uid="{06A0FEB1-7668-449C-813D-52528DFC177B}"/>
    <cellStyle name="Финансовый 37 8 3" xfId="10872" xr:uid="{00000000-0005-0000-0000-0000315B0000}"/>
    <cellStyle name="Финансовый 37 8 3 2" xfId="10873" xr:uid="{00000000-0005-0000-0000-0000325B0000}"/>
    <cellStyle name="Финансовый 37 8 3 2 2" xfId="13958" xr:uid="{00000000-0005-0000-0000-0000335B0000}"/>
    <cellStyle name="Финансовый 37 8 3 2 2 2" xfId="31047" xr:uid="{89A66E2D-B33F-41ED-942A-0C97CB153DE1}"/>
    <cellStyle name="Финансовый 37 8 3 2 3" xfId="17190" xr:uid="{00000000-0005-0000-0000-0000345B0000}"/>
    <cellStyle name="Финансовый 37 8 3 2 3 2" xfId="34203" xr:uid="{4BBB2A03-1EED-4B63-A6BF-D0FB70D10EF9}"/>
    <cellStyle name="Финансовый 37 8 3 2 4" xfId="20271" xr:uid="{00000000-0005-0000-0000-0000355B0000}"/>
    <cellStyle name="Финансовый 37 8 3 2 4 2" xfId="37284" xr:uid="{E4FBB480-7F57-4757-9D64-B9811200027E}"/>
    <cellStyle name="Финансовый 37 8 3 2 5" xfId="27974" xr:uid="{B5B9A4B3-1801-45A1-8E22-E9E76AF9EA3F}"/>
    <cellStyle name="Финансовый 37 8 3 3" xfId="13957" xr:uid="{00000000-0005-0000-0000-0000365B0000}"/>
    <cellStyle name="Финансовый 37 8 3 3 2" xfId="31046" xr:uid="{1899AD6A-47BD-49FE-A9E3-CFBEBEA91EC6}"/>
    <cellStyle name="Финансовый 37 8 3 4" xfId="17189" xr:uid="{00000000-0005-0000-0000-0000375B0000}"/>
    <cellStyle name="Финансовый 37 8 3 4 2" xfId="34202" xr:uid="{659B6002-E846-4C60-BCED-66A7D64991F4}"/>
    <cellStyle name="Финансовый 37 8 3 5" xfId="20270" xr:uid="{00000000-0005-0000-0000-0000385B0000}"/>
    <cellStyle name="Финансовый 37 8 3 5 2" xfId="37283" xr:uid="{3DD361FC-B32D-4282-A969-DD633AD42DB1}"/>
    <cellStyle name="Финансовый 37 8 3 6" xfId="27973" xr:uid="{E4302017-09A2-494D-A8FB-6DEF7BC099C3}"/>
    <cellStyle name="Финансовый 37 8 4" xfId="10874" xr:uid="{00000000-0005-0000-0000-0000395B0000}"/>
    <cellStyle name="Финансовый 37 8 4 2" xfId="13959" xr:uid="{00000000-0005-0000-0000-00003A5B0000}"/>
    <cellStyle name="Финансовый 37 8 4 2 2" xfId="31048" xr:uid="{EC040FF4-CC84-4D54-83EA-E77D00B73AD3}"/>
    <cellStyle name="Финансовый 37 8 4 3" xfId="17191" xr:uid="{00000000-0005-0000-0000-00003B5B0000}"/>
    <cellStyle name="Финансовый 37 8 4 3 2" xfId="34204" xr:uid="{F67C6E6E-D267-459C-8773-806899A26B45}"/>
    <cellStyle name="Финансовый 37 8 4 4" xfId="20272" xr:uid="{00000000-0005-0000-0000-00003C5B0000}"/>
    <cellStyle name="Финансовый 37 8 4 4 2" xfId="37285" xr:uid="{90DE7926-D902-4F60-B81F-4AD38DBBB3B8}"/>
    <cellStyle name="Финансовый 37 8 4 5" xfId="27975" xr:uid="{D801AEDE-2267-4B63-BBAA-0F0A7179825A}"/>
    <cellStyle name="Финансовый 37 8 5" xfId="13952" xr:uid="{00000000-0005-0000-0000-00003D5B0000}"/>
    <cellStyle name="Финансовый 37 8 5 2" xfId="31041" xr:uid="{4C945B07-3B61-4655-BFDF-E8B14B324D03}"/>
    <cellStyle name="Финансовый 37 8 6" xfId="17184" xr:uid="{00000000-0005-0000-0000-00003E5B0000}"/>
    <cellStyle name="Финансовый 37 8 6 2" xfId="34197" xr:uid="{299C9387-96EF-4903-A4FC-B36A438BB9A9}"/>
    <cellStyle name="Финансовый 37 8 7" xfId="20265" xr:uid="{00000000-0005-0000-0000-00003F5B0000}"/>
    <cellStyle name="Финансовый 37 8 7 2" xfId="37278" xr:uid="{8F78BE36-639A-4B34-BDF9-A58440F2C949}"/>
    <cellStyle name="Финансовый 37 8 8" xfId="27968" xr:uid="{D211FC2E-1B3E-48D3-A5DB-87A6E79A84D4}"/>
    <cellStyle name="Финансовый 37 9" xfId="10875" xr:uid="{00000000-0005-0000-0000-0000405B0000}"/>
    <cellStyle name="Финансовый 37 9 2" xfId="10876" xr:uid="{00000000-0005-0000-0000-0000415B0000}"/>
    <cellStyle name="Финансовый 37 9 2 2" xfId="10877" xr:uid="{00000000-0005-0000-0000-0000425B0000}"/>
    <cellStyle name="Финансовый 37 9 2 2 2" xfId="13962" xr:uid="{00000000-0005-0000-0000-0000435B0000}"/>
    <cellStyle name="Финансовый 37 9 2 2 2 2" xfId="31051" xr:uid="{2A275AA8-3520-42D1-9DFF-992288988F2A}"/>
    <cellStyle name="Финансовый 37 9 2 2 3" xfId="17194" xr:uid="{00000000-0005-0000-0000-0000445B0000}"/>
    <cellStyle name="Финансовый 37 9 2 2 3 2" xfId="34207" xr:uid="{9BBEB1D8-BF36-4F74-AA2A-D7D5150516C0}"/>
    <cellStyle name="Финансовый 37 9 2 2 4" xfId="20275" xr:uid="{00000000-0005-0000-0000-0000455B0000}"/>
    <cellStyle name="Финансовый 37 9 2 2 4 2" xfId="37288" xr:uid="{F443A3CD-A115-4041-B367-10A81A2FA5A5}"/>
    <cellStyle name="Финансовый 37 9 2 2 5" xfId="27978" xr:uid="{65C63AFB-EC2A-4ADC-95E1-188E3177DCB4}"/>
    <cellStyle name="Финансовый 37 9 2 3" xfId="13961" xr:uid="{00000000-0005-0000-0000-0000465B0000}"/>
    <cellStyle name="Финансовый 37 9 2 3 2" xfId="31050" xr:uid="{00C8E7EA-AAD1-4287-86AE-40202275A54D}"/>
    <cellStyle name="Финансовый 37 9 2 4" xfId="17193" xr:uid="{00000000-0005-0000-0000-0000475B0000}"/>
    <cellStyle name="Финансовый 37 9 2 4 2" xfId="34206" xr:uid="{C6CE88D8-D933-4A02-879D-104C624F897A}"/>
    <cellStyle name="Финансовый 37 9 2 5" xfId="20274" xr:uid="{00000000-0005-0000-0000-0000485B0000}"/>
    <cellStyle name="Финансовый 37 9 2 5 2" xfId="37287" xr:uid="{C168F1CA-1DBF-4111-80E2-AF927E6D4469}"/>
    <cellStyle name="Финансовый 37 9 2 6" xfId="27977" xr:uid="{92965CD1-1DC1-4F90-87A3-BF2F2F9F8E32}"/>
    <cellStyle name="Финансовый 37 9 3" xfId="10878" xr:uid="{00000000-0005-0000-0000-0000495B0000}"/>
    <cellStyle name="Финансовый 37 9 3 2" xfId="13963" xr:uid="{00000000-0005-0000-0000-00004A5B0000}"/>
    <cellStyle name="Финансовый 37 9 3 2 2" xfId="31052" xr:uid="{9067B014-E9B1-4FC4-A5E3-C2D92D96AD57}"/>
    <cellStyle name="Финансовый 37 9 3 3" xfId="17195" xr:uid="{00000000-0005-0000-0000-00004B5B0000}"/>
    <cellStyle name="Финансовый 37 9 3 3 2" xfId="34208" xr:uid="{2B3F65EB-96B2-41DB-875F-54ACF779F066}"/>
    <cellStyle name="Финансовый 37 9 3 4" xfId="20276" xr:uid="{00000000-0005-0000-0000-00004C5B0000}"/>
    <cellStyle name="Финансовый 37 9 3 4 2" xfId="37289" xr:uid="{C3B428FC-51AB-4010-BCF1-E6E37A6460EF}"/>
    <cellStyle name="Финансовый 37 9 3 5" xfId="27979" xr:uid="{F45DD803-0C5C-47CA-9530-C16A628D2826}"/>
    <cellStyle name="Финансовый 37 9 4" xfId="13960" xr:uid="{00000000-0005-0000-0000-00004D5B0000}"/>
    <cellStyle name="Финансовый 37 9 4 2" xfId="31049" xr:uid="{01AFF53D-B1EE-49D8-B8D2-7D2FC00DFF48}"/>
    <cellStyle name="Финансовый 37 9 5" xfId="17192" xr:uid="{00000000-0005-0000-0000-00004E5B0000}"/>
    <cellStyle name="Финансовый 37 9 5 2" xfId="34205" xr:uid="{CD0439B7-43CC-4922-ABB5-D15D8B71A4E9}"/>
    <cellStyle name="Финансовый 37 9 6" xfId="20273" xr:uid="{00000000-0005-0000-0000-00004F5B0000}"/>
    <cellStyle name="Финансовый 37 9 6 2" xfId="37286" xr:uid="{578F1C15-FF4B-44AE-B675-54D149AFB85A}"/>
    <cellStyle name="Финансовый 37 9 7" xfId="27976" xr:uid="{5257A7FC-E6E9-4469-A633-02181FDDA11E}"/>
    <cellStyle name="Финансовый 38" xfId="10891" xr:uid="{00000000-0005-0000-0000-0000505B0000}"/>
    <cellStyle name="Финансовый 38 2" xfId="13966" xr:uid="{00000000-0005-0000-0000-0000515B0000}"/>
    <cellStyle name="Финансовый 38 2 2" xfId="31054" xr:uid="{D798BCF5-8167-42CF-8136-5F473C591B2F}"/>
    <cellStyle name="Финансовый 38 3" xfId="17197" xr:uid="{00000000-0005-0000-0000-0000525B0000}"/>
    <cellStyle name="Финансовый 38 3 2" xfId="34210" xr:uid="{18EF80F8-6934-4E80-B639-688D17EC167A}"/>
    <cellStyle name="Финансовый 38 4" xfId="20278" xr:uid="{00000000-0005-0000-0000-0000535B0000}"/>
    <cellStyle name="Финансовый 38 4 2" xfId="37291" xr:uid="{C571CAF5-5510-4591-924C-8649A587D1B9}"/>
    <cellStyle name="Финансовый 38 5" xfId="27980" xr:uid="{C01101CF-9ABE-4C05-867F-B273DCAE54A8}"/>
    <cellStyle name="Финансовый 39" xfId="14021" xr:uid="{00000000-0005-0000-0000-0000545B0000}"/>
    <cellStyle name="Финансовый 39 2" xfId="17201" xr:uid="{00000000-0005-0000-0000-0000555B0000}"/>
    <cellStyle name="Финансовый 39 2 2" xfId="34214" xr:uid="{DEAD9533-32E9-41E4-B2AA-AE7600BCA046}"/>
    <cellStyle name="Финансовый 39 3" xfId="20282" xr:uid="{00000000-0005-0000-0000-0000565B0000}"/>
    <cellStyle name="Финансовый 39 3 2" xfId="37295" xr:uid="{2FD450B3-F54B-45FF-AB0E-640D32CE0D23}"/>
    <cellStyle name="Финансовый 39 4" xfId="31060" xr:uid="{06B3BC6A-762F-4513-ADBE-FAD3BB4E2EC5}"/>
    <cellStyle name="Финансовый 4" xfId="216" xr:uid="{00000000-0005-0000-0000-0000575B0000}"/>
    <cellStyle name="Финансовый 4 2" xfId="972" xr:uid="{00000000-0005-0000-0000-0000585B0000}"/>
    <cellStyle name="Финансовый 4 2 2" xfId="6513" xr:uid="{00000000-0005-0000-0000-0000595B0000}"/>
    <cellStyle name="Финансовый 4 2 2 2" xfId="14022" xr:uid="{00000000-0005-0000-0000-00005A5B0000}"/>
    <cellStyle name="Финансовый 4 2 2 2 2" xfId="31061" xr:uid="{88AA6CD4-7AB7-429A-B9F0-008CAA5251D9}"/>
    <cellStyle name="Финансовый 4 2 2 3" xfId="17202" xr:uid="{00000000-0005-0000-0000-00005B5B0000}"/>
    <cellStyle name="Финансовый 4 2 2 3 2" xfId="34215" xr:uid="{0AF96A41-0FE3-46A8-B778-7DC8897D736C}"/>
    <cellStyle name="Финансовый 4 2 2 4" xfId="20283" xr:uid="{00000000-0005-0000-0000-00005C5B0000}"/>
    <cellStyle name="Финансовый 4 2 2 4 2" xfId="37296" xr:uid="{2300162F-1F44-4A3A-98EF-5E11FCC8E908}"/>
    <cellStyle name="Финансовый 4 2 2 5" xfId="10880" xr:uid="{00000000-0005-0000-0000-00005D5B0000}"/>
    <cellStyle name="Финансовый 4 2 2 6" xfId="24219" xr:uid="{93617293-A891-4AD5-B300-054A160AE172}"/>
    <cellStyle name="Финансовый 4 2 3" xfId="23460" xr:uid="{00000000-0005-0000-0000-00005E5B0000}"/>
    <cellStyle name="Финансовый 4 2 3 2" xfId="39872" xr:uid="{D949B41A-E4A4-41B1-B103-A440E67B0CD1}"/>
    <cellStyle name="Финансовый 4 2 4" xfId="23488" xr:uid="{00000000-0005-0000-0000-00005F5B0000}"/>
    <cellStyle name="Финансовый 4 2 4 2" xfId="39886" xr:uid="{21115E86-C2E9-4926-89DD-7F6A9F4EABA8}"/>
    <cellStyle name="Финансовый 4 2 5" xfId="23560" xr:uid="{00000000-0005-0000-0000-0000605B0000}"/>
    <cellStyle name="Финансовый 4 2 5 2" xfId="39904" xr:uid="{A0A6E433-3691-4F06-8EF4-16A7A08E251B}"/>
    <cellStyle name="Финансовый 4 2 6" xfId="7287" xr:uid="{00000000-0005-0000-0000-0000615B0000}"/>
    <cellStyle name="Финансовый 4 2 6 2" xfId="24838" xr:uid="{F5C4B043-9017-4105-B1E1-82631E44FD21}"/>
    <cellStyle name="Финансовый 4 2 7" xfId="5460" xr:uid="{00000000-0005-0000-0000-0000625B0000}"/>
    <cellStyle name="Финансовый 4 2 8" xfId="23582" xr:uid="{7BCDDD78-4255-442C-BA6D-CAEB66E16658}"/>
    <cellStyle name="Финансовый 4 3" xfId="844" xr:uid="{00000000-0005-0000-0000-0000635B0000}"/>
    <cellStyle name="Финансовый 4 3 2" xfId="6577" xr:uid="{00000000-0005-0000-0000-0000645B0000}"/>
    <cellStyle name="Финансовый 4 3 2 2" xfId="13975" xr:uid="{00000000-0005-0000-0000-0000655B0000}"/>
    <cellStyle name="Финансовый 4 3 2 2 2" xfId="31055" xr:uid="{F4BBE9C5-4E5F-4617-940F-184B47AAFDC8}"/>
    <cellStyle name="Финансовый 4 3 2 3" xfId="24223" xr:uid="{BC8D2BE6-FD15-40C3-AB23-0F70B8510C64}"/>
    <cellStyle name="Финансовый 4 3 3" xfId="17198" xr:uid="{00000000-0005-0000-0000-0000665B0000}"/>
    <cellStyle name="Финансовый 4 3 3 2" xfId="34211" xr:uid="{79E5E158-B69C-4870-9C9E-4AC2C0B31260}"/>
    <cellStyle name="Финансовый 4 3 4" xfId="20279" xr:uid="{00000000-0005-0000-0000-0000675B0000}"/>
    <cellStyle name="Финансовый 4 3 4 2" xfId="37292" xr:uid="{03C541DE-B8AA-433A-9E00-6C2285CCB221}"/>
    <cellStyle name="Финансовый 4 3 5" xfId="23514" xr:uid="{00000000-0005-0000-0000-0000685B0000}"/>
    <cellStyle name="Финансовый 4 3 5 2" xfId="39890" xr:uid="{C6F025A5-E92D-49B5-A454-74A1EAE9DDEE}"/>
    <cellStyle name="Финансовый 4 3 6" xfId="23564" xr:uid="{00000000-0005-0000-0000-0000695B0000}"/>
    <cellStyle name="Финансовый 4 3 6 2" xfId="39908" xr:uid="{1821748E-B1BC-413D-9FA8-86770C594A01}"/>
    <cellStyle name="Финансовый 4 3 7" xfId="10879" xr:uid="{00000000-0005-0000-0000-00006A5B0000}"/>
    <cellStyle name="Финансовый 4 3 8" xfId="5505" xr:uid="{00000000-0005-0000-0000-00006B5B0000}"/>
    <cellStyle name="Финансовый 4 3 9" xfId="23586" xr:uid="{62CEFF28-5E8F-442F-8EA6-EDEC3CBD0345}"/>
    <cellStyle name="Финансовый 4 4" xfId="5408" xr:uid="{00000000-0005-0000-0000-00006C5B0000}"/>
    <cellStyle name="Финансовый 4 4 2" xfId="7281" xr:uid="{00000000-0005-0000-0000-00006D5B0000}"/>
    <cellStyle name="Финансовый 4 4 3" xfId="24833" xr:uid="{D5A22BBA-9B37-4B63-AFA8-DD0F0EF7D0F2}"/>
    <cellStyle name="Финансовый 4 5" xfId="5413" xr:uid="{00000000-0005-0000-0000-00006E5B0000}"/>
    <cellStyle name="Финансовый 40" xfId="13964" xr:uid="{00000000-0005-0000-0000-00006F5B0000}"/>
    <cellStyle name="Финансовый 40 2" xfId="31053" xr:uid="{217D3DC9-94A6-4B82-97B6-D7D6A1C12812}"/>
    <cellStyle name="Финансовый 41" xfId="14123" xr:uid="{00000000-0005-0000-0000-0000705B0000}"/>
    <cellStyle name="Финансовый 41 2" xfId="31136" xr:uid="{8319F1F8-2CEE-4073-BACF-800EF7A47699}"/>
    <cellStyle name="Финансовый 42" xfId="17196" xr:uid="{00000000-0005-0000-0000-0000715B0000}"/>
    <cellStyle name="Финансовый 42 2" xfId="34209" xr:uid="{5066BA52-4207-41B8-96FC-2197494A2133}"/>
    <cellStyle name="Финансовый 43" xfId="17204" xr:uid="{00000000-0005-0000-0000-0000725B0000}"/>
    <cellStyle name="Финансовый 43 2" xfId="34217" xr:uid="{8082FC0B-B600-45C2-80E9-EE7100442078}"/>
    <cellStyle name="Финансовый 44" xfId="20277" xr:uid="{00000000-0005-0000-0000-0000735B0000}"/>
    <cellStyle name="Финансовый 44 2" xfId="37290" xr:uid="{FB1087A3-77C2-4439-A9D5-A16683721081}"/>
    <cellStyle name="Финансовый 45" xfId="20285" xr:uid="{00000000-0005-0000-0000-0000745B0000}"/>
    <cellStyle name="Финансовый 45 2" xfId="37298" xr:uid="{3EF2B1E8-FFFF-45CF-BA65-2DB53FB38A2D}"/>
    <cellStyle name="Финансовый 46" xfId="20286" xr:uid="{00000000-0005-0000-0000-0000755B0000}"/>
    <cellStyle name="Финансовый 46 2" xfId="37299" xr:uid="{1E2AFA06-986B-4075-AE67-0789B66A0838}"/>
    <cellStyle name="Финансовый 47" xfId="20306" xr:uid="{00000000-0005-0000-0000-0000765B0000}"/>
    <cellStyle name="Финансовый 48" xfId="20332" xr:uid="{00000000-0005-0000-0000-0000775B0000}"/>
    <cellStyle name="Финансовый 49" xfId="20364" xr:uid="{00000000-0005-0000-0000-0000785B0000}"/>
    <cellStyle name="Финансовый 5" xfId="240" xr:uid="{00000000-0005-0000-0000-0000795B0000}"/>
    <cellStyle name="Финансовый 5 10" xfId="22381" xr:uid="{00000000-0005-0000-0000-00007A5B0000}"/>
    <cellStyle name="Финансовый 5 10 2" xfId="38926" xr:uid="{09AEBA49-7419-43E6-AD57-0D7ADA632E59}"/>
    <cellStyle name="Финансовый 5 11" xfId="22418" xr:uid="{00000000-0005-0000-0000-00007B5B0000}"/>
    <cellStyle name="Финансовый 5 11 2" xfId="38936" xr:uid="{80762093-7CC5-4C38-8B82-F48380265B20}"/>
    <cellStyle name="Финансовый 5 12" xfId="22441" xr:uid="{00000000-0005-0000-0000-00007C5B0000}"/>
    <cellStyle name="Финансовый 5 12 2" xfId="38946" xr:uid="{D8B6B47B-1D8D-42D7-812E-1A607B69DD88}"/>
    <cellStyle name="Финансовый 5 13" xfId="22464" xr:uid="{00000000-0005-0000-0000-00007D5B0000}"/>
    <cellStyle name="Финансовый 5 13 2" xfId="38956" xr:uid="{95C6AF80-093F-4BC0-ACF5-F8924B8FF545}"/>
    <cellStyle name="Финансовый 5 14" xfId="22736" xr:uid="{00000000-0005-0000-0000-00007E5B0000}"/>
    <cellStyle name="Финансовый 5 14 2" xfId="39205" xr:uid="{5C8D7FCE-DA9C-4D21-AED1-013CDA3021B9}"/>
    <cellStyle name="Финансовый 5 15" xfId="23151" xr:uid="{00000000-0005-0000-0000-00007F5B0000}"/>
    <cellStyle name="Финансовый 5 15 2" xfId="39594" xr:uid="{CA92EDE7-E55E-447A-9510-E7530515ACD4}"/>
    <cellStyle name="Финансовый 5 16" xfId="23216" xr:uid="{00000000-0005-0000-0000-0000805B0000}"/>
    <cellStyle name="Финансовый 5 16 2" xfId="39643" xr:uid="{8ADBE829-7EFC-4076-B180-4A862F4F8D23}"/>
    <cellStyle name="Финансовый 5 17" xfId="23477" xr:uid="{00000000-0005-0000-0000-0000815B0000}"/>
    <cellStyle name="Финансовый 5 17 2" xfId="39875" xr:uid="{48E8D183-241A-45E6-9B3A-B8F32BED6779}"/>
    <cellStyle name="Финансовый 5 18" xfId="23549" xr:uid="{00000000-0005-0000-0000-0000825B0000}"/>
    <cellStyle name="Финансовый 5 18 2" xfId="39893" xr:uid="{559D9569-FAF4-477E-AC5C-AEA771BA6EDD}"/>
    <cellStyle name="Финансовый 5 19" xfId="7283" xr:uid="{00000000-0005-0000-0000-0000835B0000}"/>
    <cellStyle name="Финансовый 5 19 2" xfId="24834" xr:uid="{FD128D02-D2AC-46EF-8E32-F59F9782F87D}"/>
    <cellStyle name="Финансовый 5 2" xfId="970" xr:uid="{00000000-0005-0000-0000-0000845B0000}"/>
    <cellStyle name="Финансовый 5 2 2" xfId="10882" xr:uid="{00000000-0005-0000-0000-0000855B0000}"/>
    <cellStyle name="Финансовый 5 2 3" xfId="5879" xr:uid="{00000000-0005-0000-0000-0000865B0000}"/>
    <cellStyle name="Финансовый 5 2 4" xfId="23735" xr:uid="{AF521D1A-028B-41DA-BF3C-E2E5FCA212F7}"/>
    <cellStyle name="Финансовый 5 20" xfId="5417" xr:uid="{00000000-0005-0000-0000-0000875B0000}"/>
    <cellStyle name="Финансовый 5 21" xfId="23571" xr:uid="{8DA97058-5968-40E4-9FA9-3490710D0557}"/>
    <cellStyle name="Финансовый 5 3" xfId="1150" xr:uid="{00000000-0005-0000-0000-0000885B0000}"/>
    <cellStyle name="Финансовый 5 3 2" xfId="10883" xr:uid="{00000000-0005-0000-0000-0000895B0000}"/>
    <cellStyle name="Финансовый 5 4" xfId="1939" xr:uid="{00000000-0005-0000-0000-00008A5B0000}"/>
    <cellStyle name="Финансовый 5 4 2" xfId="14020" xr:uid="{00000000-0005-0000-0000-00008B5B0000}"/>
    <cellStyle name="Финансовый 5 4 2 2" xfId="31059" xr:uid="{1A5F2189-5E7C-4E64-9CEC-0BC8A4855044}"/>
    <cellStyle name="Финансовый 5 4 3" xfId="17200" xr:uid="{00000000-0005-0000-0000-00008C5B0000}"/>
    <cellStyle name="Финансовый 5 4 3 2" xfId="34213" xr:uid="{71E97716-EFB0-4F6D-B531-5C1A62416CD9}"/>
    <cellStyle name="Финансовый 5 4 4" xfId="20281" xr:uid="{00000000-0005-0000-0000-00008D5B0000}"/>
    <cellStyle name="Финансовый 5 4 4 2" xfId="37294" xr:uid="{5972C0D8-F046-4F99-9629-BEE82D5684B7}"/>
    <cellStyle name="Финансовый 5 4 5" xfId="10881" xr:uid="{00000000-0005-0000-0000-00008E5B0000}"/>
    <cellStyle name="Финансовый 5 5" xfId="2582" xr:uid="{00000000-0005-0000-0000-00008F5B0000}"/>
    <cellStyle name="Финансовый 5 5 2" xfId="21103" xr:uid="{00000000-0005-0000-0000-0000905B0000}"/>
    <cellStyle name="Финансовый 5 5 3" xfId="37827" xr:uid="{B4D18759-60BD-4FCC-A244-44C22056687D}"/>
    <cellStyle name="Финансовый 5 6" xfId="3360" xr:uid="{00000000-0005-0000-0000-0000915B0000}"/>
    <cellStyle name="Финансовый 5 6 2" xfId="21807" xr:uid="{00000000-0005-0000-0000-0000925B0000}"/>
    <cellStyle name="Финансовый 5 6 3" xfId="38417" xr:uid="{24C97DA0-6D07-4135-995B-1BE4C8BAD6F5}"/>
    <cellStyle name="Финансовый 5 7" xfId="22307" xr:uid="{00000000-0005-0000-0000-0000935B0000}"/>
    <cellStyle name="Финансовый 5 7 2" xfId="38899" xr:uid="{B7A24F9F-A7AB-4461-AB54-940D39B3A178}"/>
    <cellStyle name="Финансовый 5 8" xfId="22337" xr:uid="{00000000-0005-0000-0000-0000945B0000}"/>
    <cellStyle name="Финансовый 5 8 2" xfId="38908" xr:uid="{CBB261CB-5CF7-41FB-9F2B-8060D50D9C87}"/>
    <cellStyle name="Финансовый 5 9" xfId="22359" xr:uid="{00000000-0005-0000-0000-0000955B0000}"/>
    <cellStyle name="Финансовый 5 9 2" xfId="38917" xr:uid="{4BB5F584-6795-423A-A441-4755B15A9B7B}"/>
    <cellStyle name="Финансовый 50" xfId="20528" xr:uid="{00000000-0005-0000-0000-0000965B0000}"/>
    <cellStyle name="Финансовый 51" xfId="20545" xr:uid="{00000000-0005-0000-0000-0000975B0000}"/>
    <cellStyle name="Финансовый 52" xfId="20667" xr:uid="{00000000-0005-0000-0000-0000985B0000}"/>
    <cellStyle name="Финансовый 53" xfId="20732" xr:uid="{00000000-0005-0000-0000-0000995B0000}"/>
    <cellStyle name="Финансовый 54" xfId="20797" xr:uid="{00000000-0005-0000-0000-00009A5B0000}"/>
    <cellStyle name="Финансовый 55" xfId="20862" xr:uid="{00000000-0005-0000-0000-00009B5B0000}"/>
    <cellStyle name="Финансовый 56" xfId="20927" xr:uid="{00000000-0005-0000-0000-00009C5B0000}"/>
    <cellStyle name="Финансовый 57" xfId="21684" xr:uid="{00000000-0005-0000-0000-00009D5B0000}"/>
    <cellStyle name="Финансовый 58" xfId="22287" xr:uid="{00000000-0005-0000-0000-00009E5B0000}"/>
    <cellStyle name="Финансовый 59" xfId="22305" xr:uid="{00000000-0005-0000-0000-00009F5B0000}"/>
    <cellStyle name="Финансовый 6" xfId="421" xr:uid="{00000000-0005-0000-0000-0000A05B0000}"/>
    <cellStyle name="Финансовый 6 10" xfId="22383" xr:uid="{00000000-0005-0000-0000-0000A15B0000}"/>
    <cellStyle name="Финансовый 6 10 2" xfId="38928" xr:uid="{08133CEC-9A32-4635-9E2B-42AA9794B236}"/>
    <cellStyle name="Финансовый 6 11" xfId="22420" xr:uid="{00000000-0005-0000-0000-0000A25B0000}"/>
    <cellStyle name="Финансовый 6 11 2" xfId="38938" xr:uid="{5B6FC491-BE31-4741-A096-C56BA3FA2AF2}"/>
    <cellStyle name="Финансовый 6 12" xfId="22443" xr:uid="{00000000-0005-0000-0000-0000A35B0000}"/>
    <cellStyle name="Финансовый 6 12 2" xfId="38948" xr:uid="{B8B345A9-0FA2-4F86-9817-EB972D9704B0}"/>
    <cellStyle name="Финансовый 6 13" xfId="22466" xr:uid="{00000000-0005-0000-0000-0000A45B0000}"/>
    <cellStyle name="Финансовый 6 13 2" xfId="38958" xr:uid="{00A68001-FBC7-42DB-AB41-22938B664240}"/>
    <cellStyle name="Финансовый 6 14" xfId="22817" xr:uid="{00000000-0005-0000-0000-0000A55B0000}"/>
    <cellStyle name="Финансовый 6 14 2" xfId="39283" xr:uid="{E0A73F4E-C55D-4355-8122-F7DC310F2F27}"/>
    <cellStyle name="Финансовый 6 15" xfId="23157" xr:uid="{00000000-0005-0000-0000-0000A65B0000}"/>
    <cellStyle name="Финансовый 6 15 2" xfId="39597" xr:uid="{1BD172F9-933A-4403-A40D-9816A6372873}"/>
    <cellStyle name="Финансовый 6 16" xfId="23245" xr:uid="{00000000-0005-0000-0000-0000A75B0000}"/>
    <cellStyle name="Финансовый 6 16 2" xfId="39672" xr:uid="{62198C7D-E543-4894-B0BA-193320366ECB}"/>
    <cellStyle name="Финансовый 6 17" xfId="23479" xr:uid="{00000000-0005-0000-0000-0000A85B0000}"/>
    <cellStyle name="Финансовый 6 17 2" xfId="39877" xr:uid="{01C2956C-41E9-4FB7-9EFE-6B28B4A44DD5}"/>
    <cellStyle name="Финансовый 6 18" xfId="23551" xr:uid="{00000000-0005-0000-0000-0000A95B0000}"/>
    <cellStyle name="Финансовый 6 18 2" xfId="39895" xr:uid="{C86A1289-1F9C-47E9-AB11-DADE4CB1EE10}"/>
    <cellStyle name="Финансовый 6 19" xfId="7285" xr:uid="{00000000-0005-0000-0000-0000AA5B0000}"/>
    <cellStyle name="Финансовый 6 19 2" xfId="24836" xr:uid="{8F647AFF-4E6A-49A2-A9DC-68442567F8ED}"/>
    <cellStyle name="Финансовый 6 2" xfId="1254" xr:uid="{00000000-0005-0000-0000-0000AB5B0000}"/>
    <cellStyle name="Финансовый 6 2 2" xfId="10885" xr:uid="{00000000-0005-0000-0000-0000AC5B0000}"/>
    <cellStyle name="Финансовый 6 2 3" xfId="6010" xr:uid="{00000000-0005-0000-0000-0000AD5B0000}"/>
    <cellStyle name="Финансовый 6 2 4" xfId="23797" xr:uid="{A8AFE41E-98BA-44B4-8108-B3C67E28D240}"/>
    <cellStyle name="Финансовый 6 20" xfId="5419" xr:uid="{00000000-0005-0000-0000-0000AE5B0000}"/>
    <cellStyle name="Финансовый 6 21" xfId="23573" xr:uid="{B0B0963F-47E3-4EAF-9B1D-E2F6687F110A}"/>
    <cellStyle name="Финансовый 6 3" xfId="2020" xr:uid="{00000000-0005-0000-0000-0000AF5B0000}"/>
    <cellStyle name="Финансовый 6 3 2" xfId="10886" xr:uid="{00000000-0005-0000-0000-0000B05B0000}"/>
    <cellStyle name="Финансовый 6 4" xfId="2661" xr:uid="{00000000-0005-0000-0000-0000B15B0000}"/>
    <cellStyle name="Финансовый 6 4 2" xfId="10884" xr:uid="{00000000-0005-0000-0000-0000B25B0000}"/>
    <cellStyle name="Финансовый 6 5" xfId="3477" xr:uid="{00000000-0005-0000-0000-0000B35B0000}"/>
    <cellStyle name="Финансовый 6 5 2" xfId="21247" xr:uid="{00000000-0005-0000-0000-0000B45B0000}"/>
    <cellStyle name="Финансовый 6 5 3" xfId="37889" xr:uid="{5B472762-16D5-44BF-8258-03B25242B48B}"/>
    <cellStyle name="Финансовый 6 6" xfId="21869" xr:uid="{00000000-0005-0000-0000-0000B55B0000}"/>
    <cellStyle name="Финансовый 6 6 2" xfId="38479" xr:uid="{2C2094AB-84C4-4685-A62F-D5BA41693585}"/>
    <cellStyle name="Финансовый 6 7" xfId="22310" xr:uid="{00000000-0005-0000-0000-0000B65B0000}"/>
    <cellStyle name="Финансовый 6 7 2" xfId="38901" xr:uid="{3C6C7947-CA52-4BCE-9D07-B60AD24030F9}"/>
    <cellStyle name="Финансовый 6 8" xfId="22339" xr:uid="{00000000-0005-0000-0000-0000B75B0000}"/>
    <cellStyle name="Финансовый 6 8 2" xfId="38910" xr:uid="{E90F7839-824C-4D33-BEF7-93EE8D2106B6}"/>
    <cellStyle name="Финансовый 6 9" xfId="22361" xr:uid="{00000000-0005-0000-0000-0000B85B0000}"/>
    <cellStyle name="Финансовый 6 9 2" xfId="38919" xr:uid="{3944DCE5-1FFA-49D9-AFA7-1B453FC20EE9}"/>
    <cellStyle name="Финансовый 60" xfId="22322" xr:uid="{00000000-0005-0000-0000-0000B95B0000}"/>
    <cellStyle name="Финансовый 61" xfId="22344" xr:uid="{00000000-0005-0000-0000-0000BA5B0000}"/>
    <cellStyle name="Финансовый 62" xfId="22366" xr:uid="{00000000-0005-0000-0000-0000BB5B0000}"/>
    <cellStyle name="Финансовый 63" xfId="22403" xr:uid="{00000000-0005-0000-0000-0000BC5B0000}"/>
    <cellStyle name="Финансовый 64" xfId="22426" xr:uid="{00000000-0005-0000-0000-0000BD5B0000}"/>
    <cellStyle name="Финансовый 65" xfId="22449" xr:uid="{00000000-0005-0000-0000-0000BE5B0000}"/>
    <cellStyle name="Финансовый 66" xfId="22509" xr:uid="{00000000-0005-0000-0000-0000BF5B0000}"/>
    <cellStyle name="Финансовый 67" xfId="22608" xr:uid="{00000000-0005-0000-0000-0000C05B0000}"/>
    <cellStyle name="Финансовый 68" xfId="23117" xr:uid="{00000000-0005-0000-0000-0000C15B0000}"/>
    <cellStyle name="Финансовый 69" xfId="23139" xr:uid="{00000000-0005-0000-0000-0000C25B0000}"/>
    <cellStyle name="Финансовый 7" xfId="462" xr:uid="{00000000-0005-0000-0000-0000C35B0000}"/>
    <cellStyle name="Финансовый 7 10" xfId="22446" xr:uid="{00000000-0005-0000-0000-0000C45B0000}"/>
    <cellStyle name="Финансовый 7 10 2" xfId="38951" xr:uid="{8B4778E9-1EF5-4848-B8DE-BEAE9A0C48D7}"/>
    <cellStyle name="Финансовый 7 11" xfId="22469" xr:uid="{00000000-0005-0000-0000-0000C55B0000}"/>
    <cellStyle name="Финансовый 7 11 2" xfId="38961" xr:uid="{8E393AC6-D2F6-4615-9954-A52DA490DB7F}"/>
    <cellStyle name="Финансовый 7 12" xfId="22842" xr:uid="{00000000-0005-0000-0000-0000C65B0000}"/>
    <cellStyle name="Финансовый 7 12 2" xfId="39308" xr:uid="{6C717EE6-8A3A-4FEE-B4F8-D05A1DBC0502}"/>
    <cellStyle name="Финансовый 7 13" xfId="23160" xr:uid="{00000000-0005-0000-0000-0000C75B0000}"/>
    <cellStyle name="Финансовый 7 13 2" xfId="39600" xr:uid="{394AC522-565C-4E0F-823B-81EE2B533E13}"/>
    <cellStyle name="Финансовый 7 14" xfId="23263" xr:uid="{00000000-0005-0000-0000-0000C85B0000}"/>
    <cellStyle name="Финансовый 7 14 2" xfId="39690" xr:uid="{DF633114-52DB-42E2-ADD6-F37EF1CA9B44}"/>
    <cellStyle name="Финансовый 7 15" xfId="23482" xr:uid="{00000000-0005-0000-0000-0000C95B0000}"/>
    <cellStyle name="Финансовый 7 15 2" xfId="39880" xr:uid="{2292EE3D-A611-4076-B1C0-1E90FDFB747E}"/>
    <cellStyle name="Финансовый 7 16" xfId="23554" xr:uid="{00000000-0005-0000-0000-0000CA5B0000}"/>
    <cellStyle name="Финансовый 7 16 2" xfId="39898" xr:uid="{54628E96-0B08-4CF9-BE39-7DE6D761E83A}"/>
    <cellStyle name="Финансовый 7 17" xfId="10887" xr:uid="{00000000-0005-0000-0000-0000CB5B0000}"/>
    <cellStyle name="Финансовый 7 18" xfId="5422" xr:uid="{00000000-0005-0000-0000-0000CC5B0000}"/>
    <cellStyle name="Финансовый 7 19" xfId="23576" xr:uid="{6A95AFBC-7A6D-40BC-8471-712C9FAD207A}"/>
    <cellStyle name="Финансовый 7 2" xfId="1294" xr:uid="{00000000-0005-0000-0000-0000CD5B0000}"/>
    <cellStyle name="Финансовый 7 2 2" xfId="10888" xr:uid="{00000000-0005-0000-0000-0000CE5B0000}"/>
    <cellStyle name="Финансовый 7 2 3" xfId="6050" xr:uid="{00000000-0005-0000-0000-0000CF5B0000}"/>
    <cellStyle name="Финансовый 7 2 4" xfId="23837" xr:uid="{46C7ED03-1E59-464F-99B4-78DB61E76277}"/>
    <cellStyle name="Финансовый 7 3" xfId="2049" xr:uid="{00000000-0005-0000-0000-0000D05B0000}"/>
    <cellStyle name="Финансовый 7 3 2" xfId="21287" xr:uid="{00000000-0005-0000-0000-0000D15B0000}"/>
    <cellStyle name="Финансовый 7 3 3" xfId="37929" xr:uid="{8A1705A0-BF02-4A47-B630-084C24CC95F7}"/>
    <cellStyle name="Финансовый 7 4" xfId="2686" xr:uid="{00000000-0005-0000-0000-0000D25B0000}"/>
    <cellStyle name="Финансовый 7 4 2" xfId="21909" xr:uid="{00000000-0005-0000-0000-0000D35B0000}"/>
    <cellStyle name="Финансовый 7 4 3" xfId="38519" xr:uid="{84499ADC-109F-47B2-A8F2-8FF97E7694A2}"/>
    <cellStyle name="Финансовый 7 5" xfId="3512" xr:uid="{00000000-0005-0000-0000-0000D45B0000}"/>
    <cellStyle name="Финансовый 7 5 2" xfId="22314" xr:uid="{00000000-0005-0000-0000-0000D55B0000}"/>
    <cellStyle name="Финансовый 7 5 3" xfId="38904" xr:uid="{B02FE831-2591-42DD-8B3A-FDA49E8DE15F}"/>
    <cellStyle name="Финансовый 7 6" xfId="22342" xr:uid="{00000000-0005-0000-0000-0000D65B0000}"/>
    <cellStyle name="Финансовый 7 6 2" xfId="38913" xr:uid="{D44A3CC6-728C-489E-9C66-FB06C75B2D16}"/>
    <cellStyle name="Финансовый 7 7" xfId="22364" xr:uid="{00000000-0005-0000-0000-0000D75B0000}"/>
    <cellStyle name="Финансовый 7 7 2" xfId="38922" xr:uid="{E3199B83-06F6-4758-876F-1B810856B851}"/>
    <cellStyle name="Финансовый 7 8" xfId="22386" xr:uid="{00000000-0005-0000-0000-0000D85B0000}"/>
    <cellStyle name="Финансовый 7 8 2" xfId="38931" xr:uid="{802ADA83-DA29-4AA9-9263-E0457306B3AF}"/>
    <cellStyle name="Финансовый 7 9" xfId="22423" xr:uid="{00000000-0005-0000-0000-0000D95B0000}"/>
    <cellStyle name="Финансовый 7 9 2" xfId="38941" xr:uid="{6F3DBA3B-F288-4A93-B41B-6BC318FC4E92}"/>
    <cellStyle name="Финансовый 70" xfId="23165" xr:uid="{00000000-0005-0000-0000-0000DA5B0000}"/>
    <cellStyle name="Финансовый 71" xfId="23462" xr:uid="{00000000-0005-0000-0000-0000DB5B0000}"/>
    <cellStyle name="Финансовый 72" xfId="23534" xr:uid="{00000000-0005-0000-0000-0000DC5B0000}"/>
    <cellStyle name="Финансовый 73" xfId="7199" xr:uid="{00000000-0005-0000-0000-0000DD5B0000}"/>
    <cellStyle name="Финансовый 74" xfId="23568" xr:uid="{EE36008C-FA23-4C34-A25E-6550316D134F}"/>
    <cellStyle name="Финансовый 8" xfId="442" xr:uid="{00000000-0005-0000-0000-0000DE5B0000}"/>
    <cellStyle name="Финансовый 8 10" xfId="22468" xr:uid="{00000000-0005-0000-0000-0000DF5B0000}"/>
    <cellStyle name="Финансовый 8 10 2" xfId="38960" xr:uid="{5DFF6C91-B631-494C-9300-00B84574A755}"/>
    <cellStyle name="Финансовый 8 11" xfId="22829" xr:uid="{00000000-0005-0000-0000-0000E05B0000}"/>
    <cellStyle name="Финансовый 8 11 2" xfId="39295" xr:uid="{BC8550DC-F190-4735-B2EA-98E78808F5E3}"/>
    <cellStyle name="Финансовый 8 12" xfId="23159" xr:uid="{00000000-0005-0000-0000-0000E15B0000}"/>
    <cellStyle name="Финансовый 8 12 2" xfId="39599" xr:uid="{266F0594-F87A-49B1-8BA7-981EED27FE62}"/>
    <cellStyle name="Финансовый 8 13" xfId="23253" xr:uid="{00000000-0005-0000-0000-0000E25B0000}"/>
    <cellStyle name="Финансовый 8 13 2" xfId="39680" xr:uid="{DA04B2FF-9DC8-4C2F-BD94-BE504AB05EC6}"/>
    <cellStyle name="Финансовый 8 14" xfId="23481" xr:uid="{00000000-0005-0000-0000-0000E35B0000}"/>
    <cellStyle name="Финансовый 8 14 2" xfId="39879" xr:uid="{93FD0DA0-42C4-49E0-B356-4F7659589728}"/>
    <cellStyle name="Финансовый 8 15" xfId="23553" xr:uid="{00000000-0005-0000-0000-0000E45B0000}"/>
    <cellStyle name="Финансовый 8 15 2" xfId="39897" xr:uid="{F624E614-A92B-4FA3-B8A0-5F6730B77575}"/>
    <cellStyle name="Финансовый 8 16" xfId="10889" xr:uid="{00000000-0005-0000-0000-0000E55B0000}"/>
    <cellStyle name="Финансовый 8 17" xfId="5421" xr:uid="{00000000-0005-0000-0000-0000E65B0000}"/>
    <cellStyle name="Финансовый 8 18" xfId="23575" xr:uid="{77FB0DF2-A3A9-44C9-8DC9-AB1099E95CF8}"/>
    <cellStyle name="Финансовый 8 2" xfId="1274" xr:uid="{00000000-0005-0000-0000-0000E75B0000}"/>
    <cellStyle name="Финансовый 8 2 2" xfId="21267" xr:uid="{00000000-0005-0000-0000-0000E85B0000}"/>
    <cellStyle name="Финансовый 8 2 2 2" xfId="37909" xr:uid="{F44BC215-551F-42FD-8A14-ACB42E3597A0}"/>
    <cellStyle name="Финансовый 8 2 3" xfId="6030" xr:uid="{00000000-0005-0000-0000-0000E95B0000}"/>
    <cellStyle name="Финансовый 8 2 4" xfId="23817" xr:uid="{3F5364E0-24D1-4C18-B393-CAFCAE398476}"/>
    <cellStyle name="Финансовый 8 3" xfId="2034" xr:uid="{00000000-0005-0000-0000-0000EA5B0000}"/>
    <cellStyle name="Финансовый 8 3 2" xfId="21889" xr:uid="{00000000-0005-0000-0000-0000EB5B0000}"/>
    <cellStyle name="Финансовый 8 3 3" xfId="38499" xr:uid="{BC56A6A9-5D30-409F-8061-EAF850AE9162}"/>
    <cellStyle name="Финансовый 8 4" xfId="2672" xr:uid="{00000000-0005-0000-0000-0000EC5B0000}"/>
    <cellStyle name="Финансовый 8 4 2" xfId="22312" xr:uid="{00000000-0005-0000-0000-0000ED5B0000}"/>
    <cellStyle name="Финансовый 8 4 3" xfId="38903" xr:uid="{ED032D4B-6147-4756-A9EE-CE7F93A454FA}"/>
    <cellStyle name="Финансовый 8 5" xfId="3495" xr:uid="{00000000-0005-0000-0000-0000EE5B0000}"/>
    <cellStyle name="Финансовый 8 5 2" xfId="22341" xr:uid="{00000000-0005-0000-0000-0000EF5B0000}"/>
    <cellStyle name="Финансовый 8 5 3" xfId="38912" xr:uid="{B882F6D3-AE60-49DD-8306-F81D06816C58}"/>
    <cellStyle name="Финансовый 8 6" xfId="22363" xr:uid="{00000000-0005-0000-0000-0000F05B0000}"/>
    <cellStyle name="Финансовый 8 6 2" xfId="38921" xr:uid="{11E55AF6-1ABE-4AC1-9D5F-1E97A13ED367}"/>
    <cellStyle name="Финансовый 8 7" xfId="22385" xr:uid="{00000000-0005-0000-0000-0000F15B0000}"/>
    <cellStyle name="Финансовый 8 7 2" xfId="38930" xr:uid="{5E2BCCFF-4E1B-430B-98E4-7F5CB78E0396}"/>
    <cellStyle name="Финансовый 8 8" xfId="22422" xr:uid="{00000000-0005-0000-0000-0000F25B0000}"/>
    <cellStyle name="Финансовый 8 8 2" xfId="38940" xr:uid="{7E2A88B0-4A5A-4410-94DB-DFE6BA1B3FA6}"/>
    <cellStyle name="Финансовый 8 9" xfId="22445" xr:uid="{00000000-0005-0000-0000-0000F35B0000}"/>
    <cellStyle name="Финансовый 8 9 2" xfId="38950" xr:uid="{775D973F-4FDC-425A-8415-06891823A666}"/>
    <cellStyle name="Финансовый 9" xfId="424" xr:uid="{00000000-0005-0000-0000-0000F45B0000}"/>
    <cellStyle name="Финансовый 9 10" xfId="22467" xr:uid="{00000000-0005-0000-0000-0000F55B0000}"/>
    <cellStyle name="Финансовый 9 10 2" xfId="38959" xr:uid="{C025AD07-1DA8-45C8-8246-225655B5C5B5}"/>
    <cellStyle name="Финансовый 9 11" xfId="22819" xr:uid="{00000000-0005-0000-0000-0000F65B0000}"/>
    <cellStyle name="Финансовый 9 11 2" xfId="39285" xr:uid="{BA74426C-45A6-47A3-AF93-F51283CB92F0}"/>
    <cellStyle name="Финансовый 9 12" xfId="23158" xr:uid="{00000000-0005-0000-0000-0000F75B0000}"/>
    <cellStyle name="Финансовый 9 12 2" xfId="39598" xr:uid="{2A1AD9B3-DA67-4FC7-99C4-383EFA1BE3B3}"/>
    <cellStyle name="Финансовый 9 13" xfId="23247" xr:uid="{00000000-0005-0000-0000-0000F85B0000}"/>
    <cellStyle name="Финансовый 9 13 2" xfId="39674" xr:uid="{898B1CAC-2E9D-4763-BBAB-492B7ACD7AE0}"/>
    <cellStyle name="Финансовый 9 14" xfId="23480" xr:uid="{00000000-0005-0000-0000-0000F95B0000}"/>
    <cellStyle name="Финансовый 9 14 2" xfId="39878" xr:uid="{F1204253-1C36-4C7B-A072-9BC5C49CF476}"/>
    <cellStyle name="Финансовый 9 15" xfId="23552" xr:uid="{00000000-0005-0000-0000-0000FA5B0000}"/>
    <cellStyle name="Финансовый 9 15 2" xfId="39896" xr:uid="{0DCA21F4-27C2-47F5-8811-E517324A97B0}"/>
    <cellStyle name="Финансовый 9 16" xfId="10890" xr:uid="{00000000-0005-0000-0000-0000FB5B0000}"/>
    <cellStyle name="Финансовый 9 17" xfId="5420" xr:uid="{00000000-0005-0000-0000-0000FC5B0000}"/>
    <cellStyle name="Финансовый 9 18" xfId="23574" xr:uid="{7401C551-7A64-44FC-B64A-D171804FC0FD}"/>
    <cellStyle name="Финансовый 9 2" xfId="1257" xr:uid="{00000000-0005-0000-0000-0000FD5B0000}"/>
    <cellStyle name="Финансовый 9 2 2" xfId="21250" xr:uid="{00000000-0005-0000-0000-0000FE5B0000}"/>
    <cellStyle name="Финансовый 9 2 2 2" xfId="37892" xr:uid="{06A2C0EF-B211-4015-9E98-843D8547F1C6}"/>
    <cellStyle name="Финансовый 9 2 3" xfId="6013" xr:uid="{00000000-0005-0000-0000-0000FF5B0000}"/>
    <cellStyle name="Финансовый 9 2 4" xfId="23800" xr:uid="{D86EB6A7-956C-4B1E-9193-22C93E0E73E9}"/>
    <cellStyle name="Финансовый 9 3" xfId="2023" xr:uid="{00000000-0005-0000-0000-0000005C0000}"/>
    <cellStyle name="Финансовый 9 3 2" xfId="21872" xr:uid="{00000000-0005-0000-0000-0000015C0000}"/>
    <cellStyle name="Финансовый 9 3 3" xfId="38482" xr:uid="{5847AFA8-49D9-405E-B596-0EBBA018E2DB}"/>
    <cellStyle name="Финансовый 9 4" xfId="2663" xr:uid="{00000000-0005-0000-0000-0000025C0000}"/>
    <cellStyle name="Финансовый 9 4 2" xfId="22311" xr:uid="{00000000-0005-0000-0000-0000035C0000}"/>
    <cellStyle name="Финансовый 9 4 3" xfId="38902" xr:uid="{3F2534BD-0D3A-4955-9F3B-2A5C2F52D153}"/>
    <cellStyle name="Финансовый 9 5" xfId="3479" xr:uid="{00000000-0005-0000-0000-0000045C0000}"/>
    <cellStyle name="Финансовый 9 5 2" xfId="22340" xr:uid="{00000000-0005-0000-0000-0000055C0000}"/>
    <cellStyle name="Финансовый 9 5 3" xfId="38911" xr:uid="{DC236528-A971-4F39-AAD8-9A83201E10C9}"/>
    <cellStyle name="Финансовый 9 6" xfId="22362" xr:uid="{00000000-0005-0000-0000-0000065C0000}"/>
    <cellStyle name="Финансовый 9 6 2" xfId="38920" xr:uid="{93EB4D74-3D76-4175-8591-7742CEA41F2F}"/>
    <cellStyle name="Финансовый 9 7" xfId="22384" xr:uid="{00000000-0005-0000-0000-0000075C0000}"/>
    <cellStyle name="Финансовый 9 7 2" xfId="38929" xr:uid="{5659FCF5-8CC4-46B0-9F2D-340153CFBE94}"/>
    <cellStyle name="Финансовый 9 8" xfId="22421" xr:uid="{00000000-0005-0000-0000-0000085C0000}"/>
    <cellStyle name="Финансовый 9 8 2" xfId="38939" xr:uid="{DEB03F00-2AB9-4E19-8BEF-ED4F85A0E8FC}"/>
    <cellStyle name="Финансовый 9 9" xfId="22444" xr:uid="{00000000-0005-0000-0000-0000095C0000}"/>
    <cellStyle name="Финансовый 9 9 2" xfId="38949" xr:uid="{321BE015-6C2C-4D4F-A46D-B376A395CB39}"/>
    <cellStyle name="Хороший" xfId="382" builtinId="26" customBuiltin="1"/>
    <cellStyle name="Хороший 2" xfId="106" xr:uid="{00000000-0005-0000-0000-00000B5C0000}"/>
    <cellStyle name="Хороший 2 2" xfId="7356" xr:uid="{00000000-0005-0000-0000-00000C5C0000}"/>
    <cellStyle name="Хороший 2 3" xfId="7241" xr:uid="{00000000-0005-0000-0000-00000D5C0000}"/>
    <cellStyle name="Хороший 3" xfId="57" xr:uid="{00000000-0005-0000-0000-00000E5C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4"/>
  <sheetViews>
    <sheetView tabSelected="1" zoomScale="90" zoomScaleNormal="90" workbookViewId="0">
      <selection activeCell="A10" sqref="A10"/>
    </sheetView>
  </sheetViews>
  <sheetFormatPr defaultRowHeight="15"/>
  <cols>
    <col min="1" max="1" width="85" bestFit="1" customWidth="1"/>
    <col min="2" max="2" width="19.7109375" customWidth="1"/>
    <col min="3" max="3" width="18.42578125" customWidth="1"/>
    <col min="4" max="4" width="18.5703125" customWidth="1"/>
    <col min="5" max="5" width="16.42578125" customWidth="1"/>
    <col min="6" max="6" width="18.42578125" customWidth="1"/>
    <col min="7" max="7" width="17.7109375" customWidth="1"/>
    <col min="8" max="8" width="15.7109375" customWidth="1"/>
    <col min="9" max="9" width="19" customWidth="1"/>
    <col min="10" max="10" width="19.140625" customWidth="1"/>
    <col min="11" max="11" width="16.7109375" customWidth="1"/>
    <col min="12" max="12" width="21.85546875" customWidth="1"/>
    <col min="13" max="13" width="21.28515625" customWidth="1"/>
    <col min="15" max="15" width="18.140625" customWidth="1"/>
  </cols>
  <sheetData>
    <row r="1" spans="1:15">
      <c r="A1" t="s">
        <v>1829</v>
      </c>
      <c r="B1" s="30">
        <v>45911</v>
      </c>
    </row>
    <row r="2" spans="1:15">
      <c r="A2" s="13" t="s">
        <v>281</v>
      </c>
    </row>
    <row r="4" spans="1:15" ht="15.75" thickBot="1">
      <c r="A4" s="12" t="s">
        <v>265</v>
      </c>
    </row>
    <row r="5" spans="1:15" ht="34.5" thickBot="1">
      <c r="A5" s="1" t="s">
        <v>268</v>
      </c>
      <c r="B5" s="1" t="s">
        <v>0</v>
      </c>
      <c r="C5" s="1" t="s">
        <v>286</v>
      </c>
      <c r="D5" s="2" t="s">
        <v>1</v>
      </c>
      <c r="E5" s="2" t="s">
        <v>261</v>
      </c>
      <c r="F5" s="2" t="s">
        <v>260</v>
      </c>
      <c r="G5" s="2" t="s">
        <v>2</v>
      </c>
      <c r="H5" s="2" t="s">
        <v>279</v>
      </c>
      <c r="I5" s="2" t="s">
        <v>2455</v>
      </c>
      <c r="J5" s="2" t="s">
        <v>2456</v>
      </c>
      <c r="K5" s="2" t="s">
        <v>3</v>
      </c>
      <c r="L5" s="2" t="s">
        <v>287</v>
      </c>
      <c r="M5" s="2" t="s">
        <v>4</v>
      </c>
    </row>
    <row r="6" spans="1:15" ht="23.25" customHeight="1" thickBot="1">
      <c r="A6" s="3" t="s">
        <v>1610</v>
      </c>
      <c r="B6" s="3" t="s">
        <v>5</v>
      </c>
      <c r="C6" s="4">
        <v>4810000</v>
      </c>
      <c r="D6" s="4">
        <v>1000</v>
      </c>
      <c r="E6" s="4">
        <v>10.67</v>
      </c>
      <c r="F6" s="5">
        <v>45491</v>
      </c>
      <c r="G6" s="5"/>
      <c r="H6" s="4">
        <v>4919975038.3299999</v>
      </c>
      <c r="I6" s="6">
        <f>VLOOKUP(B6,'KASE (цены)'!$C:$G,4,0)</f>
        <v>98.024100000000004</v>
      </c>
      <c r="J6" s="6">
        <f>VLOOKUP(B6,'KASE (цены)'!$C:$G,5,0)</f>
        <v>99.506</v>
      </c>
      <c r="K6" s="101">
        <f>71281527.78+0.01</f>
        <v>71281527.790000007</v>
      </c>
      <c r="L6" s="34">
        <f>ROUND(D6*C6*I6/100+K6,2)</f>
        <v>4786240737.79</v>
      </c>
      <c r="M6" s="7">
        <f t="shared" ref="M6:M23" si="0">L6/$L$32</f>
        <v>0.10236739770788429</v>
      </c>
      <c r="O6" s="95"/>
    </row>
    <row r="7" spans="1:15" ht="15.75" thickBot="1">
      <c r="A7" s="3" t="s">
        <v>1611</v>
      </c>
      <c r="B7" s="3" t="s">
        <v>7</v>
      </c>
      <c r="C7" s="4">
        <v>3607500</v>
      </c>
      <c r="D7" s="4">
        <v>1000</v>
      </c>
      <c r="E7" s="4">
        <v>10.4</v>
      </c>
      <c r="F7" s="5">
        <v>45491</v>
      </c>
      <c r="G7" s="5"/>
      <c r="H7" s="4">
        <v>3401920600</v>
      </c>
      <c r="I7" s="6">
        <f>VLOOKUP(B7,'KASE (цены)'!$C:$G,4,0)</f>
        <v>86.313400000000001</v>
      </c>
      <c r="J7" s="6">
        <f>VLOOKUP(B7,'KASE (цены)'!$C:$G,5,0)</f>
        <v>90.617800000000003</v>
      </c>
      <c r="K7" s="101">
        <v>155282833.33000001</v>
      </c>
      <c r="L7" s="34">
        <f t="shared" ref="L7:L31" si="1">ROUND(D7*C7*I7/100+K7,2)</f>
        <v>3269038738.3299999</v>
      </c>
      <c r="M7" s="7">
        <f t="shared" si="0"/>
        <v>6.9917709321831042E-2</v>
      </c>
      <c r="O7" s="95"/>
    </row>
    <row r="8" spans="1:15" ht="23.25" customHeight="1" thickBot="1">
      <c r="A8" s="3" t="s">
        <v>1612</v>
      </c>
      <c r="B8" s="3" t="s">
        <v>9</v>
      </c>
      <c r="C8" s="4">
        <v>3607500</v>
      </c>
      <c r="D8" s="4">
        <v>1000</v>
      </c>
      <c r="E8" s="4">
        <v>10.55</v>
      </c>
      <c r="F8" s="5">
        <v>45491</v>
      </c>
      <c r="G8" s="5"/>
      <c r="H8" s="4">
        <v>3617865950.8299999</v>
      </c>
      <c r="I8" s="6">
        <f>VLOOKUP(B8,'KASE (цены)'!$C:$G,4,0)</f>
        <v>82.316800000000001</v>
      </c>
      <c r="J8" s="6">
        <f>VLOOKUP(B8,'KASE (цены)'!$C:$G,5,0)</f>
        <v>83.576899999999995</v>
      </c>
      <c r="K8" s="101">
        <v>45459510.420000002</v>
      </c>
      <c r="L8" s="34">
        <f>ROUND(D8*C8*I8/100+K8,2)</f>
        <v>3015038070.4200001</v>
      </c>
      <c r="M8" s="7">
        <f t="shared" si="0"/>
        <v>6.448518120331917E-2</v>
      </c>
    </row>
    <row r="9" spans="1:15" ht="23.25" customHeight="1" thickBot="1">
      <c r="A9" s="3" t="s">
        <v>1613</v>
      </c>
      <c r="B9" s="3" t="s">
        <v>8</v>
      </c>
      <c r="C9" s="4">
        <v>3607500</v>
      </c>
      <c r="D9" s="4">
        <v>1000</v>
      </c>
      <c r="E9" s="4">
        <v>11</v>
      </c>
      <c r="F9" s="5">
        <v>45491</v>
      </c>
      <c r="G9" s="5"/>
      <c r="H9" s="4">
        <v>3433311862.4999995</v>
      </c>
      <c r="I9" s="6">
        <f>VLOOKUP(B9,'KASE (цены)'!$C:$G,4,0)</f>
        <v>84.319199999999995</v>
      </c>
      <c r="J9" s="6">
        <f>VLOOKUP(B9,'KASE (цены)'!$C:$G,5,0)</f>
        <v>89.238600000000005</v>
      </c>
      <c r="K9" s="101">
        <v>177468958.33000001</v>
      </c>
      <c r="L9" s="34">
        <f t="shared" si="1"/>
        <v>3219284098.3299999</v>
      </c>
      <c r="M9" s="7">
        <f t="shared" si="0"/>
        <v>6.885356455776212E-2</v>
      </c>
      <c r="O9" s="95"/>
    </row>
    <row r="10" spans="1:15" ht="23.25" customHeight="1" thickBot="1">
      <c r="A10" s="3" t="s">
        <v>1614</v>
      </c>
      <c r="B10" s="3" t="s">
        <v>182</v>
      </c>
      <c r="C10" s="4">
        <v>2000000</v>
      </c>
      <c r="D10" s="4">
        <v>1000</v>
      </c>
      <c r="E10" s="4">
        <v>9</v>
      </c>
      <c r="F10" s="5">
        <v>45491</v>
      </c>
      <c r="G10" s="5"/>
      <c r="H10" s="4">
        <v>1886150000</v>
      </c>
      <c r="I10" s="6">
        <f>VLOOKUP(B10,'KASE (цены)'!$C:$G,4,0)</f>
        <v>89.579599999999999</v>
      </c>
      <c r="J10" s="6">
        <f>VLOOKUP(B10,'KASE (цены)'!$C:$G,5,0)</f>
        <v>94.204599999999999</v>
      </c>
      <c r="K10" s="101">
        <v>92500000</v>
      </c>
      <c r="L10" s="34">
        <f t="shared" si="1"/>
        <v>1884092000</v>
      </c>
      <c r="M10" s="7">
        <f t="shared" si="0"/>
        <v>4.0296676587834736E-2</v>
      </c>
      <c r="O10" s="95"/>
    </row>
    <row r="11" spans="1:15" ht="23.25" customHeight="1" thickBot="1">
      <c r="A11" s="3" t="s">
        <v>1615</v>
      </c>
      <c r="B11" s="3" t="s">
        <v>10</v>
      </c>
      <c r="C11" s="4">
        <v>3607500</v>
      </c>
      <c r="D11" s="4">
        <v>1000</v>
      </c>
      <c r="E11" s="4">
        <v>10.3</v>
      </c>
      <c r="F11" s="5">
        <v>45491</v>
      </c>
      <c r="G11" s="5"/>
      <c r="H11" s="4">
        <v>3252967325.8299999</v>
      </c>
      <c r="I11" s="6">
        <f>VLOOKUP(B11,'KASE (цены)'!$C:$G,4,0)</f>
        <v>76.994100000000003</v>
      </c>
      <c r="J11" s="6">
        <f>VLOOKUP(B11,'KASE (цены)'!$C:$G,5,0)</f>
        <v>81.972399999999993</v>
      </c>
      <c r="K11" s="101">
        <v>179593375</v>
      </c>
      <c r="L11" s="34">
        <f>ROUND(D11*C11*I11/100+K11,2)</f>
        <v>2957155532.5</v>
      </c>
      <c r="M11" s="7">
        <f t="shared" si="0"/>
        <v>6.324719817985465E-2</v>
      </c>
      <c r="O11" s="95"/>
    </row>
    <row r="12" spans="1:15" ht="23.25" customHeight="1" thickBot="1">
      <c r="A12" s="3" t="s">
        <v>1616</v>
      </c>
      <c r="B12" s="3" t="s">
        <v>12</v>
      </c>
      <c r="C12" s="4">
        <v>3607500</v>
      </c>
      <c r="D12" s="4">
        <v>1000</v>
      </c>
      <c r="E12" s="4">
        <v>10.65</v>
      </c>
      <c r="F12" s="5">
        <v>45533</v>
      </c>
      <c r="G12" s="5"/>
      <c r="H12" s="4">
        <v>3509766812.4999995</v>
      </c>
      <c r="I12" s="6">
        <f>VLOOKUP(B12,'KASE (цены)'!$C:$G,4,0)</f>
        <v>75.447500000000005</v>
      </c>
      <c r="J12" s="6">
        <f>VLOOKUP(B12,'KASE (цены)'!$C:$G,5,0)</f>
        <v>76.778800000000004</v>
      </c>
      <c r="K12" s="101">
        <v>48024843.75</v>
      </c>
      <c r="L12" s="34">
        <f t="shared" si="1"/>
        <v>2769793406.25</v>
      </c>
      <c r="M12" s="7">
        <f t="shared" si="0"/>
        <v>5.9239925177100368E-2</v>
      </c>
      <c r="O12" s="95"/>
    </row>
    <row r="13" spans="1:15" ht="23.25" customHeight="1" thickBot="1">
      <c r="A13" s="3" t="s">
        <v>1617</v>
      </c>
      <c r="B13" s="3" t="s">
        <v>190</v>
      </c>
      <c r="C13" s="4">
        <v>1000000</v>
      </c>
      <c r="D13" s="4">
        <v>1000</v>
      </c>
      <c r="E13" s="4">
        <v>7.47</v>
      </c>
      <c r="F13" s="5">
        <v>45491</v>
      </c>
      <c r="G13" s="5"/>
      <c r="H13" s="4">
        <v>884755500</v>
      </c>
      <c r="I13" s="6">
        <f>VLOOKUP(B13,'KASE (цены)'!$C:$G,4,0)</f>
        <v>85.752399999999994</v>
      </c>
      <c r="J13" s="6">
        <f>VLOOKUP(B13,'KASE (цены)'!$C:$G,5,0)</f>
        <v>87.433199999999999</v>
      </c>
      <c r="K13" s="101">
        <v>16807500</v>
      </c>
      <c r="L13" s="34">
        <f t="shared" si="1"/>
        <v>874331500</v>
      </c>
      <c r="M13" s="7">
        <f t="shared" si="0"/>
        <v>1.8700070742859915E-2</v>
      </c>
      <c r="O13" s="95"/>
    </row>
    <row r="14" spans="1:15" ht="23.25" customHeight="1" thickBot="1">
      <c r="A14" s="3" t="s">
        <v>1618</v>
      </c>
      <c r="B14" s="3" t="s">
        <v>11</v>
      </c>
      <c r="C14" s="4">
        <v>3607500</v>
      </c>
      <c r="D14" s="4">
        <v>1000</v>
      </c>
      <c r="E14" s="4">
        <v>8.4499999999999993</v>
      </c>
      <c r="F14" s="5">
        <v>45491</v>
      </c>
      <c r="G14" s="5"/>
      <c r="H14" s="4">
        <v>2849619965.8299999</v>
      </c>
      <c r="I14" s="6">
        <f>VLOOKUP(B14,'KASE (цены)'!$C:$G,4,0)</f>
        <v>67.568299999999994</v>
      </c>
      <c r="J14" s="6">
        <f>VLOOKUP(B14,'KASE (цены)'!$C:$G,5,0)</f>
        <v>70.971800000000002</v>
      </c>
      <c r="K14" s="101">
        <v>122780260.42</v>
      </c>
      <c r="L14" s="34">
        <f t="shared" si="1"/>
        <v>2560306682.9200001</v>
      </c>
      <c r="M14" s="7">
        <f t="shared" si="0"/>
        <v>5.4759454616493869E-2</v>
      </c>
      <c r="O14" s="95"/>
    </row>
    <row r="15" spans="1:15" ht="23.25" customHeight="1" thickBot="1">
      <c r="A15" s="3" t="s">
        <v>1619</v>
      </c>
      <c r="B15" s="3" t="s">
        <v>6</v>
      </c>
      <c r="C15" s="4">
        <v>6012500</v>
      </c>
      <c r="D15" s="4">
        <v>1000</v>
      </c>
      <c r="E15" s="4">
        <v>5.49</v>
      </c>
      <c r="F15" s="5">
        <v>45491</v>
      </c>
      <c r="G15" s="5"/>
      <c r="H15" s="4">
        <v>5097598918.75</v>
      </c>
      <c r="I15" s="6">
        <f>VLOOKUP(B15,'KASE (цены)'!$C:$G,4,0)</f>
        <v>84.878100000000003</v>
      </c>
      <c r="J15" s="6">
        <f>VLOOKUP(B15,'KASE (цены)'!$C:$G,5,0)</f>
        <v>87.379099999999994</v>
      </c>
      <c r="K15" s="101">
        <v>150372625</v>
      </c>
      <c r="L15" s="34">
        <f t="shared" si="1"/>
        <v>5253668387.5</v>
      </c>
      <c r="M15" s="7">
        <f t="shared" si="0"/>
        <v>0.11236467004308638</v>
      </c>
      <c r="O15" s="95"/>
    </row>
    <row r="16" spans="1:15" ht="23.25" customHeight="1" thickBot="1">
      <c r="A16" s="3" t="s">
        <v>1620</v>
      </c>
      <c r="B16" s="3" t="s">
        <v>13</v>
      </c>
      <c r="C16" s="4">
        <v>3607500</v>
      </c>
      <c r="D16" s="4">
        <v>1000</v>
      </c>
      <c r="E16" s="4">
        <v>8.07</v>
      </c>
      <c r="F16" s="5">
        <v>45491</v>
      </c>
      <c r="G16" s="5"/>
      <c r="H16" s="4">
        <v>2637316987.5000005</v>
      </c>
      <c r="I16" s="6">
        <f>VLOOKUP(B16,'KASE (цены)'!$C:$G,4,0)</f>
        <v>61.186700000000002</v>
      </c>
      <c r="J16" s="6">
        <f>VLOOKUP(B16,'KASE (цены)'!$C:$G,5,0)</f>
        <v>63.854300000000002</v>
      </c>
      <c r="K16" s="101">
        <v>96233068.75</v>
      </c>
      <c r="L16" s="34">
        <f t="shared" si="1"/>
        <v>2303543271.25</v>
      </c>
      <c r="M16" s="7">
        <f t="shared" si="0"/>
        <v>4.9267837349579589E-2</v>
      </c>
    </row>
    <row r="17" spans="1:15" ht="32.25" customHeight="1" thickBot="1">
      <c r="A17" s="3" t="s">
        <v>1621</v>
      </c>
      <c r="B17" s="3" t="s">
        <v>14</v>
      </c>
      <c r="C17" s="4">
        <v>3607500</v>
      </c>
      <c r="D17" s="4">
        <v>1000</v>
      </c>
      <c r="E17" s="4">
        <v>8.07</v>
      </c>
      <c r="F17" s="5">
        <v>45503</v>
      </c>
      <c r="G17" s="5"/>
      <c r="H17" s="4">
        <v>2681451743.75</v>
      </c>
      <c r="I17" s="6">
        <f>VLOOKUP(B17,'KASE (цены)'!$C:$G,4,0)</f>
        <v>59.763599999999997</v>
      </c>
      <c r="J17" s="6">
        <f>VLOOKUP(B17,'KASE (цены)'!$C:$G,5,0)</f>
        <v>64.740099999999998</v>
      </c>
      <c r="K17" s="101">
        <v>179527237.5</v>
      </c>
      <c r="L17" s="34">
        <f t="shared" si="1"/>
        <v>2335499107.5</v>
      </c>
      <c r="M17" s="7">
        <f t="shared" si="0"/>
        <v>4.995130397353429E-2</v>
      </c>
      <c r="O17" s="95"/>
    </row>
    <row r="18" spans="1:15" ht="32.25" customHeight="1" thickBot="1">
      <c r="A18" s="3" t="s">
        <v>1622</v>
      </c>
      <c r="B18" s="3" t="s">
        <v>1623</v>
      </c>
      <c r="C18" s="102">
        <v>3000000</v>
      </c>
      <c r="D18" s="102">
        <v>1000</v>
      </c>
      <c r="E18" s="102">
        <v>14.3</v>
      </c>
      <c r="F18" s="103">
        <v>45538</v>
      </c>
      <c r="G18" s="103"/>
      <c r="H18" s="102">
        <v>3000000000</v>
      </c>
      <c r="I18" s="104">
        <f>VLOOKUP(B18,'KASE (цены)'!$C:$G,4,0)</f>
        <v>94.470270575134364</v>
      </c>
      <c r="J18" s="104">
        <f>VLOOKUP(B18,'KASE (цены)'!$C:$G,5,0)</f>
        <v>94.78807057513437</v>
      </c>
      <c r="K18" s="101">
        <v>9533333.3300000001</v>
      </c>
      <c r="L18" s="34">
        <f>ROUND(D18*C18*I18/100+K18,2)</f>
        <v>2843641450.5799999</v>
      </c>
      <c r="M18" s="7">
        <f t="shared" si="0"/>
        <v>6.0819376052646833E-2</v>
      </c>
    </row>
    <row r="19" spans="1:15" ht="32.25" customHeight="1" thickBot="1">
      <c r="A19" s="3" t="s">
        <v>1773</v>
      </c>
      <c r="B19" s="3" t="s">
        <v>1774</v>
      </c>
      <c r="C19" s="4">
        <f>2000000-200000-50000</f>
        <v>1750000</v>
      </c>
      <c r="D19" s="4">
        <v>1000</v>
      </c>
      <c r="E19" s="4">
        <v>13.89</v>
      </c>
      <c r="F19" s="5">
        <v>45624</v>
      </c>
      <c r="G19" s="5"/>
      <c r="H19" s="4">
        <v>2000000000</v>
      </c>
      <c r="I19" s="6">
        <f>VLOOKUP(B19,'KASE (цены)'!$C:$G,4,0)</f>
        <v>98.107243218511599</v>
      </c>
      <c r="J19" s="6">
        <f>VLOOKUP(B19,'KASE (цены)'!$C:$G,5,0)</f>
        <v>102.08134321851161</v>
      </c>
      <c r="K19" s="101">
        <v>69546458.329999998</v>
      </c>
      <c r="L19" s="34">
        <f>ROUND(D19*C19*I19/100+K19,2)</f>
        <v>1786423214.6500001</v>
      </c>
      <c r="M19" s="7">
        <f t="shared" si="0"/>
        <v>3.8207751282713968E-2</v>
      </c>
      <c r="O19" s="95"/>
    </row>
    <row r="20" spans="1:15" ht="32.25" customHeight="1" thickBot="1">
      <c r="A20" s="3" t="s">
        <v>1888</v>
      </c>
      <c r="B20" s="3" t="s">
        <v>214</v>
      </c>
      <c r="C20" s="4">
        <v>1000000</v>
      </c>
      <c r="D20" s="4">
        <v>1000</v>
      </c>
      <c r="E20" s="4">
        <v>7.22</v>
      </c>
      <c r="F20" s="5">
        <v>45729</v>
      </c>
      <c r="G20" s="5"/>
      <c r="H20" s="4">
        <v>799586666.66999996</v>
      </c>
      <c r="I20" s="6">
        <f>VLOOKUP(B20,'KASE (цены)'!$C:$G,4,0)</f>
        <v>76.507499999999993</v>
      </c>
      <c r="J20" s="6">
        <f>VLOOKUP(B20,'KASE (цены)'!$C:$G,5,0)</f>
        <v>81.942599999999999</v>
      </c>
      <c r="K20" s="101">
        <v>54350555.560000002</v>
      </c>
      <c r="L20" s="34">
        <f>ROUND(D20*C20*I20/100+K20,2)</f>
        <v>819425555.55999994</v>
      </c>
      <c r="M20" s="7">
        <f t="shared" si="0"/>
        <v>1.7525750653475582E-2</v>
      </c>
      <c r="O20" s="95"/>
    </row>
    <row r="21" spans="1:15" ht="32.25" customHeight="1" thickBot="1">
      <c r="A21" s="3" t="s">
        <v>1899</v>
      </c>
      <c r="B21" s="3" t="s">
        <v>212</v>
      </c>
      <c r="C21" s="4">
        <v>1000000</v>
      </c>
      <c r="D21" s="4">
        <v>1000</v>
      </c>
      <c r="E21" s="4">
        <v>6.5</v>
      </c>
      <c r="F21" s="5">
        <v>45736</v>
      </c>
      <c r="G21" s="5"/>
      <c r="H21" s="4">
        <v>844119111.11000001</v>
      </c>
      <c r="I21" s="6">
        <f>VLOOKUP(B21,'KASE (цены)'!$C:$G,4,0)</f>
        <v>81.943799999999996</v>
      </c>
      <c r="J21" s="6">
        <f>VLOOKUP(B21,'KASE (цены)'!$C:$G,5,0)</f>
        <v>87.667400000000001</v>
      </c>
      <c r="K21" s="101">
        <v>57236111.109999999</v>
      </c>
      <c r="L21" s="34">
        <f t="shared" si="1"/>
        <v>876674111.11000001</v>
      </c>
      <c r="M21" s="7">
        <f t="shared" si="0"/>
        <v>1.8750174157274254E-2</v>
      </c>
      <c r="O21" s="95"/>
    </row>
    <row r="22" spans="1:15" ht="32.25" customHeight="1" thickBot="1">
      <c r="A22" s="3" t="s">
        <v>1617</v>
      </c>
      <c r="B22" s="3" t="s">
        <v>190</v>
      </c>
      <c r="C22" s="4">
        <f>500000</f>
        <v>500000</v>
      </c>
      <c r="D22" s="4">
        <f>1000</f>
        <v>1000</v>
      </c>
      <c r="E22" s="4">
        <v>7.47</v>
      </c>
      <c r="F22" s="5">
        <v>45747</v>
      </c>
      <c r="G22" s="5"/>
      <c r="H22" s="4">
        <v>456810500</v>
      </c>
      <c r="I22" s="6">
        <f>VLOOKUP(B22,'KASE (цены)'!$C:$G,4,0)</f>
        <v>85.752399999999994</v>
      </c>
      <c r="J22" s="6">
        <f>VLOOKUP(B22,'KASE (цены)'!$C:$G,5,0)</f>
        <v>87.433199999999999</v>
      </c>
      <c r="K22" s="101">
        <v>8403750</v>
      </c>
      <c r="L22" s="34">
        <f t="shared" si="1"/>
        <v>437165750</v>
      </c>
      <c r="M22" s="7">
        <f t="shared" si="0"/>
        <v>9.3500353714299576E-3</v>
      </c>
      <c r="O22" s="95"/>
    </row>
    <row r="23" spans="1:15" ht="32.25" customHeight="1" thickBot="1">
      <c r="A23" s="3" t="s">
        <v>1929</v>
      </c>
      <c r="B23" s="3" t="s">
        <v>149</v>
      </c>
      <c r="C23" s="4">
        <f>500000</f>
        <v>500000</v>
      </c>
      <c r="D23" s="4">
        <f>1000</f>
        <v>1000</v>
      </c>
      <c r="E23" s="4">
        <v>15.35</v>
      </c>
      <c r="F23" s="5">
        <v>45755</v>
      </c>
      <c r="G23" s="5"/>
      <c r="H23" s="4">
        <v>525960222.22000003</v>
      </c>
      <c r="I23" s="6">
        <f>VLOOKUP(B23,'KASE (цены)'!$C:$G,4,0)</f>
        <v>97.588700000000003</v>
      </c>
      <c r="J23" s="6">
        <f>VLOOKUP(B23,'KASE (цены)'!$C:$G,5,0)</f>
        <v>102.40689999999999</v>
      </c>
      <c r="K23" s="101">
        <v>24090972.219999999</v>
      </c>
      <c r="L23" s="34">
        <f t="shared" si="1"/>
        <v>512034472.22000003</v>
      </c>
      <c r="M23" s="7">
        <f t="shared" si="0"/>
        <v>1.0951316352318247E-2</v>
      </c>
      <c r="O23" s="95"/>
    </row>
    <row r="24" spans="1:15" ht="32.25" customHeight="1" thickBot="1">
      <c r="A24" s="3" t="s">
        <v>1888</v>
      </c>
      <c r="B24" s="3" t="s">
        <v>214</v>
      </c>
      <c r="C24" s="4">
        <v>1000000</v>
      </c>
      <c r="D24" s="4">
        <f>1000</f>
        <v>1000</v>
      </c>
      <c r="E24" s="4">
        <v>7.22</v>
      </c>
      <c r="F24" s="5">
        <v>45799</v>
      </c>
      <c r="G24" s="5"/>
      <c r="H24" s="4">
        <v>812416000</v>
      </c>
      <c r="I24" s="6">
        <f>VLOOKUP(B24,'KASE (цены)'!$C:$G,4,0)</f>
        <v>76.507499999999993</v>
      </c>
      <c r="J24" s="6">
        <f>VLOOKUP(B24,'KASE (цены)'!$C:$G,5,0)</f>
        <v>81.942599999999999</v>
      </c>
      <c r="K24" s="101">
        <v>54350555.560000002</v>
      </c>
      <c r="L24" s="34">
        <f t="shared" si="1"/>
        <v>819425555.55999994</v>
      </c>
      <c r="M24" s="7">
        <f t="shared" ref="M24:M25" si="2">L24/$L$32</f>
        <v>1.7525750653475582E-2</v>
      </c>
      <c r="O24" s="95"/>
    </row>
    <row r="25" spans="1:15" ht="32.25" customHeight="1" thickBot="1">
      <c r="A25" s="3" t="s">
        <v>1888</v>
      </c>
      <c r="B25" s="3" t="s">
        <v>214</v>
      </c>
      <c r="C25" s="4">
        <v>1000000</v>
      </c>
      <c r="D25" s="4">
        <f>1000</f>
        <v>1000</v>
      </c>
      <c r="E25" s="4">
        <v>7.22</v>
      </c>
      <c r="F25" s="5">
        <v>45806</v>
      </c>
      <c r="G25" s="5"/>
      <c r="H25" s="4" t="s">
        <v>2018</v>
      </c>
      <c r="I25" s="6">
        <f>VLOOKUP(B25,'KASE (цены)'!$C:$G,4,0)</f>
        <v>76.507499999999993</v>
      </c>
      <c r="J25" s="6">
        <f>VLOOKUP(B25,'KASE (цены)'!$C:$G,5,0)</f>
        <v>81.942599999999999</v>
      </c>
      <c r="K25" s="101">
        <v>54350555.560000002</v>
      </c>
      <c r="L25" s="34">
        <f t="shared" si="1"/>
        <v>819425555.55999994</v>
      </c>
      <c r="M25" s="7">
        <f t="shared" si="2"/>
        <v>1.7525750653475582E-2</v>
      </c>
    </row>
    <row r="26" spans="1:15" ht="32.25" customHeight="1" thickBot="1">
      <c r="A26" s="3" t="s">
        <v>2037</v>
      </c>
      <c r="B26" s="3" t="s">
        <v>230</v>
      </c>
      <c r="C26" s="4">
        <f t="shared" ref="C26:C31" si="3">500000</f>
        <v>500000</v>
      </c>
      <c r="D26" s="4">
        <v>1000</v>
      </c>
      <c r="E26" s="4">
        <v>5</v>
      </c>
      <c r="F26" s="5">
        <v>45813</v>
      </c>
      <c r="G26" s="5"/>
      <c r="H26" s="4">
        <v>379970888.88999999</v>
      </c>
      <c r="I26" s="6">
        <f>VLOOKUP(B26,'KASE (цены)'!$C:$G,4,0)</f>
        <v>75.750799999999998</v>
      </c>
      <c r="J26" s="6">
        <f>VLOOKUP(B26,'KASE (цены)'!$C:$G,5,0)</f>
        <v>77.736900000000006</v>
      </c>
      <c r="K26" s="101">
        <v>9930555.5600000005</v>
      </c>
      <c r="L26" s="34">
        <f t="shared" si="1"/>
        <v>388684555.56</v>
      </c>
      <c r="M26" s="7">
        <f t="shared" ref="M26:M31" si="4">L26/$L$32</f>
        <v>8.3131268696473425E-3</v>
      </c>
    </row>
    <row r="27" spans="1:15" ht="32.25" customHeight="1" thickBot="1">
      <c r="A27" s="3" t="s">
        <v>2247</v>
      </c>
      <c r="B27" s="3" t="s">
        <v>170</v>
      </c>
      <c r="C27" s="4">
        <f t="shared" si="3"/>
        <v>500000</v>
      </c>
      <c r="D27" s="4">
        <v>1000</v>
      </c>
      <c r="E27" s="4">
        <v>10.47</v>
      </c>
      <c r="F27" s="5">
        <v>45827</v>
      </c>
      <c r="G27" s="5"/>
      <c r="H27" s="4">
        <v>456286666.67000002</v>
      </c>
      <c r="I27" s="6">
        <f>VLOOKUP(B27,'KASE (цены)'!$C:$G,4,0)</f>
        <v>84.547899999999998</v>
      </c>
      <c r="J27" s="6">
        <f>VLOOKUP(B27,'KASE (цены)'!$C:$G,5,0)</f>
        <v>93.680099999999996</v>
      </c>
      <c r="K27" s="101">
        <v>45660833.329999998</v>
      </c>
      <c r="L27" s="34">
        <f t="shared" si="1"/>
        <v>468400333.32999998</v>
      </c>
      <c r="M27" s="7">
        <f t="shared" si="4"/>
        <v>1.0018075946308883E-2</v>
      </c>
    </row>
    <row r="28" spans="1:15" ht="32.25" customHeight="1" thickBot="1">
      <c r="A28" s="3" t="s">
        <v>2247</v>
      </c>
      <c r="B28" s="3" t="s">
        <v>170</v>
      </c>
      <c r="C28" s="4">
        <f t="shared" si="3"/>
        <v>500000</v>
      </c>
      <c r="D28" s="4">
        <v>1000</v>
      </c>
      <c r="E28" s="4">
        <v>10.47</v>
      </c>
      <c r="F28" s="5">
        <v>45827</v>
      </c>
      <c r="G28" s="5"/>
      <c r="H28" s="4">
        <v>455208666.67000002</v>
      </c>
      <c r="I28" s="6">
        <f>VLOOKUP(B28,'KASE (цены)'!$C:$G,4,0)</f>
        <v>84.547899999999998</v>
      </c>
      <c r="J28" s="6">
        <f>VLOOKUP(B28,'KASE (цены)'!$C:$G,5,0)</f>
        <v>93.680099999999996</v>
      </c>
      <c r="K28" s="101">
        <v>45660833.329999998</v>
      </c>
      <c r="L28" s="34">
        <f t="shared" si="1"/>
        <v>468400333.32999998</v>
      </c>
      <c r="M28" s="7">
        <f t="shared" si="4"/>
        <v>1.0018075946308883E-2</v>
      </c>
      <c r="O28" s="95"/>
    </row>
    <row r="29" spans="1:15" ht="32.25" customHeight="1" thickBot="1">
      <c r="A29" s="3" t="s">
        <v>2247</v>
      </c>
      <c r="B29" s="3" t="s">
        <v>170</v>
      </c>
      <c r="C29" s="4">
        <f t="shared" si="3"/>
        <v>500000</v>
      </c>
      <c r="D29" s="4">
        <v>1000</v>
      </c>
      <c r="E29" s="4">
        <v>10.47</v>
      </c>
      <c r="F29" s="5">
        <v>45838</v>
      </c>
      <c r="G29" s="5"/>
      <c r="H29" s="4">
        <v>457385750</v>
      </c>
      <c r="I29" s="6">
        <f>VLOOKUP(B29,'KASE (цены)'!$C:$G,4,0)</f>
        <v>84.547899999999998</v>
      </c>
      <c r="J29" s="6">
        <f>VLOOKUP(B29,'KASE (цены)'!$C:$G,5,0)</f>
        <v>93.680099999999996</v>
      </c>
      <c r="K29" s="101">
        <v>45660833.329999998</v>
      </c>
      <c r="L29" s="34">
        <f>ROUND(D29*C29*I29/100+K29,2)</f>
        <v>468400333.32999998</v>
      </c>
      <c r="M29" s="7">
        <f t="shared" si="4"/>
        <v>1.0018075946308883E-2</v>
      </c>
      <c r="O29" s="95"/>
    </row>
    <row r="30" spans="1:15" ht="32.25" customHeight="1" thickBot="1">
      <c r="A30" s="3" t="s">
        <v>1888</v>
      </c>
      <c r="B30" s="3" t="s">
        <v>214</v>
      </c>
      <c r="C30" s="4">
        <f t="shared" si="3"/>
        <v>500000</v>
      </c>
      <c r="D30" s="4">
        <v>1000</v>
      </c>
      <c r="E30" s="4">
        <v>7.22</v>
      </c>
      <c r="F30" s="5">
        <v>45841</v>
      </c>
      <c r="G30" s="5"/>
      <c r="H30" s="4">
        <v>400741888.88999999</v>
      </c>
      <c r="I30" s="6">
        <f>VLOOKUP(B30,'KASE (цены)'!$C:$G,4,0)</f>
        <v>76.507499999999993</v>
      </c>
      <c r="J30" s="6">
        <f>VLOOKUP(B30,'KASE (цены)'!$C:$G,5,0)</f>
        <v>81.942599999999999</v>
      </c>
      <c r="K30" s="101">
        <v>27175277.780000001</v>
      </c>
      <c r="L30" s="34">
        <f>ROUND(D30*C30*I30/100+K30,2)</f>
        <v>409712777.77999997</v>
      </c>
      <c r="M30" s="7">
        <f t="shared" si="4"/>
        <v>8.7628753267377912E-3</v>
      </c>
      <c r="O30" s="95"/>
    </row>
    <row r="31" spans="1:15" ht="32.25" customHeight="1" thickBot="1">
      <c r="A31" s="3" t="s">
        <v>1888</v>
      </c>
      <c r="B31" s="3" t="s">
        <v>214</v>
      </c>
      <c r="C31" s="4">
        <f t="shared" si="3"/>
        <v>500000</v>
      </c>
      <c r="D31" s="4">
        <v>1000</v>
      </c>
      <c r="E31" s="4">
        <v>7.22</v>
      </c>
      <c r="F31" s="5">
        <v>45841</v>
      </c>
      <c r="G31" s="5"/>
      <c r="H31" s="4">
        <v>400231888.88999999</v>
      </c>
      <c r="I31" s="6">
        <f>VLOOKUP(B31,'KASE (цены)'!$C:$G,4,0)</f>
        <v>76.507499999999993</v>
      </c>
      <c r="J31" s="6">
        <f>VLOOKUP(B31,'KASE (цены)'!$C:$G,5,0)</f>
        <v>81.942599999999999</v>
      </c>
      <c r="K31" s="101">
        <v>27175277.780000001</v>
      </c>
      <c r="L31" s="34">
        <f t="shared" si="1"/>
        <v>409712777.77999997</v>
      </c>
      <c r="M31" s="7">
        <f t="shared" si="4"/>
        <v>8.7628753267377912E-3</v>
      </c>
      <c r="O31" s="95"/>
    </row>
    <row r="32" spans="1:15" ht="15.75" thickBot="1">
      <c r="A32" s="3"/>
      <c r="B32" s="8" t="s">
        <v>15</v>
      </c>
      <c r="C32" s="10">
        <f>SUM(C6:C31)</f>
        <v>55432500</v>
      </c>
      <c r="D32" s="10"/>
      <c r="E32" s="9"/>
      <c r="F32" s="10"/>
      <c r="G32" s="10"/>
      <c r="H32" s="10">
        <f>SUM(H26:H31)</f>
        <v>2549825750.0099998</v>
      </c>
      <c r="I32" s="10"/>
      <c r="J32" s="32"/>
      <c r="K32" s="33">
        <f>SUM(K6:K31)</f>
        <v>1868457643.0699992</v>
      </c>
      <c r="L32" s="10">
        <f>SUM(L6:L31)</f>
        <v>46755518309.139999</v>
      </c>
      <c r="M32" s="11">
        <f>SUM(M6:M31)</f>
        <v>1</v>
      </c>
    </row>
    <row r="34" spans="1:13" ht="15.75" thickBot="1">
      <c r="A34" s="14" t="s">
        <v>280</v>
      </c>
      <c r="L34" s="27"/>
    </row>
    <row r="35" spans="1:13" ht="15.75" thickBot="1">
      <c r="A35" s="1" t="s">
        <v>266</v>
      </c>
      <c r="B35" s="73">
        <v>3146420.1</v>
      </c>
      <c r="K35" s="27"/>
    </row>
    <row r="36" spans="1:13">
      <c r="K36" s="27"/>
    </row>
    <row r="38" spans="1:13" ht="15.75" thickBot="1">
      <c r="A38" s="12" t="s">
        <v>262</v>
      </c>
    </row>
    <row r="39" spans="1:13" ht="23.25" thickBot="1">
      <c r="A39" s="1" t="s">
        <v>268</v>
      </c>
      <c r="B39" s="1" t="s">
        <v>269</v>
      </c>
      <c r="C39" s="1" t="s">
        <v>270</v>
      </c>
      <c r="D39" s="1" t="s">
        <v>271</v>
      </c>
      <c r="E39" s="1" t="s">
        <v>263</v>
      </c>
      <c r="F39" s="1" t="s">
        <v>264</v>
      </c>
      <c r="G39" s="1" t="s">
        <v>272</v>
      </c>
      <c r="H39" s="1" t="s">
        <v>273</v>
      </c>
      <c r="I39" s="1" t="s">
        <v>274</v>
      </c>
      <c r="J39" s="1" t="s">
        <v>275</v>
      </c>
      <c r="K39" s="1" t="s">
        <v>276</v>
      </c>
      <c r="L39" s="1" t="s">
        <v>278</v>
      </c>
      <c r="M39" s="1" t="s">
        <v>277</v>
      </c>
    </row>
    <row r="40" spans="1:13">
      <c r="A40" s="42" t="s">
        <v>169</v>
      </c>
      <c r="B40" s="39" t="s">
        <v>2457</v>
      </c>
      <c r="C40" s="40">
        <v>1852980</v>
      </c>
      <c r="D40" s="39" t="s">
        <v>266</v>
      </c>
      <c r="E40" s="41">
        <v>45911</v>
      </c>
      <c r="F40" s="41">
        <v>45912</v>
      </c>
      <c r="G40" s="55">
        <v>936.80100000000004</v>
      </c>
      <c r="H40" s="55">
        <v>937.21165249490002</v>
      </c>
      <c r="I40" s="55">
        <v>1735873516.98</v>
      </c>
      <c r="J40" s="55">
        <v>1736634447.8399999</v>
      </c>
      <c r="K40" s="55">
        <v>16</v>
      </c>
      <c r="L40" s="64"/>
      <c r="M40" s="40">
        <v>1735873516.98</v>
      </c>
    </row>
    <row r="41" spans="1:13">
      <c r="A41" s="42" t="s">
        <v>166</v>
      </c>
      <c r="B41" s="39" t="s">
        <v>7</v>
      </c>
      <c r="C41" s="40">
        <v>1909920</v>
      </c>
      <c r="D41" s="39" t="s">
        <v>266</v>
      </c>
      <c r="E41" s="41">
        <v>45911</v>
      </c>
      <c r="F41" s="41">
        <v>45912</v>
      </c>
      <c r="G41" s="55">
        <v>906.178</v>
      </c>
      <c r="H41" s="55">
        <v>906.57277085951205</v>
      </c>
      <c r="I41" s="55">
        <v>1730727485.76</v>
      </c>
      <c r="J41" s="55">
        <v>1731481466.52</v>
      </c>
      <c r="K41" s="55">
        <v>15.901</v>
      </c>
      <c r="L41" s="64"/>
      <c r="M41" s="40">
        <v>1730727485.76</v>
      </c>
    </row>
    <row r="42" spans="1:13" ht="15.75" thickBot="1">
      <c r="A42" s="42" t="s">
        <v>166</v>
      </c>
      <c r="B42" s="39" t="s">
        <v>7</v>
      </c>
      <c r="C42" s="40">
        <v>20976</v>
      </c>
      <c r="D42" s="39" t="s">
        <v>266</v>
      </c>
      <c r="E42" s="41">
        <v>45911</v>
      </c>
      <c r="F42" s="41">
        <v>45912</v>
      </c>
      <c r="G42" s="55">
        <v>906.178</v>
      </c>
      <c r="H42" s="55">
        <v>906.57277078566005</v>
      </c>
      <c r="I42" s="55">
        <v>19007989.73</v>
      </c>
      <c r="J42" s="55">
        <v>19016270.440000001</v>
      </c>
      <c r="K42" s="55">
        <v>15.901</v>
      </c>
      <c r="L42" s="64"/>
      <c r="M42" s="40">
        <v>19007989.73</v>
      </c>
    </row>
    <row r="43" spans="1:13" ht="15.75" thickBot="1">
      <c r="A43" s="16" t="s">
        <v>15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65"/>
      <c r="M43" s="18">
        <f>SUM(M40:M42)</f>
        <v>3485608992.4699998</v>
      </c>
    </row>
    <row r="45" spans="1:13" ht="15.75" thickBot="1">
      <c r="A45" s="14" t="s">
        <v>1887</v>
      </c>
    </row>
    <row r="46" spans="1:13" ht="22.5">
      <c r="A46" s="23" t="s">
        <v>16</v>
      </c>
      <c r="B46" s="23" t="s">
        <v>282</v>
      </c>
      <c r="C46" s="23" t="s">
        <v>271</v>
      </c>
      <c r="D46" s="23" t="s">
        <v>283</v>
      </c>
      <c r="E46" s="23" t="s">
        <v>270</v>
      </c>
      <c r="F46" s="23" t="s">
        <v>284</v>
      </c>
      <c r="G46" s="23" t="s">
        <v>285</v>
      </c>
    </row>
    <row r="47" spans="1:13">
      <c r="A47" s="38" t="s">
        <v>1651</v>
      </c>
      <c r="B47" s="38" t="s">
        <v>1652</v>
      </c>
      <c r="C47" s="39" t="s">
        <v>266</v>
      </c>
      <c r="D47" s="71">
        <v>45910</v>
      </c>
      <c r="E47" s="38">
        <f>1500000</f>
        <v>1500000</v>
      </c>
      <c r="F47" s="38">
        <f>1604025000</f>
        <v>1604025000</v>
      </c>
      <c r="G47" s="38">
        <f>1604025000</f>
        <v>1604025000</v>
      </c>
    </row>
    <row r="49" spans="1:4">
      <c r="A49" s="15" t="s">
        <v>267</v>
      </c>
      <c r="B49" s="24">
        <f>B35+L32+M43+G47</f>
        <v>51848298721.709999</v>
      </c>
    </row>
    <row r="51" spans="1:4">
      <c r="B51" s="28"/>
    </row>
    <row r="52" spans="1:4">
      <c r="A52" s="13" t="s">
        <v>1691</v>
      </c>
    </row>
    <row r="53" spans="1:4">
      <c r="A53" s="20" t="s">
        <v>1067</v>
      </c>
      <c r="B53" s="22"/>
    </row>
    <row r="54" spans="1:4">
      <c r="A54" s="20" t="s">
        <v>1068</v>
      </c>
      <c r="B54" s="21"/>
    </row>
    <row r="55" spans="1:4">
      <c r="A55" s="20" t="s">
        <v>1069</v>
      </c>
      <c r="B55" s="25">
        <f>55000+3000+3000+2000+3000+4000+5000+645893.59+2000+3000+3000</f>
        <v>728893.59</v>
      </c>
      <c r="C55" t="s">
        <v>2325</v>
      </c>
    </row>
    <row r="56" spans="1:4">
      <c r="A56" s="20" t="s">
        <v>1070</v>
      </c>
      <c r="B56" s="21"/>
    </row>
    <row r="57" spans="1:4">
      <c r="A57" s="20" t="s">
        <v>1071</v>
      </c>
      <c r="B57" s="21"/>
    </row>
    <row r="58" spans="1:4">
      <c r="A58" s="20" t="s">
        <v>1072</v>
      </c>
      <c r="B58" s="21">
        <f>122122.84+4568.29+18233.04+4576.76+4581.57+31984.08+5239.22</f>
        <v>191305.80000000002</v>
      </c>
    </row>
    <row r="59" spans="1:4">
      <c r="A59" s="20" t="s">
        <v>1073</v>
      </c>
      <c r="B59" s="21">
        <f>61137.54+2278.73+9116.53+2282.97+2284.64+15992.04+2614.22</f>
        <v>95706.670000000013</v>
      </c>
      <c r="C59" s="26"/>
    </row>
    <row r="60" spans="1:4">
      <c r="A60" s="20" t="s">
        <v>1074</v>
      </c>
      <c r="B60" s="21"/>
    </row>
    <row r="61" spans="1:4">
      <c r="A61" s="20" t="s">
        <v>1075</v>
      </c>
      <c r="B61" s="21"/>
    </row>
    <row r="62" spans="1:4">
      <c r="A62" s="20" t="s">
        <v>1076</v>
      </c>
      <c r="B62" s="21"/>
    </row>
    <row r="63" spans="1:4">
      <c r="A63" s="20" t="s">
        <v>1077</v>
      </c>
      <c r="B63" s="22">
        <f>SUM(B53:B62)</f>
        <v>1015906.06</v>
      </c>
      <c r="C63" s="27"/>
      <c r="D63" s="28"/>
    </row>
    <row r="64" spans="1:4">
      <c r="B64" s="28"/>
    </row>
  </sheetData>
  <autoFilter ref="A5:M32" xr:uid="{00000000-0009-0000-0000-000000000000}"/>
  <phoneticPr fontId="53" type="noConversion"/>
  <conditionalFormatting sqref="A6:A31">
    <cfRule type="duplicateValues" dxfId="14" priority="23"/>
  </conditionalFormatting>
  <conditionalFormatting sqref="K6:K31">
    <cfRule type="duplicateValues" dxfId="13" priority="25"/>
  </conditionalFormatting>
  <pageMargins left="0.7" right="0.7" top="0.75" bottom="0.75" header="0.3" footer="0.3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C8B-482C-4072-9FF2-5805547DABE3}">
  <dimension ref="A1:F23"/>
  <sheetViews>
    <sheetView workbookViewId="0">
      <selection activeCell="F15" sqref="A15:XFD15"/>
    </sheetView>
  </sheetViews>
  <sheetFormatPr defaultRowHeight="15"/>
  <cols>
    <col min="1" max="1" width="13.7109375" bestFit="1" customWidth="1"/>
    <col min="2" max="2" width="17.28515625" bestFit="1" customWidth="1"/>
    <col min="3" max="3" width="13.7109375" bestFit="1" customWidth="1"/>
    <col min="4" max="4" width="18" bestFit="1" customWidth="1"/>
    <col min="5" max="5" width="16.28515625" bestFit="1" customWidth="1"/>
  </cols>
  <sheetData>
    <row r="1" spans="1:6">
      <c r="A1" s="19" t="s">
        <v>141</v>
      </c>
      <c r="B1" s="29">
        <f>VLOOKUP(A1,$C$1:$D$22,2,0)</f>
        <v>4820346577.2199993</v>
      </c>
      <c r="C1" t="s">
        <v>141</v>
      </c>
      <c r="D1" s="35">
        <v>4820346577.2199993</v>
      </c>
      <c r="E1" s="27">
        <v>4820346577.2200003</v>
      </c>
      <c r="F1" s="28">
        <f>E1-B1</f>
        <v>0</v>
      </c>
    </row>
    <row r="2" spans="1:6">
      <c r="A2" s="19" t="s">
        <v>166</v>
      </c>
      <c r="B2" s="29">
        <f t="shared" ref="B2:B21" si="0">VLOOKUP(A2,$C$1:$D$22,2,0)</f>
        <v>3204472104.1700001</v>
      </c>
      <c r="C2" t="s">
        <v>148</v>
      </c>
      <c r="D2" s="35">
        <v>497728277.77999997</v>
      </c>
      <c r="E2" s="27">
        <v>3204472104.1700001</v>
      </c>
      <c r="F2" s="28">
        <f t="shared" ref="F2:F21" si="1">E2-B2</f>
        <v>0</v>
      </c>
    </row>
    <row r="3" spans="1:6">
      <c r="A3" s="19" t="s">
        <v>171</v>
      </c>
      <c r="B3" s="29">
        <f t="shared" si="0"/>
        <v>3403024495</v>
      </c>
      <c r="C3" t="s">
        <v>166</v>
      </c>
      <c r="D3" s="35">
        <v>3204472104.1700001</v>
      </c>
      <c r="E3" s="27">
        <v>3403024495</v>
      </c>
      <c r="F3" s="28">
        <f t="shared" si="1"/>
        <v>0</v>
      </c>
    </row>
    <row r="4" spans="1:6">
      <c r="A4" s="19" t="s">
        <v>178</v>
      </c>
      <c r="B4" s="29">
        <f t="shared" si="0"/>
        <v>3210797254.1700001</v>
      </c>
      <c r="C4" t="s">
        <v>171</v>
      </c>
      <c r="D4" s="35">
        <v>3403024495</v>
      </c>
      <c r="E4" s="27">
        <v>3210797254.1700001</v>
      </c>
      <c r="F4" s="28">
        <f t="shared" si="1"/>
        <v>0</v>
      </c>
    </row>
    <row r="5" spans="1:6">
      <c r="A5" s="19" t="s">
        <v>181</v>
      </c>
      <c r="B5" s="29">
        <f t="shared" si="0"/>
        <v>1815862000</v>
      </c>
      <c r="C5" t="s">
        <v>178</v>
      </c>
      <c r="D5" s="35">
        <v>3210797254.1700001</v>
      </c>
      <c r="E5" s="27">
        <v>1815862000</v>
      </c>
      <c r="F5" s="28">
        <f t="shared" si="1"/>
        <v>0</v>
      </c>
    </row>
    <row r="6" spans="1:6">
      <c r="A6" s="19" t="s">
        <v>185</v>
      </c>
      <c r="B6" s="29">
        <f t="shared" si="0"/>
        <v>3058511451.6700001</v>
      </c>
      <c r="C6" t="s">
        <v>181</v>
      </c>
      <c r="D6" s="35">
        <v>1815862000</v>
      </c>
      <c r="E6" s="27">
        <v>3058511451.6700001</v>
      </c>
      <c r="F6" s="28">
        <f t="shared" si="1"/>
        <v>0</v>
      </c>
    </row>
    <row r="7" spans="1:6">
      <c r="A7" s="19" t="s">
        <v>186</v>
      </c>
      <c r="B7" s="29">
        <f t="shared" si="0"/>
        <v>3312336755</v>
      </c>
      <c r="C7" t="s">
        <v>185</v>
      </c>
      <c r="D7" s="35">
        <v>3058511451.6700001</v>
      </c>
      <c r="E7" s="27">
        <v>3312336755</v>
      </c>
      <c r="F7" s="28">
        <f t="shared" si="1"/>
        <v>0</v>
      </c>
    </row>
    <row r="8" spans="1:6">
      <c r="A8" s="19" t="s">
        <v>189</v>
      </c>
      <c r="B8" s="29">
        <f t="shared" si="0"/>
        <v>920275000</v>
      </c>
      <c r="C8" t="s">
        <v>186</v>
      </c>
      <c r="D8" s="35">
        <v>3312336755</v>
      </c>
      <c r="E8" s="27">
        <v>920275000</v>
      </c>
      <c r="F8" s="28">
        <f t="shared" si="1"/>
        <v>0</v>
      </c>
    </row>
    <row r="9" spans="1:6">
      <c r="A9" s="19" t="s">
        <v>199</v>
      </c>
      <c r="B9" s="29">
        <f t="shared" si="0"/>
        <v>2710855875</v>
      </c>
      <c r="C9" t="s">
        <v>189</v>
      </c>
      <c r="D9" s="35">
        <v>920275000</v>
      </c>
      <c r="E9" s="27">
        <v>2710855875</v>
      </c>
      <c r="F9" s="28">
        <f t="shared" si="1"/>
        <v>0</v>
      </c>
    </row>
    <row r="10" spans="1:6">
      <c r="A10" s="19" t="s">
        <v>208</v>
      </c>
      <c r="B10" s="29">
        <f t="shared" si="0"/>
        <v>5069033531.250001</v>
      </c>
      <c r="C10" t="s">
        <v>189</v>
      </c>
      <c r="D10" s="35">
        <v>460137500</v>
      </c>
      <c r="E10" s="27">
        <v>5069033531.25</v>
      </c>
      <c r="F10" s="28">
        <f t="shared" si="1"/>
        <v>0</v>
      </c>
    </row>
    <row r="11" spans="1:6">
      <c r="A11" s="19" t="s">
        <v>239</v>
      </c>
      <c r="B11" s="29">
        <f t="shared" si="0"/>
        <v>2519480405</v>
      </c>
      <c r="C11" t="s">
        <v>199</v>
      </c>
      <c r="D11" s="35">
        <v>2710855875</v>
      </c>
      <c r="E11" s="27">
        <v>2519480405</v>
      </c>
      <c r="F11" s="28">
        <f t="shared" si="1"/>
        <v>0</v>
      </c>
    </row>
    <row r="12" spans="1:6">
      <c r="A12" s="19" t="s">
        <v>240</v>
      </c>
      <c r="B12" s="29">
        <f t="shared" si="0"/>
        <v>2564282548.75</v>
      </c>
      <c r="C12" t="s">
        <v>208</v>
      </c>
      <c r="D12" s="35">
        <v>5069033531.250001</v>
      </c>
      <c r="E12" s="27">
        <v>2564282548.75</v>
      </c>
      <c r="F12" s="28">
        <f t="shared" si="1"/>
        <v>0</v>
      </c>
    </row>
    <row r="13" spans="1:6">
      <c r="A13" s="19" t="s">
        <v>1624</v>
      </c>
      <c r="B13" s="29">
        <f t="shared" si="0"/>
        <v>3074626575.1100001</v>
      </c>
      <c r="C13" t="s">
        <v>211</v>
      </c>
      <c r="D13" s="35">
        <v>852761555.55999994</v>
      </c>
      <c r="E13" s="27">
        <v>3074626575.1100001</v>
      </c>
      <c r="F13" s="28">
        <f t="shared" si="1"/>
        <v>0</v>
      </c>
    </row>
    <row r="14" spans="1:6">
      <c r="A14" s="19" t="s">
        <v>1088</v>
      </c>
      <c r="B14" s="29">
        <f t="shared" si="0"/>
        <v>383128992.39999998</v>
      </c>
      <c r="C14" t="s">
        <v>213</v>
      </c>
      <c r="D14" s="35">
        <v>813803000</v>
      </c>
      <c r="E14" s="27">
        <v>383128992.39999998</v>
      </c>
      <c r="F14" s="28">
        <f t="shared" si="1"/>
        <v>0</v>
      </c>
    </row>
    <row r="15" spans="1:6">
      <c r="A15" s="19" t="s">
        <v>1652</v>
      </c>
      <c r="B15" s="29">
        <f t="shared" si="0"/>
        <v>1527698985.4200001</v>
      </c>
      <c r="C15" t="s">
        <v>213</v>
      </c>
      <c r="D15" s="35">
        <v>813803000</v>
      </c>
      <c r="E15" s="27">
        <v>1527698985.4100001</v>
      </c>
      <c r="F15" s="28">
        <f t="shared" si="1"/>
        <v>-9.9999904632568359E-3</v>
      </c>
    </row>
    <row r="16" spans="1:6">
      <c r="A16" s="19" t="s">
        <v>1772</v>
      </c>
      <c r="B16" s="29">
        <f t="shared" si="0"/>
        <v>1825568785.3599999</v>
      </c>
      <c r="C16" t="s">
        <v>239</v>
      </c>
      <c r="D16" s="35">
        <v>2519480405</v>
      </c>
      <c r="E16" s="27">
        <v>1825568785.3599999</v>
      </c>
      <c r="F16" s="28">
        <f t="shared" si="1"/>
        <v>0</v>
      </c>
    </row>
    <row r="17" spans="1:6">
      <c r="A17" s="19" t="s">
        <v>213</v>
      </c>
      <c r="B17" s="29">
        <f t="shared" si="0"/>
        <v>813803000</v>
      </c>
      <c r="C17" t="s">
        <v>240</v>
      </c>
      <c r="D17" s="35">
        <v>2564282548.75</v>
      </c>
      <c r="E17" s="27">
        <v>813803000</v>
      </c>
      <c r="F17" s="28">
        <f t="shared" si="1"/>
        <v>0</v>
      </c>
    </row>
    <row r="18" spans="1:6">
      <c r="A18" s="19" t="s">
        <v>211</v>
      </c>
      <c r="B18" s="29">
        <f t="shared" si="0"/>
        <v>852761555.55999994</v>
      </c>
      <c r="C18" t="s">
        <v>1652</v>
      </c>
      <c r="D18" s="35">
        <v>1527698985.4200001</v>
      </c>
      <c r="E18" s="27">
        <v>852761555.55999994</v>
      </c>
      <c r="F18" s="28">
        <f t="shared" si="1"/>
        <v>0</v>
      </c>
    </row>
    <row r="19" spans="1:6">
      <c r="A19" s="19" t="s">
        <v>189</v>
      </c>
      <c r="B19" s="29">
        <f>VLOOKUP(A19,$C$1:$D$22,2,1)</f>
        <v>460137500</v>
      </c>
      <c r="C19" t="s">
        <v>1772</v>
      </c>
      <c r="D19" s="35">
        <v>1825568785.3599999</v>
      </c>
      <c r="E19" s="27">
        <v>460137500</v>
      </c>
      <c r="F19" s="28">
        <f t="shared" si="1"/>
        <v>0</v>
      </c>
    </row>
    <row r="20" spans="1:6">
      <c r="A20" s="19" t="s">
        <v>148</v>
      </c>
      <c r="B20" s="29">
        <f t="shared" si="0"/>
        <v>497728277.77999997</v>
      </c>
      <c r="C20" t="s">
        <v>1624</v>
      </c>
      <c r="D20" s="35">
        <v>3074626575.1100001</v>
      </c>
      <c r="E20" s="27">
        <v>497728277.77999997</v>
      </c>
      <c r="F20" s="28">
        <f t="shared" si="1"/>
        <v>0</v>
      </c>
    </row>
    <row r="21" spans="1:6">
      <c r="A21" t="s">
        <v>213</v>
      </c>
      <c r="B21" s="29">
        <f t="shared" si="0"/>
        <v>813803000</v>
      </c>
      <c r="C21" t="s">
        <v>1088</v>
      </c>
      <c r="D21" s="35">
        <v>383128992.39999998</v>
      </c>
      <c r="E21" s="27">
        <v>813803000</v>
      </c>
      <c r="F21" s="28">
        <f t="shared" si="1"/>
        <v>0</v>
      </c>
    </row>
    <row r="23" spans="1:6">
      <c r="B23" s="36">
        <f>SUM(B1:B22)</f>
        <v>46858534668.859993</v>
      </c>
      <c r="D23" s="37">
        <f>SUM(D1:D22)</f>
        <v>46858534668.860001</v>
      </c>
    </row>
  </sheetData>
  <conditionalFormatting sqref="B1:B21">
    <cfRule type="duplicateValues" dxfId="12" priority="1"/>
  </conditionalFormatting>
  <conditionalFormatting sqref="C1:C21">
    <cfRule type="duplicateValues" dxfId="1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037"/>
  <sheetViews>
    <sheetView workbookViewId="0">
      <selection activeCell="F10" sqref="F10"/>
    </sheetView>
  </sheetViews>
  <sheetFormatPr defaultColWidth="8.85546875" defaultRowHeight="15"/>
  <cols>
    <col min="1" max="1" width="11.85546875" style="31" bestFit="1" customWidth="1"/>
    <col min="2" max="2" width="14.140625" style="31" bestFit="1" customWidth="1"/>
    <col min="3" max="3" width="14.85546875" style="31" bestFit="1" customWidth="1"/>
    <col min="4" max="4" width="31.28515625" style="31" customWidth="1"/>
    <col min="5" max="5" width="48.85546875" style="31" customWidth="1"/>
    <col min="6" max="6" width="18.42578125" style="31" bestFit="1" customWidth="1"/>
    <col min="7" max="7" width="16.5703125" style="31" bestFit="1" customWidth="1"/>
    <col min="8" max="8" width="14" style="31" customWidth="1"/>
    <col min="9" max="9" width="22" style="31" bestFit="1" customWidth="1"/>
    <col min="10" max="10" width="22.42578125" style="31" bestFit="1" customWidth="1"/>
    <col min="11" max="16384" width="8.85546875" style="31"/>
  </cols>
  <sheetData>
    <row r="1" spans="1:10">
      <c r="A1" s="31" t="s">
        <v>2384</v>
      </c>
      <c r="B1" s="77">
        <f ca="1">TODAY()</f>
        <v>45912</v>
      </c>
    </row>
    <row r="2" spans="1:10">
      <c r="B2" s="77"/>
    </row>
    <row r="3" spans="1:10" ht="51">
      <c r="B3" s="66" t="s">
        <v>2029</v>
      </c>
      <c r="C3" s="66" t="s">
        <v>0</v>
      </c>
      <c r="D3" s="66" t="s">
        <v>2379</v>
      </c>
      <c r="E3" s="66" t="s">
        <v>2030</v>
      </c>
      <c r="F3" s="66" t="s">
        <v>2031</v>
      </c>
      <c r="G3" s="66" t="s">
        <v>2032</v>
      </c>
      <c r="H3" s="66" t="s">
        <v>2380</v>
      </c>
      <c r="I3" s="66" t="s">
        <v>2381</v>
      </c>
      <c r="J3" s="66" t="s">
        <v>2033</v>
      </c>
    </row>
    <row r="4" spans="1:10" ht="15" customHeight="1">
      <c r="B4" s="78" t="s">
        <v>20</v>
      </c>
      <c r="C4" s="78" t="s">
        <v>21</v>
      </c>
      <c r="D4" s="78" t="s">
        <v>17</v>
      </c>
      <c r="E4" s="78" t="s">
        <v>22</v>
      </c>
      <c r="F4" s="79">
        <v>750.86</v>
      </c>
      <c r="G4" s="80" t="s">
        <v>2442</v>
      </c>
      <c r="H4" s="81" t="s">
        <v>2442</v>
      </c>
      <c r="I4" s="82" t="s">
        <v>2442</v>
      </c>
      <c r="J4" s="78" t="s">
        <v>2443</v>
      </c>
    </row>
    <row r="5" spans="1:10" ht="15" customHeight="1">
      <c r="B5" s="78" t="s">
        <v>1767</v>
      </c>
      <c r="C5" s="78" t="s">
        <v>1768</v>
      </c>
      <c r="D5" s="78" t="s">
        <v>81</v>
      </c>
      <c r="E5" s="78" t="s">
        <v>22</v>
      </c>
      <c r="F5" s="81">
        <v>5.7</v>
      </c>
      <c r="G5" s="83" t="s">
        <v>2442</v>
      </c>
      <c r="H5" s="83" t="s">
        <v>2442</v>
      </c>
      <c r="I5" s="84" t="s">
        <v>2442</v>
      </c>
      <c r="J5" s="78" t="s">
        <v>2444</v>
      </c>
    </row>
    <row r="6" spans="1:10" ht="15" customHeight="1">
      <c r="B6" s="78" t="s">
        <v>23</v>
      </c>
      <c r="C6" s="78" t="s">
        <v>24</v>
      </c>
      <c r="D6" s="78" t="s">
        <v>17</v>
      </c>
      <c r="E6" s="78" t="s">
        <v>1091</v>
      </c>
      <c r="F6" s="81">
        <v>6301.35</v>
      </c>
      <c r="G6" s="83" t="s">
        <v>2442</v>
      </c>
      <c r="H6" s="83" t="s">
        <v>2442</v>
      </c>
      <c r="I6" s="84" t="s">
        <v>2442</v>
      </c>
      <c r="J6" s="78" t="s">
        <v>2443</v>
      </c>
    </row>
    <row r="7" spans="1:10" ht="15" customHeight="1">
      <c r="B7" s="78" t="s">
        <v>1808</v>
      </c>
      <c r="C7" s="78" t="s">
        <v>1809</v>
      </c>
      <c r="D7" s="78" t="s">
        <v>25</v>
      </c>
      <c r="E7" s="78" t="s">
        <v>355</v>
      </c>
      <c r="F7" s="79">
        <v>100.2277</v>
      </c>
      <c r="G7" s="80">
        <v>101.8944</v>
      </c>
      <c r="H7" s="81">
        <v>7.89</v>
      </c>
      <c r="I7" s="82" t="s">
        <v>2458</v>
      </c>
      <c r="J7" s="78" t="s">
        <v>2445</v>
      </c>
    </row>
    <row r="8" spans="1:10" ht="15" customHeight="1">
      <c r="B8" s="78" t="s">
        <v>27</v>
      </c>
      <c r="C8" s="78" t="s">
        <v>28</v>
      </c>
      <c r="D8" s="78" t="s">
        <v>29</v>
      </c>
      <c r="E8" s="78" t="s">
        <v>30</v>
      </c>
      <c r="F8" s="81">
        <v>1474.56</v>
      </c>
      <c r="G8" s="83" t="s">
        <v>2442</v>
      </c>
      <c r="H8" s="83" t="s">
        <v>2442</v>
      </c>
      <c r="I8" s="84" t="s">
        <v>2442</v>
      </c>
      <c r="J8" s="78" t="s">
        <v>2443</v>
      </c>
    </row>
    <row r="9" spans="1:10" ht="15" customHeight="1">
      <c r="B9" s="78" t="s">
        <v>31</v>
      </c>
      <c r="C9" s="78" t="s">
        <v>32</v>
      </c>
      <c r="D9" s="78" t="s">
        <v>29</v>
      </c>
      <c r="E9" s="78" t="s">
        <v>30</v>
      </c>
      <c r="F9" s="81">
        <v>7.27</v>
      </c>
      <c r="G9" s="83" t="s">
        <v>2442</v>
      </c>
      <c r="H9" s="83" t="s">
        <v>2442</v>
      </c>
      <c r="I9" s="84" t="s">
        <v>2442</v>
      </c>
      <c r="J9" s="78" t="s">
        <v>2443</v>
      </c>
    </row>
    <row r="10" spans="1:10" ht="15" customHeight="1">
      <c r="B10" s="78" t="s">
        <v>2019</v>
      </c>
      <c r="C10" s="78" t="s">
        <v>2020</v>
      </c>
      <c r="D10" s="78" t="s">
        <v>25</v>
      </c>
      <c r="E10" s="78" t="s">
        <v>2036</v>
      </c>
      <c r="F10" s="79">
        <v>99.890900000000002</v>
      </c>
      <c r="G10" s="80">
        <v>105.41589999999999</v>
      </c>
      <c r="H10" s="81">
        <v>19.5</v>
      </c>
      <c r="I10" s="82" t="s">
        <v>2459</v>
      </c>
      <c r="J10" s="78" t="s">
        <v>2445</v>
      </c>
    </row>
    <row r="11" spans="1:10" ht="15" customHeight="1">
      <c r="B11" s="78" t="s">
        <v>1932</v>
      </c>
      <c r="C11" s="78" t="s">
        <v>1933</v>
      </c>
      <c r="D11" s="78" t="s">
        <v>25</v>
      </c>
      <c r="E11" s="78" t="s">
        <v>33</v>
      </c>
      <c r="F11" s="79">
        <v>103.3283</v>
      </c>
      <c r="G11" s="80">
        <v>105.7346</v>
      </c>
      <c r="H11" s="81">
        <v>4.8</v>
      </c>
      <c r="I11" s="82" t="s">
        <v>2460</v>
      </c>
      <c r="J11" s="78" t="s">
        <v>2445</v>
      </c>
    </row>
    <row r="12" spans="1:10" ht="15" customHeight="1">
      <c r="B12" s="78" t="s">
        <v>1997</v>
      </c>
      <c r="C12" s="78" t="s">
        <v>1998</v>
      </c>
      <c r="D12" s="78" t="s">
        <v>25</v>
      </c>
      <c r="E12" s="78" t="s">
        <v>2062</v>
      </c>
      <c r="F12" s="79">
        <v>101.43729999999999</v>
      </c>
      <c r="G12" s="80">
        <v>103.29940000000001</v>
      </c>
      <c r="H12" s="81">
        <v>4.8600000000000003</v>
      </c>
      <c r="I12" s="82" t="s">
        <v>2461</v>
      </c>
      <c r="J12" s="78" t="s">
        <v>2445</v>
      </c>
    </row>
    <row r="13" spans="1:10" ht="15" customHeight="1">
      <c r="B13" s="78" t="s">
        <v>38</v>
      </c>
      <c r="C13" s="78" t="s">
        <v>39</v>
      </c>
      <c r="D13" s="78" t="s">
        <v>17</v>
      </c>
      <c r="E13" s="78" t="s">
        <v>40</v>
      </c>
      <c r="F13" s="79">
        <v>5517.84</v>
      </c>
      <c r="G13" s="80" t="s">
        <v>2442</v>
      </c>
      <c r="H13" s="81" t="s">
        <v>2442</v>
      </c>
      <c r="I13" s="82" t="s">
        <v>2442</v>
      </c>
      <c r="J13" s="78" t="s">
        <v>2443</v>
      </c>
    </row>
    <row r="14" spans="1:10" ht="15" customHeight="1">
      <c r="B14" s="78" t="s">
        <v>41</v>
      </c>
      <c r="C14" s="78" t="s">
        <v>42</v>
      </c>
      <c r="D14" s="78" t="s">
        <v>17</v>
      </c>
      <c r="E14" s="78" t="s">
        <v>40</v>
      </c>
      <c r="F14" s="79">
        <v>11271.66</v>
      </c>
      <c r="G14" s="80" t="s">
        <v>2442</v>
      </c>
      <c r="H14" s="81" t="s">
        <v>2442</v>
      </c>
      <c r="I14" s="82" t="s">
        <v>2442</v>
      </c>
      <c r="J14" s="78" t="s">
        <v>2443</v>
      </c>
    </row>
    <row r="15" spans="1:10" ht="15" customHeight="1">
      <c r="B15" s="78" t="s">
        <v>44</v>
      </c>
      <c r="C15" s="78" t="s">
        <v>45</v>
      </c>
      <c r="D15" s="78" t="s">
        <v>29</v>
      </c>
      <c r="E15" s="78" t="s">
        <v>46</v>
      </c>
      <c r="F15" s="79">
        <v>5931987.7599999998</v>
      </c>
      <c r="G15" s="80" t="s">
        <v>2442</v>
      </c>
      <c r="H15" s="81" t="s">
        <v>2442</v>
      </c>
      <c r="I15" s="82" t="s">
        <v>2442</v>
      </c>
      <c r="J15" s="78" t="s">
        <v>2443</v>
      </c>
    </row>
    <row r="16" spans="1:10" ht="15" customHeight="1">
      <c r="B16" s="78" t="s">
        <v>47</v>
      </c>
      <c r="C16" s="78" t="s">
        <v>48</v>
      </c>
      <c r="D16" s="78" t="s">
        <v>29</v>
      </c>
      <c r="E16" s="78" t="s">
        <v>46</v>
      </c>
      <c r="F16" s="79">
        <v>1747648.28</v>
      </c>
      <c r="G16" s="80" t="s">
        <v>2442</v>
      </c>
      <c r="H16" s="81" t="s">
        <v>2442</v>
      </c>
      <c r="I16" s="82" t="s">
        <v>2442</v>
      </c>
      <c r="J16" s="78" t="s">
        <v>2443</v>
      </c>
    </row>
    <row r="17" spans="2:10" ht="15" customHeight="1">
      <c r="B17" s="78" t="s">
        <v>50</v>
      </c>
      <c r="C17" s="78" t="s">
        <v>51</v>
      </c>
      <c r="D17" s="78" t="s">
        <v>1824</v>
      </c>
      <c r="E17" s="78" t="s">
        <v>49</v>
      </c>
      <c r="F17" s="79">
        <v>99.805800000000005</v>
      </c>
      <c r="G17" s="80">
        <v>102.5228</v>
      </c>
      <c r="H17" s="81">
        <v>6.1</v>
      </c>
      <c r="I17" s="82" t="s">
        <v>2462</v>
      </c>
      <c r="J17" s="78" t="s">
        <v>2445</v>
      </c>
    </row>
    <row r="18" spans="2:10" ht="15" customHeight="1">
      <c r="B18" s="78" t="s">
        <v>1861</v>
      </c>
      <c r="C18" s="78" t="s">
        <v>1862</v>
      </c>
      <c r="D18" s="78" t="s">
        <v>1824</v>
      </c>
      <c r="E18" s="78" t="s">
        <v>49</v>
      </c>
      <c r="F18" s="79">
        <v>100</v>
      </c>
      <c r="G18" s="80">
        <v>100.7568</v>
      </c>
      <c r="H18" s="81">
        <v>16.239999999999998</v>
      </c>
      <c r="I18" s="82" t="s">
        <v>2463</v>
      </c>
      <c r="J18" s="78" t="s">
        <v>2445</v>
      </c>
    </row>
    <row r="19" spans="2:10" ht="15" customHeight="1">
      <c r="B19" s="78" t="s">
        <v>1912</v>
      </c>
      <c r="C19" s="78" t="s">
        <v>1913</v>
      </c>
      <c r="D19" s="78" t="s">
        <v>1824</v>
      </c>
      <c r="E19" s="78" t="s">
        <v>49</v>
      </c>
      <c r="F19" s="79">
        <v>100</v>
      </c>
      <c r="G19" s="80">
        <v>108.0548</v>
      </c>
      <c r="H19" s="81">
        <v>17.48</v>
      </c>
      <c r="I19" s="82" t="s">
        <v>2464</v>
      </c>
      <c r="J19" s="78" t="s">
        <v>2445</v>
      </c>
    </row>
    <row r="20" spans="2:10" ht="15" customHeight="1">
      <c r="B20" s="78" t="s">
        <v>55</v>
      </c>
      <c r="C20" s="78" t="s">
        <v>56</v>
      </c>
      <c r="D20" s="78" t="s">
        <v>29</v>
      </c>
      <c r="E20" s="78" t="s">
        <v>54</v>
      </c>
      <c r="F20" s="79">
        <v>166.55</v>
      </c>
      <c r="G20" s="80" t="s">
        <v>2442</v>
      </c>
      <c r="H20" s="81" t="s">
        <v>2442</v>
      </c>
      <c r="I20" s="82" t="s">
        <v>2442</v>
      </c>
      <c r="J20" s="78" t="s">
        <v>2444</v>
      </c>
    </row>
    <row r="21" spans="2:10" ht="15" customHeight="1">
      <c r="B21" s="78" t="s">
        <v>52</v>
      </c>
      <c r="C21" s="78" t="s">
        <v>53</v>
      </c>
      <c r="D21" s="78" t="s">
        <v>29</v>
      </c>
      <c r="E21" s="78" t="s">
        <v>54</v>
      </c>
      <c r="F21" s="79">
        <v>5496.9</v>
      </c>
      <c r="G21" s="80" t="s">
        <v>2442</v>
      </c>
      <c r="H21" s="81" t="s">
        <v>2442</v>
      </c>
      <c r="I21" s="82" t="s">
        <v>2442</v>
      </c>
      <c r="J21" s="78" t="s">
        <v>2443</v>
      </c>
    </row>
    <row r="22" spans="2:10" ht="15" customHeight="1">
      <c r="B22" s="78" t="s">
        <v>69</v>
      </c>
      <c r="C22" s="78" t="s">
        <v>70</v>
      </c>
      <c r="D22" s="78" t="s">
        <v>29</v>
      </c>
      <c r="E22" s="78" t="s">
        <v>71</v>
      </c>
      <c r="F22" s="79">
        <v>53275.53</v>
      </c>
      <c r="G22" s="80" t="s">
        <v>2442</v>
      </c>
      <c r="H22" s="81" t="s">
        <v>2442</v>
      </c>
      <c r="I22" s="82" t="s">
        <v>2442</v>
      </c>
      <c r="J22" s="78" t="s">
        <v>2443</v>
      </c>
    </row>
    <row r="23" spans="2:10" ht="15" customHeight="1">
      <c r="B23" s="78" t="s">
        <v>72</v>
      </c>
      <c r="C23" s="78" t="s">
        <v>73</v>
      </c>
      <c r="D23" s="78" t="s">
        <v>29</v>
      </c>
      <c r="E23" s="78" t="s">
        <v>71</v>
      </c>
      <c r="F23" s="79">
        <v>74283.28</v>
      </c>
      <c r="G23" s="80" t="s">
        <v>2442</v>
      </c>
      <c r="H23" s="81" t="s">
        <v>2442</v>
      </c>
      <c r="I23" s="82" t="s">
        <v>2442</v>
      </c>
      <c r="J23" s="78" t="s">
        <v>2443</v>
      </c>
    </row>
    <row r="24" spans="2:10" ht="15" customHeight="1">
      <c r="B24" s="78" t="s">
        <v>74</v>
      </c>
      <c r="C24" s="78" t="s">
        <v>75</v>
      </c>
      <c r="D24" s="78" t="s">
        <v>29</v>
      </c>
      <c r="E24" s="78" t="s">
        <v>71</v>
      </c>
      <c r="F24" s="79">
        <v>73343.41</v>
      </c>
      <c r="G24" s="80" t="s">
        <v>2442</v>
      </c>
      <c r="H24" s="81" t="s">
        <v>2442</v>
      </c>
      <c r="I24" s="82" t="s">
        <v>2442</v>
      </c>
      <c r="J24" s="78" t="s">
        <v>2443</v>
      </c>
    </row>
    <row r="25" spans="2:10" ht="15" customHeight="1">
      <c r="B25" s="78" t="s">
        <v>76</v>
      </c>
      <c r="C25" s="78" t="s">
        <v>77</v>
      </c>
      <c r="D25" s="78" t="s">
        <v>29</v>
      </c>
      <c r="E25" s="78" t="s">
        <v>71</v>
      </c>
      <c r="F25" s="79">
        <v>583632.34</v>
      </c>
      <c r="G25" s="80" t="s">
        <v>2442</v>
      </c>
      <c r="H25" s="81" t="s">
        <v>2442</v>
      </c>
      <c r="I25" s="82" t="s">
        <v>2442</v>
      </c>
      <c r="J25" s="78" t="s">
        <v>2443</v>
      </c>
    </row>
    <row r="26" spans="2:10" ht="15" customHeight="1">
      <c r="B26" s="78" t="s">
        <v>78</v>
      </c>
      <c r="C26" s="78" t="s">
        <v>79</v>
      </c>
      <c r="D26" s="78" t="s">
        <v>17</v>
      </c>
      <c r="E26" s="78" t="s">
        <v>80</v>
      </c>
      <c r="F26" s="79">
        <v>368.72</v>
      </c>
      <c r="G26" s="80" t="s">
        <v>2442</v>
      </c>
      <c r="H26" s="81" t="s">
        <v>2442</v>
      </c>
      <c r="I26" s="82" t="s">
        <v>2442</v>
      </c>
      <c r="J26" s="78" t="s">
        <v>2443</v>
      </c>
    </row>
    <row r="27" spans="2:10" ht="15" customHeight="1">
      <c r="B27" s="78" t="s">
        <v>1346</v>
      </c>
      <c r="C27" s="78" t="s">
        <v>1347</v>
      </c>
      <c r="D27" s="78" t="s">
        <v>81</v>
      </c>
      <c r="E27" s="78" t="s">
        <v>80</v>
      </c>
      <c r="F27" s="79">
        <v>27</v>
      </c>
      <c r="G27" s="80" t="s">
        <v>2442</v>
      </c>
      <c r="H27" s="81" t="s">
        <v>2442</v>
      </c>
      <c r="I27" s="82" t="s">
        <v>2442</v>
      </c>
      <c r="J27" s="78" t="s">
        <v>2444</v>
      </c>
    </row>
    <row r="28" spans="2:10" ht="15" customHeight="1">
      <c r="B28" s="78" t="s">
        <v>82</v>
      </c>
      <c r="C28" s="78" t="s">
        <v>83</v>
      </c>
      <c r="D28" s="78" t="s">
        <v>17</v>
      </c>
      <c r="E28" s="78" t="s">
        <v>84</v>
      </c>
      <c r="F28" s="81">
        <v>9490.15</v>
      </c>
      <c r="G28" s="83" t="s">
        <v>2442</v>
      </c>
      <c r="H28" s="83" t="s">
        <v>2442</v>
      </c>
      <c r="I28" s="84" t="s">
        <v>2442</v>
      </c>
      <c r="J28" s="78" t="s">
        <v>2443</v>
      </c>
    </row>
    <row r="29" spans="2:10" ht="15" customHeight="1">
      <c r="B29" s="78" t="s">
        <v>2027</v>
      </c>
      <c r="C29" s="78" t="s">
        <v>2028</v>
      </c>
      <c r="D29" s="78" t="s">
        <v>25</v>
      </c>
      <c r="E29" s="78" t="s">
        <v>2063</v>
      </c>
      <c r="F29" s="81">
        <v>99.987200000000001</v>
      </c>
      <c r="G29" s="83">
        <v>101.8108</v>
      </c>
      <c r="H29" s="83">
        <v>6.5</v>
      </c>
      <c r="I29" s="84" t="s">
        <v>2465</v>
      </c>
      <c r="J29" s="78" t="s">
        <v>2445</v>
      </c>
    </row>
    <row r="30" spans="2:10" ht="15" customHeight="1">
      <c r="B30" s="78" t="s">
        <v>93</v>
      </c>
      <c r="C30" s="78" t="s">
        <v>94</v>
      </c>
      <c r="D30" s="78" t="s">
        <v>17</v>
      </c>
      <c r="E30" s="78" t="s">
        <v>95</v>
      </c>
      <c r="F30" s="79">
        <v>3376.63</v>
      </c>
      <c r="G30" s="80" t="s">
        <v>2442</v>
      </c>
      <c r="H30" s="81" t="s">
        <v>2442</v>
      </c>
      <c r="I30" s="82" t="s">
        <v>2442</v>
      </c>
      <c r="J30" s="78" t="s">
        <v>2443</v>
      </c>
    </row>
    <row r="31" spans="2:10" ht="15" customHeight="1">
      <c r="B31" s="78" t="s">
        <v>96</v>
      </c>
      <c r="C31" s="78" t="s">
        <v>97</v>
      </c>
      <c r="D31" s="78" t="s">
        <v>17</v>
      </c>
      <c r="E31" s="78" t="s">
        <v>98</v>
      </c>
      <c r="F31" s="79">
        <v>1443.1</v>
      </c>
      <c r="G31" s="80" t="s">
        <v>2442</v>
      </c>
      <c r="H31" s="81" t="s">
        <v>2442</v>
      </c>
      <c r="I31" s="82" t="s">
        <v>2442</v>
      </c>
      <c r="J31" s="78" t="s">
        <v>2443</v>
      </c>
    </row>
    <row r="32" spans="2:10" ht="15" customHeight="1">
      <c r="B32" s="78" t="s">
        <v>99</v>
      </c>
      <c r="C32" s="78" t="s">
        <v>100</v>
      </c>
      <c r="D32" s="78" t="s">
        <v>17</v>
      </c>
      <c r="E32" s="78" t="s">
        <v>101</v>
      </c>
      <c r="F32" s="79">
        <v>19764.349999999999</v>
      </c>
      <c r="G32" s="80" t="s">
        <v>2442</v>
      </c>
      <c r="H32" s="81" t="s">
        <v>2442</v>
      </c>
      <c r="I32" s="82" t="s">
        <v>2442</v>
      </c>
      <c r="J32" s="78" t="s">
        <v>2443</v>
      </c>
    </row>
    <row r="33" spans="2:10" ht="15" customHeight="1">
      <c r="B33" s="78" t="s">
        <v>104</v>
      </c>
      <c r="C33" s="78" t="s">
        <v>105</v>
      </c>
      <c r="D33" s="78" t="s">
        <v>25</v>
      </c>
      <c r="E33" s="78" t="s">
        <v>101</v>
      </c>
      <c r="F33" s="79">
        <v>91.7928</v>
      </c>
      <c r="G33" s="80">
        <v>94.060900000000004</v>
      </c>
      <c r="H33" s="81">
        <v>6.46</v>
      </c>
      <c r="I33" s="82" t="s">
        <v>2466</v>
      </c>
      <c r="J33" s="78" t="s">
        <v>2445</v>
      </c>
    </row>
    <row r="34" spans="2:10" ht="15" customHeight="1">
      <c r="B34" s="78" t="s">
        <v>106</v>
      </c>
      <c r="C34" s="78" t="s">
        <v>107</v>
      </c>
      <c r="D34" s="78" t="s">
        <v>25</v>
      </c>
      <c r="E34" s="78" t="s">
        <v>101</v>
      </c>
      <c r="F34" s="79">
        <v>102.1203</v>
      </c>
      <c r="G34" s="80">
        <v>104.1658</v>
      </c>
      <c r="H34" s="81">
        <v>4.8600000000000003</v>
      </c>
      <c r="I34" s="82" t="s">
        <v>2467</v>
      </c>
      <c r="J34" s="78" t="s">
        <v>2445</v>
      </c>
    </row>
    <row r="35" spans="2:10" ht="15" customHeight="1">
      <c r="B35" s="78" t="s">
        <v>108</v>
      </c>
      <c r="C35" s="78" t="s">
        <v>109</v>
      </c>
      <c r="D35" s="78" t="s">
        <v>25</v>
      </c>
      <c r="E35" s="78" t="s">
        <v>101</v>
      </c>
      <c r="F35" s="81">
        <v>97.216099999999997</v>
      </c>
      <c r="G35" s="83">
        <v>99.642099999999999</v>
      </c>
      <c r="H35" s="83">
        <v>6.61</v>
      </c>
      <c r="I35" s="84" t="s">
        <v>2468</v>
      </c>
      <c r="J35" s="78" t="s">
        <v>2445</v>
      </c>
    </row>
    <row r="36" spans="2:10" ht="15" customHeight="1">
      <c r="B36" s="78" t="s">
        <v>110</v>
      </c>
      <c r="C36" s="78" t="s">
        <v>111</v>
      </c>
      <c r="D36" s="78" t="s">
        <v>25</v>
      </c>
      <c r="E36" s="78" t="s">
        <v>101</v>
      </c>
      <c r="F36" s="81">
        <v>89.475800000000007</v>
      </c>
      <c r="G36" s="83">
        <v>90.905000000000001</v>
      </c>
      <c r="H36" s="83">
        <v>5.19</v>
      </c>
      <c r="I36" s="84" t="s">
        <v>2469</v>
      </c>
      <c r="J36" s="78" t="s">
        <v>2445</v>
      </c>
    </row>
    <row r="37" spans="2:10" ht="15" customHeight="1">
      <c r="B37" s="78" t="s">
        <v>112</v>
      </c>
      <c r="C37" s="78" t="s">
        <v>113</v>
      </c>
      <c r="D37" s="78" t="s">
        <v>17</v>
      </c>
      <c r="E37" s="78" t="s">
        <v>114</v>
      </c>
      <c r="F37" s="81">
        <v>48850.99</v>
      </c>
      <c r="G37" s="83" t="s">
        <v>2442</v>
      </c>
      <c r="H37" s="83" t="s">
        <v>2442</v>
      </c>
      <c r="I37" s="84" t="s">
        <v>2442</v>
      </c>
      <c r="J37" s="78" t="s">
        <v>2443</v>
      </c>
    </row>
    <row r="38" spans="2:10" ht="15" customHeight="1">
      <c r="B38" s="78" t="s">
        <v>115</v>
      </c>
      <c r="C38" s="78" t="s">
        <v>116</v>
      </c>
      <c r="D38" s="78" t="s">
        <v>81</v>
      </c>
      <c r="E38" s="78" t="s">
        <v>114</v>
      </c>
      <c r="F38" s="81">
        <v>90.4</v>
      </c>
      <c r="G38" s="83" t="s">
        <v>2442</v>
      </c>
      <c r="H38" s="83" t="s">
        <v>2442</v>
      </c>
      <c r="I38" s="84" t="s">
        <v>2442</v>
      </c>
      <c r="J38" s="78" t="s">
        <v>2444</v>
      </c>
    </row>
    <row r="39" spans="2:10" ht="15" customHeight="1">
      <c r="B39" s="78" t="s">
        <v>1708</v>
      </c>
      <c r="C39" s="78" t="s">
        <v>1709</v>
      </c>
      <c r="D39" s="78" t="s">
        <v>18</v>
      </c>
      <c r="E39" s="78" t="s">
        <v>129</v>
      </c>
      <c r="F39" s="81">
        <v>98.875</v>
      </c>
      <c r="G39" s="83">
        <v>100.86539999999999</v>
      </c>
      <c r="H39" s="83">
        <v>4.8600000000000003</v>
      </c>
      <c r="I39" s="84" t="s">
        <v>2470</v>
      </c>
      <c r="J39" s="78" t="s">
        <v>2445</v>
      </c>
    </row>
    <row r="40" spans="2:10" ht="15" customHeight="1">
      <c r="B40" s="78" t="s">
        <v>117</v>
      </c>
      <c r="C40" s="78" t="s">
        <v>118</v>
      </c>
      <c r="D40" s="78" t="s">
        <v>17</v>
      </c>
      <c r="E40" s="78" t="s">
        <v>1732</v>
      </c>
      <c r="F40" s="79">
        <v>25997.9</v>
      </c>
      <c r="G40" s="80" t="s">
        <v>2442</v>
      </c>
      <c r="H40" s="81" t="s">
        <v>2442</v>
      </c>
      <c r="I40" s="82" t="s">
        <v>2442</v>
      </c>
      <c r="J40" s="78" t="s">
        <v>2443</v>
      </c>
    </row>
    <row r="41" spans="2:10" ht="15" customHeight="1">
      <c r="B41" s="78" t="s">
        <v>1896</v>
      </c>
      <c r="C41" s="78" t="s">
        <v>1897</v>
      </c>
      <c r="D41" s="78" t="s">
        <v>25</v>
      </c>
      <c r="E41" s="78" t="s">
        <v>1898</v>
      </c>
      <c r="F41" s="81">
        <v>105.9074</v>
      </c>
      <c r="G41" s="83">
        <v>116.5407</v>
      </c>
      <c r="H41" s="83">
        <v>18.93</v>
      </c>
      <c r="I41" s="84" t="s">
        <v>2471</v>
      </c>
      <c r="J41" s="78" t="s">
        <v>2445</v>
      </c>
    </row>
    <row r="42" spans="2:10" ht="15" customHeight="1">
      <c r="B42" s="78" t="s">
        <v>121</v>
      </c>
      <c r="C42" s="78" t="s">
        <v>122</v>
      </c>
      <c r="D42" s="78" t="s">
        <v>17</v>
      </c>
      <c r="E42" s="78" t="s">
        <v>123</v>
      </c>
      <c r="F42" s="79">
        <v>40443.410000000003</v>
      </c>
      <c r="G42" s="80" t="s">
        <v>2442</v>
      </c>
      <c r="H42" s="81" t="s">
        <v>2442</v>
      </c>
      <c r="I42" s="82" t="s">
        <v>2442</v>
      </c>
      <c r="J42" s="78" t="s">
        <v>2443</v>
      </c>
    </row>
    <row r="43" spans="2:10" ht="15" customHeight="1">
      <c r="B43" s="78" t="s">
        <v>124</v>
      </c>
      <c r="C43" s="78" t="s">
        <v>125</v>
      </c>
      <c r="D43" s="78" t="s">
        <v>17</v>
      </c>
      <c r="E43" s="78" t="s">
        <v>123</v>
      </c>
      <c r="F43" s="79">
        <v>33474.379999999997</v>
      </c>
      <c r="G43" s="80" t="s">
        <v>2442</v>
      </c>
      <c r="H43" s="81" t="s">
        <v>2442</v>
      </c>
      <c r="I43" s="82" t="s">
        <v>2442</v>
      </c>
      <c r="J43" s="78" t="s">
        <v>2443</v>
      </c>
    </row>
    <row r="44" spans="2:10" ht="15" customHeight="1">
      <c r="B44" s="78" t="s">
        <v>126</v>
      </c>
      <c r="C44" s="78" t="s">
        <v>127</v>
      </c>
      <c r="D44" s="78" t="s">
        <v>17</v>
      </c>
      <c r="E44" s="78" t="s">
        <v>128</v>
      </c>
      <c r="F44" s="79">
        <v>815.24</v>
      </c>
      <c r="G44" s="80" t="s">
        <v>2442</v>
      </c>
      <c r="H44" s="81" t="s">
        <v>2442</v>
      </c>
      <c r="I44" s="82" t="s">
        <v>2442</v>
      </c>
      <c r="J44" s="78" t="s">
        <v>2443</v>
      </c>
    </row>
    <row r="45" spans="2:10" ht="15" customHeight="1">
      <c r="B45" s="78" t="s">
        <v>2377</v>
      </c>
      <c r="C45" s="78" t="s">
        <v>2378</v>
      </c>
      <c r="D45" s="78" t="s">
        <v>25</v>
      </c>
      <c r="E45" s="78" t="s">
        <v>2178</v>
      </c>
      <c r="F45" s="79">
        <v>99.996300000000005</v>
      </c>
      <c r="G45" s="80">
        <v>100.97410000000001</v>
      </c>
      <c r="H45" s="81">
        <v>22</v>
      </c>
      <c r="I45" s="82" t="s">
        <v>2472</v>
      </c>
      <c r="J45" s="78" t="s">
        <v>2445</v>
      </c>
    </row>
    <row r="46" spans="2:10" ht="15" customHeight="1">
      <c r="B46" s="78" t="s">
        <v>1751</v>
      </c>
      <c r="C46" s="78" t="s">
        <v>1752</v>
      </c>
      <c r="D46" s="78" t="s">
        <v>25</v>
      </c>
      <c r="E46" s="78" t="s">
        <v>288</v>
      </c>
      <c r="F46" s="79">
        <v>87.645799999999994</v>
      </c>
      <c r="G46" s="80">
        <v>88.612499999999997</v>
      </c>
      <c r="H46" s="81">
        <v>24.44</v>
      </c>
      <c r="I46" s="82" t="s">
        <v>2473</v>
      </c>
      <c r="J46" s="78" t="s">
        <v>2445</v>
      </c>
    </row>
    <row r="47" spans="2:10" ht="15" customHeight="1">
      <c r="B47" s="78" t="s">
        <v>1853</v>
      </c>
      <c r="C47" s="78" t="s">
        <v>1854</v>
      </c>
      <c r="D47" s="78" t="s">
        <v>25</v>
      </c>
      <c r="E47" s="78" t="s">
        <v>288</v>
      </c>
      <c r="F47" s="81">
        <v>91.407200000000003</v>
      </c>
      <c r="G47" s="83">
        <v>92.073899999999995</v>
      </c>
      <c r="H47" s="83">
        <v>33.049999999999997</v>
      </c>
      <c r="I47" s="84" t="s">
        <v>2474</v>
      </c>
      <c r="J47" s="78" t="s">
        <v>2445</v>
      </c>
    </row>
    <row r="48" spans="2:10" ht="15" customHeight="1">
      <c r="B48" s="78" t="s">
        <v>2044</v>
      </c>
      <c r="C48" s="78" t="s">
        <v>2045</v>
      </c>
      <c r="D48" s="78" t="s">
        <v>25</v>
      </c>
      <c r="E48" s="78" t="s">
        <v>288</v>
      </c>
      <c r="F48" s="81">
        <v>99.998999999999995</v>
      </c>
      <c r="G48" s="83">
        <v>99.998999999999995</v>
      </c>
      <c r="H48" s="83">
        <v>22</v>
      </c>
      <c r="I48" s="84" t="s">
        <v>2475</v>
      </c>
      <c r="J48" s="78" t="s">
        <v>2445</v>
      </c>
    </row>
    <row r="49" spans="2:10" ht="15" customHeight="1">
      <c r="B49" s="78" t="s">
        <v>1980</v>
      </c>
      <c r="C49" s="78" t="s">
        <v>1981</v>
      </c>
      <c r="D49" s="78" t="s">
        <v>25</v>
      </c>
      <c r="E49" s="78" t="s">
        <v>288</v>
      </c>
      <c r="F49" s="79">
        <v>94.684899999999999</v>
      </c>
      <c r="G49" s="80">
        <v>95.518199999999993</v>
      </c>
      <c r="H49" s="81">
        <v>15.62</v>
      </c>
      <c r="I49" s="82" t="s">
        <v>2476</v>
      </c>
      <c r="J49" s="78" t="s">
        <v>2445</v>
      </c>
    </row>
    <row r="50" spans="2:10" ht="15" customHeight="1">
      <c r="B50" s="78" t="s">
        <v>2046</v>
      </c>
      <c r="C50" s="78" t="s">
        <v>2047</v>
      </c>
      <c r="D50" s="78" t="s">
        <v>25</v>
      </c>
      <c r="E50" s="78" t="s">
        <v>288</v>
      </c>
      <c r="F50" s="79">
        <v>99.998999999999995</v>
      </c>
      <c r="G50" s="80">
        <v>100.2657</v>
      </c>
      <c r="H50" s="81">
        <v>12</v>
      </c>
      <c r="I50" s="82" t="s">
        <v>2477</v>
      </c>
      <c r="J50" s="78" t="s">
        <v>2445</v>
      </c>
    </row>
    <row r="51" spans="2:10" ht="15" customHeight="1">
      <c r="B51" s="78" t="s">
        <v>2367</v>
      </c>
      <c r="C51" s="78" t="s">
        <v>2368</v>
      </c>
      <c r="D51" s="78" t="s">
        <v>25</v>
      </c>
      <c r="E51" s="78" t="s">
        <v>288</v>
      </c>
      <c r="F51" s="79">
        <v>99.998999999999995</v>
      </c>
      <c r="G51" s="80">
        <v>100.6407</v>
      </c>
      <c r="H51" s="81">
        <v>11</v>
      </c>
      <c r="I51" s="82" t="s">
        <v>2478</v>
      </c>
      <c r="J51" s="78" t="s">
        <v>2445</v>
      </c>
    </row>
    <row r="52" spans="2:10" ht="15" customHeight="1">
      <c r="B52" s="78" t="s">
        <v>131</v>
      </c>
      <c r="C52" s="78" t="s">
        <v>132</v>
      </c>
      <c r="D52" s="78" t="s">
        <v>25</v>
      </c>
      <c r="E52" s="78" t="s">
        <v>130</v>
      </c>
      <c r="F52" s="79">
        <v>100.13160000000001</v>
      </c>
      <c r="G52" s="80">
        <v>101.8784</v>
      </c>
      <c r="H52" s="81">
        <v>22.51</v>
      </c>
      <c r="I52" s="82" t="s">
        <v>2479</v>
      </c>
      <c r="J52" s="78" t="s">
        <v>2445</v>
      </c>
    </row>
    <row r="53" spans="2:10" ht="15" customHeight="1">
      <c r="B53" s="78" t="s">
        <v>133</v>
      </c>
      <c r="C53" s="78" t="s">
        <v>134</v>
      </c>
      <c r="D53" s="78" t="s">
        <v>25</v>
      </c>
      <c r="E53" s="78" t="s">
        <v>130</v>
      </c>
      <c r="F53" s="79">
        <v>99.408600000000007</v>
      </c>
      <c r="G53" s="80">
        <v>100.2419</v>
      </c>
      <c r="H53" s="81">
        <v>21.01</v>
      </c>
      <c r="I53" s="82" t="s">
        <v>2480</v>
      </c>
      <c r="J53" s="78" t="s">
        <v>2445</v>
      </c>
    </row>
    <row r="54" spans="2:10" ht="15" customHeight="1">
      <c r="B54" s="78" t="s">
        <v>135</v>
      </c>
      <c r="C54" s="78" t="s">
        <v>136</v>
      </c>
      <c r="D54" s="78" t="s">
        <v>25</v>
      </c>
      <c r="E54" s="78" t="s">
        <v>130</v>
      </c>
      <c r="F54" s="79">
        <v>99.6023</v>
      </c>
      <c r="G54" s="80">
        <v>100.24120000000001</v>
      </c>
      <c r="H54" s="81">
        <v>10.28</v>
      </c>
      <c r="I54" s="82" t="s">
        <v>2481</v>
      </c>
      <c r="J54" s="78" t="s">
        <v>2445</v>
      </c>
    </row>
    <row r="55" spans="2:10" ht="15" customHeight="1">
      <c r="B55" s="78" t="s">
        <v>1564</v>
      </c>
      <c r="C55" s="78" t="s">
        <v>1565</v>
      </c>
      <c r="D55" s="78" t="s">
        <v>25</v>
      </c>
      <c r="E55" s="78" t="s">
        <v>130</v>
      </c>
      <c r="F55" s="79">
        <v>99.561400000000006</v>
      </c>
      <c r="G55" s="80">
        <v>101.1994</v>
      </c>
      <c r="H55" s="81">
        <v>22.96</v>
      </c>
      <c r="I55" s="82" t="s">
        <v>2482</v>
      </c>
      <c r="J55" s="78" t="s">
        <v>2445</v>
      </c>
    </row>
    <row r="56" spans="2:10" ht="15" customHeight="1">
      <c r="B56" s="78" t="s">
        <v>1710</v>
      </c>
      <c r="C56" s="78" t="s">
        <v>1711</v>
      </c>
      <c r="D56" s="78" t="s">
        <v>25</v>
      </c>
      <c r="E56" s="78" t="s">
        <v>130</v>
      </c>
      <c r="F56" s="79">
        <v>95.847300000000004</v>
      </c>
      <c r="G56" s="80">
        <v>96.5334</v>
      </c>
      <c r="H56" s="81">
        <v>21.24</v>
      </c>
      <c r="I56" s="82" t="s">
        <v>2483</v>
      </c>
      <c r="J56" s="78" t="s">
        <v>2445</v>
      </c>
    </row>
    <row r="57" spans="2:10" ht="15" customHeight="1">
      <c r="B57" s="78" t="s">
        <v>1712</v>
      </c>
      <c r="C57" s="78" t="s">
        <v>1713</v>
      </c>
      <c r="D57" s="78" t="s">
        <v>25</v>
      </c>
      <c r="E57" s="78" t="s">
        <v>130</v>
      </c>
      <c r="F57" s="79">
        <v>96.347200000000001</v>
      </c>
      <c r="G57" s="80">
        <v>97.402799999999999</v>
      </c>
      <c r="H57" s="81">
        <v>22.75</v>
      </c>
      <c r="I57" s="82" t="s">
        <v>2484</v>
      </c>
      <c r="J57" s="78" t="s">
        <v>2445</v>
      </c>
    </row>
    <row r="58" spans="2:10" ht="15" customHeight="1">
      <c r="B58" s="78" t="s">
        <v>1883</v>
      </c>
      <c r="C58" s="78" t="s">
        <v>1884</v>
      </c>
      <c r="D58" s="78" t="s">
        <v>25</v>
      </c>
      <c r="E58" s="78" t="s">
        <v>130</v>
      </c>
      <c r="F58" s="79">
        <v>100.4037</v>
      </c>
      <c r="G58" s="80">
        <v>102.0954</v>
      </c>
      <c r="H58" s="81">
        <v>20.79</v>
      </c>
      <c r="I58" s="82" t="s">
        <v>2485</v>
      </c>
      <c r="J58" s="78" t="s">
        <v>2445</v>
      </c>
    </row>
    <row r="59" spans="2:10" ht="15" customHeight="1">
      <c r="B59" s="78" t="s">
        <v>1918</v>
      </c>
      <c r="C59" s="78" t="s">
        <v>1919</v>
      </c>
      <c r="D59" s="78" t="s">
        <v>25</v>
      </c>
      <c r="E59" s="78" t="s">
        <v>130</v>
      </c>
      <c r="F59" s="79">
        <v>100.715</v>
      </c>
      <c r="G59" s="80">
        <v>101.3994</v>
      </c>
      <c r="H59" s="81">
        <v>22.04</v>
      </c>
      <c r="I59" s="82" t="s">
        <v>2486</v>
      </c>
      <c r="J59" s="78" t="s">
        <v>2445</v>
      </c>
    </row>
    <row r="60" spans="2:10" ht="15" customHeight="1">
      <c r="B60" s="78" t="s">
        <v>1920</v>
      </c>
      <c r="C60" s="78" t="s">
        <v>1921</v>
      </c>
      <c r="D60" s="78" t="s">
        <v>25</v>
      </c>
      <c r="E60" s="78" t="s">
        <v>130</v>
      </c>
      <c r="F60" s="79">
        <v>101.35</v>
      </c>
      <c r="G60" s="80">
        <v>102.6129</v>
      </c>
      <c r="H60" s="81">
        <v>21</v>
      </c>
      <c r="I60" s="82" t="s">
        <v>2487</v>
      </c>
      <c r="J60" s="78" t="s">
        <v>2445</v>
      </c>
    </row>
    <row r="61" spans="2:10" ht="15" customHeight="1">
      <c r="B61" s="78" t="s">
        <v>1183</v>
      </c>
      <c r="C61" s="78" t="s">
        <v>1184</v>
      </c>
      <c r="D61" s="78" t="s">
        <v>25</v>
      </c>
      <c r="E61" s="78" t="s">
        <v>137</v>
      </c>
      <c r="F61" s="79">
        <v>83.138300000000001</v>
      </c>
      <c r="G61" s="80">
        <v>84.421599999999998</v>
      </c>
      <c r="H61" s="81">
        <v>212.75</v>
      </c>
      <c r="I61" s="82" t="s">
        <v>2488</v>
      </c>
      <c r="J61" s="78" t="s">
        <v>2445</v>
      </c>
    </row>
    <row r="62" spans="2:10" ht="15" customHeight="1">
      <c r="B62" s="78" t="s">
        <v>138</v>
      </c>
      <c r="C62" s="78" t="s">
        <v>139</v>
      </c>
      <c r="D62" s="78" t="s">
        <v>25</v>
      </c>
      <c r="E62" s="78" t="s">
        <v>137</v>
      </c>
      <c r="F62" s="79">
        <v>79.160600000000002</v>
      </c>
      <c r="G62" s="80">
        <v>79.527299999999997</v>
      </c>
      <c r="H62" s="81">
        <v>38.06</v>
      </c>
      <c r="I62" s="82" t="s">
        <v>2489</v>
      </c>
      <c r="J62" s="78" t="s">
        <v>2445</v>
      </c>
    </row>
    <row r="63" spans="2:10" ht="15" customHeight="1">
      <c r="B63" s="78" t="s">
        <v>1914</v>
      </c>
      <c r="C63" s="78" t="s">
        <v>1915</v>
      </c>
      <c r="D63" s="78" t="s">
        <v>25</v>
      </c>
      <c r="E63" s="78" t="s">
        <v>137</v>
      </c>
      <c r="F63" s="81">
        <v>82.897400000000005</v>
      </c>
      <c r="G63" s="83">
        <v>83.655699999999996</v>
      </c>
      <c r="H63" s="83">
        <v>30.76</v>
      </c>
      <c r="I63" s="84" t="s">
        <v>2490</v>
      </c>
      <c r="J63" s="78" t="s">
        <v>2445</v>
      </c>
    </row>
    <row r="64" spans="2:10" ht="15" customHeight="1">
      <c r="B64" s="78" t="s">
        <v>2254</v>
      </c>
      <c r="C64" s="78" t="s">
        <v>2255</v>
      </c>
      <c r="D64" s="78" t="s">
        <v>25</v>
      </c>
      <c r="E64" s="78" t="s">
        <v>137</v>
      </c>
      <c r="F64" s="79">
        <v>84.4786</v>
      </c>
      <c r="G64" s="80">
        <v>85.3536</v>
      </c>
      <c r="H64" s="81">
        <v>29.19</v>
      </c>
      <c r="I64" s="82" t="s">
        <v>2491</v>
      </c>
      <c r="J64" s="78" t="s">
        <v>2445</v>
      </c>
    </row>
    <row r="65" spans="2:10" ht="15" customHeight="1">
      <c r="B65" s="78" t="s">
        <v>2352</v>
      </c>
      <c r="C65" s="78" t="s">
        <v>2353</v>
      </c>
      <c r="D65" s="78" t="s">
        <v>25</v>
      </c>
      <c r="E65" s="78" t="s">
        <v>137</v>
      </c>
      <c r="F65" s="79">
        <v>100.0005</v>
      </c>
      <c r="G65" s="80">
        <v>100.18380000000001</v>
      </c>
      <c r="H65" s="81">
        <v>22</v>
      </c>
      <c r="I65" s="82" t="s">
        <v>2492</v>
      </c>
      <c r="J65" s="78" t="s">
        <v>2445</v>
      </c>
    </row>
    <row r="66" spans="2:10" ht="15" customHeight="1">
      <c r="B66" s="78" t="s">
        <v>1215</v>
      </c>
      <c r="C66" s="78" t="s">
        <v>1216</v>
      </c>
      <c r="D66" s="78" t="s">
        <v>25</v>
      </c>
      <c r="E66" s="78" t="s">
        <v>2185</v>
      </c>
      <c r="F66" s="79">
        <v>100.11790000000001</v>
      </c>
      <c r="G66" s="80">
        <v>105.4346</v>
      </c>
      <c r="H66" s="81">
        <v>21.5</v>
      </c>
      <c r="I66" s="82" t="s">
        <v>2493</v>
      </c>
      <c r="J66" s="78" t="s">
        <v>2445</v>
      </c>
    </row>
    <row r="67" spans="2:10" ht="15" customHeight="1">
      <c r="B67" s="78" t="s">
        <v>289</v>
      </c>
      <c r="C67" s="78" t="s">
        <v>290</v>
      </c>
      <c r="D67" s="78" t="s">
        <v>25</v>
      </c>
      <c r="E67" s="78" t="s">
        <v>2185</v>
      </c>
      <c r="F67" s="79">
        <v>99.199100000000001</v>
      </c>
      <c r="G67" s="80">
        <v>102.1602</v>
      </c>
      <c r="H67" s="81">
        <v>21.51</v>
      </c>
      <c r="I67" s="82" t="s">
        <v>2494</v>
      </c>
      <c r="J67" s="78" t="s">
        <v>2445</v>
      </c>
    </row>
    <row r="68" spans="2:10" ht="15" customHeight="1">
      <c r="B68" s="78" t="s">
        <v>2290</v>
      </c>
      <c r="C68" s="78" t="s">
        <v>2291</v>
      </c>
      <c r="D68" s="78" t="s">
        <v>25</v>
      </c>
      <c r="E68" s="78" t="s">
        <v>2185</v>
      </c>
      <c r="F68" s="79">
        <v>98.876999999999995</v>
      </c>
      <c r="G68" s="80">
        <v>102.1437</v>
      </c>
      <c r="H68" s="81">
        <v>21.73</v>
      </c>
      <c r="I68" s="82" t="s">
        <v>2495</v>
      </c>
      <c r="J68" s="78" t="s">
        <v>2445</v>
      </c>
    </row>
    <row r="69" spans="2:10" ht="15" customHeight="1">
      <c r="B69" s="78" t="s">
        <v>1716</v>
      </c>
      <c r="C69" s="78" t="s">
        <v>1717</v>
      </c>
      <c r="D69" s="78" t="s">
        <v>18</v>
      </c>
      <c r="E69" s="78" t="s">
        <v>129</v>
      </c>
      <c r="F69" s="81">
        <v>98.200199999999995</v>
      </c>
      <c r="G69" s="83">
        <v>98.200199999999995</v>
      </c>
      <c r="H69" s="83">
        <v>15.56</v>
      </c>
      <c r="I69" s="84" t="s">
        <v>2496</v>
      </c>
      <c r="J69" s="78" t="s">
        <v>2445</v>
      </c>
    </row>
    <row r="70" spans="2:10" ht="15" customHeight="1">
      <c r="B70" s="78" t="s">
        <v>1842</v>
      </c>
      <c r="C70" s="78" t="s">
        <v>1843</v>
      </c>
      <c r="D70" s="78" t="s">
        <v>18</v>
      </c>
      <c r="E70" s="78" t="s">
        <v>129</v>
      </c>
      <c r="F70" s="81">
        <v>93.800299999999993</v>
      </c>
      <c r="G70" s="83">
        <v>93.800299999999993</v>
      </c>
      <c r="H70" s="83">
        <v>16.3</v>
      </c>
      <c r="I70" s="84" t="s">
        <v>2497</v>
      </c>
      <c r="J70" s="78" t="s">
        <v>2445</v>
      </c>
    </row>
    <row r="71" spans="2:10" ht="15" customHeight="1">
      <c r="B71" s="78" t="s">
        <v>1976</v>
      </c>
      <c r="C71" s="78" t="s">
        <v>1977</v>
      </c>
      <c r="D71" s="78" t="s">
        <v>18</v>
      </c>
      <c r="E71" s="78" t="s">
        <v>129</v>
      </c>
      <c r="F71" s="81">
        <v>89.794899999999998</v>
      </c>
      <c r="G71" s="83">
        <v>89.794899999999998</v>
      </c>
      <c r="H71" s="83">
        <v>16.86</v>
      </c>
      <c r="I71" s="84" t="s">
        <v>2498</v>
      </c>
      <c r="J71" s="78" t="s">
        <v>2445</v>
      </c>
    </row>
    <row r="72" spans="2:10" ht="15" customHeight="1">
      <c r="B72" s="78" t="s">
        <v>141</v>
      </c>
      <c r="C72" s="78" t="s">
        <v>5</v>
      </c>
      <c r="D72" s="78" t="s">
        <v>18</v>
      </c>
      <c r="E72" s="78" t="s">
        <v>129</v>
      </c>
      <c r="F72" s="79">
        <v>98.024100000000004</v>
      </c>
      <c r="G72" s="80">
        <v>99.506</v>
      </c>
      <c r="H72" s="81">
        <v>16.399999999999999</v>
      </c>
      <c r="I72" s="82" t="s">
        <v>2499</v>
      </c>
      <c r="J72" s="78" t="s">
        <v>2445</v>
      </c>
    </row>
    <row r="73" spans="2:10" ht="15" customHeight="1">
      <c r="B73" s="78" t="s">
        <v>142</v>
      </c>
      <c r="C73" s="78" t="s">
        <v>143</v>
      </c>
      <c r="D73" s="78" t="s">
        <v>18</v>
      </c>
      <c r="E73" s="78" t="s">
        <v>129</v>
      </c>
      <c r="F73" s="81">
        <v>97.902699999999996</v>
      </c>
      <c r="G73" s="83">
        <v>100.8437</v>
      </c>
      <c r="H73" s="83">
        <v>16.61</v>
      </c>
      <c r="I73" s="84" t="s">
        <v>2500</v>
      </c>
      <c r="J73" s="78" t="s">
        <v>2445</v>
      </c>
    </row>
    <row r="74" spans="2:10" ht="15" customHeight="1">
      <c r="B74" s="78" t="s">
        <v>144</v>
      </c>
      <c r="C74" s="78" t="s">
        <v>145</v>
      </c>
      <c r="D74" s="78" t="s">
        <v>18</v>
      </c>
      <c r="E74" s="78" t="s">
        <v>129</v>
      </c>
      <c r="F74" s="81">
        <v>97.454800000000006</v>
      </c>
      <c r="G74" s="83">
        <v>104.21169999999999</v>
      </c>
      <c r="H74" s="83">
        <v>16.73</v>
      </c>
      <c r="I74" s="84" t="s">
        <v>2501</v>
      </c>
      <c r="J74" s="78" t="s">
        <v>2445</v>
      </c>
    </row>
    <row r="75" spans="2:10" ht="15" customHeight="1">
      <c r="B75" s="78" t="s">
        <v>2345</v>
      </c>
      <c r="C75" s="78" t="s">
        <v>2346</v>
      </c>
      <c r="D75" s="78" t="s">
        <v>18</v>
      </c>
      <c r="E75" s="78" t="s">
        <v>129</v>
      </c>
      <c r="F75" s="81">
        <v>101.4466</v>
      </c>
      <c r="G75" s="83">
        <v>103.0531</v>
      </c>
      <c r="H75" s="83">
        <v>16.48</v>
      </c>
      <c r="I75" s="84" t="s">
        <v>2502</v>
      </c>
      <c r="J75" s="78" t="s">
        <v>2445</v>
      </c>
    </row>
    <row r="76" spans="2:10" ht="15" customHeight="1">
      <c r="B76" s="78" t="s">
        <v>146</v>
      </c>
      <c r="C76" s="78" t="s">
        <v>147</v>
      </c>
      <c r="D76" s="78" t="s">
        <v>18</v>
      </c>
      <c r="E76" s="78" t="s">
        <v>129</v>
      </c>
      <c r="F76" s="79">
        <v>95.001300000000001</v>
      </c>
      <c r="G76" s="80">
        <v>96.080500000000001</v>
      </c>
      <c r="H76" s="81">
        <v>16.690000000000001</v>
      </c>
      <c r="I76" s="82" t="s">
        <v>2503</v>
      </c>
      <c r="J76" s="78" t="s">
        <v>2445</v>
      </c>
    </row>
    <row r="77" spans="2:10" ht="15" customHeight="1">
      <c r="B77" s="78" t="s">
        <v>148</v>
      </c>
      <c r="C77" s="78" t="s">
        <v>149</v>
      </c>
      <c r="D77" s="78" t="s">
        <v>18</v>
      </c>
      <c r="E77" s="78" t="s">
        <v>129</v>
      </c>
      <c r="F77" s="79">
        <v>97.588700000000003</v>
      </c>
      <c r="G77" s="80">
        <v>102.40689999999999</v>
      </c>
      <c r="H77" s="81">
        <v>16.670000000000002</v>
      </c>
      <c r="I77" s="82" t="s">
        <v>2504</v>
      </c>
      <c r="J77" s="78" t="s">
        <v>2445</v>
      </c>
    </row>
    <row r="78" spans="2:10" ht="15" customHeight="1">
      <c r="B78" s="78" t="s">
        <v>2318</v>
      </c>
      <c r="C78" s="78" t="s">
        <v>2319</v>
      </c>
      <c r="D78" s="78" t="s">
        <v>18</v>
      </c>
      <c r="E78" s="78" t="s">
        <v>129</v>
      </c>
      <c r="F78" s="79">
        <v>100</v>
      </c>
      <c r="G78" s="80">
        <v>101.96850000000001</v>
      </c>
      <c r="H78" s="81">
        <v>16.68</v>
      </c>
      <c r="I78" s="82" t="s">
        <v>2505</v>
      </c>
      <c r="J78" s="78" t="s">
        <v>2445</v>
      </c>
    </row>
    <row r="79" spans="2:10" ht="15" customHeight="1">
      <c r="B79" s="78" t="s">
        <v>150</v>
      </c>
      <c r="C79" s="78" t="s">
        <v>151</v>
      </c>
      <c r="D79" s="78" t="s">
        <v>18</v>
      </c>
      <c r="E79" s="78" t="s">
        <v>129</v>
      </c>
      <c r="F79" s="79">
        <v>100</v>
      </c>
      <c r="G79" s="80">
        <v>100.0954</v>
      </c>
      <c r="H79" s="81">
        <v>17.16</v>
      </c>
      <c r="I79" s="82" t="s">
        <v>2506</v>
      </c>
      <c r="J79" s="78" t="s">
        <v>2445</v>
      </c>
    </row>
    <row r="80" spans="2:10" ht="15" customHeight="1">
      <c r="B80" s="78" t="s">
        <v>152</v>
      </c>
      <c r="C80" s="78" t="s">
        <v>153</v>
      </c>
      <c r="D80" s="78" t="s">
        <v>18</v>
      </c>
      <c r="E80" s="78" t="s">
        <v>129</v>
      </c>
      <c r="F80" s="79">
        <v>100</v>
      </c>
      <c r="G80" s="80">
        <v>107.06950000000001</v>
      </c>
      <c r="H80" s="81">
        <v>17.28</v>
      </c>
      <c r="I80" s="82" t="s">
        <v>2507</v>
      </c>
      <c r="J80" s="78" t="s">
        <v>2445</v>
      </c>
    </row>
    <row r="81" spans="2:10" ht="15" customHeight="1">
      <c r="B81" s="78" t="s">
        <v>154</v>
      </c>
      <c r="C81" s="78" t="s">
        <v>155</v>
      </c>
      <c r="D81" s="78" t="s">
        <v>18</v>
      </c>
      <c r="E81" s="78" t="s">
        <v>129</v>
      </c>
      <c r="F81" s="79">
        <v>100</v>
      </c>
      <c r="G81" s="80">
        <v>105.4971</v>
      </c>
      <c r="H81" s="81">
        <v>17.48</v>
      </c>
      <c r="I81" s="82" t="s">
        <v>2508</v>
      </c>
      <c r="J81" s="78" t="s">
        <v>2445</v>
      </c>
    </row>
    <row r="82" spans="2:10" ht="15" customHeight="1">
      <c r="B82" s="78" t="s">
        <v>156</v>
      </c>
      <c r="C82" s="78" t="s">
        <v>157</v>
      </c>
      <c r="D82" s="78" t="s">
        <v>18</v>
      </c>
      <c r="E82" s="78" t="s">
        <v>129</v>
      </c>
      <c r="F82" s="79">
        <v>100</v>
      </c>
      <c r="G82" s="80">
        <v>100.3914</v>
      </c>
      <c r="H82" s="81">
        <v>17.61</v>
      </c>
      <c r="I82" s="82" t="s">
        <v>2509</v>
      </c>
      <c r="J82" s="78" t="s">
        <v>2445</v>
      </c>
    </row>
    <row r="83" spans="2:10" ht="15" customHeight="1">
      <c r="B83" s="78" t="s">
        <v>158</v>
      </c>
      <c r="C83" s="78" t="s">
        <v>159</v>
      </c>
      <c r="D83" s="78" t="s">
        <v>18</v>
      </c>
      <c r="E83" s="78" t="s">
        <v>129</v>
      </c>
      <c r="F83" s="79">
        <v>100</v>
      </c>
      <c r="G83" s="80">
        <v>102.85380000000001</v>
      </c>
      <c r="H83" s="81">
        <v>17.690000000000001</v>
      </c>
      <c r="I83" s="82" t="s">
        <v>2510</v>
      </c>
      <c r="J83" s="78" t="s">
        <v>2445</v>
      </c>
    </row>
    <row r="84" spans="2:10" ht="15" customHeight="1">
      <c r="B84" s="78" t="s">
        <v>787</v>
      </c>
      <c r="C84" s="78" t="s">
        <v>788</v>
      </c>
      <c r="D84" s="78" t="s">
        <v>18</v>
      </c>
      <c r="E84" s="78" t="s">
        <v>129</v>
      </c>
      <c r="F84" s="79">
        <v>100</v>
      </c>
      <c r="G84" s="80">
        <v>109.6576</v>
      </c>
      <c r="H84" s="81">
        <v>11.67</v>
      </c>
      <c r="I84" s="82" t="s">
        <v>2511</v>
      </c>
      <c r="J84" s="78" t="s">
        <v>2445</v>
      </c>
    </row>
    <row r="85" spans="2:10" ht="15" customHeight="1">
      <c r="B85" s="78" t="s">
        <v>789</v>
      </c>
      <c r="C85" s="78" t="s">
        <v>790</v>
      </c>
      <c r="D85" s="78" t="s">
        <v>18</v>
      </c>
      <c r="E85" s="78" t="s">
        <v>129</v>
      </c>
      <c r="F85" s="79">
        <v>100</v>
      </c>
      <c r="G85" s="80">
        <v>111.5959</v>
      </c>
      <c r="H85" s="81">
        <v>12.2</v>
      </c>
      <c r="I85" s="82" t="s">
        <v>2512</v>
      </c>
      <c r="J85" s="78" t="s">
        <v>2445</v>
      </c>
    </row>
    <row r="86" spans="2:10" ht="15" customHeight="1">
      <c r="B86" s="78" t="s">
        <v>791</v>
      </c>
      <c r="C86" s="78" t="s">
        <v>792</v>
      </c>
      <c r="D86" s="78" t="s">
        <v>18</v>
      </c>
      <c r="E86" s="78" t="s">
        <v>129</v>
      </c>
      <c r="F86" s="79">
        <v>100</v>
      </c>
      <c r="G86" s="80">
        <v>105.5089</v>
      </c>
      <c r="H86" s="81">
        <v>11.91</v>
      </c>
      <c r="I86" s="82" t="s">
        <v>2513</v>
      </c>
      <c r="J86" s="78" t="s">
        <v>2445</v>
      </c>
    </row>
    <row r="87" spans="2:10" ht="15" customHeight="1">
      <c r="B87" s="78" t="s">
        <v>793</v>
      </c>
      <c r="C87" s="78" t="s">
        <v>794</v>
      </c>
      <c r="D87" s="78" t="s">
        <v>18</v>
      </c>
      <c r="E87" s="78" t="s">
        <v>129</v>
      </c>
      <c r="F87" s="79">
        <v>100</v>
      </c>
      <c r="G87" s="80">
        <v>100.4421</v>
      </c>
      <c r="H87" s="81">
        <v>12.21</v>
      </c>
      <c r="I87" s="82" t="s">
        <v>2514</v>
      </c>
      <c r="J87" s="78" t="s">
        <v>2445</v>
      </c>
    </row>
    <row r="88" spans="2:10" ht="15" customHeight="1">
      <c r="B88" s="78" t="s">
        <v>795</v>
      </c>
      <c r="C88" s="78" t="s">
        <v>796</v>
      </c>
      <c r="D88" s="78" t="s">
        <v>18</v>
      </c>
      <c r="E88" s="78" t="s">
        <v>129</v>
      </c>
      <c r="F88" s="79">
        <v>100</v>
      </c>
      <c r="G88" s="80">
        <v>110.6437</v>
      </c>
      <c r="H88" s="81">
        <v>11.61</v>
      </c>
      <c r="I88" s="82" t="s">
        <v>2515</v>
      </c>
      <c r="J88" s="78" t="s">
        <v>2445</v>
      </c>
    </row>
    <row r="89" spans="2:10" ht="15" customHeight="1">
      <c r="B89" s="78" t="s">
        <v>797</v>
      </c>
      <c r="C89" s="78" t="s">
        <v>798</v>
      </c>
      <c r="D89" s="78" t="s">
        <v>18</v>
      </c>
      <c r="E89" s="78" t="s">
        <v>129</v>
      </c>
      <c r="F89" s="79">
        <v>100</v>
      </c>
      <c r="G89" s="80">
        <v>109.18049999999999</v>
      </c>
      <c r="H89" s="81">
        <v>12.28</v>
      </c>
      <c r="I89" s="82" t="s">
        <v>2516</v>
      </c>
      <c r="J89" s="78" t="s">
        <v>2445</v>
      </c>
    </row>
    <row r="90" spans="2:10" ht="15" customHeight="1">
      <c r="B90" s="78" t="s">
        <v>799</v>
      </c>
      <c r="C90" s="78" t="s">
        <v>800</v>
      </c>
      <c r="D90" s="78" t="s">
        <v>18</v>
      </c>
      <c r="E90" s="78" t="s">
        <v>129</v>
      </c>
      <c r="F90" s="79">
        <v>100</v>
      </c>
      <c r="G90" s="80">
        <v>110.6097</v>
      </c>
      <c r="H90" s="81">
        <v>11.61</v>
      </c>
      <c r="I90" s="82" t="s">
        <v>2453</v>
      </c>
      <c r="J90" s="78" t="s">
        <v>2445</v>
      </c>
    </row>
    <row r="91" spans="2:10" ht="15" customHeight="1">
      <c r="B91" s="78" t="s">
        <v>801</v>
      </c>
      <c r="C91" s="78" t="s">
        <v>802</v>
      </c>
      <c r="D91" s="78" t="s">
        <v>18</v>
      </c>
      <c r="E91" s="78" t="s">
        <v>129</v>
      </c>
      <c r="F91" s="79">
        <v>100</v>
      </c>
      <c r="G91" s="80">
        <v>103.5026</v>
      </c>
      <c r="H91" s="81">
        <v>12.03</v>
      </c>
      <c r="I91" s="82" t="s">
        <v>2517</v>
      </c>
      <c r="J91" s="78" t="s">
        <v>2445</v>
      </c>
    </row>
    <row r="92" spans="2:10" ht="15" customHeight="1">
      <c r="B92" s="78" t="s">
        <v>803</v>
      </c>
      <c r="C92" s="78" t="s">
        <v>804</v>
      </c>
      <c r="D92" s="78" t="s">
        <v>18</v>
      </c>
      <c r="E92" s="78" t="s">
        <v>129</v>
      </c>
      <c r="F92" s="79">
        <v>100</v>
      </c>
      <c r="G92" s="80">
        <v>106.7483</v>
      </c>
      <c r="H92" s="81">
        <v>12.28</v>
      </c>
      <c r="I92" s="82" t="s">
        <v>2518</v>
      </c>
      <c r="J92" s="78" t="s">
        <v>2445</v>
      </c>
    </row>
    <row r="93" spans="2:10" ht="15" customHeight="1">
      <c r="B93" s="78" t="s">
        <v>805</v>
      </c>
      <c r="C93" s="78" t="s">
        <v>806</v>
      </c>
      <c r="D93" s="78" t="s">
        <v>18</v>
      </c>
      <c r="E93" s="78" t="s">
        <v>129</v>
      </c>
      <c r="F93" s="79">
        <v>100</v>
      </c>
      <c r="G93" s="80">
        <v>103.5026</v>
      </c>
      <c r="H93" s="81">
        <v>12.03</v>
      </c>
      <c r="I93" s="82" t="s">
        <v>2517</v>
      </c>
      <c r="J93" s="78" t="s">
        <v>2445</v>
      </c>
    </row>
    <row r="94" spans="2:10" ht="15" customHeight="1">
      <c r="B94" s="78" t="s">
        <v>807</v>
      </c>
      <c r="C94" s="78" t="s">
        <v>808</v>
      </c>
      <c r="D94" s="78" t="s">
        <v>18</v>
      </c>
      <c r="E94" s="78" t="s">
        <v>129</v>
      </c>
      <c r="F94" s="79">
        <v>100</v>
      </c>
      <c r="G94" s="80">
        <v>101.3942</v>
      </c>
      <c r="H94" s="81">
        <v>12.15</v>
      </c>
      <c r="I94" s="82" t="s">
        <v>2519</v>
      </c>
      <c r="J94" s="78" t="s">
        <v>2445</v>
      </c>
    </row>
    <row r="95" spans="2:10" ht="15" customHeight="1">
      <c r="B95" s="78" t="s">
        <v>809</v>
      </c>
      <c r="C95" s="78" t="s">
        <v>810</v>
      </c>
      <c r="D95" s="78" t="s">
        <v>18</v>
      </c>
      <c r="E95" s="78" t="s">
        <v>129</v>
      </c>
      <c r="F95" s="79">
        <v>100</v>
      </c>
      <c r="G95" s="80">
        <v>104.48869999999999</v>
      </c>
      <c r="H95" s="81">
        <v>12.13</v>
      </c>
      <c r="I95" s="82" t="s">
        <v>2520</v>
      </c>
      <c r="J95" s="78" t="s">
        <v>2445</v>
      </c>
    </row>
    <row r="96" spans="2:10" ht="15" customHeight="1">
      <c r="B96" s="78" t="s">
        <v>811</v>
      </c>
      <c r="C96" s="78" t="s">
        <v>812</v>
      </c>
      <c r="D96" s="78" t="s">
        <v>18</v>
      </c>
      <c r="E96" s="78" t="s">
        <v>129</v>
      </c>
      <c r="F96" s="79">
        <v>100</v>
      </c>
      <c r="G96" s="80">
        <v>101.4282</v>
      </c>
      <c r="H96" s="81">
        <v>12.2</v>
      </c>
      <c r="I96" s="82" t="s">
        <v>2521</v>
      </c>
      <c r="J96" s="78" t="s">
        <v>2445</v>
      </c>
    </row>
    <row r="97" spans="2:10" ht="15" customHeight="1">
      <c r="B97" s="78" t="s">
        <v>813</v>
      </c>
      <c r="C97" s="78" t="s">
        <v>814</v>
      </c>
      <c r="D97" s="78" t="s">
        <v>18</v>
      </c>
      <c r="E97" s="78" t="s">
        <v>129</v>
      </c>
      <c r="F97" s="79">
        <v>100</v>
      </c>
      <c r="G97" s="80">
        <v>106.56310000000001</v>
      </c>
      <c r="H97" s="81">
        <v>12.18</v>
      </c>
      <c r="I97" s="82" t="s">
        <v>2522</v>
      </c>
      <c r="J97" s="78" t="s">
        <v>2445</v>
      </c>
    </row>
    <row r="98" spans="2:10" ht="15" customHeight="1">
      <c r="B98" s="78" t="s">
        <v>815</v>
      </c>
      <c r="C98" s="78" t="s">
        <v>816</v>
      </c>
      <c r="D98" s="78" t="s">
        <v>18</v>
      </c>
      <c r="E98" s="78" t="s">
        <v>129</v>
      </c>
      <c r="F98" s="79">
        <v>100</v>
      </c>
      <c r="G98" s="80">
        <v>102.4824</v>
      </c>
      <c r="H98" s="81">
        <v>12.2</v>
      </c>
      <c r="I98" s="82" t="s">
        <v>2523</v>
      </c>
      <c r="J98" s="78" t="s">
        <v>2445</v>
      </c>
    </row>
    <row r="99" spans="2:10" ht="15" customHeight="1">
      <c r="B99" s="78" t="s">
        <v>817</v>
      </c>
      <c r="C99" s="78" t="s">
        <v>818</v>
      </c>
      <c r="D99" s="78" t="s">
        <v>18</v>
      </c>
      <c r="E99" s="78" t="s">
        <v>129</v>
      </c>
      <c r="F99" s="79">
        <v>100</v>
      </c>
      <c r="G99" s="80">
        <v>102.44840000000001</v>
      </c>
      <c r="H99" s="81">
        <v>12.17</v>
      </c>
      <c r="I99" s="82" t="s">
        <v>2524</v>
      </c>
      <c r="J99" s="78" t="s">
        <v>2445</v>
      </c>
    </row>
    <row r="100" spans="2:10" ht="15" customHeight="1">
      <c r="B100" s="78" t="s">
        <v>819</v>
      </c>
      <c r="C100" s="78" t="s">
        <v>820</v>
      </c>
      <c r="D100" s="78" t="s">
        <v>18</v>
      </c>
      <c r="E100" s="78" t="s">
        <v>129</v>
      </c>
      <c r="F100" s="79">
        <v>100</v>
      </c>
      <c r="G100" s="80">
        <v>109.69159999999999</v>
      </c>
      <c r="H100" s="81">
        <v>12.18</v>
      </c>
      <c r="I100" s="82" t="s">
        <v>2525</v>
      </c>
      <c r="J100" s="78" t="s">
        <v>2445</v>
      </c>
    </row>
    <row r="101" spans="2:10" ht="15" customHeight="1">
      <c r="B101" s="78" t="s">
        <v>821</v>
      </c>
      <c r="C101" s="78" t="s">
        <v>822</v>
      </c>
      <c r="D101" s="78" t="s">
        <v>18</v>
      </c>
      <c r="E101" s="78" t="s">
        <v>129</v>
      </c>
      <c r="F101" s="79">
        <v>100</v>
      </c>
      <c r="G101" s="80">
        <v>106.6651</v>
      </c>
      <c r="H101" s="81">
        <v>12.16</v>
      </c>
      <c r="I101" s="82" t="s">
        <v>2526</v>
      </c>
      <c r="J101" s="78" t="s">
        <v>2445</v>
      </c>
    </row>
    <row r="102" spans="2:10" ht="15" customHeight="1">
      <c r="B102" s="78" t="s">
        <v>823</v>
      </c>
      <c r="C102" s="78" t="s">
        <v>824</v>
      </c>
      <c r="D102" s="78" t="s">
        <v>18</v>
      </c>
      <c r="E102" s="78" t="s">
        <v>129</v>
      </c>
      <c r="F102" s="79">
        <v>100</v>
      </c>
      <c r="G102" s="80">
        <v>100.4761</v>
      </c>
      <c r="H102" s="81">
        <v>12.23</v>
      </c>
      <c r="I102" s="82" t="s">
        <v>2527</v>
      </c>
      <c r="J102" s="78" t="s">
        <v>2445</v>
      </c>
    </row>
    <row r="103" spans="2:10" ht="15" customHeight="1">
      <c r="B103" s="78" t="s">
        <v>825</v>
      </c>
      <c r="C103" s="78" t="s">
        <v>826</v>
      </c>
      <c r="D103" s="78" t="s">
        <v>18</v>
      </c>
      <c r="E103" s="78" t="s">
        <v>129</v>
      </c>
      <c r="F103" s="79">
        <v>100</v>
      </c>
      <c r="G103" s="80">
        <v>103.4346</v>
      </c>
      <c r="H103" s="81">
        <v>12.2</v>
      </c>
      <c r="I103" s="82" t="s">
        <v>2528</v>
      </c>
      <c r="J103" s="78" t="s">
        <v>2445</v>
      </c>
    </row>
    <row r="104" spans="2:10" ht="15" customHeight="1">
      <c r="B104" s="78" t="s">
        <v>827</v>
      </c>
      <c r="C104" s="78" t="s">
        <v>828</v>
      </c>
      <c r="D104" s="78" t="s">
        <v>18</v>
      </c>
      <c r="E104" s="78" t="s">
        <v>129</v>
      </c>
      <c r="F104" s="79">
        <v>100</v>
      </c>
      <c r="G104" s="80">
        <v>100.4761</v>
      </c>
      <c r="H104" s="81">
        <v>12.23</v>
      </c>
      <c r="I104" s="82" t="s">
        <v>2529</v>
      </c>
      <c r="J104" s="78" t="s">
        <v>2445</v>
      </c>
    </row>
    <row r="105" spans="2:10" ht="15" customHeight="1">
      <c r="B105" s="78" t="s">
        <v>829</v>
      </c>
      <c r="C105" s="78" t="s">
        <v>830</v>
      </c>
      <c r="D105" s="78" t="s">
        <v>18</v>
      </c>
      <c r="E105" s="78" t="s">
        <v>129</v>
      </c>
      <c r="F105" s="79">
        <v>100</v>
      </c>
      <c r="G105" s="80">
        <v>108.5354</v>
      </c>
      <c r="H105" s="81">
        <v>12.19</v>
      </c>
      <c r="I105" s="82" t="s">
        <v>2530</v>
      </c>
      <c r="J105" s="78" t="s">
        <v>2445</v>
      </c>
    </row>
    <row r="106" spans="2:10" ht="15" customHeight="1">
      <c r="B106" s="78" t="s">
        <v>831</v>
      </c>
      <c r="C106" s="78" t="s">
        <v>832</v>
      </c>
      <c r="D106" s="78" t="s">
        <v>18</v>
      </c>
      <c r="E106" s="78" t="s">
        <v>129</v>
      </c>
      <c r="F106" s="79">
        <v>100</v>
      </c>
      <c r="G106" s="80">
        <v>102.44840000000001</v>
      </c>
      <c r="H106" s="81">
        <v>12.2</v>
      </c>
      <c r="I106" s="82" t="s">
        <v>2454</v>
      </c>
      <c r="J106" s="78" t="s">
        <v>2445</v>
      </c>
    </row>
    <row r="107" spans="2:10" ht="15" customHeight="1">
      <c r="B107" s="78" t="s">
        <v>833</v>
      </c>
      <c r="C107" s="78" t="s">
        <v>834</v>
      </c>
      <c r="D107" s="78" t="s">
        <v>18</v>
      </c>
      <c r="E107" s="78" t="s">
        <v>129</v>
      </c>
      <c r="F107" s="79">
        <v>100</v>
      </c>
      <c r="G107" s="80">
        <v>107.58320000000001</v>
      </c>
      <c r="H107" s="81">
        <v>12.19</v>
      </c>
      <c r="I107" s="82" t="s">
        <v>2531</v>
      </c>
      <c r="J107" s="78" t="s">
        <v>2445</v>
      </c>
    </row>
    <row r="108" spans="2:10" ht="15" customHeight="1">
      <c r="B108" s="78" t="s">
        <v>835</v>
      </c>
      <c r="C108" s="78" t="s">
        <v>836</v>
      </c>
      <c r="D108" s="78" t="s">
        <v>18</v>
      </c>
      <c r="E108" s="78" t="s">
        <v>129</v>
      </c>
      <c r="F108" s="79">
        <v>100</v>
      </c>
      <c r="G108" s="80">
        <v>111.62990000000001</v>
      </c>
      <c r="H108" s="81">
        <v>12.23</v>
      </c>
      <c r="I108" s="82" t="s">
        <v>2532</v>
      </c>
      <c r="J108" s="78" t="s">
        <v>2445</v>
      </c>
    </row>
    <row r="109" spans="2:10" ht="15" customHeight="1">
      <c r="B109" s="78" t="s">
        <v>837</v>
      </c>
      <c r="C109" s="78" t="s">
        <v>838</v>
      </c>
      <c r="D109" s="78" t="s">
        <v>18</v>
      </c>
      <c r="E109" s="78" t="s">
        <v>129</v>
      </c>
      <c r="F109" s="79">
        <v>100</v>
      </c>
      <c r="G109" s="80">
        <v>111.6979</v>
      </c>
      <c r="H109" s="81">
        <v>12.23</v>
      </c>
      <c r="I109" s="82" t="s">
        <v>2533</v>
      </c>
      <c r="J109" s="78" t="s">
        <v>2445</v>
      </c>
    </row>
    <row r="110" spans="2:10" ht="15" customHeight="1">
      <c r="B110" s="78" t="s">
        <v>839</v>
      </c>
      <c r="C110" s="78" t="s">
        <v>840</v>
      </c>
      <c r="D110" s="78" t="s">
        <v>18</v>
      </c>
      <c r="E110" s="78" t="s">
        <v>129</v>
      </c>
      <c r="F110" s="79">
        <v>100</v>
      </c>
      <c r="G110" s="80">
        <v>108.5694</v>
      </c>
      <c r="H110" s="81">
        <v>12.21</v>
      </c>
      <c r="I110" s="82" t="s">
        <v>2534</v>
      </c>
      <c r="J110" s="78" t="s">
        <v>2445</v>
      </c>
    </row>
    <row r="111" spans="2:10" ht="15" customHeight="1">
      <c r="B111" s="78" t="s">
        <v>160</v>
      </c>
      <c r="C111" s="78" t="s">
        <v>161</v>
      </c>
      <c r="D111" s="78" t="s">
        <v>18</v>
      </c>
      <c r="E111" s="78" t="s">
        <v>129</v>
      </c>
      <c r="F111" s="79">
        <v>90.287099999999995</v>
      </c>
      <c r="G111" s="80">
        <v>93.5227</v>
      </c>
      <c r="H111" s="81">
        <v>17.39</v>
      </c>
      <c r="I111" s="82" t="s">
        <v>2535</v>
      </c>
      <c r="J111" s="78" t="s">
        <v>2445</v>
      </c>
    </row>
    <row r="112" spans="2:10" ht="15" customHeight="1">
      <c r="B112" s="78" t="s">
        <v>162</v>
      </c>
      <c r="C112" s="78" t="s">
        <v>163</v>
      </c>
      <c r="D112" s="78" t="s">
        <v>18</v>
      </c>
      <c r="E112" s="78" t="s">
        <v>129</v>
      </c>
      <c r="F112" s="79">
        <v>95.076899999999995</v>
      </c>
      <c r="G112" s="80">
        <v>103.0669</v>
      </c>
      <c r="H112" s="81">
        <v>17.170000000000002</v>
      </c>
      <c r="I112" s="82" t="s">
        <v>2536</v>
      </c>
      <c r="J112" s="78" t="s">
        <v>2445</v>
      </c>
    </row>
    <row r="113" spans="2:10" ht="15" customHeight="1">
      <c r="B113" s="78" t="s">
        <v>164</v>
      </c>
      <c r="C113" s="78" t="s">
        <v>165</v>
      </c>
      <c r="D113" s="78" t="s">
        <v>18</v>
      </c>
      <c r="E113" s="78" t="s">
        <v>129</v>
      </c>
      <c r="F113" s="79">
        <v>84.712400000000002</v>
      </c>
      <c r="G113" s="80">
        <v>90.845699999999994</v>
      </c>
      <c r="H113" s="81">
        <v>17.07</v>
      </c>
      <c r="I113" s="82" t="s">
        <v>2537</v>
      </c>
      <c r="J113" s="78" t="s">
        <v>2445</v>
      </c>
    </row>
    <row r="114" spans="2:10" ht="15" customHeight="1">
      <c r="B114" s="78" t="s">
        <v>166</v>
      </c>
      <c r="C114" s="78" t="s">
        <v>7</v>
      </c>
      <c r="D114" s="78" t="s">
        <v>18</v>
      </c>
      <c r="E114" s="78" t="s">
        <v>129</v>
      </c>
      <c r="F114" s="79">
        <v>86.313400000000001</v>
      </c>
      <c r="G114" s="80">
        <v>90.617800000000003</v>
      </c>
      <c r="H114" s="81">
        <v>17.3</v>
      </c>
      <c r="I114" s="82" t="s">
        <v>2538</v>
      </c>
      <c r="J114" s="78" t="s">
        <v>2445</v>
      </c>
    </row>
    <row r="115" spans="2:10" ht="15" customHeight="1">
      <c r="B115" s="78" t="s">
        <v>167</v>
      </c>
      <c r="C115" s="78" t="s">
        <v>168</v>
      </c>
      <c r="D115" s="78" t="s">
        <v>18</v>
      </c>
      <c r="E115" s="78" t="s">
        <v>129</v>
      </c>
      <c r="F115" s="79">
        <v>82.779300000000006</v>
      </c>
      <c r="G115" s="80">
        <v>89.412599999999998</v>
      </c>
      <c r="H115" s="81">
        <v>17.03</v>
      </c>
      <c r="I115" s="82" t="s">
        <v>2539</v>
      </c>
      <c r="J115" s="78" t="s">
        <v>2445</v>
      </c>
    </row>
    <row r="116" spans="2:10" ht="15" customHeight="1">
      <c r="B116" s="78" t="s">
        <v>1873</v>
      </c>
      <c r="C116" s="78" t="s">
        <v>1874</v>
      </c>
      <c r="D116" s="78" t="s">
        <v>18</v>
      </c>
      <c r="E116" s="78" t="s">
        <v>129</v>
      </c>
      <c r="F116" s="79">
        <v>90.817099999999996</v>
      </c>
      <c r="G116" s="80">
        <v>98.319900000000004</v>
      </c>
      <c r="H116" s="81">
        <v>16.97</v>
      </c>
      <c r="I116" s="82" t="s">
        <v>2540</v>
      </c>
      <c r="J116" s="78" t="s">
        <v>2445</v>
      </c>
    </row>
    <row r="117" spans="2:10" ht="15" customHeight="1">
      <c r="B117" s="78" t="s">
        <v>169</v>
      </c>
      <c r="C117" s="78" t="s">
        <v>170</v>
      </c>
      <c r="D117" s="78" t="s">
        <v>18</v>
      </c>
      <c r="E117" s="78" t="s">
        <v>129</v>
      </c>
      <c r="F117" s="79">
        <v>84.547899999999998</v>
      </c>
      <c r="G117" s="80">
        <v>93.680099999999996</v>
      </c>
      <c r="H117" s="81">
        <v>17.22</v>
      </c>
      <c r="I117" s="82" t="s">
        <v>2541</v>
      </c>
      <c r="J117" s="78" t="s">
        <v>2445</v>
      </c>
    </row>
    <row r="118" spans="2:10" ht="15" customHeight="1">
      <c r="B118" s="78" t="s">
        <v>171</v>
      </c>
      <c r="C118" s="78" t="s">
        <v>9</v>
      </c>
      <c r="D118" s="78" t="s">
        <v>18</v>
      </c>
      <c r="E118" s="78" t="s">
        <v>129</v>
      </c>
      <c r="F118" s="79">
        <v>82.316800000000001</v>
      </c>
      <c r="G118" s="80">
        <v>83.576899999999995</v>
      </c>
      <c r="H118" s="81">
        <v>17.12</v>
      </c>
      <c r="I118" s="82" t="s">
        <v>2542</v>
      </c>
      <c r="J118" s="78" t="s">
        <v>2445</v>
      </c>
    </row>
    <row r="119" spans="2:10" ht="15" customHeight="1">
      <c r="B119" s="78" t="s">
        <v>172</v>
      </c>
      <c r="C119" s="78" t="s">
        <v>173</v>
      </c>
      <c r="D119" s="78" t="s">
        <v>18</v>
      </c>
      <c r="E119" s="78" t="s">
        <v>129</v>
      </c>
      <c r="F119" s="79">
        <v>81.923500000000004</v>
      </c>
      <c r="G119" s="80">
        <v>88.554100000000005</v>
      </c>
      <c r="H119" s="81">
        <v>17.11</v>
      </c>
      <c r="I119" s="82" t="s">
        <v>2543</v>
      </c>
      <c r="J119" s="78" t="s">
        <v>2445</v>
      </c>
    </row>
    <row r="120" spans="2:10" ht="15" customHeight="1">
      <c r="B120" s="78" t="s">
        <v>174</v>
      </c>
      <c r="C120" s="78" t="s">
        <v>175</v>
      </c>
      <c r="D120" s="78" t="s">
        <v>18</v>
      </c>
      <c r="E120" s="78" t="s">
        <v>129</v>
      </c>
      <c r="F120" s="79">
        <v>89.366100000000003</v>
      </c>
      <c r="G120" s="80">
        <v>93.993899999999996</v>
      </c>
      <c r="H120" s="81">
        <v>17</v>
      </c>
      <c r="I120" s="82" t="s">
        <v>2544</v>
      </c>
      <c r="J120" s="78" t="s">
        <v>2445</v>
      </c>
    </row>
    <row r="121" spans="2:10" ht="15" customHeight="1">
      <c r="B121" s="78" t="s">
        <v>2038</v>
      </c>
      <c r="C121" s="78" t="s">
        <v>2039</v>
      </c>
      <c r="D121" s="78" t="s">
        <v>18</v>
      </c>
      <c r="E121" s="78" t="s">
        <v>129</v>
      </c>
      <c r="F121" s="79">
        <v>89.489599999999996</v>
      </c>
      <c r="G121" s="80">
        <v>93.3429</v>
      </c>
      <c r="H121" s="81">
        <v>16.93</v>
      </c>
      <c r="I121" s="82" t="s">
        <v>2545</v>
      </c>
      <c r="J121" s="78" t="s">
        <v>2445</v>
      </c>
    </row>
    <row r="122" spans="2:10" ht="15" customHeight="1">
      <c r="B122" s="78" t="s">
        <v>176</v>
      </c>
      <c r="C122" s="78" t="s">
        <v>177</v>
      </c>
      <c r="D122" s="78" t="s">
        <v>18</v>
      </c>
      <c r="E122" s="78" t="s">
        <v>129</v>
      </c>
      <c r="F122" s="79">
        <v>94.126300000000001</v>
      </c>
      <c r="G122" s="80">
        <v>95.845200000000006</v>
      </c>
      <c r="H122" s="81">
        <v>17.32</v>
      </c>
      <c r="I122" s="82" t="s">
        <v>2546</v>
      </c>
      <c r="J122" s="78" t="s">
        <v>2445</v>
      </c>
    </row>
    <row r="123" spans="2:10" ht="15" customHeight="1">
      <c r="B123" s="78" t="s">
        <v>178</v>
      </c>
      <c r="C123" s="78" t="s">
        <v>8</v>
      </c>
      <c r="D123" s="78" t="s">
        <v>18</v>
      </c>
      <c r="E123" s="78" t="s">
        <v>129</v>
      </c>
      <c r="F123" s="79">
        <v>84.319199999999995</v>
      </c>
      <c r="G123" s="80">
        <v>89.238600000000005</v>
      </c>
      <c r="H123" s="81">
        <v>17.170000000000002</v>
      </c>
      <c r="I123" s="82" t="s">
        <v>2547</v>
      </c>
      <c r="J123" s="78" t="s">
        <v>2445</v>
      </c>
    </row>
    <row r="124" spans="2:10" ht="15" customHeight="1">
      <c r="B124" s="78" t="s">
        <v>179</v>
      </c>
      <c r="C124" s="78" t="s">
        <v>180</v>
      </c>
      <c r="D124" s="78" t="s">
        <v>18</v>
      </c>
      <c r="E124" s="78" t="s">
        <v>129</v>
      </c>
      <c r="F124" s="79">
        <v>88.446299999999994</v>
      </c>
      <c r="G124" s="80">
        <v>92.801900000000003</v>
      </c>
      <c r="H124" s="81">
        <v>16.96</v>
      </c>
      <c r="I124" s="82" t="s">
        <v>2548</v>
      </c>
      <c r="J124" s="78" t="s">
        <v>2445</v>
      </c>
    </row>
    <row r="125" spans="2:10" ht="15" customHeight="1">
      <c r="B125" s="78" t="s">
        <v>1875</v>
      </c>
      <c r="C125" s="78" t="s">
        <v>1876</v>
      </c>
      <c r="D125" s="78" t="s">
        <v>18</v>
      </c>
      <c r="E125" s="78" t="s">
        <v>129</v>
      </c>
      <c r="F125" s="79">
        <v>89.263800000000003</v>
      </c>
      <c r="G125" s="80">
        <v>96.715199999999996</v>
      </c>
      <c r="H125" s="81">
        <v>16.91</v>
      </c>
      <c r="I125" s="82" t="s">
        <v>2549</v>
      </c>
      <c r="J125" s="78" t="s">
        <v>2445</v>
      </c>
    </row>
    <row r="126" spans="2:10" ht="15" customHeight="1">
      <c r="B126" s="78" t="s">
        <v>181</v>
      </c>
      <c r="C126" s="78" t="s">
        <v>182</v>
      </c>
      <c r="D126" s="78" t="s">
        <v>18</v>
      </c>
      <c r="E126" s="78" t="s">
        <v>129</v>
      </c>
      <c r="F126" s="79">
        <v>89.579599999999999</v>
      </c>
      <c r="G126" s="80">
        <v>94.204599999999999</v>
      </c>
      <c r="H126" s="81">
        <v>17.399999999999999</v>
      </c>
      <c r="I126" s="82" t="s">
        <v>2550</v>
      </c>
      <c r="J126" s="78" t="s">
        <v>2445</v>
      </c>
    </row>
    <row r="127" spans="2:10" ht="15" customHeight="1">
      <c r="B127" s="78" t="s">
        <v>183</v>
      </c>
      <c r="C127" s="78" t="s">
        <v>184</v>
      </c>
      <c r="D127" s="78" t="s">
        <v>18</v>
      </c>
      <c r="E127" s="78" t="s">
        <v>129</v>
      </c>
      <c r="F127" s="79">
        <v>87.728099999999998</v>
      </c>
      <c r="G127" s="80">
        <v>89.428100000000001</v>
      </c>
      <c r="H127" s="81">
        <v>17.39</v>
      </c>
      <c r="I127" s="82" t="s">
        <v>2477</v>
      </c>
      <c r="J127" s="78" t="s">
        <v>2445</v>
      </c>
    </row>
    <row r="128" spans="2:10" ht="15" customHeight="1">
      <c r="B128" s="78" t="s">
        <v>185</v>
      </c>
      <c r="C128" s="78" t="s">
        <v>10</v>
      </c>
      <c r="D128" s="78" t="s">
        <v>18</v>
      </c>
      <c r="E128" s="78" t="s">
        <v>129</v>
      </c>
      <c r="F128" s="79">
        <v>76.994100000000003</v>
      </c>
      <c r="G128" s="80">
        <v>81.972399999999993</v>
      </c>
      <c r="H128" s="81">
        <v>16.989999999999998</v>
      </c>
      <c r="I128" s="82" t="s">
        <v>2551</v>
      </c>
      <c r="J128" s="78" t="s">
        <v>2445</v>
      </c>
    </row>
    <row r="129" spans="2:10" ht="15" customHeight="1">
      <c r="B129" s="78" t="s">
        <v>1851</v>
      </c>
      <c r="C129" s="78" t="s">
        <v>1852</v>
      </c>
      <c r="D129" s="78" t="s">
        <v>18</v>
      </c>
      <c r="E129" s="78" t="s">
        <v>129</v>
      </c>
      <c r="F129" s="79">
        <v>86.480699999999999</v>
      </c>
      <c r="G129" s="80">
        <v>94.569599999999994</v>
      </c>
      <c r="H129" s="81">
        <v>16.91</v>
      </c>
      <c r="I129" s="82" t="s">
        <v>2552</v>
      </c>
      <c r="J129" s="78" t="s">
        <v>2445</v>
      </c>
    </row>
    <row r="130" spans="2:10" ht="15" customHeight="1">
      <c r="B130" s="78" t="s">
        <v>186</v>
      </c>
      <c r="C130" s="78" t="s">
        <v>12</v>
      </c>
      <c r="D130" s="78" t="s">
        <v>18</v>
      </c>
      <c r="E130" s="78" t="s">
        <v>129</v>
      </c>
      <c r="F130" s="79">
        <v>75.447500000000005</v>
      </c>
      <c r="G130" s="80">
        <v>76.778800000000004</v>
      </c>
      <c r="H130" s="81">
        <v>16.940000000000001</v>
      </c>
      <c r="I130" s="82" t="s">
        <v>2553</v>
      </c>
      <c r="J130" s="78" t="s">
        <v>2445</v>
      </c>
    </row>
    <row r="131" spans="2:10" ht="15" customHeight="1">
      <c r="B131" s="78" t="s">
        <v>187</v>
      </c>
      <c r="C131" s="78" t="s">
        <v>188</v>
      </c>
      <c r="D131" s="78" t="s">
        <v>18</v>
      </c>
      <c r="E131" s="78" t="s">
        <v>129</v>
      </c>
      <c r="F131" s="79">
        <v>73.796700000000001</v>
      </c>
      <c r="G131" s="80">
        <v>74.331199999999995</v>
      </c>
      <c r="H131" s="81">
        <v>16.91</v>
      </c>
      <c r="I131" s="82" t="s">
        <v>2554</v>
      </c>
      <c r="J131" s="78" t="s">
        <v>2445</v>
      </c>
    </row>
    <row r="132" spans="2:10" ht="15" customHeight="1">
      <c r="B132" s="78" t="s">
        <v>189</v>
      </c>
      <c r="C132" s="78" t="s">
        <v>190</v>
      </c>
      <c r="D132" s="78" t="s">
        <v>18</v>
      </c>
      <c r="E132" s="78" t="s">
        <v>129</v>
      </c>
      <c r="F132" s="79">
        <v>85.752399999999994</v>
      </c>
      <c r="G132" s="80">
        <v>87.433199999999999</v>
      </c>
      <c r="H132" s="81">
        <v>17.399999999999999</v>
      </c>
      <c r="I132" s="82" t="s">
        <v>2555</v>
      </c>
      <c r="J132" s="78" t="s">
        <v>2445</v>
      </c>
    </row>
    <row r="133" spans="2:10" ht="15" customHeight="1">
      <c r="B133" s="78" t="s">
        <v>191</v>
      </c>
      <c r="C133" s="78" t="s">
        <v>192</v>
      </c>
      <c r="D133" s="78" t="s">
        <v>18</v>
      </c>
      <c r="E133" s="78" t="s">
        <v>129</v>
      </c>
      <c r="F133" s="79">
        <v>70.257000000000005</v>
      </c>
      <c r="G133" s="80">
        <v>73.093800000000002</v>
      </c>
      <c r="H133" s="81">
        <v>16.98</v>
      </c>
      <c r="I133" s="82" t="s">
        <v>2556</v>
      </c>
      <c r="J133" s="78" t="s">
        <v>2445</v>
      </c>
    </row>
    <row r="134" spans="2:10" ht="15" customHeight="1">
      <c r="B134" s="78" t="s">
        <v>193</v>
      </c>
      <c r="C134" s="78" t="s">
        <v>194</v>
      </c>
      <c r="D134" s="78" t="s">
        <v>18</v>
      </c>
      <c r="E134" s="78" t="s">
        <v>129</v>
      </c>
      <c r="F134" s="79">
        <v>70.405299999999997</v>
      </c>
      <c r="G134" s="80">
        <v>76.14</v>
      </c>
      <c r="H134" s="81">
        <v>16.91</v>
      </c>
      <c r="I134" s="82" t="s">
        <v>2557</v>
      </c>
      <c r="J134" s="78" t="s">
        <v>2445</v>
      </c>
    </row>
    <row r="135" spans="2:10" ht="15" customHeight="1">
      <c r="B135" s="78" t="s">
        <v>2005</v>
      </c>
      <c r="C135" s="78" t="s">
        <v>2006</v>
      </c>
      <c r="D135" s="78" t="s">
        <v>18</v>
      </c>
      <c r="E135" s="78" t="s">
        <v>129</v>
      </c>
      <c r="F135" s="79">
        <v>85.699700000000007</v>
      </c>
      <c r="G135" s="80">
        <v>89.968900000000005</v>
      </c>
      <c r="H135" s="81">
        <v>16.850000000000001</v>
      </c>
      <c r="I135" s="82" t="s">
        <v>2558</v>
      </c>
      <c r="J135" s="78" t="s">
        <v>2445</v>
      </c>
    </row>
    <row r="136" spans="2:10" ht="15" customHeight="1">
      <c r="B136" s="78" t="s">
        <v>195</v>
      </c>
      <c r="C136" s="78" t="s">
        <v>196</v>
      </c>
      <c r="D136" s="78" t="s">
        <v>18</v>
      </c>
      <c r="E136" s="78" t="s">
        <v>129</v>
      </c>
      <c r="F136" s="79">
        <v>99.348600000000005</v>
      </c>
      <c r="G136" s="80">
        <v>104.18389999999999</v>
      </c>
      <c r="H136" s="81">
        <v>16.3</v>
      </c>
      <c r="I136" s="82" t="s">
        <v>2559</v>
      </c>
      <c r="J136" s="78" t="s">
        <v>2445</v>
      </c>
    </row>
    <row r="137" spans="2:10" ht="15" customHeight="1">
      <c r="B137" s="78" t="s">
        <v>197</v>
      </c>
      <c r="C137" s="78" t="s">
        <v>198</v>
      </c>
      <c r="D137" s="78" t="s">
        <v>18</v>
      </c>
      <c r="E137" s="78" t="s">
        <v>129</v>
      </c>
      <c r="F137" s="79">
        <v>97.997699999999995</v>
      </c>
      <c r="G137" s="80">
        <v>102.0949</v>
      </c>
      <c r="H137" s="81">
        <v>16.809999999999999</v>
      </c>
      <c r="I137" s="82" t="s">
        <v>2560</v>
      </c>
      <c r="J137" s="78" t="s">
        <v>2445</v>
      </c>
    </row>
    <row r="138" spans="2:10" ht="15" customHeight="1">
      <c r="B138" s="78" t="s">
        <v>199</v>
      </c>
      <c r="C138" s="78" t="s">
        <v>11</v>
      </c>
      <c r="D138" s="78" t="s">
        <v>18</v>
      </c>
      <c r="E138" s="78" t="s">
        <v>129</v>
      </c>
      <c r="F138" s="79">
        <v>67.568299999999994</v>
      </c>
      <c r="G138" s="80">
        <v>70.971800000000002</v>
      </c>
      <c r="H138" s="81">
        <v>16.940000000000001</v>
      </c>
      <c r="I138" s="82" t="s">
        <v>2561</v>
      </c>
      <c r="J138" s="78" t="s">
        <v>2445</v>
      </c>
    </row>
    <row r="139" spans="2:10" ht="15" customHeight="1">
      <c r="B139" s="78" t="s">
        <v>200</v>
      </c>
      <c r="C139" s="78" t="s">
        <v>201</v>
      </c>
      <c r="D139" s="78" t="s">
        <v>18</v>
      </c>
      <c r="E139" s="78" t="s">
        <v>129</v>
      </c>
      <c r="F139" s="79">
        <v>69.489500000000007</v>
      </c>
      <c r="G139" s="80">
        <v>74.643000000000001</v>
      </c>
      <c r="H139" s="81">
        <v>16.87</v>
      </c>
      <c r="I139" s="82" t="s">
        <v>2562</v>
      </c>
      <c r="J139" s="78" t="s">
        <v>2445</v>
      </c>
    </row>
    <row r="140" spans="2:10" ht="15" customHeight="1">
      <c r="B140" s="78" t="s">
        <v>202</v>
      </c>
      <c r="C140" s="78" t="s">
        <v>203</v>
      </c>
      <c r="D140" s="78" t="s">
        <v>18</v>
      </c>
      <c r="E140" s="78" t="s">
        <v>129</v>
      </c>
      <c r="F140" s="79">
        <v>97.858699999999999</v>
      </c>
      <c r="G140" s="80">
        <v>102.3231</v>
      </c>
      <c r="H140" s="81">
        <v>16.82</v>
      </c>
      <c r="I140" s="82" t="s">
        <v>2563</v>
      </c>
      <c r="J140" s="78" t="s">
        <v>2445</v>
      </c>
    </row>
    <row r="141" spans="2:10" ht="15" customHeight="1">
      <c r="B141" s="78" t="s">
        <v>204</v>
      </c>
      <c r="C141" s="78" t="s">
        <v>205</v>
      </c>
      <c r="D141" s="78" t="s">
        <v>18</v>
      </c>
      <c r="E141" s="78" t="s">
        <v>129</v>
      </c>
      <c r="F141" s="79">
        <v>90.448099999999997</v>
      </c>
      <c r="G141" s="80">
        <v>90.799499999999995</v>
      </c>
      <c r="H141" s="81">
        <v>17.39</v>
      </c>
      <c r="I141" s="82" t="s">
        <v>2564</v>
      </c>
      <c r="J141" s="78" t="s">
        <v>2445</v>
      </c>
    </row>
    <row r="142" spans="2:10" ht="15" customHeight="1">
      <c r="B142" s="78" t="s">
        <v>206</v>
      </c>
      <c r="C142" s="78" t="s">
        <v>207</v>
      </c>
      <c r="D142" s="78" t="s">
        <v>18</v>
      </c>
      <c r="E142" s="78" t="s">
        <v>129</v>
      </c>
      <c r="F142" s="79">
        <v>87.403899999999993</v>
      </c>
      <c r="G142" s="80">
        <v>91.403899999999993</v>
      </c>
      <c r="H142" s="81">
        <v>17.46</v>
      </c>
      <c r="I142" s="82" t="s">
        <v>2565</v>
      </c>
      <c r="J142" s="78" t="s">
        <v>2445</v>
      </c>
    </row>
    <row r="143" spans="2:10" ht="15" customHeight="1">
      <c r="B143" s="78" t="s">
        <v>208</v>
      </c>
      <c r="C143" s="78" t="s">
        <v>6</v>
      </c>
      <c r="D143" s="78" t="s">
        <v>18</v>
      </c>
      <c r="E143" s="78" t="s">
        <v>129</v>
      </c>
      <c r="F143" s="79">
        <v>84.878100000000003</v>
      </c>
      <c r="G143" s="80">
        <v>87.379099999999994</v>
      </c>
      <c r="H143" s="81">
        <v>17.39</v>
      </c>
      <c r="I143" s="82" t="s">
        <v>2566</v>
      </c>
      <c r="J143" s="78" t="s">
        <v>2445</v>
      </c>
    </row>
    <row r="144" spans="2:10" ht="15" customHeight="1">
      <c r="B144" s="78" t="s">
        <v>209</v>
      </c>
      <c r="C144" s="78" t="s">
        <v>210</v>
      </c>
      <c r="D144" s="78" t="s">
        <v>18</v>
      </c>
      <c r="E144" s="78" t="s">
        <v>129</v>
      </c>
      <c r="F144" s="79">
        <v>81.061000000000007</v>
      </c>
      <c r="G144" s="80">
        <v>86.444299999999998</v>
      </c>
      <c r="H144" s="81">
        <v>17.39</v>
      </c>
      <c r="I144" s="82" t="s">
        <v>2567</v>
      </c>
      <c r="J144" s="78" t="s">
        <v>2445</v>
      </c>
    </row>
    <row r="145" spans="2:10" ht="15" customHeight="1">
      <c r="B145" s="78" t="s">
        <v>211</v>
      </c>
      <c r="C145" s="78" t="s">
        <v>212</v>
      </c>
      <c r="D145" s="78" t="s">
        <v>18</v>
      </c>
      <c r="E145" s="78" t="s">
        <v>129</v>
      </c>
      <c r="F145" s="79">
        <v>81.943799999999996</v>
      </c>
      <c r="G145" s="80">
        <v>87.667400000000001</v>
      </c>
      <c r="H145" s="81">
        <v>17.36</v>
      </c>
      <c r="I145" s="82" t="s">
        <v>2568</v>
      </c>
      <c r="J145" s="78" t="s">
        <v>2445</v>
      </c>
    </row>
    <row r="146" spans="2:10" ht="15" customHeight="1">
      <c r="B146" s="78" t="s">
        <v>213</v>
      </c>
      <c r="C146" s="78" t="s">
        <v>214</v>
      </c>
      <c r="D146" s="78" t="s">
        <v>18</v>
      </c>
      <c r="E146" s="78" t="s">
        <v>129</v>
      </c>
      <c r="F146" s="79">
        <v>76.507499999999993</v>
      </c>
      <c r="G146" s="80">
        <v>81.942599999999999</v>
      </c>
      <c r="H146" s="81">
        <v>17.21</v>
      </c>
      <c r="I146" s="82" t="s">
        <v>2569</v>
      </c>
      <c r="J146" s="78" t="s">
        <v>2445</v>
      </c>
    </row>
    <row r="147" spans="2:10" ht="15" customHeight="1">
      <c r="B147" s="78" t="s">
        <v>215</v>
      </c>
      <c r="C147" s="78" t="s">
        <v>216</v>
      </c>
      <c r="D147" s="78" t="s">
        <v>18</v>
      </c>
      <c r="E147" s="78" t="s">
        <v>129</v>
      </c>
      <c r="F147" s="79">
        <v>74.4803</v>
      </c>
      <c r="G147" s="80">
        <v>75.077600000000004</v>
      </c>
      <c r="H147" s="81">
        <v>17.12</v>
      </c>
      <c r="I147" s="82" t="s">
        <v>2570</v>
      </c>
      <c r="J147" s="78" t="s">
        <v>2445</v>
      </c>
    </row>
    <row r="148" spans="2:10" ht="15" customHeight="1">
      <c r="B148" s="78" t="s">
        <v>217</v>
      </c>
      <c r="C148" s="78" t="s">
        <v>218</v>
      </c>
      <c r="D148" s="78" t="s">
        <v>18</v>
      </c>
      <c r="E148" s="78" t="s">
        <v>129</v>
      </c>
      <c r="F148" s="79">
        <v>72.297499999999999</v>
      </c>
      <c r="G148" s="80">
        <v>76.9268</v>
      </c>
      <c r="H148" s="81">
        <v>17.09</v>
      </c>
      <c r="I148" s="82" t="s">
        <v>2543</v>
      </c>
      <c r="J148" s="78" t="s">
        <v>2445</v>
      </c>
    </row>
    <row r="149" spans="2:10" ht="15" customHeight="1">
      <c r="B149" s="78" t="s">
        <v>219</v>
      </c>
      <c r="C149" s="78" t="s">
        <v>220</v>
      </c>
      <c r="D149" s="78" t="s">
        <v>18</v>
      </c>
      <c r="E149" s="78" t="s">
        <v>129</v>
      </c>
      <c r="F149" s="79">
        <v>66.010400000000004</v>
      </c>
      <c r="G149" s="80">
        <v>69.787099999999995</v>
      </c>
      <c r="H149" s="81">
        <v>16.91</v>
      </c>
      <c r="I149" s="82" t="s">
        <v>2571</v>
      </c>
      <c r="J149" s="78" t="s">
        <v>2445</v>
      </c>
    </row>
    <row r="150" spans="2:10" ht="15" customHeight="1">
      <c r="B150" s="78" t="s">
        <v>221</v>
      </c>
      <c r="C150" s="78" t="s">
        <v>222</v>
      </c>
      <c r="D150" s="78" t="s">
        <v>18</v>
      </c>
      <c r="E150" s="78" t="s">
        <v>129</v>
      </c>
      <c r="F150" s="79">
        <v>65.090400000000002</v>
      </c>
      <c r="G150" s="80">
        <v>68.333399999999997</v>
      </c>
      <c r="H150" s="81">
        <v>16.91</v>
      </c>
      <c r="I150" s="82" t="s">
        <v>2572</v>
      </c>
      <c r="J150" s="78" t="s">
        <v>2445</v>
      </c>
    </row>
    <row r="151" spans="2:10" ht="15" customHeight="1">
      <c r="B151" s="78" t="s">
        <v>223</v>
      </c>
      <c r="C151" s="78" t="s">
        <v>224</v>
      </c>
      <c r="D151" s="78" t="s">
        <v>18</v>
      </c>
      <c r="E151" s="78" t="s">
        <v>129</v>
      </c>
      <c r="F151" s="79">
        <v>70.442300000000003</v>
      </c>
      <c r="G151" s="80">
        <v>70.921400000000006</v>
      </c>
      <c r="H151" s="81">
        <v>16.86</v>
      </c>
      <c r="I151" s="82" t="s">
        <v>2573</v>
      </c>
      <c r="J151" s="78" t="s">
        <v>2445</v>
      </c>
    </row>
    <row r="152" spans="2:10" ht="15" customHeight="1">
      <c r="B152" s="78" t="s">
        <v>225</v>
      </c>
      <c r="C152" s="78" t="s">
        <v>226</v>
      </c>
      <c r="D152" s="78" t="s">
        <v>18</v>
      </c>
      <c r="E152" s="78" t="s">
        <v>129</v>
      </c>
      <c r="F152" s="79">
        <v>71.175799999999995</v>
      </c>
      <c r="G152" s="80">
        <v>78.020700000000005</v>
      </c>
      <c r="H152" s="81">
        <v>16.86</v>
      </c>
      <c r="I152" s="82" t="s">
        <v>2574</v>
      </c>
      <c r="J152" s="78" t="s">
        <v>2445</v>
      </c>
    </row>
    <row r="153" spans="2:10" ht="15" customHeight="1">
      <c r="B153" s="78" t="s">
        <v>227</v>
      </c>
      <c r="C153" s="78" t="s">
        <v>228</v>
      </c>
      <c r="D153" s="78" t="s">
        <v>18</v>
      </c>
      <c r="E153" s="78" t="s">
        <v>129</v>
      </c>
      <c r="F153" s="79">
        <v>80.073899999999995</v>
      </c>
      <c r="G153" s="80">
        <v>84.814499999999995</v>
      </c>
      <c r="H153" s="81">
        <v>17.37</v>
      </c>
      <c r="I153" s="82" t="s">
        <v>2575</v>
      </c>
      <c r="J153" s="78" t="s">
        <v>2445</v>
      </c>
    </row>
    <row r="154" spans="2:10" ht="15" customHeight="1">
      <c r="B154" s="78" t="s">
        <v>229</v>
      </c>
      <c r="C154" s="78" t="s">
        <v>230</v>
      </c>
      <c r="D154" s="78" t="s">
        <v>18</v>
      </c>
      <c r="E154" s="78" t="s">
        <v>129</v>
      </c>
      <c r="F154" s="79">
        <v>75.750799999999998</v>
      </c>
      <c r="G154" s="80">
        <v>77.736900000000006</v>
      </c>
      <c r="H154" s="81">
        <v>17.29</v>
      </c>
      <c r="I154" s="82" t="s">
        <v>2576</v>
      </c>
      <c r="J154" s="78" t="s">
        <v>2445</v>
      </c>
    </row>
    <row r="155" spans="2:10" ht="15" customHeight="1">
      <c r="B155" s="78" t="s">
        <v>231</v>
      </c>
      <c r="C155" s="78" t="s">
        <v>232</v>
      </c>
      <c r="D155" s="78" t="s">
        <v>18</v>
      </c>
      <c r="E155" s="78" t="s">
        <v>129</v>
      </c>
      <c r="F155" s="79">
        <v>73.974999999999994</v>
      </c>
      <c r="G155" s="80">
        <v>79.337500000000006</v>
      </c>
      <c r="H155" s="81">
        <v>17.239999999999998</v>
      </c>
      <c r="I155" s="82" t="s">
        <v>2577</v>
      </c>
      <c r="J155" s="78" t="s">
        <v>2445</v>
      </c>
    </row>
    <row r="156" spans="2:10" ht="15" customHeight="1">
      <c r="B156" s="78" t="s">
        <v>233</v>
      </c>
      <c r="C156" s="78" t="s">
        <v>234</v>
      </c>
      <c r="D156" s="78" t="s">
        <v>18</v>
      </c>
      <c r="E156" s="78" t="s">
        <v>129</v>
      </c>
      <c r="F156" s="79">
        <v>59.398000000000003</v>
      </c>
      <c r="G156" s="80">
        <v>60.363799999999998</v>
      </c>
      <c r="H156" s="81">
        <v>16.84</v>
      </c>
      <c r="I156" s="82" t="s">
        <v>2578</v>
      </c>
      <c r="J156" s="78" t="s">
        <v>2445</v>
      </c>
    </row>
    <row r="157" spans="2:10" ht="15" customHeight="1">
      <c r="B157" s="56" t="s">
        <v>235</v>
      </c>
      <c r="C157" s="57" t="s">
        <v>236</v>
      </c>
      <c r="D157" s="57" t="s">
        <v>18</v>
      </c>
      <c r="E157" s="57" t="s">
        <v>129</v>
      </c>
      <c r="F157" s="58">
        <v>59.618600000000001</v>
      </c>
      <c r="G157" s="57">
        <v>64.693600000000004</v>
      </c>
      <c r="H157" s="57">
        <v>16.86</v>
      </c>
      <c r="I157" s="57" t="s">
        <v>2579</v>
      </c>
      <c r="J157" s="57" t="s">
        <v>2445</v>
      </c>
    </row>
    <row r="158" spans="2:10" ht="15" customHeight="1">
      <c r="B158" s="56" t="s">
        <v>237</v>
      </c>
      <c r="C158" s="57" t="s">
        <v>238</v>
      </c>
      <c r="D158" s="57" t="s">
        <v>18</v>
      </c>
      <c r="E158" s="57" t="s">
        <v>129</v>
      </c>
      <c r="F158" s="59">
        <v>56.378799999999998</v>
      </c>
      <c r="G158" s="58">
        <v>58.471899999999998</v>
      </c>
      <c r="H158" s="58">
        <v>16.920000000000002</v>
      </c>
      <c r="I158" s="60" t="s">
        <v>2580</v>
      </c>
      <c r="J158" s="57" t="s">
        <v>2445</v>
      </c>
    </row>
    <row r="159" spans="2:10" ht="15" customHeight="1">
      <c r="B159" s="56" t="s">
        <v>239</v>
      </c>
      <c r="C159" s="57" t="s">
        <v>13</v>
      </c>
      <c r="D159" s="57" t="s">
        <v>18</v>
      </c>
      <c r="E159" s="57" t="s">
        <v>129</v>
      </c>
      <c r="F159" s="61">
        <v>61.186700000000002</v>
      </c>
      <c r="G159" s="62">
        <v>63.854300000000002</v>
      </c>
      <c r="H159" s="59">
        <v>16.88</v>
      </c>
      <c r="I159" s="63" t="s">
        <v>2581</v>
      </c>
      <c r="J159" s="57" t="s">
        <v>2445</v>
      </c>
    </row>
    <row r="160" spans="2:10" ht="15" customHeight="1">
      <c r="B160" s="56" t="s">
        <v>240</v>
      </c>
      <c r="C160" s="57" t="s">
        <v>14</v>
      </c>
      <c r="D160" s="57" t="s">
        <v>18</v>
      </c>
      <c r="E160" s="57" t="s">
        <v>129</v>
      </c>
      <c r="F160" s="58">
        <v>59.763599999999997</v>
      </c>
      <c r="G160" s="57">
        <v>64.740099999999998</v>
      </c>
      <c r="H160" s="57">
        <v>16.87</v>
      </c>
      <c r="I160" s="57" t="s">
        <v>2582</v>
      </c>
      <c r="J160" s="57" t="s">
        <v>2445</v>
      </c>
    </row>
    <row r="161" spans="2:10" ht="15" customHeight="1">
      <c r="B161" s="47" t="s">
        <v>241</v>
      </c>
      <c r="C161" s="50" t="s">
        <v>242</v>
      </c>
      <c r="D161" s="50" t="s">
        <v>18</v>
      </c>
      <c r="E161" s="50" t="s">
        <v>129</v>
      </c>
      <c r="F161" s="51">
        <v>53.558500000000002</v>
      </c>
      <c r="G161" s="50">
        <v>59.286000000000001</v>
      </c>
      <c r="H161" s="50">
        <v>16.829999999999998</v>
      </c>
      <c r="I161" s="50" t="s">
        <v>2583</v>
      </c>
      <c r="J161" s="50" t="s">
        <v>2445</v>
      </c>
    </row>
    <row r="162" spans="2:10" ht="15" customHeight="1">
      <c r="B162" s="47" t="s">
        <v>243</v>
      </c>
      <c r="C162" s="50" t="s">
        <v>244</v>
      </c>
      <c r="D162" s="50" t="s">
        <v>18</v>
      </c>
      <c r="E162" s="50" t="s">
        <v>129</v>
      </c>
      <c r="F162" s="48">
        <v>55.398099999999999</v>
      </c>
      <c r="G162" s="51">
        <v>56.465000000000003</v>
      </c>
      <c r="H162" s="51">
        <v>16.82</v>
      </c>
      <c r="I162" s="52" t="s">
        <v>2584</v>
      </c>
      <c r="J162" s="50" t="s">
        <v>2445</v>
      </c>
    </row>
    <row r="163" spans="2:10" ht="15" customHeight="1">
      <c r="B163" s="49" t="s">
        <v>245</v>
      </c>
      <c r="C163" s="53" t="s">
        <v>246</v>
      </c>
      <c r="D163" s="53" t="s">
        <v>18</v>
      </c>
      <c r="E163" s="53" t="s">
        <v>129</v>
      </c>
      <c r="F163" s="54">
        <v>54.869599999999998</v>
      </c>
      <c r="G163" s="53">
        <v>59.403399999999998</v>
      </c>
      <c r="H163" s="53">
        <v>16.829999999999998</v>
      </c>
      <c r="I163" s="53" t="s">
        <v>2585</v>
      </c>
      <c r="J163" s="53" t="s">
        <v>2445</v>
      </c>
    </row>
    <row r="164" spans="2:10" ht="15" customHeight="1">
      <c r="B164" s="85" t="s">
        <v>247</v>
      </c>
      <c r="C164" s="86" t="s">
        <v>248</v>
      </c>
      <c r="D164" s="86" t="s">
        <v>18</v>
      </c>
      <c r="E164" s="86" t="s">
        <v>129</v>
      </c>
      <c r="F164" s="87">
        <v>53.924700000000001</v>
      </c>
      <c r="G164" s="88">
        <v>62.214300000000001</v>
      </c>
      <c r="H164" s="86">
        <v>16.82</v>
      </c>
      <c r="I164" s="86" t="s">
        <v>2586</v>
      </c>
      <c r="J164" s="86" t="s">
        <v>2445</v>
      </c>
    </row>
    <row r="165" spans="2:10" ht="15" customHeight="1">
      <c r="B165" s="85" t="s">
        <v>1907</v>
      </c>
      <c r="C165" s="86" t="s">
        <v>1908</v>
      </c>
      <c r="D165" s="86" t="s">
        <v>18</v>
      </c>
      <c r="E165" s="86" t="s">
        <v>129</v>
      </c>
      <c r="F165" s="89">
        <v>100</v>
      </c>
      <c r="G165" s="87">
        <v>106.5885</v>
      </c>
      <c r="H165" s="87">
        <v>14.66</v>
      </c>
      <c r="I165" s="90" t="s">
        <v>2587</v>
      </c>
      <c r="J165" s="86" t="s">
        <v>2445</v>
      </c>
    </row>
    <row r="166" spans="2:10" ht="15" customHeight="1">
      <c r="B166" s="85" t="s">
        <v>1950</v>
      </c>
      <c r="C166" s="86" t="s">
        <v>1951</v>
      </c>
      <c r="D166" s="86" t="s">
        <v>25</v>
      </c>
      <c r="E166" s="86" t="s">
        <v>2194</v>
      </c>
      <c r="F166" s="91">
        <v>99.963800000000006</v>
      </c>
      <c r="G166" s="92">
        <v>103.3249</v>
      </c>
      <c r="H166" s="89">
        <v>11</v>
      </c>
      <c r="I166" s="93" t="s">
        <v>2588</v>
      </c>
      <c r="J166" s="86" t="s">
        <v>2445</v>
      </c>
    </row>
    <row r="167" spans="2:10" ht="15" customHeight="1">
      <c r="B167" s="68" t="s">
        <v>2369</v>
      </c>
      <c r="C167" s="69" t="s">
        <v>2370</v>
      </c>
      <c r="D167" s="69" t="s">
        <v>18</v>
      </c>
      <c r="E167" s="69" t="s">
        <v>253</v>
      </c>
      <c r="F167" s="70">
        <v>99.75</v>
      </c>
      <c r="G167" s="94">
        <v>99.75</v>
      </c>
      <c r="H167" s="69">
        <v>15.25</v>
      </c>
      <c r="I167" s="69" t="s">
        <v>2589</v>
      </c>
      <c r="J167" s="69" t="s">
        <v>2445</v>
      </c>
    </row>
    <row r="168" spans="2:10" ht="15" customHeight="1">
      <c r="B168" s="74" t="s">
        <v>1348</v>
      </c>
      <c r="C168" s="75" t="s">
        <v>1349</v>
      </c>
      <c r="D168" s="75" t="s">
        <v>25</v>
      </c>
      <c r="E168" s="75" t="s">
        <v>2207</v>
      </c>
      <c r="F168" s="76">
        <v>3389.29</v>
      </c>
      <c r="G168" s="96">
        <v>3389.29</v>
      </c>
      <c r="H168" s="75" t="s">
        <v>2442</v>
      </c>
      <c r="I168" s="75" t="s">
        <v>2590</v>
      </c>
      <c r="J168" s="75" t="s">
        <v>2446</v>
      </c>
    </row>
    <row r="169" spans="2:10" ht="15" customHeight="1">
      <c r="B169" s="47" t="s">
        <v>254</v>
      </c>
      <c r="C169" s="50" t="s">
        <v>255</v>
      </c>
      <c r="D169" s="50" t="s">
        <v>25</v>
      </c>
      <c r="E169" s="50" t="s">
        <v>1825</v>
      </c>
      <c r="F169" s="51">
        <v>97.006100000000004</v>
      </c>
      <c r="G169" s="50">
        <v>97.745000000000005</v>
      </c>
      <c r="H169" s="50">
        <v>4.75</v>
      </c>
      <c r="I169" s="50" t="s">
        <v>2591</v>
      </c>
      <c r="J169" s="50" t="s">
        <v>2445</v>
      </c>
    </row>
    <row r="170" spans="2:10" ht="15" customHeight="1">
      <c r="B170" s="47" t="s">
        <v>1492</v>
      </c>
      <c r="C170" s="50" t="s">
        <v>1493</v>
      </c>
      <c r="D170" s="50" t="s">
        <v>2064</v>
      </c>
      <c r="E170" s="50" t="s">
        <v>2065</v>
      </c>
      <c r="F170" s="48">
        <v>100</v>
      </c>
      <c r="G170" s="51">
        <v>100</v>
      </c>
      <c r="H170" s="51">
        <v>0</v>
      </c>
      <c r="I170" s="52">
        <v>0</v>
      </c>
      <c r="J170" s="50" t="s">
        <v>1786</v>
      </c>
    </row>
    <row r="171" spans="2:10" ht="15" customHeight="1">
      <c r="B171" s="47" t="s">
        <v>1431</v>
      </c>
      <c r="C171" s="50" t="s">
        <v>1432</v>
      </c>
      <c r="D171" s="50" t="s">
        <v>2064</v>
      </c>
      <c r="E171" s="50" t="s">
        <v>1433</v>
      </c>
      <c r="F171" s="97">
        <v>7002.2821500000009</v>
      </c>
      <c r="G171" s="98">
        <v>7002.2821500000009</v>
      </c>
      <c r="H171" s="48">
        <v>0</v>
      </c>
      <c r="I171" s="99">
        <v>0</v>
      </c>
      <c r="J171" s="50" t="s">
        <v>1786</v>
      </c>
    </row>
    <row r="172" spans="2:10" ht="15" customHeight="1">
      <c r="B172" s="47" t="s">
        <v>1368</v>
      </c>
      <c r="C172" s="50" t="s">
        <v>1369</v>
      </c>
      <c r="D172" s="50" t="s">
        <v>2064</v>
      </c>
      <c r="E172" s="50" t="s">
        <v>1370</v>
      </c>
      <c r="F172" s="48">
        <v>122657.04615000002</v>
      </c>
      <c r="G172" s="51">
        <v>122657.04615000002</v>
      </c>
      <c r="H172" s="51">
        <v>0</v>
      </c>
      <c r="I172" s="52">
        <v>0</v>
      </c>
      <c r="J172" s="50" t="s">
        <v>1786</v>
      </c>
    </row>
    <row r="173" spans="2:10" ht="15" customHeight="1">
      <c r="B173" s="47" t="s">
        <v>1755</v>
      </c>
      <c r="C173" s="50" t="s">
        <v>1756</v>
      </c>
      <c r="D173" s="50" t="s">
        <v>2066</v>
      </c>
      <c r="E173" s="50" t="s">
        <v>2067</v>
      </c>
      <c r="F173" s="48">
        <v>100</v>
      </c>
      <c r="G173" s="51">
        <v>101.38120000000001</v>
      </c>
      <c r="H173" s="51">
        <v>4.24</v>
      </c>
      <c r="I173" s="52">
        <v>363</v>
      </c>
      <c r="J173" s="50" t="s">
        <v>19</v>
      </c>
    </row>
    <row r="174" spans="2:10" ht="15" customHeight="1">
      <c r="B174" s="47" t="s">
        <v>1470</v>
      </c>
      <c r="C174" s="50" t="s">
        <v>1471</v>
      </c>
      <c r="D174" s="50" t="s">
        <v>2066</v>
      </c>
      <c r="E174" s="50" t="s">
        <v>2067</v>
      </c>
      <c r="F174" s="97">
        <v>100</v>
      </c>
      <c r="G174" s="98">
        <v>100.1001</v>
      </c>
      <c r="H174" s="48">
        <v>0.35</v>
      </c>
      <c r="I174" s="99">
        <v>257</v>
      </c>
      <c r="J174" s="50" t="s">
        <v>19</v>
      </c>
    </row>
    <row r="175" spans="2:10" ht="15" customHeight="1">
      <c r="B175" s="47" t="s">
        <v>1671</v>
      </c>
      <c r="C175" s="50" t="s">
        <v>1672</v>
      </c>
      <c r="D175" s="50" t="s">
        <v>2066</v>
      </c>
      <c r="E175" s="50" t="s">
        <v>2067</v>
      </c>
      <c r="F175" s="97">
        <v>100</v>
      </c>
      <c r="G175" s="98">
        <v>100.0192</v>
      </c>
      <c r="H175" s="48">
        <v>0.02</v>
      </c>
      <c r="I175" s="99">
        <v>3079</v>
      </c>
      <c r="J175" s="50" t="s">
        <v>19</v>
      </c>
    </row>
    <row r="176" spans="2:10" ht="15" customHeight="1">
      <c r="B176" s="47" t="s">
        <v>291</v>
      </c>
      <c r="C176" s="50" t="s">
        <v>292</v>
      </c>
      <c r="D176" s="50" t="s">
        <v>2066</v>
      </c>
      <c r="E176" s="50" t="s">
        <v>2067</v>
      </c>
      <c r="F176" s="97">
        <v>100</v>
      </c>
      <c r="G176" s="98">
        <v>101.2878</v>
      </c>
      <c r="H176" s="48">
        <v>6.08</v>
      </c>
      <c r="I176" s="99">
        <v>1694</v>
      </c>
      <c r="J176" s="50" t="s">
        <v>19</v>
      </c>
    </row>
    <row r="177" spans="2:10" ht="15" customHeight="1">
      <c r="B177" s="47" t="s">
        <v>1494</v>
      </c>
      <c r="C177" s="50" t="s">
        <v>1495</v>
      </c>
      <c r="D177" s="50" t="s">
        <v>2066</v>
      </c>
      <c r="E177" s="50" t="s">
        <v>2067</v>
      </c>
      <c r="F177" s="97">
        <v>100</v>
      </c>
      <c r="G177" s="98">
        <v>106.19280000000001</v>
      </c>
      <c r="H177" s="48">
        <v>7.08</v>
      </c>
      <c r="I177" s="99">
        <v>2176</v>
      </c>
      <c r="J177" s="50" t="s">
        <v>19</v>
      </c>
    </row>
    <row r="178" spans="2:10" ht="15" customHeight="1">
      <c r="B178" s="47" t="s">
        <v>293</v>
      </c>
      <c r="C178" s="50" t="s">
        <v>294</v>
      </c>
      <c r="D178" s="50" t="s">
        <v>2066</v>
      </c>
      <c r="E178" s="50" t="s">
        <v>2067</v>
      </c>
      <c r="F178" s="97">
        <v>100</v>
      </c>
      <c r="G178" s="98">
        <v>100.4575</v>
      </c>
      <c r="H178" s="48">
        <v>6.09</v>
      </c>
      <c r="I178" s="99">
        <v>2103</v>
      </c>
      <c r="J178" s="50" t="s">
        <v>19</v>
      </c>
    </row>
    <row r="179" spans="2:10" ht="15" customHeight="1">
      <c r="B179" s="47" t="s">
        <v>295</v>
      </c>
      <c r="C179" s="50" t="s">
        <v>296</v>
      </c>
      <c r="D179" s="50" t="s">
        <v>2066</v>
      </c>
      <c r="E179" s="50" t="s">
        <v>2067</v>
      </c>
      <c r="F179" s="97">
        <v>100</v>
      </c>
      <c r="G179" s="98">
        <v>105.4053</v>
      </c>
      <c r="H179" s="48">
        <v>6.09</v>
      </c>
      <c r="I179" s="99">
        <v>2531</v>
      </c>
      <c r="J179" s="50" t="s">
        <v>19</v>
      </c>
    </row>
    <row r="180" spans="2:10" ht="15" customHeight="1">
      <c r="B180" s="47" t="s">
        <v>297</v>
      </c>
      <c r="C180" s="50" t="s">
        <v>298</v>
      </c>
      <c r="D180" s="50" t="s">
        <v>2066</v>
      </c>
      <c r="E180" s="50" t="s">
        <v>2067</v>
      </c>
      <c r="F180" s="48">
        <v>100</v>
      </c>
      <c r="G180" s="51">
        <v>105.4053</v>
      </c>
      <c r="H180" s="51">
        <v>6.09</v>
      </c>
      <c r="I180" s="52">
        <v>2531</v>
      </c>
      <c r="J180" s="50" t="s">
        <v>19</v>
      </c>
    </row>
    <row r="181" spans="2:10" ht="15" customHeight="1">
      <c r="B181" s="47" t="s">
        <v>1356</v>
      </c>
      <c r="C181" s="50" t="s">
        <v>1357</v>
      </c>
      <c r="D181" s="50" t="s">
        <v>2064</v>
      </c>
      <c r="E181" s="50" t="s">
        <v>1358</v>
      </c>
      <c r="F181" s="48">
        <v>69912.443350000016</v>
      </c>
      <c r="G181" s="51">
        <v>69912.443350000016</v>
      </c>
      <c r="H181" s="51">
        <v>0</v>
      </c>
      <c r="I181" s="52">
        <v>0</v>
      </c>
      <c r="J181" s="50" t="s">
        <v>1786</v>
      </c>
    </row>
    <row r="182" spans="2:10" ht="15" customHeight="1">
      <c r="B182" s="47" t="s">
        <v>1094</v>
      </c>
      <c r="C182" s="50" t="s">
        <v>1095</v>
      </c>
      <c r="D182" s="50" t="s">
        <v>2066</v>
      </c>
      <c r="E182" s="50" t="s">
        <v>2068</v>
      </c>
      <c r="F182" s="97">
        <v>98.843015274590044</v>
      </c>
      <c r="G182" s="98">
        <v>102.09301527459004</v>
      </c>
      <c r="H182" s="48">
        <v>20.22</v>
      </c>
      <c r="I182" s="99">
        <v>660</v>
      </c>
      <c r="J182" s="50" t="s">
        <v>19</v>
      </c>
    </row>
    <row r="183" spans="2:10" ht="15" customHeight="1">
      <c r="B183" s="47" t="s">
        <v>299</v>
      </c>
      <c r="C183" s="50" t="s">
        <v>300</v>
      </c>
      <c r="D183" s="50" t="s">
        <v>2064</v>
      </c>
      <c r="E183" s="50" t="s">
        <v>2069</v>
      </c>
      <c r="F183" s="48">
        <v>13124.6</v>
      </c>
      <c r="G183" s="51">
        <v>13124.6</v>
      </c>
      <c r="H183" s="51">
        <v>0</v>
      </c>
      <c r="I183" s="52">
        <v>0</v>
      </c>
      <c r="J183" s="50" t="s">
        <v>1786</v>
      </c>
    </row>
    <row r="184" spans="2:10" ht="15" customHeight="1">
      <c r="B184" s="47" t="s">
        <v>1496</v>
      </c>
      <c r="C184" s="50" t="s">
        <v>1497</v>
      </c>
      <c r="D184" s="50" t="s">
        <v>2064</v>
      </c>
      <c r="E184" s="50" t="s">
        <v>2070</v>
      </c>
      <c r="F184" s="48">
        <v>0.01</v>
      </c>
      <c r="G184" s="51">
        <v>0.01</v>
      </c>
      <c r="H184" s="51">
        <v>0</v>
      </c>
      <c r="I184" s="52">
        <v>0</v>
      </c>
      <c r="J184" s="50" t="s">
        <v>1786</v>
      </c>
    </row>
    <row r="185" spans="2:10" ht="15" customHeight="1">
      <c r="B185" s="47" t="s">
        <v>1312</v>
      </c>
      <c r="C185" s="50" t="s">
        <v>1313</v>
      </c>
      <c r="D185" s="50" t="s">
        <v>2064</v>
      </c>
      <c r="E185" s="50" t="s">
        <v>1314</v>
      </c>
      <c r="F185" s="97">
        <v>58282.355350000013</v>
      </c>
      <c r="G185" s="98">
        <v>58282.355350000013</v>
      </c>
      <c r="H185" s="48">
        <v>0</v>
      </c>
      <c r="I185" s="99">
        <v>0</v>
      </c>
      <c r="J185" s="50" t="s">
        <v>1786</v>
      </c>
    </row>
    <row r="186" spans="2:10" ht="15" customHeight="1">
      <c r="B186" s="47" t="s">
        <v>1185</v>
      </c>
      <c r="C186" s="50" t="s">
        <v>1186</v>
      </c>
      <c r="D186" s="50" t="s">
        <v>2066</v>
      </c>
      <c r="E186" s="50" t="s">
        <v>2071</v>
      </c>
      <c r="F186" s="97">
        <v>97.165000000000006</v>
      </c>
      <c r="G186" s="98">
        <v>98.423699999999997</v>
      </c>
      <c r="H186" s="48">
        <v>3.8</v>
      </c>
      <c r="I186" s="99">
        <v>1655</v>
      </c>
      <c r="J186" s="50" t="s">
        <v>19</v>
      </c>
    </row>
    <row r="187" spans="2:10" ht="15" customHeight="1">
      <c r="B187" s="47" t="s">
        <v>1104</v>
      </c>
      <c r="C187" s="50" t="s">
        <v>1105</v>
      </c>
      <c r="D187" s="50" t="s">
        <v>2066</v>
      </c>
      <c r="E187" s="50" t="s">
        <v>2071</v>
      </c>
      <c r="F187" s="97">
        <v>95.075999999999993</v>
      </c>
      <c r="G187" s="98">
        <v>96.194100000000006</v>
      </c>
      <c r="H187" s="48">
        <v>3.82</v>
      </c>
      <c r="I187" s="99">
        <v>1459</v>
      </c>
      <c r="J187" s="50" t="s">
        <v>19</v>
      </c>
    </row>
    <row r="188" spans="2:10" ht="15" customHeight="1">
      <c r="B188" s="47" t="s">
        <v>301</v>
      </c>
      <c r="C188" s="50" t="s">
        <v>302</v>
      </c>
      <c r="D188" s="50" t="s">
        <v>2066</v>
      </c>
      <c r="E188" s="50" t="s">
        <v>2072</v>
      </c>
      <c r="F188" s="97">
        <v>95.111467606833131</v>
      </c>
      <c r="G188" s="98">
        <v>98.43366760683314</v>
      </c>
      <c r="H188" s="48">
        <v>19.07</v>
      </c>
      <c r="I188" s="99">
        <v>256</v>
      </c>
      <c r="J188" s="50" t="s">
        <v>19</v>
      </c>
    </row>
    <row r="189" spans="2:10" ht="15" customHeight="1">
      <c r="B189" s="47" t="s">
        <v>303</v>
      </c>
      <c r="C189" s="50" t="s">
        <v>304</v>
      </c>
      <c r="D189" s="50" t="s">
        <v>2066</v>
      </c>
      <c r="E189" s="50" t="s">
        <v>2072</v>
      </c>
      <c r="F189" s="97">
        <v>91.999202068472528</v>
      </c>
      <c r="G189" s="98">
        <v>96.508202068472514</v>
      </c>
      <c r="H189" s="48">
        <v>19.27</v>
      </c>
      <c r="I189" s="99">
        <v>389</v>
      </c>
      <c r="J189" s="50" t="s">
        <v>19</v>
      </c>
    </row>
    <row r="190" spans="2:10" ht="15" customHeight="1">
      <c r="B190" s="47" t="s">
        <v>305</v>
      </c>
      <c r="C190" s="50" t="s">
        <v>306</v>
      </c>
      <c r="D190" s="50" t="s">
        <v>2066</v>
      </c>
      <c r="E190" s="50" t="s">
        <v>2072</v>
      </c>
      <c r="F190" s="97">
        <v>74.452986300790329</v>
      </c>
      <c r="G190" s="98">
        <v>74.900886300790333</v>
      </c>
      <c r="H190" s="48">
        <v>18.91</v>
      </c>
      <c r="I190" s="99">
        <v>1785</v>
      </c>
      <c r="J190" s="50" t="s">
        <v>19</v>
      </c>
    </row>
    <row r="191" spans="2:10" ht="15" customHeight="1">
      <c r="B191" s="47" t="s">
        <v>307</v>
      </c>
      <c r="C191" s="50" t="s">
        <v>308</v>
      </c>
      <c r="D191" s="50" t="s">
        <v>2066</v>
      </c>
      <c r="E191" s="50" t="s">
        <v>2072</v>
      </c>
      <c r="F191" s="97">
        <v>86.097780726070667</v>
      </c>
      <c r="G191" s="98">
        <v>89.889480726070673</v>
      </c>
      <c r="H191" s="48">
        <v>18.86</v>
      </c>
      <c r="I191" s="99">
        <v>2249</v>
      </c>
      <c r="J191" s="50" t="s">
        <v>19</v>
      </c>
    </row>
    <row r="192" spans="2:10" ht="15" customHeight="1">
      <c r="B192" s="47" t="s">
        <v>309</v>
      </c>
      <c r="C192" s="50" t="s">
        <v>310</v>
      </c>
      <c r="D192" s="50" t="s">
        <v>2066</v>
      </c>
      <c r="E192" s="50" t="s">
        <v>2072</v>
      </c>
      <c r="F192" s="97">
        <v>57.187984595895628</v>
      </c>
      <c r="G192" s="98">
        <v>63.380784595895626</v>
      </c>
      <c r="H192" s="48">
        <v>19.71</v>
      </c>
      <c r="I192" s="99">
        <v>2206</v>
      </c>
      <c r="J192" s="50" t="s">
        <v>19</v>
      </c>
    </row>
    <row r="193" spans="2:10" ht="15" customHeight="1">
      <c r="B193" s="47" t="s">
        <v>311</v>
      </c>
      <c r="C193" s="50" t="s">
        <v>312</v>
      </c>
      <c r="D193" s="50" t="s">
        <v>2066</v>
      </c>
      <c r="E193" s="50" t="s">
        <v>2072</v>
      </c>
      <c r="F193" s="97">
        <v>73.552266572785712</v>
      </c>
      <c r="G193" s="98">
        <v>76.10786657278571</v>
      </c>
      <c r="H193" s="48">
        <v>18.84</v>
      </c>
      <c r="I193" s="99">
        <v>2260</v>
      </c>
      <c r="J193" s="50" t="s">
        <v>19</v>
      </c>
    </row>
    <row r="194" spans="2:10" ht="15" customHeight="1">
      <c r="B194" s="47" t="s">
        <v>313</v>
      </c>
      <c r="C194" s="50" t="s">
        <v>314</v>
      </c>
      <c r="D194" s="50" t="s">
        <v>2066</v>
      </c>
      <c r="E194" s="50" t="s">
        <v>2072</v>
      </c>
      <c r="F194" s="97">
        <v>96.347617134868329</v>
      </c>
      <c r="G194" s="98">
        <v>99.419817134868325</v>
      </c>
      <c r="H194" s="48">
        <v>19.14</v>
      </c>
      <c r="I194" s="99">
        <v>281</v>
      </c>
      <c r="J194" s="50" t="s">
        <v>19</v>
      </c>
    </row>
    <row r="195" spans="2:10" ht="15" customHeight="1">
      <c r="B195" s="47" t="s">
        <v>1498</v>
      </c>
      <c r="C195" s="50" t="s">
        <v>1499</v>
      </c>
      <c r="D195" s="50" t="s">
        <v>2064</v>
      </c>
      <c r="E195" s="50" t="s">
        <v>2073</v>
      </c>
      <c r="F195" s="97">
        <v>0.01</v>
      </c>
      <c r="G195" s="98">
        <v>0.01</v>
      </c>
      <c r="H195" s="48">
        <v>0</v>
      </c>
      <c r="I195" s="99">
        <v>0</v>
      </c>
      <c r="J195" s="50" t="s">
        <v>1786</v>
      </c>
    </row>
    <row r="196" spans="2:10" ht="15" customHeight="1">
      <c r="B196" s="47" t="s">
        <v>1625</v>
      </c>
      <c r="C196" s="50" t="s">
        <v>1626</v>
      </c>
      <c r="D196" s="50" t="s">
        <v>2066</v>
      </c>
      <c r="E196" s="50" t="s">
        <v>2074</v>
      </c>
      <c r="F196" s="97">
        <v>100</v>
      </c>
      <c r="G196" s="98">
        <v>100.1417</v>
      </c>
      <c r="H196" s="48">
        <v>4.24</v>
      </c>
      <c r="I196" s="99">
        <v>288</v>
      </c>
      <c r="J196" s="50" t="s">
        <v>19</v>
      </c>
    </row>
    <row r="197" spans="2:10" ht="15" customHeight="1">
      <c r="B197" s="47" t="s">
        <v>1500</v>
      </c>
      <c r="C197" s="50" t="s">
        <v>1501</v>
      </c>
      <c r="D197" s="50" t="s">
        <v>2066</v>
      </c>
      <c r="E197" s="50" t="s">
        <v>2074</v>
      </c>
      <c r="F197" s="97">
        <v>100</v>
      </c>
      <c r="G197" s="98">
        <v>100.1313</v>
      </c>
      <c r="H197" s="48">
        <v>0.35</v>
      </c>
      <c r="I197" s="99">
        <v>45</v>
      </c>
      <c r="J197" s="50" t="s">
        <v>19</v>
      </c>
    </row>
    <row r="198" spans="2:10" ht="15" customHeight="1">
      <c r="B198" s="47" t="s">
        <v>315</v>
      </c>
      <c r="C198" s="50" t="s">
        <v>316</v>
      </c>
      <c r="D198" s="50" t="s">
        <v>2066</v>
      </c>
      <c r="E198" s="50" t="s">
        <v>2074</v>
      </c>
      <c r="F198" s="97">
        <v>100</v>
      </c>
      <c r="G198" s="98">
        <v>100.09139999999999</v>
      </c>
      <c r="H198" s="48">
        <v>0.35</v>
      </c>
      <c r="I198" s="99">
        <v>266</v>
      </c>
      <c r="J198" s="50" t="s">
        <v>19</v>
      </c>
    </row>
    <row r="199" spans="2:10" ht="15" customHeight="1">
      <c r="B199" s="47" t="s">
        <v>2007</v>
      </c>
      <c r="C199" s="50" t="s">
        <v>2008</v>
      </c>
      <c r="D199" s="50" t="s">
        <v>2066</v>
      </c>
      <c r="E199" s="50" t="s">
        <v>2074</v>
      </c>
      <c r="F199" s="97">
        <v>100</v>
      </c>
      <c r="G199" s="98">
        <v>100.1011</v>
      </c>
      <c r="H199" s="48">
        <v>0.35</v>
      </c>
      <c r="I199" s="99">
        <v>616</v>
      </c>
      <c r="J199" s="50" t="s">
        <v>19</v>
      </c>
    </row>
    <row r="200" spans="2:10" ht="15" customHeight="1">
      <c r="B200" s="47" t="s">
        <v>1787</v>
      </c>
      <c r="C200" s="50" t="s">
        <v>1788</v>
      </c>
      <c r="D200" s="50" t="s">
        <v>2066</v>
      </c>
      <c r="E200" s="50" t="s">
        <v>2074</v>
      </c>
      <c r="F200" s="97">
        <v>100</v>
      </c>
      <c r="G200" s="98">
        <v>100.0147</v>
      </c>
      <c r="H200" s="48">
        <v>0.02</v>
      </c>
      <c r="I200" s="99">
        <v>3079</v>
      </c>
      <c r="J200" s="50" t="s">
        <v>19</v>
      </c>
    </row>
    <row r="201" spans="2:10" ht="15" customHeight="1">
      <c r="B201" s="47" t="s">
        <v>317</v>
      </c>
      <c r="C201" s="50" t="s">
        <v>318</v>
      </c>
      <c r="D201" s="50" t="s">
        <v>2066</v>
      </c>
      <c r="E201" s="50" t="s">
        <v>2074</v>
      </c>
      <c r="F201" s="97">
        <v>100</v>
      </c>
      <c r="G201" s="98">
        <v>100.0046</v>
      </c>
      <c r="H201" s="48">
        <v>0.02</v>
      </c>
      <c r="I201" s="99">
        <v>3079</v>
      </c>
      <c r="J201" s="50" t="s">
        <v>19</v>
      </c>
    </row>
    <row r="202" spans="2:10" ht="15" customHeight="1">
      <c r="B202" s="47" t="s">
        <v>2385</v>
      </c>
      <c r="C202" s="50" t="s">
        <v>2386</v>
      </c>
      <c r="D202" s="50" t="s">
        <v>2066</v>
      </c>
      <c r="E202" s="50" t="s">
        <v>2074</v>
      </c>
      <c r="F202" s="97">
        <v>93.426943820692159</v>
      </c>
      <c r="G202" s="98">
        <v>94.056943820692155</v>
      </c>
      <c r="H202" s="48">
        <v>20.48</v>
      </c>
      <c r="I202" s="99">
        <v>3588</v>
      </c>
      <c r="J202" s="50" t="s">
        <v>19</v>
      </c>
    </row>
    <row r="203" spans="2:10" ht="15" customHeight="1">
      <c r="B203" s="47" t="s">
        <v>2387</v>
      </c>
      <c r="C203" s="50" t="s">
        <v>2388</v>
      </c>
      <c r="D203" s="50" t="s">
        <v>2066</v>
      </c>
      <c r="E203" s="50" t="s">
        <v>2074</v>
      </c>
      <c r="F203" s="97">
        <v>93.426943820692159</v>
      </c>
      <c r="G203" s="98">
        <v>94.056943820692155</v>
      </c>
      <c r="H203" s="48">
        <v>20.48</v>
      </c>
      <c r="I203" s="99">
        <v>3588</v>
      </c>
      <c r="J203" s="50" t="s">
        <v>19</v>
      </c>
    </row>
    <row r="204" spans="2:10" ht="15" customHeight="1">
      <c r="B204" s="47" t="s">
        <v>2425</v>
      </c>
      <c r="C204" s="50" t="s">
        <v>2426</v>
      </c>
      <c r="D204" s="50" t="s">
        <v>2066</v>
      </c>
      <c r="E204" s="50" t="s">
        <v>2074</v>
      </c>
      <c r="F204" s="48">
        <v>93.398237707612424</v>
      </c>
      <c r="G204" s="51">
        <v>93.818237707612425</v>
      </c>
      <c r="H204" s="51">
        <v>20.49</v>
      </c>
      <c r="I204" s="52">
        <v>3592</v>
      </c>
      <c r="J204" s="50" t="s">
        <v>19</v>
      </c>
    </row>
    <row r="205" spans="2:10" ht="15" customHeight="1">
      <c r="B205" s="47" t="s">
        <v>1304</v>
      </c>
      <c r="C205" s="50" t="s">
        <v>1305</v>
      </c>
      <c r="D205" s="50" t="s">
        <v>2064</v>
      </c>
      <c r="E205" s="50" t="s">
        <v>1306</v>
      </c>
      <c r="F205" s="97">
        <v>119107.803</v>
      </c>
      <c r="G205" s="98">
        <v>119107.803</v>
      </c>
      <c r="H205" s="48">
        <v>0</v>
      </c>
      <c r="I205" s="99">
        <v>0</v>
      </c>
      <c r="J205" s="50" t="s">
        <v>1786</v>
      </c>
    </row>
    <row r="206" spans="2:10" ht="15" customHeight="1">
      <c r="B206" s="47" t="s">
        <v>319</v>
      </c>
      <c r="C206" s="50" t="s">
        <v>320</v>
      </c>
      <c r="D206" s="50" t="s">
        <v>2064</v>
      </c>
      <c r="E206" s="50" t="s">
        <v>2075</v>
      </c>
      <c r="F206" s="97">
        <v>1000</v>
      </c>
      <c r="G206" s="98">
        <v>1000</v>
      </c>
      <c r="H206" s="48">
        <v>0</v>
      </c>
      <c r="I206" s="99">
        <v>0</v>
      </c>
      <c r="J206" s="50" t="s">
        <v>1786</v>
      </c>
    </row>
    <row r="207" spans="2:10" ht="15" customHeight="1">
      <c r="B207" s="47" t="s">
        <v>1627</v>
      </c>
      <c r="C207" s="50" t="s">
        <v>1628</v>
      </c>
      <c r="D207" s="50" t="s">
        <v>2066</v>
      </c>
      <c r="E207" s="50" t="s">
        <v>2076</v>
      </c>
      <c r="F207" s="97">
        <v>100</v>
      </c>
      <c r="G207" s="98">
        <v>100.1417</v>
      </c>
      <c r="H207" s="48">
        <v>4.24</v>
      </c>
      <c r="I207" s="99">
        <v>288</v>
      </c>
      <c r="J207" s="50" t="s">
        <v>19</v>
      </c>
    </row>
    <row r="208" spans="2:10" ht="15" customHeight="1">
      <c r="B208" s="47" t="s">
        <v>1502</v>
      </c>
      <c r="C208" s="50" t="s">
        <v>1503</v>
      </c>
      <c r="D208" s="50" t="s">
        <v>2066</v>
      </c>
      <c r="E208" s="50" t="s">
        <v>2076</v>
      </c>
      <c r="F208" s="97">
        <v>100</v>
      </c>
      <c r="G208" s="98">
        <v>100.0992</v>
      </c>
      <c r="H208" s="48">
        <v>0.35</v>
      </c>
      <c r="I208" s="99">
        <v>78</v>
      </c>
      <c r="J208" s="50" t="s">
        <v>19</v>
      </c>
    </row>
    <row r="209" spans="2:10" ht="15" customHeight="1">
      <c r="B209" s="47" t="s">
        <v>321</v>
      </c>
      <c r="C209" s="50" t="s">
        <v>322</v>
      </c>
      <c r="D209" s="50" t="s">
        <v>2066</v>
      </c>
      <c r="E209" s="50" t="s">
        <v>2076</v>
      </c>
      <c r="F209" s="97">
        <v>100</v>
      </c>
      <c r="G209" s="98">
        <v>100.1001</v>
      </c>
      <c r="H209" s="48">
        <v>0.35</v>
      </c>
      <c r="I209" s="99">
        <v>257</v>
      </c>
      <c r="J209" s="50" t="s">
        <v>19</v>
      </c>
    </row>
    <row r="210" spans="2:10" ht="15" customHeight="1">
      <c r="B210" s="47" t="s">
        <v>2256</v>
      </c>
      <c r="C210" s="50" t="s">
        <v>2257</v>
      </c>
      <c r="D210" s="50" t="s">
        <v>2066</v>
      </c>
      <c r="E210" s="50" t="s">
        <v>2076</v>
      </c>
      <c r="F210" s="48">
        <v>100</v>
      </c>
      <c r="G210" s="51">
        <v>100.069</v>
      </c>
      <c r="H210" s="51">
        <v>0.35</v>
      </c>
      <c r="I210" s="52">
        <v>649</v>
      </c>
      <c r="J210" s="50" t="s">
        <v>19</v>
      </c>
    </row>
    <row r="211" spans="2:10" ht="15" customHeight="1">
      <c r="B211" s="47" t="s">
        <v>1478</v>
      </c>
      <c r="C211" s="50" t="s">
        <v>1479</v>
      </c>
      <c r="D211" s="50" t="s">
        <v>2066</v>
      </c>
      <c r="E211" s="50" t="s">
        <v>2076</v>
      </c>
      <c r="F211" s="48">
        <v>100</v>
      </c>
      <c r="G211" s="51">
        <v>100.002</v>
      </c>
      <c r="H211" s="51">
        <v>0.02</v>
      </c>
      <c r="I211" s="52">
        <v>3079</v>
      </c>
      <c r="J211" s="50" t="s">
        <v>19</v>
      </c>
    </row>
    <row r="212" spans="2:10" ht="15" customHeight="1">
      <c r="B212" s="47" t="s">
        <v>323</v>
      </c>
      <c r="C212" s="50" t="s">
        <v>324</v>
      </c>
      <c r="D212" s="50" t="s">
        <v>2066</v>
      </c>
      <c r="E212" s="50" t="s">
        <v>2076</v>
      </c>
      <c r="F212" s="48">
        <v>100</v>
      </c>
      <c r="G212" s="51">
        <v>101.2878</v>
      </c>
      <c r="H212" s="51">
        <v>6.08</v>
      </c>
      <c r="I212" s="52">
        <v>1694</v>
      </c>
      <c r="J212" s="50" t="s">
        <v>19</v>
      </c>
    </row>
    <row r="213" spans="2:10" ht="15" customHeight="1">
      <c r="B213" s="47" t="s">
        <v>1504</v>
      </c>
      <c r="C213" s="50" t="s">
        <v>1505</v>
      </c>
      <c r="D213" s="50" t="s">
        <v>2066</v>
      </c>
      <c r="E213" s="50" t="s">
        <v>2076</v>
      </c>
      <c r="F213" s="48">
        <v>100</v>
      </c>
      <c r="G213" s="51">
        <v>106.19280000000001</v>
      </c>
      <c r="H213" s="51">
        <v>7.08</v>
      </c>
      <c r="I213" s="52">
        <v>2176</v>
      </c>
      <c r="J213" s="50" t="s">
        <v>19</v>
      </c>
    </row>
    <row r="214" spans="2:10" ht="15" customHeight="1">
      <c r="B214" s="47" t="s">
        <v>2389</v>
      </c>
      <c r="C214" s="50" t="s">
        <v>2390</v>
      </c>
      <c r="D214" s="50" t="s">
        <v>2066</v>
      </c>
      <c r="E214" s="50" t="s">
        <v>2076</v>
      </c>
      <c r="F214" s="48">
        <v>93.426943820692159</v>
      </c>
      <c r="G214" s="51">
        <v>94.056943820692155</v>
      </c>
      <c r="H214" s="51">
        <v>20.48</v>
      </c>
      <c r="I214" s="52">
        <v>3588</v>
      </c>
      <c r="J214" s="50" t="s">
        <v>19</v>
      </c>
    </row>
    <row r="215" spans="2:10" ht="15" customHeight="1">
      <c r="B215" s="47" t="s">
        <v>325</v>
      </c>
      <c r="C215" s="50" t="s">
        <v>326</v>
      </c>
      <c r="D215" s="50" t="s">
        <v>2066</v>
      </c>
      <c r="E215" s="50" t="s">
        <v>2076</v>
      </c>
      <c r="F215" s="97">
        <v>100</v>
      </c>
      <c r="G215" s="98">
        <v>100.4575</v>
      </c>
      <c r="H215" s="48">
        <v>6.09</v>
      </c>
      <c r="I215" s="99">
        <v>2103</v>
      </c>
      <c r="J215" s="50" t="s">
        <v>19</v>
      </c>
    </row>
    <row r="216" spans="2:10" ht="15" customHeight="1">
      <c r="B216" s="47" t="s">
        <v>327</v>
      </c>
      <c r="C216" s="50" t="s">
        <v>328</v>
      </c>
      <c r="D216" s="50" t="s">
        <v>2066</v>
      </c>
      <c r="E216" s="50" t="s">
        <v>2076</v>
      </c>
      <c r="F216" s="48">
        <v>100</v>
      </c>
      <c r="G216" s="51">
        <v>105.4053</v>
      </c>
      <c r="H216" s="51">
        <v>6.09</v>
      </c>
      <c r="I216" s="52">
        <v>2531</v>
      </c>
      <c r="J216" s="50" t="s">
        <v>19</v>
      </c>
    </row>
    <row r="217" spans="2:10" ht="15" customHeight="1">
      <c r="B217" s="47" t="s">
        <v>329</v>
      </c>
      <c r="C217" s="50" t="s">
        <v>330</v>
      </c>
      <c r="D217" s="50" t="s">
        <v>2066</v>
      </c>
      <c r="E217" s="50" t="s">
        <v>2076</v>
      </c>
      <c r="F217" s="97">
        <v>100</v>
      </c>
      <c r="G217" s="98">
        <v>105.4053</v>
      </c>
      <c r="H217" s="48">
        <v>6.09</v>
      </c>
      <c r="I217" s="99">
        <v>2531</v>
      </c>
      <c r="J217" s="50" t="s">
        <v>19</v>
      </c>
    </row>
    <row r="218" spans="2:10" ht="15" customHeight="1">
      <c r="B218" s="47" t="s">
        <v>331</v>
      </c>
      <c r="C218" s="50" t="s">
        <v>332</v>
      </c>
      <c r="D218" s="50" t="s">
        <v>2066</v>
      </c>
      <c r="E218" s="50" t="s">
        <v>2076</v>
      </c>
      <c r="F218" s="97">
        <v>100</v>
      </c>
      <c r="G218" s="98">
        <v>104.27</v>
      </c>
      <c r="H218" s="48">
        <v>6.08</v>
      </c>
      <c r="I218" s="99">
        <v>2598</v>
      </c>
      <c r="J218" s="50" t="s">
        <v>19</v>
      </c>
    </row>
    <row r="219" spans="2:10" ht="15" customHeight="1">
      <c r="B219" s="47" t="s">
        <v>333</v>
      </c>
      <c r="C219" s="50" t="s">
        <v>334</v>
      </c>
      <c r="D219" s="50" t="s">
        <v>2064</v>
      </c>
      <c r="E219" s="50" t="s">
        <v>2077</v>
      </c>
      <c r="F219" s="97">
        <v>1129.78</v>
      </c>
      <c r="G219" s="98">
        <v>1129.78</v>
      </c>
      <c r="H219" s="48">
        <v>0</v>
      </c>
      <c r="I219" s="99">
        <v>2972</v>
      </c>
      <c r="J219" s="50" t="s">
        <v>1786</v>
      </c>
    </row>
    <row r="220" spans="2:10" ht="15" customHeight="1">
      <c r="B220" s="47" t="s">
        <v>335</v>
      </c>
      <c r="C220" s="50" t="s">
        <v>336</v>
      </c>
      <c r="D220" s="50" t="s">
        <v>2064</v>
      </c>
      <c r="E220" s="50" t="s">
        <v>2077</v>
      </c>
      <c r="F220" s="97">
        <v>0.01</v>
      </c>
      <c r="G220" s="98">
        <v>0.01</v>
      </c>
      <c r="H220" s="48">
        <v>0</v>
      </c>
      <c r="I220" s="99">
        <v>1373</v>
      </c>
      <c r="J220" s="50" t="s">
        <v>1786</v>
      </c>
    </row>
    <row r="221" spans="2:10" ht="15" customHeight="1">
      <c r="B221" s="47" t="s">
        <v>337</v>
      </c>
      <c r="C221" s="50" t="s">
        <v>338</v>
      </c>
      <c r="D221" s="50" t="s">
        <v>2064</v>
      </c>
      <c r="E221" s="50" t="s">
        <v>2078</v>
      </c>
      <c r="F221" s="97">
        <v>0.01</v>
      </c>
      <c r="G221" s="98">
        <v>0.01</v>
      </c>
      <c r="H221" s="48">
        <v>0</v>
      </c>
      <c r="I221" s="99">
        <v>0</v>
      </c>
      <c r="J221" s="50" t="s">
        <v>1786</v>
      </c>
    </row>
    <row r="222" spans="2:10" ht="15" customHeight="1">
      <c r="B222" s="47" t="s">
        <v>1952</v>
      </c>
      <c r="C222" s="50" t="s">
        <v>1953</v>
      </c>
      <c r="D222" s="50" t="s">
        <v>2066</v>
      </c>
      <c r="E222" s="50" t="s">
        <v>2079</v>
      </c>
      <c r="F222" s="48">
        <v>98.548019999355077</v>
      </c>
      <c r="G222" s="51">
        <v>101.65361999935509</v>
      </c>
      <c r="H222" s="51">
        <v>26.76</v>
      </c>
      <c r="I222" s="52">
        <v>947</v>
      </c>
      <c r="J222" s="50" t="s">
        <v>19</v>
      </c>
    </row>
    <row r="223" spans="2:10" ht="15" customHeight="1">
      <c r="B223" s="47" t="s">
        <v>339</v>
      </c>
      <c r="C223" s="50" t="s">
        <v>340</v>
      </c>
      <c r="D223" s="50" t="s">
        <v>2066</v>
      </c>
      <c r="E223" s="50" t="s">
        <v>40</v>
      </c>
      <c r="F223" s="48">
        <v>92.615879413620377</v>
      </c>
      <c r="G223" s="51">
        <v>96.676979413620373</v>
      </c>
      <c r="H223" s="51">
        <v>18.28</v>
      </c>
      <c r="I223" s="52">
        <v>404</v>
      </c>
      <c r="J223" s="50" t="s">
        <v>19</v>
      </c>
    </row>
    <row r="224" spans="2:10" ht="15" customHeight="1">
      <c r="B224" s="47" t="s">
        <v>1673</v>
      </c>
      <c r="C224" s="50" t="s">
        <v>1674</v>
      </c>
      <c r="D224" s="50" t="s">
        <v>2066</v>
      </c>
      <c r="E224" s="50" t="s">
        <v>2080</v>
      </c>
      <c r="F224" s="97">
        <v>100</v>
      </c>
      <c r="G224" s="98">
        <v>101.9479</v>
      </c>
      <c r="H224" s="48">
        <v>4.24</v>
      </c>
      <c r="I224" s="99">
        <v>315</v>
      </c>
      <c r="J224" s="50" t="s">
        <v>19</v>
      </c>
    </row>
    <row r="225" spans="2:10" ht="15" customHeight="1">
      <c r="B225" s="47" t="s">
        <v>1629</v>
      </c>
      <c r="C225" s="50" t="s">
        <v>1630</v>
      </c>
      <c r="D225" s="50" t="s">
        <v>2066</v>
      </c>
      <c r="E225" s="50" t="s">
        <v>2080</v>
      </c>
      <c r="F225" s="97">
        <v>100</v>
      </c>
      <c r="G225" s="98">
        <v>100.00069999999999</v>
      </c>
      <c r="H225" s="48">
        <v>0.02</v>
      </c>
      <c r="I225" s="99">
        <v>3079</v>
      </c>
      <c r="J225" s="50" t="s">
        <v>19</v>
      </c>
    </row>
    <row r="226" spans="2:10" ht="15" customHeight="1">
      <c r="B226" s="47" t="s">
        <v>1506</v>
      </c>
      <c r="C226" s="50" t="s">
        <v>1507</v>
      </c>
      <c r="D226" s="50" t="s">
        <v>2066</v>
      </c>
      <c r="E226" s="50" t="s">
        <v>2080</v>
      </c>
      <c r="F226" s="97">
        <v>100</v>
      </c>
      <c r="G226" s="98">
        <v>105.0686</v>
      </c>
      <c r="H226" s="48">
        <v>7.05</v>
      </c>
      <c r="I226" s="99">
        <v>2176</v>
      </c>
      <c r="J226" s="50" t="s">
        <v>19</v>
      </c>
    </row>
    <row r="227" spans="2:10" ht="15" customHeight="1">
      <c r="B227" s="47" t="s">
        <v>341</v>
      </c>
      <c r="C227" s="50" t="s">
        <v>342</v>
      </c>
      <c r="D227" s="50" t="s">
        <v>2066</v>
      </c>
      <c r="E227" s="50" t="s">
        <v>2080</v>
      </c>
      <c r="F227" s="97">
        <v>100</v>
      </c>
      <c r="G227" s="98">
        <v>101.2878</v>
      </c>
      <c r="H227" s="48">
        <v>6.08</v>
      </c>
      <c r="I227" s="99">
        <v>1694</v>
      </c>
      <c r="J227" s="50" t="s">
        <v>19</v>
      </c>
    </row>
    <row r="228" spans="2:10" ht="15" customHeight="1">
      <c r="B228" s="47" t="s">
        <v>1508</v>
      </c>
      <c r="C228" s="50" t="s">
        <v>1509</v>
      </c>
      <c r="D228" s="50" t="s">
        <v>2066</v>
      </c>
      <c r="E228" s="50" t="s">
        <v>2080</v>
      </c>
      <c r="F228" s="97">
        <v>100</v>
      </c>
      <c r="G228" s="98">
        <v>106.19280000000001</v>
      </c>
      <c r="H228" s="48">
        <v>7.08</v>
      </c>
      <c r="I228" s="99">
        <v>2176</v>
      </c>
      <c r="J228" s="50" t="s">
        <v>19</v>
      </c>
    </row>
    <row r="229" spans="2:10" ht="15" customHeight="1">
      <c r="B229" s="47" t="s">
        <v>343</v>
      </c>
      <c r="C229" s="50" t="s">
        <v>344</v>
      </c>
      <c r="D229" s="50" t="s">
        <v>2066</v>
      </c>
      <c r="E229" s="50" t="s">
        <v>2080</v>
      </c>
      <c r="F229" s="97">
        <v>100</v>
      </c>
      <c r="G229" s="98">
        <v>100.4575</v>
      </c>
      <c r="H229" s="48">
        <v>6.09</v>
      </c>
      <c r="I229" s="99">
        <v>2103</v>
      </c>
      <c r="J229" s="50" t="s">
        <v>19</v>
      </c>
    </row>
    <row r="230" spans="2:10" ht="15" customHeight="1">
      <c r="B230" s="47" t="s">
        <v>345</v>
      </c>
      <c r="C230" s="50" t="s">
        <v>346</v>
      </c>
      <c r="D230" s="50" t="s">
        <v>2066</v>
      </c>
      <c r="E230" s="50" t="s">
        <v>2080</v>
      </c>
      <c r="F230" s="97">
        <v>100</v>
      </c>
      <c r="G230" s="98">
        <v>105.4053</v>
      </c>
      <c r="H230" s="48">
        <v>6.09</v>
      </c>
      <c r="I230" s="99">
        <v>2531</v>
      </c>
      <c r="J230" s="50" t="s">
        <v>19</v>
      </c>
    </row>
    <row r="231" spans="2:10" ht="15" customHeight="1">
      <c r="B231" s="47" t="s">
        <v>347</v>
      </c>
      <c r="C231" s="50" t="s">
        <v>348</v>
      </c>
      <c r="D231" s="50" t="s">
        <v>2066</v>
      </c>
      <c r="E231" s="50" t="s">
        <v>2080</v>
      </c>
      <c r="F231" s="97">
        <v>100</v>
      </c>
      <c r="G231" s="98">
        <v>105.4053</v>
      </c>
      <c r="H231" s="48">
        <v>6.09</v>
      </c>
      <c r="I231" s="99">
        <v>2531</v>
      </c>
      <c r="J231" s="50" t="s">
        <v>19</v>
      </c>
    </row>
    <row r="232" spans="2:10" ht="15" customHeight="1">
      <c r="B232" s="47" t="s">
        <v>349</v>
      </c>
      <c r="C232" s="50" t="s">
        <v>350</v>
      </c>
      <c r="D232" s="50" t="s">
        <v>2066</v>
      </c>
      <c r="E232" s="50" t="s">
        <v>2080</v>
      </c>
      <c r="F232" s="97">
        <v>100</v>
      </c>
      <c r="G232" s="98">
        <v>104.27</v>
      </c>
      <c r="H232" s="48">
        <v>6.08</v>
      </c>
      <c r="I232" s="99">
        <v>2598</v>
      </c>
      <c r="J232" s="50" t="s">
        <v>19</v>
      </c>
    </row>
    <row r="233" spans="2:10" ht="15" customHeight="1">
      <c r="B233" s="47" t="s">
        <v>351</v>
      </c>
      <c r="C233" s="50" t="s">
        <v>352</v>
      </c>
      <c r="D233" s="50" t="s">
        <v>2066</v>
      </c>
      <c r="E233" s="50" t="s">
        <v>2081</v>
      </c>
      <c r="F233" s="97">
        <v>88.479301768572</v>
      </c>
      <c r="G233" s="98">
        <v>91.100101768571989</v>
      </c>
      <c r="H233" s="48">
        <v>29.43</v>
      </c>
      <c r="I233" s="99">
        <v>2483</v>
      </c>
      <c r="J233" s="50" t="s">
        <v>19</v>
      </c>
    </row>
    <row r="234" spans="2:10" ht="15" customHeight="1">
      <c r="B234" s="47" t="s">
        <v>353</v>
      </c>
      <c r="C234" s="50" t="s">
        <v>354</v>
      </c>
      <c r="D234" s="50" t="s">
        <v>2064</v>
      </c>
      <c r="E234" s="50" t="s">
        <v>355</v>
      </c>
      <c r="F234" s="97">
        <v>14000</v>
      </c>
      <c r="G234" s="98">
        <v>14000</v>
      </c>
      <c r="H234" s="48">
        <v>0</v>
      </c>
      <c r="I234" s="99">
        <v>0</v>
      </c>
      <c r="J234" s="50" t="s">
        <v>1786</v>
      </c>
    </row>
    <row r="235" spans="2:10" ht="15" customHeight="1">
      <c r="B235" s="47" t="s">
        <v>356</v>
      </c>
      <c r="C235" s="50" t="s">
        <v>357</v>
      </c>
      <c r="D235" s="50" t="s">
        <v>2064</v>
      </c>
      <c r="E235" s="50" t="s">
        <v>2082</v>
      </c>
      <c r="F235" s="97">
        <v>0.01</v>
      </c>
      <c r="G235" s="98">
        <v>0.01</v>
      </c>
      <c r="H235" s="48">
        <v>0</v>
      </c>
      <c r="I235" s="99">
        <v>0</v>
      </c>
      <c r="J235" s="50" t="s">
        <v>1786</v>
      </c>
    </row>
    <row r="236" spans="2:10" ht="15" customHeight="1">
      <c r="B236" s="47" t="s">
        <v>358</v>
      </c>
      <c r="C236" s="50" t="s">
        <v>359</v>
      </c>
      <c r="D236" s="50" t="s">
        <v>2064</v>
      </c>
      <c r="E236" s="50" t="s">
        <v>2083</v>
      </c>
      <c r="F236" s="97">
        <v>15.43</v>
      </c>
      <c r="G236" s="98">
        <v>15.43</v>
      </c>
      <c r="H236" s="48">
        <v>0</v>
      </c>
      <c r="I236" s="99">
        <v>0</v>
      </c>
      <c r="J236" s="50" t="s">
        <v>1786</v>
      </c>
    </row>
    <row r="237" spans="2:10" ht="15" customHeight="1">
      <c r="B237" s="47" t="s">
        <v>1267</v>
      </c>
      <c r="C237" s="50" t="s">
        <v>1268</v>
      </c>
      <c r="D237" s="50" t="s">
        <v>2064</v>
      </c>
      <c r="E237" s="50" t="s">
        <v>1269</v>
      </c>
      <c r="F237" s="48">
        <v>86816.453200000018</v>
      </c>
      <c r="G237" s="51">
        <v>86816.453200000018</v>
      </c>
      <c r="H237" s="51">
        <v>0</v>
      </c>
      <c r="I237" s="52">
        <v>0</v>
      </c>
      <c r="J237" s="50" t="s">
        <v>1786</v>
      </c>
    </row>
    <row r="238" spans="2:10" ht="15" customHeight="1">
      <c r="B238" s="47" t="s">
        <v>360</v>
      </c>
      <c r="C238" s="50" t="s">
        <v>361</v>
      </c>
      <c r="D238" s="50" t="s">
        <v>2064</v>
      </c>
      <c r="E238" s="50" t="s">
        <v>2084</v>
      </c>
      <c r="F238" s="97">
        <v>15500.01</v>
      </c>
      <c r="G238" s="98">
        <v>15500.01</v>
      </c>
      <c r="H238" s="48">
        <v>0</v>
      </c>
      <c r="I238" s="99">
        <v>0</v>
      </c>
      <c r="J238" s="50" t="s">
        <v>1786</v>
      </c>
    </row>
    <row r="239" spans="2:10" ht="15" customHeight="1">
      <c r="B239" s="47" t="s">
        <v>362</v>
      </c>
      <c r="C239" s="50" t="s">
        <v>363</v>
      </c>
      <c r="D239" s="50" t="s">
        <v>2064</v>
      </c>
      <c r="E239" s="50" t="s">
        <v>2085</v>
      </c>
      <c r="F239" s="97">
        <v>0.01</v>
      </c>
      <c r="G239" s="98">
        <v>0.01</v>
      </c>
      <c r="H239" s="48">
        <v>0</v>
      </c>
      <c r="I239" s="99">
        <v>0</v>
      </c>
      <c r="J239" s="50" t="s">
        <v>1786</v>
      </c>
    </row>
    <row r="240" spans="2:10" ht="15" customHeight="1">
      <c r="B240" s="47" t="s">
        <v>364</v>
      </c>
      <c r="C240" s="50" t="s">
        <v>365</v>
      </c>
      <c r="D240" s="50" t="s">
        <v>2064</v>
      </c>
      <c r="E240" s="50" t="s">
        <v>2086</v>
      </c>
      <c r="F240" s="97">
        <v>0.01</v>
      </c>
      <c r="G240" s="98">
        <v>0.01</v>
      </c>
      <c r="H240" s="48">
        <v>0</v>
      </c>
      <c r="I240" s="99">
        <v>0</v>
      </c>
      <c r="J240" s="50" t="s">
        <v>1786</v>
      </c>
    </row>
    <row r="241" spans="2:10" ht="15" customHeight="1">
      <c r="B241" s="47" t="s">
        <v>1461</v>
      </c>
      <c r="C241" s="50" t="s">
        <v>1462</v>
      </c>
      <c r="D241" s="50" t="s">
        <v>2064</v>
      </c>
      <c r="E241" s="50" t="s">
        <v>1463</v>
      </c>
      <c r="F241" s="97">
        <v>125806.86165000002</v>
      </c>
      <c r="G241" s="98">
        <v>125806.86165000002</v>
      </c>
      <c r="H241" s="48">
        <v>0</v>
      </c>
      <c r="I241" s="99">
        <v>0</v>
      </c>
      <c r="J241" s="50" t="s">
        <v>1786</v>
      </c>
    </row>
    <row r="242" spans="2:10" ht="15" customHeight="1">
      <c r="B242" s="47" t="s">
        <v>366</v>
      </c>
      <c r="C242" s="50" t="s">
        <v>367</v>
      </c>
      <c r="D242" s="50" t="s">
        <v>2064</v>
      </c>
      <c r="E242" s="50" t="s">
        <v>2087</v>
      </c>
      <c r="F242" s="97">
        <v>0.01</v>
      </c>
      <c r="G242" s="98">
        <v>0.01</v>
      </c>
      <c r="H242" s="48">
        <v>0</v>
      </c>
      <c r="I242" s="99">
        <v>0</v>
      </c>
      <c r="J242" s="50" t="s">
        <v>1786</v>
      </c>
    </row>
    <row r="243" spans="2:10" ht="15" customHeight="1">
      <c r="B243" s="47" t="s">
        <v>368</v>
      </c>
      <c r="C243" s="50" t="s">
        <v>369</v>
      </c>
      <c r="D243" s="50" t="s">
        <v>2066</v>
      </c>
      <c r="E243" s="50" t="s">
        <v>2088</v>
      </c>
      <c r="F243" s="48">
        <v>91.151454528083889</v>
      </c>
      <c r="G243" s="51">
        <v>101.56395452808388</v>
      </c>
      <c r="H243" s="51">
        <v>28.5</v>
      </c>
      <c r="I243" s="52">
        <v>2373</v>
      </c>
      <c r="J243" s="50" t="s">
        <v>19</v>
      </c>
    </row>
    <row r="244" spans="2:10" ht="15" customHeight="1">
      <c r="B244" s="47" t="s">
        <v>370</v>
      </c>
      <c r="C244" s="50" t="s">
        <v>371</v>
      </c>
      <c r="D244" s="50" t="s">
        <v>2066</v>
      </c>
      <c r="E244" s="50" t="s">
        <v>2088</v>
      </c>
      <c r="F244" s="48">
        <v>92.296620213967955</v>
      </c>
      <c r="G244" s="51">
        <v>98.14662021396795</v>
      </c>
      <c r="H244" s="51">
        <v>28.49</v>
      </c>
      <c r="I244" s="52">
        <v>2619</v>
      </c>
      <c r="J244" s="50" t="s">
        <v>19</v>
      </c>
    </row>
    <row r="245" spans="2:10" ht="15" customHeight="1">
      <c r="B245" s="47" t="s">
        <v>372</v>
      </c>
      <c r="C245" s="50" t="s">
        <v>373</v>
      </c>
      <c r="D245" s="50" t="s">
        <v>2066</v>
      </c>
      <c r="E245" s="50" t="s">
        <v>2088</v>
      </c>
      <c r="F245" s="48">
        <v>92.269738029961715</v>
      </c>
      <c r="G245" s="51">
        <v>101.87533802996171</v>
      </c>
      <c r="H245" s="51">
        <v>28.48</v>
      </c>
      <c r="I245" s="52">
        <v>2747</v>
      </c>
      <c r="J245" s="50" t="s">
        <v>19</v>
      </c>
    </row>
    <row r="246" spans="2:10" ht="15" customHeight="1">
      <c r="B246" s="47" t="s">
        <v>374</v>
      </c>
      <c r="C246" s="50" t="s">
        <v>375</v>
      </c>
      <c r="D246" s="50" t="s">
        <v>2066</v>
      </c>
      <c r="E246" s="50" t="s">
        <v>2089</v>
      </c>
      <c r="F246" s="97">
        <v>100</v>
      </c>
      <c r="G246" s="98">
        <v>100.0031</v>
      </c>
      <c r="H246" s="48">
        <v>0.02</v>
      </c>
      <c r="I246" s="99">
        <v>3079</v>
      </c>
      <c r="J246" s="50" t="s">
        <v>19</v>
      </c>
    </row>
    <row r="247" spans="2:10" ht="15" customHeight="1">
      <c r="B247" s="47" t="s">
        <v>376</v>
      </c>
      <c r="C247" s="50" t="s">
        <v>377</v>
      </c>
      <c r="D247" s="50" t="s">
        <v>2066</v>
      </c>
      <c r="E247" s="50" t="s">
        <v>2089</v>
      </c>
      <c r="F247" s="48">
        <v>100</v>
      </c>
      <c r="G247" s="51">
        <v>101.2878</v>
      </c>
      <c r="H247" s="51">
        <v>6.08</v>
      </c>
      <c r="I247" s="52">
        <v>1694</v>
      </c>
      <c r="J247" s="50" t="s">
        <v>19</v>
      </c>
    </row>
    <row r="248" spans="2:10" ht="15" customHeight="1">
      <c r="B248" s="47" t="s">
        <v>1510</v>
      </c>
      <c r="C248" s="50" t="s">
        <v>1511</v>
      </c>
      <c r="D248" s="50" t="s">
        <v>2066</v>
      </c>
      <c r="E248" s="50" t="s">
        <v>2089</v>
      </c>
      <c r="F248" s="48">
        <v>100</v>
      </c>
      <c r="G248" s="51">
        <v>106.19280000000001</v>
      </c>
      <c r="H248" s="51">
        <v>7.08</v>
      </c>
      <c r="I248" s="52">
        <v>2176</v>
      </c>
      <c r="J248" s="50" t="s">
        <v>19</v>
      </c>
    </row>
    <row r="249" spans="2:10" ht="15" customHeight="1">
      <c r="B249" s="47" t="s">
        <v>378</v>
      </c>
      <c r="C249" s="50" t="s">
        <v>379</v>
      </c>
      <c r="D249" s="50" t="s">
        <v>2066</v>
      </c>
      <c r="E249" s="50" t="s">
        <v>2089</v>
      </c>
      <c r="F249" s="48">
        <v>100</v>
      </c>
      <c r="G249" s="51">
        <v>100.4575</v>
      </c>
      <c r="H249" s="51">
        <v>6.09</v>
      </c>
      <c r="I249" s="52">
        <v>2103</v>
      </c>
      <c r="J249" s="50" t="s">
        <v>19</v>
      </c>
    </row>
    <row r="250" spans="2:10" ht="15" customHeight="1">
      <c r="B250" s="47" t="s">
        <v>380</v>
      </c>
      <c r="C250" s="50" t="s">
        <v>381</v>
      </c>
      <c r="D250" s="50" t="s">
        <v>2066</v>
      </c>
      <c r="E250" s="50" t="s">
        <v>2089</v>
      </c>
      <c r="F250" s="97">
        <v>100</v>
      </c>
      <c r="G250" s="98">
        <v>105.4053</v>
      </c>
      <c r="H250" s="48">
        <v>6.09</v>
      </c>
      <c r="I250" s="99">
        <v>2531</v>
      </c>
      <c r="J250" s="50" t="s">
        <v>19</v>
      </c>
    </row>
    <row r="251" spans="2:10" ht="15" customHeight="1">
      <c r="B251" s="47" t="s">
        <v>382</v>
      </c>
      <c r="C251" s="50" t="s">
        <v>383</v>
      </c>
      <c r="D251" s="50" t="s">
        <v>2066</v>
      </c>
      <c r="E251" s="50" t="s">
        <v>2089</v>
      </c>
      <c r="F251" s="97">
        <v>100</v>
      </c>
      <c r="G251" s="98">
        <v>105.4053</v>
      </c>
      <c r="H251" s="48">
        <v>6.09</v>
      </c>
      <c r="I251" s="99">
        <v>2531</v>
      </c>
      <c r="J251" s="50" t="s">
        <v>19</v>
      </c>
    </row>
    <row r="252" spans="2:10" ht="15" customHeight="1">
      <c r="B252" s="47" t="s">
        <v>384</v>
      </c>
      <c r="C252" s="50" t="s">
        <v>385</v>
      </c>
      <c r="D252" s="50" t="s">
        <v>2066</v>
      </c>
      <c r="E252" s="50" t="s">
        <v>2089</v>
      </c>
      <c r="F252" s="97">
        <v>100</v>
      </c>
      <c r="G252" s="98">
        <v>104.27</v>
      </c>
      <c r="H252" s="48">
        <v>6.08</v>
      </c>
      <c r="I252" s="99">
        <v>2598</v>
      </c>
      <c r="J252" s="50" t="s">
        <v>19</v>
      </c>
    </row>
    <row r="253" spans="2:10" ht="15" customHeight="1">
      <c r="B253" s="47" t="s">
        <v>1677</v>
      </c>
      <c r="C253" s="50" t="s">
        <v>1678</v>
      </c>
      <c r="D253" s="50" t="s">
        <v>2066</v>
      </c>
      <c r="E253" s="50" t="s">
        <v>2090</v>
      </c>
      <c r="F253" s="97">
        <v>87.006688172447895</v>
      </c>
      <c r="G253" s="98">
        <v>95.839288172447894</v>
      </c>
      <c r="H253" s="48">
        <v>25.01</v>
      </c>
      <c r="I253" s="99">
        <v>1460</v>
      </c>
      <c r="J253" s="50" t="s">
        <v>19</v>
      </c>
    </row>
    <row r="254" spans="2:10" ht="15" customHeight="1">
      <c r="B254" s="47" t="s">
        <v>386</v>
      </c>
      <c r="C254" s="50" t="s">
        <v>387</v>
      </c>
      <c r="D254" s="50" t="s">
        <v>2066</v>
      </c>
      <c r="E254" s="50" t="s">
        <v>2091</v>
      </c>
      <c r="F254" s="97">
        <v>101.13021271930158</v>
      </c>
      <c r="G254" s="98">
        <v>101.30191271930158</v>
      </c>
      <c r="H254" s="48">
        <v>0.51</v>
      </c>
      <c r="I254" s="99">
        <v>4937</v>
      </c>
      <c r="J254" s="50" t="s">
        <v>19</v>
      </c>
    </row>
    <row r="255" spans="2:10" ht="15" customHeight="1">
      <c r="B255" s="47" t="s">
        <v>2287</v>
      </c>
      <c r="C255" s="50" t="s">
        <v>2288</v>
      </c>
      <c r="D255" s="50" t="s">
        <v>2066</v>
      </c>
      <c r="E255" s="50" t="s">
        <v>2289</v>
      </c>
      <c r="F255" s="97">
        <v>99.5934911712759</v>
      </c>
      <c r="G255" s="98">
        <v>102.4059911712759</v>
      </c>
      <c r="H255" s="48">
        <v>20.43</v>
      </c>
      <c r="I255" s="99">
        <v>1030</v>
      </c>
      <c r="J255" s="50" t="s">
        <v>19</v>
      </c>
    </row>
    <row r="256" spans="2:10" ht="15" customHeight="1">
      <c r="B256" s="47" t="s">
        <v>388</v>
      </c>
      <c r="C256" s="50" t="s">
        <v>389</v>
      </c>
      <c r="D256" s="50" t="s">
        <v>2064</v>
      </c>
      <c r="E256" s="50" t="s">
        <v>2092</v>
      </c>
      <c r="F256" s="97">
        <v>21.645684052555563</v>
      </c>
      <c r="G256" s="98">
        <v>21.645684052555563</v>
      </c>
      <c r="H256" s="48">
        <v>0</v>
      </c>
      <c r="I256" s="99">
        <v>0</v>
      </c>
      <c r="J256" s="50" t="s">
        <v>1786</v>
      </c>
    </row>
    <row r="257" spans="2:10" ht="15" customHeight="1">
      <c r="B257" s="47" t="s">
        <v>390</v>
      </c>
      <c r="C257" s="50" t="s">
        <v>391</v>
      </c>
      <c r="D257" s="50" t="s">
        <v>2093</v>
      </c>
      <c r="E257" s="50" t="s">
        <v>2092</v>
      </c>
      <c r="F257" s="97">
        <v>2737.9090000000001</v>
      </c>
      <c r="G257" s="98">
        <v>2737.9090000000001</v>
      </c>
      <c r="H257" s="48">
        <v>0</v>
      </c>
      <c r="I257" s="99">
        <v>0</v>
      </c>
      <c r="J257" s="50" t="s">
        <v>1786</v>
      </c>
    </row>
    <row r="258" spans="2:10" ht="15" customHeight="1">
      <c r="B258" s="47" t="s">
        <v>2354</v>
      </c>
      <c r="C258" s="50" t="s">
        <v>392</v>
      </c>
      <c r="D258" s="50" t="s">
        <v>2066</v>
      </c>
      <c r="E258" s="50" t="s">
        <v>2094</v>
      </c>
      <c r="F258" s="97">
        <v>87.290076807571864</v>
      </c>
      <c r="G258" s="98">
        <v>94.105076807571862</v>
      </c>
      <c r="H258" s="48">
        <v>17.68</v>
      </c>
      <c r="I258" s="99">
        <v>1896</v>
      </c>
      <c r="J258" s="50" t="s">
        <v>19</v>
      </c>
    </row>
    <row r="259" spans="2:10" ht="15" customHeight="1">
      <c r="B259" s="47" t="s">
        <v>2355</v>
      </c>
      <c r="C259" s="50" t="s">
        <v>1191</v>
      </c>
      <c r="D259" s="50" t="s">
        <v>2066</v>
      </c>
      <c r="E259" s="50" t="s">
        <v>2094</v>
      </c>
      <c r="F259" s="97">
        <v>100.517</v>
      </c>
      <c r="G259" s="98">
        <v>101.9337</v>
      </c>
      <c r="H259" s="48">
        <v>3.54</v>
      </c>
      <c r="I259" s="99">
        <v>944</v>
      </c>
      <c r="J259" s="50" t="s">
        <v>19</v>
      </c>
    </row>
    <row r="260" spans="2:10" ht="15" customHeight="1">
      <c r="B260" s="47" t="s">
        <v>2356</v>
      </c>
      <c r="C260" s="50" t="s">
        <v>1783</v>
      </c>
      <c r="D260" s="50" t="s">
        <v>2066</v>
      </c>
      <c r="E260" s="50" t="s">
        <v>2094</v>
      </c>
      <c r="F260" s="97">
        <v>102.605</v>
      </c>
      <c r="G260" s="98">
        <v>102.6658</v>
      </c>
      <c r="H260" s="48">
        <v>3.57</v>
      </c>
      <c r="I260" s="99">
        <v>1255</v>
      </c>
      <c r="J260" s="50" t="s">
        <v>19</v>
      </c>
    </row>
    <row r="261" spans="2:10" ht="15" customHeight="1">
      <c r="B261" s="47" t="s">
        <v>2357</v>
      </c>
      <c r="C261" s="50" t="s">
        <v>1828</v>
      </c>
      <c r="D261" s="50" t="s">
        <v>2066</v>
      </c>
      <c r="E261" s="50" t="s">
        <v>2094</v>
      </c>
      <c r="F261" s="97">
        <v>95.486298227151622</v>
      </c>
      <c r="G261" s="98">
        <v>97.461098227151624</v>
      </c>
      <c r="H261" s="48">
        <v>17.68</v>
      </c>
      <c r="I261" s="99">
        <v>490</v>
      </c>
      <c r="J261" s="50" t="s">
        <v>19</v>
      </c>
    </row>
    <row r="262" spans="2:10" ht="15" customHeight="1">
      <c r="B262" s="47" t="s">
        <v>2358</v>
      </c>
      <c r="C262" s="50" t="s">
        <v>393</v>
      </c>
      <c r="D262" s="50" t="s">
        <v>2066</v>
      </c>
      <c r="E262" s="50" t="s">
        <v>2094</v>
      </c>
      <c r="F262" s="97">
        <v>98.305542870340034</v>
      </c>
      <c r="G262" s="98">
        <v>99.665142870340034</v>
      </c>
      <c r="H262" s="48">
        <v>15.89</v>
      </c>
      <c r="I262" s="99">
        <v>139</v>
      </c>
      <c r="J262" s="50" t="s">
        <v>19</v>
      </c>
    </row>
    <row r="263" spans="2:10" ht="15" customHeight="1">
      <c r="B263" s="47" t="s">
        <v>2359</v>
      </c>
      <c r="C263" s="50" t="s">
        <v>1895</v>
      </c>
      <c r="D263" s="50" t="s">
        <v>2066</v>
      </c>
      <c r="E263" s="50" t="s">
        <v>2094</v>
      </c>
      <c r="F263" s="97">
        <v>92.088490821756878</v>
      </c>
      <c r="G263" s="98">
        <v>99.507690821756881</v>
      </c>
      <c r="H263" s="48">
        <v>17.98</v>
      </c>
      <c r="I263" s="99">
        <v>1627</v>
      </c>
      <c r="J263" s="50" t="s">
        <v>19</v>
      </c>
    </row>
    <row r="264" spans="2:10" ht="15" customHeight="1">
      <c r="B264" s="47" t="s">
        <v>2360</v>
      </c>
      <c r="C264" s="50" t="s">
        <v>1214</v>
      </c>
      <c r="D264" s="50" t="s">
        <v>2066</v>
      </c>
      <c r="E264" s="50" t="s">
        <v>2094</v>
      </c>
      <c r="F264" s="97">
        <v>76.727000000000004</v>
      </c>
      <c r="G264" s="98">
        <v>81.632800000000003</v>
      </c>
      <c r="H264" s="48">
        <v>16.760000000000002</v>
      </c>
      <c r="I264" s="99">
        <v>1896</v>
      </c>
      <c r="J264" s="50" t="s">
        <v>19</v>
      </c>
    </row>
    <row r="265" spans="2:10" ht="15" customHeight="1">
      <c r="B265" s="47" t="s">
        <v>2361</v>
      </c>
      <c r="C265" s="50" t="s">
        <v>1420</v>
      </c>
      <c r="D265" s="50" t="s">
        <v>2064</v>
      </c>
      <c r="E265" s="50" t="s">
        <v>2094</v>
      </c>
      <c r="F265" s="97">
        <v>1.0220416666666667</v>
      </c>
      <c r="G265" s="98">
        <v>1.0220416666666667</v>
      </c>
      <c r="H265" s="48">
        <v>0</v>
      </c>
      <c r="I265" s="99">
        <v>186</v>
      </c>
      <c r="J265" s="50" t="s">
        <v>1786</v>
      </c>
    </row>
    <row r="266" spans="2:10" ht="15" customHeight="1">
      <c r="B266" s="47" t="s">
        <v>2362</v>
      </c>
      <c r="C266" s="50" t="s">
        <v>1339</v>
      </c>
      <c r="D266" s="50" t="s">
        <v>2064</v>
      </c>
      <c r="E266" s="50" t="s">
        <v>2094</v>
      </c>
      <c r="F266" s="97">
        <v>0.88816833333333334</v>
      </c>
      <c r="G266" s="98">
        <v>0.88816833333333334</v>
      </c>
      <c r="H266" s="48">
        <v>0</v>
      </c>
      <c r="I266" s="99">
        <v>1447</v>
      </c>
      <c r="J266" s="50" t="s">
        <v>1786</v>
      </c>
    </row>
    <row r="267" spans="2:10" ht="15" customHeight="1">
      <c r="B267" s="47" t="s">
        <v>2363</v>
      </c>
      <c r="C267" s="50" t="s">
        <v>1108</v>
      </c>
      <c r="D267" s="50" t="s">
        <v>2066</v>
      </c>
      <c r="E267" s="50" t="s">
        <v>2094</v>
      </c>
      <c r="F267" s="97">
        <v>79.608999999999995</v>
      </c>
      <c r="G267" s="98">
        <v>84.925700000000006</v>
      </c>
      <c r="H267" s="48">
        <v>16.77</v>
      </c>
      <c r="I267" s="99">
        <v>1896</v>
      </c>
      <c r="J267" s="50" t="s">
        <v>19</v>
      </c>
    </row>
    <row r="268" spans="2:10" ht="15" customHeight="1">
      <c r="B268" s="47" t="s">
        <v>396</v>
      </c>
      <c r="C268" s="50" t="s">
        <v>397</v>
      </c>
      <c r="D268" s="50" t="s">
        <v>2066</v>
      </c>
      <c r="E268" s="50" t="s">
        <v>2095</v>
      </c>
      <c r="F268" s="97">
        <v>100</v>
      </c>
      <c r="G268" s="98">
        <v>100.7201</v>
      </c>
      <c r="H268" s="48">
        <v>4.2300000000000004</v>
      </c>
      <c r="I268" s="99">
        <v>239</v>
      </c>
      <c r="J268" s="50" t="s">
        <v>19</v>
      </c>
    </row>
    <row r="269" spans="2:10" ht="15" customHeight="1">
      <c r="B269" s="47" t="s">
        <v>2283</v>
      </c>
      <c r="C269" s="50" t="s">
        <v>2284</v>
      </c>
      <c r="D269" s="50" t="s">
        <v>2066</v>
      </c>
      <c r="E269" s="50" t="s">
        <v>2095</v>
      </c>
      <c r="F269" s="97">
        <v>100</v>
      </c>
      <c r="G269" s="98">
        <v>100.6729</v>
      </c>
      <c r="H269" s="48">
        <v>4.24</v>
      </c>
      <c r="I269" s="99">
        <v>603</v>
      </c>
      <c r="J269" s="50" t="s">
        <v>19</v>
      </c>
    </row>
    <row r="270" spans="2:10" ht="15" customHeight="1">
      <c r="B270" s="47" t="s">
        <v>398</v>
      </c>
      <c r="C270" s="50" t="s">
        <v>399</v>
      </c>
      <c r="D270" s="50" t="s">
        <v>2066</v>
      </c>
      <c r="E270" s="50" t="s">
        <v>2095</v>
      </c>
      <c r="F270" s="97">
        <v>100</v>
      </c>
      <c r="G270" s="98">
        <v>100.1108</v>
      </c>
      <c r="H270" s="48">
        <v>0.35</v>
      </c>
      <c r="I270" s="99">
        <v>246</v>
      </c>
      <c r="J270" s="50" t="s">
        <v>19</v>
      </c>
    </row>
    <row r="271" spans="2:10" ht="15" customHeight="1">
      <c r="B271" s="47" t="s">
        <v>2323</v>
      </c>
      <c r="C271" s="50" t="s">
        <v>2324</v>
      </c>
      <c r="D271" s="50" t="s">
        <v>2066</v>
      </c>
      <c r="E271" s="50" t="s">
        <v>2095</v>
      </c>
      <c r="F271" s="97">
        <v>100</v>
      </c>
      <c r="G271" s="98">
        <v>100.0399</v>
      </c>
      <c r="H271" s="48">
        <v>0.35</v>
      </c>
      <c r="I271" s="99">
        <v>679</v>
      </c>
      <c r="J271" s="50" t="s">
        <v>19</v>
      </c>
    </row>
    <row r="272" spans="2:10" ht="15" customHeight="1">
      <c r="B272" s="47" t="s">
        <v>1480</v>
      </c>
      <c r="C272" s="50" t="s">
        <v>1481</v>
      </c>
      <c r="D272" s="50" t="s">
        <v>2066</v>
      </c>
      <c r="E272" s="50" t="s">
        <v>2095</v>
      </c>
      <c r="F272" s="97">
        <v>100</v>
      </c>
      <c r="G272" s="98">
        <v>100.002</v>
      </c>
      <c r="H272" s="48">
        <v>0.02</v>
      </c>
      <c r="I272" s="99">
        <v>3079</v>
      </c>
      <c r="J272" s="50" t="s">
        <v>19</v>
      </c>
    </row>
    <row r="273" spans="2:10" ht="15" customHeight="1">
      <c r="B273" s="47" t="s">
        <v>400</v>
      </c>
      <c r="C273" s="50" t="s">
        <v>401</v>
      </c>
      <c r="D273" s="50" t="s">
        <v>2066</v>
      </c>
      <c r="E273" s="50" t="s">
        <v>2095</v>
      </c>
      <c r="F273" s="97">
        <v>100</v>
      </c>
      <c r="G273" s="98">
        <v>101.2878</v>
      </c>
      <c r="H273" s="48">
        <v>6.08</v>
      </c>
      <c r="I273" s="99">
        <v>1694</v>
      </c>
      <c r="J273" s="50" t="s">
        <v>19</v>
      </c>
    </row>
    <row r="274" spans="2:10" ht="15" customHeight="1">
      <c r="B274" s="47" t="s">
        <v>1512</v>
      </c>
      <c r="C274" s="50" t="s">
        <v>1513</v>
      </c>
      <c r="D274" s="50" t="s">
        <v>2064</v>
      </c>
      <c r="E274" s="50" t="s">
        <v>2096</v>
      </c>
      <c r="F274" s="97">
        <v>0.01</v>
      </c>
      <c r="G274" s="98">
        <v>0.01</v>
      </c>
      <c r="H274" s="48">
        <v>0</v>
      </c>
      <c r="I274" s="99">
        <v>0</v>
      </c>
      <c r="J274" s="50" t="s">
        <v>1786</v>
      </c>
    </row>
    <row r="275" spans="2:10" ht="15" customHeight="1">
      <c r="B275" s="47" t="s">
        <v>394</v>
      </c>
      <c r="C275" s="50" t="s">
        <v>395</v>
      </c>
      <c r="D275" s="50" t="s">
        <v>2066</v>
      </c>
      <c r="E275" s="50" t="s">
        <v>2096</v>
      </c>
      <c r="F275" s="97">
        <v>93.915397473990808</v>
      </c>
      <c r="G275" s="98">
        <v>96.415397473990808</v>
      </c>
      <c r="H275" s="48">
        <v>14.58</v>
      </c>
      <c r="I275" s="99">
        <v>440</v>
      </c>
      <c r="J275" s="50" t="s">
        <v>19</v>
      </c>
    </row>
    <row r="276" spans="2:10" ht="15" customHeight="1">
      <c r="B276" s="47" t="s">
        <v>1514</v>
      </c>
      <c r="C276" s="50" t="s">
        <v>1515</v>
      </c>
      <c r="D276" s="50" t="s">
        <v>2064</v>
      </c>
      <c r="E276" s="50" t="s">
        <v>2096</v>
      </c>
      <c r="F276" s="97">
        <v>0.01</v>
      </c>
      <c r="G276" s="98">
        <v>0.01</v>
      </c>
      <c r="H276" s="48">
        <v>0</v>
      </c>
      <c r="I276" s="99">
        <v>0</v>
      </c>
      <c r="J276" s="50" t="s">
        <v>1786</v>
      </c>
    </row>
    <row r="277" spans="2:10" ht="15" customHeight="1">
      <c r="B277" s="47" t="s">
        <v>402</v>
      </c>
      <c r="C277" s="50" t="s">
        <v>403</v>
      </c>
      <c r="D277" s="50" t="s">
        <v>2064</v>
      </c>
      <c r="E277" s="50" t="s">
        <v>2097</v>
      </c>
      <c r="F277" s="97">
        <v>2418.66</v>
      </c>
      <c r="G277" s="98">
        <v>2418.66</v>
      </c>
      <c r="H277" s="48">
        <v>0</v>
      </c>
      <c r="I277" s="99">
        <v>0</v>
      </c>
      <c r="J277" s="50" t="s">
        <v>1786</v>
      </c>
    </row>
    <row r="278" spans="2:10" ht="15" customHeight="1">
      <c r="B278" s="47" t="s">
        <v>404</v>
      </c>
      <c r="C278" s="50" t="s">
        <v>405</v>
      </c>
      <c r="D278" s="50" t="s">
        <v>2066</v>
      </c>
      <c r="E278" s="50" t="s">
        <v>2098</v>
      </c>
      <c r="F278" s="97">
        <v>92.955053670200243</v>
      </c>
      <c r="G278" s="98">
        <v>93.821753670200238</v>
      </c>
      <c r="H278" s="48">
        <v>28.31</v>
      </c>
      <c r="I278" s="99">
        <v>2598</v>
      </c>
      <c r="J278" s="50" t="s">
        <v>19</v>
      </c>
    </row>
    <row r="279" spans="2:10" ht="15" customHeight="1">
      <c r="B279" s="47" t="s">
        <v>406</v>
      </c>
      <c r="C279" s="50" t="s">
        <v>407</v>
      </c>
      <c r="D279" s="50" t="s">
        <v>2066</v>
      </c>
      <c r="E279" s="50" t="s">
        <v>2098</v>
      </c>
      <c r="F279" s="97">
        <v>89.431061890970327</v>
      </c>
      <c r="G279" s="98">
        <v>92.694961890970333</v>
      </c>
      <c r="H279" s="48">
        <v>28.29</v>
      </c>
      <c r="I279" s="99">
        <v>3103</v>
      </c>
      <c r="J279" s="50" t="s">
        <v>19</v>
      </c>
    </row>
    <row r="280" spans="2:10" ht="15" customHeight="1">
      <c r="B280" s="47" t="s">
        <v>408</v>
      </c>
      <c r="C280" s="50" t="s">
        <v>409</v>
      </c>
      <c r="D280" s="50" t="s">
        <v>2064</v>
      </c>
      <c r="E280" s="50" t="s">
        <v>2099</v>
      </c>
      <c r="F280" s="97">
        <v>0.01</v>
      </c>
      <c r="G280" s="98">
        <v>0.01</v>
      </c>
      <c r="H280" s="48">
        <v>0</v>
      </c>
      <c r="I280" s="99">
        <v>0</v>
      </c>
      <c r="J280" s="50" t="s">
        <v>1786</v>
      </c>
    </row>
    <row r="281" spans="2:10" ht="15" customHeight="1">
      <c r="B281" s="47" t="s">
        <v>410</v>
      </c>
      <c r="C281" s="50" t="s">
        <v>411</v>
      </c>
      <c r="D281" s="50" t="s">
        <v>2064</v>
      </c>
      <c r="E281" s="50" t="s">
        <v>2100</v>
      </c>
      <c r="F281" s="97">
        <v>0.01</v>
      </c>
      <c r="G281" s="98">
        <v>0.01</v>
      </c>
      <c r="H281" s="48">
        <v>0</v>
      </c>
      <c r="I281" s="99">
        <v>0</v>
      </c>
      <c r="J281" s="50" t="s">
        <v>1786</v>
      </c>
    </row>
    <row r="282" spans="2:10" ht="15" customHeight="1">
      <c r="B282" s="47" t="s">
        <v>412</v>
      </c>
      <c r="C282" s="50" t="s">
        <v>413</v>
      </c>
      <c r="D282" s="50" t="s">
        <v>2066</v>
      </c>
      <c r="E282" s="50" t="s">
        <v>2248</v>
      </c>
      <c r="F282" s="97">
        <v>96.513367987054394</v>
      </c>
      <c r="G282" s="98">
        <v>101.89716798705439</v>
      </c>
      <c r="H282" s="48">
        <v>18.440000000000001</v>
      </c>
      <c r="I282" s="99">
        <v>183</v>
      </c>
      <c r="J282" s="50" t="s">
        <v>19</v>
      </c>
    </row>
    <row r="283" spans="2:10" ht="15" customHeight="1">
      <c r="B283" s="47" t="s">
        <v>414</v>
      </c>
      <c r="C283" s="50" t="s">
        <v>415</v>
      </c>
      <c r="D283" s="50" t="s">
        <v>2066</v>
      </c>
      <c r="E283" s="50" t="s">
        <v>2248</v>
      </c>
      <c r="F283" s="97">
        <v>7.7387016207242683</v>
      </c>
      <c r="G283" s="98">
        <v>7.8284016207242679</v>
      </c>
      <c r="H283" s="48">
        <v>17.420000000000002</v>
      </c>
      <c r="I283" s="99">
        <v>5450</v>
      </c>
      <c r="J283" s="50" t="s">
        <v>19</v>
      </c>
    </row>
    <row r="284" spans="2:10" ht="15" customHeight="1">
      <c r="B284" s="47" t="s">
        <v>1631</v>
      </c>
      <c r="C284" s="50" t="s">
        <v>1632</v>
      </c>
      <c r="D284" s="50" t="s">
        <v>2066</v>
      </c>
      <c r="E284" s="50" t="s">
        <v>2101</v>
      </c>
      <c r="F284" s="97">
        <v>100</v>
      </c>
      <c r="G284" s="98">
        <v>100.23609999999999</v>
      </c>
      <c r="H284" s="48">
        <v>4.24</v>
      </c>
      <c r="I284" s="99">
        <v>280</v>
      </c>
      <c r="J284" s="50" t="s">
        <v>19</v>
      </c>
    </row>
    <row r="285" spans="2:10" ht="15" customHeight="1">
      <c r="B285" s="47" t="s">
        <v>416</v>
      </c>
      <c r="C285" s="50" t="s">
        <v>417</v>
      </c>
      <c r="D285" s="50" t="s">
        <v>2066</v>
      </c>
      <c r="E285" s="50" t="s">
        <v>2101</v>
      </c>
      <c r="F285" s="97">
        <v>100</v>
      </c>
      <c r="G285" s="98">
        <v>100.09139999999999</v>
      </c>
      <c r="H285" s="48">
        <v>0.35</v>
      </c>
      <c r="I285" s="99">
        <v>266</v>
      </c>
      <c r="J285" s="50" t="s">
        <v>19</v>
      </c>
    </row>
    <row r="286" spans="2:10" ht="15" customHeight="1">
      <c r="B286" s="47" t="s">
        <v>2258</v>
      </c>
      <c r="C286" s="50" t="s">
        <v>2259</v>
      </c>
      <c r="D286" s="50" t="s">
        <v>2066</v>
      </c>
      <c r="E286" s="50" t="s">
        <v>2101</v>
      </c>
      <c r="F286" s="97">
        <v>100</v>
      </c>
      <c r="G286" s="98">
        <v>100.069</v>
      </c>
      <c r="H286" s="48">
        <v>0.35</v>
      </c>
      <c r="I286" s="99">
        <v>649</v>
      </c>
      <c r="J286" s="50" t="s">
        <v>19</v>
      </c>
    </row>
    <row r="287" spans="2:10" ht="15" customHeight="1">
      <c r="B287" s="47" t="s">
        <v>1675</v>
      </c>
      <c r="C287" s="50" t="s">
        <v>1676</v>
      </c>
      <c r="D287" s="50" t="s">
        <v>2066</v>
      </c>
      <c r="E287" s="50" t="s">
        <v>2101</v>
      </c>
      <c r="F287" s="97">
        <v>100</v>
      </c>
      <c r="G287" s="98">
        <v>100.0192</v>
      </c>
      <c r="H287" s="48">
        <v>0.02</v>
      </c>
      <c r="I287" s="99">
        <v>3079</v>
      </c>
      <c r="J287" s="50" t="s">
        <v>19</v>
      </c>
    </row>
    <row r="288" spans="2:10" ht="15" customHeight="1">
      <c r="B288" s="47" t="s">
        <v>1482</v>
      </c>
      <c r="C288" s="50" t="s">
        <v>1483</v>
      </c>
      <c r="D288" s="50" t="s">
        <v>2066</v>
      </c>
      <c r="E288" s="50" t="s">
        <v>2101</v>
      </c>
      <c r="F288" s="97">
        <v>100</v>
      </c>
      <c r="G288" s="98">
        <v>100.002</v>
      </c>
      <c r="H288" s="48">
        <v>0.02</v>
      </c>
      <c r="I288" s="99">
        <v>3079</v>
      </c>
      <c r="J288" s="50" t="s">
        <v>19</v>
      </c>
    </row>
    <row r="289" spans="2:10" ht="15" customHeight="1">
      <c r="B289" s="47" t="s">
        <v>418</v>
      </c>
      <c r="C289" s="50" t="s">
        <v>419</v>
      </c>
      <c r="D289" s="50" t="s">
        <v>2066</v>
      </c>
      <c r="E289" s="50" t="s">
        <v>2101</v>
      </c>
      <c r="F289" s="97">
        <v>100</v>
      </c>
      <c r="G289" s="98">
        <v>101.2878</v>
      </c>
      <c r="H289" s="48">
        <v>6.08</v>
      </c>
      <c r="I289" s="99">
        <v>1694</v>
      </c>
      <c r="J289" s="50" t="s">
        <v>19</v>
      </c>
    </row>
    <row r="290" spans="2:10" ht="15" customHeight="1">
      <c r="B290" s="47" t="s">
        <v>1516</v>
      </c>
      <c r="C290" s="50" t="s">
        <v>1517</v>
      </c>
      <c r="D290" s="50" t="s">
        <v>2066</v>
      </c>
      <c r="E290" s="50" t="s">
        <v>2101</v>
      </c>
      <c r="F290" s="97">
        <v>100</v>
      </c>
      <c r="G290" s="98">
        <v>106.19280000000001</v>
      </c>
      <c r="H290" s="48">
        <v>7.08</v>
      </c>
      <c r="I290" s="99">
        <v>2176</v>
      </c>
      <c r="J290" s="50" t="s">
        <v>19</v>
      </c>
    </row>
    <row r="291" spans="2:10" ht="15" customHeight="1">
      <c r="B291" s="47" t="s">
        <v>2326</v>
      </c>
      <c r="C291" s="50" t="s">
        <v>2327</v>
      </c>
      <c r="D291" s="50" t="s">
        <v>2066</v>
      </c>
      <c r="E291" s="50" t="s">
        <v>2101</v>
      </c>
      <c r="F291" s="97">
        <v>90.439602311929406</v>
      </c>
      <c r="G291" s="98">
        <v>92.512402311929407</v>
      </c>
      <c r="H291" s="48">
        <v>20.49</v>
      </c>
      <c r="I291" s="99">
        <v>3559</v>
      </c>
      <c r="J291" s="50" t="s">
        <v>19</v>
      </c>
    </row>
    <row r="292" spans="2:10" ht="15" customHeight="1">
      <c r="B292" s="47" t="s">
        <v>2391</v>
      </c>
      <c r="C292" s="50" t="s">
        <v>2392</v>
      </c>
      <c r="D292" s="50" t="s">
        <v>2066</v>
      </c>
      <c r="E292" s="50" t="s">
        <v>2101</v>
      </c>
      <c r="F292" s="97">
        <v>93.426943820692159</v>
      </c>
      <c r="G292" s="98">
        <v>94.056943820692155</v>
      </c>
      <c r="H292" s="48">
        <v>20.48</v>
      </c>
      <c r="I292" s="99">
        <v>3588</v>
      </c>
      <c r="J292" s="50" t="s">
        <v>19</v>
      </c>
    </row>
    <row r="293" spans="2:10" ht="15" customHeight="1">
      <c r="B293" s="47" t="s">
        <v>2393</v>
      </c>
      <c r="C293" s="50" t="s">
        <v>2394</v>
      </c>
      <c r="D293" s="50" t="s">
        <v>2066</v>
      </c>
      <c r="E293" s="50" t="s">
        <v>2101</v>
      </c>
      <c r="F293" s="97">
        <v>93.426943820692159</v>
      </c>
      <c r="G293" s="98">
        <v>94.056943820692155</v>
      </c>
      <c r="H293" s="48">
        <v>20.48</v>
      </c>
      <c r="I293" s="99">
        <v>3588</v>
      </c>
      <c r="J293" s="50" t="s">
        <v>19</v>
      </c>
    </row>
    <row r="294" spans="2:10" ht="15" customHeight="1">
      <c r="B294" s="47" t="s">
        <v>2427</v>
      </c>
      <c r="C294" s="50" t="s">
        <v>2428</v>
      </c>
      <c r="D294" s="50" t="s">
        <v>2066</v>
      </c>
      <c r="E294" s="50" t="s">
        <v>2101</v>
      </c>
      <c r="F294" s="97">
        <v>93.398237707612424</v>
      </c>
      <c r="G294" s="98">
        <v>93.818237707612425</v>
      </c>
      <c r="H294" s="48">
        <v>20.49</v>
      </c>
      <c r="I294" s="99">
        <v>3592</v>
      </c>
      <c r="J294" s="50" t="s">
        <v>19</v>
      </c>
    </row>
    <row r="295" spans="2:10" ht="15" customHeight="1">
      <c r="B295" s="47" t="s">
        <v>420</v>
      </c>
      <c r="C295" s="50" t="s">
        <v>421</v>
      </c>
      <c r="D295" s="50" t="s">
        <v>2066</v>
      </c>
      <c r="E295" s="50" t="s">
        <v>2101</v>
      </c>
      <c r="F295" s="97">
        <v>100</v>
      </c>
      <c r="G295" s="98">
        <v>100.4575</v>
      </c>
      <c r="H295" s="48">
        <v>6.09</v>
      </c>
      <c r="I295" s="99">
        <v>2103</v>
      </c>
      <c r="J295" s="50" t="s">
        <v>19</v>
      </c>
    </row>
    <row r="296" spans="2:10" ht="15" customHeight="1">
      <c r="B296" s="47" t="s">
        <v>422</v>
      </c>
      <c r="C296" s="50" t="s">
        <v>423</v>
      </c>
      <c r="D296" s="50" t="s">
        <v>2066</v>
      </c>
      <c r="E296" s="50" t="s">
        <v>2101</v>
      </c>
      <c r="F296" s="97">
        <v>100</v>
      </c>
      <c r="G296" s="98">
        <v>105.4053</v>
      </c>
      <c r="H296" s="48">
        <v>6.09</v>
      </c>
      <c r="I296" s="99">
        <v>2531</v>
      </c>
      <c r="J296" s="50" t="s">
        <v>19</v>
      </c>
    </row>
    <row r="297" spans="2:10" ht="15" customHeight="1">
      <c r="B297" s="47" t="s">
        <v>424</v>
      </c>
      <c r="C297" s="50" t="s">
        <v>425</v>
      </c>
      <c r="D297" s="50" t="s">
        <v>2066</v>
      </c>
      <c r="E297" s="50" t="s">
        <v>2101</v>
      </c>
      <c r="F297" s="97">
        <v>100</v>
      </c>
      <c r="G297" s="98">
        <v>105.4053</v>
      </c>
      <c r="H297" s="48">
        <v>6.09</v>
      </c>
      <c r="I297" s="99">
        <v>2531</v>
      </c>
      <c r="J297" s="50" t="s">
        <v>19</v>
      </c>
    </row>
    <row r="298" spans="2:10" ht="15" customHeight="1">
      <c r="B298" s="47" t="s">
        <v>426</v>
      </c>
      <c r="C298" s="50" t="s">
        <v>427</v>
      </c>
      <c r="D298" s="50" t="s">
        <v>2066</v>
      </c>
      <c r="E298" s="50" t="s">
        <v>2101</v>
      </c>
      <c r="F298" s="97">
        <v>100</v>
      </c>
      <c r="G298" s="98">
        <v>104.27</v>
      </c>
      <c r="H298" s="48">
        <v>6.08</v>
      </c>
      <c r="I298" s="99">
        <v>2598</v>
      </c>
      <c r="J298" s="50" t="s">
        <v>19</v>
      </c>
    </row>
    <row r="299" spans="2:10" ht="15" customHeight="1">
      <c r="B299" s="47" t="s">
        <v>428</v>
      </c>
      <c r="C299" s="50" t="s">
        <v>429</v>
      </c>
      <c r="D299" s="50" t="s">
        <v>2064</v>
      </c>
      <c r="E299" s="50" t="s">
        <v>2102</v>
      </c>
      <c r="F299" s="97">
        <v>0.01</v>
      </c>
      <c r="G299" s="98">
        <v>0.01</v>
      </c>
      <c r="H299" s="48">
        <v>0</v>
      </c>
      <c r="I299" s="99">
        <v>0</v>
      </c>
      <c r="J299" s="50" t="s">
        <v>1786</v>
      </c>
    </row>
    <row r="300" spans="2:10" ht="15" customHeight="1">
      <c r="B300" s="47" t="s">
        <v>1159</v>
      </c>
      <c r="C300" s="50" t="s">
        <v>1160</v>
      </c>
      <c r="D300" s="50" t="s">
        <v>2066</v>
      </c>
      <c r="E300" s="50" t="s">
        <v>2103</v>
      </c>
      <c r="F300" s="97">
        <v>31.123999999999999</v>
      </c>
      <c r="G300" s="98">
        <v>31.294</v>
      </c>
      <c r="H300" s="48">
        <v>3.13</v>
      </c>
      <c r="I300" s="99">
        <v>34625</v>
      </c>
      <c r="J300" s="50" t="s">
        <v>19</v>
      </c>
    </row>
    <row r="301" spans="2:10" ht="15" customHeight="1">
      <c r="B301" s="47" t="s">
        <v>430</v>
      </c>
      <c r="C301" s="50" t="s">
        <v>431</v>
      </c>
      <c r="D301" s="50" t="s">
        <v>2066</v>
      </c>
      <c r="E301" s="50" t="s">
        <v>2104</v>
      </c>
      <c r="F301" s="97">
        <v>92.234412306604099</v>
      </c>
      <c r="G301" s="98">
        <v>94.040012306604098</v>
      </c>
      <c r="H301" s="48">
        <v>28.59</v>
      </c>
      <c r="I301" s="99">
        <v>2495</v>
      </c>
      <c r="J301" s="50" t="s">
        <v>19</v>
      </c>
    </row>
    <row r="302" spans="2:10" ht="15" customHeight="1">
      <c r="B302" s="47" t="s">
        <v>432</v>
      </c>
      <c r="C302" s="50" t="s">
        <v>433</v>
      </c>
      <c r="D302" s="50" t="s">
        <v>2066</v>
      </c>
      <c r="E302" s="50" t="s">
        <v>2104</v>
      </c>
      <c r="F302" s="97">
        <v>88.65898687625878</v>
      </c>
      <c r="G302" s="98">
        <v>92.40898687625878</v>
      </c>
      <c r="H302" s="48">
        <v>28.56</v>
      </c>
      <c r="I302" s="99">
        <v>3096</v>
      </c>
      <c r="J302" s="50" t="s">
        <v>19</v>
      </c>
    </row>
    <row r="303" spans="2:10" ht="15" customHeight="1">
      <c r="B303" s="47" t="s">
        <v>434</v>
      </c>
      <c r="C303" s="50" t="s">
        <v>435</v>
      </c>
      <c r="D303" s="50" t="s">
        <v>2064</v>
      </c>
      <c r="E303" s="50" t="s">
        <v>2105</v>
      </c>
      <c r="F303" s="97">
        <v>0.01</v>
      </c>
      <c r="G303" s="98">
        <v>0.01</v>
      </c>
      <c r="H303" s="48">
        <v>0</v>
      </c>
      <c r="I303" s="99">
        <v>0</v>
      </c>
      <c r="J303" s="50" t="s">
        <v>1786</v>
      </c>
    </row>
    <row r="304" spans="2:10" ht="15" customHeight="1">
      <c r="B304" s="47" t="s">
        <v>436</v>
      </c>
      <c r="C304" s="50" t="s">
        <v>437</v>
      </c>
      <c r="D304" s="50" t="s">
        <v>2064</v>
      </c>
      <c r="E304" s="50" t="s">
        <v>2105</v>
      </c>
      <c r="F304" s="97">
        <v>0.01</v>
      </c>
      <c r="G304" s="98">
        <v>0.01</v>
      </c>
      <c r="H304" s="48">
        <v>0</v>
      </c>
      <c r="I304" s="99">
        <v>0</v>
      </c>
      <c r="J304" s="50" t="s">
        <v>1786</v>
      </c>
    </row>
    <row r="305" spans="2:10" ht="15" customHeight="1">
      <c r="B305" s="47" t="s">
        <v>1330</v>
      </c>
      <c r="C305" s="50" t="s">
        <v>1331</v>
      </c>
      <c r="D305" s="50" t="s">
        <v>2064</v>
      </c>
      <c r="E305" s="50" t="s">
        <v>1332</v>
      </c>
      <c r="F305" s="97">
        <v>27171.869950000004</v>
      </c>
      <c r="G305" s="98">
        <v>27171.869950000004</v>
      </c>
      <c r="H305" s="48">
        <v>0</v>
      </c>
      <c r="I305" s="99">
        <v>0</v>
      </c>
      <c r="J305" s="50" t="s">
        <v>1786</v>
      </c>
    </row>
    <row r="306" spans="2:10" ht="15" customHeight="1">
      <c r="B306" s="47" t="s">
        <v>438</v>
      </c>
      <c r="C306" s="50" t="s">
        <v>439</v>
      </c>
      <c r="D306" s="50" t="s">
        <v>2064</v>
      </c>
      <c r="E306" s="50" t="s">
        <v>2106</v>
      </c>
      <c r="F306" s="97">
        <v>6366.8388118414805</v>
      </c>
      <c r="G306" s="98">
        <v>6366.8388118414805</v>
      </c>
      <c r="H306" s="48">
        <v>0</v>
      </c>
      <c r="I306" s="99">
        <v>0</v>
      </c>
      <c r="J306" s="50" t="s">
        <v>1786</v>
      </c>
    </row>
    <row r="307" spans="2:10" ht="15" customHeight="1">
      <c r="B307" s="47" t="s">
        <v>1327</v>
      </c>
      <c r="C307" s="50" t="s">
        <v>1328</v>
      </c>
      <c r="D307" s="50" t="s">
        <v>2064</v>
      </c>
      <c r="E307" s="50" t="s">
        <v>1329</v>
      </c>
      <c r="F307" s="97">
        <v>122675.89120000003</v>
      </c>
      <c r="G307" s="98">
        <v>122675.89120000003</v>
      </c>
      <c r="H307" s="48">
        <v>0</v>
      </c>
      <c r="I307" s="99">
        <v>0</v>
      </c>
      <c r="J307" s="50" t="s">
        <v>1786</v>
      </c>
    </row>
    <row r="308" spans="2:10" ht="15" customHeight="1">
      <c r="B308" s="47" t="s">
        <v>1273</v>
      </c>
      <c r="C308" s="50" t="s">
        <v>1274</v>
      </c>
      <c r="D308" s="50" t="s">
        <v>2107</v>
      </c>
      <c r="E308" s="50" t="s">
        <v>30</v>
      </c>
      <c r="F308" s="97">
        <v>72450.249434757628</v>
      </c>
      <c r="G308" s="98">
        <v>72450.249434757628</v>
      </c>
      <c r="H308" s="48">
        <v>0</v>
      </c>
      <c r="I308" s="99">
        <v>0</v>
      </c>
      <c r="J308" s="50" t="s">
        <v>1786</v>
      </c>
    </row>
    <row r="309" spans="2:10" ht="15" customHeight="1">
      <c r="B309" s="47" t="s">
        <v>1905</v>
      </c>
      <c r="C309" s="50" t="s">
        <v>1906</v>
      </c>
      <c r="D309" s="50" t="s">
        <v>2107</v>
      </c>
      <c r="E309" s="50" t="s">
        <v>30</v>
      </c>
      <c r="F309" s="97">
        <v>51213.876043577045</v>
      </c>
      <c r="G309" s="98">
        <v>51213.876043577045</v>
      </c>
      <c r="H309" s="48">
        <v>0</v>
      </c>
      <c r="I309" s="99">
        <v>0</v>
      </c>
      <c r="J309" s="50" t="s">
        <v>1786</v>
      </c>
    </row>
    <row r="310" spans="2:10" ht="15" customHeight="1">
      <c r="B310" s="47" t="s">
        <v>440</v>
      </c>
      <c r="C310" s="50" t="s">
        <v>441</v>
      </c>
      <c r="D310" s="50" t="s">
        <v>2064</v>
      </c>
      <c r="E310" s="50" t="s">
        <v>2108</v>
      </c>
      <c r="F310" s="97">
        <v>0.01</v>
      </c>
      <c r="G310" s="98">
        <v>0.01</v>
      </c>
      <c r="H310" s="48">
        <v>0</v>
      </c>
      <c r="I310" s="99">
        <v>0</v>
      </c>
      <c r="J310" s="50" t="s">
        <v>1786</v>
      </c>
    </row>
    <row r="311" spans="2:10" ht="15" customHeight="1">
      <c r="B311" s="47" t="s">
        <v>442</v>
      </c>
      <c r="C311" s="50" t="s">
        <v>443</v>
      </c>
      <c r="D311" s="50" t="s">
        <v>2066</v>
      </c>
      <c r="E311" s="50" t="s">
        <v>2109</v>
      </c>
      <c r="F311" s="97">
        <v>28.77554993021505</v>
      </c>
      <c r="G311" s="98">
        <v>28.776049930215052</v>
      </c>
      <c r="H311" s="48">
        <v>17.649999999999999</v>
      </c>
      <c r="I311" s="99">
        <v>2652</v>
      </c>
      <c r="J311" s="50" t="s">
        <v>19</v>
      </c>
    </row>
    <row r="312" spans="2:10" ht="15" customHeight="1">
      <c r="B312" s="47" t="s">
        <v>1633</v>
      </c>
      <c r="C312" s="50" t="s">
        <v>1634</v>
      </c>
      <c r="D312" s="50" t="s">
        <v>2066</v>
      </c>
      <c r="E312" s="50" t="s">
        <v>2109</v>
      </c>
      <c r="F312" s="97">
        <v>98.033697290973635</v>
      </c>
      <c r="G312" s="98">
        <v>98.69739729097364</v>
      </c>
      <c r="H312" s="48">
        <v>18.440000000000001</v>
      </c>
      <c r="I312" s="99">
        <v>350</v>
      </c>
      <c r="J312" s="50" t="s">
        <v>19</v>
      </c>
    </row>
    <row r="313" spans="2:10" ht="15" customHeight="1">
      <c r="B313" s="47" t="s">
        <v>1635</v>
      </c>
      <c r="C313" s="50" t="s">
        <v>1636</v>
      </c>
      <c r="D313" s="50" t="s">
        <v>2066</v>
      </c>
      <c r="E313" s="50" t="s">
        <v>2109</v>
      </c>
      <c r="F313" s="97">
        <v>96.439254925669076</v>
      </c>
      <c r="G313" s="98">
        <v>97.105054925669066</v>
      </c>
      <c r="H313" s="48">
        <v>18.420000000000002</v>
      </c>
      <c r="I313" s="99">
        <v>715</v>
      </c>
      <c r="J313" s="50" t="s">
        <v>19</v>
      </c>
    </row>
    <row r="314" spans="2:10" ht="15" customHeight="1">
      <c r="B314" s="47" t="s">
        <v>1737</v>
      </c>
      <c r="C314" s="50" t="s">
        <v>1738</v>
      </c>
      <c r="D314" s="50" t="s">
        <v>2066</v>
      </c>
      <c r="E314" s="50" t="s">
        <v>1739</v>
      </c>
      <c r="F314" s="97">
        <v>98.121687241671907</v>
      </c>
      <c r="G314" s="98">
        <v>104.39878724167191</v>
      </c>
      <c r="H314" s="48">
        <v>19.09</v>
      </c>
      <c r="I314" s="99">
        <v>409</v>
      </c>
      <c r="J314" s="50" t="s">
        <v>19</v>
      </c>
    </row>
    <row r="315" spans="2:10" ht="15" customHeight="1">
      <c r="B315" s="47" t="s">
        <v>1740</v>
      </c>
      <c r="C315" s="50" t="s">
        <v>1741</v>
      </c>
      <c r="D315" s="50" t="s">
        <v>2066</v>
      </c>
      <c r="E315" s="50" t="s">
        <v>1739</v>
      </c>
      <c r="F315" s="97">
        <v>101.75106604127703</v>
      </c>
      <c r="G315" s="98">
        <v>104.48026604127702</v>
      </c>
      <c r="H315" s="48">
        <v>5.87</v>
      </c>
      <c r="I315" s="99">
        <v>409</v>
      </c>
      <c r="J315" s="50" t="s">
        <v>19</v>
      </c>
    </row>
    <row r="316" spans="2:10" ht="15" customHeight="1">
      <c r="B316" s="47" t="s">
        <v>1365</v>
      </c>
      <c r="C316" s="50" t="s">
        <v>1366</v>
      </c>
      <c r="D316" s="50" t="s">
        <v>2064</v>
      </c>
      <c r="E316" s="50" t="s">
        <v>1367</v>
      </c>
      <c r="F316" s="97">
        <v>75183.673050000012</v>
      </c>
      <c r="G316" s="98">
        <v>75183.673050000012</v>
      </c>
      <c r="H316" s="48">
        <v>0</v>
      </c>
      <c r="I316" s="99">
        <v>0</v>
      </c>
      <c r="J316" s="50" t="s">
        <v>1786</v>
      </c>
    </row>
    <row r="317" spans="2:10" ht="15" customHeight="1">
      <c r="B317" s="47" t="s">
        <v>1924</v>
      </c>
      <c r="C317" s="50" t="s">
        <v>1310</v>
      </c>
      <c r="D317" s="50" t="s">
        <v>2110</v>
      </c>
      <c r="E317" s="50" t="s">
        <v>1311</v>
      </c>
      <c r="F317" s="97">
        <v>49295.958650000008</v>
      </c>
      <c r="G317" s="98">
        <v>49295.958650000008</v>
      </c>
      <c r="H317" s="48">
        <v>0</v>
      </c>
      <c r="I317" s="99">
        <v>0</v>
      </c>
      <c r="J317" s="50" t="s">
        <v>1786</v>
      </c>
    </row>
    <row r="318" spans="2:10" ht="15" customHeight="1">
      <c r="B318" s="47" t="s">
        <v>1437</v>
      </c>
      <c r="C318" s="50" t="s">
        <v>1438</v>
      </c>
      <c r="D318" s="50" t="s">
        <v>2110</v>
      </c>
      <c r="E318" s="50" t="s">
        <v>1439</v>
      </c>
      <c r="F318" s="97">
        <v>10620.531750000002</v>
      </c>
      <c r="G318" s="98">
        <v>10620.531750000002</v>
      </c>
      <c r="H318" s="48">
        <v>0</v>
      </c>
      <c r="I318" s="99">
        <v>0</v>
      </c>
      <c r="J318" s="50" t="s">
        <v>1786</v>
      </c>
    </row>
    <row r="319" spans="2:10" ht="15" customHeight="1">
      <c r="B319" s="47" t="s">
        <v>1135</v>
      </c>
      <c r="C319" s="50" t="s">
        <v>1136</v>
      </c>
      <c r="D319" s="50" t="s">
        <v>2066</v>
      </c>
      <c r="E319" s="50" t="s">
        <v>2111</v>
      </c>
      <c r="F319" s="97">
        <v>96.210011550174457</v>
      </c>
      <c r="G319" s="98">
        <v>103.01831155017446</v>
      </c>
      <c r="H319" s="48">
        <v>25.25</v>
      </c>
      <c r="I319" s="99">
        <v>426</v>
      </c>
      <c r="J319" s="50" t="s">
        <v>19</v>
      </c>
    </row>
    <row r="320" spans="2:10" ht="15" customHeight="1">
      <c r="B320" s="47" t="s">
        <v>1280</v>
      </c>
      <c r="C320" s="50" t="s">
        <v>1281</v>
      </c>
      <c r="D320" s="50" t="s">
        <v>2110</v>
      </c>
      <c r="E320" s="50" t="s">
        <v>1282</v>
      </c>
      <c r="F320" s="97">
        <v>18260.853450000002</v>
      </c>
      <c r="G320" s="98">
        <v>18260.853450000002</v>
      </c>
      <c r="H320" s="48">
        <v>0</v>
      </c>
      <c r="I320" s="99">
        <v>0</v>
      </c>
      <c r="J320" s="50" t="s">
        <v>1786</v>
      </c>
    </row>
    <row r="321" spans="2:10" ht="15" customHeight="1">
      <c r="B321" s="47" t="s">
        <v>444</v>
      </c>
      <c r="C321" s="50" t="s">
        <v>445</v>
      </c>
      <c r="D321" s="50" t="s">
        <v>2066</v>
      </c>
      <c r="E321" s="50" t="s">
        <v>2112</v>
      </c>
      <c r="F321" s="97">
        <v>91.256689120329938</v>
      </c>
      <c r="G321" s="98">
        <v>92.167789120329942</v>
      </c>
      <c r="H321" s="48">
        <v>24.82</v>
      </c>
      <c r="I321" s="99">
        <v>1064</v>
      </c>
      <c r="J321" s="50" t="s">
        <v>19</v>
      </c>
    </row>
    <row r="322" spans="2:10" ht="15" customHeight="1">
      <c r="B322" s="47" t="s">
        <v>446</v>
      </c>
      <c r="C322" s="50" t="s">
        <v>447</v>
      </c>
      <c r="D322" s="50" t="s">
        <v>2066</v>
      </c>
      <c r="E322" s="50" t="s">
        <v>33</v>
      </c>
      <c r="F322" s="97">
        <v>70.584090448625915</v>
      </c>
      <c r="G322" s="98">
        <v>71.177890448625902</v>
      </c>
      <c r="H322" s="48">
        <v>19.05</v>
      </c>
      <c r="I322" s="99">
        <v>2501</v>
      </c>
      <c r="J322" s="50" t="s">
        <v>19</v>
      </c>
    </row>
    <row r="323" spans="2:10" ht="15" customHeight="1">
      <c r="B323" s="47" t="s">
        <v>448</v>
      </c>
      <c r="C323" s="50" t="s">
        <v>449</v>
      </c>
      <c r="D323" s="50" t="s">
        <v>2066</v>
      </c>
      <c r="E323" s="50" t="s">
        <v>33</v>
      </c>
      <c r="F323" s="97">
        <v>75.438535561733389</v>
      </c>
      <c r="G323" s="98">
        <v>76.001035561733389</v>
      </c>
      <c r="H323" s="48">
        <v>19.14</v>
      </c>
      <c r="I323" s="99">
        <v>1782</v>
      </c>
      <c r="J323" s="50" t="s">
        <v>19</v>
      </c>
    </row>
    <row r="324" spans="2:10" ht="15" customHeight="1">
      <c r="B324" s="47" t="s">
        <v>450</v>
      </c>
      <c r="C324" s="50" t="s">
        <v>451</v>
      </c>
      <c r="D324" s="50" t="s">
        <v>2066</v>
      </c>
      <c r="E324" s="50" t="s">
        <v>33</v>
      </c>
      <c r="F324" s="97">
        <v>81.876087472815286</v>
      </c>
      <c r="G324" s="98">
        <v>82.395487472815276</v>
      </c>
      <c r="H324" s="48">
        <v>19.329999999999998</v>
      </c>
      <c r="I324" s="99">
        <v>1063</v>
      </c>
      <c r="J324" s="50" t="s">
        <v>19</v>
      </c>
    </row>
    <row r="325" spans="2:10" ht="15" customHeight="1">
      <c r="B325" s="47" t="s">
        <v>452</v>
      </c>
      <c r="C325" s="50" t="s">
        <v>453</v>
      </c>
      <c r="D325" s="50" t="s">
        <v>2066</v>
      </c>
      <c r="E325" s="50" t="s">
        <v>33</v>
      </c>
      <c r="F325" s="97">
        <v>76.916905911265772</v>
      </c>
      <c r="G325" s="98">
        <v>79.911305911265771</v>
      </c>
      <c r="H325" s="48">
        <v>19.190000000000001</v>
      </c>
      <c r="I325" s="99">
        <v>1522</v>
      </c>
      <c r="J325" s="50" t="s">
        <v>19</v>
      </c>
    </row>
    <row r="326" spans="2:10" ht="15" customHeight="1">
      <c r="B326" s="47" t="s">
        <v>1096</v>
      </c>
      <c r="C326" s="50" t="s">
        <v>1097</v>
      </c>
      <c r="D326" s="50" t="s">
        <v>2066</v>
      </c>
      <c r="E326" s="50" t="s">
        <v>33</v>
      </c>
      <c r="F326" s="97">
        <v>79.422893000848546</v>
      </c>
      <c r="G326" s="98">
        <v>81.958993000848551</v>
      </c>
      <c r="H326" s="48">
        <v>17.52</v>
      </c>
      <c r="I326" s="99">
        <v>1717</v>
      </c>
      <c r="J326" s="50" t="s">
        <v>19</v>
      </c>
    </row>
    <row r="327" spans="2:10" ht="15" customHeight="1">
      <c r="B327" s="47" t="s">
        <v>454</v>
      </c>
      <c r="C327" s="50" t="s">
        <v>455</v>
      </c>
      <c r="D327" s="50" t="s">
        <v>2066</v>
      </c>
      <c r="E327" s="50" t="s">
        <v>33</v>
      </c>
      <c r="F327" s="97">
        <v>93.516002413444184</v>
      </c>
      <c r="G327" s="98">
        <v>95.821602413444182</v>
      </c>
      <c r="H327" s="48">
        <v>19.39</v>
      </c>
      <c r="I327" s="99">
        <v>277</v>
      </c>
      <c r="J327" s="50" t="s">
        <v>19</v>
      </c>
    </row>
    <row r="328" spans="2:10" ht="15" customHeight="1">
      <c r="B328" s="47" t="s">
        <v>456</v>
      </c>
      <c r="C328" s="50" t="s">
        <v>457</v>
      </c>
      <c r="D328" s="50" t="s">
        <v>2066</v>
      </c>
      <c r="E328" s="50" t="s">
        <v>33</v>
      </c>
      <c r="F328" s="97">
        <v>8.679043151626324</v>
      </c>
      <c r="G328" s="98">
        <v>8.7432431516263254</v>
      </c>
      <c r="H328" s="48">
        <v>18.829999999999998</v>
      </c>
      <c r="I328" s="99">
        <v>5066</v>
      </c>
      <c r="J328" s="50" t="s">
        <v>19</v>
      </c>
    </row>
    <row r="329" spans="2:10" ht="15" customHeight="1">
      <c r="B329" s="47" t="s">
        <v>458</v>
      </c>
      <c r="C329" s="50" t="s">
        <v>459</v>
      </c>
      <c r="D329" s="50" t="s">
        <v>2066</v>
      </c>
      <c r="E329" s="50" t="s">
        <v>33</v>
      </c>
      <c r="F329" s="97">
        <v>7.8742417695164173</v>
      </c>
      <c r="G329" s="98">
        <v>7.9229417695164175</v>
      </c>
      <c r="H329" s="48">
        <v>18.82</v>
      </c>
      <c r="I329" s="99">
        <v>5283</v>
      </c>
      <c r="J329" s="50" t="s">
        <v>19</v>
      </c>
    </row>
    <row r="330" spans="2:10" ht="15" customHeight="1">
      <c r="B330" s="47" t="s">
        <v>460</v>
      </c>
      <c r="C330" s="50" t="s">
        <v>461</v>
      </c>
      <c r="D330" s="50" t="s">
        <v>2066</v>
      </c>
      <c r="E330" s="50" t="s">
        <v>33</v>
      </c>
      <c r="F330" s="97">
        <v>76.334083186926151</v>
      </c>
      <c r="G330" s="98">
        <v>79.349683186926143</v>
      </c>
      <c r="H330" s="48">
        <v>19.12</v>
      </c>
      <c r="I330" s="99">
        <v>1888</v>
      </c>
      <c r="J330" s="50" t="s">
        <v>19</v>
      </c>
    </row>
    <row r="331" spans="2:10" ht="15" customHeight="1">
      <c r="B331" s="47" t="s">
        <v>462</v>
      </c>
      <c r="C331" s="50" t="s">
        <v>463</v>
      </c>
      <c r="D331" s="50" t="s">
        <v>2066</v>
      </c>
      <c r="E331" s="50" t="s">
        <v>33</v>
      </c>
      <c r="F331" s="97">
        <v>86.581040300777104</v>
      </c>
      <c r="G331" s="98">
        <v>89.596640300777096</v>
      </c>
      <c r="H331" s="48">
        <v>19.420000000000002</v>
      </c>
      <c r="I331" s="99">
        <v>808</v>
      </c>
      <c r="J331" s="50" t="s">
        <v>19</v>
      </c>
    </row>
    <row r="332" spans="2:10" ht="15" customHeight="1">
      <c r="B332" s="47" t="s">
        <v>464</v>
      </c>
      <c r="C332" s="50" t="s">
        <v>465</v>
      </c>
      <c r="D332" s="50" t="s">
        <v>2066</v>
      </c>
      <c r="E332" s="50" t="s">
        <v>33</v>
      </c>
      <c r="F332" s="97">
        <v>56.614092104366215</v>
      </c>
      <c r="G332" s="98">
        <v>62.806892104366213</v>
      </c>
      <c r="H332" s="48">
        <v>19.96</v>
      </c>
      <c r="I332" s="99">
        <v>2206</v>
      </c>
      <c r="J332" s="50" t="s">
        <v>19</v>
      </c>
    </row>
    <row r="333" spans="2:10" ht="15" customHeight="1">
      <c r="B333" s="47" t="s">
        <v>466</v>
      </c>
      <c r="C333" s="50" t="s">
        <v>467</v>
      </c>
      <c r="D333" s="50" t="s">
        <v>2066</v>
      </c>
      <c r="E333" s="50" t="s">
        <v>33</v>
      </c>
      <c r="F333" s="97">
        <v>22.517255007096402</v>
      </c>
      <c r="G333" s="98">
        <v>22.865855007096403</v>
      </c>
      <c r="H333" s="48">
        <v>18.88</v>
      </c>
      <c r="I333" s="99">
        <v>3154</v>
      </c>
      <c r="J333" s="50" t="s">
        <v>19</v>
      </c>
    </row>
    <row r="334" spans="2:10" ht="15" customHeight="1">
      <c r="B334" s="47" t="s">
        <v>468</v>
      </c>
      <c r="C334" s="50" t="s">
        <v>469</v>
      </c>
      <c r="D334" s="50" t="s">
        <v>2066</v>
      </c>
      <c r="E334" s="50" t="s">
        <v>33</v>
      </c>
      <c r="F334" s="97">
        <v>20.252954535150479</v>
      </c>
      <c r="G334" s="98">
        <v>20.539054535150477</v>
      </c>
      <c r="H334" s="48">
        <v>19.809999999999999</v>
      </c>
      <c r="I334" s="99">
        <v>3394</v>
      </c>
      <c r="J334" s="50" t="s">
        <v>19</v>
      </c>
    </row>
    <row r="335" spans="2:10" ht="15" customHeight="1">
      <c r="B335" s="47" t="s">
        <v>470</v>
      </c>
      <c r="C335" s="50" t="s">
        <v>471</v>
      </c>
      <c r="D335" s="50" t="s">
        <v>2066</v>
      </c>
      <c r="E335" s="50" t="s">
        <v>33</v>
      </c>
      <c r="F335" s="97">
        <v>96.581536360567654</v>
      </c>
      <c r="G335" s="98">
        <v>100.70373636056766</v>
      </c>
      <c r="H335" s="48">
        <v>19.29</v>
      </c>
      <c r="I335" s="99">
        <v>254</v>
      </c>
      <c r="J335" s="50" t="s">
        <v>19</v>
      </c>
    </row>
    <row r="336" spans="2:10" ht="15" customHeight="1">
      <c r="B336" s="47" t="s">
        <v>1518</v>
      </c>
      <c r="C336" s="50" t="s">
        <v>1519</v>
      </c>
      <c r="D336" s="50" t="s">
        <v>2066</v>
      </c>
      <c r="E336" s="50" t="s">
        <v>33</v>
      </c>
      <c r="F336" s="97">
        <v>100</v>
      </c>
      <c r="G336" s="98">
        <v>104.0034</v>
      </c>
      <c r="H336" s="48">
        <v>17.47</v>
      </c>
      <c r="I336" s="99">
        <v>199</v>
      </c>
      <c r="J336" s="50" t="s">
        <v>19</v>
      </c>
    </row>
    <row r="337" spans="2:10" ht="15" customHeight="1">
      <c r="B337" s="47" t="s">
        <v>1687</v>
      </c>
      <c r="C337" s="50" t="s">
        <v>1688</v>
      </c>
      <c r="D337" s="50" t="s">
        <v>2064</v>
      </c>
      <c r="E337" s="50" t="s">
        <v>33</v>
      </c>
      <c r="F337" s="97">
        <v>1015.5</v>
      </c>
      <c r="G337" s="98">
        <v>1015.5</v>
      </c>
      <c r="H337" s="48">
        <v>0</v>
      </c>
      <c r="I337" s="99">
        <v>2959</v>
      </c>
      <c r="J337" s="50" t="s">
        <v>1786</v>
      </c>
    </row>
    <row r="338" spans="2:10" ht="15" customHeight="1">
      <c r="B338" s="47" t="s">
        <v>1812</v>
      </c>
      <c r="C338" s="50" t="s">
        <v>1813</v>
      </c>
      <c r="D338" s="50" t="s">
        <v>2066</v>
      </c>
      <c r="E338" s="50" t="s">
        <v>33</v>
      </c>
      <c r="F338" s="97">
        <v>46.83592921955114</v>
      </c>
      <c r="G338" s="98">
        <v>51.08592921955114</v>
      </c>
      <c r="H338" s="48">
        <v>18.89</v>
      </c>
      <c r="I338" s="99">
        <v>2955</v>
      </c>
      <c r="J338" s="50" t="s">
        <v>19</v>
      </c>
    </row>
    <row r="339" spans="2:10" ht="15" customHeight="1">
      <c r="B339" s="47" t="s">
        <v>472</v>
      </c>
      <c r="C339" s="50" t="s">
        <v>473</v>
      </c>
      <c r="D339" s="50" t="s">
        <v>2066</v>
      </c>
      <c r="E339" s="50" t="s">
        <v>33</v>
      </c>
      <c r="F339" s="97">
        <v>95.683507673450279</v>
      </c>
      <c r="G339" s="98">
        <v>97.239107673450292</v>
      </c>
      <c r="H339" s="48">
        <v>19.45</v>
      </c>
      <c r="I339" s="99">
        <v>320</v>
      </c>
      <c r="J339" s="50" t="s">
        <v>19</v>
      </c>
    </row>
    <row r="340" spans="2:10" ht="15" customHeight="1">
      <c r="B340" s="47" t="s">
        <v>474</v>
      </c>
      <c r="C340" s="50" t="s">
        <v>475</v>
      </c>
      <c r="D340" s="50" t="s">
        <v>2066</v>
      </c>
      <c r="E340" s="50" t="s">
        <v>33</v>
      </c>
      <c r="F340" s="97">
        <v>85.838449900552931</v>
      </c>
      <c r="G340" s="98">
        <v>87.630149900552937</v>
      </c>
      <c r="H340" s="48">
        <v>19.09</v>
      </c>
      <c r="I340" s="99">
        <v>2117</v>
      </c>
      <c r="J340" s="50" t="s">
        <v>19</v>
      </c>
    </row>
    <row r="341" spans="2:10" ht="15" customHeight="1">
      <c r="B341" s="47" t="s">
        <v>34</v>
      </c>
      <c r="C341" s="50" t="s">
        <v>35</v>
      </c>
      <c r="D341" s="50" t="s">
        <v>2066</v>
      </c>
      <c r="E341" s="50" t="s">
        <v>33</v>
      </c>
      <c r="F341" s="97">
        <v>95.048092532988179</v>
      </c>
      <c r="G341" s="98">
        <v>98.850192532988189</v>
      </c>
      <c r="H341" s="48">
        <v>19.29</v>
      </c>
      <c r="I341" s="99">
        <v>235</v>
      </c>
      <c r="J341" s="50" t="s">
        <v>19</v>
      </c>
    </row>
    <row r="342" spans="2:10" ht="15" customHeight="1">
      <c r="B342" s="47" t="s">
        <v>476</v>
      </c>
      <c r="C342" s="50" t="s">
        <v>477</v>
      </c>
      <c r="D342" s="50" t="s">
        <v>2066</v>
      </c>
      <c r="E342" s="50" t="s">
        <v>33</v>
      </c>
      <c r="F342" s="97">
        <v>91.439607624012723</v>
      </c>
      <c r="G342" s="98">
        <v>92.46390762401272</v>
      </c>
      <c r="H342" s="48">
        <v>4.6900000000000004</v>
      </c>
      <c r="I342" s="99">
        <v>2035</v>
      </c>
      <c r="J342" s="50" t="s">
        <v>19</v>
      </c>
    </row>
    <row r="343" spans="2:10" ht="15" customHeight="1">
      <c r="B343" s="47" t="s">
        <v>1194</v>
      </c>
      <c r="C343" s="50" t="s">
        <v>1195</v>
      </c>
      <c r="D343" s="50" t="s">
        <v>2066</v>
      </c>
      <c r="E343" s="50" t="s">
        <v>33</v>
      </c>
      <c r="F343" s="97">
        <v>101.37740871362796</v>
      </c>
      <c r="G343" s="98">
        <v>103.60800871362795</v>
      </c>
      <c r="H343" s="48">
        <v>4.59</v>
      </c>
      <c r="I343" s="99">
        <v>574</v>
      </c>
      <c r="J343" s="50" t="s">
        <v>19</v>
      </c>
    </row>
    <row r="344" spans="2:10" ht="15" customHeight="1">
      <c r="B344" s="47" t="s">
        <v>1196</v>
      </c>
      <c r="C344" s="50" t="s">
        <v>1197</v>
      </c>
      <c r="D344" s="50" t="s">
        <v>2066</v>
      </c>
      <c r="E344" s="50" t="s">
        <v>33</v>
      </c>
      <c r="F344" s="97">
        <v>93.847951167437657</v>
      </c>
      <c r="G344" s="98">
        <v>99.120151167437655</v>
      </c>
      <c r="H344" s="48">
        <v>17.559999999999999</v>
      </c>
      <c r="I344" s="99">
        <v>574</v>
      </c>
      <c r="J344" s="50" t="s">
        <v>19</v>
      </c>
    </row>
    <row r="345" spans="2:10" ht="15" customHeight="1">
      <c r="B345" s="47" t="s">
        <v>1718</v>
      </c>
      <c r="C345" s="50" t="s">
        <v>1719</v>
      </c>
      <c r="D345" s="50" t="s">
        <v>2066</v>
      </c>
      <c r="E345" s="50" t="s">
        <v>33</v>
      </c>
      <c r="F345" s="97">
        <v>102.59986497939124</v>
      </c>
      <c r="G345" s="98">
        <v>104.61236497939124</v>
      </c>
      <c r="H345" s="48">
        <v>4.55</v>
      </c>
      <c r="I345" s="99">
        <v>1482</v>
      </c>
      <c r="J345" s="50" t="s">
        <v>19</v>
      </c>
    </row>
    <row r="346" spans="2:10" ht="15" customHeight="1">
      <c r="B346" s="47" t="s">
        <v>1720</v>
      </c>
      <c r="C346" s="50" t="s">
        <v>1721</v>
      </c>
      <c r="D346" s="50" t="s">
        <v>2066</v>
      </c>
      <c r="E346" s="50" t="s">
        <v>33</v>
      </c>
      <c r="F346" s="97">
        <v>88.613</v>
      </c>
      <c r="G346" s="98">
        <v>92.659800000000004</v>
      </c>
      <c r="H346" s="48">
        <v>19.04</v>
      </c>
      <c r="I346" s="99">
        <v>972</v>
      </c>
      <c r="J346" s="50" t="s">
        <v>19</v>
      </c>
    </row>
    <row r="347" spans="2:10" ht="15" customHeight="1">
      <c r="B347" s="47" t="s">
        <v>36</v>
      </c>
      <c r="C347" s="50" t="s">
        <v>37</v>
      </c>
      <c r="D347" s="50" t="s">
        <v>2066</v>
      </c>
      <c r="E347" s="50" t="s">
        <v>33</v>
      </c>
      <c r="F347" s="97">
        <v>100.57416842655755</v>
      </c>
      <c r="G347" s="98">
        <v>103.37416842655755</v>
      </c>
      <c r="H347" s="48">
        <v>4.8899999999999997</v>
      </c>
      <c r="I347" s="99">
        <v>192</v>
      </c>
      <c r="J347" s="50" t="s">
        <v>19</v>
      </c>
    </row>
    <row r="348" spans="2:10" ht="15" customHeight="1">
      <c r="B348" s="47" t="s">
        <v>478</v>
      </c>
      <c r="C348" s="50" t="s">
        <v>479</v>
      </c>
      <c r="D348" s="50" t="s">
        <v>2064</v>
      </c>
      <c r="E348" s="50" t="s">
        <v>2113</v>
      </c>
      <c r="F348" s="97">
        <v>0.01</v>
      </c>
      <c r="G348" s="98">
        <v>0.01</v>
      </c>
      <c r="H348" s="48">
        <v>0</v>
      </c>
      <c r="I348" s="99">
        <v>0</v>
      </c>
      <c r="J348" s="50" t="s">
        <v>1786</v>
      </c>
    </row>
    <row r="349" spans="2:10" ht="15" customHeight="1">
      <c r="B349" s="47" t="s">
        <v>1816</v>
      </c>
      <c r="C349" s="50" t="s">
        <v>1817</v>
      </c>
      <c r="D349" s="50" t="s">
        <v>2066</v>
      </c>
      <c r="E349" s="50" t="s">
        <v>1844</v>
      </c>
      <c r="F349" s="97">
        <v>104.23067750823719</v>
      </c>
      <c r="G349" s="98">
        <v>105.44597750823719</v>
      </c>
      <c r="H349" s="48">
        <v>5.01</v>
      </c>
      <c r="I349" s="99">
        <v>1370</v>
      </c>
      <c r="J349" s="50" t="s">
        <v>19</v>
      </c>
    </row>
    <row r="350" spans="2:10" ht="15" customHeight="1">
      <c r="B350" s="47" t="s">
        <v>480</v>
      </c>
      <c r="C350" s="50" t="s">
        <v>481</v>
      </c>
      <c r="D350" s="50" t="s">
        <v>2064</v>
      </c>
      <c r="E350" s="50" t="s">
        <v>2114</v>
      </c>
      <c r="F350" s="97">
        <v>294.35000000000002</v>
      </c>
      <c r="G350" s="98">
        <v>294.35000000000002</v>
      </c>
      <c r="H350" s="48">
        <v>0</v>
      </c>
      <c r="I350" s="99">
        <v>0</v>
      </c>
      <c r="J350" s="50" t="s">
        <v>1786</v>
      </c>
    </row>
    <row r="351" spans="2:10" ht="15" customHeight="1">
      <c r="B351" s="47" t="s">
        <v>482</v>
      </c>
      <c r="C351" s="50" t="s">
        <v>483</v>
      </c>
      <c r="D351" s="50" t="s">
        <v>2066</v>
      </c>
      <c r="E351" s="50" t="s">
        <v>2115</v>
      </c>
      <c r="F351" s="97">
        <v>59.983239774569327</v>
      </c>
      <c r="G351" s="98">
        <v>61.254139774569325</v>
      </c>
      <c r="H351" s="48">
        <v>19.62</v>
      </c>
      <c r="I351" s="99">
        <v>1724</v>
      </c>
      <c r="J351" s="50" t="s">
        <v>19</v>
      </c>
    </row>
    <row r="352" spans="2:10" ht="15" customHeight="1">
      <c r="B352" s="47" t="s">
        <v>484</v>
      </c>
      <c r="C352" s="50" t="s">
        <v>485</v>
      </c>
      <c r="D352" s="50" t="s">
        <v>2066</v>
      </c>
      <c r="E352" s="50" t="s">
        <v>2115</v>
      </c>
      <c r="F352" s="97">
        <v>54.779310464934753</v>
      </c>
      <c r="G352" s="98">
        <v>55.230810464934756</v>
      </c>
      <c r="H352" s="48">
        <v>19.55</v>
      </c>
      <c r="I352" s="99">
        <v>2133</v>
      </c>
      <c r="J352" s="50" t="s">
        <v>19</v>
      </c>
    </row>
    <row r="353" spans="2:10" ht="15" customHeight="1">
      <c r="B353" s="47" t="s">
        <v>486</v>
      </c>
      <c r="C353" s="50" t="s">
        <v>487</v>
      </c>
      <c r="D353" s="50" t="s">
        <v>2066</v>
      </c>
      <c r="E353" s="50" t="s">
        <v>2115</v>
      </c>
      <c r="F353" s="97">
        <v>50.269673763406153</v>
      </c>
      <c r="G353" s="98">
        <v>55.604073763406156</v>
      </c>
      <c r="H353" s="48">
        <v>19.510000000000002</v>
      </c>
      <c r="I353" s="99">
        <v>2561</v>
      </c>
      <c r="J353" s="50" t="s">
        <v>19</v>
      </c>
    </row>
    <row r="354" spans="2:10" ht="15" customHeight="1">
      <c r="B354" s="47" t="s">
        <v>488</v>
      </c>
      <c r="C354" s="50" t="s">
        <v>489</v>
      </c>
      <c r="D354" s="50" t="s">
        <v>2066</v>
      </c>
      <c r="E354" s="50" t="s">
        <v>2115</v>
      </c>
      <c r="F354" s="97">
        <v>50.269673763406153</v>
      </c>
      <c r="G354" s="98">
        <v>55.604073763406156</v>
      </c>
      <c r="H354" s="48">
        <v>19.510000000000002</v>
      </c>
      <c r="I354" s="99">
        <v>2561</v>
      </c>
      <c r="J354" s="50" t="s">
        <v>19</v>
      </c>
    </row>
    <row r="355" spans="2:10" ht="15" customHeight="1">
      <c r="B355" s="47" t="s">
        <v>490</v>
      </c>
      <c r="C355" s="50" t="s">
        <v>491</v>
      </c>
      <c r="D355" s="50" t="s">
        <v>2066</v>
      </c>
      <c r="E355" s="50" t="s">
        <v>2062</v>
      </c>
      <c r="F355" s="97">
        <v>65.627045711141264</v>
      </c>
      <c r="G355" s="98">
        <v>67.57984571114126</v>
      </c>
      <c r="H355" s="48">
        <v>17.489999999999998</v>
      </c>
      <c r="I355" s="99">
        <v>2986</v>
      </c>
      <c r="J355" s="50" t="s">
        <v>19</v>
      </c>
    </row>
    <row r="356" spans="2:10" ht="15" customHeight="1">
      <c r="B356" s="47" t="s">
        <v>1245</v>
      </c>
      <c r="C356" s="50" t="s">
        <v>1246</v>
      </c>
      <c r="D356" s="50" t="s">
        <v>2066</v>
      </c>
      <c r="E356" s="50" t="s">
        <v>2062</v>
      </c>
      <c r="F356" s="97">
        <v>88.712747344215856</v>
      </c>
      <c r="G356" s="98">
        <v>92.750747344215853</v>
      </c>
      <c r="H356" s="48">
        <v>17.72</v>
      </c>
      <c r="I356" s="99">
        <v>1332</v>
      </c>
      <c r="J356" s="50" t="s">
        <v>19</v>
      </c>
    </row>
    <row r="357" spans="2:10" ht="15" customHeight="1">
      <c r="B357" s="47" t="s">
        <v>1772</v>
      </c>
      <c r="C357" s="50" t="s">
        <v>1774</v>
      </c>
      <c r="D357" s="50" t="s">
        <v>2066</v>
      </c>
      <c r="E357" s="50" t="s">
        <v>2062</v>
      </c>
      <c r="F357" s="97">
        <v>98.107243218511599</v>
      </c>
      <c r="G357" s="98">
        <v>102.08134321851161</v>
      </c>
      <c r="H357" s="48">
        <v>17.399999999999999</v>
      </c>
      <c r="I357" s="99">
        <v>197</v>
      </c>
      <c r="J357" s="50" t="s">
        <v>19</v>
      </c>
    </row>
    <row r="358" spans="2:10" ht="15" customHeight="1">
      <c r="B358" s="47" t="s">
        <v>1814</v>
      </c>
      <c r="C358" s="50" t="s">
        <v>1815</v>
      </c>
      <c r="D358" s="50" t="s">
        <v>2066</v>
      </c>
      <c r="E358" s="50" t="s">
        <v>2062</v>
      </c>
      <c r="F358" s="97">
        <v>98.688783936459757</v>
      </c>
      <c r="G358" s="98">
        <v>101.81378393645976</v>
      </c>
      <c r="H358" s="48">
        <v>17.28</v>
      </c>
      <c r="I358" s="99">
        <v>195</v>
      </c>
      <c r="J358" s="50" t="s">
        <v>19</v>
      </c>
    </row>
    <row r="359" spans="2:10" ht="15" customHeight="1">
      <c r="B359" s="47" t="s">
        <v>1930</v>
      </c>
      <c r="C359" s="50" t="s">
        <v>1931</v>
      </c>
      <c r="D359" s="50" t="s">
        <v>2066</v>
      </c>
      <c r="E359" s="50" t="s">
        <v>2062</v>
      </c>
      <c r="F359" s="97">
        <v>99.40287678602273</v>
      </c>
      <c r="G359" s="98">
        <v>106.67507678602273</v>
      </c>
      <c r="H359" s="48">
        <v>17.5</v>
      </c>
      <c r="I359" s="99">
        <v>296</v>
      </c>
      <c r="J359" s="50" t="s">
        <v>19</v>
      </c>
    </row>
    <row r="360" spans="2:10" ht="15" customHeight="1">
      <c r="B360" s="47" t="s">
        <v>1936</v>
      </c>
      <c r="C360" s="50" t="s">
        <v>1937</v>
      </c>
      <c r="D360" s="50" t="s">
        <v>2066</v>
      </c>
      <c r="E360" s="50" t="s">
        <v>2062</v>
      </c>
      <c r="F360" s="97">
        <v>99.402896750302475</v>
      </c>
      <c r="G360" s="98">
        <v>106.40759675030247</v>
      </c>
      <c r="H360" s="48">
        <v>17.739999999999998</v>
      </c>
      <c r="I360" s="99">
        <v>209</v>
      </c>
      <c r="J360" s="50" t="s">
        <v>19</v>
      </c>
    </row>
    <row r="361" spans="2:10" ht="15" customHeight="1">
      <c r="B361" s="47" t="s">
        <v>1964</v>
      </c>
      <c r="C361" s="50" t="s">
        <v>1965</v>
      </c>
      <c r="D361" s="50" t="s">
        <v>2066</v>
      </c>
      <c r="E361" s="50" t="s">
        <v>2062</v>
      </c>
      <c r="F361" s="97">
        <v>97.8857</v>
      </c>
      <c r="G361" s="98">
        <v>103.65989999999999</v>
      </c>
      <c r="H361" s="48">
        <v>17.5</v>
      </c>
      <c r="I361" s="99">
        <v>1677</v>
      </c>
      <c r="J361" s="50" t="s">
        <v>19</v>
      </c>
    </row>
    <row r="362" spans="2:10" ht="15" customHeight="1">
      <c r="B362" s="47" t="s">
        <v>2054</v>
      </c>
      <c r="C362" s="50" t="s">
        <v>2055</v>
      </c>
      <c r="D362" s="50" t="s">
        <v>2066</v>
      </c>
      <c r="E362" s="50" t="s">
        <v>2062</v>
      </c>
      <c r="F362" s="97">
        <v>99.649006377795416</v>
      </c>
      <c r="G362" s="98">
        <v>103.97540637779542</v>
      </c>
      <c r="H362" s="48">
        <v>17.53</v>
      </c>
      <c r="I362" s="99">
        <v>1711</v>
      </c>
      <c r="J362" s="50" t="s">
        <v>19</v>
      </c>
    </row>
    <row r="363" spans="2:10" ht="15" customHeight="1">
      <c r="B363" s="47" t="s">
        <v>2056</v>
      </c>
      <c r="C363" s="50" t="s">
        <v>2057</v>
      </c>
      <c r="D363" s="50" t="s">
        <v>2066</v>
      </c>
      <c r="E363" s="50" t="s">
        <v>2062</v>
      </c>
      <c r="F363" s="97">
        <v>99.649006377795416</v>
      </c>
      <c r="G363" s="98">
        <v>103.97540637779542</v>
      </c>
      <c r="H363" s="48">
        <v>17.53</v>
      </c>
      <c r="I363" s="99">
        <v>1711</v>
      </c>
      <c r="J363" s="50" t="s">
        <v>19</v>
      </c>
    </row>
    <row r="364" spans="2:10" ht="15" customHeight="1">
      <c r="B364" s="47" t="s">
        <v>1985</v>
      </c>
      <c r="C364" s="50" t="s">
        <v>1986</v>
      </c>
      <c r="D364" s="50" t="s">
        <v>2066</v>
      </c>
      <c r="E364" s="50" t="s">
        <v>2062</v>
      </c>
      <c r="F364" s="97">
        <v>98.622019120430565</v>
      </c>
      <c r="G364" s="98">
        <v>104.14161912043056</v>
      </c>
      <c r="H364" s="48">
        <v>18.71</v>
      </c>
      <c r="I364" s="99">
        <v>251</v>
      </c>
      <c r="J364" s="50" t="s">
        <v>19</v>
      </c>
    </row>
    <row r="365" spans="2:10" ht="15" customHeight="1">
      <c r="B365" s="47" t="s">
        <v>2308</v>
      </c>
      <c r="C365" s="50" t="s">
        <v>2309</v>
      </c>
      <c r="D365" s="50" t="s">
        <v>2066</v>
      </c>
      <c r="E365" s="50" t="s">
        <v>2062</v>
      </c>
      <c r="F365" s="97">
        <v>99.83463854597214</v>
      </c>
      <c r="G365" s="98">
        <v>102.35623854597213</v>
      </c>
      <c r="H365" s="48">
        <v>17.82</v>
      </c>
      <c r="I365" s="99">
        <v>318</v>
      </c>
      <c r="J365" s="50" t="s">
        <v>19</v>
      </c>
    </row>
    <row r="366" spans="2:10" ht="15" customHeight="1">
      <c r="B366" s="47" t="s">
        <v>492</v>
      </c>
      <c r="C366" s="50" t="s">
        <v>493</v>
      </c>
      <c r="D366" s="50" t="s">
        <v>2066</v>
      </c>
      <c r="E366" s="50" t="s">
        <v>2062</v>
      </c>
      <c r="F366" s="97">
        <v>79.078265801086957</v>
      </c>
      <c r="G366" s="98">
        <v>82.844965801086957</v>
      </c>
      <c r="H366" s="48">
        <v>17.62</v>
      </c>
      <c r="I366" s="99">
        <v>1860</v>
      </c>
      <c r="J366" s="50" t="s">
        <v>19</v>
      </c>
    </row>
    <row r="367" spans="2:10" ht="15" customHeight="1">
      <c r="B367" s="47" t="s">
        <v>1137</v>
      </c>
      <c r="C367" s="50" t="s">
        <v>1138</v>
      </c>
      <c r="D367" s="50" t="s">
        <v>2066</v>
      </c>
      <c r="E367" s="50" t="s">
        <v>2062</v>
      </c>
      <c r="F367" s="97">
        <v>88.755655161087233</v>
      </c>
      <c r="G367" s="98">
        <v>91.643455161087232</v>
      </c>
      <c r="H367" s="48">
        <v>17.54</v>
      </c>
      <c r="I367" s="99">
        <v>808</v>
      </c>
      <c r="J367" s="50" t="s">
        <v>19</v>
      </c>
    </row>
    <row r="368" spans="2:10" ht="15" customHeight="1">
      <c r="B368" s="47" t="s">
        <v>494</v>
      </c>
      <c r="C368" s="50" t="s">
        <v>495</v>
      </c>
      <c r="D368" s="50" t="s">
        <v>2066</v>
      </c>
      <c r="E368" s="50" t="s">
        <v>2062</v>
      </c>
      <c r="F368" s="51">
        <v>78.89611619168717</v>
      </c>
      <c r="G368" s="51">
        <v>81.783916191687169</v>
      </c>
      <c r="H368" s="51">
        <v>17.61</v>
      </c>
      <c r="I368" s="52">
        <v>1888</v>
      </c>
      <c r="J368" s="50" t="s">
        <v>19</v>
      </c>
    </row>
    <row r="369" spans="2:10" ht="15" customHeight="1">
      <c r="B369" s="47" t="s">
        <v>1161</v>
      </c>
      <c r="C369" s="50" t="s">
        <v>1162</v>
      </c>
      <c r="D369" s="50" t="s">
        <v>2066</v>
      </c>
      <c r="E369" s="50" t="s">
        <v>2062</v>
      </c>
      <c r="F369" s="51">
        <v>77.492538253086252</v>
      </c>
      <c r="G369" s="51">
        <v>82.748138253086253</v>
      </c>
      <c r="H369" s="51">
        <v>17.52</v>
      </c>
      <c r="I369" s="52">
        <v>1988</v>
      </c>
      <c r="J369" s="50" t="s">
        <v>19</v>
      </c>
    </row>
    <row r="370" spans="2:10" ht="15" customHeight="1">
      <c r="B370" s="47" t="s">
        <v>1177</v>
      </c>
      <c r="C370" s="50" t="s">
        <v>1178</v>
      </c>
      <c r="D370" s="50" t="s">
        <v>2066</v>
      </c>
      <c r="E370" s="50" t="s">
        <v>2062</v>
      </c>
      <c r="F370" s="51">
        <v>82.219964142008592</v>
      </c>
      <c r="G370" s="51">
        <v>84.664364142008594</v>
      </c>
      <c r="H370" s="51">
        <v>15.52</v>
      </c>
      <c r="I370" s="52">
        <v>2260</v>
      </c>
      <c r="J370" s="50" t="s">
        <v>19</v>
      </c>
    </row>
    <row r="371" spans="2:10" ht="15" customHeight="1">
      <c r="B371" s="47" t="s">
        <v>1098</v>
      </c>
      <c r="C371" s="50" t="s">
        <v>1099</v>
      </c>
      <c r="D371" s="50" t="s">
        <v>2066</v>
      </c>
      <c r="E371" s="50" t="s">
        <v>2062</v>
      </c>
      <c r="F371" s="51">
        <v>76.945532805956262</v>
      </c>
      <c r="G371" s="51">
        <v>85.070532805956262</v>
      </c>
      <c r="H371" s="51">
        <v>17.52</v>
      </c>
      <c r="I371" s="52">
        <v>4815</v>
      </c>
      <c r="J371" s="50" t="s">
        <v>19</v>
      </c>
    </row>
    <row r="372" spans="2:10" ht="15" customHeight="1">
      <c r="B372" s="47" t="s">
        <v>496</v>
      </c>
      <c r="C372" s="50" t="s">
        <v>497</v>
      </c>
      <c r="D372" s="50" t="s">
        <v>2066</v>
      </c>
      <c r="E372" s="50" t="s">
        <v>2116</v>
      </c>
      <c r="F372" s="51">
        <v>97.602185249899023</v>
      </c>
      <c r="G372" s="51">
        <v>102.29798524989903</v>
      </c>
      <c r="H372" s="51">
        <v>21.94</v>
      </c>
      <c r="I372" s="52">
        <v>79</v>
      </c>
      <c r="J372" s="50" t="s">
        <v>19</v>
      </c>
    </row>
    <row r="373" spans="2:10" ht="15" customHeight="1">
      <c r="B373" s="47" t="s">
        <v>498</v>
      </c>
      <c r="C373" s="50" t="s">
        <v>499</v>
      </c>
      <c r="D373" s="50" t="s">
        <v>2064</v>
      </c>
      <c r="E373" s="50" t="s">
        <v>2117</v>
      </c>
      <c r="F373" s="51">
        <v>50</v>
      </c>
      <c r="G373" s="51">
        <v>50</v>
      </c>
      <c r="H373" s="51">
        <v>0</v>
      </c>
      <c r="I373" s="52">
        <v>0</v>
      </c>
      <c r="J373" s="50" t="s">
        <v>1786</v>
      </c>
    </row>
    <row r="374" spans="2:10" ht="15" customHeight="1">
      <c r="B374" s="47" t="s">
        <v>1353</v>
      </c>
      <c r="C374" s="50" t="s">
        <v>1354</v>
      </c>
      <c r="D374" s="50" t="s">
        <v>2064</v>
      </c>
      <c r="E374" s="50" t="s">
        <v>1355</v>
      </c>
      <c r="F374" s="51">
        <v>229107.34930000003</v>
      </c>
      <c r="G374" s="51">
        <v>229107.34930000003</v>
      </c>
      <c r="H374" s="51">
        <v>0</v>
      </c>
      <c r="I374" s="52">
        <v>0</v>
      </c>
      <c r="J374" s="50" t="s">
        <v>1786</v>
      </c>
    </row>
    <row r="375" spans="2:10" ht="15" customHeight="1">
      <c r="B375" s="47" t="s">
        <v>500</v>
      </c>
      <c r="C375" s="50" t="s">
        <v>501</v>
      </c>
      <c r="D375" s="50" t="s">
        <v>2066</v>
      </c>
      <c r="E375" s="50" t="s">
        <v>40</v>
      </c>
      <c r="F375" s="51">
        <v>99.507027831218153</v>
      </c>
      <c r="G375" s="51">
        <v>104.00702783121815</v>
      </c>
      <c r="H375" s="51">
        <v>19.940000000000001</v>
      </c>
      <c r="I375" s="52">
        <v>18</v>
      </c>
      <c r="J375" s="50" t="s">
        <v>19</v>
      </c>
    </row>
    <row r="376" spans="2:10" ht="15" customHeight="1">
      <c r="B376" s="47" t="s">
        <v>502</v>
      </c>
      <c r="C376" s="50" t="s">
        <v>503</v>
      </c>
      <c r="D376" s="50" t="s">
        <v>2066</v>
      </c>
      <c r="E376" s="50" t="s">
        <v>40</v>
      </c>
      <c r="F376" s="51">
        <v>84.550582977591802</v>
      </c>
      <c r="G376" s="51">
        <v>85.750582977591804</v>
      </c>
      <c r="H376" s="51">
        <v>20.440000000000001</v>
      </c>
      <c r="I376" s="52">
        <v>864</v>
      </c>
      <c r="J376" s="50" t="s">
        <v>19</v>
      </c>
    </row>
    <row r="377" spans="2:10" ht="15" customHeight="1">
      <c r="B377" s="47" t="s">
        <v>504</v>
      </c>
      <c r="C377" s="50" t="s">
        <v>505</v>
      </c>
      <c r="D377" s="50" t="s">
        <v>2066</v>
      </c>
      <c r="E377" s="50" t="s">
        <v>40</v>
      </c>
      <c r="F377" s="51">
        <v>97.451868101085779</v>
      </c>
      <c r="G377" s="51">
        <v>99.702668101085777</v>
      </c>
      <c r="H377" s="51">
        <v>20.059999999999999</v>
      </c>
      <c r="I377" s="52">
        <v>106</v>
      </c>
      <c r="J377" s="50" t="s">
        <v>19</v>
      </c>
    </row>
    <row r="378" spans="2:10" ht="15" customHeight="1">
      <c r="B378" s="47" t="s">
        <v>506</v>
      </c>
      <c r="C378" s="50" t="s">
        <v>507</v>
      </c>
      <c r="D378" s="50" t="s">
        <v>2066</v>
      </c>
      <c r="E378" s="50" t="s">
        <v>40</v>
      </c>
      <c r="F378" s="51">
        <v>80.067828121808844</v>
      </c>
      <c r="G378" s="51">
        <v>83.965028121808842</v>
      </c>
      <c r="H378" s="51">
        <v>20.32</v>
      </c>
      <c r="I378" s="52">
        <v>1138</v>
      </c>
      <c r="J378" s="50" t="s">
        <v>19</v>
      </c>
    </row>
    <row r="379" spans="2:10" ht="15" customHeight="1">
      <c r="B379" s="47" t="s">
        <v>1889</v>
      </c>
      <c r="C379" s="50" t="s">
        <v>1890</v>
      </c>
      <c r="D379" s="50" t="s">
        <v>2066</v>
      </c>
      <c r="E379" s="50" t="s">
        <v>40</v>
      </c>
      <c r="F379" s="51">
        <v>99.075244599740543</v>
      </c>
      <c r="G379" s="51">
        <v>99.075244599740543</v>
      </c>
      <c r="H379" s="51">
        <v>4.54</v>
      </c>
      <c r="I379" s="52">
        <v>74</v>
      </c>
      <c r="J379" s="50" t="s">
        <v>19</v>
      </c>
    </row>
    <row r="380" spans="2:10" ht="15" customHeight="1">
      <c r="B380" s="47" t="s">
        <v>2347</v>
      </c>
      <c r="C380" s="50" t="s">
        <v>2348</v>
      </c>
      <c r="D380" s="50" t="s">
        <v>2066</v>
      </c>
      <c r="E380" s="50" t="s">
        <v>2349</v>
      </c>
      <c r="F380" s="51">
        <v>100</v>
      </c>
      <c r="G380" s="51">
        <v>105.6446</v>
      </c>
      <c r="H380" s="51">
        <v>16.2</v>
      </c>
      <c r="I380" s="52">
        <v>647</v>
      </c>
      <c r="J380" s="50" t="s">
        <v>19</v>
      </c>
    </row>
    <row r="381" spans="2:10" ht="15" customHeight="1">
      <c r="B381" s="47" t="s">
        <v>1117</v>
      </c>
      <c r="C381" s="50" t="s">
        <v>1118</v>
      </c>
      <c r="D381" s="50" t="s">
        <v>2066</v>
      </c>
      <c r="E381" s="50" t="s">
        <v>43</v>
      </c>
      <c r="F381" s="51">
        <v>75.289704372527154</v>
      </c>
      <c r="G381" s="51">
        <v>77.738304372527153</v>
      </c>
      <c r="H381" s="51">
        <v>51.46</v>
      </c>
      <c r="I381" s="52">
        <v>409</v>
      </c>
      <c r="J381" s="50" t="s">
        <v>19</v>
      </c>
    </row>
    <row r="382" spans="2:10" ht="15" customHeight="1">
      <c r="B382" s="47" t="s">
        <v>1119</v>
      </c>
      <c r="C382" s="50" t="s">
        <v>1120</v>
      </c>
      <c r="D382" s="50" t="s">
        <v>2066</v>
      </c>
      <c r="E382" s="50" t="s">
        <v>43</v>
      </c>
      <c r="F382" s="51">
        <v>64.717543586735104</v>
      </c>
      <c r="G382" s="51">
        <v>68.191143586735109</v>
      </c>
      <c r="H382" s="51">
        <v>51.29</v>
      </c>
      <c r="I382" s="52">
        <v>659</v>
      </c>
      <c r="J382" s="50" t="s">
        <v>19</v>
      </c>
    </row>
    <row r="383" spans="2:10" ht="15" customHeight="1">
      <c r="B383" s="47" t="s">
        <v>1198</v>
      </c>
      <c r="C383" s="50" t="s">
        <v>1199</v>
      </c>
      <c r="D383" s="50" t="s">
        <v>2066</v>
      </c>
      <c r="E383" s="50" t="s">
        <v>43</v>
      </c>
      <c r="F383" s="51">
        <v>64.079664532570817</v>
      </c>
      <c r="G383" s="51">
        <v>67.357464532570816</v>
      </c>
      <c r="H383" s="51">
        <v>51.29</v>
      </c>
      <c r="I383" s="52">
        <v>661</v>
      </c>
      <c r="J383" s="50" t="s">
        <v>19</v>
      </c>
    </row>
    <row r="384" spans="2:10" ht="15" customHeight="1">
      <c r="B384" s="47" t="s">
        <v>2009</v>
      </c>
      <c r="C384" s="50" t="s">
        <v>2010</v>
      </c>
      <c r="D384" s="50" t="s">
        <v>2066</v>
      </c>
      <c r="E384" s="50" t="s">
        <v>43</v>
      </c>
      <c r="F384" s="51">
        <v>98.559496360178073</v>
      </c>
      <c r="G384" s="51">
        <v>104.56779636017808</v>
      </c>
      <c r="H384" s="51">
        <v>52.86</v>
      </c>
      <c r="I384" s="52">
        <v>17</v>
      </c>
      <c r="J384" s="50" t="s">
        <v>19</v>
      </c>
    </row>
    <row r="385" spans="2:10" ht="15" customHeight="1">
      <c r="B385" s="47" t="s">
        <v>2312</v>
      </c>
      <c r="C385" s="50" t="s">
        <v>2313</v>
      </c>
      <c r="D385" s="50" t="s">
        <v>2066</v>
      </c>
      <c r="E385" s="50" t="s">
        <v>43</v>
      </c>
      <c r="F385" s="51">
        <v>89.690062407926504</v>
      </c>
      <c r="G385" s="51">
        <v>92.431762407926513</v>
      </c>
      <c r="H385" s="51">
        <v>54.67</v>
      </c>
      <c r="I385" s="52">
        <v>133</v>
      </c>
      <c r="J385" s="50" t="s">
        <v>19</v>
      </c>
    </row>
    <row r="386" spans="2:10" ht="15" customHeight="1">
      <c r="B386" s="47" t="s">
        <v>1292</v>
      </c>
      <c r="C386" s="50" t="s">
        <v>1293</v>
      </c>
      <c r="D386" s="50" t="s">
        <v>2064</v>
      </c>
      <c r="E386" s="50" t="s">
        <v>1294</v>
      </c>
      <c r="F386" s="51">
        <v>50063.221400000009</v>
      </c>
      <c r="G386" s="51">
        <v>50063.221400000009</v>
      </c>
      <c r="H386" s="51">
        <v>0</v>
      </c>
      <c r="I386" s="52">
        <v>0</v>
      </c>
      <c r="J386" s="50" t="s">
        <v>1786</v>
      </c>
    </row>
    <row r="387" spans="2:10" ht="15" customHeight="1">
      <c r="B387" s="47" t="s">
        <v>508</v>
      </c>
      <c r="C387" s="50" t="s">
        <v>509</v>
      </c>
      <c r="D387" s="50" t="s">
        <v>2064</v>
      </c>
      <c r="E387" s="50" t="s">
        <v>2118</v>
      </c>
      <c r="F387" s="51">
        <v>0.01</v>
      </c>
      <c r="G387" s="51">
        <v>0.01</v>
      </c>
      <c r="H387" s="51">
        <v>0</v>
      </c>
      <c r="I387" s="52">
        <v>0</v>
      </c>
      <c r="J387" s="50" t="s">
        <v>1786</v>
      </c>
    </row>
    <row r="388" spans="2:10" ht="15" customHeight="1">
      <c r="B388" s="47" t="s">
        <v>1289</v>
      </c>
      <c r="C388" s="50" t="s">
        <v>1290</v>
      </c>
      <c r="D388" s="50" t="s">
        <v>2064</v>
      </c>
      <c r="E388" s="50" t="s">
        <v>1291</v>
      </c>
      <c r="F388" s="51">
        <v>133824.08435000002</v>
      </c>
      <c r="G388" s="51">
        <v>133824.08435000002</v>
      </c>
      <c r="H388" s="51">
        <v>0</v>
      </c>
      <c r="I388" s="52">
        <v>0</v>
      </c>
      <c r="J388" s="50" t="s">
        <v>1786</v>
      </c>
    </row>
    <row r="389" spans="2:10" ht="15" customHeight="1">
      <c r="B389" s="47" t="s">
        <v>1520</v>
      </c>
      <c r="C389" s="50" t="s">
        <v>1521</v>
      </c>
      <c r="D389" s="50" t="s">
        <v>2064</v>
      </c>
      <c r="E389" s="50" t="s">
        <v>46</v>
      </c>
      <c r="F389" s="51">
        <v>2898</v>
      </c>
      <c r="G389" s="51">
        <v>2898</v>
      </c>
      <c r="H389" s="51">
        <v>0</v>
      </c>
      <c r="I389" s="52">
        <v>0</v>
      </c>
      <c r="J389" s="50" t="s">
        <v>1786</v>
      </c>
    </row>
    <row r="390" spans="2:10" ht="15" customHeight="1">
      <c r="B390" s="47" t="s">
        <v>510</v>
      </c>
      <c r="C390" s="50" t="s">
        <v>511</v>
      </c>
      <c r="D390" s="50" t="s">
        <v>2107</v>
      </c>
      <c r="E390" s="50" t="s">
        <v>46</v>
      </c>
      <c r="F390" s="51">
        <v>2583834.38</v>
      </c>
      <c r="G390" s="51">
        <v>2583834.38</v>
      </c>
      <c r="H390" s="51">
        <v>0</v>
      </c>
      <c r="I390" s="52">
        <v>0</v>
      </c>
      <c r="J390" s="50" t="s">
        <v>1786</v>
      </c>
    </row>
    <row r="391" spans="2:10" ht="15" customHeight="1">
      <c r="B391" s="47" t="s">
        <v>1277</v>
      </c>
      <c r="C391" s="50" t="s">
        <v>1278</v>
      </c>
      <c r="D391" s="50" t="s">
        <v>2064</v>
      </c>
      <c r="E391" s="50" t="s">
        <v>1279</v>
      </c>
      <c r="F391" s="51">
        <v>52679.991200000011</v>
      </c>
      <c r="G391" s="51">
        <v>52679.991200000011</v>
      </c>
      <c r="H391" s="51">
        <v>0</v>
      </c>
      <c r="I391" s="52">
        <v>0</v>
      </c>
      <c r="J391" s="50" t="s">
        <v>1786</v>
      </c>
    </row>
    <row r="392" spans="2:10" ht="15" customHeight="1">
      <c r="B392" s="47" t="s">
        <v>1377</v>
      </c>
      <c r="C392" s="50" t="s">
        <v>1378</v>
      </c>
      <c r="D392" s="50" t="s">
        <v>2064</v>
      </c>
      <c r="E392" s="50" t="s">
        <v>1379</v>
      </c>
      <c r="F392" s="51">
        <v>62597.871800000008</v>
      </c>
      <c r="G392" s="51">
        <v>62597.871800000008</v>
      </c>
      <c r="H392" s="51">
        <v>0</v>
      </c>
      <c r="I392" s="52">
        <v>0</v>
      </c>
      <c r="J392" s="50" t="s">
        <v>1786</v>
      </c>
    </row>
    <row r="393" spans="2:10" ht="15" customHeight="1">
      <c r="B393" s="47" t="s">
        <v>512</v>
      </c>
      <c r="C393" s="50" t="s">
        <v>513</v>
      </c>
      <c r="D393" s="50" t="s">
        <v>2066</v>
      </c>
      <c r="E393" s="50" t="s">
        <v>2119</v>
      </c>
      <c r="F393" s="51">
        <v>72.619883601526439</v>
      </c>
      <c r="G393" s="51">
        <v>73.892783601526432</v>
      </c>
      <c r="H393" s="51">
        <v>26.36</v>
      </c>
      <c r="I393" s="52">
        <v>1041</v>
      </c>
      <c r="J393" s="50" t="s">
        <v>19</v>
      </c>
    </row>
    <row r="394" spans="2:10" ht="15" customHeight="1">
      <c r="B394" s="47" t="s">
        <v>1063</v>
      </c>
      <c r="C394" s="50" t="s">
        <v>1064</v>
      </c>
      <c r="D394" s="50" t="s">
        <v>2066</v>
      </c>
      <c r="E394" s="50" t="s">
        <v>2120</v>
      </c>
      <c r="F394" s="51">
        <v>100</v>
      </c>
      <c r="G394" s="51">
        <v>100.5667</v>
      </c>
      <c r="H394" s="51">
        <v>4.24</v>
      </c>
      <c r="I394" s="52">
        <v>252</v>
      </c>
      <c r="J394" s="50" t="s">
        <v>19</v>
      </c>
    </row>
    <row r="395" spans="2:10" ht="15" customHeight="1">
      <c r="B395" s="47" t="s">
        <v>1522</v>
      </c>
      <c r="C395" s="50" t="s">
        <v>1523</v>
      </c>
      <c r="D395" s="50" t="s">
        <v>2066</v>
      </c>
      <c r="E395" s="50" t="s">
        <v>2120</v>
      </c>
      <c r="F395" s="51">
        <v>100</v>
      </c>
      <c r="G395" s="51">
        <v>100.1069</v>
      </c>
      <c r="H395" s="51">
        <v>0.35</v>
      </c>
      <c r="I395" s="52">
        <v>70</v>
      </c>
      <c r="J395" s="50" t="s">
        <v>19</v>
      </c>
    </row>
    <row r="396" spans="2:10" ht="15" customHeight="1">
      <c r="B396" s="47" t="s">
        <v>1524</v>
      </c>
      <c r="C396" s="50" t="s">
        <v>1525</v>
      </c>
      <c r="D396" s="50" t="s">
        <v>2066</v>
      </c>
      <c r="E396" s="50" t="s">
        <v>2120</v>
      </c>
      <c r="F396" s="51">
        <v>100</v>
      </c>
      <c r="G396" s="51">
        <v>100.0992</v>
      </c>
      <c r="H396" s="51">
        <v>0.35</v>
      </c>
      <c r="I396" s="52">
        <v>78</v>
      </c>
      <c r="J396" s="50" t="s">
        <v>19</v>
      </c>
    </row>
    <row r="397" spans="2:10" ht="15" customHeight="1">
      <c r="B397" s="47" t="s">
        <v>514</v>
      </c>
      <c r="C397" s="50" t="s">
        <v>515</v>
      </c>
      <c r="D397" s="50" t="s">
        <v>2066</v>
      </c>
      <c r="E397" s="50" t="s">
        <v>2120</v>
      </c>
      <c r="F397" s="51">
        <v>100</v>
      </c>
      <c r="G397" s="51">
        <v>100.1118</v>
      </c>
      <c r="H397" s="51">
        <v>0.35</v>
      </c>
      <c r="I397" s="52">
        <v>245</v>
      </c>
      <c r="J397" s="50" t="s">
        <v>19</v>
      </c>
    </row>
    <row r="398" spans="2:10" ht="15" customHeight="1">
      <c r="B398" s="47" t="s">
        <v>1938</v>
      </c>
      <c r="C398" s="50" t="s">
        <v>1939</v>
      </c>
      <c r="D398" s="50" t="s">
        <v>2066</v>
      </c>
      <c r="E398" s="50" t="s">
        <v>2120</v>
      </c>
      <c r="F398" s="51">
        <v>100</v>
      </c>
      <c r="G398" s="51">
        <v>100.139</v>
      </c>
      <c r="H398" s="51">
        <v>0.35</v>
      </c>
      <c r="I398" s="52">
        <v>577</v>
      </c>
      <c r="J398" s="50" t="s">
        <v>19</v>
      </c>
    </row>
    <row r="399" spans="2:10" ht="15" customHeight="1">
      <c r="B399" s="47" t="s">
        <v>516</v>
      </c>
      <c r="C399" s="50" t="s">
        <v>517</v>
      </c>
      <c r="D399" s="50" t="s">
        <v>2066</v>
      </c>
      <c r="E399" s="50" t="s">
        <v>2120</v>
      </c>
      <c r="F399" s="51">
        <v>100</v>
      </c>
      <c r="G399" s="51">
        <v>100.0046</v>
      </c>
      <c r="H399" s="51">
        <v>0.02</v>
      </c>
      <c r="I399" s="52">
        <v>3079</v>
      </c>
      <c r="J399" s="50" t="s">
        <v>19</v>
      </c>
    </row>
    <row r="400" spans="2:10" ht="15" customHeight="1">
      <c r="B400" s="47" t="s">
        <v>518</v>
      </c>
      <c r="C400" s="50" t="s">
        <v>519</v>
      </c>
      <c r="D400" s="50" t="s">
        <v>2066</v>
      </c>
      <c r="E400" s="50" t="s">
        <v>2120</v>
      </c>
      <c r="F400" s="51">
        <v>100</v>
      </c>
      <c r="G400" s="51">
        <v>101.2878</v>
      </c>
      <c r="H400" s="51">
        <v>6.08</v>
      </c>
      <c r="I400" s="52">
        <v>1694</v>
      </c>
      <c r="J400" s="50" t="s">
        <v>19</v>
      </c>
    </row>
    <row r="401" spans="2:10" ht="15" customHeight="1">
      <c r="B401" s="47" t="s">
        <v>1526</v>
      </c>
      <c r="C401" s="50" t="s">
        <v>1527</v>
      </c>
      <c r="D401" s="50" t="s">
        <v>2066</v>
      </c>
      <c r="E401" s="50" t="s">
        <v>2120</v>
      </c>
      <c r="F401" s="51">
        <v>100</v>
      </c>
      <c r="G401" s="51">
        <v>106.19280000000001</v>
      </c>
      <c r="H401" s="51">
        <v>7.08</v>
      </c>
      <c r="I401" s="52">
        <v>2176</v>
      </c>
      <c r="J401" s="50" t="s">
        <v>19</v>
      </c>
    </row>
    <row r="402" spans="2:10" ht="15" customHeight="1">
      <c r="B402" s="47" t="s">
        <v>2395</v>
      </c>
      <c r="C402" s="50" t="s">
        <v>2396</v>
      </c>
      <c r="D402" s="50" t="s">
        <v>2066</v>
      </c>
      <c r="E402" s="50" t="s">
        <v>2120</v>
      </c>
      <c r="F402" s="51">
        <v>93.426943820692159</v>
      </c>
      <c r="G402" s="51">
        <v>94.056943820692155</v>
      </c>
      <c r="H402" s="51">
        <v>20.48</v>
      </c>
      <c r="I402" s="52">
        <v>3588</v>
      </c>
      <c r="J402" s="50" t="s">
        <v>19</v>
      </c>
    </row>
    <row r="403" spans="2:10" ht="15" customHeight="1">
      <c r="B403" s="47" t="s">
        <v>520</v>
      </c>
      <c r="C403" s="50" t="s">
        <v>521</v>
      </c>
      <c r="D403" s="50" t="s">
        <v>2066</v>
      </c>
      <c r="E403" s="50" t="s">
        <v>2120</v>
      </c>
      <c r="F403" s="51">
        <v>100</v>
      </c>
      <c r="G403" s="51">
        <v>100.4575</v>
      </c>
      <c r="H403" s="51">
        <v>6.09</v>
      </c>
      <c r="I403" s="52">
        <v>2103</v>
      </c>
      <c r="J403" s="50" t="s">
        <v>19</v>
      </c>
    </row>
    <row r="404" spans="2:10" ht="15" customHeight="1">
      <c r="B404" s="47" t="s">
        <v>522</v>
      </c>
      <c r="C404" s="50" t="s">
        <v>523</v>
      </c>
      <c r="D404" s="50" t="s">
        <v>2066</v>
      </c>
      <c r="E404" s="50" t="s">
        <v>2120</v>
      </c>
      <c r="F404" s="51">
        <v>100</v>
      </c>
      <c r="G404" s="51">
        <v>105.4053</v>
      </c>
      <c r="H404" s="51">
        <v>6.09</v>
      </c>
      <c r="I404" s="52">
        <v>2531</v>
      </c>
      <c r="J404" s="50" t="s">
        <v>19</v>
      </c>
    </row>
    <row r="405" spans="2:10" ht="15" customHeight="1">
      <c r="B405" s="47" t="s">
        <v>524</v>
      </c>
      <c r="C405" s="50" t="s">
        <v>525</v>
      </c>
      <c r="D405" s="50" t="s">
        <v>2066</v>
      </c>
      <c r="E405" s="50" t="s">
        <v>2120</v>
      </c>
      <c r="F405" s="51">
        <v>100</v>
      </c>
      <c r="G405" s="51">
        <v>105.4053</v>
      </c>
      <c r="H405" s="51">
        <v>6.09</v>
      </c>
      <c r="I405" s="52">
        <v>2531</v>
      </c>
      <c r="J405" s="50" t="s">
        <v>19</v>
      </c>
    </row>
    <row r="406" spans="2:10" ht="15" customHeight="1">
      <c r="B406" s="47" t="s">
        <v>526</v>
      </c>
      <c r="C406" s="50" t="s">
        <v>527</v>
      </c>
      <c r="D406" s="50" t="s">
        <v>2066</v>
      </c>
      <c r="E406" s="50" t="s">
        <v>2120</v>
      </c>
      <c r="F406" s="51">
        <v>100</v>
      </c>
      <c r="G406" s="51">
        <v>104.27</v>
      </c>
      <c r="H406" s="51">
        <v>6.08</v>
      </c>
      <c r="I406" s="52">
        <v>2598</v>
      </c>
      <c r="J406" s="50" t="s">
        <v>19</v>
      </c>
    </row>
    <row r="407" spans="2:10" ht="15" customHeight="1">
      <c r="B407" s="47" t="s">
        <v>528</v>
      </c>
      <c r="C407" s="50" t="s">
        <v>529</v>
      </c>
      <c r="D407" s="50" t="s">
        <v>2066</v>
      </c>
      <c r="E407" s="50" t="s">
        <v>49</v>
      </c>
      <c r="F407" s="51">
        <v>94.770462686162404</v>
      </c>
      <c r="G407" s="51">
        <v>104.7498626861624</v>
      </c>
      <c r="H407" s="51">
        <v>17.18</v>
      </c>
      <c r="I407" s="52">
        <v>647</v>
      </c>
      <c r="J407" s="50" t="s">
        <v>19</v>
      </c>
    </row>
    <row r="408" spans="2:10" ht="15" customHeight="1">
      <c r="B408" s="47" t="s">
        <v>530</v>
      </c>
      <c r="C408" s="50" t="s">
        <v>531</v>
      </c>
      <c r="D408" s="50" t="s">
        <v>2066</v>
      </c>
      <c r="E408" s="50" t="s">
        <v>49</v>
      </c>
      <c r="F408" s="51">
        <v>91.560627201903813</v>
      </c>
      <c r="G408" s="51">
        <v>97.711327201903813</v>
      </c>
      <c r="H408" s="51">
        <v>17.170000000000002</v>
      </c>
      <c r="I408" s="52">
        <v>723</v>
      </c>
      <c r="J408" s="50" t="s">
        <v>19</v>
      </c>
    </row>
    <row r="409" spans="2:10" ht="15" customHeight="1">
      <c r="B409" s="47" t="s">
        <v>1624</v>
      </c>
      <c r="C409" s="50" t="s">
        <v>1623</v>
      </c>
      <c r="D409" s="50" t="s">
        <v>2066</v>
      </c>
      <c r="E409" s="50" t="s">
        <v>49</v>
      </c>
      <c r="F409" s="51">
        <v>94.470270575134364</v>
      </c>
      <c r="G409" s="51">
        <v>94.78807057513437</v>
      </c>
      <c r="H409" s="51">
        <v>17.84</v>
      </c>
      <c r="I409" s="52">
        <v>712</v>
      </c>
      <c r="J409" s="50" t="s">
        <v>19</v>
      </c>
    </row>
    <row r="410" spans="2:10" ht="15" customHeight="1">
      <c r="B410" s="47" t="s">
        <v>532</v>
      </c>
      <c r="C410" s="50" t="s">
        <v>533</v>
      </c>
      <c r="D410" s="50" t="s">
        <v>2066</v>
      </c>
      <c r="E410" s="50" t="s">
        <v>49</v>
      </c>
      <c r="F410" s="51">
        <v>106.8424729605136</v>
      </c>
      <c r="G410" s="51">
        <v>107.64747296051361</v>
      </c>
      <c r="H410" s="51">
        <v>4.71</v>
      </c>
      <c r="I410" s="52">
        <v>1754</v>
      </c>
      <c r="J410" s="50" t="s">
        <v>19</v>
      </c>
    </row>
    <row r="411" spans="2:10" ht="15" customHeight="1">
      <c r="B411" s="47" t="s">
        <v>1131</v>
      </c>
      <c r="C411" s="50" t="s">
        <v>1132</v>
      </c>
      <c r="D411" s="50" t="s">
        <v>2066</v>
      </c>
      <c r="E411" s="50" t="s">
        <v>49</v>
      </c>
      <c r="F411" s="51">
        <v>97.548227544557761</v>
      </c>
      <c r="G411" s="51">
        <v>98.035927544557765</v>
      </c>
      <c r="H411" s="51">
        <v>5.99</v>
      </c>
      <c r="I411" s="52">
        <v>187</v>
      </c>
      <c r="J411" s="50" t="s">
        <v>19</v>
      </c>
    </row>
    <row r="412" spans="2:10" ht="15" customHeight="1">
      <c r="B412" s="47" t="s">
        <v>534</v>
      </c>
      <c r="C412" s="50" t="s">
        <v>535</v>
      </c>
      <c r="D412" s="50" t="s">
        <v>2066</v>
      </c>
      <c r="E412" s="50" t="s">
        <v>2121</v>
      </c>
      <c r="F412" s="51">
        <v>95.196654757269229</v>
      </c>
      <c r="G412" s="51">
        <v>98.859954757269236</v>
      </c>
      <c r="H412" s="51">
        <v>16.43</v>
      </c>
      <c r="I412" s="52">
        <v>818</v>
      </c>
      <c r="J412" s="50" t="s">
        <v>19</v>
      </c>
    </row>
    <row r="413" spans="2:10" ht="15" customHeight="1">
      <c r="B413" s="47" t="s">
        <v>536</v>
      </c>
      <c r="C413" s="50" t="s">
        <v>537</v>
      </c>
      <c r="D413" s="50" t="s">
        <v>2066</v>
      </c>
      <c r="E413" s="50" t="s">
        <v>2121</v>
      </c>
      <c r="F413" s="51">
        <v>95.251571305671149</v>
      </c>
      <c r="G413" s="51">
        <v>96.218871305671158</v>
      </c>
      <c r="H413" s="51">
        <v>16.34</v>
      </c>
      <c r="I413" s="52">
        <v>1058</v>
      </c>
      <c r="J413" s="50" t="s">
        <v>19</v>
      </c>
    </row>
    <row r="414" spans="2:10" ht="15" customHeight="1">
      <c r="B414" s="47" t="s">
        <v>538</v>
      </c>
      <c r="C414" s="50" t="s">
        <v>539</v>
      </c>
      <c r="D414" s="50" t="s">
        <v>2066</v>
      </c>
      <c r="E414" s="50" t="s">
        <v>2121</v>
      </c>
      <c r="F414" s="51">
        <v>94.034642548971348</v>
      </c>
      <c r="G414" s="51">
        <v>98.309642548971354</v>
      </c>
      <c r="H414" s="51">
        <v>16.21</v>
      </c>
      <c r="I414" s="52">
        <v>1527</v>
      </c>
      <c r="J414" s="50" t="s">
        <v>19</v>
      </c>
    </row>
    <row r="415" spans="2:10" ht="15" customHeight="1">
      <c r="B415" s="47" t="s">
        <v>1528</v>
      </c>
      <c r="C415" s="50" t="s">
        <v>1529</v>
      </c>
      <c r="D415" s="50" t="s">
        <v>2064</v>
      </c>
      <c r="E415" s="50" t="s">
        <v>2121</v>
      </c>
      <c r="F415" s="51">
        <v>1</v>
      </c>
      <c r="G415" s="51">
        <v>1</v>
      </c>
      <c r="H415" s="51">
        <v>0</v>
      </c>
      <c r="I415" s="52">
        <v>336</v>
      </c>
      <c r="J415" s="50" t="s">
        <v>1786</v>
      </c>
    </row>
    <row r="416" spans="2:10" ht="15" customHeight="1">
      <c r="B416" s="47" t="s">
        <v>1530</v>
      </c>
      <c r="C416" s="50" t="s">
        <v>1531</v>
      </c>
      <c r="D416" s="50" t="s">
        <v>2064</v>
      </c>
      <c r="E416" s="50" t="s">
        <v>2121</v>
      </c>
      <c r="F416" s="51">
        <v>0.8</v>
      </c>
      <c r="G416" s="51">
        <v>0.8</v>
      </c>
      <c r="H416" s="51">
        <v>0</v>
      </c>
      <c r="I416" s="52">
        <v>403</v>
      </c>
      <c r="J416" s="50" t="s">
        <v>1786</v>
      </c>
    </row>
    <row r="417" spans="2:10" ht="15" customHeight="1">
      <c r="B417" s="47" t="s">
        <v>540</v>
      </c>
      <c r="C417" s="50" t="s">
        <v>541</v>
      </c>
      <c r="D417" s="50" t="s">
        <v>2066</v>
      </c>
      <c r="E417" s="50" t="s">
        <v>2121</v>
      </c>
      <c r="F417" s="51">
        <v>98.810776482739996</v>
      </c>
      <c r="G417" s="51">
        <v>108.64747648273999</v>
      </c>
      <c r="H417" s="51">
        <v>17.48</v>
      </c>
      <c r="I417" s="52">
        <v>101</v>
      </c>
      <c r="J417" s="50" t="s">
        <v>19</v>
      </c>
    </row>
    <row r="418" spans="2:10" ht="15" customHeight="1">
      <c r="B418" s="47" t="s">
        <v>1532</v>
      </c>
      <c r="C418" s="50" t="s">
        <v>1533</v>
      </c>
      <c r="D418" s="50" t="s">
        <v>2066</v>
      </c>
      <c r="E418" s="50" t="s">
        <v>2121</v>
      </c>
      <c r="F418" s="51">
        <v>100</v>
      </c>
      <c r="G418" s="51">
        <v>101.4606</v>
      </c>
      <c r="H418" s="51">
        <v>15.67</v>
      </c>
      <c r="I418" s="52">
        <v>515</v>
      </c>
      <c r="J418" s="50" t="s">
        <v>19</v>
      </c>
    </row>
    <row r="419" spans="2:10" ht="15" customHeight="1">
      <c r="B419" s="47" t="s">
        <v>542</v>
      </c>
      <c r="C419" s="50" t="s">
        <v>543</v>
      </c>
      <c r="D419" s="50" t="s">
        <v>2066</v>
      </c>
      <c r="E419" s="50" t="s">
        <v>2121</v>
      </c>
      <c r="F419" s="51">
        <v>100</v>
      </c>
      <c r="G419" s="51">
        <v>103.2486</v>
      </c>
      <c r="H419" s="51">
        <v>15.8</v>
      </c>
      <c r="I419" s="52">
        <v>1294</v>
      </c>
      <c r="J419" s="50" t="s">
        <v>19</v>
      </c>
    </row>
    <row r="420" spans="2:10" ht="15" customHeight="1">
      <c r="B420" s="47" t="s">
        <v>1167</v>
      </c>
      <c r="C420" s="50" t="s">
        <v>1168</v>
      </c>
      <c r="D420" s="50" t="s">
        <v>2066</v>
      </c>
      <c r="E420" s="50" t="s">
        <v>2121</v>
      </c>
      <c r="F420" s="51">
        <v>101.926</v>
      </c>
      <c r="G420" s="51">
        <v>101.9503</v>
      </c>
      <c r="H420" s="51">
        <v>3.56</v>
      </c>
      <c r="I420" s="52">
        <v>898</v>
      </c>
      <c r="J420" s="50" t="s">
        <v>19</v>
      </c>
    </row>
    <row r="421" spans="2:10" ht="15" customHeight="1">
      <c r="B421" s="47" t="s">
        <v>1171</v>
      </c>
      <c r="C421" s="50" t="s">
        <v>1172</v>
      </c>
      <c r="D421" s="50" t="s">
        <v>2066</v>
      </c>
      <c r="E421" s="50" t="s">
        <v>2121</v>
      </c>
      <c r="F421" s="51">
        <v>101.745</v>
      </c>
      <c r="G421" s="51">
        <v>102.27209999999999</v>
      </c>
      <c r="H421" s="51">
        <v>3.57</v>
      </c>
      <c r="I421" s="52">
        <v>1214</v>
      </c>
      <c r="J421" s="50" t="s">
        <v>19</v>
      </c>
    </row>
    <row r="422" spans="2:10" ht="15" customHeight="1">
      <c r="B422" s="47" t="s">
        <v>1863</v>
      </c>
      <c r="C422" s="50" t="s">
        <v>1864</v>
      </c>
      <c r="D422" s="50" t="s">
        <v>2066</v>
      </c>
      <c r="E422" s="50" t="s">
        <v>2121</v>
      </c>
      <c r="F422" s="51">
        <v>100</v>
      </c>
      <c r="G422" s="51">
        <v>100.77030000000001</v>
      </c>
      <c r="H422" s="51">
        <v>15.61</v>
      </c>
      <c r="I422" s="52">
        <v>531</v>
      </c>
      <c r="J422" s="50" t="s">
        <v>19</v>
      </c>
    </row>
    <row r="423" spans="2:10" ht="15" customHeight="1">
      <c r="B423" s="47" t="s">
        <v>1966</v>
      </c>
      <c r="C423" s="50" t="s">
        <v>1967</v>
      </c>
      <c r="D423" s="50" t="s">
        <v>2066</v>
      </c>
      <c r="E423" s="50" t="s">
        <v>2121</v>
      </c>
      <c r="F423" s="51">
        <v>100</v>
      </c>
      <c r="G423" s="51">
        <v>105.58199999999999</v>
      </c>
      <c r="H423" s="51">
        <v>16.14</v>
      </c>
      <c r="I423" s="52">
        <v>970</v>
      </c>
      <c r="J423" s="50" t="s">
        <v>19</v>
      </c>
    </row>
    <row r="424" spans="2:10" ht="15" customHeight="1">
      <c r="B424" s="47" t="s">
        <v>544</v>
      </c>
      <c r="C424" s="50" t="s">
        <v>545</v>
      </c>
      <c r="D424" s="50" t="s">
        <v>2066</v>
      </c>
      <c r="E424" s="50" t="s">
        <v>2121</v>
      </c>
      <c r="F424" s="51">
        <v>99.048228898258273</v>
      </c>
      <c r="G424" s="51">
        <v>99.598128898258267</v>
      </c>
      <c r="H424" s="51">
        <v>16.27</v>
      </c>
      <c r="I424" s="52">
        <v>167</v>
      </c>
      <c r="J424" s="50" t="s">
        <v>19</v>
      </c>
    </row>
    <row r="425" spans="2:10" ht="15" customHeight="1">
      <c r="B425" s="47" t="s">
        <v>546</v>
      </c>
      <c r="C425" s="50" t="s">
        <v>547</v>
      </c>
      <c r="D425" s="50" t="s">
        <v>2066</v>
      </c>
      <c r="E425" s="50" t="s">
        <v>2121</v>
      </c>
      <c r="F425" s="51">
        <v>98.001330690174768</v>
      </c>
      <c r="G425" s="51">
        <v>101.37913069017478</v>
      </c>
      <c r="H425" s="51">
        <v>16.61</v>
      </c>
      <c r="I425" s="52">
        <v>280</v>
      </c>
      <c r="J425" s="50" t="s">
        <v>19</v>
      </c>
    </row>
    <row r="426" spans="2:10" ht="15" customHeight="1">
      <c r="B426" s="47" t="s">
        <v>548</v>
      </c>
      <c r="C426" s="50" t="s">
        <v>549</v>
      </c>
      <c r="D426" s="50" t="s">
        <v>2066</v>
      </c>
      <c r="E426" s="50" t="s">
        <v>2121</v>
      </c>
      <c r="F426" s="51">
        <v>95.275955030773417</v>
      </c>
      <c r="G426" s="51">
        <v>97.565755030773417</v>
      </c>
      <c r="H426" s="51">
        <v>16.48</v>
      </c>
      <c r="I426" s="52">
        <v>667</v>
      </c>
      <c r="J426" s="50" t="s">
        <v>19</v>
      </c>
    </row>
    <row r="427" spans="2:10" ht="15" customHeight="1">
      <c r="B427" s="47" t="s">
        <v>550</v>
      </c>
      <c r="C427" s="50" t="s">
        <v>551</v>
      </c>
      <c r="D427" s="50" t="s">
        <v>2066</v>
      </c>
      <c r="E427" s="50" t="s">
        <v>2121</v>
      </c>
      <c r="F427" s="51">
        <v>97.182260315635773</v>
      </c>
      <c r="G427" s="51">
        <v>100.84556031563578</v>
      </c>
      <c r="H427" s="51">
        <v>16.53</v>
      </c>
      <c r="I427" s="52">
        <v>458</v>
      </c>
      <c r="J427" s="50" t="s">
        <v>19</v>
      </c>
    </row>
    <row r="428" spans="2:10" ht="15" customHeight="1">
      <c r="B428" s="47" t="s">
        <v>1129</v>
      </c>
      <c r="C428" s="50" t="s">
        <v>1130</v>
      </c>
      <c r="D428" s="50" t="s">
        <v>2066</v>
      </c>
      <c r="E428" s="50" t="s">
        <v>2122</v>
      </c>
      <c r="F428" s="51">
        <v>99.337000000000003</v>
      </c>
      <c r="G428" s="51">
        <v>100.38420000000001</v>
      </c>
      <c r="H428" s="51">
        <v>3.57</v>
      </c>
      <c r="I428" s="52">
        <v>784</v>
      </c>
      <c r="J428" s="50" t="s">
        <v>19</v>
      </c>
    </row>
    <row r="429" spans="2:10" ht="15" customHeight="1">
      <c r="B429" s="47" t="s">
        <v>1784</v>
      </c>
      <c r="C429" s="50" t="s">
        <v>1785</v>
      </c>
      <c r="D429" s="50" t="s">
        <v>2066</v>
      </c>
      <c r="E429" s="50" t="s">
        <v>2122</v>
      </c>
      <c r="F429" s="51">
        <v>100.035</v>
      </c>
      <c r="G429" s="51">
        <v>100.5989</v>
      </c>
      <c r="H429" s="51">
        <v>3.62</v>
      </c>
      <c r="I429" s="52">
        <v>1744</v>
      </c>
      <c r="J429" s="50" t="s">
        <v>19</v>
      </c>
    </row>
    <row r="430" spans="2:10" ht="15" customHeight="1">
      <c r="B430" s="47" t="s">
        <v>552</v>
      </c>
      <c r="C430" s="50" t="s">
        <v>553</v>
      </c>
      <c r="D430" s="50" t="s">
        <v>2064</v>
      </c>
      <c r="E430" s="50" t="s">
        <v>2123</v>
      </c>
      <c r="F430" s="51">
        <v>40000</v>
      </c>
      <c r="G430" s="51">
        <v>40000</v>
      </c>
      <c r="H430" s="51">
        <v>0</v>
      </c>
      <c r="I430" s="52">
        <v>0</v>
      </c>
      <c r="J430" s="50" t="s">
        <v>1786</v>
      </c>
    </row>
    <row r="431" spans="2:10" ht="15" customHeight="1">
      <c r="B431" s="47" t="s">
        <v>554</v>
      </c>
      <c r="C431" s="50" t="s">
        <v>555</v>
      </c>
      <c r="D431" s="50" t="s">
        <v>2066</v>
      </c>
      <c r="E431" s="50" t="s">
        <v>2124</v>
      </c>
      <c r="F431" s="51">
        <v>46.331432869169582</v>
      </c>
      <c r="G431" s="51">
        <v>49.920332869169584</v>
      </c>
      <c r="H431" s="51">
        <v>17.940000000000001</v>
      </c>
      <c r="I431" s="52">
        <v>2557</v>
      </c>
      <c r="J431" s="50" t="s">
        <v>19</v>
      </c>
    </row>
    <row r="432" spans="2:10" ht="15" customHeight="1">
      <c r="B432" s="47" t="s">
        <v>556</v>
      </c>
      <c r="C432" s="50" t="s">
        <v>557</v>
      </c>
      <c r="D432" s="50" t="s">
        <v>2066</v>
      </c>
      <c r="E432" s="50" t="s">
        <v>2124</v>
      </c>
      <c r="F432" s="51">
        <v>94.452757611356986</v>
      </c>
      <c r="G432" s="51">
        <v>95.243557611356991</v>
      </c>
      <c r="H432" s="51">
        <v>17.66</v>
      </c>
      <c r="I432" s="52">
        <v>334</v>
      </c>
      <c r="J432" s="50" t="s">
        <v>19</v>
      </c>
    </row>
    <row r="433" spans="2:10" ht="15" customHeight="1">
      <c r="B433" s="47" t="s">
        <v>558</v>
      </c>
      <c r="C433" s="50" t="s">
        <v>559</v>
      </c>
      <c r="D433" s="50" t="s">
        <v>2066</v>
      </c>
      <c r="E433" s="50" t="s">
        <v>2125</v>
      </c>
      <c r="F433" s="51">
        <v>86.893663499972618</v>
      </c>
      <c r="G433" s="51">
        <v>89.31036349997261</v>
      </c>
      <c r="H433" s="51">
        <v>19.079999999999998</v>
      </c>
      <c r="I433" s="52">
        <v>633</v>
      </c>
      <c r="J433" s="50" t="s">
        <v>19</v>
      </c>
    </row>
    <row r="434" spans="2:10" ht="15" customHeight="1">
      <c r="B434" s="47" t="s">
        <v>1415</v>
      </c>
      <c r="C434" s="50" t="s">
        <v>1416</v>
      </c>
      <c r="D434" s="50" t="s">
        <v>2110</v>
      </c>
      <c r="E434" s="50" t="s">
        <v>1417</v>
      </c>
      <c r="F434" s="51">
        <v>23155.182150000004</v>
      </c>
      <c r="G434" s="51">
        <v>23155.182150000004</v>
      </c>
      <c r="H434" s="51">
        <v>0</v>
      </c>
      <c r="I434" s="52">
        <v>0</v>
      </c>
      <c r="J434" s="50" t="s">
        <v>1786</v>
      </c>
    </row>
    <row r="435" spans="2:10" ht="15" customHeight="1">
      <c r="B435" s="47" t="s">
        <v>560</v>
      </c>
      <c r="C435" s="50" t="s">
        <v>561</v>
      </c>
      <c r="D435" s="50" t="s">
        <v>2064</v>
      </c>
      <c r="E435" s="50" t="s">
        <v>2126</v>
      </c>
      <c r="F435" s="51">
        <v>1000</v>
      </c>
      <c r="G435" s="51">
        <v>1000</v>
      </c>
      <c r="H435" s="51">
        <v>0</v>
      </c>
      <c r="I435" s="52">
        <v>0</v>
      </c>
      <c r="J435" s="50" t="s">
        <v>1786</v>
      </c>
    </row>
    <row r="436" spans="2:10" ht="15" customHeight="1">
      <c r="B436" s="47" t="s">
        <v>562</v>
      </c>
      <c r="C436" s="50" t="s">
        <v>563</v>
      </c>
      <c r="D436" s="50" t="s">
        <v>2064</v>
      </c>
      <c r="E436" s="50" t="s">
        <v>2126</v>
      </c>
      <c r="F436" s="51">
        <v>1000</v>
      </c>
      <c r="G436" s="51">
        <v>1000</v>
      </c>
      <c r="H436" s="51">
        <v>0</v>
      </c>
      <c r="I436" s="52">
        <v>0</v>
      </c>
      <c r="J436" s="50" t="s">
        <v>1786</v>
      </c>
    </row>
    <row r="437" spans="2:10" ht="15" customHeight="1">
      <c r="B437" s="47" t="s">
        <v>564</v>
      </c>
      <c r="C437" s="50" t="s">
        <v>565</v>
      </c>
      <c r="D437" s="50" t="s">
        <v>2064</v>
      </c>
      <c r="E437" s="50" t="s">
        <v>2127</v>
      </c>
      <c r="F437" s="51">
        <v>0.01</v>
      </c>
      <c r="G437" s="51">
        <v>0.01</v>
      </c>
      <c r="H437" s="51">
        <v>0</v>
      </c>
      <c r="I437" s="52">
        <v>0</v>
      </c>
      <c r="J437" s="50" t="s">
        <v>1786</v>
      </c>
    </row>
    <row r="438" spans="2:10" ht="15" customHeight="1">
      <c r="B438" s="47" t="s">
        <v>566</v>
      </c>
      <c r="C438" s="50" t="s">
        <v>567</v>
      </c>
      <c r="D438" s="50" t="s">
        <v>2066</v>
      </c>
      <c r="E438" s="50" t="s">
        <v>2072</v>
      </c>
      <c r="F438" s="51">
        <v>95.840985489682126</v>
      </c>
      <c r="G438" s="51">
        <v>97.82698548968213</v>
      </c>
      <c r="H438" s="51">
        <v>17.920000000000002</v>
      </c>
      <c r="I438" s="52">
        <v>199</v>
      </c>
      <c r="J438" s="50" t="s">
        <v>19</v>
      </c>
    </row>
    <row r="439" spans="2:10" ht="15" customHeight="1">
      <c r="B439" s="47" t="s">
        <v>568</v>
      </c>
      <c r="C439" s="50" t="s">
        <v>569</v>
      </c>
      <c r="D439" s="50" t="s">
        <v>2066</v>
      </c>
      <c r="E439" s="50" t="s">
        <v>2072</v>
      </c>
      <c r="F439" s="51">
        <v>95.329412539470923</v>
      </c>
      <c r="G439" s="51">
        <v>99.245512539470923</v>
      </c>
      <c r="H439" s="51">
        <v>18.43</v>
      </c>
      <c r="I439" s="52">
        <v>220</v>
      </c>
      <c r="J439" s="50" t="s">
        <v>19</v>
      </c>
    </row>
    <row r="440" spans="2:10" ht="15" customHeight="1">
      <c r="B440" s="47" t="s">
        <v>570</v>
      </c>
      <c r="C440" s="50" t="s">
        <v>571</v>
      </c>
      <c r="D440" s="50" t="s">
        <v>2064</v>
      </c>
      <c r="E440" s="50" t="s">
        <v>2128</v>
      </c>
      <c r="F440" s="51">
        <v>1054.2494300000001</v>
      </c>
      <c r="G440" s="51">
        <v>1054.2494300000001</v>
      </c>
      <c r="H440" s="51">
        <v>0</v>
      </c>
      <c r="I440" s="52">
        <v>2053</v>
      </c>
      <c r="J440" s="50" t="s">
        <v>1786</v>
      </c>
    </row>
    <row r="441" spans="2:10" ht="15" customHeight="1">
      <c r="B441" s="47" t="s">
        <v>572</v>
      </c>
      <c r="C441" s="50" t="s">
        <v>573</v>
      </c>
      <c r="D441" s="50" t="s">
        <v>2066</v>
      </c>
      <c r="E441" s="50" t="s">
        <v>2128</v>
      </c>
      <c r="F441" s="51">
        <v>72.323672543875034</v>
      </c>
      <c r="G441" s="51">
        <v>73.75977254387503</v>
      </c>
      <c r="H441" s="51">
        <v>18.21</v>
      </c>
      <c r="I441" s="52">
        <v>2473</v>
      </c>
      <c r="J441" s="50" t="s">
        <v>19</v>
      </c>
    </row>
    <row r="442" spans="2:10" ht="15" customHeight="1">
      <c r="B442" s="47" t="s">
        <v>574</v>
      </c>
      <c r="C442" s="50" t="s">
        <v>575</v>
      </c>
      <c r="D442" s="50" t="s">
        <v>2066</v>
      </c>
      <c r="E442" s="50" t="s">
        <v>2128</v>
      </c>
      <c r="F442" s="51">
        <v>96.716986788484647</v>
      </c>
      <c r="G442" s="51">
        <v>97.329486788484644</v>
      </c>
      <c r="H442" s="51">
        <v>18.52</v>
      </c>
      <c r="I442" s="52">
        <v>159</v>
      </c>
      <c r="J442" s="50" t="s">
        <v>19</v>
      </c>
    </row>
    <row r="443" spans="2:10" ht="15" customHeight="1">
      <c r="B443" s="47" t="s">
        <v>1458</v>
      </c>
      <c r="C443" s="50" t="s">
        <v>1459</v>
      </c>
      <c r="D443" s="50" t="s">
        <v>2064</v>
      </c>
      <c r="E443" s="50" t="s">
        <v>1460</v>
      </c>
      <c r="F443" s="51">
        <v>24159.354100000004</v>
      </c>
      <c r="G443" s="51">
        <v>24159.354100000004</v>
      </c>
      <c r="H443" s="51">
        <v>0</v>
      </c>
      <c r="I443" s="52">
        <v>0</v>
      </c>
      <c r="J443" s="50" t="s">
        <v>1786</v>
      </c>
    </row>
    <row r="444" spans="2:10" ht="15" customHeight="1">
      <c r="B444" s="47" t="s">
        <v>576</v>
      </c>
      <c r="C444" s="50" t="s">
        <v>577</v>
      </c>
      <c r="D444" s="50" t="s">
        <v>2064</v>
      </c>
      <c r="E444" s="50" t="s">
        <v>54</v>
      </c>
      <c r="F444" s="51">
        <v>5830</v>
      </c>
      <c r="G444" s="51">
        <v>5830</v>
      </c>
      <c r="H444" s="51">
        <v>0</v>
      </c>
      <c r="I444" s="52">
        <v>0</v>
      </c>
      <c r="J444" s="50" t="s">
        <v>1786</v>
      </c>
    </row>
    <row r="445" spans="2:10" ht="15" customHeight="1">
      <c r="B445" s="47" t="s">
        <v>1263</v>
      </c>
      <c r="C445" s="50" t="s">
        <v>1264</v>
      </c>
      <c r="D445" s="50" t="s">
        <v>2107</v>
      </c>
      <c r="E445" s="50" t="s">
        <v>2342</v>
      </c>
      <c r="F445" s="51">
        <v>565685.32660000015</v>
      </c>
      <c r="G445" s="51">
        <v>565685.32660000015</v>
      </c>
      <c r="H445" s="51">
        <v>0</v>
      </c>
      <c r="I445" s="52">
        <v>0</v>
      </c>
      <c r="J445" s="50" t="s">
        <v>1786</v>
      </c>
    </row>
    <row r="446" spans="2:10" ht="15" customHeight="1">
      <c r="B446" s="47" t="s">
        <v>578</v>
      </c>
      <c r="C446" s="50" t="s">
        <v>579</v>
      </c>
      <c r="D446" s="50" t="s">
        <v>2107</v>
      </c>
      <c r="E446" s="50" t="s">
        <v>2342</v>
      </c>
      <c r="F446" s="51">
        <v>12010.075000000001</v>
      </c>
      <c r="G446" s="51">
        <v>12010.075000000001</v>
      </c>
      <c r="H446" s="51">
        <v>0</v>
      </c>
      <c r="I446" s="52">
        <v>0</v>
      </c>
      <c r="J446" s="50" t="s">
        <v>1786</v>
      </c>
    </row>
    <row r="447" spans="2:10" ht="15" customHeight="1">
      <c r="B447" s="47" t="s">
        <v>580</v>
      </c>
      <c r="C447" s="50" t="s">
        <v>581</v>
      </c>
      <c r="D447" s="50" t="s">
        <v>2107</v>
      </c>
      <c r="E447" s="50" t="s">
        <v>2342</v>
      </c>
      <c r="F447" s="51">
        <v>15073.115</v>
      </c>
      <c r="G447" s="51">
        <v>15073.115</v>
      </c>
      <c r="H447" s="51">
        <v>0</v>
      </c>
      <c r="I447" s="52">
        <v>0</v>
      </c>
      <c r="J447" s="50" t="s">
        <v>1786</v>
      </c>
    </row>
    <row r="448" spans="2:10" ht="15" customHeight="1">
      <c r="B448" s="47" t="s">
        <v>1261</v>
      </c>
      <c r="C448" s="50" t="s">
        <v>1262</v>
      </c>
      <c r="D448" s="50" t="s">
        <v>2107</v>
      </c>
      <c r="E448" s="50" t="s">
        <v>2342</v>
      </c>
      <c r="F448" s="51">
        <v>629430.05430000008</v>
      </c>
      <c r="G448" s="51">
        <v>629430.05430000008</v>
      </c>
      <c r="H448" s="51">
        <v>0</v>
      </c>
      <c r="I448" s="52">
        <v>0</v>
      </c>
      <c r="J448" s="50" t="s">
        <v>1786</v>
      </c>
    </row>
    <row r="449" spans="2:10" ht="15" customHeight="1">
      <c r="B449" s="47" t="s">
        <v>1534</v>
      </c>
      <c r="C449" s="50" t="s">
        <v>1535</v>
      </c>
      <c r="D449" s="50" t="s">
        <v>2064</v>
      </c>
      <c r="E449" s="50" t="s">
        <v>2129</v>
      </c>
      <c r="F449" s="51">
        <v>10691.67</v>
      </c>
      <c r="G449" s="51">
        <v>10691.67</v>
      </c>
      <c r="H449" s="51">
        <v>0</v>
      </c>
      <c r="I449" s="52">
        <v>0</v>
      </c>
      <c r="J449" s="50" t="s">
        <v>1786</v>
      </c>
    </row>
    <row r="450" spans="2:10" ht="15" customHeight="1">
      <c r="B450" s="47" t="s">
        <v>1536</v>
      </c>
      <c r="C450" s="50" t="s">
        <v>1537</v>
      </c>
      <c r="D450" s="50" t="s">
        <v>2066</v>
      </c>
      <c r="E450" s="50" t="s">
        <v>2130</v>
      </c>
      <c r="F450" s="51">
        <v>100</v>
      </c>
      <c r="G450" s="51">
        <v>102.3</v>
      </c>
      <c r="H450" s="51">
        <v>11.46</v>
      </c>
      <c r="I450" s="52">
        <v>1008</v>
      </c>
      <c r="J450" s="50" t="s">
        <v>19</v>
      </c>
    </row>
    <row r="451" spans="2:10" ht="15" customHeight="1">
      <c r="B451" s="47" t="s">
        <v>1637</v>
      </c>
      <c r="C451" s="50" t="s">
        <v>1638</v>
      </c>
      <c r="D451" s="50" t="s">
        <v>2066</v>
      </c>
      <c r="E451" s="50" t="s">
        <v>2130</v>
      </c>
      <c r="F451" s="51">
        <v>100</v>
      </c>
      <c r="G451" s="51">
        <v>100.1944</v>
      </c>
      <c r="H451" s="51">
        <v>10</v>
      </c>
      <c r="I451" s="52">
        <v>3233</v>
      </c>
      <c r="J451" s="50" t="s">
        <v>19</v>
      </c>
    </row>
    <row r="452" spans="2:10" ht="15" customHeight="1">
      <c r="B452" s="47" t="s">
        <v>1877</v>
      </c>
      <c r="C452" s="50" t="s">
        <v>1878</v>
      </c>
      <c r="D452" s="50" t="s">
        <v>2066</v>
      </c>
      <c r="E452" s="50" t="s">
        <v>2131</v>
      </c>
      <c r="F452" s="51">
        <v>100.63429057408641</v>
      </c>
      <c r="G452" s="51">
        <v>106.7453905740864</v>
      </c>
      <c r="H452" s="51">
        <v>23.62</v>
      </c>
      <c r="I452" s="52">
        <v>182</v>
      </c>
      <c r="J452" s="50" t="s">
        <v>19</v>
      </c>
    </row>
    <row r="453" spans="2:10" ht="15" customHeight="1">
      <c r="B453" s="47" t="s">
        <v>1412</v>
      </c>
      <c r="C453" s="50" t="s">
        <v>1413</v>
      </c>
      <c r="D453" s="50" t="s">
        <v>2110</v>
      </c>
      <c r="E453" s="50" t="s">
        <v>1414</v>
      </c>
      <c r="F453" s="51">
        <v>17270.142250000004</v>
      </c>
      <c r="G453" s="51">
        <v>17270.142250000004</v>
      </c>
      <c r="H453" s="51">
        <v>0</v>
      </c>
      <c r="I453" s="52">
        <v>0</v>
      </c>
      <c r="J453" s="50" t="s">
        <v>1786</v>
      </c>
    </row>
    <row r="454" spans="2:10" ht="15" customHeight="1">
      <c r="B454" s="47" t="s">
        <v>58</v>
      </c>
      <c r="C454" s="50" t="s">
        <v>59</v>
      </c>
      <c r="D454" s="50" t="s">
        <v>2066</v>
      </c>
      <c r="E454" s="50" t="s">
        <v>57</v>
      </c>
      <c r="F454" s="51">
        <v>88.722289735819459</v>
      </c>
      <c r="G454" s="51">
        <v>93.255589735819456</v>
      </c>
      <c r="H454" s="51">
        <v>33.380000000000003</v>
      </c>
      <c r="I454" s="52">
        <v>224</v>
      </c>
      <c r="J454" s="50" t="s">
        <v>19</v>
      </c>
    </row>
    <row r="455" spans="2:10" ht="15" customHeight="1">
      <c r="B455" s="47" t="s">
        <v>1649</v>
      </c>
      <c r="C455" s="50" t="s">
        <v>1650</v>
      </c>
      <c r="D455" s="50" t="s">
        <v>2066</v>
      </c>
      <c r="E455" s="50" t="s">
        <v>57</v>
      </c>
      <c r="F455" s="51">
        <v>98.174349651430461</v>
      </c>
      <c r="G455" s="51">
        <v>98.388249651430456</v>
      </c>
      <c r="H455" s="51">
        <v>13.04</v>
      </c>
      <c r="I455" s="52">
        <v>353</v>
      </c>
      <c r="J455" s="50" t="s">
        <v>19</v>
      </c>
    </row>
    <row r="456" spans="2:10" ht="15" customHeight="1">
      <c r="B456" s="47" t="s">
        <v>1891</v>
      </c>
      <c r="C456" s="50" t="s">
        <v>1892</v>
      </c>
      <c r="D456" s="50" t="s">
        <v>2066</v>
      </c>
      <c r="E456" s="50" t="s">
        <v>57</v>
      </c>
      <c r="F456" s="51">
        <v>89.974417546931917</v>
      </c>
      <c r="G456" s="51">
        <v>95.199417546931912</v>
      </c>
      <c r="H456" s="51">
        <v>33.32</v>
      </c>
      <c r="I456" s="52">
        <v>189</v>
      </c>
      <c r="J456" s="50" t="s">
        <v>19</v>
      </c>
    </row>
    <row r="457" spans="2:10" ht="15" customHeight="1">
      <c r="B457" s="47" t="s">
        <v>1340</v>
      </c>
      <c r="C457" s="50" t="s">
        <v>1341</v>
      </c>
      <c r="D457" s="50" t="s">
        <v>2064</v>
      </c>
      <c r="E457" s="50" t="s">
        <v>1342</v>
      </c>
      <c r="F457" s="51">
        <v>89985.113750000019</v>
      </c>
      <c r="G457" s="51">
        <v>89985.113750000019</v>
      </c>
      <c r="H457" s="51">
        <v>0</v>
      </c>
      <c r="I457" s="52">
        <v>0</v>
      </c>
      <c r="J457" s="50" t="s">
        <v>1786</v>
      </c>
    </row>
    <row r="458" spans="2:10" ht="15" customHeight="1">
      <c r="B458" s="47" t="s">
        <v>582</v>
      </c>
      <c r="C458" s="50" t="s">
        <v>583</v>
      </c>
      <c r="D458" s="50" t="s">
        <v>2066</v>
      </c>
      <c r="E458" s="50" t="s">
        <v>2132</v>
      </c>
      <c r="F458" s="51">
        <v>93.848762257247685</v>
      </c>
      <c r="G458" s="51">
        <v>99.666562257247691</v>
      </c>
      <c r="H458" s="51">
        <v>18.86</v>
      </c>
      <c r="I458" s="52">
        <v>364</v>
      </c>
      <c r="J458" s="50" t="s">
        <v>19</v>
      </c>
    </row>
    <row r="459" spans="2:10" ht="15" customHeight="1">
      <c r="B459" s="47" t="s">
        <v>1391</v>
      </c>
      <c r="C459" s="50" t="s">
        <v>1392</v>
      </c>
      <c r="D459" s="50" t="s">
        <v>2064</v>
      </c>
      <c r="E459" s="50" t="s">
        <v>1393</v>
      </c>
      <c r="F459" s="51">
        <v>42694.806850000008</v>
      </c>
      <c r="G459" s="51">
        <v>42694.806850000008</v>
      </c>
      <c r="H459" s="51">
        <v>0</v>
      </c>
      <c r="I459" s="52">
        <v>0</v>
      </c>
      <c r="J459" s="50" t="s">
        <v>1786</v>
      </c>
    </row>
    <row r="460" spans="2:10" ht="15" customHeight="1">
      <c r="B460" s="47" t="s">
        <v>1467</v>
      </c>
      <c r="C460" s="50" t="s">
        <v>1468</v>
      </c>
      <c r="D460" s="50" t="s">
        <v>2064</v>
      </c>
      <c r="E460" s="50" t="s">
        <v>1469</v>
      </c>
      <c r="F460" s="51">
        <v>6135.4098500000009</v>
      </c>
      <c r="G460" s="51">
        <v>6135.4098500000009</v>
      </c>
      <c r="H460" s="51">
        <v>0</v>
      </c>
      <c r="I460" s="52">
        <v>0</v>
      </c>
      <c r="J460" s="50" t="s">
        <v>1786</v>
      </c>
    </row>
    <row r="461" spans="2:10" ht="15" customHeight="1">
      <c r="B461" s="47" t="s">
        <v>1307</v>
      </c>
      <c r="C461" s="50" t="s">
        <v>1308</v>
      </c>
      <c r="D461" s="50" t="s">
        <v>2064</v>
      </c>
      <c r="E461" s="50" t="s">
        <v>1309</v>
      </c>
      <c r="F461" s="51">
        <v>5758.8267999999998</v>
      </c>
      <c r="G461" s="51">
        <v>5758.8267999999998</v>
      </c>
      <c r="H461" s="51">
        <v>0</v>
      </c>
      <c r="I461" s="52">
        <v>0</v>
      </c>
      <c r="J461" s="50" t="s">
        <v>1786</v>
      </c>
    </row>
    <row r="462" spans="2:10" ht="15" customHeight="1">
      <c r="B462" s="47" t="s">
        <v>1452</v>
      </c>
      <c r="C462" s="50" t="s">
        <v>1453</v>
      </c>
      <c r="D462" s="50" t="s">
        <v>2110</v>
      </c>
      <c r="E462" s="50" t="s">
        <v>1454</v>
      </c>
      <c r="F462" s="51">
        <v>36909.376500000006</v>
      </c>
      <c r="G462" s="51">
        <v>36909.376500000006</v>
      </c>
      <c r="H462" s="51">
        <v>0</v>
      </c>
      <c r="I462" s="52">
        <v>0</v>
      </c>
      <c r="J462" s="50" t="s">
        <v>1786</v>
      </c>
    </row>
    <row r="463" spans="2:10" ht="15" customHeight="1">
      <c r="B463" s="47" t="s">
        <v>1900</v>
      </c>
      <c r="C463" s="50" t="s">
        <v>1275</v>
      </c>
      <c r="D463" s="50" t="s">
        <v>2110</v>
      </c>
      <c r="E463" s="50" t="s">
        <v>1276</v>
      </c>
      <c r="F463" s="51">
        <v>181030.93460000004</v>
      </c>
      <c r="G463" s="51">
        <v>181030.93460000004</v>
      </c>
      <c r="H463" s="51">
        <v>0</v>
      </c>
      <c r="I463" s="52">
        <v>0</v>
      </c>
      <c r="J463" s="50" t="s">
        <v>1786</v>
      </c>
    </row>
    <row r="464" spans="2:10" ht="15" customHeight="1">
      <c r="B464" s="47" t="s">
        <v>1434</v>
      </c>
      <c r="C464" s="50" t="s">
        <v>1435</v>
      </c>
      <c r="D464" s="50" t="s">
        <v>2064</v>
      </c>
      <c r="E464" s="50" t="s">
        <v>1436</v>
      </c>
      <c r="F464" s="51">
        <v>129688.94195000002</v>
      </c>
      <c r="G464" s="51">
        <v>129688.94195000002</v>
      </c>
      <c r="H464" s="51">
        <v>0</v>
      </c>
      <c r="I464" s="52">
        <v>0</v>
      </c>
      <c r="J464" s="50" t="s">
        <v>1786</v>
      </c>
    </row>
    <row r="465" spans="2:10" ht="15" customHeight="1">
      <c r="B465" s="47" t="s">
        <v>60</v>
      </c>
      <c r="C465" s="50" t="s">
        <v>61</v>
      </c>
      <c r="D465" s="50" t="s">
        <v>2066</v>
      </c>
      <c r="E465" s="50" t="s">
        <v>62</v>
      </c>
      <c r="F465" s="51">
        <v>98.559399999999997</v>
      </c>
      <c r="G465" s="51">
        <v>100.43859999999999</v>
      </c>
      <c r="H465" s="51">
        <v>18.25</v>
      </c>
      <c r="I465" s="52">
        <v>319</v>
      </c>
      <c r="J465" s="50" t="s">
        <v>19</v>
      </c>
    </row>
    <row r="466" spans="2:10" ht="15" customHeight="1">
      <c r="B466" s="47" t="s">
        <v>63</v>
      </c>
      <c r="C466" s="50" t="s">
        <v>64</v>
      </c>
      <c r="D466" s="50" t="s">
        <v>2066</v>
      </c>
      <c r="E466" s="50" t="s">
        <v>62</v>
      </c>
      <c r="F466" s="51">
        <v>96.660799999999995</v>
      </c>
      <c r="G466" s="51">
        <v>98.173299999999998</v>
      </c>
      <c r="H466" s="51">
        <v>18</v>
      </c>
      <c r="I466" s="52">
        <v>1047</v>
      </c>
      <c r="J466" s="50" t="s">
        <v>19</v>
      </c>
    </row>
    <row r="467" spans="2:10" ht="15" customHeight="1">
      <c r="B467" s="47" t="s">
        <v>1869</v>
      </c>
      <c r="C467" s="50" t="s">
        <v>1870</v>
      </c>
      <c r="D467" s="50" t="s">
        <v>2066</v>
      </c>
      <c r="E467" s="50" t="s">
        <v>62</v>
      </c>
      <c r="F467" s="51">
        <v>98.226990575553657</v>
      </c>
      <c r="G467" s="51">
        <v>98.932790575553668</v>
      </c>
      <c r="H467" s="51">
        <v>19.07</v>
      </c>
      <c r="I467" s="52">
        <v>886</v>
      </c>
      <c r="J467" s="50" t="s">
        <v>19</v>
      </c>
    </row>
    <row r="468" spans="2:10" ht="15" customHeight="1">
      <c r="B468" s="47" t="s">
        <v>65</v>
      </c>
      <c r="C468" s="50" t="s">
        <v>66</v>
      </c>
      <c r="D468" s="50" t="s">
        <v>2066</v>
      </c>
      <c r="E468" s="50" t="s">
        <v>62</v>
      </c>
      <c r="F468" s="51">
        <v>97.348100000000002</v>
      </c>
      <c r="G468" s="51">
        <v>100.9898</v>
      </c>
      <c r="H468" s="51">
        <v>19</v>
      </c>
      <c r="I468" s="52">
        <v>644</v>
      </c>
      <c r="J468" s="50" t="s">
        <v>19</v>
      </c>
    </row>
    <row r="469" spans="2:10" ht="15" customHeight="1">
      <c r="B469" s="47" t="s">
        <v>67</v>
      </c>
      <c r="C469" s="50" t="s">
        <v>68</v>
      </c>
      <c r="D469" s="50" t="s">
        <v>2066</v>
      </c>
      <c r="E469" s="50" t="s">
        <v>62</v>
      </c>
      <c r="F469" s="51">
        <v>97.905199999999994</v>
      </c>
      <c r="G469" s="51">
        <v>101.0677</v>
      </c>
      <c r="H469" s="51">
        <v>18</v>
      </c>
      <c r="I469" s="52">
        <v>1374</v>
      </c>
      <c r="J469" s="50" t="s">
        <v>19</v>
      </c>
    </row>
    <row r="470" spans="2:10" ht="15" customHeight="1">
      <c r="B470" s="47" t="s">
        <v>2310</v>
      </c>
      <c r="C470" s="50" t="s">
        <v>2311</v>
      </c>
      <c r="D470" s="50" t="s">
        <v>2066</v>
      </c>
      <c r="E470" s="50" t="s">
        <v>62</v>
      </c>
      <c r="F470" s="51">
        <v>100.76302435253153</v>
      </c>
      <c r="G470" s="51">
        <v>103.78722435253152</v>
      </c>
      <c r="H470" s="51">
        <v>18.82</v>
      </c>
      <c r="I470" s="52">
        <v>1743</v>
      </c>
      <c r="J470" s="50" t="s">
        <v>19</v>
      </c>
    </row>
    <row r="471" spans="2:10" ht="15" customHeight="1">
      <c r="B471" s="47" t="s">
        <v>2281</v>
      </c>
      <c r="C471" s="50" t="s">
        <v>2282</v>
      </c>
      <c r="D471" s="50" t="s">
        <v>2066</v>
      </c>
      <c r="E471" s="50" t="s">
        <v>62</v>
      </c>
      <c r="F471" s="51">
        <v>100.10461001342513</v>
      </c>
      <c r="G471" s="51">
        <v>103.68721001342513</v>
      </c>
      <c r="H471" s="51">
        <v>19.11</v>
      </c>
      <c r="I471" s="52">
        <v>653</v>
      </c>
      <c r="J471" s="50" t="s">
        <v>19</v>
      </c>
    </row>
    <row r="472" spans="2:10" ht="15" customHeight="1">
      <c r="B472" s="47" t="s">
        <v>1538</v>
      </c>
      <c r="C472" s="50" t="s">
        <v>1539</v>
      </c>
      <c r="D472" s="50" t="s">
        <v>2107</v>
      </c>
      <c r="E472" s="50" t="s">
        <v>2133</v>
      </c>
      <c r="F472" s="51">
        <v>4308.0324000000001</v>
      </c>
      <c r="G472" s="51">
        <v>4308.0324000000001</v>
      </c>
      <c r="H472" s="51">
        <v>0</v>
      </c>
      <c r="I472" s="52">
        <v>0</v>
      </c>
      <c r="J472" s="50" t="s">
        <v>1786</v>
      </c>
    </row>
    <row r="473" spans="2:10" ht="15" customHeight="1">
      <c r="B473" s="47" t="s">
        <v>1397</v>
      </c>
      <c r="C473" s="50" t="s">
        <v>1398</v>
      </c>
      <c r="D473" s="50" t="s">
        <v>2064</v>
      </c>
      <c r="E473" s="50" t="s">
        <v>2134</v>
      </c>
      <c r="F473" s="51">
        <v>535.10519475000012</v>
      </c>
      <c r="G473" s="51">
        <v>535.10519475000012</v>
      </c>
      <c r="H473" s="51">
        <v>0</v>
      </c>
      <c r="I473" s="52">
        <v>527</v>
      </c>
      <c r="J473" s="50" t="s">
        <v>1786</v>
      </c>
    </row>
    <row r="474" spans="2:10" ht="15" customHeight="1">
      <c r="B474" s="47" t="s">
        <v>1092</v>
      </c>
      <c r="C474" s="50" t="s">
        <v>1093</v>
      </c>
      <c r="D474" s="50" t="s">
        <v>2066</v>
      </c>
      <c r="E474" s="50" t="s">
        <v>80</v>
      </c>
      <c r="F474" s="51">
        <v>101.29899488423008</v>
      </c>
      <c r="G474" s="51">
        <v>103.67949488423008</v>
      </c>
      <c r="H474" s="51">
        <v>18.239999999999998</v>
      </c>
      <c r="I474" s="52">
        <v>2114</v>
      </c>
      <c r="J474" s="50" t="s">
        <v>19</v>
      </c>
    </row>
    <row r="475" spans="2:10" ht="15" customHeight="1">
      <c r="B475" s="47" t="s">
        <v>1781</v>
      </c>
      <c r="C475" s="50" t="s">
        <v>1782</v>
      </c>
      <c r="D475" s="50" t="s">
        <v>2066</v>
      </c>
      <c r="E475" s="50" t="s">
        <v>80</v>
      </c>
      <c r="F475" s="51">
        <v>100</v>
      </c>
      <c r="G475" s="51">
        <v>104.6932</v>
      </c>
      <c r="H475" s="51">
        <v>17.079999999999998</v>
      </c>
      <c r="I475" s="52">
        <v>813</v>
      </c>
      <c r="J475" s="50" t="s">
        <v>19</v>
      </c>
    </row>
    <row r="476" spans="2:10" ht="15" customHeight="1">
      <c r="B476" s="47" t="s">
        <v>1450</v>
      </c>
      <c r="C476" s="50" t="s">
        <v>1451</v>
      </c>
      <c r="D476" s="50" t="s">
        <v>2110</v>
      </c>
      <c r="E476" s="50" t="s">
        <v>1405</v>
      </c>
      <c r="F476" s="51">
        <v>43556.294850000006</v>
      </c>
      <c r="G476" s="51">
        <v>43556.294850000006</v>
      </c>
      <c r="H476" s="51">
        <v>0</v>
      </c>
      <c r="I476" s="52">
        <v>0</v>
      </c>
      <c r="J476" s="50" t="s">
        <v>1786</v>
      </c>
    </row>
    <row r="477" spans="2:10" ht="15" customHeight="1">
      <c r="B477" s="47" t="s">
        <v>1406</v>
      </c>
      <c r="C477" s="50" t="s">
        <v>1407</v>
      </c>
      <c r="D477" s="50" t="s">
        <v>2064</v>
      </c>
      <c r="E477" s="50" t="s">
        <v>1408</v>
      </c>
      <c r="F477" s="51">
        <v>139334.91540000003</v>
      </c>
      <c r="G477" s="51">
        <v>139334.91540000003</v>
      </c>
      <c r="H477" s="51">
        <v>0</v>
      </c>
      <c r="I477" s="52">
        <v>0</v>
      </c>
      <c r="J477" s="50" t="s">
        <v>1786</v>
      </c>
    </row>
    <row r="478" spans="2:10" ht="15" customHeight="1">
      <c r="B478" s="47" t="s">
        <v>1145</v>
      </c>
      <c r="C478" s="50" t="s">
        <v>1146</v>
      </c>
      <c r="D478" s="50" t="s">
        <v>2066</v>
      </c>
      <c r="E478" s="50" t="s">
        <v>2135</v>
      </c>
      <c r="F478" s="51">
        <v>102.934</v>
      </c>
      <c r="G478" s="51">
        <v>103.4479</v>
      </c>
      <c r="H478" s="51">
        <v>3.55</v>
      </c>
      <c r="I478" s="52">
        <v>1040</v>
      </c>
      <c r="J478" s="50" t="s">
        <v>19</v>
      </c>
    </row>
    <row r="479" spans="2:10" ht="15" customHeight="1">
      <c r="B479" s="47" t="s">
        <v>1187</v>
      </c>
      <c r="C479" s="50" t="s">
        <v>1188</v>
      </c>
      <c r="D479" s="50" t="s">
        <v>2066</v>
      </c>
      <c r="E479" s="50" t="s">
        <v>2135</v>
      </c>
      <c r="F479" s="51">
        <v>100.099</v>
      </c>
      <c r="G479" s="51">
        <v>101.8108</v>
      </c>
      <c r="H479" s="51">
        <v>3.6</v>
      </c>
      <c r="I479" s="52">
        <v>1450</v>
      </c>
      <c r="J479" s="50" t="s">
        <v>19</v>
      </c>
    </row>
    <row r="480" spans="2:10" ht="15" customHeight="1">
      <c r="B480" s="47" t="s">
        <v>1726</v>
      </c>
      <c r="C480" s="50" t="s">
        <v>1727</v>
      </c>
      <c r="D480" s="50" t="s">
        <v>2066</v>
      </c>
      <c r="E480" s="50" t="s">
        <v>2135</v>
      </c>
      <c r="F480" s="51">
        <v>101.48</v>
      </c>
      <c r="G480" s="51">
        <v>102.15779999999999</v>
      </c>
      <c r="H480" s="51">
        <v>3.69</v>
      </c>
      <c r="I480" s="52">
        <v>1919</v>
      </c>
      <c r="J480" s="50" t="s">
        <v>19</v>
      </c>
    </row>
    <row r="481" spans="2:10" ht="15" customHeight="1">
      <c r="B481" s="47" t="s">
        <v>1728</v>
      </c>
      <c r="C481" s="50" t="s">
        <v>1729</v>
      </c>
      <c r="D481" s="50" t="s">
        <v>2066</v>
      </c>
      <c r="E481" s="50" t="s">
        <v>2135</v>
      </c>
      <c r="F481" s="51">
        <v>103.931</v>
      </c>
      <c r="G481" s="51">
        <v>105.8185</v>
      </c>
      <c r="H481" s="51">
        <v>3.71</v>
      </c>
      <c r="I481" s="52">
        <v>2009</v>
      </c>
      <c r="J481" s="50" t="s">
        <v>19</v>
      </c>
    </row>
    <row r="482" spans="2:10" ht="15" customHeight="1">
      <c r="B482" s="47" t="s">
        <v>1540</v>
      </c>
      <c r="C482" s="50" t="s">
        <v>1541</v>
      </c>
      <c r="D482" s="50" t="s">
        <v>2064</v>
      </c>
      <c r="E482" s="50" t="s">
        <v>2136</v>
      </c>
      <c r="F482" s="51">
        <v>1</v>
      </c>
      <c r="G482" s="51">
        <v>1</v>
      </c>
      <c r="H482" s="51">
        <v>0</v>
      </c>
      <c r="I482" s="52">
        <v>1000</v>
      </c>
      <c r="J482" s="50" t="s">
        <v>1786</v>
      </c>
    </row>
    <row r="483" spans="2:10" ht="15" customHeight="1">
      <c r="B483" s="47" t="s">
        <v>1901</v>
      </c>
      <c r="C483" s="50" t="s">
        <v>1399</v>
      </c>
      <c r="D483" s="50" t="s">
        <v>2110</v>
      </c>
      <c r="E483" s="50" t="s">
        <v>1400</v>
      </c>
      <c r="F483" s="51">
        <v>7879.9230500000012</v>
      </c>
      <c r="G483" s="51">
        <v>7879.9230500000012</v>
      </c>
      <c r="H483" s="51">
        <v>0</v>
      </c>
      <c r="I483" s="52">
        <v>0</v>
      </c>
      <c r="J483" s="50" t="s">
        <v>1786</v>
      </c>
    </row>
    <row r="484" spans="2:10" ht="15" customHeight="1">
      <c r="B484" s="47" t="s">
        <v>2040</v>
      </c>
      <c r="C484" s="50" t="s">
        <v>2041</v>
      </c>
      <c r="D484" s="50" t="s">
        <v>2066</v>
      </c>
      <c r="E484" s="50" t="s">
        <v>2137</v>
      </c>
      <c r="F484" s="51">
        <v>100.19044481726729</v>
      </c>
      <c r="G484" s="51">
        <v>100.67794481726729</v>
      </c>
      <c r="H484" s="51">
        <v>12.59</v>
      </c>
      <c r="I484" s="52">
        <v>77</v>
      </c>
      <c r="J484" s="50" t="s">
        <v>19</v>
      </c>
    </row>
    <row r="485" spans="2:10" ht="15" customHeight="1">
      <c r="B485" s="47" t="s">
        <v>584</v>
      </c>
      <c r="C485" s="50" t="s">
        <v>585</v>
      </c>
      <c r="D485" s="50" t="s">
        <v>2066</v>
      </c>
      <c r="E485" s="50" t="s">
        <v>2138</v>
      </c>
      <c r="F485" s="51">
        <v>79.994384008159713</v>
      </c>
      <c r="G485" s="51">
        <v>83.927684008159716</v>
      </c>
      <c r="H485" s="51">
        <v>17.87</v>
      </c>
      <c r="I485" s="52">
        <v>1860</v>
      </c>
      <c r="J485" s="50" t="s">
        <v>19</v>
      </c>
    </row>
    <row r="486" spans="2:10" ht="15" customHeight="1">
      <c r="B486" s="47" t="s">
        <v>586</v>
      </c>
      <c r="C486" s="50" t="s">
        <v>587</v>
      </c>
      <c r="D486" s="50" t="s">
        <v>2066</v>
      </c>
      <c r="E486" s="50" t="s">
        <v>2138</v>
      </c>
      <c r="F486" s="51">
        <v>78.282755563926671</v>
      </c>
      <c r="G486" s="51">
        <v>83.777155563926669</v>
      </c>
      <c r="H486" s="51">
        <v>17.84</v>
      </c>
      <c r="I486" s="52">
        <v>1988</v>
      </c>
      <c r="J486" s="50" t="s">
        <v>19</v>
      </c>
    </row>
    <row r="487" spans="2:10" ht="15" customHeight="1">
      <c r="B487" s="47" t="s">
        <v>1225</v>
      </c>
      <c r="C487" s="50" t="s">
        <v>1226</v>
      </c>
      <c r="D487" s="50" t="s">
        <v>2066</v>
      </c>
      <c r="E487" s="50" t="s">
        <v>2138</v>
      </c>
      <c r="F487" s="51">
        <v>87.851872279856565</v>
      </c>
      <c r="G487" s="51">
        <v>91.950772279856565</v>
      </c>
      <c r="H487" s="51">
        <v>17.53</v>
      </c>
      <c r="I487" s="52">
        <v>1141</v>
      </c>
      <c r="J487" s="50" t="s">
        <v>19</v>
      </c>
    </row>
    <row r="488" spans="2:10" ht="15" customHeight="1">
      <c r="B488" s="47" t="s">
        <v>588</v>
      </c>
      <c r="C488" s="50" t="s">
        <v>589</v>
      </c>
      <c r="D488" s="50" t="s">
        <v>2066</v>
      </c>
      <c r="E488" s="50" t="s">
        <v>2138</v>
      </c>
      <c r="F488" s="51">
        <v>73.806534740981206</v>
      </c>
      <c r="G488" s="51">
        <v>82.025334740981208</v>
      </c>
      <c r="H488" s="51">
        <v>18.5</v>
      </c>
      <c r="I488" s="52">
        <v>4815</v>
      </c>
      <c r="J488" s="50" t="s">
        <v>19</v>
      </c>
    </row>
    <row r="489" spans="2:10" ht="15" customHeight="1">
      <c r="B489" s="47" t="s">
        <v>1689</v>
      </c>
      <c r="C489" s="50" t="s">
        <v>1690</v>
      </c>
      <c r="D489" s="50" t="s">
        <v>2064</v>
      </c>
      <c r="E489" s="50" t="s">
        <v>2138</v>
      </c>
      <c r="F489" s="51">
        <v>1037.19</v>
      </c>
      <c r="G489" s="51">
        <v>1037.19</v>
      </c>
      <c r="H489" s="51">
        <v>0</v>
      </c>
      <c r="I489" s="52">
        <v>2959</v>
      </c>
      <c r="J489" s="50" t="s">
        <v>1786</v>
      </c>
    </row>
    <row r="490" spans="2:10" ht="15" customHeight="1">
      <c r="B490" s="47" t="s">
        <v>1265</v>
      </c>
      <c r="C490" s="50" t="s">
        <v>1266</v>
      </c>
      <c r="D490" s="50" t="s">
        <v>2110</v>
      </c>
      <c r="E490" s="50" t="s">
        <v>2139</v>
      </c>
      <c r="F490" s="51">
        <v>4299.7125886185095</v>
      </c>
      <c r="G490" s="51">
        <v>4299.7125886185095</v>
      </c>
      <c r="H490" s="51">
        <v>0</v>
      </c>
      <c r="I490" s="52">
        <v>0</v>
      </c>
      <c r="J490" s="50" t="s">
        <v>1786</v>
      </c>
    </row>
    <row r="491" spans="2:10" ht="15" customHeight="1">
      <c r="B491" s="47" t="s">
        <v>1371</v>
      </c>
      <c r="C491" s="50" t="s">
        <v>1372</v>
      </c>
      <c r="D491" s="50" t="s">
        <v>2064</v>
      </c>
      <c r="E491" s="50" t="s">
        <v>2140</v>
      </c>
      <c r="F491" s="51">
        <v>75190.745358644446</v>
      </c>
      <c r="G491" s="51">
        <v>75190.745358644446</v>
      </c>
      <c r="H491" s="51">
        <v>0</v>
      </c>
      <c r="I491" s="52">
        <v>127</v>
      </c>
      <c r="J491" s="50" t="s">
        <v>1786</v>
      </c>
    </row>
    <row r="492" spans="2:10" ht="15" customHeight="1">
      <c r="B492" s="47" t="s">
        <v>1542</v>
      </c>
      <c r="C492" s="50" t="s">
        <v>1543</v>
      </c>
      <c r="D492" s="50" t="s">
        <v>2064</v>
      </c>
      <c r="E492" s="50" t="s">
        <v>2140</v>
      </c>
      <c r="F492" s="51">
        <v>1</v>
      </c>
      <c r="G492" s="51">
        <v>1</v>
      </c>
      <c r="H492" s="51">
        <v>0</v>
      </c>
      <c r="I492" s="52">
        <v>274</v>
      </c>
      <c r="J492" s="50" t="s">
        <v>1786</v>
      </c>
    </row>
    <row r="493" spans="2:10" ht="15" customHeight="1">
      <c r="B493" s="47" t="s">
        <v>1544</v>
      </c>
      <c r="C493" s="50" t="s">
        <v>1545</v>
      </c>
      <c r="D493" s="50" t="s">
        <v>2064</v>
      </c>
      <c r="E493" s="50" t="s">
        <v>2140</v>
      </c>
      <c r="F493" s="51">
        <v>1</v>
      </c>
      <c r="G493" s="51">
        <v>1</v>
      </c>
      <c r="H493" s="51">
        <v>0</v>
      </c>
      <c r="I493" s="52">
        <v>1096</v>
      </c>
      <c r="J493" s="50" t="s">
        <v>1786</v>
      </c>
    </row>
    <row r="494" spans="2:10" ht="15" customHeight="1">
      <c r="B494" s="47" t="s">
        <v>1253</v>
      </c>
      <c r="C494" s="50" t="s">
        <v>1254</v>
      </c>
      <c r="D494" s="50" t="s">
        <v>2066</v>
      </c>
      <c r="E494" s="50" t="s">
        <v>2140</v>
      </c>
      <c r="F494" s="51">
        <v>102.54900000000001</v>
      </c>
      <c r="G494" s="51">
        <v>103.274</v>
      </c>
      <c r="H494" s="51">
        <v>3.55</v>
      </c>
      <c r="I494" s="52">
        <v>1022</v>
      </c>
      <c r="J494" s="50" t="s">
        <v>19</v>
      </c>
    </row>
    <row r="495" spans="2:10" ht="15" customHeight="1">
      <c r="B495" s="47" t="s">
        <v>1418</v>
      </c>
      <c r="C495" s="50" t="s">
        <v>1419</v>
      </c>
      <c r="D495" s="50" t="s">
        <v>2110</v>
      </c>
      <c r="E495" s="50" t="s">
        <v>1400</v>
      </c>
      <c r="F495" s="51">
        <v>27715.684250000006</v>
      </c>
      <c r="G495" s="51">
        <v>27715.684250000006</v>
      </c>
      <c r="H495" s="51">
        <v>0</v>
      </c>
      <c r="I495" s="52">
        <v>0</v>
      </c>
      <c r="J495" s="50" t="s">
        <v>1786</v>
      </c>
    </row>
    <row r="496" spans="2:10" ht="15" customHeight="1">
      <c r="B496" s="47" t="s">
        <v>590</v>
      </c>
      <c r="C496" s="50" t="s">
        <v>591</v>
      </c>
      <c r="D496" s="50" t="s">
        <v>2066</v>
      </c>
      <c r="E496" s="50" t="s">
        <v>2141</v>
      </c>
      <c r="F496" s="51">
        <v>92.340787547342757</v>
      </c>
      <c r="G496" s="51">
        <v>99.340787547342757</v>
      </c>
      <c r="H496" s="51">
        <v>19.52</v>
      </c>
      <c r="I496" s="52">
        <v>2556</v>
      </c>
      <c r="J496" s="50" t="s">
        <v>19</v>
      </c>
    </row>
    <row r="497" spans="2:10" ht="15" customHeight="1">
      <c r="B497" s="47" t="s">
        <v>592</v>
      </c>
      <c r="C497" s="50" t="s">
        <v>593</v>
      </c>
      <c r="D497" s="50" t="s">
        <v>2066</v>
      </c>
      <c r="E497" s="50" t="s">
        <v>2141</v>
      </c>
      <c r="F497" s="51">
        <v>92.231233469149444</v>
      </c>
      <c r="G497" s="51">
        <v>96.411833469149443</v>
      </c>
      <c r="H497" s="51">
        <v>19.52</v>
      </c>
      <c r="I497" s="52">
        <v>2614</v>
      </c>
      <c r="J497" s="50" t="s">
        <v>19</v>
      </c>
    </row>
    <row r="498" spans="2:10" ht="15" customHeight="1">
      <c r="B498" s="47" t="s">
        <v>594</v>
      </c>
      <c r="C498" s="50" t="s">
        <v>595</v>
      </c>
      <c r="D498" s="50" t="s">
        <v>2066</v>
      </c>
      <c r="E498" s="50" t="s">
        <v>2141</v>
      </c>
      <c r="F498" s="51">
        <v>38.480731054359886</v>
      </c>
      <c r="G498" s="51">
        <v>39.28073105435989</v>
      </c>
      <c r="H498" s="51">
        <v>20.38</v>
      </c>
      <c r="I498" s="52">
        <v>2808</v>
      </c>
      <c r="J498" s="50" t="s">
        <v>19</v>
      </c>
    </row>
    <row r="499" spans="2:10" ht="15" customHeight="1">
      <c r="B499" s="47" t="s">
        <v>1639</v>
      </c>
      <c r="C499" s="50" t="s">
        <v>1640</v>
      </c>
      <c r="D499" s="50" t="s">
        <v>2066</v>
      </c>
      <c r="E499" s="50" t="s">
        <v>2141</v>
      </c>
      <c r="F499" s="51">
        <v>37.982756123679003</v>
      </c>
      <c r="G499" s="51">
        <v>38.149456123679002</v>
      </c>
      <c r="H499" s="51">
        <v>20.38</v>
      </c>
      <c r="I499" s="52">
        <v>2865</v>
      </c>
      <c r="J499" s="50" t="s">
        <v>19</v>
      </c>
    </row>
    <row r="500" spans="2:10" ht="15" customHeight="1">
      <c r="B500" s="47" t="s">
        <v>1657</v>
      </c>
      <c r="C500" s="50" t="s">
        <v>1658</v>
      </c>
      <c r="D500" s="50" t="s">
        <v>2066</v>
      </c>
      <c r="E500" s="50" t="s">
        <v>2141</v>
      </c>
      <c r="F500" s="51">
        <v>94.453739197855626</v>
      </c>
      <c r="G500" s="51">
        <v>103.11143919785563</v>
      </c>
      <c r="H500" s="51">
        <v>19.559999999999999</v>
      </c>
      <c r="I500" s="52">
        <v>2162</v>
      </c>
      <c r="J500" s="50" t="s">
        <v>19</v>
      </c>
    </row>
    <row r="501" spans="2:10" ht="15" customHeight="1">
      <c r="B501" s="47" t="s">
        <v>596</v>
      </c>
      <c r="C501" s="50" t="s">
        <v>597</v>
      </c>
      <c r="D501" s="50" t="s">
        <v>2066</v>
      </c>
      <c r="E501" s="50" t="s">
        <v>2141</v>
      </c>
      <c r="F501" s="51">
        <v>40.657678853672273</v>
      </c>
      <c r="G501" s="51">
        <v>43.868778853672275</v>
      </c>
      <c r="H501" s="51">
        <v>20.41</v>
      </c>
      <c r="I501" s="52">
        <v>2591</v>
      </c>
      <c r="J501" s="50" t="s">
        <v>19</v>
      </c>
    </row>
    <row r="502" spans="2:10" ht="15" customHeight="1">
      <c r="B502" s="47" t="s">
        <v>598</v>
      </c>
      <c r="C502" s="50" t="s">
        <v>599</v>
      </c>
      <c r="D502" s="50" t="s">
        <v>2066</v>
      </c>
      <c r="E502" s="50" t="s">
        <v>2141</v>
      </c>
      <c r="F502" s="51">
        <v>91.913251438127091</v>
      </c>
      <c r="G502" s="51">
        <v>96.99285143812709</v>
      </c>
      <c r="H502" s="51">
        <v>19.95</v>
      </c>
      <c r="I502" s="52">
        <v>373</v>
      </c>
      <c r="J502" s="50" t="s">
        <v>19</v>
      </c>
    </row>
    <row r="503" spans="2:10" ht="15" customHeight="1">
      <c r="B503" s="47" t="s">
        <v>600</v>
      </c>
      <c r="C503" s="50" t="s">
        <v>601</v>
      </c>
      <c r="D503" s="50" t="s">
        <v>2066</v>
      </c>
      <c r="E503" s="50" t="s">
        <v>2141</v>
      </c>
      <c r="F503" s="51">
        <v>72.089157575492962</v>
      </c>
      <c r="G503" s="51">
        <v>74.801657575492953</v>
      </c>
      <c r="H503" s="51">
        <v>19.57</v>
      </c>
      <c r="I503" s="52">
        <v>1890</v>
      </c>
      <c r="J503" s="50" t="s">
        <v>19</v>
      </c>
    </row>
    <row r="504" spans="2:10" ht="15" customHeight="1">
      <c r="B504" s="47" t="s">
        <v>602</v>
      </c>
      <c r="C504" s="50" t="s">
        <v>603</v>
      </c>
      <c r="D504" s="50" t="s">
        <v>2064</v>
      </c>
      <c r="E504" s="50" t="s">
        <v>2141</v>
      </c>
      <c r="F504" s="51">
        <v>10000</v>
      </c>
      <c r="G504" s="51">
        <v>10000</v>
      </c>
      <c r="H504" s="51">
        <v>0</v>
      </c>
      <c r="I504" s="52">
        <v>0</v>
      </c>
      <c r="J504" s="50" t="s">
        <v>1786</v>
      </c>
    </row>
    <row r="505" spans="2:10" ht="15" customHeight="1">
      <c r="B505" s="47" t="s">
        <v>1394</v>
      </c>
      <c r="C505" s="50" t="s">
        <v>1395</v>
      </c>
      <c r="D505" s="50" t="s">
        <v>2064</v>
      </c>
      <c r="E505" s="50" t="s">
        <v>1396</v>
      </c>
      <c r="F505" s="51">
        <v>13178.074250000003</v>
      </c>
      <c r="G505" s="51">
        <v>13178.074250000003</v>
      </c>
      <c r="H505" s="51">
        <v>0</v>
      </c>
      <c r="I505" s="52">
        <v>0</v>
      </c>
      <c r="J505" s="50" t="s">
        <v>1786</v>
      </c>
    </row>
    <row r="506" spans="2:10" ht="15" customHeight="1">
      <c r="B506" s="47" t="s">
        <v>85</v>
      </c>
      <c r="C506" s="50" t="s">
        <v>86</v>
      </c>
      <c r="D506" s="50" t="s">
        <v>2066</v>
      </c>
      <c r="E506" s="50" t="s">
        <v>2142</v>
      </c>
      <c r="F506" s="51">
        <v>96.00690656720505</v>
      </c>
      <c r="G506" s="51">
        <v>100.61800656720506</v>
      </c>
      <c r="H506" s="51">
        <v>24.43</v>
      </c>
      <c r="I506" s="52">
        <v>460</v>
      </c>
      <c r="J506" s="50" t="s">
        <v>19</v>
      </c>
    </row>
    <row r="507" spans="2:10" ht="15" customHeight="1">
      <c r="B507" s="47" t="s">
        <v>1443</v>
      </c>
      <c r="C507" s="50" t="s">
        <v>1444</v>
      </c>
      <c r="D507" s="50" t="s">
        <v>2064</v>
      </c>
      <c r="E507" s="50" t="s">
        <v>1445</v>
      </c>
      <c r="F507" s="51">
        <v>94567.153050000023</v>
      </c>
      <c r="G507" s="51">
        <v>94567.153050000023</v>
      </c>
      <c r="H507" s="51">
        <v>0</v>
      </c>
      <c r="I507" s="52">
        <v>0</v>
      </c>
      <c r="J507" s="50" t="s">
        <v>1786</v>
      </c>
    </row>
    <row r="508" spans="2:10" ht="15" customHeight="1">
      <c r="B508" s="47" t="s">
        <v>1428</v>
      </c>
      <c r="C508" s="50" t="s">
        <v>1429</v>
      </c>
      <c r="D508" s="50" t="s">
        <v>2064</v>
      </c>
      <c r="E508" s="50" t="s">
        <v>1430</v>
      </c>
      <c r="F508" s="51">
        <v>162010.89485000004</v>
      </c>
      <c r="G508" s="51">
        <v>162010.89485000004</v>
      </c>
      <c r="H508" s="51">
        <v>0</v>
      </c>
      <c r="I508" s="52">
        <v>0</v>
      </c>
      <c r="J508" s="50" t="s">
        <v>1786</v>
      </c>
    </row>
    <row r="509" spans="2:10" ht="15" customHeight="1">
      <c r="B509" s="47" t="s">
        <v>604</v>
      </c>
      <c r="C509" s="50" t="s">
        <v>605</v>
      </c>
      <c r="D509" s="50" t="s">
        <v>2064</v>
      </c>
      <c r="E509" s="50" t="s">
        <v>2143</v>
      </c>
      <c r="F509" s="51">
        <v>0.01</v>
      </c>
      <c r="G509" s="51">
        <v>0.01</v>
      </c>
      <c r="H509" s="51">
        <v>0</v>
      </c>
      <c r="I509" s="52">
        <v>0</v>
      </c>
      <c r="J509" s="50" t="s">
        <v>1786</v>
      </c>
    </row>
    <row r="510" spans="2:10" ht="15" customHeight="1">
      <c r="B510" s="47" t="s">
        <v>1472</v>
      </c>
      <c r="C510" s="50" t="s">
        <v>1473</v>
      </c>
      <c r="D510" s="50" t="s">
        <v>2066</v>
      </c>
      <c r="E510" s="50" t="s">
        <v>2144</v>
      </c>
      <c r="F510" s="51">
        <v>94.15618394685103</v>
      </c>
      <c r="G510" s="51">
        <v>95.696683946851024</v>
      </c>
      <c r="H510" s="51">
        <v>17.920000000000002</v>
      </c>
      <c r="I510" s="52">
        <v>306</v>
      </c>
      <c r="J510" s="50" t="s">
        <v>19</v>
      </c>
    </row>
    <row r="511" spans="2:10" ht="15" customHeight="1">
      <c r="B511" s="47" t="s">
        <v>1084</v>
      </c>
      <c r="C511" s="50" t="s">
        <v>1085</v>
      </c>
      <c r="D511" s="50" t="s">
        <v>2066</v>
      </c>
      <c r="E511" s="50" t="s">
        <v>2144</v>
      </c>
      <c r="F511" s="51">
        <v>90.450651312771924</v>
      </c>
      <c r="G511" s="51">
        <v>92.311051312771923</v>
      </c>
      <c r="H511" s="51">
        <v>17.739999999999998</v>
      </c>
      <c r="I511" s="52">
        <v>1393</v>
      </c>
      <c r="J511" s="50" t="s">
        <v>19</v>
      </c>
    </row>
    <row r="512" spans="2:10" ht="15" customHeight="1">
      <c r="B512" s="47" t="s">
        <v>1086</v>
      </c>
      <c r="C512" s="50" t="s">
        <v>1087</v>
      </c>
      <c r="D512" s="50" t="s">
        <v>2066</v>
      </c>
      <c r="E512" s="50" t="s">
        <v>2144</v>
      </c>
      <c r="F512" s="51">
        <v>90.450651312771924</v>
      </c>
      <c r="G512" s="51">
        <v>92.311051312771923</v>
      </c>
      <c r="H512" s="51">
        <v>17.739999999999998</v>
      </c>
      <c r="I512" s="52">
        <v>1393</v>
      </c>
      <c r="J512" s="50" t="s">
        <v>19</v>
      </c>
    </row>
    <row r="513" spans="2:10" ht="15" customHeight="1">
      <c r="B513" s="47" t="s">
        <v>1810</v>
      </c>
      <c r="C513" s="50" t="s">
        <v>1811</v>
      </c>
      <c r="D513" s="50" t="s">
        <v>2066</v>
      </c>
      <c r="E513" s="50" t="s">
        <v>2144</v>
      </c>
      <c r="F513" s="51">
        <v>92.743963030093482</v>
      </c>
      <c r="G513" s="51">
        <v>96.471763030093484</v>
      </c>
      <c r="H513" s="51">
        <v>17.72</v>
      </c>
      <c r="I513" s="52">
        <v>1532</v>
      </c>
      <c r="J513" s="50" t="s">
        <v>19</v>
      </c>
    </row>
    <row r="514" spans="2:10" ht="15" customHeight="1">
      <c r="B514" s="47" t="s">
        <v>1987</v>
      </c>
      <c r="C514" s="50" t="s">
        <v>1988</v>
      </c>
      <c r="D514" s="50" t="s">
        <v>2066</v>
      </c>
      <c r="E514" s="50" t="s">
        <v>2144</v>
      </c>
      <c r="F514" s="51">
        <v>96.289739245629661</v>
      </c>
      <c r="G514" s="51">
        <v>102.56893924562966</v>
      </c>
      <c r="H514" s="51">
        <v>17.690000000000001</v>
      </c>
      <c r="I514" s="52">
        <v>1663</v>
      </c>
      <c r="J514" s="50" t="s">
        <v>19</v>
      </c>
    </row>
    <row r="515" spans="2:10" ht="15" customHeight="1">
      <c r="B515" s="47" t="s">
        <v>2145</v>
      </c>
      <c r="C515" s="50" t="s">
        <v>2146</v>
      </c>
      <c r="D515" s="50" t="s">
        <v>2066</v>
      </c>
      <c r="E515" s="50" t="s">
        <v>2144</v>
      </c>
      <c r="F515" s="51">
        <v>96.252163167588677</v>
      </c>
      <c r="G515" s="51">
        <v>101.33966316758868</v>
      </c>
      <c r="H515" s="51">
        <v>17.68</v>
      </c>
      <c r="I515" s="52">
        <v>1689</v>
      </c>
      <c r="J515" s="50" t="s">
        <v>19</v>
      </c>
    </row>
    <row r="516" spans="2:10" ht="15" customHeight="1">
      <c r="B516" s="47" t="s">
        <v>2447</v>
      </c>
      <c r="C516" s="50" t="s">
        <v>2448</v>
      </c>
      <c r="D516" s="50" t="s">
        <v>2066</v>
      </c>
      <c r="E516" s="50" t="s">
        <v>2144</v>
      </c>
      <c r="F516" s="51">
        <v>100.96469438489201</v>
      </c>
      <c r="G516" s="51">
        <v>102.364694384892</v>
      </c>
      <c r="H516" s="51">
        <v>17.68</v>
      </c>
      <c r="I516" s="52">
        <v>1772</v>
      </c>
      <c r="J516" s="50" t="s">
        <v>19</v>
      </c>
    </row>
    <row r="517" spans="2:10" ht="15" customHeight="1">
      <c r="B517" s="47" t="s">
        <v>2449</v>
      </c>
      <c r="C517" s="50" t="s">
        <v>2450</v>
      </c>
      <c r="D517" s="50" t="s">
        <v>2066</v>
      </c>
      <c r="E517" s="50" t="s">
        <v>2144</v>
      </c>
      <c r="F517" s="51">
        <v>100.96469438489201</v>
      </c>
      <c r="G517" s="51">
        <v>102.364694384892</v>
      </c>
      <c r="H517" s="51">
        <v>17.68</v>
      </c>
      <c r="I517" s="52">
        <v>1772</v>
      </c>
      <c r="J517" s="50" t="s">
        <v>19</v>
      </c>
    </row>
    <row r="518" spans="2:10" ht="15" customHeight="1">
      <c r="B518" s="47" t="s">
        <v>1692</v>
      </c>
      <c r="C518" s="50" t="s">
        <v>1693</v>
      </c>
      <c r="D518" s="50" t="s">
        <v>2066</v>
      </c>
      <c r="E518" s="50" t="s">
        <v>2147</v>
      </c>
      <c r="F518" s="51">
        <v>100</v>
      </c>
      <c r="G518" s="51">
        <v>100.14879999999999</v>
      </c>
      <c r="H518" s="51">
        <v>0.35</v>
      </c>
      <c r="I518" s="52">
        <v>327</v>
      </c>
      <c r="J518" s="50" t="s">
        <v>19</v>
      </c>
    </row>
    <row r="519" spans="2:10" ht="15" customHeight="1">
      <c r="B519" s="47" t="s">
        <v>1698</v>
      </c>
      <c r="C519" s="50" t="s">
        <v>1699</v>
      </c>
      <c r="D519" s="50" t="s">
        <v>2066</v>
      </c>
      <c r="E519" s="50" t="s">
        <v>2147</v>
      </c>
      <c r="F519" s="51">
        <v>100</v>
      </c>
      <c r="G519" s="51">
        <v>101.7826</v>
      </c>
      <c r="H519" s="51">
        <v>4.24</v>
      </c>
      <c r="I519" s="52">
        <v>329</v>
      </c>
      <c r="J519" s="50" t="s">
        <v>19</v>
      </c>
    </row>
    <row r="520" spans="2:10" ht="15" customHeight="1">
      <c r="B520" s="47" t="s">
        <v>1546</v>
      </c>
      <c r="C520" s="50" t="s">
        <v>1547</v>
      </c>
      <c r="D520" s="50" t="s">
        <v>2066</v>
      </c>
      <c r="E520" s="50" t="s">
        <v>2147</v>
      </c>
      <c r="F520" s="51">
        <v>100</v>
      </c>
      <c r="G520" s="51">
        <v>100.13030000000001</v>
      </c>
      <c r="H520" s="51">
        <v>0.35</v>
      </c>
      <c r="I520" s="52">
        <v>46</v>
      </c>
      <c r="J520" s="50" t="s">
        <v>19</v>
      </c>
    </row>
    <row r="521" spans="2:10" ht="15" customHeight="1">
      <c r="B521" s="47" t="s">
        <v>2260</v>
      </c>
      <c r="C521" s="50" t="s">
        <v>2261</v>
      </c>
      <c r="D521" s="50" t="s">
        <v>2066</v>
      </c>
      <c r="E521" s="50" t="s">
        <v>2147</v>
      </c>
      <c r="F521" s="51">
        <v>100</v>
      </c>
      <c r="G521" s="51">
        <v>100.069</v>
      </c>
      <c r="H521" s="51">
        <v>0.35</v>
      </c>
      <c r="I521" s="52">
        <v>649</v>
      </c>
      <c r="J521" s="50" t="s">
        <v>19</v>
      </c>
    </row>
    <row r="522" spans="2:10" ht="15" customHeight="1">
      <c r="B522" s="47" t="s">
        <v>606</v>
      </c>
      <c r="C522" s="50" t="s">
        <v>607</v>
      </c>
      <c r="D522" s="50" t="s">
        <v>2066</v>
      </c>
      <c r="E522" s="50" t="s">
        <v>2147</v>
      </c>
      <c r="F522" s="51">
        <v>100</v>
      </c>
      <c r="G522" s="51">
        <v>100.0031</v>
      </c>
      <c r="H522" s="51">
        <v>0.02</v>
      </c>
      <c r="I522" s="52">
        <v>3079</v>
      </c>
      <c r="J522" s="50" t="s">
        <v>19</v>
      </c>
    </row>
    <row r="523" spans="2:10" ht="15" customHeight="1">
      <c r="B523" s="47" t="s">
        <v>2328</v>
      </c>
      <c r="C523" s="50" t="s">
        <v>2329</v>
      </c>
      <c r="D523" s="50" t="s">
        <v>2066</v>
      </c>
      <c r="E523" s="50" t="s">
        <v>2147</v>
      </c>
      <c r="F523" s="51">
        <v>90.439602311929406</v>
      </c>
      <c r="G523" s="51">
        <v>92.512402311929407</v>
      </c>
      <c r="H523" s="51">
        <v>20.49</v>
      </c>
      <c r="I523" s="52">
        <v>3559</v>
      </c>
      <c r="J523" s="50" t="s">
        <v>19</v>
      </c>
    </row>
    <row r="524" spans="2:10" ht="15" customHeight="1">
      <c r="B524" s="47" t="s">
        <v>2296</v>
      </c>
      <c r="C524" s="50" t="s">
        <v>2297</v>
      </c>
      <c r="D524" s="50" t="s">
        <v>2066</v>
      </c>
      <c r="E524" s="50" t="s">
        <v>2147</v>
      </c>
      <c r="F524" s="51">
        <v>90.446612355378647</v>
      </c>
      <c r="G524" s="51">
        <v>93.126012355378649</v>
      </c>
      <c r="H524" s="51">
        <v>20.48</v>
      </c>
      <c r="I524" s="52">
        <v>3547</v>
      </c>
      <c r="J524" s="50" t="s">
        <v>19</v>
      </c>
    </row>
    <row r="525" spans="2:10" ht="15" customHeight="1">
      <c r="B525" s="47" t="s">
        <v>1548</v>
      </c>
      <c r="C525" s="50" t="s">
        <v>1549</v>
      </c>
      <c r="D525" s="50" t="s">
        <v>2066</v>
      </c>
      <c r="E525" s="50" t="s">
        <v>2148</v>
      </c>
      <c r="F525" s="51">
        <v>100</v>
      </c>
      <c r="G525" s="51">
        <v>106.19280000000001</v>
      </c>
      <c r="H525" s="51">
        <v>7.09</v>
      </c>
      <c r="I525" s="52">
        <v>2206</v>
      </c>
      <c r="J525" s="50" t="s">
        <v>19</v>
      </c>
    </row>
    <row r="526" spans="2:10" ht="15" customHeight="1">
      <c r="B526" s="47" t="s">
        <v>87</v>
      </c>
      <c r="C526" s="50" t="s">
        <v>88</v>
      </c>
      <c r="D526" s="50" t="s">
        <v>2066</v>
      </c>
      <c r="E526" s="50" t="s">
        <v>2149</v>
      </c>
      <c r="F526" s="51">
        <v>88.749528420645575</v>
      </c>
      <c r="G526" s="51">
        <v>89.443728420645584</v>
      </c>
      <c r="H526" s="51">
        <v>16.899999999999999</v>
      </c>
      <c r="I526" s="52">
        <v>1059</v>
      </c>
      <c r="J526" s="50" t="s">
        <v>19</v>
      </c>
    </row>
    <row r="527" spans="2:10" ht="15" customHeight="1">
      <c r="B527" s="47" t="s">
        <v>89</v>
      </c>
      <c r="C527" s="50" t="s">
        <v>90</v>
      </c>
      <c r="D527" s="50" t="s">
        <v>2066</v>
      </c>
      <c r="E527" s="50" t="s">
        <v>2149</v>
      </c>
      <c r="F527" s="51">
        <v>109.71290750828018</v>
      </c>
      <c r="G527" s="51">
        <v>111.72550750828019</v>
      </c>
      <c r="H527" s="51">
        <v>13.53</v>
      </c>
      <c r="I527" s="52">
        <v>1397</v>
      </c>
      <c r="J527" s="50" t="s">
        <v>19</v>
      </c>
    </row>
    <row r="528" spans="2:10" ht="15" customHeight="1">
      <c r="B528" s="47" t="s">
        <v>91</v>
      </c>
      <c r="C528" s="50" t="s">
        <v>92</v>
      </c>
      <c r="D528" s="50" t="s">
        <v>2066</v>
      </c>
      <c r="E528" s="50" t="s">
        <v>2149</v>
      </c>
      <c r="F528" s="51">
        <v>108.07973314056011</v>
      </c>
      <c r="G528" s="51">
        <v>111.23463314056011</v>
      </c>
      <c r="H528" s="51">
        <v>16.72</v>
      </c>
      <c r="I528" s="52">
        <v>1741</v>
      </c>
      <c r="J528" s="50" t="s">
        <v>19</v>
      </c>
    </row>
    <row r="529" spans="2:10" ht="15" customHeight="1">
      <c r="B529" s="47" t="s">
        <v>608</v>
      </c>
      <c r="C529" s="50" t="s">
        <v>609</v>
      </c>
      <c r="D529" s="50" t="s">
        <v>2064</v>
      </c>
      <c r="E529" s="50" t="s">
        <v>2150</v>
      </c>
      <c r="F529" s="51">
        <v>67249.5</v>
      </c>
      <c r="G529" s="51">
        <v>67249.5</v>
      </c>
      <c r="H529" s="51">
        <v>0</v>
      </c>
      <c r="I529" s="52">
        <v>0</v>
      </c>
      <c r="J529" s="50" t="s">
        <v>1786</v>
      </c>
    </row>
    <row r="530" spans="2:10" ht="15" customHeight="1">
      <c r="B530" s="47" t="s">
        <v>610</v>
      </c>
      <c r="C530" s="50" t="s">
        <v>611</v>
      </c>
      <c r="D530" s="50" t="s">
        <v>2064</v>
      </c>
      <c r="E530" s="50" t="s">
        <v>2151</v>
      </c>
      <c r="F530" s="51">
        <v>0.01</v>
      </c>
      <c r="G530" s="51">
        <v>0.01</v>
      </c>
      <c r="H530" s="51">
        <v>0</v>
      </c>
      <c r="I530" s="52">
        <v>0</v>
      </c>
      <c r="J530" s="50" t="s">
        <v>1786</v>
      </c>
    </row>
    <row r="531" spans="2:10" ht="15" customHeight="1">
      <c r="B531" s="47" t="s">
        <v>612</v>
      </c>
      <c r="C531" s="50" t="s">
        <v>613</v>
      </c>
      <c r="D531" s="50" t="s">
        <v>2064</v>
      </c>
      <c r="E531" s="50" t="s">
        <v>2151</v>
      </c>
      <c r="F531" s="51">
        <v>0.01</v>
      </c>
      <c r="G531" s="51">
        <v>0.01</v>
      </c>
      <c r="H531" s="51">
        <v>0</v>
      </c>
      <c r="I531" s="52">
        <v>0</v>
      </c>
      <c r="J531" s="50" t="s">
        <v>1786</v>
      </c>
    </row>
    <row r="532" spans="2:10" ht="15" customHeight="1">
      <c r="B532" s="47" t="s">
        <v>614</v>
      </c>
      <c r="C532" s="50" t="s">
        <v>615</v>
      </c>
      <c r="D532" s="50" t="s">
        <v>2066</v>
      </c>
      <c r="E532" s="50" t="s">
        <v>98</v>
      </c>
      <c r="F532" s="51">
        <v>83.995440534179281</v>
      </c>
      <c r="G532" s="51">
        <v>87.757940534179284</v>
      </c>
      <c r="H532" s="51">
        <v>17.489999999999998</v>
      </c>
      <c r="I532" s="52">
        <v>2055</v>
      </c>
      <c r="J532" s="50" t="s">
        <v>19</v>
      </c>
    </row>
    <row r="533" spans="2:10" ht="15" customHeight="1">
      <c r="B533" s="47" t="s">
        <v>616</v>
      </c>
      <c r="C533" s="50" t="s">
        <v>617</v>
      </c>
      <c r="D533" s="50" t="s">
        <v>2066</v>
      </c>
      <c r="E533" s="50" t="s">
        <v>98</v>
      </c>
      <c r="F533" s="51">
        <v>77.002944945095777</v>
      </c>
      <c r="G533" s="51">
        <v>77.386244945095768</v>
      </c>
      <c r="H533" s="51">
        <v>17.45</v>
      </c>
      <c r="I533" s="52">
        <v>2508</v>
      </c>
      <c r="J533" s="50" t="s">
        <v>19</v>
      </c>
    </row>
    <row r="534" spans="2:10" ht="15" customHeight="1">
      <c r="B534" s="47" t="s">
        <v>1139</v>
      </c>
      <c r="C534" s="50" t="s">
        <v>1140</v>
      </c>
      <c r="D534" s="50" t="s">
        <v>2066</v>
      </c>
      <c r="E534" s="50" t="s">
        <v>98</v>
      </c>
      <c r="F534" s="51">
        <v>73.065413558988396</v>
      </c>
      <c r="G534" s="51">
        <v>76.212613558988394</v>
      </c>
      <c r="H534" s="51">
        <v>16.68</v>
      </c>
      <c r="I534" s="52">
        <v>3497</v>
      </c>
      <c r="J534" s="50" t="s">
        <v>19</v>
      </c>
    </row>
    <row r="535" spans="2:10" ht="15" customHeight="1">
      <c r="B535" s="47" t="s">
        <v>1550</v>
      </c>
      <c r="C535" s="50" t="s">
        <v>1551</v>
      </c>
      <c r="D535" s="50" t="s">
        <v>2066</v>
      </c>
      <c r="E535" s="50" t="s">
        <v>98</v>
      </c>
      <c r="F535" s="51">
        <v>100</v>
      </c>
      <c r="G535" s="51">
        <v>104.2231</v>
      </c>
      <c r="H535" s="51">
        <v>18.78</v>
      </c>
      <c r="I535" s="52">
        <v>4484</v>
      </c>
      <c r="J535" s="50" t="s">
        <v>19</v>
      </c>
    </row>
    <row r="536" spans="2:10" ht="15" customHeight="1">
      <c r="B536" s="47" t="s">
        <v>1200</v>
      </c>
      <c r="C536" s="50" t="s">
        <v>1201</v>
      </c>
      <c r="D536" s="50" t="s">
        <v>2066</v>
      </c>
      <c r="E536" s="50" t="s">
        <v>26</v>
      </c>
      <c r="F536" s="51">
        <v>92.000821175375691</v>
      </c>
      <c r="G536" s="51">
        <v>102.66752117537568</v>
      </c>
      <c r="H536" s="51">
        <v>13.82</v>
      </c>
      <c r="I536" s="52">
        <v>2560</v>
      </c>
      <c r="J536" s="50" t="s">
        <v>19</v>
      </c>
    </row>
    <row r="537" spans="2:10" ht="15" customHeight="1">
      <c r="B537" s="47" t="s">
        <v>1121</v>
      </c>
      <c r="C537" s="50" t="s">
        <v>1122</v>
      </c>
      <c r="D537" s="50" t="s">
        <v>2066</v>
      </c>
      <c r="E537" s="50" t="s">
        <v>26</v>
      </c>
      <c r="F537" s="51">
        <v>89.958967235102506</v>
      </c>
      <c r="G537" s="51">
        <v>95.474267235102516</v>
      </c>
      <c r="H537" s="51">
        <v>14.64</v>
      </c>
      <c r="I537" s="52">
        <v>871</v>
      </c>
      <c r="J537" s="50" t="s">
        <v>19</v>
      </c>
    </row>
    <row r="538" spans="2:10" ht="15" customHeight="1">
      <c r="B538" s="47" t="s">
        <v>1163</v>
      </c>
      <c r="C538" s="50" t="s">
        <v>1164</v>
      </c>
      <c r="D538" s="50" t="s">
        <v>2066</v>
      </c>
      <c r="E538" s="50" t="s">
        <v>26</v>
      </c>
      <c r="F538" s="51">
        <v>74.150359948539673</v>
      </c>
      <c r="G538" s="51">
        <v>79.05865994853967</v>
      </c>
      <c r="H538" s="51">
        <v>17.07</v>
      </c>
      <c r="I538" s="52">
        <v>1974</v>
      </c>
      <c r="J538" s="50" t="s">
        <v>19</v>
      </c>
    </row>
    <row r="539" spans="2:10" ht="15" customHeight="1">
      <c r="B539" s="47" t="s">
        <v>618</v>
      </c>
      <c r="C539" s="50" t="s">
        <v>619</v>
      </c>
      <c r="D539" s="50" t="s">
        <v>2066</v>
      </c>
      <c r="E539" s="50" t="s">
        <v>26</v>
      </c>
      <c r="F539" s="51">
        <v>100</v>
      </c>
      <c r="G539" s="51">
        <v>105.03060000000001</v>
      </c>
      <c r="H539" s="51">
        <v>17.73</v>
      </c>
      <c r="I539" s="52">
        <v>82</v>
      </c>
      <c r="J539" s="50" t="s">
        <v>19</v>
      </c>
    </row>
    <row r="540" spans="2:10" ht="15" customHeight="1">
      <c r="B540" s="47" t="s">
        <v>620</v>
      </c>
      <c r="C540" s="50" t="s">
        <v>621</v>
      </c>
      <c r="D540" s="50" t="s">
        <v>2066</v>
      </c>
      <c r="E540" s="50" t="s">
        <v>26</v>
      </c>
      <c r="F540" s="51">
        <v>100</v>
      </c>
      <c r="G540" s="51">
        <v>107.9589</v>
      </c>
      <c r="H540" s="51">
        <v>16.82</v>
      </c>
      <c r="I540" s="52">
        <v>18</v>
      </c>
      <c r="J540" s="50" t="s">
        <v>19</v>
      </c>
    </row>
    <row r="541" spans="2:10" ht="15" customHeight="1">
      <c r="B541" s="47" t="s">
        <v>622</v>
      </c>
      <c r="C541" s="50" t="s">
        <v>623</v>
      </c>
      <c r="D541" s="50" t="s">
        <v>2066</v>
      </c>
      <c r="E541" s="50" t="s">
        <v>26</v>
      </c>
      <c r="F541" s="51">
        <v>100</v>
      </c>
      <c r="G541" s="51">
        <v>105.4739</v>
      </c>
      <c r="H541" s="51">
        <v>18.28</v>
      </c>
      <c r="I541" s="52">
        <v>805</v>
      </c>
      <c r="J541" s="50" t="s">
        <v>19</v>
      </c>
    </row>
    <row r="542" spans="2:10" ht="15" customHeight="1">
      <c r="B542" s="47" t="s">
        <v>624</v>
      </c>
      <c r="C542" s="50" t="s">
        <v>625</v>
      </c>
      <c r="D542" s="50" t="s">
        <v>2066</v>
      </c>
      <c r="E542" s="50" t="s">
        <v>26</v>
      </c>
      <c r="F542" s="51">
        <v>100</v>
      </c>
      <c r="G542" s="51">
        <v>102.66160000000001</v>
      </c>
      <c r="H542" s="51">
        <v>18.29</v>
      </c>
      <c r="I542" s="52">
        <v>861</v>
      </c>
      <c r="J542" s="50" t="s">
        <v>19</v>
      </c>
    </row>
    <row r="543" spans="2:10" ht="15" customHeight="1">
      <c r="B543" s="47" t="s">
        <v>626</v>
      </c>
      <c r="C543" s="50" t="s">
        <v>627</v>
      </c>
      <c r="D543" s="50" t="s">
        <v>2066</v>
      </c>
      <c r="E543" s="50" t="s">
        <v>26</v>
      </c>
      <c r="F543" s="51">
        <v>100</v>
      </c>
      <c r="G543" s="51">
        <v>102.69070000000001</v>
      </c>
      <c r="H543" s="51">
        <v>18.5</v>
      </c>
      <c r="I543" s="52">
        <v>1592</v>
      </c>
      <c r="J543" s="50" t="s">
        <v>19</v>
      </c>
    </row>
    <row r="544" spans="2:10" ht="15" customHeight="1">
      <c r="B544" s="47" t="s">
        <v>628</v>
      </c>
      <c r="C544" s="50" t="s">
        <v>629</v>
      </c>
      <c r="D544" s="50" t="s">
        <v>2066</v>
      </c>
      <c r="E544" s="50" t="s">
        <v>26</v>
      </c>
      <c r="F544" s="51">
        <v>100</v>
      </c>
      <c r="G544" s="51">
        <v>105.5038</v>
      </c>
      <c r="H544" s="51">
        <v>18.399999999999999</v>
      </c>
      <c r="I544" s="52">
        <v>1536</v>
      </c>
      <c r="J544" s="50" t="s">
        <v>19</v>
      </c>
    </row>
    <row r="545" spans="2:10" ht="15" customHeight="1">
      <c r="B545" s="47" t="s">
        <v>1123</v>
      </c>
      <c r="C545" s="50" t="s">
        <v>1124</v>
      </c>
      <c r="D545" s="50" t="s">
        <v>2066</v>
      </c>
      <c r="E545" s="50" t="s">
        <v>26</v>
      </c>
      <c r="F545" s="51">
        <v>97.801215828036618</v>
      </c>
      <c r="G545" s="51">
        <v>104.92621582803662</v>
      </c>
      <c r="H545" s="51">
        <v>18.61</v>
      </c>
      <c r="I545" s="52">
        <v>90</v>
      </c>
      <c r="J545" s="50" t="s">
        <v>19</v>
      </c>
    </row>
    <row r="546" spans="2:10" ht="15" customHeight="1">
      <c r="B546" s="47" t="s">
        <v>630</v>
      </c>
      <c r="C546" s="50" t="s">
        <v>631</v>
      </c>
      <c r="D546" s="50" t="s">
        <v>2066</v>
      </c>
      <c r="E546" s="50" t="s">
        <v>26</v>
      </c>
      <c r="F546" s="51">
        <v>99.685053679136004</v>
      </c>
      <c r="G546" s="51">
        <v>111.560053679136</v>
      </c>
      <c r="H546" s="51">
        <v>18.27</v>
      </c>
      <c r="I546" s="52">
        <v>18</v>
      </c>
      <c r="J546" s="50" t="s">
        <v>19</v>
      </c>
    </row>
    <row r="547" spans="2:10" ht="15" customHeight="1">
      <c r="B547" s="47" t="s">
        <v>632</v>
      </c>
      <c r="C547" s="50" t="s">
        <v>633</v>
      </c>
      <c r="D547" s="50" t="s">
        <v>2066</v>
      </c>
      <c r="E547" s="50" t="s">
        <v>26</v>
      </c>
      <c r="F547" s="51">
        <v>100</v>
      </c>
      <c r="G547" s="51">
        <v>108.173</v>
      </c>
      <c r="H547" s="51">
        <v>18.12</v>
      </c>
      <c r="I547" s="52">
        <v>201</v>
      </c>
      <c r="J547" s="50" t="s">
        <v>19</v>
      </c>
    </row>
    <row r="548" spans="2:10" ht="15" customHeight="1">
      <c r="B548" s="47" t="s">
        <v>1552</v>
      </c>
      <c r="C548" s="50" t="s">
        <v>1553</v>
      </c>
      <c r="D548" s="50" t="s">
        <v>2066</v>
      </c>
      <c r="E548" s="50" t="s">
        <v>26</v>
      </c>
      <c r="F548" s="51">
        <v>100</v>
      </c>
      <c r="G548" s="51">
        <v>102.7285</v>
      </c>
      <c r="H548" s="51">
        <v>16.78</v>
      </c>
      <c r="I548" s="52">
        <v>306</v>
      </c>
      <c r="J548" s="50" t="s">
        <v>19</v>
      </c>
    </row>
    <row r="549" spans="2:10" ht="15" customHeight="1">
      <c r="B549" s="47" t="s">
        <v>1179</v>
      </c>
      <c r="C549" s="50" t="s">
        <v>1180</v>
      </c>
      <c r="D549" s="50" t="s">
        <v>2066</v>
      </c>
      <c r="E549" s="50" t="s">
        <v>26</v>
      </c>
      <c r="F549" s="51">
        <v>83.568089543315622</v>
      </c>
      <c r="G549" s="51">
        <v>90.613889543315622</v>
      </c>
      <c r="H549" s="51">
        <v>19.02</v>
      </c>
      <c r="I549" s="52">
        <v>813</v>
      </c>
      <c r="J549" s="50" t="s">
        <v>19</v>
      </c>
    </row>
    <row r="550" spans="2:10" ht="15" customHeight="1">
      <c r="B550" s="47" t="s">
        <v>634</v>
      </c>
      <c r="C550" s="50" t="s">
        <v>635</v>
      </c>
      <c r="D550" s="50" t="s">
        <v>2066</v>
      </c>
      <c r="E550" s="50" t="s">
        <v>26</v>
      </c>
      <c r="F550" s="51">
        <v>97.395492040132908</v>
      </c>
      <c r="G550" s="51">
        <v>104.7565920401329</v>
      </c>
      <c r="H550" s="51">
        <v>18.940000000000001</v>
      </c>
      <c r="I550" s="52">
        <v>148</v>
      </c>
      <c r="J550" s="50" t="s">
        <v>19</v>
      </c>
    </row>
    <row r="551" spans="2:10" ht="15" customHeight="1">
      <c r="B551" s="47" t="s">
        <v>1125</v>
      </c>
      <c r="C551" s="50" t="s">
        <v>1126</v>
      </c>
      <c r="D551" s="50" t="s">
        <v>2066</v>
      </c>
      <c r="E551" s="50" t="s">
        <v>26</v>
      </c>
      <c r="F551" s="51">
        <v>70.892703611438122</v>
      </c>
      <c r="G551" s="51">
        <v>78.571903611438117</v>
      </c>
      <c r="H551" s="51">
        <v>18.690000000000001</v>
      </c>
      <c r="I551" s="52">
        <v>1869</v>
      </c>
      <c r="J551" s="50" t="s">
        <v>19</v>
      </c>
    </row>
    <row r="552" spans="2:10" ht="15" customHeight="1">
      <c r="B552" s="47" t="s">
        <v>1655</v>
      </c>
      <c r="C552" s="50" t="s">
        <v>1656</v>
      </c>
      <c r="D552" s="50" t="s">
        <v>2066</v>
      </c>
      <c r="E552" s="50" t="s">
        <v>26</v>
      </c>
      <c r="F552" s="51">
        <v>94.423831769178335</v>
      </c>
      <c r="G552" s="51">
        <v>106.88913176917833</v>
      </c>
      <c r="H552" s="51">
        <v>19.12</v>
      </c>
      <c r="I552" s="52">
        <v>361</v>
      </c>
      <c r="J552" s="50" t="s">
        <v>19</v>
      </c>
    </row>
    <row r="553" spans="2:10" ht="15" customHeight="1">
      <c r="B553" s="47" t="s">
        <v>1683</v>
      </c>
      <c r="C553" s="50" t="s">
        <v>1684</v>
      </c>
      <c r="D553" s="50" t="s">
        <v>2066</v>
      </c>
      <c r="E553" s="50" t="s">
        <v>26</v>
      </c>
      <c r="F553" s="51">
        <v>94.193757256756541</v>
      </c>
      <c r="G553" s="51">
        <v>106.17295725675653</v>
      </c>
      <c r="H553" s="51">
        <v>19.11</v>
      </c>
      <c r="I553" s="52">
        <v>375</v>
      </c>
      <c r="J553" s="50" t="s">
        <v>19</v>
      </c>
    </row>
    <row r="554" spans="2:10" ht="15" customHeight="1">
      <c r="B554" s="47" t="s">
        <v>2350</v>
      </c>
      <c r="C554" s="50" t="s">
        <v>2351</v>
      </c>
      <c r="D554" s="50" t="s">
        <v>2066</v>
      </c>
      <c r="E554" s="50" t="s">
        <v>26</v>
      </c>
      <c r="F554" s="51">
        <v>94.878576537787993</v>
      </c>
      <c r="G554" s="51">
        <v>96.059176537788005</v>
      </c>
      <c r="H554" s="51">
        <v>19.059999999999999</v>
      </c>
      <c r="I554" s="52">
        <v>326</v>
      </c>
      <c r="J554" s="50" t="s">
        <v>19</v>
      </c>
    </row>
    <row r="555" spans="2:10" ht="15" customHeight="1">
      <c r="B555" s="47" t="s">
        <v>2592</v>
      </c>
      <c r="C555" s="50" t="s">
        <v>2593</v>
      </c>
      <c r="D555" s="50" t="s">
        <v>2066</v>
      </c>
      <c r="E555" s="50" t="s">
        <v>26</v>
      </c>
      <c r="F555" s="51">
        <v>94.512162497178693</v>
      </c>
      <c r="G555" s="51">
        <v>94.720462497178701</v>
      </c>
      <c r="H555" s="51">
        <v>19.12</v>
      </c>
      <c r="I555" s="52">
        <v>354</v>
      </c>
      <c r="J555" s="50" t="s">
        <v>19</v>
      </c>
    </row>
    <row r="556" spans="2:10" ht="15" customHeight="1">
      <c r="B556" s="47" t="s">
        <v>1934</v>
      </c>
      <c r="C556" s="50" t="s">
        <v>1935</v>
      </c>
      <c r="D556" s="50" t="s">
        <v>2066</v>
      </c>
      <c r="E556" s="50" t="s">
        <v>26</v>
      </c>
      <c r="F556" s="51">
        <v>96.623002164856771</v>
      </c>
      <c r="G556" s="51">
        <v>102.10910216485678</v>
      </c>
      <c r="H556" s="51">
        <v>18.850000000000001</v>
      </c>
      <c r="I556" s="52">
        <v>202</v>
      </c>
      <c r="J556" s="50" t="s">
        <v>19</v>
      </c>
    </row>
    <row r="557" spans="2:10" ht="15" customHeight="1">
      <c r="B557" s="47" t="s">
        <v>1958</v>
      </c>
      <c r="C557" s="50" t="s">
        <v>1959</v>
      </c>
      <c r="D557" s="50" t="s">
        <v>2066</v>
      </c>
      <c r="E557" s="50" t="s">
        <v>26</v>
      </c>
      <c r="F557" s="51">
        <v>96.205253296033931</v>
      </c>
      <c r="G557" s="51">
        <v>100.68445329603394</v>
      </c>
      <c r="H557" s="51">
        <v>18.88</v>
      </c>
      <c r="I557" s="52">
        <v>231</v>
      </c>
      <c r="J557" s="50" t="s">
        <v>19</v>
      </c>
    </row>
    <row r="558" spans="2:10" ht="15" customHeight="1">
      <c r="B558" s="47" t="s">
        <v>1694</v>
      </c>
      <c r="C558" s="50" t="s">
        <v>1695</v>
      </c>
      <c r="D558" s="50" t="s">
        <v>2066</v>
      </c>
      <c r="E558" s="50" t="s">
        <v>26</v>
      </c>
      <c r="F558" s="51">
        <v>99.618397013378214</v>
      </c>
      <c r="G558" s="51">
        <v>111.35449701337822</v>
      </c>
      <c r="H558" s="51">
        <v>18.23</v>
      </c>
      <c r="I558" s="52">
        <v>22</v>
      </c>
      <c r="J558" s="50" t="s">
        <v>19</v>
      </c>
    </row>
    <row r="559" spans="2:10" ht="15" customHeight="1">
      <c r="B559" s="47" t="s">
        <v>1849</v>
      </c>
      <c r="C559" s="50" t="s">
        <v>1850</v>
      </c>
      <c r="D559" s="50" t="s">
        <v>2066</v>
      </c>
      <c r="E559" s="50" t="s">
        <v>26</v>
      </c>
      <c r="F559" s="51">
        <v>97.442696663570601</v>
      </c>
      <c r="G559" s="51">
        <v>104.9079966635706</v>
      </c>
      <c r="H559" s="51">
        <v>18.940000000000001</v>
      </c>
      <c r="I559" s="52">
        <v>145</v>
      </c>
      <c r="J559" s="50" t="s">
        <v>19</v>
      </c>
    </row>
    <row r="560" spans="2:10" ht="15" customHeight="1">
      <c r="B560" s="47" t="s">
        <v>2060</v>
      </c>
      <c r="C560" s="50" t="s">
        <v>2061</v>
      </c>
      <c r="D560" s="50" t="s">
        <v>2066</v>
      </c>
      <c r="E560" s="50" t="s">
        <v>26</v>
      </c>
      <c r="F560" s="51">
        <v>95.611944942895832</v>
      </c>
      <c r="G560" s="51">
        <v>98.702244942895831</v>
      </c>
      <c r="H560" s="51">
        <v>18.98</v>
      </c>
      <c r="I560" s="52">
        <v>271</v>
      </c>
      <c r="J560" s="50" t="s">
        <v>19</v>
      </c>
    </row>
    <row r="561" spans="2:10" ht="15" customHeight="1">
      <c r="B561" s="47" t="s">
        <v>2050</v>
      </c>
      <c r="C561" s="50" t="s">
        <v>2051</v>
      </c>
      <c r="D561" s="50" t="s">
        <v>2066</v>
      </c>
      <c r="E561" s="50" t="s">
        <v>26</v>
      </c>
      <c r="F561" s="51">
        <v>95.704558802024579</v>
      </c>
      <c r="G561" s="51">
        <v>99.037858802024573</v>
      </c>
      <c r="H561" s="51">
        <v>18.98</v>
      </c>
      <c r="I561" s="52">
        <v>264</v>
      </c>
      <c r="J561" s="50" t="s">
        <v>19</v>
      </c>
    </row>
    <row r="562" spans="2:10" ht="15" customHeight="1">
      <c r="B562" s="47" t="s">
        <v>2279</v>
      </c>
      <c r="C562" s="50" t="s">
        <v>2280</v>
      </c>
      <c r="D562" s="50" t="s">
        <v>2066</v>
      </c>
      <c r="E562" s="50" t="s">
        <v>26</v>
      </c>
      <c r="F562" s="51">
        <v>95.341078335864907</v>
      </c>
      <c r="G562" s="51">
        <v>97.702178335864915</v>
      </c>
      <c r="H562" s="51">
        <v>18.989999999999998</v>
      </c>
      <c r="I562" s="52">
        <v>292</v>
      </c>
      <c r="J562" s="50" t="s">
        <v>19</v>
      </c>
    </row>
    <row r="563" spans="2:10" ht="15" customHeight="1">
      <c r="B563" s="47" t="s">
        <v>1100</v>
      </c>
      <c r="C563" s="50" t="s">
        <v>1101</v>
      </c>
      <c r="D563" s="50" t="s">
        <v>2066</v>
      </c>
      <c r="E563" s="50" t="s">
        <v>26</v>
      </c>
      <c r="F563" s="51">
        <v>98.083621657131914</v>
      </c>
      <c r="G563" s="51">
        <v>104.12672165713191</v>
      </c>
      <c r="H563" s="51">
        <v>14.83</v>
      </c>
      <c r="I563" s="52">
        <v>131</v>
      </c>
      <c r="J563" s="50" t="s">
        <v>19</v>
      </c>
    </row>
    <row r="564" spans="2:10" ht="15" customHeight="1">
      <c r="B564" s="47" t="s">
        <v>1893</v>
      </c>
      <c r="C564" s="50" t="s">
        <v>1894</v>
      </c>
      <c r="D564" s="50" t="s">
        <v>2066</v>
      </c>
      <c r="E564" s="50" t="s">
        <v>26</v>
      </c>
      <c r="F564" s="51">
        <v>92.055548055819614</v>
      </c>
      <c r="G564" s="51">
        <v>99.277748055819615</v>
      </c>
      <c r="H564" s="51">
        <v>19.170000000000002</v>
      </c>
      <c r="I564" s="52">
        <v>512</v>
      </c>
      <c r="J564" s="50" t="s">
        <v>19</v>
      </c>
    </row>
    <row r="565" spans="2:10" ht="15" customHeight="1">
      <c r="B565" s="47" t="s">
        <v>1909</v>
      </c>
      <c r="C565" s="50" t="s">
        <v>1910</v>
      </c>
      <c r="D565" s="50" t="s">
        <v>2066</v>
      </c>
      <c r="E565" s="50" t="s">
        <v>26</v>
      </c>
      <c r="F565" s="51">
        <v>91.693806949170721</v>
      </c>
      <c r="G565" s="51">
        <v>97.631306949170721</v>
      </c>
      <c r="H565" s="51">
        <v>19.059999999999999</v>
      </c>
      <c r="I565" s="52">
        <v>549</v>
      </c>
      <c r="J565" s="50" t="s">
        <v>19</v>
      </c>
    </row>
    <row r="566" spans="2:10" ht="15" customHeight="1">
      <c r="B566" s="47" t="s">
        <v>1960</v>
      </c>
      <c r="C566" s="50" t="s">
        <v>1961</v>
      </c>
      <c r="D566" s="50" t="s">
        <v>2066</v>
      </c>
      <c r="E566" s="50" t="s">
        <v>26</v>
      </c>
      <c r="F566" s="51">
        <v>91.171424779237029</v>
      </c>
      <c r="G566" s="51">
        <v>95.65062477923702</v>
      </c>
      <c r="H566" s="51">
        <v>19.07</v>
      </c>
      <c r="I566" s="52">
        <v>591</v>
      </c>
      <c r="J566" s="50" t="s">
        <v>19</v>
      </c>
    </row>
    <row r="567" spans="2:10" ht="15" customHeight="1">
      <c r="B567" s="47" t="s">
        <v>636</v>
      </c>
      <c r="C567" s="50" t="s">
        <v>637</v>
      </c>
      <c r="D567" s="50" t="s">
        <v>2066</v>
      </c>
      <c r="E567" s="50" t="s">
        <v>2152</v>
      </c>
      <c r="F567" s="51">
        <v>100</v>
      </c>
      <c r="G567" s="51">
        <v>100.0506</v>
      </c>
      <c r="H567" s="51">
        <v>0.35</v>
      </c>
      <c r="I567" s="52">
        <v>308</v>
      </c>
      <c r="J567" s="50" t="s">
        <v>19</v>
      </c>
    </row>
    <row r="568" spans="2:10" ht="15" customHeight="1">
      <c r="B568" s="47" t="s">
        <v>2373</v>
      </c>
      <c r="C568" s="50" t="s">
        <v>2374</v>
      </c>
      <c r="D568" s="50" t="s">
        <v>2066</v>
      </c>
      <c r="E568" s="50" t="s">
        <v>2152</v>
      </c>
      <c r="F568" s="51">
        <v>100</v>
      </c>
      <c r="G568" s="51">
        <v>100.0204</v>
      </c>
      <c r="H568" s="51">
        <v>0.35</v>
      </c>
      <c r="I568" s="52">
        <v>699</v>
      </c>
      <c r="J568" s="50" t="s">
        <v>19</v>
      </c>
    </row>
    <row r="569" spans="2:10" ht="15" customHeight="1">
      <c r="B569" s="47" t="s">
        <v>638</v>
      </c>
      <c r="C569" s="50" t="s">
        <v>639</v>
      </c>
      <c r="D569" s="50" t="s">
        <v>2066</v>
      </c>
      <c r="E569" s="50" t="s">
        <v>2152</v>
      </c>
      <c r="F569" s="51">
        <v>100</v>
      </c>
      <c r="G569" s="51">
        <v>100.0031</v>
      </c>
      <c r="H569" s="51">
        <v>0.02</v>
      </c>
      <c r="I569" s="52">
        <v>3079</v>
      </c>
      <c r="J569" s="50" t="s">
        <v>19</v>
      </c>
    </row>
    <row r="570" spans="2:10" ht="15" customHeight="1">
      <c r="B570" s="47" t="s">
        <v>1554</v>
      </c>
      <c r="C570" s="50" t="s">
        <v>1555</v>
      </c>
      <c r="D570" s="50" t="s">
        <v>2066</v>
      </c>
      <c r="E570" s="50" t="s">
        <v>2152</v>
      </c>
      <c r="F570" s="51">
        <v>100</v>
      </c>
      <c r="G570" s="51">
        <v>105.0686</v>
      </c>
      <c r="H570" s="51">
        <v>7.05</v>
      </c>
      <c r="I570" s="52">
        <v>2176</v>
      </c>
      <c r="J570" s="50" t="s">
        <v>19</v>
      </c>
    </row>
    <row r="571" spans="2:10" ht="15" customHeight="1">
      <c r="B571" s="47" t="s">
        <v>640</v>
      </c>
      <c r="C571" s="50" t="s">
        <v>641</v>
      </c>
      <c r="D571" s="50" t="s">
        <v>2066</v>
      </c>
      <c r="E571" s="50" t="s">
        <v>2152</v>
      </c>
      <c r="F571" s="51">
        <v>100</v>
      </c>
      <c r="G571" s="51">
        <v>101.2878</v>
      </c>
      <c r="H571" s="51">
        <v>6.08</v>
      </c>
      <c r="I571" s="52">
        <v>1694</v>
      </c>
      <c r="J571" s="50" t="s">
        <v>19</v>
      </c>
    </row>
    <row r="572" spans="2:10" ht="15" customHeight="1">
      <c r="B572" s="47" t="s">
        <v>1556</v>
      </c>
      <c r="C572" s="50" t="s">
        <v>1557</v>
      </c>
      <c r="D572" s="50" t="s">
        <v>2066</v>
      </c>
      <c r="E572" s="50" t="s">
        <v>2152</v>
      </c>
      <c r="F572" s="51">
        <v>100</v>
      </c>
      <c r="G572" s="51">
        <v>106.19280000000001</v>
      </c>
      <c r="H572" s="51">
        <v>7.08</v>
      </c>
      <c r="I572" s="52">
        <v>2176</v>
      </c>
      <c r="J572" s="50" t="s">
        <v>19</v>
      </c>
    </row>
    <row r="573" spans="2:10" ht="15" customHeight="1">
      <c r="B573" s="47" t="s">
        <v>2417</v>
      </c>
      <c r="C573" s="50" t="s">
        <v>2418</v>
      </c>
      <c r="D573" s="50" t="s">
        <v>2066</v>
      </c>
      <c r="E573" s="50" t="s">
        <v>2152</v>
      </c>
      <c r="F573" s="51">
        <v>93.393427164022029</v>
      </c>
      <c r="G573" s="51">
        <v>93.865927164022025</v>
      </c>
      <c r="H573" s="51">
        <v>20.49</v>
      </c>
      <c r="I573" s="52">
        <v>3591</v>
      </c>
      <c r="J573" s="50" t="s">
        <v>19</v>
      </c>
    </row>
    <row r="574" spans="2:10" ht="15" customHeight="1">
      <c r="B574" s="47" t="s">
        <v>2397</v>
      </c>
      <c r="C574" s="50" t="s">
        <v>2398</v>
      </c>
      <c r="D574" s="50" t="s">
        <v>2066</v>
      </c>
      <c r="E574" s="50" t="s">
        <v>2152</v>
      </c>
      <c r="F574" s="51">
        <v>93.426943820692159</v>
      </c>
      <c r="G574" s="51">
        <v>94.056943820692155</v>
      </c>
      <c r="H574" s="51">
        <v>20.48</v>
      </c>
      <c r="I574" s="52">
        <v>3588</v>
      </c>
      <c r="J574" s="50" t="s">
        <v>19</v>
      </c>
    </row>
    <row r="575" spans="2:10" ht="15" customHeight="1">
      <c r="B575" s="47" t="s">
        <v>2419</v>
      </c>
      <c r="C575" s="50" t="s">
        <v>2420</v>
      </c>
      <c r="D575" s="50" t="s">
        <v>2066</v>
      </c>
      <c r="E575" s="50" t="s">
        <v>2152</v>
      </c>
      <c r="F575" s="51">
        <v>93.393427164022029</v>
      </c>
      <c r="G575" s="51">
        <v>93.865927164022025</v>
      </c>
      <c r="H575" s="51">
        <v>20.49</v>
      </c>
      <c r="I575" s="52">
        <v>3591</v>
      </c>
      <c r="J575" s="50" t="s">
        <v>19</v>
      </c>
    </row>
    <row r="576" spans="2:10" ht="15" customHeight="1">
      <c r="B576" s="47" t="s">
        <v>642</v>
      </c>
      <c r="C576" s="50" t="s">
        <v>643</v>
      </c>
      <c r="D576" s="50" t="s">
        <v>2066</v>
      </c>
      <c r="E576" s="50" t="s">
        <v>2152</v>
      </c>
      <c r="F576" s="51">
        <v>100</v>
      </c>
      <c r="G576" s="51">
        <v>100.4575</v>
      </c>
      <c r="H576" s="51">
        <v>6.09</v>
      </c>
      <c r="I576" s="52">
        <v>2103</v>
      </c>
      <c r="J576" s="50" t="s">
        <v>19</v>
      </c>
    </row>
    <row r="577" spans="2:10" ht="15" customHeight="1">
      <c r="B577" s="47" t="s">
        <v>644</v>
      </c>
      <c r="C577" s="50" t="s">
        <v>645</v>
      </c>
      <c r="D577" s="50" t="s">
        <v>2066</v>
      </c>
      <c r="E577" s="50" t="s">
        <v>2152</v>
      </c>
      <c r="F577" s="51">
        <v>100</v>
      </c>
      <c r="G577" s="51">
        <v>105.4053</v>
      </c>
      <c r="H577" s="51">
        <v>6.09</v>
      </c>
      <c r="I577" s="52">
        <v>2531</v>
      </c>
      <c r="J577" s="50" t="s">
        <v>19</v>
      </c>
    </row>
    <row r="578" spans="2:10" ht="15" customHeight="1">
      <c r="B578" s="47" t="s">
        <v>646</v>
      </c>
      <c r="C578" s="50" t="s">
        <v>647</v>
      </c>
      <c r="D578" s="50" t="s">
        <v>2066</v>
      </c>
      <c r="E578" s="50" t="s">
        <v>2152</v>
      </c>
      <c r="F578" s="51">
        <v>100</v>
      </c>
      <c r="G578" s="51">
        <v>105.4053</v>
      </c>
      <c r="H578" s="51">
        <v>6.09</v>
      </c>
      <c r="I578" s="52">
        <v>2531</v>
      </c>
      <c r="J578" s="50" t="s">
        <v>19</v>
      </c>
    </row>
    <row r="579" spans="2:10" ht="15" customHeight="1">
      <c r="B579" s="47" t="s">
        <v>648</v>
      </c>
      <c r="C579" s="50" t="s">
        <v>649</v>
      </c>
      <c r="D579" s="50" t="s">
        <v>2066</v>
      </c>
      <c r="E579" s="50" t="s">
        <v>80</v>
      </c>
      <c r="F579" s="51">
        <v>98.99181820736051</v>
      </c>
      <c r="G579" s="51">
        <v>107.43621820736051</v>
      </c>
      <c r="H579" s="51">
        <v>18.68</v>
      </c>
      <c r="I579" s="52">
        <v>40</v>
      </c>
      <c r="J579" s="50" t="s">
        <v>19</v>
      </c>
    </row>
    <row r="580" spans="2:10" ht="15" customHeight="1">
      <c r="B580" s="47" t="s">
        <v>650</v>
      </c>
      <c r="C580" s="50" t="s">
        <v>651</v>
      </c>
      <c r="D580" s="50" t="s">
        <v>2064</v>
      </c>
      <c r="E580" s="50" t="s">
        <v>2153</v>
      </c>
      <c r="F580" s="51">
        <v>0.01</v>
      </c>
      <c r="G580" s="51">
        <v>0.01</v>
      </c>
      <c r="H580" s="51">
        <v>0</v>
      </c>
      <c r="I580" s="52">
        <v>0</v>
      </c>
      <c r="J580" s="50" t="s">
        <v>1786</v>
      </c>
    </row>
    <row r="581" spans="2:10" ht="15" customHeight="1">
      <c r="B581" s="47" t="s">
        <v>652</v>
      </c>
      <c r="C581" s="50" t="s">
        <v>653</v>
      </c>
      <c r="D581" s="50" t="s">
        <v>2064</v>
      </c>
      <c r="E581" s="50" t="s">
        <v>2154</v>
      </c>
      <c r="F581" s="51">
        <v>71</v>
      </c>
      <c r="G581" s="51">
        <v>71</v>
      </c>
      <c r="H581" s="51">
        <v>0</v>
      </c>
      <c r="I581" s="52">
        <v>0</v>
      </c>
      <c r="J581" s="50" t="s">
        <v>1786</v>
      </c>
    </row>
    <row r="582" spans="2:10" ht="15" customHeight="1">
      <c r="B582" s="47" t="s">
        <v>102</v>
      </c>
      <c r="C582" s="50" t="s">
        <v>103</v>
      </c>
      <c r="D582" s="50" t="s">
        <v>2066</v>
      </c>
      <c r="E582" s="50" t="s">
        <v>101</v>
      </c>
      <c r="F582" s="51">
        <v>100.486</v>
      </c>
      <c r="G582" s="51">
        <v>102.3596</v>
      </c>
      <c r="H582" s="51">
        <v>4.43</v>
      </c>
      <c r="I582" s="52">
        <v>578</v>
      </c>
      <c r="J582" s="50" t="s">
        <v>19</v>
      </c>
    </row>
    <row r="583" spans="2:10" ht="15" customHeight="1">
      <c r="B583" s="47" t="s">
        <v>1641</v>
      </c>
      <c r="C583" s="50" t="s">
        <v>1642</v>
      </c>
      <c r="D583" s="50" t="s">
        <v>2066</v>
      </c>
      <c r="E583" s="50" t="s">
        <v>2155</v>
      </c>
      <c r="F583" s="51">
        <v>100</v>
      </c>
      <c r="G583" s="51">
        <v>100.3188</v>
      </c>
      <c r="H583" s="51">
        <v>4.24</v>
      </c>
      <c r="I583" s="52">
        <v>273</v>
      </c>
      <c r="J583" s="50" t="s">
        <v>19</v>
      </c>
    </row>
    <row r="584" spans="2:10" ht="15" customHeight="1">
      <c r="B584" s="47" t="s">
        <v>1558</v>
      </c>
      <c r="C584" s="50" t="s">
        <v>1559</v>
      </c>
      <c r="D584" s="50" t="s">
        <v>2066</v>
      </c>
      <c r="E584" s="50" t="s">
        <v>2155</v>
      </c>
      <c r="F584" s="51">
        <v>100</v>
      </c>
      <c r="G584" s="51">
        <v>100.0992</v>
      </c>
      <c r="H584" s="51">
        <v>0.35</v>
      </c>
      <c r="I584" s="52">
        <v>78</v>
      </c>
      <c r="J584" s="50" t="s">
        <v>19</v>
      </c>
    </row>
    <row r="585" spans="2:10" ht="15" customHeight="1">
      <c r="B585" s="47" t="s">
        <v>654</v>
      </c>
      <c r="C585" s="50" t="s">
        <v>655</v>
      </c>
      <c r="D585" s="50" t="s">
        <v>2066</v>
      </c>
      <c r="E585" s="50" t="s">
        <v>2155</v>
      </c>
      <c r="F585" s="51">
        <v>100</v>
      </c>
      <c r="G585" s="51">
        <v>100.05929999999999</v>
      </c>
      <c r="H585" s="51">
        <v>0.35</v>
      </c>
      <c r="I585" s="52">
        <v>299</v>
      </c>
      <c r="J585" s="50" t="s">
        <v>19</v>
      </c>
    </row>
    <row r="586" spans="2:10" ht="15" customHeight="1">
      <c r="B586" s="47" t="s">
        <v>1970</v>
      </c>
      <c r="C586" s="50" t="s">
        <v>1971</v>
      </c>
      <c r="D586" s="50" t="s">
        <v>2066</v>
      </c>
      <c r="E586" s="50" t="s">
        <v>2155</v>
      </c>
      <c r="F586" s="51">
        <v>100</v>
      </c>
      <c r="G586" s="51">
        <v>100.1138</v>
      </c>
      <c r="H586" s="51">
        <v>0.35</v>
      </c>
      <c r="I586" s="52">
        <v>603</v>
      </c>
      <c r="J586" s="50" t="s">
        <v>19</v>
      </c>
    </row>
    <row r="587" spans="2:10" ht="15" customHeight="1">
      <c r="B587" s="47" t="s">
        <v>1789</v>
      </c>
      <c r="C587" s="50" t="s">
        <v>1790</v>
      </c>
      <c r="D587" s="50" t="s">
        <v>2066</v>
      </c>
      <c r="E587" s="50" t="s">
        <v>2155</v>
      </c>
      <c r="F587" s="51">
        <v>100</v>
      </c>
      <c r="G587" s="51">
        <v>100.0147</v>
      </c>
      <c r="H587" s="51">
        <v>0.02</v>
      </c>
      <c r="I587" s="52">
        <v>3079</v>
      </c>
      <c r="J587" s="50" t="s">
        <v>19</v>
      </c>
    </row>
    <row r="588" spans="2:10" ht="15" customHeight="1">
      <c r="B588" s="47" t="s">
        <v>656</v>
      </c>
      <c r="C588" s="50" t="s">
        <v>657</v>
      </c>
      <c r="D588" s="50" t="s">
        <v>2066</v>
      </c>
      <c r="E588" s="50" t="s">
        <v>2155</v>
      </c>
      <c r="F588" s="51">
        <v>100</v>
      </c>
      <c r="G588" s="51">
        <v>100.0046</v>
      </c>
      <c r="H588" s="51">
        <v>0.02</v>
      </c>
      <c r="I588" s="52">
        <v>3079</v>
      </c>
      <c r="J588" s="50" t="s">
        <v>19</v>
      </c>
    </row>
    <row r="589" spans="2:10" ht="15" customHeight="1">
      <c r="B589" s="47" t="s">
        <v>658</v>
      </c>
      <c r="C589" s="50" t="s">
        <v>659</v>
      </c>
      <c r="D589" s="50" t="s">
        <v>2066</v>
      </c>
      <c r="E589" s="50" t="s">
        <v>2155</v>
      </c>
      <c r="F589" s="51">
        <v>100</v>
      </c>
      <c r="G589" s="51">
        <v>101.2878</v>
      </c>
      <c r="H589" s="51">
        <v>6.08</v>
      </c>
      <c r="I589" s="52">
        <v>1694</v>
      </c>
      <c r="J589" s="50" t="s">
        <v>19</v>
      </c>
    </row>
    <row r="590" spans="2:10" ht="15" customHeight="1">
      <c r="B590" s="47" t="s">
        <v>2330</v>
      </c>
      <c r="C590" s="50" t="s">
        <v>2331</v>
      </c>
      <c r="D590" s="50" t="s">
        <v>2066</v>
      </c>
      <c r="E590" s="50" t="s">
        <v>2155</v>
      </c>
      <c r="F590" s="51">
        <v>90.439602311929406</v>
      </c>
      <c r="G590" s="51">
        <v>92.512402311929407</v>
      </c>
      <c r="H590" s="51">
        <v>20.49</v>
      </c>
      <c r="I590" s="52">
        <v>3559</v>
      </c>
      <c r="J590" s="50" t="s">
        <v>19</v>
      </c>
    </row>
    <row r="591" spans="2:10" ht="15" customHeight="1">
      <c r="B591" s="47" t="s">
        <v>2399</v>
      </c>
      <c r="C591" s="50" t="s">
        <v>2400</v>
      </c>
      <c r="D591" s="50" t="s">
        <v>2066</v>
      </c>
      <c r="E591" s="50" t="s">
        <v>2155</v>
      </c>
      <c r="F591" s="51">
        <v>93.426943820692159</v>
      </c>
      <c r="G591" s="51">
        <v>94.056943820692155</v>
      </c>
      <c r="H591" s="51">
        <v>20.48</v>
      </c>
      <c r="I591" s="52">
        <v>3588</v>
      </c>
      <c r="J591" s="50" t="s">
        <v>19</v>
      </c>
    </row>
    <row r="592" spans="2:10" ht="15" customHeight="1">
      <c r="B592" s="47" t="s">
        <v>2401</v>
      </c>
      <c r="C592" s="50" t="s">
        <v>2402</v>
      </c>
      <c r="D592" s="50" t="s">
        <v>2066</v>
      </c>
      <c r="E592" s="50" t="s">
        <v>2155</v>
      </c>
      <c r="F592" s="51">
        <v>93.426943820692159</v>
      </c>
      <c r="G592" s="51">
        <v>94.056943820692155</v>
      </c>
      <c r="H592" s="51">
        <v>20.48</v>
      </c>
      <c r="I592" s="52">
        <v>3588</v>
      </c>
      <c r="J592" s="50" t="s">
        <v>19</v>
      </c>
    </row>
    <row r="593" spans="2:10" ht="15" customHeight="1">
      <c r="B593" s="47" t="s">
        <v>660</v>
      </c>
      <c r="C593" s="50" t="s">
        <v>661</v>
      </c>
      <c r="D593" s="50" t="s">
        <v>2066</v>
      </c>
      <c r="E593" s="50" t="s">
        <v>2155</v>
      </c>
      <c r="F593" s="51">
        <v>100</v>
      </c>
      <c r="G593" s="51">
        <v>100.4575</v>
      </c>
      <c r="H593" s="51">
        <v>6.09</v>
      </c>
      <c r="I593" s="52">
        <v>2103</v>
      </c>
      <c r="J593" s="50" t="s">
        <v>19</v>
      </c>
    </row>
    <row r="594" spans="2:10" ht="15" customHeight="1">
      <c r="B594" s="47" t="s">
        <v>662</v>
      </c>
      <c r="C594" s="50" t="s">
        <v>663</v>
      </c>
      <c r="D594" s="50" t="s">
        <v>2066</v>
      </c>
      <c r="E594" s="50" t="s">
        <v>2155</v>
      </c>
      <c r="F594" s="51">
        <v>100</v>
      </c>
      <c r="G594" s="51">
        <v>105.4053</v>
      </c>
      <c r="H594" s="51">
        <v>6.09</v>
      </c>
      <c r="I594" s="52">
        <v>2531</v>
      </c>
      <c r="J594" s="50" t="s">
        <v>19</v>
      </c>
    </row>
    <row r="595" spans="2:10" ht="15" customHeight="1">
      <c r="B595" s="47" t="s">
        <v>664</v>
      </c>
      <c r="C595" s="50" t="s">
        <v>665</v>
      </c>
      <c r="D595" s="50" t="s">
        <v>2066</v>
      </c>
      <c r="E595" s="50" t="s">
        <v>2155</v>
      </c>
      <c r="F595" s="51">
        <v>100</v>
      </c>
      <c r="G595" s="51">
        <v>105.4053</v>
      </c>
      <c r="H595" s="51">
        <v>6.09</v>
      </c>
      <c r="I595" s="52">
        <v>2531</v>
      </c>
      <c r="J595" s="50" t="s">
        <v>19</v>
      </c>
    </row>
    <row r="596" spans="2:10" ht="15" customHeight="1">
      <c r="B596" s="47" t="s">
        <v>666</v>
      </c>
      <c r="C596" s="50" t="s">
        <v>667</v>
      </c>
      <c r="D596" s="50" t="s">
        <v>2066</v>
      </c>
      <c r="E596" s="50" t="s">
        <v>2155</v>
      </c>
      <c r="F596" s="51">
        <v>100</v>
      </c>
      <c r="G596" s="51">
        <v>104.27</v>
      </c>
      <c r="H596" s="51">
        <v>6.08</v>
      </c>
      <c r="I596" s="52">
        <v>2598</v>
      </c>
      <c r="J596" s="50" t="s">
        <v>19</v>
      </c>
    </row>
    <row r="597" spans="2:10" ht="15" customHeight="1">
      <c r="B597" s="47" t="s">
        <v>668</v>
      </c>
      <c r="C597" s="50" t="s">
        <v>669</v>
      </c>
      <c r="D597" s="50" t="s">
        <v>2064</v>
      </c>
      <c r="E597" s="50" t="s">
        <v>2156</v>
      </c>
      <c r="F597" s="51">
        <v>0.01</v>
      </c>
      <c r="G597" s="51">
        <v>0.01</v>
      </c>
      <c r="H597" s="51">
        <v>0</v>
      </c>
      <c r="I597" s="52">
        <v>0</v>
      </c>
      <c r="J597" s="50" t="s">
        <v>1786</v>
      </c>
    </row>
    <row r="598" spans="2:10" ht="15" customHeight="1">
      <c r="B598" s="47" t="s">
        <v>1446</v>
      </c>
      <c r="C598" s="50" t="s">
        <v>1447</v>
      </c>
      <c r="D598" s="50" t="s">
        <v>2064</v>
      </c>
      <c r="E598" s="50" t="s">
        <v>1448</v>
      </c>
      <c r="F598" s="51">
        <v>36411.328750000008</v>
      </c>
      <c r="G598" s="51">
        <v>36411.328750000008</v>
      </c>
      <c r="H598" s="51">
        <v>0</v>
      </c>
      <c r="I598" s="52">
        <v>0</v>
      </c>
      <c r="J598" s="50" t="s">
        <v>1786</v>
      </c>
    </row>
    <row r="599" spans="2:10" ht="15" customHeight="1">
      <c r="B599" s="47" t="s">
        <v>1753</v>
      </c>
      <c r="C599" s="50" t="s">
        <v>1754</v>
      </c>
      <c r="D599" s="50" t="s">
        <v>2066</v>
      </c>
      <c r="E599" s="50" t="s">
        <v>2157</v>
      </c>
      <c r="F599" s="51">
        <v>100</v>
      </c>
      <c r="G599" s="51">
        <v>101.4049</v>
      </c>
      <c r="H599" s="51">
        <v>4.24</v>
      </c>
      <c r="I599" s="52">
        <v>361</v>
      </c>
      <c r="J599" s="50" t="s">
        <v>19</v>
      </c>
    </row>
    <row r="600" spans="2:10" ht="15" customHeight="1">
      <c r="B600" s="47" t="s">
        <v>1560</v>
      </c>
      <c r="C600" s="50" t="s">
        <v>1561</v>
      </c>
      <c r="D600" s="50" t="s">
        <v>2066</v>
      </c>
      <c r="E600" s="50" t="s">
        <v>2157</v>
      </c>
      <c r="F600" s="51">
        <v>100</v>
      </c>
      <c r="G600" s="51">
        <v>100.10599999999999</v>
      </c>
      <c r="H600" s="51">
        <v>0.35</v>
      </c>
      <c r="I600" s="52">
        <v>71</v>
      </c>
      <c r="J600" s="50" t="s">
        <v>19</v>
      </c>
    </row>
    <row r="601" spans="2:10" ht="15" customHeight="1">
      <c r="B601" s="47" t="s">
        <v>1089</v>
      </c>
      <c r="C601" s="50" t="s">
        <v>1090</v>
      </c>
      <c r="D601" s="50" t="s">
        <v>2066</v>
      </c>
      <c r="E601" s="50" t="s">
        <v>2157</v>
      </c>
      <c r="F601" s="51">
        <v>100</v>
      </c>
      <c r="G601" s="51">
        <v>100.0399</v>
      </c>
      <c r="H601" s="51">
        <v>0.35</v>
      </c>
      <c r="I601" s="52">
        <v>319</v>
      </c>
      <c r="J601" s="50" t="s">
        <v>19</v>
      </c>
    </row>
    <row r="602" spans="2:10" ht="15" customHeight="1">
      <c r="B602" s="47" t="s">
        <v>1940</v>
      </c>
      <c r="C602" s="50" t="s">
        <v>1941</v>
      </c>
      <c r="D602" s="50" t="s">
        <v>2066</v>
      </c>
      <c r="E602" s="50" t="s">
        <v>2157</v>
      </c>
      <c r="F602" s="51">
        <v>100</v>
      </c>
      <c r="G602" s="51">
        <v>100.139</v>
      </c>
      <c r="H602" s="51">
        <v>0.35</v>
      </c>
      <c r="I602" s="52">
        <v>577</v>
      </c>
      <c r="J602" s="50" t="s">
        <v>19</v>
      </c>
    </row>
    <row r="603" spans="2:10" ht="15" customHeight="1">
      <c r="B603" s="47" t="s">
        <v>1484</v>
      </c>
      <c r="C603" s="50" t="s">
        <v>1485</v>
      </c>
      <c r="D603" s="50" t="s">
        <v>2066</v>
      </c>
      <c r="E603" s="50" t="s">
        <v>2157</v>
      </c>
      <c r="F603" s="51">
        <v>100</v>
      </c>
      <c r="G603" s="51">
        <v>100.002</v>
      </c>
      <c r="H603" s="51">
        <v>0.02</v>
      </c>
      <c r="I603" s="52">
        <v>3079</v>
      </c>
      <c r="J603" s="50" t="s">
        <v>19</v>
      </c>
    </row>
    <row r="604" spans="2:10" ht="15" customHeight="1">
      <c r="B604" s="47" t="s">
        <v>670</v>
      </c>
      <c r="C604" s="50" t="s">
        <v>671</v>
      </c>
      <c r="D604" s="50" t="s">
        <v>2066</v>
      </c>
      <c r="E604" s="50" t="s">
        <v>2157</v>
      </c>
      <c r="F604" s="51">
        <v>100</v>
      </c>
      <c r="G604" s="51">
        <v>100.00490000000001</v>
      </c>
      <c r="H604" s="51">
        <v>0.02</v>
      </c>
      <c r="I604" s="52">
        <v>3079</v>
      </c>
      <c r="J604" s="50" t="s">
        <v>19</v>
      </c>
    </row>
    <row r="605" spans="2:10" ht="15" customHeight="1">
      <c r="B605" s="47" t="s">
        <v>672</v>
      </c>
      <c r="C605" s="50" t="s">
        <v>673</v>
      </c>
      <c r="D605" s="50" t="s">
        <v>2066</v>
      </c>
      <c r="E605" s="50" t="s">
        <v>2157</v>
      </c>
      <c r="F605" s="51">
        <v>100</v>
      </c>
      <c r="G605" s="51">
        <v>101.2878</v>
      </c>
      <c r="H605" s="51">
        <v>6.08</v>
      </c>
      <c r="I605" s="52">
        <v>1694</v>
      </c>
      <c r="J605" s="50" t="s">
        <v>19</v>
      </c>
    </row>
    <row r="606" spans="2:10" ht="15" customHeight="1">
      <c r="B606" s="47" t="s">
        <v>1562</v>
      </c>
      <c r="C606" s="50" t="s">
        <v>1563</v>
      </c>
      <c r="D606" s="50" t="s">
        <v>2066</v>
      </c>
      <c r="E606" s="50" t="s">
        <v>2157</v>
      </c>
      <c r="F606" s="51">
        <v>100</v>
      </c>
      <c r="G606" s="51">
        <v>106.19280000000001</v>
      </c>
      <c r="H606" s="51">
        <v>7.08</v>
      </c>
      <c r="I606" s="52">
        <v>2176</v>
      </c>
      <c r="J606" s="50" t="s">
        <v>19</v>
      </c>
    </row>
    <row r="607" spans="2:10" ht="15" customHeight="1">
      <c r="B607" s="47" t="s">
        <v>2298</v>
      </c>
      <c r="C607" s="50" t="s">
        <v>2299</v>
      </c>
      <c r="D607" s="50" t="s">
        <v>2066</v>
      </c>
      <c r="E607" s="50" t="s">
        <v>2157</v>
      </c>
      <c r="F607" s="51">
        <v>90.446612355378647</v>
      </c>
      <c r="G607" s="51">
        <v>93.126012355378649</v>
      </c>
      <c r="H607" s="51">
        <v>20.48</v>
      </c>
      <c r="I607" s="52">
        <v>3547</v>
      </c>
      <c r="J607" s="50" t="s">
        <v>19</v>
      </c>
    </row>
    <row r="608" spans="2:10" ht="15" customHeight="1">
      <c r="B608" s="47" t="s">
        <v>2403</v>
      </c>
      <c r="C608" s="50" t="s">
        <v>2404</v>
      </c>
      <c r="D608" s="50" t="s">
        <v>2066</v>
      </c>
      <c r="E608" s="50" t="s">
        <v>2157</v>
      </c>
      <c r="F608" s="51">
        <v>93.426943820692159</v>
      </c>
      <c r="G608" s="51">
        <v>94.056943820692155</v>
      </c>
      <c r="H608" s="51">
        <v>20.48</v>
      </c>
      <c r="I608" s="52">
        <v>3588</v>
      </c>
      <c r="J608" s="50" t="s">
        <v>19</v>
      </c>
    </row>
    <row r="609" spans="2:10" ht="15" customHeight="1">
      <c r="B609" s="47" t="s">
        <v>674</v>
      </c>
      <c r="C609" s="50" t="s">
        <v>675</v>
      </c>
      <c r="D609" s="50" t="s">
        <v>2066</v>
      </c>
      <c r="E609" s="50" t="s">
        <v>2157</v>
      </c>
      <c r="F609" s="51">
        <v>100</v>
      </c>
      <c r="G609" s="51">
        <v>100.4575</v>
      </c>
      <c r="H609" s="51">
        <v>6.09</v>
      </c>
      <c r="I609" s="52">
        <v>2103</v>
      </c>
      <c r="J609" s="50" t="s">
        <v>19</v>
      </c>
    </row>
    <row r="610" spans="2:10" ht="15" customHeight="1">
      <c r="B610" s="47" t="s">
        <v>676</v>
      </c>
      <c r="C610" s="50" t="s">
        <v>677</v>
      </c>
      <c r="D610" s="50" t="s">
        <v>2066</v>
      </c>
      <c r="E610" s="50" t="s">
        <v>2157</v>
      </c>
      <c r="F610" s="51">
        <v>100</v>
      </c>
      <c r="G610" s="51">
        <v>105.4053</v>
      </c>
      <c r="H610" s="51">
        <v>6.09</v>
      </c>
      <c r="I610" s="52">
        <v>2531</v>
      </c>
      <c r="J610" s="50" t="s">
        <v>19</v>
      </c>
    </row>
    <row r="611" spans="2:10" ht="15" customHeight="1">
      <c r="B611" s="47" t="s">
        <v>678</v>
      </c>
      <c r="C611" s="50" t="s">
        <v>679</v>
      </c>
      <c r="D611" s="50" t="s">
        <v>2066</v>
      </c>
      <c r="E611" s="50" t="s">
        <v>2157</v>
      </c>
      <c r="F611" s="51">
        <v>100</v>
      </c>
      <c r="G611" s="51">
        <v>105.4053</v>
      </c>
      <c r="H611" s="51">
        <v>6.09</v>
      </c>
      <c r="I611" s="52">
        <v>2531</v>
      </c>
      <c r="J611" s="50" t="s">
        <v>19</v>
      </c>
    </row>
    <row r="612" spans="2:10" ht="15" customHeight="1">
      <c r="B612" s="47" t="s">
        <v>680</v>
      </c>
      <c r="C612" s="50" t="s">
        <v>681</v>
      </c>
      <c r="D612" s="50" t="s">
        <v>2066</v>
      </c>
      <c r="E612" s="50" t="s">
        <v>2157</v>
      </c>
      <c r="F612" s="51">
        <v>100</v>
      </c>
      <c r="G612" s="51">
        <v>104.27</v>
      </c>
      <c r="H612" s="51">
        <v>6.08</v>
      </c>
      <c r="I612" s="52">
        <v>2598</v>
      </c>
      <c r="J612" s="50" t="s">
        <v>19</v>
      </c>
    </row>
    <row r="613" spans="2:10" ht="15" customHeight="1">
      <c r="B613" s="47" t="s">
        <v>682</v>
      </c>
      <c r="C613" s="50" t="s">
        <v>683</v>
      </c>
      <c r="D613" s="50" t="s">
        <v>2064</v>
      </c>
      <c r="E613" s="50" t="s">
        <v>2158</v>
      </c>
      <c r="F613" s="51">
        <v>0.01</v>
      </c>
      <c r="G613" s="51">
        <v>0.01</v>
      </c>
      <c r="H613" s="51">
        <v>0</v>
      </c>
      <c r="I613" s="52">
        <v>0</v>
      </c>
      <c r="J613" s="50" t="s">
        <v>1786</v>
      </c>
    </row>
    <row r="614" spans="2:10" ht="15" customHeight="1">
      <c r="B614" s="47" t="s">
        <v>684</v>
      </c>
      <c r="C614" s="50" t="s">
        <v>685</v>
      </c>
      <c r="D614" s="50" t="s">
        <v>2066</v>
      </c>
      <c r="E614" s="50" t="s">
        <v>2159</v>
      </c>
      <c r="F614" s="51">
        <v>97.004941805305549</v>
      </c>
      <c r="G614" s="51">
        <v>98.734141805305541</v>
      </c>
      <c r="H614" s="51">
        <v>19.260000000000002</v>
      </c>
      <c r="I614" s="52">
        <v>97</v>
      </c>
      <c r="J614" s="50" t="s">
        <v>19</v>
      </c>
    </row>
    <row r="615" spans="2:10" ht="15" customHeight="1">
      <c r="B615" s="47" t="s">
        <v>686</v>
      </c>
      <c r="C615" s="50" t="s">
        <v>687</v>
      </c>
      <c r="D615" s="50" t="s">
        <v>2066</v>
      </c>
      <c r="E615" s="50" t="s">
        <v>2159</v>
      </c>
      <c r="F615" s="51">
        <v>99.427366466158091</v>
      </c>
      <c r="G615" s="51">
        <v>102.80236646615809</v>
      </c>
      <c r="H615" s="51">
        <v>19.22</v>
      </c>
      <c r="I615" s="52">
        <v>18</v>
      </c>
      <c r="J615" s="50" t="s">
        <v>19</v>
      </c>
    </row>
    <row r="616" spans="2:10" ht="15" customHeight="1">
      <c r="B616" s="47" t="s">
        <v>688</v>
      </c>
      <c r="C616" s="50" t="s">
        <v>689</v>
      </c>
      <c r="D616" s="50" t="s">
        <v>2064</v>
      </c>
      <c r="E616" s="50" t="s">
        <v>690</v>
      </c>
      <c r="F616" s="51">
        <v>254.86263600000004</v>
      </c>
      <c r="G616" s="51">
        <v>254.86263600000004</v>
      </c>
      <c r="H616" s="51">
        <v>0</v>
      </c>
      <c r="I616" s="52">
        <v>0</v>
      </c>
      <c r="J616" s="50" t="s">
        <v>1786</v>
      </c>
    </row>
    <row r="617" spans="2:10" ht="15" customHeight="1">
      <c r="B617" s="47" t="s">
        <v>691</v>
      </c>
      <c r="C617" s="50" t="s">
        <v>692</v>
      </c>
      <c r="D617" s="50" t="s">
        <v>2066</v>
      </c>
      <c r="E617" s="50" t="s">
        <v>2062</v>
      </c>
      <c r="F617" s="51">
        <v>82.228478840488663</v>
      </c>
      <c r="G617" s="51">
        <v>85.478478840488663</v>
      </c>
      <c r="H617" s="51">
        <v>20.079999999999998</v>
      </c>
      <c r="I617" s="52">
        <v>2262</v>
      </c>
      <c r="J617" s="50" t="s">
        <v>19</v>
      </c>
    </row>
    <row r="618" spans="2:10" ht="15" customHeight="1">
      <c r="B618" s="47" t="s">
        <v>693</v>
      </c>
      <c r="C618" s="50" t="s">
        <v>694</v>
      </c>
      <c r="D618" s="50" t="s">
        <v>2066</v>
      </c>
      <c r="E618" s="50" t="s">
        <v>2062</v>
      </c>
      <c r="F618" s="51">
        <v>92.918343686103697</v>
      </c>
      <c r="G618" s="51">
        <v>95.990543686103692</v>
      </c>
      <c r="H618" s="51">
        <v>20.49</v>
      </c>
      <c r="I618" s="52">
        <v>461</v>
      </c>
      <c r="J618" s="50" t="s">
        <v>19</v>
      </c>
    </row>
    <row r="619" spans="2:10" ht="15" customHeight="1">
      <c r="B619" s="47" t="s">
        <v>695</v>
      </c>
      <c r="C619" s="50" t="s">
        <v>696</v>
      </c>
      <c r="D619" s="50" t="s">
        <v>2064</v>
      </c>
      <c r="E619" s="50" t="s">
        <v>2062</v>
      </c>
      <c r="F619" s="51">
        <v>0.01</v>
      </c>
      <c r="G619" s="51">
        <v>0.01</v>
      </c>
      <c r="H619" s="51">
        <v>0</v>
      </c>
      <c r="I619" s="52">
        <v>1008</v>
      </c>
      <c r="J619" s="50" t="s">
        <v>1786</v>
      </c>
    </row>
    <row r="620" spans="2:10" ht="15" customHeight="1">
      <c r="B620" s="47" t="s">
        <v>697</v>
      </c>
      <c r="C620" s="50" t="s">
        <v>698</v>
      </c>
      <c r="D620" s="50" t="s">
        <v>2066</v>
      </c>
      <c r="E620" s="50" t="s">
        <v>2062</v>
      </c>
      <c r="F620" s="51">
        <v>58.358118776020362</v>
      </c>
      <c r="G620" s="51">
        <v>66.191418776020356</v>
      </c>
      <c r="H620" s="51">
        <v>21.01</v>
      </c>
      <c r="I620" s="52">
        <v>2958</v>
      </c>
      <c r="J620" s="50" t="s">
        <v>19</v>
      </c>
    </row>
    <row r="621" spans="2:10" ht="15" customHeight="1">
      <c r="B621" s="47" t="s">
        <v>1401</v>
      </c>
      <c r="C621" s="50" t="s">
        <v>1402</v>
      </c>
      <c r="D621" s="50" t="s">
        <v>2093</v>
      </c>
      <c r="E621" s="50" t="s">
        <v>1732</v>
      </c>
      <c r="F621" s="51">
        <v>26194.619500000004</v>
      </c>
      <c r="G621" s="51">
        <v>26194.619500000004</v>
      </c>
      <c r="H621" s="51">
        <v>0</v>
      </c>
      <c r="I621" s="52">
        <v>0</v>
      </c>
      <c r="J621" s="50" t="s">
        <v>1786</v>
      </c>
    </row>
    <row r="622" spans="2:10" ht="15" customHeight="1">
      <c r="B622" s="47" t="s">
        <v>699</v>
      </c>
      <c r="C622" s="50" t="s">
        <v>700</v>
      </c>
      <c r="D622" s="50" t="s">
        <v>2064</v>
      </c>
      <c r="E622" s="50" t="s">
        <v>2160</v>
      </c>
      <c r="F622" s="51">
        <v>0.01</v>
      </c>
      <c r="G622" s="51">
        <v>0.01</v>
      </c>
      <c r="H622" s="51">
        <v>0</v>
      </c>
      <c r="I622" s="52">
        <v>0</v>
      </c>
      <c r="J622" s="50" t="s">
        <v>1786</v>
      </c>
    </row>
    <row r="623" spans="2:10" ht="15" customHeight="1">
      <c r="B623" s="47" t="s">
        <v>701</v>
      </c>
      <c r="C623" s="50" t="s">
        <v>702</v>
      </c>
      <c r="D623" s="50" t="s">
        <v>2064</v>
      </c>
      <c r="E623" s="50" t="s">
        <v>2161</v>
      </c>
      <c r="F623" s="51">
        <v>13473.57</v>
      </c>
      <c r="G623" s="51">
        <v>13473.57</v>
      </c>
      <c r="H623" s="51">
        <v>0</v>
      </c>
      <c r="I623" s="52">
        <v>0</v>
      </c>
      <c r="J623" s="50" t="s">
        <v>1786</v>
      </c>
    </row>
    <row r="624" spans="2:10" ht="15" customHeight="1">
      <c r="B624" s="47" t="s">
        <v>703</v>
      </c>
      <c r="C624" s="50" t="s">
        <v>704</v>
      </c>
      <c r="D624" s="50" t="s">
        <v>2066</v>
      </c>
      <c r="E624" s="50" t="s">
        <v>2161</v>
      </c>
      <c r="F624" s="51">
        <v>78.47463126436277</v>
      </c>
      <c r="G624" s="51">
        <v>84.424631264362773</v>
      </c>
      <c r="H624" s="51">
        <v>20.309999999999999</v>
      </c>
      <c r="I624" s="52">
        <v>2187</v>
      </c>
      <c r="J624" s="50" t="s">
        <v>19</v>
      </c>
    </row>
    <row r="625" spans="2:10" ht="15" customHeight="1">
      <c r="B625" s="47" t="s">
        <v>705</v>
      </c>
      <c r="C625" s="50" t="s">
        <v>706</v>
      </c>
      <c r="D625" s="50" t="s">
        <v>2064</v>
      </c>
      <c r="E625" s="50" t="s">
        <v>2115</v>
      </c>
      <c r="F625" s="51">
        <v>0.01</v>
      </c>
      <c r="G625" s="51">
        <v>0.01</v>
      </c>
      <c r="H625" s="51">
        <v>0</v>
      </c>
      <c r="I625" s="52">
        <v>0</v>
      </c>
      <c r="J625" s="50" t="s">
        <v>1786</v>
      </c>
    </row>
    <row r="626" spans="2:10" ht="15" customHeight="1">
      <c r="B626" s="47" t="s">
        <v>1202</v>
      </c>
      <c r="C626" s="50" t="s">
        <v>1203</v>
      </c>
      <c r="D626" s="50" t="s">
        <v>2066</v>
      </c>
      <c r="E626" s="50" t="s">
        <v>2115</v>
      </c>
      <c r="F626" s="51">
        <v>85.620289874907613</v>
      </c>
      <c r="G626" s="51">
        <v>88.128589874907618</v>
      </c>
      <c r="H626" s="51">
        <v>18.54</v>
      </c>
      <c r="I626" s="52">
        <v>814</v>
      </c>
      <c r="J626" s="50" t="s">
        <v>19</v>
      </c>
    </row>
    <row r="627" spans="2:10" ht="15" customHeight="1">
      <c r="B627" s="47" t="s">
        <v>707</v>
      </c>
      <c r="C627" s="50" t="s">
        <v>708</v>
      </c>
      <c r="D627" s="50" t="s">
        <v>2066</v>
      </c>
      <c r="E627" s="50" t="s">
        <v>2115</v>
      </c>
      <c r="F627" s="51">
        <v>2.069026760126194</v>
      </c>
      <c r="G627" s="51">
        <v>2.0912267601261942</v>
      </c>
      <c r="H627" s="51">
        <v>17.989999999999998</v>
      </c>
      <c r="I627" s="52">
        <v>8560</v>
      </c>
      <c r="J627" s="50" t="s">
        <v>19</v>
      </c>
    </row>
    <row r="628" spans="2:10" ht="15" customHeight="1">
      <c r="B628" s="47" t="s">
        <v>709</v>
      </c>
      <c r="C628" s="50" t="s">
        <v>710</v>
      </c>
      <c r="D628" s="50" t="s">
        <v>2066</v>
      </c>
      <c r="E628" s="50" t="s">
        <v>2115</v>
      </c>
      <c r="F628" s="51">
        <v>1.7972583827423605</v>
      </c>
      <c r="G628" s="51">
        <v>1.8069583827423605</v>
      </c>
      <c r="H628" s="51">
        <v>17.989999999999998</v>
      </c>
      <c r="I628" s="52">
        <v>8965</v>
      </c>
      <c r="J628" s="50" t="s">
        <v>19</v>
      </c>
    </row>
    <row r="629" spans="2:10" ht="15" customHeight="1">
      <c r="B629" s="47" t="s">
        <v>1227</v>
      </c>
      <c r="C629" s="50" t="s">
        <v>1228</v>
      </c>
      <c r="D629" s="50" t="s">
        <v>2066</v>
      </c>
      <c r="E629" s="50" t="s">
        <v>2115</v>
      </c>
      <c r="F629" s="51">
        <v>96.479571893904136</v>
      </c>
      <c r="G629" s="51">
        <v>96.963571893904145</v>
      </c>
      <c r="H629" s="51">
        <v>18.670000000000002</v>
      </c>
      <c r="I629" s="52">
        <v>163</v>
      </c>
      <c r="J629" s="50" t="s">
        <v>19</v>
      </c>
    </row>
    <row r="630" spans="2:10" ht="15" customHeight="1">
      <c r="B630" s="47" t="s">
        <v>711</v>
      </c>
      <c r="C630" s="50" t="s">
        <v>712</v>
      </c>
      <c r="D630" s="50" t="s">
        <v>2066</v>
      </c>
      <c r="E630" s="50" t="s">
        <v>2115</v>
      </c>
      <c r="F630" s="51">
        <v>1.2349918646788605</v>
      </c>
      <c r="G630" s="51">
        <v>1.2524918646788605</v>
      </c>
      <c r="H630" s="51">
        <v>18</v>
      </c>
      <c r="I630" s="52">
        <v>10197</v>
      </c>
      <c r="J630" s="50" t="s">
        <v>19</v>
      </c>
    </row>
    <row r="631" spans="2:10" ht="15" customHeight="1">
      <c r="B631" s="47" t="s">
        <v>713</v>
      </c>
      <c r="C631" s="50" t="s">
        <v>714</v>
      </c>
      <c r="D631" s="50" t="s">
        <v>2066</v>
      </c>
      <c r="E631" s="50" t="s">
        <v>2115</v>
      </c>
      <c r="F631" s="51">
        <v>1.6629170867410326</v>
      </c>
      <c r="G631" s="51">
        <v>1.6823170867410324</v>
      </c>
      <c r="H631" s="51">
        <v>17.989999999999998</v>
      </c>
      <c r="I631" s="52">
        <v>9200</v>
      </c>
      <c r="J631" s="50" t="s">
        <v>19</v>
      </c>
    </row>
    <row r="632" spans="2:10" ht="15" customHeight="1">
      <c r="B632" s="47" t="s">
        <v>715</v>
      </c>
      <c r="C632" s="50" t="s">
        <v>716</v>
      </c>
      <c r="D632" s="50" t="s">
        <v>2066</v>
      </c>
      <c r="E632" s="50" t="s">
        <v>2115</v>
      </c>
      <c r="F632" s="51">
        <v>49.590549246174859</v>
      </c>
      <c r="G632" s="51">
        <v>53.804549246174858</v>
      </c>
      <c r="H632" s="51">
        <v>19.5</v>
      </c>
      <c r="I632" s="52">
        <v>2628</v>
      </c>
      <c r="J632" s="50" t="s">
        <v>19</v>
      </c>
    </row>
    <row r="633" spans="2:10" ht="15" customHeight="1">
      <c r="B633" s="47" t="s">
        <v>1663</v>
      </c>
      <c r="C633" s="50" t="s">
        <v>1664</v>
      </c>
      <c r="D633" s="50" t="s">
        <v>2066</v>
      </c>
      <c r="E633" s="50" t="s">
        <v>2115</v>
      </c>
      <c r="F633" s="51">
        <v>69.232424685435873</v>
      </c>
      <c r="G633" s="51">
        <v>70.843924685435866</v>
      </c>
      <c r="H633" s="51">
        <v>18.75</v>
      </c>
      <c r="I633" s="52">
        <v>1734</v>
      </c>
      <c r="J633" s="50" t="s">
        <v>19</v>
      </c>
    </row>
    <row r="634" spans="2:10" ht="15" customHeight="1">
      <c r="B634" s="47" t="s">
        <v>717</v>
      </c>
      <c r="C634" s="50" t="s">
        <v>718</v>
      </c>
      <c r="D634" s="50" t="s">
        <v>2066</v>
      </c>
      <c r="E634" s="50" t="s">
        <v>2115</v>
      </c>
      <c r="F634" s="51">
        <v>1.5096448003771592</v>
      </c>
      <c r="G634" s="51">
        <v>1.5199448003771592</v>
      </c>
      <c r="H634" s="51">
        <v>18</v>
      </c>
      <c r="I634" s="52">
        <v>9503</v>
      </c>
      <c r="J634" s="50" t="s">
        <v>19</v>
      </c>
    </row>
    <row r="635" spans="2:10" ht="15" customHeight="1">
      <c r="B635" s="47" t="s">
        <v>719</v>
      </c>
      <c r="C635" s="50" t="s">
        <v>720</v>
      </c>
      <c r="D635" s="50" t="s">
        <v>2066</v>
      </c>
      <c r="E635" s="50" t="s">
        <v>2115</v>
      </c>
      <c r="F635" s="51">
        <v>57.307168580601058</v>
      </c>
      <c r="G635" s="51">
        <v>63.430168580601055</v>
      </c>
      <c r="H635" s="51">
        <v>19.54</v>
      </c>
      <c r="I635" s="52">
        <v>2206</v>
      </c>
      <c r="J635" s="50" t="s">
        <v>19</v>
      </c>
    </row>
    <row r="636" spans="2:10" ht="15" customHeight="1">
      <c r="B636" s="47" t="s">
        <v>1667</v>
      </c>
      <c r="C636" s="50" t="s">
        <v>1668</v>
      </c>
      <c r="D636" s="50" t="s">
        <v>2064</v>
      </c>
      <c r="E636" s="50" t="s">
        <v>2115</v>
      </c>
      <c r="F636" s="51">
        <v>1000</v>
      </c>
      <c r="G636" s="51">
        <v>1000</v>
      </c>
      <c r="H636" s="51">
        <v>0</v>
      </c>
      <c r="I636" s="52">
        <v>1731</v>
      </c>
      <c r="J636" s="50" t="s">
        <v>1786</v>
      </c>
    </row>
    <row r="637" spans="2:10" ht="15" customHeight="1">
      <c r="B637" s="47" t="s">
        <v>1665</v>
      </c>
      <c r="C637" s="50" t="s">
        <v>1666</v>
      </c>
      <c r="D637" s="50" t="s">
        <v>2066</v>
      </c>
      <c r="E637" s="50" t="s">
        <v>2115</v>
      </c>
      <c r="F637" s="51">
        <v>33.250027553545443</v>
      </c>
      <c r="G637" s="51">
        <v>33.925027553545441</v>
      </c>
      <c r="H637" s="51">
        <v>18.55</v>
      </c>
      <c r="I637" s="52">
        <v>3900</v>
      </c>
      <c r="J637" s="50" t="s">
        <v>19</v>
      </c>
    </row>
    <row r="638" spans="2:10" ht="15" customHeight="1">
      <c r="B638" s="47" t="s">
        <v>2316</v>
      </c>
      <c r="C638" s="50" t="s">
        <v>2317</v>
      </c>
      <c r="D638" s="50" t="s">
        <v>2066</v>
      </c>
      <c r="E638" s="50" t="s">
        <v>2115</v>
      </c>
      <c r="F638" s="51">
        <v>94.949318829090274</v>
      </c>
      <c r="G638" s="51">
        <v>97.299318829090282</v>
      </c>
      <c r="H638" s="51">
        <v>19.64</v>
      </c>
      <c r="I638" s="52">
        <v>1753</v>
      </c>
      <c r="J638" s="50" t="s">
        <v>19</v>
      </c>
    </row>
    <row r="639" spans="2:10" ht="15" customHeight="1">
      <c r="B639" s="47" t="s">
        <v>119</v>
      </c>
      <c r="C639" s="50" t="s">
        <v>120</v>
      </c>
      <c r="D639" s="50" t="s">
        <v>2066</v>
      </c>
      <c r="E639" s="50" t="s">
        <v>2162</v>
      </c>
      <c r="F639" s="51">
        <v>99.349000000000004</v>
      </c>
      <c r="G639" s="51">
        <v>101.35420000000001</v>
      </c>
      <c r="H639" s="51">
        <v>4.71</v>
      </c>
      <c r="I639" s="52">
        <v>735</v>
      </c>
      <c r="J639" s="50" t="s">
        <v>19</v>
      </c>
    </row>
    <row r="640" spans="2:10" ht="15" customHeight="1">
      <c r="B640" s="47" t="s">
        <v>1181</v>
      </c>
      <c r="C640" s="50" t="s">
        <v>1182</v>
      </c>
      <c r="D640" s="50" t="s">
        <v>2066</v>
      </c>
      <c r="E640" s="50" t="s">
        <v>123</v>
      </c>
      <c r="F640" s="51">
        <v>95.567696329346077</v>
      </c>
      <c r="G640" s="51">
        <v>98.187096329346076</v>
      </c>
      <c r="H640" s="51">
        <v>17.809999999999999</v>
      </c>
      <c r="I640" s="52">
        <v>278</v>
      </c>
      <c r="J640" s="50" t="s">
        <v>19</v>
      </c>
    </row>
    <row r="641" spans="2:10" ht="15" customHeight="1">
      <c r="B641" s="47" t="s">
        <v>721</v>
      </c>
      <c r="C641" s="50" t="s">
        <v>722</v>
      </c>
      <c r="D641" s="50" t="s">
        <v>2066</v>
      </c>
      <c r="E641" s="50" t="s">
        <v>2163</v>
      </c>
      <c r="F641" s="51">
        <v>92.239719969410331</v>
      </c>
      <c r="G641" s="51">
        <v>100.93971996941033</v>
      </c>
      <c r="H641" s="51">
        <v>25.47</v>
      </c>
      <c r="I641" s="52">
        <v>1116</v>
      </c>
      <c r="J641" s="50" t="s">
        <v>19</v>
      </c>
    </row>
    <row r="642" spans="2:10" ht="15" customHeight="1">
      <c r="B642" s="47" t="s">
        <v>1229</v>
      </c>
      <c r="C642" s="50" t="s">
        <v>1230</v>
      </c>
      <c r="D642" s="50" t="s">
        <v>2066</v>
      </c>
      <c r="E642" s="50" t="s">
        <v>129</v>
      </c>
      <c r="F642" s="51">
        <v>93.421000000000006</v>
      </c>
      <c r="G642" s="51">
        <v>95.411600000000007</v>
      </c>
      <c r="H642" s="51">
        <v>5.43</v>
      </c>
      <c r="I642" s="52">
        <v>6873</v>
      </c>
      <c r="J642" s="50" t="s">
        <v>19</v>
      </c>
    </row>
    <row r="643" spans="2:10" ht="15" customHeight="1">
      <c r="B643" s="47" t="s">
        <v>723</v>
      </c>
      <c r="C643" s="50" t="s">
        <v>724</v>
      </c>
      <c r="D643" s="50" t="s">
        <v>2066</v>
      </c>
      <c r="E643" s="50" t="s">
        <v>129</v>
      </c>
      <c r="F643" s="51">
        <v>98.616388350571953</v>
      </c>
      <c r="G643" s="51">
        <v>100.60658835057195</v>
      </c>
      <c r="H643" s="51">
        <v>2.84</v>
      </c>
      <c r="I643" s="52">
        <v>1155</v>
      </c>
      <c r="J643" s="50" t="s">
        <v>19</v>
      </c>
    </row>
    <row r="644" spans="2:10" ht="15" customHeight="1">
      <c r="B644" s="47" t="s">
        <v>1115</v>
      </c>
      <c r="C644" s="50" t="s">
        <v>1116</v>
      </c>
      <c r="D644" s="50" t="s">
        <v>2066</v>
      </c>
      <c r="E644" s="50" t="s">
        <v>129</v>
      </c>
      <c r="F644" s="51">
        <v>97.827422307021195</v>
      </c>
      <c r="G644" s="51">
        <v>98.395722307021202</v>
      </c>
      <c r="H644" s="51">
        <v>2.72</v>
      </c>
      <c r="I644" s="52">
        <v>384</v>
      </c>
      <c r="J644" s="50" t="s">
        <v>19</v>
      </c>
    </row>
    <row r="645" spans="2:10" ht="15" customHeight="1">
      <c r="B645" s="47" t="s">
        <v>725</v>
      </c>
      <c r="C645" s="50" t="s">
        <v>726</v>
      </c>
      <c r="D645" s="50" t="s">
        <v>2066</v>
      </c>
      <c r="E645" s="50" t="s">
        <v>129</v>
      </c>
      <c r="F645" s="51">
        <v>85.439600037331275</v>
      </c>
      <c r="G645" s="51">
        <v>88.598000037331275</v>
      </c>
      <c r="H645" s="51">
        <v>15.22</v>
      </c>
      <c r="I645" s="52">
        <v>734</v>
      </c>
      <c r="J645" s="50" t="s">
        <v>19</v>
      </c>
    </row>
    <row r="646" spans="2:10" ht="15" customHeight="1">
      <c r="B646" s="47" t="s">
        <v>727</v>
      </c>
      <c r="C646" s="50" t="s">
        <v>728</v>
      </c>
      <c r="D646" s="50" t="s">
        <v>2066</v>
      </c>
      <c r="E646" s="50" t="s">
        <v>129</v>
      </c>
      <c r="F646" s="51">
        <v>71.852963750799134</v>
      </c>
      <c r="G646" s="51">
        <v>75.228263750799144</v>
      </c>
      <c r="H646" s="51">
        <v>15.24</v>
      </c>
      <c r="I646" s="52">
        <v>1826</v>
      </c>
      <c r="J646" s="50" t="s">
        <v>19</v>
      </c>
    </row>
    <row r="647" spans="2:10" ht="15" customHeight="1">
      <c r="B647" s="47" t="s">
        <v>729</v>
      </c>
      <c r="C647" s="50" t="s">
        <v>730</v>
      </c>
      <c r="D647" s="50" t="s">
        <v>2066</v>
      </c>
      <c r="E647" s="50" t="s">
        <v>129</v>
      </c>
      <c r="F647" s="51">
        <v>94.194676982586628</v>
      </c>
      <c r="G647" s="51">
        <v>95.834176982586627</v>
      </c>
      <c r="H647" s="51">
        <v>15.64</v>
      </c>
      <c r="I647" s="52">
        <v>284</v>
      </c>
      <c r="J647" s="50" t="s">
        <v>19</v>
      </c>
    </row>
    <row r="648" spans="2:10" ht="15" customHeight="1">
      <c r="B648" s="47" t="s">
        <v>731</v>
      </c>
      <c r="C648" s="50" t="s">
        <v>732</v>
      </c>
      <c r="D648" s="50" t="s">
        <v>2066</v>
      </c>
      <c r="E648" s="50" t="s">
        <v>129</v>
      </c>
      <c r="F648" s="51">
        <v>83.43857054652355</v>
      </c>
      <c r="G648" s="51">
        <v>85.124070546523541</v>
      </c>
      <c r="H648" s="51">
        <v>15.22</v>
      </c>
      <c r="I648" s="52">
        <v>1012</v>
      </c>
      <c r="J648" s="50" t="s">
        <v>19</v>
      </c>
    </row>
    <row r="649" spans="2:10" ht="15" customHeight="1">
      <c r="B649" s="47" t="s">
        <v>733</v>
      </c>
      <c r="C649" s="50" t="s">
        <v>734</v>
      </c>
      <c r="D649" s="50" t="s">
        <v>2066</v>
      </c>
      <c r="E649" s="50" t="s">
        <v>129</v>
      </c>
      <c r="F649" s="51">
        <v>72.504808641755602</v>
      </c>
      <c r="G649" s="51">
        <v>74.240708641755603</v>
      </c>
      <c r="H649" s="51">
        <v>15.25</v>
      </c>
      <c r="I649" s="52">
        <v>2104</v>
      </c>
      <c r="J649" s="50" t="s">
        <v>19</v>
      </c>
    </row>
    <row r="650" spans="2:10" ht="15" customHeight="1">
      <c r="B650" s="47" t="s">
        <v>735</v>
      </c>
      <c r="C650" s="50" t="s">
        <v>736</v>
      </c>
      <c r="D650" s="50" t="s">
        <v>2066</v>
      </c>
      <c r="E650" s="50" t="s">
        <v>129</v>
      </c>
      <c r="F650" s="51">
        <v>72.504808641755602</v>
      </c>
      <c r="G650" s="51">
        <v>74.240708641755603</v>
      </c>
      <c r="H650" s="51">
        <v>15.25</v>
      </c>
      <c r="I650" s="52">
        <v>2104</v>
      </c>
      <c r="J650" s="50" t="s">
        <v>19</v>
      </c>
    </row>
    <row r="651" spans="2:10" ht="15" customHeight="1">
      <c r="B651" s="47" t="s">
        <v>1231</v>
      </c>
      <c r="C651" s="50" t="s">
        <v>1232</v>
      </c>
      <c r="D651" s="50" t="s">
        <v>2066</v>
      </c>
      <c r="E651" s="50" t="s">
        <v>129</v>
      </c>
      <c r="F651" s="51">
        <v>111.73699999999999</v>
      </c>
      <c r="G651" s="51">
        <v>112.63979999999999</v>
      </c>
      <c r="H651" s="51">
        <v>5.52</v>
      </c>
      <c r="I651" s="52">
        <v>7150</v>
      </c>
      <c r="J651" s="50" t="s">
        <v>19</v>
      </c>
    </row>
    <row r="652" spans="2:10" ht="15" customHeight="1">
      <c r="B652" s="47" t="s">
        <v>2262</v>
      </c>
      <c r="C652" s="50" t="s">
        <v>2263</v>
      </c>
      <c r="D652" s="50" t="s">
        <v>2066</v>
      </c>
      <c r="E652" s="50" t="s">
        <v>129</v>
      </c>
      <c r="F652" s="51">
        <v>102.10599999999999</v>
      </c>
      <c r="G652" s="51">
        <v>103.0782</v>
      </c>
      <c r="H652" s="51">
        <v>4.63</v>
      </c>
      <c r="I652" s="52">
        <v>2450</v>
      </c>
      <c r="J652" s="50" t="s">
        <v>19</v>
      </c>
    </row>
    <row r="653" spans="2:10" ht="15" customHeight="1">
      <c r="B653" s="47" t="s">
        <v>2264</v>
      </c>
      <c r="C653" s="50" t="s">
        <v>2265</v>
      </c>
      <c r="D653" s="50" t="s">
        <v>2066</v>
      </c>
      <c r="E653" s="50" t="s">
        <v>129</v>
      </c>
      <c r="F653" s="51">
        <v>102.548</v>
      </c>
      <c r="G653" s="51">
        <v>103.6174</v>
      </c>
      <c r="H653" s="51">
        <v>5.21</v>
      </c>
      <c r="I653" s="52">
        <v>4250</v>
      </c>
      <c r="J653" s="50" t="s">
        <v>19</v>
      </c>
    </row>
    <row r="654" spans="2:10" ht="15" customHeight="1">
      <c r="B654" s="47" t="s">
        <v>737</v>
      </c>
      <c r="C654" s="50" t="s">
        <v>738</v>
      </c>
      <c r="D654" s="50" t="s">
        <v>2064</v>
      </c>
      <c r="E654" s="50" t="s">
        <v>2164</v>
      </c>
      <c r="F654" s="51">
        <v>0.01</v>
      </c>
      <c r="G654" s="51">
        <v>0.01</v>
      </c>
      <c r="H654" s="51">
        <v>0</v>
      </c>
      <c r="I654" s="52">
        <v>0</v>
      </c>
      <c r="J654" s="50" t="s">
        <v>1786</v>
      </c>
    </row>
    <row r="655" spans="2:10" ht="15" customHeight="1">
      <c r="B655" s="47" t="s">
        <v>739</v>
      </c>
      <c r="C655" s="50" t="s">
        <v>740</v>
      </c>
      <c r="D655" s="50" t="s">
        <v>2064</v>
      </c>
      <c r="E655" s="50" t="s">
        <v>2165</v>
      </c>
      <c r="F655" s="51">
        <v>0.01</v>
      </c>
      <c r="G655" s="51">
        <v>0.01</v>
      </c>
      <c r="H655" s="51">
        <v>0</v>
      </c>
      <c r="I655" s="52">
        <v>0</v>
      </c>
      <c r="J655" s="50" t="s">
        <v>1786</v>
      </c>
    </row>
    <row r="656" spans="2:10" ht="15" customHeight="1">
      <c r="B656" s="47" t="s">
        <v>741</v>
      </c>
      <c r="C656" s="50" t="s">
        <v>742</v>
      </c>
      <c r="D656" s="50" t="s">
        <v>2066</v>
      </c>
      <c r="E656" s="50" t="s">
        <v>2165</v>
      </c>
      <c r="F656" s="51">
        <v>91.499397383872136</v>
      </c>
      <c r="G656" s="51">
        <v>101.46049738387214</v>
      </c>
      <c r="H656" s="51">
        <v>26.78</v>
      </c>
      <c r="I656" s="52">
        <v>917</v>
      </c>
      <c r="J656" s="50" t="s">
        <v>19</v>
      </c>
    </row>
    <row r="657" spans="2:10" ht="15" customHeight="1">
      <c r="B657" s="47" t="s">
        <v>1403</v>
      </c>
      <c r="C657" s="50" t="s">
        <v>1404</v>
      </c>
      <c r="D657" s="50" t="s">
        <v>2110</v>
      </c>
      <c r="E657" s="50" t="s">
        <v>1405</v>
      </c>
      <c r="F657" s="51">
        <v>60086.095850000012</v>
      </c>
      <c r="G657" s="51">
        <v>60086.095850000012</v>
      </c>
      <c r="H657" s="51">
        <v>0</v>
      </c>
      <c r="I657" s="52">
        <v>0</v>
      </c>
      <c r="J657" s="50" t="s">
        <v>1786</v>
      </c>
    </row>
    <row r="658" spans="2:10" ht="15" customHeight="1">
      <c r="B658" s="47" t="s">
        <v>743</v>
      </c>
      <c r="C658" s="50" t="s">
        <v>744</v>
      </c>
      <c r="D658" s="50" t="s">
        <v>2064</v>
      </c>
      <c r="E658" s="50" t="s">
        <v>2166</v>
      </c>
      <c r="F658" s="51">
        <v>1.81</v>
      </c>
      <c r="G658" s="51">
        <v>1.81</v>
      </c>
      <c r="H658" s="51">
        <v>0</v>
      </c>
      <c r="I658" s="52">
        <v>0</v>
      </c>
      <c r="J658" s="50" t="s">
        <v>1786</v>
      </c>
    </row>
    <row r="659" spans="2:10" ht="15" customHeight="1">
      <c r="B659" s="47" t="s">
        <v>1696</v>
      </c>
      <c r="C659" s="50" t="s">
        <v>1697</v>
      </c>
      <c r="D659" s="50" t="s">
        <v>2066</v>
      </c>
      <c r="E659" s="50" t="s">
        <v>2166</v>
      </c>
      <c r="F659" s="51">
        <v>99.974535779016833</v>
      </c>
      <c r="G659" s="51">
        <v>109.24303577901684</v>
      </c>
      <c r="H659" s="51">
        <v>9.89</v>
      </c>
      <c r="I659" s="52">
        <v>26</v>
      </c>
      <c r="J659" s="50" t="s">
        <v>19</v>
      </c>
    </row>
    <row r="660" spans="2:10" ht="15" customHeight="1">
      <c r="B660" s="47" t="s">
        <v>745</v>
      </c>
      <c r="C660" s="50" t="s">
        <v>746</v>
      </c>
      <c r="D660" s="50" t="s">
        <v>2064</v>
      </c>
      <c r="E660" s="50" t="s">
        <v>2167</v>
      </c>
      <c r="F660" s="51">
        <v>7350</v>
      </c>
      <c r="G660" s="51">
        <v>7350</v>
      </c>
      <c r="H660" s="51">
        <v>0</v>
      </c>
      <c r="I660" s="52">
        <v>0</v>
      </c>
      <c r="J660" s="50" t="s">
        <v>1786</v>
      </c>
    </row>
    <row r="661" spans="2:10" ht="15" customHeight="1">
      <c r="B661" s="47" t="s">
        <v>1286</v>
      </c>
      <c r="C661" s="50" t="s">
        <v>1287</v>
      </c>
      <c r="D661" s="50" t="s">
        <v>2064</v>
      </c>
      <c r="E661" s="50" t="s">
        <v>1288</v>
      </c>
      <c r="F661" s="51">
        <v>311223.30860000005</v>
      </c>
      <c r="G661" s="51">
        <v>311223.30860000005</v>
      </c>
      <c r="H661" s="51">
        <v>0</v>
      </c>
      <c r="I661" s="52">
        <v>0</v>
      </c>
      <c r="J661" s="50" t="s">
        <v>1786</v>
      </c>
    </row>
    <row r="662" spans="2:10" ht="15" customHeight="1">
      <c r="B662" s="47" t="s">
        <v>1336</v>
      </c>
      <c r="C662" s="50" t="s">
        <v>1337</v>
      </c>
      <c r="D662" s="50" t="s">
        <v>2064</v>
      </c>
      <c r="E662" s="50" t="s">
        <v>1338</v>
      </c>
      <c r="F662" s="51">
        <v>407486.5161500001</v>
      </c>
      <c r="G662" s="51">
        <v>407486.5161500001</v>
      </c>
      <c r="H662" s="51">
        <v>0</v>
      </c>
      <c r="I662" s="52">
        <v>0</v>
      </c>
      <c r="J662" s="50" t="s">
        <v>1786</v>
      </c>
    </row>
    <row r="663" spans="2:10" ht="15" customHeight="1">
      <c r="B663" s="47" t="s">
        <v>1916</v>
      </c>
      <c r="C663" s="50" t="s">
        <v>1917</v>
      </c>
      <c r="D663" s="50" t="s">
        <v>2066</v>
      </c>
      <c r="E663" s="50" t="s">
        <v>2168</v>
      </c>
      <c r="F663" s="51">
        <v>100.61670665967668</v>
      </c>
      <c r="G663" s="51">
        <v>101.02500665967668</v>
      </c>
      <c r="H663" s="51">
        <v>20.85</v>
      </c>
      <c r="I663" s="52">
        <v>3413</v>
      </c>
      <c r="J663" s="50" t="s">
        <v>19</v>
      </c>
    </row>
    <row r="664" spans="2:10" ht="15" customHeight="1">
      <c r="B664" s="47" t="s">
        <v>1078</v>
      </c>
      <c r="C664" s="50" t="s">
        <v>1079</v>
      </c>
      <c r="D664" s="50" t="s">
        <v>2066</v>
      </c>
      <c r="E664" s="50" t="s">
        <v>2169</v>
      </c>
      <c r="F664" s="51">
        <v>99.646520835950525</v>
      </c>
      <c r="G664" s="51">
        <v>99.804820835950522</v>
      </c>
      <c r="H664" s="51">
        <v>20.52</v>
      </c>
      <c r="I664" s="52">
        <v>87</v>
      </c>
      <c r="J664" s="50" t="s">
        <v>19</v>
      </c>
    </row>
    <row r="665" spans="2:10" ht="15" customHeight="1">
      <c r="B665" s="47" t="s">
        <v>2332</v>
      </c>
      <c r="C665" s="50" t="s">
        <v>2333</v>
      </c>
      <c r="D665" s="50" t="s">
        <v>2066</v>
      </c>
      <c r="E665" s="50" t="s">
        <v>2169</v>
      </c>
      <c r="F665" s="51">
        <v>99.002985479420275</v>
      </c>
      <c r="G665" s="51">
        <v>99.614085479420282</v>
      </c>
      <c r="H665" s="51">
        <v>20.64</v>
      </c>
      <c r="I665" s="52">
        <v>679</v>
      </c>
      <c r="J665" s="50" t="s">
        <v>19</v>
      </c>
    </row>
    <row r="666" spans="2:10" ht="15" customHeight="1">
      <c r="B666" s="47" t="s">
        <v>2382</v>
      </c>
      <c r="C666" s="50" t="s">
        <v>2383</v>
      </c>
      <c r="D666" s="50" t="s">
        <v>2064</v>
      </c>
      <c r="E666" s="50" t="s">
        <v>2170</v>
      </c>
      <c r="F666" s="51">
        <v>53651.000000000007</v>
      </c>
      <c r="G666" s="51">
        <v>53651.000000000007</v>
      </c>
      <c r="H666" s="51">
        <v>0</v>
      </c>
      <c r="I666" s="52">
        <v>0</v>
      </c>
      <c r="J666" s="50" t="s">
        <v>1786</v>
      </c>
    </row>
    <row r="667" spans="2:10" ht="15" customHeight="1">
      <c r="B667" s="47" t="s">
        <v>1757</v>
      </c>
      <c r="C667" s="50" t="s">
        <v>1758</v>
      </c>
      <c r="D667" s="50" t="s">
        <v>2066</v>
      </c>
      <c r="E667" s="50" t="s">
        <v>2170</v>
      </c>
      <c r="F667" s="51">
        <v>100.01264569084421</v>
      </c>
      <c r="G667" s="51">
        <v>104.65704569084421</v>
      </c>
      <c r="H667" s="51">
        <v>21.17</v>
      </c>
      <c r="I667" s="52">
        <v>14</v>
      </c>
      <c r="J667" s="50" t="s">
        <v>19</v>
      </c>
    </row>
    <row r="668" spans="2:10" ht="15" customHeight="1">
      <c r="B668" s="47" t="s">
        <v>1679</v>
      </c>
      <c r="C668" s="50" t="s">
        <v>1680</v>
      </c>
      <c r="D668" s="50" t="s">
        <v>2066</v>
      </c>
      <c r="E668" s="50" t="s">
        <v>2170</v>
      </c>
      <c r="F668" s="51">
        <v>100.01840043920627</v>
      </c>
      <c r="G668" s="51">
        <v>102.35170043920627</v>
      </c>
      <c r="H668" s="51">
        <v>11.53</v>
      </c>
      <c r="I668" s="52">
        <v>20</v>
      </c>
      <c r="J668" s="50" t="s">
        <v>19</v>
      </c>
    </row>
    <row r="669" spans="2:10" ht="15" customHeight="1">
      <c r="B669" s="47" t="s">
        <v>2058</v>
      </c>
      <c r="C669" s="50" t="s">
        <v>2059</v>
      </c>
      <c r="D669" s="50" t="s">
        <v>2066</v>
      </c>
      <c r="E669" s="50" t="s">
        <v>2170</v>
      </c>
      <c r="F669" s="51">
        <v>100.5168445432394</v>
      </c>
      <c r="G669" s="51">
        <v>103.0501445432394</v>
      </c>
      <c r="H669" s="51">
        <v>11.3</v>
      </c>
      <c r="I669" s="52">
        <v>284</v>
      </c>
      <c r="J669" s="50" t="s">
        <v>19</v>
      </c>
    </row>
    <row r="670" spans="2:10" ht="15" customHeight="1">
      <c r="B670" s="47" t="s">
        <v>2439</v>
      </c>
      <c r="C670" s="50" t="s">
        <v>2440</v>
      </c>
      <c r="D670" s="50" t="s">
        <v>2066</v>
      </c>
      <c r="E670" s="50" t="s">
        <v>2441</v>
      </c>
      <c r="F670" s="51">
        <v>99.773284792479842</v>
      </c>
      <c r="G670" s="51">
        <v>100.18998479247983</v>
      </c>
      <c r="H670" s="51">
        <v>25.14</v>
      </c>
      <c r="I670" s="52">
        <v>714</v>
      </c>
      <c r="J670" s="50" t="s">
        <v>19</v>
      </c>
    </row>
    <row r="671" spans="2:10" ht="15" customHeight="1">
      <c r="B671" s="47" t="s">
        <v>747</v>
      </c>
      <c r="C671" s="50" t="s">
        <v>748</v>
      </c>
      <c r="D671" s="50" t="s">
        <v>2066</v>
      </c>
      <c r="E671" s="50" t="s">
        <v>2171</v>
      </c>
      <c r="F671" s="51">
        <v>99.862157117099756</v>
      </c>
      <c r="G671" s="51">
        <v>103.92885711709975</v>
      </c>
      <c r="H671" s="51">
        <v>25.26</v>
      </c>
      <c r="I671" s="52">
        <v>29</v>
      </c>
      <c r="J671" s="50" t="s">
        <v>19</v>
      </c>
    </row>
    <row r="672" spans="2:10" ht="15" customHeight="1">
      <c r="B672" s="47" t="s">
        <v>1775</v>
      </c>
      <c r="C672" s="50" t="s">
        <v>1776</v>
      </c>
      <c r="D672" s="50" t="s">
        <v>2066</v>
      </c>
      <c r="E672" s="50" t="s">
        <v>2172</v>
      </c>
      <c r="F672" s="51">
        <v>97.790010607274922</v>
      </c>
      <c r="G672" s="51">
        <v>103.33171060727491</v>
      </c>
      <c r="H672" s="51">
        <v>22.23</v>
      </c>
      <c r="I672" s="52">
        <v>805</v>
      </c>
      <c r="J672" s="50" t="s">
        <v>19</v>
      </c>
    </row>
    <row r="673" spans="2:10" ht="15" customHeight="1">
      <c r="B673" s="47" t="s">
        <v>2266</v>
      </c>
      <c r="C673" s="50" t="s">
        <v>2267</v>
      </c>
      <c r="D673" s="50" t="s">
        <v>2066</v>
      </c>
      <c r="E673" s="50" t="s">
        <v>2172</v>
      </c>
      <c r="F673" s="51">
        <v>99.70656900220726</v>
      </c>
      <c r="G673" s="51">
        <v>103.05096900220725</v>
      </c>
      <c r="H673" s="51">
        <v>21.73</v>
      </c>
      <c r="I673" s="52">
        <v>484</v>
      </c>
      <c r="J673" s="50" t="s">
        <v>19</v>
      </c>
    </row>
    <row r="674" spans="2:10" ht="15" customHeight="1">
      <c r="B674" s="47" t="s">
        <v>2268</v>
      </c>
      <c r="C674" s="50" t="s">
        <v>2269</v>
      </c>
      <c r="D674" s="50" t="s">
        <v>2064</v>
      </c>
      <c r="E674" s="50" t="s">
        <v>2172</v>
      </c>
      <c r="F674" s="51">
        <v>1000</v>
      </c>
      <c r="G674" s="51">
        <v>1000</v>
      </c>
      <c r="H674" s="51">
        <v>0</v>
      </c>
      <c r="I674" s="52">
        <v>0</v>
      </c>
      <c r="J674" s="50" t="s">
        <v>1786</v>
      </c>
    </row>
    <row r="675" spans="2:10" ht="15" customHeight="1">
      <c r="B675" s="47" t="s">
        <v>1769</v>
      </c>
      <c r="C675" s="50" t="s">
        <v>1770</v>
      </c>
      <c r="D675" s="50" t="s">
        <v>2066</v>
      </c>
      <c r="E675" s="50" t="s">
        <v>1771</v>
      </c>
      <c r="F675" s="51">
        <v>98.8</v>
      </c>
      <c r="G675" s="51">
        <v>99.616699999999994</v>
      </c>
      <c r="H675" s="51">
        <v>22.14</v>
      </c>
      <c r="I675" s="52">
        <v>436</v>
      </c>
      <c r="J675" s="50" t="s">
        <v>19</v>
      </c>
    </row>
    <row r="676" spans="2:10" ht="15" customHeight="1">
      <c r="B676" s="47" t="s">
        <v>2371</v>
      </c>
      <c r="C676" s="50" t="s">
        <v>2372</v>
      </c>
      <c r="D676" s="50" t="s">
        <v>2066</v>
      </c>
      <c r="E676" s="50" t="s">
        <v>1771</v>
      </c>
      <c r="F676" s="51">
        <v>101.31106603514588</v>
      </c>
      <c r="G676" s="51">
        <v>102.62356603514588</v>
      </c>
      <c r="H676" s="51">
        <v>21.4</v>
      </c>
      <c r="I676" s="52">
        <v>519</v>
      </c>
      <c r="J676" s="50" t="s">
        <v>19</v>
      </c>
    </row>
    <row r="677" spans="2:10" ht="15" customHeight="1">
      <c r="B677" s="47" t="s">
        <v>1127</v>
      </c>
      <c r="C677" s="50" t="s">
        <v>1128</v>
      </c>
      <c r="D677" s="50" t="s">
        <v>2066</v>
      </c>
      <c r="E677" s="50" t="s">
        <v>2173</v>
      </c>
      <c r="F677" s="51">
        <v>100</v>
      </c>
      <c r="G677" s="51">
        <v>101.7111</v>
      </c>
      <c r="H677" s="51">
        <v>21.98</v>
      </c>
      <c r="I677" s="52">
        <v>602</v>
      </c>
      <c r="J677" s="50" t="s">
        <v>19</v>
      </c>
    </row>
    <row r="678" spans="2:10" ht="15" customHeight="1">
      <c r="B678" s="47" t="s">
        <v>1080</v>
      </c>
      <c r="C678" s="50" t="s">
        <v>1081</v>
      </c>
      <c r="D678" s="50" t="s">
        <v>2066</v>
      </c>
      <c r="E678" s="50" t="s">
        <v>2174</v>
      </c>
      <c r="F678" s="51">
        <v>99.808455955648654</v>
      </c>
      <c r="G678" s="51">
        <v>102.67515595564866</v>
      </c>
      <c r="H678" s="51">
        <v>21.95</v>
      </c>
      <c r="I678" s="52">
        <v>132</v>
      </c>
      <c r="J678" s="50" t="s">
        <v>19</v>
      </c>
    </row>
    <row r="679" spans="2:10" ht="15" customHeight="1">
      <c r="B679" s="47" t="s">
        <v>749</v>
      </c>
      <c r="C679" s="50" t="s">
        <v>750</v>
      </c>
      <c r="D679" s="50" t="s">
        <v>2066</v>
      </c>
      <c r="E679" s="50" t="s">
        <v>2174</v>
      </c>
      <c r="F679" s="51">
        <v>100.48015979804268</v>
      </c>
      <c r="G679" s="51">
        <v>102.06905979804267</v>
      </c>
      <c r="H679" s="51">
        <v>9.59</v>
      </c>
      <c r="I679" s="52">
        <v>128</v>
      </c>
      <c r="J679" s="50" t="s">
        <v>19</v>
      </c>
    </row>
    <row r="680" spans="2:10" ht="15" customHeight="1">
      <c r="B680" s="47" t="s">
        <v>2249</v>
      </c>
      <c r="C680" s="50" t="s">
        <v>2250</v>
      </c>
      <c r="D680" s="50" t="s">
        <v>2066</v>
      </c>
      <c r="E680" s="50" t="s">
        <v>2174</v>
      </c>
      <c r="F680" s="51">
        <v>98.801154811991154</v>
      </c>
      <c r="G680" s="51">
        <v>99.676154811991154</v>
      </c>
      <c r="H680" s="51">
        <v>21.81</v>
      </c>
      <c r="I680" s="52">
        <v>645</v>
      </c>
      <c r="J680" s="50" t="s">
        <v>19</v>
      </c>
    </row>
    <row r="681" spans="2:10" ht="15" customHeight="1">
      <c r="B681" s="47" t="s">
        <v>1761</v>
      </c>
      <c r="C681" s="50" t="s">
        <v>1762</v>
      </c>
      <c r="D681" s="50" t="s">
        <v>2066</v>
      </c>
      <c r="E681" s="50" t="s">
        <v>2175</v>
      </c>
      <c r="F681" s="51">
        <v>99.438109681786599</v>
      </c>
      <c r="G681" s="51">
        <v>100.78250968178659</v>
      </c>
      <c r="H681" s="51">
        <v>22.52</v>
      </c>
      <c r="I681" s="52">
        <v>428</v>
      </c>
      <c r="J681" s="50" t="s">
        <v>19</v>
      </c>
    </row>
    <row r="682" spans="2:10" ht="15" customHeight="1">
      <c r="B682" s="47" t="s">
        <v>751</v>
      </c>
      <c r="C682" s="50" t="s">
        <v>752</v>
      </c>
      <c r="D682" s="50" t="s">
        <v>2066</v>
      </c>
      <c r="E682" s="50" t="s">
        <v>2176</v>
      </c>
      <c r="F682" s="51">
        <v>100.94882805884752</v>
      </c>
      <c r="G682" s="51">
        <v>103.74882805884752</v>
      </c>
      <c r="H682" s="51">
        <v>21.25</v>
      </c>
      <c r="I682" s="52">
        <v>138</v>
      </c>
      <c r="J682" s="50" t="s">
        <v>19</v>
      </c>
    </row>
    <row r="683" spans="2:10" ht="15" customHeight="1">
      <c r="B683" s="47" t="s">
        <v>1204</v>
      </c>
      <c r="C683" s="50" t="s">
        <v>1205</v>
      </c>
      <c r="D683" s="50" t="s">
        <v>2066</v>
      </c>
      <c r="E683" s="50" t="s">
        <v>2176</v>
      </c>
      <c r="F683" s="51">
        <v>99.963200000000001</v>
      </c>
      <c r="G683" s="51">
        <v>102.7132</v>
      </c>
      <c r="H683" s="51">
        <v>22</v>
      </c>
      <c r="I683" s="52">
        <v>315</v>
      </c>
      <c r="J683" s="50" t="s">
        <v>19</v>
      </c>
    </row>
    <row r="684" spans="2:10" ht="15" customHeight="1">
      <c r="B684" s="47" t="s">
        <v>2375</v>
      </c>
      <c r="C684" s="50" t="s">
        <v>2376</v>
      </c>
      <c r="D684" s="50" t="s">
        <v>2066</v>
      </c>
      <c r="E684" s="50" t="s">
        <v>2176</v>
      </c>
      <c r="F684" s="51">
        <v>101.7202955459682</v>
      </c>
      <c r="G684" s="51">
        <v>102.6369955459682</v>
      </c>
      <c r="H684" s="51">
        <v>21.34</v>
      </c>
      <c r="I684" s="52">
        <v>1425</v>
      </c>
      <c r="J684" s="50" t="s">
        <v>19</v>
      </c>
    </row>
    <row r="685" spans="2:10" ht="15" customHeight="1">
      <c r="B685" s="47" t="s">
        <v>1972</v>
      </c>
      <c r="C685" s="50" t="s">
        <v>1973</v>
      </c>
      <c r="D685" s="50" t="s">
        <v>2066</v>
      </c>
      <c r="E685" s="50" t="s">
        <v>2366</v>
      </c>
      <c r="F685" s="51">
        <v>98.786023151992694</v>
      </c>
      <c r="G685" s="51">
        <v>105.1235231519927</v>
      </c>
      <c r="H685" s="51">
        <v>20.91</v>
      </c>
      <c r="I685" s="52">
        <v>243</v>
      </c>
      <c r="J685" s="50" t="s">
        <v>19</v>
      </c>
    </row>
    <row r="686" spans="2:10" ht="15" customHeight="1">
      <c r="B686" s="47" t="s">
        <v>2021</v>
      </c>
      <c r="C686" s="50" t="s">
        <v>2022</v>
      </c>
      <c r="D686" s="50" t="s">
        <v>2066</v>
      </c>
      <c r="E686" s="50" t="s">
        <v>2366</v>
      </c>
      <c r="F686" s="51">
        <v>98.763381561732572</v>
      </c>
      <c r="G686" s="51">
        <v>104.28838156173258</v>
      </c>
      <c r="H686" s="51">
        <v>20.92</v>
      </c>
      <c r="I686" s="52">
        <v>258</v>
      </c>
      <c r="J686" s="50" t="s">
        <v>19</v>
      </c>
    </row>
    <row r="687" spans="2:10" ht="15" customHeight="1">
      <c r="B687" s="47" t="s">
        <v>2023</v>
      </c>
      <c r="C687" s="50" t="s">
        <v>2024</v>
      </c>
      <c r="D687" s="50" t="s">
        <v>2066</v>
      </c>
      <c r="E687" s="50" t="s">
        <v>2366</v>
      </c>
      <c r="F687" s="51">
        <v>98.762098843938332</v>
      </c>
      <c r="G687" s="51">
        <v>104.23289884393834</v>
      </c>
      <c r="H687" s="51">
        <v>20.92</v>
      </c>
      <c r="I687" s="52">
        <v>259</v>
      </c>
      <c r="J687" s="50" t="s">
        <v>19</v>
      </c>
    </row>
    <row r="688" spans="2:10" ht="15" customHeight="1">
      <c r="B688" s="47" t="s">
        <v>753</v>
      </c>
      <c r="C688" s="50" t="s">
        <v>754</v>
      </c>
      <c r="D688" s="50" t="s">
        <v>2066</v>
      </c>
      <c r="E688" s="50" t="s">
        <v>2177</v>
      </c>
      <c r="F688" s="51">
        <v>99.99</v>
      </c>
      <c r="G688" s="51">
        <v>102.6567</v>
      </c>
      <c r="H688" s="51">
        <v>19.989999999999998</v>
      </c>
      <c r="I688" s="52">
        <v>852</v>
      </c>
      <c r="J688" s="50" t="s">
        <v>19</v>
      </c>
    </row>
    <row r="689" spans="2:10" ht="15" customHeight="1">
      <c r="B689" s="47" t="s">
        <v>755</v>
      </c>
      <c r="C689" s="50" t="s">
        <v>756</v>
      </c>
      <c r="D689" s="50" t="s">
        <v>2066</v>
      </c>
      <c r="E689" s="50" t="s">
        <v>2177</v>
      </c>
      <c r="F689" s="51">
        <v>100.76313295559299</v>
      </c>
      <c r="G689" s="51">
        <v>105.26313295559299</v>
      </c>
      <c r="H689" s="51">
        <v>19.649999999999999</v>
      </c>
      <c r="I689" s="52">
        <v>1089</v>
      </c>
      <c r="J689" s="50" t="s">
        <v>19</v>
      </c>
    </row>
    <row r="690" spans="2:10" ht="15" customHeight="1">
      <c r="B690" s="47" t="s">
        <v>1653</v>
      </c>
      <c r="C690" s="50" t="s">
        <v>1654</v>
      </c>
      <c r="D690" s="50" t="s">
        <v>2066</v>
      </c>
      <c r="E690" s="50" t="s">
        <v>2178</v>
      </c>
      <c r="F690" s="51">
        <v>100.51236576450351</v>
      </c>
      <c r="G690" s="51">
        <v>101.97906576450352</v>
      </c>
      <c r="H690" s="51">
        <v>20.94</v>
      </c>
      <c r="I690" s="52">
        <v>186</v>
      </c>
      <c r="J690" s="50" t="s">
        <v>19</v>
      </c>
    </row>
    <row r="691" spans="2:10" ht="15" customHeight="1">
      <c r="B691" s="47" t="s">
        <v>1925</v>
      </c>
      <c r="C691" s="50" t="s">
        <v>1926</v>
      </c>
      <c r="D691" s="50" t="s">
        <v>2066</v>
      </c>
      <c r="E691" s="50" t="s">
        <v>2178</v>
      </c>
      <c r="F691" s="51">
        <v>99.613483833879926</v>
      </c>
      <c r="G691" s="51">
        <v>109.26908383387993</v>
      </c>
      <c r="H691" s="51">
        <v>22.26</v>
      </c>
      <c r="I691" s="52">
        <v>562</v>
      </c>
      <c r="J691" s="50" t="s">
        <v>19</v>
      </c>
    </row>
    <row r="692" spans="2:10" ht="15" customHeight="1">
      <c r="B692" s="47" t="s">
        <v>2421</v>
      </c>
      <c r="C692" s="50" t="s">
        <v>2422</v>
      </c>
      <c r="D692" s="50" t="s">
        <v>2066</v>
      </c>
      <c r="E692" s="50" t="s">
        <v>2178</v>
      </c>
      <c r="F692" s="51">
        <v>99.203800000000001</v>
      </c>
      <c r="G692" s="51">
        <v>99.692700000000002</v>
      </c>
      <c r="H692" s="51">
        <v>22.5</v>
      </c>
      <c r="I692" s="52">
        <v>712</v>
      </c>
      <c r="J692" s="50" t="s">
        <v>19</v>
      </c>
    </row>
    <row r="693" spans="2:10" ht="15" customHeight="1">
      <c r="B693" s="47" t="s">
        <v>2025</v>
      </c>
      <c r="C693" s="50" t="s">
        <v>2026</v>
      </c>
      <c r="D693" s="50" t="s">
        <v>2066</v>
      </c>
      <c r="E693" s="50" t="s">
        <v>2178</v>
      </c>
      <c r="F693" s="51">
        <v>101.22136735946057</v>
      </c>
      <c r="G693" s="51">
        <v>101.73246735946057</v>
      </c>
      <c r="H693" s="51">
        <v>21.17</v>
      </c>
      <c r="I693" s="52">
        <v>262</v>
      </c>
      <c r="J693" s="50" t="s">
        <v>19</v>
      </c>
    </row>
    <row r="694" spans="2:10" ht="15" customHeight="1">
      <c r="B694" s="47" t="s">
        <v>1962</v>
      </c>
      <c r="C694" s="50" t="s">
        <v>1963</v>
      </c>
      <c r="D694" s="50" t="s">
        <v>2066</v>
      </c>
      <c r="E694" s="50" t="s">
        <v>2178</v>
      </c>
      <c r="F694" s="51">
        <v>101.18730224538503</v>
      </c>
      <c r="G694" s="51">
        <v>103.04010224538503</v>
      </c>
      <c r="H694" s="51">
        <v>21.08</v>
      </c>
      <c r="I694" s="52">
        <v>241</v>
      </c>
      <c r="J694" s="50" t="s">
        <v>19</v>
      </c>
    </row>
    <row r="695" spans="2:10" ht="15" customHeight="1">
      <c r="B695" s="47" t="s">
        <v>1700</v>
      </c>
      <c r="C695" s="50" t="s">
        <v>1701</v>
      </c>
      <c r="D695" s="50" t="s">
        <v>2066</v>
      </c>
      <c r="E695" s="50" t="s">
        <v>2178</v>
      </c>
      <c r="F695" s="51">
        <v>101.58175545221224</v>
      </c>
      <c r="G695" s="51">
        <v>101.58175545221224</v>
      </c>
      <c r="H695" s="51">
        <v>1</v>
      </c>
      <c r="I695" s="52">
        <v>30</v>
      </c>
      <c r="J695" s="50" t="s">
        <v>19</v>
      </c>
    </row>
    <row r="696" spans="2:10" ht="15" customHeight="1">
      <c r="B696" s="47" t="s">
        <v>1724</v>
      </c>
      <c r="C696" s="50" t="s">
        <v>1725</v>
      </c>
      <c r="D696" s="50" t="s">
        <v>2066</v>
      </c>
      <c r="E696" s="50" t="s">
        <v>2178</v>
      </c>
      <c r="F696" s="51">
        <v>99.88298454009886</v>
      </c>
      <c r="G696" s="51">
        <v>100.49408454009885</v>
      </c>
      <c r="H696" s="51">
        <v>20.85</v>
      </c>
      <c r="I696" s="52">
        <v>49</v>
      </c>
      <c r="J696" s="50" t="s">
        <v>19</v>
      </c>
    </row>
    <row r="697" spans="2:10" ht="15" customHeight="1">
      <c r="B697" s="47" t="s">
        <v>1749</v>
      </c>
      <c r="C697" s="50" t="s">
        <v>1750</v>
      </c>
      <c r="D697" s="50" t="s">
        <v>2066</v>
      </c>
      <c r="E697" s="50" t="s">
        <v>2178</v>
      </c>
      <c r="F697" s="51">
        <v>99.36411617508567</v>
      </c>
      <c r="G697" s="51">
        <v>100.97521617508566</v>
      </c>
      <c r="H697" s="51">
        <v>21.55</v>
      </c>
      <c r="I697" s="52">
        <v>151</v>
      </c>
      <c r="J697" s="50" t="s">
        <v>19</v>
      </c>
    </row>
    <row r="698" spans="2:10" ht="15" customHeight="1">
      <c r="B698" s="47" t="s">
        <v>1763</v>
      </c>
      <c r="C698" s="50" t="s">
        <v>1764</v>
      </c>
      <c r="D698" s="50" t="s">
        <v>2066</v>
      </c>
      <c r="E698" s="50" t="s">
        <v>2178</v>
      </c>
      <c r="F698" s="51">
        <v>99.746094944127847</v>
      </c>
      <c r="G698" s="51">
        <v>100.52389494412785</v>
      </c>
      <c r="H698" s="51">
        <v>21.18</v>
      </c>
      <c r="I698" s="52">
        <v>76</v>
      </c>
      <c r="J698" s="50" t="s">
        <v>19</v>
      </c>
    </row>
    <row r="699" spans="2:10" ht="15" customHeight="1">
      <c r="B699" s="47" t="s">
        <v>1779</v>
      </c>
      <c r="C699" s="50" t="s">
        <v>1780</v>
      </c>
      <c r="D699" s="50" t="s">
        <v>2066</v>
      </c>
      <c r="E699" s="50" t="s">
        <v>2178</v>
      </c>
      <c r="F699" s="51">
        <v>99.728390794975638</v>
      </c>
      <c r="G699" s="51">
        <v>100.00619079497564</v>
      </c>
      <c r="H699" s="51">
        <v>21.18</v>
      </c>
      <c r="I699" s="52">
        <v>85</v>
      </c>
      <c r="J699" s="50" t="s">
        <v>19</v>
      </c>
    </row>
    <row r="700" spans="2:10" ht="15" customHeight="1">
      <c r="B700" s="47" t="s">
        <v>1826</v>
      </c>
      <c r="C700" s="50" t="s">
        <v>1827</v>
      </c>
      <c r="D700" s="50" t="s">
        <v>2066</v>
      </c>
      <c r="E700" s="50" t="s">
        <v>2178</v>
      </c>
      <c r="F700" s="51">
        <v>97.989769128982573</v>
      </c>
      <c r="G700" s="51">
        <v>100.65646912898256</v>
      </c>
      <c r="H700" s="51">
        <v>21.71</v>
      </c>
      <c r="I700" s="52">
        <v>492</v>
      </c>
      <c r="J700" s="50" t="s">
        <v>19</v>
      </c>
    </row>
    <row r="701" spans="2:10" ht="15" customHeight="1">
      <c r="B701" s="47" t="s">
        <v>1857</v>
      </c>
      <c r="C701" s="50" t="s">
        <v>1858</v>
      </c>
      <c r="D701" s="50" t="s">
        <v>2066</v>
      </c>
      <c r="E701" s="50" t="s">
        <v>2178</v>
      </c>
      <c r="F701" s="51">
        <v>97.539900000000003</v>
      </c>
      <c r="G701" s="51">
        <v>98.373199999999997</v>
      </c>
      <c r="H701" s="51">
        <v>22</v>
      </c>
      <c r="I701" s="52">
        <v>525</v>
      </c>
      <c r="J701" s="50" t="s">
        <v>19</v>
      </c>
    </row>
    <row r="702" spans="2:10" ht="15" customHeight="1">
      <c r="B702" s="47" t="s">
        <v>1902</v>
      </c>
      <c r="C702" s="50" t="s">
        <v>1903</v>
      </c>
      <c r="D702" s="50" t="s">
        <v>2066</v>
      </c>
      <c r="E702" s="50" t="s">
        <v>2178</v>
      </c>
      <c r="F702" s="51">
        <v>100.32121792559295</v>
      </c>
      <c r="G702" s="51">
        <v>104.90451792559296</v>
      </c>
      <c r="H702" s="51">
        <v>21.32</v>
      </c>
      <c r="I702" s="52">
        <v>195</v>
      </c>
      <c r="J702" s="50" t="s">
        <v>19</v>
      </c>
    </row>
    <row r="703" spans="2:10" ht="15" customHeight="1">
      <c r="B703" s="47" t="s">
        <v>1206</v>
      </c>
      <c r="C703" s="50" t="s">
        <v>1207</v>
      </c>
      <c r="D703" s="50" t="s">
        <v>2066</v>
      </c>
      <c r="E703" s="50" t="s">
        <v>2179</v>
      </c>
      <c r="F703" s="51">
        <v>100.13492363487593</v>
      </c>
      <c r="G703" s="51">
        <v>105.40162363487593</v>
      </c>
      <c r="H703" s="51">
        <v>23.42</v>
      </c>
      <c r="I703" s="52">
        <v>101</v>
      </c>
      <c r="J703" s="50" t="s">
        <v>19</v>
      </c>
    </row>
    <row r="704" spans="2:10" ht="15" customHeight="1">
      <c r="B704" s="47" t="s">
        <v>1818</v>
      </c>
      <c r="C704" s="50" t="s">
        <v>1819</v>
      </c>
      <c r="D704" s="50" t="s">
        <v>2066</v>
      </c>
      <c r="E704" s="50" t="s">
        <v>2179</v>
      </c>
      <c r="F704" s="51">
        <v>95.563023985660877</v>
      </c>
      <c r="G704" s="51">
        <v>98.951923985660869</v>
      </c>
      <c r="H704" s="51">
        <v>23.96</v>
      </c>
      <c r="I704" s="52">
        <v>479</v>
      </c>
      <c r="J704" s="50" t="s">
        <v>19</v>
      </c>
    </row>
    <row r="705" spans="2:10" ht="15" customHeight="1">
      <c r="B705" s="47" t="s">
        <v>1759</v>
      </c>
      <c r="C705" s="50" t="s">
        <v>1760</v>
      </c>
      <c r="D705" s="50" t="s">
        <v>2066</v>
      </c>
      <c r="E705" s="50" t="s">
        <v>2180</v>
      </c>
      <c r="F705" s="51">
        <v>97.887900000000002</v>
      </c>
      <c r="G705" s="51">
        <v>103.5754</v>
      </c>
      <c r="H705" s="51">
        <v>19.5</v>
      </c>
      <c r="I705" s="52">
        <v>423</v>
      </c>
      <c r="J705" s="50" t="s">
        <v>19</v>
      </c>
    </row>
    <row r="706" spans="2:10" ht="15" customHeight="1">
      <c r="B706" s="47" t="s">
        <v>1804</v>
      </c>
      <c r="C706" s="50" t="s">
        <v>1805</v>
      </c>
      <c r="D706" s="50" t="s">
        <v>2066</v>
      </c>
      <c r="E706" s="50" t="s">
        <v>288</v>
      </c>
      <c r="F706" s="51">
        <v>100.26020150432663</v>
      </c>
      <c r="G706" s="51">
        <v>101.97130150432662</v>
      </c>
      <c r="H706" s="51">
        <v>21.19</v>
      </c>
      <c r="I706" s="52">
        <v>122</v>
      </c>
      <c r="J706" s="50" t="s">
        <v>19</v>
      </c>
    </row>
    <row r="707" spans="2:10" ht="15" customHeight="1">
      <c r="B707" s="47" t="s">
        <v>1806</v>
      </c>
      <c r="C707" s="50" t="s">
        <v>1807</v>
      </c>
      <c r="D707" s="50" t="s">
        <v>2066</v>
      </c>
      <c r="E707" s="50" t="s">
        <v>288</v>
      </c>
      <c r="F707" s="51">
        <v>100.29002092171754</v>
      </c>
      <c r="G707" s="51">
        <v>101.02332092171754</v>
      </c>
      <c r="H707" s="51">
        <v>21.2</v>
      </c>
      <c r="I707" s="52">
        <v>138</v>
      </c>
      <c r="J707" s="50" t="s">
        <v>19</v>
      </c>
    </row>
    <row r="708" spans="2:10" ht="15" customHeight="1">
      <c r="B708" s="47" t="s">
        <v>1845</v>
      </c>
      <c r="C708" s="50" t="s">
        <v>1846</v>
      </c>
      <c r="D708" s="50" t="s">
        <v>2066</v>
      </c>
      <c r="E708" s="50" t="s">
        <v>288</v>
      </c>
      <c r="F708" s="51">
        <v>100.27095205380041</v>
      </c>
      <c r="G708" s="51">
        <v>101.61535205380041</v>
      </c>
      <c r="H708" s="51">
        <v>21.34</v>
      </c>
      <c r="I708" s="52">
        <v>158</v>
      </c>
      <c r="J708" s="50" t="s">
        <v>19</v>
      </c>
    </row>
    <row r="709" spans="2:10" ht="15" customHeight="1">
      <c r="B709" s="47" t="s">
        <v>1871</v>
      </c>
      <c r="C709" s="50" t="s">
        <v>1872</v>
      </c>
      <c r="D709" s="50" t="s">
        <v>2066</v>
      </c>
      <c r="E709" s="50" t="s">
        <v>288</v>
      </c>
      <c r="F709" s="51">
        <v>100</v>
      </c>
      <c r="G709" s="51">
        <v>100.36669999999999</v>
      </c>
      <c r="H709" s="51">
        <v>21.99</v>
      </c>
      <c r="I709" s="52">
        <v>174</v>
      </c>
      <c r="J709" s="50" t="s">
        <v>19</v>
      </c>
    </row>
    <row r="710" spans="2:10" ht="15" customHeight="1">
      <c r="B710" s="47" t="s">
        <v>1954</v>
      </c>
      <c r="C710" s="50" t="s">
        <v>1955</v>
      </c>
      <c r="D710" s="50" t="s">
        <v>2064</v>
      </c>
      <c r="E710" s="50" t="s">
        <v>288</v>
      </c>
      <c r="F710" s="51">
        <v>1000</v>
      </c>
      <c r="G710" s="51">
        <v>1000</v>
      </c>
      <c r="H710" s="51">
        <v>0</v>
      </c>
      <c r="I710" s="52">
        <v>0</v>
      </c>
      <c r="J710" s="50" t="s">
        <v>1786</v>
      </c>
    </row>
    <row r="711" spans="2:10" ht="15" customHeight="1">
      <c r="B711" s="47" t="s">
        <v>1847</v>
      </c>
      <c r="C711" s="50" t="s">
        <v>1848</v>
      </c>
      <c r="D711" s="50" t="s">
        <v>2066</v>
      </c>
      <c r="E711" s="50" t="s">
        <v>288</v>
      </c>
      <c r="F711" s="51">
        <v>99</v>
      </c>
      <c r="G711" s="51">
        <v>99.033299999999997</v>
      </c>
      <c r="H711" s="51">
        <v>14.5</v>
      </c>
      <c r="I711" s="52">
        <v>149</v>
      </c>
      <c r="J711" s="50" t="s">
        <v>19</v>
      </c>
    </row>
    <row r="712" spans="2:10" ht="15" customHeight="1">
      <c r="B712" s="47" t="s">
        <v>1859</v>
      </c>
      <c r="C712" s="50" t="s">
        <v>1860</v>
      </c>
      <c r="D712" s="50" t="s">
        <v>2066</v>
      </c>
      <c r="E712" s="50" t="s">
        <v>288</v>
      </c>
      <c r="F712" s="51">
        <v>100.28282039718034</v>
      </c>
      <c r="G712" s="51">
        <v>101.19952039718035</v>
      </c>
      <c r="H712" s="51">
        <v>21.34</v>
      </c>
      <c r="I712" s="52">
        <v>165</v>
      </c>
      <c r="J712" s="50" t="s">
        <v>19</v>
      </c>
    </row>
    <row r="713" spans="2:10" ht="15" customHeight="1">
      <c r="B713" s="47" t="s">
        <v>1865</v>
      </c>
      <c r="C713" s="50" t="s">
        <v>1866</v>
      </c>
      <c r="D713" s="50" t="s">
        <v>2066</v>
      </c>
      <c r="E713" s="50" t="s">
        <v>288</v>
      </c>
      <c r="F713" s="51">
        <v>100.2634701762961</v>
      </c>
      <c r="G713" s="51">
        <v>100.73017017629608</v>
      </c>
      <c r="H713" s="51">
        <v>11.41</v>
      </c>
      <c r="I713" s="52">
        <v>166</v>
      </c>
      <c r="J713" s="50" t="s">
        <v>19</v>
      </c>
    </row>
    <row r="714" spans="2:10" ht="15" customHeight="1">
      <c r="B714" s="47" t="s">
        <v>1867</v>
      </c>
      <c r="C714" s="50" t="s">
        <v>1868</v>
      </c>
      <c r="D714" s="50" t="s">
        <v>2066</v>
      </c>
      <c r="E714" s="50" t="s">
        <v>288</v>
      </c>
      <c r="F714" s="51">
        <v>100.2634701762961</v>
      </c>
      <c r="G714" s="51">
        <v>100.73017017629608</v>
      </c>
      <c r="H714" s="51">
        <v>11.41</v>
      </c>
      <c r="I714" s="52">
        <v>166</v>
      </c>
      <c r="J714" s="50" t="s">
        <v>19</v>
      </c>
    </row>
    <row r="715" spans="2:10" ht="15" customHeight="1">
      <c r="B715" s="47" t="s">
        <v>1922</v>
      </c>
      <c r="C715" s="50" t="s">
        <v>1923</v>
      </c>
      <c r="D715" s="50" t="s">
        <v>2066</v>
      </c>
      <c r="E715" s="50" t="s">
        <v>288</v>
      </c>
      <c r="F715" s="51">
        <v>100.38781632874279</v>
      </c>
      <c r="G715" s="51">
        <v>100.68781632874278</v>
      </c>
      <c r="H715" s="51">
        <v>11.28</v>
      </c>
      <c r="I715" s="52">
        <v>201</v>
      </c>
      <c r="J715" s="50" t="s">
        <v>19</v>
      </c>
    </row>
    <row r="716" spans="2:10" ht="15" customHeight="1">
      <c r="B716" s="47" t="s">
        <v>1927</v>
      </c>
      <c r="C716" s="50" t="s">
        <v>1928</v>
      </c>
      <c r="D716" s="50" t="s">
        <v>2066</v>
      </c>
      <c r="E716" s="50" t="s">
        <v>288</v>
      </c>
      <c r="F716" s="51">
        <v>100.53582776708458</v>
      </c>
      <c r="G716" s="51">
        <v>101.13582776708459</v>
      </c>
      <c r="H716" s="51">
        <v>11.2</v>
      </c>
      <c r="I716" s="52">
        <v>252</v>
      </c>
      <c r="J716" s="50" t="s">
        <v>19</v>
      </c>
    </row>
    <row r="717" spans="2:10" ht="15" customHeight="1">
      <c r="B717" s="47" t="s">
        <v>1978</v>
      </c>
      <c r="C717" s="50" t="s">
        <v>1979</v>
      </c>
      <c r="D717" s="50" t="s">
        <v>2066</v>
      </c>
      <c r="E717" s="50" t="s">
        <v>288</v>
      </c>
      <c r="F717" s="51">
        <v>100.77324285279401</v>
      </c>
      <c r="G717" s="51">
        <v>102.30104285279401</v>
      </c>
      <c r="H717" s="51">
        <v>21.45</v>
      </c>
      <c r="I717" s="52">
        <v>605</v>
      </c>
      <c r="J717" s="50" t="s">
        <v>19</v>
      </c>
    </row>
    <row r="718" spans="2:10" ht="15" customHeight="1">
      <c r="B718" s="47" t="s">
        <v>2042</v>
      </c>
      <c r="C718" s="50" t="s">
        <v>2043</v>
      </c>
      <c r="D718" s="50" t="s">
        <v>2066</v>
      </c>
      <c r="E718" s="50" t="s">
        <v>288</v>
      </c>
      <c r="F718" s="51">
        <v>99.998999999999995</v>
      </c>
      <c r="G718" s="51">
        <v>100.54900000000001</v>
      </c>
      <c r="H718" s="51">
        <v>22</v>
      </c>
      <c r="I718" s="52">
        <v>651</v>
      </c>
      <c r="J718" s="50" t="s">
        <v>19</v>
      </c>
    </row>
    <row r="719" spans="2:10" ht="15" customHeight="1">
      <c r="B719" s="47" t="s">
        <v>2048</v>
      </c>
      <c r="C719" s="50" t="s">
        <v>2049</v>
      </c>
      <c r="D719" s="50" t="s">
        <v>2066</v>
      </c>
      <c r="E719" s="50" t="s">
        <v>288</v>
      </c>
      <c r="F719" s="51">
        <v>101.62920480409274</v>
      </c>
      <c r="G719" s="51">
        <v>102.32920480409274</v>
      </c>
      <c r="H719" s="51">
        <v>10.98</v>
      </c>
      <c r="I719" s="52">
        <v>639</v>
      </c>
      <c r="J719" s="50" t="s">
        <v>19</v>
      </c>
    </row>
    <row r="720" spans="2:10" ht="15" customHeight="1">
      <c r="B720" s="47" t="s">
        <v>1742</v>
      </c>
      <c r="C720" s="50" t="s">
        <v>1743</v>
      </c>
      <c r="D720" s="50" t="s">
        <v>2066</v>
      </c>
      <c r="E720" s="50" t="s">
        <v>288</v>
      </c>
      <c r="F720" s="51">
        <v>100.06656219362777</v>
      </c>
      <c r="G720" s="51">
        <v>102.20546219362778</v>
      </c>
      <c r="H720" s="51">
        <v>21.9</v>
      </c>
      <c r="I720" s="52">
        <v>415</v>
      </c>
      <c r="J720" s="50" t="s">
        <v>19</v>
      </c>
    </row>
    <row r="721" spans="2:10" ht="15" customHeight="1">
      <c r="B721" s="47" t="s">
        <v>1733</v>
      </c>
      <c r="C721" s="50" t="s">
        <v>1734</v>
      </c>
      <c r="D721" s="50" t="s">
        <v>2066</v>
      </c>
      <c r="E721" s="50" t="s">
        <v>288</v>
      </c>
      <c r="F721" s="51">
        <v>100</v>
      </c>
      <c r="G721" s="51">
        <v>100.29170000000001</v>
      </c>
      <c r="H721" s="51">
        <v>20.99</v>
      </c>
      <c r="I721" s="52">
        <v>55</v>
      </c>
      <c r="J721" s="50" t="s">
        <v>19</v>
      </c>
    </row>
    <row r="722" spans="2:10" ht="15" customHeight="1">
      <c r="B722" s="47" t="s">
        <v>1735</v>
      </c>
      <c r="C722" s="50" t="s">
        <v>1736</v>
      </c>
      <c r="D722" s="50" t="s">
        <v>2066</v>
      </c>
      <c r="E722" s="50" t="s">
        <v>288</v>
      </c>
      <c r="F722" s="51">
        <v>99.910900894936233</v>
      </c>
      <c r="G722" s="51">
        <v>100.06370089493623</v>
      </c>
      <c r="H722" s="51">
        <v>11.59</v>
      </c>
      <c r="I722" s="52">
        <v>55</v>
      </c>
      <c r="J722" s="50" t="s">
        <v>19</v>
      </c>
    </row>
    <row r="723" spans="2:10" ht="15" customHeight="1">
      <c r="B723" s="47" t="s">
        <v>757</v>
      </c>
      <c r="C723" s="50" t="s">
        <v>758</v>
      </c>
      <c r="D723" s="50" t="s">
        <v>2066</v>
      </c>
      <c r="E723" s="50" t="s">
        <v>2181</v>
      </c>
      <c r="F723" s="51">
        <v>100</v>
      </c>
      <c r="G723" s="51">
        <v>103.2278</v>
      </c>
      <c r="H723" s="51">
        <v>13.99</v>
      </c>
      <c r="I723" s="52">
        <v>277</v>
      </c>
      <c r="J723" s="50" t="s">
        <v>19</v>
      </c>
    </row>
    <row r="724" spans="2:10" ht="15" customHeight="1">
      <c r="B724" s="47" t="s">
        <v>1855</v>
      </c>
      <c r="C724" s="50" t="s">
        <v>1856</v>
      </c>
      <c r="D724" s="50" t="s">
        <v>2066</v>
      </c>
      <c r="E724" s="50" t="s">
        <v>130</v>
      </c>
      <c r="F724" s="51">
        <v>99.480146877684902</v>
      </c>
      <c r="G724" s="51">
        <v>100.7634468776849</v>
      </c>
      <c r="H724" s="51">
        <v>21.27</v>
      </c>
      <c r="I724" s="52">
        <v>878</v>
      </c>
      <c r="J724" s="50" t="s">
        <v>19</v>
      </c>
    </row>
    <row r="725" spans="2:10" ht="15" customHeight="1">
      <c r="B725" s="47" t="s">
        <v>1982</v>
      </c>
      <c r="C725" s="50" t="s">
        <v>1983</v>
      </c>
      <c r="D725" s="50" t="s">
        <v>2066</v>
      </c>
      <c r="E725" s="50" t="s">
        <v>1984</v>
      </c>
      <c r="F725" s="51">
        <v>100.64511644486146</v>
      </c>
      <c r="G725" s="51">
        <v>101.36731644486146</v>
      </c>
      <c r="H725" s="51">
        <v>9.58</v>
      </c>
      <c r="I725" s="52">
        <v>604</v>
      </c>
      <c r="J725" s="50" t="s">
        <v>19</v>
      </c>
    </row>
    <row r="726" spans="2:10" ht="15" customHeight="1">
      <c r="B726" s="47" t="s">
        <v>1476</v>
      </c>
      <c r="C726" s="50" t="s">
        <v>1477</v>
      </c>
      <c r="D726" s="50" t="s">
        <v>2066</v>
      </c>
      <c r="E726" s="50" t="s">
        <v>137</v>
      </c>
      <c r="F726" s="51">
        <v>96.66169787996607</v>
      </c>
      <c r="G726" s="51">
        <v>96.981097879966072</v>
      </c>
      <c r="H726" s="51">
        <v>31.93</v>
      </c>
      <c r="I726" s="52">
        <v>145</v>
      </c>
      <c r="J726" s="50" t="s">
        <v>19</v>
      </c>
    </row>
    <row r="727" spans="2:10" ht="15" customHeight="1">
      <c r="B727" s="47" t="s">
        <v>1722</v>
      </c>
      <c r="C727" s="50" t="s">
        <v>1723</v>
      </c>
      <c r="D727" s="50" t="s">
        <v>2066</v>
      </c>
      <c r="E727" s="50" t="s">
        <v>137</v>
      </c>
      <c r="F727" s="51">
        <v>89.723614612376934</v>
      </c>
      <c r="G727" s="51">
        <v>90.365314612376935</v>
      </c>
      <c r="H727" s="51">
        <v>31.9</v>
      </c>
      <c r="I727" s="52">
        <v>409</v>
      </c>
      <c r="J727" s="50" t="s">
        <v>19</v>
      </c>
    </row>
    <row r="728" spans="2:10" ht="15" customHeight="1">
      <c r="B728" s="47" t="s">
        <v>2003</v>
      </c>
      <c r="C728" s="50" t="s">
        <v>2004</v>
      </c>
      <c r="D728" s="50" t="s">
        <v>2066</v>
      </c>
      <c r="E728" s="50" t="s">
        <v>137</v>
      </c>
      <c r="F728" s="51">
        <v>92.168930138688481</v>
      </c>
      <c r="G728" s="51">
        <v>93.224530138688479</v>
      </c>
      <c r="H728" s="51">
        <v>31.7</v>
      </c>
      <c r="I728" s="52">
        <v>250</v>
      </c>
      <c r="J728" s="50" t="s">
        <v>19</v>
      </c>
    </row>
    <row r="729" spans="2:10" ht="15" customHeight="1">
      <c r="B729" s="47" t="s">
        <v>2314</v>
      </c>
      <c r="C729" s="50" t="s">
        <v>2315</v>
      </c>
      <c r="D729" s="50" t="s">
        <v>2066</v>
      </c>
      <c r="E729" s="50" t="s">
        <v>137</v>
      </c>
      <c r="F729" s="51">
        <v>86.267253614875074</v>
      </c>
      <c r="G729" s="51">
        <v>87.428353614875078</v>
      </c>
      <c r="H729" s="51">
        <v>31.86</v>
      </c>
      <c r="I729" s="52">
        <v>671</v>
      </c>
      <c r="J729" s="50" t="s">
        <v>19</v>
      </c>
    </row>
    <row r="730" spans="2:10" ht="15" customHeight="1">
      <c r="B730" s="47" t="s">
        <v>759</v>
      </c>
      <c r="C730" s="50" t="s">
        <v>760</v>
      </c>
      <c r="D730" s="50" t="s">
        <v>2066</v>
      </c>
      <c r="E730" s="50" t="s">
        <v>137</v>
      </c>
      <c r="F730" s="51">
        <v>96.750890222979521</v>
      </c>
      <c r="G730" s="51">
        <v>97.65369022297952</v>
      </c>
      <c r="H730" s="51">
        <v>31.53</v>
      </c>
      <c r="I730" s="52">
        <v>197</v>
      </c>
      <c r="J730" s="50" t="s">
        <v>19</v>
      </c>
    </row>
    <row r="731" spans="2:10" ht="15" customHeight="1">
      <c r="B731" s="47" t="s">
        <v>1247</v>
      </c>
      <c r="C731" s="50" t="s">
        <v>1248</v>
      </c>
      <c r="D731" s="50" t="s">
        <v>2066</v>
      </c>
      <c r="E731" s="50" t="s">
        <v>137</v>
      </c>
      <c r="F731" s="51">
        <v>92.900050166026432</v>
      </c>
      <c r="G731" s="51">
        <v>94.775050166026432</v>
      </c>
      <c r="H731" s="51">
        <v>31.92</v>
      </c>
      <c r="I731" s="52">
        <v>453</v>
      </c>
      <c r="J731" s="50" t="s">
        <v>19</v>
      </c>
    </row>
    <row r="732" spans="2:10" ht="15" customHeight="1">
      <c r="B732" s="47" t="s">
        <v>1566</v>
      </c>
      <c r="C732" s="50" t="s">
        <v>1567</v>
      </c>
      <c r="D732" s="50" t="s">
        <v>2064</v>
      </c>
      <c r="E732" s="50" t="s">
        <v>2182</v>
      </c>
      <c r="F732" s="51">
        <v>1000</v>
      </c>
      <c r="G732" s="51">
        <v>1000</v>
      </c>
      <c r="H732" s="51">
        <v>0</v>
      </c>
      <c r="I732" s="52">
        <v>0</v>
      </c>
      <c r="J732" s="50" t="s">
        <v>1786</v>
      </c>
    </row>
    <row r="733" spans="2:10" ht="15" customHeight="1">
      <c r="B733" s="47" t="s">
        <v>761</v>
      </c>
      <c r="C733" s="50" t="s">
        <v>762</v>
      </c>
      <c r="D733" s="50" t="s">
        <v>2066</v>
      </c>
      <c r="E733" s="50" t="s">
        <v>140</v>
      </c>
      <c r="F733" s="51">
        <v>100.03936288860631</v>
      </c>
      <c r="G733" s="51">
        <v>100.97266288860631</v>
      </c>
      <c r="H733" s="51">
        <v>20.94</v>
      </c>
      <c r="I733" s="52">
        <v>284</v>
      </c>
      <c r="J733" s="50" t="s">
        <v>19</v>
      </c>
    </row>
    <row r="734" spans="2:10" ht="15" customHeight="1">
      <c r="B734" s="47" t="s">
        <v>1948</v>
      </c>
      <c r="C734" s="50" t="s">
        <v>1949</v>
      </c>
      <c r="D734" s="50" t="s">
        <v>2066</v>
      </c>
      <c r="E734" s="50" t="s">
        <v>140</v>
      </c>
      <c r="F734" s="51">
        <v>99.99</v>
      </c>
      <c r="G734" s="51">
        <v>100.4567</v>
      </c>
      <c r="H734" s="51">
        <v>10.51</v>
      </c>
      <c r="I734" s="52">
        <v>584</v>
      </c>
      <c r="J734" s="50" t="s">
        <v>19</v>
      </c>
    </row>
    <row r="735" spans="2:10" ht="15" customHeight="1">
      <c r="B735" s="47" t="s">
        <v>1968</v>
      </c>
      <c r="C735" s="50" t="s">
        <v>1969</v>
      </c>
      <c r="D735" s="50" t="s">
        <v>2066</v>
      </c>
      <c r="E735" s="50" t="s">
        <v>2183</v>
      </c>
      <c r="F735" s="51">
        <v>99.025291343826169</v>
      </c>
      <c r="G735" s="51">
        <v>103.58089134382617</v>
      </c>
      <c r="H735" s="51">
        <v>21.39</v>
      </c>
      <c r="I735" s="52">
        <v>278</v>
      </c>
      <c r="J735" s="50" t="s">
        <v>19</v>
      </c>
    </row>
    <row r="736" spans="2:10" ht="15" customHeight="1">
      <c r="B736" s="47" t="s">
        <v>2364</v>
      </c>
      <c r="C736" s="50" t="s">
        <v>2365</v>
      </c>
      <c r="D736" s="50" t="s">
        <v>2066</v>
      </c>
      <c r="E736" s="50" t="s">
        <v>2183</v>
      </c>
      <c r="F736" s="51">
        <v>99.29143371052723</v>
      </c>
      <c r="G736" s="51">
        <v>100.86643371052723</v>
      </c>
      <c r="H736" s="51">
        <v>21.57</v>
      </c>
      <c r="I736" s="52">
        <v>513</v>
      </c>
      <c r="J736" s="50" t="s">
        <v>19</v>
      </c>
    </row>
    <row r="737" spans="2:10" ht="15" customHeight="1">
      <c r="B737" s="47" t="s">
        <v>1681</v>
      </c>
      <c r="C737" s="50" t="s">
        <v>1682</v>
      </c>
      <c r="D737" s="50" t="s">
        <v>2066</v>
      </c>
      <c r="E737" s="50" t="s">
        <v>2183</v>
      </c>
      <c r="F737" s="51">
        <v>99.511464519955013</v>
      </c>
      <c r="G737" s="51">
        <v>103.53646451995502</v>
      </c>
      <c r="H737" s="51">
        <v>21.5</v>
      </c>
      <c r="I737" s="52">
        <v>381</v>
      </c>
      <c r="J737" s="50" t="s">
        <v>19</v>
      </c>
    </row>
    <row r="738" spans="2:10" ht="15" customHeight="1">
      <c r="B738" s="47" t="s">
        <v>1702</v>
      </c>
      <c r="C738" s="50" t="s">
        <v>1703</v>
      </c>
      <c r="D738" s="50" t="s">
        <v>2066</v>
      </c>
      <c r="E738" s="50" t="s">
        <v>2183</v>
      </c>
      <c r="F738" s="51">
        <v>99.818669698788653</v>
      </c>
      <c r="G738" s="51">
        <v>103.08536969878865</v>
      </c>
      <c r="H738" s="51">
        <v>21.27</v>
      </c>
      <c r="I738" s="52">
        <v>214</v>
      </c>
      <c r="J738" s="50" t="s">
        <v>19</v>
      </c>
    </row>
    <row r="739" spans="2:10" ht="15" customHeight="1">
      <c r="B739" s="47" t="s">
        <v>1704</v>
      </c>
      <c r="C739" s="50" t="s">
        <v>1705</v>
      </c>
      <c r="D739" s="50" t="s">
        <v>2066</v>
      </c>
      <c r="E739" s="50" t="s">
        <v>2183</v>
      </c>
      <c r="F739" s="51">
        <v>99.319028055449053</v>
      </c>
      <c r="G739" s="51">
        <v>102.58572805544905</v>
      </c>
      <c r="H739" s="51">
        <v>21.49</v>
      </c>
      <c r="I739" s="52">
        <v>574</v>
      </c>
      <c r="J739" s="50" t="s">
        <v>19</v>
      </c>
    </row>
    <row r="740" spans="2:10" ht="15" customHeight="1">
      <c r="B740" s="47" t="s">
        <v>1706</v>
      </c>
      <c r="C740" s="50" t="s">
        <v>1707</v>
      </c>
      <c r="D740" s="50" t="s">
        <v>2064</v>
      </c>
      <c r="E740" s="50" t="s">
        <v>2183</v>
      </c>
      <c r="F740" s="51">
        <v>1000</v>
      </c>
      <c r="G740" s="51">
        <v>1000</v>
      </c>
      <c r="H740" s="51">
        <v>0</v>
      </c>
      <c r="I740" s="52">
        <v>0</v>
      </c>
      <c r="J740" s="50" t="s">
        <v>1786</v>
      </c>
    </row>
    <row r="741" spans="2:10" ht="15" customHeight="1">
      <c r="B741" s="47" t="s">
        <v>1820</v>
      </c>
      <c r="C741" s="50" t="s">
        <v>1821</v>
      </c>
      <c r="D741" s="50" t="s">
        <v>2066</v>
      </c>
      <c r="E741" s="50" t="s">
        <v>2183</v>
      </c>
      <c r="F741" s="51">
        <v>93.017805743013966</v>
      </c>
      <c r="G741" s="51">
        <v>93.017805743013966</v>
      </c>
      <c r="H741" s="51">
        <v>21.62</v>
      </c>
      <c r="I741" s="52">
        <v>125</v>
      </c>
      <c r="J741" s="50" t="s">
        <v>19</v>
      </c>
    </row>
    <row r="742" spans="2:10" ht="15" customHeight="1">
      <c r="B742" s="47" t="s">
        <v>1233</v>
      </c>
      <c r="C742" s="50" t="s">
        <v>1234</v>
      </c>
      <c r="D742" s="50" t="s">
        <v>2066</v>
      </c>
      <c r="E742" s="50" t="s">
        <v>2184</v>
      </c>
      <c r="F742" s="51">
        <v>94.172799999999995</v>
      </c>
      <c r="G742" s="51">
        <v>95.639499999999998</v>
      </c>
      <c r="H742" s="51">
        <v>18.52</v>
      </c>
      <c r="I742" s="52">
        <v>312</v>
      </c>
      <c r="J742" s="50" t="s">
        <v>19</v>
      </c>
    </row>
    <row r="743" spans="2:10" ht="15" customHeight="1">
      <c r="B743" s="47" t="s">
        <v>1082</v>
      </c>
      <c r="C743" s="50" t="s">
        <v>1083</v>
      </c>
      <c r="D743" s="50" t="s">
        <v>2066</v>
      </c>
      <c r="E743" s="50" t="s">
        <v>2184</v>
      </c>
      <c r="F743" s="51">
        <v>89.59235656275446</v>
      </c>
      <c r="G743" s="51">
        <v>91.381256562754459</v>
      </c>
      <c r="H743" s="51">
        <v>18.829999999999998</v>
      </c>
      <c r="I743" s="52">
        <v>1034</v>
      </c>
      <c r="J743" s="50" t="s">
        <v>19</v>
      </c>
    </row>
    <row r="744" spans="2:10" ht="15" customHeight="1">
      <c r="B744" s="47" t="s">
        <v>1685</v>
      </c>
      <c r="C744" s="50" t="s">
        <v>1686</v>
      </c>
      <c r="D744" s="50" t="s">
        <v>2064</v>
      </c>
      <c r="E744" s="50" t="s">
        <v>2184</v>
      </c>
      <c r="F744" s="51">
        <v>1003</v>
      </c>
      <c r="G744" s="51">
        <v>1003</v>
      </c>
      <c r="H744" s="51">
        <v>0</v>
      </c>
      <c r="I744" s="52">
        <v>1454</v>
      </c>
      <c r="J744" s="50" t="s">
        <v>1786</v>
      </c>
    </row>
    <row r="745" spans="2:10" ht="15" customHeight="1">
      <c r="B745" s="47" t="s">
        <v>1956</v>
      </c>
      <c r="C745" s="50" t="s">
        <v>1957</v>
      </c>
      <c r="D745" s="50" t="s">
        <v>2064</v>
      </c>
      <c r="E745" s="50" t="s">
        <v>2184</v>
      </c>
      <c r="F745" s="51">
        <v>100.62</v>
      </c>
      <c r="G745" s="51">
        <v>100.62</v>
      </c>
      <c r="H745" s="51">
        <v>0</v>
      </c>
      <c r="I745" s="52">
        <v>1333</v>
      </c>
      <c r="J745" s="50" t="s">
        <v>1786</v>
      </c>
    </row>
    <row r="746" spans="2:10" ht="15" customHeight="1">
      <c r="B746" s="47" t="s">
        <v>2429</v>
      </c>
      <c r="C746" s="50" t="s">
        <v>2430</v>
      </c>
      <c r="D746" s="50" t="s">
        <v>2064</v>
      </c>
      <c r="E746" s="50" t="s">
        <v>2184</v>
      </c>
      <c r="F746" s="51">
        <v>1075.68</v>
      </c>
      <c r="G746" s="51">
        <v>1075.68</v>
      </c>
      <c r="H746" s="51">
        <v>0</v>
      </c>
      <c r="I746" s="52">
        <v>1427</v>
      </c>
      <c r="J746" s="50" t="s">
        <v>1786</v>
      </c>
    </row>
    <row r="747" spans="2:10" ht="15" customHeight="1">
      <c r="B747" s="47" t="s">
        <v>763</v>
      </c>
      <c r="C747" s="50" t="s">
        <v>764</v>
      </c>
      <c r="D747" s="50" t="s">
        <v>2066</v>
      </c>
      <c r="E747" s="50" t="s">
        <v>2186</v>
      </c>
      <c r="F747" s="51">
        <v>99.859692250635675</v>
      </c>
      <c r="G747" s="51">
        <v>101.77639225063567</v>
      </c>
      <c r="H747" s="51">
        <v>12.33</v>
      </c>
      <c r="I747" s="52">
        <v>21</v>
      </c>
      <c r="J747" s="50" t="s">
        <v>19</v>
      </c>
    </row>
    <row r="748" spans="2:10" ht="15" customHeight="1">
      <c r="B748" s="47" t="s">
        <v>1568</v>
      </c>
      <c r="C748" s="50" t="s">
        <v>1569</v>
      </c>
      <c r="D748" s="50" t="s">
        <v>2066</v>
      </c>
      <c r="E748" s="50" t="s">
        <v>2186</v>
      </c>
      <c r="F748" s="51">
        <v>99.865851226359695</v>
      </c>
      <c r="G748" s="51">
        <v>101.8102512263597</v>
      </c>
      <c r="H748" s="51">
        <v>12.34</v>
      </c>
      <c r="I748" s="52">
        <v>20</v>
      </c>
      <c r="J748" s="50" t="s">
        <v>19</v>
      </c>
    </row>
    <row r="749" spans="2:10" ht="15" customHeight="1">
      <c r="B749" s="47" t="s">
        <v>765</v>
      </c>
      <c r="C749" s="50" t="s">
        <v>766</v>
      </c>
      <c r="D749" s="50" t="s">
        <v>2066</v>
      </c>
      <c r="E749" s="50" t="s">
        <v>2186</v>
      </c>
      <c r="F749" s="51">
        <v>97.248359731921909</v>
      </c>
      <c r="G749" s="51">
        <v>100.3594597319219</v>
      </c>
      <c r="H749" s="51">
        <v>23.64</v>
      </c>
      <c r="I749" s="52">
        <v>304</v>
      </c>
      <c r="J749" s="50" t="s">
        <v>19</v>
      </c>
    </row>
    <row r="750" spans="2:10" ht="15" customHeight="1">
      <c r="B750" s="47" t="s">
        <v>1840</v>
      </c>
      <c r="C750" s="50" t="s">
        <v>1841</v>
      </c>
      <c r="D750" s="50" t="s">
        <v>2066</v>
      </c>
      <c r="E750" s="50" t="s">
        <v>2186</v>
      </c>
      <c r="F750" s="51">
        <v>101.64455485521501</v>
      </c>
      <c r="G750" s="51">
        <v>104.60565485521501</v>
      </c>
      <c r="H750" s="51">
        <v>11.8</v>
      </c>
      <c r="I750" s="52">
        <v>548</v>
      </c>
      <c r="J750" s="50" t="s">
        <v>19</v>
      </c>
    </row>
    <row r="751" spans="2:10" ht="15" customHeight="1">
      <c r="B751" s="47" t="s">
        <v>2052</v>
      </c>
      <c r="C751" s="50" t="s">
        <v>2053</v>
      </c>
      <c r="D751" s="50" t="s">
        <v>2066</v>
      </c>
      <c r="E751" s="50" t="s">
        <v>2186</v>
      </c>
      <c r="F751" s="51">
        <v>92.7249125212644</v>
      </c>
      <c r="G751" s="51">
        <v>97.336012521264394</v>
      </c>
      <c r="H751" s="51">
        <v>23.65</v>
      </c>
      <c r="I751" s="52">
        <v>997</v>
      </c>
      <c r="J751" s="50" t="s">
        <v>19</v>
      </c>
    </row>
    <row r="752" spans="2:10" ht="15" customHeight="1">
      <c r="B752" s="47" t="s">
        <v>1486</v>
      </c>
      <c r="C752" s="50" t="s">
        <v>1487</v>
      </c>
      <c r="D752" s="50" t="s">
        <v>2066</v>
      </c>
      <c r="E752" s="50" t="s">
        <v>2187</v>
      </c>
      <c r="F752" s="51">
        <v>100</v>
      </c>
      <c r="G752" s="51">
        <v>100.002</v>
      </c>
      <c r="H752" s="51">
        <v>0.02</v>
      </c>
      <c r="I752" s="52">
        <v>3079</v>
      </c>
      <c r="J752" s="50" t="s">
        <v>19</v>
      </c>
    </row>
    <row r="753" spans="2:10" ht="15" customHeight="1">
      <c r="B753" s="47" t="s">
        <v>1570</v>
      </c>
      <c r="C753" s="50" t="s">
        <v>1571</v>
      </c>
      <c r="D753" s="50" t="s">
        <v>2066</v>
      </c>
      <c r="E753" s="50" t="s">
        <v>2187</v>
      </c>
      <c r="F753" s="51">
        <v>100</v>
      </c>
      <c r="G753" s="51">
        <v>105.5419</v>
      </c>
      <c r="H753" s="51">
        <v>7.06</v>
      </c>
      <c r="I753" s="52">
        <v>2176</v>
      </c>
      <c r="J753" s="50" t="s">
        <v>19</v>
      </c>
    </row>
    <row r="754" spans="2:10" ht="15" customHeight="1">
      <c r="B754" s="47" t="s">
        <v>767</v>
      </c>
      <c r="C754" s="50" t="s">
        <v>768</v>
      </c>
      <c r="D754" s="50" t="s">
        <v>2066</v>
      </c>
      <c r="E754" s="50" t="s">
        <v>2187</v>
      </c>
      <c r="F754" s="51">
        <v>100</v>
      </c>
      <c r="G754" s="51">
        <v>101.2878</v>
      </c>
      <c r="H754" s="51">
        <v>6.08</v>
      </c>
      <c r="I754" s="52">
        <v>1694</v>
      </c>
      <c r="J754" s="50" t="s">
        <v>19</v>
      </c>
    </row>
    <row r="755" spans="2:10" ht="15" customHeight="1">
      <c r="B755" s="47" t="s">
        <v>1572</v>
      </c>
      <c r="C755" s="50" t="s">
        <v>1573</v>
      </c>
      <c r="D755" s="50" t="s">
        <v>2066</v>
      </c>
      <c r="E755" s="50" t="s">
        <v>2187</v>
      </c>
      <c r="F755" s="51">
        <v>100</v>
      </c>
      <c r="G755" s="51">
        <v>106.19280000000001</v>
      </c>
      <c r="H755" s="51">
        <v>7.08</v>
      </c>
      <c r="I755" s="52">
        <v>2176</v>
      </c>
      <c r="J755" s="50" t="s">
        <v>19</v>
      </c>
    </row>
    <row r="756" spans="2:10" ht="15" customHeight="1">
      <c r="B756" s="47" t="s">
        <v>2334</v>
      </c>
      <c r="C756" s="50" t="s">
        <v>2335</v>
      </c>
      <c r="D756" s="50" t="s">
        <v>2066</v>
      </c>
      <c r="E756" s="50" t="s">
        <v>2187</v>
      </c>
      <c r="F756" s="51">
        <v>90.439602311929406</v>
      </c>
      <c r="G756" s="51">
        <v>92.512402311929407</v>
      </c>
      <c r="H756" s="51">
        <v>20.49</v>
      </c>
      <c r="I756" s="52">
        <v>3559</v>
      </c>
      <c r="J756" s="50" t="s">
        <v>19</v>
      </c>
    </row>
    <row r="757" spans="2:10" ht="15" customHeight="1">
      <c r="B757" s="47" t="s">
        <v>2405</v>
      </c>
      <c r="C757" s="50" t="s">
        <v>2406</v>
      </c>
      <c r="D757" s="50" t="s">
        <v>2066</v>
      </c>
      <c r="E757" s="50" t="s">
        <v>2187</v>
      </c>
      <c r="F757" s="51">
        <v>93.426943820692159</v>
      </c>
      <c r="G757" s="51">
        <v>94.056943820692155</v>
      </c>
      <c r="H757" s="51">
        <v>20.48</v>
      </c>
      <c r="I757" s="52">
        <v>3588</v>
      </c>
      <c r="J757" s="50" t="s">
        <v>19</v>
      </c>
    </row>
    <row r="758" spans="2:10" ht="15" customHeight="1">
      <c r="B758" s="47" t="s">
        <v>2431</v>
      </c>
      <c r="C758" s="50" t="s">
        <v>2432</v>
      </c>
      <c r="D758" s="50" t="s">
        <v>2066</v>
      </c>
      <c r="E758" s="50" t="s">
        <v>2187</v>
      </c>
      <c r="F758" s="51">
        <v>93.398237707612424</v>
      </c>
      <c r="G758" s="51">
        <v>93.818237707612425</v>
      </c>
      <c r="H758" s="51">
        <v>20.49</v>
      </c>
      <c r="I758" s="52">
        <v>3592</v>
      </c>
      <c r="J758" s="50" t="s">
        <v>19</v>
      </c>
    </row>
    <row r="759" spans="2:10" ht="15" customHeight="1">
      <c r="B759" s="47" t="s">
        <v>1574</v>
      </c>
      <c r="C759" s="50" t="s">
        <v>1575</v>
      </c>
      <c r="D759" s="50" t="s">
        <v>2066</v>
      </c>
      <c r="E759" s="50" t="s">
        <v>2187</v>
      </c>
      <c r="F759" s="51">
        <v>100</v>
      </c>
      <c r="G759" s="51">
        <v>104.76139999999999</v>
      </c>
      <c r="H759" s="51">
        <v>6.07</v>
      </c>
      <c r="I759" s="52">
        <v>2531</v>
      </c>
      <c r="J759" s="50" t="s">
        <v>19</v>
      </c>
    </row>
    <row r="760" spans="2:10" ht="15" customHeight="1">
      <c r="B760" s="47" t="s">
        <v>769</v>
      </c>
      <c r="C760" s="50" t="s">
        <v>770</v>
      </c>
      <c r="D760" s="50" t="s">
        <v>2066</v>
      </c>
      <c r="E760" s="50" t="s">
        <v>2187</v>
      </c>
      <c r="F760" s="51">
        <v>100</v>
      </c>
      <c r="G760" s="51">
        <v>100.4575</v>
      </c>
      <c r="H760" s="51">
        <v>6.09</v>
      </c>
      <c r="I760" s="52">
        <v>2103</v>
      </c>
      <c r="J760" s="50" t="s">
        <v>19</v>
      </c>
    </row>
    <row r="761" spans="2:10" ht="15" customHeight="1">
      <c r="B761" s="47" t="s">
        <v>1576</v>
      </c>
      <c r="C761" s="50" t="s">
        <v>1577</v>
      </c>
      <c r="D761" s="50" t="s">
        <v>2066</v>
      </c>
      <c r="E761" s="50" t="s">
        <v>2187</v>
      </c>
      <c r="F761" s="51">
        <v>100</v>
      </c>
      <c r="G761" s="51">
        <v>104.76139999999999</v>
      </c>
      <c r="H761" s="51">
        <v>6.09</v>
      </c>
      <c r="I761" s="52">
        <v>2598</v>
      </c>
      <c r="J761" s="50" t="s">
        <v>19</v>
      </c>
    </row>
    <row r="762" spans="2:10" ht="15" customHeight="1">
      <c r="B762" s="47" t="s">
        <v>771</v>
      </c>
      <c r="C762" s="50" t="s">
        <v>772</v>
      </c>
      <c r="D762" s="50" t="s">
        <v>2066</v>
      </c>
      <c r="E762" s="50" t="s">
        <v>2187</v>
      </c>
      <c r="F762" s="51">
        <v>100</v>
      </c>
      <c r="G762" s="51">
        <v>105.4053</v>
      </c>
      <c r="H762" s="51">
        <v>6.09</v>
      </c>
      <c r="I762" s="52">
        <v>2531</v>
      </c>
      <c r="J762" s="50" t="s">
        <v>19</v>
      </c>
    </row>
    <row r="763" spans="2:10" ht="15" customHeight="1">
      <c r="B763" s="47" t="s">
        <v>773</v>
      </c>
      <c r="C763" s="50" t="s">
        <v>774</v>
      </c>
      <c r="D763" s="50" t="s">
        <v>2066</v>
      </c>
      <c r="E763" s="50" t="s">
        <v>2187</v>
      </c>
      <c r="F763" s="51">
        <v>100</v>
      </c>
      <c r="G763" s="51">
        <v>105.4053</v>
      </c>
      <c r="H763" s="51">
        <v>6.09</v>
      </c>
      <c r="I763" s="52">
        <v>2531</v>
      </c>
      <c r="J763" s="50" t="s">
        <v>19</v>
      </c>
    </row>
    <row r="764" spans="2:10" ht="15" customHeight="1">
      <c r="B764" s="47" t="s">
        <v>775</v>
      </c>
      <c r="C764" s="50" t="s">
        <v>776</v>
      </c>
      <c r="D764" s="50" t="s">
        <v>2066</v>
      </c>
      <c r="E764" s="50" t="s">
        <v>2187</v>
      </c>
      <c r="F764" s="51">
        <v>100</v>
      </c>
      <c r="G764" s="51">
        <v>104.27</v>
      </c>
      <c r="H764" s="51">
        <v>6.08</v>
      </c>
      <c r="I764" s="52">
        <v>2598</v>
      </c>
      <c r="J764" s="50" t="s">
        <v>19</v>
      </c>
    </row>
    <row r="765" spans="2:10" ht="15" customHeight="1">
      <c r="B765" s="47" t="s">
        <v>2320</v>
      </c>
      <c r="C765" s="50" t="s">
        <v>2321</v>
      </c>
      <c r="D765" s="50" t="s">
        <v>2066</v>
      </c>
      <c r="E765" s="50" t="s">
        <v>2322</v>
      </c>
      <c r="F765" s="51">
        <v>100.8094532949647</v>
      </c>
      <c r="G765" s="51">
        <v>102.06225329496469</v>
      </c>
      <c r="H765" s="51">
        <v>10.66</v>
      </c>
      <c r="I765" s="52">
        <v>1039</v>
      </c>
      <c r="J765" s="50" t="s">
        <v>19</v>
      </c>
    </row>
    <row r="766" spans="2:10" ht="15" customHeight="1">
      <c r="B766" s="47" t="s">
        <v>2251</v>
      </c>
      <c r="C766" s="50" t="s">
        <v>2252</v>
      </c>
      <c r="D766" s="50" t="s">
        <v>2066</v>
      </c>
      <c r="E766" s="50" t="s">
        <v>2253</v>
      </c>
      <c r="F766" s="51">
        <v>101.03015589030458</v>
      </c>
      <c r="G766" s="51">
        <v>106.44685589030459</v>
      </c>
      <c r="H766" s="51">
        <v>25.46</v>
      </c>
      <c r="I766" s="52">
        <v>1005</v>
      </c>
      <c r="J766" s="50" t="s">
        <v>19</v>
      </c>
    </row>
    <row r="767" spans="2:10" ht="15" customHeight="1">
      <c r="B767" s="47" t="s">
        <v>1578</v>
      </c>
      <c r="C767" s="50" t="s">
        <v>1579</v>
      </c>
      <c r="D767" s="50" t="s">
        <v>2064</v>
      </c>
      <c r="E767" s="50" t="s">
        <v>2188</v>
      </c>
      <c r="F767" s="51">
        <v>52664.62</v>
      </c>
      <c r="G767" s="51">
        <v>52664.62</v>
      </c>
      <c r="H767" s="51">
        <v>0</v>
      </c>
      <c r="I767" s="52">
        <v>0</v>
      </c>
      <c r="J767" s="50" t="s">
        <v>1786</v>
      </c>
    </row>
    <row r="768" spans="2:10" ht="15" customHeight="1">
      <c r="B768" s="47" t="s">
        <v>777</v>
      </c>
      <c r="C768" s="50" t="s">
        <v>778</v>
      </c>
      <c r="D768" s="50" t="s">
        <v>2064</v>
      </c>
      <c r="E768" s="50" t="s">
        <v>2189</v>
      </c>
      <c r="F768" s="51">
        <v>0.01</v>
      </c>
      <c r="G768" s="51">
        <v>0.01</v>
      </c>
      <c r="H768" s="51">
        <v>0</v>
      </c>
      <c r="I768" s="52">
        <v>0</v>
      </c>
      <c r="J768" s="50" t="s">
        <v>1786</v>
      </c>
    </row>
    <row r="769" spans="2:10" ht="15" customHeight="1">
      <c r="B769" s="47" t="s">
        <v>779</v>
      </c>
      <c r="C769" s="50" t="s">
        <v>780</v>
      </c>
      <c r="D769" s="50" t="s">
        <v>2064</v>
      </c>
      <c r="E769" s="50" t="s">
        <v>2189</v>
      </c>
      <c r="F769" s="51">
        <v>5695</v>
      </c>
      <c r="G769" s="51">
        <v>5695</v>
      </c>
      <c r="H769" s="51">
        <v>0</v>
      </c>
      <c r="I769" s="52">
        <v>0</v>
      </c>
      <c r="J769" s="50" t="s">
        <v>1786</v>
      </c>
    </row>
    <row r="770" spans="2:10" ht="15" customHeight="1">
      <c r="B770" s="47" t="s">
        <v>781</v>
      </c>
      <c r="C770" s="50" t="s">
        <v>782</v>
      </c>
      <c r="D770" s="50" t="s">
        <v>2064</v>
      </c>
      <c r="E770" s="50" t="s">
        <v>2190</v>
      </c>
      <c r="F770" s="51">
        <v>13000</v>
      </c>
      <c r="G770" s="51">
        <v>13000</v>
      </c>
      <c r="H770" s="51">
        <v>0</v>
      </c>
      <c r="I770" s="52">
        <v>0</v>
      </c>
      <c r="J770" s="50" t="s">
        <v>1786</v>
      </c>
    </row>
    <row r="771" spans="2:10" ht="15" customHeight="1">
      <c r="B771" s="47" t="s">
        <v>783</v>
      </c>
      <c r="C771" s="50" t="s">
        <v>784</v>
      </c>
      <c r="D771" s="50" t="s">
        <v>2066</v>
      </c>
      <c r="E771" s="50" t="s">
        <v>2191</v>
      </c>
      <c r="F771" s="51">
        <v>89.598400277337262</v>
      </c>
      <c r="G771" s="51">
        <v>92.315100277337265</v>
      </c>
      <c r="H771" s="51">
        <v>10.77</v>
      </c>
      <c r="I771" s="52">
        <v>917</v>
      </c>
      <c r="J771" s="50" t="s">
        <v>19</v>
      </c>
    </row>
    <row r="772" spans="2:10" ht="15" customHeight="1">
      <c r="B772" s="47" t="s">
        <v>785</v>
      </c>
      <c r="C772" s="50" t="s">
        <v>786</v>
      </c>
      <c r="D772" s="50" t="s">
        <v>2064</v>
      </c>
      <c r="E772" s="50" t="s">
        <v>2192</v>
      </c>
      <c r="F772" s="51">
        <v>0.01</v>
      </c>
      <c r="G772" s="51">
        <v>0.01</v>
      </c>
      <c r="H772" s="51">
        <v>0</v>
      </c>
      <c r="I772" s="52">
        <v>0</v>
      </c>
      <c r="J772" s="50" t="s">
        <v>1786</v>
      </c>
    </row>
    <row r="773" spans="2:10" ht="15" customHeight="1">
      <c r="B773" s="47" t="s">
        <v>1362</v>
      </c>
      <c r="C773" s="50" t="s">
        <v>1363</v>
      </c>
      <c r="D773" s="50" t="s">
        <v>2064</v>
      </c>
      <c r="E773" s="50" t="s">
        <v>1364</v>
      </c>
      <c r="F773" s="51">
        <v>13266.915200000003</v>
      </c>
      <c r="G773" s="51">
        <v>13266.915200000003</v>
      </c>
      <c r="H773" s="51">
        <v>0</v>
      </c>
      <c r="I773" s="52">
        <v>0</v>
      </c>
      <c r="J773" s="50" t="s">
        <v>1786</v>
      </c>
    </row>
    <row r="774" spans="2:10" ht="15" customHeight="1">
      <c r="B774" s="47" t="s">
        <v>1301</v>
      </c>
      <c r="C774" s="50" t="s">
        <v>1302</v>
      </c>
      <c r="D774" s="50" t="s">
        <v>2064</v>
      </c>
      <c r="E774" s="50" t="s">
        <v>1303</v>
      </c>
      <c r="F774" s="51">
        <v>270429.15965000005</v>
      </c>
      <c r="G774" s="51">
        <v>270429.15965000005</v>
      </c>
      <c r="H774" s="51">
        <v>0</v>
      </c>
      <c r="I774" s="52">
        <v>0</v>
      </c>
      <c r="J774" s="50" t="s">
        <v>1786</v>
      </c>
    </row>
    <row r="775" spans="2:10" ht="15" customHeight="1">
      <c r="B775" s="47" t="s">
        <v>1315</v>
      </c>
      <c r="C775" s="50" t="s">
        <v>1316</v>
      </c>
      <c r="D775" s="50" t="s">
        <v>2064</v>
      </c>
      <c r="E775" s="50" t="s">
        <v>1317</v>
      </c>
      <c r="F775" s="51">
        <v>107990.21295000002</v>
      </c>
      <c r="G775" s="51">
        <v>107990.21295000002</v>
      </c>
      <c r="H775" s="51">
        <v>0</v>
      </c>
      <c r="I775" s="52">
        <v>0</v>
      </c>
      <c r="J775" s="50" t="s">
        <v>1786</v>
      </c>
    </row>
    <row r="776" spans="2:10" ht="15" customHeight="1">
      <c r="B776" s="47" t="s">
        <v>1388</v>
      </c>
      <c r="C776" s="50" t="s">
        <v>1389</v>
      </c>
      <c r="D776" s="50" t="s">
        <v>2064</v>
      </c>
      <c r="E776" s="50" t="s">
        <v>1390</v>
      </c>
      <c r="F776" s="51">
        <v>76335.913250000012</v>
      </c>
      <c r="G776" s="51">
        <v>76335.913250000012</v>
      </c>
      <c r="H776" s="51">
        <v>0</v>
      </c>
      <c r="I776" s="52">
        <v>0</v>
      </c>
      <c r="J776" s="50" t="s">
        <v>1786</v>
      </c>
    </row>
    <row r="777" spans="2:10" ht="15" customHeight="1">
      <c r="B777" s="47" t="s">
        <v>1421</v>
      </c>
      <c r="C777" s="50" t="s">
        <v>1422</v>
      </c>
      <c r="D777" s="50" t="s">
        <v>2064</v>
      </c>
      <c r="E777" s="50" t="s">
        <v>2193</v>
      </c>
      <c r="F777" s="51">
        <v>489.73169865000011</v>
      </c>
      <c r="G777" s="51">
        <v>489.73169865000011</v>
      </c>
      <c r="H777" s="51">
        <v>0</v>
      </c>
      <c r="I777" s="52">
        <v>2027</v>
      </c>
      <c r="J777" s="50" t="s">
        <v>1786</v>
      </c>
    </row>
    <row r="778" spans="2:10" ht="15" customHeight="1">
      <c r="B778" s="47" t="s">
        <v>1324</v>
      </c>
      <c r="C778" s="50" t="s">
        <v>1325</v>
      </c>
      <c r="D778" s="50" t="s">
        <v>2064</v>
      </c>
      <c r="E778" s="50" t="s">
        <v>1326</v>
      </c>
      <c r="F778" s="51">
        <v>9185.6158000000014</v>
      </c>
      <c r="G778" s="51">
        <v>9185.6158000000014</v>
      </c>
      <c r="H778" s="51">
        <v>0</v>
      </c>
      <c r="I778" s="52">
        <v>0</v>
      </c>
      <c r="J778" s="50" t="s">
        <v>1786</v>
      </c>
    </row>
    <row r="779" spans="2:10" ht="15" customHeight="1">
      <c r="B779" s="47" t="s">
        <v>249</v>
      </c>
      <c r="C779" s="50" t="s">
        <v>250</v>
      </c>
      <c r="D779" s="50" t="s">
        <v>2066</v>
      </c>
      <c r="E779" s="50" t="s">
        <v>2194</v>
      </c>
      <c r="F779" s="51">
        <v>80.82204871517655</v>
      </c>
      <c r="G779" s="51">
        <v>83.255348715176552</v>
      </c>
      <c r="H779" s="51">
        <v>19.329999999999998</v>
      </c>
      <c r="I779" s="52">
        <v>1367</v>
      </c>
      <c r="J779" s="50" t="s">
        <v>19</v>
      </c>
    </row>
    <row r="780" spans="2:10" ht="15" customHeight="1">
      <c r="B780" s="47" t="s">
        <v>251</v>
      </c>
      <c r="C780" s="50" t="s">
        <v>252</v>
      </c>
      <c r="D780" s="50" t="s">
        <v>2066</v>
      </c>
      <c r="E780" s="50" t="s">
        <v>2194</v>
      </c>
      <c r="F780" s="51">
        <v>99.674000000000007</v>
      </c>
      <c r="G780" s="51">
        <v>107.3823</v>
      </c>
      <c r="H780" s="51">
        <v>19.010000000000002</v>
      </c>
      <c r="I780" s="52">
        <v>210</v>
      </c>
      <c r="J780" s="50" t="s">
        <v>19</v>
      </c>
    </row>
    <row r="781" spans="2:10" ht="15" customHeight="1">
      <c r="B781" s="47" t="s">
        <v>1669</v>
      </c>
      <c r="C781" s="50" t="s">
        <v>1670</v>
      </c>
      <c r="D781" s="50" t="s">
        <v>2066</v>
      </c>
      <c r="E781" s="50" t="s">
        <v>2194</v>
      </c>
      <c r="F781" s="51">
        <v>99.862981166983474</v>
      </c>
      <c r="G781" s="51">
        <v>104.52968116698347</v>
      </c>
      <c r="H781" s="51">
        <v>13.93</v>
      </c>
      <c r="I781" s="52">
        <v>12</v>
      </c>
      <c r="J781" s="50" t="s">
        <v>19</v>
      </c>
    </row>
    <row r="782" spans="2:10" ht="15" customHeight="1">
      <c r="B782" s="47" t="s">
        <v>1836</v>
      </c>
      <c r="C782" s="50" t="s">
        <v>1837</v>
      </c>
      <c r="D782" s="50" t="s">
        <v>2066</v>
      </c>
      <c r="E782" s="50" t="s">
        <v>2194</v>
      </c>
      <c r="F782" s="51">
        <v>98.964943324549722</v>
      </c>
      <c r="G782" s="51">
        <v>100.12604332454973</v>
      </c>
      <c r="H782" s="51">
        <v>13.7</v>
      </c>
      <c r="I782" s="52">
        <v>142</v>
      </c>
      <c r="J782" s="50" t="s">
        <v>19</v>
      </c>
    </row>
    <row r="783" spans="2:10" ht="15" customHeight="1">
      <c r="B783" s="47" t="s">
        <v>841</v>
      </c>
      <c r="C783" s="50" t="s">
        <v>842</v>
      </c>
      <c r="D783" s="50" t="s">
        <v>2066</v>
      </c>
      <c r="E783" s="50" t="s">
        <v>2194</v>
      </c>
      <c r="F783" s="51">
        <v>99.226056997623687</v>
      </c>
      <c r="G783" s="51">
        <v>101.93855699762368</v>
      </c>
      <c r="H783" s="51">
        <v>13.68</v>
      </c>
      <c r="I783" s="52">
        <v>87</v>
      </c>
      <c r="J783" s="50" t="s">
        <v>19</v>
      </c>
    </row>
    <row r="784" spans="2:10" ht="15" customHeight="1">
      <c r="B784" s="47" t="s">
        <v>843</v>
      </c>
      <c r="C784" s="50" t="s">
        <v>844</v>
      </c>
      <c r="D784" s="50" t="s">
        <v>2066</v>
      </c>
      <c r="E784" s="50" t="s">
        <v>2194</v>
      </c>
      <c r="F784" s="51">
        <v>90.877904852794686</v>
      </c>
      <c r="G784" s="51">
        <v>93.183504852794684</v>
      </c>
      <c r="H784" s="51">
        <v>13.13</v>
      </c>
      <c r="I784" s="52">
        <v>1357</v>
      </c>
      <c r="J784" s="50" t="s">
        <v>19</v>
      </c>
    </row>
    <row r="785" spans="2:10" ht="15" customHeight="1">
      <c r="B785" s="47" t="s">
        <v>1382</v>
      </c>
      <c r="C785" s="50" t="s">
        <v>1383</v>
      </c>
      <c r="D785" s="50" t="s">
        <v>2064</v>
      </c>
      <c r="E785" s="50" t="s">
        <v>1384</v>
      </c>
      <c r="F785" s="51">
        <v>42099.841700000004</v>
      </c>
      <c r="G785" s="51">
        <v>42099.841700000004</v>
      </c>
      <c r="H785" s="51">
        <v>0</v>
      </c>
      <c r="I785" s="52">
        <v>0</v>
      </c>
      <c r="J785" s="50" t="s">
        <v>1786</v>
      </c>
    </row>
    <row r="786" spans="2:10" ht="15" customHeight="1">
      <c r="B786" s="47" t="s">
        <v>1409</v>
      </c>
      <c r="C786" s="50" t="s">
        <v>1410</v>
      </c>
      <c r="D786" s="50" t="s">
        <v>2064</v>
      </c>
      <c r="E786" s="50" t="s">
        <v>1411</v>
      </c>
      <c r="F786" s="51">
        <v>677740.68605000013</v>
      </c>
      <c r="G786" s="51">
        <v>677740.68605000013</v>
      </c>
      <c r="H786" s="51">
        <v>0</v>
      </c>
      <c r="I786" s="52">
        <v>0</v>
      </c>
      <c r="J786" s="50" t="s">
        <v>1786</v>
      </c>
    </row>
    <row r="787" spans="2:10" ht="15" customHeight="1">
      <c r="B787" s="47" t="s">
        <v>1822</v>
      </c>
      <c r="C787" s="50" t="s">
        <v>1823</v>
      </c>
      <c r="D787" s="50" t="s">
        <v>2066</v>
      </c>
      <c r="E787" s="50" t="s">
        <v>2195</v>
      </c>
      <c r="F787" s="51">
        <v>98.37465067480646</v>
      </c>
      <c r="G787" s="51">
        <v>102.28025067480647</v>
      </c>
      <c r="H787" s="51">
        <v>19.850000000000001</v>
      </c>
      <c r="I787" s="52">
        <v>826</v>
      </c>
      <c r="J787" s="50" t="s">
        <v>19</v>
      </c>
    </row>
    <row r="788" spans="2:10" ht="15" customHeight="1">
      <c r="B788" s="47" t="s">
        <v>1270</v>
      </c>
      <c r="C788" s="50" t="s">
        <v>1271</v>
      </c>
      <c r="D788" s="50" t="s">
        <v>2064</v>
      </c>
      <c r="E788" s="50" t="s">
        <v>1272</v>
      </c>
      <c r="F788" s="51">
        <v>39897.663000000008</v>
      </c>
      <c r="G788" s="51">
        <v>39897.663000000008</v>
      </c>
      <c r="H788" s="51">
        <v>0</v>
      </c>
      <c r="I788" s="52">
        <v>0</v>
      </c>
      <c r="J788" s="50" t="s">
        <v>1786</v>
      </c>
    </row>
    <row r="789" spans="2:10" ht="15" customHeight="1">
      <c r="B789" s="47" t="s">
        <v>845</v>
      </c>
      <c r="C789" s="50" t="s">
        <v>846</v>
      </c>
      <c r="D789" s="50" t="s">
        <v>2064</v>
      </c>
      <c r="E789" s="50" t="s">
        <v>2196</v>
      </c>
      <c r="F789" s="51">
        <v>6751.38</v>
      </c>
      <c r="G789" s="51">
        <v>6751.38</v>
      </c>
      <c r="H789" s="51">
        <v>0</v>
      </c>
      <c r="I789" s="52">
        <v>0</v>
      </c>
      <c r="J789" s="50" t="s">
        <v>1786</v>
      </c>
    </row>
    <row r="790" spans="2:10" ht="15" customHeight="1">
      <c r="B790" s="47" t="s">
        <v>847</v>
      </c>
      <c r="C790" s="50" t="s">
        <v>848</v>
      </c>
      <c r="D790" s="50" t="s">
        <v>2064</v>
      </c>
      <c r="E790" s="50" t="s">
        <v>2196</v>
      </c>
      <c r="F790" s="51">
        <v>88.363100000000003</v>
      </c>
      <c r="G790" s="51">
        <v>88.363100000000003</v>
      </c>
      <c r="H790" s="51">
        <v>0</v>
      </c>
      <c r="I790" s="52">
        <v>856</v>
      </c>
      <c r="J790" s="50" t="s">
        <v>1786</v>
      </c>
    </row>
    <row r="791" spans="2:10" ht="15" customHeight="1">
      <c r="B791" s="47" t="s">
        <v>849</v>
      </c>
      <c r="C791" s="50" t="s">
        <v>850</v>
      </c>
      <c r="D791" s="50" t="s">
        <v>2064</v>
      </c>
      <c r="E791" s="50" t="s">
        <v>2196</v>
      </c>
      <c r="F791" s="51">
        <v>0.01</v>
      </c>
      <c r="G791" s="51">
        <v>0.01</v>
      </c>
      <c r="H791" s="51">
        <v>0</v>
      </c>
      <c r="I791" s="52">
        <v>0</v>
      </c>
      <c r="J791" s="50" t="s">
        <v>1786</v>
      </c>
    </row>
    <row r="792" spans="2:10" ht="15" customHeight="1">
      <c r="B792" s="47" t="s">
        <v>851</v>
      </c>
      <c r="C792" s="50" t="s">
        <v>852</v>
      </c>
      <c r="D792" s="50" t="s">
        <v>2064</v>
      </c>
      <c r="E792" s="50" t="s">
        <v>2196</v>
      </c>
      <c r="F792" s="51">
        <v>0.01</v>
      </c>
      <c r="G792" s="51">
        <v>0.01</v>
      </c>
      <c r="H792" s="51">
        <v>0</v>
      </c>
      <c r="I792" s="52">
        <v>0</v>
      </c>
      <c r="J792" s="50" t="s">
        <v>1786</v>
      </c>
    </row>
    <row r="793" spans="2:10" ht="15" customHeight="1">
      <c r="B793" s="47" t="s">
        <v>853</v>
      </c>
      <c r="C793" s="50" t="s">
        <v>854</v>
      </c>
      <c r="D793" s="50" t="s">
        <v>2066</v>
      </c>
      <c r="E793" s="50" t="s">
        <v>2196</v>
      </c>
      <c r="F793" s="51">
        <v>96.72635090386612</v>
      </c>
      <c r="G793" s="51">
        <v>97.152150903866115</v>
      </c>
      <c r="H793" s="51">
        <v>18.64</v>
      </c>
      <c r="I793" s="52">
        <v>166</v>
      </c>
      <c r="J793" s="50" t="s">
        <v>19</v>
      </c>
    </row>
    <row r="794" spans="2:10" ht="15" customHeight="1">
      <c r="B794" s="47" t="s">
        <v>855</v>
      </c>
      <c r="C794" s="50" t="s">
        <v>856</v>
      </c>
      <c r="D794" s="50" t="s">
        <v>2066</v>
      </c>
      <c r="E794" s="50" t="s">
        <v>2196</v>
      </c>
      <c r="F794" s="51">
        <v>35.632168761972409</v>
      </c>
      <c r="G794" s="51">
        <v>37.098868761972412</v>
      </c>
      <c r="H794" s="51">
        <v>19.059999999999999</v>
      </c>
      <c r="I794" s="52">
        <v>3468</v>
      </c>
      <c r="J794" s="50" t="s">
        <v>19</v>
      </c>
    </row>
    <row r="795" spans="2:10" ht="15" customHeight="1">
      <c r="B795" s="47" t="s">
        <v>857</v>
      </c>
      <c r="C795" s="50" t="s">
        <v>858</v>
      </c>
      <c r="D795" s="50" t="s">
        <v>2064</v>
      </c>
      <c r="E795" s="50" t="s">
        <v>2196</v>
      </c>
      <c r="F795" s="51">
        <v>11898.67</v>
      </c>
      <c r="G795" s="51">
        <v>11898.67</v>
      </c>
      <c r="H795" s="51">
        <v>0</v>
      </c>
      <c r="I795" s="52">
        <v>0</v>
      </c>
      <c r="J795" s="50" t="s">
        <v>1786</v>
      </c>
    </row>
    <row r="796" spans="2:10" ht="15" customHeight="1">
      <c r="B796" s="47" t="s">
        <v>1580</v>
      </c>
      <c r="C796" s="50" t="s">
        <v>1581</v>
      </c>
      <c r="D796" s="50" t="s">
        <v>2066</v>
      </c>
      <c r="E796" s="50" t="s">
        <v>2095</v>
      </c>
      <c r="F796" s="51">
        <v>100</v>
      </c>
      <c r="G796" s="51">
        <v>106.19280000000001</v>
      </c>
      <c r="H796" s="51">
        <v>7.08</v>
      </c>
      <c r="I796" s="52">
        <v>2176</v>
      </c>
      <c r="J796" s="50" t="s">
        <v>19</v>
      </c>
    </row>
    <row r="797" spans="2:10" ht="15" customHeight="1">
      <c r="B797" s="47" t="s">
        <v>859</v>
      </c>
      <c r="C797" s="50" t="s">
        <v>860</v>
      </c>
      <c r="D797" s="50" t="s">
        <v>2066</v>
      </c>
      <c r="E797" s="50" t="s">
        <v>2095</v>
      </c>
      <c r="F797" s="51">
        <v>100</v>
      </c>
      <c r="G797" s="51">
        <v>100.4575</v>
      </c>
      <c r="H797" s="51">
        <v>6.09</v>
      </c>
      <c r="I797" s="52">
        <v>2103</v>
      </c>
      <c r="J797" s="50" t="s">
        <v>19</v>
      </c>
    </row>
    <row r="798" spans="2:10" ht="15" customHeight="1">
      <c r="B798" s="47" t="s">
        <v>861</v>
      </c>
      <c r="C798" s="50" t="s">
        <v>862</v>
      </c>
      <c r="D798" s="50" t="s">
        <v>2066</v>
      </c>
      <c r="E798" s="50" t="s">
        <v>2095</v>
      </c>
      <c r="F798" s="51">
        <v>100</v>
      </c>
      <c r="G798" s="51">
        <v>105.4053</v>
      </c>
      <c r="H798" s="51">
        <v>6.09</v>
      </c>
      <c r="I798" s="52">
        <v>2531</v>
      </c>
      <c r="J798" s="50" t="s">
        <v>19</v>
      </c>
    </row>
    <row r="799" spans="2:10" ht="15" customHeight="1">
      <c r="B799" s="47" t="s">
        <v>863</v>
      </c>
      <c r="C799" s="50" t="s">
        <v>864</v>
      </c>
      <c r="D799" s="50" t="s">
        <v>2066</v>
      </c>
      <c r="E799" s="50" t="s">
        <v>2095</v>
      </c>
      <c r="F799" s="51">
        <v>100</v>
      </c>
      <c r="G799" s="51">
        <v>105.4053</v>
      </c>
      <c r="H799" s="51">
        <v>6.09</v>
      </c>
      <c r="I799" s="52">
        <v>2531</v>
      </c>
      <c r="J799" s="50" t="s">
        <v>19</v>
      </c>
    </row>
    <row r="800" spans="2:10" ht="15" customHeight="1">
      <c r="B800" s="47" t="s">
        <v>865</v>
      </c>
      <c r="C800" s="50" t="s">
        <v>866</v>
      </c>
      <c r="D800" s="50" t="s">
        <v>2066</v>
      </c>
      <c r="E800" s="50" t="s">
        <v>2095</v>
      </c>
      <c r="F800" s="51">
        <v>100</v>
      </c>
      <c r="G800" s="51">
        <v>104.27</v>
      </c>
      <c r="H800" s="51">
        <v>6.08</v>
      </c>
      <c r="I800" s="52">
        <v>2598</v>
      </c>
      <c r="J800" s="50" t="s">
        <v>19</v>
      </c>
    </row>
    <row r="801" spans="2:10" ht="15" customHeight="1">
      <c r="B801" s="47" t="s">
        <v>1455</v>
      </c>
      <c r="C801" s="50" t="s">
        <v>1456</v>
      </c>
      <c r="D801" s="50" t="s">
        <v>2064</v>
      </c>
      <c r="E801" s="50" t="s">
        <v>1457</v>
      </c>
      <c r="F801" s="51">
        <v>95689.779600000023</v>
      </c>
      <c r="G801" s="51">
        <v>95689.779600000023</v>
      </c>
      <c r="H801" s="51">
        <v>0</v>
      </c>
      <c r="I801" s="52">
        <v>0</v>
      </c>
      <c r="J801" s="50" t="s">
        <v>1786</v>
      </c>
    </row>
    <row r="802" spans="2:10" ht="15" customHeight="1">
      <c r="B802" s="47" t="s">
        <v>867</v>
      </c>
      <c r="C802" s="50" t="s">
        <v>868</v>
      </c>
      <c r="D802" s="50" t="s">
        <v>2066</v>
      </c>
      <c r="E802" s="50" t="s">
        <v>2197</v>
      </c>
      <c r="F802" s="51">
        <v>101.46334962703571</v>
      </c>
      <c r="G802" s="51">
        <v>105.03004962703572</v>
      </c>
      <c r="H802" s="51">
        <v>5.71</v>
      </c>
      <c r="I802" s="52">
        <v>2306</v>
      </c>
      <c r="J802" s="50" t="s">
        <v>19</v>
      </c>
    </row>
    <row r="803" spans="2:10" ht="15" customHeight="1">
      <c r="B803" s="47" t="s">
        <v>1102</v>
      </c>
      <c r="C803" s="50" t="s">
        <v>1103</v>
      </c>
      <c r="D803" s="50" t="s">
        <v>2066</v>
      </c>
      <c r="E803" s="50" t="s">
        <v>2198</v>
      </c>
      <c r="F803" s="51">
        <v>106.133</v>
      </c>
      <c r="G803" s="51">
        <v>106.7997</v>
      </c>
      <c r="H803" s="51">
        <v>4.2699999999999996</v>
      </c>
      <c r="I803" s="52">
        <v>1400</v>
      </c>
      <c r="J803" s="50" t="s">
        <v>19</v>
      </c>
    </row>
    <row r="804" spans="2:10" ht="15" customHeight="1">
      <c r="B804" s="47" t="s">
        <v>1791</v>
      </c>
      <c r="C804" s="50" t="s">
        <v>1792</v>
      </c>
      <c r="D804" s="50" t="s">
        <v>2066</v>
      </c>
      <c r="E804" s="50" t="s">
        <v>2199</v>
      </c>
      <c r="F804" s="51">
        <v>99.994868771775316</v>
      </c>
      <c r="G804" s="51">
        <v>101.56566877177531</v>
      </c>
      <c r="H804" s="51">
        <v>19.52</v>
      </c>
      <c r="I804" s="52">
        <v>91</v>
      </c>
      <c r="J804" s="50" t="s">
        <v>19</v>
      </c>
    </row>
    <row r="805" spans="2:10" ht="15" customHeight="1">
      <c r="B805" s="47" t="s">
        <v>1885</v>
      </c>
      <c r="C805" s="50" t="s">
        <v>1886</v>
      </c>
      <c r="D805" s="50" t="s">
        <v>2066</v>
      </c>
      <c r="E805" s="50" t="s">
        <v>2199</v>
      </c>
      <c r="F805" s="51">
        <v>100.16073732405221</v>
      </c>
      <c r="G805" s="51">
        <v>100.5496373240522</v>
      </c>
      <c r="H805" s="51">
        <v>19.64</v>
      </c>
      <c r="I805" s="52">
        <v>173</v>
      </c>
      <c r="J805" s="50" t="s">
        <v>19</v>
      </c>
    </row>
    <row r="806" spans="2:10" ht="15" customHeight="1">
      <c r="B806" s="47" t="s">
        <v>1946</v>
      </c>
      <c r="C806" s="50" t="s">
        <v>1947</v>
      </c>
      <c r="D806" s="50" t="s">
        <v>2066</v>
      </c>
      <c r="E806" s="50" t="s">
        <v>2199</v>
      </c>
      <c r="F806" s="51">
        <v>100.11880246341539</v>
      </c>
      <c r="G806" s="51">
        <v>101.17440246341539</v>
      </c>
      <c r="H806" s="51">
        <v>19.79</v>
      </c>
      <c r="I806" s="52">
        <v>221</v>
      </c>
      <c r="J806" s="50" t="s">
        <v>19</v>
      </c>
    </row>
    <row r="807" spans="2:10" ht="15" customHeight="1">
      <c r="B807" s="47" t="s">
        <v>1795</v>
      </c>
      <c r="C807" s="50" t="s">
        <v>1796</v>
      </c>
      <c r="D807" s="50" t="s">
        <v>2064</v>
      </c>
      <c r="E807" s="50" t="s">
        <v>1797</v>
      </c>
      <c r="F807" s="51">
        <v>180449.43020000003</v>
      </c>
      <c r="G807" s="51">
        <v>180449.43020000003</v>
      </c>
      <c r="H807" s="51">
        <v>0</v>
      </c>
      <c r="I807" s="52">
        <v>0</v>
      </c>
      <c r="J807" s="50" t="s">
        <v>1786</v>
      </c>
    </row>
    <row r="808" spans="2:10" ht="15" customHeight="1">
      <c r="B808" s="47" t="s">
        <v>869</v>
      </c>
      <c r="C808" s="50" t="s">
        <v>870</v>
      </c>
      <c r="D808" s="50" t="s">
        <v>2066</v>
      </c>
      <c r="E808" s="50" t="s">
        <v>2200</v>
      </c>
      <c r="F808" s="51">
        <v>85.939433530059191</v>
      </c>
      <c r="G808" s="51">
        <v>94.6623335300592</v>
      </c>
      <c r="H808" s="51">
        <v>23.67</v>
      </c>
      <c r="I808" s="52">
        <v>3144</v>
      </c>
      <c r="J808" s="50" t="s">
        <v>19</v>
      </c>
    </row>
    <row r="809" spans="2:10" ht="15" customHeight="1">
      <c r="B809" s="47" t="s">
        <v>871</v>
      </c>
      <c r="C809" s="50" t="s">
        <v>872</v>
      </c>
      <c r="D809" s="50" t="s">
        <v>2066</v>
      </c>
      <c r="E809" s="50" t="s">
        <v>2201</v>
      </c>
      <c r="F809" s="51">
        <v>94.876571878823469</v>
      </c>
      <c r="G809" s="51">
        <v>96.422371878823469</v>
      </c>
      <c r="H809" s="51">
        <v>17.149999999999999</v>
      </c>
      <c r="I809" s="52">
        <v>307</v>
      </c>
      <c r="J809" s="50" t="s">
        <v>19</v>
      </c>
    </row>
    <row r="810" spans="2:10" ht="15" customHeight="1">
      <c r="B810" s="47" t="s">
        <v>873</v>
      </c>
      <c r="C810" s="50" t="s">
        <v>874</v>
      </c>
      <c r="D810" s="50" t="s">
        <v>2066</v>
      </c>
      <c r="E810" s="50" t="s">
        <v>2201</v>
      </c>
      <c r="F810" s="51">
        <v>88.45535739170208</v>
      </c>
      <c r="G810" s="51">
        <v>92.363657391702077</v>
      </c>
      <c r="H810" s="51">
        <v>17.18</v>
      </c>
      <c r="I810" s="52">
        <v>766</v>
      </c>
      <c r="J810" s="50" t="s">
        <v>19</v>
      </c>
    </row>
    <row r="811" spans="2:10" ht="15" customHeight="1">
      <c r="B811" s="47" t="s">
        <v>1423</v>
      </c>
      <c r="C811" s="50" t="s">
        <v>1424</v>
      </c>
      <c r="D811" s="50" t="s">
        <v>2064</v>
      </c>
      <c r="E811" s="50" t="s">
        <v>1425</v>
      </c>
      <c r="F811" s="51">
        <v>24541.639400000004</v>
      </c>
      <c r="G811" s="51">
        <v>24541.639400000004</v>
      </c>
      <c r="H811" s="51">
        <v>0</v>
      </c>
      <c r="I811" s="52">
        <v>0</v>
      </c>
      <c r="J811" s="50" t="s">
        <v>1786</v>
      </c>
    </row>
    <row r="812" spans="2:10" ht="15" customHeight="1">
      <c r="B812" s="47" t="s">
        <v>875</v>
      </c>
      <c r="C812" s="50" t="s">
        <v>876</v>
      </c>
      <c r="D812" s="50" t="s">
        <v>2066</v>
      </c>
      <c r="E812" s="50" t="s">
        <v>2202</v>
      </c>
      <c r="F812" s="51">
        <v>100</v>
      </c>
      <c r="G812" s="51">
        <v>100.13890000000001</v>
      </c>
      <c r="H812" s="51">
        <v>10</v>
      </c>
      <c r="I812" s="52">
        <v>355</v>
      </c>
      <c r="J812" s="50" t="s">
        <v>19</v>
      </c>
    </row>
    <row r="813" spans="2:10" ht="15" customHeight="1">
      <c r="B813" s="47" t="s">
        <v>1175</v>
      </c>
      <c r="C813" s="50" t="s">
        <v>1176</v>
      </c>
      <c r="D813" s="50" t="s">
        <v>2066</v>
      </c>
      <c r="E813" s="50" t="s">
        <v>2203</v>
      </c>
      <c r="F813" s="51">
        <v>100.675</v>
      </c>
      <c r="G813" s="51">
        <v>100.8583</v>
      </c>
      <c r="H813" s="51">
        <v>3.76</v>
      </c>
      <c r="I813" s="52">
        <v>704</v>
      </c>
      <c r="J813" s="50" t="s">
        <v>19</v>
      </c>
    </row>
    <row r="814" spans="2:10" ht="15" customHeight="1">
      <c r="B814" s="47" t="s">
        <v>1113</v>
      </c>
      <c r="C814" s="50" t="s">
        <v>1114</v>
      </c>
      <c r="D814" s="50" t="s">
        <v>2066</v>
      </c>
      <c r="E814" s="50" t="s">
        <v>2203</v>
      </c>
      <c r="F814" s="51">
        <v>99.243771377799305</v>
      </c>
      <c r="G814" s="51">
        <v>99.562671377799305</v>
      </c>
      <c r="H814" s="51">
        <v>4.49</v>
      </c>
      <c r="I814" s="52">
        <v>132</v>
      </c>
      <c r="J814" s="50" t="s">
        <v>19</v>
      </c>
    </row>
    <row r="815" spans="2:10" ht="15" customHeight="1">
      <c r="B815" s="47" t="s">
        <v>1464</v>
      </c>
      <c r="C815" s="50" t="s">
        <v>1465</v>
      </c>
      <c r="D815" s="50" t="s">
        <v>2064</v>
      </c>
      <c r="E815" s="50" t="s">
        <v>1466</v>
      </c>
      <c r="F815" s="51">
        <v>13188.842850000003</v>
      </c>
      <c r="G815" s="51">
        <v>13188.842850000003</v>
      </c>
      <c r="H815" s="51">
        <v>0</v>
      </c>
      <c r="I815" s="52">
        <v>0</v>
      </c>
      <c r="J815" s="50" t="s">
        <v>1786</v>
      </c>
    </row>
    <row r="816" spans="2:10" ht="15" customHeight="1">
      <c r="B816" s="47" t="s">
        <v>1904</v>
      </c>
      <c r="C816" s="50" t="s">
        <v>1449</v>
      </c>
      <c r="D816" s="50" t="s">
        <v>2110</v>
      </c>
      <c r="E816" s="50" t="s">
        <v>1345</v>
      </c>
      <c r="F816" s="51">
        <v>38425.056950000006</v>
      </c>
      <c r="G816" s="51">
        <v>38425.056950000006</v>
      </c>
      <c r="H816" s="51">
        <v>0</v>
      </c>
      <c r="I816" s="52">
        <v>0</v>
      </c>
      <c r="J816" s="50" t="s">
        <v>1786</v>
      </c>
    </row>
    <row r="817" spans="2:10" ht="15" customHeight="1">
      <c r="B817" s="47" t="s">
        <v>877</v>
      </c>
      <c r="C817" s="50" t="s">
        <v>878</v>
      </c>
      <c r="D817" s="50" t="s">
        <v>2064</v>
      </c>
      <c r="E817" s="50" t="s">
        <v>2204</v>
      </c>
      <c r="F817" s="51">
        <v>0.01</v>
      </c>
      <c r="G817" s="51">
        <v>0.01</v>
      </c>
      <c r="H817" s="51">
        <v>0</v>
      </c>
      <c r="I817" s="52">
        <v>0</v>
      </c>
      <c r="J817" s="50" t="s">
        <v>1786</v>
      </c>
    </row>
    <row r="818" spans="2:10" ht="15" customHeight="1">
      <c r="B818" s="47" t="s">
        <v>1241</v>
      </c>
      <c r="C818" s="50" t="s">
        <v>1242</v>
      </c>
      <c r="D818" s="50" t="s">
        <v>2066</v>
      </c>
      <c r="E818" s="50" t="s">
        <v>2205</v>
      </c>
      <c r="F818" s="51">
        <v>98.838999999999999</v>
      </c>
      <c r="G818" s="51">
        <v>99.4328</v>
      </c>
      <c r="H818" s="51">
        <v>4.12</v>
      </c>
      <c r="I818" s="52">
        <v>1203</v>
      </c>
      <c r="J818" s="50" t="s">
        <v>19</v>
      </c>
    </row>
    <row r="819" spans="2:10" ht="15" customHeight="1">
      <c r="B819" s="47" t="s">
        <v>1155</v>
      </c>
      <c r="C819" s="50" t="s">
        <v>1156</v>
      </c>
      <c r="D819" s="50" t="s">
        <v>2066</v>
      </c>
      <c r="E819" s="50" t="s">
        <v>2205</v>
      </c>
      <c r="F819" s="51">
        <v>97.519000000000005</v>
      </c>
      <c r="G819" s="51">
        <v>97.8523</v>
      </c>
      <c r="H819" s="51">
        <v>4.0999999999999996</v>
      </c>
      <c r="I819" s="52">
        <v>860</v>
      </c>
      <c r="J819" s="50" t="s">
        <v>19</v>
      </c>
    </row>
    <row r="820" spans="2:10" ht="15" customHeight="1">
      <c r="B820" s="47" t="s">
        <v>879</v>
      </c>
      <c r="C820" s="50" t="s">
        <v>880</v>
      </c>
      <c r="D820" s="50" t="s">
        <v>2066</v>
      </c>
      <c r="E820" s="50" t="s">
        <v>2206</v>
      </c>
      <c r="F820" s="51">
        <v>100</v>
      </c>
      <c r="G820" s="51">
        <v>100.9333</v>
      </c>
      <c r="H820" s="51">
        <v>14</v>
      </c>
      <c r="I820" s="52">
        <v>1866</v>
      </c>
      <c r="J820" s="50" t="s">
        <v>19</v>
      </c>
    </row>
    <row r="821" spans="2:10" ht="15" customHeight="1">
      <c r="B821" s="47" t="s">
        <v>1879</v>
      </c>
      <c r="C821" s="50" t="s">
        <v>1880</v>
      </c>
      <c r="D821" s="50" t="s">
        <v>2066</v>
      </c>
      <c r="E821" s="50" t="s">
        <v>2207</v>
      </c>
      <c r="F821" s="51">
        <v>99.62912304545172</v>
      </c>
      <c r="G821" s="51">
        <v>101.32912304545172</v>
      </c>
      <c r="H821" s="51">
        <v>18.420000000000002</v>
      </c>
      <c r="I821" s="52">
        <v>326</v>
      </c>
      <c r="J821" s="50" t="s">
        <v>19</v>
      </c>
    </row>
    <row r="822" spans="2:10" ht="15" customHeight="1">
      <c r="B822" s="47" t="s">
        <v>1881</v>
      </c>
      <c r="C822" s="50" t="s">
        <v>1882</v>
      </c>
      <c r="D822" s="50" t="s">
        <v>2066</v>
      </c>
      <c r="E822" s="50" t="s">
        <v>2207</v>
      </c>
      <c r="F822" s="51">
        <v>99.62912304545172</v>
      </c>
      <c r="G822" s="51">
        <v>101.32912304545172</v>
      </c>
      <c r="H822" s="51">
        <v>18.420000000000002</v>
      </c>
      <c r="I822" s="52">
        <v>326</v>
      </c>
      <c r="J822" s="50" t="s">
        <v>19</v>
      </c>
    </row>
    <row r="823" spans="2:10" ht="15" customHeight="1">
      <c r="B823" s="47" t="s">
        <v>1643</v>
      </c>
      <c r="C823" s="50" t="s">
        <v>1644</v>
      </c>
      <c r="D823" s="50" t="s">
        <v>2066</v>
      </c>
      <c r="E823" s="50" t="s">
        <v>2208</v>
      </c>
      <c r="F823" s="51">
        <v>100</v>
      </c>
      <c r="G823" s="51">
        <v>100.23609999999999</v>
      </c>
      <c r="H823" s="51">
        <v>4.24</v>
      </c>
      <c r="I823" s="52">
        <v>280</v>
      </c>
      <c r="J823" s="50" t="s">
        <v>19</v>
      </c>
    </row>
    <row r="824" spans="2:10" ht="15" customHeight="1">
      <c r="B824" s="47" t="s">
        <v>1582</v>
      </c>
      <c r="C824" s="50" t="s">
        <v>1583</v>
      </c>
      <c r="D824" s="50" t="s">
        <v>2066</v>
      </c>
      <c r="E824" s="50" t="s">
        <v>2208</v>
      </c>
      <c r="F824" s="51">
        <v>100</v>
      </c>
      <c r="G824" s="51">
        <v>100.0992</v>
      </c>
      <c r="H824" s="51">
        <v>0.35</v>
      </c>
      <c r="I824" s="52">
        <v>78</v>
      </c>
      <c r="J824" s="50" t="s">
        <v>19</v>
      </c>
    </row>
    <row r="825" spans="2:10" ht="15" customHeight="1">
      <c r="B825" s="47" t="s">
        <v>881</v>
      </c>
      <c r="C825" s="50" t="s">
        <v>882</v>
      </c>
      <c r="D825" s="50" t="s">
        <v>2066</v>
      </c>
      <c r="E825" s="50" t="s">
        <v>2208</v>
      </c>
      <c r="F825" s="51">
        <v>100</v>
      </c>
      <c r="G825" s="51">
        <v>100.09529999999999</v>
      </c>
      <c r="H825" s="51">
        <v>0.35</v>
      </c>
      <c r="I825" s="52">
        <v>262</v>
      </c>
      <c r="J825" s="50" t="s">
        <v>19</v>
      </c>
    </row>
    <row r="826" spans="2:10" ht="15" customHeight="1">
      <c r="B826" s="47" t="s">
        <v>2011</v>
      </c>
      <c r="C826" s="50" t="s">
        <v>2012</v>
      </c>
      <c r="D826" s="50" t="s">
        <v>2066</v>
      </c>
      <c r="E826" s="50" t="s">
        <v>2208</v>
      </c>
      <c r="F826" s="51">
        <v>100</v>
      </c>
      <c r="G826" s="51">
        <v>100.1011</v>
      </c>
      <c r="H826" s="51">
        <v>0.35</v>
      </c>
      <c r="I826" s="52">
        <v>616</v>
      </c>
      <c r="J826" s="50" t="s">
        <v>19</v>
      </c>
    </row>
    <row r="827" spans="2:10" ht="15" customHeight="1">
      <c r="B827" s="47" t="s">
        <v>1488</v>
      </c>
      <c r="C827" s="50" t="s">
        <v>1489</v>
      </c>
      <c r="D827" s="50" t="s">
        <v>2066</v>
      </c>
      <c r="E827" s="50" t="s">
        <v>2208</v>
      </c>
      <c r="F827" s="51">
        <v>100</v>
      </c>
      <c r="G827" s="51">
        <v>100.002</v>
      </c>
      <c r="H827" s="51">
        <v>0.02</v>
      </c>
      <c r="I827" s="52">
        <v>3079</v>
      </c>
      <c r="J827" s="50" t="s">
        <v>19</v>
      </c>
    </row>
    <row r="828" spans="2:10" ht="15" customHeight="1">
      <c r="B828" s="47" t="s">
        <v>883</v>
      </c>
      <c r="C828" s="50" t="s">
        <v>884</v>
      </c>
      <c r="D828" s="50" t="s">
        <v>2066</v>
      </c>
      <c r="E828" s="50" t="s">
        <v>2208</v>
      </c>
      <c r="F828" s="51">
        <v>100</v>
      </c>
      <c r="G828" s="51">
        <v>101.2878</v>
      </c>
      <c r="H828" s="51">
        <v>6.08</v>
      </c>
      <c r="I828" s="52">
        <v>1694</v>
      </c>
      <c r="J828" s="50" t="s">
        <v>19</v>
      </c>
    </row>
    <row r="829" spans="2:10" ht="15" customHeight="1">
      <c r="B829" s="47" t="s">
        <v>1584</v>
      </c>
      <c r="C829" s="50" t="s">
        <v>1585</v>
      </c>
      <c r="D829" s="50" t="s">
        <v>2066</v>
      </c>
      <c r="E829" s="50" t="s">
        <v>2208</v>
      </c>
      <c r="F829" s="51">
        <v>100</v>
      </c>
      <c r="G829" s="51">
        <v>106.19280000000001</v>
      </c>
      <c r="H829" s="51">
        <v>7.08</v>
      </c>
      <c r="I829" s="52">
        <v>2176</v>
      </c>
      <c r="J829" s="50" t="s">
        <v>19</v>
      </c>
    </row>
    <row r="830" spans="2:10" ht="15" customHeight="1">
      <c r="B830" s="47" t="s">
        <v>2300</v>
      </c>
      <c r="C830" s="50" t="s">
        <v>2301</v>
      </c>
      <c r="D830" s="50" t="s">
        <v>2066</v>
      </c>
      <c r="E830" s="50" t="s">
        <v>2208</v>
      </c>
      <c r="F830" s="51">
        <v>90.446612355378647</v>
      </c>
      <c r="G830" s="51">
        <v>93.126012355378649</v>
      </c>
      <c r="H830" s="51">
        <v>20.48</v>
      </c>
      <c r="I830" s="52">
        <v>3547</v>
      </c>
      <c r="J830" s="50" t="s">
        <v>19</v>
      </c>
    </row>
    <row r="831" spans="2:10" ht="15" customHeight="1">
      <c r="B831" s="47" t="s">
        <v>2423</v>
      </c>
      <c r="C831" s="50" t="s">
        <v>2424</v>
      </c>
      <c r="D831" s="50" t="s">
        <v>2066</v>
      </c>
      <c r="E831" s="50" t="s">
        <v>2208</v>
      </c>
      <c r="F831" s="51">
        <v>93.393427164022029</v>
      </c>
      <c r="G831" s="51">
        <v>93.865927164022025</v>
      </c>
      <c r="H831" s="51">
        <v>20.49</v>
      </c>
      <c r="I831" s="52">
        <v>3591</v>
      </c>
      <c r="J831" s="50" t="s">
        <v>19</v>
      </c>
    </row>
    <row r="832" spans="2:10" ht="15" customHeight="1">
      <c r="B832" s="47" t="s">
        <v>885</v>
      </c>
      <c r="C832" s="50" t="s">
        <v>886</v>
      </c>
      <c r="D832" s="50" t="s">
        <v>2066</v>
      </c>
      <c r="E832" s="50" t="s">
        <v>2208</v>
      </c>
      <c r="F832" s="51">
        <v>100</v>
      </c>
      <c r="G832" s="51">
        <v>100.4575</v>
      </c>
      <c r="H832" s="51">
        <v>6.09</v>
      </c>
      <c r="I832" s="52">
        <v>2103</v>
      </c>
      <c r="J832" s="50" t="s">
        <v>19</v>
      </c>
    </row>
    <row r="833" spans="2:10" ht="15" customHeight="1">
      <c r="B833" s="47" t="s">
        <v>887</v>
      </c>
      <c r="C833" s="50" t="s">
        <v>888</v>
      </c>
      <c r="D833" s="50" t="s">
        <v>2066</v>
      </c>
      <c r="E833" s="50" t="s">
        <v>2208</v>
      </c>
      <c r="F833" s="51">
        <v>100</v>
      </c>
      <c r="G833" s="51">
        <v>105.4053</v>
      </c>
      <c r="H833" s="51">
        <v>6.09</v>
      </c>
      <c r="I833" s="52">
        <v>2531</v>
      </c>
      <c r="J833" s="50" t="s">
        <v>19</v>
      </c>
    </row>
    <row r="834" spans="2:10" ht="15" customHeight="1">
      <c r="B834" s="47" t="s">
        <v>889</v>
      </c>
      <c r="C834" s="50" t="s">
        <v>890</v>
      </c>
      <c r="D834" s="50" t="s">
        <v>2066</v>
      </c>
      <c r="E834" s="50" t="s">
        <v>2208</v>
      </c>
      <c r="F834" s="51">
        <v>100</v>
      </c>
      <c r="G834" s="51">
        <v>105.4053</v>
      </c>
      <c r="H834" s="51">
        <v>6.09</v>
      </c>
      <c r="I834" s="52">
        <v>2531</v>
      </c>
      <c r="J834" s="50" t="s">
        <v>19</v>
      </c>
    </row>
    <row r="835" spans="2:10" ht="15" customHeight="1">
      <c r="B835" s="47" t="s">
        <v>891</v>
      </c>
      <c r="C835" s="50" t="s">
        <v>892</v>
      </c>
      <c r="D835" s="50" t="s">
        <v>2066</v>
      </c>
      <c r="E835" s="50" t="s">
        <v>2208</v>
      </c>
      <c r="F835" s="51">
        <v>100</v>
      </c>
      <c r="G835" s="51">
        <v>104.27</v>
      </c>
      <c r="H835" s="51">
        <v>6.08</v>
      </c>
      <c r="I835" s="52">
        <v>2598</v>
      </c>
      <c r="J835" s="50" t="s">
        <v>19</v>
      </c>
    </row>
    <row r="836" spans="2:10" ht="15" customHeight="1">
      <c r="B836" s="47" t="s">
        <v>1283</v>
      </c>
      <c r="C836" s="50" t="s">
        <v>1284</v>
      </c>
      <c r="D836" s="50" t="s">
        <v>2064</v>
      </c>
      <c r="E836" s="50" t="s">
        <v>1285</v>
      </c>
      <c r="F836" s="51">
        <v>35975.200450000004</v>
      </c>
      <c r="G836" s="51">
        <v>35975.200450000004</v>
      </c>
      <c r="H836" s="51">
        <v>0</v>
      </c>
      <c r="I836" s="52">
        <v>0</v>
      </c>
      <c r="J836" s="50" t="s">
        <v>1786</v>
      </c>
    </row>
    <row r="837" spans="2:10" ht="15" customHeight="1">
      <c r="B837" s="47" t="s">
        <v>893</v>
      </c>
      <c r="C837" s="50" t="s">
        <v>894</v>
      </c>
      <c r="D837" s="50" t="s">
        <v>2064</v>
      </c>
      <c r="E837" s="50" t="s">
        <v>2209</v>
      </c>
      <c r="F837" s="51">
        <v>0.01</v>
      </c>
      <c r="G837" s="51">
        <v>0.01</v>
      </c>
      <c r="H837" s="51">
        <v>0</v>
      </c>
      <c r="I837" s="52">
        <v>0</v>
      </c>
      <c r="J837" s="50" t="s">
        <v>1786</v>
      </c>
    </row>
    <row r="838" spans="2:10" ht="15" customHeight="1">
      <c r="B838" s="47" t="s">
        <v>1243</v>
      </c>
      <c r="C838" s="50" t="s">
        <v>1244</v>
      </c>
      <c r="D838" s="50" t="s">
        <v>2066</v>
      </c>
      <c r="E838" s="50" t="s">
        <v>2210</v>
      </c>
      <c r="F838" s="51">
        <v>99.29117554944014</v>
      </c>
      <c r="G838" s="51">
        <v>100.18497554944014</v>
      </c>
      <c r="H838" s="51">
        <v>4.25</v>
      </c>
      <c r="I838" s="52">
        <v>261</v>
      </c>
      <c r="J838" s="50" t="s">
        <v>19</v>
      </c>
    </row>
    <row r="839" spans="2:10" ht="15" customHeight="1">
      <c r="B839" s="47" t="s">
        <v>1237</v>
      </c>
      <c r="C839" s="50" t="s">
        <v>1238</v>
      </c>
      <c r="D839" s="50" t="s">
        <v>2066</v>
      </c>
      <c r="E839" s="50" t="s">
        <v>2210</v>
      </c>
      <c r="F839" s="51">
        <v>99.385999999999996</v>
      </c>
      <c r="G839" s="51">
        <v>100.8964</v>
      </c>
      <c r="H839" s="51">
        <v>3.9</v>
      </c>
      <c r="I839" s="52">
        <v>1655</v>
      </c>
      <c r="J839" s="50" t="s">
        <v>19</v>
      </c>
    </row>
    <row r="840" spans="2:10" ht="15" customHeight="1">
      <c r="B840" s="47" t="s">
        <v>1147</v>
      </c>
      <c r="C840" s="50" t="s">
        <v>1148</v>
      </c>
      <c r="D840" s="50" t="s">
        <v>2066</v>
      </c>
      <c r="E840" s="50" t="s">
        <v>2210</v>
      </c>
      <c r="F840" s="51">
        <v>100.3</v>
      </c>
      <c r="G840" s="51">
        <v>102.2667</v>
      </c>
      <c r="H840" s="51">
        <v>3.91</v>
      </c>
      <c r="I840" s="52">
        <v>1263</v>
      </c>
      <c r="J840" s="50" t="s">
        <v>19</v>
      </c>
    </row>
    <row r="841" spans="2:10" ht="15" customHeight="1">
      <c r="B841" s="47" t="s">
        <v>1249</v>
      </c>
      <c r="C841" s="50" t="s">
        <v>1250</v>
      </c>
      <c r="D841" s="50" t="s">
        <v>2066</v>
      </c>
      <c r="E841" s="50" t="s">
        <v>2210</v>
      </c>
      <c r="F841" s="51">
        <v>101.56</v>
      </c>
      <c r="G841" s="51">
        <v>103.285</v>
      </c>
      <c r="H841" s="51">
        <v>3.87</v>
      </c>
      <c r="I841" s="52">
        <v>942</v>
      </c>
      <c r="J841" s="50" t="s">
        <v>19</v>
      </c>
    </row>
    <row r="842" spans="2:10" ht="15" customHeight="1">
      <c r="B842" s="47" t="s">
        <v>1321</v>
      </c>
      <c r="C842" s="50" t="s">
        <v>1322</v>
      </c>
      <c r="D842" s="50" t="s">
        <v>2064</v>
      </c>
      <c r="E842" s="50" t="s">
        <v>1323</v>
      </c>
      <c r="F842" s="51">
        <v>84724.652650000018</v>
      </c>
      <c r="G842" s="51">
        <v>84724.652650000018</v>
      </c>
      <c r="H842" s="51">
        <v>0</v>
      </c>
      <c r="I842" s="52">
        <v>0</v>
      </c>
      <c r="J842" s="50" t="s">
        <v>1786</v>
      </c>
    </row>
    <row r="843" spans="2:10" ht="15" customHeight="1">
      <c r="B843" s="47" t="s">
        <v>1343</v>
      </c>
      <c r="C843" s="50" t="s">
        <v>1344</v>
      </c>
      <c r="D843" s="50" t="s">
        <v>2110</v>
      </c>
      <c r="E843" s="50" t="s">
        <v>1345</v>
      </c>
      <c r="F843" s="51">
        <v>314015.06815000006</v>
      </c>
      <c r="G843" s="51">
        <v>314015.06815000006</v>
      </c>
      <c r="H843" s="51">
        <v>0</v>
      </c>
      <c r="I843" s="52">
        <v>0</v>
      </c>
      <c r="J843" s="50" t="s">
        <v>1786</v>
      </c>
    </row>
    <row r="844" spans="2:10" ht="15" customHeight="1">
      <c r="B844" s="47" t="s">
        <v>895</v>
      </c>
      <c r="C844" s="50" t="s">
        <v>896</v>
      </c>
      <c r="D844" s="50" t="s">
        <v>2064</v>
      </c>
      <c r="E844" s="50" t="s">
        <v>2211</v>
      </c>
      <c r="F844" s="51">
        <v>17000.39</v>
      </c>
      <c r="G844" s="51">
        <v>17000.39</v>
      </c>
      <c r="H844" s="51">
        <v>0</v>
      </c>
      <c r="I844" s="52">
        <v>0</v>
      </c>
      <c r="J844" s="50" t="s">
        <v>1786</v>
      </c>
    </row>
    <row r="845" spans="2:10" ht="15" customHeight="1">
      <c r="B845" s="47" t="s">
        <v>897</v>
      </c>
      <c r="C845" s="50" t="s">
        <v>898</v>
      </c>
      <c r="D845" s="50" t="s">
        <v>2066</v>
      </c>
      <c r="E845" s="50" t="s">
        <v>2212</v>
      </c>
      <c r="F845" s="51">
        <v>95.625583864999967</v>
      </c>
      <c r="G845" s="51">
        <v>102.79228386499997</v>
      </c>
      <c r="H845" s="51">
        <v>31.85</v>
      </c>
      <c r="I845" s="52">
        <v>1624</v>
      </c>
      <c r="J845" s="50" t="s">
        <v>19</v>
      </c>
    </row>
    <row r="846" spans="2:10" ht="15" customHeight="1">
      <c r="B846" s="47" t="s">
        <v>899</v>
      </c>
      <c r="C846" s="50" t="s">
        <v>900</v>
      </c>
      <c r="D846" s="50" t="s">
        <v>2066</v>
      </c>
      <c r="E846" s="50" t="s">
        <v>2213</v>
      </c>
      <c r="F846" s="51">
        <v>73.122920771365202</v>
      </c>
      <c r="G846" s="51">
        <v>78.067320771365203</v>
      </c>
      <c r="H846" s="51">
        <v>30.02</v>
      </c>
      <c r="I846" s="52">
        <v>2071</v>
      </c>
      <c r="J846" s="50" t="s">
        <v>19</v>
      </c>
    </row>
    <row r="847" spans="2:10" ht="15" customHeight="1">
      <c r="B847" s="47" t="s">
        <v>901</v>
      </c>
      <c r="C847" s="50" t="s">
        <v>902</v>
      </c>
      <c r="D847" s="50" t="s">
        <v>2066</v>
      </c>
      <c r="E847" s="50" t="s">
        <v>2213</v>
      </c>
      <c r="F847" s="51">
        <v>70.354880410309448</v>
      </c>
      <c r="G847" s="51">
        <v>75.410480410309447</v>
      </c>
      <c r="H847" s="51">
        <v>29.98</v>
      </c>
      <c r="I847" s="52">
        <v>2789</v>
      </c>
      <c r="J847" s="50" t="s">
        <v>19</v>
      </c>
    </row>
    <row r="848" spans="2:10" ht="15" customHeight="1">
      <c r="B848" s="47" t="s">
        <v>903</v>
      </c>
      <c r="C848" s="50" t="s">
        <v>904</v>
      </c>
      <c r="D848" s="50" t="s">
        <v>2064</v>
      </c>
      <c r="E848" s="50" t="s">
        <v>2214</v>
      </c>
      <c r="F848" s="51">
        <v>0.01</v>
      </c>
      <c r="G848" s="51">
        <v>0.01</v>
      </c>
      <c r="H848" s="51">
        <v>0</v>
      </c>
      <c r="I848" s="52">
        <v>0</v>
      </c>
      <c r="J848" s="50" t="s">
        <v>1786</v>
      </c>
    </row>
    <row r="849" spans="2:10" ht="15" customHeight="1">
      <c r="B849" s="47" t="s">
        <v>905</v>
      </c>
      <c r="C849" s="50" t="s">
        <v>906</v>
      </c>
      <c r="D849" s="50" t="s">
        <v>2064</v>
      </c>
      <c r="E849" s="50" t="s">
        <v>2214</v>
      </c>
      <c r="F849" s="51">
        <v>0.01</v>
      </c>
      <c r="G849" s="51">
        <v>0.01</v>
      </c>
      <c r="H849" s="51">
        <v>0</v>
      </c>
      <c r="I849" s="52">
        <v>0</v>
      </c>
      <c r="J849" s="50" t="s">
        <v>1786</v>
      </c>
    </row>
    <row r="850" spans="2:10" ht="15" customHeight="1">
      <c r="B850" s="47" t="s">
        <v>907</v>
      </c>
      <c r="C850" s="50" t="s">
        <v>908</v>
      </c>
      <c r="D850" s="50" t="s">
        <v>2064</v>
      </c>
      <c r="E850" s="50" t="s">
        <v>2215</v>
      </c>
      <c r="F850" s="51">
        <v>34400</v>
      </c>
      <c r="G850" s="51">
        <v>34400</v>
      </c>
      <c r="H850" s="51">
        <v>0</v>
      </c>
      <c r="I850" s="52">
        <v>0</v>
      </c>
      <c r="J850" s="50" t="s">
        <v>1786</v>
      </c>
    </row>
    <row r="851" spans="2:10" ht="15" customHeight="1">
      <c r="B851" s="47" t="s">
        <v>1586</v>
      </c>
      <c r="C851" s="50" t="s">
        <v>1587</v>
      </c>
      <c r="D851" s="50" t="s">
        <v>2064</v>
      </c>
      <c r="E851" s="50" t="s">
        <v>2215</v>
      </c>
      <c r="F851" s="51">
        <v>17800</v>
      </c>
      <c r="G851" s="51">
        <v>17800</v>
      </c>
      <c r="H851" s="51">
        <v>0</v>
      </c>
      <c r="I851" s="52">
        <v>0</v>
      </c>
      <c r="J851" s="50" t="s">
        <v>1786</v>
      </c>
    </row>
    <row r="852" spans="2:10" ht="15" customHeight="1">
      <c r="B852" s="47" t="s">
        <v>909</v>
      </c>
      <c r="C852" s="50" t="s">
        <v>910</v>
      </c>
      <c r="D852" s="50" t="s">
        <v>2064</v>
      </c>
      <c r="E852" s="50" t="s">
        <v>2216</v>
      </c>
      <c r="F852" s="51">
        <v>1000</v>
      </c>
      <c r="G852" s="51">
        <v>1000</v>
      </c>
      <c r="H852" s="51">
        <v>0</v>
      </c>
      <c r="I852" s="52">
        <v>225</v>
      </c>
      <c r="J852" s="50" t="s">
        <v>1786</v>
      </c>
    </row>
    <row r="853" spans="2:10" ht="15" customHeight="1">
      <c r="B853" s="47" t="s">
        <v>911</v>
      </c>
      <c r="C853" s="50" t="s">
        <v>912</v>
      </c>
      <c r="D853" s="50" t="s">
        <v>2064</v>
      </c>
      <c r="E853" s="50" t="s">
        <v>2217</v>
      </c>
      <c r="F853" s="51">
        <v>0.01</v>
      </c>
      <c r="G853" s="51">
        <v>0.01</v>
      </c>
      <c r="H853" s="51">
        <v>0</v>
      </c>
      <c r="I853" s="52">
        <v>0</v>
      </c>
      <c r="J853" s="50" t="s">
        <v>1786</v>
      </c>
    </row>
    <row r="854" spans="2:10" ht="15" customHeight="1">
      <c r="B854" s="47" t="s">
        <v>913</v>
      </c>
      <c r="C854" s="50" t="s">
        <v>914</v>
      </c>
      <c r="D854" s="50" t="s">
        <v>2064</v>
      </c>
      <c r="E854" s="50" t="s">
        <v>2218</v>
      </c>
      <c r="F854" s="51">
        <v>0.01</v>
      </c>
      <c r="G854" s="51">
        <v>0.01</v>
      </c>
      <c r="H854" s="51">
        <v>0</v>
      </c>
      <c r="I854" s="52">
        <v>0</v>
      </c>
      <c r="J854" s="50" t="s">
        <v>1786</v>
      </c>
    </row>
    <row r="855" spans="2:10" ht="15" customHeight="1">
      <c r="B855" s="47" t="s">
        <v>915</v>
      </c>
      <c r="C855" s="50" t="s">
        <v>916</v>
      </c>
      <c r="D855" s="50" t="s">
        <v>2064</v>
      </c>
      <c r="E855" s="50" t="s">
        <v>2218</v>
      </c>
      <c r="F855" s="51">
        <v>0.01</v>
      </c>
      <c r="G855" s="51">
        <v>0.01</v>
      </c>
      <c r="H855" s="51">
        <v>0</v>
      </c>
      <c r="I855" s="52">
        <v>0</v>
      </c>
      <c r="J855" s="50" t="s">
        <v>1786</v>
      </c>
    </row>
    <row r="856" spans="2:10" ht="15" customHeight="1">
      <c r="B856" s="47" t="s">
        <v>1210</v>
      </c>
      <c r="C856" s="50" t="s">
        <v>1211</v>
      </c>
      <c r="D856" s="50" t="s">
        <v>2066</v>
      </c>
      <c r="E856" s="50" t="s">
        <v>2219</v>
      </c>
      <c r="F856" s="51">
        <v>98.929000000000002</v>
      </c>
      <c r="G856" s="51">
        <v>98.999499999999998</v>
      </c>
      <c r="H856" s="51">
        <v>4.08</v>
      </c>
      <c r="I856" s="52">
        <v>893</v>
      </c>
      <c r="J856" s="50" t="s">
        <v>19</v>
      </c>
    </row>
    <row r="857" spans="2:10" ht="15" customHeight="1">
      <c r="B857" s="47" t="s">
        <v>1106</v>
      </c>
      <c r="C857" s="50" t="s">
        <v>1107</v>
      </c>
      <c r="D857" s="50" t="s">
        <v>2066</v>
      </c>
      <c r="E857" s="50" t="s">
        <v>2219</v>
      </c>
      <c r="F857" s="51">
        <v>100.84399999999999</v>
      </c>
      <c r="G857" s="51">
        <v>102.6062</v>
      </c>
      <c r="H857" s="51">
        <v>4.12</v>
      </c>
      <c r="I857" s="52">
        <v>1295</v>
      </c>
      <c r="J857" s="50" t="s">
        <v>19</v>
      </c>
    </row>
    <row r="858" spans="2:10" ht="15" customHeight="1">
      <c r="B858" s="47" t="s">
        <v>1153</v>
      </c>
      <c r="C858" s="50" t="s">
        <v>1154</v>
      </c>
      <c r="D858" s="50" t="s">
        <v>2066</v>
      </c>
      <c r="E858" s="50" t="s">
        <v>2219</v>
      </c>
      <c r="F858" s="51">
        <v>97.781999999999996</v>
      </c>
      <c r="G858" s="51">
        <v>98.045900000000003</v>
      </c>
      <c r="H858" s="51">
        <v>4.1500000000000004</v>
      </c>
      <c r="I858" s="52">
        <v>502</v>
      </c>
      <c r="J858" s="50" t="s">
        <v>19</v>
      </c>
    </row>
    <row r="859" spans="2:10" ht="15" customHeight="1">
      <c r="B859" s="47" t="s">
        <v>1111</v>
      </c>
      <c r="C859" s="50" t="s">
        <v>1112</v>
      </c>
      <c r="D859" s="50" t="s">
        <v>2066</v>
      </c>
      <c r="E859" s="50" t="s">
        <v>2219</v>
      </c>
      <c r="F859" s="51">
        <v>98.945999999999998</v>
      </c>
      <c r="G859" s="51">
        <v>100.1647</v>
      </c>
      <c r="H859" s="51">
        <v>4.22</v>
      </c>
      <c r="I859" s="52">
        <v>405</v>
      </c>
      <c r="J859" s="50" t="s">
        <v>19</v>
      </c>
    </row>
    <row r="860" spans="2:10" ht="15" customHeight="1">
      <c r="B860" s="47" t="s">
        <v>1373</v>
      </c>
      <c r="C860" s="50" t="s">
        <v>1374</v>
      </c>
      <c r="D860" s="50" t="s">
        <v>2064</v>
      </c>
      <c r="E860" s="50" t="s">
        <v>2219</v>
      </c>
      <c r="F860" s="51">
        <v>533.78065695000009</v>
      </c>
      <c r="G860" s="51">
        <v>533.78065695000009</v>
      </c>
      <c r="H860" s="51">
        <v>0</v>
      </c>
      <c r="I860" s="52">
        <v>579</v>
      </c>
      <c r="J860" s="50" t="s">
        <v>1786</v>
      </c>
    </row>
    <row r="861" spans="2:10" ht="15" customHeight="1">
      <c r="B861" s="47" t="s">
        <v>1333</v>
      </c>
      <c r="C861" s="50" t="s">
        <v>1334</v>
      </c>
      <c r="D861" s="50" t="s">
        <v>2064</v>
      </c>
      <c r="E861" s="50" t="s">
        <v>1335</v>
      </c>
      <c r="F861" s="51">
        <v>44878.140500000009</v>
      </c>
      <c r="G861" s="51">
        <v>44878.140500000009</v>
      </c>
      <c r="H861" s="51">
        <v>0</v>
      </c>
      <c r="I861" s="52">
        <v>0</v>
      </c>
      <c r="J861" s="50" t="s">
        <v>1786</v>
      </c>
    </row>
    <row r="862" spans="2:10" ht="15" customHeight="1">
      <c r="B862" s="47" t="s">
        <v>1830</v>
      </c>
      <c r="C862" s="50" t="s">
        <v>1831</v>
      </c>
      <c r="D862" s="50" t="s">
        <v>2066</v>
      </c>
      <c r="E862" s="50" t="s">
        <v>2220</v>
      </c>
      <c r="F862" s="51">
        <v>95.848291677570842</v>
      </c>
      <c r="G862" s="51">
        <v>98.154591677570849</v>
      </c>
      <c r="H862" s="51">
        <v>22.53</v>
      </c>
      <c r="I862" s="52">
        <v>859</v>
      </c>
      <c r="J862" s="50" t="s">
        <v>19</v>
      </c>
    </row>
    <row r="863" spans="2:10" ht="15" customHeight="1">
      <c r="B863" s="47" t="s">
        <v>2343</v>
      </c>
      <c r="C863" s="50" t="s">
        <v>2344</v>
      </c>
      <c r="D863" s="50" t="s">
        <v>2066</v>
      </c>
      <c r="E863" s="50" t="s">
        <v>2220</v>
      </c>
      <c r="F863" s="51">
        <v>96.86691563807986</v>
      </c>
      <c r="G863" s="51">
        <v>98.791915638079857</v>
      </c>
      <c r="H863" s="51">
        <v>22.48</v>
      </c>
      <c r="I863" s="52">
        <v>1047</v>
      </c>
      <c r="J863" s="50" t="s">
        <v>19</v>
      </c>
    </row>
    <row r="864" spans="2:10" ht="15" customHeight="1">
      <c r="B864" s="47" t="s">
        <v>1065</v>
      </c>
      <c r="C864" s="50" t="s">
        <v>1066</v>
      </c>
      <c r="D864" s="50" t="s">
        <v>2066</v>
      </c>
      <c r="E864" s="50" t="s">
        <v>2221</v>
      </c>
      <c r="F864" s="51">
        <v>100</v>
      </c>
      <c r="G864" s="51">
        <v>100.5667</v>
      </c>
      <c r="H864" s="51">
        <v>4.24</v>
      </c>
      <c r="I864" s="52">
        <v>252</v>
      </c>
      <c r="J864" s="50" t="s">
        <v>19</v>
      </c>
    </row>
    <row r="865" spans="2:10" ht="15" customHeight="1">
      <c r="B865" s="47" t="s">
        <v>1942</v>
      </c>
      <c r="C865" s="50" t="s">
        <v>1943</v>
      </c>
      <c r="D865" s="50" t="s">
        <v>2066</v>
      </c>
      <c r="E865" s="50" t="s">
        <v>2221</v>
      </c>
      <c r="F865" s="51">
        <v>100</v>
      </c>
      <c r="G865" s="51">
        <v>101.68819999999999</v>
      </c>
      <c r="H865" s="51">
        <v>4.24</v>
      </c>
      <c r="I865" s="52">
        <v>517</v>
      </c>
      <c r="J865" s="50" t="s">
        <v>19</v>
      </c>
    </row>
    <row r="866" spans="2:10" ht="15" customHeight="1">
      <c r="B866" s="47" t="s">
        <v>917</v>
      </c>
      <c r="C866" s="50" t="s">
        <v>918</v>
      </c>
      <c r="D866" s="50" t="s">
        <v>2066</v>
      </c>
      <c r="E866" s="50" t="s">
        <v>2221</v>
      </c>
      <c r="F866" s="51">
        <v>100</v>
      </c>
      <c r="G866" s="51">
        <v>100.09139999999999</v>
      </c>
      <c r="H866" s="51">
        <v>0.35</v>
      </c>
      <c r="I866" s="52">
        <v>266</v>
      </c>
      <c r="J866" s="50" t="s">
        <v>19</v>
      </c>
    </row>
    <row r="867" spans="2:10" ht="15" customHeight="1">
      <c r="B867" s="47" t="s">
        <v>919</v>
      </c>
      <c r="C867" s="50" t="s">
        <v>920</v>
      </c>
      <c r="D867" s="50" t="s">
        <v>2066</v>
      </c>
      <c r="E867" s="50" t="s">
        <v>2221</v>
      </c>
      <c r="F867" s="51">
        <v>95.781566879296321</v>
      </c>
      <c r="G867" s="51">
        <v>100.94156687929632</v>
      </c>
      <c r="H867" s="51">
        <v>19.670000000000002</v>
      </c>
      <c r="I867" s="52">
        <v>188</v>
      </c>
      <c r="J867" s="50" t="s">
        <v>19</v>
      </c>
    </row>
    <row r="868" spans="2:10" ht="15" customHeight="1">
      <c r="B868" s="47" t="s">
        <v>1490</v>
      </c>
      <c r="C868" s="50" t="s">
        <v>1491</v>
      </c>
      <c r="D868" s="50" t="s">
        <v>2066</v>
      </c>
      <c r="E868" s="50" t="s">
        <v>2221</v>
      </c>
      <c r="F868" s="51">
        <v>100</v>
      </c>
      <c r="G868" s="51">
        <v>100.002</v>
      </c>
      <c r="H868" s="51">
        <v>0.02</v>
      </c>
      <c r="I868" s="52">
        <v>3079</v>
      </c>
      <c r="J868" s="50" t="s">
        <v>19</v>
      </c>
    </row>
    <row r="869" spans="2:10" ht="15" customHeight="1">
      <c r="B869" s="47" t="s">
        <v>921</v>
      </c>
      <c r="C869" s="50" t="s">
        <v>922</v>
      </c>
      <c r="D869" s="50" t="s">
        <v>2066</v>
      </c>
      <c r="E869" s="50" t="s">
        <v>2221</v>
      </c>
      <c r="F869" s="51">
        <v>100</v>
      </c>
      <c r="G869" s="51">
        <v>101.2878</v>
      </c>
      <c r="H869" s="51">
        <v>6.08</v>
      </c>
      <c r="I869" s="52">
        <v>1694</v>
      </c>
      <c r="J869" s="50" t="s">
        <v>19</v>
      </c>
    </row>
    <row r="870" spans="2:10" ht="15" customHeight="1">
      <c r="B870" s="47" t="s">
        <v>1588</v>
      </c>
      <c r="C870" s="50" t="s">
        <v>1589</v>
      </c>
      <c r="D870" s="50" t="s">
        <v>2066</v>
      </c>
      <c r="E870" s="50" t="s">
        <v>2221</v>
      </c>
      <c r="F870" s="51">
        <v>100</v>
      </c>
      <c r="G870" s="51">
        <v>106.19280000000001</v>
      </c>
      <c r="H870" s="51">
        <v>7.08</v>
      </c>
      <c r="I870" s="52">
        <v>2176</v>
      </c>
      <c r="J870" s="50" t="s">
        <v>19</v>
      </c>
    </row>
    <row r="871" spans="2:10" ht="15" customHeight="1">
      <c r="B871" s="47" t="s">
        <v>923</v>
      </c>
      <c r="C871" s="50" t="s">
        <v>924</v>
      </c>
      <c r="D871" s="50" t="s">
        <v>2066</v>
      </c>
      <c r="E871" s="50" t="s">
        <v>2221</v>
      </c>
      <c r="F871" s="51">
        <v>100</v>
      </c>
      <c r="G871" s="51">
        <v>100.4575</v>
      </c>
      <c r="H871" s="51">
        <v>6.09</v>
      </c>
      <c r="I871" s="52">
        <v>2103</v>
      </c>
      <c r="J871" s="50" t="s">
        <v>19</v>
      </c>
    </row>
    <row r="872" spans="2:10" ht="15" customHeight="1">
      <c r="B872" s="47" t="s">
        <v>925</v>
      </c>
      <c r="C872" s="50" t="s">
        <v>926</v>
      </c>
      <c r="D872" s="50" t="s">
        <v>2066</v>
      </c>
      <c r="E872" s="50" t="s">
        <v>2221</v>
      </c>
      <c r="F872" s="51">
        <v>100</v>
      </c>
      <c r="G872" s="51">
        <v>105.4053</v>
      </c>
      <c r="H872" s="51">
        <v>6.09</v>
      </c>
      <c r="I872" s="52">
        <v>2531</v>
      </c>
      <c r="J872" s="50" t="s">
        <v>19</v>
      </c>
    </row>
    <row r="873" spans="2:10" ht="15" customHeight="1">
      <c r="B873" s="47" t="s">
        <v>927</v>
      </c>
      <c r="C873" s="50" t="s">
        <v>928</v>
      </c>
      <c r="D873" s="50" t="s">
        <v>2066</v>
      </c>
      <c r="E873" s="50" t="s">
        <v>2221</v>
      </c>
      <c r="F873" s="51">
        <v>100</v>
      </c>
      <c r="G873" s="51">
        <v>105.4053</v>
      </c>
      <c r="H873" s="51">
        <v>6.09</v>
      </c>
      <c r="I873" s="52">
        <v>2531</v>
      </c>
      <c r="J873" s="50" t="s">
        <v>19</v>
      </c>
    </row>
    <row r="874" spans="2:10" ht="15" customHeight="1">
      <c r="B874" s="47" t="s">
        <v>929</v>
      </c>
      <c r="C874" s="50" t="s">
        <v>930</v>
      </c>
      <c r="D874" s="50" t="s">
        <v>2066</v>
      </c>
      <c r="E874" s="50" t="s">
        <v>2221</v>
      </c>
      <c r="F874" s="51">
        <v>100</v>
      </c>
      <c r="G874" s="51">
        <v>104.27</v>
      </c>
      <c r="H874" s="51">
        <v>6.08</v>
      </c>
      <c r="I874" s="52">
        <v>2598</v>
      </c>
      <c r="J874" s="50" t="s">
        <v>19</v>
      </c>
    </row>
    <row r="875" spans="2:10" ht="15" customHeight="1">
      <c r="B875" s="47" t="s">
        <v>931</v>
      </c>
      <c r="C875" s="50" t="s">
        <v>932</v>
      </c>
      <c r="D875" s="50" t="s">
        <v>2064</v>
      </c>
      <c r="E875" s="50" t="s">
        <v>2222</v>
      </c>
      <c r="F875" s="51">
        <v>0.01</v>
      </c>
      <c r="G875" s="51">
        <v>0.01</v>
      </c>
      <c r="H875" s="51">
        <v>0</v>
      </c>
      <c r="I875" s="52">
        <v>0</v>
      </c>
      <c r="J875" s="50" t="s">
        <v>1786</v>
      </c>
    </row>
    <row r="876" spans="2:10" ht="15" customHeight="1">
      <c r="B876" s="47" t="s">
        <v>933</v>
      </c>
      <c r="C876" s="50" t="s">
        <v>934</v>
      </c>
      <c r="D876" s="50" t="s">
        <v>2064</v>
      </c>
      <c r="E876" s="50" t="s">
        <v>2223</v>
      </c>
      <c r="F876" s="51">
        <v>0.01</v>
      </c>
      <c r="G876" s="51">
        <v>0.01</v>
      </c>
      <c r="H876" s="51">
        <v>0</v>
      </c>
      <c r="I876" s="52">
        <v>0</v>
      </c>
      <c r="J876" s="50" t="s">
        <v>1786</v>
      </c>
    </row>
    <row r="877" spans="2:10" ht="15" customHeight="1">
      <c r="B877" s="47" t="s">
        <v>935</v>
      </c>
      <c r="C877" s="50" t="s">
        <v>936</v>
      </c>
      <c r="D877" s="50" t="s">
        <v>2066</v>
      </c>
      <c r="E877" s="50" t="s">
        <v>2224</v>
      </c>
      <c r="F877" s="51">
        <v>91.662682590082909</v>
      </c>
      <c r="G877" s="51">
        <v>93.534182590082906</v>
      </c>
      <c r="H877" s="51">
        <v>21.04</v>
      </c>
      <c r="I877" s="52">
        <v>491</v>
      </c>
      <c r="J877" s="50" t="s">
        <v>19</v>
      </c>
    </row>
    <row r="878" spans="2:10" ht="15" customHeight="1">
      <c r="B878" s="47" t="s">
        <v>1590</v>
      </c>
      <c r="C878" s="50" t="s">
        <v>1591</v>
      </c>
      <c r="D878" s="50" t="s">
        <v>2066</v>
      </c>
      <c r="E878" s="50" t="s">
        <v>2225</v>
      </c>
      <c r="F878" s="51">
        <v>100</v>
      </c>
      <c r="G878" s="51">
        <v>100.14</v>
      </c>
      <c r="H878" s="51">
        <v>0.35</v>
      </c>
      <c r="I878" s="52">
        <v>36</v>
      </c>
      <c r="J878" s="50" t="s">
        <v>19</v>
      </c>
    </row>
    <row r="879" spans="2:10" ht="15" customHeight="1">
      <c r="B879" s="47" t="s">
        <v>1592</v>
      </c>
      <c r="C879" s="50" t="s">
        <v>1593</v>
      </c>
      <c r="D879" s="50" t="s">
        <v>2066</v>
      </c>
      <c r="E879" s="50" t="s">
        <v>2225</v>
      </c>
      <c r="F879" s="51">
        <v>100</v>
      </c>
      <c r="G879" s="51">
        <v>100.0992</v>
      </c>
      <c r="H879" s="51">
        <v>0.35</v>
      </c>
      <c r="I879" s="52">
        <v>78</v>
      </c>
      <c r="J879" s="50" t="s">
        <v>19</v>
      </c>
    </row>
    <row r="880" spans="2:10" ht="15" customHeight="1">
      <c r="B880" s="47" t="s">
        <v>937</v>
      </c>
      <c r="C880" s="50" t="s">
        <v>938</v>
      </c>
      <c r="D880" s="50" t="s">
        <v>2066</v>
      </c>
      <c r="E880" s="50" t="s">
        <v>2225</v>
      </c>
      <c r="F880" s="51">
        <v>100</v>
      </c>
      <c r="G880" s="51">
        <v>100.09139999999999</v>
      </c>
      <c r="H880" s="51">
        <v>0.35</v>
      </c>
      <c r="I880" s="52">
        <v>266</v>
      </c>
      <c r="J880" s="50" t="s">
        <v>19</v>
      </c>
    </row>
    <row r="881" spans="2:10" ht="15" customHeight="1">
      <c r="B881" s="47" t="s">
        <v>1730</v>
      </c>
      <c r="C881" s="50" t="s">
        <v>1731</v>
      </c>
      <c r="D881" s="50" t="s">
        <v>2066</v>
      </c>
      <c r="E881" s="50" t="s">
        <v>2225</v>
      </c>
      <c r="F881" s="51">
        <v>100</v>
      </c>
      <c r="G881" s="51">
        <v>100.01730000000001</v>
      </c>
      <c r="H881" s="51">
        <v>0.02</v>
      </c>
      <c r="I881" s="52">
        <v>3079</v>
      </c>
      <c r="J881" s="50" t="s">
        <v>19</v>
      </c>
    </row>
    <row r="882" spans="2:10" ht="15" customHeight="1">
      <c r="B882" s="47" t="s">
        <v>939</v>
      </c>
      <c r="C882" s="50" t="s">
        <v>940</v>
      </c>
      <c r="D882" s="50" t="s">
        <v>2066</v>
      </c>
      <c r="E882" s="50" t="s">
        <v>2225</v>
      </c>
      <c r="F882" s="51">
        <v>100</v>
      </c>
      <c r="G882" s="51">
        <v>101.2878</v>
      </c>
      <c r="H882" s="51">
        <v>6.08</v>
      </c>
      <c r="I882" s="52">
        <v>1694</v>
      </c>
      <c r="J882" s="50" t="s">
        <v>19</v>
      </c>
    </row>
    <row r="883" spans="2:10" ht="15" customHeight="1">
      <c r="B883" s="47" t="s">
        <v>1594</v>
      </c>
      <c r="C883" s="50" t="s">
        <v>1595</v>
      </c>
      <c r="D883" s="50" t="s">
        <v>2066</v>
      </c>
      <c r="E883" s="50" t="s">
        <v>2225</v>
      </c>
      <c r="F883" s="51">
        <v>100</v>
      </c>
      <c r="G883" s="51">
        <v>106.19280000000001</v>
      </c>
      <c r="H883" s="51">
        <v>7.08</v>
      </c>
      <c r="I883" s="52">
        <v>2176</v>
      </c>
      <c r="J883" s="50" t="s">
        <v>19</v>
      </c>
    </row>
    <row r="884" spans="2:10" ht="15" customHeight="1">
      <c r="B884" s="47" t="s">
        <v>2302</v>
      </c>
      <c r="C884" s="50" t="s">
        <v>2303</v>
      </c>
      <c r="D884" s="50" t="s">
        <v>2066</v>
      </c>
      <c r="E884" s="50" t="s">
        <v>2225</v>
      </c>
      <c r="F884" s="51">
        <v>90.446612355378647</v>
      </c>
      <c r="G884" s="51">
        <v>93.126012355378649</v>
      </c>
      <c r="H884" s="51">
        <v>20.48</v>
      </c>
      <c r="I884" s="52">
        <v>3547</v>
      </c>
      <c r="J884" s="50" t="s">
        <v>19</v>
      </c>
    </row>
    <row r="885" spans="2:10" ht="15" customHeight="1">
      <c r="B885" s="47" t="s">
        <v>2336</v>
      </c>
      <c r="C885" s="50" t="s">
        <v>2337</v>
      </c>
      <c r="D885" s="50" t="s">
        <v>2066</v>
      </c>
      <c r="E885" s="50" t="s">
        <v>2225</v>
      </c>
      <c r="F885" s="51">
        <v>90.439602311929406</v>
      </c>
      <c r="G885" s="51">
        <v>92.512402311929407</v>
      </c>
      <c r="H885" s="51">
        <v>20.49</v>
      </c>
      <c r="I885" s="52">
        <v>3559</v>
      </c>
      <c r="J885" s="50" t="s">
        <v>19</v>
      </c>
    </row>
    <row r="886" spans="2:10" ht="15" customHeight="1">
      <c r="B886" s="47" t="s">
        <v>2407</v>
      </c>
      <c r="C886" s="50" t="s">
        <v>2408</v>
      </c>
      <c r="D886" s="50" t="s">
        <v>2066</v>
      </c>
      <c r="E886" s="50" t="s">
        <v>2225</v>
      </c>
      <c r="F886" s="51">
        <v>93.426943820692159</v>
      </c>
      <c r="G886" s="51">
        <v>94.056943820692155</v>
      </c>
      <c r="H886" s="51">
        <v>20.48</v>
      </c>
      <c r="I886" s="52">
        <v>3588</v>
      </c>
      <c r="J886" s="50" t="s">
        <v>19</v>
      </c>
    </row>
    <row r="887" spans="2:10" ht="15" customHeight="1">
      <c r="B887" s="47" t="s">
        <v>2433</v>
      </c>
      <c r="C887" s="50" t="s">
        <v>2434</v>
      </c>
      <c r="D887" s="50" t="s">
        <v>2066</v>
      </c>
      <c r="E887" s="50" t="s">
        <v>2225</v>
      </c>
      <c r="F887" s="51">
        <v>93.398237707612424</v>
      </c>
      <c r="G887" s="51">
        <v>93.818237707612425</v>
      </c>
      <c r="H887" s="51">
        <v>20.49</v>
      </c>
      <c r="I887" s="52">
        <v>3592</v>
      </c>
      <c r="J887" s="50" t="s">
        <v>19</v>
      </c>
    </row>
    <row r="888" spans="2:10" ht="15" customHeight="1">
      <c r="B888" s="47" t="s">
        <v>941</v>
      </c>
      <c r="C888" s="50" t="s">
        <v>942</v>
      </c>
      <c r="D888" s="50" t="s">
        <v>2066</v>
      </c>
      <c r="E888" s="50" t="s">
        <v>2225</v>
      </c>
      <c r="F888" s="51">
        <v>100</v>
      </c>
      <c r="G888" s="51">
        <v>100.4575</v>
      </c>
      <c r="H888" s="51">
        <v>6.09</v>
      </c>
      <c r="I888" s="52">
        <v>2103</v>
      </c>
      <c r="J888" s="50" t="s">
        <v>19</v>
      </c>
    </row>
    <row r="889" spans="2:10" ht="15" customHeight="1">
      <c r="B889" s="47" t="s">
        <v>943</v>
      </c>
      <c r="C889" s="50" t="s">
        <v>944</v>
      </c>
      <c r="D889" s="50" t="s">
        <v>2066</v>
      </c>
      <c r="E889" s="50" t="s">
        <v>2225</v>
      </c>
      <c r="F889" s="51">
        <v>100</v>
      </c>
      <c r="G889" s="51">
        <v>105.4053</v>
      </c>
      <c r="H889" s="51">
        <v>6.09</v>
      </c>
      <c r="I889" s="52">
        <v>2531</v>
      </c>
      <c r="J889" s="50" t="s">
        <v>19</v>
      </c>
    </row>
    <row r="890" spans="2:10" ht="15" customHeight="1">
      <c r="B890" s="47" t="s">
        <v>945</v>
      </c>
      <c r="C890" s="50" t="s">
        <v>946</v>
      </c>
      <c r="D890" s="50" t="s">
        <v>2066</v>
      </c>
      <c r="E890" s="50" t="s">
        <v>2225</v>
      </c>
      <c r="F890" s="51">
        <v>100</v>
      </c>
      <c r="G890" s="51">
        <v>105.4053</v>
      </c>
      <c r="H890" s="51">
        <v>6.09</v>
      </c>
      <c r="I890" s="52">
        <v>2531</v>
      </c>
      <c r="J890" s="50" t="s">
        <v>19</v>
      </c>
    </row>
    <row r="891" spans="2:10" ht="15" customHeight="1">
      <c r="B891" s="47" t="s">
        <v>947</v>
      </c>
      <c r="C891" s="50" t="s">
        <v>948</v>
      </c>
      <c r="D891" s="50" t="s">
        <v>2066</v>
      </c>
      <c r="E891" s="50" t="s">
        <v>2225</v>
      </c>
      <c r="F891" s="51">
        <v>100</v>
      </c>
      <c r="G891" s="51">
        <v>104.27</v>
      </c>
      <c r="H891" s="51">
        <v>6.08</v>
      </c>
      <c r="I891" s="52">
        <v>2598</v>
      </c>
      <c r="J891" s="50" t="s">
        <v>19</v>
      </c>
    </row>
    <row r="892" spans="2:10" ht="15" customHeight="1">
      <c r="B892" s="47" t="s">
        <v>2435</v>
      </c>
      <c r="C892" s="50" t="s">
        <v>2436</v>
      </c>
      <c r="D892" s="50" t="s">
        <v>2066</v>
      </c>
      <c r="E892" s="50" t="s">
        <v>2225</v>
      </c>
      <c r="F892" s="51">
        <v>92.821760840527276</v>
      </c>
      <c r="G892" s="51">
        <v>93.241760840527277</v>
      </c>
      <c r="H892" s="51">
        <v>20.46</v>
      </c>
      <c r="I892" s="52">
        <v>5392</v>
      </c>
      <c r="J892" s="50" t="s">
        <v>19</v>
      </c>
    </row>
    <row r="893" spans="2:10" ht="15" customHeight="1">
      <c r="B893" s="47" t="s">
        <v>1217</v>
      </c>
      <c r="C893" s="50" t="s">
        <v>1218</v>
      </c>
      <c r="D893" s="50" t="s">
        <v>2066</v>
      </c>
      <c r="E893" s="50" t="s">
        <v>1825</v>
      </c>
      <c r="F893" s="51">
        <v>87.11674785003278</v>
      </c>
      <c r="G893" s="51">
        <v>88.22504785003278</v>
      </c>
      <c r="H893" s="51">
        <v>18.88</v>
      </c>
      <c r="I893" s="52">
        <v>682</v>
      </c>
      <c r="J893" s="50" t="s">
        <v>19</v>
      </c>
    </row>
    <row r="894" spans="2:10" ht="15" customHeight="1">
      <c r="B894" s="47" t="s">
        <v>949</v>
      </c>
      <c r="C894" s="50" t="s">
        <v>950</v>
      </c>
      <c r="D894" s="50" t="s">
        <v>2064</v>
      </c>
      <c r="E894" s="50" t="s">
        <v>2226</v>
      </c>
      <c r="F894" s="51">
        <v>0.01</v>
      </c>
      <c r="G894" s="51">
        <v>0.01</v>
      </c>
      <c r="H894" s="51">
        <v>0</v>
      </c>
      <c r="I894" s="52">
        <v>0</v>
      </c>
      <c r="J894" s="50" t="s">
        <v>1786</v>
      </c>
    </row>
    <row r="895" spans="2:10" ht="15" customHeight="1">
      <c r="B895" s="47" t="s">
        <v>951</v>
      </c>
      <c r="C895" s="50" t="s">
        <v>952</v>
      </c>
      <c r="D895" s="50" t="s">
        <v>2066</v>
      </c>
      <c r="E895" s="50" t="s">
        <v>2227</v>
      </c>
      <c r="F895" s="51">
        <v>98.450606291498971</v>
      </c>
      <c r="G895" s="51">
        <v>101.59280629149896</v>
      </c>
      <c r="H895" s="51">
        <v>18.43</v>
      </c>
      <c r="I895" s="52">
        <v>79</v>
      </c>
      <c r="J895" s="50" t="s">
        <v>19</v>
      </c>
    </row>
    <row r="896" spans="2:10" ht="15" customHeight="1">
      <c r="B896" s="47" t="s">
        <v>1645</v>
      </c>
      <c r="C896" s="50" t="s">
        <v>1646</v>
      </c>
      <c r="D896" s="50" t="s">
        <v>2066</v>
      </c>
      <c r="E896" s="50" t="s">
        <v>2228</v>
      </c>
      <c r="F896" s="51">
        <v>94.72065768076574</v>
      </c>
      <c r="G896" s="51">
        <v>96.383157680765734</v>
      </c>
      <c r="H896" s="51">
        <v>30.21</v>
      </c>
      <c r="I896" s="52">
        <v>3219</v>
      </c>
      <c r="J896" s="50" t="s">
        <v>19</v>
      </c>
    </row>
    <row r="897" spans="2:10" ht="15" customHeight="1">
      <c r="B897" s="47" t="s">
        <v>1911</v>
      </c>
      <c r="C897" s="50" t="s">
        <v>1375</v>
      </c>
      <c r="D897" s="50" t="s">
        <v>2110</v>
      </c>
      <c r="E897" s="50" t="s">
        <v>1376</v>
      </c>
      <c r="F897" s="51">
        <v>352318.97835000005</v>
      </c>
      <c r="G897" s="51">
        <v>352318.97835000005</v>
      </c>
      <c r="H897" s="51">
        <v>0</v>
      </c>
      <c r="I897" s="52">
        <v>0</v>
      </c>
      <c r="J897" s="50" t="s">
        <v>1786</v>
      </c>
    </row>
    <row r="898" spans="2:10" ht="15" customHeight="1">
      <c r="B898" s="47" t="s">
        <v>953</v>
      </c>
      <c r="C898" s="50" t="s">
        <v>954</v>
      </c>
      <c r="D898" s="50" t="s">
        <v>2064</v>
      </c>
      <c r="E898" s="50" t="s">
        <v>2229</v>
      </c>
      <c r="F898" s="51">
        <v>0.01</v>
      </c>
      <c r="G898" s="51">
        <v>0.01</v>
      </c>
      <c r="H898" s="51">
        <v>0</v>
      </c>
      <c r="I898" s="52">
        <v>0</v>
      </c>
      <c r="J898" s="50" t="s">
        <v>1786</v>
      </c>
    </row>
    <row r="899" spans="2:10" ht="15" customHeight="1">
      <c r="B899" s="47" t="s">
        <v>2013</v>
      </c>
      <c r="C899" s="50" t="s">
        <v>2014</v>
      </c>
      <c r="D899" s="50" t="s">
        <v>2066</v>
      </c>
      <c r="E899" s="50" t="s">
        <v>2015</v>
      </c>
      <c r="F899" s="51">
        <v>102.0428</v>
      </c>
      <c r="G899" s="51">
        <v>102.80110000000001</v>
      </c>
      <c r="H899" s="51">
        <v>20</v>
      </c>
      <c r="I899" s="52">
        <v>977</v>
      </c>
      <c r="J899" s="50" t="s">
        <v>19</v>
      </c>
    </row>
    <row r="900" spans="2:10" ht="15" customHeight="1">
      <c r="B900" s="47" t="s">
        <v>1141</v>
      </c>
      <c r="C900" s="50" t="s">
        <v>1142</v>
      </c>
      <c r="D900" s="50" t="s">
        <v>2066</v>
      </c>
      <c r="E900" s="50" t="s">
        <v>2230</v>
      </c>
      <c r="F900" s="51">
        <v>100</v>
      </c>
      <c r="G900" s="51">
        <v>101.9486</v>
      </c>
      <c r="H900" s="51">
        <v>11.49</v>
      </c>
      <c r="I900" s="52">
        <v>2279</v>
      </c>
      <c r="J900" s="50" t="s">
        <v>19</v>
      </c>
    </row>
    <row r="901" spans="2:10" ht="15" customHeight="1">
      <c r="B901" s="47" t="s">
        <v>1219</v>
      </c>
      <c r="C901" s="50" t="s">
        <v>1220</v>
      </c>
      <c r="D901" s="50" t="s">
        <v>2066</v>
      </c>
      <c r="E901" s="50" t="s">
        <v>2230</v>
      </c>
      <c r="F901" s="51">
        <v>100</v>
      </c>
      <c r="G901" s="51">
        <v>104.0444</v>
      </c>
      <c r="H901" s="51">
        <v>12.98</v>
      </c>
      <c r="I901" s="52">
        <v>1148</v>
      </c>
      <c r="J901" s="50" t="s">
        <v>19</v>
      </c>
    </row>
    <row r="902" spans="2:10" ht="15" customHeight="1">
      <c r="B902" s="47" t="s">
        <v>955</v>
      </c>
      <c r="C902" s="50" t="s">
        <v>956</v>
      </c>
      <c r="D902" s="50" t="s">
        <v>2066</v>
      </c>
      <c r="E902" s="50" t="s">
        <v>2092</v>
      </c>
      <c r="F902" s="51">
        <v>100</v>
      </c>
      <c r="G902" s="51">
        <v>102.2667</v>
      </c>
      <c r="H902" s="51">
        <v>7.98</v>
      </c>
      <c r="I902" s="52">
        <v>438</v>
      </c>
      <c r="J902" s="50" t="s">
        <v>19</v>
      </c>
    </row>
    <row r="903" spans="2:10" ht="15" customHeight="1">
      <c r="B903" s="47" t="s">
        <v>957</v>
      </c>
      <c r="C903" s="50" t="s">
        <v>958</v>
      </c>
      <c r="D903" s="50" t="s">
        <v>2066</v>
      </c>
      <c r="E903" s="50" t="s">
        <v>2092</v>
      </c>
      <c r="F903" s="51">
        <v>100</v>
      </c>
      <c r="G903" s="51">
        <v>102.2667</v>
      </c>
      <c r="H903" s="51">
        <v>8</v>
      </c>
      <c r="I903" s="52">
        <v>2238</v>
      </c>
      <c r="J903" s="50" t="s">
        <v>19</v>
      </c>
    </row>
    <row r="904" spans="2:10" ht="15" customHeight="1">
      <c r="B904" s="47" t="s">
        <v>959</v>
      </c>
      <c r="C904" s="50" t="s">
        <v>960</v>
      </c>
      <c r="D904" s="50" t="s">
        <v>2066</v>
      </c>
      <c r="E904" s="50" t="s">
        <v>2092</v>
      </c>
      <c r="F904" s="51">
        <v>100</v>
      </c>
      <c r="G904" s="51">
        <v>103.2667</v>
      </c>
      <c r="H904" s="51">
        <v>7.98</v>
      </c>
      <c r="I904" s="52">
        <v>213</v>
      </c>
      <c r="J904" s="50" t="s">
        <v>19</v>
      </c>
    </row>
    <row r="905" spans="2:10" ht="15" customHeight="1">
      <c r="B905" s="47" t="s">
        <v>961</v>
      </c>
      <c r="C905" s="50" t="s">
        <v>962</v>
      </c>
      <c r="D905" s="50" t="s">
        <v>2066</v>
      </c>
      <c r="E905" s="50" t="s">
        <v>2092</v>
      </c>
      <c r="F905" s="51">
        <v>100</v>
      </c>
      <c r="G905" s="51">
        <v>103.2667</v>
      </c>
      <c r="H905" s="51">
        <v>7.98</v>
      </c>
      <c r="I905" s="52">
        <v>213</v>
      </c>
      <c r="J905" s="50" t="s">
        <v>19</v>
      </c>
    </row>
    <row r="906" spans="2:10" ht="15" customHeight="1">
      <c r="B906" s="47" t="s">
        <v>963</v>
      </c>
      <c r="C906" s="50" t="s">
        <v>964</v>
      </c>
      <c r="D906" s="50" t="s">
        <v>2066</v>
      </c>
      <c r="E906" s="50" t="s">
        <v>2092</v>
      </c>
      <c r="F906" s="51">
        <v>100</v>
      </c>
      <c r="G906" s="51">
        <v>103.2667</v>
      </c>
      <c r="H906" s="51">
        <v>7.99</v>
      </c>
      <c r="I906" s="52">
        <v>573</v>
      </c>
      <c r="J906" s="50" t="s">
        <v>19</v>
      </c>
    </row>
    <row r="907" spans="2:10" ht="15" customHeight="1">
      <c r="B907" s="47" t="s">
        <v>965</v>
      </c>
      <c r="C907" s="50" t="s">
        <v>966</v>
      </c>
      <c r="D907" s="50" t="s">
        <v>2066</v>
      </c>
      <c r="E907" s="50" t="s">
        <v>2092</v>
      </c>
      <c r="F907" s="51">
        <v>100</v>
      </c>
      <c r="G907" s="51">
        <v>103.2667</v>
      </c>
      <c r="H907" s="51">
        <v>7.99</v>
      </c>
      <c r="I907" s="52">
        <v>573</v>
      </c>
      <c r="J907" s="50" t="s">
        <v>19</v>
      </c>
    </row>
    <row r="908" spans="2:10" ht="15" customHeight="1">
      <c r="B908" s="47" t="s">
        <v>1647</v>
      </c>
      <c r="C908" s="50" t="s">
        <v>1648</v>
      </c>
      <c r="D908" s="50" t="s">
        <v>2066</v>
      </c>
      <c r="E908" s="50" t="s">
        <v>2231</v>
      </c>
      <c r="F908" s="51">
        <v>90.218017747896653</v>
      </c>
      <c r="G908" s="51">
        <v>91.424917747896657</v>
      </c>
      <c r="H908" s="51">
        <v>23.68</v>
      </c>
      <c r="I908" s="52">
        <v>1418</v>
      </c>
      <c r="J908" s="50" t="s">
        <v>19</v>
      </c>
    </row>
    <row r="909" spans="2:10" ht="15" customHeight="1">
      <c r="B909" s="47" t="s">
        <v>1474</v>
      </c>
      <c r="C909" s="50" t="s">
        <v>1475</v>
      </c>
      <c r="D909" s="50" t="s">
        <v>2066</v>
      </c>
      <c r="E909" s="50" t="s">
        <v>2232</v>
      </c>
      <c r="F909" s="51">
        <v>100</v>
      </c>
      <c r="G909" s="51">
        <v>100.46040000000001</v>
      </c>
      <c r="H909" s="51">
        <v>4.24</v>
      </c>
      <c r="I909" s="52">
        <v>261</v>
      </c>
      <c r="J909" s="50" t="s">
        <v>19</v>
      </c>
    </row>
    <row r="910" spans="2:10" ht="15" customHeight="1">
      <c r="B910" s="47" t="s">
        <v>1596</v>
      </c>
      <c r="C910" s="50" t="s">
        <v>1597</v>
      </c>
      <c r="D910" s="50" t="s">
        <v>2066</v>
      </c>
      <c r="E910" s="50" t="s">
        <v>2232</v>
      </c>
      <c r="F910" s="51">
        <v>100</v>
      </c>
      <c r="G910" s="51">
        <v>100.10599999999999</v>
      </c>
      <c r="H910" s="51">
        <v>0.35</v>
      </c>
      <c r="I910" s="52">
        <v>71</v>
      </c>
      <c r="J910" s="50" t="s">
        <v>19</v>
      </c>
    </row>
    <row r="911" spans="2:10" ht="15" customHeight="1">
      <c r="B911" s="47" t="s">
        <v>967</v>
      </c>
      <c r="C911" s="50" t="s">
        <v>968</v>
      </c>
      <c r="D911" s="50" t="s">
        <v>2066</v>
      </c>
      <c r="E911" s="50" t="s">
        <v>2232</v>
      </c>
      <c r="F911" s="51">
        <v>100</v>
      </c>
      <c r="G911" s="51">
        <v>100.09139999999999</v>
      </c>
      <c r="H911" s="51">
        <v>0.35</v>
      </c>
      <c r="I911" s="52">
        <v>266</v>
      </c>
      <c r="J911" s="50" t="s">
        <v>19</v>
      </c>
    </row>
    <row r="912" spans="2:10" ht="15" customHeight="1">
      <c r="B912" s="47" t="s">
        <v>1974</v>
      </c>
      <c r="C912" s="50" t="s">
        <v>1975</v>
      </c>
      <c r="D912" s="50" t="s">
        <v>2066</v>
      </c>
      <c r="E912" s="50" t="s">
        <v>2232</v>
      </c>
      <c r="F912" s="51">
        <v>100</v>
      </c>
      <c r="G912" s="51">
        <v>100.1138</v>
      </c>
      <c r="H912" s="51">
        <v>0.35</v>
      </c>
      <c r="I912" s="52">
        <v>603</v>
      </c>
      <c r="J912" s="50" t="s">
        <v>19</v>
      </c>
    </row>
    <row r="913" spans="2:10" ht="15" customHeight="1">
      <c r="B913" s="47" t="s">
        <v>1793</v>
      </c>
      <c r="C913" s="50" t="s">
        <v>1794</v>
      </c>
      <c r="D913" s="50" t="s">
        <v>2066</v>
      </c>
      <c r="E913" s="50" t="s">
        <v>2232</v>
      </c>
      <c r="F913" s="51">
        <v>100</v>
      </c>
      <c r="G913" s="51">
        <v>100.0147</v>
      </c>
      <c r="H913" s="51">
        <v>0.02</v>
      </c>
      <c r="I913" s="52">
        <v>3079</v>
      </c>
      <c r="J913" s="50" t="s">
        <v>19</v>
      </c>
    </row>
    <row r="914" spans="2:10" ht="15" customHeight="1">
      <c r="B914" s="47" t="s">
        <v>1598</v>
      </c>
      <c r="C914" s="50" t="s">
        <v>1599</v>
      </c>
      <c r="D914" s="50" t="s">
        <v>2066</v>
      </c>
      <c r="E914" s="50" t="s">
        <v>2232</v>
      </c>
      <c r="F914" s="51">
        <v>100</v>
      </c>
      <c r="G914" s="51">
        <v>105.0686</v>
      </c>
      <c r="H914" s="51">
        <v>7.05</v>
      </c>
      <c r="I914" s="52">
        <v>2176</v>
      </c>
      <c r="J914" s="50" t="s">
        <v>19</v>
      </c>
    </row>
    <row r="915" spans="2:10" ht="15" customHeight="1">
      <c r="B915" s="47" t="s">
        <v>969</v>
      </c>
      <c r="C915" s="50" t="s">
        <v>970</v>
      </c>
      <c r="D915" s="50" t="s">
        <v>2066</v>
      </c>
      <c r="E915" s="50" t="s">
        <v>2232</v>
      </c>
      <c r="F915" s="51">
        <v>100</v>
      </c>
      <c r="G915" s="51">
        <v>100.0046</v>
      </c>
      <c r="H915" s="51">
        <v>0.02</v>
      </c>
      <c r="I915" s="52">
        <v>3079</v>
      </c>
      <c r="J915" s="50" t="s">
        <v>19</v>
      </c>
    </row>
    <row r="916" spans="2:10" ht="15" customHeight="1">
      <c r="B916" s="47" t="s">
        <v>971</v>
      </c>
      <c r="C916" s="50" t="s">
        <v>972</v>
      </c>
      <c r="D916" s="50" t="s">
        <v>2066</v>
      </c>
      <c r="E916" s="50" t="s">
        <v>2232</v>
      </c>
      <c r="F916" s="51">
        <v>100</v>
      </c>
      <c r="G916" s="51">
        <v>100.0051</v>
      </c>
      <c r="H916" s="51">
        <v>0.02</v>
      </c>
      <c r="I916" s="52">
        <v>3079</v>
      </c>
      <c r="J916" s="50" t="s">
        <v>19</v>
      </c>
    </row>
    <row r="917" spans="2:10" ht="15" customHeight="1">
      <c r="B917" s="47" t="s">
        <v>973</v>
      </c>
      <c r="C917" s="50" t="s">
        <v>974</v>
      </c>
      <c r="D917" s="50" t="s">
        <v>2066</v>
      </c>
      <c r="E917" s="50" t="s">
        <v>2232</v>
      </c>
      <c r="F917" s="51">
        <v>100</v>
      </c>
      <c r="G917" s="51">
        <v>101.2878</v>
      </c>
      <c r="H917" s="51">
        <v>6.08</v>
      </c>
      <c r="I917" s="52">
        <v>1694</v>
      </c>
      <c r="J917" s="50" t="s">
        <v>19</v>
      </c>
    </row>
    <row r="918" spans="2:10" ht="15" customHeight="1">
      <c r="B918" s="47" t="s">
        <v>975</v>
      </c>
      <c r="C918" s="50" t="s">
        <v>976</v>
      </c>
      <c r="D918" s="50" t="s">
        <v>2066</v>
      </c>
      <c r="E918" s="50" t="s">
        <v>2232</v>
      </c>
      <c r="F918" s="51">
        <v>100</v>
      </c>
      <c r="G918" s="51">
        <v>100.4575</v>
      </c>
      <c r="H918" s="51">
        <v>6.09</v>
      </c>
      <c r="I918" s="52">
        <v>2103</v>
      </c>
      <c r="J918" s="50" t="s">
        <v>19</v>
      </c>
    </row>
    <row r="919" spans="2:10" ht="15" customHeight="1">
      <c r="B919" s="47" t="s">
        <v>977</v>
      </c>
      <c r="C919" s="50" t="s">
        <v>978</v>
      </c>
      <c r="D919" s="50" t="s">
        <v>2066</v>
      </c>
      <c r="E919" s="50" t="s">
        <v>2232</v>
      </c>
      <c r="F919" s="51">
        <v>100</v>
      </c>
      <c r="G919" s="51">
        <v>103.2025</v>
      </c>
      <c r="H919" s="51">
        <v>6.06</v>
      </c>
      <c r="I919" s="52">
        <v>2601</v>
      </c>
      <c r="J919" s="50" t="s">
        <v>19</v>
      </c>
    </row>
    <row r="920" spans="2:10" ht="15" customHeight="1">
      <c r="B920" s="47" t="s">
        <v>979</v>
      </c>
      <c r="C920" s="50" t="s">
        <v>980</v>
      </c>
      <c r="D920" s="50" t="s">
        <v>2066</v>
      </c>
      <c r="E920" s="50" t="s">
        <v>2232</v>
      </c>
      <c r="F920" s="51">
        <v>100</v>
      </c>
      <c r="G920" s="51">
        <v>105.4053</v>
      </c>
      <c r="H920" s="51">
        <v>6.09</v>
      </c>
      <c r="I920" s="52">
        <v>2531</v>
      </c>
      <c r="J920" s="50" t="s">
        <v>19</v>
      </c>
    </row>
    <row r="921" spans="2:10" ht="15" customHeight="1">
      <c r="B921" s="47" t="s">
        <v>981</v>
      </c>
      <c r="C921" s="50" t="s">
        <v>982</v>
      </c>
      <c r="D921" s="50" t="s">
        <v>2066</v>
      </c>
      <c r="E921" s="50" t="s">
        <v>2232</v>
      </c>
      <c r="F921" s="51">
        <v>100</v>
      </c>
      <c r="G921" s="51">
        <v>105.4053</v>
      </c>
      <c r="H921" s="51">
        <v>6.09</v>
      </c>
      <c r="I921" s="52">
        <v>2531</v>
      </c>
      <c r="J921" s="50" t="s">
        <v>19</v>
      </c>
    </row>
    <row r="922" spans="2:10" ht="15" customHeight="1">
      <c r="B922" s="47" t="s">
        <v>983</v>
      </c>
      <c r="C922" s="50" t="s">
        <v>984</v>
      </c>
      <c r="D922" s="50" t="s">
        <v>2066</v>
      </c>
      <c r="E922" s="50" t="s">
        <v>2232</v>
      </c>
      <c r="F922" s="51">
        <v>100</v>
      </c>
      <c r="G922" s="51">
        <v>104.27</v>
      </c>
      <c r="H922" s="51">
        <v>6.08</v>
      </c>
      <c r="I922" s="52">
        <v>2598</v>
      </c>
      <c r="J922" s="50" t="s">
        <v>19</v>
      </c>
    </row>
    <row r="923" spans="2:10" ht="15" customHeight="1">
      <c r="B923" s="47" t="s">
        <v>1714</v>
      </c>
      <c r="C923" s="50" t="s">
        <v>1715</v>
      </c>
      <c r="D923" s="50" t="s">
        <v>2110</v>
      </c>
      <c r="E923" s="50" t="s">
        <v>1400</v>
      </c>
      <c r="F923" s="51">
        <v>48046.801050000009</v>
      </c>
      <c r="G923" s="51">
        <v>48046.801050000009</v>
      </c>
      <c r="H923" s="51">
        <v>0</v>
      </c>
      <c r="I923" s="52">
        <v>0</v>
      </c>
      <c r="J923" s="50" t="s">
        <v>1786</v>
      </c>
    </row>
    <row r="924" spans="2:10" ht="15" customHeight="1">
      <c r="B924" s="47" t="s">
        <v>985</v>
      </c>
      <c r="C924" s="50" t="s">
        <v>986</v>
      </c>
      <c r="D924" s="50" t="s">
        <v>2066</v>
      </c>
      <c r="E924" s="50" t="s">
        <v>2233</v>
      </c>
      <c r="F924" s="51">
        <v>94.696811887388662</v>
      </c>
      <c r="G924" s="51">
        <v>99.011011887388662</v>
      </c>
      <c r="H924" s="51">
        <v>20.9</v>
      </c>
      <c r="I924" s="52">
        <v>224</v>
      </c>
      <c r="J924" s="50" t="s">
        <v>19</v>
      </c>
    </row>
    <row r="925" spans="2:10" ht="15" customHeight="1">
      <c r="B925" s="47" t="s">
        <v>987</v>
      </c>
      <c r="C925" s="50" t="s">
        <v>988</v>
      </c>
      <c r="D925" s="50" t="s">
        <v>2066</v>
      </c>
      <c r="E925" s="50" t="s">
        <v>2233</v>
      </c>
      <c r="F925" s="51">
        <v>86.379229073288144</v>
      </c>
      <c r="G925" s="51">
        <v>87.754229073288144</v>
      </c>
      <c r="H925" s="51">
        <v>20.05</v>
      </c>
      <c r="I925" s="52">
        <v>673</v>
      </c>
      <c r="J925" s="50" t="s">
        <v>19</v>
      </c>
    </row>
    <row r="926" spans="2:10" ht="15" customHeight="1">
      <c r="B926" s="47" t="s">
        <v>989</v>
      </c>
      <c r="C926" s="50" t="s">
        <v>990</v>
      </c>
      <c r="D926" s="50" t="s">
        <v>2066</v>
      </c>
      <c r="E926" s="50" t="s">
        <v>2233</v>
      </c>
      <c r="F926" s="51">
        <v>27.139053838453741</v>
      </c>
      <c r="G926" s="51">
        <v>27.255753838453742</v>
      </c>
      <c r="H926" s="51">
        <v>19.559999999999999</v>
      </c>
      <c r="I926" s="52">
        <v>3219</v>
      </c>
      <c r="J926" s="50" t="s">
        <v>19</v>
      </c>
    </row>
    <row r="927" spans="2:10" ht="15" customHeight="1">
      <c r="B927" s="47" t="s">
        <v>991</v>
      </c>
      <c r="C927" s="50" t="s">
        <v>992</v>
      </c>
      <c r="D927" s="50" t="s">
        <v>2066</v>
      </c>
      <c r="E927" s="50" t="s">
        <v>2233</v>
      </c>
      <c r="F927" s="51">
        <v>66.142198865783371</v>
      </c>
      <c r="G927" s="51">
        <v>71.18939886578336</v>
      </c>
      <c r="H927" s="51">
        <v>19.63</v>
      </c>
      <c r="I927" s="52">
        <v>3262</v>
      </c>
      <c r="J927" s="50" t="s">
        <v>19</v>
      </c>
    </row>
    <row r="928" spans="2:10" ht="15" customHeight="1">
      <c r="B928" s="47" t="s">
        <v>993</v>
      </c>
      <c r="C928" s="50" t="s">
        <v>994</v>
      </c>
      <c r="D928" s="50" t="s">
        <v>2066</v>
      </c>
      <c r="E928" s="50" t="s">
        <v>2233</v>
      </c>
      <c r="F928" s="51">
        <v>66.25118044405113</v>
      </c>
      <c r="G928" s="51">
        <v>71.969280444051122</v>
      </c>
      <c r="H928" s="51">
        <v>19.63</v>
      </c>
      <c r="I928" s="52">
        <v>3241</v>
      </c>
      <c r="J928" s="50" t="s">
        <v>19</v>
      </c>
    </row>
    <row r="929" spans="2:10" ht="15" customHeight="1">
      <c r="B929" s="47" t="s">
        <v>995</v>
      </c>
      <c r="C929" s="50" t="s">
        <v>996</v>
      </c>
      <c r="D929" s="50" t="s">
        <v>2064</v>
      </c>
      <c r="E929" s="50" t="s">
        <v>2234</v>
      </c>
      <c r="F929" s="51">
        <v>0.01</v>
      </c>
      <c r="G929" s="51">
        <v>0.01</v>
      </c>
      <c r="H929" s="51">
        <v>0</v>
      </c>
      <c r="I929" s="52">
        <v>0</v>
      </c>
      <c r="J929" s="50" t="s">
        <v>1786</v>
      </c>
    </row>
    <row r="930" spans="2:10" ht="15" customHeight="1">
      <c r="B930" s="47" t="s">
        <v>997</v>
      </c>
      <c r="C930" s="50" t="s">
        <v>998</v>
      </c>
      <c r="D930" s="50" t="s">
        <v>2064</v>
      </c>
      <c r="E930" s="50" t="s">
        <v>2235</v>
      </c>
      <c r="F930" s="51">
        <v>2740</v>
      </c>
      <c r="G930" s="51">
        <v>2740</v>
      </c>
      <c r="H930" s="51">
        <v>0</v>
      </c>
      <c r="I930" s="52">
        <v>0</v>
      </c>
      <c r="J930" s="50" t="s">
        <v>1786</v>
      </c>
    </row>
    <row r="931" spans="2:10" ht="15" customHeight="1">
      <c r="B931" s="47" t="s">
        <v>1221</v>
      </c>
      <c r="C931" s="50" t="s">
        <v>1222</v>
      </c>
      <c r="D931" s="50" t="s">
        <v>2066</v>
      </c>
      <c r="E931" s="50" t="s">
        <v>2236</v>
      </c>
      <c r="F931" s="51">
        <v>105.953</v>
      </c>
      <c r="G931" s="51">
        <v>108.8124</v>
      </c>
      <c r="H931" s="51">
        <v>5.78</v>
      </c>
      <c r="I931" s="52">
        <v>1305</v>
      </c>
      <c r="J931" s="50" t="s">
        <v>19</v>
      </c>
    </row>
    <row r="932" spans="2:10" ht="15" customHeight="1">
      <c r="B932" s="47" t="s">
        <v>999</v>
      </c>
      <c r="C932" s="50" t="s">
        <v>1000</v>
      </c>
      <c r="D932" s="50" t="s">
        <v>2064</v>
      </c>
      <c r="E932" s="50" t="s">
        <v>2248</v>
      </c>
      <c r="F932" s="51">
        <v>0.01</v>
      </c>
      <c r="G932" s="51">
        <v>0.01</v>
      </c>
      <c r="H932" s="51">
        <v>0</v>
      </c>
      <c r="I932" s="52">
        <v>0</v>
      </c>
      <c r="J932" s="50" t="s">
        <v>1786</v>
      </c>
    </row>
    <row r="933" spans="2:10" ht="15" customHeight="1">
      <c r="B933" s="47" t="s">
        <v>1001</v>
      </c>
      <c r="C933" s="50" t="s">
        <v>1002</v>
      </c>
      <c r="D933" s="50" t="s">
        <v>2066</v>
      </c>
      <c r="E933" s="50" t="s">
        <v>2248</v>
      </c>
      <c r="F933" s="51">
        <v>82.69220693308489</v>
      </c>
      <c r="G933" s="51">
        <v>85.117206933084887</v>
      </c>
      <c r="H933" s="51">
        <v>17.18</v>
      </c>
      <c r="I933" s="52">
        <v>983</v>
      </c>
      <c r="J933" s="50" t="s">
        <v>19</v>
      </c>
    </row>
    <row r="934" spans="2:10" ht="15" customHeight="1">
      <c r="B934" s="47" t="s">
        <v>1003</v>
      </c>
      <c r="C934" s="50" t="s">
        <v>1004</v>
      </c>
      <c r="D934" s="50" t="s">
        <v>2066</v>
      </c>
      <c r="E934" s="50" t="s">
        <v>2248</v>
      </c>
      <c r="F934" s="51">
        <v>9.4164942871966932</v>
      </c>
      <c r="G934" s="51">
        <v>9.4622942871966931</v>
      </c>
      <c r="H934" s="51">
        <v>16.78</v>
      </c>
      <c r="I934" s="52">
        <v>5450</v>
      </c>
      <c r="J934" s="50" t="s">
        <v>19</v>
      </c>
    </row>
    <row r="935" spans="2:10" ht="15" customHeight="1">
      <c r="B935" s="47" t="s">
        <v>1005</v>
      </c>
      <c r="C935" s="50" t="s">
        <v>1006</v>
      </c>
      <c r="D935" s="50" t="s">
        <v>2066</v>
      </c>
      <c r="E935" s="50" t="s">
        <v>2248</v>
      </c>
      <c r="F935" s="51">
        <v>26.398011563914906</v>
      </c>
      <c r="G935" s="51">
        <v>26.459911563914908</v>
      </c>
      <c r="H935" s="51">
        <v>17.45</v>
      </c>
      <c r="I935" s="52">
        <v>3017</v>
      </c>
      <c r="J935" s="50" t="s">
        <v>19</v>
      </c>
    </row>
    <row r="936" spans="2:10" ht="15" customHeight="1">
      <c r="B936" s="47" t="s">
        <v>1007</v>
      </c>
      <c r="C936" s="50" t="s">
        <v>1008</v>
      </c>
      <c r="D936" s="50" t="s">
        <v>2066</v>
      </c>
      <c r="E936" s="50" t="s">
        <v>2248</v>
      </c>
      <c r="F936" s="51">
        <v>26.398011563914906</v>
      </c>
      <c r="G936" s="51">
        <v>26.459911563914908</v>
      </c>
      <c r="H936" s="51">
        <v>17.45</v>
      </c>
      <c r="I936" s="52">
        <v>3017</v>
      </c>
      <c r="J936" s="50" t="s">
        <v>19</v>
      </c>
    </row>
    <row r="937" spans="2:10" ht="15" customHeight="1">
      <c r="B937" s="47" t="s">
        <v>1009</v>
      </c>
      <c r="C937" s="50" t="s">
        <v>1010</v>
      </c>
      <c r="D937" s="50" t="s">
        <v>2066</v>
      </c>
      <c r="E937" s="50" t="s">
        <v>2248</v>
      </c>
      <c r="F937" s="51">
        <v>4.5749675604016762</v>
      </c>
      <c r="G937" s="51">
        <v>4.6349675604016767</v>
      </c>
      <c r="H937" s="51">
        <v>16.95</v>
      </c>
      <c r="I937" s="52">
        <v>7250</v>
      </c>
      <c r="J937" s="50" t="s">
        <v>19</v>
      </c>
    </row>
    <row r="938" spans="2:10" ht="15" customHeight="1">
      <c r="B938" s="47" t="s">
        <v>1011</v>
      </c>
      <c r="C938" s="50" t="s">
        <v>1012</v>
      </c>
      <c r="D938" s="50" t="s">
        <v>2066</v>
      </c>
      <c r="E938" s="50" t="s">
        <v>2248</v>
      </c>
      <c r="F938" s="51">
        <v>9.4172367588102652</v>
      </c>
      <c r="G938" s="51">
        <v>9.5050367588102649</v>
      </c>
      <c r="H938" s="51">
        <v>16.03</v>
      </c>
      <c r="I938" s="52">
        <v>5450</v>
      </c>
      <c r="J938" s="50" t="s">
        <v>19</v>
      </c>
    </row>
    <row r="939" spans="2:10" ht="15" customHeight="1">
      <c r="B939" s="47" t="s">
        <v>256</v>
      </c>
      <c r="C939" s="50" t="s">
        <v>257</v>
      </c>
      <c r="D939" s="50" t="s">
        <v>2066</v>
      </c>
      <c r="E939" s="50" t="s">
        <v>2248</v>
      </c>
      <c r="F939" s="51">
        <v>26.545819190066094</v>
      </c>
      <c r="G939" s="51">
        <v>26.636419190066096</v>
      </c>
      <c r="H939" s="51">
        <v>16.420000000000002</v>
      </c>
      <c r="I939" s="52">
        <v>3004</v>
      </c>
      <c r="J939" s="50" t="s">
        <v>19</v>
      </c>
    </row>
    <row r="940" spans="2:10" ht="15" customHeight="1">
      <c r="B940" s="47" t="s">
        <v>1013</v>
      </c>
      <c r="C940" s="50" t="s">
        <v>1014</v>
      </c>
      <c r="D940" s="50" t="s">
        <v>2066</v>
      </c>
      <c r="E940" s="50" t="s">
        <v>2248</v>
      </c>
      <c r="F940" s="51">
        <v>26.465362602146673</v>
      </c>
      <c r="G940" s="51">
        <v>26.528962602146674</v>
      </c>
      <c r="H940" s="51">
        <v>17.45</v>
      </c>
      <c r="I940" s="52">
        <v>3011</v>
      </c>
      <c r="J940" s="50" t="s">
        <v>19</v>
      </c>
    </row>
    <row r="941" spans="2:10" ht="15" customHeight="1">
      <c r="B941" s="47" t="s">
        <v>1015</v>
      </c>
      <c r="C941" s="50" t="s">
        <v>1016</v>
      </c>
      <c r="D941" s="50" t="s">
        <v>2066</v>
      </c>
      <c r="E941" s="50" t="s">
        <v>2248</v>
      </c>
      <c r="F941" s="51">
        <v>26.398011563914906</v>
      </c>
      <c r="G941" s="51">
        <v>26.459911563914908</v>
      </c>
      <c r="H941" s="51">
        <v>17.45</v>
      </c>
      <c r="I941" s="52">
        <v>3017</v>
      </c>
      <c r="J941" s="50" t="s">
        <v>19</v>
      </c>
    </row>
    <row r="942" spans="2:10" ht="15" customHeight="1">
      <c r="B942" s="47" t="s">
        <v>258</v>
      </c>
      <c r="C942" s="50" t="s">
        <v>259</v>
      </c>
      <c r="D942" s="50" t="s">
        <v>2066</v>
      </c>
      <c r="E942" s="50" t="s">
        <v>2248</v>
      </c>
      <c r="F942" s="51">
        <v>26.465362602146673</v>
      </c>
      <c r="G942" s="51">
        <v>26.528962602146674</v>
      </c>
      <c r="H942" s="51">
        <v>17.45</v>
      </c>
      <c r="I942" s="52">
        <v>3011</v>
      </c>
      <c r="J942" s="50" t="s">
        <v>19</v>
      </c>
    </row>
    <row r="943" spans="2:10" ht="15" customHeight="1">
      <c r="B943" s="47" t="s">
        <v>1017</v>
      </c>
      <c r="C943" s="50" t="s">
        <v>1018</v>
      </c>
      <c r="D943" s="50" t="s">
        <v>2066</v>
      </c>
      <c r="E943" s="50" t="s">
        <v>2248</v>
      </c>
      <c r="F943" s="51">
        <v>97.637995838606798</v>
      </c>
      <c r="G943" s="51">
        <v>104.0629958386068</v>
      </c>
      <c r="H943" s="51">
        <v>17.59</v>
      </c>
      <c r="I943" s="52">
        <v>103</v>
      </c>
      <c r="J943" s="50" t="s">
        <v>19</v>
      </c>
    </row>
    <row r="944" spans="2:10">
      <c r="B944" s="47" t="s">
        <v>1019</v>
      </c>
      <c r="C944" s="50" t="s">
        <v>1020</v>
      </c>
      <c r="D944" s="50" t="s">
        <v>2066</v>
      </c>
      <c r="E944" s="50" t="s">
        <v>2248</v>
      </c>
      <c r="F944" s="51">
        <v>85.128566506920251</v>
      </c>
      <c r="G944" s="51">
        <v>86.378566506920251</v>
      </c>
      <c r="H944" s="51">
        <v>17.28</v>
      </c>
      <c r="I944" s="52">
        <v>660</v>
      </c>
      <c r="J944" s="50" t="s">
        <v>19</v>
      </c>
    </row>
    <row r="945" spans="2:10">
      <c r="B945" s="47" t="s">
        <v>1021</v>
      </c>
      <c r="C945" s="50" t="s">
        <v>1022</v>
      </c>
      <c r="D945" s="50" t="s">
        <v>2064</v>
      </c>
      <c r="E945" s="50" t="s">
        <v>2248</v>
      </c>
      <c r="F945" s="51">
        <v>590</v>
      </c>
      <c r="G945" s="51">
        <v>590</v>
      </c>
      <c r="H945" s="51">
        <v>0</v>
      </c>
      <c r="I945" s="52">
        <v>0</v>
      </c>
      <c r="J945" s="50" t="s">
        <v>1786</v>
      </c>
    </row>
    <row r="946" spans="2:10">
      <c r="B946" s="47" t="s">
        <v>1298</v>
      </c>
      <c r="C946" s="50" t="s">
        <v>1299</v>
      </c>
      <c r="D946" s="50" t="s">
        <v>2064</v>
      </c>
      <c r="E946" s="50" t="s">
        <v>1300</v>
      </c>
      <c r="F946" s="51">
        <v>188504.34300000002</v>
      </c>
      <c r="G946" s="51">
        <v>188504.34300000002</v>
      </c>
      <c r="H946" s="51">
        <v>0</v>
      </c>
      <c r="I946" s="52">
        <v>0</v>
      </c>
      <c r="J946" s="50" t="s">
        <v>1786</v>
      </c>
    </row>
    <row r="947" spans="2:10">
      <c r="B947" s="47" t="s">
        <v>2285</v>
      </c>
      <c r="C947" s="50" t="s">
        <v>2286</v>
      </c>
      <c r="D947" s="50" t="s">
        <v>2066</v>
      </c>
      <c r="E947" s="50" t="s">
        <v>2237</v>
      </c>
      <c r="F947" s="51">
        <v>91.702100000000002</v>
      </c>
      <c r="G947" s="51">
        <v>94.752099999999999</v>
      </c>
      <c r="H947" s="51">
        <v>22</v>
      </c>
      <c r="I947" s="52">
        <v>1019</v>
      </c>
      <c r="J947" s="50" t="s">
        <v>19</v>
      </c>
    </row>
    <row r="948" spans="2:10">
      <c r="B948" s="47" t="s">
        <v>1777</v>
      </c>
      <c r="C948" s="50" t="s">
        <v>1778</v>
      </c>
      <c r="D948" s="50" t="s">
        <v>2066</v>
      </c>
      <c r="E948" s="50" t="s">
        <v>2237</v>
      </c>
      <c r="F948" s="51">
        <v>99.742151406475855</v>
      </c>
      <c r="G948" s="51">
        <v>100.51995140647585</v>
      </c>
      <c r="H948" s="51">
        <v>21.2</v>
      </c>
      <c r="I948" s="52">
        <v>76</v>
      </c>
      <c r="J948" s="50" t="s">
        <v>19</v>
      </c>
    </row>
    <row r="949" spans="2:10">
      <c r="B949" s="47" t="s">
        <v>1765</v>
      </c>
      <c r="C949" s="50" t="s">
        <v>1766</v>
      </c>
      <c r="D949" s="50" t="s">
        <v>2066</v>
      </c>
      <c r="E949" s="50" t="s">
        <v>2237</v>
      </c>
      <c r="F949" s="51">
        <v>99.752856759695291</v>
      </c>
      <c r="G949" s="51">
        <v>100.80845675969529</v>
      </c>
      <c r="H949" s="51">
        <v>21.2</v>
      </c>
      <c r="I949" s="52">
        <v>71</v>
      </c>
      <c r="J949" s="50" t="s">
        <v>19</v>
      </c>
    </row>
    <row r="950" spans="2:10">
      <c r="B950" s="47" t="s">
        <v>1385</v>
      </c>
      <c r="C950" s="50" t="s">
        <v>1386</v>
      </c>
      <c r="D950" s="50" t="s">
        <v>2064</v>
      </c>
      <c r="E950" s="50" t="s">
        <v>1387</v>
      </c>
      <c r="F950" s="51">
        <v>98656.528900000019</v>
      </c>
      <c r="G950" s="51">
        <v>98656.528900000019</v>
      </c>
      <c r="H950" s="51">
        <v>0</v>
      </c>
      <c r="I950" s="52">
        <v>0</v>
      </c>
      <c r="J950" s="50" t="s">
        <v>1786</v>
      </c>
    </row>
    <row r="951" spans="2:10">
      <c r="B951" s="47" t="s">
        <v>1359</v>
      </c>
      <c r="C951" s="50" t="s">
        <v>1360</v>
      </c>
      <c r="D951" s="50" t="s">
        <v>2064</v>
      </c>
      <c r="E951" s="50" t="s">
        <v>1361</v>
      </c>
      <c r="F951" s="51">
        <v>15649.467950000002</v>
      </c>
      <c r="G951" s="51">
        <v>15649.467950000002</v>
      </c>
      <c r="H951" s="51">
        <v>0</v>
      </c>
      <c r="I951" s="52">
        <v>0</v>
      </c>
      <c r="J951" s="50" t="s">
        <v>1786</v>
      </c>
    </row>
    <row r="952" spans="2:10">
      <c r="B952" s="47" t="s">
        <v>1318</v>
      </c>
      <c r="C952" s="50" t="s">
        <v>1319</v>
      </c>
      <c r="D952" s="50" t="s">
        <v>2064</v>
      </c>
      <c r="E952" s="50" t="s">
        <v>1320</v>
      </c>
      <c r="F952" s="51">
        <v>51134.697100000012</v>
      </c>
      <c r="G952" s="51">
        <v>51134.697100000012</v>
      </c>
      <c r="H952" s="51">
        <v>0</v>
      </c>
      <c r="I952" s="52">
        <v>0</v>
      </c>
      <c r="J952" s="50" t="s">
        <v>1786</v>
      </c>
    </row>
    <row r="953" spans="2:10">
      <c r="B953" s="47" t="s">
        <v>1023</v>
      </c>
      <c r="C953" s="50" t="s">
        <v>1024</v>
      </c>
      <c r="D953" s="50" t="s">
        <v>2064</v>
      </c>
      <c r="E953" s="50" t="s">
        <v>2238</v>
      </c>
      <c r="F953" s="51">
        <v>230803</v>
      </c>
      <c r="G953" s="51">
        <v>230803</v>
      </c>
      <c r="H953" s="51">
        <v>0</v>
      </c>
      <c r="I953" s="52">
        <v>0</v>
      </c>
      <c r="J953" s="50" t="s">
        <v>1786</v>
      </c>
    </row>
    <row r="954" spans="2:10">
      <c r="B954" s="47" t="s">
        <v>1380</v>
      </c>
      <c r="C954" s="50" t="s">
        <v>1381</v>
      </c>
      <c r="D954" s="50" t="s">
        <v>2110</v>
      </c>
      <c r="E954" s="50" t="s">
        <v>1282</v>
      </c>
      <c r="F954" s="51">
        <v>22990.961000000003</v>
      </c>
      <c r="G954" s="51">
        <v>22990.961000000003</v>
      </c>
      <c r="H954" s="51">
        <v>0</v>
      </c>
      <c r="I954" s="52">
        <v>0</v>
      </c>
      <c r="J954" s="50" t="s">
        <v>1786</v>
      </c>
    </row>
    <row r="955" spans="2:10">
      <c r="B955" s="47" t="s">
        <v>1109</v>
      </c>
      <c r="C955" s="50" t="s">
        <v>1110</v>
      </c>
      <c r="D955" s="50" t="s">
        <v>2066</v>
      </c>
      <c r="E955" s="50" t="s">
        <v>2239</v>
      </c>
      <c r="F955" s="51">
        <v>97.9375</v>
      </c>
      <c r="G955" s="51">
        <v>98.196399999999997</v>
      </c>
      <c r="H955" s="51">
        <v>3.82</v>
      </c>
      <c r="I955" s="52">
        <v>2714</v>
      </c>
      <c r="J955" s="50" t="s">
        <v>19</v>
      </c>
    </row>
    <row r="956" spans="2:10">
      <c r="B956" s="47" t="s">
        <v>1192</v>
      </c>
      <c r="C956" s="50" t="s">
        <v>1193</v>
      </c>
      <c r="D956" s="50" t="s">
        <v>2066</v>
      </c>
      <c r="E956" s="50" t="s">
        <v>2239</v>
      </c>
      <c r="F956" s="51">
        <v>100.0625</v>
      </c>
      <c r="G956" s="51">
        <v>100.34910000000001</v>
      </c>
      <c r="H956" s="51">
        <v>3.87</v>
      </c>
      <c r="I956" s="52">
        <v>2895</v>
      </c>
      <c r="J956" s="50" t="s">
        <v>19</v>
      </c>
    </row>
    <row r="957" spans="2:10">
      <c r="B957" s="47" t="s">
        <v>1173</v>
      </c>
      <c r="C957" s="50" t="s">
        <v>1174</v>
      </c>
      <c r="D957" s="50" t="s">
        <v>2066</v>
      </c>
      <c r="E957" s="50" t="s">
        <v>2239</v>
      </c>
      <c r="F957" s="51">
        <v>108.6875</v>
      </c>
      <c r="G957" s="51">
        <v>109.0851</v>
      </c>
      <c r="H957" s="51">
        <v>3.6</v>
      </c>
      <c r="I957" s="52">
        <v>1983</v>
      </c>
      <c r="J957" s="50" t="s">
        <v>19</v>
      </c>
    </row>
    <row r="958" spans="2:10">
      <c r="B958" s="47" t="s">
        <v>1223</v>
      </c>
      <c r="C958" s="50" t="s">
        <v>1224</v>
      </c>
      <c r="D958" s="50" t="s">
        <v>2066</v>
      </c>
      <c r="E958" s="50" t="s">
        <v>2239</v>
      </c>
      <c r="F958" s="51">
        <v>97.62109375</v>
      </c>
      <c r="G958" s="51">
        <v>97.971093749999994</v>
      </c>
      <c r="H958" s="51">
        <v>3.63</v>
      </c>
      <c r="I958" s="52">
        <v>476</v>
      </c>
      <c r="J958" s="50" t="s">
        <v>19</v>
      </c>
    </row>
    <row r="959" spans="2:10">
      <c r="B959" s="47" t="s">
        <v>1165</v>
      </c>
      <c r="C959" s="50" t="s">
        <v>1166</v>
      </c>
      <c r="D959" s="50" t="s">
        <v>2066</v>
      </c>
      <c r="E959" s="50" t="s">
        <v>2239</v>
      </c>
      <c r="F959" s="51">
        <v>93.453125</v>
      </c>
      <c r="G959" s="51">
        <v>93.728125000000006</v>
      </c>
      <c r="H959" s="51">
        <v>3.49</v>
      </c>
      <c r="I959" s="52">
        <v>1207</v>
      </c>
      <c r="J959" s="50" t="s">
        <v>19</v>
      </c>
    </row>
    <row r="960" spans="2:10">
      <c r="B960" s="47" t="s">
        <v>1143</v>
      </c>
      <c r="C960" s="50" t="s">
        <v>1144</v>
      </c>
      <c r="D960" s="50" t="s">
        <v>2066</v>
      </c>
      <c r="E960" s="50" t="s">
        <v>2239</v>
      </c>
      <c r="F960" s="51">
        <v>88</v>
      </c>
      <c r="G960" s="51">
        <v>88.083200000000005</v>
      </c>
      <c r="H960" s="51">
        <v>3.58</v>
      </c>
      <c r="I960" s="52">
        <v>1983</v>
      </c>
      <c r="J960" s="50" t="s">
        <v>19</v>
      </c>
    </row>
    <row r="961" spans="2:10">
      <c r="B961" s="47" t="s">
        <v>1659</v>
      </c>
      <c r="C961" s="50" t="s">
        <v>1660</v>
      </c>
      <c r="D961" s="50" t="s">
        <v>2066</v>
      </c>
      <c r="E961" s="50" t="s">
        <v>2239</v>
      </c>
      <c r="F961" s="51">
        <v>99.296875</v>
      </c>
      <c r="G961" s="51">
        <v>99.356475000000003</v>
      </c>
      <c r="H961" s="51">
        <v>0.9</v>
      </c>
      <c r="I961" s="52">
        <v>491</v>
      </c>
      <c r="J961" s="50" t="s">
        <v>19</v>
      </c>
    </row>
    <row r="962" spans="2:10">
      <c r="B962" s="47" t="s">
        <v>1208</v>
      </c>
      <c r="C962" s="50" t="s">
        <v>1209</v>
      </c>
      <c r="D962" s="50" t="s">
        <v>2066</v>
      </c>
      <c r="E962" s="50" t="s">
        <v>2239</v>
      </c>
      <c r="F962" s="51">
        <v>100.04660506110426</v>
      </c>
      <c r="G962" s="51">
        <v>102.29320506110426</v>
      </c>
      <c r="H962" s="51">
        <v>4.05</v>
      </c>
      <c r="I962" s="52">
        <v>19</v>
      </c>
      <c r="J962" s="50" t="s">
        <v>19</v>
      </c>
    </row>
    <row r="963" spans="2:10">
      <c r="B963" s="47" t="s">
        <v>1151</v>
      </c>
      <c r="C963" s="50" t="s">
        <v>1152</v>
      </c>
      <c r="D963" s="50" t="s">
        <v>2066</v>
      </c>
      <c r="E963" s="50" t="s">
        <v>2239</v>
      </c>
      <c r="F963" s="51">
        <v>100.18952093017069</v>
      </c>
      <c r="G963" s="51">
        <v>101.56522093017068</v>
      </c>
      <c r="H963" s="51">
        <v>3.97</v>
      </c>
      <c r="I963" s="52">
        <v>80</v>
      </c>
      <c r="J963" s="50" t="s">
        <v>19</v>
      </c>
    </row>
    <row r="964" spans="2:10">
      <c r="B964" s="47" t="s">
        <v>1798</v>
      </c>
      <c r="C964" s="50" t="s">
        <v>1799</v>
      </c>
      <c r="D964" s="50" t="s">
        <v>2066</v>
      </c>
      <c r="E964" s="50" t="s">
        <v>2239</v>
      </c>
      <c r="F964" s="51">
        <v>101.0625</v>
      </c>
      <c r="G964" s="51">
        <v>102.57040000000001</v>
      </c>
      <c r="H964" s="51">
        <v>3.69</v>
      </c>
      <c r="I964" s="52">
        <v>430</v>
      </c>
      <c r="J964" s="50" t="s">
        <v>19</v>
      </c>
    </row>
    <row r="965" spans="2:10">
      <c r="B965" s="47" t="s">
        <v>1745</v>
      </c>
      <c r="C965" s="50" t="s">
        <v>1746</v>
      </c>
      <c r="D965" s="50" t="s">
        <v>2066</v>
      </c>
      <c r="E965" s="50" t="s">
        <v>2239</v>
      </c>
      <c r="F965" s="51">
        <v>104.9296875</v>
      </c>
      <c r="G965" s="51">
        <v>106.2347875</v>
      </c>
      <c r="H965" s="51">
        <v>3.66</v>
      </c>
      <c r="I965" s="52">
        <v>2088</v>
      </c>
      <c r="J965" s="50" t="s">
        <v>19</v>
      </c>
    </row>
    <row r="966" spans="2:10">
      <c r="B966" s="47" t="s">
        <v>1747</v>
      </c>
      <c r="C966" s="50" t="s">
        <v>1748</v>
      </c>
      <c r="D966" s="50" t="s">
        <v>2066</v>
      </c>
      <c r="E966" s="50" t="s">
        <v>2239</v>
      </c>
      <c r="F966" s="51">
        <v>103.1875</v>
      </c>
      <c r="G966" s="51">
        <v>104.6139</v>
      </c>
      <c r="H966" s="51">
        <v>3.94</v>
      </c>
      <c r="I966" s="52">
        <v>3168</v>
      </c>
      <c r="J966" s="50" t="s">
        <v>19</v>
      </c>
    </row>
    <row r="967" spans="2:10">
      <c r="B967" s="47" t="s">
        <v>1838</v>
      </c>
      <c r="C967" s="50" t="s">
        <v>1839</v>
      </c>
      <c r="D967" s="50" t="s">
        <v>2066</v>
      </c>
      <c r="E967" s="50" t="s">
        <v>2239</v>
      </c>
      <c r="F967" s="51">
        <v>99.752350934312375</v>
      </c>
      <c r="G967" s="51">
        <v>99.752350934312375</v>
      </c>
      <c r="H967" s="51">
        <v>4.26</v>
      </c>
      <c r="I967" s="52">
        <v>21</v>
      </c>
      <c r="J967" s="50" t="s">
        <v>19</v>
      </c>
    </row>
    <row r="968" spans="2:10">
      <c r="B968" s="47" t="s">
        <v>1800</v>
      </c>
      <c r="C968" s="50" t="s">
        <v>1801</v>
      </c>
      <c r="D968" s="50" t="s">
        <v>2066</v>
      </c>
      <c r="E968" s="50" t="s">
        <v>2239</v>
      </c>
      <c r="F968" s="51">
        <v>100.359375</v>
      </c>
      <c r="G968" s="51">
        <v>100.49877499999999</v>
      </c>
      <c r="H968" s="51">
        <v>3.84</v>
      </c>
      <c r="I968" s="52">
        <v>170</v>
      </c>
      <c r="J968" s="50" t="s">
        <v>19</v>
      </c>
    </row>
    <row r="969" spans="2:10">
      <c r="B969" s="47" t="s">
        <v>1802</v>
      </c>
      <c r="C969" s="50" t="s">
        <v>1803</v>
      </c>
      <c r="D969" s="50" t="s">
        <v>2066</v>
      </c>
      <c r="E969" s="50" t="s">
        <v>2239</v>
      </c>
      <c r="F969" s="51">
        <v>100.12890625</v>
      </c>
      <c r="G969" s="51">
        <v>100.61790625</v>
      </c>
      <c r="H969" s="51">
        <v>3.9</v>
      </c>
      <c r="I969" s="52">
        <v>142</v>
      </c>
      <c r="J969" s="50" t="s">
        <v>19</v>
      </c>
    </row>
    <row r="970" spans="2:10">
      <c r="B970" s="47" t="s">
        <v>1832</v>
      </c>
      <c r="C970" s="50" t="s">
        <v>1833</v>
      </c>
      <c r="D970" s="50" t="s">
        <v>2066</v>
      </c>
      <c r="E970" s="50" t="s">
        <v>2239</v>
      </c>
      <c r="F970" s="51">
        <v>97.73828125</v>
      </c>
      <c r="G970" s="51">
        <v>98.334881249999995</v>
      </c>
      <c r="H970" s="51">
        <v>3.67</v>
      </c>
      <c r="I970" s="52">
        <v>415</v>
      </c>
      <c r="J970" s="50" t="s">
        <v>19</v>
      </c>
    </row>
    <row r="971" spans="2:10">
      <c r="B971" s="47" t="s">
        <v>1834</v>
      </c>
      <c r="C971" s="50" t="s">
        <v>1835</v>
      </c>
      <c r="D971" s="50" t="s">
        <v>2066</v>
      </c>
      <c r="E971" s="50" t="s">
        <v>2239</v>
      </c>
      <c r="F971" s="51">
        <v>101.703125</v>
      </c>
      <c r="G971" s="51">
        <v>103.25172499999999</v>
      </c>
      <c r="H971" s="51">
        <v>4.6100000000000003</v>
      </c>
      <c r="I971" s="52">
        <v>6639</v>
      </c>
      <c r="J971" s="50" t="s">
        <v>19</v>
      </c>
    </row>
    <row r="972" spans="2:10">
      <c r="B972" s="47" t="s">
        <v>1989</v>
      </c>
      <c r="C972" s="50" t="s">
        <v>1990</v>
      </c>
      <c r="D972" s="50" t="s">
        <v>2066</v>
      </c>
      <c r="E972" s="50" t="s">
        <v>2239</v>
      </c>
      <c r="F972" s="51">
        <v>99.444766719151403</v>
      </c>
      <c r="G972" s="51">
        <v>99.444766719151403</v>
      </c>
      <c r="H972" s="51">
        <v>4.0999999999999996</v>
      </c>
      <c r="I972" s="52">
        <v>49</v>
      </c>
      <c r="J972" s="50" t="s">
        <v>19</v>
      </c>
    </row>
    <row r="973" spans="2:10">
      <c r="B973" s="47" t="s">
        <v>1991</v>
      </c>
      <c r="C973" s="50" t="s">
        <v>1992</v>
      </c>
      <c r="D973" s="50" t="s">
        <v>2066</v>
      </c>
      <c r="E973" s="50" t="s">
        <v>2239</v>
      </c>
      <c r="F973" s="51">
        <v>99.14765378437987</v>
      </c>
      <c r="G973" s="51">
        <v>99.14765378437987</v>
      </c>
      <c r="H973" s="51">
        <v>3.97</v>
      </c>
      <c r="I973" s="52">
        <v>77</v>
      </c>
      <c r="J973" s="50" t="s">
        <v>19</v>
      </c>
    </row>
    <row r="974" spans="2:10">
      <c r="B974" s="47" t="s">
        <v>1993</v>
      </c>
      <c r="C974" s="50" t="s">
        <v>1994</v>
      </c>
      <c r="D974" s="50" t="s">
        <v>2066</v>
      </c>
      <c r="E974" s="50" t="s">
        <v>2239</v>
      </c>
      <c r="F974" s="51">
        <v>98.863322967768411</v>
      </c>
      <c r="G974" s="51">
        <v>98.863322967768411</v>
      </c>
      <c r="H974" s="51">
        <v>3.9</v>
      </c>
      <c r="I974" s="52">
        <v>105</v>
      </c>
      <c r="J974" s="50" t="s">
        <v>19</v>
      </c>
    </row>
    <row r="975" spans="2:10">
      <c r="B975" s="47" t="s">
        <v>1995</v>
      </c>
      <c r="C975" s="50" t="s">
        <v>1996</v>
      </c>
      <c r="D975" s="50" t="s">
        <v>2066</v>
      </c>
      <c r="E975" s="50" t="s">
        <v>2239</v>
      </c>
      <c r="F975" s="51">
        <v>98.606187839583626</v>
      </c>
      <c r="G975" s="51">
        <v>98.606187839583626</v>
      </c>
      <c r="H975" s="51">
        <v>3.83</v>
      </c>
      <c r="I975" s="52">
        <v>131</v>
      </c>
      <c r="J975" s="50" t="s">
        <v>19</v>
      </c>
    </row>
    <row r="976" spans="2:10">
      <c r="B976" s="47" t="s">
        <v>1999</v>
      </c>
      <c r="C976" s="50" t="s">
        <v>2000</v>
      </c>
      <c r="D976" s="50" t="s">
        <v>2066</v>
      </c>
      <c r="E976" s="50" t="s">
        <v>2239</v>
      </c>
      <c r="F976" s="51">
        <v>98.339416035962728</v>
      </c>
      <c r="G976" s="51">
        <v>98.339416035962728</v>
      </c>
      <c r="H976" s="51">
        <v>3.78</v>
      </c>
      <c r="I976" s="52">
        <v>158</v>
      </c>
      <c r="J976" s="50" t="s">
        <v>19</v>
      </c>
    </row>
    <row r="977" spans="2:10">
      <c r="B977" s="47" t="s">
        <v>2001</v>
      </c>
      <c r="C977" s="50" t="s">
        <v>2002</v>
      </c>
      <c r="D977" s="50" t="s">
        <v>2066</v>
      </c>
      <c r="E977" s="50" t="s">
        <v>2239</v>
      </c>
      <c r="F977" s="51">
        <v>98.110019485739983</v>
      </c>
      <c r="G977" s="51">
        <v>98.110019485739983</v>
      </c>
      <c r="H977" s="51">
        <v>3.67</v>
      </c>
      <c r="I977" s="52">
        <v>188</v>
      </c>
      <c r="J977" s="50" t="s">
        <v>19</v>
      </c>
    </row>
    <row r="978" spans="2:10">
      <c r="B978" s="47" t="s">
        <v>2270</v>
      </c>
      <c r="C978" s="50" t="s">
        <v>2271</v>
      </c>
      <c r="D978" s="50" t="s">
        <v>2066</v>
      </c>
      <c r="E978" s="50" t="s">
        <v>2239</v>
      </c>
      <c r="F978" s="51">
        <v>100.640625</v>
      </c>
      <c r="G978" s="51">
        <v>101.115325</v>
      </c>
      <c r="H978" s="51">
        <v>3.65</v>
      </c>
      <c r="I978" s="52">
        <v>507</v>
      </c>
      <c r="J978" s="50" t="s">
        <v>19</v>
      </c>
    </row>
    <row r="979" spans="2:10">
      <c r="B979" s="47" t="s">
        <v>2272</v>
      </c>
      <c r="C979" s="50" t="s">
        <v>2273</v>
      </c>
      <c r="D979" s="50" t="s">
        <v>2066</v>
      </c>
      <c r="E979" s="50" t="s">
        <v>2239</v>
      </c>
      <c r="F979" s="51">
        <v>97.85781096969751</v>
      </c>
      <c r="G979" s="51">
        <v>97.85781096969751</v>
      </c>
      <c r="H979" s="51">
        <v>3.63</v>
      </c>
      <c r="I979" s="52">
        <v>215</v>
      </c>
      <c r="J979" s="50" t="s">
        <v>19</v>
      </c>
    </row>
    <row r="980" spans="2:10">
      <c r="B980" s="47" t="s">
        <v>2274</v>
      </c>
      <c r="C980" s="50" t="s">
        <v>2275</v>
      </c>
      <c r="D980" s="50" t="s">
        <v>2066</v>
      </c>
      <c r="E980" s="50" t="s">
        <v>2239</v>
      </c>
      <c r="F980" s="51">
        <v>97.610455381244066</v>
      </c>
      <c r="G980" s="51">
        <v>97.610455381244066</v>
      </c>
      <c r="H980" s="51">
        <v>3.6</v>
      </c>
      <c r="I980" s="52">
        <v>243</v>
      </c>
      <c r="J980" s="50" t="s">
        <v>19</v>
      </c>
    </row>
    <row r="981" spans="2:10">
      <c r="B981" s="47" t="s">
        <v>2276</v>
      </c>
      <c r="C981" s="50" t="s">
        <v>2277</v>
      </c>
      <c r="D981" s="50" t="s">
        <v>2066</v>
      </c>
      <c r="E981" s="50" t="s">
        <v>2239</v>
      </c>
      <c r="F981" s="51">
        <v>99.849373060347929</v>
      </c>
      <c r="G981" s="51">
        <v>99.849373060347929</v>
      </c>
      <c r="H981" s="51">
        <v>4.53</v>
      </c>
      <c r="I981" s="52">
        <v>12</v>
      </c>
      <c r="J981" s="50" t="s">
        <v>19</v>
      </c>
    </row>
    <row r="982" spans="2:10">
      <c r="B982" s="47" t="s">
        <v>1212</v>
      </c>
      <c r="C982" s="50" t="s">
        <v>1213</v>
      </c>
      <c r="D982" s="50" t="s">
        <v>2066</v>
      </c>
      <c r="E982" s="50" t="s">
        <v>2239</v>
      </c>
      <c r="F982" s="51">
        <v>109.625</v>
      </c>
      <c r="G982" s="51">
        <v>110.07810000000001</v>
      </c>
      <c r="H982" s="51">
        <v>3.48</v>
      </c>
      <c r="I982" s="52">
        <v>1434</v>
      </c>
      <c r="J982" s="50" t="s">
        <v>19</v>
      </c>
    </row>
    <row r="983" spans="2:10">
      <c r="B983" s="47" t="s">
        <v>1251</v>
      </c>
      <c r="C983" s="50" t="s">
        <v>1252</v>
      </c>
      <c r="D983" s="50" t="s">
        <v>2066</v>
      </c>
      <c r="E983" s="50" t="s">
        <v>2239</v>
      </c>
      <c r="F983" s="51">
        <v>87.2890625</v>
      </c>
      <c r="G983" s="51">
        <v>87.574362500000007</v>
      </c>
      <c r="H983" s="51">
        <v>3.59</v>
      </c>
      <c r="I983" s="52">
        <v>1891</v>
      </c>
      <c r="J983" s="50" t="s">
        <v>19</v>
      </c>
    </row>
    <row r="984" spans="2:10">
      <c r="B984" s="47" t="s">
        <v>1149</v>
      </c>
      <c r="C984" s="50" t="s">
        <v>1150</v>
      </c>
      <c r="D984" s="50" t="s">
        <v>2066</v>
      </c>
      <c r="E984" s="50" t="s">
        <v>2239</v>
      </c>
      <c r="F984" s="51">
        <v>78.59375</v>
      </c>
      <c r="G984" s="51">
        <v>79.571849999999998</v>
      </c>
      <c r="H984" s="51">
        <v>4.71</v>
      </c>
      <c r="I984" s="52">
        <v>7005</v>
      </c>
      <c r="J984" s="50" t="s">
        <v>19</v>
      </c>
    </row>
    <row r="985" spans="2:10">
      <c r="B985" s="47" t="s">
        <v>1157</v>
      </c>
      <c r="C985" s="50" t="s">
        <v>1158</v>
      </c>
      <c r="D985" s="50" t="s">
        <v>2066</v>
      </c>
      <c r="E985" s="50" t="s">
        <v>2239</v>
      </c>
      <c r="F985" s="51">
        <v>74.53125</v>
      </c>
      <c r="G985" s="51">
        <v>75.264849999999996</v>
      </c>
      <c r="H985" s="51">
        <v>4.54</v>
      </c>
      <c r="I985" s="52">
        <v>5725</v>
      </c>
      <c r="J985" s="50" t="s">
        <v>19</v>
      </c>
    </row>
    <row r="986" spans="2:10">
      <c r="B986" s="47" t="s">
        <v>1259</v>
      </c>
      <c r="C986" s="50" t="s">
        <v>1260</v>
      </c>
      <c r="D986" s="50" t="s">
        <v>2066</v>
      </c>
      <c r="E986" s="50" t="s">
        <v>2239</v>
      </c>
      <c r="F986" s="51">
        <v>98.6484375</v>
      </c>
      <c r="G986" s="51">
        <v>98.691637499999999</v>
      </c>
      <c r="H986" s="51">
        <v>3.91</v>
      </c>
      <c r="I986" s="52">
        <v>142</v>
      </c>
      <c r="J986" s="50" t="s">
        <v>19</v>
      </c>
    </row>
    <row r="987" spans="2:10">
      <c r="B987" s="47" t="s">
        <v>1133</v>
      </c>
      <c r="C987" s="50" t="s">
        <v>1134</v>
      </c>
      <c r="D987" s="50" t="s">
        <v>2066</v>
      </c>
      <c r="E987" s="50" t="s">
        <v>2239</v>
      </c>
      <c r="F987" s="51">
        <v>99.85416246951867</v>
      </c>
      <c r="G987" s="51">
        <v>100.95556246951867</v>
      </c>
      <c r="H987" s="51">
        <v>4.0599999999999996</v>
      </c>
      <c r="I987" s="52">
        <v>50</v>
      </c>
      <c r="J987" s="50" t="s">
        <v>19</v>
      </c>
    </row>
    <row r="988" spans="2:10">
      <c r="B988" s="47" t="s">
        <v>1257</v>
      </c>
      <c r="C988" s="50" t="s">
        <v>1258</v>
      </c>
      <c r="D988" s="50" t="s">
        <v>2066</v>
      </c>
      <c r="E988" s="50" t="s">
        <v>2239</v>
      </c>
      <c r="F988" s="51">
        <v>88.828125</v>
      </c>
      <c r="G988" s="51">
        <v>90.132225000000005</v>
      </c>
      <c r="H988" s="51">
        <v>4.7300000000000004</v>
      </c>
      <c r="I988" s="52">
        <v>9927</v>
      </c>
      <c r="J988" s="50" t="s">
        <v>19</v>
      </c>
    </row>
    <row r="989" spans="2:10">
      <c r="B989" s="47" t="s">
        <v>1189</v>
      </c>
      <c r="C989" s="50" t="s">
        <v>1190</v>
      </c>
      <c r="D989" s="50" t="s">
        <v>2066</v>
      </c>
      <c r="E989" s="50" t="s">
        <v>2239</v>
      </c>
      <c r="F989" s="51">
        <v>98.346259821686743</v>
      </c>
      <c r="G989" s="51">
        <v>98.683259821686747</v>
      </c>
      <c r="H989" s="51">
        <v>3.81</v>
      </c>
      <c r="I989" s="52">
        <v>201</v>
      </c>
      <c r="J989" s="50" t="s">
        <v>19</v>
      </c>
    </row>
    <row r="990" spans="2:10">
      <c r="B990" s="47" t="s">
        <v>1255</v>
      </c>
      <c r="C990" s="50" t="s">
        <v>1256</v>
      </c>
      <c r="D990" s="50" t="s">
        <v>2066</v>
      </c>
      <c r="E990" s="50" t="s">
        <v>2239</v>
      </c>
      <c r="F990" s="51">
        <v>97.73828125</v>
      </c>
      <c r="G990" s="51">
        <v>97.913281249999997</v>
      </c>
      <c r="H990" s="51">
        <v>3.77</v>
      </c>
      <c r="I990" s="52">
        <v>292</v>
      </c>
      <c r="J990" s="50" t="s">
        <v>19</v>
      </c>
    </row>
    <row r="991" spans="2:10">
      <c r="B991" s="47" t="s">
        <v>1235</v>
      </c>
      <c r="C991" s="50" t="s">
        <v>1236</v>
      </c>
      <c r="D991" s="50" t="s">
        <v>2066</v>
      </c>
      <c r="E991" s="50" t="s">
        <v>2239</v>
      </c>
      <c r="F991" s="51">
        <v>100.00646642266419</v>
      </c>
      <c r="G991" s="51">
        <v>100.97086642266419</v>
      </c>
      <c r="H991" s="51">
        <v>3.96</v>
      </c>
      <c r="I991" s="52">
        <v>95</v>
      </c>
      <c r="J991" s="50" t="s">
        <v>19</v>
      </c>
    </row>
    <row r="992" spans="2:10">
      <c r="B992" s="47" t="s">
        <v>1169</v>
      </c>
      <c r="C992" s="50" t="s">
        <v>1170</v>
      </c>
      <c r="D992" s="50" t="s">
        <v>2066</v>
      </c>
      <c r="E992" s="50" t="s">
        <v>2239</v>
      </c>
      <c r="F992" s="51">
        <v>99.939279325210791</v>
      </c>
      <c r="G992" s="51">
        <v>101.28717932521079</v>
      </c>
      <c r="H992" s="51">
        <v>4.1500000000000004</v>
      </c>
      <c r="I992" s="52">
        <v>19</v>
      </c>
      <c r="J992" s="50" t="s">
        <v>19</v>
      </c>
    </row>
    <row r="993" spans="2:10">
      <c r="B993" s="47" t="s">
        <v>1239</v>
      </c>
      <c r="C993" s="50" t="s">
        <v>1240</v>
      </c>
      <c r="D993" s="50" t="s">
        <v>2066</v>
      </c>
      <c r="E993" s="50" t="s">
        <v>2239</v>
      </c>
      <c r="F993" s="51">
        <v>94.796875</v>
      </c>
      <c r="G993" s="51">
        <v>95.734174999999993</v>
      </c>
      <c r="H993" s="51">
        <v>3.76</v>
      </c>
      <c r="I993" s="52">
        <v>2438</v>
      </c>
      <c r="J993" s="50" t="s">
        <v>19</v>
      </c>
    </row>
    <row r="994" spans="2:10">
      <c r="B994" s="47" t="s">
        <v>1661</v>
      </c>
      <c r="C994" s="50" t="s">
        <v>1662</v>
      </c>
      <c r="D994" s="50" t="s">
        <v>2066</v>
      </c>
      <c r="E994" s="50" t="s">
        <v>2240</v>
      </c>
      <c r="F994" s="51">
        <v>100</v>
      </c>
      <c r="G994" s="51">
        <v>100.1682</v>
      </c>
      <c r="H994" s="51">
        <v>0.35</v>
      </c>
      <c r="I994" s="52">
        <v>307</v>
      </c>
      <c r="J994" s="50" t="s">
        <v>19</v>
      </c>
    </row>
    <row r="995" spans="2:10">
      <c r="B995" s="47" t="s">
        <v>1600</v>
      </c>
      <c r="C995" s="50" t="s">
        <v>1601</v>
      </c>
      <c r="D995" s="50" t="s">
        <v>2066</v>
      </c>
      <c r="E995" s="50" t="s">
        <v>2240</v>
      </c>
      <c r="F995" s="51">
        <v>100</v>
      </c>
      <c r="G995" s="51">
        <v>100.13420000000001</v>
      </c>
      <c r="H995" s="51">
        <v>0.35</v>
      </c>
      <c r="I995" s="52">
        <v>42</v>
      </c>
      <c r="J995" s="50" t="s">
        <v>19</v>
      </c>
    </row>
    <row r="996" spans="2:10">
      <c r="B996" s="47" t="s">
        <v>2292</v>
      </c>
      <c r="C996" s="50" t="s">
        <v>2293</v>
      </c>
      <c r="D996" s="50" t="s">
        <v>2066</v>
      </c>
      <c r="E996" s="50" t="s">
        <v>2240</v>
      </c>
      <c r="F996" s="51">
        <v>100</v>
      </c>
      <c r="G996" s="51">
        <v>100.0535</v>
      </c>
      <c r="H996" s="51">
        <v>0.35</v>
      </c>
      <c r="I996" s="52">
        <v>665</v>
      </c>
      <c r="J996" s="50" t="s">
        <v>19</v>
      </c>
    </row>
    <row r="997" spans="2:10">
      <c r="B997" s="47" t="s">
        <v>1025</v>
      </c>
      <c r="C997" s="50" t="s">
        <v>1026</v>
      </c>
      <c r="D997" s="50" t="s">
        <v>2066</v>
      </c>
      <c r="E997" s="50" t="s">
        <v>2240</v>
      </c>
      <c r="F997" s="51">
        <v>100</v>
      </c>
      <c r="G997" s="51">
        <v>100.0031</v>
      </c>
      <c r="H997" s="51">
        <v>0.02</v>
      </c>
      <c r="I997" s="52">
        <v>3079</v>
      </c>
      <c r="J997" s="50" t="s">
        <v>19</v>
      </c>
    </row>
    <row r="998" spans="2:10">
      <c r="B998" s="47" t="s">
        <v>2338</v>
      </c>
      <c r="C998" s="50" t="s">
        <v>2339</v>
      </c>
      <c r="D998" s="50" t="s">
        <v>2066</v>
      </c>
      <c r="E998" s="50" t="s">
        <v>2240</v>
      </c>
      <c r="F998" s="51">
        <v>90.439602311929406</v>
      </c>
      <c r="G998" s="51">
        <v>92.512402311929407</v>
      </c>
      <c r="H998" s="51">
        <v>20.49</v>
      </c>
      <c r="I998" s="52">
        <v>3559</v>
      </c>
      <c r="J998" s="50" t="s">
        <v>19</v>
      </c>
    </row>
    <row r="999" spans="2:10">
      <c r="B999" s="47" t="s">
        <v>2409</v>
      </c>
      <c r="C999" s="50" t="s">
        <v>2410</v>
      </c>
      <c r="D999" s="50" t="s">
        <v>2066</v>
      </c>
      <c r="E999" s="50" t="s">
        <v>2240</v>
      </c>
      <c r="F999" s="51">
        <v>93.426943820692159</v>
      </c>
      <c r="G999" s="51">
        <v>94.056943820692155</v>
      </c>
      <c r="H999" s="51">
        <v>20.48</v>
      </c>
      <c r="I999" s="52">
        <v>3588</v>
      </c>
      <c r="J999" s="50" t="s">
        <v>19</v>
      </c>
    </row>
    <row r="1000" spans="2:10">
      <c r="B1000" s="47" t="s">
        <v>2437</v>
      </c>
      <c r="C1000" s="50" t="s">
        <v>2438</v>
      </c>
      <c r="D1000" s="50" t="s">
        <v>2066</v>
      </c>
      <c r="E1000" s="50" t="s">
        <v>2240</v>
      </c>
      <c r="F1000" s="51">
        <v>93.398237707612424</v>
      </c>
      <c r="G1000" s="51">
        <v>93.818237707612425</v>
      </c>
      <c r="H1000" s="51">
        <v>20.49</v>
      </c>
      <c r="I1000" s="52">
        <v>3592</v>
      </c>
      <c r="J1000" s="50" t="s">
        <v>19</v>
      </c>
    </row>
    <row r="1001" spans="2:10">
      <c r="B1001" s="47" t="s">
        <v>1027</v>
      </c>
      <c r="C1001" s="50" t="s">
        <v>1028</v>
      </c>
      <c r="D1001" s="50" t="s">
        <v>2064</v>
      </c>
      <c r="E1001" s="50" t="s">
        <v>2241</v>
      </c>
      <c r="F1001" s="51">
        <v>0.01</v>
      </c>
      <c r="G1001" s="51">
        <v>0.01</v>
      </c>
      <c r="H1001" s="51">
        <v>0</v>
      </c>
      <c r="I1001" s="52">
        <v>0</v>
      </c>
      <c r="J1001" s="50" t="s">
        <v>1786</v>
      </c>
    </row>
    <row r="1002" spans="2:10">
      <c r="B1002" s="47" t="s">
        <v>1029</v>
      </c>
      <c r="C1002" s="50" t="s">
        <v>1030</v>
      </c>
      <c r="D1002" s="50" t="s">
        <v>2064</v>
      </c>
      <c r="E1002" s="50" t="s">
        <v>2241</v>
      </c>
      <c r="F1002" s="51">
        <v>28000</v>
      </c>
      <c r="G1002" s="51">
        <v>28000</v>
      </c>
      <c r="H1002" s="51">
        <v>0</v>
      </c>
      <c r="I1002" s="52">
        <v>0</v>
      </c>
      <c r="J1002" s="50" t="s">
        <v>1786</v>
      </c>
    </row>
    <row r="1003" spans="2:10">
      <c r="B1003" s="47" t="s">
        <v>2034</v>
      </c>
      <c r="C1003" s="50" t="s">
        <v>2035</v>
      </c>
      <c r="D1003" s="50" t="s">
        <v>2066</v>
      </c>
      <c r="E1003" s="50" t="s">
        <v>2242</v>
      </c>
      <c r="F1003" s="51">
        <v>101.74670311324927</v>
      </c>
      <c r="G1003" s="51">
        <v>102.16480311324926</v>
      </c>
      <c r="H1003" s="51">
        <v>20.64</v>
      </c>
      <c r="I1003" s="52">
        <v>983</v>
      </c>
      <c r="J1003" s="50" t="s">
        <v>19</v>
      </c>
    </row>
    <row r="1004" spans="2:10">
      <c r="B1004" s="47" t="s">
        <v>2016</v>
      </c>
      <c r="C1004" s="50" t="s">
        <v>2017</v>
      </c>
      <c r="D1004" s="50" t="s">
        <v>2066</v>
      </c>
      <c r="E1004" s="50" t="s">
        <v>2243</v>
      </c>
      <c r="F1004" s="51">
        <v>100</v>
      </c>
      <c r="G1004" s="51">
        <v>100.1011</v>
      </c>
      <c r="H1004" s="51">
        <v>0.35</v>
      </c>
      <c r="I1004" s="52">
        <v>616</v>
      </c>
      <c r="J1004" s="50" t="s">
        <v>19</v>
      </c>
    </row>
    <row r="1005" spans="2:10">
      <c r="B1005" s="47" t="s">
        <v>1031</v>
      </c>
      <c r="C1005" s="50" t="s">
        <v>1032</v>
      </c>
      <c r="D1005" s="50" t="s">
        <v>2066</v>
      </c>
      <c r="E1005" s="50" t="s">
        <v>2243</v>
      </c>
      <c r="F1005" s="51">
        <v>100</v>
      </c>
      <c r="G1005" s="51">
        <v>100.0046</v>
      </c>
      <c r="H1005" s="51">
        <v>0.02</v>
      </c>
      <c r="I1005" s="52">
        <v>3079</v>
      </c>
      <c r="J1005" s="50" t="s">
        <v>19</v>
      </c>
    </row>
    <row r="1006" spans="2:10">
      <c r="B1006" s="47" t="s">
        <v>1033</v>
      </c>
      <c r="C1006" s="50" t="s">
        <v>1034</v>
      </c>
      <c r="D1006" s="50" t="s">
        <v>2066</v>
      </c>
      <c r="E1006" s="50" t="s">
        <v>2243</v>
      </c>
      <c r="F1006" s="51">
        <v>100</v>
      </c>
      <c r="G1006" s="51">
        <v>100.00490000000001</v>
      </c>
      <c r="H1006" s="51">
        <v>0.02</v>
      </c>
      <c r="I1006" s="52">
        <v>3079</v>
      </c>
      <c r="J1006" s="50" t="s">
        <v>19</v>
      </c>
    </row>
    <row r="1007" spans="2:10">
      <c r="B1007" s="47" t="s">
        <v>1035</v>
      </c>
      <c r="C1007" s="50" t="s">
        <v>1036</v>
      </c>
      <c r="D1007" s="50" t="s">
        <v>2066</v>
      </c>
      <c r="E1007" s="50" t="s">
        <v>2243</v>
      </c>
      <c r="F1007" s="51">
        <v>100</v>
      </c>
      <c r="G1007" s="51">
        <v>101.2878</v>
      </c>
      <c r="H1007" s="51">
        <v>6.08</v>
      </c>
      <c r="I1007" s="52">
        <v>1694</v>
      </c>
      <c r="J1007" s="50" t="s">
        <v>19</v>
      </c>
    </row>
    <row r="1008" spans="2:10">
      <c r="B1008" s="47" t="s">
        <v>1602</v>
      </c>
      <c r="C1008" s="50" t="s">
        <v>1603</v>
      </c>
      <c r="D1008" s="50" t="s">
        <v>2066</v>
      </c>
      <c r="E1008" s="50" t="s">
        <v>2243</v>
      </c>
      <c r="F1008" s="51">
        <v>100</v>
      </c>
      <c r="G1008" s="51">
        <v>106.19280000000001</v>
      </c>
      <c r="H1008" s="51">
        <v>7.08</v>
      </c>
      <c r="I1008" s="52">
        <v>2176</v>
      </c>
      <c r="J1008" s="50" t="s">
        <v>19</v>
      </c>
    </row>
    <row r="1009" spans="2:10">
      <c r="B1009" s="47" t="s">
        <v>2304</v>
      </c>
      <c r="C1009" s="50" t="s">
        <v>2305</v>
      </c>
      <c r="D1009" s="50" t="s">
        <v>2066</v>
      </c>
      <c r="E1009" s="50" t="s">
        <v>2243</v>
      </c>
      <c r="F1009" s="51">
        <v>90.446612355378647</v>
      </c>
      <c r="G1009" s="51">
        <v>93.126012355378649</v>
      </c>
      <c r="H1009" s="51">
        <v>20.48</v>
      </c>
      <c r="I1009" s="52">
        <v>3547</v>
      </c>
      <c r="J1009" s="50" t="s">
        <v>19</v>
      </c>
    </row>
    <row r="1010" spans="2:10">
      <c r="B1010" s="47" t="s">
        <v>2340</v>
      </c>
      <c r="C1010" s="50" t="s">
        <v>2341</v>
      </c>
      <c r="D1010" s="50" t="s">
        <v>2066</v>
      </c>
      <c r="E1010" s="50" t="s">
        <v>2243</v>
      </c>
      <c r="F1010" s="51">
        <v>90.439602311929406</v>
      </c>
      <c r="G1010" s="51">
        <v>92.512402311929407</v>
      </c>
      <c r="H1010" s="51">
        <v>20.49</v>
      </c>
      <c r="I1010" s="52">
        <v>3559</v>
      </c>
      <c r="J1010" s="50" t="s">
        <v>19</v>
      </c>
    </row>
    <row r="1011" spans="2:10">
      <c r="B1011" s="47" t="s">
        <v>2411</v>
      </c>
      <c r="C1011" s="50" t="s">
        <v>2412</v>
      </c>
      <c r="D1011" s="50" t="s">
        <v>2066</v>
      </c>
      <c r="E1011" s="50" t="s">
        <v>2243</v>
      </c>
      <c r="F1011" s="51">
        <v>93.426943820692159</v>
      </c>
      <c r="G1011" s="51">
        <v>94.056943820692155</v>
      </c>
      <c r="H1011" s="51">
        <v>20.48</v>
      </c>
      <c r="I1011" s="52">
        <v>3588</v>
      </c>
      <c r="J1011" s="50" t="s">
        <v>19</v>
      </c>
    </row>
    <row r="1012" spans="2:10">
      <c r="B1012" s="47" t="s">
        <v>2413</v>
      </c>
      <c r="C1012" s="50" t="s">
        <v>2414</v>
      </c>
      <c r="D1012" s="50" t="s">
        <v>2066</v>
      </c>
      <c r="E1012" s="50" t="s">
        <v>2243</v>
      </c>
      <c r="F1012" s="51">
        <v>93.426943820692159</v>
      </c>
      <c r="G1012" s="51">
        <v>94.056943820692155</v>
      </c>
      <c r="H1012" s="51">
        <v>20.48</v>
      </c>
      <c r="I1012" s="52">
        <v>3588</v>
      </c>
      <c r="J1012" s="50" t="s">
        <v>19</v>
      </c>
    </row>
    <row r="1013" spans="2:10">
      <c r="B1013" s="47" t="s">
        <v>1037</v>
      </c>
      <c r="C1013" s="50" t="s">
        <v>1038</v>
      </c>
      <c r="D1013" s="50" t="s">
        <v>2066</v>
      </c>
      <c r="E1013" s="50" t="s">
        <v>2243</v>
      </c>
      <c r="F1013" s="51">
        <v>100</v>
      </c>
      <c r="G1013" s="51">
        <v>100.4575</v>
      </c>
      <c r="H1013" s="51">
        <v>6.09</v>
      </c>
      <c r="I1013" s="52">
        <v>2103</v>
      </c>
      <c r="J1013" s="50" t="s">
        <v>19</v>
      </c>
    </row>
    <row r="1014" spans="2:10">
      <c r="B1014" s="47" t="s">
        <v>1039</v>
      </c>
      <c r="C1014" s="50" t="s">
        <v>1040</v>
      </c>
      <c r="D1014" s="50" t="s">
        <v>2066</v>
      </c>
      <c r="E1014" s="50" t="s">
        <v>2243</v>
      </c>
      <c r="F1014" s="51">
        <v>100</v>
      </c>
      <c r="G1014" s="51">
        <v>105.4053</v>
      </c>
      <c r="H1014" s="51">
        <v>6.09</v>
      </c>
      <c r="I1014" s="52">
        <v>2531</v>
      </c>
      <c r="J1014" s="50" t="s">
        <v>19</v>
      </c>
    </row>
    <row r="1015" spans="2:10">
      <c r="B1015" s="47" t="s">
        <v>1041</v>
      </c>
      <c r="C1015" s="50" t="s">
        <v>1042</v>
      </c>
      <c r="D1015" s="50" t="s">
        <v>2066</v>
      </c>
      <c r="E1015" s="50" t="s">
        <v>2243</v>
      </c>
      <c r="F1015" s="51">
        <v>100</v>
      </c>
      <c r="G1015" s="51">
        <v>105.4053</v>
      </c>
      <c r="H1015" s="51">
        <v>6.09</v>
      </c>
      <c r="I1015" s="52">
        <v>2531</v>
      </c>
      <c r="J1015" s="50" t="s">
        <v>19</v>
      </c>
    </row>
    <row r="1016" spans="2:10">
      <c r="B1016" s="47" t="s">
        <v>1043</v>
      </c>
      <c r="C1016" s="50" t="s">
        <v>1044</v>
      </c>
      <c r="D1016" s="50" t="s">
        <v>2066</v>
      </c>
      <c r="E1016" s="50" t="s">
        <v>2243</v>
      </c>
      <c r="F1016" s="51">
        <v>100</v>
      </c>
      <c r="G1016" s="51">
        <v>104.27</v>
      </c>
      <c r="H1016" s="51">
        <v>6.08</v>
      </c>
      <c r="I1016" s="52">
        <v>2598</v>
      </c>
      <c r="J1016" s="50" t="s">
        <v>19</v>
      </c>
    </row>
    <row r="1017" spans="2:10">
      <c r="B1017" s="47" t="s">
        <v>1440</v>
      </c>
      <c r="C1017" s="50" t="s">
        <v>1441</v>
      </c>
      <c r="D1017" s="50" t="s">
        <v>2064</v>
      </c>
      <c r="E1017" s="50" t="s">
        <v>1442</v>
      </c>
      <c r="F1017" s="51">
        <v>23295.173950000004</v>
      </c>
      <c r="G1017" s="51">
        <v>23295.173950000004</v>
      </c>
      <c r="H1017" s="51">
        <v>0</v>
      </c>
      <c r="I1017" s="52">
        <v>0</v>
      </c>
      <c r="J1017" s="50" t="s">
        <v>1786</v>
      </c>
    </row>
    <row r="1018" spans="2:10">
      <c r="B1018" s="47" t="s">
        <v>1426</v>
      </c>
      <c r="C1018" s="50" t="s">
        <v>1427</v>
      </c>
      <c r="D1018" s="50" t="s">
        <v>2110</v>
      </c>
      <c r="E1018" s="50" t="s">
        <v>1352</v>
      </c>
      <c r="F1018" s="51">
        <v>43031.325600000011</v>
      </c>
      <c r="G1018" s="51">
        <v>43031.325600000011</v>
      </c>
      <c r="H1018" s="51">
        <v>0</v>
      </c>
      <c r="I1018" s="52">
        <v>0</v>
      </c>
      <c r="J1018" s="50" t="s">
        <v>1786</v>
      </c>
    </row>
    <row r="1019" spans="2:10">
      <c r="B1019" s="47" t="s">
        <v>1350</v>
      </c>
      <c r="C1019" s="50" t="s">
        <v>1351</v>
      </c>
      <c r="D1019" s="50" t="s">
        <v>2110</v>
      </c>
      <c r="E1019" s="50" t="s">
        <v>1352</v>
      </c>
      <c r="F1019" s="51">
        <v>45333.113850000009</v>
      </c>
      <c r="G1019" s="51">
        <v>45333.113850000009</v>
      </c>
      <c r="H1019" s="51">
        <v>0</v>
      </c>
      <c r="I1019" s="52">
        <v>0</v>
      </c>
      <c r="J1019" s="50" t="s">
        <v>1786</v>
      </c>
    </row>
    <row r="1020" spans="2:10">
      <c r="B1020" s="47" t="s">
        <v>1295</v>
      </c>
      <c r="C1020" s="50" t="s">
        <v>1296</v>
      </c>
      <c r="D1020" s="50" t="s">
        <v>2064</v>
      </c>
      <c r="E1020" s="50" t="s">
        <v>1297</v>
      </c>
      <c r="F1020" s="51">
        <v>60274.546350000011</v>
      </c>
      <c r="G1020" s="51">
        <v>60274.546350000011</v>
      </c>
      <c r="H1020" s="51">
        <v>0</v>
      </c>
      <c r="I1020" s="52">
        <v>0</v>
      </c>
      <c r="J1020" s="50" t="s">
        <v>1786</v>
      </c>
    </row>
    <row r="1021" spans="2:10">
      <c r="B1021" s="47" t="s">
        <v>1604</v>
      </c>
      <c r="C1021" s="50" t="s">
        <v>1605</v>
      </c>
      <c r="D1021" s="50" t="s">
        <v>2064</v>
      </c>
      <c r="E1021" s="50" t="s">
        <v>2244</v>
      </c>
      <c r="F1021" s="51">
        <v>1000</v>
      </c>
      <c r="G1021" s="51">
        <v>1000</v>
      </c>
      <c r="H1021" s="51">
        <v>0</v>
      </c>
      <c r="I1021" s="52">
        <v>0</v>
      </c>
      <c r="J1021" s="50" t="s">
        <v>1786</v>
      </c>
    </row>
    <row r="1022" spans="2:10">
      <c r="B1022" s="47" t="s">
        <v>1045</v>
      </c>
      <c r="C1022" s="50" t="s">
        <v>1046</v>
      </c>
      <c r="D1022" s="50" t="s">
        <v>2064</v>
      </c>
      <c r="E1022" s="50" t="s">
        <v>2245</v>
      </c>
      <c r="F1022" s="51">
        <v>0.01</v>
      </c>
      <c r="G1022" s="51">
        <v>0.01</v>
      </c>
      <c r="H1022" s="51">
        <v>0</v>
      </c>
      <c r="I1022" s="52">
        <v>2804</v>
      </c>
      <c r="J1022" s="50" t="s">
        <v>1786</v>
      </c>
    </row>
    <row r="1023" spans="2:10">
      <c r="B1023" s="47" t="s">
        <v>1047</v>
      </c>
      <c r="C1023" s="50" t="s">
        <v>1048</v>
      </c>
      <c r="D1023" s="50" t="s">
        <v>2064</v>
      </c>
      <c r="E1023" s="50" t="s">
        <v>2245</v>
      </c>
      <c r="F1023" s="51">
        <v>0.01</v>
      </c>
      <c r="G1023" s="51">
        <v>0.01</v>
      </c>
      <c r="H1023" s="51">
        <v>0</v>
      </c>
      <c r="I1023" s="52">
        <v>2643</v>
      </c>
      <c r="J1023" s="50" t="s">
        <v>1786</v>
      </c>
    </row>
    <row r="1024" spans="2:10">
      <c r="B1024" s="47" t="s">
        <v>1049</v>
      </c>
      <c r="C1024" s="50" t="s">
        <v>1050</v>
      </c>
      <c r="D1024" s="50" t="s">
        <v>2066</v>
      </c>
      <c r="E1024" s="50" t="s">
        <v>2246</v>
      </c>
      <c r="F1024" s="51">
        <v>100</v>
      </c>
      <c r="G1024" s="51">
        <v>100.6139</v>
      </c>
      <c r="H1024" s="51">
        <v>4.24</v>
      </c>
      <c r="I1024" s="52">
        <v>248</v>
      </c>
      <c r="J1024" s="50" t="s">
        <v>19</v>
      </c>
    </row>
    <row r="1025" spans="2:10">
      <c r="B1025" s="47" t="s">
        <v>1606</v>
      </c>
      <c r="C1025" s="50" t="s">
        <v>1607</v>
      </c>
      <c r="D1025" s="50" t="s">
        <v>2066</v>
      </c>
      <c r="E1025" s="50" t="s">
        <v>2246</v>
      </c>
      <c r="F1025" s="51">
        <v>100</v>
      </c>
      <c r="G1025" s="51">
        <v>100.0992</v>
      </c>
      <c r="H1025" s="51">
        <v>0.35</v>
      </c>
      <c r="I1025" s="52">
        <v>78</v>
      </c>
      <c r="J1025" s="50" t="s">
        <v>19</v>
      </c>
    </row>
    <row r="1026" spans="2:10">
      <c r="B1026" s="47" t="s">
        <v>1051</v>
      </c>
      <c r="C1026" s="50" t="s">
        <v>1052</v>
      </c>
      <c r="D1026" s="50" t="s">
        <v>2066</v>
      </c>
      <c r="E1026" s="50" t="s">
        <v>2246</v>
      </c>
      <c r="F1026" s="51">
        <v>100</v>
      </c>
      <c r="G1026" s="51">
        <v>100.1108</v>
      </c>
      <c r="H1026" s="51">
        <v>0.35</v>
      </c>
      <c r="I1026" s="52">
        <v>246</v>
      </c>
      <c r="J1026" s="50" t="s">
        <v>19</v>
      </c>
    </row>
    <row r="1027" spans="2:10">
      <c r="B1027" s="47" t="s">
        <v>1944</v>
      </c>
      <c r="C1027" s="50" t="s">
        <v>1945</v>
      </c>
      <c r="D1027" s="50" t="s">
        <v>2066</v>
      </c>
      <c r="E1027" s="50" t="s">
        <v>2246</v>
      </c>
      <c r="F1027" s="51">
        <v>100</v>
      </c>
      <c r="G1027" s="51">
        <v>100.139</v>
      </c>
      <c r="H1027" s="51">
        <v>0.35</v>
      </c>
      <c r="I1027" s="52">
        <v>577</v>
      </c>
      <c r="J1027" s="50" t="s">
        <v>19</v>
      </c>
    </row>
    <row r="1028" spans="2:10">
      <c r="B1028" s="47" t="s">
        <v>2294</v>
      </c>
      <c r="C1028" s="50" t="s">
        <v>2295</v>
      </c>
      <c r="D1028" s="50" t="s">
        <v>2066</v>
      </c>
      <c r="E1028" s="50" t="s">
        <v>2246</v>
      </c>
      <c r="F1028" s="51">
        <v>100</v>
      </c>
      <c r="G1028" s="51">
        <v>100.0535</v>
      </c>
      <c r="H1028" s="51">
        <v>0.35</v>
      </c>
      <c r="I1028" s="52">
        <v>665</v>
      </c>
      <c r="J1028" s="50" t="s">
        <v>19</v>
      </c>
    </row>
    <row r="1029" spans="2:10">
      <c r="B1029" s="47" t="s">
        <v>1053</v>
      </c>
      <c r="C1029" s="50" t="s">
        <v>1054</v>
      </c>
      <c r="D1029" s="50" t="s">
        <v>2066</v>
      </c>
      <c r="E1029" s="50" t="s">
        <v>2246</v>
      </c>
      <c r="F1029" s="51">
        <v>100</v>
      </c>
      <c r="G1029" s="51">
        <v>100.0046</v>
      </c>
      <c r="H1029" s="51">
        <v>0.02</v>
      </c>
      <c r="I1029" s="52">
        <v>3079</v>
      </c>
      <c r="J1029" s="50" t="s">
        <v>19</v>
      </c>
    </row>
    <row r="1030" spans="2:10">
      <c r="B1030" s="47" t="s">
        <v>1055</v>
      </c>
      <c r="C1030" s="50" t="s">
        <v>1056</v>
      </c>
      <c r="D1030" s="50" t="s">
        <v>2066</v>
      </c>
      <c r="E1030" s="50" t="s">
        <v>2246</v>
      </c>
      <c r="F1030" s="51">
        <v>100</v>
      </c>
      <c r="G1030" s="51">
        <v>101.2878</v>
      </c>
      <c r="H1030" s="51">
        <v>6.08</v>
      </c>
      <c r="I1030" s="52">
        <v>1694</v>
      </c>
      <c r="J1030" s="50" t="s">
        <v>19</v>
      </c>
    </row>
    <row r="1031" spans="2:10">
      <c r="B1031" s="47" t="s">
        <v>1608</v>
      </c>
      <c r="C1031" s="50" t="s">
        <v>1609</v>
      </c>
      <c r="D1031" s="50" t="s">
        <v>2066</v>
      </c>
      <c r="E1031" s="50" t="s">
        <v>2246</v>
      </c>
      <c r="F1031" s="51">
        <v>100</v>
      </c>
      <c r="G1031" s="51">
        <v>106.19280000000001</v>
      </c>
      <c r="H1031" s="51">
        <v>7.08</v>
      </c>
      <c r="I1031" s="52">
        <v>2176</v>
      </c>
      <c r="J1031" s="50" t="s">
        <v>19</v>
      </c>
    </row>
    <row r="1032" spans="2:10">
      <c r="B1032" s="47" t="s">
        <v>2306</v>
      </c>
      <c r="C1032" s="50" t="s">
        <v>2307</v>
      </c>
      <c r="D1032" s="50" t="s">
        <v>2066</v>
      </c>
      <c r="E1032" s="50" t="s">
        <v>2246</v>
      </c>
      <c r="F1032" s="51">
        <v>90.446612355378647</v>
      </c>
      <c r="G1032" s="51">
        <v>93.126012355378649</v>
      </c>
      <c r="H1032" s="51">
        <v>20.48</v>
      </c>
      <c r="I1032" s="52">
        <v>3547</v>
      </c>
      <c r="J1032" s="50" t="s">
        <v>19</v>
      </c>
    </row>
    <row r="1033" spans="2:10">
      <c r="B1033" s="47" t="s">
        <v>2415</v>
      </c>
      <c r="C1033" s="50" t="s">
        <v>2416</v>
      </c>
      <c r="D1033" s="50" t="s">
        <v>2066</v>
      </c>
      <c r="E1033" s="50" t="s">
        <v>2246</v>
      </c>
      <c r="F1033" s="51">
        <v>93.426943820692159</v>
      </c>
      <c r="G1033" s="51">
        <v>94.056943820692155</v>
      </c>
      <c r="H1033" s="51">
        <v>20.48</v>
      </c>
      <c r="I1033" s="52">
        <v>3588</v>
      </c>
      <c r="J1033" s="50" t="s">
        <v>19</v>
      </c>
    </row>
    <row r="1034" spans="2:10">
      <c r="B1034" s="47" t="s">
        <v>1057</v>
      </c>
      <c r="C1034" s="50" t="s">
        <v>1058</v>
      </c>
      <c r="D1034" s="50" t="s">
        <v>2066</v>
      </c>
      <c r="E1034" s="50" t="s">
        <v>2246</v>
      </c>
      <c r="F1034" s="51">
        <v>100</v>
      </c>
      <c r="G1034" s="51">
        <v>100.4575</v>
      </c>
      <c r="H1034" s="51">
        <v>6.09</v>
      </c>
      <c r="I1034" s="52">
        <v>2103</v>
      </c>
      <c r="J1034" s="50" t="s">
        <v>19</v>
      </c>
    </row>
    <row r="1035" spans="2:10">
      <c r="B1035" s="47" t="s">
        <v>1059</v>
      </c>
      <c r="C1035" s="50" t="s">
        <v>1060</v>
      </c>
      <c r="D1035" s="50" t="s">
        <v>2066</v>
      </c>
      <c r="E1035" s="50" t="s">
        <v>2246</v>
      </c>
      <c r="F1035" s="51">
        <v>100</v>
      </c>
      <c r="G1035" s="51">
        <v>105.4053</v>
      </c>
      <c r="H1035" s="51">
        <v>6.09</v>
      </c>
      <c r="I1035" s="52">
        <v>2531</v>
      </c>
      <c r="J1035" s="50" t="s">
        <v>19</v>
      </c>
    </row>
    <row r="1036" spans="2:10">
      <c r="B1036" s="100" t="s">
        <v>1061</v>
      </c>
      <c r="C1036" s="100" t="s">
        <v>1062</v>
      </c>
      <c r="D1036" s="100" t="s">
        <v>2066</v>
      </c>
      <c r="E1036" s="100" t="s">
        <v>2246</v>
      </c>
      <c r="F1036" s="100">
        <v>100</v>
      </c>
      <c r="G1036" s="100">
        <v>105.4053</v>
      </c>
      <c r="H1036" s="100">
        <v>6.09</v>
      </c>
      <c r="I1036" s="100">
        <v>2531</v>
      </c>
      <c r="J1036" s="100" t="s">
        <v>19</v>
      </c>
    </row>
    <row r="1037" spans="2:10">
      <c r="B1037" s="85" t="s">
        <v>2451</v>
      </c>
      <c r="C1037" s="85" t="s">
        <v>2452</v>
      </c>
      <c r="D1037" s="85" t="s">
        <v>2066</v>
      </c>
      <c r="E1037" s="85" t="s">
        <v>2246</v>
      </c>
      <c r="F1037" s="85">
        <v>92.821760840527276</v>
      </c>
      <c r="G1037" s="85">
        <v>93.241760840527277</v>
      </c>
      <c r="H1037" s="85">
        <v>20.46</v>
      </c>
      <c r="I1037" s="85">
        <v>5392</v>
      </c>
      <c r="J1037" s="85" t="s">
        <v>19</v>
      </c>
    </row>
  </sheetData>
  <conditionalFormatting sqref="B4:B160">
    <cfRule type="duplicateValues" dxfId="10" priority="6"/>
  </conditionalFormatting>
  <conditionalFormatting sqref="C4:C156">
    <cfRule type="duplicateValues" dxfId="9" priority="7"/>
  </conditionalFormatting>
  <conditionalFormatting sqref="C4:C1036">
    <cfRule type="duplicateValues" dxfId="8" priority="8"/>
  </conditionalFormatting>
  <conditionalFormatting sqref="C1037:C1048576 C1:C2">
    <cfRule type="duplicateValues" dxfId="7" priority="5"/>
  </conditionalFormatting>
  <conditionalFormatting sqref="F4:I1032">
    <cfRule type="expression" dxfId="6" priority="1" stopIfTrue="1">
      <formula>F4&lt;&gt;""</formula>
    </cfRule>
  </conditionalFormatting>
  <conditionalFormatting sqref="G4:G1032">
    <cfRule type="expression" dxfId="5" priority="2" stopIfTrue="1">
      <formula>G&lt;&gt;""</formula>
    </cfRule>
  </conditionalFormatting>
  <conditionalFormatting sqref="H4:H1032">
    <cfRule type="expression" dxfId="4" priority="4" stopIfTrue="1">
      <formula>H&lt;&gt;""</formula>
    </cfRule>
  </conditionalFormatting>
  <conditionalFormatting sqref="I4:I1032">
    <cfRule type="expression" dxfId="3" priority="3" stopIfTrue="1">
      <formula>I&lt;&gt;""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F3DA-F570-4B86-94D7-38E3FB499493}">
  <dimension ref="A1:B27"/>
  <sheetViews>
    <sheetView workbookViewId="0">
      <selection activeCell="E32" sqref="E32"/>
    </sheetView>
  </sheetViews>
  <sheetFormatPr defaultRowHeight="15"/>
  <sheetData>
    <row r="1" spans="1:2">
      <c r="A1" s="72" t="s">
        <v>230</v>
      </c>
      <c r="B1" t="s">
        <v>229</v>
      </c>
    </row>
    <row r="2" spans="1:2">
      <c r="A2" s="72" t="s">
        <v>1774</v>
      </c>
      <c r="B2" t="s">
        <v>1772</v>
      </c>
    </row>
    <row r="3" spans="1:2">
      <c r="A3" s="72" t="s">
        <v>214</v>
      </c>
      <c r="B3" t="s">
        <v>213</v>
      </c>
    </row>
    <row r="4" spans="1:2">
      <c r="A4" s="72" t="s">
        <v>214</v>
      </c>
      <c r="B4" t="s">
        <v>213</v>
      </c>
    </row>
    <row r="5" spans="1:2">
      <c r="A5" s="72" t="s">
        <v>214</v>
      </c>
      <c r="B5" t="s">
        <v>213</v>
      </c>
    </row>
    <row r="6" spans="1:2">
      <c r="A6" s="72" t="s">
        <v>214</v>
      </c>
      <c r="B6" t="s">
        <v>213</v>
      </c>
    </row>
    <row r="7" spans="1:2">
      <c r="A7" s="72" t="s">
        <v>214</v>
      </c>
      <c r="B7" t="s">
        <v>213</v>
      </c>
    </row>
    <row r="8" spans="1:2">
      <c r="A8" s="72" t="s">
        <v>7</v>
      </c>
      <c r="B8" t="s">
        <v>166</v>
      </c>
    </row>
    <row r="9" spans="1:2">
      <c r="A9" s="72" t="s">
        <v>12</v>
      </c>
      <c r="B9" t="s">
        <v>186</v>
      </c>
    </row>
    <row r="10" spans="1:2">
      <c r="A10" s="72" t="s">
        <v>6</v>
      </c>
      <c r="B10" t="s">
        <v>208</v>
      </c>
    </row>
    <row r="11" spans="1:2">
      <c r="A11" s="72" t="s">
        <v>8</v>
      </c>
      <c r="B11" t="s">
        <v>178</v>
      </c>
    </row>
    <row r="12" spans="1:2">
      <c r="A12" s="72" t="s">
        <v>11</v>
      </c>
      <c r="B12" t="s">
        <v>199</v>
      </c>
    </row>
    <row r="13" spans="1:2">
      <c r="A13" s="72" t="s">
        <v>212</v>
      </c>
      <c r="B13" t="s">
        <v>211</v>
      </c>
    </row>
    <row r="14" spans="1:2">
      <c r="A14" s="72" t="s">
        <v>182</v>
      </c>
      <c r="B14" t="s">
        <v>181</v>
      </c>
    </row>
    <row r="15" spans="1:2">
      <c r="A15" s="72" t="s">
        <v>10</v>
      </c>
      <c r="B15" t="s">
        <v>185</v>
      </c>
    </row>
    <row r="16" spans="1:2">
      <c r="A16" s="72" t="s">
        <v>149</v>
      </c>
      <c r="B16" t="s">
        <v>148</v>
      </c>
    </row>
    <row r="17" spans="1:2">
      <c r="A17" s="72" t="s">
        <v>170</v>
      </c>
      <c r="B17" t="s">
        <v>169</v>
      </c>
    </row>
    <row r="18" spans="1:2">
      <c r="A18" s="72" t="s">
        <v>170</v>
      </c>
      <c r="B18" t="s">
        <v>169</v>
      </c>
    </row>
    <row r="19" spans="1:2">
      <c r="A19" s="72" t="s">
        <v>170</v>
      </c>
      <c r="B19" t="s">
        <v>169</v>
      </c>
    </row>
    <row r="20" spans="1:2">
      <c r="A20" s="72" t="s">
        <v>190</v>
      </c>
      <c r="B20" t="s">
        <v>189</v>
      </c>
    </row>
    <row r="21" spans="1:2">
      <c r="A21" s="72" t="s">
        <v>190</v>
      </c>
      <c r="B21" t="s">
        <v>189</v>
      </c>
    </row>
    <row r="22" spans="1:2">
      <c r="A22" s="72" t="s">
        <v>1623</v>
      </c>
      <c r="B22" t="s">
        <v>1624</v>
      </c>
    </row>
    <row r="23" spans="1:2">
      <c r="A23" s="72" t="s">
        <v>1651</v>
      </c>
      <c r="B23" t="s">
        <v>1652</v>
      </c>
    </row>
    <row r="24" spans="1:2">
      <c r="A24" s="72" t="s">
        <v>9</v>
      </c>
      <c r="B24" t="s">
        <v>171</v>
      </c>
    </row>
    <row r="25" spans="1:2">
      <c r="A25" s="72" t="s">
        <v>13</v>
      </c>
      <c r="B25" t="s">
        <v>239</v>
      </c>
    </row>
    <row r="26" spans="1:2">
      <c r="A26" s="72" t="s">
        <v>14</v>
      </c>
      <c r="B26" t="s">
        <v>240</v>
      </c>
    </row>
    <row r="27" spans="1:2">
      <c r="A27" s="72" t="s">
        <v>5</v>
      </c>
      <c r="B27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zoomScale="85" zoomScaleNormal="85" workbookViewId="0">
      <selection activeCell="N21" sqref="N21"/>
    </sheetView>
  </sheetViews>
  <sheetFormatPr defaultRowHeight="15"/>
  <cols>
    <col min="1" max="1" width="14.28515625" bestFit="1" customWidth="1"/>
    <col min="2" max="2" width="17" style="27" bestFit="1" customWidth="1"/>
    <col min="3" max="3" width="15.28515625" bestFit="1" customWidth="1"/>
    <col min="4" max="4" width="16.28515625" style="27" bestFit="1" customWidth="1"/>
  </cols>
  <sheetData>
    <row r="1" spans="1:4">
      <c r="A1" s="105" t="s">
        <v>1744</v>
      </c>
      <c r="B1" s="105"/>
      <c r="C1" s="105" t="s">
        <v>2278</v>
      </c>
      <c r="D1" s="105"/>
    </row>
    <row r="2" spans="1:4">
      <c r="A2" s="43" t="s">
        <v>141</v>
      </c>
      <c r="B2" s="46">
        <f t="shared" ref="B2:B26" si="0">VLOOKUP(A2,$C$2:$D$28,2,0)</f>
        <v>62727744.439999998</v>
      </c>
      <c r="C2" t="s">
        <v>229</v>
      </c>
      <c r="D2" s="67">
        <v>9513888.8900000006</v>
      </c>
    </row>
    <row r="3" spans="1:4">
      <c r="A3" s="43" t="s">
        <v>166</v>
      </c>
      <c r="B3" s="46">
        <f t="shared" si="0"/>
        <v>149029833.33000001</v>
      </c>
      <c r="C3" t="s">
        <v>1772</v>
      </c>
      <c r="D3" s="67">
        <v>65495208.329999998</v>
      </c>
    </row>
    <row r="4" spans="1:4">
      <c r="A4" s="43" t="s">
        <v>171</v>
      </c>
      <c r="B4" s="46">
        <f t="shared" si="0"/>
        <v>39116322.920000002</v>
      </c>
      <c r="C4" t="s">
        <v>213</v>
      </c>
      <c r="D4" s="67">
        <v>26573611.109999999</v>
      </c>
    </row>
    <row r="5" spans="1:4">
      <c r="A5" s="43" t="s">
        <v>178</v>
      </c>
      <c r="B5" s="46">
        <f t="shared" si="0"/>
        <v>170855208.33000001</v>
      </c>
      <c r="C5" t="s">
        <v>213</v>
      </c>
      <c r="D5" s="67">
        <v>26573611.109999999</v>
      </c>
    </row>
    <row r="6" spans="1:4">
      <c r="A6" s="43" t="s">
        <v>181</v>
      </c>
      <c r="B6" s="46">
        <f t="shared" si="0"/>
        <v>89500000</v>
      </c>
      <c r="C6" t="s">
        <v>213</v>
      </c>
      <c r="D6" s="67">
        <v>53147222.219999999</v>
      </c>
    </row>
    <row r="7" spans="1:4">
      <c r="A7" s="43" t="s">
        <v>185</v>
      </c>
      <c r="B7" s="46">
        <f t="shared" si="0"/>
        <v>173400500</v>
      </c>
      <c r="C7" t="s">
        <v>213</v>
      </c>
      <c r="D7" s="67">
        <v>53147222.219999999</v>
      </c>
    </row>
    <row r="8" spans="1:4">
      <c r="A8" s="43" t="s">
        <v>186</v>
      </c>
      <c r="B8" s="46">
        <f t="shared" si="0"/>
        <v>41621531.25</v>
      </c>
      <c r="C8" t="s">
        <v>213</v>
      </c>
      <c r="D8" s="67">
        <v>53147222.219999999</v>
      </c>
    </row>
    <row r="9" spans="1:4">
      <c r="A9" s="43" t="s">
        <v>189</v>
      </c>
      <c r="B9" s="46">
        <f>D22</f>
        <v>7781250</v>
      </c>
      <c r="C9" t="s">
        <v>166</v>
      </c>
      <c r="D9" s="67">
        <v>149029833.33000001</v>
      </c>
    </row>
    <row r="10" spans="1:4">
      <c r="A10" s="43" t="s">
        <v>199</v>
      </c>
      <c r="B10" s="46">
        <f t="shared" si="0"/>
        <v>117699697.92</v>
      </c>
      <c r="C10" t="s">
        <v>186</v>
      </c>
      <c r="D10" s="67">
        <v>41621531.25</v>
      </c>
    </row>
    <row r="11" spans="1:4">
      <c r="A11" s="43" t="s">
        <v>208</v>
      </c>
      <c r="B11" s="46">
        <f t="shared" si="0"/>
        <v>144871187.5</v>
      </c>
      <c r="C11" t="s">
        <v>208</v>
      </c>
      <c r="D11" s="67">
        <v>144871187.5</v>
      </c>
    </row>
    <row r="12" spans="1:4">
      <c r="A12" s="43" t="s">
        <v>239</v>
      </c>
      <c r="B12" s="46">
        <f t="shared" si="0"/>
        <v>91380981.25</v>
      </c>
      <c r="C12" t="s">
        <v>178</v>
      </c>
      <c r="D12" s="67">
        <v>170855208.33000001</v>
      </c>
    </row>
    <row r="13" spans="1:4">
      <c r="A13" s="43" t="s">
        <v>240</v>
      </c>
      <c r="B13" s="46">
        <f t="shared" si="0"/>
        <v>174675150</v>
      </c>
      <c r="C13" t="s">
        <v>199</v>
      </c>
      <c r="D13" s="67">
        <v>117699697.92</v>
      </c>
    </row>
    <row r="14" spans="1:4">
      <c r="A14" s="43" t="s">
        <v>1624</v>
      </c>
      <c r="B14" s="46">
        <f t="shared" si="0"/>
        <v>2383333.33</v>
      </c>
      <c r="C14" t="s">
        <v>211</v>
      </c>
      <c r="D14" s="67">
        <v>56152777.780000001</v>
      </c>
    </row>
    <row r="15" spans="1:4">
      <c r="A15" s="43" t="s">
        <v>1652</v>
      </c>
      <c r="B15" s="46">
        <f t="shared" si="0"/>
        <v>101135416.67</v>
      </c>
      <c r="C15" t="s">
        <v>181</v>
      </c>
      <c r="D15" s="67">
        <v>89500000</v>
      </c>
    </row>
    <row r="16" spans="1:4">
      <c r="A16" s="43" t="s">
        <v>1772</v>
      </c>
      <c r="B16" s="46">
        <f t="shared" si="0"/>
        <v>65495208.329999998</v>
      </c>
      <c r="C16" t="s">
        <v>185</v>
      </c>
      <c r="D16" s="67">
        <v>173400500</v>
      </c>
    </row>
    <row r="17" spans="1:4">
      <c r="A17" s="43" t="s">
        <v>213</v>
      </c>
      <c r="B17" s="46">
        <f>D7</f>
        <v>53147222.219999999</v>
      </c>
      <c r="C17" t="s">
        <v>148</v>
      </c>
      <c r="D17" s="67">
        <v>22811805.559999999</v>
      </c>
    </row>
    <row r="18" spans="1:4">
      <c r="A18" s="43" t="s">
        <v>211</v>
      </c>
      <c r="B18" s="46">
        <f t="shared" si="0"/>
        <v>56152777.780000001</v>
      </c>
      <c r="C18" t="s">
        <v>169</v>
      </c>
      <c r="D18" s="67">
        <v>44788333.329999998</v>
      </c>
    </row>
    <row r="19" spans="1:4">
      <c r="A19" s="43" t="s">
        <v>189</v>
      </c>
      <c r="B19" s="46">
        <f>D21</f>
        <v>15562500</v>
      </c>
      <c r="C19" t="s">
        <v>169</v>
      </c>
      <c r="D19" s="67">
        <v>44788333.329999998</v>
      </c>
    </row>
    <row r="20" spans="1:4">
      <c r="A20" s="43" t="s">
        <v>148</v>
      </c>
      <c r="B20" s="46">
        <f t="shared" si="0"/>
        <v>22811805.559999999</v>
      </c>
      <c r="C20" t="s">
        <v>169</v>
      </c>
      <c r="D20" s="67">
        <v>44788333.329999998</v>
      </c>
    </row>
    <row r="21" spans="1:4">
      <c r="A21" s="43" t="s">
        <v>213</v>
      </c>
      <c r="B21" s="46">
        <f>D7</f>
        <v>53147222.219999999</v>
      </c>
      <c r="C21" t="s">
        <v>189</v>
      </c>
      <c r="D21" s="67">
        <v>15562500</v>
      </c>
    </row>
    <row r="22" spans="1:4">
      <c r="A22" s="43" t="s">
        <v>213</v>
      </c>
      <c r="B22" s="46">
        <f>D8</f>
        <v>53147222.219999999</v>
      </c>
      <c r="C22" t="s">
        <v>189</v>
      </c>
      <c r="D22" s="67">
        <v>7781250</v>
      </c>
    </row>
    <row r="23" spans="1:4">
      <c r="A23" s="43" t="s">
        <v>229</v>
      </c>
      <c r="B23" s="46">
        <f t="shared" si="0"/>
        <v>9513888.8900000006</v>
      </c>
      <c r="C23" t="s">
        <v>1624</v>
      </c>
      <c r="D23" s="67">
        <v>2383333.33</v>
      </c>
    </row>
    <row r="24" spans="1:4">
      <c r="A24" s="43" t="s">
        <v>169</v>
      </c>
      <c r="B24" s="46">
        <f t="shared" si="0"/>
        <v>44788333.329999998</v>
      </c>
      <c r="C24" t="s">
        <v>1652</v>
      </c>
      <c r="D24" s="67">
        <v>101135416.67</v>
      </c>
    </row>
    <row r="25" spans="1:4">
      <c r="A25" s="43" t="s">
        <v>169</v>
      </c>
      <c r="B25" s="46">
        <f t="shared" si="0"/>
        <v>44788333.329999998</v>
      </c>
      <c r="C25" t="s">
        <v>171</v>
      </c>
      <c r="D25" s="67">
        <v>39116322.920000002</v>
      </c>
    </row>
    <row r="26" spans="1:4">
      <c r="A26" s="43" t="s">
        <v>169</v>
      </c>
      <c r="B26" s="46">
        <f t="shared" si="0"/>
        <v>44788333.329999998</v>
      </c>
      <c r="C26" t="s">
        <v>239</v>
      </c>
      <c r="D26" s="67">
        <v>91380981.25</v>
      </c>
    </row>
    <row r="27" spans="1:4">
      <c r="A27" s="43" t="s">
        <v>213</v>
      </c>
      <c r="B27" s="46">
        <f>D5</f>
        <v>26573611.109999999</v>
      </c>
      <c r="C27" t="s">
        <v>240</v>
      </c>
      <c r="D27" s="67">
        <v>174675150</v>
      </c>
    </row>
    <row r="28" spans="1:4">
      <c r="A28" s="43" t="s">
        <v>213</v>
      </c>
      <c r="B28" s="46">
        <f>D5</f>
        <v>26573611.109999999</v>
      </c>
      <c r="C28" t="s">
        <v>141</v>
      </c>
      <c r="D28" s="67">
        <v>62727744.439999998</v>
      </c>
    </row>
    <row r="29" spans="1:4">
      <c r="B29" s="44"/>
      <c r="D29" s="45"/>
    </row>
    <row r="30" spans="1:4">
      <c r="B30" s="27">
        <f>SUM(B2:B28)</f>
        <v>1882668226.3699996</v>
      </c>
      <c r="D30" s="27">
        <f>SUM(D2:D28)</f>
        <v>1882668226.3699999</v>
      </c>
    </row>
    <row r="31" spans="1:4">
      <c r="C31" s="28" t="b">
        <f>D30=B30</f>
        <v>1</v>
      </c>
    </row>
    <row r="33" spans="3:3">
      <c r="C33" s="27">
        <f>B30-D30</f>
        <v>0</v>
      </c>
    </row>
  </sheetData>
  <mergeCells count="2">
    <mergeCell ref="A1:B1"/>
    <mergeCell ref="C1:D1"/>
  </mergeCells>
  <conditionalFormatting sqref="A2:A29">
    <cfRule type="duplicateValues" dxfId="2" priority="1"/>
  </conditionalFormatting>
  <conditionalFormatting sqref="B2:B29">
    <cfRule type="duplicateValues" dxfId="1" priority="11"/>
  </conditionalFormatting>
  <conditionalFormatting sqref="C2:C29"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ДУ</vt:lpstr>
      <vt:lpstr>Лист2</vt:lpstr>
      <vt:lpstr>KASE (цены)</vt:lpstr>
      <vt:lpstr>Лист1</vt:lpstr>
      <vt:lpstr>купон расч.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2025-01-23T13:25:05Z</cp:lastPrinted>
  <dcterms:created xsi:type="dcterms:W3CDTF">2024-07-19T11:05:50Z</dcterms:created>
  <dcterms:modified xsi:type="dcterms:W3CDTF">2025-09-12T06:22:22Z</dcterms:modified>
</cp:coreProperties>
</file>