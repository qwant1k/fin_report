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2DC12608-96F6-4865-98FF-E5AA7D8B38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49" i="1" s="1"/>
  <c r="K26" i="1"/>
  <c r="H26" i="1"/>
  <c r="D26" i="1"/>
  <c r="Q1" i="1" l="1"/>
  <c r="M22" i="1" s="1"/>
  <c r="M9" i="1"/>
  <c r="M13" i="1"/>
  <c r="M17" i="1"/>
  <c r="M21" i="1"/>
  <c r="M11" i="1"/>
  <c r="M15" i="1"/>
  <c r="M19" i="1"/>
  <c r="M23" i="1"/>
  <c r="M8" i="1"/>
  <c r="M12" i="1"/>
  <c r="M16" i="1"/>
  <c r="M20" i="1"/>
  <c r="M24" i="1" l="1"/>
  <c r="M10" i="1"/>
  <c r="M18" i="1"/>
  <c r="M14" i="1"/>
  <c r="M26" i="1" s="1"/>
</calcChain>
</file>

<file path=xl/sharedStrings.xml><?xml version="1.0" encoding="utf-8"?>
<sst xmlns="http://schemas.openxmlformats.org/spreadsheetml/2006/main" count="1010" uniqueCount="451">
  <si>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</si>
  <si>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</si>
  <si>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</si>
  <si>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</si>
  <si>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</si>
  <si>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</si>
  <si>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</si>
  <si>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</si>
  <si>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</si>
  <si>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</si>
  <si>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</si>
  <si>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</si>
  <si>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</si>
  <si>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</si>
  <si>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</si>
  <si>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</si>
  <si>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</si>
  <si>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</si>
  <si>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</si>
  <si>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</si>
  <si>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</si>
  <si>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</si>
  <si>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</si>
  <si>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</si>
  <si>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</si>
  <si>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</si>
  <si>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</si>
  <si>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</si>
  <si>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</si>
  <si>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</si>
  <si>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</si>
  <si>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</si>
  <si>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</si>
  <si>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</si>
  <si>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</si>
  <si>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</si>
  <si>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</si>
  <si>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</si>
  <si>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</si>
  <si>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</si>
  <si>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</si>
  <si>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</si>
  <si>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</si>
  <si>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</si>
  <si>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</si>
  <si>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</si>
  <si>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</si>
  <si>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</si>
  <si>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</si>
  <si>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</si>
  <si>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</si>
  <si>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</si>
  <si>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</si>
  <si>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</si>
  <si>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</si>
  <si>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</si>
  <si>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</si>
  <si>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</si>
  <si>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</si>
  <si>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</si>
  <si>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</si>
  <si>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</si>
  <si>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</si>
  <si>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</si>
  <si>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</si>
  <si>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</si>
  <si>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</si>
  <si>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KZ2C00011989</t>
  </si>
  <si>
    <t>KZT</t>
  </si>
  <si>
    <t>02.10.2025</t>
  </si>
  <si>
    <t>03.10.2025</t>
  </si>
  <si>
    <t>МИНИСТЕРСТВО ФИНАНСОВ РК</t>
  </si>
  <si>
    <t>KZKD00001095</t>
  </si>
  <si>
    <t>XS2914770545</t>
  </si>
  <si>
    <t>06.10.2025</t>
  </si>
  <si>
    <t>KZ96601A861038102391</t>
  </si>
  <si>
    <t>KZKD00001152</t>
  </si>
  <si>
    <t>18.07.2024</t>
  </si>
  <si>
    <t>26.07.2032</t>
  </si>
  <si>
    <t>KZKD00000832</t>
  </si>
  <si>
    <t>29.01.2035</t>
  </si>
  <si>
    <t>KZKD00000477</t>
  </si>
  <si>
    <t>24.07.2025</t>
  </si>
  <si>
    <t>19.10.2027</t>
  </si>
  <si>
    <t>KZKD00001087</t>
  </si>
  <si>
    <t>31.03.2029</t>
  </si>
  <si>
    <t>KZKD00001251</t>
  </si>
  <si>
    <t>13.03.2025</t>
  </si>
  <si>
    <t>07.03.2030</t>
  </si>
  <si>
    <t>KZKD00000790</t>
  </si>
  <si>
    <t>10.07.2025</t>
  </si>
  <si>
    <t>13.08.2029</t>
  </si>
  <si>
    <t>KZKD00000949</t>
  </si>
  <si>
    <t>16.04.2032</t>
  </si>
  <si>
    <t>KZKD00000741</t>
  </si>
  <si>
    <t>12.05.2034</t>
  </si>
  <si>
    <t>KZKD00001137</t>
  </si>
  <si>
    <t>12.04.2028</t>
  </si>
  <si>
    <t>KZKD00001160</t>
  </si>
  <si>
    <t>28.07.2029</t>
  </si>
  <si>
    <t>KZK200000760</t>
  </si>
  <si>
    <t>14.08.2025</t>
  </si>
  <si>
    <t>07.08.2029</t>
  </si>
  <si>
    <t>KZKD00000535</t>
  </si>
  <si>
    <t>27.03.2027</t>
  </si>
  <si>
    <t>KZK200000687</t>
  </si>
  <si>
    <t>21.01.2026</t>
  </si>
  <si>
    <t>KZK100000373</t>
  </si>
  <si>
    <t>06.02.2026</t>
  </si>
  <si>
    <t>Евразийский банк развития</t>
  </si>
  <si>
    <t>KZ2D00011863</t>
  </si>
  <si>
    <t>24.09.2024</t>
  </si>
  <si>
    <t>03.09.2027</t>
  </si>
  <si>
    <t>KZKD00001129</t>
  </si>
  <si>
    <t>17.03.2031</t>
  </si>
  <si>
    <t>KZKD00000444</t>
  </si>
  <si>
    <t>21.08.2025</t>
  </si>
  <si>
    <t>18.08.2026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</si>
  <si>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</si>
  <si>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</si>
  <si>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</si>
  <si>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</si>
  <si>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</si>
  <si>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</si>
  <si>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</si>
  <si>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</si>
  <si>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</si>
  <si>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</si>
  <si>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</si>
  <si>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</si>
  <si>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</si>
  <si>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</si>
  <si>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</si>
  <si>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</si>
  <si>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</si>
  <si>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</si>
  <si>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</si>
  <si>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</si>
  <si>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</si>
  <si>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</si>
  <si>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</si>
  <si>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</si>
  <si>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</si>
  <si>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</si>
  <si>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</si>
  <si>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</si>
  <si>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</si>
  <si>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</si>
  <si>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</si>
  <si>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</si>
  <si>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</si>
  <si>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</si>
  <si>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</si>
  <si>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</si>
  <si>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</si>
  <si>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</si>
  <si>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</si>
  <si>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</si>
  <si>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</si>
  <si>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</si>
  <si>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</si>
  <si>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</si>
  <si>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</si>
  <si>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</si>
  <si>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</si>
  <si>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</si>
  <si>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</si>
  <si>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</si>
  <si>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</si>
  <si>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</si>
  <si>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</si>
  <si>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</si>
  <si>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</si>
  <si>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</si>
  <si>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MFMOb23</t>
  </si>
  <si>
    <t>KZ2P00013154</t>
  </si>
  <si>
    <t>MFMOb26</t>
  </si>
  <si>
    <t>KZ2P00013204</t>
  </si>
  <si>
    <t>MFRFb14</t>
  </si>
  <si>
    <t>KZ2P00011687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</si>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</sst>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13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25730492806.292694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76</v>
      </c>
      <c r="C8" s="16">
        <v>1897500</v>
      </c>
      <c r="D8" s="17">
        <v>1897500000</v>
      </c>
      <c r="E8" s="18">
        <v>10.65</v>
      </c>
      <c r="F8" s="19" t="s">
        <v>77</v>
      </c>
      <c r="G8" s="19" t="s">
        <v>78</v>
      </c>
      <c r="H8" s="18">
        <v>1648500562.5</v>
      </c>
      <c r="I8" s="20">
        <v>75.700400000000002</v>
      </c>
      <c r="J8" s="20">
        <v>77.682500000000005</v>
      </c>
      <c r="K8" s="18">
        <v>37610031.25</v>
      </c>
      <c r="L8" s="18">
        <v>1474025121.25</v>
      </c>
      <c r="M8" s="21">
        <f t="shared" ref="M8:M24" si="0">L8/$Q$1</f>
        <v>5.7287092491656817E-2</v>
      </c>
      <c r="O8" s="10">
        <v>749863.88888888899</v>
      </c>
    </row>
    <row r="9" spans="1:17" x14ac:dyDescent="0.2">
      <c r="A9" s="15" t="s">
        <v>71</v>
      </c>
      <c r="B9" s="15" t="s">
        <v>79</v>
      </c>
      <c r="C9" s="16">
        <v>1897500</v>
      </c>
      <c r="D9" s="17">
        <v>1897500000</v>
      </c>
      <c r="E9" s="18">
        <v>8.07</v>
      </c>
      <c r="F9" s="19" t="s">
        <v>77</v>
      </c>
      <c r="G9" s="19" t="s">
        <v>80</v>
      </c>
      <c r="H9" s="18">
        <v>1338524962.5</v>
      </c>
      <c r="I9" s="20">
        <v>59.858600000000003</v>
      </c>
      <c r="J9" s="20">
        <v>65.328299999999999</v>
      </c>
      <c r="K9" s="18">
        <v>103786925</v>
      </c>
      <c r="L9" s="18">
        <v>1239603860</v>
      </c>
      <c r="M9" s="21">
        <f t="shared" si="0"/>
        <v>4.8176452325733934E-2</v>
      </c>
      <c r="O9" s="10">
        <v>749863.88888888899</v>
      </c>
    </row>
    <row r="10" spans="1:17" x14ac:dyDescent="0.2">
      <c r="A10" s="15" t="s">
        <v>71</v>
      </c>
      <c r="B10" s="15" t="s">
        <v>81</v>
      </c>
      <c r="C10" s="16">
        <v>2391500</v>
      </c>
      <c r="D10" s="17">
        <v>2391500000</v>
      </c>
      <c r="E10" s="18">
        <v>5.3</v>
      </c>
      <c r="F10" s="19" t="s">
        <v>82</v>
      </c>
      <c r="G10" s="19" t="s">
        <v>83</v>
      </c>
      <c r="H10" s="18">
        <v>1903079172</v>
      </c>
      <c r="I10" s="20">
        <v>81.092799999999997</v>
      </c>
      <c r="J10" s="20">
        <v>86.157200000000003</v>
      </c>
      <c r="K10" s="18">
        <v>121116188.888889</v>
      </c>
      <c r="L10" s="18">
        <v>2060450500.88889</v>
      </c>
      <c r="M10" s="21">
        <f t="shared" si="0"/>
        <v>8.0078159264208984E-2</v>
      </c>
      <c r="O10" s="10">
        <v>749863.88888888899</v>
      </c>
    </row>
    <row r="11" spans="1:17" x14ac:dyDescent="0.2">
      <c r="A11" s="15" t="s">
        <v>71</v>
      </c>
      <c r="B11" s="15" t="s">
        <v>84</v>
      </c>
      <c r="C11" s="16">
        <v>1897500</v>
      </c>
      <c r="D11" s="17">
        <v>1897500000</v>
      </c>
      <c r="E11" s="18">
        <v>11</v>
      </c>
      <c r="F11" s="19" t="s">
        <v>77</v>
      </c>
      <c r="G11" s="19" t="s">
        <v>85</v>
      </c>
      <c r="H11" s="18">
        <v>1743261712.5</v>
      </c>
      <c r="I11" s="20">
        <v>85.021300000000011</v>
      </c>
      <c r="J11" s="20">
        <v>90.613</v>
      </c>
      <c r="K11" s="18">
        <v>106101875</v>
      </c>
      <c r="L11" s="18">
        <v>1719381042.5</v>
      </c>
      <c r="M11" s="21">
        <f t="shared" si="0"/>
        <v>6.6822701587724936E-2</v>
      </c>
      <c r="O11" s="10">
        <v>749863.88888888899</v>
      </c>
    </row>
    <row r="12" spans="1:17" x14ac:dyDescent="0.2">
      <c r="A12" s="15" t="s">
        <v>71</v>
      </c>
      <c r="B12" s="15" t="s">
        <v>86</v>
      </c>
      <c r="C12" s="16">
        <v>550000</v>
      </c>
      <c r="D12" s="17">
        <v>550000000</v>
      </c>
      <c r="E12" s="18">
        <v>12</v>
      </c>
      <c r="F12" s="19" t="s">
        <v>87</v>
      </c>
      <c r="G12" s="19" t="s">
        <v>88</v>
      </c>
      <c r="H12" s="18">
        <v>491343050</v>
      </c>
      <c r="I12" s="20">
        <v>85.275500000000008</v>
      </c>
      <c r="J12" s="20">
        <v>92.142200000000003</v>
      </c>
      <c r="K12" s="18">
        <v>37766666.666666657</v>
      </c>
      <c r="L12" s="18">
        <v>506781916.66666698</v>
      </c>
      <c r="M12" s="21">
        <f t="shared" si="0"/>
        <v>1.9695771879764679E-2</v>
      </c>
      <c r="O12" s="10">
        <v>749863.88888888899</v>
      </c>
    </row>
    <row r="13" spans="1:17" x14ac:dyDescent="0.2">
      <c r="A13" s="15" t="s">
        <v>71</v>
      </c>
      <c r="B13" s="15" t="s">
        <v>89</v>
      </c>
      <c r="C13" s="16">
        <v>2469500</v>
      </c>
      <c r="D13" s="17">
        <v>2469500000</v>
      </c>
      <c r="E13" s="18">
        <v>7.68</v>
      </c>
      <c r="F13" s="19" t="s">
        <v>90</v>
      </c>
      <c r="G13" s="19" t="s">
        <v>91</v>
      </c>
      <c r="H13" s="18">
        <v>1827657194</v>
      </c>
      <c r="I13" s="20">
        <v>75.168500000000009</v>
      </c>
      <c r="J13" s="20">
        <v>76.235200000000006</v>
      </c>
      <c r="K13" s="18">
        <v>26341333.333333328</v>
      </c>
      <c r="L13" s="18">
        <v>1882627440.833333</v>
      </c>
      <c r="M13" s="21">
        <f t="shared" si="0"/>
        <v>7.3167173866678314E-2</v>
      </c>
      <c r="O13" s="10">
        <v>749863.88888888899</v>
      </c>
    </row>
    <row r="14" spans="1:17" x14ac:dyDescent="0.2">
      <c r="A14" s="15" t="s">
        <v>71</v>
      </c>
      <c r="B14" s="15" t="s">
        <v>92</v>
      </c>
      <c r="C14" s="16">
        <v>1897500</v>
      </c>
      <c r="D14" s="17">
        <v>1897500000</v>
      </c>
      <c r="E14" s="18">
        <v>8.4499999999999993</v>
      </c>
      <c r="F14" s="19" t="s">
        <v>77</v>
      </c>
      <c r="G14" s="19" t="s">
        <v>93</v>
      </c>
      <c r="H14" s="18">
        <v>1457889097.496666</v>
      </c>
      <c r="I14" s="20">
        <v>67.882800000000003</v>
      </c>
      <c r="J14" s="20">
        <v>71.802700000000002</v>
      </c>
      <c r="K14" s="18">
        <v>74379364.583333328</v>
      </c>
      <c r="L14" s="18">
        <v>1362455494.583333</v>
      </c>
      <c r="M14" s="21">
        <f t="shared" si="0"/>
        <v>5.2951006606843092E-2</v>
      </c>
      <c r="O14" s="10">
        <v>749863.88888888899</v>
      </c>
    </row>
    <row r="15" spans="1:17" x14ac:dyDescent="0.2">
      <c r="A15" s="15" t="s">
        <v>71</v>
      </c>
      <c r="B15" s="15" t="s">
        <v>94</v>
      </c>
      <c r="C15" s="16">
        <v>1897500</v>
      </c>
      <c r="D15" s="17">
        <v>1897500000</v>
      </c>
      <c r="E15" s="18">
        <v>8.07</v>
      </c>
      <c r="F15" s="19" t="s">
        <v>77</v>
      </c>
      <c r="G15" s="19" t="s">
        <v>95</v>
      </c>
      <c r="H15" s="18">
        <v>1359122325</v>
      </c>
      <c r="I15" s="20">
        <v>61.308700000000002</v>
      </c>
      <c r="J15" s="20">
        <v>64.469499999999996</v>
      </c>
      <c r="K15" s="18">
        <v>59975231.25</v>
      </c>
      <c r="L15" s="18">
        <v>1223307813.75</v>
      </c>
      <c r="M15" s="21">
        <f t="shared" si="0"/>
        <v>4.7543116370115761E-2</v>
      </c>
      <c r="O15" s="10">
        <v>749863.88888888899</v>
      </c>
    </row>
    <row r="16" spans="1:17" x14ac:dyDescent="0.2">
      <c r="A16" s="15" t="s">
        <v>71</v>
      </c>
      <c r="B16" s="15" t="s">
        <v>96</v>
      </c>
      <c r="C16" s="16">
        <v>1897500</v>
      </c>
      <c r="D16" s="17">
        <v>1897500000</v>
      </c>
      <c r="E16" s="18">
        <v>10.4</v>
      </c>
      <c r="F16" s="19" t="s">
        <v>77</v>
      </c>
      <c r="G16" s="19" t="s">
        <v>97</v>
      </c>
      <c r="H16" s="18">
        <v>1736743800</v>
      </c>
      <c r="I16" s="20">
        <v>87.126500000000007</v>
      </c>
      <c r="J16" s="20">
        <v>92.066500000000005</v>
      </c>
      <c r="K16" s="18">
        <v>93736500</v>
      </c>
      <c r="L16" s="18">
        <v>1746961837.5</v>
      </c>
      <c r="M16" s="21">
        <f t="shared" si="0"/>
        <v>6.7894612460464035E-2</v>
      </c>
      <c r="O16" s="10">
        <v>749863.88888888899</v>
      </c>
    </row>
    <row r="17" spans="1:15" x14ac:dyDescent="0.2">
      <c r="A17" s="15" t="s">
        <v>71</v>
      </c>
      <c r="B17" s="15" t="s">
        <v>98</v>
      </c>
      <c r="C17" s="16">
        <v>1897500</v>
      </c>
      <c r="D17" s="17">
        <v>1897500000</v>
      </c>
      <c r="E17" s="18">
        <v>10.55</v>
      </c>
      <c r="F17" s="19" t="s">
        <v>77</v>
      </c>
      <c r="G17" s="19" t="s">
        <v>99</v>
      </c>
      <c r="H17" s="18">
        <v>1708326839.9966669</v>
      </c>
      <c r="I17" s="20">
        <v>82.955500000000001</v>
      </c>
      <c r="J17" s="20">
        <v>84.860399999999998</v>
      </c>
      <c r="K17" s="18">
        <v>36144739.583333328</v>
      </c>
      <c r="L17" s="18">
        <v>1610225352.083333</v>
      </c>
      <c r="M17" s="21">
        <f t="shared" si="0"/>
        <v>6.2580431871461617E-2</v>
      </c>
      <c r="O17" s="10">
        <v>749863.88888888899</v>
      </c>
    </row>
    <row r="18" spans="1:15" x14ac:dyDescent="0.2">
      <c r="A18" s="15" t="s">
        <v>71</v>
      </c>
      <c r="B18" s="15" t="s">
        <v>100</v>
      </c>
      <c r="C18" s="16">
        <v>897100</v>
      </c>
      <c r="D18" s="17">
        <v>897100000</v>
      </c>
      <c r="E18" s="18">
        <v>17.010000000000002</v>
      </c>
      <c r="F18" s="19" t="s">
        <v>101</v>
      </c>
      <c r="G18" s="19" t="s">
        <v>102</v>
      </c>
      <c r="H18" s="18">
        <v>896985171.20000005</v>
      </c>
      <c r="I18" s="20">
        <v>101.94750000000001</v>
      </c>
      <c r="J18" s="20">
        <v>104.59350000000001</v>
      </c>
      <c r="K18" s="18">
        <v>23737266</v>
      </c>
      <c r="L18" s="18">
        <v>938308288.5</v>
      </c>
      <c r="M18" s="21">
        <f t="shared" si="0"/>
        <v>3.6466782644385486E-2</v>
      </c>
      <c r="O18" s="10">
        <v>749863.88888888899</v>
      </c>
    </row>
    <row r="19" spans="1:15" x14ac:dyDescent="0.2">
      <c r="A19" s="15" t="s">
        <v>71</v>
      </c>
      <c r="B19" s="15" t="s">
        <v>103</v>
      </c>
      <c r="C19" s="16">
        <v>3162500</v>
      </c>
      <c r="D19" s="17">
        <v>3162500000</v>
      </c>
      <c r="E19" s="18">
        <v>5.49</v>
      </c>
      <c r="F19" s="19" t="s">
        <v>77</v>
      </c>
      <c r="G19" s="19" t="s">
        <v>104</v>
      </c>
      <c r="H19" s="18">
        <v>2627740225</v>
      </c>
      <c r="I19" s="20">
        <v>85.798400000000001</v>
      </c>
      <c r="J19" s="20">
        <v>88.634900000000002</v>
      </c>
      <c r="K19" s="18">
        <v>89704312.5</v>
      </c>
      <c r="L19" s="18">
        <v>2803078712.5</v>
      </c>
      <c r="M19" s="21">
        <f t="shared" si="0"/>
        <v>0.10893995438029365</v>
      </c>
      <c r="O19" s="10">
        <v>749863.88888888899</v>
      </c>
    </row>
    <row r="20" spans="1:15" x14ac:dyDescent="0.2">
      <c r="A20" s="15" t="s">
        <v>71</v>
      </c>
      <c r="B20" s="15" t="s">
        <v>105</v>
      </c>
      <c r="C20" s="16">
        <v>2530000</v>
      </c>
      <c r="D20" s="17">
        <v>2530000000</v>
      </c>
      <c r="E20" s="18">
        <v>10.67</v>
      </c>
      <c r="F20" s="19" t="s">
        <v>77</v>
      </c>
      <c r="G20" s="19" t="s">
        <v>106</v>
      </c>
      <c r="H20" s="18">
        <v>2455119589.9966769</v>
      </c>
      <c r="I20" s="20">
        <v>98.260200000000012</v>
      </c>
      <c r="J20" s="20">
        <v>100.3942</v>
      </c>
      <c r="K20" s="18">
        <v>53990200</v>
      </c>
      <c r="L20" s="18">
        <v>2539973260</v>
      </c>
      <c r="M20" s="21">
        <f t="shared" si="0"/>
        <v>9.8714520515472581E-2</v>
      </c>
      <c r="O20" s="10">
        <v>749863.88888888899</v>
      </c>
    </row>
    <row r="21" spans="1:15" x14ac:dyDescent="0.2">
      <c r="A21" s="15" t="s">
        <v>71</v>
      </c>
      <c r="B21" s="15" t="s">
        <v>107</v>
      </c>
      <c r="C21" s="16">
        <v>11424000</v>
      </c>
      <c r="D21" s="17">
        <v>1142400000</v>
      </c>
      <c r="E21" s="18">
        <v>0</v>
      </c>
      <c r="F21" s="19" t="s">
        <v>87</v>
      </c>
      <c r="G21" s="19" t="s">
        <v>108</v>
      </c>
      <c r="H21" s="18">
        <v>1003902278.4</v>
      </c>
      <c r="I21" s="20">
        <v>94.63430000000001</v>
      </c>
      <c r="J21" s="20">
        <v>94.63430000000001</v>
      </c>
      <c r="K21" s="18"/>
      <c r="L21" s="18">
        <v>1081102243.2</v>
      </c>
      <c r="M21" s="21">
        <f t="shared" si="0"/>
        <v>4.2016383103848046E-2</v>
      </c>
      <c r="O21" s="10">
        <v>749863.88888888899</v>
      </c>
    </row>
    <row r="22" spans="1:15" x14ac:dyDescent="0.2">
      <c r="A22" s="15" t="s">
        <v>109</v>
      </c>
      <c r="B22" s="15" t="s">
        <v>110</v>
      </c>
      <c r="C22" s="16">
        <v>992234</v>
      </c>
      <c r="D22" s="17">
        <v>992234000</v>
      </c>
      <c r="E22" s="18">
        <v>14.3</v>
      </c>
      <c r="F22" s="19" t="s">
        <v>111</v>
      </c>
      <c r="G22" s="19" t="s">
        <v>112</v>
      </c>
      <c r="H22" s="18">
        <v>991722999.49000001</v>
      </c>
      <c r="I22" s="20">
        <v>94.598584849999995</v>
      </c>
      <c r="J22" s="20">
        <v>95.790284850000006</v>
      </c>
      <c r="K22" s="18">
        <v>11824121.83333333</v>
      </c>
      <c r="L22" s="18">
        <v>950463444.203807</v>
      </c>
      <c r="M22" s="21">
        <f t="shared" si="0"/>
        <v>3.6939185399953167E-2</v>
      </c>
      <c r="O22" s="10">
        <v>749863.88888888899</v>
      </c>
    </row>
    <row r="23" spans="1:15" x14ac:dyDescent="0.2">
      <c r="A23" s="15" t="s">
        <v>71</v>
      </c>
      <c r="B23" s="15" t="s">
        <v>113</v>
      </c>
      <c r="C23" s="16">
        <v>1897500</v>
      </c>
      <c r="D23" s="17">
        <v>1897500000</v>
      </c>
      <c r="E23" s="18">
        <v>10.3</v>
      </c>
      <c r="F23" s="19" t="s">
        <v>77</v>
      </c>
      <c r="G23" s="19" t="s">
        <v>114</v>
      </c>
      <c r="H23" s="18">
        <v>1645329839.996666</v>
      </c>
      <c r="I23" s="20">
        <v>77.4345</v>
      </c>
      <c r="J23" s="20">
        <v>83.042299999999997</v>
      </c>
      <c r="K23" s="18">
        <v>106407583.333333</v>
      </c>
      <c r="L23" s="18">
        <v>1575727220.833333</v>
      </c>
      <c r="M23" s="21">
        <f t="shared" si="0"/>
        <v>6.1239682920024387E-2</v>
      </c>
      <c r="O23" s="10">
        <v>749863.88888888899</v>
      </c>
    </row>
    <row r="24" spans="1:15" x14ac:dyDescent="0.2">
      <c r="A24" s="15" t="s">
        <v>71</v>
      </c>
      <c r="B24" s="15" t="s">
        <v>115</v>
      </c>
      <c r="C24" s="16">
        <v>1106600</v>
      </c>
      <c r="D24" s="17">
        <v>1106600000</v>
      </c>
      <c r="E24" s="18">
        <v>5.5</v>
      </c>
      <c r="F24" s="19" t="s">
        <v>116</v>
      </c>
      <c r="G24" s="19" t="s">
        <v>117</v>
      </c>
      <c r="H24" s="18">
        <v>999478906.79999995</v>
      </c>
      <c r="I24" s="20">
        <v>91.12700000000001</v>
      </c>
      <c r="J24" s="20">
        <v>91.81450000000001</v>
      </c>
      <c r="K24" s="18">
        <v>7607875</v>
      </c>
      <c r="L24" s="18">
        <v>1016019257</v>
      </c>
      <c r="M24" s="21">
        <f t="shared" si="0"/>
        <v>3.9486972311370598E-2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990230214.22222209</v>
      </c>
      <c r="L26" s="23">
        <f>SUM(L8:L25)</f>
        <v>25730492806.292694</v>
      </c>
      <c r="M26" s="26">
        <f>SUM(M8:M25)</f>
        <v>1.0000000000000002</v>
      </c>
      <c r="N26" s="9">
        <v>25730492806.292698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829827.1</v>
      </c>
    </row>
    <row r="30" spans="1:15" x14ac:dyDescent="0.2">
      <c r="A30" s="29" t="s">
        <v>75</v>
      </c>
      <c r="B30" s="30">
        <v>829827.1</v>
      </c>
      <c r="C30" s="62">
        <v>829827.16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291952</v>
      </c>
      <c r="D35" s="32" t="s">
        <v>68</v>
      </c>
      <c r="E35" s="34" t="s">
        <v>69</v>
      </c>
      <c r="F35" s="34" t="s">
        <v>70</v>
      </c>
      <c r="G35" s="35">
        <v>972.82699998629903</v>
      </c>
      <c r="H35" s="35">
        <f t="shared" ref="H35:H40" si="1">J35/C35</f>
        <v>973.25078208061598</v>
      </c>
      <c r="I35" s="36">
        <v>284018788.30000001</v>
      </c>
      <c r="J35" s="36">
        <v>284142512.32999998</v>
      </c>
      <c r="K35" s="37">
        <v>15.9001</v>
      </c>
      <c r="L35" s="37">
        <v>123724.03</v>
      </c>
      <c r="M35" s="31">
        <f t="shared" ref="M35:M40" si="2">I35+L35</f>
        <v>284142512.32999998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13663</v>
      </c>
      <c r="D36" s="32" t="s">
        <v>68</v>
      </c>
      <c r="E36" s="34" t="s">
        <v>69</v>
      </c>
      <c r="F36" s="34" t="s">
        <v>70</v>
      </c>
      <c r="G36" s="35">
        <v>951.57399985361906</v>
      </c>
      <c r="H36" s="35">
        <f t="shared" si="1"/>
        <v>951.98852082265978</v>
      </c>
      <c r="I36" s="36">
        <v>13001355.560000001</v>
      </c>
      <c r="J36" s="36">
        <v>13007019.16</v>
      </c>
      <c r="K36" s="37">
        <v>15.9</v>
      </c>
      <c r="L36" s="37">
        <v>5663.6</v>
      </c>
      <c r="M36" s="31">
        <f t="shared" si="2"/>
        <v>13007019.16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47288</v>
      </c>
      <c r="D37" s="32" t="s">
        <v>68</v>
      </c>
      <c r="E37" s="34" t="s">
        <v>69</v>
      </c>
      <c r="F37" s="34" t="s">
        <v>70</v>
      </c>
      <c r="G37" s="35">
        <v>972.82700008458801</v>
      </c>
      <c r="H37" s="35">
        <f t="shared" si="1"/>
        <v>973.25078222804939</v>
      </c>
      <c r="I37" s="36">
        <v>46003043.18</v>
      </c>
      <c r="J37" s="36">
        <v>46023082.990000002</v>
      </c>
      <c r="K37" s="37">
        <v>15.9001</v>
      </c>
      <c r="L37" s="37">
        <v>20039.810000000001</v>
      </c>
      <c r="M37" s="31">
        <f t="shared" si="2"/>
        <v>46023082.990000002</v>
      </c>
      <c r="N37" s="10"/>
      <c r="O37" s="9"/>
      <c r="Q37" s="9">
        <v>0</v>
      </c>
    </row>
    <row r="38" spans="1:17" x14ac:dyDescent="0.2">
      <c r="A38" s="32" t="s">
        <v>71</v>
      </c>
      <c r="B38" s="32" t="s">
        <v>72</v>
      </c>
      <c r="C38" s="33">
        <v>1853964</v>
      </c>
      <c r="D38" s="32" t="s">
        <v>68</v>
      </c>
      <c r="E38" s="34" t="s">
        <v>69</v>
      </c>
      <c r="F38" s="34" t="s">
        <v>70</v>
      </c>
      <c r="G38" s="35">
        <v>951.57400000215807</v>
      </c>
      <c r="H38" s="35">
        <f t="shared" si="1"/>
        <v>951.98852127657278</v>
      </c>
      <c r="I38" s="36">
        <v>1764183939.339999</v>
      </c>
      <c r="J38" s="36">
        <v>1764952446.8599999</v>
      </c>
      <c r="K38" s="37">
        <v>15.9</v>
      </c>
      <c r="L38" s="37">
        <v>768507.52</v>
      </c>
      <c r="M38" s="31">
        <f t="shared" si="2"/>
        <v>1764952446.8599989</v>
      </c>
      <c r="N38" s="10"/>
      <c r="O38" s="9"/>
      <c r="Q38" s="9">
        <v>0</v>
      </c>
    </row>
    <row r="39" spans="1:17" x14ac:dyDescent="0.2">
      <c r="A39" s="32" t="s">
        <v>71</v>
      </c>
      <c r="B39" s="32" t="s">
        <v>73</v>
      </c>
      <c r="C39" s="33">
        <v>3766810</v>
      </c>
      <c r="D39" s="32" t="s">
        <v>68</v>
      </c>
      <c r="E39" s="34" t="s">
        <v>70</v>
      </c>
      <c r="F39" s="34" t="s">
        <v>74</v>
      </c>
      <c r="G39" s="35">
        <v>556.4078000005311</v>
      </c>
      <c r="H39" s="35">
        <f t="shared" si="1"/>
        <v>557.12808133141834</v>
      </c>
      <c r="I39" s="36">
        <v>2095882465.1199999</v>
      </c>
      <c r="J39" s="36">
        <v>2098595628.04</v>
      </c>
      <c r="K39" s="37">
        <v>15.75</v>
      </c>
      <c r="L39" s="37"/>
      <c r="M39" s="31">
        <f t="shared" si="2"/>
        <v>2095882465.1199999</v>
      </c>
      <c r="N39" s="10"/>
      <c r="O39" s="9"/>
      <c r="Q39" s="9">
        <v>1</v>
      </c>
    </row>
    <row r="40" spans="1:17" x14ac:dyDescent="0.2">
      <c r="A40" s="32" t="s">
        <v>71</v>
      </c>
      <c r="B40" s="32" t="s">
        <v>73</v>
      </c>
      <c r="C40" s="33">
        <v>21576</v>
      </c>
      <c r="D40" s="32" t="s">
        <v>68</v>
      </c>
      <c r="E40" s="34" t="s">
        <v>70</v>
      </c>
      <c r="F40" s="34" t="s">
        <v>74</v>
      </c>
      <c r="G40" s="35">
        <v>556.40779987022597</v>
      </c>
      <c r="H40" s="35">
        <f t="shared" si="1"/>
        <v>557.12808120133479</v>
      </c>
      <c r="I40" s="36">
        <v>12005054.689999999</v>
      </c>
      <c r="J40" s="36">
        <v>12020595.48</v>
      </c>
      <c r="K40" s="37">
        <v>15.75</v>
      </c>
      <c r="L40" s="37"/>
      <c r="M40" s="31">
        <f t="shared" si="2"/>
        <v>12005054.689999999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2107887519.8099999</v>
      </c>
      <c r="N42" s="65">
        <v>2107887519.8099999</v>
      </c>
      <c r="O42" s="66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L26+B30+M42</f>
        <v>27839210153.202694</v>
      </c>
      <c r="C49" s="62">
        <v>27839210153.262699</v>
      </c>
      <c r="D49" s="62">
        <f>__mdDATAItogoActive__-C49</f>
        <v>-6.000518798828125E-2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I55" s="54"/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I63" s="54"/>
      <c r="O63" s="9"/>
    </row>
    <row r="64" spans="1:15" x14ac:dyDescent="0.2">
      <c r="A64" s="24">
        <v>1</v>
      </c>
      <c r="B64" s="55" t="s">
        <v>53</v>
      </c>
      <c r="C64" s="57">
        <v>2299715.86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450719.35</v>
      </c>
      <c r="D66" s="2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365760.98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105695.24</v>
      </c>
      <c r="D69" s="57"/>
      <c r="O69" s="9"/>
    </row>
    <row r="70" spans="1:15" x14ac:dyDescent="0.2">
      <c r="A70" s="24">
        <v>7</v>
      </c>
      <c r="B70" s="55" t="s">
        <v>59</v>
      </c>
      <c r="C70" s="57">
        <v>53510.18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3275401.6100000003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03.10.2025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99.510500000000008</v>
      </c>
      <c r="G4" s="5">
        <v>99.510500000000008</v>
      </c>
      <c r="H4" s="5">
        <v>14.96</v>
      </c>
      <c r="I4" s="5">
        <v>13</v>
      </c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126</v>
      </c>
      <c r="F5" s="4">
        <v>9490.25</v>
      </c>
      <c r="G5" s="5"/>
      <c r="H5" s="5"/>
      <c r="I5" s="5"/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120</v>
      </c>
      <c r="E6" s="4" t="s">
        <v>126</v>
      </c>
      <c r="F6" s="4">
        <v>1066.816</v>
      </c>
      <c r="G6" s="5">
        <v>107.65940000000001</v>
      </c>
      <c r="H6" s="5">
        <v>18.47</v>
      </c>
      <c r="I6" s="5">
        <v>897</v>
      </c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125</v>
      </c>
      <c r="E7" s="4" t="s">
        <v>132</v>
      </c>
      <c r="F7" s="4">
        <v>1471.14</v>
      </c>
      <c r="G7" s="5"/>
      <c r="H7" s="5"/>
      <c r="I7" s="5"/>
      <c r="J7" s="4" t="s">
        <v>127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125</v>
      </c>
      <c r="E8" s="4" t="s">
        <v>135</v>
      </c>
      <c r="F8" s="4">
        <v>555402.30000000005</v>
      </c>
      <c r="G8" s="5"/>
      <c r="H8" s="5"/>
      <c r="I8" s="5"/>
      <c r="J8" s="4" t="s">
        <v>127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125</v>
      </c>
      <c r="E9" s="4" t="s">
        <v>135</v>
      </c>
      <c r="F9" s="4">
        <v>6301.35</v>
      </c>
      <c r="G9" s="5"/>
      <c r="H9" s="5"/>
      <c r="I9" s="5"/>
      <c r="J9" s="4" t="s">
        <v>127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120</v>
      </c>
      <c r="E10" s="4" t="s">
        <v>135</v>
      </c>
      <c r="F10" s="4">
        <v>0.93724999999999992</v>
      </c>
      <c r="G10" s="5">
        <v>96.344400000000007</v>
      </c>
      <c r="H10" s="5">
        <v>6.29</v>
      </c>
      <c r="I10" s="5">
        <v>7869</v>
      </c>
      <c r="J10" s="4" t="s">
        <v>122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125</v>
      </c>
      <c r="E11" s="4" t="s">
        <v>135</v>
      </c>
      <c r="F11" s="4">
        <v>168.34</v>
      </c>
      <c r="G11" s="5"/>
      <c r="H11" s="5"/>
      <c r="I11" s="5"/>
      <c r="J11" s="4" t="s">
        <v>127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125</v>
      </c>
      <c r="E12" s="4" t="s">
        <v>135</v>
      </c>
      <c r="F12" s="4">
        <v>5515.85</v>
      </c>
      <c r="G12" s="5"/>
      <c r="H12" s="5"/>
      <c r="I12" s="5"/>
      <c r="J12" s="4" t="s">
        <v>127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125</v>
      </c>
      <c r="E13" s="4" t="s">
        <v>135</v>
      </c>
      <c r="F13" s="4">
        <v>6052641.0700000003</v>
      </c>
      <c r="G13" s="5"/>
      <c r="H13" s="5"/>
      <c r="I13" s="5"/>
      <c r="J13" s="4" t="s">
        <v>127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125</v>
      </c>
      <c r="E14" s="4" t="s">
        <v>135</v>
      </c>
      <c r="F14" s="4">
        <v>133.08000000000001</v>
      </c>
      <c r="G14" s="5"/>
      <c r="H14" s="5"/>
      <c r="I14" s="5"/>
      <c r="J14" s="4" t="s">
        <v>127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125</v>
      </c>
      <c r="E15" s="4" t="s">
        <v>135</v>
      </c>
      <c r="F15" s="4">
        <v>1774880.02</v>
      </c>
      <c r="G15" s="5"/>
      <c r="H15" s="5"/>
      <c r="I15" s="5"/>
      <c r="J15" s="4" t="s">
        <v>127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125</v>
      </c>
      <c r="E16" s="4" t="s">
        <v>135</v>
      </c>
      <c r="F16" s="4">
        <v>69837.460000000006</v>
      </c>
      <c r="G16" s="5"/>
      <c r="H16" s="5"/>
      <c r="I16" s="5"/>
      <c r="J16" s="4" t="s">
        <v>127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125</v>
      </c>
      <c r="E17" s="4" t="s">
        <v>135</v>
      </c>
      <c r="F17" s="4">
        <v>70703.850000000006</v>
      </c>
      <c r="G17" s="5"/>
      <c r="H17" s="5"/>
      <c r="I17" s="5"/>
      <c r="J17" s="4" t="s">
        <v>127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125</v>
      </c>
      <c r="E18" s="4" t="s">
        <v>135</v>
      </c>
      <c r="F18" s="4">
        <v>50432.639999999999</v>
      </c>
      <c r="G18" s="5"/>
      <c r="H18" s="5"/>
      <c r="I18" s="5"/>
      <c r="J18" s="4" t="s">
        <v>127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125</v>
      </c>
      <c r="E19" s="4" t="s">
        <v>135</v>
      </c>
      <c r="F19" s="4">
        <v>7.22</v>
      </c>
      <c r="G19" s="5"/>
      <c r="H19" s="5"/>
      <c r="I19" s="5"/>
      <c r="J19" s="4" t="s">
        <v>127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120</v>
      </c>
      <c r="E20" s="4" t="s">
        <v>135</v>
      </c>
      <c r="F20" s="4">
        <v>1000</v>
      </c>
      <c r="G20" s="5">
        <v>106.55800000000001</v>
      </c>
      <c r="H20" s="5">
        <v>17.46</v>
      </c>
      <c r="I20" s="5">
        <v>1143</v>
      </c>
      <c r="J20" s="4" t="s">
        <v>122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120</v>
      </c>
      <c r="E21" s="4" t="s">
        <v>135</v>
      </c>
      <c r="F21" s="4">
        <v>1001.1370000000001</v>
      </c>
      <c r="G21" s="5">
        <v>101.33920000000001</v>
      </c>
      <c r="H21" s="5">
        <v>22.16</v>
      </c>
      <c r="I21" s="5">
        <v>43</v>
      </c>
      <c r="J21" s="4" t="s">
        <v>122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120</v>
      </c>
      <c r="E22" s="4" t="s">
        <v>135</v>
      </c>
      <c r="F22" s="4">
        <v>1000</v>
      </c>
      <c r="G22" s="5">
        <v>108.1247</v>
      </c>
      <c r="H22" s="5">
        <v>17.29</v>
      </c>
      <c r="I22" s="5">
        <v>742</v>
      </c>
      <c r="J22" s="4" t="s">
        <v>122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120</v>
      </c>
      <c r="E23" s="4" t="s">
        <v>135</v>
      </c>
      <c r="F23" s="4">
        <v>1000</v>
      </c>
      <c r="G23" s="5">
        <v>103.9307</v>
      </c>
      <c r="H23" s="5">
        <v>17.66</v>
      </c>
      <c r="I23" s="5">
        <v>1929</v>
      </c>
      <c r="J23" s="4" t="s">
        <v>122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120</v>
      </c>
      <c r="E24" s="4" t="s">
        <v>135</v>
      </c>
      <c r="F24" s="4">
        <v>1000</v>
      </c>
      <c r="G24" s="5">
        <v>101.4657</v>
      </c>
      <c r="H24" s="5">
        <v>17.57</v>
      </c>
      <c r="I24" s="5">
        <v>1613</v>
      </c>
      <c r="J24" s="4" t="s">
        <v>122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125</v>
      </c>
      <c r="E25" s="4" t="s">
        <v>135</v>
      </c>
      <c r="F25" s="4">
        <v>1488.52</v>
      </c>
      <c r="G25" s="5"/>
      <c r="H25" s="5"/>
      <c r="I25" s="5"/>
      <c r="J25" s="4" t="s">
        <v>127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120</v>
      </c>
      <c r="E26" s="4" t="s">
        <v>135</v>
      </c>
      <c r="F26" s="4">
        <v>999.96900000000005</v>
      </c>
      <c r="G26" s="5">
        <v>101.52470000000001</v>
      </c>
      <c r="H26" s="5">
        <v>22</v>
      </c>
      <c r="I26" s="5">
        <v>675</v>
      </c>
      <c r="J26" s="4" t="s">
        <v>122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120</v>
      </c>
      <c r="E27" s="4" t="s">
        <v>135</v>
      </c>
      <c r="F27" s="4">
        <v>99.999000000000009</v>
      </c>
      <c r="G27" s="5">
        <v>100.39620000000001</v>
      </c>
      <c r="H27" s="5">
        <v>11</v>
      </c>
      <c r="I27" s="5">
        <v>687</v>
      </c>
      <c r="J27" s="4" t="s">
        <v>122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120</v>
      </c>
      <c r="E28" s="4" t="s">
        <v>135</v>
      </c>
      <c r="F28" s="4">
        <v>994.971</v>
      </c>
      <c r="G28" s="5">
        <v>100.536</v>
      </c>
      <c r="H28" s="5">
        <v>22.37</v>
      </c>
      <c r="I28" s="5">
        <v>591</v>
      </c>
      <c r="J28" s="4" t="s">
        <v>122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120</v>
      </c>
      <c r="E29" s="4" t="s">
        <v>135</v>
      </c>
      <c r="F29" s="4">
        <v>77.543999999999997</v>
      </c>
      <c r="G29" s="5">
        <v>78.110700000000008</v>
      </c>
      <c r="H29" s="5">
        <v>29.62</v>
      </c>
      <c r="I29" s="5">
        <v>591</v>
      </c>
      <c r="J29" s="4" t="s">
        <v>122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120</v>
      </c>
      <c r="E30" s="4" t="s">
        <v>135</v>
      </c>
      <c r="F30" s="4">
        <v>947.57600000000002</v>
      </c>
      <c r="G30" s="5">
        <v>94.932600000000008</v>
      </c>
      <c r="H30" s="5">
        <v>26.66</v>
      </c>
      <c r="I30" s="5">
        <v>393</v>
      </c>
      <c r="J30" s="4" t="s">
        <v>122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120</v>
      </c>
      <c r="E31" s="4" t="s">
        <v>135</v>
      </c>
      <c r="F31" s="4">
        <v>1021.566</v>
      </c>
      <c r="G31" s="5">
        <v>102.9409</v>
      </c>
      <c r="H31" s="5">
        <v>20.67</v>
      </c>
      <c r="I31" s="5">
        <v>992</v>
      </c>
      <c r="J31" s="4" t="s">
        <v>122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120</v>
      </c>
      <c r="E32" s="4" t="s">
        <v>135</v>
      </c>
      <c r="F32" s="4">
        <v>960.8660000000001</v>
      </c>
      <c r="G32" s="5">
        <v>96.71990000000001</v>
      </c>
      <c r="H32" s="5">
        <v>23.23</v>
      </c>
      <c r="I32" s="5">
        <v>384</v>
      </c>
      <c r="J32" s="4" t="s">
        <v>122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120</v>
      </c>
      <c r="E33" s="4" t="s">
        <v>135</v>
      </c>
      <c r="F33" s="4">
        <v>965.4430000000001</v>
      </c>
      <c r="G33" s="5">
        <v>96.808199999999999</v>
      </c>
      <c r="H33" s="5">
        <v>20.89</v>
      </c>
      <c r="I33" s="5">
        <v>848</v>
      </c>
      <c r="J33" s="4" t="s">
        <v>122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120</v>
      </c>
      <c r="E34" s="4" t="s">
        <v>135</v>
      </c>
      <c r="F34" s="4">
        <v>775.99099999999999</v>
      </c>
      <c r="G34" s="5">
        <v>78.415800000000004</v>
      </c>
      <c r="H34" s="5">
        <v>755.7</v>
      </c>
      <c r="I34" s="5">
        <v>17</v>
      </c>
      <c r="J34" s="4" t="s">
        <v>122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120</v>
      </c>
      <c r="E35" s="4" t="s">
        <v>135</v>
      </c>
      <c r="F35" s="4">
        <v>997.29700000000003</v>
      </c>
      <c r="G35" s="5">
        <v>100.9547</v>
      </c>
      <c r="H35" s="5">
        <v>21.14</v>
      </c>
      <c r="I35" s="5">
        <v>892</v>
      </c>
      <c r="J35" s="4" t="s">
        <v>122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120</v>
      </c>
      <c r="E36" s="4" t="s">
        <v>135</v>
      </c>
      <c r="F36" s="4">
        <v>1004.614</v>
      </c>
      <c r="G36" s="5">
        <v>107.1781</v>
      </c>
      <c r="H36" s="5">
        <v>19.09</v>
      </c>
      <c r="I36" s="5">
        <v>604</v>
      </c>
      <c r="J36" s="4" t="s">
        <v>122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120</v>
      </c>
      <c r="E37" s="4" t="s">
        <v>135</v>
      </c>
      <c r="F37" s="4">
        <v>98.757100000000008</v>
      </c>
      <c r="G37" s="5">
        <v>99.1738</v>
      </c>
      <c r="H37" s="5">
        <v>10.93</v>
      </c>
      <c r="I37" s="5">
        <v>532</v>
      </c>
      <c r="J37" s="4" t="s">
        <v>122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120</v>
      </c>
      <c r="E38" s="4" t="s">
        <v>135</v>
      </c>
      <c r="F38" s="4">
        <v>1000</v>
      </c>
      <c r="G38" s="5">
        <v>103.0035</v>
      </c>
      <c r="H38" s="5">
        <v>16.830000000000002</v>
      </c>
      <c r="I38" s="5">
        <v>1397</v>
      </c>
      <c r="J38" s="4" t="s">
        <v>122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120</v>
      </c>
      <c r="E39" s="4" t="s">
        <v>135</v>
      </c>
      <c r="F39" s="4">
        <v>1002.1880000000001</v>
      </c>
      <c r="G39" s="5">
        <v>101.3433</v>
      </c>
      <c r="H39" s="5">
        <v>22.34</v>
      </c>
      <c r="I39" s="5">
        <v>682</v>
      </c>
      <c r="J39" s="4" t="s">
        <v>122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120</v>
      </c>
      <c r="E40" s="4" t="s">
        <v>135</v>
      </c>
      <c r="F40" s="4">
        <v>999.77700000000004</v>
      </c>
      <c r="G40" s="5">
        <v>100.36660000000001</v>
      </c>
      <c r="H40" s="5">
        <v>20.04</v>
      </c>
      <c r="I40" s="5">
        <v>206</v>
      </c>
      <c r="J40" s="4" t="s">
        <v>122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120</v>
      </c>
      <c r="E41" s="4" t="s">
        <v>135</v>
      </c>
      <c r="F41" s="4">
        <v>87.572600000000008</v>
      </c>
      <c r="G41" s="5">
        <v>87.9726</v>
      </c>
      <c r="H41" s="5">
        <v>48.13</v>
      </c>
      <c r="I41" s="5">
        <v>142</v>
      </c>
      <c r="J41" s="4" t="s">
        <v>122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120</v>
      </c>
      <c r="E42" s="4" t="s">
        <v>135</v>
      </c>
      <c r="F42" s="4">
        <v>1019.8230000000001</v>
      </c>
      <c r="G42" s="5">
        <v>102.16980000000001</v>
      </c>
      <c r="H42" s="5">
        <v>21.47</v>
      </c>
      <c r="I42" s="5">
        <v>911</v>
      </c>
      <c r="J42" s="4" t="s">
        <v>122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120</v>
      </c>
      <c r="E43" s="4" t="s">
        <v>135</v>
      </c>
      <c r="F43" s="4">
        <v>775.64</v>
      </c>
      <c r="G43" s="5">
        <v>77.855699999999999</v>
      </c>
      <c r="H43" s="5">
        <v>34.57</v>
      </c>
      <c r="I43" s="5">
        <v>908</v>
      </c>
      <c r="J43" s="4" t="s">
        <v>122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120</v>
      </c>
      <c r="E44" s="4" t="s">
        <v>135</v>
      </c>
      <c r="F44" s="4">
        <v>1000</v>
      </c>
      <c r="G44" s="5">
        <v>100.6722</v>
      </c>
      <c r="H44" s="5">
        <v>22</v>
      </c>
      <c r="I44" s="5">
        <v>658</v>
      </c>
      <c r="J44" s="4" t="s">
        <v>122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120</v>
      </c>
      <c r="E45" s="4" t="s">
        <v>135</v>
      </c>
      <c r="F45" s="4">
        <v>992.24300000000005</v>
      </c>
      <c r="G45" s="5">
        <v>99.224299999999999</v>
      </c>
      <c r="H45" s="5">
        <v>22.5</v>
      </c>
      <c r="I45" s="5">
        <v>701</v>
      </c>
      <c r="J45" s="4" t="s">
        <v>122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120</v>
      </c>
      <c r="E46" s="4" t="s">
        <v>135</v>
      </c>
      <c r="F46" s="4">
        <v>999.99</v>
      </c>
      <c r="G46" s="5">
        <v>101.3434</v>
      </c>
      <c r="H46" s="5">
        <v>22</v>
      </c>
      <c r="I46" s="5">
        <v>678</v>
      </c>
      <c r="J46" s="4" t="s">
        <v>122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120</v>
      </c>
      <c r="E47" s="4" t="s">
        <v>135</v>
      </c>
      <c r="F47" s="4">
        <v>99.999000000000009</v>
      </c>
      <c r="G47" s="5">
        <v>99.999000000000009</v>
      </c>
      <c r="H47" s="5">
        <v>12</v>
      </c>
      <c r="I47" s="5">
        <v>639</v>
      </c>
      <c r="J47" s="4" t="s">
        <v>122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120</v>
      </c>
      <c r="E48" s="4" t="s">
        <v>135</v>
      </c>
      <c r="F48" s="4">
        <v>989.60300000000007</v>
      </c>
      <c r="G48" s="5">
        <v>105.71720000000001</v>
      </c>
      <c r="H48" s="5">
        <v>18.5</v>
      </c>
      <c r="I48" s="5">
        <v>408</v>
      </c>
      <c r="J48" s="4" t="s">
        <v>122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120</v>
      </c>
      <c r="E49" s="4" t="s">
        <v>135</v>
      </c>
      <c r="F49" s="4">
        <v>77.484400000000008</v>
      </c>
      <c r="G49" s="5">
        <v>79.184400000000011</v>
      </c>
      <c r="H49" s="5">
        <v>37.75</v>
      </c>
      <c r="I49" s="5">
        <v>406</v>
      </c>
      <c r="J49" s="4" t="s">
        <v>122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120</v>
      </c>
      <c r="E50" s="4" t="s">
        <v>135</v>
      </c>
      <c r="F50" s="4">
        <v>934.49800000000005</v>
      </c>
      <c r="G50" s="5">
        <v>93.858100000000007</v>
      </c>
      <c r="H50" s="5">
        <v>24.31</v>
      </c>
      <c r="I50" s="5">
        <v>998</v>
      </c>
      <c r="J50" s="4" t="s">
        <v>122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125</v>
      </c>
      <c r="E51" s="4" t="s">
        <v>222</v>
      </c>
      <c r="F51" s="4">
        <v>39427.700000000004</v>
      </c>
      <c r="G51" s="5"/>
      <c r="H51" s="5"/>
      <c r="I51" s="5"/>
      <c r="J51" s="4" t="s">
        <v>127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125</v>
      </c>
      <c r="E52" s="4" t="s">
        <v>222</v>
      </c>
      <c r="F52" s="4">
        <v>32425.040000000001</v>
      </c>
      <c r="G52" s="5"/>
      <c r="H52" s="5"/>
      <c r="I52" s="5"/>
      <c r="J52" s="4" t="s">
        <v>127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120</v>
      </c>
      <c r="E53" s="4" t="s">
        <v>227</v>
      </c>
      <c r="F53" s="4">
        <v>16334.3</v>
      </c>
      <c r="G53" s="5">
        <v>1633.4270000000001</v>
      </c>
      <c r="H53" s="5"/>
      <c r="I53" s="5">
        <v>175</v>
      </c>
      <c r="J53" s="4" t="s">
        <v>122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125</v>
      </c>
      <c r="E54" s="4" t="s">
        <v>230</v>
      </c>
      <c r="F54" s="4">
        <v>21926.66</v>
      </c>
      <c r="G54" s="5"/>
      <c r="H54" s="5"/>
      <c r="I54" s="5"/>
      <c r="J54" s="4" t="s">
        <v>127</v>
      </c>
    </row>
    <row r="55" spans="1:10" x14ac:dyDescent="0.25">
      <c r="A55" s="4">
        <f t="shared" ca="1" si="1"/>
        <v>52</v>
      </c>
      <c r="B55" s="4" t="s">
        <v>231</v>
      </c>
      <c r="C55" s="4" t="s">
        <v>232</v>
      </c>
      <c r="D55" s="4" t="s">
        <v>120</v>
      </c>
      <c r="E55" s="4" t="s">
        <v>230</v>
      </c>
      <c r="F55" s="4">
        <v>988.13200000000006</v>
      </c>
      <c r="G55" s="5">
        <v>101.6288</v>
      </c>
      <c r="H55" s="5">
        <v>6.47</v>
      </c>
      <c r="I55" s="5">
        <v>8423</v>
      </c>
      <c r="J55" s="4" t="s">
        <v>122</v>
      </c>
    </row>
    <row r="56" spans="1:10" x14ac:dyDescent="0.25">
      <c r="A56" s="4">
        <f t="shared" ca="1" si="1"/>
        <v>53</v>
      </c>
      <c r="B56" s="4" t="s">
        <v>233</v>
      </c>
      <c r="C56" s="4" t="s">
        <v>234</v>
      </c>
      <c r="D56" s="4" t="s">
        <v>125</v>
      </c>
      <c r="E56" s="4" t="s">
        <v>235</v>
      </c>
      <c r="F56" s="4">
        <v>3302.98</v>
      </c>
      <c r="G56" s="5"/>
      <c r="H56" s="5"/>
      <c r="I56" s="5"/>
      <c r="J56" s="4" t="s">
        <v>127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120</v>
      </c>
      <c r="E57" s="4" t="s">
        <v>238</v>
      </c>
      <c r="F57" s="4">
        <v>0.96914899999999993</v>
      </c>
      <c r="G57" s="5">
        <v>97.77600000000001</v>
      </c>
      <c r="H57" s="5">
        <v>5</v>
      </c>
      <c r="I57" s="5">
        <v>391</v>
      </c>
      <c r="J57" s="4" t="s">
        <v>122</v>
      </c>
    </row>
    <row r="58" spans="1:10" x14ac:dyDescent="0.25">
      <c r="A58" s="4">
        <f t="shared" ca="1" si="1"/>
        <v>55</v>
      </c>
      <c r="B58" s="4" t="s">
        <v>239</v>
      </c>
      <c r="C58" s="4" t="s">
        <v>240</v>
      </c>
      <c r="D58" s="4" t="s">
        <v>125</v>
      </c>
      <c r="E58" s="4" t="s">
        <v>241</v>
      </c>
      <c r="F58" s="4">
        <v>9541</v>
      </c>
      <c r="G58" s="5"/>
      <c r="H58" s="5"/>
      <c r="I58" s="5"/>
      <c r="J58" s="4" t="s">
        <v>127</v>
      </c>
    </row>
    <row r="59" spans="1:10" x14ac:dyDescent="0.25">
      <c r="A59" s="4">
        <f t="shared" ca="1" si="1"/>
        <v>56</v>
      </c>
      <c r="B59" s="4" t="s">
        <v>242</v>
      </c>
      <c r="C59" s="4" t="s">
        <v>243</v>
      </c>
      <c r="D59" s="4" t="s">
        <v>125</v>
      </c>
      <c r="E59" s="4" t="s">
        <v>241</v>
      </c>
      <c r="F59" s="4">
        <v>5201.16</v>
      </c>
      <c r="G59" s="5"/>
      <c r="H59" s="5"/>
      <c r="I59" s="5"/>
      <c r="J59" s="4" t="s">
        <v>127</v>
      </c>
    </row>
    <row r="60" spans="1:10" x14ac:dyDescent="0.25">
      <c r="A60" s="4">
        <f t="shared" ca="1" si="1"/>
        <v>57</v>
      </c>
      <c r="B60" s="4" t="s">
        <v>244</v>
      </c>
      <c r="C60" s="4" t="s">
        <v>245</v>
      </c>
      <c r="D60" s="4" t="s">
        <v>120</v>
      </c>
      <c r="E60" s="4" t="s">
        <v>246</v>
      </c>
      <c r="F60" s="4">
        <v>992.94</v>
      </c>
      <c r="G60" s="5">
        <v>101.10900000000001</v>
      </c>
      <c r="H60" s="5">
        <v>18.490000000000002</v>
      </c>
      <c r="I60" s="5">
        <v>878</v>
      </c>
      <c r="J60" s="4" t="s">
        <v>122</v>
      </c>
    </row>
    <row r="61" spans="1:10" x14ac:dyDescent="0.25">
      <c r="A61" s="4">
        <f t="shared" ca="1" si="1"/>
        <v>58</v>
      </c>
      <c r="B61" s="4" t="s">
        <v>247</v>
      </c>
      <c r="C61" s="4" t="s">
        <v>248</v>
      </c>
      <c r="D61" s="4" t="s">
        <v>120</v>
      </c>
      <c r="E61" s="4" t="s">
        <v>246</v>
      </c>
      <c r="F61" s="4">
        <v>100.0227</v>
      </c>
      <c r="G61" s="5">
        <v>100.17830000000001</v>
      </c>
      <c r="H61" s="5">
        <v>7.99</v>
      </c>
      <c r="I61" s="5">
        <v>815</v>
      </c>
      <c r="J61" s="4" t="s">
        <v>122</v>
      </c>
    </row>
    <row r="62" spans="1:10" x14ac:dyDescent="0.25">
      <c r="A62" s="4">
        <f t="shared" ca="1" si="1"/>
        <v>59</v>
      </c>
      <c r="B62" s="4" t="s">
        <v>249</v>
      </c>
      <c r="C62" s="4" t="s">
        <v>250</v>
      </c>
      <c r="D62" s="4" t="s">
        <v>120</v>
      </c>
      <c r="E62" s="4" t="s">
        <v>71</v>
      </c>
      <c r="F62" s="4">
        <v>1000</v>
      </c>
      <c r="G62" s="5">
        <v>109.87730000000001</v>
      </c>
      <c r="H62" s="5">
        <v>12.97</v>
      </c>
      <c r="I62" s="5">
        <v>1185</v>
      </c>
      <c r="J62" s="4" t="s">
        <v>122</v>
      </c>
    </row>
    <row r="63" spans="1:10" x14ac:dyDescent="0.25">
      <c r="A63" s="4">
        <f t="shared" ca="1" si="1"/>
        <v>60</v>
      </c>
      <c r="B63" s="4" t="s">
        <v>251</v>
      </c>
      <c r="C63" s="4" t="s">
        <v>252</v>
      </c>
      <c r="D63" s="4" t="s">
        <v>120</v>
      </c>
      <c r="E63" s="4" t="s">
        <v>71</v>
      </c>
      <c r="F63" s="4">
        <v>1000</v>
      </c>
      <c r="G63" s="5">
        <v>101.30249999999999</v>
      </c>
      <c r="H63" s="5">
        <v>13</v>
      </c>
      <c r="I63" s="5">
        <v>1425</v>
      </c>
      <c r="J63" s="4" t="s">
        <v>122</v>
      </c>
    </row>
    <row r="64" spans="1:10" x14ac:dyDescent="0.25">
      <c r="A64" s="4">
        <f t="shared" ca="1" si="1"/>
        <v>61</v>
      </c>
      <c r="B64" s="4" t="s">
        <v>253</v>
      </c>
      <c r="C64" s="4" t="s">
        <v>254</v>
      </c>
      <c r="D64" s="4" t="s">
        <v>120</v>
      </c>
      <c r="E64" s="4" t="s">
        <v>71</v>
      </c>
      <c r="F64" s="4">
        <v>1000</v>
      </c>
      <c r="G64" s="5">
        <v>104.52260000000001</v>
      </c>
      <c r="H64" s="5">
        <v>12.73</v>
      </c>
      <c r="I64" s="5">
        <v>238</v>
      </c>
      <c r="J64" s="4" t="s">
        <v>122</v>
      </c>
    </row>
    <row r="65" spans="1:10" x14ac:dyDescent="0.25">
      <c r="A65" s="4">
        <f t="shared" ca="1" si="1"/>
        <v>62</v>
      </c>
      <c r="B65" s="4" t="s">
        <v>255</v>
      </c>
      <c r="C65" s="4" t="s">
        <v>256</v>
      </c>
      <c r="D65" s="4" t="s">
        <v>120</v>
      </c>
      <c r="E65" s="4" t="s">
        <v>71</v>
      </c>
      <c r="F65" s="4">
        <v>1000</v>
      </c>
      <c r="G65" s="5">
        <v>102.27940000000001</v>
      </c>
      <c r="H65" s="5">
        <v>12.87</v>
      </c>
      <c r="I65" s="5">
        <v>301</v>
      </c>
      <c r="J65" s="4" t="s">
        <v>122</v>
      </c>
    </row>
    <row r="66" spans="1:10" x14ac:dyDescent="0.25">
      <c r="A66" s="4">
        <f t="shared" ca="1" si="1"/>
        <v>63</v>
      </c>
      <c r="B66" s="4" t="s">
        <v>257</v>
      </c>
      <c r="C66" s="4" t="s">
        <v>258</v>
      </c>
      <c r="D66" s="4" t="s">
        <v>120</v>
      </c>
      <c r="E66" s="4" t="s">
        <v>71</v>
      </c>
      <c r="F66" s="4">
        <v>1000</v>
      </c>
      <c r="G66" s="5">
        <v>105.57180000000001</v>
      </c>
      <c r="H66" s="5">
        <v>12.88</v>
      </c>
      <c r="I66" s="5">
        <v>574</v>
      </c>
      <c r="J66" s="4" t="s">
        <v>122</v>
      </c>
    </row>
    <row r="67" spans="1:10" x14ac:dyDescent="0.25">
      <c r="A67" s="4">
        <f t="shared" ca="1" si="1"/>
        <v>64</v>
      </c>
      <c r="B67" s="4" t="s">
        <v>259</v>
      </c>
      <c r="C67" s="4" t="s">
        <v>260</v>
      </c>
      <c r="D67" s="4" t="s">
        <v>120</v>
      </c>
      <c r="E67" s="4" t="s">
        <v>71</v>
      </c>
      <c r="F67" s="4">
        <v>1000</v>
      </c>
      <c r="G67" s="5">
        <v>103.40100000000001</v>
      </c>
      <c r="H67" s="5">
        <v>12.92</v>
      </c>
      <c r="I67" s="5">
        <v>635</v>
      </c>
      <c r="J67" s="4" t="s">
        <v>122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261</v>
      </c>
      <c r="C68" s="4" t="s">
        <v>262</v>
      </c>
      <c r="D68" s="4" t="s">
        <v>120</v>
      </c>
      <c r="E68" s="4" t="s">
        <v>71</v>
      </c>
      <c r="F68" s="4">
        <v>1000</v>
      </c>
      <c r="G68" s="5">
        <v>111.1074</v>
      </c>
      <c r="H68" s="5">
        <v>12.97</v>
      </c>
      <c r="I68" s="5">
        <v>785</v>
      </c>
      <c r="J68" s="4" t="s">
        <v>122</v>
      </c>
    </row>
    <row r="69" spans="1:10" x14ac:dyDescent="0.25">
      <c r="A69" s="4">
        <f t="shared" ca="1" si="2"/>
        <v>66</v>
      </c>
      <c r="B69" s="4" t="s">
        <v>263</v>
      </c>
      <c r="C69" s="4" t="s">
        <v>264</v>
      </c>
      <c r="D69" s="4" t="s">
        <v>120</v>
      </c>
      <c r="E69" s="4" t="s">
        <v>71</v>
      </c>
      <c r="F69" s="4">
        <v>1000</v>
      </c>
      <c r="G69" s="5">
        <v>101.30249999999999</v>
      </c>
      <c r="H69" s="5">
        <v>12.99</v>
      </c>
      <c r="I69" s="5">
        <v>1060</v>
      </c>
      <c r="J69" s="4" t="s">
        <v>122</v>
      </c>
    </row>
    <row r="70" spans="1:10" x14ac:dyDescent="0.25">
      <c r="A70" s="4">
        <f t="shared" ca="1" si="2"/>
        <v>67</v>
      </c>
      <c r="B70" s="4" t="s">
        <v>265</v>
      </c>
      <c r="C70" s="4" t="s">
        <v>266</v>
      </c>
      <c r="D70" s="4" t="s">
        <v>120</v>
      </c>
      <c r="E70" s="4" t="s">
        <v>71</v>
      </c>
      <c r="F70" s="4">
        <v>1000</v>
      </c>
      <c r="G70" s="5">
        <v>112.0843</v>
      </c>
      <c r="H70" s="5">
        <v>12.27</v>
      </c>
      <c r="I70" s="5">
        <v>27</v>
      </c>
      <c r="J70" s="4" t="s">
        <v>122</v>
      </c>
    </row>
    <row r="71" spans="1:10" x14ac:dyDescent="0.25">
      <c r="A71" s="4">
        <f t="shared" ca="1" si="2"/>
        <v>68</v>
      </c>
      <c r="B71" s="4" t="s">
        <v>267</v>
      </c>
      <c r="C71" s="4" t="s">
        <v>268</v>
      </c>
      <c r="D71" s="4" t="s">
        <v>120</v>
      </c>
      <c r="E71" s="4" t="s">
        <v>71</v>
      </c>
      <c r="F71" s="4">
        <v>1000</v>
      </c>
      <c r="G71" s="5">
        <v>108.86420000000001</v>
      </c>
      <c r="H71" s="5">
        <v>12.97</v>
      </c>
      <c r="I71" s="5">
        <v>1579</v>
      </c>
      <c r="J71" s="4" t="s">
        <v>122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120</v>
      </c>
      <c r="E72" s="4" t="s">
        <v>71</v>
      </c>
      <c r="F72" s="4">
        <v>986.54600000000005</v>
      </c>
      <c r="G72" s="5">
        <v>103.0574</v>
      </c>
      <c r="H72" s="5">
        <v>16.920000000000002</v>
      </c>
      <c r="I72" s="5">
        <v>45</v>
      </c>
      <c r="J72" s="4" t="s">
        <v>122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120</v>
      </c>
      <c r="E73" s="4" t="s">
        <v>71</v>
      </c>
      <c r="F73" s="4">
        <v>882.58800000000008</v>
      </c>
      <c r="G73" s="5">
        <v>92.564400000000006</v>
      </c>
      <c r="H73" s="5">
        <v>17.16</v>
      </c>
      <c r="I73" s="5">
        <v>417</v>
      </c>
      <c r="J73" s="4" t="s">
        <v>122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120</v>
      </c>
      <c r="E74" s="4" t="s">
        <v>71</v>
      </c>
      <c r="F74" s="4">
        <v>1000</v>
      </c>
      <c r="G74" s="5">
        <v>103.40100000000001</v>
      </c>
      <c r="H74" s="5">
        <v>12.97</v>
      </c>
      <c r="I74" s="5">
        <v>1366</v>
      </c>
      <c r="J74" s="4" t="s">
        <v>122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120</v>
      </c>
      <c r="E75" s="4" t="s">
        <v>71</v>
      </c>
      <c r="F75" s="4">
        <v>1000</v>
      </c>
      <c r="G75" s="5">
        <v>112.12050000000001</v>
      </c>
      <c r="H75" s="5">
        <v>12.27</v>
      </c>
      <c r="I75" s="5">
        <v>26</v>
      </c>
      <c r="J75" s="4" t="s">
        <v>122</v>
      </c>
    </row>
    <row r="76" spans="1:10" x14ac:dyDescent="0.25">
      <c r="A76" s="4">
        <f t="shared" ca="1" si="2"/>
        <v>73</v>
      </c>
      <c r="B76" s="4" t="s">
        <v>277</v>
      </c>
      <c r="C76" s="4" t="s">
        <v>103</v>
      </c>
      <c r="D76" s="4" t="s">
        <v>120</v>
      </c>
      <c r="E76" s="4" t="s">
        <v>71</v>
      </c>
      <c r="F76" s="4">
        <v>857.98400000000004</v>
      </c>
      <c r="G76" s="5">
        <v>88.634900000000002</v>
      </c>
      <c r="H76" s="5">
        <v>17.03</v>
      </c>
      <c r="I76" s="5">
        <v>541</v>
      </c>
      <c r="J76" s="4" t="s">
        <v>122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120</v>
      </c>
      <c r="E77" s="4" t="s">
        <v>71</v>
      </c>
      <c r="F77" s="4">
        <v>820.40300000000002</v>
      </c>
      <c r="G77" s="5">
        <v>82.269100000000009</v>
      </c>
      <c r="H77" s="5">
        <v>17.02</v>
      </c>
      <c r="I77" s="5">
        <v>716</v>
      </c>
      <c r="J77" s="4" t="s">
        <v>122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120</v>
      </c>
      <c r="E78" s="4" t="s">
        <v>71</v>
      </c>
      <c r="F78" s="4">
        <v>829.26600000000008</v>
      </c>
      <c r="G78" s="5">
        <v>89.04740000000001</v>
      </c>
      <c r="H78" s="5">
        <v>16.990000000000002</v>
      </c>
      <c r="I78" s="5">
        <v>752</v>
      </c>
      <c r="J78" s="4" t="s">
        <v>122</v>
      </c>
    </row>
    <row r="79" spans="1:10" x14ac:dyDescent="0.25">
      <c r="A79" s="4">
        <f t="shared" ca="1" si="2"/>
        <v>76</v>
      </c>
      <c r="B79" s="4" t="s">
        <v>282</v>
      </c>
      <c r="C79" s="4" t="s">
        <v>283</v>
      </c>
      <c r="D79" s="4" t="s">
        <v>120</v>
      </c>
      <c r="E79" s="4" t="s">
        <v>71</v>
      </c>
      <c r="F79" s="4">
        <v>1000</v>
      </c>
      <c r="G79" s="5">
        <v>102.3156</v>
      </c>
      <c r="H79" s="5">
        <v>12.95</v>
      </c>
      <c r="I79" s="5">
        <v>665</v>
      </c>
      <c r="J79" s="4" t="s">
        <v>122</v>
      </c>
    </row>
    <row r="80" spans="1:10" x14ac:dyDescent="0.25">
      <c r="A80" s="4">
        <f t="shared" ca="1" si="2"/>
        <v>77</v>
      </c>
      <c r="B80" s="4" t="s">
        <v>284</v>
      </c>
      <c r="C80" s="4" t="s">
        <v>285</v>
      </c>
      <c r="D80" s="4" t="s">
        <v>120</v>
      </c>
      <c r="E80" s="4" t="s">
        <v>71</v>
      </c>
      <c r="F80" s="4">
        <v>1000</v>
      </c>
      <c r="G80" s="5">
        <v>111.07130000000001</v>
      </c>
      <c r="H80" s="5">
        <v>12.33</v>
      </c>
      <c r="I80" s="5">
        <v>56</v>
      </c>
      <c r="J80" s="4" t="s">
        <v>122</v>
      </c>
    </row>
    <row r="81" spans="1:10" x14ac:dyDescent="0.25">
      <c r="A81" s="4">
        <f t="shared" ca="1" si="2"/>
        <v>78</v>
      </c>
      <c r="B81" s="4" t="s">
        <v>286</v>
      </c>
      <c r="C81" s="4" t="s">
        <v>287</v>
      </c>
      <c r="D81" s="4" t="s">
        <v>120</v>
      </c>
      <c r="E81" s="4" t="s">
        <v>71</v>
      </c>
      <c r="F81" s="4">
        <v>1000</v>
      </c>
      <c r="G81" s="5">
        <v>107.9783</v>
      </c>
      <c r="H81" s="5">
        <v>13.06</v>
      </c>
      <c r="I81" s="5">
        <v>1606</v>
      </c>
      <c r="J81" s="4" t="s">
        <v>122</v>
      </c>
    </row>
    <row r="82" spans="1:10" x14ac:dyDescent="0.25">
      <c r="A82" s="4">
        <f t="shared" ca="1" si="2"/>
        <v>79</v>
      </c>
      <c r="B82" s="4" t="s">
        <v>288</v>
      </c>
      <c r="C82" s="4" t="s">
        <v>94</v>
      </c>
      <c r="D82" s="4" t="s">
        <v>120</v>
      </c>
      <c r="E82" s="4" t="s">
        <v>71</v>
      </c>
      <c r="F82" s="4">
        <v>613.08699999999999</v>
      </c>
      <c r="G82" s="5">
        <v>64.469499999999996</v>
      </c>
      <c r="H82" s="5">
        <v>16.87</v>
      </c>
      <c r="I82" s="5">
        <v>3144</v>
      </c>
      <c r="J82" s="4" t="s">
        <v>122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120</v>
      </c>
      <c r="E83" s="4" t="s">
        <v>71</v>
      </c>
      <c r="F83" s="4">
        <v>866.24900000000002</v>
      </c>
      <c r="G83" s="5">
        <v>88.762200000000007</v>
      </c>
      <c r="H83" s="5">
        <v>17.03</v>
      </c>
      <c r="I83" s="5">
        <v>626</v>
      </c>
      <c r="J83" s="4" t="s">
        <v>122</v>
      </c>
    </row>
    <row r="84" spans="1:10" x14ac:dyDescent="0.25">
      <c r="A84" s="4">
        <f t="shared" ca="1" si="2"/>
        <v>81</v>
      </c>
      <c r="B84" s="4" t="s">
        <v>291</v>
      </c>
      <c r="C84" s="4" t="s">
        <v>292</v>
      </c>
      <c r="D84" s="4" t="s">
        <v>120</v>
      </c>
      <c r="E84" s="4" t="s">
        <v>71</v>
      </c>
      <c r="F84" s="4">
        <v>537.90200000000004</v>
      </c>
      <c r="G84" s="5">
        <v>53.958400000000005</v>
      </c>
      <c r="H84" s="5">
        <v>16.87</v>
      </c>
      <c r="I84" s="5">
        <v>6934</v>
      </c>
      <c r="J84" s="4" t="s">
        <v>122</v>
      </c>
    </row>
    <row r="85" spans="1:10" x14ac:dyDescent="0.25">
      <c r="A85" s="4">
        <f t="shared" ca="1" si="2"/>
        <v>82</v>
      </c>
      <c r="B85" s="4" t="s">
        <v>293</v>
      </c>
      <c r="C85" s="4" t="s">
        <v>294</v>
      </c>
      <c r="D85" s="4" t="s">
        <v>120</v>
      </c>
      <c r="E85" s="4" t="s">
        <v>71</v>
      </c>
      <c r="F85" s="4">
        <v>1000</v>
      </c>
      <c r="G85" s="5">
        <v>100.10850000000001</v>
      </c>
      <c r="H85" s="5">
        <v>13.02</v>
      </c>
      <c r="I85" s="5">
        <v>363</v>
      </c>
      <c r="J85" s="4" t="s">
        <v>122</v>
      </c>
    </row>
    <row r="86" spans="1:10" x14ac:dyDescent="0.25">
      <c r="A86" s="4">
        <f t="shared" ca="1" si="2"/>
        <v>83</v>
      </c>
      <c r="B86" s="4" t="s">
        <v>295</v>
      </c>
      <c r="C86" s="4" t="s">
        <v>296</v>
      </c>
      <c r="D86" s="4" t="s">
        <v>120</v>
      </c>
      <c r="E86" s="4" t="s">
        <v>71</v>
      </c>
      <c r="F86" s="4">
        <v>1000</v>
      </c>
      <c r="G86" s="5">
        <v>103.4372</v>
      </c>
      <c r="H86" s="5">
        <v>12.97</v>
      </c>
      <c r="I86" s="5">
        <v>1365</v>
      </c>
      <c r="J86" s="4" t="s">
        <v>122</v>
      </c>
    </row>
    <row r="87" spans="1:10" x14ac:dyDescent="0.25">
      <c r="A87" s="4">
        <f t="shared" ca="1" si="2"/>
        <v>84</v>
      </c>
      <c r="B87" s="4" t="s">
        <v>297</v>
      </c>
      <c r="C87" s="4" t="s">
        <v>298</v>
      </c>
      <c r="D87" s="4" t="s">
        <v>120</v>
      </c>
      <c r="E87" s="4" t="s">
        <v>71</v>
      </c>
      <c r="F87" s="4">
        <v>1000</v>
      </c>
      <c r="G87" s="5">
        <v>104.45020000000001</v>
      </c>
      <c r="H87" s="5">
        <v>12.97</v>
      </c>
      <c r="I87" s="5">
        <v>1701</v>
      </c>
      <c r="J87" s="4" t="s">
        <v>122</v>
      </c>
    </row>
    <row r="88" spans="1:10" x14ac:dyDescent="0.25">
      <c r="A88" s="4">
        <f t="shared" ca="1" si="2"/>
        <v>85</v>
      </c>
      <c r="B88" s="4" t="s">
        <v>299</v>
      </c>
      <c r="C88" s="4" t="s">
        <v>300</v>
      </c>
      <c r="D88" s="4" t="s">
        <v>120</v>
      </c>
      <c r="E88" s="4" t="s">
        <v>71</v>
      </c>
      <c r="F88" s="4">
        <v>1000</v>
      </c>
      <c r="G88" s="5">
        <v>101.2663</v>
      </c>
      <c r="H88" s="5">
        <v>12.94</v>
      </c>
      <c r="I88" s="5">
        <v>330</v>
      </c>
      <c r="J88" s="4" t="s">
        <v>122</v>
      </c>
    </row>
    <row r="89" spans="1:10" x14ac:dyDescent="0.25">
      <c r="A89" s="4">
        <f t="shared" ca="1" si="2"/>
        <v>86</v>
      </c>
      <c r="B89" s="4" t="s">
        <v>301</v>
      </c>
      <c r="C89" s="4" t="s">
        <v>79</v>
      </c>
      <c r="D89" s="4" t="s">
        <v>120</v>
      </c>
      <c r="E89" s="4" t="s">
        <v>71</v>
      </c>
      <c r="F89" s="4">
        <v>598.58600000000001</v>
      </c>
      <c r="G89" s="5">
        <v>65.328299999999999</v>
      </c>
      <c r="H89" s="5">
        <v>16.88</v>
      </c>
      <c r="I89" s="5">
        <v>3406</v>
      </c>
      <c r="J89" s="4" t="s">
        <v>122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120</v>
      </c>
      <c r="E90" s="4" t="s">
        <v>71</v>
      </c>
      <c r="F90" s="4">
        <v>903.43</v>
      </c>
      <c r="G90" s="5">
        <v>95.518000000000001</v>
      </c>
      <c r="H90" s="5">
        <v>17.05</v>
      </c>
      <c r="I90" s="5">
        <v>520</v>
      </c>
      <c r="J90" s="4" t="s">
        <v>122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120</v>
      </c>
      <c r="E91" s="4" t="s">
        <v>71</v>
      </c>
      <c r="F91" s="4">
        <v>885.42400000000009</v>
      </c>
      <c r="G91" s="5">
        <v>90.792400000000001</v>
      </c>
      <c r="H91" s="5">
        <v>17.02</v>
      </c>
      <c r="I91" s="5">
        <v>639</v>
      </c>
      <c r="J91" s="4" t="s">
        <v>122</v>
      </c>
    </row>
    <row r="92" spans="1:10" x14ac:dyDescent="0.25">
      <c r="A92" s="4">
        <f t="shared" ca="1" si="2"/>
        <v>89</v>
      </c>
      <c r="B92" s="4" t="s">
        <v>306</v>
      </c>
      <c r="C92" s="4" t="s">
        <v>307</v>
      </c>
      <c r="D92" s="4" t="s">
        <v>120</v>
      </c>
      <c r="E92" s="4" t="s">
        <v>71</v>
      </c>
      <c r="F92" s="4">
        <v>593.78600000000006</v>
      </c>
      <c r="G92" s="5">
        <v>60.8626</v>
      </c>
      <c r="H92" s="5">
        <v>16.87</v>
      </c>
      <c r="I92" s="5">
        <v>3954</v>
      </c>
      <c r="J92" s="4" t="s">
        <v>122</v>
      </c>
    </row>
    <row r="93" spans="1:10" x14ac:dyDescent="0.25">
      <c r="A93" s="4">
        <f t="shared" ca="1" si="2"/>
        <v>90</v>
      </c>
      <c r="B93" s="4" t="s">
        <v>308</v>
      </c>
      <c r="C93" s="4" t="s">
        <v>309</v>
      </c>
      <c r="D93" s="4" t="s">
        <v>120</v>
      </c>
      <c r="E93" s="4" t="s">
        <v>71</v>
      </c>
      <c r="F93" s="4">
        <v>662.28600000000006</v>
      </c>
      <c r="G93" s="5">
        <v>70.534500000000008</v>
      </c>
      <c r="H93" s="5">
        <v>16.89</v>
      </c>
      <c r="I93" s="5">
        <v>2741</v>
      </c>
      <c r="J93" s="4" t="s">
        <v>122</v>
      </c>
    </row>
    <row r="94" spans="1:10" x14ac:dyDescent="0.25">
      <c r="A94" s="4">
        <f t="shared" ca="1" si="2"/>
        <v>91</v>
      </c>
      <c r="B94" s="4" t="s">
        <v>310</v>
      </c>
      <c r="C94" s="4" t="s">
        <v>311</v>
      </c>
      <c r="D94" s="4" t="s">
        <v>120</v>
      </c>
      <c r="E94" s="4" t="s">
        <v>71</v>
      </c>
      <c r="F94" s="4">
        <v>653.00600000000009</v>
      </c>
      <c r="G94" s="5">
        <v>69.060600000000008</v>
      </c>
      <c r="H94" s="5">
        <v>16.88</v>
      </c>
      <c r="I94" s="5">
        <v>2760</v>
      </c>
      <c r="J94" s="4" t="s">
        <v>122</v>
      </c>
    </row>
    <row r="95" spans="1:10" x14ac:dyDescent="0.25">
      <c r="A95" s="4">
        <f t="shared" ca="1" si="2"/>
        <v>92</v>
      </c>
      <c r="B95" s="4" t="s">
        <v>312</v>
      </c>
      <c r="C95" s="4" t="s">
        <v>92</v>
      </c>
      <c r="D95" s="4" t="s">
        <v>120</v>
      </c>
      <c r="E95" s="4" t="s">
        <v>71</v>
      </c>
      <c r="F95" s="4">
        <v>678.82800000000009</v>
      </c>
      <c r="G95" s="5">
        <v>71.802700000000002</v>
      </c>
      <c r="H95" s="5">
        <v>16.89</v>
      </c>
      <c r="I95" s="5">
        <v>2388</v>
      </c>
      <c r="J95" s="4" t="s">
        <v>122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120</v>
      </c>
      <c r="E96" s="4" t="s">
        <v>71</v>
      </c>
      <c r="F96" s="4">
        <v>706.822</v>
      </c>
      <c r="G96" s="5">
        <v>74.034800000000004</v>
      </c>
      <c r="H96" s="5">
        <v>16.89</v>
      </c>
      <c r="I96" s="5">
        <v>2046</v>
      </c>
      <c r="J96" s="4" t="s">
        <v>122</v>
      </c>
    </row>
    <row r="97" spans="1:10" x14ac:dyDescent="0.25">
      <c r="A97" s="4">
        <f t="shared" ca="1" si="2"/>
        <v>94</v>
      </c>
      <c r="B97" s="4" t="s">
        <v>315</v>
      </c>
      <c r="C97" s="4" t="s">
        <v>316</v>
      </c>
      <c r="D97" s="4" t="s">
        <v>120</v>
      </c>
      <c r="E97" s="4" t="s">
        <v>71</v>
      </c>
      <c r="F97" s="4">
        <v>596.09400000000005</v>
      </c>
      <c r="G97" s="5">
        <v>65.216099999999997</v>
      </c>
      <c r="H97" s="5">
        <v>16.89</v>
      </c>
      <c r="I97" s="5">
        <v>4150</v>
      </c>
      <c r="J97" s="4" t="s">
        <v>122</v>
      </c>
    </row>
    <row r="98" spans="1:10" x14ac:dyDescent="0.25">
      <c r="A98" s="4">
        <f t="shared" ca="1" si="2"/>
        <v>95</v>
      </c>
      <c r="B98" s="4" t="s">
        <v>317</v>
      </c>
      <c r="C98" s="4" t="s">
        <v>318</v>
      </c>
      <c r="D98" s="4" t="s">
        <v>120</v>
      </c>
      <c r="E98" s="4" t="s">
        <v>71</v>
      </c>
      <c r="F98" s="4">
        <v>1000</v>
      </c>
      <c r="G98" s="5">
        <v>104.52260000000001</v>
      </c>
      <c r="H98" s="5">
        <v>12.73</v>
      </c>
      <c r="I98" s="5">
        <v>238</v>
      </c>
      <c r="J98" s="4" t="s">
        <v>122</v>
      </c>
    </row>
    <row r="99" spans="1:10" x14ac:dyDescent="0.25">
      <c r="A99" s="4">
        <f t="shared" ca="1" si="2"/>
        <v>96</v>
      </c>
      <c r="B99" s="4" t="s">
        <v>319</v>
      </c>
      <c r="C99" s="4" t="s">
        <v>89</v>
      </c>
      <c r="D99" s="4" t="s">
        <v>120</v>
      </c>
      <c r="E99" s="4" t="s">
        <v>71</v>
      </c>
      <c r="F99" s="4">
        <v>751.68499999999995</v>
      </c>
      <c r="G99" s="5">
        <v>76.235200000000006</v>
      </c>
      <c r="H99" s="5">
        <v>16.93</v>
      </c>
      <c r="I99" s="5">
        <v>1411</v>
      </c>
      <c r="J99" s="4" t="s">
        <v>122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120</v>
      </c>
      <c r="E100" s="4" t="s">
        <v>71</v>
      </c>
      <c r="F100" s="4">
        <v>729.39100000000008</v>
      </c>
      <c r="G100" s="5">
        <v>78.037800000000004</v>
      </c>
      <c r="H100" s="5">
        <v>16.940000000000001</v>
      </c>
      <c r="I100" s="5">
        <v>1586</v>
      </c>
      <c r="J100" s="4" t="s">
        <v>122</v>
      </c>
    </row>
    <row r="101" spans="1:10" x14ac:dyDescent="0.25">
      <c r="A101" s="4">
        <f t="shared" ca="1" si="3"/>
        <v>98</v>
      </c>
      <c r="B101" s="4" t="s">
        <v>322</v>
      </c>
      <c r="C101" s="4" t="s">
        <v>323</v>
      </c>
      <c r="D101" s="4" t="s">
        <v>120</v>
      </c>
      <c r="E101" s="4" t="s">
        <v>71</v>
      </c>
      <c r="F101" s="4">
        <v>535.04100000000005</v>
      </c>
      <c r="G101" s="5">
        <v>59.714400000000005</v>
      </c>
      <c r="H101" s="5">
        <v>16.87</v>
      </c>
      <c r="I101" s="5">
        <v>4827</v>
      </c>
      <c r="J101" s="4" t="s">
        <v>122</v>
      </c>
    </row>
    <row r="102" spans="1:10" x14ac:dyDescent="0.25">
      <c r="A102" s="4">
        <f t="shared" ca="1" si="3"/>
        <v>99</v>
      </c>
      <c r="B102" s="4" t="s">
        <v>324</v>
      </c>
      <c r="C102" s="4" t="s">
        <v>325</v>
      </c>
      <c r="D102" s="4" t="s">
        <v>120</v>
      </c>
      <c r="E102" s="4" t="s">
        <v>71</v>
      </c>
      <c r="F102" s="4">
        <v>984.74400000000003</v>
      </c>
      <c r="G102" s="5">
        <v>103.28110000000001</v>
      </c>
      <c r="H102" s="5">
        <v>16.97</v>
      </c>
      <c r="I102" s="5">
        <v>53</v>
      </c>
      <c r="J102" s="4" t="s">
        <v>122</v>
      </c>
    </row>
    <row r="103" spans="1:10" x14ac:dyDescent="0.25">
      <c r="A103" s="4">
        <f t="shared" ca="1" si="3"/>
        <v>100</v>
      </c>
      <c r="B103" s="4" t="s">
        <v>326</v>
      </c>
      <c r="C103" s="4" t="s">
        <v>115</v>
      </c>
      <c r="D103" s="4" t="s">
        <v>120</v>
      </c>
      <c r="E103" s="4" t="s">
        <v>71</v>
      </c>
      <c r="F103" s="4">
        <v>911.27</v>
      </c>
      <c r="G103" s="5">
        <v>91.81450000000001</v>
      </c>
      <c r="H103" s="5">
        <v>17.21</v>
      </c>
      <c r="I103" s="5">
        <v>320</v>
      </c>
      <c r="J103" s="4" t="s">
        <v>122</v>
      </c>
    </row>
    <row r="104" spans="1:10" x14ac:dyDescent="0.25">
      <c r="A104" s="4">
        <f t="shared" ca="1" si="3"/>
        <v>101</v>
      </c>
      <c r="B104" s="4" t="s">
        <v>327</v>
      </c>
      <c r="C104" s="4" t="s">
        <v>81</v>
      </c>
      <c r="D104" s="4" t="s">
        <v>120</v>
      </c>
      <c r="E104" s="4" t="s">
        <v>71</v>
      </c>
      <c r="F104" s="4">
        <v>810.928</v>
      </c>
      <c r="G104" s="5">
        <v>86.157200000000003</v>
      </c>
      <c r="H104" s="5">
        <v>17</v>
      </c>
      <c r="I104" s="5">
        <v>747</v>
      </c>
      <c r="J104" s="4" t="s">
        <v>122</v>
      </c>
    </row>
    <row r="105" spans="1:10" x14ac:dyDescent="0.25">
      <c r="A105" s="4">
        <f t="shared" ca="1" si="3"/>
        <v>102</v>
      </c>
      <c r="B105" s="4" t="s">
        <v>328</v>
      </c>
      <c r="C105" s="4" t="s">
        <v>329</v>
      </c>
      <c r="D105" s="4" t="s">
        <v>120</v>
      </c>
      <c r="E105" s="4" t="s">
        <v>71</v>
      </c>
      <c r="F105" s="4">
        <v>748.80400000000009</v>
      </c>
      <c r="G105" s="5">
        <v>75.079000000000008</v>
      </c>
      <c r="H105" s="5">
        <v>16.96</v>
      </c>
      <c r="I105" s="5">
        <v>1084</v>
      </c>
      <c r="J105" s="4" t="s">
        <v>122</v>
      </c>
    </row>
    <row r="106" spans="1:10" x14ac:dyDescent="0.25">
      <c r="A106" s="4">
        <f t="shared" ca="1" si="3"/>
        <v>103</v>
      </c>
      <c r="B106" s="4" t="s">
        <v>330</v>
      </c>
      <c r="C106" s="4" t="s">
        <v>331</v>
      </c>
      <c r="D106" s="4" t="s">
        <v>120</v>
      </c>
      <c r="E106" s="4" t="s">
        <v>71</v>
      </c>
      <c r="F106" s="4">
        <v>552.846</v>
      </c>
      <c r="G106" s="5">
        <v>56.861800000000002</v>
      </c>
      <c r="H106" s="5">
        <v>16.86</v>
      </c>
      <c r="I106" s="5">
        <v>5044</v>
      </c>
      <c r="J106" s="4" t="s">
        <v>122</v>
      </c>
    </row>
    <row r="107" spans="1:10" x14ac:dyDescent="0.25">
      <c r="A107" s="4">
        <f t="shared" ca="1" si="3"/>
        <v>104</v>
      </c>
      <c r="B107" s="4" t="s">
        <v>332</v>
      </c>
      <c r="C107" s="4" t="s">
        <v>333</v>
      </c>
      <c r="D107" s="4" t="s">
        <v>120</v>
      </c>
      <c r="E107" s="4" t="s">
        <v>71</v>
      </c>
      <c r="F107" s="4">
        <v>547.71600000000001</v>
      </c>
      <c r="G107" s="5">
        <v>59.816900000000004</v>
      </c>
      <c r="H107" s="5">
        <v>16.88</v>
      </c>
      <c r="I107" s="5">
        <v>5260</v>
      </c>
      <c r="J107" s="4" t="s">
        <v>122</v>
      </c>
    </row>
    <row r="108" spans="1:10" x14ac:dyDescent="0.25">
      <c r="A108" s="4">
        <f t="shared" ca="1" si="3"/>
        <v>105</v>
      </c>
      <c r="B108" s="4" t="s">
        <v>334</v>
      </c>
      <c r="C108" s="4" t="s">
        <v>84</v>
      </c>
      <c r="D108" s="4" t="s">
        <v>120</v>
      </c>
      <c r="E108" s="4" t="s">
        <v>71</v>
      </c>
      <c r="F108" s="4">
        <v>850.21300000000008</v>
      </c>
      <c r="G108" s="5">
        <v>90.613</v>
      </c>
      <c r="H108" s="5">
        <v>16.940000000000001</v>
      </c>
      <c r="I108" s="5">
        <v>1276</v>
      </c>
      <c r="J108" s="4" t="s">
        <v>122</v>
      </c>
    </row>
    <row r="109" spans="1:10" x14ac:dyDescent="0.25">
      <c r="A109" s="4">
        <f t="shared" ca="1" si="3"/>
        <v>106</v>
      </c>
      <c r="B109" s="4" t="s">
        <v>335</v>
      </c>
      <c r="C109" s="4" t="s">
        <v>336</v>
      </c>
      <c r="D109" s="4" t="s">
        <v>120</v>
      </c>
      <c r="E109" s="4" t="s">
        <v>71</v>
      </c>
      <c r="F109" s="4">
        <v>945.64300000000003</v>
      </c>
      <c r="G109" s="5">
        <v>96.839300000000009</v>
      </c>
      <c r="H109" s="5">
        <v>17.23</v>
      </c>
      <c r="I109" s="5">
        <v>274</v>
      </c>
      <c r="J109" s="4" t="s">
        <v>122</v>
      </c>
    </row>
    <row r="110" spans="1:10" x14ac:dyDescent="0.25">
      <c r="A110" s="4">
        <f t="shared" ca="1" si="3"/>
        <v>107</v>
      </c>
      <c r="B110" s="4" t="s">
        <v>337</v>
      </c>
      <c r="C110" s="4" t="s">
        <v>338</v>
      </c>
      <c r="D110" s="4" t="s">
        <v>120</v>
      </c>
      <c r="E110" s="4" t="s">
        <v>71</v>
      </c>
      <c r="F110" s="4">
        <v>1000</v>
      </c>
      <c r="G110" s="5">
        <v>110.56490000000001</v>
      </c>
      <c r="H110" s="5">
        <v>13.06</v>
      </c>
      <c r="I110" s="5">
        <v>1168</v>
      </c>
      <c r="J110" s="4" t="s">
        <v>122</v>
      </c>
    </row>
    <row r="111" spans="1:10" x14ac:dyDescent="0.25">
      <c r="A111" s="4">
        <f t="shared" ca="1" si="3"/>
        <v>108</v>
      </c>
      <c r="B111" s="4" t="s">
        <v>339</v>
      </c>
      <c r="C111" s="4" t="s">
        <v>340</v>
      </c>
      <c r="D111" s="4" t="s">
        <v>120</v>
      </c>
      <c r="E111" s="4" t="s">
        <v>71</v>
      </c>
      <c r="F111" s="4">
        <v>1000</v>
      </c>
      <c r="G111" s="5">
        <v>106.6572</v>
      </c>
      <c r="H111" s="5">
        <v>12.59</v>
      </c>
      <c r="I111" s="5">
        <v>178</v>
      </c>
      <c r="J111" s="4" t="s">
        <v>122</v>
      </c>
    </row>
    <row r="112" spans="1:10" x14ac:dyDescent="0.25">
      <c r="A112" s="4">
        <f t="shared" ca="1" si="3"/>
        <v>109</v>
      </c>
      <c r="B112" s="4" t="s">
        <v>341</v>
      </c>
      <c r="C112" s="4" t="s">
        <v>342</v>
      </c>
      <c r="D112" s="4" t="s">
        <v>120</v>
      </c>
      <c r="E112" s="4" t="s">
        <v>71</v>
      </c>
      <c r="F112" s="4">
        <v>1000</v>
      </c>
      <c r="G112" s="5">
        <v>107.7788</v>
      </c>
      <c r="H112" s="5">
        <v>12.95</v>
      </c>
      <c r="I112" s="5">
        <v>1245</v>
      </c>
      <c r="J112" s="4" t="s">
        <v>122</v>
      </c>
    </row>
    <row r="113" spans="1:10" x14ac:dyDescent="0.25">
      <c r="A113" s="4">
        <f t="shared" ca="1" si="3"/>
        <v>110</v>
      </c>
      <c r="B113" s="4" t="s">
        <v>343</v>
      </c>
      <c r="C113" s="4" t="s">
        <v>72</v>
      </c>
      <c r="D113" s="4" t="s">
        <v>120</v>
      </c>
      <c r="E113" s="4" t="s">
        <v>71</v>
      </c>
      <c r="F113" s="4">
        <v>853.67</v>
      </c>
      <c r="G113" s="5">
        <v>95.13900000000001</v>
      </c>
      <c r="H113" s="5">
        <v>16.95</v>
      </c>
      <c r="I113" s="5">
        <v>1121</v>
      </c>
      <c r="J113" s="4" t="s">
        <v>122</v>
      </c>
    </row>
    <row r="114" spans="1:10" x14ac:dyDescent="0.25">
      <c r="A114" s="4">
        <f t="shared" ca="1" si="3"/>
        <v>111</v>
      </c>
      <c r="B114" s="4" t="s">
        <v>344</v>
      </c>
      <c r="C114" s="4" t="s">
        <v>345</v>
      </c>
      <c r="D114" s="4" t="s">
        <v>120</v>
      </c>
      <c r="E114" s="4" t="s">
        <v>71</v>
      </c>
      <c r="F114" s="4">
        <v>1000</v>
      </c>
      <c r="G114" s="5">
        <v>107.8874</v>
      </c>
      <c r="H114" s="5">
        <v>12.93</v>
      </c>
      <c r="I114" s="5">
        <v>876</v>
      </c>
      <c r="J114" s="4" t="s">
        <v>122</v>
      </c>
    </row>
    <row r="115" spans="1:10" x14ac:dyDescent="0.25">
      <c r="A115" s="4">
        <f t="shared" ca="1" si="3"/>
        <v>112</v>
      </c>
      <c r="B115" s="4" t="s">
        <v>346</v>
      </c>
      <c r="C115" s="4" t="s">
        <v>347</v>
      </c>
      <c r="D115" s="4" t="s">
        <v>120</v>
      </c>
      <c r="E115" s="4" t="s">
        <v>71</v>
      </c>
      <c r="F115" s="4">
        <v>567.04500000000007</v>
      </c>
      <c r="G115" s="5">
        <v>59.133700000000005</v>
      </c>
      <c r="H115" s="5">
        <v>16.88</v>
      </c>
      <c r="I115" s="5">
        <v>2396</v>
      </c>
      <c r="J115" s="4" t="s">
        <v>122</v>
      </c>
    </row>
    <row r="116" spans="1:10" x14ac:dyDescent="0.25">
      <c r="A116" s="4">
        <f t="shared" ca="1" si="3"/>
        <v>113</v>
      </c>
      <c r="B116" s="4" t="s">
        <v>348</v>
      </c>
      <c r="C116" s="4" t="s">
        <v>349</v>
      </c>
      <c r="D116" s="4" t="s">
        <v>120</v>
      </c>
      <c r="E116" s="4" t="s">
        <v>71</v>
      </c>
      <c r="F116" s="4">
        <v>773.61200000000008</v>
      </c>
      <c r="G116" s="5">
        <v>83.237499999999997</v>
      </c>
      <c r="H116" s="5">
        <v>16.95</v>
      </c>
      <c r="I116" s="5">
        <v>1165</v>
      </c>
      <c r="J116" s="4" t="s">
        <v>122</v>
      </c>
    </row>
    <row r="117" spans="1:10" x14ac:dyDescent="0.25">
      <c r="A117" s="4">
        <f t="shared" ca="1" si="3"/>
        <v>114</v>
      </c>
      <c r="B117" s="4" t="s">
        <v>350</v>
      </c>
      <c r="C117" s="4" t="s">
        <v>351</v>
      </c>
      <c r="D117" s="4" t="s">
        <v>120</v>
      </c>
      <c r="E117" s="4" t="s">
        <v>71</v>
      </c>
      <c r="F117" s="4">
        <v>767.23099999999999</v>
      </c>
      <c r="G117" s="5">
        <v>79.014800000000008</v>
      </c>
      <c r="H117" s="5">
        <v>16.97</v>
      </c>
      <c r="I117" s="5">
        <v>929</v>
      </c>
      <c r="J117" s="4" t="s">
        <v>122</v>
      </c>
    </row>
    <row r="118" spans="1:10" x14ac:dyDescent="0.25">
      <c r="A118" s="4">
        <f t="shared" ca="1" si="3"/>
        <v>115</v>
      </c>
      <c r="B118" s="4" t="s">
        <v>352</v>
      </c>
      <c r="C118" s="4" t="s">
        <v>76</v>
      </c>
      <c r="D118" s="4" t="s">
        <v>120</v>
      </c>
      <c r="E118" s="4" t="s">
        <v>71</v>
      </c>
      <c r="F118" s="4">
        <v>757.00400000000002</v>
      </c>
      <c r="G118" s="5">
        <v>77.682500000000005</v>
      </c>
      <c r="H118" s="5">
        <v>16.89</v>
      </c>
      <c r="I118" s="5">
        <v>2489</v>
      </c>
      <c r="J118" s="4" t="s">
        <v>122</v>
      </c>
    </row>
    <row r="119" spans="1:10" x14ac:dyDescent="0.25">
      <c r="A119" s="4">
        <f t="shared" ca="1" si="3"/>
        <v>116</v>
      </c>
      <c r="B119" s="4" t="s">
        <v>353</v>
      </c>
      <c r="C119" s="4" t="s">
        <v>98</v>
      </c>
      <c r="D119" s="4" t="s">
        <v>120</v>
      </c>
      <c r="E119" s="4" t="s">
        <v>71</v>
      </c>
      <c r="F119" s="4">
        <v>829.55499999999995</v>
      </c>
      <c r="G119" s="5">
        <v>84.860399999999998</v>
      </c>
      <c r="H119" s="5">
        <v>16.920000000000002</v>
      </c>
      <c r="I119" s="5">
        <v>1395</v>
      </c>
      <c r="J119" s="4" t="s">
        <v>122</v>
      </c>
    </row>
    <row r="120" spans="1:10" x14ac:dyDescent="0.25">
      <c r="A120" s="4">
        <f t="shared" ca="1" si="3"/>
        <v>117</v>
      </c>
      <c r="B120" s="4" t="s">
        <v>354</v>
      </c>
      <c r="C120" s="4" t="s">
        <v>355</v>
      </c>
      <c r="D120" s="4" t="s">
        <v>120</v>
      </c>
      <c r="E120" s="4" t="s">
        <v>71</v>
      </c>
      <c r="F120" s="4">
        <v>1000</v>
      </c>
      <c r="G120" s="5">
        <v>100.1447</v>
      </c>
      <c r="H120" s="5">
        <v>13.02</v>
      </c>
      <c r="I120" s="5">
        <v>1823</v>
      </c>
      <c r="J120" s="4" t="s">
        <v>122</v>
      </c>
    </row>
    <row r="121" spans="1:10" x14ac:dyDescent="0.25">
      <c r="A121" s="4">
        <f t="shared" ca="1" si="3"/>
        <v>118</v>
      </c>
      <c r="B121" s="4" t="s">
        <v>356</v>
      </c>
      <c r="C121" s="4" t="s">
        <v>357</v>
      </c>
      <c r="D121" s="4" t="s">
        <v>120</v>
      </c>
      <c r="E121" s="4" t="s">
        <v>71</v>
      </c>
      <c r="F121" s="4">
        <v>1000</v>
      </c>
      <c r="G121" s="5">
        <v>109.9135</v>
      </c>
      <c r="H121" s="5">
        <v>12.99</v>
      </c>
      <c r="I121" s="5">
        <v>2279</v>
      </c>
      <c r="J121" s="4" t="s">
        <v>122</v>
      </c>
    </row>
    <row r="122" spans="1:10" x14ac:dyDescent="0.25">
      <c r="A122" s="4">
        <f t="shared" ca="1" si="3"/>
        <v>119</v>
      </c>
      <c r="B122" s="4" t="s">
        <v>358</v>
      </c>
      <c r="C122" s="4" t="s">
        <v>359</v>
      </c>
      <c r="D122" s="4" t="s">
        <v>120</v>
      </c>
      <c r="E122" s="4" t="s">
        <v>71</v>
      </c>
      <c r="F122" s="4">
        <v>1000</v>
      </c>
      <c r="G122" s="5">
        <v>100.2171</v>
      </c>
      <c r="H122" s="5">
        <v>13.02</v>
      </c>
      <c r="I122" s="5">
        <v>2186</v>
      </c>
      <c r="J122" s="4" t="s">
        <v>122</v>
      </c>
    </row>
    <row r="123" spans="1:10" x14ac:dyDescent="0.25">
      <c r="A123" s="4">
        <f t="shared" ca="1" si="3"/>
        <v>120</v>
      </c>
      <c r="B123" s="4" t="s">
        <v>360</v>
      </c>
      <c r="C123" s="4" t="s">
        <v>361</v>
      </c>
      <c r="D123" s="4" t="s">
        <v>120</v>
      </c>
      <c r="E123" s="4" t="s">
        <v>71</v>
      </c>
      <c r="F123" s="4">
        <v>910.3</v>
      </c>
      <c r="G123" s="5">
        <v>94.9011</v>
      </c>
      <c r="H123" s="5">
        <v>17.02</v>
      </c>
      <c r="I123" s="5">
        <v>594</v>
      </c>
      <c r="J123" s="4" t="s">
        <v>122</v>
      </c>
    </row>
    <row r="124" spans="1:10" x14ac:dyDescent="0.25">
      <c r="A124" s="4">
        <f t="shared" ca="1" si="3"/>
        <v>121</v>
      </c>
      <c r="B124" s="4" t="s">
        <v>362</v>
      </c>
      <c r="C124" s="4" t="s">
        <v>363</v>
      </c>
      <c r="D124" s="4" t="s">
        <v>120</v>
      </c>
      <c r="E124" s="4" t="s">
        <v>71</v>
      </c>
      <c r="F124" s="4">
        <v>711.75700000000006</v>
      </c>
      <c r="G124" s="5">
        <v>78.695800000000006</v>
      </c>
      <c r="H124" s="5">
        <v>16.88</v>
      </c>
      <c r="I124" s="5">
        <v>4136</v>
      </c>
      <c r="J124" s="4" t="s">
        <v>122</v>
      </c>
    </row>
    <row r="125" spans="1:10" x14ac:dyDescent="0.25">
      <c r="A125" s="4">
        <f t="shared" ca="1" si="3"/>
        <v>122</v>
      </c>
      <c r="B125" s="4" t="s">
        <v>364</v>
      </c>
      <c r="C125" s="4" t="s">
        <v>105</v>
      </c>
      <c r="D125" s="4" t="s">
        <v>120</v>
      </c>
      <c r="E125" s="4" t="s">
        <v>71</v>
      </c>
      <c r="F125" s="4">
        <v>982.60200000000009</v>
      </c>
      <c r="G125" s="5">
        <v>100.3942</v>
      </c>
      <c r="H125" s="5">
        <v>16.670000000000002</v>
      </c>
      <c r="I125" s="5">
        <v>111</v>
      </c>
      <c r="J125" s="4" t="s">
        <v>122</v>
      </c>
    </row>
    <row r="126" spans="1:10" x14ac:dyDescent="0.25">
      <c r="A126" s="4">
        <f t="shared" ca="1" si="3"/>
        <v>123</v>
      </c>
      <c r="B126" s="4" t="s">
        <v>365</v>
      </c>
      <c r="C126" s="4" t="s">
        <v>366</v>
      </c>
      <c r="D126" s="4" t="s">
        <v>120</v>
      </c>
      <c r="E126" s="4" t="s">
        <v>71</v>
      </c>
      <c r="F126" s="4">
        <v>825.22</v>
      </c>
      <c r="G126" s="5">
        <v>89.82480000000001</v>
      </c>
      <c r="H126" s="5">
        <v>16.940000000000001</v>
      </c>
      <c r="I126" s="5">
        <v>1586</v>
      </c>
      <c r="J126" s="4" t="s">
        <v>122</v>
      </c>
    </row>
    <row r="127" spans="1:10" x14ac:dyDescent="0.25">
      <c r="A127" s="4">
        <f t="shared" ca="1" si="3"/>
        <v>124</v>
      </c>
      <c r="B127" s="4" t="s">
        <v>367</v>
      </c>
      <c r="C127" s="4" t="s">
        <v>368</v>
      </c>
      <c r="D127" s="4" t="s">
        <v>120</v>
      </c>
      <c r="E127" s="4" t="s">
        <v>71</v>
      </c>
      <c r="F127" s="4">
        <v>704.08100000000002</v>
      </c>
      <c r="G127" s="5">
        <v>71.546000000000006</v>
      </c>
      <c r="H127" s="5">
        <v>16.88</v>
      </c>
      <c r="I127" s="5">
        <v>3980</v>
      </c>
      <c r="J127" s="4" t="s">
        <v>122</v>
      </c>
    </row>
    <row r="128" spans="1:10" x14ac:dyDescent="0.25">
      <c r="A128" s="4">
        <f t="shared" ca="1" si="3"/>
        <v>125</v>
      </c>
      <c r="B128" s="4" t="s">
        <v>369</v>
      </c>
      <c r="C128" s="4" t="s">
        <v>370</v>
      </c>
      <c r="D128" s="4" t="s">
        <v>120</v>
      </c>
      <c r="E128" s="4" t="s">
        <v>71</v>
      </c>
      <c r="F128" s="4">
        <v>705.61300000000006</v>
      </c>
      <c r="G128" s="5">
        <v>76.914400000000001</v>
      </c>
      <c r="H128" s="5">
        <v>16.899999999999999</v>
      </c>
      <c r="I128" s="5">
        <v>3060</v>
      </c>
      <c r="J128" s="4" t="s">
        <v>122</v>
      </c>
    </row>
    <row r="129" spans="1:10" x14ac:dyDescent="0.25">
      <c r="A129" s="4">
        <f t="shared" ca="1" si="3"/>
        <v>126</v>
      </c>
      <c r="B129" s="4" t="s">
        <v>371</v>
      </c>
      <c r="C129" s="4" t="s">
        <v>96</v>
      </c>
      <c r="D129" s="4" t="s">
        <v>120</v>
      </c>
      <c r="E129" s="4" t="s">
        <v>71</v>
      </c>
      <c r="F129" s="4">
        <v>871.26499999999999</v>
      </c>
      <c r="G129" s="5">
        <v>92.066500000000005</v>
      </c>
      <c r="H129" s="5">
        <v>16.98</v>
      </c>
      <c r="I129" s="5">
        <v>923</v>
      </c>
      <c r="J129" s="4" t="s">
        <v>122</v>
      </c>
    </row>
    <row r="130" spans="1:10" x14ac:dyDescent="0.25">
      <c r="A130" s="4">
        <f t="shared" ca="1" si="3"/>
        <v>127</v>
      </c>
      <c r="B130" s="4" t="s">
        <v>372</v>
      </c>
      <c r="C130" s="4" t="s">
        <v>373</v>
      </c>
      <c r="D130" s="4" t="s">
        <v>120</v>
      </c>
      <c r="E130" s="4" t="s">
        <v>71</v>
      </c>
      <c r="F130" s="4">
        <v>953.99700000000007</v>
      </c>
      <c r="G130" s="5">
        <v>97.120500000000007</v>
      </c>
      <c r="H130" s="5">
        <v>16.559999999999999</v>
      </c>
      <c r="I130" s="5">
        <v>306</v>
      </c>
      <c r="J130" s="4" t="s">
        <v>122</v>
      </c>
    </row>
    <row r="131" spans="1:10" x14ac:dyDescent="0.25">
      <c r="A131" s="4">
        <f t="shared" ca="1" si="3"/>
        <v>128</v>
      </c>
      <c r="B131" s="4" t="s">
        <v>374</v>
      </c>
      <c r="C131" s="4" t="s">
        <v>375</v>
      </c>
      <c r="D131" s="4" t="s">
        <v>120</v>
      </c>
      <c r="E131" s="4" t="s">
        <v>71</v>
      </c>
      <c r="F131" s="4">
        <v>695.69</v>
      </c>
      <c r="G131" s="5">
        <v>75.3489</v>
      </c>
      <c r="H131" s="5">
        <v>16.87</v>
      </c>
      <c r="I131" s="5">
        <v>3446</v>
      </c>
      <c r="J131" s="4" t="s">
        <v>122</v>
      </c>
    </row>
    <row r="132" spans="1:10" x14ac:dyDescent="0.25">
      <c r="A132" s="4">
        <f t="shared" ref="A132:A168" ca="1" si="4">IF(OFFSET(A132,-1,0)="№ п/п",1,OFFSET(A132,-1,0)+1)</f>
        <v>129</v>
      </c>
      <c r="B132" s="4" t="s">
        <v>376</v>
      </c>
      <c r="C132" s="4" t="s">
        <v>113</v>
      </c>
      <c r="D132" s="4" t="s">
        <v>120</v>
      </c>
      <c r="E132" s="4" t="s">
        <v>71</v>
      </c>
      <c r="F132" s="4">
        <v>774.34500000000003</v>
      </c>
      <c r="G132" s="5">
        <v>83.042299999999997</v>
      </c>
      <c r="H132" s="5">
        <v>16.89</v>
      </c>
      <c r="I132" s="5">
        <v>1992</v>
      </c>
      <c r="J132" s="4" t="s">
        <v>122</v>
      </c>
    </row>
    <row r="133" spans="1:10" x14ac:dyDescent="0.25">
      <c r="A133" s="4">
        <f t="shared" ca="1" si="4"/>
        <v>130</v>
      </c>
      <c r="B133" s="4" t="s">
        <v>377</v>
      </c>
      <c r="C133" s="4" t="s">
        <v>378</v>
      </c>
      <c r="D133" s="4" t="s">
        <v>120</v>
      </c>
      <c r="E133" s="4" t="s">
        <v>71</v>
      </c>
      <c r="F133" s="4">
        <v>739.46199999999999</v>
      </c>
      <c r="G133" s="5">
        <v>75.134</v>
      </c>
      <c r="H133" s="5">
        <v>16.89</v>
      </c>
      <c r="I133" s="5">
        <v>2882</v>
      </c>
      <c r="J133" s="4" t="s">
        <v>122</v>
      </c>
    </row>
    <row r="134" spans="1:10" x14ac:dyDescent="0.25">
      <c r="A134" s="4">
        <f t="shared" ca="1" si="4"/>
        <v>131</v>
      </c>
      <c r="B134" s="4" t="s">
        <v>379</v>
      </c>
      <c r="C134" s="4" t="s">
        <v>380</v>
      </c>
      <c r="D134" s="4" t="s">
        <v>120</v>
      </c>
      <c r="E134" s="4" t="s">
        <v>71</v>
      </c>
      <c r="F134" s="4">
        <v>977.40600000000006</v>
      </c>
      <c r="G134" s="5">
        <v>98.397000000000006</v>
      </c>
      <c r="H134" s="5">
        <v>16.53</v>
      </c>
      <c r="I134" s="5">
        <v>349</v>
      </c>
      <c r="J134" s="4" t="s">
        <v>122</v>
      </c>
    </row>
    <row r="135" spans="1:10" x14ac:dyDescent="0.25">
      <c r="A135" s="4">
        <f t="shared" ca="1" si="4"/>
        <v>132</v>
      </c>
      <c r="B135" s="4" t="s">
        <v>381</v>
      </c>
      <c r="C135" s="4" t="s">
        <v>382</v>
      </c>
      <c r="D135" s="4" t="s">
        <v>120</v>
      </c>
      <c r="E135" s="4" t="s">
        <v>71</v>
      </c>
      <c r="F135" s="4">
        <v>982.19100000000003</v>
      </c>
      <c r="G135" s="5">
        <v>103.97540000000001</v>
      </c>
      <c r="H135" s="5">
        <v>16.34</v>
      </c>
      <c r="I135" s="5">
        <v>777</v>
      </c>
      <c r="J135" s="4" t="s">
        <v>122</v>
      </c>
    </row>
    <row r="136" spans="1:10" x14ac:dyDescent="0.25">
      <c r="A136" s="4">
        <f t="shared" ca="1" si="4"/>
        <v>133</v>
      </c>
      <c r="B136" s="4" t="s">
        <v>383</v>
      </c>
      <c r="C136" s="4" t="s">
        <v>384</v>
      </c>
      <c r="D136" s="4" t="s">
        <v>120</v>
      </c>
      <c r="E136" s="4" t="s">
        <v>71</v>
      </c>
      <c r="F136" s="4">
        <v>887.14400000000001</v>
      </c>
      <c r="G136" s="5">
        <v>93.9255</v>
      </c>
      <c r="H136" s="5">
        <v>16.89</v>
      </c>
      <c r="I136" s="5">
        <v>2421</v>
      </c>
      <c r="J136" s="4" t="s">
        <v>122</v>
      </c>
    </row>
    <row r="137" spans="1:10" x14ac:dyDescent="0.25">
      <c r="A137" s="4">
        <f t="shared" ca="1" si="4"/>
        <v>134</v>
      </c>
      <c r="B137" s="4" t="s">
        <v>385</v>
      </c>
      <c r="C137" s="4" t="s">
        <v>386</v>
      </c>
      <c r="D137" s="4" t="s">
        <v>120</v>
      </c>
      <c r="E137" s="4" t="s">
        <v>71</v>
      </c>
      <c r="F137" s="4">
        <v>957.08500000000004</v>
      </c>
      <c r="G137" s="5">
        <v>104.6335</v>
      </c>
      <c r="H137" s="5">
        <v>16.940000000000001</v>
      </c>
      <c r="I137" s="5">
        <v>1248</v>
      </c>
      <c r="J137" s="4" t="s">
        <v>122</v>
      </c>
    </row>
    <row r="138" spans="1:10" x14ac:dyDescent="0.25">
      <c r="A138" s="4">
        <f t="shared" ca="1" si="4"/>
        <v>135</v>
      </c>
      <c r="B138" s="4" t="s">
        <v>387</v>
      </c>
      <c r="C138" s="4" t="s">
        <v>388</v>
      </c>
      <c r="D138" s="4" t="s">
        <v>120</v>
      </c>
      <c r="E138" s="4" t="s">
        <v>71</v>
      </c>
      <c r="F138" s="4">
        <v>1000</v>
      </c>
      <c r="G138" s="5">
        <v>101.1425</v>
      </c>
      <c r="H138" s="5">
        <v>17.09</v>
      </c>
      <c r="I138" s="5">
        <v>342</v>
      </c>
      <c r="J138" s="4" t="s">
        <v>122</v>
      </c>
    </row>
    <row r="139" spans="1:10" x14ac:dyDescent="0.25">
      <c r="A139" s="4">
        <f t="shared" ca="1" si="4"/>
        <v>136</v>
      </c>
      <c r="B139" s="4" t="s">
        <v>389</v>
      </c>
      <c r="C139" s="4" t="s">
        <v>390</v>
      </c>
      <c r="D139" s="4" t="s">
        <v>120</v>
      </c>
      <c r="E139" s="4" t="s">
        <v>71</v>
      </c>
      <c r="F139" s="4">
        <v>897.41</v>
      </c>
      <c r="G139" s="5">
        <v>95.224299999999999</v>
      </c>
      <c r="H139" s="5">
        <v>16.899999999999999</v>
      </c>
      <c r="I139" s="5">
        <v>2048</v>
      </c>
      <c r="J139" s="4" t="s">
        <v>122</v>
      </c>
    </row>
    <row r="140" spans="1:10" x14ac:dyDescent="0.25">
      <c r="A140" s="4">
        <f t="shared" ca="1" si="4"/>
        <v>137</v>
      </c>
      <c r="B140" s="4" t="s">
        <v>391</v>
      </c>
      <c r="C140" s="4" t="s">
        <v>392</v>
      </c>
      <c r="D140" s="4" t="s">
        <v>120</v>
      </c>
      <c r="E140" s="4" t="s">
        <v>71</v>
      </c>
      <c r="F140" s="4">
        <v>980.85900000000004</v>
      </c>
      <c r="G140" s="5">
        <v>101.86720000000001</v>
      </c>
      <c r="H140" s="5">
        <v>16.559999999999999</v>
      </c>
      <c r="I140" s="5">
        <v>265</v>
      </c>
      <c r="J140" s="4" t="s">
        <v>122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120</v>
      </c>
      <c r="E141" s="4" t="s">
        <v>71</v>
      </c>
      <c r="F141" s="4">
        <v>896.60800000000006</v>
      </c>
      <c r="G141" s="5">
        <v>94.397199999999998</v>
      </c>
      <c r="H141" s="5">
        <v>16.89</v>
      </c>
      <c r="I141" s="5">
        <v>2803</v>
      </c>
      <c r="J141" s="4" t="s">
        <v>122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120</v>
      </c>
      <c r="E142" s="4" t="s">
        <v>71</v>
      </c>
      <c r="F142" s="4">
        <v>832.20900000000006</v>
      </c>
      <c r="G142" s="5">
        <v>90.587600000000009</v>
      </c>
      <c r="H142" s="5">
        <v>16.920000000000002</v>
      </c>
      <c r="I142" s="5">
        <v>1969</v>
      </c>
      <c r="J142" s="4" t="s">
        <v>122</v>
      </c>
    </row>
    <row r="143" spans="1:10" x14ac:dyDescent="0.25">
      <c r="A143" s="4">
        <f t="shared" ca="1" si="4"/>
        <v>140</v>
      </c>
      <c r="B143" s="4" t="s">
        <v>397</v>
      </c>
      <c r="C143" s="4" t="s">
        <v>100</v>
      </c>
      <c r="D143" s="4" t="s">
        <v>120</v>
      </c>
      <c r="E143" s="4" t="s">
        <v>71</v>
      </c>
      <c r="F143" s="4">
        <v>1019.475</v>
      </c>
      <c r="G143" s="5">
        <v>104.59350000000001</v>
      </c>
      <c r="H143" s="5">
        <v>16.28</v>
      </c>
      <c r="I143" s="5">
        <v>1405</v>
      </c>
      <c r="J143" s="4" t="s">
        <v>122</v>
      </c>
    </row>
    <row r="144" spans="1:10" x14ac:dyDescent="0.25">
      <c r="A144" s="4">
        <f t="shared" ca="1" si="4"/>
        <v>141</v>
      </c>
      <c r="B144" s="4" t="s">
        <v>398</v>
      </c>
      <c r="C144" s="4" t="s">
        <v>399</v>
      </c>
      <c r="D144" s="4" t="s">
        <v>120</v>
      </c>
      <c r="E144" s="4" t="s">
        <v>71</v>
      </c>
      <c r="F144" s="4">
        <v>894.09900000000005</v>
      </c>
      <c r="G144" s="5">
        <v>97.747399999999999</v>
      </c>
      <c r="H144" s="5">
        <v>16.88</v>
      </c>
      <c r="I144" s="5">
        <v>3077</v>
      </c>
      <c r="J144" s="4" t="s">
        <v>122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120</v>
      </c>
      <c r="E145" s="4" t="s">
        <v>71</v>
      </c>
      <c r="F145" s="4">
        <v>911.26100000000008</v>
      </c>
      <c r="G145" s="5">
        <v>99.521100000000004</v>
      </c>
      <c r="H145" s="5">
        <v>16.89</v>
      </c>
      <c r="I145" s="5">
        <v>2347</v>
      </c>
      <c r="J145" s="4" t="s">
        <v>122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120</v>
      </c>
      <c r="E146" s="4" t="s">
        <v>71</v>
      </c>
      <c r="F146" s="4">
        <v>856.15100000000007</v>
      </c>
      <c r="G146" s="5">
        <v>90.745900000000006</v>
      </c>
      <c r="H146" s="5">
        <v>16.87</v>
      </c>
      <c r="I146" s="5">
        <v>4615</v>
      </c>
      <c r="J146" s="4" t="s">
        <v>122</v>
      </c>
    </row>
    <row r="147" spans="1:10" x14ac:dyDescent="0.25">
      <c r="A147" s="4">
        <f t="shared" ca="1" si="4"/>
        <v>144</v>
      </c>
      <c r="B147" s="4" t="s">
        <v>404</v>
      </c>
      <c r="C147" s="4" t="s">
        <v>405</v>
      </c>
      <c r="D147" s="4" t="s">
        <v>120</v>
      </c>
      <c r="E147" s="4" t="s">
        <v>71</v>
      </c>
      <c r="F147" s="4">
        <v>1000</v>
      </c>
      <c r="G147" s="5">
        <v>107.88680000000001</v>
      </c>
      <c r="H147" s="5">
        <v>15.44</v>
      </c>
      <c r="I147" s="5">
        <v>2006</v>
      </c>
      <c r="J147" s="4" t="s">
        <v>122</v>
      </c>
    </row>
    <row r="148" spans="1:10" x14ac:dyDescent="0.25">
      <c r="A148" s="4">
        <f t="shared" ca="1" si="4"/>
        <v>145</v>
      </c>
      <c r="B148" s="4" t="s">
        <v>406</v>
      </c>
      <c r="C148" s="4" t="s">
        <v>86</v>
      </c>
      <c r="D148" s="4" t="s">
        <v>120</v>
      </c>
      <c r="E148" s="4" t="s">
        <v>71</v>
      </c>
      <c r="F148" s="4">
        <v>852.755</v>
      </c>
      <c r="G148" s="5">
        <v>92.142200000000003</v>
      </c>
      <c r="H148" s="5">
        <v>16.91</v>
      </c>
      <c r="I148" s="5">
        <v>1617</v>
      </c>
      <c r="J148" s="4" t="s">
        <v>122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120</v>
      </c>
      <c r="E149" s="4" t="s">
        <v>71</v>
      </c>
      <c r="F149" s="4">
        <v>90.658100000000005</v>
      </c>
      <c r="G149" s="5">
        <v>90.658100000000005</v>
      </c>
      <c r="H149" s="5">
        <v>16.79</v>
      </c>
      <c r="I149" s="5">
        <v>225</v>
      </c>
      <c r="J149" s="4" t="s">
        <v>122</v>
      </c>
    </row>
    <row r="150" spans="1:10" x14ac:dyDescent="0.25">
      <c r="A150" s="4">
        <f t="shared" ca="1" si="4"/>
        <v>147</v>
      </c>
      <c r="B150" s="4" t="s">
        <v>409</v>
      </c>
      <c r="C150" s="4" t="s">
        <v>107</v>
      </c>
      <c r="D150" s="4" t="s">
        <v>120</v>
      </c>
      <c r="E150" s="4" t="s">
        <v>71</v>
      </c>
      <c r="F150" s="4">
        <v>94.63430000000001</v>
      </c>
      <c r="G150" s="5">
        <v>94.63430000000001</v>
      </c>
      <c r="H150" s="5">
        <v>16.420000000000002</v>
      </c>
      <c r="I150" s="5">
        <v>127</v>
      </c>
      <c r="J150" s="4" t="s">
        <v>122</v>
      </c>
    </row>
    <row r="151" spans="1:10" x14ac:dyDescent="0.25">
      <c r="A151" s="4">
        <f t="shared" ca="1" si="4"/>
        <v>148</v>
      </c>
      <c r="B151" s="4" t="s">
        <v>410</v>
      </c>
      <c r="C151" s="4" t="s">
        <v>411</v>
      </c>
      <c r="D151" s="4" t="s">
        <v>120</v>
      </c>
      <c r="E151" s="4" t="s">
        <v>71</v>
      </c>
      <c r="F151" s="4">
        <v>865.75300000000004</v>
      </c>
      <c r="G151" s="5">
        <v>95.5197</v>
      </c>
      <c r="H151" s="5">
        <v>16.899999999999999</v>
      </c>
      <c r="I151" s="5">
        <v>3421</v>
      </c>
      <c r="J151" s="4" t="s">
        <v>122</v>
      </c>
    </row>
    <row r="152" spans="1:10" x14ac:dyDescent="0.25">
      <c r="A152" s="4">
        <f t="shared" ca="1" si="4"/>
        <v>149</v>
      </c>
      <c r="B152" s="4" t="s">
        <v>412</v>
      </c>
      <c r="C152" s="4" t="s">
        <v>73</v>
      </c>
      <c r="D152" s="4" t="s">
        <v>120</v>
      </c>
      <c r="E152" s="4" t="s">
        <v>71</v>
      </c>
      <c r="F152" s="4">
        <v>0.99874999999999992</v>
      </c>
      <c r="G152" s="5">
        <v>102.1534</v>
      </c>
      <c r="H152" s="5">
        <v>4.7300000000000004</v>
      </c>
      <c r="I152" s="5">
        <v>3476</v>
      </c>
      <c r="J152" s="4" t="s">
        <v>122</v>
      </c>
    </row>
    <row r="153" spans="1:10" x14ac:dyDescent="0.25">
      <c r="A153" s="4">
        <f t="shared" ca="1" si="4"/>
        <v>150</v>
      </c>
      <c r="B153" s="4" t="s">
        <v>413</v>
      </c>
      <c r="C153" s="4" t="s">
        <v>414</v>
      </c>
      <c r="D153" s="4" t="s">
        <v>120</v>
      </c>
      <c r="E153" s="4" t="s">
        <v>71</v>
      </c>
      <c r="F153" s="4">
        <v>99.133800000000008</v>
      </c>
      <c r="G153" s="5">
        <v>99.133800000000008</v>
      </c>
      <c r="H153" s="5">
        <v>15.19</v>
      </c>
      <c r="I153" s="5">
        <v>22</v>
      </c>
      <c r="J153" s="4" t="s">
        <v>122</v>
      </c>
    </row>
    <row r="154" spans="1:10" x14ac:dyDescent="0.25">
      <c r="A154" s="4">
        <f t="shared" ca="1" si="4"/>
        <v>151</v>
      </c>
      <c r="B154" s="4" t="s">
        <v>415</v>
      </c>
      <c r="C154" s="4" t="s">
        <v>416</v>
      </c>
      <c r="D154" s="4" t="s">
        <v>125</v>
      </c>
      <c r="E154" s="4" t="s">
        <v>417</v>
      </c>
      <c r="F154" s="4">
        <v>362.96</v>
      </c>
      <c r="G154" s="5"/>
      <c r="H154" s="5"/>
      <c r="I154" s="5"/>
      <c r="J154" s="4" t="s">
        <v>127</v>
      </c>
    </row>
    <row r="155" spans="1:10" x14ac:dyDescent="0.25">
      <c r="A155" s="4">
        <f t="shared" ca="1" si="4"/>
        <v>152</v>
      </c>
      <c r="B155" s="4" t="s">
        <v>418</v>
      </c>
      <c r="C155" s="4" t="s">
        <v>419</v>
      </c>
      <c r="D155" s="4" t="s">
        <v>125</v>
      </c>
      <c r="E155" s="4" t="s">
        <v>417</v>
      </c>
      <c r="F155" s="4">
        <v>25.68</v>
      </c>
      <c r="G155" s="5"/>
      <c r="H155" s="5"/>
      <c r="I155" s="5"/>
      <c r="J155" s="4" t="s">
        <v>420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120</v>
      </c>
      <c r="E156" s="4" t="s">
        <v>417</v>
      </c>
      <c r="F156" s="4">
        <v>986.2940000000001</v>
      </c>
      <c r="G156" s="5">
        <v>104.3985</v>
      </c>
      <c r="H156" s="5">
        <v>18.010000000000002</v>
      </c>
      <c r="I156" s="5">
        <v>792</v>
      </c>
      <c r="J156" s="4" t="s">
        <v>122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125</v>
      </c>
      <c r="E157" s="4" t="s">
        <v>425</v>
      </c>
      <c r="F157" s="4">
        <v>856.09</v>
      </c>
      <c r="G157" s="5"/>
      <c r="H157" s="5"/>
      <c r="I157" s="5"/>
      <c r="J157" s="4" t="s">
        <v>127</v>
      </c>
    </row>
    <row r="158" spans="1:10" x14ac:dyDescent="0.25">
      <c r="A158" s="4">
        <f t="shared" ca="1" si="4"/>
        <v>155</v>
      </c>
      <c r="B158" s="4" t="s">
        <v>426</v>
      </c>
      <c r="C158" s="4" t="s">
        <v>427</v>
      </c>
      <c r="D158" s="4" t="s">
        <v>125</v>
      </c>
      <c r="E158" s="4" t="s">
        <v>428</v>
      </c>
      <c r="F158" s="4">
        <v>29081.81</v>
      </c>
      <c r="G158" s="5"/>
      <c r="H158" s="5"/>
      <c r="I158" s="5"/>
      <c r="J158" s="4" t="s">
        <v>127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125</v>
      </c>
      <c r="E159" s="4" t="s">
        <v>431</v>
      </c>
      <c r="F159" s="4">
        <v>47350.34</v>
      </c>
      <c r="G159" s="5"/>
      <c r="H159" s="5"/>
      <c r="I159" s="5"/>
      <c r="J159" s="4" t="s">
        <v>127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125</v>
      </c>
      <c r="E160" s="4" t="s">
        <v>431</v>
      </c>
      <c r="F160" s="4">
        <v>84.89</v>
      </c>
      <c r="G160" s="5"/>
      <c r="H160" s="5"/>
      <c r="I160" s="5"/>
      <c r="J160" s="4" t="s">
        <v>420</v>
      </c>
    </row>
    <row r="161" spans="1:10" x14ac:dyDescent="0.25">
      <c r="A161" s="4">
        <f t="shared" ca="1" si="4"/>
        <v>158</v>
      </c>
      <c r="B161" s="4" t="s">
        <v>434</v>
      </c>
      <c r="C161" s="4" t="s">
        <v>435</v>
      </c>
      <c r="D161" s="4" t="s">
        <v>120</v>
      </c>
      <c r="E161" s="4" t="s">
        <v>436</v>
      </c>
      <c r="F161" s="4">
        <v>99.989400000000003</v>
      </c>
      <c r="G161" s="5">
        <v>100.50880000000001</v>
      </c>
      <c r="H161" s="5">
        <v>11</v>
      </c>
      <c r="I161" s="5">
        <v>349</v>
      </c>
      <c r="J161" s="4" t="s">
        <v>122</v>
      </c>
    </row>
    <row r="162" spans="1:10" x14ac:dyDescent="0.25">
      <c r="A162" s="4">
        <f t="shared" ca="1" si="4"/>
        <v>159</v>
      </c>
      <c r="B162" s="4" t="s">
        <v>437</v>
      </c>
      <c r="C162" s="4" t="s">
        <v>438</v>
      </c>
      <c r="D162" s="4" t="s">
        <v>120</v>
      </c>
      <c r="E162" s="4" t="s">
        <v>436</v>
      </c>
      <c r="F162" s="4">
        <v>99.962800000000001</v>
      </c>
      <c r="G162" s="5">
        <v>103.9961</v>
      </c>
      <c r="H162" s="5">
        <v>11.01</v>
      </c>
      <c r="I162" s="5">
        <v>231</v>
      </c>
      <c r="J162" s="4" t="s">
        <v>122</v>
      </c>
    </row>
    <row r="163" spans="1:10" x14ac:dyDescent="0.25">
      <c r="A163" s="4">
        <f t="shared" ca="1" si="4"/>
        <v>160</v>
      </c>
      <c r="B163" s="4" t="s">
        <v>439</v>
      </c>
      <c r="C163" s="4" t="s">
        <v>440</v>
      </c>
      <c r="D163" s="4" t="s">
        <v>125</v>
      </c>
      <c r="E163" s="4" t="s">
        <v>441</v>
      </c>
      <c r="F163" s="4">
        <v>6.15</v>
      </c>
      <c r="G163" s="5"/>
      <c r="H163" s="5"/>
      <c r="I163" s="5"/>
      <c r="J163" s="4" t="s">
        <v>420</v>
      </c>
    </row>
    <row r="164" spans="1:10" x14ac:dyDescent="0.25">
      <c r="A164" s="4">
        <f t="shared" ca="1" si="4"/>
        <v>161</v>
      </c>
      <c r="B164" s="4" t="s">
        <v>442</v>
      </c>
      <c r="C164" s="4" t="s">
        <v>443</v>
      </c>
      <c r="D164" s="4" t="s">
        <v>125</v>
      </c>
      <c r="E164" s="4" t="s">
        <v>441</v>
      </c>
      <c r="F164" s="4">
        <v>826.52</v>
      </c>
      <c r="G164" s="5"/>
      <c r="H164" s="5"/>
      <c r="I164" s="5"/>
      <c r="J164" s="4" t="s">
        <v>127</v>
      </c>
    </row>
    <row r="165" spans="1:10" x14ac:dyDescent="0.25">
      <c r="A165" s="4">
        <f t="shared" ca="1" si="4"/>
        <v>162</v>
      </c>
      <c r="B165" s="4" t="s">
        <v>444</v>
      </c>
      <c r="C165" s="4" t="s">
        <v>445</v>
      </c>
      <c r="D165" s="4" t="s">
        <v>120</v>
      </c>
      <c r="E165" s="4" t="s">
        <v>109</v>
      </c>
      <c r="F165" s="4">
        <v>0.99555099999999996</v>
      </c>
      <c r="G165" s="5">
        <v>99.761700000000005</v>
      </c>
      <c r="H165" s="5">
        <v>6.7</v>
      </c>
      <c r="I165" s="5">
        <v>169</v>
      </c>
      <c r="J165" s="4" t="s">
        <v>122</v>
      </c>
    </row>
    <row r="166" spans="1:10" x14ac:dyDescent="0.25">
      <c r="A166" s="4">
        <f t="shared" ca="1" si="4"/>
        <v>163</v>
      </c>
      <c r="B166" s="4" t="s">
        <v>446</v>
      </c>
      <c r="C166" s="4" t="s">
        <v>447</v>
      </c>
      <c r="D166" s="4" t="s">
        <v>120</v>
      </c>
      <c r="E166" s="4" t="s">
        <v>109</v>
      </c>
      <c r="F166" s="4">
        <v>1000</v>
      </c>
      <c r="G166" s="5">
        <v>100.2877</v>
      </c>
      <c r="H166" s="5">
        <v>17.490000000000002</v>
      </c>
      <c r="I166" s="5">
        <v>907</v>
      </c>
      <c r="J166" s="4" t="s">
        <v>122</v>
      </c>
    </row>
    <row r="167" spans="1:10" x14ac:dyDescent="0.25">
      <c r="A167" s="4">
        <f t="shared" ca="1" si="4"/>
        <v>164</v>
      </c>
      <c r="B167" s="4" t="s">
        <v>448</v>
      </c>
      <c r="C167" s="4" t="s">
        <v>110</v>
      </c>
      <c r="D167" s="4" t="s">
        <v>120</v>
      </c>
      <c r="E167" s="4" t="s">
        <v>109</v>
      </c>
      <c r="F167" s="4">
        <v>945.98584846968902</v>
      </c>
      <c r="G167" s="5">
        <v>95.790284850000006</v>
      </c>
      <c r="H167" s="5">
        <v>17.809999999999999</v>
      </c>
      <c r="I167" s="5">
        <v>701</v>
      </c>
      <c r="J167" s="4" t="s">
        <v>122</v>
      </c>
    </row>
    <row r="168" spans="1:10" x14ac:dyDescent="0.25">
      <c r="A168" s="4">
        <f t="shared" ca="1" si="4"/>
        <v>165</v>
      </c>
      <c r="B168" s="4" t="s">
        <v>449</v>
      </c>
      <c r="C168" s="4" t="s">
        <v>450</v>
      </c>
      <c r="D168" s="4" t="s">
        <v>120</v>
      </c>
      <c r="E168" s="4" t="s">
        <v>109</v>
      </c>
      <c r="F168" s="4">
        <v>1000</v>
      </c>
      <c r="G168" s="5">
        <v>101.7363</v>
      </c>
      <c r="H168" s="5">
        <v>16.23</v>
      </c>
      <c r="I168" s="5">
        <v>876</v>
      </c>
      <c r="J168" s="4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2025-10-06T04:49:50Z</dcterms:created>
  <dcterms:modified xsi:type="dcterms:W3CDTF">2025-10-06T10:03:13Z</dcterms:modified>
</cp:coreProperties>
</file>