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606892C3-04CA-4E5F-956D-2CE3805F02E7}" xr6:coauthVersionLast="47" xr6:coauthVersionMax="47" xr10:uidLastSave="{00000000-0000-0000-0000-000000000000}"/>
  <bookViews>
    <workbookView xWindow="7470" yWindow="6600" windowWidth="21600" windowHeight="11295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B1" i="2"/>
  <c r="C72" i="1"/>
  <c r="G56" i="1"/>
  <c r="F56" i="1"/>
  <c r="E56" i="1"/>
  <c r="G45" i="1"/>
  <c r="F45" i="1"/>
  <c r="E45" i="1"/>
  <c r="M38" i="1"/>
  <c r="M40" i="1" s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10" i="1"/>
  <c r="M21" i="1"/>
  <c r="M18" i="1"/>
  <c r="M13" i="1"/>
  <c r="B47" i="1"/>
  <c r="M14" i="1"/>
  <c r="M22" i="1"/>
  <c r="M9" i="1"/>
  <c r="M17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<sst xmlns="http://schemas.openxmlformats.org/spreadsheetml/2006/main" count="1090" uniqueCount="489">
  <si>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</si>
  <si>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</si>
  <si>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</si>
  <si>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</si>
  <si>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</si>
  <si>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</si>
  <si>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</si>
  <si>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</si>
  <si>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</si>
  <si>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</si>
  <si>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</si>
  <si>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</si>
  <si>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</si>
  <si>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</si>
  <si>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</si>
  <si>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</si>
  <si>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</si>
  <si>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</si>
  <si>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</si>
  <si>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</si>
  <si>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</si>
  <si>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</si>
  <si>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</si>
  <si>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</si>
  <si>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</si>
  <si>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</si>
  <si>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</si>
  <si>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</si>
  <si>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</si>
  <si>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</si>
  <si>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</si>
  <si>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</si>
  <si>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</si>
  <si>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</si>
  <si>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</si>
  <si>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</si>
  <si>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</si>
  <si>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</si>
  <si>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</si>
  <si>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</si>
  <si>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</si>
  <si>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</si>
  <si>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</si>
  <si>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</si>
  <si>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</si>
  <si>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</si>
  <si>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</si>
  <si>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</si>
  <si>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</si>
  <si>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</si>
  <si>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</si>
  <si>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</si>
  <si>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</si>
  <si>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</si>
  <si>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</si>
  <si>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</si>
  <si>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</si>
  <si>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</si>
  <si>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</si>
  <si>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</si>
  <si>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</si>
  <si>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</si>
  <si>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</si>
  <si>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</si>
  <si>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</si>
  <si>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</si>
  <si>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</si>
  <si>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</si>
  <si>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</si>
  <si>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24.10.2025</t>
  </si>
  <si>
    <t>28.10.2025</t>
  </si>
  <si>
    <t>KZKD00001228</t>
  </si>
  <si>
    <t>KZK100000373</t>
  </si>
  <si>
    <t>29.10.2025</t>
  </si>
  <si>
    <t>АО "Казахстанский фонд устойчивости"</t>
  </si>
  <si>
    <t>KZ2C00007326</t>
  </si>
  <si>
    <t>KZ96601A861038102391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</si>
  <si>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</si>
  <si>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</si>
  <si>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</si>
  <si>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</si>
  <si>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</si>
  <si>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</si>
  <si>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</si>
  <si>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KZK200000687</t>
  </si>
  <si>
    <t>18.07.2024</t>
  </si>
  <si>
    <t>21.01.2026</t>
  </si>
  <si>
    <t>21.08.2025</t>
  </si>
  <si>
    <t>18.08.2026</t>
  </si>
  <si>
    <t>KZKD00001137</t>
  </si>
  <si>
    <t>12.04.2028</t>
  </si>
  <si>
    <t>KZKD00001251</t>
  </si>
  <si>
    <t>13.03.2025</t>
  </si>
  <si>
    <t>07.03.2030</t>
  </si>
  <si>
    <t>06.02.2026</t>
  </si>
  <si>
    <t>KZKD00001160</t>
  </si>
  <si>
    <t>28.07.2029</t>
  </si>
  <si>
    <t>KZKD00000949</t>
  </si>
  <si>
    <t>16.04.2032</t>
  </si>
  <si>
    <t>KZKD00001152</t>
  </si>
  <si>
    <t>26.07.2032</t>
  </si>
  <si>
    <t>KZKD00001087</t>
  </si>
  <si>
    <t>31.03.2029</t>
  </si>
  <si>
    <t>KZKD00000832</t>
  </si>
  <si>
    <t>29.01.2035</t>
  </si>
  <si>
    <t>KZK200000760</t>
  </si>
  <si>
    <t>14.08.2025</t>
  </si>
  <si>
    <t>07.08.2029</t>
  </si>
  <si>
    <t>KZKD00000741</t>
  </si>
  <si>
    <t>12.05.2034</t>
  </si>
  <si>
    <t>KZKD00000535</t>
  </si>
  <si>
    <t>27.03.2027</t>
  </si>
  <si>
    <t>KZKD00000477</t>
  </si>
  <si>
    <t>24.07.2025</t>
  </si>
  <si>
    <t>19.10.2027</t>
  </si>
  <si>
    <t>KZKD00001129</t>
  </si>
  <si>
    <t>17.03.2031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</si>
  <si>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</si>
  <si>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</si>
  <si>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</si>
  <si>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</si>
  <si>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</si>
  <si>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</si>
  <si>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</si>
  <si>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</si>
  <si>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</si>
  <si>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</si>
  <si>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</si>
  <si>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</si>
  <si>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</si>
  <si>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</si>
  <si>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</si>
  <si>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Облигации</t>
  </si>
  <si>
    <t>Чистая цена в %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</si>
  <si>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</si>
  <si>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</si>
  <si>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</si>
  <si>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</si>
  <si>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</si>
  <si>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</si>
  <si>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</si>
  <si>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</si>
  <si>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</si>
  <si>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</si>
  <si>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</si>
  <si>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</si>
  <si>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</si>
  <si>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</si>
  <si>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</si>
  <si>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</si>
  <si>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</si>
  <si>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</si>
  <si>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</si>
  <si>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</si>
  <si>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</si>
  <si>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</si>
  <si>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</si>
  <si>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</si>
  <si>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</si>
  <si>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</si>
  <si>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</si>
  <si>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</si>
  <si>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</si>
  <si>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</si>
  <si>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</si>
  <si>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</si>
  <si>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</si>
  <si>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</si>
  <si>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</si>
  <si>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</si>
  <si>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</si>
  <si>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</si>
  <si>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</si>
  <si>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</si>
  <si>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</si>
  <si>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</si>
  <si>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</si>
  <si>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</si>
  <si>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</si>
  <si>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</si>
  <si>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</si>
  <si>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</si>
  <si>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</si>
  <si>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</si>
  <si>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</si>
  <si>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</si>
  <si>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</si>
  <si>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</si>
  <si>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</si>
  <si>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</si>
  <si>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</si>
  <si>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</si>
  <si>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</si>
  <si>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MFOKb26</t>
  </si>
  <si>
    <t>KZ2C00013274</t>
  </si>
  <si>
    <t>MFMOb29</t>
  </si>
  <si>
    <t>KZ2P00014459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</si>
  <si>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</si>
  <si>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</si>
  <si>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</si>
  <si>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</si>
  <si>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</si>
  <si>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</si>
  <si>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</si>
  <si>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</si>
  <si>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</si>
  <si>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</si>
  <si>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</si>
  <si>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</si>
  <si>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</si>
  <si>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</si>
  <si>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</si>
  <si>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</si>
  <si>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</si>
  <si>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</si>
  <si>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</si>
  <si>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</si>
  <si>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</si>
  <si>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</si>
  <si>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</si>
  <si>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</si>
  <si>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</si>
  <si>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</si>
  <si>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</si>
  <si>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</si>
  <si>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</si>
  <si>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</si>
  <si>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</si>
  <si>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</si>
  <si>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</si>
  <si>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</si>
  <si>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MFMOb24</t>
  </si>
  <si>
    <t>KZ2P00013212</t>
  </si>
  <si>
    <t>MFMOb27</t>
  </si>
  <si>
    <t>KZ2P00013345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</si>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</sst>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6" workbookViewId="0">
      <selection activeCell="D48" sqref="D48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25781718271.906815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77</v>
      </c>
      <c r="B8" s="15" t="s">
        <v>78</v>
      </c>
      <c r="C8" s="16">
        <v>992234</v>
      </c>
      <c r="D8" s="17">
        <v>992234000</v>
      </c>
      <c r="E8" s="18">
        <v>14.3</v>
      </c>
      <c r="F8" s="19" t="s">
        <v>79</v>
      </c>
      <c r="G8" s="19" t="s">
        <v>80</v>
      </c>
      <c r="H8" s="18">
        <v>991722999.49000001</v>
      </c>
      <c r="I8" s="20">
        <v>97.079126810000005</v>
      </c>
      <c r="J8" s="20">
        <v>99.263826809999998</v>
      </c>
      <c r="K8" s="18">
        <v>21677556.69444444</v>
      </c>
      <c r="L8" s="18">
        <v>984929659.81237292</v>
      </c>
      <c r="M8" s="21">
        <f t="shared" ref="M8:M24" si="0">L8/$Q$1</f>
        <v>3.8202638374402173E-2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2469500</v>
      </c>
      <c r="D9" s="17">
        <v>2469500000</v>
      </c>
      <c r="E9" s="18">
        <v>7.68</v>
      </c>
      <c r="F9" s="19" t="s">
        <v>82</v>
      </c>
      <c r="G9" s="19" t="s">
        <v>83</v>
      </c>
      <c r="H9" s="18">
        <v>1827657194</v>
      </c>
      <c r="I9" s="20">
        <v>74.764499999999998</v>
      </c>
      <c r="J9" s="20">
        <v>76.364500000000007</v>
      </c>
      <c r="K9" s="18">
        <v>39512000</v>
      </c>
      <c r="L9" s="18">
        <v>1885821327.5</v>
      </c>
      <c r="M9" s="21">
        <f t="shared" si="0"/>
        <v>7.3145680501632629E-2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2530000</v>
      </c>
      <c r="D10" s="17">
        <v>2530000000</v>
      </c>
      <c r="E10" s="18">
        <v>10.67</v>
      </c>
      <c r="F10" s="19" t="s">
        <v>85</v>
      </c>
      <c r="G10" s="19" t="s">
        <v>86</v>
      </c>
      <c r="H10" s="18">
        <v>2455119589.9966769</v>
      </c>
      <c r="I10" s="20">
        <v>98.629600000000011</v>
      </c>
      <c r="J10" s="20">
        <v>101.50460000000001</v>
      </c>
      <c r="K10" s="18">
        <v>72736797.222222224</v>
      </c>
      <c r="L10" s="18">
        <v>2568065677.2222219</v>
      </c>
      <c r="M10" s="21">
        <f t="shared" si="0"/>
        <v>9.9608010999814867E-2</v>
      </c>
      <c r="O10" s="10">
        <v>749863.88888888899</v>
      </c>
    </row>
    <row r="11" spans="1:17" x14ac:dyDescent="0.2">
      <c r="A11" s="15" t="s">
        <v>66</v>
      </c>
      <c r="B11" s="15" t="s">
        <v>67</v>
      </c>
      <c r="C11" s="16">
        <v>1106600</v>
      </c>
      <c r="D11" s="17">
        <v>1106600000</v>
      </c>
      <c r="E11" s="18">
        <v>5.5</v>
      </c>
      <c r="F11" s="19" t="s">
        <v>87</v>
      </c>
      <c r="G11" s="19" t="s">
        <v>88</v>
      </c>
      <c r="H11" s="18">
        <v>999478906.79999995</v>
      </c>
      <c r="I11" s="20">
        <v>91.561700000000002</v>
      </c>
      <c r="J11" s="20">
        <v>92.631100000000004</v>
      </c>
      <c r="K11" s="18">
        <v>11834472.222222222</v>
      </c>
      <c r="L11" s="18">
        <v>1025056244.4222221</v>
      </c>
      <c r="M11" s="21">
        <f t="shared" si="0"/>
        <v>3.9759035205158534E-2</v>
      </c>
      <c r="O11" s="10">
        <v>749863.88888888899</v>
      </c>
    </row>
    <row r="12" spans="1:17" x14ac:dyDescent="0.2">
      <c r="A12" s="15" t="s">
        <v>66</v>
      </c>
      <c r="B12" s="15" t="s">
        <v>89</v>
      </c>
      <c r="C12" s="16">
        <v>1897500</v>
      </c>
      <c r="D12" s="17">
        <v>1897500000</v>
      </c>
      <c r="E12" s="18">
        <v>10.4</v>
      </c>
      <c r="F12" s="19" t="s">
        <v>85</v>
      </c>
      <c r="G12" s="19" t="s">
        <v>90</v>
      </c>
      <c r="H12" s="18">
        <v>1736743800</v>
      </c>
      <c r="I12" s="20">
        <v>86.581900000000005</v>
      </c>
      <c r="J12" s="20">
        <v>92.244100000000003</v>
      </c>
      <c r="K12" s="18">
        <v>107440666.666667</v>
      </c>
      <c r="L12" s="18">
        <v>1750332219.166666</v>
      </c>
      <c r="M12" s="21">
        <f t="shared" si="0"/>
        <v>6.7890440842879152E-2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550000</v>
      </c>
      <c r="D13" s="17">
        <v>550000000</v>
      </c>
      <c r="E13" s="18">
        <v>12</v>
      </c>
      <c r="F13" s="19" t="s">
        <v>92</v>
      </c>
      <c r="G13" s="19" t="s">
        <v>93</v>
      </c>
      <c r="H13" s="18">
        <v>491343050</v>
      </c>
      <c r="I13" s="20">
        <v>84.748100000000008</v>
      </c>
      <c r="J13" s="20">
        <v>92.448100000000011</v>
      </c>
      <c r="K13" s="18">
        <v>42349999.999999993</v>
      </c>
      <c r="L13" s="18">
        <v>508464550</v>
      </c>
      <c r="M13" s="21">
        <f t="shared" si="0"/>
        <v>1.9721903119003945E-2</v>
      </c>
      <c r="O13" s="10">
        <v>749863.88888888899</v>
      </c>
    </row>
    <row r="14" spans="1:17" x14ac:dyDescent="0.2">
      <c r="A14" s="15" t="s">
        <v>66</v>
      </c>
      <c r="B14" s="15" t="s">
        <v>72</v>
      </c>
      <c r="C14" s="16">
        <v>11424000</v>
      </c>
      <c r="D14" s="17">
        <v>1142400000</v>
      </c>
      <c r="E14" s="18">
        <v>0</v>
      </c>
      <c r="F14" s="19" t="s">
        <v>92</v>
      </c>
      <c r="G14" s="19" t="s">
        <v>94</v>
      </c>
      <c r="H14" s="18">
        <v>1003902278.4</v>
      </c>
      <c r="I14" s="20">
        <v>95.686199999999999</v>
      </c>
      <c r="J14" s="20">
        <v>95.686199999999999</v>
      </c>
      <c r="K14" s="18"/>
      <c r="L14" s="18">
        <v>1093119148.8</v>
      </c>
      <c r="M14" s="21">
        <f t="shared" si="0"/>
        <v>4.2399002939657558E-2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10.55</v>
      </c>
      <c r="F15" s="19" t="s">
        <v>85</v>
      </c>
      <c r="G15" s="19" t="s">
        <v>96</v>
      </c>
      <c r="H15" s="18">
        <v>1708326839.9966669</v>
      </c>
      <c r="I15" s="20">
        <v>82.382600000000011</v>
      </c>
      <c r="J15" s="20">
        <v>85.020099999999999</v>
      </c>
      <c r="K15" s="18">
        <v>50046562.5</v>
      </c>
      <c r="L15" s="18">
        <v>1613256397.5</v>
      </c>
      <c r="M15" s="21">
        <f t="shared" si="0"/>
        <v>6.2573657057524101E-2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1897500</v>
      </c>
      <c r="D16" s="17">
        <v>1897500000</v>
      </c>
      <c r="E16" s="18">
        <v>8.4499999999999993</v>
      </c>
      <c r="F16" s="19" t="s">
        <v>85</v>
      </c>
      <c r="G16" s="19" t="s">
        <v>98</v>
      </c>
      <c r="H16" s="18">
        <v>1457889097.496666</v>
      </c>
      <c r="I16" s="20">
        <v>67.828400000000002</v>
      </c>
      <c r="J16" s="20">
        <v>72.335099999999997</v>
      </c>
      <c r="K16" s="18">
        <v>85514000</v>
      </c>
      <c r="L16" s="18">
        <v>1372557890</v>
      </c>
      <c r="M16" s="21">
        <f t="shared" si="0"/>
        <v>5.3237642096788211E-2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1897500</v>
      </c>
      <c r="D17" s="17">
        <v>1897500000</v>
      </c>
      <c r="E17" s="18">
        <v>10.65</v>
      </c>
      <c r="F17" s="19" t="s">
        <v>85</v>
      </c>
      <c r="G17" s="19" t="s">
        <v>100</v>
      </c>
      <c r="H17" s="18">
        <v>1648500562.5</v>
      </c>
      <c r="I17" s="20">
        <v>75.541600000000003</v>
      </c>
      <c r="J17" s="20">
        <v>78.263300000000001</v>
      </c>
      <c r="K17" s="18">
        <v>51643625</v>
      </c>
      <c r="L17" s="18">
        <v>1485045485</v>
      </c>
      <c r="M17" s="21">
        <f t="shared" si="0"/>
        <v>5.7600718049044375E-2</v>
      </c>
      <c r="O17" s="10">
        <v>749863.88888888899</v>
      </c>
    </row>
    <row r="18" spans="1:15" x14ac:dyDescent="0.2">
      <c r="A18" s="15" t="s">
        <v>66</v>
      </c>
      <c r="B18" s="15" t="s">
        <v>101</v>
      </c>
      <c r="C18" s="16">
        <v>1897500</v>
      </c>
      <c r="D18" s="17">
        <v>1897500000</v>
      </c>
      <c r="E18" s="18">
        <v>11</v>
      </c>
      <c r="F18" s="19" t="s">
        <v>85</v>
      </c>
      <c r="G18" s="19" t="s">
        <v>102</v>
      </c>
      <c r="H18" s="18">
        <v>1743261712.5</v>
      </c>
      <c r="I18" s="20">
        <v>84.434700000000007</v>
      </c>
      <c r="J18" s="20">
        <v>90.790300000000002</v>
      </c>
      <c r="K18" s="18">
        <v>120596666.666667</v>
      </c>
      <c r="L18" s="18">
        <v>1722745099.166666</v>
      </c>
      <c r="M18" s="21">
        <f t="shared" si="0"/>
        <v>6.6820414411395704E-2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1897500</v>
      </c>
      <c r="D19" s="17">
        <v>1897500000</v>
      </c>
      <c r="E19" s="18">
        <v>8.07</v>
      </c>
      <c r="F19" s="19" t="s">
        <v>85</v>
      </c>
      <c r="G19" s="19" t="s">
        <v>104</v>
      </c>
      <c r="H19" s="18">
        <v>1338524962.5</v>
      </c>
      <c r="I19" s="20">
        <v>60.099700000000006</v>
      </c>
      <c r="J19" s="20">
        <v>66.129800000000003</v>
      </c>
      <c r="K19" s="18">
        <v>114420831.25</v>
      </c>
      <c r="L19" s="18">
        <v>1254812638.75</v>
      </c>
      <c r="M19" s="21">
        <f t="shared" si="0"/>
        <v>4.867063651522844E-2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897100</v>
      </c>
      <c r="D20" s="17">
        <v>897100000</v>
      </c>
      <c r="E20" s="18">
        <v>17.010000000000002</v>
      </c>
      <c r="F20" s="19" t="s">
        <v>106</v>
      </c>
      <c r="G20" s="19" t="s">
        <v>107</v>
      </c>
      <c r="H20" s="18">
        <v>896985171.20000005</v>
      </c>
      <c r="I20" s="20">
        <v>101.03740000000001</v>
      </c>
      <c r="J20" s="20">
        <v>104.8647</v>
      </c>
      <c r="K20" s="18">
        <v>34334259.75</v>
      </c>
      <c r="L20" s="18">
        <v>940740775.14999998</v>
      </c>
      <c r="M20" s="21">
        <f t="shared" si="0"/>
        <v>3.6488676403507329E-2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1897500</v>
      </c>
      <c r="D21" s="17">
        <v>1897500000</v>
      </c>
      <c r="E21" s="18">
        <v>8.07</v>
      </c>
      <c r="F21" s="19" t="s">
        <v>85</v>
      </c>
      <c r="G21" s="19" t="s">
        <v>109</v>
      </c>
      <c r="H21" s="18">
        <v>1359122325</v>
      </c>
      <c r="I21" s="20">
        <v>61.474700000000006</v>
      </c>
      <c r="J21" s="20">
        <v>65.195900000000009</v>
      </c>
      <c r="K21" s="18">
        <v>70609137.5</v>
      </c>
      <c r="L21" s="18">
        <v>1237091570</v>
      </c>
      <c r="M21" s="21">
        <f t="shared" si="0"/>
        <v>4.7983286333091436E-2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3162500</v>
      </c>
      <c r="D22" s="17">
        <v>3162500000</v>
      </c>
      <c r="E22" s="18">
        <v>5.49</v>
      </c>
      <c r="F22" s="19" t="s">
        <v>85</v>
      </c>
      <c r="G22" s="19" t="s">
        <v>111</v>
      </c>
      <c r="H22" s="18">
        <v>2627740225</v>
      </c>
      <c r="I22" s="20">
        <v>85.862300000000005</v>
      </c>
      <c r="J22" s="20">
        <v>89.080100000000002</v>
      </c>
      <c r="K22" s="18">
        <v>101761343.75</v>
      </c>
      <c r="L22" s="18">
        <v>2817156581.25</v>
      </c>
      <c r="M22" s="21">
        <f t="shared" si="0"/>
        <v>0.10926954330734928</v>
      </c>
      <c r="O22" s="10">
        <v>749863.88888888899</v>
      </c>
    </row>
    <row r="23" spans="1:15" x14ac:dyDescent="0.2">
      <c r="A23" s="15" t="s">
        <v>66</v>
      </c>
      <c r="B23" s="15" t="s">
        <v>112</v>
      </c>
      <c r="C23" s="16">
        <v>2391500</v>
      </c>
      <c r="D23" s="17">
        <v>2391500000</v>
      </c>
      <c r="E23" s="18">
        <v>5.3</v>
      </c>
      <c r="F23" s="19" t="s">
        <v>113</v>
      </c>
      <c r="G23" s="19" t="s">
        <v>114</v>
      </c>
      <c r="H23" s="18">
        <v>1903079172</v>
      </c>
      <c r="I23" s="20">
        <v>80.933599999999998</v>
      </c>
      <c r="J23" s="20">
        <v>81.066100000000006</v>
      </c>
      <c r="K23" s="18">
        <v>3168737.5</v>
      </c>
      <c r="L23" s="18">
        <v>1938695781.499999</v>
      </c>
      <c r="M23" s="21">
        <f t="shared" si="0"/>
        <v>7.519653116419743E-2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1897500</v>
      </c>
      <c r="D24" s="17">
        <v>1897500000</v>
      </c>
      <c r="E24" s="18">
        <v>10.3</v>
      </c>
      <c r="F24" s="19" t="s">
        <v>85</v>
      </c>
      <c r="G24" s="19" t="s">
        <v>116</v>
      </c>
      <c r="H24" s="18">
        <v>1645329839.996666</v>
      </c>
      <c r="I24" s="20">
        <v>77.146100000000004</v>
      </c>
      <c r="J24" s="20">
        <v>83.469200000000001</v>
      </c>
      <c r="K24" s="18">
        <v>119979979.166667</v>
      </c>
      <c r="L24" s="18">
        <v>1583827226.666666</v>
      </c>
      <c r="M24" s="21">
        <f t="shared" si="0"/>
        <v>6.143218267932482E-2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1047626635.8888899</v>
      </c>
      <c r="L26" s="23">
        <f>SUM(L8:L25)</f>
        <v>25781718271.906815</v>
      </c>
      <c r="M26" s="26">
        <f>SUM(M8:M25)</f>
        <v>1</v>
      </c>
      <c r="N26" s="9">
        <v>25781718271.906818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135994.92000000001</v>
      </c>
    </row>
    <row r="30" spans="1:15" x14ac:dyDescent="0.2">
      <c r="A30" s="29" t="s">
        <v>76</v>
      </c>
      <c r="B30" s="30">
        <v>135994.92000000001</v>
      </c>
      <c r="C30" s="62">
        <v>135994.98000000001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2424762</v>
      </c>
      <c r="D35" s="32" t="s">
        <v>68</v>
      </c>
      <c r="E35" s="34" t="s">
        <v>69</v>
      </c>
      <c r="F35" s="34" t="s">
        <v>70</v>
      </c>
      <c r="G35" s="35">
        <v>924.2869999983501</v>
      </c>
      <c r="H35" s="35">
        <f>J35/C35</f>
        <v>926.00997225707101</v>
      </c>
      <c r="I35" s="36">
        <v>2241175994.6899991</v>
      </c>
      <c r="J35" s="36">
        <v>2245353792.3499999</v>
      </c>
      <c r="K35" s="37">
        <v>17.010000000000002</v>
      </c>
      <c r="L35" s="37">
        <v>4177797.66</v>
      </c>
      <c r="M35" s="31">
        <f>I35+L35</f>
        <v>2245353792.349999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14686</v>
      </c>
      <c r="D36" s="32" t="s">
        <v>68</v>
      </c>
      <c r="E36" s="34" t="s">
        <v>69</v>
      </c>
      <c r="F36" s="34" t="s">
        <v>70</v>
      </c>
      <c r="G36" s="35">
        <v>953.8950000000001</v>
      </c>
      <c r="H36" s="35">
        <f>J36/C36</f>
        <v>955.67211970584231</v>
      </c>
      <c r="I36" s="36">
        <v>14008901.970000001</v>
      </c>
      <c r="J36" s="36">
        <v>14035000.75</v>
      </c>
      <c r="K36" s="37">
        <v>17</v>
      </c>
      <c r="L36" s="37">
        <v>26098.78</v>
      </c>
      <c r="M36" s="31">
        <f>I36+L36</f>
        <v>14035000.75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146314</v>
      </c>
      <c r="D37" s="32" t="s">
        <v>68</v>
      </c>
      <c r="E37" s="34" t="s">
        <v>70</v>
      </c>
      <c r="F37" s="34" t="s">
        <v>73</v>
      </c>
      <c r="G37" s="35">
        <v>95.686200021870775</v>
      </c>
      <c r="H37" s="35">
        <f>J37/C37</f>
        <v>95.731159424251942</v>
      </c>
      <c r="I37" s="36">
        <v>14000230.67</v>
      </c>
      <c r="J37" s="36">
        <v>14006808.859999999</v>
      </c>
      <c r="K37" s="37">
        <v>17.150000000000002</v>
      </c>
      <c r="L37" s="37"/>
      <c r="M37" s="31">
        <f>I37+L37</f>
        <v>14000230.67</v>
      </c>
      <c r="N37" s="10"/>
      <c r="O37" s="9"/>
      <c r="Q37" s="9">
        <v>1</v>
      </c>
    </row>
    <row r="38" spans="1:17" x14ac:dyDescent="0.2">
      <c r="A38" s="32" t="s">
        <v>74</v>
      </c>
      <c r="B38" s="32" t="s">
        <v>75</v>
      </c>
      <c r="C38" s="33">
        <v>2330310</v>
      </c>
      <c r="D38" s="32" t="s">
        <v>68</v>
      </c>
      <c r="E38" s="34" t="s">
        <v>70</v>
      </c>
      <c r="F38" s="34" t="s">
        <v>73</v>
      </c>
      <c r="G38" s="35">
        <v>963.69400000000007</v>
      </c>
      <c r="H38" s="35">
        <f>J38/C38</f>
        <v>964.14548667773818</v>
      </c>
      <c r="I38" s="36">
        <v>2245705765.1399999</v>
      </c>
      <c r="J38" s="36">
        <v>2246757869.0599999</v>
      </c>
      <c r="K38" s="37">
        <v>17.100100000000001</v>
      </c>
      <c r="L38" s="37"/>
      <c r="M38" s="31">
        <f>I38+L38</f>
        <v>2245705765.1399999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2259705995.8099999</v>
      </c>
      <c r="N40" s="65">
        <v>2259705995.8099999</v>
      </c>
      <c r="O40" s="66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L26+M40+B29</f>
        <v>28041560262.636814</v>
      </c>
      <c r="C47" s="62">
        <v>28041560262.696819</v>
      </c>
      <c r="D47" s="62">
        <f>__mdDATAItogoActive__-C47</f>
        <v>-6.000518798828125E-2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-2.56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59000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396414.68</v>
      </c>
      <c r="D66" s="24"/>
      <c r="F66" s="54"/>
      <c r="O66" s="9"/>
    </row>
    <row r="67" spans="1:15" x14ac:dyDescent="0.2">
      <c r="A67" s="24">
        <v>6</v>
      </c>
      <c r="B67" s="55" t="s">
        <v>58</v>
      </c>
      <c r="C67" s="57">
        <v>180991.69</v>
      </c>
      <c r="D67" s="57"/>
      <c r="O67" s="9"/>
    </row>
    <row r="68" spans="1:15" x14ac:dyDescent="0.2">
      <c r="A68" s="24">
        <v>7</v>
      </c>
      <c r="B68" s="55" t="s">
        <v>59</v>
      </c>
      <c r="C68" s="57">
        <v>46043.96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G69" s="5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682447.77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6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28.10.2025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9455.44</v>
      </c>
      <c r="G4" s="5"/>
      <c r="H4" s="5"/>
      <c r="I4" s="5"/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119</v>
      </c>
      <c r="E5" s="4" t="s">
        <v>124</v>
      </c>
      <c r="F5" s="4">
        <v>1445.28</v>
      </c>
      <c r="G5" s="5"/>
      <c r="H5" s="5"/>
      <c r="I5" s="5"/>
      <c r="J5" s="4" t="s">
        <v>121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119</v>
      </c>
      <c r="E6" s="4" t="s">
        <v>127</v>
      </c>
      <c r="F6" s="4">
        <v>591863.07000000007</v>
      </c>
      <c r="G6" s="5"/>
      <c r="H6" s="5"/>
      <c r="I6" s="5"/>
      <c r="J6" s="4" t="s">
        <v>121</v>
      </c>
    </row>
    <row r="7" spans="1:10" x14ac:dyDescent="0.25">
      <c r="A7" s="4">
        <f t="shared" ca="1" si="0"/>
        <v>4</v>
      </c>
      <c r="B7" s="4" t="s">
        <v>128</v>
      </c>
      <c r="C7" s="4" t="s">
        <v>129</v>
      </c>
      <c r="D7" s="4" t="s">
        <v>119</v>
      </c>
      <c r="E7" s="4" t="s">
        <v>127</v>
      </c>
      <c r="F7" s="4">
        <v>6301.35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132</v>
      </c>
      <c r="E8" s="4" t="s">
        <v>127</v>
      </c>
      <c r="F8" s="4">
        <v>0.94900599999999991</v>
      </c>
      <c r="G8" s="5">
        <v>95.044300000000007</v>
      </c>
      <c r="H8" s="5">
        <v>6.18</v>
      </c>
      <c r="I8" s="5">
        <v>7844</v>
      </c>
      <c r="J8" s="4" t="s">
        <v>133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119</v>
      </c>
      <c r="E9" s="4" t="s">
        <v>127</v>
      </c>
      <c r="F9" s="4">
        <v>168.74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119</v>
      </c>
      <c r="E10" s="4" t="s">
        <v>127</v>
      </c>
      <c r="F10" s="4">
        <v>5523.73</v>
      </c>
      <c r="G10" s="5"/>
      <c r="H10" s="5"/>
      <c r="I10" s="5"/>
      <c r="J10" s="4" t="s">
        <v>121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119</v>
      </c>
      <c r="E11" s="4" t="s">
        <v>127</v>
      </c>
      <c r="F11" s="4">
        <v>6069543.5700000003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119</v>
      </c>
      <c r="E12" s="4" t="s">
        <v>127</v>
      </c>
      <c r="F12" s="4">
        <v>130.32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132</v>
      </c>
      <c r="E13" s="4" t="s">
        <v>127</v>
      </c>
      <c r="F13" s="4">
        <v>0.90961700000000001</v>
      </c>
      <c r="G13" s="5">
        <v>91.097800000000007</v>
      </c>
      <c r="H13" s="5">
        <v>4.96</v>
      </c>
      <c r="I13" s="5">
        <v>2726</v>
      </c>
      <c r="J13" s="4" t="s">
        <v>133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119</v>
      </c>
      <c r="E14" s="4" t="s">
        <v>127</v>
      </c>
      <c r="F14" s="4">
        <v>1177.01</v>
      </c>
      <c r="G14" s="5"/>
      <c r="H14" s="5"/>
      <c r="I14" s="5"/>
      <c r="J14" s="4" t="s">
        <v>146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119</v>
      </c>
      <c r="E15" s="4" t="s">
        <v>127</v>
      </c>
      <c r="F15" s="4">
        <v>1067.54</v>
      </c>
      <c r="G15" s="5"/>
      <c r="H15" s="5"/>
      <c r="I15" s="5"/>
      <c r="J15" s="4" t="s">
        <v>146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119</v>
      </c>
      <c r="E16" s="4" t="s">
        <v>127</v>
      </c>
      <c r="F16" s="4">
        <v>1815731.25</v>
      </c>
      <c r="G16" s="5"/>
      <c r="H16" s="5"/>
      <c r="I16" s="5"/>
      <c r="J16" s="4" t="s">
        <v>121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119</v>
      </c>
      <c r="E17" s="4" t="s">
        <v>127</v>
      </c>
      <c r="F17" s="4">
        <v>74356.070000000007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119</v>
      </c>
      <c r="E18" s="4" t="s">
        <v>127</v>
      </c>
      <c r="F18" s="4">
        <v>75147.25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119</v>
      </c>
      <c r="E19" s="4" t="s">
        <v>127</v>
      </c>
      <c r="F19" s="4">
        <v>53618.89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119</v>
      </c>
      <c r="E20" s="4" t="s">
        <v>127</v>
      </c>
      <c r="F20" s="4">
        <v>7.16</v>
      </c>
      <c r="G20" s="5"/>
      <c r="H20" s="5"/>
      <c r="I20" s="5"/>
      <c r="J20" s="4" t="s">
        <v>121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132</v>
      </c>
      <c r="E21" s="4" t="s">
        <v>127</v>
      </c>
      <c r="F21" s="4">
        <v>1000</v>
      </c>
      <c r="G21" s="5">
        <v>107.81240000000001</v>
      </c>
      <c r="H21" s="5">
        <v>17.559999999999999</v>
      </c>
      <c r="I21" s="5">
        <v>1118</v>
      </c>
      <c r="J21" s="4" t="s">
        <v>133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132</v>
      </c>
      <c r="E22" s="4" t="s">
        <v>127</v>
      </c>
      <c r="F22" s="4">
        <v>1000.533</v>
      </c>
      <c r="G22" s="5">
        <v>100.9594</v>
      </c>
      <c r="H22" s="5">
        <v>21.99</v>
      </c>
      <c r="I22" s="5">
        <v>18</v>
      </c>
      <c r="J22" s="4" t="s">
        <v>133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132</v>
      </c>
      <c r="E23" s="4" t="s">
        <v>127</v>
      </c>
      <c r="F23" s="4">
        <v>1000</v>
      </c>
      <c r="G23" s="5">
        <v>100.67580000000001</v>
      </c>
      <c r="H23" s="5">
        <v>17.36</v>
      </c>
      <c r="I23" s="5">
        <v>717</v>
      </c>
      <c r="J23" s="4" t="s">
        <v>133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132</v>
      </c>
      <c r="E24" s="4" t="s">
        <v>127</v>
      </c>
      <c r="F24" s="4">
        <v>1000</v>
      </c>
      <c r="G24" s="5">
        <v>105.1853</v>
      </c>
      <c r="H24" s="5">
        <v>17.75</v>
      </c>
      <c r="I24" s="5">
        <v>1904</v>
      </c>
      <c r="J24" s="4" t="s">
        <v>133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132</v>
      </c>
      <c r="E25" s="4" t="s">
        <v>127</v>
      </c>
      <c r="F25" s="4">
        <v>1000</v>
      </c>
      <c r="G25" s="5">
        <v>102.7008</v>
      </c>
      <c r="H25" s="5">
        <v>17.650000000000002</v>
      </c>
      <c r="I25" s="5">
        <v>1588</v>
      </c>
      <c r="J25" s="4" t="s">
        <v>133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119</v>
      </c>
      <c r="E26" s="4" t="s">
        <v>127</v>
      </c>
      <c r="F26" s="4">
        <v>1504.13</v>
      </c>
      <c r="G26" s="5"/>
      <c r="H26" s="5"/>
      <c r="I26" s="5"/>
      <c r="J26" s="4" t="s">
        <v>121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132</v>
      </c>
      <c r="E27" s="4" t="s">
        <v>127</v>
      </c>
      <c r="F27" s="4">
        <v>496996.5</v>
      </c>
      <c r="G27" s="5">
        <v>99.911799999999999</v>
      </c>
      <c r="H27" s="5">
        <v>21.4</v>
      </c>
      <c r="I27" s="5">
        <v>265</v>
      </c>
      <c r="J27" s="4" t="s">
        <v>133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132</v>
      </c>
      <c r="E28" s="4" t="s">
        <v>127</v>
      </c>
      <c r="F28" s="4">
        <v>828</v>
      </c>
      <c r="G28" s="5">
        <v>83.772199999999998</v>
      </c>
      <c r="H28" s="5">
        <v>44.68</v>
      </c>
      <c r="I28" s="5">
        <v>413</v>
      </c>
      <c r="J28" s="4" t="s">
        <v>133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132</v>
      </c>
      <c r="E29" s="4" t="s">
        <v>127</v>
      </c>
      <c r="F29" s="4">
        <v>499840</v>
      </c>
      <c r="G29" s="5">
        <v>102.65690000000001</v>
      </c>
      <c r="H29" s="5">
        <v>21.96</v>
      </c>
      <c r="I29" s="5">
        <v>48</v>
      </c>
      <c r="J29" s="4" t="s">
        <v>133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132</v>
      </c>
      <c r="E30" s="4" t="s">
        <v>127</v>
      </c>
      <c r="F30" s="4">
        <v>1012.1350000000001</v>
      </c>
      <c r="G30" s="5">
        <v>103.8857</v>
      </c>
      <c r="H30" s="5">
        <v>5.98</v>
      </c>
      <c r="I30" s="5">
        <v>946</v>
      </c>
      <c r="J30" s="4" t="s">
        <v>133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132</v>
      </c>
      <c r="E31" s="4" t="s">
        <v>127</v>
      </c>
      <c r="F31" s="4">
        <v>99.998900000000006</v>
      </c>
      <c r="G31" s="5">
        <v>100.2433</v>
      </c>
      <c r="H31" s="5">
        <v>11</v>
      </c>
      <c r="I31" s="5">
        <v>662</v>
      </c>
      <c r="J31" s="4" t="s">
        <v>133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132</v>
      </c>
      <c r="E32" s="4" t="s">
        <v>127</v>
      </c>
      <c r="F32" s="4">
        <v>101.9512</v>
      </c>
      <c r="G32" s="5">
        <v>105.65950000000001</v>
      </c>
      <c r="H32" s="5">
        <v>5.48</v>
      </c>
      <c r="I32" s="5">
        <v>369</v>
      </c>
      <c r="J32" s="4" t="s">
        <v>133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132</v>
      </c>
      <c r="E33" s="4" t="s">
        <v>127</v>
      </c>
      <c r="F33" s="4">
        <v>984.48300000000006</v>
      </c>
      <c r="G33" s="5">
        <v>106.97750000000001</v>
      </c>
      <c r="H33" s="5">
        <v>19.010000000000002</v>
      </c>
      <c r="I33" s="5">
        <v>369</v>
      </c>
      <c r="J33" s="4" t="s">
        <v>133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132</v>
      </c>
      <c r="E34" s="4" t="s">
        <v>127</v>
      </c>
      <c r="F34" s="4">
        <v>823.18200000000002</v>
      </c>
      <c r="G34" s="5">
        <v>83.051500000000004</v>
      </c>
      <c r="H34" s="5">
        <v>37.17</v>
      </c>
      <c r="I34" s="5">
        <v>566</v>
      </c>
      <c r="J34" s="4" t="s">
        <v>133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132</v>
      </c>
      <c r="E35" s="4" t="s">
        <v>127</v>
      </c>
      <c r="F35" s="4">
        <v>86.02</v>
      </c>
      <c r="G35" s="5">
        <v>86.42</v>
      </c>
      <c r="H35" s="5">
        <v>22.79</v>
      </c>
      <c r="I35" s="5">
        <v>566</v>
      </c>
      <c r="J35" s="4" t="s">
        <v>133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132</v>
      </c>
      <c r="E36" s="4" t="s">
        <v>127</v>
      </c>
      <c r="F36" s="4">
        <v>494799.5</v>
      </c>
      <c r="G36" s="5">
        <v>99.71820000000001</v>
      </c>
      <c r="H36" s="5">
        <v>21.73</v>
      </c>
      <c r="I36" s="5">
        <v>626</v>
      </c>
      <c r="J36" s="4" t="s">
        <v>133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132</v>
      </c>
      <c r="E37" s="4" t="s">
        <v>127</v>
      </c>
      <c r="F37" s="4">
        <v>99.971299999999999</v>
      </c>
      <c r="G37" s="5">
        <v>101.62130000000001</v>
      </c>
      <c r="H37" s="5">
        <v>11</v>
      </c>
      <c r="I37" s="5">
        <v>312</v>
      </c>
      <c r="J37" s="4" t="s">
        <v>133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132</v>
      </c>
      <c r="E38" s="4" t="s">
        <v>127</v>
      </c>
      <c r="F38" s="4">
        <v>877.88200000000006</v>
      </c>
      <c r="G38" s="5">
        <v>88.27</v>
      </c>
      <c r="H38" s="5">
        <v>28.29</v>
      </c>
      <c r="I38" s="5">
        <v>967</v>
      </c>
      <c r="J38" s="4" t="s">
        <v>133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132</v>
      </c>
      <c r="E39" s="4" t="s">
        <v>127</v>
      </c>
      <c r="F39" s="4">
        <v>999.99</v>
      </c>
      <c r="G39" s="5">
        <v>101.3434</v>
      </c>
      <c r="H39" s="5">
        <v>22</v>
      </c>
      <c r="I39" s="5">
        <v>709</v>
      </c>
      <c r="J39" s="4" t="s">
        <v>133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132</v>
      </c>
      <c r="E40" s="4" t="s">
        <v>127</v>
      </c>
      <c r="F40" s="4">
        <v>990.20800000000008</v>
      </c>
      <c r="G40" s="5">
        <v>100.53749999999999</v>
      </c>
      <c r="H40" s="5">
        <v>22.16</v>
      </c>
      <c r="I40" s="5">
        <v>340</v>
      </c>
      <c r="J40" s="4" t="s">
        <v>133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132</v>
      </c>
      <c r="E41" s="4" t="s">
        <v>127</v>
      </c>
      <c r="F41" s="4">
        <v>965.02100000000007</v>
      </c>
      <c r="G41" s="5">
        <v>96.871500000000012</v>
      </c>
      <c r="H41" s="5">
        <v>23.02</v>
      </c>
      <c r="I41" s="5">
        <v>359</v>
      </c>
      <c r="J41" s="4" t="s">
        <v>133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132</v>
      </c>
      <c r="E42" s="4" t="s">
        <v>127</v>
      </c>
      <c r="F42" s="4">
        <v>958.43200000000002</v>
      </c>
      <c r="G42" s="5">
        <v>95.84320000000001</v>
      </c>
      <c r="H42" s="5">
        <v>21.34</v>
      </c>
      <c r="I42" s="5">
        <v>823</v>
      </c>
      <c r="J42" s="4" t="s">
        <v>133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132</v>
      </c>
      <c r="E43" s="4" t="s">
        <v>127</v>
      </c>
      <c r="F43" s="4">
        <v>1001.711</v>
      </c>
      <c r="G43" s="5">
        <v>101.1044</v>
      </c>
      <c r="H43" s="5">
        <v>20.91</v>
      </c>
      <c r="I43" s="5">
        <v>867</v>
      </c>
      <c r="J43" s="4" t="s">
        <v>133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132</v>
      </c>
      <c r="E44" s="4" t="s">
        <v>127</v>
      </c>
      <c r="F44" s="4">
        <v>1004.3620000000001</v>
      </c>
      <c r="G44" s="5">
        <v>108.50700000000001</v>
      </c>
      <c r="H44" s="5">
        <v>19.12</v>
      </c>
      <c r="I44" s="5">
        <v>579</v>
      </c>
      <c r="J44" s="4" t="s">
        <v>133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132</v>
      </c>
      <c r="E45" s="4" t="s">
        <v>127</v>
      </c>
      <c r="F45" s="4">
        <v>98.61</v>
      </c>
      <c r="G45" s="5">
        <v>98.887799999999999</v>
      </c>
      <c r="H45" s="5">
        <v>11.08</v>
      </c>
      <c r="I45" s="5">
        <v>507</v>
      </c>
      <c r="J45" s="4" t="s">
        <v>133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132</v>
      </c>
      <c r="E46" s="4" t="s">
        <v>127</v>
      </c>
      <c r="F46" s="4">
        <v>1000</v>
      </c>
      <c r="G46" s="5">
        <v>104.20070000000001</v>
      </c>
      <c r="H46" s="5">
        <v>17</v>
      </c>
      <c r="I46" s="5">
        <v>1372</v>
      </c>
      <c r="J46" s="4" t="s">
        <v>133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132</v>
      </c>
      <c r="E47" s="4" t="s">
        <v>127</v>
      </c>
      <c r="F47" s="4">
        <v>999.952</v>
      </c>
      <c r="G47" s="5">
        <v>100.32850000000001</v>
      </c>
      <c r="H47" s="5">
        <v>10</v>
      </c>
      <c r="I47" s="5">
        <v>354</v>
      </c>
      <c r="J47" s="4" t="s">
        <v>133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132</v>
      </c>
      <c r="E48" s="4" t="s">
        <v>127</v>
      </c>
      <c r="F48" s="4">
        <v>1003.0590000000001</v>
      </c>
      <c r="G48" s="5">
        <v>101.12310000000001</v>
      </c>
      <c r="H48" s="5">
        <v>22.42</v>
      </c>
      <c r="I48" s="5">
        <v>657</v>
      </c>
      <c r="J48" s="4" t="s">
        <v>133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132</v>
      </c>
      <c r="E49" s="4" t="s">
        <v>127</v>
      </c>
      <c r="F49" s="4">
        <v>987.18400000000008</v>
      </c>
      <c r="G49" s="5">
        <v>98.82950000000001</v>
      </c>
      <c r="H49" s="5">
        <v>22.76</v>
      </c>
      <c r="I49" s="5">
        <v>181</v>
      </c>
      <c r="J49" s="4" t="s">
        <v>133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132</v>
      </c>
      <c r="E50" s="4" t="s">
        <v>127</v>
      </c>
      <c r="F50" s="4">
        <v>1010.0060000000001</v>
      </c>
      <c r="G50" s="5">
        <v>102.75060000000001</v>
      </c>
      <c r="H50" s="5">
        <v>21.97</v>
      </c>
      <c r="I50" s="5">
        <v>886</v>
      </c>
      <c r="J50" s="4" t="s">
        <v>133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132</v>
      </c>
      <c r="E51" s="4" t="s">
        <v>127</v>
      </c>
      <c r="F51" s="4">
        <v>79.50500000000001</v>
      </c>
      <c r="G51" s="5">
        <v>80.6661</v>
      </c>
      <c r="H51" s="5">
        <v>81.05</v>
      </c>
      <c r="I51" s="5">
        <v>144</v>
      </c>
      <c r="J51" s="4" t="s">
        <v>133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119</v>
      </c>
      <c r="E52" s="4" t="s">
        <v>127</v>
      </c>
      <c r="F52" s="4">
        <v>101.25</v>
      </c>
      <c r="G52" s="5"/>
      <c r="H52" s="5"/>
      <c r="I52" s="5"/>
      <c r="J52" s="4" t="s">
        <v>146</v>
      </c>
    </row>
    <row r="53" spans="1:10" x14ac:dyDescent="0.25">
      <c r="A53" s="4">
        <f t="shared" ca="1" si="1"/>
        <v>50</v>
      </c>
      <c r="B53" s="4" t="s">
        <v>223</v>
      </c>
      <c r="C53" s="4" t="s">
        <v>224</v>
      </c>
      <c r="D53" s="4" t="s">
        <v>132</v>
      </c>
      <c r="E53" s="4" t="s">
        <v>127</v>
      </c>
      <c r="F53" s="4">
        <v>978.14200000000005</v>
      </c>
      <c r="G53" s="5">
        <v>97.8142</v>
      </c>
      <c r="H53" s="5">
        <v>22.18</v>
      </c>
      <c r="I53" s="5">
        <v>883</v>
      </c>
      <c r="J53" s="4" t="s">
        <v>133</v>
      </c>
    </row>
    <row r="54" spans="1:10" x14ac:dyDescent="0.25">
      <c r="A54" s="4">
        <f t="shared" ca="1" si="1"/>
        <v>51</v>
      </c>
      <c r="B54" s="4" t="s">
        <v>225</v>
      </c>
      <c r="C54" s="4" t="s">
        <v>226</v>
      </c>
      <c r="D54" s="4" t="s">
        <v>132</v>
      </c>
      <c r="E54" s="4" t="s">
        <v>127</v>
      </c>
      <c r="F54" s="4">
        <v>968.85300000000007</v>
      </c>
      <c r="G54" s="5">
        <v>97.00200000000001</v>
      </c>
      <c r="H54" s="5">
        <v>23.28</v>
      </c>
      <c r="I54" s="5">
        <v>607</v>
      </c>
      <c r="J54" s="4" t="s">
        <v>133</v>
      </c>
    </row>
    <row r="55" spans="1:10" x14ac:dyDescent="0.25">
      <c r="A55" s="4">
        <f t="shared" ca="1" si="1"/>
        <v>52</v>
      </c>
      <c r="B55" s="4" t="s">
        <v>227</v>
      </c>
      <c r="C55" s="4" t="s">
        <v>228</v>
      </c>
      <c r="D55" s="4" t="s">
        <v>132</v>
      </c>
      <c r="E55" s="4" t="s">
        <v>127</v>
      </c>
      <c r="F55" s="4">
        <v>1004.211</v>
      </c>
      <c r="G55" s="5">
        <v>100.7878</v>
      </c>
      <c r="H55" s="5">
        <v>21.7</v>
      </c>
      <c r="I55" s="5">
        <v>633</v>
      </c>
      <c r="J55" s="4" t="s">
        <v>133</v>
      </c>
    </row>
    <row r="56" spans="1:10" x14ac:dyDescent="0.25">
      <c r="A56" s="4">
        <f t="shared" ca="1" si="1"/>
        <v>53</v>
      </c>
      <c r="B56" s="4" t="s">
        <v>229</v>
      </c>
      <c r="C56" s="4" t="s">
        <v>230</v>
      </c>
      <c r="D56" s="4" t="s">
        <v>132</v>
      </c>
      <c r="E56" s="4" t="s">
        <v>127</v>
      </c>
      <c r="F56" s="4">
        <v>769.6</v>
      </c>
      <c r="G56" s="5">
        <v>78.365600000000001</v>
      </c>
      <c r="H56" s="5">
        <v>127.46</v>
      </c>
      <c r="I56" s="5">
        <v>102</v>
      </c>
      <c r="J56" s="4" t="s">
        <v>133</v>
      </c>
    </row>
    <row r="57" spans="1:10" x14ac:dyDescent="0.25">
      <c r="A57" s="4">
        <f t="shared" ca="1" si="1"/>
        <v>54</v>
      </c>
      <c r="B57" s="4" t="s">
        <v>231</v>
      </c>
      <c r="C57" s="4" t="s">
        <v>232</v>
      </c>
      <c r="D57" s="4" t="s">
        <v>132</v>
      </c>
      <c r="E57" s="4" t="s">
        <v>127</v>
      </c>
      <c r="F57" s="4">
        <v>989.02700000000004</v>
      </c>
      <c r="G57" s="5">
        <v>100.49160000000001</v>
      </c>
      <c r="H57" s="5">
        <v>22.79</v>
      </c>
      <c r="I57" s="5">
        <v>613</v>
      </c>
      <c r="J57" s="4" t="s">
        <v>133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132</v>
      </c>
      <c r="E58" s="4" t="s">
        <v>127</v>
      </c>
      <c r="F58" s="4">
        <v>99.998800000000003</v>
      </c>
      <c r="G58" s="5">
        <v>100.83210000000001</v>
      </c>
      <c r="H58" s="5">
        <v>12</v>
      </c>
      <c r="I58" s="5">
        <v>614</v>
      </c>
      <c r="J58" s="4" t="s">
        <v>133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132</v>
      </c>
      <c r="E59" s="4" t="s">
        <v>127</v>
      </c>
      <c r="F59" s="4">
        <v>985.803</v>
      </c>
      <c r="G59" s="5">
        <v>106.55249999999999</v>
      </c>
      <c r="H59" s="5">
        <v>19.03</v>
      </c>
      <c r="I59" s="5">
        <v>383</v>
      </c>
      <c r="J59" s="4" t="s">
        <v>133</v>
      </c>
    </row>
    <row r="60" spans="1:10" x14ac:dyDescent="0.25">
      <c r="A60" s="4">
        <f t="shared" ca="1" si="1"/>
        <v>57</v>
      </c>
      <c r="B60" s="4" t="s">
        <v>237</v>
      </c>
      <c r="C60" s="4" t="s">
        <v>238</v>
      </c>
      <c r="D60" s="4" t="s">
        <v>132</v>
      </c>
      <c r="E60" s="4" t="s">
        <v>127</v>
      </c>
      <c r="F60" s="4">
        <v>9.9151000000000007</v>
      </c>
      <c r="G60" s="5">
        <v>99.623200000000011</v>
      </c>
      <c r="H60" s="5">
        <v>10.5</v>
      </c>
      <c r="I60" s="5">
        <v>684</v>
      </c>
      <c r="J60" s="4" t="s">
        <v>133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132</v>
      </c>
      <c r="E61" s="4" t="s">
        <v>127</v>
      </c>
      <c r="F61" s="4">
        <v>958.78300000000002</v>
      </c>
      <c r="G61" s="5">
        <v>95.995000000000005</v>
      </c>
      <c r="H61" s="5">
        <v>23.09</v>
      </c>
      <c r="I61" s="5">
        <v>973</v>
      </c>
      <c r="J61" s="4" t="s">
        <v>133</v>
      </c>
    </row>
    <row r="62" spans="1:10" x14ac:dyDescent="0.25">
      <c r="A62" s="4">
        <f t="shared" ca="1" si="1"/>
        <v>59</v>
      </c>
      <c r="B62" s="4" t="s">
        <v>241</v>
      </c>
      <c r="C62" s="4" t="s">
        <v>242</v>
      </c>
      <c r="D62" s="4" t="s">
        <v>132</v>
      </c>
      <c r="E62" s="4" t="s">
        <v>127</v>
      </c>
      <c r="F62" s="4">
        <v>1003.207</v>
      </c>
      <c r="G62" s="5">
        <v>102.5985</v>
      </c>
      <c r="H62" s="5">
        <v>20.23</v>
      </c>
      <c r="I62" s="5">
        <v>691</v>
      </c>
      <c r="J62" s="4" t="s">
        <v>133</v>
      </c>
    </row>
    <row r="63" spans="1:10" x14ac:dyDescent="0.25">
      <c r="A63" s="4">
        <f t="shared" ca="1" si="1"/>
        <v>60</v>
      </c>
      <c r="B63" s="4" t="s">
        <v>243</v>
      </c>
      <c r="C63" s="4" t="s">
        <v>244</v>
      </c>
      <c r="D63" s="4" t="s">
        <v>119</v>
      </c>
      <c r="E63" s="4" t="s">
        <v>245</v>
      </c>
      <c r="F63" s="4">
        <v>39224.92</v>
      </c>
      <c r="G63" s="5"/>
      <c r="H63" s="5"/>
      <c r="I63" s="5"/>
      <c r="J63" s="4" t="s">
        <v>121</v>
      </c>
    </row>
    <row r="64" spans="1:10" x14ac:dyDescent="0.25">
      <c r="A64" s="4">
        <f t="shared" ca="1" si="1"/>
        <v>61</v>
      </c>
      <c r="B64" s="4" t="s">
        <v>246</v>
      </c>
      <c r="C64" s="4" t="s">
        <v>247</v>
      </c>
      <c r="D64" s="4" t="s">
        <v>119</v>
      </c>
      <c r="E64" s="4" t="s">
        <v>245</v>
      </c>
      <c r="F64" s="4">
        <v>30244.95</v>
      </c>
      <c r="G64" s="5"/>
      <c r="H64" s="5"/>
      <c r="I64" s="5"/>
      <c r="J64" s="4" t="s">
        <v>121</v>
      </c>
    </row>
    <row r="65" spans="1:10" x14ac:dyDescent="0.25">
      <c r="A65" s="4">
        <f t="shared" ca="1" si="1"/>
        <v>62</v>
      </c>
      <c r="B65" s="4" t="s">
        <v>248</v>
      </c>
      <c r="C65" s="4" t="s">
        <v>249</v>
      </c>
      <c r="D65" s="4" t="s">
        <v>132</v>
      </c>
      <c r="E65" s="4" t="s">
        <v>250</v>
      </c>
      <c r="F65" s="4">
        <v>16513.5</v>
      </c>
      <c r="G65" s="5">
        <v>1651.35</v>
      </c>
      <c r="H65" s="5"/>
      <c r="I65" s="5">
        <v>150</v>
      </c>
      <c r="J65" s="4" t="s">
        <v>133</v>
      </c>
    </row>
    <row r="66" spans="1:10" x14ac:dyDescent="0.25">
      <c r="A66" s="4">
        <f t="shared" ca="1" si="1"/>
        <v>63</v>
      </c>
      <c r="B66" s="4" t="s">
        <v>251</v>
      </c>
      <c r="C66" s="4" t="s">
        <v>252</v>
      </c>
      <c r="D66" s="4" t="s">
        <v>119</v>
      </c>
      <c r="E66" s="4" t="s">
        <v>253</v>
      </c>
      <c r="F66" s="4">
        <v>21973.61</v>
      </c>
      <c r="G66" s="5"/>
      <c r="H66" s="5"/>
      <c r="I66" s="5"/>
      <c r="J66" s="4" t="s">
        <v>121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132</v>
      </c>
      <c r="E67" s="4" t="s">
        <v>253</v>
      </c>
      <c r="F67" s="4">
        <v>1.0175799999999999</v>
      </c>
      <c r="G67" s="5">
        <v>101.8177</v>
      </c>
      <c r="H67" s="5">
        <v>4.93</v>
      </c>
      <c r="I67" s="5">
        <v>1640</v>
      </c>
      <c r="J67" s="4" t="s">
        <v>133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132</v>
      </c>
      <c r="E68" s="4" t="s">
        <v>253</v>
      </c>
      <c r="F68" s="4">
        <v>1009.0680000000001</v>
      </c>
      <c r="G68" s="5">
        <v>100.97760000000001</v>
      </c>
      <c r="H68" s="5">
        <v>6.3</v>
      </c>
      <c r="I68" s="5">
        <v>8398</v>
      </c>
      <c r="J68" s="4" t="s">
        <v>133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119</v>
      </c>
      <c r="E69" s="4" t="s">
        <v>260</v>
      </c>
      <c r="F69" s="4">
        <v>3387.25</v>
      </c>
      <c r="G69" s="5"/>
      <c r="H69" s="5"/>
      <c r="I69" s="5"/>
      <c r="J69" s="4" t="s">
        <v>121</v>
      </c>
    </row>
    <row r="70" spans="1:10" x14ac:dyDescent="0.25">
      <c r="A70" s="4">
        <f t="shared" ca="1" si="2"/>
        <v>67</v>
      </c>
      <c r="B70" s="4" t="s">
        <v>261</v>
      </c>
      <c r="C70" s="4" t="s">
        <v>262</v>
      </c>
      <c r="D70" s="4" t="s">
        <v>132</v>
      </c>
      <c r="E70" s="4" t="s">
        <v>263</v>
      </c>
      <c r="F70" s="4">
        <v>0.97093699999999994</v>
      </c>
      <c r="G70" s="5">
        <v>97.093699999999998</v>
      </c>
      <c r="H70" s="5">
        <v>5.0200000000000005</v>
      </c>
      <c r="I70" s="5">
        <v>366</v>
      </c>
      <c r="J70" s="4" t="s">
        <v>133</v>
      </c>
    </row>
    <row r="71" spans="1:10" x14ac:dyDescent="0.25">
      <c r="A71" s="4">
        <f t="shared" ca="1" si="2"/>
        <v>68</v>
      </c>
      <c r="B71" s="4" t="s">
        <v>264</v>
      </c>
      <c r="C71" s="4" t="s">
        <v>265</v>
      </c>
      <c r="D71" s="4" t="s">
        <v>119</v>
      </c>
      <c r="E71" s="4" t="s">
        <v>266</v>
      </c>
      <c r="F71" s="4">
        <v>7472.77</v>
      </c>
      <c r="G71" s="5"/>
      <c r="H71" s="5"/>
      <c r="I71" s="5"/>
      <c r="J71" s="4" t="s">
        <v>121</v>
      </c>
    </row>
    <row r="72" spans="1:10" x14ac:dyDescent="0.25">
      <c r="A72" s="4">
        <f t="shared" ca="1" si="2"/>
        <v>69</v>
      </c>
      <c r="B72" s="4" t="s">
        <v>267</v>
      </c>
      <c r="C72" s="4" t="s">
        <v>268</v>
      </c>
      <c r="D72" s="4" t="s">
        <v>119</v>
      </c>
      <c r="E72" s="4" t="s">
        <v>266</v>
      </c>
      <c r="F72" s="4">
        <v>4586.38</v>
      </c>
      <c r="G72" s="5"/>
      <c r="H72" s="5"/>
      <c r="I72" s="5"/>
      <c r="J72" s="4" t="s">
        <v>121</v>
      </c>
    </row>
    <row r="73" spans="1:10" x14ac:dyDescent="0.25">
      <c r="A73" s="4">
        <f t="shared" ca="1" si="2"/>
        <v>70</v>
      </c>
      <c r="B73" s="4" t="s">
        <v>269</v>
      </c>
      <c r="C73" s="4" t="s">
        <v>270</v>
      </c>
      <c r="D73" s="4" t="s">
        <v>132</v>
      </c>
      <c r="E73" s="4" t="s">
        <v>271</v>
      </c>
      <c r="F73" s="4">
        <v>969.18499999999995</v>
      </c>
      <c r="G73" s="5">
        <v>99.993900000000011</v>
      </c>
      <c r="H73" s="5">
        <v>19.809999999999999</v>
      </c>
      <c r="I73" s="5">
        <v>853</v>
      </c>
      <c r="J73" s="4" t="s">
        <v>133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132</v>
      </c>
      <c r="E74" s="4" t="s">
        <v>271</v>
      </c>
      <c r="F74" s="4">
        <v>99.354900000000001</v>
      </c>
      <c r="G74" s="5">
        <v>99.354900000000001</v>
      </c>
      <c r="H74" s="5">
        <v>15.8</v>
      </c>
      <c r="I74" s="5">
        <v>16</v>
      </c>
      <c r="J74" s="4" t="s">
        <v>133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132</v>
      </c>
      <c r="E75" s="4" t="s">
        <v>271</v>
      </c>
      <c r="F75" s="4">
        <v>100.0138</v>
      </c>
      <c r="G75" s="5">
        <v>100.72490000000001</v>
      </c>
      <c r="H75" s="5">
        <v>7.99</v>
      </c>
      <c r="I75" s="5">
        <v>790</v>
      </c>
      <c r="J75" s="4" t="s">
        <v>133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132</v>
      </c>
      <c r="E76" s="4" t="s">
        <v>66</v>
      </c>
      <c r="F76" s="4">
        <v>1000</v>
      </c>
      <c r="G76" s="5">
        <v>110.7818</v>
      </c>
      <c r="H76" s="5">
        <v>12.98</v>
      </c>
      <c r="I76" s="5">
        <v>1160</v>
      </c>
      <c r="J76" s="4" t="s">
        <v>133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132</v>
      </c>
      <c r="E77" s="4" t="s">
        <v>66</v>
      </c>
      <c r="F77" s="4">
        <v>1000</v>
      </c>
      <c r="G77" s="5">
        <v>102.20700000000001</v>
      </c>
      <c r="H77" s="5">
        <v>12.99</v>
      </c>
      <c r="I77" s="5">
        <v>1400</v>
      </c>
      <c r="J77" s="4" t="s">
        <v>133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132</v>
      </c>
      <c r="E78" s="4" t="s">
        <v>66</v>
      </c>
      <c r="F78" s="4">
        <v>1000</v>
      </c>
      <c r="G78" s="5">
        <v>105.42710000000001</v>
      </c>
      <c r="H78" s="5">
        <v>12.67</v>
      </c>
      <c r="I78" s="5">
        <v>213</v>
      </c>
      <c r="J78" s="4" t="s">
        <v>133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132</v>
      </c>
      <c r="E79" s="4" t="s">
        <v>66</v>
      </c>
      <c r="F79" s="4">
        <v>1000</v>
      </c>
      <c r="G79" s="5">
        <v>103.18390000000001</v>
      </c>
      <c r="H79" s="5">
        <v>12.81</v>
      </c>
      <c r="I79" s="5">
        <v>276</v>
      </c>
      <c r="J79" s="4" t="s">
        <v>133</v>
      </c>
    </row>
    <row r="80" spans="1:10" x14ac:dyDescent="0.25">
      <c r="A80" s="4">
        <f t="shared" ca="1" si="2"/>
        <v>77</v>
      </c>
      <c r="B80" s="4" t="s">
        <v>284</v>
      </c>
      <c r="C80" s="4" t="s">
        <v>285</v>
      </c>
      <c r="D80" s="4" t="s">
        <v>132</v>
      </c>
      <c r="E80" s="4" t="s">
        <v>66</v>
      </c>
      <c r="F80" s="4">
        <v>1000</v>
      </c>
      <c r="G80" s="5">
        <v>106.47630000000001</v>
      </c>
      <c r="H80" s="5">
        <v>12.87</v>
      </c>
      <c r="I80" s="5">
        <v>549</v>
      </c>
      <c r="J80" s="4" t="s">
        <v>133</v>
      </c>
    </row>
    <row r="81" spans="1:10" x14ac:dyDescent="0.25">
      <c r="A81" s="4">
        <f t="shared" ca="1" si="2"/>
        <v>78</v>
      </c>
      <c r="B81" s="4" t="s">
        <v>286</v>
      </c>
      <c r="C81" s="4" t="s">
        <v>287</v>
      </c>
      <c r="D81" s="4" t="s">
        <v>132</v>
      </c>
      <c r="E81" s="4" t="s">
        <v>66</v>
      </c>
      <c r="F81" s="4">
        <v>1000</v>
      </c>
      <c r="G81" s="5">
        <v>104.30550000000001</v>
      </c>
      <c r="H81" s="5">
        <v>12.9</v>
      </c>
      <c r="I81" s="5">
        <v>610</v>
      </c>
      <c r="J81" s="4" t="s">
        <v>133</v>
      </c>
    </row>
    <row r="82" spans="1:10" x14ac:dyDescent="0.25">
      <c r="A82" s="4">
        <f t="shared" ca="1" si="2"/>
        <v>79</v>
      </c>
      <c r="B82" s="4" t="s">
        <v>288</v>
      </c>
      <c r="C82" s="4" t="s">
        <v>289</v>
      </c>
      <c r="D82" s="4" t="s">
        <v>132</v>
      </c>
      <c r="E82" s="4" t="s">
        <v>66</v>
      </c>
      <c r="F82" s="4">
        <v>1000</v>
      </c>
      <c r="G82" s="5">
        <v>112.01190000000001</v>
      </c>
      <c r="H82" s="5">
        <v>12.99</v>
      </c>
      <c r="I82" s="5">
        <v>760</v>
      </c>
      <c r="J82" s="4" t="s">
        <v>133</v>
      </c>
    </row>
    <row r="83" spans="1:10" x14ac:dyDescent="0.25">
      <c r="A83" s="4">
        <f t="shared" ca="1" si="2"/>
        <v>80</v>
      </c>
      <c r="B83" s="4" t="s">
        <v>290</v>
      </c>
      <c r="C83" s="4" t="s">
        <v>291</v>
      </c>
      <c r="D83" s="4" t="s">
        <v>132</v>
      </c>
      <c r="E83" s="4" t="s">
        <v>66</v>
      </c>
      <c r="F83" s="4">
        <v>1000</v>
      </c>
      <c r="G83" s="5">
        <v>102.20700000000001</v>
      </c>
      <c r="H83" s="5">
        <v>12.98</v>
      </c>
      <c r="I83" s="5">
        <v>1035</v>
      </c>
      <c r="J83" s="4" t="s">
        <v>133</v>
      </c>
    </row>
    <row r="84" spans="1:10" x14ac:dyDescent="0.25">
      <c r="A84" s="4">
        <f t="shared" ca="1" si="2"/>
        <v>81</v>
      </c>
      <c r="B84" s="4" t="s">
        <v>292</v>
      </c>
      <c r="C84" s="4" t="s">
        <v>293</v>
      </c>
      <c r="D84" s="4" t="s">
        <v>132</v>
      </c>
      <c r="E84" s="4" t="s">
        <v>66</v>
      </c>
      <c r="F84" s="4">
        <v>1000</v>
      </c>
      <c r="G84" s="5">
        <v>112.98880000000001</v>
      </c>
      <c r="H84" s="5">
        <v>12.22</v>
      </c>
      <c r="I84" s="5">
        <v>2</v>
      </c>
      <c r="J84" s="4" t="s">
        <v>133</v>
      </c>
    </row>
    <row r="85" spans="1:10" x14ac:dyDescent="0.25">
      <c r="A85" s="4">
        <f t="shared" ca="1" si="2"/>
        <v>82</v>
      </c>
      <c r="B85" s="4" t="s">
        <v>294</v>
      </c>
      <c r="C85" s="4" t="s">
        <v>295</v>
      </c>
      <c r="D85" s="4" t="s">
        <v>132</v>
      </c>
      <c r="E85" s="4" t="s">
        <v>66</v>
      </c>
      <c r="F85" s="4">
        <v>1000</v>
      </c>
      <c r="G85" s="5">
        <v>109.7688</v>
      </c>
      <c r="H85" s="5">
        <v>12.98</v>
      </c>
      <c r="I85" s="5">
        <v>1554</v>
      </c>
      <c r="J85" s="4" t="s">
        <v>133</v>
      </c>
    </row>
    <row r="86" spans="1:10" x14ac:dyDescent="0.25">
      <c r="A86" s="4">
        <f t="shared" ca="1" si="2"/>
        <v>83</v>
      </c>
      <c r="B86" s="4" t="s">
        <v>296</v>
      </c>
      <c r="C86" s="4" t="s">
        <v>297</v>
      </c>
      <c r="D86" s="4" t="s">
        <v>132</v>
      </c>
      <c r="E86" s="4" t="s">
        <v>66</v>
      </c>
      <c r="F86" s="4">
        <v>993.92100000000005</v>
      </c>
      <c r="G86" s="5">
        <v>104.1421</v>
      </c>
      <c r="H86" s="5">
        <v>17.830000000000002</v>
      </c>
      <c r="I86" s="5">
        <v>20</v>
      </c>
      <c r="J86" s="4" t="s">
        <v>133</v>
      </c>
    </row>
    <row r="87" spans="1:10" x14ac:dyDescent="0.25">
      <c r="A87" s="4">
        <f t="shared" ca="1" si="2"/>
        <v>84</v>
      </c>
      <c r="B87" s="4" t="s">
        <v>298</v>
      </c>
      <c r="C87" s="4" t="s">
        <v>299</v>
      </c>
      <c r="D87" s="4" t="s">
        <v>132</v>
      </c>
      <c r="E87" s="4" t="s">
        <v>66</v>
      </c>
      <c r="F87" s="4">
        <v>885.74300000000005</v>
      </c>
      <c r="G87" s="5">
        <v>93.227100000000007</v>
      </c>
      <c r="H87" s="5">
        <v>17.600000000000001</v>
      </c>
      <c r="I87" s="5">
        <v>392</v>
      </c>
      <c r="J87" s="4" t="s">
        <v>133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132</v>
      </c>
      <c r="E88" s="4" t="s">
        <v>66</v>
      </c>
      <c r="F88" s="4">
        <v>1000</v>
      </c>
      <c r="G88" s="5">
        <v>104.30550000000001</v>
      </c>
      <c r="H88" s="5">
        <v>12.96</v>
      </c>
      <c r="I88" s="5">
        <v>1341</v>
      </c>
      <c r="J88" s="4" t="s">
        <v>133</v>
      </c>
    </row>
    <row r="89" spans="1:10" x14ac:dyDescent="0.25">
      <c r="A89" s="4">
        <f t="shared" ca="1" si="2"/>
        <v>86</v>
      </c>
      <c r="B89" s="4" t="s">
        <v>302</v>
      </c>
      <c r="C89" s="4" t="s">
        <v>110</v>
      </c>
      <c r="D89" s="4" t="s">
        <v>132</v>
      </c>
      <c r="E89" s="4" t="s">
        <v>66</v>
      </c>
      <c r="F89" s="4">
        <v>858.62300000000005</v>
      </c>
      <c r="G89" s="5">
        <v>89.080100000000002</v>
      </c>
      <c r="H89" s="5">
        <v>17.54</v>
      </c>
      <c r="I89" s="5">
        <v>516</v>
      </c>
      <c r="J89" s="4" t="s">
        <v>133</v>
      </c>
    </row>
    <row r="90" spans="1:10" x14ac:dyDescent="0.25">
      <c r="A90" s="4">
        <f t="shared" ca="1" si="2"/>
        <v>87</v>
      </c>
      <c r="B90" s="4" t="s">
        <v>303</v>
      </c>
      <c r="C90" s="4" t="s">
        <v>304</v>
      </c>
      <c r="D90" s="4" t="s">
        <v>132</v>
      </c>
      <c r="E90" s="4" t="s">
        <v>66</v>
      </c>
      <c r="F90" s="4">
        <v>818.66100000000006</v>
      </c>
      <c r="G90" s="5">
        <v>82.476100000000002</v>
      </c>
      <c r="H90" s="5">
        <v>17.559999999999999</v>
      </c>
      <c r="I90" s="5">
        <v>691</v>
      </c>
      <c r="J90" s="4" t="s">
        <v>133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132</v>
      </c>
      <c r="E91" s="4" t="s">
        <v>66</v>
      </c>
      <c r="F91" s="4">
        <v>827.10200000000009</v>
      </c>
      <c r="G91" s="5">
        <v>82.78240000000001</v>
      </c>
      <c r="H91" s="5">
        <v>17.53</v>
      </c>
      <c r="I91" s="5">
        <v>727</v>
      </c>
      <c r="J91" s="4" t="s">
        <v>133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132</v>
      </c>
      <c r="E92" s="4" t="s">
        <v>66</v>
      </c>
      <c r="F92" s="4">
        <v>1000</v>
      </c>
      <c r="G92" s="5">
        <v>103.2201</v>
      </c>
      <c r="H92" s="5">
        <v>12.93</v>
      </c>
      <c r="I92" s="5">
        <v>640</v>
      </c>
      <c r="J92" s="4" t="s">
        <v>133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132</v>
      </c>
      <c r="E93" s="4" t="s">
        <v>66</v>
      </c>
      <c r="F93" s="4">
        <v>1000</v>
      </c>
      <c r="G93" s="5">
        <v>111.97580000000001</v>
      </c>
      <c r="H93" s="5">
        <v>12.28</v>
      </c>
      <c r="I93" s="5">
        <v>31</v>
      </c>
      <c r="J93" s="4" t="s">
        <v>133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132</v>
      </c>
      <c r="E94" s="4" t="s">
        <v>66</v>
      </c>
      <c r="F94" s="4">
        <v>1000</v>
      </c>
      <c r="G94" s="5">
        <v>108.8891</v>
      </c>
      <c r="H94" s="5">
        <v>13.06</v>
      </c>
      <c r="I94" s="5">
        <v>1581</v>
      </c>
      <c r="J94" s="4" t="s">
        <v>133</v>
      </c>
    </row>
    <row r="95" spans="1:10" x14ac:dyDescent="0.25">
      <c r="A95" s="4">
        <f t="shared" ca="1" si="2"/>
        <v>92</v>
      </c>
      <c r="B95" s="4" t="s">
        <v>313</v>
      </c>
      <c r="C95" s="4" t="s">
        <v>108</v>
      </c>
      <c r="D95" s="4" t="s">
        <v>132</v>
      </c>
      <c r="E95" s="4" t="s">
        <v>66</v>
      </c>
      <c r="F95" s="4">
        <v>614.74700000000007</v>
      </c>
      <c r="G95" s="5">
        <v>65.195900000000009</v>
      </c>
      <c r="H95" s="5">
        <v>16.87</v>
      </c>
      <c r="I95" s="5">
        <v>3119</v>
      </c>
      <c r="J95" s="4" t="s">
        <v>133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132</v>
      </c>
      <c r="E96" s="4" t="s">
        <v>66</v>
      </c>
      <c r="F96" s="4">
        <v>864.45400000000006</v>
      </c>
      <c r="G96" s="5">
        <v>89.101399999999998</v>
      </c>
      <c r="H96" s="5">
        <v>17.559999999999999</v>
      </c>
      <c r="I96" s="5">
        <v>601</v>
      </c>
      <c r="J96" s="4" t="s">
        <v>133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132</v>
      </c>
      <c r="E97" s="4" t="s">
        <v>66</v>
      </c>
      <c r="F97" s="4">
        <v>541.572</v>
      </c>
      <c r="G97" s="5">
        <v>54.926100000000005</v>
      </c>
      <c r="H97" s="5">
        <v>16.760000000000002</v>
      </c>
      <c r="I97" s="5">
        <v>6909</v>
      </c>
      <c r="J97" s="4" t="s">
        <v>133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132</v>
      </c>
      <c r="E98" s="4" t="s">
        <v>66</v>
      </c>
      <c r="F98" s="4">
        <v>1000</v>
      </c>
      <c r="G98" s="5">
        <v>101.01310000000001</v>
      </c>
      <c r="H98" s="5">
        <v>12.96</v>
      </c>
      <c r="I98" s="5">
        <v>338</v>
      </c>
      <c r="J98" s="4" t="s">
        <v>133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132</v>
      </c>
      <c r="E99" s="4" t="s">
        <v>66</v>
      </c>
      <c r="F99" s="4">
        <v>1000</v>
      </c>
      <c r="G99" s="5">
        <v>104.3417</v>
      </c>
      <c r="H99" s="5">
        <v>12.96</v>
      </c>
      <c r="I99" s="5">
        <v>1340</v>
      </c>
      <c r="J99" s="4" t="s">
        <v>133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323</v>
      </c>
      <c r="D100" s="4" t="s">
        <v>132</v>
      </c>
      <c r="E100" s="4" t="s">
        <v>66</v>
      </c>
      <c r="F100" s="4">
        <v>1000</v>
      </c>
      <c r="G100" s="5">
        <v>105.35470000000001</v>
      </c>
      <c r="H100" s="5">
        <v>12.97</v>
      </c>
      <c r="I100" s="5">
        <v>1676</v>
      </c>
      <c r="J100" s="4" t="s">
        <v>133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132</v>
      </c>
      <c r="E101" s="4" t="s">
        <v>66</v>
      </c>
      <c r="F101" s="4">
        <v>1000</v>
      </c>
      <c r="G101" s="5">
        <v>102.1708</v>
      </c>
      <c r="H101" s="5">
        <v>12.88</v>
      </c>
      <c r="I101" s="5">
        <v>305</v>
      </c>
      <c r="J101" s="4" t="s">
        <v>133</v>
      </c>
    </row>
    <row r="102" spans="1:10" x14ac:dyDescent="0.25">
      <c r="A102" s="4">
        <f t="shared" ca="1" si="3"/>
        <v>99</v>
      </c>
      <c r="B102" s="4" t="s">
        <v>326</v>
      </c>
      <c r="C102" s="4" t="s">
        <v>103</v>
      </c>
      <c r="D102" s="4" t="s">
        <v>132</v>
      </c>
      <c r="E102" s="4" t="s">
        <v>66</v>
      </c>
      <c r="F102" s="4">
        <v>600.99700000000007</v>
      </c>
      <c r="G102" s="5">
        <v>66.129800000000003</v>
      </c>
      <c r="H102" s="5">
        <v>16.850000000000001</v>
      </c>
      <c r="I102" s="5">
        <v>3381</v>
      </c>
      <c r="J102" s="4" t="s">
        <v>133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132</v>
      </c>
      <c r="E103" s="4" t="s">
        <v>66</v>
      </c>
      <c r="F103" s="4">
        <v>902.49</v>
      </c>
      <c r="G103" s="5">
        <v>96.049000000000007</v>
      </c>
      <c r="H103" s="5">
        <v>17.55</v>
      </c>
      <c r="I103" s="5">
        <v>495</v>
      </c>
      <c r="J103" s="4" t="s">
        <v>133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132</v>
      </c>
      <c r="E104" s="4" t="s">
        <v>66</v>
      </c>
      <c r="F104" s="4">
        <v>882.55100000000004</v>
      </c>
      <c r="G104" s="5">
        <v>91.130099999999999</v>
      </c>
      <c r="H104" s="5">
        <v>17.55</v>
      </c>
      <c r="I104" s="5">
        <v>614</v>
      </c>
      <c r="J104" s="4" t="s">
        <v>133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132</v>
      </c>
      <c r="E105" s="4" t="s">
        <v>66</v>
      </c>
      <c r="F105" s="4">
        <v>596.42700000000002</v>
      </c>
      <c r="G105" s="5">
        <v>61.715600000000002</v>
      </c>
      <c r="H105" s="5">
        <v>16.809999999999999</v>
      </c>
      <c r="I105" s="5">
        <v>3929</v>
      </c>
      <c r="J105" s="4" t="s">
        <v>133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132</v>
      </c>
      <c r="E106" s="4" t="s">
        <v>66</v>
      </c>
      <c r="F106" s="4">
        <v>662.79</v>
      </c>
      <c r="G106" s="5">
        <v>71.186300000000003</v>
      </c>
      <c r="H106" s="5">
        <v>16.920000000000002</v>
      </c>
      <c r="I106" s="5">
        <v>2716</v>
      </c>
      <c r="J106" s="4" t="s">
        <v>133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132</v>
      </c>
      <c r="E107" s="4" t="s">
        <v>66</v>
      </c>
      <c r="F107" s="4">
        <v>653.60199999999998</v>
      </c>
      <c r="G107" s="5">
        <v>69.707700000000003</v>
      </c>
      <c r="H107" s="5">
        <v>16.920000000000002</v>
      </c>
      <c r="I107" s="5">
        <v>2735</v>
      </c>
      <c r="J107" s="4" t="s">
        <v>133</v>
      </c>
    </row>
    <row r="108" spans="1:10" x14ac:dyDescent="0.25">
      <c r="A108" s="4">
        <f t="shared" ca="1" si="3"/>
        <v>105</v>
      </c>
      <c r="B108" s="4" t="s">
        <v>337</v>
      </c>
      <c r="C108" s="4" t="s">
        <v>97</v>
      </c>
      <c r="D108" s="4" t="s">
        <v>132</v>
      </c>
      <c r="E108" s="4" t="s">
        <v>66</v>
      </c>
      <c r="F108" s="4">
        <v>678.28399999999999</v>
      </c>
      <c r="G108" s="5">
        <v>72.335099999999997</v>
      </c>
      <c r="H108" s="5">
        <v>16.98</v>
      </c>
      <c r="I108" s="5">
        <v>2363</v>
      </c>
      <c r="J108" s="4" t="s">
        <v>133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132</v>
      </c>
      <c r="E109" s="4" t="s">
        <v>66</v>
      </c>
      <c r="F109" s="4">
        <v>704.96199999999999</v>
      </c>
      <c r="G109" s="5">
        <v>74.434899999999999</v>
      </c>
      <c r="H109" s="5">
        <v>17.04</v>
      </c>
      <c r="I109" s="5">
        <v>2021</v>
      </c>
      <c r="J109" s="4" t="s">
        <v>133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132</v>
      </c>
      <c r="E110" s="4" t="s">
        <v>66</v>
      </c>
      <c r="F110" s="4">
        <v>599.34800000000007</v>
      </c>
      <c r="G110" s="5">
        <v>66.145600000000002</v>
      </c>
      <c r="H110" s="5">
        <v>16.82</v>
      </c>
      <c r="I110" s="5">
        <v>4125</v>
      </c>
      <c r="J110" s="4" t="s">
        <v>133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132</v>
      </c>
      <c r="E111" s="4" t="s">
        <v>66</v>
      </c>
      <c r="F111" s="4">
        <v>1000</v>
      </c>
      <c r="G111" s="5">
        <v>105.42710000000001</v>
      </c>
      <c r="H111" s="5">
        <v>12.67</v>
      </c>
      <c r="I111" s="5">
        <v>213</v>
      </c>
      <c r="J111" s="4" t="s">
        <v>133</v>
      </c>
    </row>
    <row r="112" spans="1:10" x14ac:dyDescent="0.25">
      <c r="A112" s="4">
        <f t="shared" ca="1" si="3"/>
        <v>109</v>
      </c>
      <c r="B112" s="4" t="s">
        <v>344</v>
      </c>
      <c r="C112" s="4" t="s">
        <v>81</v>
      </c>
      <c r="D112" s="4" t="s">
        <v>132</v>
      </c>
      <c r="E112" s="4" t="s">
        <v>66</v>
      </c>
      <c r="F112" s="4">
        <v>747.64499999999998</v>
      </c>
      <c r="G112" s="5">
        <v>76.364500000000007</v>
      </c>
      <c r="H112" s="5">
        <v>17.25</v>
      </c>
      <c r="I112" s="5">
        <v>1386</v>
      </c>
      <c r="J112" s="4" t="s">
        <v>133</v>
      </c>
    </row>
    <row r="113" spans="1:10" x14ac:dyDescent="0.25">
      <c r="A113" s="4">
        <f t="shared" ca="1" si="3"/>
        <v>110</v>
      </c>
      <c r="B113" s="4" t="s">
        <v>345</v>
      </c>
      <c r="C113" s="4" t="s">
        <v>346</v>
      </c>
      <c r="D113" s="4" t="s">
        <v>132</v>
      </c>
      <c r="E113" s="4" t="s">
        <v>66</v>
      </c>
      <c r="F113" s="4">
        <v>726.37</v>
      </c>
      <c r="G113" s="5">
        <v>78.269000000000005</v>
      </c>
      <c r="H113" s="5">
        <v>17.21</v>
      </c>
      <c r="I113" s="5">
        <v>1561</v>
      </c>
      <c r="J113" s="4" t="s">
        <v>133</v>
      </c>
    </row>
    <row r="114" spans="1:10" x14ac:dyDescent="0.25">
      <c r="A114" s="4">
        <f t="shared" ca="1" si="3"/>
        <v>111</v>
      </c>
      <c r="B114" s="4" t="s">
        <v>347</v>
      </c>
      <c r="C114" s="4" t="s">
        <v>348</v>
      </c>
      <c r="D114" s="4" t="s">
        <v>132</v>
      </c>
      <c r="E114" s="4" t="s">
        <v>66</v>
      </c>
      <c r="F114" s="4">
        <v>539.05500000000006</v>
      </c>
      <c r="G114" s="5">
        <v>60.664400000000001</v>
      </c>
      <c r="H114" s="5">
        <v>16.78</v>
      </c>
      <c r="I114" s="5">
        <v>4802</v>
      </c>
      <c r="J114" s="4" t="s">
        <v>133</v>
      </c>
    </row>
    <row r="115" spans="1:10" x14ac:dyDescent="0.25">
      <c r="A115" s="4">
        <f t="shared" ca="1" si="3"/>
        <v>112</v>
      </c>
      <c r="B115" s="4" t="s">
        <v>349</v>
      </c>
      <c r="C115" s="4" t="s">
        <v>350</v>
      </c>
      <c r="D115" s="4" t="s">
        <v>132</v>
      </c>
      <c r="E115" s="4" t="s">
        <v>66</v>
      </c>
      <c r="F115" s="4">
        <v>991.7890000000001</v>
      </c>
      <c r="G115" s="5">
        <v>104.37450000000001</v>
      </c>
      <c r="H115" s="5">
        <v>17.54</v>
      </c>
      <c r="I115" s="5">
        <v>28</v>
      </c>
      <c r="J115" s="4" t="s">
        <v>133</v>
      </c>
    </row>
    <row r="116" spans="1:10" x14ac:dyDescent="0.25">
      <c r="A116" s="4">
        <f t="shared" ca="1" si="3"/>
        <v>113</v>
      </c>
      <c r="B116" s="4" t="s">
        <v>351</v>
      </c>
      <c r="C116" s="4" t="s">
        <v>67</v>
      </c>
      <c r="D116" s="4" t="s">
        <v>132</v>
      </c>
      <c r="E116" s="4" t="s">
        <v>66</v>
      </c>
      <c r="F116" s="4">
        <v>915.61700000000008</v>
      </c>
      <c r="G116" s="5">
        <v>92.631100000000004</v>
      </c>
      <c r="H116" s="5">
        <v>17.53</v>
      </c>
      <c r="I116" s="5">
        <v>295</v>
      </c>
      <c r="J116" s="4" t="s">
        <v>133</v>
      </c>
    </row>
    <row r="117" spans="1:10" x14ac:dyDescent="0.25">
      <c r="A117" s="4">
        <f t="shared" ca="1" si="3"/>
        <v>114</v>
      </c>
      <c r="B117" s="4" t="s">
        <v>352</v>
      </c>
      <c r="C117" s="4" t="s">
        <v>112</v>
      </c>
      <c r="D117" s="4" t="s">
        <v>132</v>
      </c>
      <c r="E117" s="4" t="s">
        <v>66</v>
      </c>
      <c r="F117" s="4">
        <v>809.33600000000001</v>
      </c>
      <c r="G117" s="5">
        <v>81.066100000000006</v>
      </c>
      <c r="H117" s="5">
        <v>17.53</v>
      </c>
      <c r="I117" s="5">
        <v>722</v>
      </c>
      <c r="J117" s="4" t="s">
        <v>133</v>
      </c>
    </row>
    <row r="118" spans="1:10" x14ac:dyDescent="0.25">
      <c r="A118" s="4">
        <f t="shared" ca="1" si="3"/>
        <v>115</v>
      </c>
      <c r="B118" s="4" t="s">
        <v>353</v>
      </c>
      <c r="C118" s="4" t="s">
        <v>354</v>
      </c>
      <c r="D118" s="4" t="s">
        <v>132</v>
      </c>
      <c r="E118" s="4" t="s">
        <v>66</v>
      </c>
      <c r="F118" s="4">
        <v>745.51</v>
      </c>
      <c r="G118" s="5">
        <v>75.131600000000006</v>
      </c>
      <c r="H118" s="5">
        <v>17.400000000000002</v>
      </c>
      <c r="I118" s="5">
        <v>1059</v>
      </c>
      <c r="J118" s="4" t="s">
        <v>133</v>
      </c>
    </row>
    <row r="119" spans="1:10" x14ac:dyDescent="0.25">
      <c r="A119" s="4">
        <f t="shared" ca="1" si="3"/>
        <v>116</v>
      </c>
      <c r="B119" s="4" t="s">
        <v>355</v>
      </c>
      <c r="C119" s="4" t="s">
        <v>356</v>
      </c>
      <c r="D119" s="4" t="s">
        <v>132</v>
      </c>
      <c r="E119" s="4" t="s">
        <v>66</v>
      </c>
      <c r="F119" s="4">
        <v>556.39600000000007</v>
      </c>
      <c r="G119" s="5">
        <v>57.796700000000001</v>
      </c>
      <c r="H119" s="5">
        <v>16.77</v>
      </c>
      <c r="I119" s="5">
        <v>5019</v>
      </c>
      <c r="J119" s="4" t="s">
        <v>133</v>
      </c>
    </row>
    <row r="120" spans="1:10" x14ac:dyDescent="0.25">
      <c r="A120" s="4">
        <f t="shared" ca="1" si="3"/>
        <v>117</v>
      </c>
      <c r="B120" s="4" t="s">
        <v>357</v>
      </c>
      <c r="C120" s="4" t="s">
        <v>358</v>
      </c>
      <c r="D120" s="4" t="s">
        <v>132</v>
      </c>
      <c r="E120" s="4" t="s">
        <v>66</v>
      </c>
      <c r="F120" s="4">
        <v>551.73800000000006</v>
      </c>
      <c r="G120" s="5">
        <v>60.8003</v>
      </c>
      <c r="H120" s="5">
        <v>16.78</v>
      </c>
      <c r="I120" s="5">
        <v>5235</v>
      </c>
      <c r="J120" s="4" t="s">
        <v>133</v>
      </c>
    </row>
    <row r="121" spans="1:10" x14ac:dyDescent="0.25">
      <c r="A121" s="4">
        <f t="shared" ca="1" si="3"/>
        <v>118</v>
      </c>
      <c r="B121" s="4" t="s">
        <v>359</v>
      </c>
      <c r="C121" s="4" t="s">
        <v>101</v>
      </c>
      <c r="D121" s="4" t="s">
        <v>132</v>
      </c>
      <c r="E121" s="4" t="s">
        <v>66</v>
      </c>
      <c r="F121" s="4">
        <v>844.34700000000009</v>
      </c>
      <c r="G121" s="5">
        <v>90.790300000000002</v>
      </c>
      <c r="H121" s="5">
        <v>17.309999999999999</v>
      </c>
      <c r="I121" s="5">
        <v>1251</v>
      </c>
      <c r="J121" s="4" t="s">
        <v>133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132</v>
      </c>
      <c r="E122" s="4" t="s">
        <v>66</v>
      </c>
      <c r="F122" s="4">
        <v>948.75700000000006</v>
      </c>
      <c r="G122" s="5">
        <v>97.782600000000002</v>
      </c>
      <c r="H122" s="5">
        <v>17.46</v>
      </c>
      <c r="I122" s="5">
        <v>249</v>
      </c>
      <c r="J122" s="4" t="s">
        <v>133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132</v>
      </c>
      <c r="E123" s="4" t="s">
        <v>66</v>
      </c>
      <c r="F123" s="4">
        <v>1000</v>
      </c>
      <c r="G123" s="5">
        <v>111.4756</v>
      </c>
      <c r="H123" s="5">
        <v>13.08</v>
      </c>
      <c r="I123" s="5">
        <v>1143</v>
      </c>
      <c r="J123" s="4" t="s">
        <v>133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132</v>
      </c>
      <c r="E124" s="4" t="s">
        <v>66</v>
      </c>
      <c r="F124" s="4">
        <v>1000</v>
      </c>
      <c r="G124" s="5">
        <v>107.5617</v>
      </c>
      <c r="H124" s="5">
        <v>12.54</v>
      </c>
      <c r="I124" s="5">
        <v>153</v>
      </c>
      <c r="J124" s="4" t="s">
        <v>133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132</v>
      </c>
      <c r="E125" s="4" t="s">
        <v>66</v>
      </c>
      <c r="F125" s="4">
        <v>1000</v>
      </c>
      <c r="G125" s="5">
        <v>108.6833</v>
      </c>
      <c r="H125" s="5">
        <v>12.96</v>
      </c>
      <c r="I125" s="5">
        <v>1220</v>
      </c>
      <c r="J125" s="4" t="s">
        <v>133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132</v>
      </c>
      <c r="E126" s="4" t="s">
        <v>66</v>
      </c>
      <c r="F126" s="4">
        <v>848.28100000000006</v>
      </c>
      <c r="G126" s="5">
        <v>84.857200000000006</v>
      </c>
      <c r="H126" s="5">
        <v>17.38</v>
      </c>
      <c r="I126" s="5">
        <v>1096</v>
      </c>
      <c r="J126" s="4" t="s">
        <v>133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132</v>
      </c>
      <c r="E127" s="4" t="s">
        <v>66</v>
      </c>
      <c r="F127" s="4">
        <v>1000</v>
      </c>
      <c r="G127" s="5">
        <v>108.7919</v>
      </c>
      <c r="H127" s="5">
        <v>12.93</v>
      </c>
      <c r="I127" s="5">
        <v>851</v>
      </c>
      <c r="J127" s="4" t="s">
        <v>133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132</v>
      </c>
      <c r="E128" s="4" t="s">
        <v>66</v>
      </c>
      <c r="F128" s="4">
        <v>567.93700000000001</v>
      </c>
      <c r="G128" s="5">
        <v>59.604800000000004</v>
      </c>
      <c r="H128" s="5">
        <v>16.95</v>
      </c>
      <c r="I128" s="5">
        <v>2371</v>
      </c>
      <c r="J128" s="4" t="s">
        <v>133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132</v>
      </c>
      <c r="E129" s="4" t="s">
        <v>66</v>
      </c>
      <c r="F129" s="4">
        <v>769.87700000000007</v>
      </c>
      <c r="G129" s="5">
        <v>83.365400000000008</v>
      </c>
      <c r="H129" s="5">
        <v>17.37</v>
      </c>
      <c r="I129" s="5">
        <v>1140</v>
      </c>
      <c r="J129" s="4" t="s">
        <v>133</v>
      </c>
    </row>
    <row r="130" spans="1:10" x14ac:dyDescent="0.25">
      <c r="A130" s="4">
        <f t="shared" ca="1" si="3"/>
        <v>127</v>
      </c>
      <c r="B130" s="4" t="s">
        <v>376</v>
      </c>
      <c r="C130" s="4" t="s">
        <v>377</v>
      </c>
      <c r="D130" s="4" t="s">
        <v>132</v>
      </c>
      <c r="E130" s="4" t="s">
        <v>66</v>
      </c>
      <c r="F130" s="4">
        <v>764.76100000000008</v>
      </c>
      <c r="G130" s="5">
        <v>79.115000000000009</v>
      </c>
      <c r="H130" s="5">
        <v>17.46</v>
      </c>
      <c r="I130" s="5">
        <v>904</v>
      </c>
      <c r="J130" s="4" t="s">
        <v>133</v>
      </c>
    </row>
    <row r="131" spans="1:10" x14ac:dyDescent="0.25">
      <c r="A131" s="4">
        <f t="shared" ca="1" si="3"/>
        <v>128</v>
      </c>
      <c r="B131" s="4" t="s">
        <v>378</v>
      </c>
      <c r="C131" s="4" t="s">
        <v>99</v>
      </c>
      <c r="D131" s="4" t="s">
        <v>132</v>
      </c>
      <c r="E131" s="4" t="s">
        <v>66</v>
      </c>
      <c r="F131" s="4">
        <v>755.41600000000005</v>
      </c>
      <c r="G131" s="5">
        <v>78.263300000000001</v>
      </c>
      <c r="H131" s="5">
        <v>16.97</v>
      </c>
      <c r="I131" s="5">
        <v>2464</v>
      </c>
      <c r="J131" s="4" t="s">
        <v>133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95</v>
      </c>
      <c r="D132" s="4" t="s">
        <v>132</v>
      </c>
      <c r="E132" s="4" t="s">
        <v>66</v>
      </c>
      <c r="F132" s="4">
        <v>823.82600000000002</v>
      </c>
      <c r="G132" s="5">
        <v>85.020099999999999</v>
      </c>
      <c r="H132" s="5">
        <v>17.25</v>
      </c>
      <c r="I132" s="5">
        <v>1370</v>
      </c>
      <c r="J132" s="4" t="s">
        <v>133</v>
      </c>
    </row>
    <row r="133" spans="1:10" x14ac:dyDescent="0.25">
      <c r="A133" s="4">
        <f t="shared" ca="1" si="4"/>
        <v>130</v>
      </c>
      <c r="B133" s="4" t="s">
        <v>380</v>
      </c>
      <c r="C133" s="4" t="s">
        <v>381</v>
      </c>
      <c r="D133" s="4" t="s">
        <v>132</v>
      </c>
      <c r="E133" s="4" t="s">
        <v>66</v>
      </c>
      <c r="F133" s="4">
        <v>1000</v>
      </c>
      <c r="G133" s="5">
        <v>101.0492</v>
      </c>
      <c r="H133" s="5">
        <v>13.01</v>
      </c>
      <c r="I133" s="5">
        <v>1798</v>
      </c>
      <c r="J133" s="4" t="s">
        <v>133</v>
      </c>
    </row>
    <row r="134" spans="1:10" x14ac:dyDescent="0.25">
      <c r="A134" s="4">
        <f t="shared" ca="1" si="4"/>
        <v>131</v>
      </c>
      <c r="B134" s="4" t="s">
        <v>382</v>
      </c>
      <c r="C134" s="4" t="s">
        <v>383</v>
      </c>
      <c r="D134" s="4" t="s">
        <v>132</v>
      </c>
      <c r="E134" s="4" t="s">
        <v>66</v>
      </c>
      <c r="F134" s="4">
        <v>1000</v>
      </c>
      <c r="G134" s="5">
        <v>110.81800000000001</v>
      </c>
      <c r="H134" s="5">
        <v>13</v>
      </c>
      <c r="I134" s="5">
        <v>2254</v>
      </c>
      <c r="J134" s="4" t="s">
        <v>133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132</v>
      </c>
      <c r="E135" s="4" t="s">
        <v>66</v>
      </c>
      <c r="F135" s="4">
        <v>1000</v>
      </c>
      <c r="G135" s="5">
        <v>101.1216</v>
      </c>
      <c r="H135" s="5">
        <v>13.01</v>
      </c>
      <c r="I135" s="5">
        <v>2161</v>
      </c>
      <c r="J135" s="4" t="s">
        <v>133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132</v>
      </c>
      <c r="E136" s="4" t="s">
        <v>66</v>
      </c>
      <c r="F136" s="4">
        <v>907.30900000000008</v>
      </c>
      <c r="G136" s="5">
        <v>95.324200000000005</v>
      </c>
      <c r="H136" s="5">
        <v>17.54</v>
      </c>
      <c r="I136" s="5">
        <v>569</v>
      </c>
      <c r="J136" s="4" t="s">
        <v>133</v>
      </c>
    </row>
    <row r="137" spans="1:10" x14ac:dyDescent="0.25">
      <c r="A137" s="4">
        <f t="shared" ca="1" si="4"/>
        <v>134</v>
      </c>
      <c r="B137" s="4" t="s">
        <v>388</v>
      </c>
      <c r="C137" s="4" t="s">
        <v>389</v>
      </c>
      <c r="D137" s="4" t="s">
        <v>132</v>
      </c>
      <c r="E137" s="4" t="s">
        <v>66</v>
      </c>
      <c r="F137" s="4">
        <v>714.495</v>
      </c>
      <c r="G137" s="5">
        <v>79.737000000000009</v>
      </c>
      <c r="H137" s="5">
        <v>16.830000000000002</v>
      </c>
      <c r="I137" s="5">
        <v>4111</v>
      </c>
      <c r="J137" s="4" t="s">
        <v>133</v>
      </c>
    </row>
    <row r="138" spans="1:10" x14ac:dyDescent="0.25">
      <c r="A138" s="4">
        <f t="shared" ca="1" si="4"/>
        <v>135</v>
      </c>
      <c r="B138" s="4" t="s">
        <v>390</v>
      </c>
      <c r="C138" s="4" t="s">
        <v>84</v>
      </c>
      <c r="D138" s="4" t="s">
        <v>132</v>
      </c>
      <c r="E138" s="4" t="s">
        <v>66</v>
      </c>
      <c r="F138" s="4">
        <v>986.29600000000005</v>
      </c>
      <c r="G138" s="5">
        <v>101.50460000000001</v>
      </c>
      <c r="H138" s="5">
        <v>16.73</v>
      </c>
      <c r="I138" s="5">
        <v>86</v>
      </c>
      <c r="J138" s="4" t="s">
        <v>133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132</v>
      </c>
      <c r="E139" s="4" t="s">
        <v>66</v>
      </c>
      <c r="F139" s="4">
        <v>820.45</v>
      </c>
      <c r="G139" s="5">
        <v>90.111699999999999</v>
      </c>
      <c r="H139" s="5">
        <v>17.22</v>
      </c>
      <c r="I139" s="5">
        <v>1561</v>
      </c>
      <c r="J139" s="4" t="s">
        <v>133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132</v>
      </c>
      <c r="E140" s="4" t="s">
        <v>66</v>
      </c>
      <c r="F140" s="4">
        <v>705.97</v>
      </c>
      <c r="G140" s="5">
        <v>72.483500000000006</v>
      </c>
      <c r="H140" s="5">
        <v>16.830000000000002</v>
      </c>
      <c r="I140" s="5">
        <v>3955</v>
      </c>
      <c r="J140" s="4" t="s">
        <v>133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132</v>
      </c>
      <c r="E141" s="4" t="s">
        <v>66</v>
      </c>
      <c r="F141" s="4">
        <v>706.50100000000009</v>
      </c>
      <c r="G141" s="5">
        <v>77.706000000000003</v>
      </c>
      <c r="H141" s="5">
        <v>16.91</v>
      </c>
      <c r="I141" s="5">
        <v>3035</v>
      </c>
      <c r="J141" s="4" t="s">
        <v>133</v>
      </c>
    </row>
    <row r="142" spans="1:10" x14ac:dyDescent="0.25">
      <c r="A142" s="4">
        <f t="shared" ca="1" si="4"/>
        <v>139</v>
      </c>
      <c r="B142" s="4" t="s">
        <v>397</v>
      </c>
      <c r="C142" s="4" t="s">
        <v>89</v>
      </c>
      <c r="D142" s="4" t="s">
        <v>132</v>
      </c>
      <c r="E142" s="4" t="s">
        <v>66</v>
      </c>
      <c r="F142" s="4">
        <v>865.81900000000007</v>
      </c>
      <c r="G142" s="5">
        <v>92.244100000000003</v>
      </c>
      <c r="H142" s="5">
        <v>17.47</v>
      </c>
      <c r="I142" s="5">
        <v>898</v>
      </c>
      <c r="J142" s="4" t="s">
        <v>133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132</v>
      </c>
      <c r="E143" s="4" t="s">
        <v>66</v>
      </c>
      <c r="F143" s="4">
        <v>955.69900000000007</v>
      </c>
      <c r="G143" s="5">
        <v>98.019900000000007</v>
      </c>
      <c r="H143" s="5">
        <v>16.82</v>
      </c>
      <c r="I143" s="5">
        <v>281</v>
      </c>
      <c r="J143" s="4" t="s">
        <v>133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132</v>
      </c>
      <c r="E144" s="4" t="s">
        <v>66</v>
      </c>
      <c r="F144" s="4">
        <v>697.35900000000004</v>
      </c>
      <c r="G144" s="5">
        <v>76.22760000000001</v>
      </c>
      <c r="H144" s="5">
        <v>16.86</v>
      </c>
      <c r="I144" s="5">
        <v>3421</v>
      </c>
      <c r="J144" s="4" t="s">
        <v>133</v>
      </c>
    </row>
    <row r="145" spans="1:10" x14ac:dyDescent="0.25">
      <c r="A145" s="4">
        <f t="shared" ca="1" si="4"/>
        <v>142</v>
      </c>
      <c r="B145" s="4" t="s">
        <v>402</v>
      </c>
      <c r="C145" s="4" t="s">
        <v>115</v>
      </c>
      <c r="D145" s="4" t="s">
        <v>132</v>
      </c>
      <c r="E145" s="4" t="s">
        <v>66</v>
      </c>
      <c r="F145" s="4">
        <v>771.46100000000001</v>
      </c>
      <c r="G145" s="5">
        <v>83.469200000000001</v>
      </c>
      <c r="H145" s="5">
        <v>17.059999999999999</v>
      </c>
      <c r="I145" s="5">
        <v>1967</v>
      </c>
      <c r="J145" s="4" t="s">
        <v>133</v>
      </c>
    </row>
    <row r="146" spans="1:10" x14ac:dyDescent="0.25">
      <c r="A146" s="4">
        <f t="shared" ca="1" si="4"/>
        <v>143</v>
      </c>
      <c r="B146" s="4" t="s">
        <v>403</v>
      </c>
      <c r="C146" s="4" t="s">
        <v>404</v>
      </c>
      <c r="D146" s="4" t="s">
        <v>132</v>
      </c>
      <c r="E146" s="4" t="s">
        <v>66</v>
      </c>
      <c r="F146" s="4">
        <v>739.02200000000005</v>
      </c>
      <c r="G146" s="5">
        <v>75.832300000000004</v>
      </c>
      <c r="H146" s="5">
        <v>16.920000000000002</v>
      </c>
      <c r="I146" s="5">
        <v>2857</v>
      </c>
      <c r="J146" s="4" t="s">
        <v>133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132</v>
      </c>
      <c r="E147" s="4" t="s">
        <v>66</v>
      </c>
      <c r="F147" s="4">
        <v>976.12100000000009</v>
      </c>
      <c r="G147" s="5">
        <v>99.233800000000002</v>
      </c>
      <c r="H147" s="5">
        <v>16.86</v>
      </c>
      <c r="I147" s="5">
        <v>324</v>
      </c>
      <c r="J147" s="4" t="s">
        <v>133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132</v>
      </c>
      <c r="E148" s="4" t="s">
        <v>66</v>
      </c>
      <c r="F148" s="4">
        <v>974.91700000000003</v>
      </c>
      <c r="G148" s="5">
        <v>104.3139</v>
      </c>
      <c r="H148" s="5">
        <v>16.830000000000002</v>
      </c>
      <c r="I148" s="5">
        <v>752</v>
      </c>
      <c r="J148" s="4" t="s">
        <v>133</v>
      </c>
    </row>
    <row r="149" spans="1:10" x14ac:dyDescent="0.25">
      <c r="A149" s="4">
        <f t="shared" ca="1" si="4"/>
        <v>146</v>
      </c>
      <c r="B149" s="4" t="s">
        <v>409</v>
      </c>
      <c r="C149" s="4" t="s">
        <v>410</v>
      </c>
      <c r="D149" s="4" t="s">
        <v>132</v>
      </c>
      <c r="E149" s="4" t="s">
        <v>66</v>
      </c>
      <c r="F149" s="4">
        <v>883.90899999999999</v>
      </c>
      <c r="G149" s="5">
        <v>94.574200000000005</v>
      </c>
      <c r="H149" s="5">
        <v>17</v>
      </c>
      <c r="I149" s="5">
        <v>2396</v>
      </c>
      <c r="J149" s="4" t="s">
        <v>133</v>
      </c>
    </row>
    <row r="150" spans="1:10" x14ac:dyDescent="0.25">
      <c r="A150" s="4">
        <f t="shared" ca="1" si="4"/>
        <v>147</v>
      </c>
      <c r="B150" s="4" t="s">
        <v>411</v>
      </c>
      <c r="C150" s="4" t="s">
        <v>412</v>
      </c>
      <c r="D150" s="4" t="s">
        <v>132</v>
      </c>
      <c r="E150" s="4" t="s">
        <v>66</v>
      </c>
      <c r="F150" s="4">
        <v>948.9190000000001</v>
      </c>
      <c r="G150" s="5">
        <v>104.8794</v>
      </c>
      <c r="H150" s="5">
        <v>17.32</v>
      </c>
      <c r="I150" s="5">
        <v>1223</v>
      </c>
      <c r="J150" s="4" t="s">
        <v>133</v>
      </c>
    </row>
    <row r="151" spans="1:10" x14ac:dyDescent="0.25">
      <c r="A151" s="4">
        <f t="shared" ca="1" si="4"/>
        <v>148</v>
      </c>
      <c r="B151" s="4" t="s">
        <v>413</v>
      </c>
      <c r="C151" s="4" t="s">
        <v>414</v>
      </c>
      <c r="D151" s="4" t="s">
        <v>132</v>
      </c>
      <c r="E151" s="4" t="s">
        <v>66</v>
      </c>
      <c r="F151" s="4">
        <v>1000</v>
      </c>
      <c r="G151" s="5">
        <v>102.34490000000001</v>
      </c>
      <c r="H151" s="5">
        <v>17.14</v>
      </c>
      <c r="I151" s="5">
        <v>317</v>
      </c>
      <c r="J151" s="4" t="s">
        <v>133</v>
      </c>
    </row>
    <row r="152" spans="1:10" x14ac:dyDescent="0.25">
      <c r="A152" s="4">
        <f t="shared" ca="1" si="4"/>
        <v>149</v>
      </c>
      <c r="B152" s="4" t="s">
        <v>415</v>
      </c>
      <c r="C152" s="4" t="s">
        <v>71</v>
      </c>
      <c r="D152" s="4" t="s">
        <v>132</v>
      </c>
      <c r="E152" s="4" t="s">
        <v>66</v>
      </c>
      <c r="F152" s="4">
        <v>892.63800000000003</v>
      </c>
      <c r="G152" s="5">
        <v>95.719400000000007</v>
      </c>
      <c r="H152" s="5">
        <v>17.07</v>
      </c>
      <c r="I152" s="5">
        <v>2023</v>
      </c>
      <c r="J152" s="4" t="s">
        <v>133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132</v>
      </c>
      <c r="E153" s="4" t="s">
        <v>66</v>
      </c>
      <c r="F153" s="4">
        <v>981.45300000000009</v>
      </c>
      <c r="G153" s="5">
        <v>102.8814</v>
      </c>
      <c r="H153" s="5">
        <v>16.760000000000002</v>
      </c>
      <c r="I153" s="5">
        <v>240</v>
      </c>
      <c r="J153" s="4" t="s">
        <v>133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132</v>
      </c>
      <c r="E154" s="4" t="s">
        <v>66</v>
      </c>
      <c r="F154" s="4">
        <v>894.51499999999999</v>
      </c>
      <c r="G154" s="5">
        <v>95.191400000000002</v>
      </c>
      <c r="H154" s="5">
        <v>16.95</v>
      </c>
      <c r="I154" s="5">
        <v>2778</v>
      </c>
      <c r="J154" s="4" t="s">
        <v>133</v>
      </c>
    </row>
    <row r="155" spans="1:10" x14ac:dyDescent="0.25">
      <c r="A155" s="4">
        <f t="shared" ca="1" si="4"/>
        <v>152</v>
      </c>
      <c r="B155" s="4" t="s">
        <v>420</v>
      </c>
      <c r="C155" s="4" t="s">
        <v>421</v>
      </c>
      <c r="D155" s="4" t="s">
        <v>132</v>
      </c>
      <c r="E155" s="4" t="s">
        <v>66</v>
      </c>
      <c r="F155" s="4">
        <v>828.43499999999995</v>
      </c>
      <c r="G155" s="5">
        <v>91.043500000000009</v>
      </c>
      <c r="H155" s="5">
        <v>17.100000000000001</v>
      </c>
      <c r="I155" s="5">
        <v>1944</v>
      </c>
      <c r="J155" s="4" t="s">
        <v>133</v>
      </c>
    </row>
    <row r="156" spans="1:10" x14ac:dyDescent="0.25">
      <c r="A156" s="4">
        <f t="shared" ca="1" si="4"/>
        <v>153</v>
      </c>
      <c r="B156" s="4" t="s">
        <v>422</v>
      </c>
      <c r="C156" s="4" t="s">
        <v>105</v>
      </c>
      <c r="D156" s="4" t="s">
        <v>132</v>
      </c>
      <c r="E156" s="4" t="s">
        <v>66</v>
      </c>
      <c r="F156" s="4">
        <v>1010.374</v>
      </c>
      <c r="G156" s="5">
        <v>104.8647</v>
      </c>
      <c r="H156" s="5">
        <v>16.600000000000001</v>
      </c>
      <c r="I156" s="5">
        <v>1380</v>
      </c>
      <c r="J156" s="4" t="s">
        <v>133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132</v>
      </c>
      <c r="E157" s="4" t="s">
        <v>66</v>
      </c>
      <c r="F157" s="4">
        <v>893.3</v>
      </c>
      <c r="G157" s="5">
        <v>98.674400000000006</v>
      </c>
      <c r="H157" s="5">
        <v>16.920000000000002</v>
      </c>
      <c r="I157" s="5">
        <v>3052</v>
      </c>
      <c r="J157" s="4" t="s">
        <v>133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132</v>
      </c>
      <c r="E158" s="4" t="s">
        <v>66</v>
      </c>
      <c r="F158" s="4">
        <v>907.755</v>
      </c>
      <c r="G158" s="5">
        <v>100.18440000000001</v>
      </c>
      <c r="H158" s="5">
        <v>17.010000000000002</v>
      </c>
      <c r="I158" s="5">
        <v>2322</v>
      </c>
      <c r="J158" s="4" t="s">
        <v>133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132</v>
      </c>
      <c r="E159" s="4" t="s">
        <v>66</v>
      </c>
      <c r="F159" s="4">
        <v>858.53300000000002</v>
      </c>
      <c r="G159" s="5">
        <v>91.963300000000004</v>
      </c>
      <c r="H159" s="5">
        <v>16.82</v>
      </c>
      <c r="I159" s="5">
        <v>4590</v>
      </c>
      <c r="J159" s="4" t="s">
        <v>133</v>
      </c>
    </row>
    <row r="160" spans="1:10" x14ac:dyDescent="0.25">
      <c r="A160" s="4">
        <f t="shared" ca="1" si="4"/>
        <v>157</v>
      </c>
      <c r="B160" s="4" t="s">
        <v>429</v>
      </c>
      <c r="C160" s="4" t="s">
        <v>430</v>
      </c>
      <c r="D160" s="4" t="s">
        <v>132</v>
      </c>
      <c r="E160" s="4" t="s">
        <v>66</v>
      </c>
      <c r="F160" s="4">
        <v>1000</v>
      </c>
      <c r="G160" s="5">
        <v>108.96420000000001</v>
      </c>
      <c r="H160" s="5">
        <v>15.44</v>
      </c>
      <c r="I160" s="5">
        <v>1981</v>
      </c>
      <c r="J160" s="4" t="s">
        <v>133</v>
      </c>
    </row>
    <row r="161" spans="1:10" x14ac:dyDescent="0.25">
      <c r="A161" s="4">
        <f t="shared" ca="1" si="4"/>
        <v>158</v>
      </c>
      <c r="B161" s="4" t="s">
        <v>431</v>
      </c>
      <c r="C161" s="4" t="s">
        <v>91</v>
      </c>
      <c r="D161" s="4" t="s">
        <v>132</v>
      </c>
      <c r="E161" s="4" t="s">
        <v>66</v>
      </c>
      <c r="F161" s="4">
        <v>847.48099999999999</v>
      </c>
      <c r="G161" s="5">
        <v>92.448100000000011</v>
      </c>
      <c r="H161" s="5">
        <v>17.18</v>
      </c>
      <c r="I161" s="5">
        <v>1592</v>
      </c>
      <c r="J161" s="4" t="s">
        <v>133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132</v>
      </c>
      <c r="E162" s="4" t="s">
        <v>66</v>
      </c>
      <c r="F162" s="4">
        <v>91.60990000000001</v>
      </c>
      <c r="G162" s="5">
        <v>91.60990000000001</v>
      </c>
      <c r="H162" s="5">
        <v>16.8</v>
      </c>
      <c r="I162" s="5">
        <v>200</v>
      </c>
      <c r="J162" s="4" t="s">
        <v>133</v>
      </c>
    </row>
    <row r="163" spans="1:10" x14ac:dyDescent="0.25">
      <c r="A163" s="4">
        <f t="shared" ca="1" si="4"/>
        <v>160</v>
      </c>
      <c r="B163" s="4" t="s">
        <v>434</v>
      </c>
      <c r="C163" s="4" t="s">
        <v>72</v>
      </c>
      <c r="D163" s="4" t="s">
        <v>132</v>
      </c>
      <c r="E163" s="4" t="s">
        <v>66</v>
      </c>
      <c r="F163" s="4">
        <v>95.686199999999999</v>
      </c>
      <c r="G163" s="5">
        <v>95.686199999999999</v>
      </c>
      <c r="H163" s="5">
        <v>16.29</v>
      </c>
      <c r="I163" s="5">
        <v>102</v>
      </c>
      <c r="J163" s="4" t="s">
        <v>133</v>
      </c>
    </row>
    <row r="164" spans="1:10" x14ac:dyDescent="0.25">
      <c r="A164" s="4">
        <f t="shared" ref="A164:A186" ca="1" si="5">IF(OFFSET(A164,-1,0)="№ п/п",1,OFFSET(A164,-1,0)+1)</f>
        <v>161</v>
      </c>
      <c r="B164" s="4" t="s">
        <v>435</v>
      </c>
      <c r="C164" s="4" t="s">
        <v>436</v>
      </c>
      <c r="D164" s="4" t="s">
        <v>132</v>
      </c>
      <c r="E164" s="4" t="s">
        <v>66</v>
      </c>
      <c r="F164" s="4">
        <v>866.19600000000003</v>
      </c>
      <c r="G164" s="5">
        <v>96.536300000000011</v>
      </c>
      <c r="H164" s="5">
        <v>16.899999999999999</v>
      </c>
      <c r="I164" s="5">
        <v>3396</v>
      </c>
      <c r="J164" s="4" t="s">
        <v>133</v>
      </c>
    </row>
    <row r="165" spans="1:10" x14ac:dyDescent="0.25">
      <c r="A165" s="4">
        <f t="shared" ca="1" si="5"/>
        <v>162</v>
      </c>
      <c r="B165" s="4" t="s">
        <v>437</v>
      </c>
      <c r="C165" s="4" t="s">
        <v>438</v>
      </c>
      <c r="D165" s="4" t="s">
        <v>132</v>
      </c>
      <c r="E165" s="4" t="s">
        <v>66</v>
      </c>
      <c r="F165" s="4">
        <v>0.98624999999999996</v>
      </c>
      <c r="G165" s="5">
        <v>98.873800000000003</v>
      </c>
      <c r="H165" s="5">
        <v>4.9000000000000004</v>
      </c>
      <c r="I165" s="5">
        <v>3451</v>
      </c>
      <c r="J165" s="4" t="s">
        <v>133</v>
      </c>
    </row>
    <row r="166" spans="1:10" x14ac:dyDescent="0.25">
      <c r="A166" s="4">
        <f t="shared" ca="1" si="5"/>
        <v>163</v>
      </c>
      <c r="B166" s="4" t="s">
        <v>439</v>
      </c>
      <c r="C166" s="4" t="s">
        <v>440</v>
      </c>
      <c r="D166" s="4" t="s">
        <v>132</v>
      </c>
      <c r="E166" s="4" t="s">
        <v>66</v>
      </c>
      <c r="F166" s="4">
        <v>1015.5970000000001</v>
      </c>
      <c r="G166" s="5">
        <v>102.4543</v>
      </c>
      <c r="H166" s="5">
        <v>16.47</v>
      </c>
      <c r="I166" s="5">
        <v>1808</v>
      </c>
      <c r="J166" s="4" t="s">
        <v>133</v>
      </c>
    </row>
    <row r="167" spans="1:10" x14ac:dyDescent="0.25">
      <c r="A167" s="4">
        <f t="shared" ca="1" si="5"/>
        <v>164</v>
      </c>
      <c r="B167" s="4" t="s">
        <v>441</v>
      </c>
      <c r="C167" s="4" t="s">
        <v>442</v>
      </c>
      <c r="D167" s="4" t="s">
        <v>119</v>
      </c>
      <c r="E167" s="4" t="s">
        <v>443</v>
      </c>
      <c r="F167" s="4">
        <v>353.27</v>
      </c>
      <c r="G167" s="5"/>
      <c r="H167" s="5"/>
      <c r="I167" s="5"/>
      <c r="J167" s="4" t="s">
        <v>121</v>
      </c>
    </row>
    <row r="168" spans="1:10" x14ac:dyDescent="0.25">
      <c r="A168" s="4">
        <f t="shared" ca="1" si="5"/>
        <v>165</v>
      </c>
      <c r="B168" s="4" t="s">
        <v>444</v>
      </c>
      <c r="C168" s="4" t="s">
        <v>445</v>
      </c>
      <c r="D168" s="4" t="s">
        <v>119</v>
      </c>
      <c r="E168" s="4" t="s">
        <v>443</v>
      </c>
      <c r="F168" s="4">
        <v>26.96</v>
      </c>
      <c r="G168" s="5"/>
      <c r="H168" s="5"/>
      <c r="I168" s="5"/>
      <c r="J168" s="4" t="s">
        <v>146</v>
      </c>
    </row>
    <row r="169" spans="1:10" x14ac:dyDescent="0.25">
      <c r="A169" s="4">
        <f t="shared" ca="1" si="5"/>
        <v>166</v>
      </c>
      <c r="B169" s="4" t="s">
        <v>446</v>
      </c>
      <c r="C169" s="4" t="s">
        <v>447</v>
      </c>
      <c r="D169" s="4" t="s">
        <v>132</v>
      </c>
      <c r="E169" s="4" t="s">
        <v>443</v>
      </c>
      <c r="F169" s="4">
        <v>986.55400000000009</v>
      </c>
      <c r="G169" s="5">
        <v>105.6752</v>
      </c>
      <c r="H169" s="5">
        <v>18.2</v>
      </c>
      <c r="I169" s="5">
        <v>767</v>
      </c>
      <c r="J169" s="4" t="s">
        <v>133</v>
      </c>
    </row>
    <row r="170" spans="1:10" x14ac:dyDescent="0.25">
      <c r="A170" s="4">
        <f t="shared" ca="1" si="5"/>
        <v>167</v>
      </c>
      <c r="B170" s="4" t="s">
        <v>448</v>
      </c>
      <c r="C170" s="4" t="s">
        <v>449</v>
      </c>
      <c r="D170" s="4" t="s">
        <v>119</v>
      </c>
      <c r="E170" s="4" t="s">
        <v>450</v>
      </c>
      <c r="F170" s="4">
        <v>860.55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451</v>
      </c>
      <c r="C171" s="4" t="s">
        <v>452</v>
      </c>
      <c r="D171" s="4" t="s">
        <v>132</v>
      </c>
      <c r="E171" s="4" t="s">
        <v>453</v>
      </c>
      <c r="F171" s="4">
        <v>0.87017599999999995</v>
      </c>
      <c r="G171" s="5">
        <v>88.427000000000007</v>
      </c>
      <c r="H171" s="5">
        <v>5.73</v>
      </c>
      <c r="I171" s="5">
        <v>2017</v>
      </c>
      <c r="J171" s="4" t="s">
        <v>133</v>
      </c>
    </row>
    <row r="172" spans="1:10" x14ac:dyDescent="0.25">
      <c r="A172" s="4">
        <f t="shared" ca="1" si="5"/>
        <v>169</v>
      </c>
      <c r="B172" s="4" t="s">
        <v>454</v>
      </c>
      <c r="C172" s="4" t="s">
        <v>455</v>
      </c>
      <c r="D172" s="4" t="s">
        <v>132</v>
      </c>
      <c r="E172" s="4" t="s">
        <v>453</v>
      </c>
      <c r="F172" s="4">
        <v>1001.846</v>
      </c>
      <c r="G172" s="5">
        <v>100.25749999999999</v>
      </c>
      <c r="H172" s="5">
        <v>5.2</v>
      </c>
      <c r="I172" s="5">
        <v>1457</v>
      </c>
      <c r="J172" s="4" t="s">
        <v>133</v>
      </c>
    </row>
    <row r="173" spans="1:10" x14ac:dyDescent="0.25">
      <c r="A173" s="4">
        <f t="shared" ca="1" si="5"/>
        <v>170</v>
      </c>
      <c r="B173" s="4" t="s">
        <v>456</v>
      </c>
      <c r="C173" s="4" t="s">
        <v>457</v>
      </c>
      <c r="D173" s="4" t="s">
        <v>132</v>
      </c>
      <c r="E173" s="4" t="s">
        <v>453</v>
      </c>
      <c r="F173" s="4">
        <v>1.0384819999999999</v>
      </c>
      <c r="G173" s="5">
        <v>104.17630000000001</v>
      </c>
      <c r="H173" s="5">
        <v>4.66</v>
      </c>
      <c r="I173" s="5">
        <v>1623</v>
      </c>
      <c r="J173" s="4" t="s">
        <v>133</v>
      </c>
    </row>
    <row r="174" spans="1:10" x14ac:dyDescent="0.25">
      <c r="A174" s="4">
        <f t="shared" ca="1" si="5"/>
        <v>171</v>
      </c>
      <c r="B174" s="4" t="s">
        <v>458</v>
      </c>
      <c r="C174" s="4" t="s">
        <v>459</v>
      </c>
      <c r="D174" s="4" t="s">
        <v>132</v>
      </c>
      <c r="E174" s="4" t="s">
        <v>453</v>
      </c>
      <c r="F174" s="4">
        <v>1.0071939999999999</v>
      </c>
      <c r="G174" s="5">
        <v>101.24260000000001</v>
      </c>
      <c r="H174" s="5">
        <v>3.08</v>
      </c>
      <c r="I174" s="5">
        <v>1040</v>
      </c>
      <c r="J174" s="4" t="s">
        <v>133</v>
      </c>
    </row>
    <row r="175" spans="1:10" x14ac:dyDescent="0.25">
      <c r="A175" s="4">
        <f t="shared" ca="1" si="5"/>
        <v>172</v>
      </c>
      <c r="B175" s="4" t="s">
        <v>460</v>
      </c>
      <c r="C175" s="4" t="s">
        <v>461</v>
      </c>
      <c r="D175" s="4" t="s">
        <v>119</v>
      </c>
      <c r="E175" s="4" t="s">
        <v>462</v>
      </c>
      <c r="F175" s="4">
        <v>28237.35</v>
      </c>
      <c r="G175" s="5"/>
      <c r="H175" s="5"/>
      <c r="I175" s="5"/>
      <c r="J175" s="4" t="s">
        <v>121</v>
      </c>
    </row>
    <row r="176" spans="1:10" x14ac:dyDescent="0.25">
      <c r="A176" s="4">
        <f t="shared" ca="1" si="5"/>
        <v>173</v>
      </c>
      <c r="B176" s="4" t="s">
        <v>463</v>
      </c>
      <c r="C176" s="4" t="s">
        <v>464</v>
      </c>
      <c r="D176" s="4" t="s">
        <v>119</v>
      </c>
      <c r="E176" s="4" t="s">
        <v>465</v>
      </c>
      <c r="F176" s="4">
        <v>76.8</v>
      </c>
      <c r="G176" s="5"/>
      <c r="H176" s="5"/>
      <c r="I176" s="5"/>
      <c r="J176" s="4" t="s">
        <v>146</v>
      </c>
    </row>
    <row r="177" spans="1:10" x14ac:dyDescent="0.25">
      <c r="A177" s="4">
        <f t="shared" ca="1" si="5"/>
        <v>174</v>
      </c>
      <c r="B177" s="4" t="s">
        <v>466</v>
      </c>
      <c r="C177" s="4" t="s">
        <v>467</v>
      </c>
      <c r="D177" s="4" t="s">
        <v>132</v>
      </c>
      <c r="E177" s="4" t="s">
        <v>468</v>
      </c>
      <c r="F177" s="4">
        <v>1000.287</v>
      </c>
      <c r="G177" s="5">
        <v>101.137</v>
      </c>
      <c r="H177" s="5">
        <v>18.98</v>
      </c>
      <c r="I177" s="5">
        <v>1806</v>
      </c>
      <c r="J177" s="4" t="s">
        <v>133</v>
      </c>
    </row>
    <row r="178" spans="1:10" x14ac:dyDescent="0.25">
      <c r="A178" s="4">
        <f t="shared" ca="1" si="5"/>
        <v>175</v>
      </c>
      <c r="B178" s="4" t="s">
        <v>469</v>
      </c>
      <c r="C178" s="4" t="s">
        <v>470</v>
      </c>
      <c r="D178" s="4" t="s">
        <v>132</v>
      </c>
      <c r="E178" s="4" t="s">
        <v>468</v>
      </c>
      <c r="F178" s="4">
        <v>1000.115</v>
      </c>
      <c r="G178" s="5">
        <v>101.1198</v>
      </c>
      <c r="H178" s="5">
        <v>18.98</v>
      </c>
      <c r="I178" s="5">
        <v>1806</v>
      </c>
      <c r="J178" s="4" t="s">
        <v>133</v>
      </c>
    </row>
    <row r="179" spans="1:10" x14ac:dyDescent="0.25">
      <c r="A179" s="4">
        <f t="shared" ca="1" si="5"/>
        <v>176</v>
      </c>
      <c r="B179" s="4" t="s">
        <v>471</v>
      </c>
      <c r="C179" s="4" t="s">
        <v>472</v>
      </c>
      <c r="D179" s="4" t="s">
        <v>132</v>
      </c>
      <c r="E179" s="4" t="s">
        <v>473</v>
      </c>
      <c r="F179" s="4">
        <v>99.975999999999999</v>
      </c>
      <c r="G179" s="5">
        <v>101.25930000000001</v>
      </c>
      <c r="H179" s="5">
        <v>11</v>
      </c>
      <c r="I179" s="5">
        <v>324</v>
      </c>
      <c r="J179" s="4" t="s">
        <v>133</v>
      </c>
    </row>
    <row r="180" spans="1:10" x14ac:dyDescent="0.25">
      <c r="A180" s="4">
        <f t="shared" ca="1" si="5"/>
        <v>177</v>
      </c>
      <c r="B180" s="4" t="s">
        <v>474</v>
      </c>
      <c r="C180" s="4" t="s">
        <v>475</v>
      </c>
      <c r="D180" s="4" t="s">
        <v>119</v>
      </c>
      <c r="E180" s="4" t="s">
        <v>476</v>
      </c>
      <c r="F180" s="4">
        <v>6.37</v>
      </c>
      <c r="G180" s="5"/>
      <c r="H180" s="5"/>
      <c r="I180" s="5"/>
      <c r="J180" s="4" t="s">
        <v>146</v>
      </c>
    </row>
    <row r="181" spans="1:10" x14ac:dyDescent="0.25">
      <c r="A181" s="4">
        <f t="shared" ca="1" si="5"/>
        <v>178</v>
      </c>
      <c r="B181" s="4" t="s">
        <v>477</v>
      </c>
      <c r="C181" s="4" t="s">
        <v>478</v>
      </c>
      <c r="D181" s="4" t="s">
        <v>119</v>
      </c>
      <c r="E181" s="4" t="s">
        <v>476</v>
      </c>
      <c r="F181" s="4">
        <v>852.13</v>
      </c>
      <c r="G181" s="5"/>
      <c r="H181" s="5"/>
      <c r="I181" s="5"/>
      <c r="J181" s="4" t="s">
        <v>121</v>
      </c>
    </row>
    <row r="182" spans="1:10" x14ac:dyDescent="0.25">
      <c r="A182" s="4">
        <f t="shared" ca="1" si="5"/>
        <v>179</v>
      </c>
      <c r="B182" s="4" t="s">
        <v>479</v>
      </c>
      <c r="C182" s="4" t="s">
        <v>480</v>
      </c>
      <c r="D182" s="4" t="s">
        <v>132</v>
      </c>
      <c r="E182" s="4" t="s">
        <v>77</v>
      </c>
      <c r="F182" s="4">
        <v>0.99852599999999991</v>
      </c>
      <c r="G182" s="5">
        <v>100.4564</v>
      </c>
      <c r="H182" s="5">
        <v>6.09</v>
      </c>
      <c r="I182" s="5">
        <v>144</v>
      </c>
      <c r="J182" s="4" t="s">
        <v>133</v>
      </c>
    </row>
    <row r="183" spans="1:10" x14ac:dyDescent="0.25">
      <c r="A183" s="4">
        <f t="shared" ca="1" si="5"/>
        <v>180</v>
      </c>
      <c r="B183" s="4" t="s">
        <v>481</v>
      </c>
      <c r="C183" s="4" t="s">
        <v>482</v>
      </c>
      <c r="D183" s="4" t="s">
        <v>132</v>
      </c>
      <c r="E183" s="4" t="s">
        <v>77</v>
      </c>
      <c r="F183" s="4">
        <v>1000</v>
      </c>
      <c r="G183" s="5">
        <v>101.4863</v>
      </c>
      <c r="H183" s="5">
        <v>17.47</v>
      </c>
      <c r="I183" s="5">
        <v>882</v>
      </c>
      <c r="J183" s="4" t="s">
        <v>133</v>
      </c>
    </row>
    <row r="184" spans="1:10" x14ac:dyDescent="0.25">
      <c r="A184" s="4">
        <f t="shared" ca="1" si="5"/>
        <v>181</v>
      </c>
      <c r="B184" s="4" t="s">
        <v>483</v>
      </c>
      <c r="C184" s="4" t="s">
        <v>78</v>
      </c>
      <c r="D184" s="4" t="s">
        <v>132</v>
      </c>
      <c r="E184" s="4" t="s">
        <v>77</v>
      </c>
      <c r="F184" s="4">
        <v>970.79126810603998</v>
      </c>
      <c r="G184" s="5">
        <v>99.263826809999998</v>
      </c>
      <c r="H184" s="5">
        <v>16.16</v>
      </c>
      <c r="I184" s="5">
        <v>676</v>
      </c>
      <c r="J184" s="4" t="s">
        <v>133</v>
      </c>
    </row>
    <row r="185" spans="1:10" x14ac:dyDescent="0.25">
      <c r="A185" s="4">
        <f t="shared" ca="1" si="5"/>
        <v>182</v>
      </c>
      <c r="B185" s="4" t="s">
        <v>484</v>
      </c>
      <c r="C185" s="4" t="s">
        <v>485</v>
      </c>
      <c r="D185" s="4" t="s">
        <v>132</v>
      </c>
      <c r="E185" s="4" t="s">
        <v>77</v>
      </c>
      <c r="F185" s="4">
        <v>1000</v>
      </c>
      <c r="G185" s="5">
        <v>102.8493</v>
      </c>
      <c r="H185" s="5">
        <v>16.22</v>
      </c>
      <c r="I185" s="5">
        <v>851</v>
      </c>
      <c r="J185" s="4" t="s">
        <v>133</v>
      </c>
    </row>
    <row r="186" spans="1:10" x14ac:dyDescent="0.25">
      <c r="A186" s="4">
        <f t="shared" ca="1" si="5"/>
        <v>183</v>
      </c>
      <c r="B186" s="4" t="s">
        <v>486</v>
      </c>
      <c r="C186" s="4" t="s">
        <v>487</v>
      </c>
      <c r="D186" s="4" t="s">
        <v>132</v>
      </c>
      <c r="E186" s="4" t="s">
        <v>488</v>
      </c>
      <c r="F186" s="4">
        <v>1.018059</v>
      </c>
      <c r="G186" s="5">
        <v>104.37950000000001</v>
      </c>
      <c r="H186" s="5">
        <v>4.68</v>
      </c>
      <c r="I186" s="5">
        <v>924</v>
      </c>
      <c r="J186" s="4" t="s">
        <v>133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2025-10-29T04:49:37Z</dcterms:created>
  <dcterms:modified xsi:type="dcterms:W3CDTF">2025-10-29T06:27:40Z</dcterms:modified>
</cp:coreProperties>
</file>