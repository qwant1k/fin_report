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A25D03FA-3C75-4320-B1D5-BCB16D5238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3" i="1"/>
  <c r="G57" i="1"/>
  <c r="F57" i="1"/>
  <c r="E57" i="1"/>
  <c r="G46" i="1"/>
  <c r="F46" i="1"/>
  <c r="E46" i="1"/>
  <c r="M39" i="1"/>
  <c r="H39" i="1"/>
  <c r="M38" i="1"/>
  <c r="H38" i="1"/>
  <c r="M37" i="1"/>
  <c r="M41" i="1" s="1"/>
  <c r="H37" i="1"/>
  <c r="M36" i="1"/>
  <c r="H36" i="1"/>
  <c r="M35" i="1"/>
  <c r="H35" i="1"/>
  <c r="B29" i="1"/>
  <c r="L26" i="1"/>
  <c r="B48" i="1" s="1"/>
  <c r="K26" i="1"/>
  <c r="H26" i="1"/>
  <c r="D26" i="1"/>
  <c r="Q1" i="1" l="1"/>
  <c r="M22" i="1"/>
  <c r="M18" i="1"/>
  <c r="M14" i="1"/>
  <c r="M10" i="1"/>
  <c r="M21" i="1"/>
  <c r="M17" i="1"/>
  <c r="M13" i="1"/>
  <c r="M9" i="1"/>
  <c r="M15" i="1"/>
  <c r="M23" i="1"/>
  <c r="M8" i="1"/>
  <c r="M16" i="1"/>
  <c r="M24" i="1"/>
  <c r="M11" i="1"/>
  <c r="M19" i="1"/>
  <c r="M12" i="1"/>
  <c r="M20" i="1"/>
  <c r="M26" i="1" l="1"/>
</calcChain>
</file>

<file path=xl/sharedStrings.xml><?xml version="1.0" encoding="utf-8"?>
<sst xmlns="http://schemas.openxmlformats.org/spreadsheetml/2006/main" count="1105" uniqueCount="492">
  <si>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</si>
  <si>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</si>
  <si>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</si>
  <si>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</si>
  <si>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</si>
  <si>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</si>
  <si>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</si>
  <si>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</si>
  <si>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</si>
  <si>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</si>
  <si>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</si>
  <si>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</si>
  <si>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</si>
  <si>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</si>
  <si>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</si>
  <si>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</si>
  <si>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</si>
  <si>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</si>
  <si>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</si>
  <si>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</si>
  <si>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</si>
  <si>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</si>
  <si>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</si>
  <si>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</si>
  <si>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</si>
  <si>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</si>
  <si>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</si>
  <si>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</si>
  <si>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</si>
  <si>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</si>
  <si>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</si>
  <si>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</si>
  <si>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</si>
  <si>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</si>
  <si>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</si>
  <si>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</si>
  <si>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</si>
  <si>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</si>
  <si>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</si>
  <si>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</si>
  <si>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</si>
  <si>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</si>
  <si>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</si>
  <si>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</si>
  <si>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</si>
  <si>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</si>
  <si>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</si>
  <si>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</si>
  <si>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</si>
  <si>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</si>
  <si>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</si>
  <si>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</si>
  <si>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</si>
  <si>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</si>
  <si>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</si>
  <si>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</si>
  <si>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</si>
  <si>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</si>
  <si>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</si>
  <si>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</si>
  <si>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</si>
  <si>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</si>
  <si>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</si>
  <si>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</si>
  <si>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</si>
  <si>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</si>
  <si>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</si>
  <si>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</si>
  <si>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</si>
  <si>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21.10.2025</t>
  </si>
  <si>
    <t>22.10.2025</t>
  </si>
  <si>
    <t>KZKD00000550</t>
  </si>
  <si>
    <t>23.10.2025</t>
  </si>
  <si>
    <t>АО "Казахстанский фонд устойчивости"</t>
  </si>
  <si>
    <t>KZ2C00009462</t>
  </si>
  <si>
    <t>KZKD00001095</t>
  </si>
  <si>
    <t>KZ96601A861038102391</t>
  </si>
  <si>
    <t>KZKD00001129</t>
  </si>
  <si>
    <t>18.07.2024</t>
  </si>
  <si>
    <t>17.03.2031</t>
  </si>
  <si>
    <t>KZKD00001152</t>
  </si>
  <si>
    <t>26.07.2032</t>
  </si>
  <si>
    <t>KZKD00000477</t>
  </si>
  <si>
    <t>24.07.2025</t>
  </si>
  <si>
    <t>19.10.2027</t>
  </si>
  <si>
    <t>KZK100000373</t>
  </si>
  <si>
    <t>13.03.2025</t>
  </si>
  <si>
    <t>06.02.2026</t>
  </si>
  <si>
    <t>KZK200000760</t>
  </si>
  <si>
    <t>14.08.2025</t>
  </si>
  <si>
    <t>07.08.2029</t>
  </si>
  <si>
    <t>KZK200000687</t>
  </si>
  <si>
    <t>21.01.2026</t>
  </si>
  <si>
    <t>KZKD00001160</t>
  </si>
  <si>
    <t>28.07.2029</t>
  </si>
  <si>
    <t>KZKD00000741</t>
  </si>
  <si>
    <t>12.05.2034</t>
  </si>
  <si>
    <t>KZKD00001251</t>
  </si>
  <si>
    <t>07.03.2030</t>
  </si>
  <si>
    <t>KZKD00001137</t>
  </si>
  <si>
    <t>12.04.2028</t>
  </si>
  <si>
    <t>KZKD00000949</t>
  </si>
  <si>
    <t>16.04.2032</t>
  </si>
  <si>
    <t>KZKD00000832</t>
  </si>
  <si>
    <t>29.01.2035</t>
  </si>
  <si>
    <t>KZKD00000790</t>
  </si>
  <si>
    <t>10.07.2025</t>
  </si>
  <si>
    <t>13.08.2029</t>
  </si>
  <si>
    <t>KZKD00000444</t>
  </si>
  <si>
    <t>21.08.2025</t>
  </si>
  <si>
    <t>18.08.2026</t>
  </si>
  <si>
    <t>KZKD00000535</t>
  </si>
  <si>
    <t>27.03.2027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</si>
  <si>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</si>
  <si>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</si>
  <si>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</si>
  <si>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</si>
  <si>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</si>
  <si>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</si>
  <si>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</si>
  <si>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</si>
  <si>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</si>
  <si>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</si>
  <si>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</si>
  <si>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</si>
  <si>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</si>
  <si>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</si>
  <si>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</si>
  <si>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</si>
  <si>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</si>
  <si>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</si>
  <si>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</si>
  <si>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</si>
  <si>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</si>
  <si>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Облигации</t>
  </si>
  <si>
    <t>Чистая цена в %</t>
  </si>
  <si>
    <t>FFIN_or</t>
  </si>
  <si>
    <t>KZPF00000082</t>
  </si>
  <si>
    <t>FFINgw</t>
  </si>
  <si>
    <t>KZPF00000090</t>
  </si>
  <si>
    <t>TPIB</t>
  </si>
  <si>
    <t>KZ1C00007665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</si>
  <si>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</si>
  <si>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</si>
  <si>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</si>
  <si>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</si>
  <si>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</si>
  <si>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</si>
  <si>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</si>
  <si>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</si>
  <si>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</si>
  <si>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</si>
  <si>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</si>
  <si>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</si>
  <si>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</si>
  <si>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</si>
  <si>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</si>
  <si>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</si>
  <si>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</si>
  <si>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</si>
  <si>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</si>
  <si>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</si>
  <si>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</si>
  <si>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</si>
  <si>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</si>
  <si>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</si>
  <si>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</si>
  <si>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</si>
  <si>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</si>
  <si>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</si>
  <si>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</si>
  <si>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</si>
  <si>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</si>
  <si>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</si>
  <si>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</si>
  <si>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</si>
  <si>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</si>
  <si>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</si>
  <si>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</si>
  <si>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</si>
  <si>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MFDGb1</t>
  </si>
  <si>
    <t>KZ2P00012677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</si>
  <si>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</si>
  <si>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</si>
  <si>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</si>
  <si>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</si>
  <si>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</si>
  <si>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</si>
  <si>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</si>
  <si>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</si>
  <si>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</si>
  <si>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</si>
  <si>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</si>
  <si>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</si>
  <si>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</si>
  <si>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</si>
  <si>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</si>
  <si>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</si>
  <si>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</si>
  <si>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</si>
  <si>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</si>
  <si>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</si>
  <si>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</si>
  <si>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</si>
  <si>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</si>
  <si>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</si>
  <si>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</si>
  <si>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</si>
  <si>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</si>
  <si>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</si>
  <si>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</si>
  <si>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</si>
  <si>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</si>
  <si>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</si>
  <si>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</si>
  <si>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</si>
  <si>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</si>
  <si>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</si>
  <si>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</si>
  <si>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</si>
  <si>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</si>
  <si>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</si>
  <si>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</si>
  <si>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</si>
  <si>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</si>
  <si>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</si>
  <si>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</si>
  <si>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</si>
  <si>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</si>
  <si>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</si>
  <si>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</si>
  <si>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</si>
  <si>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</si>
  <si>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</si>
  <si>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MFMOb25</t>
  </si>
  <si>
    <t>KZ2P00013220</t>
  </si>
  <si>
    <t>MFMOb27</t>
  </si>
  <si>
    <t>KZ2P00013345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</si>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</sst>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20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25649014174.55442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1897500</v>
      </c>
      <c r="D8" s="17">
        <v>1897500000</v>
      </c>
      <c r="E8" s="18">
        <v>10.3</v>
      </c>
      <c r="F8" s="19" t="s">
        <v>78</v>
      </c>
      <c r="G8" s="19" t="s">
        <v>79</v>
      </c>
      <c r="H8" s="18">
        <v>1645329839.996666</v>
      </c>
      <c r="I8" s="20">
        <v>76.919499999999999</v>
      </c>
      <c r="J8" s="20">
        <v>83.070900000000009</v>
      </c>
      <c r="K8" s="18">
        <v>116722604.166667</v>
      </c>
      <c r="L8" s="18">
        <v>1576270116.666666</v>
      </c>
      <c r="M8" s="21">
        <f t="shared" ref="M8:M24" si="0">L8/$Q$1</f>
        <v>6.1455387951340208E-2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1897500</v>
      </c>
      <c r="D9" s="17">
        <v>1897500000</v>
      </c>
      <c r="E9" s="18">
        <v>10.65</v>
      </c>
      <c r="F9" s="19" t="s">
        <v>78</v>
      </c>
      <c r="G9" s="19" t="s">
        <v>81</v>
      </c>
      <c r="H9" s="18">
        <v>1648500562.5</v>
      </c>
      <c r="I9" s="20">
        <v>75.325000000000003</v>
      </c>
      <c r="J9" s="20">
        <v>77.869200000000006</v>
      </c>
      <c r="K9" s="18">
        <v>48275562.5</v>
      </c>
      <c r="L9" s="18">
        <v>1477567437.5</v>
      </c>
      <c r="M9" s="21">
        <f t="shared" si="0"/>
        <v>5.7607182383089331E-2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2391500</v>
      </c>
      <c r="D10" s="17">
        <v>2391500000</v>
      </c>
      <c r="E10" s="18">
        <v>5.3</v>
      </c>
      <c r="F10" s="19" t="s">
        <v>83</v>
      </c>
      <c r="G10" s="19" t="s">
        <v>84</v>
      </c>
      <c r="H10" s="18">
        <v>1903079172</v>
      </c>
      <c r="I10" s="20">
        <v>80.688200000000009</v>
      </c>
      <c r="J10" s="20">
        <v>80.732399999999998</v>
      </c>
      <c r="K10" s="18">
        <v>1056245.83333333</v>
      </c>
      <c r="L10" s="18">
        <v>1930714548.833333</v>
      </c>
      <c r="M10" s="21">
        <f t="shared" si="0"/>
        <v>7.5274415449024704E-2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11424000</v>
      </c>
      <c r="D11" s="17">
        <v>1142400000</v>
      </c>
      <c r="E11" s="18">
        <v>0</v>
      </c>
      <c r="F11" s="19" t="s">
        <v>86</v>
      </c>
      <c r="G11" s="19" t="s">
        <v>87</v>
      </c>
      <c r="H11" s="18">
        <v>1003902278.4</v>
      </c>
      <c r="I11" s="20">
        <v>95.406700000000001</v>
      </c>
      <c r="J11" s="20">
        <v>95.406700000000001</v>
      </c>
      <c r="K11" s="18"/>
      <c r="L11" s="18">
        <v>1089926140.8</v>
      </c>
      <c r="M11" s="21">
        <f t="shared" si="0"/>
        <v>4.2493880403453532E-2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897100</v>
      </c>
      <c r="D12" s="17">
        <v>897100000</v>
      </c>
      <c r="E12" s="18">
        <v>17.010000000000002</v>
      </c>
      <c r="F12" s="19" t="s">
        <v>89</v>
      </c>
      <c r="G12" s="19" t="s">
        <v>90</v>
      </c>
      <c r="H12" s="18">
        <v>896985171.20000005</v>
      </c>
      <c r="I12" s="20">
        <v>100.85780000000001</v>
      </c>
      <c r="J12" s="20">
        <v>104.4016</v>
      </c>
      <c r="K12" s="18">
        <v>31790981.25</v>
      </c>
      <c r="L12" s="18">
        <v>936586305.04999995</v>
      </c>
      <c r="M12" s="21">
        <f t="shared" si="0"/>
        <v>3.6515489393707683E-2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2530000</v>
      </c>
      <c r="D13" s="17">
        <v>2530000000</v>
      </c>
      <c r="E13" s="18">
        <v>10.67</v>
      </c>
      <c r="F13" s="19" t="s">
        <v>78</v>
      </c>
      <c r="G13" s="19" t="s">
        <v>92</v>
      </c>
      <c r="H13" s="18">
        <v>2455119589.9966769</v>
      </c>
      <c r="I13" s="20">
        <v>98.515900000000002</v>
      </c>
      <c r="J13" s="20">
        <v>101.21300000000001</v>
      </c>
      <c r="K13" s="18">
        <v>68237613.888888881</v>
      </c>
      <c r="L13" s="18">
        <v>2560689883.8888879</v>
      </c>
      <c r="M13" s="21">
        <f t="shared" si="0"/>
        <v>9.9835801347455594E-2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1897500</v>
      </c>
      <c r="D14" s="17">
        <v>1897500000</v>
      </c>
      <c r="E14" s="18">
        <v>10.55</v>
      </c>
      <c r="F14" s="19" t="s">
        <v>78</v>
      </c>
      <c r="G14" s="19" t="s">
        <v>94</v>
      </c>
      <c r="H14" s="18">
        <v>1708326839.9966669</v>
      </c>
      <c r="I14" s="20">
        <v>82.169499999999999</v>
      </c>
      <c r="J14" s="20">
        <v>84.631200000000007</v>
      </c>
      <c r="K14" s="18">
        <v>46710125</v>
      </c>
      <c r="L14" s="18">
        <v>1605876387.5</v>
      </c>
      <c r="M14" s="21">
        <f t="shared" si="0"/>
        <v>6.2609672893125828E-2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8.07</v>
      </c>
      <c r="F15" s="19" t="s">
        <v>78</v>
      </c>
      <c r="G15" s="19" t="s">
        <v>96</v>
      </c>
      <c r="H15" s="18">
        <v>1359122325</v>
      </c>
      <c r="I15" s="20">
        <v>61.266500000000001</v>
      </c>
      <c r="J15" s="20">
        <v>64.853200000000001</v>
      </c>
      <c r="K15" s="18">
        <v>68057000</v>
      </c>
      <c r="L15" s="18">
        <v>1230588837.5</v>
      </c>
      <c r="M15" s="21">
        <f t="shared" si="0"/>
        <v>4.797801697660678E-2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550000</v>
      </c>
      <c r="D16" s="17">
        <v>550000000</v>
      </c>
      <c r="E16" s="18">
        <v>12</v>
      </c>
      <c r="F16" s="19" t="s">
        <v>86</v>
      </c>
      <c r="G16" s="19" t="s">
        <v>98</v>
      </c>
      <c r="H16" s="18">
        <v>491343050</v>
      </c>
      <c r="I16" s="20">
        <v>84.525900000000007</v>
      </c>
      <c r="J16" s="20">
        <v>92.025900000000007</v>
      </c>
      <c r="K16" s="18">
        <v>41249999.999999993</v>
      </c>
      <c r="L16" s="18">
        <v>506142450</v>
      </c>
      <c r="M16" s="21">
        <f t="shared" si="0"/>
        <v>1.9733407551473382E-2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10.4</v>
      </c>
      <c r="F17" s="19" t="s">
        <v>78</v>
      </c>
      <c r="G17" s="19" t="s">
        <v>100</v>
      </c>
      <c r="H17" s="18">
        <v>1736743800</v>
      </c>
      <c r="I17" s="20">
        <v>86.368499999999997</v>
      </c>
      <c r="J17" s="20">
        <v>91.857399999999998</v>
      </c>
      <c r="K17" s="18">
        <v>104151666.666667</v>
      </c>
      <c r="L17" s="18">
        <v>1742993954.166666</v>
      </c>
      <c r="M17" s="21">
        <f t="shared" si="0"/>
        <v>6.7955592456876393E-2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8.4499999999999993</v>
      </c>
      <c r="F18" s="19" t="s">
        <v>78</v>
      </c>
      <c r="G18" s="19" t="s">
        <v>102</v>
      </c>
      <c r="H18" s="18">
        <v>1457889097.496666</v>
      </c>
      <c r="I18" s="20">
        <v>67.607700000000008</v>
      </c>
      <c r="J18" s="20">
        <v>71.973500000000001</v>
      </c>
      <c r="K18" s="18">
        <v>82841687.5</v>
      </c>
      <c r="L18" s="18">
        <v>1365697795</v>
      </c>
      <c r="M18" s="21">
        <f t="shared" si="0"/>
        <v>5.3245625180981256E-2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1897500</v>
      </c>
      <c r="D19" s="17">
        <v>1897500000</v>
      </c>
      <c r="E19" s="18">
        <v>8.07</v>
      </c>
      <c r="F19" s="19" t="s">
        <v>78</v>
      </c>
      <c r="G19" s="19" t="s">
        <v>104</v>
      </c>
      <c r="H19" s="18">
        <v>1338524962.5</v>
      </c>
      <c r="I19" s="20">
        <v>59.889300000000006</v>
      </c>
      <c r="J19" s="20">
        <v>65.784900000000007</v>
      </c>
      <c r="K19" s="18">
        <v>111868693.75</v>
      </c>
      <c r="L19" s="18">
        <v>1248268161.25</v>
      </c>
      <c r="M19" s="21">
        <f t="shared" si="0"/>
        <v>4.8667295856086645E-2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2469500</v>
      </c>
      <c r="D20" s="17">
        <v>2469500000</v>
      </c>
      <c r="E20" s="18">
        <v>7.68</v>
      </c>
      <c r="F20" s="19" t="s">
        <v>106</v>
      </c>
      <c r="G20" s="19" t="s">
        <v>107</v>
      </c>
      <c r="H20" s="18">
        <v>1827657194</v>
      </c>
      <c r="I20" s="20">
        <v>74.537999999999997</v>
      </c>
      <c r="J20" s="20">
        <v>76.010000000000005</v>
      </c>
      <c r="K20" s="18">
        <v>36351040</v>
      </c>
      <c r="L20" s="18">
        <v>1877066950</v>
      </c>
      <c r="M20" s="21">
        <f t="shared" si="0"/>
        <v>7.3182810739844298E-2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1106600</v>
      </c>
      <c r="D21" s="17">
        <v>1106600000</v>
      </c>
      <c r="E21" s="18">
        <v>5.5</v>
      </c>
      <c r="F21" s="19" t="s">
        <v>109</v>
      </c>
      <c r="G21" s="19" t="s">
        <v>110</v>
      </c>
      <c r="H21" s="18">
        <v>999478906.79999995</v>
      </c>
      <c r="I21" s="20">
        <v>91.336700000000008</v>
      </c>
      <c r="J21" s="20">
        <v>92.31450000000001</v>
      </c>
      <c r="K21" s="18">
        <v>10820088.888888899</v>
      </c>
      <c r="L21" s="18">
        <v>1021552011.08889</v>
      </c>
      <c r="M21" s="21">
        <f t="shared" si="0"/>
        <v>3.9828119869898919E-2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3162500</v>
      </c>
      <c r="D22" s="17">
        <v>3162500000</v>
      </c>
      <c r="E22" s="18">
        <v>5.49</v>
      </c>
      <c r="F22" s="19" t="s">
        <v>78</v>
      </c>
      <c r="G22" s="19" t="s">
        <v>112</v>
      </c>
      <c r="H22" s="18">
        <v>2627740225</v>
      </c>
      <c r="I22" s="20">
        <v>85.615499999999997</v>
      </c>
      <c r="J22" s="20">
        <v>88.741799999999998</v>
      </c>
      <c r="K22" s="18">
        <v>98867656.25</v>
      </c>
      <c r="L22" s="18">
        <v>2806457843.75</v>
      </c>
      <c r="M22" s="21">
        <f t="shared" si="0"/>
        <v>0.10941776649389505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11</v>
      </c>
      <c r="F23" s="19" t="s">
        <v>78</v>
      </c>
      <c r="G23" s="19" t="s">
        <v>114</v>
      </c>
      <c r="H23" s="18">
        <v>1743261712.5</v>
      </c>
      <c r="I23" s="20">
        <v>84.216200000000001</v>
      </c>
      <c r="J23" s="20">
        <v>90.388400000000004</v>
      </c>
      <c r="K23" s="18">
        <v>117117916.666667</v>
      </c>
      <c r="L23" s="18">
        <v>1715120311.666666</v>
      </c>
      <c r="M23" s="21">
        <f t="shared" si="0"/>
        <v>6.686885897424405E-2</v>
      </c>
      <c r="O23" s="10">
        <v>749863.88888888899</v>
      </c>
    </row>
    <row r="24" spans="1:15" x14ac:dyDescent="0.2">
      <c r="A24" s="15" t="s">
        <v>115</v>
      </c>
      <c r="B24" s="15" t="s">
        <v>116</v>
      </c>
      <c r="C24" s="16">
        <v>992234</v>
      </c>
      <c r="D24" s="17">
        <v>992234000</v>
      </c>
      <c r="E24" s="18">
        <v>14.3</v>
      </c>
      <c r="F24" s="19" t="s">
        <v>117</v>
      </c>
      <c r="G24" s="19" t="s">
        <v>118</v>
      </c>
      <c r="H24" s="18">
        <v>991722999.49000001</v>
      </c>
      <c r="I24" s="20">
        <v>94.552525669999994</v>
      </c>
      <c r="J24" s="20">
        <v>96.498925670000006</v>
      </c>
      <c r="K24" s="18">
        <v>19312732.327777769</v>
      </c>
      <c r="L24" s="18">
        <v>957495039.89331198</v>
      </c>
      <c r="M24" s="21">
        <f t="shared" si="0"/>
        <v>3.7330676078896348E-2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1003431614.6888899</v>
      </c>
      <c r="L26" s="23">
        <f>SUM(L8:L25)</f>
        <v>25649014174.55442</v>
      </c>
      <c r="M26" s="26">
        <f>SUM(M8:M25)</f>
        <v>1</v>
      </c>
      <c r="N26" s="9">
        <v>25649014174.55442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920143.58</v>
      </c>
    </row>
    <row r="30" spans="1:15" x14ac:dyDescent="0.2">
      <c r="A30" s="29" t="s">
        <v>76</v>
      </c>
      <c r="B30" s="30">
        <v>920143.58</v>
      </c>
      <c r="C30" s="62">
        <v>920143.64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14588</v>
      </c>
      <c r="D35" s="32" t="s">
        <v>68</v>
      </c>
      <c r="E35" s="34" t="s">
        <v>69</v>
      </c>
      <c r="F35" s="34" t="s">
        <v>70</v>
      </c>
      <c r="G35" s="35">
        <v>960.17</v>
      </c>
      <c r="H35" s="35">
        <f>J35/C35</f>
        <v>960.61722854400887</v>
      </c>
      <c r="I35" s="36">
        <v>14006959.960000001</v>
      </c>
      <c r="J35" s="36">
        <v>14013484.130000001</v>
      </c>
      <c r="K35" s="37">
        <v>17.001000000000001</v>
      </c>
      <c r="L35" s="37">
        <v>6524.17</v>
      </c>
      <c r="M35" s="31">
        <f>I35+L35</f>
        <v>14013484.130000001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2330954</v>
      </c>
      <c r="D36" s="32" t="s">
        <v>68</v>
      </c>
      <c r="E36" s="34" t="s">
        <v>69</v>
      </c>
      <c r="F36" s="34" t="s">
        <v>70</v>
      </c>
      <c r="G36" s="35">
        <v>960.17</v>
      </c>
      <c r="H36" s="35">
        <f>J36/C36</f>
        <v>960.61722876985129</v>
      </c>
      <c r="I36" s="36">
        <v>2238112102.1799998</v>
      </c>
      <c r="J36" s="36">
        <v>2239154571.8699999</v>
      </c>
      <c r="K36" s="37">
        <v>17.001000000000001</v>
      </c>
      <c r="L36" s="37">
        <v>1042469.69</v>
      </c>
      <c r="M36" s="31">
        <f>I36+L36</f>
        <v>2239154571.8699999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20244</v>
      </c>
      <c r="D37" s="32" t="s">
        <v>68</v>
      </c>
      <c r="E37" s="34" t="s">
        <v>70</v>
      </c>
      <c r="F37" s="34" t="s">
        <v>72</v>
      </c>
      <c r="G37" s="35">
        <v>592.98200009879508</v>
      </c>
      <c r="H37" s="35">
        <f>J37/C37</f>
        <v>593.25980833827305</v>
      </c>
      <c r="I37" s="36">
        <v>12004327.609999999</v>
      </c>
      <c r="J37" s="36">
        <v>12009951.560000001</v>
      </c>
      <c r="K37" s="37">
        <v>17.100000000000001</v>
      </c>
      <c r="L37" s="37"/>
      <c r="M37" s="31">
        <f>I37+L37</f>
        <v>12004327.609999999</v>
      </c>
      <c r="N37" s="10"/>
      <c r="O37" s="9"/>
      <c r="Q37" s="9">
        <v>1</v>
      </c>
    </row>
    <row r="38" spans="1:17" x14ac:dyDescent="0.2">
      <c r="A38" s="32" t="s">
        <v>73</v>
      </c>
      <c r="B38" s="32" t="s">
        <v>74</v>
      </c>
      <c r="C38" s="33">
        <v>2154240</v>
      </c>
      <c r="D38" s="32" t="s">
        <v>68</v>
      </c>
      <c r="E38" s="34" t="s">
        <v>70</v>
      </c>
      <c r="F38" s="34" t="s">
        <v>72</v>
      </c>
      <c r="G38" s="35">
        <v>1010.831</v>
      </c>
      <c r="H38" s="35">
        <f>J38/C38</f>
        <v>1011.3031882380793</v>
      </c>
      <c r="I38" s="36">
        <v>2177572573.4400001</v>
      </c>
      <c r="J38" s="36">
        <v>2178589780.23</v>
      </c>
      <c r="K38" s="37">
        <v>17.0502</v>
      </c>
      <c r="L38" s="37"/>
      <c r="M38" s="31">
        <f>I38+L38</f>
        <v>2177572573.4400001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66402</v>
      </c>
      <c r="D39" s="32" t="s">
        <v>68</v>
      </c>
      <c r="E39" s="34" t="s">
        <v>70</v>
      </c>
      <c r="F39" s="34" t="s">
        <v>72</v>
      </c>
      <c r="G39" s="35">
        <v>949.2809999698801</v>
      </c>
      <c r="H39" s="35">
        <f>J39/C39</f>
        <v>949.72443646275713</v>
      </c>
      <c r="I39" s="36">
        <v>63034156.960000001</v>
      </c>
      <c r="J39" s="36">
        <v>63063602.030000001</v>
      </c>
      <c r="K39" s="37">
        <v>17.0502</v>
      </c>
      <c r="L39" s="37"/>
      <c r="M39" s="31">
        <f>I39+L39</f>
        <v>63034156.960000001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2252611058.0100002</v>
      </c>
      <c r="N41" s="65">
        <v>2252611058.0100002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27902545376.144424</v>
      </c>
      <c r="C48" s="62">
        <v>27902545376.204422</v>
      </c>
      <c r="D48" s="62">
        <f>__mdDATAItogoActive__-C48</f>
        <v>-5.999755859375E-2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-2.56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52000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F66" s="54"/>
      <c r="O66" s="9"/>
    </row>
    <row r="67" spans="1:15" ht="22.5" x14ac:dyDescent="0.2">
      <c r="A67" s="24">
        <v>5</v>
      </c>
      <c r="B67" s="58" t="s">
        <v>57</v>
      </c>
      <c r="C67" s="57">
        <v>396414.68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160652.81</v>
      </c>
      <c r="D68" s="57"/>
      <c r="O68" s="9"/>
    </row>
    <row r="69" spans="1:15" x14ac:dyDescent="0.2">
      <c r="A69" s="24">
        <v>7</v>
      </c>
      <c r="B69" s="55" t="s">
        <v>59</v>
      </c>
      <c r="C69" s="57">
        <v>35835.200000000004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644900.12999999989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22.10.2025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9455.44</v>
      </c>
      <c r="G4" s="5"/>
      <c r="H4" s="5"/>
      <c r="I4" s="5"/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121</v>
      </c>
      <c r="E5" s="4" t="s">
        <v>126</v>
      </c>
      <c r="F5" s="4">
        <v>1481.56</v>
      </c>
      <c r="G5" s="5"/>
      <c r="H5" s="5"/>
      <c r="I5" s="5"/>
      <c r="J5" s="4" t="s">
        <v>123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121</v>
      </c>
      <c r="E6" s="4" t="s">
        <v>129</v>
      </c>
      <c r="F6" s="4">
        <v>591035.98</v>
      </c>
      <c r="G6" s="5"/>
      <c r="H6" s="5"/>
      <c r="I6" s="5"/>
      <c r="J6" s="4" t="s">
        <v>123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121</v>
      </c>
      <c r="E7" s="4" t="s">
        <v>129</v>
      </c>
      <c r="F7" s="4">
        <v>6301.35</v>
      </c>
      <c r="G7" s="5"/>
      <c r="H7" s="5"/>
      <c r="I7" s="5"/>
      <c r="J7" s="4" t="s">
        <v>123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134</v>
      </c>
      <c r="E8" s="4" t="s">
        <v>129</v>
      </c>
      <c r="F8" s="4">
        <v>0.94659799999999994</v>
      </c>
      <c r="G8" s="5">
        <v>94.707700000000003</v>
      </c>
      <c r="H8" s="5">
        <v>6.2</v>
      </c>
      <c r="I8" s="5">
        <v>7850</v>
      </c>
      <c r="J8" s="4" t="s">
        <v>135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121</v>
      </c>
      <c r="E9" s="4" t="s">
        <v>129</v>
      </c>
      <c r="F9" s="4">
        <v>90682.29</v>
      </c>
      <c r="G9" s="5"/>
      <c r="H9" s="5"/>
      <c r="I9" s="5"/>
      <c r="J9" s="4" t="s">
        <v>123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121</v>
      </c>
      <c r="E10" s="4" t="s">
        <v>129</v>
      </c>
      <c r="F10" s="4">
        <v>5523.73</v>
      </c>
      <c r="G10" s="5"/>
      <c r="H10" s="5"/>
      <c r="I10" s="5"/>
      <c r="J10" s="4" t="s">
        <v>123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121</v>
      </c>
      <c r="E11" s="4" t="s">
        <v>129</v>
      </c>
      <c r="F11" s="4">
        <v>2740</v>
      </c>
      <c r="G11" s="5"/>
      <c r="H11" s="5"/>
      <c r="I11" s="5"/>
      <c r="J11" s="4" t="s">
        <v>123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121</v>
      </c>
      <c r="E12" s="4" t="s">
        <v>129</v>
      </c>
      <c r="F12" s="4">
        <v>6054753.1299999999</v>
      </c>
      <c r="G12" s="5"/>
      <c r="H12" s="5"/>
      <c r="I12" s="5"/>
      <c r="J12" s="4" t="s">
        <v>123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121</v>
      </c>
      <c r="E13" s="4" t="s">
        <v>129</v>
      </c>
      <c r="F13" s="4">
        <v>70171.73</v>
      </c>
      <c r="G13" s="5"/>
      <c r="H13" s="5"/>
      <c r="I13" s="5"/>
      <c r="J13" s="4" t="s">
        <v>123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134</v>
      </c>
      <c r="E14" s="4" t="s">
        <v>129</v>
      </c>
      <c r="F14" s="4">
        <v>0.90949799999999992</v>
      </c>
      <c r="G14" s="5">
        <v>91.027600000000007</v>
      </c>
      <c r="H14" s="5">
        <v>4.96</v>
      </c>
      <c r="I14" s="5">
        <v>2732</v>
      </c>
      <c r="J14" s="4" t="s">
        <v>135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121</v>
      </c>
      <c r="E15" s="4" t="s">
        <v>129</v>
      </c>
      <c r="F15" s="4">
        <v>632881.69000000006</v>
      </c>
      <c r="G15" s="5"/>
      <c r="H15" s="5"/>
      <c r="I15" s="5"/>
      <c r="J15" s="4" t="s">
        <v>123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121</v>
      </c>
      <c r="E16" s="4" t="s">
        <v>129</v>
      </c>
      <c r="F16" s="4">
        <v>570607.53</v>
      </c>
      <c r="G16" s="5"/>
      <c r="H16" s="5"/>
      <c r="I16" s="5"/>
      <c r="J16" s="4" t="s">
        <v>123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121</v>
      </c>
      <c r="E17" s="4" t="s">
        <v>129</v>
      </c>
      <c r="F17" s="4">
        <v>1801476.14</v>
      </c>
      <c r="G17" s="5"/>
      <c r="H17" s="5"/>
      <c r="I17" s="5"/>
      <c r="J17" s="4" t="s">
        <v>123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121</v>
      </c>
      <c r="E18" s="4" t="s">
        <v>129</v>
      </c>
      <c r="F18" s="4">
        <v>74186.559999999998</v>
      </c>
      <c r="G18" s="5"/>
      <c r="H18" s="5"/>
      <c r="I18" s="5"/>
      <c r="J18" s="4" t="s">
        <v>123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121</v>
      </c>
      <c r="E19" s="4" t="s">
        <v>129</v>
      </c>
      <c r="F19" s="4">
        <v>75027.61</v>
      </c>
      <c r="G19" s="5"/>
      <c r="H19" s="5"/>
      <c r="I19" s="5"/>
      <c r="J19" s="4" t="s">
        <v>123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121</v>
      </c>
      <c r="E20" s="4" t="s">
        <v>129</v>
      </c>
      <c r="F20" s="4">
        <v>53573.18</v>
      </c>
      <c r="G20" s="5"/>
      <c r="H20" s="5"/>
      <c r="I20" s="5"/>
      <c r="J20" s="4" t="s">
        <v>123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121</v>
      </c>
      <c r="E21" s="4" t="s">
        <v>129</v>
      </c>
      <c r="F21" s="4">
        <v>7.16</v>
      </c>
      <c r="G21" s="5"/>
      <c r="H21" s="5"/>
      <c r="I21" s="5"/>
      <c r="J21" s="4" t="s">
        <v>123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134</v>
      </c>
      <c r="E22" s="4" t="s">
        <v>129</v>
      </c>
      <c r="F22" s="4">
        <v>1000</v>
      </c>
      <c r="G22" s="5">
        <v>107.50320000000001</v>
      </c>
      <c r="H22" s="5">
        <v>17.52</v>
      </c>
      <c r="I22" s="5">
        <v>1124</v>
      </c>
      <c r="J22" s="4" t="s">
        <v>135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134</v>
      </c>
      <c r="E23" s="4" t="s">
        <v>129</v>
      </c>
      <c r="F23" s="4">
        <v>1000</v>
      </c>
      <c r="G23" s="5">
        <v>100.51780000000001</v>
      </c>
      <c r="H23" s="5">
        <v>23.24</v>
      </c>
      <c r="I23" s="5">
        <v>24</v>
      </c>
      <c r="J23" s="4" t="s">
        <v>135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134</v>
      </c>
      <c r="E24" s="4" t="s">
        <v>129</v>
      </c>
      <c r="F24" s="4">
        <v>1000</v>
      </c>
      <c r="G24" s="5">
        <v>100.3853</v>
      </c>
      <c r="H24" s="5">
        <v>17.330000000000002</v>
      </c>
      <c r="I24" s="5">
        <v>723</v>
      </c>
      <c r="J24" s="4" t="s">
        <v>135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134</v>
      </c>
      <c r="E25" s="4" t="s">
        <v>129</v>
      </c>
      <c r="F25" s="4">
        <v>1000</v>
      </c>
      <c r="G25" s="5">
        <v>104.8785</v>
      </c>
      <c r="H25" s="5">
        <v>17.71</v>
      </c>
      <c r="I25" s="5">
        <v>1910</v>
      </c>
      <c r="J25" s="4" t="s">
        <v>135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134</v>
      </c>
      <c r="E26" s="4" t="s">
        <v>129</v>
      </c>
      <c r="F26" s="4">
        <v>1000</v>
      </c>
      <c r="G26" s="5">
        <v>102.40100000000001</v>
      </c>
      <c r="H26" s="5">
        <v>17.62</v>
      </c>
      <c r="I26" s="5">
        <v>1594</v>
      </c>
      <c r="J26" s="4" t="s">
        <v>135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121</v>
      </c>
      <c r="E27" s="4" t="s">
        <v>129</v>
      </c>
      <c r="F27" s="4">
        <v>1500.7</v>
      </c>
      <c r="G27" s="5"/>
      <c r="H27" s="5"/>
      <c r="I27" s="5"/>
      <c r="J27" s="4" t="s">
        <v>123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134</v>
      </c>
      <c r="E28" s="4" t="s">
        <v>129</v>
      </c>
      <c r="F28" s="4">
        <v>495924</v>
      </c>
      <c r="G28" s="5">
        <v>99.35560000000001</v>
      </c>
      <c r="H28" s="5">
        <v>21.71</v>
      </c>
      <c r="I28" s="5">
        <v>271</v>
      </c>
      <c r="J28" s="4" t="s">
        <v>135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134</v>
      </c>
      <c r="E29" s="4" t="s">
        <v>129</v>
      </c>
      <c r="F29" s="4">
        <v>828</v>
      </c>
      <c r="G29" s="5">
        <v>83.35560000000001</v>
      </c>
      <c r="H29" s="5">
        <v>44.44</v>
      </c>
      <c r="I29" s="5">
        <v>419</v>
      </c>
      <c r="J29" s="4" t="s">
        <v>135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134</v>
      </c>
      <c r="E30" s="4" t="s">
        <v>129</v>
      </c>
      <c r="F30" s="4">
        <v>500020</v>
      </c>
      <c r="G30" s="5">
        <v>102.3262</v>
      </c>
      <c r="H30" s="5">
        <v>21.72</v>
      </c>
      <c r="I30" s="5">
        <v>54</v>
      </c>
      <c r="J30" s="4" t="s">
        <v>135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134</v>
      </c>
      <c r="E31" s="4" t="s">
        <v>129</v>
      </c>
      <c r="F31" s="4">
        <v>990.23400000000004</v>
      </c>
      <c r="G31" s="5">
        <v>102.8734</v>
      </c>
      <c r="H31" s="5">
        <v>23.02</v>
      </c>
      <c r="I31" s="5">
        <v>394</v>
      </c>
      <c r="J31" s="4" t="s">
        <v>135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134</v>
      </c>
      <c r="E32" s="4" t="s">
        <v>129</v>
      </c>
      <c r="F32" s="4">
        <v>1012.1849999999999</v>
      </c>
      <c r="G32" s="5">
        <v>103.78240000000001</v>
      </c>
      <c r="H32" s="5">
        <v>5.99</v>
      </c>
      <c r="I32" s="5">
        <v>952</v>
      </c>
      <c r="J32" s="4" t="s">
        <v>135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134</v>
      </c>
      <c r="E33" s="4" t="s">
        <v>129</v>
      </c>
      <c r="F33" s="4">
        <v>99.998900000000006</v>
      </c>
      <c r="G33" s="5">
        <v>100.06</v>
      </c>
      <c r="H33" s="5">
        <v>11</v>
      </c>
      <c r="I33" s="5">
        <v>668</v>
      </c>
      <c r="J33" s="4" t="s">
        <v>135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134</v>
      </c>
      <c r="E34" s="4" t="s">
        <v>129</v>
      </c>
      <c r="F34" s="4">
        <v>101.974</v>
      </c>
      <c r="G34" s="5">
        <v>105.55730000000001</v>
      </c>
      <c r="H34" s="5">
        <v>5.49</v>
      </c>
      <c r="I34" s="5">
        <v>375</v>
      </c>
      <c r="J34" s="4" t="s">
        <v>135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134</v>
      </c>
      <c r="E35" s="4" t="s">
        <v>129</v>
      </c>
      <c r="F35" s="4">
        <v>984.21300000000008</v>
      </c>
      <c r="G35" s="5">
        <v>106.66300000000001</v>
      </c>
      <c r="H35" s="5">
        <v>19</v>
      </c>
      <c r="I35" s="5">
        <v>375</v>
      </c>
      <c r="J35" s="4" t="s">
        <v>135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134</v>
      </c>
      <c r="E36" s="4" t="s">
        <v>129</v>
      </c>
      <c r="F36" s="4">
        <v>765.52500000000009</v>
      </c>
      <c r="G36" s="5">
        <v>76.919200000000004</v>
      </c>
      <c r="H36" s="5">
        <v>42.79</v>
      </c>
      <c r="I36" s="5">
        <v>572</v>
      </c>
      <c r="J36" s="4" t="s">
        <v>135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134</v>
      </c>
      <c r="E37" s="4" t="s">
        <v>129</v>
      </c>
      <c r="F37" s="4">
        <v>86.88</v>
      </c>
      <c r="G37" s="5">
        <v>87.08</v>
      </c>
      <c r="H37" s="5">
        <v>21.97</v>
      </c>
      <c r="I37" s="5">
        <v>572</v>
      </c>
      <c r="J37" s="4" t="s">
        <v>135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134</v>
      </c>
      <c r="E38" s="4" t="s">
        <v>129</v>
      </c>
      <c r="F38" s="4">
        <v>495595</v>
      </c>
      <c r="G38" s="5">
        <v>99.527300000000011</v>
      </c>
      <c r="H38" s="5">
        <v>21.62</v>
      </c>
      <c r="I38" s="5">
        <v>632</v>
      </c>
      <c r="J38" s="4" t="s">
        <v>135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134</v>
      </c>
      <c r="E39" s="4" t="s">
        <v>129</v>
      </c>
      <c r="F39" s="4">
        <v>100.1883</v>
      </c>
      <c r="G39" s="5">
        <v>101.655</v>
      </c>
      <c r="H39" s="5">
        <v>10.73</v>
      </c>
      <c r="I39" s="5">
        <v>318</v>
      </c>
      <c r="J39" s="4" t="s">
        <v>135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134</v>
      </c>
      <c r="E40" s="4" t="s">
        <v>129</v>
      </c>
      <c r="F40" s="4">
        <v>777.58</v>
      </c>
      <c r="G40" s="5">
        <v>77.878399999999999</v>
      </c>
      <c r="H40" s="5">
        <v>34.58</v>
      </c>
      <c r="I40" s="5">
        <v>973</v>
      </c>
      <c r="J40" s="4" t="s">
        <v>135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134</v>
      </c>
      <c r="E41" s="4" t="s">
        <v>129</v>
      </c>
      <c r="F41" s="4">
        <v>999.99</v>
      </c>
      <c r="G41" s="5">
        <v>100.97680000000001</v>
      </c>
      <c r="H41" s="5">
        <v>22</v>
      </c>
      <c r="I41" s="5">
        <v>715</v>
      </c>
      <c r="J41" s="4" t="s">
        <v>135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134</v>
      </c>
      <c r="E42" s="4" t="s">
        <v>129</v>
      </c>
      <c r="F42" s="4">
        <v>964.20300000000009</v>
      </c>
      <c r="G42" s="5">
        <v>96.473100000000002</v>
      </c>
      <c r="H42" s="5">
        <v>23.05</v>
      </c>
      <c r="I42" s="5">
        <v>365</v>
      </c>
      <c r="J42" s="4" t="s">
        <v>135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134</v>
      </c>
      <c r="E43" s="4" t="s">
        <v>129</v>
      </c>
      <c r="F43" s="4">
        <v>957.85599999999999</v>
      </c>
      <c r="G43" s="5">
        <v>97.052300000000002</v>
      </c>
      <c r="H43" s="5">
        <v>21.36</v>
      </c>
      <c r="I43" s="5">
        <v>829</v>
      </c>
      <c r="J43" s="4" t="s">
        <v>135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134</v>
      </c>
      <c r="E44" s="4" t="s">
        <v>129</v>
      </c>
      <c r="F44" s="4">
        <v>995.98800000000006</v>
      </c>
      <c r="G44" s="5">
        <v>100.18210000000001</v>
      </c>
      <c r="H44" s="5">
        <v>21.21</v>
      </c>
      <c r="I44" s="5">
        <v>873</v>
      </c>
      <c r="J44" s="4" t="s">
        <v>135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134</v>
      </c>
      <c r="E45" s="4" t="s">
        <v>129</v>
      </c>
      <c r="F45" s="4">
        <v>1006.033</v>
      </c>
      <c r="G45" s="5">
        <v>108.34910000000001</v>
      </c>
      <c r="H45" s="5">
        <v>18.990000000000002</v>
      </c>
      <c r="I45" s="5">
        <v>585</v>
      </c>
      <c r="J45" s="4" t="s">
        <v>135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134</v>
      </c>
      <c r="E46" s="4" t="s">
        <v>129</v>
      </c>
      <c r="F46" s="4">
        <v>98.344400000000007</v>
      </c>
      <c r="G46" s="5">
        <v>98.455500000000001</v>
      </c>
      <c r="H46" s="5">
        <v>11.28</v>
      </c>
      <c r="I46" s="5">
        <v>513</v>
      </c>
      <c r="J46" s="4" t="s">
        <v>135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134</v>
      </c>
      <c r="E47" s="4" t="s">
        <v>129</v>
      </c>
      <c r="F47" s="4">
        <v>1000</v>
      </c>
      <c r="G47" s="5">
        <v>103.9004</v>
      </c>
      <c r="H47" s="5">
        <v>16.91</v>
      </c>
      <c r="I47" s="5">
        <v>1378</v>
      </c>
      <c r="J47" s="4" t="s">
        <v>135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134</v>
      </c>
      <c r="E48" s="4" t="s">
        <v>129</v>
      </c>
      <c r="F48" s="4">
        <v>999.9670000000001</v>
      </c>
      <c r="G48" s="5">
        <v>100.16340000000001</v>
      </c>
      <c r="H48" s="5">
        <v>10</v>
      </c>
      <c r="I48" s="5">
        <v>360</v>
      </c>
      <c r="J48" s="4" t="s">
        <v>135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134</v>
      </c>
      <c r="E49" s="4" t="s">
        <v>129</v>
      </c>
      <c r="F49" s="4">
        <v>1000</v>
      </c>
      <c r="G49" s="5">
        <v>100.44</v>
      </c>
      <c r="H49" s="5">
        <v>22.63</v>
      </c>
      <c r="I49" s="5">
        <v>663</v>
      </c>
      <c r="J49" s="4" t="s">
        <v>135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134</v>
      </c>
      <c r="E50" s="4" t="s">
        <v>129</v>
      </c>
      <c r="F50" s="4">
        <v>987.77</v>
      </c>
      <c r="G50" s="5">
        <v>100.2214</v>
      </c>
      <c r="H50" s="5">
        <v>22.55</v>
      </c>
      <c r="I50" s="5">
        <v>187</v>
      </c>
      <c r="J50" s="4" t="s">
        <v>135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134</v>
      </c>
      <c r="E51" s="4" t="s">
        <v>129</v>
      </c>
      <c r="F51" s="4">
        <v>1010.0060000000001</v>
      </c>
      <c r="G51" s="5">
        <v>102.37560000000001</v>
      </c>
      <c r="H51" s="5">
        <v>21.97</v>
      </c>
      <c r="I51" s="5">
        <v>892</v>
      </c>
      <c r="J51" s="4" t="s">
        <v>135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134</v>
      </c>
      <c r="E52" s="4" t="s">
        <v>129</v>
      </c>
      <c r="F52" s="4">
        <v>79.605000000000004</v>
      </c>
      <c r="G52" s="5">
        <v>80.582800000000006</v>
      </c>
      <c r="H52" s="5">
        <v>77.55</v>
      </c>
      <c r="I52" s="5">
        <v>150</v>
      </c>
      <c r="J52" s="4" t="s">
        <v>135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121</v>
      </c>
      <c r="E53" s="4" t="s">
        <v>129</v>
      </c>
      <c r="F53" s="4">
        <v>54378.67</v>
      </c>
      <c r="G53" s="5"/>
      <c r="H53" s="5"/>
      <c r="I53" s="5"/>
      <c r="J53" s="4" t="s">
        <v>123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134</v>
      </c>
      <c r="E54" s="4" t="s">
        <v>129</v>
      </c>
      <c r="F54" s="4">
        <v>967.34800000000007</v>
      </c>
      <c r="G54" s="5">
        <v>98.134799999999998</v>
      </c>
      <c r="H54" s="5">
        <v>22.76</v>
      </c>
      <c r="I54" s="5">
        <v>889</v>
      </c>
      <c r="J54" s="4" t="s">
        <v>135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134</v>
      </c>
      <c r="E55" s="4" t="s">
        <v>129</v>
      </c>
      <c r="F55" s="4">
        <v>985.90100000000007</v>
      </c>
      <c r="G55" s="5">
        <v>100.10680000000001</v>
      </c>
      <c r="H55" s="5">
        <v>22.01</v>
      </c>
      <c r="I55" s="5">
        <v>613</v>
      </c>
      <c r="J55" s="4" t="s">
        <v>135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134</v>
      </c>
      <c r="E56" s="4" t="s">
        <v>129</v>
      </c>
      <c r="F56" s="4">
        <v>996.971</v>
      </c>
      <c r="G56" s="5">
        <v>99.697100000000006</v>
      </c>
      <c r="H56" s="5">
        <v>22.21</v>
      </c>
      <c r="I56" s="5">
        <v>639</v>
      </c>
      <c r="J56" s="4" t="s">
        <v>135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134</v>
      </c>
      <c r="E57" s="4" t="s">
        <v>129</v>
      </c>
      <c r="F57" s="4">
        <v>769.45</v>
      </c>
      <c r="G57" s="5">
        <v>77.967200000000005</v>
      </c>
      <c r="H57" s="5">
        <v>121.46</v>
      </c>
      <c r="I57" s="5">
        <v>108</v>
      </c>
      <c r="J57" s="4" t="s">
        <v>135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134</v>
      </c>
      <c r="E58" s="4" t="s">
        <v>129</v>
      </c>
      <c r="F58" s="4">
        <v>997.38700000000006</v>
      </c>
      <c r="G58" s="5">
        <v>100.4109</v>
      </c>
      <c r="H58" s="5">
        <v>22.18</v>
      </c>
      <c r="I58" s="5">
        <v>659</v>
      </c>
      <c r="J58" s="4" t="s">
        <v>135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134</v>
      </c>
      <c r="E59" s="4" t="s">
        <v>129</v>
      </c>
      <c r="F59" s="4">
        <v>99.998800000000003</v>
      </c>
      <c r="G59" s="5">
        <v>100.63210000000001</v>
      </c>
      <c r="H59" s="5">
        <v>12</v>
      </c>
      <c r="I59" s="5">
        <v>620</v>
      </c>
      <c r="J59" s="4" t="s">
        <v>135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134</v>
      </c>
      <c r="E60" s="4" t="s">
        <v>129</v>
      </c>
      <c r="F60" s="4">
        <v>985.59800000000007</v>
      </c>
      <c r="G60" s="5">
        <v>106.24040000000001</v>
      </c>
      <c r="H60" s="5">
        <v>19.02</v>
      </c>
      <c r="I60" s="5">
        <v>389</v>
      </c>
      <c r="J60" s="4" t="s">
        <v>135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134</v>
      </c>
      <c r="E61" s="4" t="s">
        <v>129</v>
      </c>
      <c r="F61" s="4">
        <v>9.91465</v>
      </c>
      <c r="G61" s="5">
        <v>99.452100000000002</v>
      </c>
      <c r="H61" s="5">
        <v>10.5</v>
      </c>
      <c r="I61" s="5">
        <v>690</v>
      </c>
      <c r="J61" s="4" t="s">
        <v>135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134</v>
      </c>
      <c r="E62" s="4" t="s">
        <v>129</v>
      </c>
      <c r="F62" s="4">
        <v>958.84700000000009</v>
      </c>
      <c r="G62" s="5">
        <v>97.40140000000001</v>
      </c>
      <c r="H62" s="5">
        <v>23.07</v>
      </c>
      <c r="I62" s="5">
        <v>979</v>
      </c>
      <c r="J62" s="4" t="s">
        <v>135</v>
      </c>
    </row>
    <row r="63" spans="1:10" x14ac:dyDescent="0.25">
      <c r="A63" s="4">
        <f t="shared" ca="1" si="1"/>
        <v>60</v>
      </c>
      <c r="B63" s="4" t="s">
        <v>244</v>
      </c>
      <c r="C63" s="4" t="s">
        <v>245</v>
      </c>
      <c r="D63" s="4" t="s">
        <v>134</v>
      </c>
      <c r="E63" s="4" t="s">
        <v>129</v>
      </c>
      <c r="F63" s="4">
        <v>1003.302</v>
      </c>
      <c r="G63" s="5">
        <v>102.2663</v>
      </c>
      <c r="H63" s="5">
        <v>20.23</v>
      </c>
      <c r="I63" s="5">
        <v>697</v>
      </c>
      <c r="J63" s="4" t="s">
        <v>135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121</v>
      </c>
      <c r="E64" s="4" t="s">
        <v>248</v>
      </c>
      <c r="F64" s="4">
        <v>39431.57</v>
      </c>
      <c r="G64" s="5"/>
      <c r="H64" s="5"/>
      <c r="I64" s="5"/>
      <c r="J64" s="4" t="s">
        <v>123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121</v>
      </c>
      <c r="E65" s="4" t="s">
        <v>248</v>
      </c>
      <c r="F65" s="4">
        <v>30474.080000000002</v>
      </c>
      <c r="G65" s="5"/>
      <c r="H65" s="5"/>
      <c r="I65" s="5"/>
      <c r="J65" s="4" t="s">
        <v>123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134</v>
      </c>
      <c r="E66" s="4" t="s">
        <v>253</v>
      </c>
      <c r="F66" s="4">
        <v>16714.5</v>
      </c>
      <c r="G66" s="5">
        <v>1671.4490000000001</v>
      </c>
      <c r="H66" s="5"/>
      <c r="I66" s="5">
        <v>156</v>
      </c>
      <c r="J66" s="4" t="s">
        <v>135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121</v>
      </c>
      <c r="E67" s="4" t="s">
        <v>256</v>
      </c>
      <c r="F67" s="4">
        <v>21964.31</v>
      </c>
      <c r="G67" s="5"/>
      <c r="H67" s="5"/>
      <c r="I67" s="5"/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257</v>
      </c>
      <c r="C68" s="4" t="s">
        <v>258</v>
      </c>
      <c r="D68" s="4" t="s">
        <v>134</v>
      </c>
      <c r="E68" s="4" t="s">
        <v>256</v>
      </c>
      <c r="F68" s="4">
        <v>994.298</v>
      </c>
      <c r="G68" s="5">
        <v>102.5819</v>
      </c>
      <c r="H68" s="5">
        <v>6.42</v>
      </c>
      <c r="I68" s="5">
        <v>8404</v>
      </c>
      <c r="J68" s="4" t="s">
        <v>135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121</v>
      </c>
      <c r="E69" s="4" t="s">
        <v>261</v>
      </c>
      <c r="F69" s="4">
        <v>3379.34</v>
      </c>
      <c r="G69" s="5"/>
      <c r="H69" s="5"/>
      <c r="I69" s="5"/>
      <c r="J69" s="4" t="s">
        <v>123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134</v>
      </c>
      <c r="E70" s="4" t="s">
        <v>264</v>
      </c>
      <c r="F70" s="4">
        <v>0.97057499999999997</v>
      </c>
      <c r="G70" s="5">
        <v>98.024200000000008</v>
      </c>
      <c r="H70" s="5">
        <v>5</v>
      </c>
      <c r="I70" s="5">
        <v>372</v>
      </c>
      <c r="J70" s="4" t="s">
        <v>135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121</v>
      </c>
      <c r="E71" s="4" t="s">
        <v>267</v>
      </c>
      <c r="F71" s="4">
        <v>7316.12</v>
      </c>
      <c r="G71" s="5"/>
      <c r="H71" s="5"/>
      <c r="I71" s="5"/>
      <c r="J71" s="4" t="s">
        <v>123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121</v>
      </c>
      <c r="E72" s="4" t="s">
        <v>267</v>
      </c>
      <c r="F72" s="4">
        <v>4682.82</v>
      </c>
      <c r="G72" s="5"/>
      <c r="H72" s="5"/>
      <c r="I72" s="5"/>
      <c r="J72" s="4" t="s">
        <v>123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134</v>
      </c>
      <c r="E73" s="4" t="s">
        <v>272</v>
      </c>
      <c r="F73" s="4">
        <v>986.87700000000007</v>
      </c>
      <c r="G73" s="5">
        <v>101.4606</v>
      </c>
      <c r="H73" s="5">
        <v>18.82</v>
      </c>
      <c r="I73" s="5">
        <v>859</v>
      </c>
      <c r="J73" s="4" t="s">
        <v>135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134</v>
      </c>
      <c r="E74" s="4" t="s">
        <v>272</v>
      </c>
      <c r="F74" s="4">
        <v>99.091700000000003</v>
      </c>
      <c r="G74" s="5">
        <v>99.091700000000003</v>
      </c>
      <c r="H74" s="5">
        <v>15.93</v>
      </c>
      <c r="I74" s="5">
        <v>22</v>
      </c>
      <c r="J74" s="4" t="s">
        <v>135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134</v>
      </c>
      <c r="E75" s="4" t="s">
        <v>272</v>
      </c>
      <c r="F75" s="4">
        <v>100.01440000000001</v>
      </c>
      <c r="G75" s="5">
        <v>100.59220000000001</v>
      </c>
      <c r="H75" s="5">
        <v>7.99</v>
      </c>
      <c r="I75" s="5">
        <v>796</v>
      </c>
      <c r="J75" s="4" t="s">
        <v>135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134</v>
      </c>
      <c r="E76" s="4" t="s">
        <v>66</v>
      </c>
      <c r="F76" s="4">
        <v>1000</v>
      </c>
      <c r="G76" s="5">
        <v>110.5647</v>
      </c>
      <c r="H76" s="5">
        <v>12.98</v>
      </c>
      <c r="I76" s="5">
        <v>1166</v>
      </c>
      <c r="J76" s="4" t="s">
        <v>135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134</v>
      </c>
      <c r="E77" s="4" t="s">
        <v>66</v>
      </c>
      <c r="F77" s="4">
        <v>1000</v>
      </c>
      <c r="G77" s="5">
        <v>101.98990000000001</v>
      </c>
      <c r="H77" s="5">
        <v>12.99</v>
      </c>
      <c r="I77" s="5">
        <v>1406</v>
      </c>
      <c r="J77" s="4" t="s">
        <v>135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134</v>
      </c>
      <c r="E78" s="4" t="s">
        <v>66</v>
      </c>
      <c r="F78" s="4">
        <v>1000</v>
      </c>
      <c r="G78" s="5">
        <v>105.21</v>
      </c>
      <c r="H78" s="5">
        <v>12.68</v>
      </c>
      <c r="I78" s="5">
        <v>219</v>
      </c>
      <c r="J78" s="4" t="s">
        <v>135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134</v>
      </c>
      <c r="E79" s="4" t="s">
        <v>66</v>
      </c>
      <c r="F79" s="4">
        <v>1000</v>
      </c>
      <c r="G79" s="5">
        <v>102.96680000000001</v>
      </c>
      <c r="H79" s="5">
        <v>12.83</v>
      </c>
      <c r="I79" s="5">
        <v>282</v>
      </c>
      <c r="J79" s="4" t="s">
        <v>135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134</v>
      </c>
      <c r="E80" s="4" t="s">
        <v>66</v>
      </c>
      <c r="F80" s="4">
        <v>1000</v>
      </c>
      <c r="G80" s="5">
        <v>106.25920000000001</v>
      </c>
      <c r="H80" s="5">
        <v>12.87</v>
      </c>
      <c r="I80" s="5">
        <v>555</v>
      </c>
      <c r="J80" s="4" t="s">
        <v>135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134</v>
      </c>
      <c r="E81" s="4" t="s">
        <v>66</v>
      </c>
      <c r="F81" s="4">
        <v>1000</v>
      </c>
      <c r="G81" s="5">
        <v>104.08840000000001</v>
      </c>
      <c r="H81" s="5">
        <v>12.91</v>
      </c>
      <c r="I81" s="5">
        <v>616</v>
      </c>
      <c r="J81" s="4" t="s">
        <v>135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134</v>
      </c>
      <c r="E82" s="4" t="s">
        <v>66</v>
      </c>
      <c r="F82" s="4">
        <v>1000</v>
      </c>
      <c r="G82" s="5">
        <v>111.7949</v>
      </c>
      <c r="H82" s="5">
        <v>12.99</v>
      </c>
      <c r="I82" s="5">
        <v>766</v>
      </c>
      <c r="J82" s="4" t="s">
        <v>135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134</v>
      </c>
      <c r="E83" s="4" t="s">
        <v>66</v>
      </c>
      <c r="F83" s="4">
        <v>1000</v>
      </c>
      <c r="G83" s="5">
        <v>101.98990000000001</v>
      </c>
      <c r="H83" s="5">
        <v>12.98</v>
      </c>
      <c r="I83" s="5">
        <v>1041</v>
      </c>
      <c r="J83" s="4" t="s">
        <v>135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134</v>
      </c>
      <c r="E84" s="4" t="s">
        <v>66</v>
      </c>
      <c r="F84" s="4">
        <v>1000</v>
      </c>
      <c r="G84" s="5">
        <v>112.77170000000001</v>
      </c>
      <c r="H84" s="5">
        <v>12.23</v>
      </c>
      <c r="I84" s="5">
        <v>8</v>
      </c>
      <c r="J84" s="4" t="s">
        <v>135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134</v>
      </c>
      <c r="E85" s="4" t="s">
        <v>66</v>
      </c>
      <c r="F85" s="4">
        <v>1000</v>
      </c>
      <c r="G85" s="5">
        <v>109.55170000000001</v>
      </c>
      <c r="H85" s="5">
        <v>12.98</v>
      </c>
      <c r="I85" s="5">
        <v>1560</v>
      </c>
      <c r="J85" s="4" t="s">
        <v>135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134</v>
      </c>
      <c r="E86" s="4" t="s">
        <v>66</v>
      </c>
      <c r="F86" s="4">
        <v>991.98200000000008</v>
      </c>
      <c r="G86" s="5">
        <v>103.86490000000001</v>
      </c>
      <c r="H86" s="5">
        <v>17.71</v>
      </c>
      <c r="I86" s="5">
        <v>26</v>
      </c>
      <c r="J86" s="4" t="s">
        <v>135</v>
      </c>
    </row>
    <row r="87" spans="1:10" x14ac:dyDescent="0.25">
      <c r="A87" s="4">
        <f t="shared" ca="1" si="2"/>
        <v>84</v>
      </c>
      <c r="B87" s="4" t="s">
        <v>299</v>
      </c>
      <c r="C87" s="4" t="s">
        <v>300</v>
      </c>
      <c r="D87" s="4" t="s">
        <v>134</v>
      </c>
      <c r="E87" s="4" t="s">
        <v>66</v>
      </c>
      <c r="F87" s="4">
        <v>883.24800000000005</v>
      </c>
      <c r="G87" s="5">
        <v>92.894199999999998</v>
      </c>
      <c r="H87" s="5">
        <v>17.7</v>
      </c>
      <c r="I87" s="5">
        <v>398</v>
      </c>
      <c r="J87" s="4" t="s">
        <v>135</v>
      </c>
    </row>
    <row r="88" spans="1:10" x14ac:dyDescent="0.25">
      <c r="A88" s="4">
        <f t="shared" ca="1" si="2"/>
        <v>85</v>
      </c>
      <c r="B88" s="4" t="s">
        <v>301</v>
      </c>
      <c r="C88" s="4" t="s">
        <v>302</v>
      </c>
      <c r="D88" s="4" t="s">
        <v>134</v>
      </c>
      <c r="E88" s="4" t="s">
        <v>66</v>
      </c>
      <c r="F88" s="4">
        <v>1000</v>
      </c>
      <c r="G88" s="5">
        <v>104.08840000000001</v>
      </c>
      <c r="H88" s="5">
        <v>12.97</v>
      </c>
      <c r="I88" s="5">
        <v>1347</v>
      </c>
      <c r="J88" s="4" t="s">
        <v>135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134</v>
      </c>
      <c r="E89" s="4" t="s">
        <v>66</v>
      </c>
      <c r="F89" s="4">
        <v>1000</v>
      </c>
      <c r="G89" s="5">
        <v>112.8079</v>
      </c>
      <c r="H89" s="5">
        <v>12.23</v>
      </c>
      <c r="I89" s="5">
        <v>7</v>
      </c>
      <c r="J89" s="4" t="s">
        <v>135</v>
      </c>
    </row>
    <row r="90" spans="1:10" x14ac:dyDescent="0.25">
      <c r="A90" s="4">
        <f t="shared" ca="1" si="2"/>
        <v>87</v>
      </c>
      <c r="B90" s="4" t="s">
        <v>305</v>
      </c>
      <c r="C90" s="4" t="s">
        <v>111</v>
      </c>
      <c r="D90" s="4" t="s">
        <v>134</v>
      </c>
      <c r="E90" s="4" t="s">
        <v>66</v>
      </c>
      <c r="F90" s="4">
        <v>856.15500000000009</v>
      </c>
      <c r="G90" s="5">
        <v>88.741799999999998</v>
      </c>
      <c r="H90" s="5">
        <v>17.63</v>
      </c>
      <c r="I90" s="5">
        <v>522</v>
      </c>
      <c r="J90" s="4" t="s">
        <v>135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134</v>
      </c>
      <c r="E91" s="4" t="s">
        <v>66</v>
      </c>
      <c r="F91" s="4">
        <v>816.21699999999998</v>
      </c>
      <c r="G91" s="5">
        <v>82.140200000000007</v>
      </c>
      <c r="H91" s="5">
        <v>17.64</v>
      </c>
      <c r="I91" s="5">
        <v>697</v>
      </c>
      <c r="J91" s="4" t="s">
        <v>135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134</v>
      </c>
      <c r="E92" s="4" t="s">
        <v>66</v>
      </c>
      <c r="F92" s="4">
        <v>824.72</v>
      </c>
      <c r="G92" s="5">
        <v>88.935900000000004</v>
      </c>
      <c r="H92" s="5">
        <v>17.61</v>
      </c>
      <c r="I92" s="5">
        <v>733</v>
      </c>
      <c r="J92" s="4" t="s">
        <v>135</v>
      </c>
    </row>
    <row r="93" spans="1:10" x14ac:dyDescent="0.25">
      <c r="A93" s="4">
        <f t="shared" ca="1" si="2"/>
        <v>90</v>
      </c>
      <c r="B93" s="4" t="s">
        <v>310</v>
      </c>
      <c r="C93" s="4" t="s">
        <v>311</v>
      </c>
      <c r="D93" s="4" t="s">
        <v>134</v>
      </c>
      <c r="E93" s="4" t="s">
        <v>66</v>
      </c>
      <c r="F93" s="4">
        <v>1000</v>
      </c>
      <c r="G93" s="5">
        <v>103.003</v>
      </c>
      <c r="H93" s="5">
        <v>12.93</v>
      </c>
      <c r="I93" s="5">
        <v>646</v>
      </c>
      <c r="J93" s="4" t="s">
        <v>135</v>
      </c>
    </row>
    <row r="94" spans="1:10" x14ac:dyDescent="0.25">
      <c r="A94" s="4">
        <f t="shared" ca="1" si="2"/>
        <v>91</v>
      </c>
      <c r="B94" s="4" t="s">
        <v>312</v>
      </c>
      <c r="C94" s="4" t="s">
        <v>313</v>
      </c>
      <c r="D94" s="4" t="s">
        <v>134</v>
      </c>
      <c r="E94" s="4" t="s">
        <v>66</v>
      </c>
      <c r="F94" s="4">
        <v>1000</v>
      </c>
      <c r="G94" s="5">
        <v>111.7587</v>
      </c>
      <c r="H94" s="5">
        <v>12.29</v>
      </c>
      <c r="I94" s="5">
        <v>37</v>
      </c>
      <c r="J94" s="4" t="s">
        <v>135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134</v>
      </c>
      <c r="E95" s="4" t="s">
        <v>66</v>
      </c>
      <c r="F95" s="4">
        <v>1000</v>
      </c>
      <c r="G95" s="5">
        <v>108.6705</v>
      </c>
      <c r="H95" s="5">
        <v>13.06</v>
      </c>
      <c r="I95" s="5">
        <v>1587</v>
      </c>
      <c r="J95" s="4" t="s">
        <v>135</v>
      </c>
    </row>
    <row r="96" spans="1:10" x14ac:dyDescent="0.25">
      <c r="A96" s="4">
        <f t="shared" ca="1" si="2"/>
        <v>93</v>
      </c>
      <c r="B96" s="4" t="s">
        <v>316</v>
      </c>
      <c r="C96" s="4" t="s">
        <v>95</v>
      </c>
      <c r="D96" s="4" t="s">
        <v>134</v>
      </c>
      <c r="E96" s="4" t="s">
        <v>66</v>
      </c>
      <c r="F96" s="4">
        <v>612.66500000000008</v>
      </c>
      <c r="G96" s="5">
        <v>64.853200000000001</v>
      </c>
      <c r="H96" s="5">
        <v>16.920000000000002</v>
      </c>
      <c r="I96" s="5">
        <v>3125</v>
      </c>
      <c r="J96" s="4" t="s">
        <v>135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134</v>
      </c>
      <c r="E97" s="4" t="s">
        <v>66</v>
      </c>
      <c r="F97" s="4">
        <v>862.20100000000002</v>
      </c>
      <c r="G97" s="5">
        <v>88.75160000000001</v>
      </c>
      <c r="H97" s="5">
        <v>17.650000000000002</v>
      </c>
      <c r="I97" s="5">
        <v>607</v>
      </c>
      <c r="J97" s="4" t="s">
        <v>135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134</v>
      </c>
      <c r="E98" s="4" t="s">
        <v>66</v>
      </c>
      <c r="F98" s="4">
        <v>539.87099999999998</v>
      </c>
      <c r="G98" s="5">
        <v>54.611800000000002</v>
      </c>
      <c r="H98" s="5">
        <v>16.809999999999999</v>
      </c>
      <c r="I98" s="5">
        <v>6915</v>
      </c>
      <c r="J98" s="4" t="s">
        <v>135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134</v>
      </c>
      <c r="E99" s="4" t="s">
        <v>66</v>
      </c>
      <c r="F99" s="4">
        <v>1000</v>
      </c>
      <c r="G99" s="5">
        <v>100.79600000000001</v>
      </c>
      <c r="H99" s="5">
        <v>12.97</v>
      </c>
      <c r="I99" s="5">
        <v>344</v>
      </c>
      <c r="J99" s="4" t="s">
        <v>135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324</v>
      </c>
      <c r="D100" s="4" t="s">
        <v>134</v>
      </c>
      <c r="E100" s="4" t="s">
        <v>66</v>
      </c>
      <c r="F100" s="4">
        <v>1000</v>
      </c>
      <c r="G100" s="5">
        <v>104.1246</v>
      </c>
      <c r="H100" s="5">
        <v>12.96</v>
      </c>
      <c r="I100" s="5">
        <v>1346</v>
      </c>
      <c r="J100" s="4" t="s">
        <v>135</v>
      </c>
    </row>
    <row r="101" spans="1:10" x14ac:dyDescent="0.25">
      <c r="A101" s="4">
        <f t="shared" ca="1" si="3"/>
        <v>98</v>
      </c>
      <c r="B101" s="4" t="s">
        <v>325</v>
      </c>
      <c r="C101" s="4" t="s">
        <v>326</v>
      </c>
      <c r="D101" s="4" t="s">
        <v>134</v>
      </c>
      <c r="E101" s="4" t="s">
        <v>66</v>
      </c>
      <c r="F101" s="4">
        <v>1000</v>
      </c>
      <c r="G101" s="5">
        <v>105.13760000000001</v>
      </c>
      <c r="H101" s="5">
        <v>12.97</v>
      </c>
      <c r="I101" s="5">
        <v>1682</v>
      </c>
      <c r="J101" s="4" t="s">
        <v>135</v>
      </c>
    </row>
    <row r="102" spans="1:10" x14ac:dyDescent="0.25">
      <c r="A102" s="4">
        <f t="shared" ca="1" si="3"/>
        <v>99</v>
      </c>
      <c r="B102" s="4" t="s">
        <v>327</v>
      </c>
      <c r="C102" s="4" t="s">
        <v>328</v>
      </c>
      <c r="D102" s="4" t="s">
        <v>134</v>
      </c>
      <c r="E102" s="4" t="s">
        <v>66</v>
      </c>
      <c r="F102" s="4">
        <v>1000</v>
      </c>
      <c r="G102" s="5">
        <v>101.9538</v>
      </c>
      <c r="H102" s="5">
        <v>12.89</v>
      </c>
      <c r="I102" s="5">
        <v>311</v>
      </c>
      <c r="J102" s="4" t="s">
        <v>135</v>
      </c>
    </row>
    <row r="103" spans="1:10" x14ac:dyDescent="0.25">
      <c r="A103" s="4">
        <f t="shared" ca="1" si="3"/>
        <v>100</v>
      </c>
      <c r="B103" s="4" t="s">
        <v>329</v>
      </c>
      <c r="C103" s="4" t="s">
        <v>103</v>
      </c>
      <c r="D103" s="4" t="s">
        <v>134</v>
      </c>
      <c r="E103" s="4" t="s">
        <v>66</v>
      </c>
      <c r="F103" s="4">
        <v>598.89300000000003</v>
      </c>
      <c r="G103" s="5">
        <v>65.784900000000007</v>
      </c>
      <c r="H103" s="5">
        <v>16.91</v>
      </c>
      <c r="I103" s="5">
        <v>3387</v>
      </c>
      <c r="J103" s="4" t="s">
        <v>135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134</v>
      </c>
      <c r="E104" s="4" t="s">
        <v>66</v>
      </c>
      <c r="F104" s="4">
        <v>900.40100000000007</v>
      </c>
      <c r="G104" s="5">
        <v>95.690100000000001</v>
      </c>
      <c r="H104" s="5">
        <v>17.64</v>
      </c>
      <c r="I104" s="5">
        <v>501</v>
      </c>
      <c r="J104" s="4" t="s">
        <v>135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134</v>
      </c>
      <c r="E105" s="4" t="s">
        <v>66</v>
      </c>
      <c r="F105" s="4">
        <v>880.46300000000008</v>
      </c>
      <c r="G105" s="5">
        <v>90.771300000000011</v>
      </c>
      <c r="H105" s="5">
        <v>17.64</v>
      </c>
      <c r="I105" s="5">
        <v>620</v>
      </c>
      <c r="J105" s="4" t="s">
        <v>135</v>
      </c>
    </row>
    <row r="106" spans="1:10" x14ac:dyDescent="0.25">
      <c r="A106" s="4">
        <f t="shared" ca="1" si="3"/>
        <v>103</v>
      </c>
      <c r="B106" s="4" t="s">
        <v>334</v>
      </c>
      <c r="C106" s="4" t="s">
        <v>335</v>
      </c>
      <c r="D106" s="4" t="s">
        <v>134</v>
      </c>
      <c r="E106" s="4" t="s">
        <v>66</v>
      </c>
      <c r="F106" s="4">
        <v>594.46699999999998</v>
      </c>
      <c r="G106" s="5">
        <v>61.378300000000003</v>
      </c>
      <c r="H106" s="5">
        <v>16.86</v>
      </c>
      <c r="I106" s="5">
        <v>3935</v>
      </c>
      <c r="J106" s="4" t="s">
        <v>135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134</v>
      </c>
      <c r="E107" s="4" t="s">
        <v>66</v>
      </c>
      <c r="F107" s="4">
        <v>660.60900000000004</v>
      </c>
      <c r="G107" s="5">
        <v>70.823900000000009</v>
      </c>
      <c r="H107" s="5">
        <v>16.98</v>
      </c>
      <c r="I107" s="5">
        <v>2722</v>
      </c>
      <c r="J107" s="4" t="s">
        <v>135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134</v>
      </c>
      <c r="E108" s="4" t="s">
        <v>66</v>
      </c>
      <c r="F108" s="4">
        <v>651.44299999999998</v>
      </c>
      <c r="G108" s="5">
        <v>69.350800000000007</v>
      </c>
      <c r="H108" s="5">
        <v>16.97</v>
      </c>
      <c r="I108" s="5">
        <v>2741</v>
      </c>
      <c r="J108" s="4" t="s">
        <v>135</v>
      </c>
    </row>
    <row r="109" spans="1:10" x14ac:dyDescent="0.25">
      <c r="A109" s="4">
        <f t="shared" ca="1" si="3"/>
        <v>106</v>
      </c>
      <c r="B109" s="4" t="s">
        <v>340</v>
      </c>
      <c r="C109" s="4" t="s">
        <v>101</v>
      </c>
      <c r="D109" s="4" t="s">
        <v>134</v>
      </c>
      <c r="E109" s="4" t="s">
        <v>66</v>
      </c>
      <c r="F109" s="4">
        <v>676.077</v>
      </c>
      <c r="G109" s="5">
        <v>71.973500000000001</v>
      </c>
      <c r="H109" s="5">
        <v>17.04</v>
      </c>
      <c r="I109" s="5">
        <v>2369</v>
      </c>
      <c r="J109" s="4" t="s">
        <v>135</v>
      </c>
    </row>
    <row r="110" spans="1:10" x14ac:dyDescent="0.25">
      <c r="A110" s="4">
        <f t="shared" ca="1" si="3"/>
        <v>107</v>
      </c>
      <c r="B110" s="4" t="s">
        <v>341</v>
      </c>
      <c r="C110" s="4" t="s">
        <v>342</v>
      </c>
      <c r="D110" s="4" t="s">
        <v>134</v>
      </c>
      <c r="E110" s="4" t="s">
        <v>66</v>
      </c>
      <c r="F110" s="4">
        <v>702.73</v>
      </c>
      <c r="G110" s="5">
        <v>74.070999999999998</v>
      </c>
      <c r="H110" s="5">
        <v>17.100000000000001</v>
      </c>
      <c r="I110" s="5">
        <v>2027</v>
      </c>
      <c r="J110" s="4" t="s">
        <v>135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134</v>
      </c>
      <c r="E111" s="4" t="s">
        <v>66</v>
      </c>
      <c r="F111" s="4">
        <v>597.28399999999999</v>
      </c>
      <c r="G111" s="5">
        <v>65.794200000000004</v>
      </c>
      <c r="H111" s="5">
        <v>16.87</v>
      </c>
      <c r="I111" s="5">
        <v>4131</v>
      </c>
      <c r="J111" s="4" t="s">
        <v>135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134</v>
      </c>
      <c r="E112" s="4" t="s">
        <v>66</v>
      </c>
      <c r="F112" s="4">
        <v>1000</v>
      </c>
      <c r="G112" s="5">
        <v>105.21</v>
      </c>
      <c r="H112" s="5">
        <v>12.68</v>
      </c>
      <c r="I112" s="5">
        <v>219</v>
      </c>
      <c r="J112" s="4" t="s">
        <v>135</v>
      </c>
    </row>
    <row r="113" spans="1:10" x14ac:dyDescent="0.25">
      <c r="A113" s="4">
        <f t="shared" ca="1" si="3"/>
        <v>110</v>
      </c>
      <c r="B113" s="4" t="s">
        <v>347</v>
      </c>
      <c r="C113" s="4" t="s">
        <v>105</v>
      </c>
      <c r="D113" s="4" t="s">
        <v>134</v>
      </c>
      <c r="E113" s="4" t="s">
        <v>66</v>
      </c>
      <c r="F113" s="4">
        <v>745.38</v>
      </c>
      <c r="G113" s="5">
        <v>76.010000000000005</v>
      </c>
      <c r="H113" s="5">
        <v>17.32</v>
      </c>
      <c r="I113" s="5">
        <v>1392</v>
      </c>
      <c r="J113" s="4" t="s">
        <v>135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134</v>
      </c>
      <c r="E114" s="4" t="s">
        <v>66</v>
      </c>
      <c r="F114" s="4">
        <v>724.01900000000001</v>
      </c>
      <c r="G114" s="5">
        <v>77.905900000000003</v>
      </c>
      <c r="H114" s="5">
        <v>17.27</v>
      </c>
      <c r="I114" s="5">
        <v>1567</v>
      </c>
      <c r="J114" s="4" t="s">
        <v>135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134</v>
      </c>
      <c r="E115" s="4" t="s">
        <v>66</v>
      </c>
      <c r="F115" s="4">
        <v>537.11900000000003</v>
      </c>
      <c r="G115" s="5">
        <v>60.339100000000002</v>
      </c>
      <c r="H115" s="5">
        <v>16.830000000000002</v>
      </c>
      <c r="I115" s="5">
        <v>4808</v>
      </c>
      <c r="J115" s="4" t="s">
        <v>135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134</v>
      </c>
      <c r="E116" s="4" t="s">
        <v>66</v>
      </c>
      <c r="F116" s="4">
        <v>989.91700000000003</v>
      </c>
      <c r="G116" s="5">
        <v>104.0939</v>
      </c>
      <c r="H116" s="5">
        <v>17.54</v>
      </c>
      <c r="I116" s="5">
        <v>34</v>
      </c>
      <c r="J116" s="4" t="s">
        <v>135</v>
      </c>
    </row>
    <row r="117" spans="1:10" x14ac:dyDescent="0.25">
      <c r="A117" s="4">
        <f t="shared" ca="1" si="3"/>
        <v>114</v>
      </c>
      <c r="B117" s="4" t="s">
        <v>354</v>
      </c>
      <c r="C117" s="4" t="s">
        <v>108</v>
      </c>
      <c r="D117" s="4" t="s">
        <v>134</v>
      </c>
      <c r="E117" s="4" t="s">
        <v>66</v>
      </c>
      <c r="F117" s="4">
        <v>913.36700000000008</v>
      </c>
      <c r="G117" s="5">
        <v>92.31450000000001</v>
      </c>
      <c r="H117" s="5">
        <v>17.63</v>
      </c>
      <c r="I117" s="5">
        <v>301</v>
      </c>
      <c r="J117" s="4" t="s">
        <v>135</v>
      </c>
    </row>
    <row r="118" spans="1:10" x14ac:dyDescent="0.25">
      <c r="A118" s="4">
        <f t="shared" ca="1" si="3"/>
        <v>115</v>
      </c>
      <c r="B118" s="4" t="s">
        <v>355</v>
      </c>
      <c r="C118" s="4" t="s">
        <v>82</v>
      </c>
      <c r="D118" s="4" t="s">
        <v>134</v>
      </c>
      <c r="E118" s="4" t="s">
        <v>66</v>
      </c>
      <c r="F118" s="4">
        <v>806.88200000000006</v>
      </c>
      <c r="G118" s="5">
        <v>80.732399999999998</v>
      </c>
      <c r="H118" s="5">
        <v>17.62</v>
      </c>
      <c r="I118" s="5">
        <v>728</v>
      </c>
      <c r="J118" s="4" t="s">
        <v>135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134</v>
      </c>
      <c r="E119" s="4" t="s">
        <v>66</v>
      </c>
      <c r="F119" s="4">
        <v>743.08199999999999</v>
      </c>
      <c r="G119" s="5">
        <v>74.7971</v>
      </c>
      <c r="H119" s="5">
        <v>17.48</v>
      </c>
      <c r="I119" s="5">
        <v>1065</v>
      </c>
      <c r="J119" s="4" t="s">
        <v>135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134</v>
      </c>
      <c r="E120" s="4" t="s">
        <v>66</v>
      </c>
      <c r="F120" s="4">
        <v>554.55399999999997</v>
      </c>
      <c r="G120" s="5">
        <v>57.473300000000002</v>
      </c>
      <c r="H120" s="5">
        <v>16.82</v>
      </c>
      <c r="I120" s="5">
        <v>5025</v>
      </c>
      <c r="J120" s="4" t="s">
        <v>135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134</v>
      </c>
      <c r="E121" s="4" t="s">
        <v>66</v>
      </c>
      <c r="F121" s="4">
        <v>549.82100000000003</v>
      </c>
      <c r="G121" s="5">
        <v>60.469100000000005</v>
      </c>
      <c r="H121" s="5">
        <v>16.830000000000002</v>
      </c>
      <c r="I121" s="5">
        <v>5241</v>
      </c>
      <c r="J121" s="4" t="s">
        <v>135</v>
      </c>
    </row>
    <row r="122" spans="1:10" x14ac:dyDescent="0.25">
      <c r="A122" s="4">
        <f t="shared" ca="1" si="3"/>
        <v>119</v>
      </c>
      <c r="B122" s="4" t="s">
        <v>362</v>
      </c>
      <c r="C122" s="4" t="s">
        <v>113</v>
      </c>
      <c r="D122" s="4" t="s">
        <v>134</v>
      </c>
      <c r="E122" s="4" t="s">
        <v>66</v>
      </c>
      <c r="F122" s="4">
        <v>842.16200000000003</v>
      </c>
      <c r="G122" s="5">
        <v>90.388400000000004</v>
      </c>
      <c r="H122" s="5">
        <v>17.39</v>
      </c>
      <c r="I122" s="5">
        <v>1257</v>
      </c>
      <c r="J122" s="4" t="s">
        <v>135</v>
      </c>
    </row>
    <row r="123" spans="1:10" x14ac:dyDescent="0.25">
      <c r="A123" s="4">
        <f t="shared" ca="1" si="3"/>
        <v>120</v>
      </c>
      <c r="B123" s="4" t="s">
        <v>363</v>
      </c>
      <c r="C123" s="4" t="s">
        <v>364</v>
      </c>
      <c r="D123" s="4" t="s">
        <v>134</v>
      </c>
      <c r="E123" s="4" t="s">
        <v>66</v>
      </c>
      <c r="F123" s="4">
        <v>947.03500000000008</v>
      </c>
      <c r="G123" s="5">
        <v>97.458800000000011</v>
      </c>
      <c r="H123" s="5">
        <v>17.57</v>
      </c>
      <c r="I123" s="5">
        <v>255</v>
      </c>
      <c r="J123" s="4" t="s">
        <v>135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134</v>
      </c>
      <c r="E124" s="4" t="s">
        <v>66</v>
      </c>
      <c r="F124" s="4">
        <v>1000</v>
      </c>
      <c r="G124" s="5">
        <v>111.25700000000001</v>
      </c>
      <c r="H124" s="5">
        <v>13.07</v>
      </c>
      <c r="I124" s="5">
        <v>1149</v>
      </c>
      <c r="J124" s="4" t="s">
        <v>135</v>
      </c>
    </row>
    <row r="125" spans="1:10" x14ac:dyDescent="0.25">
      <c r="A125" s="4">
        <f t="shared" ca="1" si="3"/>
        <v>122</v>
      </c>
      <c r="B125" s="4" t="s">
        <v>367</v>
      </c>
      <c r="C125" s="4" t="s">
        <v>368</v>
      </c>
      <c r="D125" s="4" t="s">
        <v>134</v>
      </c>
      <c r="E125" s="4" t="s">
        <v>66</v>
      </c>
      <c r="F125" s="4">
        <v>1000</v>
      </c>
      <c r="G125" s="5">
        <v>107.3447</v>
      </c>
      <c r="H125" s="5">
        <v>12.55</v>
      </c>
      <c r="I125" s="5">
        <v>159</v>
      </c>
      <c r="J125" s="4" t="s">
        <v>135</v>
      </c>
    </row>
    <row r="126" spans="1:10" x14ac:dyDescent="0.25">
      <c r="A126" s="4">
        <f t="shared" ca="1" si="3"/>
        <v>123</v>
      </c>
      <c r="B126" s="4" t="s">
        <v>369</v>
      </c>
      <c r="C126" s="4" t="s">
        <v>370</v>
      </c>
      <c r="D126" s="4" t="s">
        <v>134</v>
      </c>
      <c r="E126" s="4" t="s">
        <v>66</v>
      </c>
      <c r="F126" s="4">
        <v>1000</v>
      </c>
      <c r="G126" s="5">
        <v>108.4663</v>
      </c>
      <c r="H126" s="5">
        <v>12.96</v>
      </c>
      <c r="I126" s="5">
        <v>1226</v>
      </c>
      <c r="J126" s="4" t="s">
        <v>135</v>
      </c>
    </row>
    <row r="127" spans="1:10" x14ac:dyDescent="0.25">
      <c r="A127" s="4">
        <f t="shared" ca="1" si="3"/>
        <v>124</v>
      </c>
      <c r="B127" s="4" t="s">
        <v>371</v>
      </c>
      <c r="C127" s="4" t="s">
        <v>75</v>
      </c>
      <c r="D127" s="4" t="s">
        <v>134</v>
      </c>
      <c r="E127" s="4" t="s">
        <v>66</v>
      </c>
      <c r="F127" s="4">
        <v>846.03500000000008</v>
      </c>
      <c r="G127" s="5">
        <v>94.928100000000001</v>
      </c>
      <c r="H127" s="5">
        <v>17.46</v>
      </c>
      <c r="I127" s="5">
        <v>1102</v>
      </c>
      <c r="J127" s="4" t="s">
        <v>135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134</v>
      </c>
      <c r="E128" s="4" t="s">
        <v>66</v>
      </c>
      <c r="F128" s="4">
        <v>1000</v>
      </c>
      <c r="G128" s="5">
        <v>108.57480000000001</v>
      </c>
      <c r="H128" s="5">
        <v>12.93</v>
      </c>
      <c r="I128" s="5">
        <v>857</v>
      </c>
      <c r="J128" s="4" t="s">
        <v>135</v>
      </c>
    </row>
    <row r="129" spans="1:10" x14ac:dyDescent="0.25">
      <c r="A129" s="4">
        <f t="shared" ca="1" si="3"/>
        <v>126</v>
      </c>
      <c r="B129" s="4" t="s">
        <v>374</v>
      </c>
      <c r="C129" s="4" t="s">
        <v>71</v>
      </c>
      <c r="D129" s="4" t="s">
        <v>134</v>
      </c>
      <c r="E129" s="4" t="s">
        <v>66</v>
      </c>
      <c r="F129" s="4">
        <v>565.78800000000001</v>
      </c>
      <c r="G129" s="5">
        <v>59.298200000000001</v>
      </c>
      <c r="H129" s="5">
        <v>17.010000000000002</v>
      </c>
      <c r="I129" s="5">
        <v>2377</v>
      </c>
      <c r="J129" s="4" t="s">
        <v>135</v>
      </c>
    </row>
    <row r="130" spans="1:10" x14ac:dyDescent="0.25">
      <c r="A130" s="4">
        <f t="shared" ca="1" si="3"/>
        <v>127</v>
      </c>
      <c r="B130" s="4" t="s">
        <v>375</v>
      </c>
      <c r="C130" s="4" t="s">
        <v>376</v>
      </c>
      <c r="D130" s="4" t="s">
        <v>134</v>
      </c>
      <c r="E130" s="4" t="s">
        <v>66</v>
      </c>
      <c r="F130" s="4">
        <v>767.43900000000008</v>
      </c>
      <c r="G130" s="5">
        <v>83.001199999999997</v>
      </c>
      <c r="H130" s="5">
        <v>17.440000000000001</v>
      </c>
      <c r="I130" s="5">
        <v>1146</v>
      </c>
      <c r="J130" s="4" t="s">
        <v>135</v>
      </c>
    </row>
    <row r="131" spans="1:10" x14ac:dyDescent="0.25">
      <c r="A131" s="4">
        <f t="shared" ca="1" si="3"/>
        <v>128</v>
      </c>
      <c r="B131" s="4" t="s">
        <v>377</v>
      </c>
      <c r="C131" s="4" t="s">
        <v>378</v>
      </c>
      <c r="D131" s="4" t="s">
        <v>134</v>
      </c>
      <c r="E131" s="4" t="s">
        <v>66</v>
      </c>
      <c r="F131" s="4">
        <v>762.21</v>
      </c>
      <c r="G131" s="5">
        <v>78.776600000000002</v>
      </c>
      <c r="H131" s="5">
        <v>17.54</v>
      </c>
      <c r="I131" s="5">
        <v>910</v>
      </c>
      <c r="J131" s="4" t="s">
        <v>135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80</v>
      </c>
      <c r="D132" s="4" t="s">
        <v>134</v>
      </c>
      <c r="E132" s="4" t="s">
        <v>66</v>
      </c>
      <c r="F132" s="4">
        <v>753.25</v>
      </c>
      <c r="G132" s="5">
        <v>77.869200000000006</v>
      </c>
      <c r="H132" s="5">
        <v>17.03</v>
      </c>
      <c r="I132" s="5">
        <v>2470</v>
      </c>
      <c r="J132" s="4" t="s">
        <v>135</v>
      </c>
    </row>
    <row r="133" spans="1:10" x14ac:dyDescent="0.25">
      <c r="A133" s="4">
        <f t="shared" ca="1" si="4"/>
        <v>130</v>
      </c>
      <c r="B133" s="4" t="s">
        <v>380</v>
      </c>
      <c r="C133" s="4" t="s">
        <v>93</v>
      </c>
      <c r="D133" s="4" t="s">
        <v>134</v>
      </c>
      <c r="E133" s="4" t="s">
        <v>66</v>
      </c>
      <c r="F133" s="4">
        <v>821.69500000000005</v>
      </c>
      <c r="G133" s="5">
        <v>84.631200000000007</v>
      </c>
      <c r="H133" s="5">
        <v>17.32</v>
      </c>
      <c r="I133" s="5">
        <v>1376</v>
      </c>
      <c r="J133" s="4" t="s">
        <v>135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134</v>
      </c>
      <c r="E134" s="4" t="s">
        <v>66</v>
      </c>
      <c r="F134" s="4">
        <v>1000</v>
      </c>
      <c r="G134" s="5">
        <v>100.8322</v>
      </c>
      <c r="H134" s="5">
        <v>13.01</v>
      </c>
      <c r="I134" s="5">
        <v>1804</v>
      </c>
      <c r="J134" s="4" t="s">
        <v>135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134</v>
      </c>
      <c r="E135" s="4" t="s">
        <v>66</v>
      </c>
      <c r="F135" s="4">
        <v>1000</v>
      </c>
      <c r="G135" s="5">
        <v>110.60090000000001</v>
      </c>
      <c r="H135" s="5">
        <v>13</v>
      </c>
      <c r="I135" s="5">
        <v>2260</v>
      </c>
      <c r="J135" s="4" t="s">
        <v>135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134</v>
      </c>
      <c r="E136" s="4" t="s">
        <v>66</v>
      </c>
      <c r="F136" s="4">
        <v>1000</v>
      </c>
      <c r="G136" s="5">
        <v>100.9045</v>
      </c>
      <c r="H136" s="5">
        <v>13.01</v>
      </c>
      <c r="I136" s="5">
        <v>2167</v>
      </c>
      <c r="J136" s="4" t="s">
        <v>135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134</v>
      </c>
      <c r="E137" s="4" t="s">
        <v>66</v>
      </c>
      <c r="F137" s="4">
        <v>905.36500000000001</v>
      </c>
      <c r="G137" s="5">
        <v>94.956500000000005</v>
      </c>
      <c r="H137" s="5">
        <v>17.63</v>
      </c>
      <c r="I137" s="5">
        <v>575</v>
      </c>
      <c r="J137" s="4" t="s">
        <v>135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134</v>
      </c>
      <c r="E138" s="4" t="s">
        <v>66</v>
      </c>
      <c r="F138" s="4">
        <v>712.19400000000007</v>
      </c>
      <c r="G138" s="5">
        <v>79.322699999999998</v>
      </c>
      <c r="H138" s="5">
        <v>16.89</v>
      </c>
      <c r="I138" s="5">
        <v>4117</v>
      </c>
      <c r="J138" s="4" t="s">
        <v>135</v>
      </c>
    </row>
    <row r="139" spans="1:10" x14ac:dyDescent="0.25">
      <c r="A139" s="4">
        <f t="shared" ca="1" si="4"/>
        <v>136</v>
      </c>
      <c r="B139" s="4" t="s">
        <v>391</v>
      </c>
      <c r="C139" s="4" t="s">
        <v>91</v>
      </c>
      <c r="D139" s="4" t="s">
        <v>134</v>
      </c>
      <c r="E139" s="4" t="s">
        <v>66</v>
      </c>
      <c r="F139" s="4">
        <v>985.15899999999999</v>
      </c>
      <c r="G139" s="5">
        <v>101.21300000000001</v>
      </c>
      <c r="H139" s="5">
        <v>16.82</v>
      </c>
      <c r="I139" s="5">
        <v>92</v>
      </c>
      <c r="J139" s="4" t="s">
        <v>135</v>
      </c>
    </row>
    <row r="140" spans="1:10" x14ac:dyDescent="0.25">
      <c r="A140" s="4">
        <f t="shared" ca="1" si="4"/>
        <v>137</v>
      </c>
      <c r="B140" s="4" t="s">
        <v>392</v>
      </c>
      <c r="C140" s="4" t="s">
        <v>393</v>
      </c>
      <c r="D140" s="4" t="s">
        <v>134</v>
      </c>
      <c r="E140" s="4" t="s">
        <v>66</v>
      </c>
      <c r="F140" s="4">
        <v>818.18299999999999</v>
      </c>
      <c r="G140" s="5">
        <v>89.701599999999999</v>
      </c>
      <c r="H140" s="5">
        <v>17.29</v>
      </c>
      <c r="I140" s="5">
        <v>1567</v>
      </c>
      <c r="J140" s="4" t="s">
        <v>135</v>
      </c>
    </row>
    <row r="141" spans="1:10" x14ac:dyDescent="0.25">
      <c r="A141" s="4">
        <f t="shared" ca="1" si="4"/>
        <v>138</v>
      </c>
      <c r="B141" s="4" t="s">
        <v>394</v>
      </c>
      <c r="C141" s="4" t="s">
        <v>395</v>
      </c>
      <c r="D141" s="4" t="s">
        <v>134</v>
      </c>
      <c r="E141" s="4" t="s">
        <v>66</v>
      </c>
      <c r="F141" s="4">
        <v>703.85400000000004</v>
      </c>
      <c r="G141" s="5">
        <v>72.092200000000005</v>
      </c>
      <c r="H141" s="5">
        <v>16.89</v>
      </c>
      <c r="I141" s="5">
        <v>3961</v>
      </c>
      <c r="J141" s="4" t="s">
        <v>135</v>
      </c>
    </row>
    <row r="142" spans="1:10" x14ac:dyDescent="0.25">
      <c r="A142" s="4">
        <f t="shared" ca="1" si="4"/>
        <v>139</v>
      </c>
      <c r="B142" s="4" t="s">
        <v>396</v>
      </c>
      <c r="C142" s="4" t="s">
        <v>397</v>
      </c>
      <c r="D142" s="4" t="s">
        <v>134</v>
      </c>
      <c r="E142" s="4" t="s">
        <v>66</v>
      </c>
      <c r="F142" s="4">
        <v>704.24900000000002</v>
      </c>
      <c r="G142" s="5">
        <v>77.312100000000001</v>
      </c>
      <c r="H142" s="5">
        <v>16.97</v>
      </c>
      <c r="I142" s="5">
        <v>3041</v>
      </c>
      <c r="J142" s="4" t="s">
        <v>135</v>
      </c>
    </row>
    <row r="143" spans="1:10" x14ac:dyDescent="0.25">
      <c r="A143" s="4">
        <f t="shared" ca="1" si="4"/>
        <v>140</v>
      </c>
      <c r="B143" s="4" t="s">
        <v>398</v>
      </c>
      <c r="C143" s="4" t="s">
        <v>99</v>
      </c>
      <c r="D143" s="4" t="s">
        <v>134</v>
      </c>
      <c r="E143" s="4" t="s">
        <v>66</v>
      </c>
      <c r="F143" s="4">
        <v>863.68499999999995</v>
      </c>
      <c r="G143" s="5">
        <v>91.857399999999998</v>
      </c>
      <c r="H143" s="5">
        <v>17.55</v>
      </c>
      <c r="I143" s="5">
        <v>904</v>
      </c>
      <c r="J143" s="4" t="s">
        <v>135</v>
      </c>
    </row>
    <row r="144" spans="1:10" x14ac:dyDescent="0.25">
      <c r="A144" s="4">
        <f t="shared" ca="1" si="4"/>
        <v>141</v>
      </c>
      <c r="B144" s="4" t="s">
        <v>399</v>
      </c>
      <c r="C144" s="4" t="s">
        <v>400</v>
      </c>
      <c r="D144" s="4" t="s">
        <v>134</v>
      </c>
      <c r="E144" s="4" t="s">
        <v>66</v>
      </c>
      <c r="F144" s="4">
        <v>954.154</v>
      </c>
      <c r="G144" s="5">
        <v>97.690400000000011</v>
      </c>
      <c r="H144" s="5">
        <v>16.920000000000002</v>
      </c>
      <c r="I144" s="5">
        <v>287</v>
      </c>
      <c r="J144" s="4" t="s">
        <v>135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134</v>
      </c>
      <c r="E145" s="4" t="s">
        <v>66</v>
      </c>
      <c r="F145" s="4">
        <v>695.13100000000009</v>
      </c>
      <c r="G145" s="5">
        <v>75.8339</v>
      </c>
      <c r="H145" s="5">
        <v>16.91</v>
      </c>
      <c r="I145" s="5">
        <v>3427</v>
      </c>
      <c r="J145" s="4" t="s">
        <v>135</v>
      </c>
    </row>
    <row r="146" spans="1:10" x14ac:dyDescent="0.25">
      <c r="A146" s="4">
        <f t="shared" ca="1" si="4"/>
        <v>143</v>
      </c>
      <c r="B146" s="4" t="s">
        <v>403</v>
      </c>
      <c r="C146" s="4" t="s">
        <v>77</v>
      </c>
      <c r="D146" s="4" t="s">
        <v>134</v>
      </c>
      <c r="E146" s="4" t="s">
        <v>66</v>
      </c>
      <c r="F146" s="4">
        <v>769.19500000000005</v>
      </c>
      <c r="G146" s="5">
        <v>83.070900000000009</v>
      </c>
      <c r="H146" s="5">
        <v>17.12</v>
      </c>
      <c r="I146" s="5">
        <v>1973</v>
      </c>
      <c r="J146" s="4" t="s">
        <v>135</v>
      </c>
    </row>
    <row r="147" spans="1:10" x14ac:dyDescent="0.25">
      <c r="A147" s="4">
        <f t="shared" ca="1" si="4"/>
        <v>144</v>
      </c>
      <c r="B147" s="4" t="s">
        <v>404</v>
      </c>
      <c r="C147" s="4" t="s">
        <v>405</v>
      </c>
      <c r="D147" s="4" t="s">
        <v>134</v>
      </c>
      <c r="E147" s="4" t="s">
        <v>66</v>
      </c>
      <c r="F147" s="4">
        <v>736.88100000000009</v>
      </c>
      <c r="G147" s="5">
        <v>75.440100000000001</v>
      </c>
      <c r="H147" s="5">
        <v>16.98</v>
      </c>
      <c r="I147" s="5">
        <v>2863</v>
      </c>
      <c r="J147" s="4" t="s">
        <v>135</v>
      </c>
    </row>
    <row r="148" spans="1:10" x14ac:dyDescent="0.25">
      <c r="A148" s="4">
        <f t="shared" ca="1" si="4"/>
        <v>145</v>
      </c>
      <c r="B148" s="4" t="s">
        <v>406</v>
      </c>
      <c r="C148" s="4" t="s">
        <v>407</v>
      </c>
      <c r="D148" s="4" t="s">
        <v>134</v>
      </c>
      <c r="E148" s="4" t="s">
        <v>66</v>
      </c>
      <c r="F148" s="4">
        <v>975.01400000000001</v>
      </c>
      <c r="G148" s="5">
        <v>98.891400000000004</v>
      </c>
      <c r="H148" s="5">
        <v>16.95</v>
      </c>
      <c r="I148" s="5">
        <v>330</v>
      </c>
      <c r="J148" s="4" t="s">
        <v>135</v>
      </c>
    </row>
    <row r="149" spans="1:10" x14ac:dyDescent="0.25">
      <c r="A149" s="4">
        <f t="shared" ca="1" si="4"/>
        <v>146</v>
      </c>
      <c r="B149" s="4" t="s">
        <v>408</v>
      </c>
      <c r="C149" s="4" t="s">
        <v>409</v>
      </c>
      <c r="D149" s="4" t="s">
        <v>134</v>
      </c>
      <c r="E149" s="4" t="s">
        <v>66</v>
      </c>
      <c r="F149" s="4">
        <v>973.3420000000001</v>
      </c>
      <c r="G149" s="5">
        <v>103.90060000000001</v>
      </c>
      <c r="H149" s="5">
        <v>16.91</v>
      </c>
      <c r="I149" s="5">
        <v>758</v>
      </c>
      <c r="J149" s="4" t="s">
        <v>135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134</v>
      </c>
      <c r="E150" s="4" t="s">
        <v>66</v>
      </c>
      <c r="F150" s="4">
        <v>881.62900000000002</v>
      </c>
      <c r="G150" s="5">
        <v>94.11290000000001</v>
      </c>
      <c r="H150" s="5">
        <v>17.059999999999999</v>
      </c>
      <c r="I150" s="5">
        <v>2402</v>
      </c>
      <c r="J150" s="4" t="s">
        <v>135</v>
      </c>
    </row>
    <row r="151" spans="1:10" x14ac:dyDescent="0.25">
      <c r="A151" s="4">
        <f t="shared" ca="1" si="4"/>
        <v>148</v>
      </c>
      <c r="B151" s="4" t="s">
        <v>412</v>
      </c>
      <c r="C151" s="4" t="s">
        <v>413</v>
      </c>
      <c r="D151" s="4" t="s">
        <v>134</v>
      </c>
      <c r="E151" s="4" t="s">
        <v>66</v>
      </c>
      <c r="F151" s="4">
        <v>946.93499999999995</v>
      </c>
      <c r="G151" s="5">
        <v>104.426</v>
      </c>
      <c r="H151" s="5">
        <v>17.400000000000002</v>
      </c>
      <c r="I151" s="5">
        <v>1229</v>
      </c>
      <c r="J151" s="4" t="s">
        <v>135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134</v>
      </c>
      <c r="E152" s="4" t="s">
        <v>66</v>
      </c>
      <c r="F152" s="4">
        <v>1000</v>
      </c>
      <c r="G152" s="5">
        <v>102.05330000000001</v>
      </c>
      <c r="H152" s="5">
        <v>17.11</v>
      </c>
      <c r="I152" s="5">
        <v>323</v>
      </c>
      <c r="J152" s="4" t="s">
        <v>135</v>
      </c>
    </row>
    <row r="153" spans="1:10" x14ac:dyDescent="0.25">
      <c r="A153" s="4">
        <f t="shared" ca="1" si="4"/>
        <v>150</v>
      </c>
      <c r="B153" s="4" t="s">
        <v>416</v>
      </c>
      <c r="C153" s="4" t="s">
        <v>67</v>
      </c>
      <c r="D153" s="4" t="s">
        <v>134</v>
      </c>
      <c r="E153" s="4" t="s">
        <v>66</v>
      </c>
      <c r="F153" s="4">
        <v>890.42499999999995</v>
      </c>
      <c r="G153" s="5">
        <v>95.264700000000005</v>
      </c>
      <c r="H153" s="5">
        <v>17.13</v>
      </c>
      <c r="I153" s="5">
        <v>2029</v>
      </c>
      <c r="J153" s="4" t="s">
        <v>135</v>
      </c>
    </row>
    <row r="154" spans="1:10" x14ac:dyDescent="0.25">
      <c r="A154" s="4">
        <f t="shared" ca="1" si="4"/>
        <v>151</v>
      </c>
      <c r="B154" s="4" t="s">
        <v>417</v>
      </c>
      <c r="C154" s="4" t="s">
        <v>418</v>
      </c>
      <c r="D154" s="4" t="s">
        <v>134</v>
      </c>
      <c r="E154" s="4" t="s">
        <v>66</v>
      </c>
      <c r="F154" s="4">
        <v>980.3950000000001</v>
      </c>
      <c r="G154" s="5">
        <v>102.54640000000001</v>
      </c>
      <c r="H154" s="5">
        <v>16.850000000000001</v>
      </c>
      <c r="I154" s="5">
        <v>246</v>
      </c>
      <c r="J154" s="4" t="s">
        <v>135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134</v>
      </c>
      <c r="E155" s="4" t="s">
        <v>66</v>
      </c>
      <c r="F155" s="4">
        <v>892.178</v>
      </c>
      <c r="G155" s="5">
        <v>94.716800000000006</v>
      </c>
      <c r="H155" s="5">
        <v>17.010000000000002</v>
      </c>
      <c r="I155" s="5">
        <v>2784</v>
      </c>
      <c r="J155" s="4" t="s">
        <v>135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134</v>
      </c>
      <c r="E156" s="4" t="s">
        <v>66</v>
      </c>
      <c r="F156" s="4">
        <v>826.15600000000006</v>
      </c>
      <c r="G156" s="5">
        <v>90.615600000000001</v>
      </c>
      <c r="H156" s="5">
        <v>17.170000000000002</v>
      </c>
      <c r="I156" s="5">
        <v>1950</v>
      </c>
      <c r="J156" s="4" t="s">
        <v>135</v>
      </c>
    </row>
    <row r="157" spans="1:10" x14ac:dyDescent="0.25">
      <c r="A157" s="4">
        <f t="shared" ca="1" si="4"/>
        <v>154</v>
      </c>
      <c r="B157" s="4" t="s">
        <v>423</v>
      </c>
      <c r="C157" s="4" t="s">
        <v>88</v>
      </c>
      <c r="D157" s="4" t="s">
        <v>134</v>
      </c>
      <c r="E157" s="4" t="s">
        <v>66</v>
      </c>
      <c r="F157" s="4">
        <v>1008.5780000000001</v>
      </c>
      <c r="G157" s="5">
        <v>104.4016</v>
      </c>
      <c r="H157" s="5">
        <v>16.670000000000002</v>
      </c>
      <c r="I157" s="5">
        <v>1386</v>
      </c>
      <c r="J157" s="4" t="s">
        <v>135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134</v>
      </c>
      <c r="E158" s="4" t="s">
        <v>66</v>
      </c>
      <c r="F158" s="4">
        <v>890.822</v>
      </c>
      <c r="G158" s="5">
        <v>98.185000000000002</v>
      </c>
      <c r="H158" s="5">
        <v>16.97</v>
      </c>
      <c r="I158" s="5">
        <v>3058</v>
      </c>
      <c r="J158" s="4" t="s">
        <v>135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134</v>
      </c>
      <c r="E159" s="4" t="s">
        <v>66</v>
      </c>
      <c r="F159" s="4">
        <v>905.404</v>
      </c>
      <c r="G159" s="5">
        <v>99.706000000000003</v>
      </c>
      <c r="H159" s="5">
        <v>17.080000000000002</v>
      </c>
      <c r="I159" s="5">
        <v>2328</v>
      </c>
      <c r="J159" s="4" t="s">
        <v>135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134</v>
      </c>
      <c r="E160" s="4" t="s">
        <v>66</v>
      </c>
      <c r="F160" s="4">
        <v>856.01900000000001</v>
      </c>
      <c r="G160" s="5">
        <v>91.476900000000001</v>
      </c>
      <c r="H160" s="5">
        <v>16.88</v>
      </c>
      <c r="I160" s="5">
        <v>4596</v>
      </c>
      <c r="J160" s="4" t="s">
        <v>135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134</v>
      </c>
      <c r="E161" s="4" t="s">
        <v>66</v>
      </c>
      <c r="F161" s="4">
        <v>1000</v>
      </c>
      <c r="G161" s="5">
        <v>108.7056</v>
      </c>
      <c r="H161" s="5">
        <v>15.44</v>
      </c>
      <c r="I161" s="5">
        <v>1987</v>
      </c>
      <c r="J161" s="4" t="s">
        <v>135</v>
      </c>
    </row>
    <row r="162" spans="1:10" x14ac:dyDescent="0.25">
      <c r="A162" s="4">
        <f t="shared" ca="1" si="4"/>
        <v>159</v>
      </c>
      <c r="B162" s="4" t="s">
        <v>432</v>
      </c>
      <c r="C162" s="4" t="s">
        <v>97</v>
      </c>
      <c r="D162" s="4" t="s">
        <v>134</v>
      </c>
      <c r="E162" s="4" t="s">
        <v>66</v>
      </c>
      <c r="F162" s="4">
        <v>845.25900000000001</v>
      </c>
      <c r="G162" s="5">
        <v>92.025900000000007</v>
      </c>
      <c r="H162" s="5">
        <v>17.25</v>
      </c>
      <c r="I162" s="5">
        <v>1598</v>
      </c>
      <c r="J162" s="4" t="s">
        <v>135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134</v>
      </c>
      <c r="E163" s="4" t="s">
        <v>66</v>
      </c>
      <c r="F163" s="4">
        <v>91.317599999999999</v>
      </c>
      <c r="G163" s="5">
        <v>91.317599999999999</v>
      </c>
      <c r="H163" s="5">
        <v>16.93</v>
      </c>
      <c r="I163" s="5">
        <v>206</v>
      </c>
      <c r="J163" s="4" t="s">
        <v>135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435</v>
      </c>
      <c r="C164" s="4" t="s">
        <v>85</v>
      </c>
      <c r="D164" s="4" t="s">
        <v>134</v>
      </c>
      <c r="E164" s="4" t="s">
        <v>66</v>
      </c>
      <c r="F164" s="4">
        <v>95.406700000000001</v>
      </c>
      <c r="G164" s="5">
        <v>95.406700000000001</v>
      </c>
      <c r="H164" s="5">
        <v>16.420000000000002</v>
      </c>
      <c r="I164" s="5">
        <v>108</v>
      </c>
      <c r="J164" s="4" t="s">
        <v>135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134</v>
      </c>
      <c r="E165" s="4" t="s">
        <v>66</v>
      </c>
      <c r="F165" s="4">
        <v>863.68700000000001</v>
      </c>
      <c r="G165" s="5">
        <v>96.052000000000007</v>
      </c>
      <c r="H165" s="5">
        <v>16.96</v>
      </c>
      <c r="I165" s="5">
        <v>3402</v>
      </c>
      <c r="J165" s="4" t="s">
        <v>135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134</v>
      </c>
      <c r="E166" s="4" t="s">
        <v>66</v>
      </c>
      <c r="F166" s="4">
        <v>0.98624999999999996</v>
      </c>
      <c r="G166" s="5">
        <v>98.795200000000008</v>
      </c>
      <c r="H166" s="5">
        <v>4.9000000000000004</v>
      </c>
      <c r="I166" s="5">
        <v>3457</v>
      </c>
      <c r="J166" s="4" t="s">
        <v>135</v>
      </c>
    </row>
    <row r="167" spans="1:10" x14ac:dyDescent="0.25">
      <c r="A167" s="4">
        <f t="shared" ca="1" si="5"/>
        <v>164</v>
      </c>
      <c r="B167" s="4" t="s">
        <v>440</v>
      </c>
      <c r="C167" s="4" t="s">
        <v>441</v>
      </c>
      <c r="D167" s="4" t="s">
        <v>134</v>
      </c>
      <c r="E167" s="4" t="s">
        <v>66</v>
      </c>
      <c r="F167" s="4">
        <v>99.91340000000001</v>
      </c>
      <c r="G167" s="5">
        <v>99.91340000000001</v>
      </c>
      <c r="H167" s="5">
        <v>15.82</v>
      </c>
      <c r="I167" s="5">
        <v>3</v>
      </c>
      <c r="J167" s="4" t="s">
        <v>135</v>
      </c>
    </row>
    <row r="168" spans="1:10" x14ac:dyDescent="0.25">
      <c r="A168" s="4">
        <f t="shared" ca="1" si="5"/>
        <v>165</v>
      </c>
      <c r="B168" s="4" t="s">
        <v>442</v>
      </c>
      <c r="C168" s="4" t="s">
        <v>443</v>
      </c>
      <c r="D168" s="4" t="s">
        <v>134</v>
      </c>
      <c r="E168" s="4" t="s">
        <v>66</v>
      </c>
      <c r="F168" s="4">
        <v>1013.657</v>
      </c>
      <c r="G168" s="5">
        <v>101.9778</v>
      </c>
      <c r="H168" s="5">
        <v>16.53</v>
      </c>
      <c r="I168" s="5">
        <v>1814</v>
      </c>
      <c r="J168" s="4" t="s">
        <v>135</v>
      </c>
    </row>
    <row r="169" spans="1:10" x14ac:dyDescent="0.25">
      <c r="A169" s="4">
        <f t="shared" ca="1" si="5"/>
        <v>166</v>
      </c>
      <c r="B169" s="4" t="s">
        <v>444</v>
      </c>
      <c r="C169" s="4" t="s">
        <v>445</v>
      </c>
      <c r="D169" s="4" t="s">
        <v>121</v>
      </c>
      <c r="E169" s="4" t="s">
        <v>446</v>
      </c>
      <c r="F169" s="4">
        <v>355.28</v>
      </c>
      <c r="G169" s="5"/>
      <c r="H169" s="5"/>
      <c r="I169" s="5"/>
      <c r="J169" s="4" t="s">
        <v>123</v>
      </c>
    </row>
    <row r="170" spans="1:10" x14ac:dyDescent="0.25">
      <c r="A170" s="4">
        <f t="shared" ca="1" si="5"/>
        <v>167</v>
      </c>
      <c r="B170" s="4" t="s">
        <v>447</v>
      </c>
      <c r="C170" s="4" t="s">
        <v>448</v>
      </c>
      <c r="D170" s="4" t="s">
        <v>121</v>
      </c>
      <c r="E170" s="4" t="s">
        <v>446</v>
      </c>
      <c r="F170" s="4">
        <v>14497.91</v>
      </c>
      <c r="G170" s="5"/>
      <c r="H170" s="5"/>
      <c r="I170" s="5"/>
      <c r="J170" s="4" t="s">
        <v>123</v>
      </c>
    </row>
    <row r="171" spans="1:10" x14ac:dyDescent="0.25">
      <c r="A171" s="4">
        <f t="shared" ca="1" si="5"/>
        <v>168</v>
      </c>
      <c r="B171" s="4" t="s">
        <v>449</v>
      </c>
      <c r="C171" s="4" t="s">
        <v>450</v>
      </c>
      <c r="D171" s="4" t="s">
        <v>134</v>
      </c>
      <c r="E171" s="4" t="s">
        <v>446</v>
      </c>
      <c r="F171" s="4">
        <v>986.53600000000006</v>
      </c>
      <c r="G171" s="5">
        <v>105.35590000000001</v>
      </c>
      <c r="H171" s="5">
        <v>18.11</v>
      </c>
      <c r="I171" s="5">
        <v>773</v>
      </c>
      <c r="J171" s="4" t="s">
        <v>135</v>
      </c>
    </row>
    <row r="172" spans="1:10" x14ac:dyDescent="0.25">
      <c r="A172" s="4">
        <f t="shared" ca="1" si="5"/>
        <v>169</v>
      </c>
      <c r="B172" s="4" t="s">
        <v>451</v>
      </c>
      <c r="C172" s="4" t="s">
        <v>452</v>
      </c>
      <c r="D172" s="4" t="s">
        <v>121</v>
      </c>
      <c r="E172" s="4" t="s">
        <v>453</v>
      </c>
      <c r="F172" s="4">
        <v>869.24</v>
      </c>
      <c r="G172" s="5"/>
      <c r="H172" s="5"/>
      <c r="I172" s="5"/>
      <c r="J172" s="4" t="s">
        <v>123</v>
      </c>
    </row>
    <row r="173" spans="1:10" x14ac:dyDescent="0.25">
      <c r="A173" s="4">
        <f t="shared" ca="1" si="5"/>
        <v>170</v>
      </c>
      <c r="B173" s="4" t="s">
        <v>454</v>
      </c>
      <c r="C173" s="4" t="s">
        <v>455</v>
      </c>
      <c r="D173" s="4" t="s">
        <v>134</v>
      </c>
      <c r="E173" s="4" t="s">
        <v>456</v>
      </c>
      <c r="F173" s="4">
        <v>0.86991799999999997</v>
      </c>
      <c r="G173" s="5">
        <v>88.352100000000007</v>
      </c>
      <c r="H173" s="5">
        <v>5.72</v>
      </c>
      <c r="I173" s="5">
        <v>2023</v>
      </c>
      <c r="J173" s="4" t="s">
        <v>135</v>
      </c>
    </row>
    <row r="174" spans="1:10" x14ac:dyDescent="0.25">
      <c r="A174" s="4">
        <f t="shared" ca="1" si="5"/>
        <v>171</v>
      </c>
      <c r="B174" s="4" t="s">
        <v>457</v>
      </c>
      <c r="C174" s="4" t="s">
        <v>458</v>
      </c>
      <c r="D174" s="4" t="s">
        <v>134</v>
      </c>
      <c r="E174" s="4" t="s">
        <v>456</v>
      </c>
      <c r="F174" s="4">
        <v>1001.8520000000001</v>
      </c>
      <c r="G174" s="5">
        <v>102.79560000000001</v>
      </c>
      <c r="H174" s="5">
        <v>5.2</v>
      </c>
      <c r="I174" s="5">
        <v>1463</v>
      </c>
      <c r="J174" s="4" t="s">
        <v>135</v>
      </c>
    </row>
    <row r="175" spans="1:10" x14ac:dyDescent="0.25">
      <c r="A175" s="4">
        <f t="shared" ca="1" si="5"/>
        <v>172</v>
      </c>
      <c r="B175" s="4" t="s">
        <v>459</v>
      </c>
      <c r="C175" s="4" t="s">
        <v>460</v>
      </c>
      <c r="D175" s="4" t="s">
        <v>134</v>
      </c>
      <c r="E175" s="4" t="s">
        <v>456</v>
      </c>
      <c r="F175" s="4">
        <v>1.037776</v>
      </c>
      <c r="G175" s="5">
        <v>104.012</v>
      </c>
      <c r="H175" s="5">
        <v>4.68</v>
      </c>
      <c r="I175" s="5">
        <v>1629</v>
      </c>
      <c r="J175" s="4" t="s">
        <v>135</v>
      </c>
    </row>
    <row r="176" spans="1:10" x14ac:dyDescent="0.25">
      <c r="A176" s="4">
        <f t="shared" ca="1" si="5"/>
        <v>173</v>
      </c>
      <c r="B176" s="4" t="s">
        <v>461</v>
      </c>
      <c r="C176" s="4" t="s">
        <v>462</v>
      </c>
      <c r="D176" s="4" t="s">
        <v>134</v>
      </c>
      <c r="E176" s="4" t="s">
        <v>456</v>
      </c>
      <c r="F176" s="4">
        <v>1.007228</v>
      </c>
      <c r="G176" s="5">
        <v>101.1909</v>
      </c>
      <c r="H176" s="5">
        <v>3.08</v>
      </c>
      <c r="I176" s="5">
        <v>1046</v>
      </c>
      <c r="J176" s="4" t="s">
        <v>135</v>
      </c>
    </row>
    <row r="177" spans="1:10" x14ac:dyDescent="0.25">
      <c r="A177" s="4">
        <f t="shared" ca="1" si="5"/>
        <v>174</v>
      </c>
      <c r="B177" s="4" t="s">
        <v>463</v>
      </c>
      <c r="C177" s="4" t="s">
        <v>464</v>
      </c>
      <c r="D177" s="4" t="s">
        <v>121</v>
      </c>
      <c r="E177" s="4" t="s">
        <v>465</v>
      </c>
      <c r="F177" s="4">
        <v>29992.07</v>
      </c>
      <c r="G177" s="5"/>
      <c r="H177" s="5"/>
      <c r="I177" s="5"/>
      <c r="J177" s="4" t="s">
        <v>123</v>
      </c>
    </row>
    <row r="178" spans="1:10" x14ac:dyDescent="0.25">
      <c r="A178" s="4">
        <f t="shared" ca="1" si="5"/>
        <v>175</v>
      </c>
      <c r="B178" s="4" t="s">
        <v>466</v>
      </c>
      <c r="C178" s="4" t="s">
        <v>467</v>
      </c>
      <c r="D178" s="4" t="s">
        <v>121</v>
      </c>
      <c r="E178" s="4" t="s">
        <v>468</v>
      </c>
      <c r="F178" s="4">
        <v>41078.07</v>
      </c>
      <c r="G178" s="5"/>
      <c r="H178" s="5"/>
      <c r="I178" s="5"/>
      <c r="J178" s="4" t="s">
        <v>123</v>
      </c>
    </row>
    <row r="179" spans="1:10" x14ac:dyDescent="0.25">
      <c r="A179" s="4">
        <f t="shared" ca="1" si="5"/>
        <v>176</v>
      </c>
      <c r="B179" s="4" t="s">
        <v>469</v>
      </c>
      <c r="C179" s="4" t="s">
        <v>470</v>
      </c>
      <c r="D179" s="4" t="s">
        <v>134</v>
      </c>
      <c r="E179" s="4" t="s">
        <v>471</v>
      </c>
      <c r="F179" s="4">
        <v>1000.4050000000001</v>
      </c>
      <c r="G179" s="5">
        <v>100.8322</v>
      </c>
      <c r="H179" s="5">
        <v>18.98</v>
      </c>
      <c r="I179" s="5">
        <v>1812</v>
      </c>
      <c r="J179" s="4" t="s">
        <v>135</v>
      </c>
    </row>
    <row r="180" spans="1:10" x14ac:dyDescent="0.25">
      <c r="A180" s="4">
        <f t="shared" ca="1" si="5"/>
        <v>177</v>
      </c>
      <c r="B180" s="4" t="s">
        <v>472</v>
      </c>
      <c r="C180" s="4" t="s">
        <v>473</v>
      </c>
      <c r="D180" s="4" t="s">
        <v>134</v>
      </c>
      <c r="E180" s="4" t="s">
        <v>471</v>
      </c>
      <c r="F180" s="4">
        <v>1000.4050000000001</v>
      </c>
      <c r="G180" s="5">
        <v>100.8322</v>
      </c>
      <c r="H180" s="5">
        <v>18.98</v>
      </c>
      <c r="I180" s="5">
        <v>1812</v>
      </c>
      <c r="J180" s="4" t="s">
        <v>135</v>
      </c>
    </row>
    <row r="181" spans="1:10" x14ac:dyDescent="0.25">
      <c r="A181" s="4">
        <f t="shared" ca="1" si="5"/>
        <v>178</v>
      </c>
      <c r="B181" s="4" t="s">
        <v>474</v>
      </c>
      <c r="C181" s="4" t="s">
        <v>475</v>
      </c>
      <c r="D181" s="4" t="s">
        <v>134</v>
      </c>
      <c r="E181" s="4" t="s">
        <v>476</v>
      </c>
      <c r="F181" s="4">
        <v>99.97760000000001</v>
      </c>
      <c r="G181" s="5">
        <v>101.0776</v>
      </c>
      <c r="H181" s="5">
        <v>11</v>
      </c>
      <c r="I181" s="5">
        <v>330</v>
      </c>
      <c r="J181" s="4" t="s">
        <v>135</v>
      </c>
    </row>
    <row r="182" spans="1:10" x14ac:dyDescent="0.25">
      <c r="A182" s="4">
        <f t="shared" ca="1" si="5"/>
        <v>179</v>
      </c>
      <c r="B182" s="4" t="s">
        <v>477</v>
      </c>
      <c r="C182" s="4" t="s">
        <v>478</v>
      </c>
      <c r="D182" s="4" t="s">
        <v>121</v>
      </c>
      <c r="E182" s="4" t="s">
        <v>479</v>
      </c>
      <c r="F182" s="4">
        <v>3385.8</v>
      </c>
      <c r="G182" s="5"/>
      <c r="H182" s="5"/>
      <c r="I182" s="5"/>
      <c r="J182" s="4" t="s">
        <v>123</v>
      </c>
    </row>
    <row r="183" spans="1:10" x14ac:dyDescent="0.25">
      <c r="A183" s="4">
        <f t="shared" ca="1" si="5"/>
        <v>180</v>
      </c>
      <c r="B183" s="4" t="s">
        <v>480</v>
      </c>
      <c r="C183" s="4" t="s">
        <v>481</v>
      </c>
      <c r="D183" s="4" t="s">
        <v>121</v>
      </c>
      <c r="E183" s="4" t="s">
        <v>479</v>
      </c>
      <c r="F183" s="4">
        <v>813.23</v>
      </c>
      <c r="G183" s="5"/>
      <c r="H183" s="5"/>
      <c r="I183" s="5"/>
      <c r="J183" s="4" t="s">
        <v>123</v>
      </c>
    </row>
    <row r="184" spans="1:10" x14ac:dyDescent="0.25">
      <c r="A184" s="4">
        <f t="shared" ca="1" si="5"/>
        <v>181</v>
      </c>
      <c r="B184" s="4" t="s">
        <v>482</v>
      </c>
      <c r="C184" s="4" t="s">
        <v>483</v>
      </c>
      <c r="D184" s="4" t="s">
        <v>134</v>
      </c>
      <c r="E184" s="4" t="s">
        <v>115</v>
      </c>
      <c r="F184" s="4">
        <v>0.99947599999999992</v>
      </c>
      <c r="G184" s="5">
        <v>100.456</v>
      </c>
      <c r="H184" s="5">
        <v>5.84</v>
      </c>
      <c r="I184" s="5">
        <v>150</v>
      </c>
      <c r="J184" s="4" t="s">
        <v>135</v>
      </c>
    </row>
    <row r="185" spans="1:10" x14ac:dyDescent="0.25">
      <c r="A185" s="4">
        <f t="shared" ca="1" si="5"/>
        <v>182</v>
      </c>
      <c r="B185" s="4" t="s">
        <v>484</v>
      </c>
      <c r="C185" s="4" t="s">
        <v>485</v>
      </c>
      <c r="D185" s="4" t="s">
        <v>134</v>
      </c>
      <c r="E185" s="4" t="s">
        <v>115</v>
      </c>
      <c r="F185" s="4">
        <v>1000</v>
      </c>
      <c r="G185" s="5">
        <v>101.1986</v>
      </c>
      <c r="H185" s="5">
        <v>17.48</v>
      </c>
      <c r="I185" s="5">
        <v>888</v>
      </c>
      <c r="J185" s="4" t="s">
        <v>135</v>
      </c>
    </row>
    <row r="186" spans="1:10" x14ac:dyDescent="0.25">
      <c r="A186" s="4">
        <f t="shared" ca="1" si="5"/>
        <v>183</v>
      </c>
      <c r="B186" s="4" t="s">
        <v>486</v>
      </c>
      <c r="C186" s="4" t="s">
        <v>116</v>
      </c>
      <c r="D186" s="4" t="s">
        <v>134</v>
      </c>
      <c r="E186" s="4" t="s">
        <v>115</v>
      </c>
      <c r="F186" s="4">
        <v>945.52525670913701</v>
      </c>
      <c r="G186" s="5">
        <v>96.498925670000006</v>
      </c>
      <c r="H186" s="5">
        <v>17.900000000000002</v>
      </c>
      <c r="I186" s="5">
        <v>682</v>
      </c>
      <c r="J186" s="4" t="s">
        <v>135</v>
      </c>
    </row>
    <row r="187" spans="1:10" x14ac:dyDescent="0.25">
      <c r="A187" s="4">
        <f t="shared" ca="1" si="5"/>
        <v>184</v>
      </c>
      <c r="B187" s="4" t="s">
        <v>487</v>
      </c>
      <c r="C187" s="4" t="s">
        <v>488</v>
      </c>
      <c r="D187" s="4" t="s">
        <v>134</v>
      </c>
      <c r="E187" s="4" t="s">
        <v>115</v>
      </c>
      <c r="F187" s="4">
        <v>1000</v>
      </c>
      <c r="G187" s="5">
        <v>102.5822</v>
      </c>
      <c r="H187" s="5">
        <v>16.22</v>
      </c>
      <c r="I187" s="5">
        <v>857</v>
      </c>
      <c r="J187" s="4" t="s">
        <v>135</v>
      </c>
    </row>
    <row r="188" spans="1:10" x14ac:dyDescent="0.25">
      <c r="A188" s="4">
        <f t="shared" ca="1" si="5"/>
        <v>185</v>
      </c>
      <c r="B188" s="4" t="s">
        <v>489</v>
      </c>
      <c r="C188" s="4" t="s">
        <v>490</v>
      </c>
      <c r="D188" s="4" t="s">
        <v>134</v>
      </c>
      <c r="E188" s="4" t="s">
        <v>491</v>
      </c>
      <c r="F188" s="4">
        <v>1.017658</v>
      </c>
      <c r="G188" s="5">
        <v>104.24860000000001</v>
      </c>
      <c r="H188" s="5">
        <v>4.7</v>
      </c>
      <c r="I188" s="5">
        <v>930</v>
      </c>
      <c r="J188" s="4" t="s">
        <v>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2025-10-23T04:27:10Z</dcterms:created>
  <dcterms:modified xsi:type="dcterms:W3CDTF">2025-10-23T07:07:40Z</dcterms:modified>
</cp:coreProperties>
</file>