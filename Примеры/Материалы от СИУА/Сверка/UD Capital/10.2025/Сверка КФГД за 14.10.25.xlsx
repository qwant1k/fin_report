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068AABE9-3260-4E82-8910-B96D4D766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L24" i="1"/>
  <c r="L26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K26" i="1"/>
  <c r="H26" i="1"/>
  <c r="D26" i="1"/>
  <c r="B49" i="1" l="1"/>
  <c r="Q1" i="1"/>
  <c r="M21" i="1" s="1"/>
  <c r="M14" i="1"/>
  <c r="M8" i="1"/>
  <c r="M20" i="1"/>
  <c r="M15" i="1"/>
  <c r="M19" i="1"/>
  <c r="M23" i="1"/>
  <c r="M16" i="1"/>
  <c r="M24" i="1"/>
  <c r="M9" i="1"/>
  <c r="M17" i="1"/>
  <c r="M10" i="1" l="1"/>
  <c r="M22" i="1"/>
  <c r="M13" i="1"/>
  <c r="M12" i="1"/>
  <c r="M11" i="1"/>
  <c r="M18" i="1"/>
  <c r="M26" i="1" l="1"/>
</calcChain>
</file>

<file path=xl/sharedStrings.xml><?xml version="1.0" encoding="utf-8"?>
<sst xmlns="http://schemas.openxmlformats.org/spreadsheetml/2006/main" count="1055" uniqueCount="469">
  <si>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</si>
  <si>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</si>
  <si>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</si>
  <si>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</si>
  <si>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</si>
  <si>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</si>
  <si>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</si>
  <si>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</si>
  <si>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</si>
  <si>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</si>
  <si>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</si>
  <si>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</si>
  <si>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</si>
  <si>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</si>
  <si>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</si>
  <si>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</si>
  <si>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</si>
  <si>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</si>
  <si>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</si>
  <si>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</si>
  <si>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</si>
  <si>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</si>
  <si>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</si>
  <si>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</si>
  <si>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</si>
  <si>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</si>
  <si>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</si>
  <si>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</si>
  <si>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</si>
  <si>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</si>
  <si>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</si>
  <si>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</si>
  <si>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</si>
  <si>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</si>
  <si>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</si>
  <si>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</si>
  <si>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</si>
  <si>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</si>
  <si>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</si>
  <si>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</si>
  <si>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</si>
  <si>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</si>
  <si>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</si>
  <si>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</si>
  <si>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</si>
  <si>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</si>
  <si>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</si>
  <si>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</si>
  <si>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</si>
  <si>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</si>
  <si>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</si>
  <si>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</si>
  <si>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</si>
  <si>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</si>
  <si>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</si>
  <si>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</si>
  <si>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</si>
  <si>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</si>
  <si>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</si>
  <si>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</si>
  <si>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</si>
  <si>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</si>
  <si>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</si>
  <si>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</si>
  <si>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</si>
  <si>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</si>
  <si>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</si>
  <si>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</si>
  <si>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</si>
  <si>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13.10.2025</t>
  </si>
  <si>
    <t>14.10.2025</t>
  </si>
  <si>
    <t>KZKD00001095</t>
  </si>
  <si>
    <t>15.10.2025</t>
  </si>
  <si>
    <t>KZKD00001210</t>
  </si>
  <si>
    <t>KZK200000711</t>
  </si>
  <si>
    <t>KZ96601A861038102391</t>
  </si>
  <si>
    <t>KZKD00001137</t>
  </si>
  <si>
    <t>18.07.2024</t>
  </si>
  <si>
    <t>12.04.2028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</si>
  <si>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</si>
  <si>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</si>
  <si>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</si>
  <si>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</si>
  <si>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</si>
  <si>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</si>
  <si>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</si>
  <si>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</si>
  <si>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</si>
  <si>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KZK200000760</t>
  </si>
  <si>
    <t>14.08.2025</t>
  </si>
  <si>
    <t>07.08.2029</t>
  </si>
  <si>
    <t>KZK200000687</t>
  </si>
  <si>
    <t>21.01.2026</t>
  </si>
  <si>
    <t>KZKD00000832</t>
  </si>
  <si>
    <t>29.01.2035</t>
  </si>
  <si>
    <t>KZKD00001251</t>
  </si>
  <si>
    <t>13.03.2025</t>
  </si>
  <si>
    <t>07.03.2030</t>
  </si>
  <si>
    <t>KZKD00001152</t>
  </si>
  <si>
    <t>26.07.2032</t>
  </si>
  <si>
    <t>KZKD00000790</t>
  </si>
  <si>
    <t>10.07.2025</t>
  </si>
  <si>
    <t>13.08.2029</t>
  </si>
  <si>
    <t>KZK100000373</t>
  </si>
  <si>
    <t>06.02.2026</t>
  </si>
  <si>
    <t>KZKD00000535</t>
  </si>
  <si>
    <t>27.03.2027</t>
  </si>
  <si>
    <t>KZKD00001160</t>
  </si>
  <si>
    <t>28.07.2029</t>
  </si>
  <si>
    <t>KZKD00000949</t>
  </si>
  <si>
    <t>16.04.2032</t>
  </si>
  <si>
    <t>KZKD00001129</t>
  </si>
  <si>
    <t>17.03.2031</t>
  </si>
  <si>
    <t>KZKD00000741</t>
  </si>
  <si>
    <t>12.05.2034</t>
  </si>
  <si>
    <t>21.08.2025</t>
  </si>
  <si>
    <t>18.08.2026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</si>
  <si>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</si>
  <si>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</si>
  <si>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</si>
  <si>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</si>
  <si>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</si>
  <si>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</si>
  <si>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</si>
  <si>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</si>
  <si>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</si>
  <si>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</si>
  <si>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</si>
  <si>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</si>
  <si>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</si>
  <si>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</si>
  <si>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</si>
  <si>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</si>
  <si>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</si>
  <si>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</si>
  <si>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</si>
  <si>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</si>
  <si>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</si>
  <si>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</si>
  <si>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</si>
  <si>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</si>
  <si>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</si>
  <si>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</si>
  <si>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</si>
  <si>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</si>
  <si>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</si>
  <si>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</si>
  <si>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</si>
  <si>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</si>
  <si>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</si>
  <si>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</si>
  <si>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</si>
  <si>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</si>
  <si>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</si>
  <si>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</si>
  <si>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</si>
  <si>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</si>
  <si>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</si>
  <si>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</si>
  <si>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</si>
  <si>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</si>
  <si>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</si>
  <si>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</si>
  <si>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</si>
  <si>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</si>
  <si>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</si>
  <si>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</si>
  <si>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</si>
  <si>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</si>
  <si>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</si>
  <si>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</si>
  <si>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</si>
  <si>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</si>
  <si>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KASAb1</t>
  </si>
  <si>
    <t>KZ2C00013753</t>
  </si>
  <si>
    <t>MFRFb21</t>
  </si>
  <si>
    <t>KZ2P00014723</t>
  </si>
  <si>
    <t>MFMOb32</t>
  </si>
  <si>
    <t>KZ2P00014590</t>
  </si>
  <si>
    <t>BIGDb2</t>
  </si>
  <si>
    <t>KZ2D00012531</t>
  </si>
  <si>
    <t>MFMOb23</t>
  </si>
  <si>
    <t>KZ2P00013154</t>
  </si>
  <si>
    <t>MFUCb9</t>
  </si>
  <si>
    <t>KZ2P00015431</t>
  </si>
  <si>
    <t>Доллар Сша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</si>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</sst>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"/>
      <sheetName val="дисконт KZKD00000444 "/>
      <sheetName val="KZKD00000477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/>
      <sheetData sheetId="1">
        <row r="56">
          <cell r="Y56">
            <v>1022387248.1777779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0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25870052864.631451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1897500</v>
      </c>
      <c r="D8" s="17">
        <v>1897500000</v>
      </c>
      <c r="E8" s="18">
        <v>10.4</v>
      </c>
      <c r="F8" s="19" t="s">
        <v>77</v>
      </c>
      <c r="G8" s="19" t="s">
        <v>78</v>
      </c>
      <c r="H8" s="18">
        <v>1736743800</v>
      </c>
      <c r="I8" s="20">
        <v>87.351600000000005</v>
      </c>
      <c r="J8" s="20">
        <v>92.609400000000008</v>
      </c>
      <c r="K8" s="18">
        <v>99766333.333333328</v>
      </c>
      <c r="L8" s="18">
        <v>1757262943.333333</v>
      </c>
      <c r="M8" s="21">
        <f t="shared" ref="M8:M24" si="0">L8/$Q$1</f>
        <v>6.7926530824210102E-2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1897500</v>
      </c>
      <c r="D9" s="17">
        <v>1897500000</v>
      </c>
      <c r="E9" s="18">
        <v>11</v>
      </c>
      <c r="F9" s="19" t="s">
        <v>77</v>
      </c>
      <c r="G9" s="19" t="s">
        <v>80</v>
      </c>
      <c r="H9" s="18">
        <v>1743261712.5</v>
      </c>
      <c r="I9" s="20">
        <v>85.196899999999999</v>
      </c>
      <c r="J9" s="20">
        <v>91.124700000000004</v>
      </c>
      <c r="K9" s="18">
        <v>112479583.333333</v>
      </c>
      <c r="L9" s="18">
        <v>1729090760.833333</v>
      </c>
      <c r="M9" s="21">
        <f t="shared" si="0"/>
        <v>6.6837542616593568E-2</v>
      </c>
      <c r="O9" s="10">
        <v>749863.88888888899</v>
      </c>
    </row>
    <row r="10" spans="1:17" x14ac:dyDescent="0.2">
      <c r="A10" s="15" t="s">
        <v>81</v>
      </c>
      <c r="B10" s="15" t="s">
        <v>82</v>
      </c>
      <c r="C10" s="16">
        <v>992234</v>
      </c>
      <c r="D10" s="17">
        <v>992234000</v>
      </c>
      <c r="E10" s="18">
        <v>14.3</v>
      </c>
      <c r="F10" s="19" t="s">
        <v>83</v>
      </c>
      <c r="G10" s="19" t="s">
        <v>84</v>
      </c>
      <c r="H10" s="18">
        <v>991722999.49000001</v>
      </c>
      <c r="I10" s="20">
        <v>94.648011769999997</v>
      </c>
      <c r="J10" s="20">
        <v>96.276611770000002</v>
      </c>
      <c r="K10" s="18">
        <v>16159633.172222219</v>
      </c>
      <c r="L10" s="18">
        <v>955289386.24812806</v>
      </c>
      <c r="M10" s="21">
        <f t="shared" si="0"/>
        <v>3.6926456673544848E-2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2391500</v>
      </c>
      <c r="D11" s="17">
        <v>2391500000</v>
      </c>
      <c r="E11" s="18">
        <v>5.3</v>
      </c>
      <c r="F11" s="19" t="s">
        <v>86</v>
      </c>
      <c r="G11" s="19" t="s">
        <v>87</v>
      </c>
      <c r="H11" s="18">
        <v>1903079172</v>
      </c>
      <c r="I11" s="20">
        <v>81.445400000000006</v>
      </c>
      <c r="J11" s="20">
        <v>86.671800000000005</v>
      </c>
      <c r="K11" s="18">
        <v>124989090.277778</v>
      </c>
      <c r="L11" s="18">
        <v>2072755831.2777801</v>
      </c>
      <c r="M11" s="21">
        <f t="shared" si="0"/>
        <v>8.0121824339662362E-2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897100</v>
      </c>
      <c r="D12" s="17">
        <v>897100000</v>
      </c>
      <c r="E12" s="18">
        <v>17.010000000000002</v>
      </c>
      <c r="F12" s="19" t="s">
        <v>89</v>
      </c>
      <c r="G12" s="19" t="s">
        <v>90</v>
      </c>
      <c r="H12" s="18">
        <v>896985171.20000005</v>
      </c>
      <c r="I12" s="20">
        <v>102.01360000000001</v>
      </c>
      <c r="J12" s="20">
        <v>105.1794</v>
      </c>
      <c r="K12" s="18">
        <v>28399943.25</v>
      </c>
      <c r="L12" s="18">
        <v>943563948.85000002</v>
      </c>
      <c r="M12" s="21">
        <f t="shared" si="0"/>
        <v>3.647321301534736E-2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2530000</v>
      </c>
      <c r="D13" s="17">
        <v>2530000000</v>
      </c>
      <c r="E13" s="18">
        <v>10.67</v>
      </c>
      <c r="F13" s="19" t="s">
        <v>77</v>
      </c>
      <c r="G13" s="19" t="s">
        <v>92</v>
      </c>
      <c r="H13" s="18">
        <v>2455119589.9966769</v>
      </c>
      <c r="I13" s="20">
        <v>98.401600000000002</v>
      </c>
      <c r="J13" s="20">
        <v>100.86160000000001</v>
      </c>
      <c r="K13" s="18">
        <v>62238702.777777769</v>
      </c>
      <c r="L13" s="18">
        <v>2551799182.7777772</v>
      </c>
      <c r="M13" s="21">
        <f t="shared" si="0"/>
        <v>9.8639117443261967E-2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1897500</v>
      </c>
      <c r="D14" s="17">
        <v>1897500000</v>
      </c>
      <c r="E14" s="18">
        <v>8.07</v>
      </c>
      <c r="F14" s="19" t="s">
        <v>77</v>
      </c>
      <c r="G14" s="19" t="s">
        <v>94</v>
      </c>
      <c r="H14" s="18">
        <v>1338524962.5</v>
      </c>
      <c r="I14" s="20">
        <v>59.911200000000001</v>
      </c>
      <c r="J14" s="20">
        <v>65.627499999999998</v>
      </c>
      <c r="K14" s="18">
        <v>108465843.75</v>
      </c>
      <c r="L14" s="18">
        <v>1245280863.75</v>
      </c>
      <c r="M14" s="21">
        <f t="shared" si="0"/>
        <v>4.8135999963591122E-2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550000</v>
      </c>
      <c r="D15" s="17">
        <v>550000000</v>
      </c>
      <c r="E15" s="18">
        <v>12</v>
      </c>
      <c r="F15" s="19" t="s">
        <v>96</v>
      </c>
      <c r="G15" s="19" t="s">
        <v>97</v>
      </c>
      <c r="H15" s="18">
        <v>491343050</v>
      </c>
      <c r="I15" s="20">
        <v>85.409199999999998</v>
      </c>
      <c r="J15" s="20">
        <v>92.642499999999998</v>
      </c>
      <c r="K15" s="18">
        <v>39783333.333333328</v>
      </c>
      <c r="L15" s="18">
        <v>509533933.33333302</v>
      </c>
      <c r="M15" s="21">
        <f t="shared" si="0"/>
        <v>1.9695898419672283E-2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10.65</v>
      </c>
      <c r="F16" s="19" t="s">
        <v>77</v>
      </c>
      <c r="G16" s="19" t="s">
        <v>99</v>
      </c>
      <c r="H16" s="18">
        <v>1648500562.5</v>
      </c>
      <c r="I16" s="20">
        <v>75.768300000000011</v>
      </c>
      <c r="J16" s="20">
        <v>78.075800000000001</v>
      </c>
      <c r="K16" s="18">
        <v>43784812.5</v>
      </c>
      <c r="L16" s="18">
        <v>1481488305</v>
      </c>
      <c r="M16" s="21">
        <f t="shared" si="0"/>
        <v>5.7266535663923375E-2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2469500</v>
      </c>
      <c r="D17" s="17">
        <v>2469500000</v>
      </c>
      <c r="E17" s="18">
        <v>7.68</v>
      </c>
      <c r="F17" s="19" t="s">
        <v>101</v>
      </c>
      <c r="G17" s="19" t="s">
        <v>102</v>
      </c>
      <c r="H17" s="18">
        <v>1827657194</v>
      </c>
      <c r="I17" s="20">
        <v>75.358800000000002</v>
      </c>
      <c r="J17" s="20">
        <v>76.6601</v>
      </c>
      <c r="K17" s="18">
        <v>32136426.66666666</v>
      </c>
      <c r="L17" s="18">
        <v>1893121992.666666</v>
      </c>
      <c r="M17" s="21">
        <f t="shared" si="0"/>
        <v>7.3178126174410343E-2</v>
      </c>
      <c r="O17" s="10">
        <v>749863.88888888899</v>
      </c>
    </row>
    <row r="18" spans="1:15" x14ac:dyDescent="0.2">
      <c r="A18" s="15" t="s">
        <v>66</v>
      </c>
      <c r="B18" s="15" t="s">
        <v>103</v>
      </c>
      <c r="C18" s="16">
        <v>11424000</v>
      </c>
      <c r="D18" s="17">
        <v>1142400000</v>
      </c>
      <c r="E18" s="18">
        <v>0</v>
      </c>
      <c r="F18" s="19" t="s">
        <v>96</v>
      </c>
      <c r="G18" s="19" t="s">
        <v>104</v>
      </c>
      <c r="H18" s="18">
        <v>1003902278.4</v>
      </c>
      <c r="I18" s="20">
        <v>95.09620000000001</v>
      </c>
      <c r="J18" s="20">
        <v>95.09620000000001</v>
      </c>
      <c r="K18" s="18"/>
      <c r="L18" s="18">
        <v>1086378988.8</v>
      </c>
      <c r="M18" s="21">
        <f t="shared" si="0"/>
        <v>4.1993690329301794E-2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3162500</v>
      </c>
      <c r="D19" s="17">
        <v>3162500000</v>
      </c>
      <c r="E19" s="18">
        <v>5.49</v>
      </c>
      <c r="F19" s="19" t="s">
        <v>77</v>
      </c>
      <c r="G19" s="19" t="s">
        <v>106</v>
      </c>
      <c r="H19" s="18">
        <v>2627740225</v>
      </c>
      <c r="I19" s="20">
        <v>86.180400000000006</v>
      </c>
      <c r="J19" s="20">
        <v>89.184700000000007</v>
      </c>
      <c r="K19" s="18">
        <v>95009406.25</v>
      </c>
      <c r="L19" s="18">
        <v>2820464556.25</v>
      </c>
      <c r="M19" s="21">
        <f t="shared" si="0"/>
        <v>0.10902430586471787</v>
      </c>
      <c r="O19" s="10">
        <v>749863.88888888899</v>
      </c>
    </row>
    <row r="20" spans="1:15" x14ac:dyDescent="0.2">
      <c r="A20" s="15" t="s">
        <v>66</v>
      </c>
      <c r="B20" s="15" t="s">
        <v>107</v>
      </c>
      <c r="C20" s="16">
        <v>1897500</v>
      </c>
      <c r="D20" s="17">
        <v>1897500000</v>
      </c>
      <c r="E20" s="18">
        <v>10.55</v>
      </c>
      <c r="F20" s="19" t="s">
        <v>77</v>
      </c>
      <c r="G20" s="19" t="s">
        <v>108</v>
      </c>
      <c r="H20" s="18">
        <v>1708326839.9966669</v>
      </c>
      <c r="I20" s="20">
        <v>83.11</v>
      </c>
      <c r="J20" s="20">
        <v>85.33720000000001</v>
      </c>
      <c r="K20" s="18">
        <v>42261541.666666657</v>
      </c>
      <c r="L20" s="18">
        <v>1619273791.666666</v>
      </c>
      <c r="M20" s="21">
        <f t="shared" si="0"/>
        <v>6.2592596935914083E-2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1897500</v>
      </c>
      <c r="D21" s="17">
        <v>1897500000</v>
      </c>
      <c r="E21" s="18">
        <v>8.4499999999999993</v>
      </c>
      <c r="F21" s="19" t="s">
        <v>77</v>
      </c>
      <c r="G21" s="19" t="s">
        <v>110</v>
      </c>
      <c r="H21" s="18">
        <v>1457889097.496666</v>
      </c>
      <c r="I21" s="20">
        <v>67.985200000000006</v>
      </c>
      <c r="J21" s="20">
        <v>72.163300000000007</v>
      </c>
      <c r="K21" s="18">
        <v>79278604.166666657</v>
      </c>
      <c r="L21" s="18">
        <v>1369297774.166666</v>
      </c>
      <c r="M21" s="21">
        <f t="shared" si="0"/>
        <v>5.2929840589491711E-2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1897500</v>
      </c>
      <c r="D22" s="17">
        <v>1897500000</v>
      </c>
      <c r="E22" s="18">
        <v>10.3</v>
      </c>
      <c r="F22" s="19" t="s">
        <v>77</v>
      </c>
      <c r="G22" s="19" t="s">
        <v>112</v>
      </c>
      <c r="H22" s="18">
        <v>1645329839.996666</v>
      </c>
      <c r="I22" s="20">
        <v>77.553899999999999</v>
      </c>
      <c r="J22" s="20">
        <v>83.476399999999998</v>
      </c>
      <c r="K22" s="18">
        <v>112379437.5</v>
      </c>
      <c r="L22" s="18">
        <v>1583964689.999999</v>
      </c>
      <c r="M22" s="21">
        <f t="shared" si="0"/>
        <v>6.1227733019654361E-2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8.07</v>
      </c>
      <c r="F23" s="19" t="s">
        <v>77</v>
      </c>
      <c r="G23" s="19" t="s">
        <v>114</v>
      </c>
      <c r="H23" s="18">
        <v>1359122325</v>
      </c>
      <c r="I23" s="20">
        <v>61.3673</v>
      </c>
      <c r="J23" s="20">
        <v>64.774600000000007</v>
      </c>
      <c r="K23" s="18">
        <v>64654150</v>
      </c>
      <c r="L23" s="18">
        <v>1229098667.5</v>
      </c>
      <c r="M23" s="21">
        <f t="shared" si="0"/>
        <v>4.7510481479547992E-2</v>
      </c>
      <c r="O23" s="10">
        <v>749863.88888888899</v>
      </c>
    </row>
    <row r="24" spans="1:15" x14ac:dyDescent="0.2">
      <c r="A24" s="15" t="s">
        <v>66</v>
      </c>
      <c r="B24" s="15" t="s">
        <v>67</v>
      </c>
      <c r="C24" s="16">
        <v>1106600</v>
      </c>
      <c r="D24" s="17">
        <v>1106600000</v>
      </c>
      <c r="E24" s="18">
        <v>5.5</v>
      </c>
      <c r="F24" s="19" t="s">
        <v>115</v>
      </c>
      <c r="G24" s="19" t="s">
        <v>116</v>
      </c>
      <c r="H24" s="18">
        <v>999478906.79999995</v>
      </c>
      <c r="I24" s="20">
        <v>91.534400000000005</v>
      </c>
      <c r="J24" s="20">
        <v>92.39</v>
      </c>
      <c r="K24" s="18">
        <v>9467577.7777777798</v>
      </c>
      <c r="L24" s="18">
        <f>[1]KZKD00000444!$Y$56</f>
        <v>1022387248.1777779</v>
      </c>
      <c r="M24" s="21">
        <f t="shared" si="0"/>
        <v>3.9520106647155204E-2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1071254419.7555554</v>
      </c>
      <c r="L26" s="23">
        <f>SUM(L8:L25)</f>
        <v>25870052864.631451</v>
      </c>
      <c r="M26" s="26">
        <f>SUM(M8:M25)</f>
        <v>1.0000000000000002</v>
      </c>
      <c r="N26" s="9">
        <v>25870052864.631458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305613.66000000003</v>
      </c>
    </row>
    <row r="30" spans="1:15" x14ac:dyDescent="0.2">
      <c r="A30" s="29" t="s">
        <v>75</v>
      </c>
      <c r="B30" s="30">
        <v>305613.66000000003</v>
      </c>
      <c r="C30" s="62">
        <v>305613.71999999997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2282840</v>
      </c>
      <c r="D35" s="32" t="s">
        <v>68</v>
      </c>
      <c r="E35" s="34" t="s">
        <v>69</v>
      </c>
      <c r="F35" s="34" t="s">
        <v>70</v>
      </c>
      <c r="G35" s="35">
        <v>922.35599999999999</v>
      </c>
      <c r="H35" s="35">
        <f t="shared" ref="H35:H40" si="1">J35/C35</f>
        <v>922.78561826496821</v>
      </c>
      <c r="I35" s="36">
        <v>2105591171.04</v>
      </c>
      <c r="J35" s="36">
        <v>2106571920.8</v>
      </c>
      <c r="K35" s="37">
        <v>17.001100000000001</v>
      </c>
      <c r="L35" s="37">
        <v>980749.76</v>
      </c>
      <c r="M35" s="31">
        <f t="shared" ref="M35:M40" si="2">I35+L35</f>
        <v>2106571920.8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12564</v>
      </c>
      <c r="D36" s="32" t="s">
        <v>68</v>
      </c>
      <c r="E36" s="34" t="s">
        <v>69</v>
      </c>
      <c r="F36" s="34" t="s">
        <v>70</v>
      </c>
      <c r="G36" s="35">
        <v>955.74599968163</v>
      </c>
      <c r="H36" s="35">
        <f t="shared" si="1"/>
        <v>956.19117319325062</v>
      </c>
      <c r="I36" s="36">
        <v>12007992.74</v>
      </c>
      <c r="J36" s="36">
        <v>12013585.9</v>
      </c>
      <c r="K36" s="37">
        <v>17.001200000000001</v>
      </c>
      <c r="L36" s="37">
        <v>5593.16</v>
      </c>
      <c r="M36" s="31">
        <f t="shared" si="2"/>
        <v>12013585.9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1309592</v>
      </c>
      <c r="D37" s="32" t="s">
        <v>68</v>
      </c>
      <c r="E37" s="34" t="s">
        <v>70</v>
      </c>
      <c r="F37" s="34" t="s">
        <v>72</v>
      </c>
      <c r="G37" s="35">
        <v>956.75300000305401</v>
      </c>
      <c r="H37" s="35">
        <f t="shared" si="1"/>
        <v>957.19074989004207</v>
      </c>
      <c r="I37" s="36">
        <v>1252956074.78</v>
      </c>
      <c r="J37" s="36">
        <v>1253529348.53</v>
      </c>
      <c r="K37" s="37">
        <v>16.700099999999999</v>
      </c>
      <c r="L37" s="37"/>
      <c r="M37" s="31">
        <f t="shared" si="2"/>
        <v>1252956074.78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659994</v>
      </c>
      <c r="D38" s="32" t="s">
        <v>68</v>
      </c>
      <c r="E38" s="34" t="s">
        <v>70</v>
      </c>
      <c r="F38" s="34" t="s">
        <v>72</v>
      </c>
      <c r="G38" s="35">
        <v>1052.242999996969</v>
      </c>
      <c r="H38" s="35">
        <f t="shared" si="1"/>
        <v>1052.7247254975046</v>
      </c>
      <c r="I38" s="36">
        <v>694474066.53999996</v>
      </c>
      <c r="J38" s="36">
        <v>694792002.48000002</v>
      </c>
      <c r="K38" s="37">
        <v>16.71</v>
      </c>
      <c r="L38" s="37"/>
      <c r="M38" s="31">
        <f t="shared" si="2"/>
        <v>694474066.53999996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71</v>
      </c>
      <c r="C39" s="33">
        <v>12552</v>
      </c>
      <c r="D39" s="32" t="s">
        <v>68</v>
      </c>
      <c r="E39" s="34" t="s">
        <v>70</v>
      </c>
      <c r="F39" s="34" t="s">
        <v>72</v>
      </c>
      <c r="G39" s="35">
        <v>956.75300031867403</v>
      </c>
      <c r="H39" s="35">
        <f t="shared" si="1"/>
        <v>957.19075047801152</v>
      </c>
      <c r="I39" s="36">
        <v>12009163.659999991</v>
      </c>
      <c r="J39" s="36">
        <v>12014658.300000001</v>
      </c>
      <c r="K39" s="37">
        <v>16.700099999999999</v>
      </c>
      <c r="L39" s="37"/>
      <c r="M39" s="31">
        <f t="shared" si="2"/>
        <v>12009163.659999991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74</v>
      </c>
      <c r="C40" s="33">
        <v>155184</v>
      </c>
      <c r="D40" s="32" t="s">
        <v>68</v>
      </c>
      <c r="E40" s="34" t="s">
        <v>70</v>
      </c>
      <c r="F40" s="34" t="s">
        <v>72</v>
      </c>
      <c r="G40" s="35">
        <v>1024.7890000257751</v>
      </c>
      <c r="H40" s="35">
        <f t="shared" si="1"/>
        <v>1025.2581568331786</v>
      </c>
      <c r="I40" s="36">
        <v>159030856.18000001</v>
      </c>
      <c r="J40" s="36">
        <v>159103661.81</v>
      </c>
      <c r="K40" s="37">
        <v>16.71</v>
      </c>
      <c r="L40" s="37"/>
      <c r="M40" s="31">
        <f t="shared" si="2"/>
        <v>159030856.18000001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2118470161.1600001</v>
      </c>
      <c r="N42" s="65">
        <v>2118470161.1599998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M42+B30+L26</f>
        <v>27988828639.45145</v>
      </c>
      <c r="C49" s="62">
        <v>27988828639.511459</v>
      </c>
      <c r="D49" s="62">
        <f>__mdDATAItogoActive__-C49</f>
        <v>-6.0009002685546875E-2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2299715.86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475719.35</v>
      </c>
      <c r="D66" s="24"/>
      <c r="G66" s="5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365760.98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134397.32</v>
      </c>
      <c r="D69" s="57"/>
      <c r="O69" s="9"/>
    </row>
    <row r="70" spans="1:15" x14ac:dyDescent="0.2">
      <c r="A70" s="24">
        <v>7</v>
      </c>
      <c r="B70" s="55" t="s">
        <v>59</v>
      </c>
      <c r="C70" s="57">
        <v>68068.800000000003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3343662.3099999996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14.10.2025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99.957000000000008</v>
      </c>
      <c r="G4" s="5">
        <v>99.957000000000008</v>
      </c>
      <c r="H4" s="5">
        <v>15.7</v>
      </c>
      <c r="I4" s="5">
        <v>2</v>
      </c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125</v>
      </c>
      <c r="F5" s="4">
        <v>9490.25</v>
      </c>
      <c r="G5" s="5"/>
      <c r="H5" s="5"/>
      <c r="I5" s="5"/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119</v>
      </c>
      <c r="E6" s="4" t="s">
        <v>125</v>
      </c>
      <c r="F6" s="4">
        <v>1066.009</v>
      </c>
      <c r="G6" s="5">
        <v>108.2509</v>
      </c>
      <c r="H6" s="5">
        <v>18.47</v>
      </c>
      <c r="I6" s="5">
        <v>886</v>
      </c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124</v>
      </c>
      <c r="E7" s="4" t="s">
        <v>131</v>
      </c>
      <c r="F7" s="4">
        <v>1478.36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124</v>
      </c>
      <c r="E8" s="4" t="s">
        <v>134</v>
      </c>
      <c r="F8" s="4">
        <v>592249.75</v>
      </c>
      <c r="G8" s="5"/>
      <c r="H8" s="5"/>
      <c r="I8" s="5"/>
      <c r="J8" s="4" t="s">
        <v>126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124</v>
      </c>
      <c r="E9" s="4" t="s">
        <v>134</v>
      </c>
      <c r="F9" s="4">
        <v>6301.35</v>
      </c>
      <c r="G9" s="5"/>
      <c r="H9" s="5"/>
      <c r="I9" s="5"/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119</v>
      </c>
      <c r="E10" s="4" t="s">
        <v>134</v>
      </c>
      <c r="F10" s="4">
        <v>0.94444299999999992</v>
      </c>
      <c r="G10" s="5">
        <v>97.239400000000003</v>
      </c>
      <c r="H10" s="5">
        <v>6.22</v>
      </c>
      <c r="I10" s="5">
        <v>7858</v>
      </c>
      <c r="J10" s="4" t="s">
        <v>121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124</v>
      </c>
      <c r="E11" s="4" t="s">
        <v>134</v>
      </c>
      <c r="F11" s="4">
        <v>168.53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124</v>
      </c>
      <c r="E12" s="4" t="s">
        <v>134</v>
      </c>
      <c r="F12" s="4">
        <v>5523.73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124</v>
      </c>
      <c r="E13" s="4" t="s">
        <v>134</v>
      </c>
      <c r="F13" s="4">
        <v>6091443.4199999999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124</v>
      </c>
      <c r="E14" s="4" t="s">
        <v>134</v>
      </c>
      <c r="F14" s="4">
        <v>130.77000000000001</v>
      </c>
      <c r="G14" s="5"/>
      <c r="H14" s="5"/>
      <c r="I14" s="5"/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124</v>
      </c>
      <c r="E15" s="4" t="s">
        <v>134</v>
      </c>
      <c r="F15" s="4">
        <v>1786956.57</v>
      </c>
      <c r="G15" s="5"/>
      <c r="H15" s="5"/>
      <c r="I15" s="5"/>
      <c r="J15" s="4" t="s">
        <v>126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124</v>
      </c>
      <c r="E16" s="4" t="s">
        <v>134</v>
      </c>
      <c r="F16" s="4">
        <v>74328.3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124</v>
      </c>
      <c r="E17" s="4" t="s">
        <v>134</v>
      </c>
      <c r="F17" s="4">
        <v>75230.83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124</v>
      </c>
      <c r="E18" s="4" t="s">
        <v>134</v>
      </c>
      <c r="F18" s="4">
        <v>53679.99</v>
      </c>
      <c r="G18" s="5"/>
      <c r="H18" s="5"/>
      <c r="I18" s="5"/>
      <c r="J18" s="4" t="s">
        <v>126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124</v>
      </c>
      <c r="E19" s="4" t="s">
        <v>134</v>
      </c>
      <c r="F19" s="4">
        <v>7.2</v>
      </c>
      <c r="G19" s="5"/>
      <c r="H19" s="5"/>
      <c r="I19" s="5"/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119</v>
      </c>
      <c r="E20" s="4" t="s">
        <v>134</v>
      </c>
      <c r="F20" s="4">
        <v>1000</v>
      </c>
      <c r="G20" s="5">
        <v>107.08750000000001</v>
      </c>
      <c r="H20" s="5">
        <v>17.45</v>
      </c>
      <c r="I20" s="5">
        <v>1132</v>
      </c>
      <c r="J20" s="4" t="s">
        <v>121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119</v>
      </c>
      <c r="E21" s="4" t="s">
        <v>134</v>
      </c>
      <c r="F21" s="4">
        <v>998.84400000000005</v>
      </c>
      <c r="G21" s="5">
        <v>99.884399999999999</v>
      </c>
      <c r="H21" s="5">
        <v>24.72</v>
      </c>
      <c r="I21" s="5">
        <v>32</v>
      </c>
      <c r="J21" s="4" t="s">
        <v>121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119</v>
      </c>
      <c r="E22" s="4" t="s">
        <v>134</v>
      </c>
      <c r="F22" s="4">
        <v>1000</v>
      </c>
      <c r="G22" s="5">
        <v>100</v>
      </c>
      <c r="H22" s="5">
        <v>17.309999999999999</v>
      </c>
      <c r="I22" s="5">
        <v>731</v>
      </c>
      <c r="J22" s="4" t="s">
        <v>121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119</v>
      </c>
      <c r="E23" s="4" t="s">
        <v>134</v>
      </c>
      <c r="F23" s="4">
        <v>1000</v>
      </c>
      <c r="G23" s="5">
        <v>104.46810000000001</v>
      </c>
      <c r="H23" s="5">
        <v>17.650000000000002</v>
      </c>
      <c r="I23" s="5">
        <v>1918</v>
      </c>
      <c r="J23" s="4" t="s">
        <v>121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134</v>
      </c>
      <c r="F24" s="4">
        <v>993</v>
      </c>
      <c r="G24" s="5">
        <v>108.0792</v>
      </c>
      <c r="H24" s="5">
        <v>22.16</v>
      </c>
      <c r="I24" s="5">
        <v>400</v>
      </c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119</v>
      </c>
      <c r="E25" s="4" t="s">
        <v>134</v>
      </c>
      <c r="F25" s="4">
        <v>999.86</v>
      </c>
      <c r="G25" s="5">
        <v>104.82350000000001</v>
      </c>
      <c r="H25" s="5">
        <v>21.51</v>
      </c>
      <c r="I25" s="5">
        <v>102</v>
      </c>
      <c r="J25" s="4" t="s">
        <v>121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119</v>
      </c>
      <c r="E26" s="4" t="s">
        <v>134</v>
      </c>
      <c r="F26" s="4">
        <v>1000</v>
      </c>
      <c r="G26" s="5">
        <v>102.0017</v>
      </c>
      <c r="H26" s="5">
        <v>17.559999999999999</v>
      </c>
      <c r="I26" s="5">
        <v>1602</v>
      </c>
      <c r="J26" s="4" t="s">
        <v>121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134</v>
      </c>
      <c r="F27" s="4">
        <v>1495.57</v>
      </c>
      <c r="G27" s="5"/>
      <c r="H27" s="5"/>
      <c r="I27" s="5"/>
      <c r="J27" s="4" t="s">
        <v>126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119</v>
      </c>
      <c r="E28" s="4" t="s">
        <v>134</v>
      </c>
      <c r="F28" s="4">
        <v>1010.9780000000001</v>
      </c>
      <c r="G28" s="5">
        <v>103.5172</v>
      </c>
      <c r="H28" s="5">
        <v>6.04</v>
      </c>
      <c r="I28" s="5">
        <v>960</v>
      </c>
      <c r="J28" s="4" t="s">
        <v>121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119</v>
      </c>
      <c r="E29" s="4" t="s">
        <v>134</v>
      </c>
      <c r="F29" s="4">
        <v>998.721</v>
      </c>
      <c r="G29" s="5">
        <v>100.23880000000001</v>
      </c>
      <c r="H29" s="5">
        <v>22.08</v>
      </c>
      <c r="I29" s="5">
        <v>664</v>
      </c>
      <c r="J29" s="4" t="s">
        <v>121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119</v>
      </c>
      <c r="E30" s="4" t="s">
        <v>134</v>
      </c>
      <c r="F30" s="4">
        <v>99.999000000000009</v>
      </c>
      <c r="G30" s="5">
        <v>100.73230000000001</v>
      </c>
      <c r="H30" s="5">
        <v>11</v>
      </c>
      <c r="I30" s="5">
        <v>676</v>
      </c>
      <c r="J30" s="4" t="s">
        <v>121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119</v>
      </c>
      <c r="E31" s="4" t="s">
        <v>134</v>
      </c>
      <c r="F31" s="4">
        <v>102.0138</v>
      </c>
      <c r="G31" s="5">
        <v>105.43050000000001</v>
      </c>
      <c r="H31" s="5">
        <v>5.49</v>
      </c>
      <c r="I31" s="5">
        <v>383</v>
      </c>
      <c r="J31" s="4" t="s">
        <v>121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119</v>
      </c>
      <c r="E32" s="4" t="s">
        <v>134</v>
      </c>
      <c r="F32" s="4">
        <v>875.75</v>
      </c>
      <c r="G32" s="5">
        <v>89.286100000000005</v>
      </c>
      <c r="H32" s="5">
        <v>32.08</v>
      </c>
      <c r="I32" s="5">
        <v>580</v>
      </c>
      <c r="J32" s="4" t="s">
        <v>121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134</v>
      </c>
      <c r="F33" s="4">
        <v>88.31</v>
      </c>
      <c r="G33" s="5">
        <v>88.31</v>
      </c>
      <c r="H33" s="5"/>
      <c r="I33" s="5"/>
      <c r="J33" s="4" t="s">
        <v>185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119</v>
      </c>
      <c r="E34" s="4" t="s">
        <v>134</v>
      </c>
      <c r="F34" s="4">
        <v>976.43700000000001</v>
      </c>
      <c r="G34" s="5">
        <v>98.460400000000007</v>
      </c>
      <c r="H34" s="5">
        <v>23.56</v>
      </c>
      <c r="I34" s="5">
        <v>382</v>
      </c>
      <c r="J34" s="4" t="s">
        <v>121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119</v>
      </c>
      <c r="E35" s="4" t="s">
        <v>134</v>
      </c>
      <c r="F35" s="4">
        <v>795.95</v>
      </c>
      <c r="G35" s="5">
        <v>81.043000000000006</v>
      </c>
      <c r="H35" s="5">
        <v>33.32</v>
      </c>
      <c r="I35" s="5">
        <v>981</v>
      </c>
      <c r="J35" s="4" t="s">
        <v>121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119</v>
      </c>
      <c r="E36" s="4" t="s">
        <v>134</v>
      </c>
      <c r="F36" s="4">
        <v>783.678</v>
      </c>
      <c r="G36" s="5">
        <v>78.9178</v>
      </c>
      <c r="H36" s="5">
        <v>39.49</v>
      </c>
      <c r="I36" s="5">
        <v>630</v>
      </c>
      <c r="J36" s="4" t="s">
        <v>121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119</v>
      </c>
      <c r="E37" s="4" t="s">
        <v>134</v>
      </c>
      <c r="F37" s="4">
        <v>963.84400000000005</v>
      </c>
      <c r="G37" s="5">
        <v>97.598300000000009</v>
      </c>
      <c r="H37" s="5">
        <v>23.01</v>
      </c>
      <c r="I37" s="5">
        <v>373</v>
      </c>
      <c r="J37" s="4" t="s">
        <v>121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119</v>
      </c>
      <c r="E38" s="4" t="s">
        <v>134</v>
      </c>
      <c r="F38" s="4">
        <v>967.55499999999995</v>
      </c>
      <c r="G38" s="5">
        <v>97.599900000000005</v>
      </c>
      <c r="H38" s="5">
        <v>20.79</v>
      </c>
      <c r="I38" s="5">
        <v>837</v>
      </c>
      <c r="J38" s="4" t="s">
        <v>121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119</v>
      </c>
      <c r="E39" s="4" t="s">
        <v>134</v>
      </c>
      <c r="F39" s="4">
        <v>775.99099999999999</v>
      </c>
      <c r="G39" s="5">
        <v>79.057400000000001</v>
      </c>
      <c r="H39" s="5">
        <v>950</v>
      </c>
      <c r="I39" s="5">
        <v>6</v>
      </c>
      <c r="J39" s="4" t="s">
        <v>121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119</v>
      </c>
      <c r="E40" s="4" t="s">
        <v>134</v>
      </c>
      <c r="F40" s="4">
        <v>991.85</v>
      </c>
      <c r="G40" s="5">
        <v>99.301700000000011</v>
      </c>
      <c r="H40" s="5">
        <v>21.44</v>
      </c>
      <c r="I40" s="5">
        <v>881</v>
      </c>
      <c r="J40" s="4" t="s">
        <v>121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119</v>
      </c>
      <c r="E41" s="4" t="s">
        <v>134</v>
      </c>
      <c r="F41" s="4">
        <v>1004.643</v>
      </c>
      <c r="G41" s="5">
        <v>107.77680000000001</v>
      </c>
      <c r="H41" s="5">
        <v>19.09</v>
      </c>
      <c r="I41" s="5">
        <v>593</v>
      </c>
      <c r="J41" s="4" t="s">
        <v>121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119</v>
      </c>
      <c r="E42" s="4" t="s">
        <v>134</v>
      </c>
      <c r="F42" s="4">
        <v>1000</v>
      </c>
      <c r="G42" s="5">
        <v>103.52330000000001</v>
      </c>
      <c r="H42" s="5">
        <v>16.89</v>
      </c>
      <c r="I42" s="5">
        <v>1386</v>
      </c>
      <c r="J42" s="4" t="s">
        <v>121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119</v>
      </c>
      <c r="E43" s="4" t="s">
        <v>134</v>
      </c>
      <c r="F43" s="4">
        <v>1002.529</v>
      </c>
      <c r="G43" s="5">
        <v>102.0759</v>
      </c>
      <c r="H43" s="5">
        <v>22.46</v>
      </c>
      <c r="I43" s="5">
        <v>671</v>
      </c>
      <c r="J43" s="4" t="s">
        <v>121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119</v>
      </c>
      <c r="E44" s="4" t="s">
        <v>134</v>
      </c>
      <c r="F44" s="4">
        <v>993.553</v>
      </c>
      <c r="G44" s="5">
        <v>100.3553</v>
      </c>
      <c r="H44" s="5">
        <v>21.28</v>
      </c>
      <c r="I44" s="5">
        <v>195</v>
      </c>
      <c r="J44" s="4" t="s">
        <v>121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119</v>
      </c>
      <c r="E45" s="4" t="s">
        <v>134</v>
      </c>
      <c r="F45" s="4">
        <v>1019.9090000000001</v>
      </c>
      <c r="G45" s="5">
        <v>102.86590000000001</v>
      </c>
      <c r="H45" s="5">
        <v>21.45</v>
      </c>
      <c r="I45" s="5">
        <v>900</v>
      </c>
      <c r="J45" s="4" t="s">
        <v>121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124</v>
      </c>
      <c r="E46" s="4" t="s">
        <v>134</v>
      </c>
      <c r="F46" s="4">
        <v>100.71</v>
      </c>
      <c r="G46" s="5"/>
      <c r="H46" s="5"/>
      <c r="I46" s="5"/>
      <c r="J46" s="4" t="s">
        <v>185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119</v>
      </c>
      <c r="E47" s="4" t="s">
        <v>134</v>
      </c>
      <c r="F47" s="4">
        <v>850.625</v>
      </c>
      <c r="G47" s="5">
        <v>85.995800000000003</v>
      </c>
      <c r="H47" s="5">
        <v>29.63</v>
      </c>
      <c r="I47" s="5">
        <v>897</v>
      </c>
      <c r="J47" s="4" t="s">
        <v>121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119</v>
      </c>
      <c r="E48" s="4" t="s">
        <v>134</v>
      </c>
      <c r="F48" s="4">
        <v>985.79600000000005</v>
      </c>
      <c r="G48" s="5">
        <v>99.629600000000011</v>
      </c>
      <c r="H48" s="5">
        <v>22.01</v>
      </c>
      <c r="I48" s="5">
        <v>621</v>
      </c>
      <c r="J48" s="4" t="s">
        <v>121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119</v>
      </c>
      <c r="E49" s="4" t="s">
        <v>134</v>
      </c>
      <c r="F49" s="4">
        <v>768.75</v>
      </c>
      <c r="G49" s="5">
        <v>77.386099999999999</v>
      </c>
      <c r="H49" s="5">
        <v>114.79</v>
      </c>
      <c r="I49" s="5">
        <v>116</v>
      </c>
      <c r="J49" s="4" t="s">
        <v>121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119</v>
      </c>
      <c r="E50" s="4" t="s">
        <v>134</v>
      </c>
      <c r="F50" s="4">
        <v>993.64100000000008</v>
      </c>
      <c r="G50" s="5">
        <v>99.54740000000001</v>
      </c>
      <c r="H50" s="5">
        <v>22.43</v>
      </c>
      <c r="I50" s="5">
        <v>667</v>
      </c>
      <c r="J50" s="4" t="s">
        <v>121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119</v>
      </c>
      <c r="E51" s="4" t="s">
        <v>134</v>
      </c>
      <c r="F51" s="4">
        <v>992.495</v>
      </c>
      <c r="G51" s="5">
        <v>99.982800000000012</v>
      </c>
      <c r="H51" s="5">
        <v>22.53</v>
      </c>
      <c r="I51" s="5">
        <v>627</v>
      </c>
      <c r="J51" s="4" t="s">
        <v>121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119</v>
      </c>
      <c r="E52" s="4" t="s">
        <v>134</v>
      </c>
      <c r="F52" s="4">
        <v>99.999000000000009</v>
      </c>
      <c r="G52" s="5">
        <v>100.3657</v>
      </c>
      <c r="H52" s="5">
        <v>12</v>
      </c>
      <c r="I52" s="5">
        <v>628</v>
      </c>
      <c r="J52" s="4" t="s">
        <v>121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119</v>
      </c>
      <c r="E53" s="4" t="s">
        <v>134</v>
      </c>
      <c r="F53" s="4">
        <v>988.32600000000002</v>
      </c>
      <c r="G53" s="5">
        <v>106.12430000000001</v>
      </c>
      <c r="H53" s="5">
        <v>18.68</v>
      </c>
      <c r="I53" s="5">
        <v>397</v>
      </c>
      <c r="J53" s="4" t="s">
        <v>121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119</v>
      </c>
      <c r="E54" s="4" t="s">
        <v>134</v>
      </c>
      <c r="F54" s="4">
        <v>975.11400000000003</v>
      </c>
      <c r="G54" s="5">
        <v>98.561400000000006</v>
      </c>
      <c r="H54" s="5">
        <v>22.23</v>
      </c>
      <c r="I54" s="5">
        <v>987</v>
      </c>
      <c r="J54" s="4" t="s">
        <v>121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119</v>
      </c>
      <c r="E55" s="4" t="s">
        <v>134</v>
      </c>
      <c r="F55" s="4">
        <v>1003.508</v>
      </c>
      <c r="G55" s="5">
        <v>101.8314</v>
      </c>
      <c r="H55" s="5">
        <v>20.23</v>
      </c>
      <c r="I55" s="5">
        <v>705</v>
      </c>
      <c r="J55" s="4" t="s">
        <v>121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119</v>
      </c>
      <c r="E56" s="4" t="s">
        <v>134</v>
      </c>
      <c r="F56" s="4">
        <v>999.96</v>
      </c>
      <c r="G56" s="5">
        <v>101.1571</v>
      </c>
      <c r="H56" s="5">
        <v>22</v>
      </c>
      <c r="I56" s="5">
        <v>347</v>
      </c>
      <c r="J56" s="4" t="s">
        <v>121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124</v>
      </c>
      <c r="E57" s="4" t="s">
        <v>234</v>
      </c>
      <c r="F57" s="4">
        <v>39597.340000000004</v>
      </c>
      <c r="G57" s="5"/>
      <c r="H57" s="5"/>
      <c r="I57" s="5"/>
      <c r="J57" s="4" t="s">
        <v>126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124</v>
      </c>
      <c r="E58" s="4" t="s">
        <v>234</v>
      </c>
      <c r="F58" s="4">
        <v>31116.93</v>
      </c>
      <c r="G58" s="5"/>
      <c r="H58" s="5"/>
      <c r="I58" s="5"/>
      <c r="J58" s="4" t="s">
        <v>126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119</v>
      </c>
      <c r="E59" s="4" t="s">
        <v>239</v>
      </c>
      <c r="F59" s="4">
        <v>16410.400000000001</v>
      </c>
      <c r="G59" s="5">
        <v>1641.038</v>
      </c>
      <c r="H59" s="5"/>
      <c r="I59" s="5">
        <v>164</v>
      </c>
      <c r="J59" s="4" t="s">
        <v>121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119</v>
      </c>
      <c r="E60" s="4" t="s">
        <v>239</v>
      </c>
      <c r="F60" s="4">
        <v>999.41800000000001</v>
      </c>
      <c r="G60" s="5">
        <v>100.94460000000001</v>
      </c>
      <c r="H60" s="5">
        <v>19.05</v>
      </c>
      <c r="I60" s="5">
        <v>347</v>
      </c>
      <c r="J60" s="4" t="s">
        <v>121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124</v>
      </c>
      <c r="E61" s="4" t="s">
        <v>244</v>
      </c>
      <c r="F61" s="4">
        <v>21862.14</v>
      </c>
      <c r="G61" s="5"/>
      <c r="H61" s="5"/>
      <c r="I61" s="5"/>
      <c r="J61" s="4" t="s">
        <v>126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119</v>
      </c>
      <c r="E62" s="4" t="s">
        <v>244</v>
      </c>
      <c r="F62" s="4">
        <v>1003.798</v>
      </c>
      <c r="G62" s="5">
        <v>103.39020000000001</v>
      </c>
      <c r="H62" s="5">
        <v>6.34</v>
      </c>
      <c r="I62" s="5">
        <v>8412</v>
      </c>
      <c r="J62" s="4" t="s">
        <v>121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124</v>
      </c>
      <c r="E63" s="4" t="s">
        <v>249</v>
      </c>
      <c r="F63" s="4">
        <v>3326.8</v>
      </c>
      <c r="G63" s="5"/>
      <c r="H63" s="5"/>
      <c r="I63" s="5"/>
      <c r="J63" s="4" t="s">
        <v>126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119</v>
      </c>
      <c r="E64" s="4" t="s">
        <v>252</v>
      </c>
      <c r="F64" s="4">
        <v>0.969916</v>
      </c>
      <c r="G64" s="5">
        <v>97.913800000000009</v>
      </c>
      <c r="H64" s="5">
        <v>5.01</v>
      </c>
      <c r="I64" s="5">
        <v>380</v>
      </c>
      <c r="J64" s="4" t="s">
        <v>121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124</v>
      </c>
      <c r="E65" s="4" t="s">
        <v>255</v>
      </c>
      <c r="F65" s="4">
        <v>8650.61</v>
      </c>
      <c r="G65" s="5"/>
      <c r="H65" s="5"/>
      <c r="I65" s="5"/>
      <c r="J65" s="4" t="s">
        <v>126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124</v>
      </c>
      <c r="E66" s="4" t="s">
        <v>255</v>
      </c>
      <c r="F66" s="4">
        <v>4972.5200000000004</v>
      </c>
      <c r="G66" s="5"/>
      <c r="H66" s="5"/>
      <c r="I66" s="5"/>
      <c r="J66" s="4" t="s">
        <v>126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119</v>
      </c>
      <c r="E67" s="4" t="s">
        <v>260</v>
      </c>
      <c r="F67" s="4">
        <v>997.47400000000005</v>
      </c>
      <c r="G67" s="5">
        <v>102.117</v>
      </c>
      <c r="H67" s="5">
        <v>18.25</v>
      </c>
      <c r="I67" s="5">
        <v>867</v>
      </c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261</v>
      </c>
      <c r="C68" s="4" t="s">
        <v>262</v>
      </c>
      <c r="D68" s="4" t="s">
        <v>119</v>
      </c>
      <c r="E68" s="4" t="s">
        <v>260</v>
      </c>
      <c r="F68" s="4">
        <v>100.0206</v>
      </c>
      <c r="G68" s="5">
        <v>100.42060000000001</v>
      </c>
      <c r="H68" s="5">
        <v>7.99</v>
      </c>
      <c r="I68" s="5">
        <v>804</v>
      </c>
      <c r="J68" s="4" t="s">
        <v>121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119</v>
      </c>
      <c r="E69" s="4" t="s">
        <v>66</v>
      </c>
      <c r="F69" s="4">
        <v>1000</v>
      </c>
      <c r="G69" s="5">
        <v>110.2753</v>
      </c>
      <c r="H69" s="5">
        <v>12.97</v>
      </c>
      <c r="I69" s="5">
        <v>1174</v>
      </c>
      <c r="J69" s="4" t="s">
        <v>121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119</v>
      </c>
      <c r="E70" s="4" t="s">
        <v>66</v>
      </c>
      <c r="F70" s="4">
        <v>1000</v>
      </c>
      <c r="G70" s="5">
        <v>101.70050000000001</v>
      </c>
      <c r="H70" s="5">
        <v>12.99</v>
      </c>
      <c r="I70" s="5">
        <v>1414</v>
      </c>
      <c r="J70" s="4" t="s">
        <v>121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119</v>
      </c>
      <c r="E71" s="4" t="s">
        <v>66</v>
      </c>
      <c r="F71" s="4">
        <v>1000</v>
      </c>
      <c r="G71" s="5">
        <v>104.92060000000001</v>
      </c>
      <c r="H71" s="5">
        <v>12.7</v>
      </c>
      <c r="I71" s="5">
        <v>227</v>
      </c>
      <c r="J71" s="4" t="s">
        <v>121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119</v>
      </c>
      <c r="E72" s="4" t="s">
        <v>66</v>
      </c>
      <c r="F72" s="4">
        <v>1000</v>
      </c>
      <c r="G72" s="5">
        <v>102.67740000000001</v>
      </c>
      <c r="H72" s="5">
        <v>12.85</v>
      </c>
      <c r="I72" s="5">
        <v>290</v>
      </c>
      <c r="J72" s="4" t="s">
        <v>121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119</v>
      </c>
      <c r="E73" s="4" t="s">
        <v>66</v>
      </c>
      <c r="F73" s="4">
        <v>1000</v>
      </c>
      <c r="G73" s="5">
        <v>105.96980000000001</v>
      </c>
      <c r="H73" s="5">
        <v>12.88</v>
      </c>
      <c r="I73" s="5">
        <v>563</v>
      </c>
      <c r="J73" s="4" t="s">
        <v>121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119</v>
      </c>
      <c r="E74" s="4" t="s">
        <v>66</v>
      </c>
      <c r="F74" s="4">
        <v>1000</v>
      </c>
      <c r="G74" s="5">
        <v>103.79900000000001</v>
      </c>
      <c r="H74" s="5">
        <v>12.91</v>
      </c>
      <c r="I74" s="5">
        <v>624</v>
      </c>
      <c r="J74" s="4" t="s">
        <v>121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119</v>
      </c>
      <c r="E75" s="4" t="s">
        <v>66</v>
      </c>
      <c r="F75" s="4">
        <v>1000</v>
      </c>
      <c r="G75" s="5">
        <v>111.50540000000001</v>
      </c>
      <c r="H75" s="5">
        <v>12.98</v>
      </c>
      <c r="I75" s="5">
        <v>774</v>
      </c>
      <c r="J75" s="4" t="s">
        <v>121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119</v>
      </c>
      <c r="E76" s="4" t="s">
        <v>66</v>
      </c>
      <c r="F76" s="4">
        <v>1000</v>
      </c>
      <c r="G76" s="5">
        <v>101.70050000000001</v>
      </c>
      <c r="H76" s="5">
        <v>12.99</v>
      </c>
      <c r="I76" s="5">
        <v>1049</v>
      </c>
      <c r="J76" s="4" t="s">
        <v>121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119</v>
      </c>
      <c r="E77" s="4" t="s">
        <v>66</v>
      </c>
      <c r="F77" s="4">
        <v>1000</v>
      </c>
      <c r="G77" s="5">
        <v>112.48230000000001</v>
      </c>
      <c r="H77" s="5">
        <v>12.25</v>
      </c>
      <c r="I77" s="5">
        <v>16</v>
      </c>
      <c r="J77" s="4" t="s">
        <v>121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119</v>
      </c>
      <c r="E78" s="4" t="s">
        <v>66</v>
      </c>
      <c r="F78" s="4">
        <v>1000</v>
      </c>
      <c r="G78" s="5">
        <v>109.26220000000001</v>
      </c>
      <c r="H78" s="5">
        <v>12.97</v>
      </c>
      <c r="I78" s="5">
        <v>1568</v>
      </c>
      <c r="J78" s="4" t="s">
        <v>121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119</v>
      </c>
      <c r="E79" s="4" t="s">
        <v>66</v>
      </c>
      <c r="F79" s="4">
        <v>989.27800000000002</v>
      </c>
      <c r="G79" s="5">
        <v>103.4834</v>
      </c>
      <c r="H79" s="5">
        <v>17.78</v>
      </c>
      <c r="I79" s="5">
        <v>34</v>
      </c>
      <c r="J79" s="4" t="s">
        <v>121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119</v>
      </c>
      <c r="E80" s="4" t="s">
        <v>66</v>
      </c>
      <c r="F80" s="4">
        <v>886.80200000000002</v>
      </c>
      <c r="G80" s="5">
        <v>93.138500000000008</v>
      </c>
      <c r="H80" s="5">
        <v>17.010000000000002</v>
      </c>
      <c r="I80" s="5">
        <v>406</v>
      </c>
      <c r="J80" s="4" t="s">
        <v>121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119</v>
      </c>
      <c r="E81" s="4" t="s">
        <v>66</v>
      </c>
      <c r="F81" s="4">
        <v>1000</v>
      </c>
      <c r="G81" s="5">
        <v>103.79900000000001</v>
      </c>
      <c r="H81" s="5">
        <v>12.97</v>
      </c>
      <c r="I81" s="5">
        <v>1355</v>
      </c>
      <c r="J81" s="4" t="s">
        <v>121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119</v>
      </c>
      <c r="E82" s="4" t="s">
        <v>66</v>
      </c>
      <c r="F82" s="4">
        <v>1000</v>
      </c>
      <c r="G82" s="5">
        <v>112.5185</v>
      </c>
      <c r="H82" s="5">
        <v>12.24</v>
      </c>
      <c r="I82" s="5">
        <v>15</v>
      </c>
      <c r="J82" s="4" t="s">
        <v>121</v>
      </c>
    </row>
    <row r="83" spans="1:10" x14ac:dyDescent="0.25">
      <c r="A83" s="4">
        <f t="shared" ca="1" si="2"/>
        <v>80</v>
      </c>
      <c r="B83" s="4" t="s">
        <v>291</v>
      </c>
      <c r="C83" s="4" t="s">
        <v>105</v>
      </c>
      <c r="D83" s="4" t="s">
        <v>119</v>
      </c>
      <c r="E83" s="4" t="s">
        <v>66</v>
      </c>
      <c r="F83" s="4">
        <v>861.80400000000009</v>
      </c>
      <c r="G83" s="5">
        <v>89.184700000000007</v>
      </c>
      <c r="H83" s="5">
        <v>16.91</v>
      </c>
      <c r="I83" s="5">
        <v>530</v>
      </c>
      <c r="J83" s="4" t="s">
        <v>121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119</v>
      </c>
      <c r="E84" s="4" t="s">
        <v>66</v>
      </c>
      <c r="F84" s="4">
        <v>823.745</v>
      </c>
      <c r="G84" s="5">
        <v>82.771000000000001</v>
      </c>
      <c r="H84" s="5">
        <v>16.940000000000001</v>
      </c>
      <c r="I84" s="5">
        <v>705</v>
      </c>
      <c r="J84" s="4" t="s">
        <v>121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119</v>
      </c>
      <c r="E85" s="4" t="s">
        <v>66</v>
      </c>
      <c r="F85" s="4">
        <v>832.57600000000002</v>
      </c>
      <c r="G85" s="5">
        <v>89.576999999999998</v>
      </c>
      <c r="H85" s="5">
        <v>16.920000000000002</v>
      </c>
      <c r="I85" s="5">
        <v>741</v>
      </c>
      <c r="J85" s="4" t="s">
        <v>121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119</v>
      </c>
      <c r="E86" s="4" t="s">
        <v>66</v>
      </c>
      <c r="F86" s="4">
        <v>1000</v>
      </c>
      <c r="G86" s="5">
        <v>102.71350000000001</v>
      </c>
      <c r="H86" s="5">
        <v>12.94</v>
      </c>
      <c r="I86" s="5">
        <v>654</v>
      </c>
      <c r="J86" s="4" t="s">
        <v>121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119</v>
      </c>
      <c r="E87" s="4" t="s">
        <v>66</v>
      </c>
      <c r="F87" s="4">
        <v>1000</v>
      </c>
      <c r="G87" s="5">
        <v>111.4692</v>
      </c>
      <c r="H87" s="5">
        <v>12.3</v>
      </c>
      <c r="I87" s="5">
        <v>45</v>
      </c>
      <c r="J87" s="4" t="s">
        <v>121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119</v>
      </c>
      <c r="E88" s="4" t="s">
        <v>66</v>
      </c>
      <c r="F88" s="4">
        <v>1000</v>
      </c>
      <c r="G88" s="5">
        <v>108.379</v>
      </c>
      <c r="H88" s="5">
        <v>13.06</v>
      </c>
      <c r="I88" s="5">
        <v>1595</v>
      </c>
      <c r="J88" s="4" t="s">
        <v>121</v>
      </c>
    </row>
    <row r="89" spans="1:10" x14ac:dyDescent="0.25">
      <c r="A89" s="4">
        <f t="shared" ca="1" si="2"/>
        <v>86</v>
      </c>
      <c r="B89" s="4" t="s">
        <v>302</v>
      </c>
      <c r="C89" s="4" t="s">
        <v>113</v>
      </c>
      <c r="D89" s="4" t="s">
        <v>119</v>
      </c>
      <c r="E89" s="4" t="s">
        <v>66</v>
      </c>
      <c r="F89" s="4">
        <v>613.673</v>
      </c>
      <c r="G89" s="5">
        <v>64.774600000000007</v>
      </c>
      <c r="H89" s="5">
        <v>16.87</v>
      </c>
      <c r="I89" s="5">
        <v>3133</v>
      </c>
      <c r="J89" s="4" t="s">
        <v>121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119</v>
      </c>
      <c r="E90" s="4" t="s">
        <v>66</v>
      </c>
      <c r="F90" s="4">
        <v>869.44100000000003</v>
      </c>
      <c r="G90" s="5">
        <v>89.309600000000003</v>
      </c>
      <c r="H90" s="5">
        <v>16.93</v>
      </c>
      <c r="I90" s="5">
        <v>615</v>
      </c>
      <c r="J90" s="4" t="s">
        <v>121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119</v>
      </c>
      <c r="E91" s="4" t="s">
        <v>66</v>
      </c>
      <c r="F91" s="4">
        <v>537.56000000000006</v>
      </c>
      <c r="G91" s="5">
        <v>54.188500000000005</v>
      </c>
      <c r="H91" s="5">
        <v>16.88</v>
      </c>
      <c r="I91" s="5">
        <v>6923</v>
      </c>
      <c r="J91" s="4" t="s">
        <v>121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119</v>
      </c>
      <c r="E92" s="4" t="s">
        <v>66</v>
      </c>
      <c r="F92" s="4">
        <v>1000</v>
      </c>
      <c r="G92" s="5">
        <v>100.5065</v>
      </c>
      <c r="H92" s="5">
        <v>12.99</v>
      </c>
      <c r="I92" s="5">
        <v>352</v>
      </c>
      <c r="J92" s="4" t="s">
        <v>121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119</v>
      </c>
      <c r="E93" s="4" t="s">
        <v>66</v>
      </c>
      <c r="F93" s="4">
        <v>1000</v>
      </c>
      <c r="G93" s="5">
        <v>103.83510000000001</v>
      </c>
      <c r="H93" s="5">
        <v>12.97</v>
      </c>
      <c r="I93" s="5">
        <v>1354</v>
      </c>
      <c r="J93" s="4" t="s">
        <v>121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119</v>
      </c>
      <c r="E94" s="4" t="s">
        <v>66</v>
      </c>
      <c r="F94" s="4">
        <v>1000</v>
      </c>
      <c r="G94" s="5">
        <v>104.84820000000001</v>
      </c>
      <c r="H94" s="5">
        <v>12.97</v>
      </c>
      <c r="I94" s="5">
        <v>1690</v>
      </c>
      <c r="J94" s="4" t="s">
        <v>121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119</v>
      </c>
      <c r="E95" s="4" t="s">
        <v>66</v>
      </c>
      <c r="F95" s="4">
        <v>1000</v>
      </c>
      <c r="G95" s="5">
        <v>101.66430000000001</v>
      </c>
      <c r="H95" s="5">
        <v>12.91</v>
      </c>
      <c r="I95" s="5">
        <v>319</v>
      </c>
      <c r="J95" s="4" t="s">
        <v>121</v>
      </c>
    </row>
    <row r="96" spans="1:10" x14ac:dyDescent="0.25">
      <c r="A96" s="4">
        <f t="shared" ca="1" si="2"/>
        <v>93</v>
      </c>
      <c r="B96" s="4" t="s">
        <v>315</v>
      </c>
      <c r="C96" s="4" t="s">
        <v>93</v>
      </c>
      <c r="D96" s="4" t="s">
        <v>119</v>
      </c>
      <c r="E96" s="4" t="s">
        <v>66</v>
      </c>
      <c r="F96" s="4">
        <v>599.11200000000008</v>
      </c>
      <c r="G96" s="5">
        <v>65.627499999999998</v>
      </c>
      <c r="H96" s="5">
        <v>16.89</v>
      </c>
      <c r="I96" s="5">
        <v>3395</v>
      </c>
      <c r="J96" s="4" t="s">
        <v>121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119</v>
      </c>
      <c r="E97" s="4" t="s">
        <v>66</v>
      </c>
      <c r="F97" s="4">
        <v>906.577</v>
      </c>
      <c r="G97" s="5">
        <v>96.107700000000008</v>
      </c>
      <c r="H97" s="5">
        <v>16.93</v>
      </c>
      <c r="I97" s="5">
        <v>509</v>
      </c>
      <c r="J97" s="4" t="s">
        <v>121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119</v>
      </c>
      <c r="E98" s="4" t="s">
        <v>66</v>
      </c>
      <c r="F98" s="4">
        <v>888.26700000000005</v>
      </c>
      <c r="G98" s="5">
        <v>91.351700000000008</v>
      </c>
      <c r="H98" s="5">
        <v>16.920000000000002</v>
      </c>
      <c r="I98" s="5">
        <v>628</v>
      </c>
      <c r="J98" s="4" t="s">
        <v>121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119</v>
      </c>
      <c r="E99" s="4" t="s">
        <v>66</v>
      </c>
      <c r="F99" s="4">
        <v>593.95900000000006</v>
      </c>
      <c r="G99" s="5">
        <v>61.139000000000003</v>
      </c>
      <c r="H99" s="5">
        <v>16.87</v>
      </c>
      <c r="I99" s="5">
        <v>3943</v>
      </c>
      <c r="J99" s="4" t="s">
        <v>121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119</v>
      </c>
      <c r="E100" s="4" t="s">
        <v>66</v>
      </c>
      <c r="F100" s="4">
        <v>663.08</v>
      </c>
      <c r="G100" s="5">
        <v>70.878600000000006</v>
      </c>
      <c r="H100" s="5">
        <v>16.88</v>
      </c>
      <c r="I100" s="5">
        <v>2730</v>
      </c>
      <c r="J100" s="4" t="s">
        <v>121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119</v>
      </c>
      <c r="E101" s="4" t="s">
        <v>66</v>
      </c>
      <c r="F101" s="4">
        <v>653.78800000000001</v>
      </c>
      <c r="G101" s="5">
        <v>69.397300000000001</v>
      </c>
      <c r="H101" s="5">
        <v>16.88</v>
      </c>
      <c r="I101" s="5">
        <v>2749</v>
      </c>
      <c r="J101" s="4" t="s">
        <v>121</v>
      </c>
    </row>
    <row r="102" spans="1:10" x14ac:dyDescent="0.25">
      <c r="A102" s="4">
        <f t="shared" ca="1" si="3"/>
        <v>99</v>
      </c>
      <c r="B102" s="4" t="s">
        <v>326</v>
      </c>
      <c r="C102" s="4" t="s">
        <v>109</v>
      </c>
      <c r="D102" s="4" t="s">
        <v>119</v>
      </c>
      <c r="E102" s="4" t="s">
        <v>66</v>
      </c>
      <c r="F102" s="4">
        <v>679.85200000000009</v>
      </c>
      <c r="G102" s="5">
        <v>72.163300000000007</v>
      </c>
      <c r="H102" s="5">
        <v>16.89</v>
      </c>
      <c r="I102" s="5">
        <v>2377</v>
      </c>
      <c r="J102" s="4" t="s">
        <v>121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119</v>
      </c>
      <c r="E103" s="4" t="s">
        <v>66</v>
      </c>
      <c r="F103" s="4">
        <v>708.09100000000001</v>
      </c>
      <c r="G103" s="5">
        <v>74.419499999999999</v>
      </c>
      <c r="H103" s="5">
        <v>16.88</v>
      </c>
      <c r="I103" s="5">
        <v>2035</v>
      </c>
      <c r="J103" s="4" t="s">
        <v>121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119</v>
      </c>
      <c r="E104" s="4" t="s">
        <v>66</v>
      </c>
      <c r="F104" s="4">
        <v>596.34800000000007</v>
      </c>
      <c r="G104" s="5">
        <v>65.507300000000001</v>
      </c>
      <c r="H104" s="5">
        <v>16.89</v>
      </c>
      <c r="I104" s="5">
        <v>4139</v>
      </c>
      <c r="J104" s="4" t="s">
        <v>121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119</v>
      </c>
      <c r="E105" s="4" t="s">
        <v>66</v>
      </c>
      <c r="F105" s="4">
        <v>1000</v>
      </c>
      <c r="G105" s="5">
        <v>104.92060000000001</v>
      </c>
      <c r="H105" s="5">
        <v>12.7</v>
      </c>
      <c r="I105" s="5">
        <v>227</v>
      </c>
      <c r="J105" s="4" t="s">
        <v>121</v>
      </c>
    </row>
    <row r="106" spans="1:10" x14ac:dyDescent="0.25">
      <c r="A106" s="4">
        <f t="shared" ca="1" si="3"/>
        <v>103</v>
      </c>
      <c r="B106" s="4" t="s">
        <v>333</v>
      </c>
      <c r="C106" s="4" t="s">
        <v>100</v>
      </c>
      <c r="D106" s="4" t="s">
        <v>119</v>
      </c>
      <c r="E106" s="4" t="s">
        <v>66</v>
      </c>
      <c r="F106" s="4">
        <v>753.58800000000008</v>
      </c>
      <c r="G106" s="5">
        <v>76.6601</v>
      </c>
      <c r="H106" s="5">
        <v>16.899999999999999</v>
      </c>
      <c r="I106" s="5">
        <v>1400</v>
      </c>
      <c r="J106" s="4" t="s">
        <v>121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119</v>
      </c>
      <c r="E107" s="4" t="s">
        <v>66</v>
      </c>
      <c r="F107" s="4">
        <v>731.23599999999999</v>
      </c>
      <c r="G107" s="5">
        <v>78.456900000000005</v>
      </c>
      <c r="H107" s="5">
        <v>16.920000000000002</v>
      </c>
      <c r="I107" s="5">
        <v>1575</v>
      </c>
      <c r="J107" s="4" t="s">
        <v>121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119</v>
      </c>
      <c r="E108" s="4" t="s">
        <v>66</v>
      </c>
      <c r="F108" s="4">
        <v>535.18000000000006</v>
      </c>
      <c r="G108" s="5">
        <v>59.969700000000003</v>
      </c>
      <c r="H108" s="5">
        <v>16.88</v>
      </c>
      <c r="I108" s="5">
        <v>4816</v>
      </c>
      <c r="J108" s="4" t="s">
        <v>121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119</v>
      </c>
      <c r="E109" s="4" t="s">
        <v>66</v>
      </c>
      <c r="F109" s="4">
        <v>987.28600000000006</v>
      </c>
      <c r="G109" s="5">
        <v>103.7064</v>
      </c>
      <c r="H109" s="5">
        <v>17.690000000000001</v>
      </c>
      <c r="I109" s="5">
        <v>42</v>
      </c>
      <c r="J109" s="4" t="s">
        <v>121</v>
      </c>
    </row>
    <row r="110" spans="1:10" x14ac:dyDescent="0.25">
      <c r="A110" s="4">
        <f t="shared" ca="1" si="3"/>
        <v>107</v>
      </c>
      <c r="B110" s="4" t="s">
        <v>340</v>
      </c>
      <c r="C110" s="4" t="s">
        <v>67</v>
      </c>
      <c r="D110" s="4" t="s">
        <v>119</v>
      </c>
      <c r="E110" s="4" t="s">
        <v>66</v>
      </c>
      <c r="F110" s="4">
        <v>915.34400000000005</v>
      </c>
      <c r="G110" s="5">
        <v>92.39</v>
      </c>
      <c r="H110" s="5">
        <v>17.02</v>
      </c>
      <c r="I110" s="5">
        <v>309</v>
      </c>
      <c r="J110" s="4" t="s">
        <v>121</v>
      </c>
    </row>
    <row r="111" spans="1:10" x14ac:dyDescent="0.25">
      <c r="A111" s="4">
        <f t="shared" ca="1" si="3"/>
        <v>108</v>
      </c>
      <c r="B111" s="4" t="s">
        <v>341</v>
      </c>
      <c r="C111" s="4" t="s">
        <v>85</v>
      </c>
      <c r="D111" s="4" t="s">
        <v>119</v>
      </c>
      <c r="E111" s="4" t="s">
        <v>66</v>
      </c>
      <c r="F111" s="4">
        <v>814.45400000000006</v>
      </c>
      <c r="G111" s="5">
        <v>86.671800000000005</v>
      </c>
      <c r="H111" s="5">
        <v>16.920000000000002</v>
      </c>
      <c r="I111" s="5">
        <v>736</v>
      </c>
      <c r="J111" s="4" t="s">
        <v>121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119</v>
      </c>
      <c r="E112" s="4" t="s">
        <v>66</v>
      </c>
      <c r="F112" s="4">
        <v>751.47199999999998</v>
      </c>
      <c r="G112" s="5">
        <v>75.513900000000007</v>
      </c>
      <c r="H112" s="5">
        <v>16.920000000000002</v>
      </c>
      <c r="I112" s="5">
        <v>1073</v>
      </c>
      <c r="J112" s="4" t="s">
        <v>121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119</v>
      </c>
      <c r="E113" s="4" t="s">
        <v>66</v>
      </c>
      <c r="F113" s="4">
        <v>552.78200000000004</v>
      </c>
      <c r="G113" s="5">
        <v>57.110600000000005</v>
      </c>
      <c r="H113" s="5">
        <v>16.87</v>
      </c>
      <c r="I113" s="5">
        <v>5033</v>
      </c>
      <c r="J113" s="4" t="s">
        <v>121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119</v>
      </c>
      <c r="E114" s="4" t="s">
        <v>66</v>
      </c>
      <c r="F114" s="4">
        <v>547.74700000000007</v>
      </c>
      <c r="G114" s="5">
        <v>60.075700000000005</v>
      </c>
      <c r="H114" s="5">
        <v>16.89</v>
      </c>
      <c r="I114" s="5">
        <v>5249</v>
      </c>
      <c r="J114" s="4" t="s">
        <v>121</v>
      </c>
    </row>
    <row r="115" spans="1:10" x14ac:dyDescent="0.25">
      <c r="A115" s="4">
        <f t="shared" ca="1" si="3"/>
        <v>112</v>
      </c>
      <c r="B115" s="4" t="s">
        <v>348</v>
      </c>
      <c r="C115" s="4" t="s">
        <v>79</v>
      </c>
      <c r="D115" s="4" t="s">
        <v>119</v>
      </c>
      <c r="E115" s="4" t="s">
        <v>66</v>
      </c>
      <c r="F115" s="4">
        <v>851.96900000000005</v>
      </c>
      <c r="G115" s="5">
        <v>91.124700000000004</v>
      </c>
      <c r="H115" s="5">
        <v>16.91</v>
      </c>
      <c r="I115" s="5">
        <v>1265</v>
      </c>
      <c r="J115" s="4" t="s">
        <v>121</v>
      </c>
    </row>
    <row r="116" spans="1:10" x14ac:dyDescent="0.25">
      <c r="A116" s="4">
        <f t="shared" ca="1" si="3"/>
        <v>113</v>
      </c>
      <c r="B116" s="4" t="s">
        <v>349</v>
      </c>
      <c r="C116" s="4" t="s">
        <v>350</v>
      </c>
      <c r="D116" s="4" t="s">
        <v>119</v>
      </c>
      <c r="E116" s="4" t="s">
        <v>66</v>
      </c>
      <c r="F116" s="4">
        <v>948.82400000000007</v>
      </c>
      <c r="G116" s="5">
        <v>97.435500000000005</v>
      </c>
      <c r="H116" s="5">
        <v>17.02</v>
      </c>
      <c r="I116" s="5">
        <v>263</v>
      </c>
      <c r="J116" s="4" t="s">
        <v>121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119</v>
      </c>
      <c r="E117" s="4" t="s">
        <v>66</v>
      </c>
      <c r="F117" s="4">
        <v>1000</v>
      </c>
      <c r="G117" s="5">
        <v>110.96560000000001</v>
      </c>
      <c r="H117" s="5">
        <v>13.07</v>
      </c>
      <c r="I117" s="5">
        <v>1157</v>
      </c>
      <c r="J117" s="4" t="s">
        <v>121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119</v>
      </c>
      <c r="E118" s="4" t="s">
        <v>66</v>
      </c>
      <c r="F118" s="4">
        <v>1000</v>
      </c>
      <c r="G118" s="5">
        <v>107.0552</v>
      </c>
      <c r="H118" s="5">
        <v>12.57</v>
      </c>
      <c r="I118" s="5">
        <v>167</v>
      </c>
      <c r="J118" s="4" t="s">
        <v>121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119</v>
      </c>
      <c r="E119" s="4" t="s">
        <v>66</v>
      </c>
      <c r="F119" s="4">
        <v>1000</v>
      </c>
      <c r="G119" s="5">
        <v>108.1768</v>
      </c>
      <c r="H119" s="5">
        <v>12.95</v>
      </c>
      <c r="I119" s="5">
        <v>1234</v>
      </c>
      <c r="J119" s="4" t="s">
        <v>121</v>
      </c>
    </row>
    <row r="120" spans="1:10" x14ac:dyDescent="0.25">
      <c r="A120" s="4">
        <f t="shared" ca="1" si="3"/>
        <v>117</v>
      </c>
      <c r="B120" s="4" t="s">
        <v>357</v>
      </c>
      <c r="C120" s="4" t="s">
        <v>71</v>
      </c>
      <c r="D120" s="4" t="s">
        <v>119</v>
      </c>
      <c r="E120" s="4" t="s">
        <v>66</v>
      </c>
      <c r="F120" s="4">
        <v>855.83400000000006</v>
      </c>
      <c r="G120" s="5">
        <v>95.675300000000007</v>
      </c>
      <c r="H120" s="5">
        <v>16.91</v>
      </c>
      <c r="I120" s="5">
        <v>1110</v>
      </c>
      <c r="J120" s="4" t="s">
        <v>121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119</v>
      </c>
      <c r="E121" s="4" t="s">
        <v>66</v>
      </c>
      <c r="F121" s="4">
        <v>1000</v>
      </c>
      <c r="G121" s="5">
        <v>108.28530000000001</v>
      </c>
      <c r="H121" s="5">
        <v>12.93</v>
      </c>
      <c r="I121" s="5">
        <v>865</v>
      </c>
      <c r="J121" s="4" t="s">
        <v>121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119</v>
      </c>
      <c r="E122" s="4" t="s">
        <v>66</v>
      </c>
      <c r="F122" s="4">
        <v>568.26800000000003</v>
      </c>
      <c r="G122" s="5">
        <v>59.423999999999999</v>
      </c>
      <c r="H122" s="5">
        <v>16.88</v>
      </c>
      <c r="I122" s="5">
        <v>2385</v>
      </c>
      <c r="J122" s="4" t="s">
        <v>121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119</v>
      </c>
      <c r="E123" s="4" t="s">
        <v>66</v>
      </c>
      <c r="F123" s="4">
        <v>776.07</v>
      </c>
      <c r="G123" s="5">
        <v>83.703900000000004</v>
      </c>
      <c r="H123" s="5">
        <v>16.920000000000002</v>
      </c>
      <c r="I123" s="5">
        <v>1154</v>
      </c>
      <c r="J123" s="4" t="s">
        <v>121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119</v>
      </c>
      <c r="E124" s="4" t="s">
        <v>66</v>
      </c>
      <c r="F124" s="4">
        <v>770.36</v>
      </c>
      <c r="G124" s="5">
        <v>79.480400000000003</v>
      </c>
      <c r="H124" s="5">
        <v>16.920000000000002</v>
      </c>
      <c r="I124" s="5">
        <v>918</v>
      </c>
      <c r="J124" s="4" t="s">
        <v>121</v>
      </c>
    </row>
    <row r="125" spans="1:10" x14ac:dyDescent="0.25">
      <c r="A125" s="4">
        <f t="shared" ca="1" si="3"/>
        <v>122</v>
      </c>
      <c r="B125" s="4" t="s">
        <v>366</v>
      </c>
      <c r="C125" s="4" t="s">
        <v>98</v>
      </c>
      <c r="D125" s="4" t="s">
        <v>119</v>
      </c>
      <c r="E125" s="4" t="s">
        <v>66</v>
      </c>
      <c r="F125" s="4">
        <v>757.68299999999999</v>
      </c>
      <c r="G125" s="5">
        <v>78.075800000000001</v>
      </c>
      <c r="H125" s="5">
        <v>16.88</v>
      </c>
      <c r="I125" s="5">
        <v>2478</v>
      </c>
      <c r="J125" s="4" t="s">
        <v>121</v>
      </c>
    </row>
    <row r="126" spans="1:10" x14ac:dyDescent="0.25">
      <c r="A126" s="4">
        <f t="shared" ca="1" si="3"/>
        <v>123</v>
      </c>
      <c r="B126" s="4" t="s">
        <v>367</v>
      </c>
      <c r="C126" s="4" t="s">
        <v>107</v>
      </c>
      <c r="D126" s="4" t="s">
        <v>119</v>
      </c>
      <c r="E126" s="4" t="s">
        <v>66</v>
      </c>
      <c r="F126" s="4">
        <v>831.1</v>
      </c>
      <c r="G126" s="5">
        <v>85.33720000000001</v>
      </c>
      <c r="H126" s="5">
        <v>16.89</v>
      </c>
      <c r="I126" s="5">
        <v>1384</v>
      </c>
      <c r="J126" s="4" t="s">
        <v>121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119</v>
      </c>
      <c r="E127" s="4" t="s">
        <v>66</v>
      </c>
      <c r="F127" s="4">
        <v>1000</v>
      </c>
      <c r="G127" s="5">
        <v>100.54270000000001</v>
      </c>
      <c r="H127" s="5">
        <v>13.02</v>
      </c>
      <c r="I127" s="5">
        <v>1812</v>
      </c>
      <c r="J127" s="4" t="s">
        <v>121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119</v>
      </c>
      <c r="E128" s="4" t="s">
        <v>66</v>
      </c>
      <c r="F128" s="4">
        <v>1000</v>
      </c>
      <c r="G128" s="5">
        <v>110.31150000000001</v>
      </c>
      <c r="H128" s="5">
        <v>12.99</v>
      </c>
      <c r="I128" s="5">
        <v>2268</v>
      </c>
      <c r="J128" s="4" t="s">
        <v>121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119</v>
      </c>
      <c r="E129" s="4" t="s">
        <v>66</v>
      </c>
      <c r="F129" s="4">
        <v>1000</v>
      </c>
      <c r="G129" s="5">
        <v>100.6151</v>
      </c>
      <c r="H129" s="5">
        <v>13.02</v>
      </c>
      <c r="I129" s="5">
        <v>2175</v>
      </c>
      <c r="J129" s="4" t="s">
        <v>121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119</v>
      </c>
      <c r="E130" s="4" t="s">
        <v>66</v>
      </c>
      <c r="F130" s="4">
        <v>912.98200000000008</v>
      </c>
      <c r="G130" s="5">
        <v>95.487099999999998</v>
      </c>
      <c r="H130" s="5">
        <v>16.920000000000002</v>
      </c>
      <c r="I130" s="5">
        <v>583</v>
      </c>
      <c r="J130" s="4" t="s">
        <v>121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119</v>
      </c>
      <c r="E131" s="4" t="s">
        <v>66</v>
      </c>
      <c r="F131" s="4">
        <v>711.95800000000008</v>
      </c>
      <c r="G131" s="5">
        <v>79.053600000000003</v>
      </c>
      <c r="H131" s="5">
        <v>16.89</v>
      </c>
      <c r="I131" s="5">
        <v>4125</v>
      </c>
      <c r="J131" s="4" t="s">
        <v>121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91</v>
      </c>
      <c r="D132" s="4" t="s">
        <v>119</v>
      </c>
      <c r="E132" s="4" t="s">
        <v>66</v>
      </c>
      <c r="F132" s="4">
        <v>984.01600000000008</v>
      </c>
      <c r="G132" s="5">
        <v>100.86160000000001</v>
      </c>
      <c r="H132" s="5">
        <v>16.77</v>
      </c>
      <c r="I132" s="5">
        <v>100</v>
      </c>
      <c r="J132" s="4" t="s">
        <v>121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119</v>
      </c>
      <c r="E133" s="4" t="s">
        <v>66</v>
      </c>
      <c r="F133" s="4">
        <v>826.70699999999999</v>
      </c>
      <c r="G133" s="5">
        <v>90.309600000000003</v>
      </c>
      <c r="H133" s="5">
        <v>16.920000000000002</v>
      </c>
      <c r="I133" s="5">
        <v>1575</v>
      </c>
      <c r="J133" s="4" t="s">
        <v>121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119</v>
      </c>
      <c r="E134" s="4" t="s">
        <v>66</v>
      </c>
      <c r="F134" s="4">
        <v>704.101</v>
      </c>
      <c r="G134" s="5">
        <v>71.877400000000009</v>
      </c>
      <c r="H134" s="5">
        <v>16.88</v>
      </c>
      <c r="I134" s="5">
        <v>3969</v>
      </c>
      <c r="J134" s="4" t="s">
        <v>121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119</v>
      </c>
      <c r="E135" s="4" t="s">
        <v>66</v>
      </c>
      <c r="F135" s="4">
        <v>706.19799999999998</v>
      </c>
      <c r="G135" s="5">
        <v>77.2821</v>
      </c>
      <c r="H135" s="5">
        <v>16.899999999999999</v>
      </c>
      <c r="I135" s="5">
        <v>3049</v>
      </c>
      <c r="J135" s="4" t="s">
        <v>121</v>
      </c>
    </row>
    <row r="136" spans="1:10" x14ac:dyDescent="0.25">
      <c r="A136" s="4">
        <f t="shared" ca="1" si="4"/>
        <v>133</v>
      </c>
      <c r="B136" s="4" t="s">
        <v>385</v>
      </c>
      <c r="C136" s="4" t="s">
        <v>76</v>
      </c>
      <c r="D136" s="4" t="s">
        <v>119</v>
      </c>
      <c r="E136" s="4" t="s">
        <v>66</v>
      </c>
      <c r="F136" s="4">
        <v>873.51600000000008</v>
      </c>
      <c r="G136" s="5">
        <v>92.609400000000008</v>
      </c>
      <c r="H136" s="5">
        <v>16.920000000000002</v>
      </c>
      <c r="I136" s="5">
        <v>912</v>
      </c>
      <c r="J136" s="4" t="s">
        <v>121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119</v>
      </c>
      <c r="E137" s="4" t="s">
        <v>66</v>
      </c>
      <c r="F137" s="4">
        <v>956.78200000000004</v>
      </c>
      <c r="G137" s="5">
        <v>97.71990000000001</v>
      </c>
      <c r="H137" s="5">
        <v>16.38</v>
      </c>
      <c r="I137" s="5">
        <v>295</v>
      </c>
      <c r="J137" s="4" t="s">
        <v>121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119</v>
      </c>
      <c r="E138" s="4" t="s">
        <v>66</v>
      </c>
      <c r="F138" s="4">
        <v>696.10200000000009</v>
      </c>
      <c r="G138" s="5">
        <v>75.703299999999999</v>
      </c>
      <c r="H138" s="5">
        <v>16.87</v>
      </c>
      <c r="I138" s="5">
        <v>3435</v>
      </c>
      <c r="J138" s="4" t="s">
        <v>121</v>
      </c>
    </row>
    <row r="139" spans="1:10" x14ac:dyDescent="0.25">
      <c r="A139" s="4">
        <f t="shared" ca="1" si="4"/>
        <v>136</v>
      </c>
      <c r="B139" s="4" t="s">
        <v>390</v>
      </c>
      <c r="C139" s="4" t="s">
        <v>111</v>
      </c>
      <c r="D139" s="4" t="s">
        <v>119</v>
      </c>
      <c r="E139" s="4" t="s">
        <v>66</v>
      </c>
      <c r="F139" s="4">
        <v>775.53899999999999</v>
      </c>
      <c r="G139" s="5">
        <v>83.476399999999998</v>
      </c>
      <c r="H139" s="5">
        <v>16.88</v>
      </c>
      <c r="I139" s="5">
        <v>1981</v>
      </c>
      <c r="J139" s="4" t="s">
        <v>121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119</v>
      </c>
      <c r="E140" s="4" t="s">
        <v>66</v>
      </c>
      <c r="F140" s="4">
        <v>739.88700000000006</v>
      </c>
      <c r="G140" s="5">
        <v>75.503100000000003</v>
      </c>
      <c r="H140" s="5">
        <v>16.88</v>
      </c>
      <c r="I140" s="5">
        <v>2871</v>
      </c>
      <c r="J140" s="4" t="s">
        <v>121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119</v>
      </c>
      <c r="E141" s="4" t="s">
        <v>66</v>
      </c>
      <c r="F141" s="4">
        <v>979.3</v>
      </c>
      <c r="G141" s="5">
        <v>99.011099999999999</v>
      </c>
      <c r="H141" s="5">
        <v>16.37</v>
      </c>
      <c r="I141" s="5">
        <v>338</v>
      </c>
      <c r="J141" s="4" t="s">
        <v>121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119</v>
      </c>
      <c r="E142" s="4" t="s">
        <v>66</v>
      </c>
      <c r="F142" s="4">
        <v>983.65</v>
      </c>
      <c r="G142" s="5">
        <v>104.5903</v>
      </c>
      <c r="H142" s="5">
        <v>16.28</v>
      </c>
      <c r="I142" s="5">
        <v>766</v>
      </c>
      <c r="J142" s="4" t="s">
        <v>121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119</v>
      </c>
      <c r="E143" s="4" t="s">
        <v>66</v>
      </c>
      <c r="F143" s="4">
        <v>887.71300000000008</v>
      </c>
      <c r="G143" s="5">
        <v>94.410200000000003</v>
      </c>
      <c r="H143" s="5">
        <v>16.88</v>
      </c>
      <c r="I143" s="5">
        <v>2410</v>
      </c>
      <c r="J143" s="4" t="s">
        <v>121</v>
      </c>
    </row>
    <row r="144" spans="1:10" x14ac:dyDescent="0.25">
      <c r="A144" s="4">
        <f t="shared" ca="1" si="4"/>
        <v>141</v>
      </c>
      <c r="B144" s="4" t="s">
        <v>399</v>
      </c>
      <c r="C144" s="4" t="s">
        <v>73</v>
      </c>
      <c r="D144" s="4" t="s">
        <v>119</v>
      </c>
      <c r="E144" s="4" t="s">
        <v>66</v>
      </c>
      <c r="F144" s="4">
        <v>958.3180000000001</v>
      </c>
      <c r="G144" s="5">
        <v>105.2243</v>
      </c>
      <c r="H144" s="5">
        <v>16.899999999999999</v>
      </c>
      <c r="I144" s="5">
        <v>1237</v>
      </c>
      <c r="J144" s="4" t="s">
        <v>121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119</v>
      </c>
      <c r="E145" s="4" t="s">
        <v>66</v>
      </c>
      <c r="F145" s="4">
        <v>1000</v>
      </c>
      <c r="G145" s="5">
        <v>101.66500000000001</v>
      </c>
      <c r="H145" s="5">
        <v>17.059999999999999</v>
      </c>
      <c r="I145" s="5">
        <v>331</v>
      </c>
      <c r="J145" s="4" t="s">
        <v>121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119</v>
      </c>
      <c r="E146" s="4" t="s">
        <v>66</v>
      </c>
      <c r="F146" s="4">
        <v>898.18499999999995</v>
      </c>
      <c r="G146" s="5">
        <v>95.729600000000005</v>
      </c>
      <c r="H146" s="5">
        <v>16.88</v>
      </c>
      <c r="I146" s="5">
        <v>2037</v>
      </c>
      <c r="J146" s="4" t="s">
        <v>121</v>
      </c>
    </row>
    <row r="147" spans="1:10" x14ac:dyDescent="0.25">
      <c r="A147" s="4">
        <f t="shared" ca="1" si="4"/>
        <v>144</v>
      </c>
      <c r="B147" s="4" t="s">
        <v>404</v>
      </c>
      <c r="C147" s="4" t="s">
        <v>74</v>
      </c>
      <c r="D147" s="4" t="s">
        <v>119</v>
      </c>
      <c r="E147" s="4" t="s">
        <v>66</v>
      </c>
      <c r="F147" s="4">
        <v>982.77500000000009</v>
      </c>
      <c r="G147" s="5">
        <v>102.47890000000001</v>
      </c>
      <c r="H147" s="5">
        <v>16.37</v>
      </c>
      <c r="I147" s="5">
        <v>254</v>
      </c>
      <c r="J147" s="4" t="s">
        <v>121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119</v>
      </c>
      <c r="E148" s="4" t="s">
        <v>66</v>
      </c>
      <c r="F148" s="4">
        <v>896.95600000000002</v>
      </c>
      <c r="G148" s="5">
        <v>94.873500000000007</v>
      </c>
      <c r="H148" s="5">
        <v>16.89</v>
      </c>
      <c r="I148" s="5">
        <v>2792</v>
      </c>
      <c r="J148" s="4" t="s">
        <v>121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119</v>
      </c>
      <c r="E149" s="4" t="s">
        <v>66</v>
      </c>
      <c r="F149" s="4">
        <v>833.28800000000001</v>
      </c>
      <c r="G149" s="5">
        <v>91.062100000000001</v>
      </c>
      <c r="H149" s="5">
        <v>16.91</v>
      </c>
      <c r="I149" s="5">
        <v>1958</v>
      </c>
      <c r="J149" s="4" t="s">
        <v>121</v>
      </c>
    </row>
    <row r="150" spans="1:10" x14ac:dyDescent="0.25">
      <c r="A150" s="4">
        <f t="shared" ca="1" si="4"/>
        <v>147</v>
      </c>
      <c r="B150" s="4" t="s">
        <v>409</v>
      </c>
      <c r="C150" s="4" t="s">
        <v>88</v>
      </c>
      <c r="D150" s="4" t="s">
        <v>119</v>
      </c>
      <c r="E150" s="4" t="s">
        <v>66</v>
      </c>
      <c r="F150" s="4">
        <v>1020.1360000000001</v>
      </c>
      <c r="G150" s="5">
        <v>105.1794</v>
      </c>
      <c r="H150" s="5">
        <v>16.25</v>
      </c>
      <c r="I150" s="5">
        <v>1394</v>
      </c>
      <c r="J150" s="4" t="s">
        <v>121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119</v>
      </c>
      <c r="E151" s="4" t="s">
        <v>66</v>
      </c>
      <c r="F151" s="4">
        <v>894.46600000000001</v>
      </c>
      <c r="G151" s="5">
        <v>98.227200000000011</v>
      </c>
      <c r="H151" s="5">
        <v>16.88</v>
      </c>
      <c r="I151" s="5">
        <v>3066</v>
      </c>
      <c r="J151" s="4" t="s">
        <v>121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119</v>
      </c>
      <c r="E152" s="4" t="s">
        <v>66</v>
      </c>
      <c r="F152" s="4">
        <v>911.91300000000001</v>
      </c>
      <c r="G152" s="5">
        <v>100.03240000000001</v>
      </c>
      <c r="H152" s="5">
        <v>16.88</v>
      </c>
      <c r="I152" s="5">
        <v>2336</v>
      </c>
      <c r="J152" s="4" t="s">
        <v>121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119</v>
      </c>
      <c r="E153" s="4" t="s">
        <v>66</v>
      </c>
      <c r="F153" s="4">
        <v>856.06700000000001</v>
      </c>
      <c r="G153" s="5">
        <v>91.168400000000005</v>
      </c>
      <c r="H153" s="5">
        <v>16.87</v>
      </c>
      <c r="I153" s="5">
        <v>4604</v>
      </c>
      <c r="J153" s="4" t="s">
        <v>121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119</v>
      </c>
      <c r="E154" s="4" t="s">
        <v>66</v>
      </c>
      <c r="F154" s="4">
        <v>1000</v>
      </c>
      <c r="G154" s="5">
        <v>108.3609</v>
      </c>
      <c r="H154" s="5">
        <v>15.44</v>
      </c>
      <c r="I154" s="5">
        <v>1995</v>
      </c>
      <c r="J154" s="4" t="s">
        <v>121</v>
      </c>
    </row>
    <row r="155" spans="1:10" x14ac:dyDescent="0.25">
      <c r="A155" s="4">
        <f t="shared" ca="1" si="4"/>
        <v>152</v>
      </c>
      <c r="B155" s="4" t="s">
        <v>418</v>
      </c>
      <c r="C155" s="4" t="s">
        <v>95</v>
      </c>
      <c r="D155" s="4" t="s">
        <v>119</v>
      </c>
      <c r="E155" s="4" t="s">
        <v>66</v>
      </c>
      <c r="F155" s="4">
        <v>854.09199999999998</v>
      </c>
      <c r="G155" s="5">
        <v>92.642499999999998</v>
      </c>
      <c r="H155" s="5">
        <v>16.89</v>
      </c>
      <c r="I155" s="5">
        <v>1606</v>
      </c>
      <c r="J155" s="4" t="s">
        <v>121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119</v>
      </c>
      <c r="E156" s="4" t="s">
        <v>66</v>
      </c>
      <c r="F156" s="4">
        <v>91.194699999999997</v>
      </c>
      <c r="G156" s="5">
        <v>91.194699999999997</v>
      </c>
      <c r="H156" s="5">
        <v>16.55</v>
      </c>
      <c r="I156" s="5">
        <v>214</v>
      </c>
      <c r="J156" s="4" t="s">
        <v>121</v>
      </c>
    </row>
    <row r="157" spans="1:10" x14ac:dyDescent="0.25">
      <c r="A157" s="4">
        <f t="shared" ca="1" si="4"/>
        <v>154</v>
      </c>
      <c r="B157" s="4" t="s">
        <v>421</v>
      </c>
      <c r="C157" s="4" t="s">
        <v>103</v>
      </c>
      <c r="D157" s="4" t="s">
        <v>119</v>
      </c>
      <c r="E157" s="4" t="s">
        <v>66</v>
      </c>
      <c r="F157" s="4">
        <v>95.09620000000001</v>
      </c>
      <c r="G157" s="5">
        <v>95.09620000000001</v>
      </c>
      <c r="H157" s="5">
        <v>16.37</v>
      </c>
      <c r="I157" s="5">
        <v>116</v>
      </c>
      <c r="J157" s="4" t="s">
        <v>121</v>
      </c>
    </row>
    <row r="158" spans="1:10" x14ac:dyDescent="0.25">
      <c r="A158" s="4">
        <f t="shared" ca="1" si="4"/>
        <v>155</v>
      </c>
      <c r="B158" s="4" t="s">
        <v>422</v>
      </c>
      <c r="C158" s="4" t="s">
        <v>423</v>
      </c>
      <c r="D158" s="4" t="s">
        <v>119</v>
      </c>
      <c r="E158" s="4" t="s">
        <v>66</v>
      </c>
      <c r="F158" s="4">
        <v>866.048</v>
      </c>
      <c r="G158" s="5">
        <v>95.977000000000004</v>
      </c>
      <c r="H158" s="5">
        <v>16.899999999999999</v>
      </c>
      <c r="I158" s="5">
        <v>3410</v>
      </c>
      <c r="J158" s="4" t="s">
        <v>121</v>
      </c>
    </row>
    <row r="159" spans="1:10" x14ac:dyDescent="0.25">
      <c r="A159" s="4">
        <f t="shared" ca="1" si="4"/>
        <v>156</v>
      </c>
      <c r="B159" s="4" t="s">
        <v>424</v>
      </c>
      <c r="C159" s="4" t="s">
        <v>425</v>
      </c>
      <c r="D159" s="4" t="s">
        <v>119</v>
      </c>
      <c r="E159" s="4" t="s">
        <v>66</v>
      </c>
      <c r="F159" s="4">
        <v>0.98624999999999996</v>
      </c>
      <c r="G159" s="5">
        <v>98.6905</v>
      </c>
      <c r="H159" s="5">
        <v>4.9000000000000004</v>
      </c>
      <c r="I159" s="5">
        <v>3465</v>
      </c>
      <c r="J159" s="4" t="s">
        <v>121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119</v>
      </c>
      <c r="E160" s="4" t="s">
        <v>66</v>
      </c>
      <c r="F160" s="4">
        <v>99.565700000000007</v>
      </c>
      <c r="G160" s="5">
        <v>99.565700000000007</v>
      </c>
      <c r="H160" s="5">
        <v>15.92</v>
      </c>
      <c r="I160" s="5">
        <v>11</v>
      </c>
      <c r="J160" s="4" t="s">
        <v>121</v>
      </c>
    </row>
    <row r="161" spans="1:10" x14ac:dyDescent="0.25">
      <c r="A161" s="4">
        <f t="shared" ca="1" si="4"/>
        <v>158</v>
      </c>
      <c r="B161" s="4" t="s">
        <v>428</v>
      </c>
      <c r="C161" s="4" t="s">
        <v>429</v>
      </c>
      <c r="D161" s="4" t="s">
        <v>119</v>
      </c>
      <c r="E161" s="4" t="s">
        <v>66</v>
      </c>
      <c r="F161" s="4">
        <v>1023.677</v>
      </c>
      <c r="G161" s="5">
        <v>102.60310000000001</v>
      </c>
      <c r="H161" s="5">
        <v>16.240000000000002</v>
      </c>
      <c r="I161" s="5">
        <v>1822</v>
      </c>
      <c r="J161" s="4" t="s">
        <v>121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124</v>
      </c>
      <c r="E162" s="4" t="s">
        <v>432</v>
      </c>
      <c r="F162" s="4">
        <v>360.67</v>
      </c>
      <c r="G162" s="5"/>
      <c r="H162" s="5"/>
      <c r="I162" s="5"/>
      <c r="J162" s="4" t="s">
        <v>126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124</v>
      </c>
      <c r="E163" s="4" t="s">
        <v>432</v>
      </c>
      <c r="F163" s="4">
        <v>26.89</v>
      </c>
      <c r="G163" s="5"/>
      <c r="H163" s="5"/>
      <c r="I163" s="5"/>
      <c r="J163" s="4" t="s">
        <v>185</v>
      </c>
    </row>
    <row r="164" spans="1:10" x14ac:dyDescent="0.25">
      <c r="A164" s="4">
        <f t="shared" ref="A164:A177" ca="1" si="5">IF(OFFSET(A164,-1,0)="№ п/п",1,OFFSET(A164,-1,0)+1)</f>
        <v>161</v>
      </c>
      <c r="B164" s="4" t="s">
        <v>435</v>
      </c>
      <c r="C164" s="4" t="s">
        <v>436</v>
      </c>
      <c r="D164" s="4" t="s">
        <v>119</v>
      </c>
      <c r="E164" s="4" t="s">
        <v>432</v>
      </c>
      <c r="F164" s="4">
        <v>986.42</v>
      </c>
      <c r="G164" s="5">
        <v>104.9495</v>
      </c>
      <c r="H164" s="5">
        <v>18.059999999999999</v>
      </c>
      <c r="I164" s="5">
        <v>781</v>
      </c>
      <c r="J164" s="4" t="s">
        <v>121</v>
      </c>
    </row>
    <row r="165" spans="1:10" x14ac:dyDescent="0.25">
      <c r="A165" s="4">
        <f t="shared" ca="1" si="5"/>
        <v>162</v>
      </c>
      <c r="B165" s="4" t="s">
        <v>437</v>
      </c>
      <c r="C165" s="4" t="s">
        <v>438</v>
      </c>
      <c r="D165" s="4" t="s">
        <v>124</v>
      </c>
      <c r="E165" s="4" t="s">
        <v>439</v>
      </c>
      <c r="F165" s="4">
        <v>856.8</v>
      </c>
      <c r="G165" s="5"/>
      <c r="H165" s="5"/>
      <c r="I165" s="5"/>
      <c r="J165" s="4" t="s">
        <v>126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119</v>
      </c>
      <c r="E166" s="4" t="s">
        <v>442</v>
      </c>
      <c r="F166" s="4">
        <v>1.001601</v>
      </c>
      <c r="G166" s="5">
        <v>100.51010000000001</v>
      </c>
      <c r="H166" s="5">
        <v>5.62</v>
      </c>
      <c r="I166" s="5">
        <v>161</v>
      </c>
      <c r="J166" s="4" t="s">
        <v>121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119</v>
      </c>
      <c r="E167" s="4" t="s">
        <v>442</v>
      </c>
      <c r="F167" s="4">
        <v>1001.8480000000001</v>
      </c>
      <c r="G167" s="5">
        <v>102.6785</v>
      </c>
      <c r="H167" s="5">
        <v>5.2</v>
      </c>
      <c r="I167" s="5">
        <v>1471</v>
      </c>
      <c r="J167" s="4" t="s">
        <v>121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124</v>
      </c>
      <c r="E168" s="4" t="s">
        <v>447</v>
      </c>
      <c r="F168" s="4">
        <v>29536.92</v>
      </c>
      <c r="G168" s="5"/>
      <c r="H168" s="5"/>
      <c r="I168" s="5"/>
      <c r="J168" s="4" t="s">
        <v>126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124</v>
      </c>
      <c r="E169" s="4" t="s">
        <v>450</v>
      </c>
      <c r="F169" s="4">
        <v>44568.44</v>
      </c>
      <c r="G169" s="5"/>
      <c r="H169" s="5"/>
      <c r="I169" s="5"/>
      <c r="J169" s="4" t="s">
        <v>126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124</v>
      </c>
      <c r="E170" s="4" t="s">
        <v>450</v>
      </c>
      <c r="F170" s="4">
        <v>78.7</v>
      </c>
      <c r="G170" s="5"/>
      <c r="H170" s="5"/>
      <c r="I170" s="5"/>
      <c r="J170" s="4" t="s">
        <v>185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119</v>
      </c>
      <c r="E171" s="4" t="s">
        <v>455</v>
      </c>
      <c r="F171" s="4">
        <v>99.983500000000006</v>
      </c>
      <c r="G171" s="5">
        <v>100.8391</v>
      </c>
      <c r="H171" s="5">
        <v>11</v>
      </c>
      <c r="I171" s="5">
        <v>338</v>
      </c>
      <c r="J171" s="4" t="s">
        <v>121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124</v>
      </c>
      <c r="E172" s="4" t="s">
        <v>458</v>
      </c>
      <c r="F172" s="4">
        <v>811.41</v>
      </c>
      <c r="G172" s="5"/>
      <c r="H172" s="5"/>
      <c r="I172" s="5"/>
      <c r="J172" s="4" t="s">
        <v>126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119</v>
      </c>
      <c r="E173" s="4" t="s">
        <v>81</v>
      </c>
      <c r="F173" s="4">
        <v>0.99737599999999993</v>
      </c>
      <c r="G173" s="5">
        <v>100.11890000000001</v>
      </c>
      <c r="H173" s="5">
        <v>6.33</v>
      </c>
      <c r="I173" s="5">
        <v>158</v>
      </c>
      <c r="J173" s="4" t="s">
        <v>121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119</v>
      </c>
      <c r="E174" s="4" t="s">
        <v>81</v>
      </c>
      <c r="F174" s="4">
        <v>1000</v>
      </c>
      <c r="G174" s="5">
        <v>100.8151</v>
      </c>
      <c r="H174" s="5">
        <v>17.48</v>
      </c>
      <c r="I174" s="5">
        <v>896</v>
      </c>
      <c r="J174" s="4" t="s">
        <v>121</v>
      </c>
    </row>
    <row r="175" spans="1:10" x14ac:dyDescent="0.25">
      <c r="A175" s="4">
        <f t="shared" ca="1" si="5"/>
        <v>172</v>
      </c>
      <c r="B175" s="4" t="s">
        <v>463</v>
      </c>
      <c r="C175" s="4" t="s">
        <v>82</v>
      </c>
      <c r="D175" s="4" t="s">
        <v>119</v>
      </c>
      <c r="E175" s="4" t="s">
        <v>81</v>
      </c>
      <c r="F175" s="4">
        <v>946.480117669729</v>
      </c>
      <c r="G175" s="5">
        <v>96.276611770000002</v>
      </c>
      <c r="H175" s="5">
        <v>17.809999999999999</v>
      </c>
      <c r="I175" s="5">
        <v>690</v>
      </c>
      <c r="J175" s="4" t="s">
        <v>121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119</v>
      </c>
      <c r="E176" s="4" t="s">
        <v>81</v>
      </c>
      <c r="F176" s="4">
        <v>1000</v>
      </c>
      <c r="G176" s="5">
        <v>102.226</v>
      </c>
      <c r="H176" s="5">
        <v>16.22</v>
      </c>
      <c r="I176" s="5">
        <v>865</v>
      </c>
      <c r="J176" s="4" t="s">
        <v>121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119</v>
      </c>
      <c r="E177" s="4" t="s">
        <v>468</v>
      </c>
      <c r="F177" s="4">
        <v>1.0197429999999998</v>
      </c>
      <c r="G177" s="5">
        <v>104.336</v>
      </c>
      <c r="H177" s="5">
        <v>4.62</v>
      </c>
      <c r="I177" s="5">
        <v>938</v>
      </c>
      <c r="J177" s="4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2025-10-15T04:55:05Z</dcterms:created>
  <dcterms:modified xsi:type="dcterms:W3CDTF">2025-10-15T10:10:47Z</dcterms:modified>
</cp:coreProperties>
</file>