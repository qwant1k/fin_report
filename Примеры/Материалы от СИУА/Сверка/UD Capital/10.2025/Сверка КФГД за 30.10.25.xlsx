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C40396F7-4648-422F-A1CE-519EFB5B4C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2" i="1"/>
  <c r="G56" i="1"/>
  <c r="F56" i="1"/>
  <c r="E56" i="1"/>
  <c r="G45" i="1"/>
  <c r="F45" i="1"/>
  <c r="E45" i="1"/>
  <c r="M38" i="1"/>
  <c r="H38" i="1"/>
  <c r="M37" i="1"/>
  <c r="M40" i="1" s="1"/>
  <c r="H37" i="1"/>
  <c r="M36" i="1"/>
  <c r="H36" i="1"/>
  <c r="M35" i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0" i="1"/>
  <c r="M16" i="1"/>
  <c r="M8" i="1"/>
  <c r="M21" i="1"/>
  <c r="M17" i="1"/>
  <c r="M13" i="1"/>
  <c r="M9" i="1"/>
  <c r="M24" i="1"/>
  <c r="M20" i="1"/>
  <c r="M12" i="1"/>
  <c r="M26" i="1" l="1"/>
</calcChain>
</file>

<file path=xl/sharedStrings.xml><?xml version="1.0" encoding="utf-8"?>
<sst xmlns="http://schemas.openxmlformats.org/spreadsheetml/2006/main" count="1100" uniqueCount="495">
  <si>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</si>
  <si>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</si>
  <si>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</si>
  <si>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</si>
  <si>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</si>
  <si>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</si>
  <si>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</si>
  <si>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</si>
  <si>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</si>
  <si>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</si>
  <si>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</si>
  <si>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</si>
  <si>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</si>
  <si>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</si>
  <si>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</si>
  <si>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</si>
  <si>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</si>
  <si>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</si>
  <si>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</si>
  <si>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</si>
  <si>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</si>
  <si>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</si>
  <si>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</si>
  <si>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</si>
  <si>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</si>
  <si>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</si>
  <si>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</si>
  <si>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</si>
  <si>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</si>
  <si>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</si>
  <si>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</si>
  <si>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</si>
  <si>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</si>
  <si>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</si>
  <si>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</si>
  <si>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</si>
  <si>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</si>
  <si>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</si>
  <si>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</si>
  <si>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</si>
  <si>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</si>
  <si>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</si>
  <si>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</si>
  <si>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</si>
  <si>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</si>
  <si>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</si>
  <si>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</si>
  <si>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</si>
  <si>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</si>
  <si>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</si>
  <si>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</si>
  <si>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</si>
  <si>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</si>
  <si>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</si>
  <si>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</si>
  <si>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</si>
  <si>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</si>
  <si>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</si>
  <si>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</si>
  <si>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</si>
  <si>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</si>
  <si>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</si>
  <si>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</si>
  <si>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</si>
  <si>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</si>
  <si>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</si>
  <si>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</si>
  <si>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</si>
  <si>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</si>
  <si>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29.10.2025</t>
  </si>
  <si>
    <t>30.10.2025</t>
  </si>
  <si>
    <t>Евразийский банк развития</t>
  </si>
  <si>
    <t>KZ2D00009628</t>
  </si>
  <si>
    <t>АО "Казахстанский фонд устойчивости"</t>
  </si>
  <si>
    <t>KZ2C00008902</t>
  </si>
  <si>
    <t>31.10.2025</t>
  </si>
  <si>
    <t>KZKD00001137</t>
  </si>
  <si>
    <t>KZ96601A861038102391</t>
  </si>
  <si>
    <t>KZK200000687</t>
  </si>
  <si>
    <t>18.07.2024</t>
  </si>
  <si>
    <t>21.01.2026</t>
  </si>
  <si>
    <t>KZKD00001087</t>
  </si>
  <si>
    <t>31.03.2029</t>
  </si>
  <si>
    <t>KZKD00001152</t>
  </si>
  <si>
    <t>26.07.2032</t>
  </si>
  <si>
    <t>KZKD00000832</t>
  </si>
  <si>
    <t>29.01.2035</t>
  </si>
  <si>
    <t>KZK100000373</t>
  </si>
  <si>
    <t>13.03.2025</t>
  </si>
  <si>
    <t>06.02.2026</t>
  </si>
  <si>
    <t>KZKD00000741</t>
  </si>
  <si>
    <t>12.05.2034</t>
  </si>
  <si>
    <t>12.04.2028</t>
  </si>
  <si>
    <t>KZKD00000477</t>
  </si>
  <si>
    <t>24.07.2025</t>
  </si>
  <si>
    <t>19.10.2027</t>
  </si>
  <si>
    <t>KZKD00000444</t>
  </si>
  <si>
    <t>21.08.2025</t>
  </si>
  <si>
    <t>18.08.2026</t>
  </si>
  <si>
    <t>KZKD00000949</t>
  </si>
  <si>
    <t>16.04.2032</t>
  </si>
  <si>
    <t>KZ2D00011863</t>
  </si>
  <si>
    <t>24.09.2024</t>
  </si>
  <si>
    <t>03.09.2027</t>
  </si>
  <si>
    <t>KZK200000760</t>
  </si>
  <si>
    <t>14.08.2025</t>
  </si>
  <si>
    <t>07.08.2029</t>
  </si>
  <si>
    <t>KZKD00000790</t>
  </si>
  <si>
    <t>10.07.2025</t>
  </si>
  <si>
    <t>13.08.2029</t>
  </si>
  <si>
    <t>KZKD00001160</t>
  </si>
  <si>
    <t>28.07.2029</t>
  </si>
  <si>
    <t>KZKD00001129</t>
  </si>
  <si>
    <t>17.03.2031</t>
  </si>
  <si>
    <t>KZKD00000535</t>
  </si>
  <si>
    <t>27.03.2027</t>
  </si>
  <si>
    <t>KZKD00001251</t>
  </si>
  <si>
    <t>07.03.2030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</si>
  <si>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</si>
  <si>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</si>
  <si>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</si>
  <si>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</si>
  <si>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</si>
  <si>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</si>
  <si>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</si>
  <si>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</si>
  <si>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</si>
  <si>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</si>
  <si>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</si>
  <si>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</si>
  <si>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</si>
  <si>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</si>
  <si>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</si>
  <si>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</si>
  <si>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</si>
  <si>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</si>
  <si>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</si>
  <si>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</si>
  <si>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</si>
  <si>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</si>
  <si>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</si>
  <si>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</si>
  <si>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</si>
  <si>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</si>
  <si>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</si>
  <si>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</si>
  <si>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</si>
  <si>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</si>
  <si>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</si>
  <si>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</si>
  <si>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</si>
  <si>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</si>
  <si>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</si>
  <si>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</si>
  <si>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</si>
  <si>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</si>
  <si>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</si>
  <si>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</si>
  <si>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</si>
  <si>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</si>
  <si>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</si>
  <si>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</si>
  <si>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</si>
  <si>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</si>
  <si>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</si>
  <si>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</si>
  <si>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</si>
  <si>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</si>
  <si>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</si>
  <si>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</si>
  <si>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</si>
  <si>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</si>
  <si>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</si>
  <si>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</si>
  <si>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</si>
  <si>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</si>
  <si>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</si>
  <si>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</si>
  <si>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</si>
  <si>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</si>
  <si>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</si>
  <si>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</si>
  <si>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</si>
  <si>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</si>
  <si>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</si>
  <si>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</si>
  <si>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</si>
  <si>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</si>
  <si>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</si>
  <si>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</si>
  <si>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</si>
  <si>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</si>
  <si>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</si>
  <si>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</si>
  <si>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</si>
  <si>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</si>
  <si>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</si>
  <si>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</si>
  <si>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</si>
  <si>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</si>
  <si>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</si>
  <si>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</si>
  <si>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</si>
  <si>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</si>
  <si>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</si>
  <si>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</si>
  <si>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</si>
  <si>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</si>
  <si>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</si>
  <si>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</si>
  <si>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</si>
  <si>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</si>
  <si>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</si>
  <si>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</si>
  <si>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</si>
  <si>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</si>
  <si>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</si>
  <si>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</si>
  <si>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</si>
  <si>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</si>
  <si>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</si>
  <si>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</si>
  <si>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</si>
  <si>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</si>
  <si>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</si>
  <si>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</si>
  <si>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</si>
  <si>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</si>
  <si>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</si>
  <si>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</si>
  <si>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</si>
  <si>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</si>
  <si>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</si>
  <si>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</si>
  <si>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</si>
  <si>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</si>
  <si>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</si>
  <si>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</si>
  <si>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</si>
  <si>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</si>
  <si>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</si>
  <si>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</si>
  <si>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</si>
  <si>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</si>
  <si>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</si>
  <si>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</si>
  <si>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</si>
  <si>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</si>
  <si>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</si>
  <si>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</si>
  <si>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</si>
  <si>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</si>
  <si>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</si>
  <si>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</si>
  <si>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</si>
  <si>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</si>
  <si>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</si>
  <si>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</si>
  <si>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</si>
  <si>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</si>
  <si>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</si>
  <si>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</si>
  <si>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</si>
  <si>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</si>
  <si>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</si>
  <si>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</si>
  <si>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</si>
  <si>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</si>
  <si>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</si>
  <si>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</si>
  <si>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</si>
  <si>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</si>
  <si>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</si>
  <si>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</si>
  <si>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</si>
  <si>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</si>
  <si>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</si>
  <si>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</si>
  <si>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</si>
  <si>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</si>
  <si>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</si>
  <si>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</si>
  <si>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</si>
  <si>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</si>
  <si>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</si>
  <si>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</si>
  <si>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</si>
  <si>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</si>
  <si>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</si>
  <si>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</si>
  <si>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</si>
  <si>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</si>
  <si>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</si>
  <si>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</si>
  <si>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</si>
  <si>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</si>
  <si>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</si>
  <si>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</si>
  <si>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</si>
  <si>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</si>
  <si>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</si>
  <si>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</si>
  <si>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</si>
  <si>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</si>
  <si>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</si>
  <si>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</si>
  <si>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</si>
  <si>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</si>
  <si>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</si>
  <si>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</si>
  <si>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</si>
  <si>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</si>
  <si>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</si>
  <si>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</si>
  <si>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</si>
  <si>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</si>
  <si>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</si>
  <si>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</si>
  <si>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</si>
  <si>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</si>
  <si>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</si>
  <si>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</si>
  <si>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</si>
  <si>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</si>
  <si>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</si>
  <si>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</si>
  <si>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</si>
  <si>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</si>
  <si>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</si>
  <si>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</si>
  <si>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</si>
  <si>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</si>
  <si>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</si>
  <si>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</si>
  <si>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</si>
  <si>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</si>
  <si>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</si>
  <si>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</si>
  <si>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</si>
  <si>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</si>
  <si>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</si>
  <si>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</si>
  <si>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</si>
  <si>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</si>
  <si>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</si>
  <si>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</si>
  <si>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</si>
  <si>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</si>
  <si>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</si>
  <si>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</si>
  <si>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</si>
  <si>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</si>
  <si>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</si>
  <si>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</si>
  <si>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</si>
  <si>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</si>
  <si>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</si>
  <si>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</si>
  <si>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</si>
  <si>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</si>
  <si>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</si>
  <si>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</si>
  <si>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</si>
  <si>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</si>
  <si>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</si>
  <si>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</si>
  <si>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</si>
  <si>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</si>
  <si>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</si>
  <si>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</si>
  <si>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</si>
  <si>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</si>
  <si>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</si>
  <si>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</si>
  <si>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</si>
  <si>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</si>
  <si>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</si>
  <si>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</si>
  <si>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</si>
  <si>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</si>
  <si>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</si>
  <si>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</si>
  <si>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</si>
  <si>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</si>
  <si>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</si>
  <si>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</si>
  <si>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</si>
  <si>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</si>
  <si>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</si>
  <si>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</si>
  <si>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</si>
  <si>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</si>
  <si>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</si>
  <si>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</si>
  <si>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</si>
  <si>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</si>
  <si>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</si>
  <si>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</si>
  <si>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</si>
  <si>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</si>
  <si>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</si>
  <si>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</si>
  <si>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</si>
  <si>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</si>
  <si>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</si>
  <si>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</si>
  <si>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</si>
  <si>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</si>
  <si>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</si>
  <si>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</si>
  <si>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</si>
  <si>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</si>
  <si>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</si>
  <si>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</si>
  <si>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</si>
  <si>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</si>
  <si>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</si>
  <si>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</si>
  <si>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</si>
  <si>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</si>
  <si>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</si>
  <si>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</si>
  <si>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</si>
  <si>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</si>
  <si>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</si>
  <si>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</si>
  <si>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</si>
  <si>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</si>
  <si>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</si>
  <si>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</si>
  <si>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</si>
  <si>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</si>
  <si>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</si>
  <si>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</si>
  <si>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</si>
  <si>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</si>
  <si>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</si>
  <si>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</si>
  <si>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</si>
  <si>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</si>
  <si>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</si>
  <si>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</si>
  <si>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</si>
  <si>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</si>
  <si>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</si>
  <si>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</si>
  <si>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</si>
  <si>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</si>
  <si>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</si>
  <si>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</si>
  <si>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</si>
  <si>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</si>
  <si>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</si>
  <si>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</si>
  <si>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</si>
  <si>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</si>
  <si>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</si>
  <si>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</si>
  <si>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</si>
  <si>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</si>
  <si>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</si>
  <si>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</si>
  <si>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</si>
  <si>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BRKZe18</t>
  </si>
  <si>
    <t>XS3032932645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</si>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</sst>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4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25828447104.998878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2530000</v>
      </c>
      <c r="D8" s="17">
        <v>2530000000</v>
      </c>
      <c r="E8" s="18">
        <v>10.67</v>
      </c>
      <c r="F8" s="19" t="s">
        <v>79</v>
      </c>
      <c r="G8" s="19" t="s">
        <v>80</v>
      </c>
      <c r="H8" s="18">
        <v>2455119589.9966769</v>
      </c>
      <c r="I8" s="20">
        <v>98.604200000000006</v>
      </c>
      <c r="J8" s="20">
        <v>101.5385</v>
      </c>
      <c r="K8" s="18">
        <v>74236525</v>
      </c>
      <c r="L8" s="18">
        <v>2568922785</v>
      </c>
      <c r="M8" s="21">
        <f t="shared" ref="M8:M24" si="0">L8/$Q$1</f>
        <v>9.9460984803178762E-2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1897500</v>
      </c>
      <c r="D9" s="17">
        <v>1897500000</v>
      </c>
      <c r="E9" s="18">
        <v>11</v>
      </c>
      <c r="F9" s="19" t="s">
        <v>79</v>
      </c>
      <c r="G9" s="19" t="s">
        <v>82</v>
      </c>
      <c r="H9" s="18">
        <v>1743261712.5</v>
      </c>
      <c r="I9" s="20">
        <v>84.973700000000008</v>
      </c>
      <c r="J9" s="20">
        <v>91.3904</v>
      </c>
      <c r="K9" s="18">
        <v>121756250</v>
      </c>
      <c r="L9" s="18">
        <v>1734132207.5</v>
      </c>
      <c r="M9" s="21">
        <f t="shared" si="0"/>
        <v>6.7140397579859665E-2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10.65</v>
      </c>
      <c r="F10" s="19" t="s">
        <v>79</v>
      </c>
      <c r="G10" s="19" t="s">
        <v>84</v>
      </c>
      <c r="H10" s="18">
        <v>1648500562.5</v>
      </c>
      <c r="I10" s="20">
        <v>75.432200000000009</v>
      </c>
      <c r="J10" s="20">
        <v>78.213000000000008</v>
      </c>
      <c r="K10" s="18">
        <v>52766312.5</v>
      </c>
      <c r="L10" s="18">
        <v>1484092307.5</v>
      </c>
      <c r="M10" s="21">
        <f t="shared" si="0"/>
        <v>5.7459602641490838E-2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8.07</v>
      </c>
      <c r="F11" s="19" t="s">
        <v>79</v>
      </c>
      <c r="G11" s="19" t="s">
        <v>86</v>
      </c>
      <c r="H11" s="18">
        <v>1338524962.5</v>
      </c>
      <c r="I11" s="20">
        <v>59.653100000000002</v>
      </c>
      <c r="J11" s="20">
        <v>65.728000000000009</v>
      </c>
      <c r="K11" s="18">
        <v>115271543.75</v>
      </c>
      <c r="L11" s="18">
        <v>1247189116.25</v>
      </c>
      <c r="M11" s="21">
        <f t="shared" si="0"/>
        <v>4.8287421662629379E-2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11424000</v>
      </c>
      <c r="D12" s="17">
        <v>1142400000</v>
      </c>
      <c r="E12" s="18">
        <v>0</v>
      </c>
      <c r="F12" s="19" t="s">
        <v>88</v>
      </c>
      <c r="G12" s="19" t="s">
        <v>89</v>
      </c>
      <c r="H12" s="18">
        <v>1003902278.4</v>
      </c>
      <c r="I12" s="20">
        <v>95.712400000000002</v>
      </c>
      <c r="J12" s="20">
        <v>95.712400000000002</v>
      </c>
      <c r="K12" s="18"/>
      <c r="L12" s="18">
        <v>1093418457.5999999</v>
      </c>
      <c r="M12" s="21">
        <f t="shared" si="0"/>
        <v>4.233388299168702E-2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1897500</v>
      </c>
      <c r="D13" s="17">
        <v>1897500000</v>
      </c>
      <c r="E13" s="18">
        <v>8.07</v>
      </c>
      <c r="F13" s="19" t="s">
        <v>79</v>
      </c>
      <c r="G13" s="19" t="s">
        <v>91</v>
      </c>
      <c r="H13" s="18">
        <v>1359122325</v>
      </c>
      <c r="I13" s="20">
        <v>61.097700000000003</v>
      </c>
      <c r="J13" s="20">
        <v>64.863700000000009</v>
      </c>
      <c r="K13" s="18">
        <v>71459850</v>
      </c>
      <c r="L13" s="18">
        <v>1230788707.5</v>
      </c>
      <c r="M13" s="21">
        <f t="shared" si="0"/>
        <v>4.7652447028524267E-2</v>
      </c>
      <c r="O13" s="10">
        <v>749863.88888888899</v>
      </c>
    </row>
    <row r="14" spans="1:17" x14ac:dyDescent="0.2">
      <c r="A14" s="15" t="s">
        <v>66</v>
      </c>
      <c r="B14" s="15" t="s">
        <v>76</v>
      </c>
      <c r="C14" s="16">
        <v>1897500</v>
      </c>
      <c r="D14" s="17">
        <v>1897500000</v>
      </c>
      <c r="E14" s="18">
        <v>10.4</v>
      </c>
      <c r="F14" s="19" t="s">
        <v>79</v>
      </c>
      <c r="G14" s="19" t="s">
        <v>92</v>
      </c>
      <c r="H14" s="18">
        <v>1736743800</v>
      </c>
      <c r="I14" s="20">
        <v>87.189400000000006</v>
      </c>
      <c r="J14" s="20">
        <v>92.909400000000005</v>
      </c>
      <c r="K14" s="18">
        <v>108537000</v>
      </c>
      <c r="L14" s="18">
        <v>1762955865</v>
      </c>
      <c r="M14" s="21">
        <f t="shared" si="0"/>
        <v>6.8256363142281007E-2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2391500</v>
      </c>
      <c r="D15" s="17">
        <v>2391500000</v>
      </c>
      <c r="E15" s="18">
        <v>5.3</v>
      </c>
      <c r="F15" s="19" t="s">
        <v>94</v>
      </c>
      <c r="G15" s="19" t="s">
        <v>95</v>
      </c>
      <c r="H15" s="18">
        <v>1903079172</v>
      </c>
      <c r="I15" s="20">
        <v>81.484000000000009</v>
      </c>
      <c r="J15" s="20">
        <v>81.645899999999997</v>
      </c>
      <c r="K15" s="18">
        <v>3872901.3888888899</v>
      </c>
      <c r="L15" s="18">
        <v>1952562761.3888879</v>
      </c>
      <c r="M15" s="21">
        <f t="shared" si="0"/>
        <v>7.5597373448401617E-2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1106600</v>
      </c>
      <c r="D16" s="17">
        <v>1106600000</v>
      </c>
      <c r="E16" s="18">
        <v>5.5</v>
      </c>
      <c r="F16" s="19" t="s">
        <v>97</v>
      </c>
      <c r="G16" s="19" t="s">
        <v>98</v>
      </c>
      <c r="H16" s="18">
        <v>999478906.79999995</v>
      </c>
      <c r="I16" s="20">
        <v>91.69</v>
      </c>
      <c r="J16" s="20">
        <v>92.79</v>
      </c>
      <c r="K16" s="18">
        <v>12172600</v>
      </c>
      <c r="L16" s="18">
        <v>1026814140</v>
      </c>
      <c r="M16" s="21">
        <f t="shared" si="0"/>
        <v>3.9755163592520772E-2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8.4499999999999993</v>
      </c>
      <c r="F17" s="19" t="s">
        <v>79</v>
      </c>
      <c r="G17" s="19" t="s">
        <v>100</v>
      </c>
      <c r="H17" s="18">
        <v>1457889097.496666</v>
      </c>
      <c r="I17" s="20">
        <v>67.745400000000004</v>
      </c>
      <c r="J17" s="20">
        <v>72.299000000000007</v>
      </c>
      <c r="K17" s="18">
        <v>86404770.833333328</v>
      </c>
      <c r="L17" s="18">
        <v>1371873735.833333</v>
      </c>
      <c r="M17" s="21">
        <f t="shared" si="0"/>
        <v>5.3114836143897261E-2</v>
      </c>
      <c r="O17" s="10">
        <v>749863.88888888899</v>
      </c>
    </row>
    <row r="18" spans="1:15" x14ac:dyDescent="0.2">
      <c r="A18" s="15" t="s">
        <v>71</v>
      </c>
      <c r="B18" s="15" t="s">
        <v>101</v>
      </c>
      <c r="C18" s="16">
        <v>992234</v>
      </c>
      <c r="D18" s="17">
        <v>992234000</v>
      </c>
      <c r="E18" s="18">
        <v>14.3</v>
      </c>
      <c r="F18" s="19" t="s">
        <v>102</v>
      </c>
      <c r="G18" s="19" t="s">
        <v>103</v>
      </c>
      <c r="H18" s="18">
        <v>991722999.49000001</v>
      </c>
      <c r="I18" s="20">
        <v>94.351341140000002</v>
      </c>
      <c r="J18" s="20">
        <v>96.615541140000005</v>
      </c>
      <c r="K18" s="18">
        <v>22465831.483333331</v>
      </c>
      <c r="L18" s="18">
        <v>958651917.759992</v>
      </c>
      <c r="M18" s="21">
        <f t="shared" si="0"/>
        <v>3.7116126798596924E-2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897100</v>
      </c>
      <c r="D19" s="17">
        <v>897100000</v>
      </c>
      <c r="E19" s="18">
        <v>17.010000000000002</v>
      </c>
      <c r="F19" s="19" t="s">
        <v>105</v>
      </c>
      <c r="G19" s="19" t="s">
        <v>106</v>
      </c>
      <c r="H19" s="18">
        <v>896985171.20000005</v>
      </c>
      <c r="I19" s="20">
        <v>101.566</v>
      </c>
      <c r="J19" s="20">
        <v>105.48780000000001</v>
      </c>
      <c r="K19" s="18">
        <v>35182019.25</v>
      </c>
      <c r="L19" s="18">
        <v>946330605.25</v>
      </c>
      <c r="M19" s="21">
        <f t="shared" si="0"/>
        <v>3.663908253573811E-2</v>
      </c>
      <c r="O19" s="10">
        <v>749863.88888888899</v>
      </c>
    </row>
    <row r="20" spans="1:15" x14ac:dyDescent="0.2">
      <c r="A20" s="15" t="s">
        <v>66</v>
      </c>
      <c r="B20" s="15" t="s">
        <v>107</v>
      </c>
      <c r="C20" s="16">
        <v>2469500</v>
      </c>
      <c r="D20" s="17">
        <v>2469500000</v>
      </c>
      <c r="E20" s="18">
        <v>7.68</v>
      </c>
      <c r="F20" s="19" t="s">
        <v>108</v>
      </c>
      <c r="G20" s="19" t="s">
        <v>109</v>
      </c>
      <c r="H20" s="18">
        <v>1827657194</v>
      </c>
      <c r="I20" s="20">
        <v>75.2089</v>
      </c>
      <c r="J20" s="20">
        <v>76.851600000000005</v>
      </c>
      <c r="K20" s="18">
        <v>40565653.333333328</v>
      </c>
      <c r="L20" s="18">
        <v>1897849438.833333</v>
      </c>
      <c r="M20" s="21">
        <f t="shared" si="0"/>
        <v>7.3479037710556749E-2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1897500</v>
      </c>
      <c r="D21" s="17">
        <v>1897500000</v>
      </c>
      <c r="E21" s="18">
        <v>10.55</v>
      </c>
      <c r="F21" s="19" t="s">
        <v>79</v>
      </c>
      <c r="G21" s="19" t="s">
        <v>111</v>
      </c>
      <c r="H21" s="18">
        <v>1708326839.9966669</v>
      </c>
      <c r="I21" s="20">
        <v>82.863500000000002</v>
      </c>
      <c r="J21" s="20">
        <v>85.559600000000003</v>
      </c>
      <c r="K21" s="18">
        <v>51158708.333333328</v>
      </c>
      <c r="L21" s="18">
        <v>1623493620.833333</v>
      </c>
      <c r="M21" s="21">
        <f t="shared" si="0"/>
        <v>6.2856803362332986E-2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1897500</v>
      </c>
      <c r="D22" s="17">
        <v>1897500000</v>
      </c>
      <c r="E22" s="18">
        <v>10.3</v>
      </c>
      <c r="F22" s="19" t="s">
        <v>79</v>
      </c>
      <c r="G22" s="19" t="s">
        <v>113</v>
      </c>
      <c r="H22" s="18">
        <v>1645329839.996666</v>
      </c>
      <c r="I22" s="20">
        <v>77.290199999999999</v>
      </c>
      <c r="J22" s="20">
        <v>83.670500000000004</v>
      </c>
      <c r="K22" s="18">
        <v>121065770.833333</v>
      </c>
      <c r="L22" s="18">
        <v>1587647315.833333</v>
      </c>
      <c r="M22" s="21">
        <f t="shared" si="0"/>
        <v>6.1468941953001011E-2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3162500</v>
      </c>
      <c r="D23" s="17">
        <v>3162500000</v>
      </c>
      <c r="E23" s="18">
        <v>5.49</v>
      </c>
      <c r="F23" s="19" t="s">
        <v>79</v>
      </c>
      <c r="G23" s="19" t="s">
        <v>115</v>
      </c>
      <c r="H23" s="18">
        <v>2627740225</v>
      </c>
      <c r="I23" s="20">
        <v>86.263600000000011</v>
      </c>
      <c r="J23" s="20">
        <v>89.511900000000011</v>
      </c>
      <c r="K23" s="18">
        <v>102725906.25</v>
      </c>
      <c r="L23" s="18">
        <v>2830812256.25</v>
      </c>
      <c r="M23" s="21">
        <f t="shared" si="0"/>
        <v>0.10960055959779789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550000</v>
      </c>
      <c r="D24" s="17">
        <v>550000000</v>
      </c>
      <c r="E24" s="18">
        <v>12</v>
      </c>
      <c r="F24" s="19" t="s">
        <v>88</v>
      </c>
      <c r="G24" s="19" t="s">
        <v>117</v>
      </c>
      <c r="H24" s="18">
        <v>491343050</v>
      </c>
      <c r="I24" s="20">
        <v>85.126400000000004</v>
      </c>
      <c r="J24" s="20">
        <v>92.893100000000004</v>
      </c>
      <c r="K24" s="18">
        <v>42716666.666666657</v>
      </c>
      <c r="L24" s="18">
        <v>510911866.66666698</v>
      </c>
      <c r="M24" s="21">
        <f t="shared" si="0"/>
        <v>1.9780975007505749E-2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1062358309.6222219</v>
      </c>
      <c r="L26" s="23">
        <f>SUM(L8:L25)</f>
        <v>25828447104.998878</v>
      </c>
      <c r="M26" s="26">
        <f>SUM(M8:M25)</f>
        <v>1</v>
      </c>
      <c r="N26" s="9">
        <v>25828447104.998878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107850.27</v>
      </c>
    </row>
    <row r="30" spans="1:15" x14ac:dyDescent="0.2">
      <c r="A30" s="29" t="s">
        <v>77</v>
      </c>
      <c r="B30" s="30">
        <v>107850.27</v>
      </c>
      <c r="C30" s="62">
        <v>107850.33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3555418</v>
      </c>
      <c r="D35" s="32" t="s">
        <v>68</v>
      </c>
      <c r="E35" s="34" t="s">
        <v>69</v>
      </c>
      <c r="F35" s="34" t="s">
        <v>70</v>
      </c>
      <c r="G35" s="35">
        <v>631.81399999943699</v>
      </c>
      <c r="H35" s="35">
        <f>J35/C35</f>
        <v>632.11000053158307</v>
      </c>
      <c r="I35" s="36">
        <v>2246362868.249999</v>
      </c>
      <c r="J35" s="36">
        <v>2247415273.8699999</v>
      </c>
      <c r="K35" s="37">
        <v>17.100000000000001</v>
      </c>
      <c r="L35" s="37">
        <v>1052405.6200000001</v>
      </c>
      <c r="M35" s="31">
        <f>I35+L35</f>
        <v>2247415273.8699989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26180</v>
      </c>
      <c r="D36" s="32" t="s">
        <v>68</v>
      </c>
      <c r="E36" s="34" t="s">
        <v>69</v>
      </c>
      <c r="F36" s="34" t="s">
        <v>70</v>
      </c>
      <c r="G36" s="35">
        <v>534.966600076394</v>
      </c>
      <c r="H36" s="35">
        <f>J36/C36</f>
        <v>535.21576394194039</v>
      </c>
      <c r="I36" s="36">
        <v>14005425.589999991</v>
      </c>
      <c r="J36" s="36">
        <v>14011948.699999999</v>
      </c>
      <c r="K36" s="37">
        <v>17.0001</v>
      </c>
      <c r="L36" s="37">
        <v>6523.11</v>
      </c>
      <c r="M36" s="31">
        <f>I36+L36</f>
        <v>14011948.69999999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2089710</v>
      </c>
      <c r="D37" s="32" t="s">
        <v>68</v>
      </c>
      <c r="E37" s="34" t="s">
        <v>70</v>
      </c>
      <c r="F37" s="34" t="s">
        <v>75</v>
      </c>
      <c r="G37" s="35">
        <v>1076.1510000000001</v>
      </c>
      <c r="H37" s="35">
        <f>J37/C37</f>
        <v>1076.6566465011892</v>
      </c>
      <c r="I37" s="36">
        <v>2248843506.21</v>
      </c>
      <c r="J37" s="36">
        <v>2249900160.7600002</v>
      </c>
      <c r="K37" s="37">
        <v>17.150100000000002</v>
      </c>
      <c r="L37" s="37"/>
      <c r="M37" s="31">
        <f>I37+L37</f>
        <v>2248843506.21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76</v>
      </c>
      <c r="C38" s="33">
        <v>14001</v>
      </c>
      <c r="D38" s="32" t="s">
        <v>68</v>
      </c>
      <c r="E38" s="34" t="s">
        <v>70</v>
      </c>
      <c r="F38" s="34" t="s">
        <v>75</v>
      </c>
      <c r="G38" s="35">
        <v>929.09399971430605</v>
      </c>
      <c r="H38" s="35">
        <f>J38/C38</f>
        <v>929.53057210199268</v>
      </c>
      <c r="I38" s="36">
        <v>13008245.09</v>
      </c>
      <c r="J38" s="36">
        <v>13014357.539999999</v>
      </c>
      <c r="K38" s="37">
        <v>17.151</v>
      </c>
      <c r="L38" s="37"/>
      <c r="M38" s="31">
        <f>I38+L38</f>
        <v>13008245.09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2261851751.3000002</v>
      </c>
      <c r="N40" s="65">
        <v>2261851751.3000002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L26+B30+M40</f>
        <v>28090406706.568878</v>
      </c>
      <c r="C47" s="62">
        <v>28090406706.62888</v>
      </c>
      <c r="D47" s="62">
        <f>__mdDATAItogoActive__-C47</f>
        <v>-6.0001373291015625E-2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-2.56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63000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G65" s="5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97962.9</v>
      </c>
      <c r="D67" s="57"/>
      <c r="O67" s="9"/>
    </row>
    <row r="68" spans="1:15" x14ac:dyDescent="0.2">
      <c r="A68" s="24">
        <v>7</v>
      </c>
      <c r="B68" s="55" t="s">
        <v>59</v>
      </c>
      <c r="C68" s="57">
        <v>49494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210454.34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30.10.2025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99.434100000000001</v>
      </c>
      <c r="G4" s="5">
        <v>99.434100000000001</v>
      </c>
      <c r="H4" s="5">
        <v>15.98</v>
      </c>
      <c r="I4" s="5">
        <v>14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9490.25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125</v>
      </c>
      <c r="E6" s="4" t="s">
        <v>130</v>
      </c>
      <c r="F6" s="4">
        <v>1435.27</v>
      </c>
      <c r="G6" s="5"/>
      <c r="H6" s="5"/>
      <c r="I6" s="5"/>
      <c r="J6" s="4" t="s">
        <v>127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125</v>
      </c>
      <c r="E7" s="4" t="s">
        <v>133</v>
      </c>
      <c r="F7" s="4">
        <v>590257.49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125</v>
      </c>
      <c r="E8" s="4" t="s">
        <v>133</v>
      </c>
      <c r="F8" s="4">
        <v>6301.35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120</v>
      </c>
      <c r="E9" s="4" t="s">
        <v>133</v>
      </c>
      <c r="F9" s="4">
        <v>0.95142799999999994</v>
      </c>
      <c r="G9" s="5">
        <v>95.3185</v>
      </c>
      <c r="H9" s="5">
        <v>6.16</v>
      </c>
      <c r="I9" s="5">
        <v>7842</v>
      </c>
      <c r="J9" s="4" t="s">
        <v>122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125</v>
      </c>
      <c r="E10" s="4" t="s">
        <v>133</v>
      </c>
      <c r="F10" s="4">
        <v>168.97</v>
      </c>
      <c r="G10" s="5"/>
      <c r="H10" s="5"/>
      <c r="I10" s="5"/>
      <c r="J10" s="4" t="s">
        <v>127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133</v>
      </c>
      <c r="F11" s="4">
        <v>5523.73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133</v>
      </c>
      <c r="F12" s="4">
        <v>6081486.5099999998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133</v>
      </c>
      <c r="F13" s="4">
        <v>130.1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120</v>
      </c>
      <c r="E14" s="4" t="s">
        <v>133</v>
      </c>
      <c r="F14" s="4">
        <v>0.90969599999999995</v>
      </c>
      <c r="G14" s="5">
        <v>91.125200000000007</v>
      </c>
      <c r="H14" s="5">
        <v>4.96</v>
      </c>
      <c r="I14" s="5">
        <v>2724</v>
      </c>
      <c r="J14" s="4" t="s">
        <v>122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125</v>
      </c>
      <c r="E15" s="4" t="s">
        <v>133</v>
      </c>
      <c r="F15" s="4">
        <v>1177.49</v>
      </c>
      <c r="G15" s="5"/>
      <c r="H15" s="5"/>
      <c r="I15" s="5"/>
      <c r="J15" s="4" t="s">
        <v>150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125</v>
      </c>
      <c r="E16" s="4" t="s">
        <v>133</v>
      </c>
      <c r="F16" s="4">
        <v>1078.98</v>
      </c>
      <c r="G16" s="5"/>
      <c r="H16" s="5"/>
      <c r="I16" s="5"/>
      <c r="J16" s="4" t="s">
        <v>150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125</v>
      </c>
      <c r="E17" s="4" t="s">
        <v>133</v>
      </c>
      <c r="F17" s="4">
        <v>1816416.53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125</v>
      </c>
      <c r="E18" s="4" t="s">
        <v>133</v>
      </c>
      <c r="F18" s="4">
        <v>74221.180000000008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125</v>
      </c>
      <c r="E19" s="4" t="s">
        <v>133</v>
      </c>
      <c r="F19" s="4">
        <v>74984.13</v>
      </c>
      <c r="G19" s="5"/>
      <c r="H19" s="5"/>
      <c r="I19" s="5"/>
      <c r="J19" s="4" t="s">
        <v>127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125</v>
      </c>
      <c r="E20" s="4" t="s">
        <v>133</v>
      </c>
      <c r="F20" s="4">
        <v>53448.46</v>
      </c>
      <c r="G20" s="5"/>
      <c r="H20" s="5"/>
      <c r="I20" s="5"/>
      <c r="J20" s="4" t="s">
        <v>127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125</v>
      </c>
      <c r="E21" s="4" t="s">
        <v>133</v>
      </c>
      <c r="F21" s="4">
        <v>7.15</v>
      </c>
      <c r="G21" s="5"/>
      <c r="H21" s="5"/>
      <c r="I21" s="5"/>
      <c r="J21" s="4" t="s">
        <v>127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120</v>
      </c>
      <c r="E22" s="4" t="s">
        <v>133</v>
      </c>
      <c r="F22" s="4">
        <v>1000</v>
      </c>
      <c r="G22" s="5">
        <v>107.9182</v>
      </c>
      <c r="H22" s="5">
        <v>17.580000000000002</v>
      </c>
      <c r="I22" s="5">
        <v>1116</v>
      </c>
      <c r="J22" s="4" t="s">
        <v>122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120</v>
      </c>
      <c r="E23" s="4" t="s">
        <v>133</v>
      </c>
      <c r="F23" s="4">
        <v>1000.494</v>
      </c>
      <c r="G23" s="5">
        <v>101.08499999999999</v>
      </c>
      <c r="H23" s="5">
        <v>21.9</v>
      </c>
      <c r="I23" s="5">
        <v>16</v>
      </c>
      <c r="J23" s="4" t="s">
        <v>122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120</v>
      </c>
      <c r="E24" s="4" t="s">
        <v>133</v>
      </c>
      <c r="F24" s="4">
        <v>1000</v>
      </c>
      <c r="G24" s="5">
        <v>100.7732</v>
      </c>
      <c r="H24" s="5">
        <v>17.38</v>
      </c>
      <c r="I24" s="5">
        <v>715</v>
      </c>
      <c r="J24" s="4" t="s">
        <v>122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120</v>
      </c>
      <c r="E25" s="4" t="s">
        <v>133</v>
      </c>
      <c r="F25" s="4">
        <v>1000</v>
      </c>
      <c r="G25" s="5">
        <v>105.2894</v>
      </c>
      <c r="H25" s="5">
        <v>17.77</v>
      </c>
      <c r="I25" s="5">
        <v>1902</v>
      </c>
      <c r="J25" s="4" t="s">
        <v>122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120</v>
      </c>
      <c r="E26" s="4" t="s">
        <v>133</v>
      </c>
      <c r="F26" s="4">
        <v>1000</v>
      </c>
      <c r="G26" s="5">
        <v>102.8019</v>
      </c>
      <c r="H26" s="5">
        <v>17.670000000000002</v>
      </c>
      <c r="I26" s="5">
        <v>1586</v>
      </c>
      <c r="J26" s="4" t="s">
        <v>122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125</v>
      </c>
      <c r="E27" s="4" t="s">
        <v>133</v>
      </c>
      <c r="F27" s="4">
        <v>1505.82</v>
      </c>
      <c r="G27" s="5"/>
      <c r="H27" s="5"/>
      <c r="I27" s="5"/>
      <c r="J27" s="4" t="s">
        <v>127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120</v>
      </c>
      <c r="E28" s="4" t="s">
        <v>133</v>
      </c>
      <c r="F28" s="4">
        <v>497636.5</v>
      </c>
      <c r="G28" s="5">
        <v>100.1537</v>
      </c>
      <c r="H28" s="5">
        <v>21.2</v>
      </c>
      <c r="I28" s="5">
        <v>263</v>
      </c>
      <c r="J28" s="4" t="s">
        <v>122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120</v>
      </c>
      <c r="E29" s="4" t="s">
        <v>133</v>
      </c>
      <c r="F29" s="4">
        <v>499963.5</v>
      </c>
      <c r="G29" s="5">
        <v>102.80380000000001</v>
      </c>
      <c r="H29" s="5">
        <v>21.75</v>
      </c>
      <c r="I29" s="5">
        <v>46</v>
      </c>
      <c r="J29" s="4" t="s">
        <v>122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120</v>
      </c>
      <c r="E30" s="4" t="s">
        <v>133</v>
      </c>
      <c r="F30" s="4">
        <v>1012.1030000000001</v>
      </c>
      <c r="G30" s="5">
        <v>103.91860000000001</v>
      </c>
      <c r="H30" s="5">
        <v>5.99</v>
      </c>
      <c r="I30" s="5">
        <v>944</v>
      </c>
      <c r="J30" s="4" t="s">
        <v>122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120</v>
      </c>
      <c r="E31" s="4" t="s">
        <v>133</v>
      </c>
      <c r="F31" s="4">
        <v>999.97500000000002</v>
      </c>
      <c r="G31" s="5">
        <v>100.38080000000001</v>
      </c>
      <c r="H31" s="5">
        <v>23</v>
      </c>
      <c r="I31" s="5">
        <v>1091</v>
      </c>
      <c r="J31" s="4" t="s">
        <v>122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120</v>
      </c>
      <c r="E32" s="4" t="s">
        <v>133</v>
      </c>
      <c r="F32" s="4">
        <v>99.998900000000006</v>
      </c>
      <c r="G32" s="5">
        <v>100.3045</v>
      </c>
      <c r="H32" s="5">
        <v>11</v>
      </c>
      <c r="I32" s="5">
        <v>660</v>
      </c>
      <c r="J32" s="4" t="s">
        <v>122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120</v>
      </c>
      <c r="E33" s="4" t="s">
        <v>133</v>
      </c>
      <c r="F33" s="4">
        <v>101.94110000000001</v>
      </c>
      <c r="G33" s="5">
        <v>105.69110000000001</v>
      </c>
      <c r="H33" s="5">
        <v>5.48</v>
      </c>
      <c r="I33" s="5">
        <v>367</v>
      </c>
      <c r="J33" s="4" t="s">
        <v>122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120</v>
      </c>
      <c r="E34" s="4" t="s">
        <v>133</v>
      </c>
      <c r="F34" s="4">
        <v>984.66200000000003</v>
      </c>
      <c r="G34" s="5">
        <v>107.0912</v>
      </c>
      <c r="H34" s="5">
        <v>19.010000000000002</v>
      </c>
      <c r="I34" s="5">
        <v>367</v>
      </c>
      <c r="J34" s="4" t="s">
        <v>122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120</v>
      </c>
      <c r="E35" s="4" t="s">
        <v>133</v>
      </c>
      <c r="F35" s="4">
        <v>874.60800000000006</v>
      </c>
      <c r="G35" s="5">
        <v>88.316400000000002</v>
      </c>
      <c r="H35" s="5">
        <v>32.42</v>
      </c>
      <c r="I35" s="5">
        <v>564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120</v>
      </c>
      <c r="E36" s="4" t="s">
        <v>133</v>
      </c>
      <c r="F36" s="4">
        <v>94.54</v>
      </c>
      <c r="G36" s="5">
        <v>95.006700000000009</v>
      </c>
      <c r="H36" s="5">
        <v>16.010000000000002</v>
      </c>
      <c r="I36" s="5">
        <v>564</v>
      </c>
      <c r="J36" s="4" t="s">
        <v>122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120</v>
      </c>
      <c r="E37" s="4" t="s">
        <v>133</v>
      </c>
      <c r="F37" s="4">
        <v>495776.5</v>
      </c>
      <c r="G37" s="5">
        <v>100.03030000000001</v>
      </c>
      <c r="H37" s="5">
        <v>21.59</v>
      </c>
      <c r="I37" s="5">
        <v>624</v>
      </c>
      <c r="J37" s="4" t="s">
        <v>122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120</v>
      </c>
      <c r="E38" s="4" t="s">
        <v>133</v>
      </c>
      <c r="F38" s="4">
        <v>99.970300000000009</v>
      </c>
      <c r="G38" s="5">
        <v>101.68140000000001</v>
      </c>
      <c r="H38" s="5">
        <v>11</v>
      </c>
      <c r="I38" s="5">
        <v>310</v>
      </c>
      <c r="J38" s="4" t="s">
        <v>122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120</v>
      </c>
      <c r="E39" s="4" t="s">
        <v>133</v>
      </c>
      <c r="F39" s="4">
        <v>982.5</v>
      </c>
      <c r="G39" s="5">
        <v>98.25</v>
      </c>
      <c r="H39" s="5">
        <v>22.98</v>
      </c>
      <c r="I39" s="5">
        <v>366</v>
      </c>
      <c r="J39" s="4" t="s">
        <v>122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120</v>
      </c>
      <c r="E40" s="4" t="s">
        <v>133</v>
      </c>
      <c r="F40" s="4">
        <v>877.77600000000007</v>
      </c>
      <c r="G40" s="5">
        <v>88.379800000000003</v>
      </c>
      <c r="H40" s="5">
        <v>28.3</v>
      </c>
      <c r="I40" s="5">
        <v>965</v>
      </c>
      <c r="J40" s="4" t="s">
        <v>122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120</v>
      </c>
      <c r="E41" s="4" t="s">
        <v>133</v>
      </c>
      <c r="F41" s="4">
        <v>999.99</v>
      </c>
      <c r="G41" s="5">
        <v>101.4657</v>
      </c>
      <c r="H41" s="5">
        <v>22</v>
      </c>
      <c r="I41" s="5">
        <v>707</v>
      </c>
      <c r="J41" s="4" t="s">
        <v>122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120</v>
      </c>
      <c r="E42" s="4" t="s">
        <v>133</v>
      </c>
      <c r="F42" s="4">
        <v>785.45500000000004</v>
      </c>
      <c r="G42" s="5">
        <v>80.073300000000003</v>
      </c>
      <c r="H42" s="5">
        <v>39.69</v>
      </c>
      <c r="I42" s="5">
        <v>614</v>
      </c>
      <c r="J42" s="4" t="s">
        <v>122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120</v>
      </c>
      <c r="E43" s="4" t="s">
        <v>133</v>
      </c>
      <c r="F43" s="4">
        <v>991.14400000000001</v>
      </c>
      <c r="G43" s="5">
        <v>100.74770000000001</v>
      </c>
      <c r="H43" s="5">
        <v>22.05</v>
      </c>
      <c r="I43" s="5">
        <v>338</v>
      </c>
      <c r="J43" s="4" t="s">
        <v>122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120</v>
      </c>
      <c r="E44" s="4" t="s">
        <v>133</v>
      </c>
      <c r="F44" s="4">
        <v>964.30700000000002</v>
      </c>
      <c r="G44" s="5">
        <v>96.90570000000001</v>
      </c>
      <c r="H44" s="5">
        <v>23.12</v>
      </c>
      <c r="I44" s="5">
        <v>357</v>
      </c>
      <c r="J44" s="4" t="s">
        <v>122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120</v>
      </c>
      <c r="E45" s="4" t="s">
        <v>133</v>
      </c>
      <c r="F45" s="4">
        <v>955.71100000000001</v>
      </c>
      <c r="G45" s="5">
        <v>95.676700000000011</v>
      </c>
      <c r="H45" s="5">
        <v>21.51</v>
      </c>
      <c r="I45" s="5">
        <v>821</v>
      </c>
      <c r="J45" s="4" t="s">
        <v>122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120</v>
      </c>
      <c r="E46" s="4" t="s">
        <v>133</v>
      </c>
      <c r="F46" s="4">
        <v>992.19200000000001</v>
      </c>
      <c r="G46" s="5">
        <v>100.2692</v>
      </c>
      <c r="H46" s="5">
        <v>21.42</v>
      </c>
      <c r="I46" s="5">
        <v>865</v>
      </c>
      <c r="J46" s="4" t="s">
        <v>122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120</v>
      </c>
      <c r="E47" s="4" t="s">
        <v>133</v>
      </c>
      <c r="F47" s="4">
        <v>1004.378</v>
      </c>
      <c r="G47" s="5">
        <v>108.617</v>
      </c>
      <c r="H47" s="5">
        <v>19.12</v>
      </c>
      <c r="I47" s="5">
        <v>577</v>
      </c>
      <c r="J47" s="4" t="s">
        <v>122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120</v>
      </c>
      <c r="E48" s="4" t="s">
        <v>133</v>
      </c>
      <c r="F48" s="4">
        <v>98.458500000000001</v>
      </c>
      <c r="G48" s="5">
        <v>98.791800000000009</v>
      </c>
      <c r="H48" s="5">
        <v>11.21</v>
      </c>
      <c r="I48" s="5">
        <v>505</v>
      </c>
      <c r="J48" s="4" t="s">
        <v>122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120</v>
      </c>
      <c r="E49" s="4" t="s">
        <v>133</v>
      </c>
      <c r="F49" s="4">
        <v>1000</v>
      </c>
      <c r="G49" s="5">
        <v>104.31110000000001</v>
      </c>
      <c r="H49" s="5">
        <v>17.07</v>
      </c>
      <c r="I49" s="5">
        <v>1370</v>
      </c>
      <c r="J49" s="4" t="s">
        <v>122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120</v>
      </c>
      <c r="E50" s="4" t="s">
        <v>133</v>
      </c>
      <c r="F50" s="4">
        <v>999.95</v>
      </c>
      <c r="G50" s="5">
        <v>100.38390000000001</v>
      </c>
      <c r="H50" s="5">
        <v>10</v>
      </c>
      <c r="I50" s="5">
        <v>352</v>
      </c>
      <c r="J50" s="4" t="s">
        <v>122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120</v>
      </c>
      <c r="E51" s="4" t="s">
        <v>133</v>
      </c>
      <c r="F51" s="4">
        <v>1004.456</v>
      </c>
      <c r="G51" s="5">
        <v>101.38850000000001</v>
      </c>
      <c r="H51" s="5">
        <v>22.32</v>
      </c>
      <c r="I51" s="5">
        <v>655</v>
      </c>
      <c r="J51" s="4" t="s">
        <v>122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120</v>
      </c>
      <c r="E52" s="4" t="s">
        <v>133</v>
      </c>
      <c r="F52" s="4">
        <v>988.221</v>
      </c>
      <c r="G52" s="5">
        <v>99.044300000000007</v>
      </c>
      <c r="H52" s="5">
        <v>22.56</v>
      </c>
      <c r="I52" s="5">
        <v>179</v>
      </c>
      <c r="J52" s="4" t="s">
        <v>122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120</v>
      </c>
      <c r="E53" s="4" t="s">
        <v>133</v>
      </c>
      <c r="F53" s="4">
        <v>1013.042</v>
      </c>
      <c r="G53" s="5">
        <v>103.1717</v>
      </c>
      <c r="H53" s="5">
        <v>21.72</v>
      </c>
      <c r="I53" s="5">
        <v>884</v>
      </c>
      <c r="J53" s="4" t="s">
        <v>122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120</v>
      </c>
      <c r="E54" s="4" t="s">
        <v>133</v>
      </c>
      <c r="F54" s="4">
        <v>79.50500000000001</v>
      </c>
      <c r="G54" s="5">
        <v>80.727200000000011</v>
      </c>
      <c r="H54" s="5">
        <v>82.15</v>
      </c>
      <c r="I54" s="5">
        <v>142</v>
      </c>
      <c r="J54" s="4" t="s">
        <v>122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125</v>
      </c>
      <c r="E55" s="4" t="s">
        <v>133</v>
      </c>
      <c r="F55" s="4">
        <v>101.35</v>
      </c>
      <c r="G55" s="5"/>
      <c r="H55" s="5"/>
      <c r="I55" s="5"/>
      <c r="J55" s="4" t="s">
        <v>150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120</v>
      </c>
      <c r="E56" s="4" t="s">
        <v>133</v>
      </c>
      <c r="F56" s="4">
        <v>972.97500000000002</v>
      </c>
      <c r="G56" s="5">
        <v>97.414200000000008</v>
      </c>
      <c r="H56" s="5">
        <v>22.46</v>
      </c>
      <c r="I56" s="5">
        <v>881</v>
      </c>
      <c r="J56" s="4" t="s">
        <v>122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120</v>
      </c>
      <c r="E57" s="4" t="s">
        <v>133</v>
      </c>
      <c r="F57" s="4">
        <v>968.85300000000007</v>
      </c>
      <c r="G57" s="5">
        <v>97.118600000000001</v>
      </c>
      <c r="H57" s="5">
        <v>23.28</v>
      </c>
      <c r="I57" s="5">
        <v>605</v>
      </c>
      <c r="J57" s="4" t="s">
        <v>122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120</v>
      </c>
      <c r="E58" s="4" t="s">
        <v>133</v>
      </c>
      <c r="F58" s="4">
        <v>961.12400000000002</v>
      </c>
      <c r="G58" s="5">
        <v>96.601300000000009</v>
      </c>
      <c r="H58" s="5">
        <v>24.79</v>
      </c>
      <c r="I58" s="5">
        <v>631</v>
      </c>
      <c r="J58" s="4" t="s">
        <v>122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120</v>
      </c>
      <c r="E59" s="4" t="s">
        <v>133</v>
      </c>
      <c r="F59" s="4">
        <v>827.2</v>
      </c>
      <c r="G59" s="5">
        <v>84.25330000000001</v>
      </c>
      <c r="H59" s="5">
        <v>99.34</v>
      </c>
      <c r="I59" s="5">
        <v>100</v>
      </c>
      <c r="J59" s="4" t="s">
        <v>122</v>
      </c>
    </row>
    <row r="60" spans="1:10" x14ac:dyDescent="0.25">
      <c r="A60" s="4">
        <f t="shared" ca="1" si="1"/>
        <v>57</v>
      </c>
      <c r="B60" s="4" t="s">
        <v>239</v>
      </c>
      <c r="C60" s="4" t="s">
        <v>240</v>
      </c>
      <c r="D60" s="4" t="s">
        <v>120</v>
      </c>
      <c r="E60" s="4" t="s">
        <v>133</v>
      </c>
      <c r="F60" s="4">
        <v>993.01</v>
      </c>
      <c r="G60" s="5">
        <v>100.46210000000001</v>
      </c>
      <c r="H60" s="5">
        <v>22.48</v>
      </c>
      <c r="I60" s="5">
        <v>651</v>
      </c>
      <c r="J60" s="4" t="s">
        <v>122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120</v>
      </c>
      <c r="E61" s="4" t="s">
        <v>133</v>
      </c>
      <c r="F61" s="4">
        <v>988.77</v>
      </c>
      <c r="G61" s="5">
        <v>100.58810000000001</v>
      </c>
      <c r="H61" s="5">
        <v>22.81</v>
      </c>
      <c r="I61" s="5">
        <v>611</v>
      </c>
      <c r="J61" s="4" t="s">
        <v>122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120</v>
      </c>
      <c r="E62" s="4" t="s">
        <v>133</v>
      </c>
      <c r="F62" s="4">
        <v>985.96300000000008</v>
      </c>
      <c r="G62" s="5">
        <v>106.6657</v>
      </c>
      <c r="H62" s="5">
        <v>19.02</v>
      </c>
      <c r="I62" s="5">
        <v>381</v>
      </c>
      <c r="J62" s="4" t="s">
        <v>122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120</v>
      </c>
      <c r="E63" s="4" t="s">
        <v>133</v>
      </c>
      <c r="F63" s="4">
        <v>9.9154599999999995</v>
      </c>
      <c r="G63" s="5">
        <v>99.682400000000001</v>
      </c>
      <c r="H63" s="5">
        <v>10.5</v>
      </c>
      <c r="I63" s="5">
        <v>682</v>
      </c>
      <c r="J63" s="4" t="s">
        <v>122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120</v>
      </c>
      <c r="E64" s="4" t="s">
        <v>133</v>
      </c>
      <c r="F64" s="4">
        <v>958.72700000000009</v>
      </c>
      <c r="G64" s="5">
        <v>96.106000000000009</v>
      </c>
      <c r="H64" s="5">
        <v>23.09</v>
      </c>
      <c r="I64" s="5">
        <v>971</v>
      </c>
      <c r="J64" s="4" t="s">
        <v>122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120</v>
      </c>
      <c r="E65" s="4" t="s">
        <v>133</v>
      </c>
      <c r="F65" s="4">
        <v>1003.139</v>
      </c>
      <c r="G65" s="5">
        <v>102.7056</v>
      </c>
      <c r="H65" s="5">
        <v>20.23</v>
      </c>
      <c r="I65" s="5">
        <v>689</v>
      </c>
      <c r="J65" s="4" t="s">
        <v>122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125</v>
      </c>
      <c r="E66" s="4" t="s">
        <v>253</v>
      </c>
      <c r="F66" s="4">
        <v>39014.200000000004</v>
      </c>
      <c r="G66" s="5"/>
      <c r="H66" s="5"/>
      <c r="I66" s="5"/>
      <c r="J66" s="4" t="s">
        <v>127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125</v>
      </c>
      <c r="E67" s="4" t="s">
        <v>253</v>
      </c>
      <c r="F67" s="4">
        <v>30136</v>
      </c>
      <c r="G67" s="5"/>
      <c r="H67" s="5"/>
      <c r="I67" s="5"/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120</v>
      </c>
      <c r="E68" s="4" t="s">
        <v>258</v>
      </c>
      <c r="F68" s="4">
        <v>16581.2</v>
      </c>
      <c r="G68" s="5">
        <v>1658.124</v>
      </c>
      <c r="H68" s="5"/>
      <c r="I68" s="5">
        <v>148</v>
      </c>
      <c r="J68" s="4" t="s">
        <v>122</v>
      </c>
    </row>
    <row r="69" spans="1:10" x14ac:dyDescent="0.25">
      <c r="A69" s="4">
        <f t="shared" ca="1" si="2"/>
        <v>66</v>
      </c>
      <c r="B69" s="4" t="s">
        <v>259</v>
      </c>
      <c r="C69" s="4" t="s">
        <v>260</v>
      </c>
      <c r="D69" s="4" t="s">
        <v>125</v>
      </c>
      <c r="E69" s="4" t="s">
        <v>261</v>
      </c>
      <c r="F69" s="4">
        <v>22178.880000000001</v>
      </c>
      <c r="G69" s="5"/>
      <c r="H69" s="5"/>
      <c r="I69" s="5"/>
      <c r="J69" s="4" t="s">
        <v>127</v>
      </c>
    </row>
    <row r="70" spans="1:10" x14ac:dyDescent="0.25">
      <c r="A70" s="4">
        <f t="shared" ca="1" si="2"/>
        <v>67</v>
      </c>
      <c r="B70" s="4" t="s">
        <v>262</v>
      </c>
      <c r="C70" s="4" t="s">
        <v>263</v>
      </c>
      <c r="D70" s="4" t="s">
        <v>120</v>
      </c>
      <c r="E70" s="4" t="s">
        <v>261</v>
      </c>
      <c r="F70" s="4">
        <v>1.0145849999999998</v>
      </c>
      <c r="G70" s="5">
        <v>101.54810000000001</v>
      </c>
      <c r="H70" s="5">
        <v>5.01</v>
      </c>
      <c r="I70" s="5">
        <v>1638</v>
      </c>
      <c r="J70" s="4" t="s">
        <v>122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120</v>
      </c>
      <c r="E71" s="4" t="s">
        <v>261</v>
      </c>
      <c r="F71" s="4">
        <v>1000.47</v>
      </c>
      <c r="G71" s="5">
        <v>100.1532</v>
      </c>
      <c r="H71" s="5">
        <v>6.37</v>
      </c>
      <c r="I71" s="5">
        <v>8396</v>
      </c>
      <c r="J71" s="4" t="s">
        <v>122</v>
      </c>
    </row>
    <row r="72" spans="1:10" x14ac:dyDescent="0.25">
      <c r="A72" s="4">
        <f t="shared" ca="1" si="2"/>
        <v>69</v>
      </c>
      <c r="B72" s="4" t="s">
        <v>266</v>
      </c>
      <c r="C72" s="4" t="s">
        <v>267</v>
      </c>
      <c r="D72" s="4" t="s">
        <v>125</v>
      </c>
      <c r="E72" s="4" t="s">
        <v>268</v>
      </c>
      <c r="F72" s="4">
        <v>3378.76</v>
      </c>
      <c r="G72" s="5"/>
      <c r="H72" s="5"/>
      <c r="I72" s="5"/>
      <c r="J72" s="4" t="s">
        <v>127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120</v>
      </c>
      <c r="E73" s="4" t="s">
        <v>271</v>
      </c>
      <c r="F73" s="4">
        <v>0.97117199999999992</v>
      </c>
      <c r="G73" s="5">
        <v>97.12830000000001</v>
      </c>
      <c r="H73" s="5">
        <v>5.01</v>
      </c>
      <c r="I73" s="5">
        <v>364</v>
      </c>
      <c r="J73" s="4" t="s">
        <v>122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125</v>
      </c>
      <c r="E74" s="4" t="s">
        <v>274</v>
      </c>
      <c r="F74" s="4">
        <v>7677.65</v>
      </c>
      <c r="G74" s="5"/>
      <c r="H74" s="5"/>
      <c r="I74" s="5"/>
      <c r="J74" s="4" t="s">
        <v>127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125</v>
      </c>
      <c r="E75" s="4" t="s">
        <v>274</v>
      </c>
      <c r="F75" s="4">
        <v>4562.3599999999997</v>
      </c>
      <c r="G75" s="5"/>
      <c r="H75" s="5"/>
      <c r="I75" s="5"/>
      <c r="J75" s="4" t="s">
        <v>127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120</v>
      </c>
      <c r="E76" s="4" t="s">
        <v>279</v>
      </c>
      <c r="F76" s="4">
        <v>966.00800000000004</v>
      </c>
      <c r="G76" s="5">
        <v>99.777100000000004</v>
      </c>
      <c r="H76" s="5">
        <v>19.990000000000002</v>
      </c>
      <c r="I76" s="5">
        <v>851</v>
      </c>
      <c r="J76" s="4" t="s">
        <v>122</v>
      </c>
    </row>
    <row r="77" spans="1:10" x14ac:dyDescent="0.25">
      <c r="A77" s="4">
        <f t="shared" ca="1" si="2"/>
        <v>74</v>
      </c>
      <c r="B77" s="4" t="s">
        <v>280</v>
      </c>
      <c r="C77" s="4" t="s">
        <v>281</v>
      </c>
      <c r="D77" s="4" t="s">
        <v>120</v>
      </c>
      <c r="E77" s="4" t="s">
        <v>279</v>
      </c>
      <c r="F77" s="4">
        <v>100.0181</v>
      </c>
      <c r="G77" s="5">
        <v>100.77370000000001</v>
      </c>
      <c r="H77" s="5">
        <v>7.99</v>
      </c>
      <c r="I77" s="5">
        <v>788</v>
      </c>
      <c r="J77" s="4" t="s">
        <v>122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120</v>
      </c>
      <c r="E78" s="4" t="s">
        <v>66</v>
      </c>
      <c r="F78" s="4">
        <v>1000</v>
      </c>
      <c r="G78" s="5">
        <v>110.85420000000001</v>
      </c>
      <c r="H78" s="5">
        <v>12.98</v>
      </c>
      <c r="I78" s="5">
        <v>1158</v>
      </c>
      <c r="J78" s="4" t="s">
        <v>122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120</v>
      </c>
      <c r="E79" s="4" t="s">
        <v>66</v>
      </c>
      <c r="F79" s="4">
        <v>1000</v>
      </c>
      <c r="G79" s="5">
        <v>102.27940000000001</v>
      </c>
      <c r="H79" s="5">
        <v>12.99</v>
      </c>
      <c r="I79" s="5">
        <v>1398</v>
      </c>
      <c r="J79" s="4" t="s">
        <v>122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120</v>
      </c>
      <c r="E80" s="4" t="s">
        <v>66</v>
      </c>
      <c r="F80" s="4">
        <v>1000</v>
      </c>
      <c r="G80" s="5">
        <v>105.49940000000001</v>
      </c>
      <c r="H80" s="5">
        <v>12.67</v>
      </c>
      <c r="I80" s="5">
        <v>211</v>
      </c>
      <c r="J80" s="4" t="s">
        <v>122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120</v>
      </c>
      <c r="E81" s="4" t="s">
        <v>66</v>
      </c>
      <c r="F81" s="4">
        <v>1000</v>
      </c>
      <c r="G81" s="5">
        <v>103.25630000000001</v>
      </c>
      <c r="H81" s="5">
        <v>12.81</v>
      </c>
      <c r="I81" s="5">
        <v>274</v>
      </c>
      <c r="J81" s="4" t="s">
        <v>122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120</v>
      </c>
      <c r="E82" s="4" t="s">
        <v>66</v>
      </c>
      <c r="F82" s="4">
        <v>1000</v>
      </c>
      <c r="G82" s="5">
        <v>106.54870000000001</v>
      </c>
      <c r="H82" s="5">
        <v>12.87</v>
      </c>
      <c r="I82" s="5">
        <v>547</v>
      </c>
      <c r="J82" s="4" t="s">
        <v>122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120</v>
      </c>
      <c r="E83" s="4" t="s">
        <v>66</v>
      </c>
      <c r="F83" s="4">
        <v>1000</v>
      </c>
      <c r="G83" s="5">
        <v>104.37780000000001</v>
      </c>
      <c r="H83" s="5">
        <v>12.9</v>
      </c>
      <c r="I83" s="5">
        <v>608</v>
      </c>
      <c r="J83" s="4" t="s">
        <v>122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120</v>
      </c>
      <c r="E84" s="4" t="s">
        <v>66</v>
      </c>
      <c r="F84" s="4">
        <v>1000</v>
      </c>
      <c r="G84" s="5">
        <v>112.0843</v>
      </c>
      <c r="H84" s="5">
        <v>12.99</v>
      </c>
      <c r="I84" s="5">
        <v>758</v>
      </c>
      <c r="J84" s="4" t="s">
        <v>122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120</v>
      </c>
      <c r="E85" s="4" t="s">
        <v>66</v>
      </c>
      <c r="F85" s="4">
        <v>1000</v>
      </c>
      <c r="G85" s="5">
        <v>102.27940000000001</v>
      </c>
      <c r="H85" s="5">
        <v>12.98</v>
      </c>
      <c r="I85" s="5">
        <v>1033</v>
      </c>
      <c r="J85" s="4" t="s">
        <v>122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120</v>
      </c>
      <c r="E86" s="4" t="s">
        <v>66</v>
      </c>
      <c r="F86" s="4">
        <v>1000</v>
      </c>
      <c r="G86" s="5">
        <v>109.84110000000001</v>
      </c>
      <c r="H86" s="5">
        <v>12.98</v>
      </c>
      <c r="I86" s="5">
        <v>1552</v>
      </c>
      <c r="J86" s="4" t="s">
        <v>122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120</v>
      </c>
      <c r="E87" s="4" t="s">
        <v>66</v>
      </c>
      <c r="F87" s="4">
        <v>994.44800000000009</v>
      </c>
      <c r="G87" s="5">
        <v>104.2226</v>
      </c>
      <c r="H87" s="5">
        <v>18.2</v>
      </c>
      <c r="I87" s="5">
        <v>18</v>
      </c>
      <c r="J87" s="4" t="s">
        <v>122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120</v>
      </c>
      <c r="E88" s="4" t="s">
        <v>66</v>
      </c>
      <c r="F88" s="4">
        <v>888.35</v>
      </c>
      <c r="G88" s="5">
        <v>93.515600000000006</v>
      </c>
      <c r="H88" s="5">
        <v>17.350000000000001</v>
      </c>
      <c r="I88" s="5">
        <v>390</v>
      </c>
      <c r="J88" s="4" t="s">
        <v>122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120</v>
      </c>
      <c r="E89" s="4" t="s">
        <v>66</v>
      </c>
      <c r="F89" s="4">
        <v>1000</v>
      </c>
      <c r="G89" s="5">
        <v>104.37780000000001</v>
      </c>
      <c r="H89" s="5">
        <v>12.96</v>
      </c>
      <c r="I89" s="5">
        <v>1339</v>
      </c>
      <c r="J89" s="4" t="s">
        <v>122</v>
      </c>
    </row>
    <row r="90" spans="1:10" x14ac:dyDescent="0.25">
      <c r="A90" s="4">
        <f t="shared" ca="1" si="2"/>
        <v>87</v>
      </c>
      <c r="B90" s="4" t="s">
        <v>306</v>
      </c>
      <c r="C90" s="4" t="s">
        <v>114</v>
      </c>
      <c r="D90" s="4" t="s">
        <v>120</v>
      </c>
      <c r="E90" s="4" t="s">
        <v>66</v>
      </c>
      <c r="F90" s="4">
        <v>862.63600000000008</v>
      </c>
      <c r="G90" s="5">
        <v>89.511900000000011</v>
      </c>
      <c r="H90" s="5">
        <v>17.190000000000001</v>
      </c>
      <c r="I90" s="5">
        <v>514</v>
      </c>
      <c r="J90" s="4" t="s">
        <v>122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120</v>
      </c>
      <c r="E91" s="4" t="s">
        <v>66</v>
      </c>
      <c r="F91" s="4">
        <v>824.02300000000002</v>
      </c>
      <c r="G91" s="5">
        <v>83.0428</v>
      </c>
      <c r="H91" s="5">
        <v>17.170000000000002</v>
      </c>
      <c r="I91" s="5">
        <v>689</v>
      </c>
      <c r="J91" s="4" t="s">
        <v>122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120</v>
      </c>
      <c r="E92" s="4" t="s">
        <v>66</v>
      </c>
      <c r="F92" s="4">
        <v>832.65200000000004</v>
      </c>
      <c r="G92" s="5">
        <v>83.373500000000007</v>
      </c>
      <c r="H92" s="5">
        <v>17.150000000000002</v>
      </c>
      <c r="I92" s="5">
        <v>725</v>
      </c>
      <c r="J92" s="4" t="s">
        <v>122</v>
      </c>
    </row>
    <row r="93" spans="1:10" x14ac:dyDescent="0.25">
      <c r="A93" s="4">
        <f t="shared" ca="1" si="2"/>
        <v>90</v>
      </c>
      <c r="B93" s="4" t="s">
        <v>311</v>
      </c>
      <c r="C93" s="4" t="s">
        <v>312</v>
      </c>
      <c r="D93" s="4" t="s">
        <v>120</v>
      </c>
      <c r="E93" s="4" t="s">
        <v>66</v>
      </c>
      <c r="F93" s="4">
        <v>1000</v>
      </c>
      <c r="G93" s="5">
        <v>103.2924</v>
      </c>
      <c r="H93" s="5">
        <v>12.93</v>
      </c>
      <c r="I93" s="5">
        <v>638</v>
      </c>
      <c r="J93" s="4" t="s">
        <v>122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120</v>
      </c>
      <c r="E94" s="4" t="s">
        <v>66</v>
      </c>
      <c r="F94" s="4">
        <v>1000</v>
      </c>
      <c r="G94" s="5">
        <v>112.04810000000001</v>
      </c>
      <c r="H94" s="5">
        <v>12.27</v>
      </c>
      <c r="I94" s="5">
        <v>29</v>
      </c>
      <c r="J94" s="4" t="s">
        <v>122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120</v>
      </c>
      <c r="E95" s="4" t="s">
        <v>66</v>
      </c>
      <c r="F95" s="4">
        <v>1000</v>
      </c>
      <c r="G95" s="5">
        <v>108.9619</v>
      </c>
      <c r="H95" s="5">
        <v>13.06</v>
      </c>
      <c r="I95" s="5">
        <v>1579</v>
      </c>
      <c r="J95" s="4" t="s">
        <v>122</v>
      </c>
    </row>
    <row r="96" spans="1:10" x14ac:dyDescent="0.25">
      <c r="A96" s="4">
        <f t="shared" ca="1" si="2"/>
        <v>93</v>
      </c>
      <c r="B96" s="4" t="s">
        <v>317</v>
      </c>
      <c r="C96" s="4" t="s">
        <v>90</v>
      </c>
      <c r="D96" s="4" t="s">
        <v>120</v>
      </c>
      <c r="E96" s="4" t="s">
        <v>66</v>
      </c>
      <c r="F96" s="4">
        <v>610.97699999999998</v>
      </c>
      <c r="G96" s="5">
        <v>64.863700000000009</v>
      </c>
      <c r="H96" s="5">
        <v>16.990000000000002</v>
      </c>
      <c r="I96" s="5">
        <v>3117</v>
      </c>
      <c r="J96" s="4" t="s">
        <v>122</v>
      </c>
    </row>
    <row r="97" spans="1:10" x14ac:dyDescent="0.25">
      <c r="A97" s="4">
        <f t="shared" ca="1" si="2"/>
        <v>94</v>
      </c>
      <c r="B97" s="4" t="s">
        <v>318</v>
      </c>
      <c r="C97" s="4" t="s">
        <v>319</v>
      </c>
      <c r="D97" s="4" t="s">
        <v>120</v>
      </c>
      <c r="E97" s="4" t="s">
        <v>66</v>
      </c>
      <c r="F97" s="4">
        <v>869.23300000000006</v>
      </c>
      <c r="G97" s="5">
        <v>89.620800000000003</v>
      </c>
      <c r="H97" s="5">
        <v>17.190000000000001</v>
      </c>
      <c r="I97" s="5">
        <v>599</v>
      </c>
      <c r="J97" s="4" t="s">
        <v>122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120</v>
      </c>
      <c r="E98" s="4" t="s">
        <v>66</v>
      </c>
      <c r="F98" s="4">
        <v>533.97300000000007</v>
      </c>
      <c r="G98" s="5">
        <v>54.214200000000005</v>
      </c>
      <c r="H98" s="5">
        <v>16.990000000000002</v>
      </c>
      <c r="I98" s="5">
        <v>6907</v>
      </c>
      <c r="J98" s="4" t="s">
        <v>122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120</v>
      </c>
      <c r="E99" s="4" t="s">
        <v>66</v>
      </c>
      <c r="F99" s="4">
        <v>1000</v>
      </c>
      <c r="G99" s="5">
        <v>101.08540000000001</v>
      </c>
      <c r="H99" s="5">
        <v>12.95</v>
      </c>
      <c r="I99" s="5">
        <v>336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120</v>
      </c>
      <c r="E100" s="4" t="s">
        <v>66</v>
      </c>
      <c r="F100" s="4">
        <v>1000</v>
      </c>
      <c r="G100" s="5">
        <v>104.414</v>
      </c>
      <c r="H100" s="5">
        <v>12.96</v>
      </c>
      <c r="I100" s="5">
        <v>1338</v>
      </c>
      <c r="J100" s="4" t="s">
        <v>122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120</v>
      </c>
      <c r="E101" s="4" t="s">
        <v>66</v>
      </c>
      <c r="F101" s="4">
        <v>1000</v>
      </c>
      <c r="G101" s="5">
        <v>105.42710000000001</v>
      </c>
      <c r="H101" s="5">
        <v>12.97</v>
      </c>
      <c r="I101" s="5">
        <v>1674</v>
      </c>
      <c r="J101" s="4" t="s">
        <v>122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120</v>
      </c>
      <c r="E102" s="4" t="s">
        <v>66</v>
      </c>
      <c r="F102" s="4">
        <v>1000</v>
      </c>
      <c r="G102" s="5">
        <v>102.2432</v>
      </c>
      <c r="H102" s="5">
        <v>12.88</v>
      </c>
      <c r="I102" s="5">
        <v>303</v>
      </c>
      <c r="J102" s="4" t="s">
        <v>122</v>
      </c>
    </row>
    <row r="103" spans="1:10" x14ac:dyDescent="0.25">
      <c r="A103" s="4">
        <f t="shared" ca="1" si="3"/>
        <v>100</v>
      </c>
      <c r="B103" s="4" t="s">
        <v>330</v>
      </c>
      <c r="C103" s="4" t="s">
        <v>85</v>
      </c>
      <c r="D103" s="4" t="s">
        <v>120</v>
      </c>
      <c r="E103" s="4" t="s">
        <v>66</v>
      </c>
      <c r="F103" s="4">
        <v>596.53100000000006</v>
      </c>
      <c r="G103" s="5">
        <v>65.728000000000009</v>
      </c>
      <c r="H103" s="5">
        <v>17</v>
      </c>
      <c r="I103" s="5">
        <v>3379</v>
      </c>
      <c r="J103" s="4" t="s">
        <v>122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120</v>
      </c>
      <c r="E104" s="4" t="s">
        <v>66</v>
      </c>
      <c r="F104" s="4">
        <v>906.23400000000004</v>
      </c>
      <c r="G104" s="5">
        <v>96.473399999999998</v>
      </c>
      <c r="H104" s="5">
        <v>17.22</v>
      </c>
      <c r="I104" s="5">
        <v>493</v>
      </c>
      <c r="J104" s="4" t="s">
        <v>122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120</v>
      </c>
      <c r="E105" s="4" t="s">
        <v>66</v>
      </c>
      <c r="F105" s="4">
        <v>887.43900000000008</v>
      </c>
      <c r="G105" s="5">
        <v>91.668900000000008</v>
      </c>
      <c r="H105" s="5">
        <v>17.18</v>
      </c>
      <c r="I105" s="5">
        <v>612</v>
      </c>
      <c r="J105" s="4" t="s">
        <v>122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120</v>
      </c>
      <c r="E106" s="4" t="s">
        <v>66</v>
      </c>
      <c r="F106" s="4">
        <v>590.76700000000005</v>
      </c>
      <c r="G106" s="5">
        <v>61.1967</v>
      </c>
      <c r="H106" s="5">
        <v>16.990000000000002</v>
      </c>
      <c r="I106" s="5">
        <v>3927</v>
      </c>
      <c r="J106" s="4" t="s">
        <v>122</v>
      </c>
    </row>
    <row r="107" spans="1:10" x14ac:dyDescent="0.25">
      <c r="A107" s="4">
        <f t="shared" ca="1" si="3"/>
        <v>104</v>
      </c>
      <c r="B107" s="4" t="s">
        <v>337</v>
      </c>
      <c r="C107" s="4" t="s">
        <v>338</v>
      </c>
      <c r="D107" s="4" t="s">
        <v>120</v>
      </c>
      <c r="E107" s="4" t="s">
        <v>66</v>
      </c>
      <c r="F107" s="4">
        <v>660.44600000000003</v>
      </c>
      <c r="G107" s="5">
        <v>71</v>
      </c>
      <c r="H107" s="5">
        <v>17</v>
      </c>
      <c r="I107" s="5">
        <v>2714</v>
      </c>
      <c r="J107" s="4" t="s">
        <v>122</v>
      </c>
    </row>
    <row r="108" spans="1:10" x14ac:dyDescent="0.25">
      <c r="A108" s="4">
        <f t="shared" ca="1" si="3"/>
        <v>105</v>
      </c>
      <c r="B108" s="4" t="s">
        <v>339</v>
      </c>
      <c r="C108" s="4" t="s">
        <v>340</v>
      </c>
      <c r="D108" s="4" t="s">
        <v>120</v>
      </c>
      <c r="E108" s="4" t="s">
        <v>66</v>
      </c>
      <c r="F108" s="4">
        <v>651.16899999999998</v>
      </c>
      <c r="G108" s="5">
        <v>69.511400000000009</v>
      </c>
      <c r="H108" s="5">
        <v>17</v>
      </c>
      <c r="I108" s="5">
        <v>2733</v>
      </c>
      <c r="J108" s="4" t="s">
        <v>122</v>
      </c>
    </row>
    <row r="109" spans="1:10" x14ac:dyDescent="0.25">
      <c r="A109" s="4">
        <f t="shared" ca="1" si="3"/>
        <v>106</v>
      </c>
      <c r="B109" s="4" t="s">
        <v>341</v>
      </c>
      <c r="C109" s="4" t="s">
        <v>99</v>
      </c>
      <c r="D109" s="4" t="s">
        <v>120</v>
      </c>
      <c r="E109" s="4" t="s">
        <v>66</v>
      </c>
      <c r="F109" s="4">
        <v>677.45400000000006</v>
      </c>
      <c r="G109" s="5">
        <v>72.299000000000007</v>
      </c>
      <c r="H109" s="5">
        <v>17.010000000000002</v>
      </c>
      <c r="I109" s="5">
        <v>2361</v>
      </c>
      <c r="J109" s="4" t="s">
        <v>122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120</v>
      </c>
      <c r="E110" s="4" t="s">
        <v>66</v>
      </c>
      <c r="F110" s="4">
        <v>705.88400000000001</v>
      </c>
      <c r="G110" s="5">
        <v>74.573999999999998</v>
      </c>
      <c r="H110" s="5">
        <v>17.010000000000002</v>
      </c>
      <c r="I110" s="5">
        <v>2019</v>
      </c>
      <c r="J110" s="4" t="s">
        <v>122</v>
      </c>
    </row>
    <row r="111" spans="1:10" x14ac:dyDescent="0.25">
      <c r="A111" s="4">
        <f t="shared" ca="1" si="3"/>
        <v>108</v>
      </c>
      <c r="B111" s="4" t="s">
        <v>344</v>
      </c>
      <c r="C111" s="4" t="s">
        <v>345</v>
      </c>
      <c r="D111" s="4" t="s">
        <v>120</v>
      </c>
      <c r="E111" s="4" t="s">
        <v>66</v>
      </c>
      <c r="F111" s="4">
        <v>593.35800000000006</v>
      </c>
      <c r="G111" s="5">
        <v>65.594999999999999</v>
      </c>
      <c r="H111" s="5">
        <v>17</v>
      </c>
      <c r="I111" s="5">
        <v>4123</v>
      </c>
      <c r="J111" s="4" t="s">
        <v>122</v>
      </c>
    </row>
    <row r="112" spans="1:10" x14ac:dyDescent="0.25">
      <c r="A112" s="4">
        <f t="shared" ca="1" si="3"/>
        <v>109</v>
      </c>
      <c r="B112" s="4" t="s">
        <v>346</v>
      </c>
      <c r="C112" s="4" t="s">
        <v>347</v>
      </c>
      <c r="D112" s="4" t="s">
        <v>120</v>
      </c>
      <c r="E112" s="4" t="s">
        <v>66</v>
      </c>
      <c r="F112" s="4">
        <v>1000</v>
      </c>
      <c r="G112" s="5">
        <v>105.49940000000001</v>
      </c>
      <c r="H112" s="5">
        <v>12.67</v>
      </c>
      <c r="I112" s="5">
        <v>211</v>
      </c>
      <c r="J112" s="4" t="s">
        <v>122</v>
      </c>
    </row>
    <row r="113" spans="1:10" x14ac:dyDescent="0.25">
      <c r="A113" s="4">
        <f t="shared" ca="1" si="3"/>
        <v>110</v>
      </c>
      <c r="B113" s="4" t="s">
        <v>348</v>
      </c>
      <c r="C113" s="4" t="s">
        <v>107</v>
      </c>
      <c r="D113" s="4" t="s">
        <v>120</v>
      </c>
      <c r="E113" s="4" t="s">
        <v>66</v>
      </c>
      <c r="F113" s="4">
        <v>752.08900000000006</v>
      </c>
      <c r="G113" s="5">
        <v>76.851600000000005</v>
      </c>
      <c r="H113" s="5">
        <v>17.059999999999999</v>
      </c>
      <c r="I113" s="5">
        <v>1384</v>
      </c>
      <c r="J113" s="4" t="s">
        <v>122</v>
      </c>
    </row>
    <row r="114" spans="1:10" x14ac:dyDescent="0.25">
      <c r="A114" s="4">
        <f t="shared" ca="1" si="3"/>
        <v>111</v>
      </c>
      <c r="B114" s="4" t="s">
        <v>349</v>
      </c>
      <c r="C114" s="4" t="s">
        <v>350</v>
      </c>
      <c r="D114" s="4" t="s">
        <v>120</v>
      </c>
      <c r="E114" s="4" t="s">
        <v>66</v>
      </c>
      <c r="F114" s="4">
        <v>729.86200000000008</v>
      </c>
      <c r="G114" s="5">
        <v>78.660899999999998</v>
      </c>
      <c r="H114" s="5">
        <v>17.07</v>
      </c>
      <c r="I114" s="5">
        <v>1559</v>
      </c>
      <c r="J114" s="4" t="s">
        <v>122</v>
      </c>
    </row>
    <row r="115" spans="1:10" x14ac:dyDescent="0.25">
      <c r="A115" s="4">
        <f t="shared" ca="1" si="3"/>
        <v>112</v>
      </c>
      <c r="B115" s="4" t="s">
        <v>351</v>
      </c>
      <c r="C115" s="4" t="s">
        <v>352</v>
      </c>
      <c r="D115" s="4" t="s">
        <v>120</v>
      </c>
      <c r="E115" s="4" t="s">
        <v>66</v>
      </c>
      <c r="F115" s="4">
        <v>532.44100000000003</v>
      </c>
      <c r="G115" s="5">
        <v>60.046900000000001</v>
      </c>
      <c r="H115" s="5">
        <v>16.990000000000002</v>
      </c>
      <c r="I115" s="5">
        <v>4800</v>
      </c>
      <c r="J115" s="4" t="s">
        <v>122</v>
      </c>
    </row>
    <row r="116" spans="1:10" x14ac:dyDescent="0.25">
      <c r="A116" s="4">
        <f t="shared" ca="1" si="3"/>
        <v>113</v>
      </c>
      <c r="B116" s="4" t="s">
        <v>353</v>
      </c>
      <c r="C116" s="4" t="s">
        <v>354</v>
      </c>
      <c r="D116" s="4" t="s">
        <v>120</v>
      </c>
      <c r="E116" s="4" t="s">
        <v>66</v>
      </c>
      <c r="F116" s="4">
        <v>992.22700000000009</v>
      </c>
      <c r="G116" s="5">
        <v>104.44940000000001</v>
      </c>
      <c r="H116" s="5">
        <v>17.86</v>
      </c>
      <c r="I116" s="5">
        <v>26</v>
      </c>
      <c r="J116" s="4" t="s">
        <v>122</v>
      </c>
    </row>
    <row r="117" spans="1:10" x14ac:dyDescent="0.25">
      <c r="A117" s="4">
        <f t="shared" ca="1" si="3"/>
        <v>114</v>
      </c>
      <c r="B117" s="4" t="s">
        <v>355</v>
      </c>
      <c r="C117" s="4" t="s">
        <v>96</v>
      </c>
      <c r="D117" s="4" t="s">
        <v>120</v>
      </c>
      <c r="E117" s="4" t="s">
        <v>66</v>
      </c>
      <c r="F117" s="4">
        <v>916.9</v>
      </c>
      <c r="G117" s="5">
        <v>92.79</v>
      </c>
      <c r="H117" s="5">
        <v>17.41</v>
      </c>
      <c r="I117" s="5">
        <v>293</v>
      </c>
      <c r="J117" s="4" t="s">
        <v>122</v>
      </c>
    </row>
    <row r="118" spans="1:10" x14ac:dyDescent="0.25">
      <c r="A118" s="4">
        <f t="shared" ca="1" si="3"/>
        <v>115</v>
      </c>
      <c r="B118" s="4" t="s">
        <v>356</v>
      </c>
      <c r="C118" s="4" t="s">
        <v>93</v>
      </c>
      <c r="D118" s="4" t="s">
        <v>120</v>
      </c>
      <c r="E118" s="4" t="s">
        <v>66</v>
      </c>
      <c r="F118" s="4">
        <v>814.84</v>
      </c>
      <c r="G118" s="5">
        <v>81.645899999999997</v>
      </c>
      <c r="H118" s="5">
        <v>17.150000000000002</v>
      </c>
      <c r="I118" s="5">
        <v>720</v>
      </c>
      <c r="J118" s="4" t="s">
        <v>122</v>
      </c>
    </row>
    <row r="119" spans="1:10" x14ac:dyDescent="0.25">
      <c r="A119" s="4">
        <f t="shared" ca="1" si="3"/>
        <v>116</v>
      </c>
      <c r="B119" s="4" t="s">
        <v>357</v>
      </c>
      <c r="C119" s="4" t="s">
        <v>358</v>
      </c>
      <c r="D119" s="4" t="s">
        <v>120</v>
      </c>
      <c r="E119" s="4" t="s">
        <v>66</v>
      </c>
      <c r="F119" s="4">
        <v>751.13900000000001</v>
      </c>
      <c r="G119" s="5">
        <v>75.725000000000009</v>
      </c>
      <c r="H119" s="5">
        <v>17.100000000000001</v>
      </c>
      <c r="I119" s="5">
        <v>1057</v>
      </c>
      <c r="J119" s="4" t="s">
        <v>122</v>
      </c>
    </row>
    <row r="120" spans="1:10" x14ac:dyDescent="0.25">
      <c r="A120" s="4">
        <f t="shared" ca="1" si="3"/>
        <v>117</v>
      </c>
      <c r="B120" s="4" t="s">
        <v>359</v>
      </c>
      <c r="C120" s="4" t="s">
        <v>360</v>
      </c>
      <c r="D120" s="4" t="s">
        <v>120</v>
      </c>
      <c r="E120" s="4" t="s">
        <v>66</v>
      </c>
      <c r="F120" s="4">
        <v>549.47400000000005</v>
      </c>
      <c r="G120" s="5">
        <v>57.1509</v>
      </c>
      <c r="H120" s="5">
        <v>16.98</v>
      </c>
      <c r="I120" s="5">
        <v>5017</v>
      </c>
      <c r="J120" s="4" t="s">
        <v>122</v>
      </c>
    </row>
    <row r="121" spans="1:10" x14ac:dyDescent="0.25">
      <c r="A121" s="4">
        <f t="shared" ca="1" si="3"/>
        <v>118</v>
      </c>
      <c r="B121" s="4" t="s">
        <v>361</v>
      </c>
      <c r="C121" s="4" t="s">
        <v>362</v>
      </c>
      <c r="D121" s="4" t="s">
        <v>120</v>
      </c>
      <c r="E121" s="4" t="s">
        <v>66</v>
      </c>
      <c r="F121" s="4">
        <v>544.678</v>
      </c>
      <c r="G121" s="5">
        <v>60.140800000000006</v>
      </c>
      <c r="H121" s="5">
        <v>17</v>
      </c>
      <c r="I121" s="5">
        <v>5233</v>
      </c>
      <c r="J121" s="4" t="s">
        <v>122</v>
      </c>
    </row>
    <row r="122" spans="1:10" x14ac:dyDescent="0.25">
      <c r="A122" s="4">
        <f t="shared" ca="1" si="3"/>
        <v>119</v>
      </c>
      <c r="B122" s="4" t="s">
        <v>363</v>
      </c>
      <c r="C122" s="4" t="s">
        <v>81</v>
      </c>
      <c r="D122" s="4" t="s">
        <v>120</v>
      </c>
      <c r="E122" s="4" t="s">
        <v>66</v>
      </c>
      <c r="F122" s="4">
        <v>849.73700000000008</v>
      </c>
      <c r="G122" s="5">
        <v>91.3904</v>
      </c>
      <c r="H122" s="5">
        <v>17.07</v>
      </c>
      <c r="I122" s="5">
        <v>1249</v>
      </c>
      <c r="J122" s="4" t="s">
        <v>122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120</v>
      </c>
      <c r="E123" s="4" t="s">
        <v>66</v>
      </c>
      <c r="F123" s="4">
        <v>949.32100000000003</v>
      </c>
      <c r="G123" s="5">
        <v>97.889600000000002</v>
      </c>
      <c r="H123" s="5">
        <v>17.420000000000002</v>
      </c>
      <c r="I123" s="5">
        <v>247</v>
      </c>
      <c r="J123" s="4" t="s">
        <v>122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120</v>
      </c>
      <c r="E124" s="4" t="s">
        <v>66</v>
      </c>
      <c r="F124" s="4">
        <v>1000</v>
      </c>
      <c r="G124" s="5">
        <v>111.5485</v>
      </c>
      <c r="H124" s="5">
        <v>13.08</v>
      </c>
      <c r="I124" s="5">
        <v>1141</v>
      </c>
      <c r="J124" s="4" t="s">
        <v>122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120</v>
      </c>
      <c r="E125" s="4" t="s">
        <v>66</v>
      </c>
      <c r="F125" s="4">
        <v>1000</v>
      </c>
      <c r="G125" s="5">
        <v>107.6341</v>
      </c>
      <c r="H125" s="5">
        <v>12.53</v>
      </c>
      <c r="I125" s="5">
        <v>151</v>
      </c>
      <c r="J125" s="4" t="s">
        <v>122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120</v>
      </c>
      <c r="E126" s="4" t="s">
        <v>66</v>
      </c>
      <c r="F126" s="4">
        <v>1000</v>
      </c>
      <c r="G126" s="5">
        <v>108.7557</v>
      </c>
      <c r="H126" s="5">
        <v>12.96</v>
      </c>
      <c r="I126" s="5">
        <v>1218</v>
      </c>
      <c r="J126" s="4" t="s">
        <v>122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120</v>
      </c>
      <c r="E127" s="4" t="s">
        <v>66</v>
      </c>
      <c r="F127" s="4">
        <v>854.16800000000001</v>
      </c>
      <c r="G127" s="5">
        <v>85.504000000000005</v>
      </c>
      <c r="H127" s="5">
        <v>17.09</v>
      </c>
      <c r="I127" s="5">
        <v>1094</v>
      </c>
      <c r="J127" s="4" t="s">
        <v>122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120</v>
      </c>
      <c r="E128" s="4" t="s">
        <v>66</v>
      </c>
      <c r="F128" s="4">
        <v>1000</v>
      </c>
      <c r="G128" s="5">
        <v>108.86420000000001</v>
      </c>
      <c r="H128" s="5">
        <v>12.93</v>
      </c>
      <c r="I128" s="5">
        <v>849</v>
      </c>
      <c r="J128" s="4" t="s">
        <v>122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120</v>
      </c>
      <c r="E129" s="4" t="s">
        <v>66</v>
      </c>
      <c r="F129" s="4">
        <v>566.78500000000008</v>
      </c>
      <c r="G129" s="5">
        <v>59.520200000000003</v>
      </c>
      <c r="H129" s="5">
        <v>17</v>
      </c>
      <c r="I129" s="5">
        <v>2369</v>
      </c>
      <c r="J129" s="4" t="s">
        <v>122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120</v>
      </c>
      <c r="E130" s="4" t="s">
        <v>66</v>
      </c>
      <c r="F130" s="4">
        <v>775.42600000000004</v>
      </c>
      <c r="G130" s="5">
        <v>83.960400000000007</v>
      </c>
      <c r="H130" s="5">
        <v>17.09</v>
      </c>
      <c r="I130" s="5">
        <v>1138</v>
      </c>
      <c r="J130" s="4" t="s">
        <v>122</v>
      </c>
    </row>
    <row r="131" spans="1:10" x14ac:dyDescent="0.25">
      <c r="A131" s="4">
        <f t="shared" ca="1" si="3"/>
        <v>128</v>
      </c>
      <c r="B131" s="4" t="s">
        <v>380</v>
      </c>
      <c r="C131" s="4" t="s">
        <v>381</v>
      </c>
      <c r="D131" s="4" t="s">
        <v>120</v>
      </c>
      <c r="E131" s="4" t="s">
        <v>66</v>
      </c>
      <c r="F131" s="4">
        <v>770.58699999999999</v>
      </c>
      <c r="G131" s="5">
        <v>79.725400000000008</v>
      </c>
      <c r="H131" s="5">
        <v>17.11</v>
      </c>
      <c r="I131" s="5">
        <v>902</v>
      </c>
      <c r="J131" s="4" t="s">
        <v>122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83</v>
      </c>
      <c r="D132" s="4" t="s">
        <v>120</v>
      </c>
      <c r="E132" s="4" t="s">
        <v>66</v>
      </c>
      <c r="F132" s="4">
        <v>754.322</v>
      </c>
      <c r="G132" s="5">
        <v>78.213000000000008</v>
      </c>
      <c r="H132" s="5">
        <v>17.010000000000002</v>
      </c>
      <c r="I132" s="5">
        <v>2462</v>
      </c>
      <c r="J132" s="4" t="s">
        <v>122</v>
      </c>
    </row>
    <row r="133" spans="1:10" x14ac:dyDescent="0.25">
      <c r="A133" s="4">
        <f t="shared" ca="1" si="4"/>
        <v>130</v>
      </c>
      <c r="B133" s="4" t="s">
        <v>383</v>
      </c>
      <c r="C133" s="4" t="s">
        <v>110</v>
      </c>
      <c r="D133" s="4" t="s">
        <v>120</v>
      </c>
      <c r="E133" s="4" t="s">
        <v>66</v>
      </c>
      <c r="F133" s="4">
        <v>828.63499999999999</v>
      </c>
      <c r="G133" s="5">
        <v>85.559600000000003</v>
      </c>
      <c r="H133" s="5">
        <v>17.05</v>
      </c>
      <c r="I133" s="5">
        <v>1368</v>
      </c>
      <c r="J133" s="4" t="s">
        <v>122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120</v>
      </c>
      <c r="E134" s="4" t="s">
        <v>66</v>
      </c>
      <c r="F134" s="4">
        <v>1000</v>
      </c>
      <c r="G134" s="5">
        <v>101.1216</v>
      </c>
      <c r="H134" s="5">
        <v>13.01</v>
      </c>
      <c r="I134" s="5">
        <v>1796</v>
      </c>
      <c r="J134" s="4" t="s">
        <v>122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120</v>
      </c>
      <c r="E135" s="4" t="s">
        <v>66</v>
      </c>
      <c r="F135" s="4">
        <v>1000</v>
      </c>
      <c r="G135" s="5">
        <v>110.89030000000001</v>
      </c>
      <c r="H135" s="5">
        <v>13</v>
      </c>
      <c r="I135" s="5">
        <v>2252</v>
      </c>
      <c r="J135" s="4" t="s">
        <v>122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120</v>
      </c>
      <c r="E136" s="4" t="s">
        <v>66</v>
      </c>
      <c r="F136" s="4">
        <v>1000</v>
      </c>
      <c r="G136" s="5">
        <v>101.194</v>
      </c>
      <c r="H136" s="5">
        <v>13.01</v>
      </c>
      <c r="I136" s="5">
        <v>2159</v>
      </c>
      <c r="J136" s="4" t="s">
        <v>122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120</v>
      </c>
      <c r="E137" s="4" t="s">
        <v>66</v>
      </c>
      <c r="F137" s="4">
        <v>911.79900000000009</v>
      </c>
      <c r="G137" s="5">
        <v>95.831000000000003</v>
      </c>
      <c r="H137" s="5">
        <v>17.190000000000001</v>
      </c>
      <c r="I137" s="5">
        <v>567</v>
      </c>
      <c r="J137" s="4" t="s">
        <v>122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120</v>
      </c>
      <c r="E138" s="4" t="s">
        <v>66</v>
      </c>
      <c r="F138" s="4">
        <v>708.29100000000005</v>
      </c>
      <c r="G138" s="5">
        <v>79.177999999999997</v>
      </c>
      <c r="H138" s="5">
        <v>17</v>
      </c>
      <c r="I138" s="5">
        <v>4109</v>
      </c>
      <c r="J138" s="4" t="s">
        <v>122</v>
      </c>
    </row>
    <row r="139" spans="1:10" x14ac:dyDescent="0.25">
      <c r="A139" s="4">
        <f t="shared" ca="1" si="4"/>
        <v>136</v>
      </c>
      <c r="B139" s="4" t="s">
        <v>394</v>
      </c>
      <c r="C139" s="4" t="s">
        <v>78</v>
      </c>
      <c r="D139" s="4" t="s">
        <v>120</v>
      </c>
      <c r="E139" s="4" t="s">
        <v>66</v>
      </c>
      <c r="F139" s="4">
        <v>986.04200000000003</v>
      </c>
      <c r="G139" s="5">
        <v>101.5385</v>
      </c>
      <c r="H139" s="5">
        <v>17</v>
      </c>
      <c r="I139" s="5">
        <v>84</v>
      </c>
      <c r="J139" s="4" t="s">
        <v>122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120</v>
      </c>
      <c r="E140" s="4" t="s">
        <v>66</v>
      </c>
      <c r="F140" s="4">
        <v>824.31400000000008</v>
      </c>
      <c r="G140" s="5">
        <v>90.559200000000004</v>
      </c>
      <c r="H140" s="5">
        <v>17.07</v>
      </c>
      <c r="I140" s="5">
        <v>1559</v>
      </c>
      <c r="J140" s="4" t="s">
        <v>122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120</v>
      </c>
      <c r="E141" s="4" t="s">
        <v>66</v>
      </c>
      <c r="F141" s="4">
        <v>700.07400000000007</v>
      </c>
      <c r="G141" s="5">
        <v>71.953800000000001</v>
      </c>
      <c r="H141" s="5">
        <v>16.990000000000002</v>
      </c>
      <c r="I141" s="5">
        <v>3953</v>
      </c>
      <c r="J141" s="4" t="s">
        <v>122</v>
      </c>
    </row>
    <row r="142" spans="1:10" x14ac:dyDescent="0.25">
      <c r="A142" s="4">
        <f t="shared" ca="1" si="4"/>
        <v>139</v>
      </c>
      <c r="B142" s="4" t="s">
        <v>399</v>
      </c>
      <c r="C142" s="4" t="s">
        <v>400</v>
      </c>
      <c r="D142" s="4" t="s">
        <v>120</v>
      </c>
      <c r="E142" s="4" t="s">
        <v>66</v>
      </c>
      <c r="F142" s="4">
        <v>703.08300000000008</v>
      </c>
      <c r="G142" s="5">
        <v>77.420400000000001</v>
      </c>
      <c r="H142" s="5">
        <v>17.02</v>
      </c>
      <c r="I142" s="5">
        <v>3033</v>
      </c>
      <c r="J142" s="4" t="s">
        <v>122</v>
      </c>
    </row>
    <row r="143" spans="1:10" x14ac:dyDescent="0.25">
      <c r="A143" s="4">
        <f t="shared" ca="1" si="4"/>
        <v>140</v>
      </c>
      <c r="B143" s="4" t="s">
        <v>401</v>
      </c>
      <c r="C143" s="4" t="s">
        <v>76</v>
      </c>
      <c r="D143" s="4" t="s">
        <v>120</v>
      </c>
      <c r="E143" s="4" t="s">
        <v>66</v>
      </c>
      <c r="F143" s="4">
        <v>871.89400000000001</v>
      </c>
      <c r="G143" s="5">
        <v>92.909400000000005</v>
      </c>
      <c r="H143" s="5">
        <v>17.12</v>
      </c>
      <c r="I143" s="5">
        <v>896</v>
      </c>
      <c r="J143" s="4" t="s">
        <v>122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120</v>
      </c>
      <c r="E144" s="4" t="s">
        <v>66</v>
      </c>
      <c r="F144" s="4">
        <v>956.5390000000001</v>
      </c>
      <c r="G144" s="5">
        <v>98.162199999999999</v>
      </c>
      <c r="H144" s="5">
        <v>16.740000000000002</v>
      </c>
      <c r="I144" s="5">
        <v>279</v>
      </c>
      <c r="J144" s="4" t="s">
        <v>122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120</v>
      </c>
      <c r="E145" s="4" t="s">
        <v>66</v>
      </c>
      <c r="F145" s="4">
        <v>692.75</v>
      </c>
      <c r="G145" s="5">
        <v>75.823599999999999</v>
      </c>
      <c r="H145" s="5">
        <v>16.990000000000002</v>
      </c>
      <c r="I145" s="5">
        <v>3419</v>
      </c>
      <c r="J145" s="4" t="s">
        <v>122</v>
      </c>
    </row>
    <row r="146" spans="1:10" x14ac:dyDescent="0.25">
      <c r="A146" s="4">
        <f t="shared" ca="1" si="4"/>
        <v>143</v>
      </c>
      <c r="B146" s="4" t="s">
        <v>406</v>
      </c>
      <c r="C146" s="4" t="s">
        <v>112</v>
      </c>
      <c r="D146" s="4" t="s">
        <v>120</v>
      </c>
      <c r="E146" s="4" t="s">
        <v>66</v>
      </c>
      <c r="F146" s="4">
        <v>772.90200000000004</v>
      </c>
      <c r="G146" s="5">
        <v>83.670500000000004</v>
      </c>
      <c r="H146" s="5">
        <v>17.010000000000002</v>
      </c>
      <c r="I146" s="5">
        <v>1965</v>
      </c>
      <c r="J146" s="4" t="s">
        <v>122</v>
      </c>
    </row>
    <row r="147" spans="1:10" x14ac:dyDescent="0.25">
      <c r="A147" s="4">
        <f t="shared" ca="1" si="4"/>
        <v>144</v>
      </c>
      <c r="B147" s="4" t="s">
        <v>407</v>
      </c>
      <c r="C147" s="4" t="s">
        <v>408</v>
      </c>
      <c r="D147" s="4" t="s">
        <v>120</v>
      </c>
      <c r="E147" s="4" t="s">
        <v>66</v>
      </c>
      <c r="F147" s="4">
        <v>736.26499999999999</v>
      </c>
      <c r="G147" s="5">
        <v>75.616</v>
      </c>
      <c r="H147" s="5">
        <v>17</v>
      </c>
      <c r="I147" s="5">
        <v>2855</v>
      </c>
      <c r="J147" s="4" t="s">
        <v>122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120</v>
      </c>
      <c r="E148" s="4" t="s">
        <v>66</v>
      </c>
      <c r="F148" s="4">
        <v>977.35900000000004</v>
      </c>
      <c r="G148" s="5">
        <v>99.43480000000001</v>
      </c>
      <c r="H148" s="5">
        <v>16.71</v>
      </c>
      <c r="I148" s="5">
        <v>322</v>
      </c>
      <c r="J148" s="4" t="s">
        <v>122</v>
      </c>
    </row>
    <row r="149" spans="1:10" x14ac:dyDescent="0.25">
      <c r="A149" s="4">
        <f t="shared" ca="1" si="4"/>
        <v>146</v>
      </c>
      <c r="B149" s="4" t="s">
        <v>411</v>
      </c>
      <c r="C149" s="4" t="s">
        <v>412</v>
      </c>
      <c r="D149" s="4" t="s">
        <v>120</v>
      </c>
      <c r="E149" s="4" t="s">
        <v>66</v>
      </c>
      <c r="F149" s="4">
        <v>980.6160000000001</v>
      </c>
      <c r="G149" s="5">
        <v>104.96910000000001</v>
      </c>
      <c r="H149" s="5">
        <v>16.490000000000002</v>
      </c>
      <c r="I149" s="5">
        <v>750</v>
      </c>
      <c r="J149" s="4" t="s">
        <v>122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120</v>
      </c>
      <c r="E150" s="4" t="s">
        <v>66</v>
      </c>
      <c r="F150" s="4">
        <v>883.4430000000001</v>
      </c>
      <c r="G150" s="5">
        <v>94.605400000000003</v>
      </c>
      <c r="H150" s="5">
        <v>17.010000000000002</v>
      </c>
      <c r="I150" s="5">
        <v>2394</v>
      </c>
      <c r="J150" s="4" t="s">
        <v>122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120</v>
      </c>
      <c r="E151" s="4" t="s">
        <v>66</v>
      </c>
      <c r="F151" s="4">
        <v>954.80499999999995</v>
      </c>
      <c r="G151" s="5">
        <v>105.55300000000001</v>
      </c>
      <c r="H151" s="5">
        <v>17.07</v>
      </c>
      <c r="I151" s="5">
        <v>1221</v>
      </c>
      <c r="J151" s="4" t="s">
        <v>122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120</v>
      </c>
      <c r="E152" s="4" t="s">
        <v>66</v>
      </c>
      <c r="F152" s="4">
        <v>1000</v>
      </c>
      <c r="G152" s="5">
        <v>102.4432</v>
      </c>
      <c r="H152" s="5">
        <v>17.150000000000002</v>
      </c>
      <c r="I152" s="5">
        <v>315</v>
      </c>
      <c r="J152" s="4" t="s">
        <v>122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120</v>
      </c>
      <c r="E153" s="4" t="s">
        <v>66</v>
      </c>
      <c r="F153" s="4">
        <v>894.173</v>
      </c>
      <c r="G153" s="5">
        <v>95.950600000000009</v>
      </c>
      <c r="H153" s="5">
        <v>17.02</v>
      </c>
      <c r="I153" s="5">
        <v>2021</v>
      </c>
      <c r="J153" s="4" t="s">
        <v>122</v>
      </c>
    </row>
    <row r="154" spans="1:10" x14ac:dyDescent="0.25">
      <c r="A154" s="4">
        <f t="shared" ca="1" si="4"/>
        <v>151</v>
      </c>
      <c r="B154" s="4" t="s">
        <v>421</v>
      </c>
      <c r="C154" s="4" t="s">
        <v>422</v>
      </c>
      <c r="D154" s="4" t="s">
        <v>120</v>
      </c>
      <c r="E154" s="4" t="s">
        <v>66</v>
      </c>
      <c r="F154" s="4">
        <v>981.67100000000005</v>
      </c>
      <c r="G154" s="5">
        <v>102.9796</v>
      </c>
      <c r="H154" s="5">
        <v>16.740000000000002</v>
      </c>
      <c r="I154" s="5">
        <v>238</v>
      </c>
      <c r="J154" s="4" t="s">
        <v>122</v>
      </c>
    </row>
    <row r="155" spans="1:10" x14ac:dyDescent="0.25">
      <c r="A155" s="4">
        <f t="shared" ca="1" si="4"/>
        <v>152</v>
      </c>
      <c r="B155" s="4" t="s">
        <v>423</v>
      </c>
      <c r="C155" s="4" t="s">
        <v>424</v>
      </c>
      <c r="D155" s="4" t="s">
        <v>120</v>
      </c>
      <c r="E155" s="4" t="s">
        <v>66</v>
      </c>
      <c r="F155" s="4">
        <v>892.28899999999999</v>
      </c>
      <c r="G155" s="5">
        <v>95.049000000000007</v>
      </c>
      <c r="H155" s="5">
        <v>17.010000000000002</v>
      </c>
      <c r="I155" s="5">
        <v>2776</v>
      </c>
      <c r="J155" s="4" t="s">
        <v>122</v>
      </c>
    </row>
    <row r="156" spans="1:10" x14ac:dyDescent="0.25">
      <c r="A156" s="4">
        <f t="shared" ca="1" si="4"/>
        <v>153</v>
      </c>
      <c r="B156" s="4" t="s">
        <v>425</v>
      </c>
      <c r="C156" s="4" t="s">
        <v>426</v>
      </c>
      <c r="D156" s="4" t="s">
        <v>120</v>
      </c>
      <c r="E156" s="4" t="s">
        <v>66</v>
      </c>
      <c r="F156" s="4">
        <v>830.21100000000001</v>
      </c>
      <c r="G156" s="5">
        <v>91.287800000000004</v>
      </c>
      <c r="H156" s="5">
        <v>17.05</v>
      </c>
      <c r="I156" s="5">
        <v>1942</v>
      </c>
      <c r="J156" s="4" t="s">
        <v>122</v>
      </c>
    </row>
    <row r="157" spans="1:10" x14ac:dyDescent="0.25">
      <c r="A157" s="4">
        <f t="shared" ca="1" si="4"/>
        <v>154</v>
      </c>
      <c r="B157" s="4" t="s">
        <v>427</v>
      </c>
      <c r="C157" s="4" t="s">
        <v>104</v>
      </c>
      <c r="D157" s="4" t="s">
        <v>120</v>
      </c>
      <c r="E157" s="4" t="s">
        <v>66</v>
      </c>
      <c r="F157" s="4">
        <v>1015.66</v>
      </c>
      <c r="G157" s="5">
        <v>105.48780000000001</v>
      </c>
      <c r="H157" s="5">
        <v>16.41</v>
      </c>
      <c r="I157" s="5">
        <v>1378</v>
      </c>
      <c r="J157" s="4" t="s">
        <v>122</v>
      </c>
    </row>
    <row r="158" spans="1:10" x14ac:dyDescent="0.25">
      <c r="A158" s="4">
        <f t="shared" ca="1" si="4"/>
        <v>155</v>
      </c>
      <c r="B158" s="4" t="s">
        <v>428</v>
      </c>
      <c r="C158" s="4" t="s">
        <v>429</v>
      </c>
      <c r="D158" s="4" t="s">
        <v>120</v>
      </c>
      <c r="E158" s="4" t="s">
        <v>66</v>
      </c>
      <c r="F158" s="4">
        <v>889.96</v>
      </c>
      <c r="G158" s="5">
        <v>98.421000000000006</v>
      </c>
      <c r="H158" s="5">
        <v>17</v>
      </c>
      <c r="I158" s="5">
        <v>3050</v>
      </c>
      <c r="J158" s="4" t="s">
        <v>122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120</v>
      </c>
      <c r="E159" s="4" t="s">
        <v>66</v>
      </c>
      <c r="F159" s="4">
        <v>907.74600000000009</v>
      </c>
      <c r="G159" s="5">
        <v>100.2646</v>
      </c>
      <c r="H159" s="5">
        <v>17.02</v>
      </c>
      <c r="I159" s="5">
        <v>2320</v>
      </c>
      <c r="J159" s="4" t="s">
        <v>122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120</v>
      </c>
      <c r="E160" s="4" t="s">
        <v>66</v>
      </c>
      <c r="F160" s="4">
        <v>850.97700000000009</v>
      </c>
      <c r="G160" s="5">
        <v>91.286000000000001</v>
      </c>
      <c r="H160" s="5">
        <v>16.990000000000002</v>
      </c>
      <c r="I160" s="5">
        <v>4588</v>
      </c>
      <c r="J160" s="4" t="s">
        <v>122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120</v>
      </c>
      <c r="E161" s="4" t="s">
        <v>66</v>
      </c>
      <c r="F161" s="4">
        <v>1000</v>
      </c>
      <c r="G161" s="5">
        <v>109.05040000000001</v>
      </c>
      <c r="H161" s="5">
        <v>15.44</v>
      </c>
      <c r="I161" s="5">
        <v>1979</v>
      </c>
      <c r="J161" s="4" t="s">
        <v>122</v>
      </c>
    </row>
    <row r="162" spans="1:10" x14ac:dyDescent="0.25">
      <c r="A162" s="4">
        <f t="shared" ca="1" si="4"/>
        <v>159</v>
      </c>
      <c r="B162" s="4" t="s">
        <v>436</v>
      </c>
      <c r="C162" s="4" t="s">
        <v>116</v>
      </c>
      <c r="D162" s="4" t="s">
        <v>120</v>
      </c>
      <c r="E162" s="4" t="s">
        <v>66</v>
      </c>
      <c r="F162" s="4">
        <v>851.26400000000001</v>
      </c>
      <c r="G162" s="5">
        <v>92.893100000000004</v>
      </c>
      <c r="H162" s="5">
        <v>17.04</v>
      </c>
      <c r="I162" s="5">
        <v>1590</v>
      </c>
      <c r="J162" s="4" t="s">
        <v>122</v>
      </c>
    </row>
    <row r="163" spans="1:10" x14ac:dyDescent="0.25">
      <c r="A163" s="4">
        <f t="shared" ca="1" si="4"/>
        <v>160</v>
      </c>
      <c r="B163" s="4" t="s">
        <v>437</v>
      </c>
      <c r="C163" s="4" t="s">
        <v>438</v>
      </c>
      <c r="D163" s="4" t="s">
        <v>120</v>
      </c>
      <c r="E163" s="4" t="s">
        <v>66</v>
      </c>
      <c r="F163" s="4">
        <v>91.662900000000008</v>
      </c>
      <c r="G163" s="5">
        <v>91.662900000000008</v>
      </c>
      <c r="H163" s="5">
        <v>16.850000000000001</v>
      </c>
      <c r="I163" s="5">
        <v>198</v>
      </c>
      <c r="J163" s="4" t="s">
        <v>122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439</v>
      </c>
      <c r="C164" s="4" t="s">
        <v>87</v>
      </c>
      <c r="D164" s="4" t="s">
        <v>120</v>
      </c>
      <c r="E164" s="4" t="s">
        <v>66</v>
      </c>
      <c r="F164" s="4">
        <v>95.712400000000002</v>
      </c>
      <c r="G164" s="5">
        <v>95.712400000000002</v>
      </c>
      <c r="H164" s="5">
        <v>16.52</v>
      </c>
      <c r="I164" s="5">
        <v>100</v>
      </c>
      <c r="J164" s="4" t="s">
        <v>122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120</v>
      </c>
      <c r="E165" s="4" t="s">
        <v>66</v>
      </c>
      <c r="F165" s="4">
        <v>861.64</v>
      </c>
      <c r="G165" s="5">
        <v>96.1584</v>
      </c>
      <c r="H165" s="5">
        <v>17.02</v>
      </c>
      <c r="I165" s="5">
        <v>3394</v>
      </c>
      <c r="J165" s="4" t="s">
        <v>122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120</v>
      </c>
      <c r="E166" s="4" t="s">
        <v>66</v>
      </c>
      <c r="F166" s="4">
        <v>0.98624999999999996</v>
      </c>
      <c r="G166" s="5">
        <v>98.9</v>
      </c>
      <c r="H166" s="5">
        <v>4.9000000000000004</v>
      </c>
      <c r="I166" s="5">
        <v>3449</v>
      </c>
      <c r="J166" s="4" t="s">
        <v>122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120</v>
      </c>
      <c r="E167" s="4" t="s">
        <v>66</v>
      </c>
      <c r="F167" s="4">
        <v>1018.687</v>
      </c>
      <c r="G167" s="5">
        <v>102.8574</v>
      </c>
      <c r="H167" s="5">
        <v>16.37</v>
      </c>
      <c r="I167" s="5">
        <v>1806</v>
      </c>
      <c r="J167" s="4" t="s">
        <v>122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125</v>
      </c>
      <c r="E168" s="4" t="s">
        <v>448</v>
      </c>
      <c r="F168" s="4">
        <v>351.21</v>
      </c>
      <c r="G168" s="5"/>
      <c r="H168" s="5"/>
      <c r="I168" s="5"/>
      <c r="J168" s="4" t="s">
        <v>127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125</v>
      </c>
      <c r="E169" s="4" t="s">
        <v>448</v>
      </c>
      <c r="F169" s="4">
        <v>26.87</v>
      </c>
      <c r="G169" s="5"/>
      <c r="H169" s="5"/>
      <c r="I169" s="5"/>
      <c r="J169" s="4" t="s">
        <v>150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120</v>
      </c>
      <c r="E170" s="4" t="s">
        <v>448</v>
      </c>
      <c r="F170" s="4">
        <v>986.60400000000004</v>
      </c>
      <c r="G170" s="5">
        <v>105.8002</v>
      </c>
      <c r="H170" s="5">
        <v>18.260000000000002</v>
      </c>
      <c r="I170" s="5">
        <v>765</v>
      </c>
      <c r="J170" s="4" t="s">
        <v>122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125</v>
      </c>
      <c r="E171" s="4" t="s">
        <v>455</v>
      </c>
      <c r="F171" s="4">
        <v>857.96</v>
      </c>
      <c r="G171" s="5"/>
      <c r="H171" s="5"/>
      <c r="I171" s="5"/>
      <c r="J171" s="4" t="s">
        <v>127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120</v>
      </c>
      <c r="E172" s="4" t="s">
        <v>458</v>
      </c>
      <c r="F172" s="4">
        <v>1.0015499999999999</v>
      </c>
      <c r="G172" s="5">
        <v>100.77170000000001</v>
      </c>
      <c r="H172" s="5">
        <v>5.58</v>
      </c>
      <c r="I172" s="5">
        <v>145</v>
      </c>
      <c r="J172" s="4" t="s">
        <v>122</v>
      </c>
    </row>
    <row r="173" spans="1:10" x14ac:dyDescent="0.25">
      <c r="A173" s="4">
        <f t="shared" ca="1" si="5"/>
        <v>170</v>
      </c>
      <c r="B173" s="4" t="s">
        <v>459</v>
      </c>
      <c r="C173" s="4" t="s">
        <v>460</v>
      </c>
      <c r="D173" s="4" t="s">
        <v>120</v>
      </c>
      <c r="E173" s="4" t="s">
        <v>458</v>
      </c>
      <c r="F173" s="4">
        <v>0.87034400000000001</v>
      </c>
      <c r="G173" s="5">
        <v>88.4602</v>
      </c>
      <c r="H173" s="5">
        <v>5.72</v>
      </c>
      <c r="I173" s="5">
        <v>2015</v>
      </c>
      <c r="J173" s="4" t="s">
        <v>122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120</v>
      </c>
      <c r="E174" s="4" t="s">
        <v>458</v>
      </c>
      <c r="F174" s="4">
        <v>1001.8380000000001</v>
      </c>
      <c r="G174" s="5">
        <v>100.2859</v>
      </c>
      <c r="H174" s="5">
        <v>5.2</v>
      </c>
      <c r="I174" s="5">
        <v>1455</v>
      </c>
      <c r="J174" s="4" t="s">
        <v>122</v>
      </c>
    </row>
    <row r="175" spans="1:10" x14ac:dyDescent="0.25">
      <c r="A175" s="4">
        <f t="shared" ca="1" si="5"/>
        <v>172</v>
      </c>
      <c r="B175" s="4" t="s">
        <v>463</v>
      </c>
      <c r="C175" s="4" t="s">
        <v>464</v>
      </c>
      <c r="D175" s="4" t="s">
        <v>120</v>
      </c>
      <c r="E175" s="4" t="s">
        <v>458</v>
      </c>
      <c r="F175" s="4">
        <v>1.0384119999999999</v>
      </c>
      <c r="G175" s="5">
        <v>104.20060000000001</v>
      </c>
      <c r="H175" s="5">
        <v>4.66</v>
      </c>
      <c r="I175" s="5">
        <v>1621</v>
      </c>
      <c r="J175" s="4" t="s">
        <v>122</v>
      </c>
    </row>
    <row r="176" spans="1:10" x14ac:dyDescent="0.25">
      <c r="A176" s="4">
        <f t="shared" ca="1" si="5"/>
        <v>173</v>
      </c>
      <c r="B176" s="4" t="s">
        <v>465</v>
      </c>
      <c r="C176" s="4" t="s">
        <v>466</v>
      </c>
      <c r="D176" s="4" t="s">
        <v>125</v>
      </c>
      <c r="E176" s="4" t="s">
        <v>467</v>
      </c>
      <c r="F176" s="4">
        <v>29306.86</v>
      </c>
      <c r="G176" s="5"/>
      <c r="H176" s="5"/>
      <c r="I176" s="5"/>
      <c r="J176" s="4" t="s">
        <v>127</v>
      </c>
    </row>
    <row r="177" spans="1:10" x14ac:dyDescent="0.25">
      <c r="A177" s="4">
        <f t="shared" ca="1" si="5"/>
        <v>174</v>
      </c>
      <c r="B177" s="4" t="s">
        <v>468</v>
      </c>
      <c r="C177" s="4" t="s">
        <v>469</v>
      </c>
      <c r="D177" s="4" t="s">
        <v>125</v>
      </c>
      <c r="E177" s="4" t="s">
        <v>470</v>
      </c>
      <c r="F177" s="4">
        <v>41768.07</v>
      </c>
      <c r="G177" s="5"/>
      <c r="H177" s="5"/>
      <c r="I177" s="5"/>
      <c r="J177" s="4" t="s">
        <v>127</v>
      </c>
    </row>
    <row r="178" spans="1:10" x14ac:dyDescent="0.25">
      <c r="A178" s="4">
        <f t="shared" ca="1" si="5"/>
        <v>175</v>
      </c>
      <c r="B178" s="4" t="s">
        <v>471</v>
      </c>
      <c r="C178" s="4" t="s">
        <v>472</v>
      </c>
      <c r="D178" s="4" t="s">
        <v>125</v>
      </c>
      <c r="E178" s="4" t="s">
        <v>470</v>
      </c>
      <c r="F178" s="4">
        <v>77.460000000000008</v>
      </c>
      <c r="G178" s="5"/>
      <c r="H178" s="5"/>
      <c r="I178" s="5"/>
      <c r="J178" s="4" t="s">
        <v>150</v>
      </c>
    </row>
    <row r="179" spans="1:10" x14ac:dyDescent="0.25">
      <c r="A179" s="4">
        <f t="shared" ca="1" si="5"/>
        <v>176</v>
      </c>
      <c r="B179" s="4" t="s">
        <v>473</v>
      </c>
      <c r="C179" s="4" t="s">
        <v>474</v>
      </c>
      <c r="D179" s="4" t="s">
        <v>120</v>
      </c>
      <c r="E179" s="4" t="s">
        <v>475</v>
      </c>
      <c r="F179" s="4">
        <v>1000.23</v>
      </c>
      <c r="G179" s="5">
        <v>101.23690000000001</v>
      </c>
      <c r="H179" s="5">
        <v>18.98</v>
      </c>
      <c r="I179" s="5">
        <v>1804</v>
      </c>
      <c r="J179" s="4" t="s">
        <v>122</v>
      </c>
    </row>
    <row r="180" spans="1:10" x14ac:dyDescent="0.25">
      <c r="A180" s="4">
        <f t="shared" ca="1" si="5"/>
        <v>177</v>
      </c>
      <c r="B180" s="4" t="s">
        <v>476</v>
      </c>
      <c r="C180" s="4" t="s">
        <v>477</v>
      </c>
      <c r="D180" s="4" t="s">
        <v>120</v>
      </c>
      <c r="E180" s="4" t="s">
        <v>475</v>
      </c>
      <c r="F180" s="4">
        <v>1000.061</v>
      </c>
      <c r="G180" s="5">
        <v>101.22</v>
      </c>
      <c r="H180" s="5">
        <v>18.98</v>
      </c>
      <c r="I180" s="5">
        <v>1804</v>
      </c>
      <c r="J180" s="4" t="s">
        <v>122</v>
      </c>
    </row>
    <row r="181" spans="1:10" x14ac:dyDescent="0.25">
      <c r="A181" s="4">
        <f t="shared" ca="1" si="5"/>
        <v>178</v>
      </c>
      <c r="B181" s="4" t="s">
        <v>478</v>
      </c>
      <c r="C181" s="4" t="s">
        <v>479</v>
      </c>
      <c r="D181" s="4" t="s">
        <v>120</v>
      </c>
      <c r="E181" s="4" t="s">
        <v>480</v>
      </c>
      <c r="F181" s="4">
        <v>99.973399999999998</v>
      </c>
      <c r="G181" s="5">
        <v>101.31780000000001</v>
      </c>
      <c r="H181" s="5">
        <v>11</v>
      </c>
      <c r="I181" s="5">
        <v>322</v>
      </c>
      <c r="J181" s="4" t="s">
        <v>122</v>
      </c>
    </row>
    <row r="182" spans="1:10" x14ac:dyDescent="0.25">
      <c r="A182" s="4">
        <f t="shared" ca="1" si="5"/>
        <v>179</v>
      </c>
      <c r="B182" s="4" t="s">
        <v>481</v>
      </c>
      <c r="C182" s="4" t="s">
        <v>482</v>
      </c>
      <c r="D182" s="4" t="s">
        <v>125</v>
      </c>
      <c r="E182" s="4" t="s">
        <v>483</v>
      </c>
      <c r="F182" s="4">
        <v>6.44</v>
      </c>
      <c r="G182" s="5"/>
      <c r="H182" s="5"/>
      <c r="I182" s="5"/>
      <c r="J182" s="4" t="s">
        <v>150</v>
      </c>
    </row>
    <row r="183" spans="1:10" x14ac:dyDescent="0.25">
      <c r="A183" s="4">
        <f t="shared" ca="1" si="5"/>
        <v>180</v>
      </c>
      <c r="B183" s="4" t="s">
        <v>484</v>
      </c>
      <c r="C183" s="4" t="s">
        <v>485</v>
      </c>
      <c r="D183" s="4" t="s">
        <v>125</v>
      </c>
      <c r="E183" s="4" t="s">
        <v>483</v>
      </c>
      <c r="F183" s="4">
        <v>848.54</v>
      </c>
      <c r="G183" s="5"/>
      <c r="H183" s="5"/>
      <c r="I183" s="5"/>
      <c r="J183" s="4" t="s">
        <v>127</v>
      </c>
    </row>
    <row r="184" spans="1:10" x14ac:dyDescent="0.25">
      <c r="A184" s="4">
        <f t="shared" ca="1" si="5"/>
        <v>181</v>
      </c>
      <c r="B184" s="4" t="s">
        <v>486</v>
      </c>
      <c r="C184" s="4" t="s">
        <v>72</v>
      </c>
      <c r="D184" s="4" t="s">
        <v>120</v>
      </c>
      <c r="E184" s="4" t="s">
        <v>71</v>
      </c>
      <c r="F184" s="4">
        <v>0.99750399999999995</v>
      </c>
      <c r="G184" s="5">
        <v>100.38600000000001</v>
      </c>
      <c r="H184" s="5">
        <v>6.36</v>
      </c>
      <c r="I184" s="5">
        <v>142</v>
      </c>
      <c r="J184" s="4" t="s">
        <v>122</v>
      </c>
    </row>
    <row r="185" spans="1:10" x14ac:dyDescent="0.25">
      <c r="A185" s="4">
        <f t="shared" ca="1" si="5"/>
        <v>182</v>
      </c>
      <c r="B185" s="4" t="s">
        <v>487</v>
      </c>
      <c r="C185" s="4" t="s">
        <v>488</v>
      </c>
      <c r="D185" s="4" t="s">
        <v>120</v>
      </c>
      <c r="E185" s="4" t="s">
        <v>71</v>
      </c>
      <c r="F185" s="4">
        <v>1000</v>
      </c>
      <c r="G185" s="5">
        <v>101.5822</v>
      </c>
      <c r="H185" s="5">
        <v>17.47</v>
      </c>
      <c r="I185" s="5">
        <v>880</v>
      </c>
      <c r="J185" s="4" t="s">
        <v>122</v>
      </c>
    </row>
    <row r="186" spans="1:10" x14ac:dyDescent="0.25">
      <c r="A186" s="4">
        <f t="shared" ca="1" si="5"/>
        <v>183</v>
      </c>
      <c r="B186" s="4" t="s">
        <v>489</v>
      </c>
      <c r="C186" s="4" t="s">
        <v>101</v>
      </c>
      <c r="D186" s="4" t="s">
        <v>120</v>
      </c>
      <c r="E186" s="4" t="s">
        <v>71</v>
      </c>
      <c r="F186" s="4">
        <v>943.51341142982301</v>
      </c>
      <c r="G186" s="5">
        <v>96.615541140000005</v>
      </c>
      <c r="H186" s="5">
        <v>18.07</v>
      </c>
      <c r="I186" s="5">
        <v>674</v>
      </c>
      <c r="J186" s="4" t="s">
        <v>122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120</v>
      </c>
      <c r="E187" s="4" t="s">
        <v>71</v>
      </c>
      <c r="F187" s="4">
        <v>1000</v>
      </c>
      <c r="G187" s="5">
        <v>102.9384</v>
      </c>
      <c r="H187" s="5">
        <v>16.22</v>
      </c>
      <c r="I187" s="5">
        <v>849</v>
      </c>
      <c r="J187" s="4" t="s">
        <v>122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120</v>
      </c>
      <c r="E188" s="4" t="s">
        <v>494</v>
      </c>
      <c r="F188" s="4">
        <v>1.0180069999999999</v>
      </c>
      <c r="G188" s="5">
        <v>104.4046</v>
      </c>
      <c r="H188" s="5">
        <v>4.68</v>
      </c>
      <c r="I188" s="5">
        <v>922</v>
      </c>
      <c r="J188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2025-10-31T05:46:09Z</dcterms:created>
  <dcterms:modified xsi:type="dcterms:W3CDTF">2025-10-31T07:44:59Z</dcterms:modified>
</cp:coreProperties>
</file>