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1DB14CFF-664E-4E89-880C-F814363F84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K2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B1" i="2"/>
  <c r="C72" i="1"/>
  <c r="G56" i="1"/>
  <c r="F56" i="1"/>
  <c r="E56" i="1"/>
  <c r="G45" i="1"/>
  <c r="F45" i="1"/>
  <c r="E45" i="1"/>
  <c r="M38" i="1"/>
  <c r="H38" i="1"/>
  <c r="M37" i="1"/>
  <c r="M40" i="1" s="1"/>
  <c r="H37" i="1"/>
  <c r="M36" i="1"/>
  <c r="H36" i="1"/>
  <c r="M35" i="1"/>
  <c r="H35" i="1"/>
  <c r="B29" i="1"/>
  <c r="L26" i="1"/>
  <c r="Q1" i="1" s="1"/>
  <c r="H26" i="1"/>
  <c r="D26" i="1"/>
  <c r="B47" i="1" l="1"/>
  <c r="M22" i="1"/>
  <c r="M18" i="1"/>
  <c r="M14" i="1"/>
  <c r="M10" i="1"/>
  <c r="M23" i="1"/>
  <c r="M17" i="1"/>
  <c r="M12" i="1"/>
  <c r="M21" i="1"/>
  <c r="M16" i="1"/>
  <c r="M11" i="1"/>
  <c r="M20" i="1"/>
  <c r="M15" i="1"/>
  <c r="M9" i="1"/>
  <c r="M19" i="1"/>
  <c r="M13" i="1"/>
  <c r="M8" i="1"/>
  <c r="M24" i="1"/>
  <c r="M26" i="1" l="1"/>
</calcChain>
</file>

<file path=xl/sharedStrings.xml><?xml version="1.0" encoding="utf-8"?>
<sst xmlns="http://schemas.openxmlformats.org/spreadsheetml/2006/main" count="1065" uniqueCount="480">
  <si>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</si>
  <si>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</si>
  <si>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</si>
  <si>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</si>
  <si>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</si>
  <si>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</si>
  <si>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</si>
  <si>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</si>
  <si>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</si>
  <si>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</si>
  <si>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</si>
  <si>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</si>
  <si>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</si>
  <si>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</si>
  <si>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</si>
  <si>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</si>
  <si>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</si>
  <si>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</si>
  <si>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</si>
  <si>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</si>
  <si>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</si>
  <si>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</si>
  <si>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</si>
  <si>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</si>
  <si>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</si>
  <si>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</si>
  <si>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</si>
  <si>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</si>
  <si>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</si>
  <si>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</si>
  <si>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</si>
  <si>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</si>
  <si>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</si>
  <si>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</si>
  <si>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</si>
  <si>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</si>
  <si>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</si>
  <si>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</si>
  <si>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</si>
  <si>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</si>
  <si>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</si>
  <si>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</si>
  <si>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</si>
  <si>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</si>
  <si>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</si>
  <si>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</si>
  <si>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</si>
  <si>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</si>
  <si>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</si>
  <si>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</si>
  <si>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</si>
  <si>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</si>
  <si>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</si>
  <si>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</si>
  <si>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</si>
  <si>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</si>
  <si>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</si>
  <si>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</si>
  <si>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</si>
  <si>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</si>
  <si>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</si>
  <si>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</si>
  <si>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</si>
  <si>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</si>
  <si>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</si>
  <si>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</si>
  <si>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</si>
  <si>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KZ2C00006906</t>
  </si>
  <si>
    <t>KZT</t>
  </si>
  <si>
    <t>16.10.2025</t>
  </si>
  <si>
    <t>17.10.2025</t>
  </si>
  <si>
    <t>KZ2C00009462</t>
  </si>
  <si>
    <t>20.10.2025</t>
  </si>
  <si>
    <t>МИНИСТЕРСТВО ФИНАНСОВ РК</t>
  </si>
  <si>
    <t>XS3093658014</t>
  </si>
  <si>
    <t>KZ96601A861038102391</t>
  </si>
  <si>
    <t>KZKD00000535</t>
  </si>
  <si>
    <t>18.07.2024</t>
  </si>
  <si>
    <t>27.03.2027</t>
  </si>
  <si>
    <t>KZKD00000949</t>
  </si>
  <si>
    <t>16.04.2032</t>
  </si>
  <si>
    <t>KZK100000373</t>
  </si>
  <si>
    <t>13.03.2025</t>
  </si>
  <si>
    <t>06.02.2026</t>
  </si>
  <si>
    <t>KZK200000760</t>
  </si>
  <si>
    <t>14.08.2025</t>
  </si>
  <si>
    <t>07.08.2029</t>
  </si>
  <si>
    <t>KZKD00001251</t>
  </si>
  <si>
    <t>07.03.2030</t>
  </si>
  <si>
    <t>KZKD00000790</t>
  </si>
  <si>
    <t>10.07.2025</t>
  </si>
  <si>
    <t>13.08.2029</t>
  </si>
  <si>
    <t>KZKD00000444</t>
  </si>
  <si>
    <t>21.08.2025</t>
  </si>
  <si>
    <t>18.08.2026</t>
  </si>
  <si>
    <t>KZKD00001087</t>
  </si>
  <si>
    <t>31.03.2029</t>
  </si>
  <si>
    <t>KZKD00001137</t>
  </si>
  <si>
    <t>12.04.2028</t>
  </si>
  <si>
    <t>KZKD00001152</t>
  </si>
  <si>
    <t>26.07.2032</t>
  </si>
  <si>
    <t>KZK200000687</t>
  </si>
  <si>
    <t>21.01.2026</t>
  </si>
  <si>
    <t>KZKD00000741</t>
  </si>
  <si>
    <t>12.05.2034</t>
  </si>
  <si>
    <t>KZKD00000832</t>
  </si>
  <si>
    <t>29.01.2035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</si>
  <si>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</si>
  <si>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</si>
  <si>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</si>
  <si>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</si>
  <si>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</si>
  <si>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</si>
  <si>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</si>
  <si>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</si>
  <si>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</si>
  <si>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KZKD00001129</t>
  </si>
  <si>
    <t>17.03.2031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</si>
  <si>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</si>
  <si>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</si>
  <si>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</si>
  <si>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</si>
  <si>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</si>
  <si>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</si>
  <si>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</si>
  <si>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</si>
  <si>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</si>
  <si>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</si>
  <si>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</si>
  <si>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</si>
  <si>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</si>
  <si>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</si>
  <si>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</si>
  <si>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</si>
  <si>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</si>
  <si>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</si>
  <si>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</si>
  <si>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</si>
  <si>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</si>
  <si>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</si>
  <si>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</si>
  <si>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</si>
  <si>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</si>
  <si>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</si>
  <si>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</si>
  <si>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</si>
  <si>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</si>
  <si>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</si>
  <si>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</si>
  <si>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</si>
  <si>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</si>
  <si>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</si>
  <si>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</si>
  <si>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</si>
  <si>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</si>
  <si>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</si>
  <si>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</si>
  <si>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</si>
  <si>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</si>
  <si>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</si>
  <si>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</si>
  <si>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</si>
  <si>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</si>
  <si>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</si>
  <si>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</si>
  <si>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</si>
  <si>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</si>
  <si>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MFDFb1</t>
  </si>
  <si>
    <t>KZ2P00010457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</si>
  <si>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</si>
  <si>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</si>
  <si>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</si>
  <si>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</si>
  <si>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</si>
  <si>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</si>
  <si>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</si>
  <si>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</si>
  <si>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</si>
  <si>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</si>
  <si>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MFDGb1</t>
  </si>
  <si>
    <t>KZ2P00012677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</si>
  <si>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</si>
  <si>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</si>
  <si>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</si>
  <si>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</si>
  <si>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</si>
  <si>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</si>
  <si>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</si>
  <si>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</si>
  <si>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</si>
  <si>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</si>
  <si>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</si>
  <si>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</si>
  <si>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</si>
  <si>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</si>
  <si>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</si>
  <si>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</si>
  <si>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</si>
  <si>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</si>
  <si>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</si>
  <si>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</si>
  <si>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</si>
  <si>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</si>
  <si>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</si>
  <si>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</si>
  <si>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</si>
  <si>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</si>
  <si>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</si>
  <si>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</si>
  <si>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</si>
  <si>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</si>
  <si>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</si>
  <si>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</si>
  <si>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</si>
  <si>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</si>
  <si>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</si>
  <si>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</si>
  <si>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</si>
  <si>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</si>
  <si>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</si>
  <si>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</si>
  <si>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</si>
  <si>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MFDFb3</t>
  </si>
  <si>
    <t>KZ2P00013840</t>
  </si>
  <si>
    <t>MFRFb11</t>
  </si>
  <si>
    <t>KZ2P00010937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</si>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</sst>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3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25829701769.966633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73</v>
      </c>
      <c r="B8" s="15" t="s">
        <v>76</v>
      </c>
      <c r="C8" s="16">
        <v>3162500</v>
      </c>
      <c r="D8" s="17">
        <v>3162500000</v>
      </c>
      <c r="E8" s="18">
        <v>5.49</v>
      </c>
      <c r="F8" s="19" t="s">
        <v>77</v>
      </c>
      <c r="G8" s="19" t="s">
        <v>78</v>
      </c>
      <c r="H8" s="18">
        <v>2627740225</v>
      </c>
      <c r="I8" s="20">
        <v>86.229500000000002</v>
      </c>
      <c r="J8" s="20">
        <v>89.279499999999999</v>
      </c>
      <c r="K8" s="18">
        <v>96456250</v>
      </c>
      <c r="L8" s="18">
        <v>2823464187.5</v>
      </c>
      <c r="M8" s="21">
        <f t="shared" ref="M8:M24" si="0">L8/$Q$1</f>
        <v>0.10931075444250657</v>
      </c>
      <c r="O8" s="10">
        <v>749863.88888888899</v>
      </c>
    </row>
    <row r="9" spans="1:17" x14ac:dyDescent="0.2">
      <c r="A9" s="15" t="s">
        <v>73</v>
      </c>
      <c r="B9" s="15" t="s">
        <v>79</v>
      </c>
      <c r="C9" s="16">
        <v>1897500</v>
      </c>
      <c r="D9" s="17">
        <v>1897500000</v>
      </c>
      <c r="E9" s="18">
        <v>8.4499999999999993</v>
      </c>
      <c r="F9" s="19" t="s">
        <v>77</v>
      </c>
      <c r="G9" s="19" t="s">
        <v>80</v>
      </c>
      <c r="H9" s="18">
        <v>1457889097.496666</v>
      </c>
      <c r="I9" s="20">
        <v>67.51100000000001</v>
      </c>
      <c r="J9" s="20">
        <v>71.759500000000003</v>
      </c>
      <c r="K9" s="18">
        <v>80614760.416666657</v>
      </c>
      <c r="L9" s="18">
        <v>1361635985.416666</v>
      </c>
      <c r="M9" s="21">
        <f t="shared" si="0"/>
        <v>5.2715900382555018E-2</v>
      </c>
      <c r="O9" s="10">
        <v>749863.88888888899</v>
      </c>
    </row>
    <row r="10" spans="1:17" x14ac:dyDescent="0.2">
      <c r="A10" s="15" t="s">
        <v>73</v>
      </c>
      <c r="B10" s="15" t="s">
        <v>81</v>
      </c>
      <c r="C10" s="16">
        <v>11424000</v>
      </c>
      <c r="D10" s="17">
        <v>1142400000</v>
      </c>
      <c r="E10" s="18">
        <v>0</v>
      </c>
      <c r="F10" s="19" t="s">
        <v>82</v>
      </c>
      <c r="G10" s="19" t="s">
        <v>83</v>
      </c>
      <c r="H10" s="18">
        <v>1003902278.4</v>
      </c>
      <c r="I10" s="20">
        <v>95.290400000000005</v>
      </c>
      <c r="J10" s="20">
        <v>95.290400000000005</v>
      </c>
      <c r="K10" s="18"/>
      <c r="L10" s="18">
        <v>1088597529.5999999</v>
      </c>
      <c r="M10" s="21">
        <f t="shared" si="0"/>
        <v>4.2145183838930796E-2</v>
      </c>
      <c r="O10" s="10">
        <v>749863.88888888899</v>
      </c>
    </row>
    <row r="11" spans="1:17" x14ac:dyDescent="0.2">
      <c r="A11" s="15" t="s">
        <v>73</v>
      </c>
      <c r="B11" s="15" t="s">
        <v>84</v>
      </c>
      <c r="C11" s="16">
        <v>897100</v>
      </c>
      <c r="D11" s="17">
        <v>897100000</v>
      </c>
      <c r="E11" s="18">
        <v>17.010000000000002</v>
      </c>
      <c r="F11" s="19" t="s">
        <v>85</v>
      </c>
      <c r="G11" s="19" t="s">
        <v>86</v>
      </c>
      <c r="H11" s="18">
        <v>896985171.20000005</v>
      </c>
      <c r="I11" s="20">
        <v>101.7145</v>
      </c>
      <c r="J11" s="20">
        <v>105.02200000000001</v>
      </c>
      <c r="K11" s="18">
        <v>29671582.5</v>
      </c>
      <c r="L11" s="18">
        <v>942152362</v>
      </c>
      <c r="M11" s="21">
        <f t="shared" si="0"/>
        <v>3.6475541622222031E-2</v>
      </c>
      <c r="O11" s="10">
        <v>749863.88888888899</v>
      </c>
    </row>
    <row r="12" spans="1:17" x14ac:dyDescent="0.2">
      <c r="A12" s="15" t="s">
        <v>73</v>
      </c>
      <c r="B12" s="15" t="s">
        <v>87</v>
      </c>
      <c r="C12" s="16">
        <v>550000</v>
      </c>
      <c r="D12" s="17">
        <v>550000000</v>
      </c>
      <c r="E12" s="18">
        <v>12</v>
      </c>
      <c r="F12" s="19" t="s">
        <v>82</v>
      </c>
      <c r="G12" s="19" t="s">
        <v>88</v>
      </c>
      <c r="H12" s="18">
        <v>491343050</v>
      </c>
      <c r="I12" s="20">
        <v>85.081000000000003</v>
      </c>
      <c r="J12" s="20">
        <v>92.414300000000011</v>
      </c>
      <c r="K12" s="18">
        <v>40333333.333333328</v>
      </c>
      <c r="L12" s="18">
        <v>508278833.33333302</v>
      </c>
      <c r="M12" s="21">
        <f t="shared" si="0"/>
        <v>1.9678075955345792E-2</v>
      </c>
      <c r="O12" s="10">
        <v>749863.88888888899</v>
      </c>
    </row>
    <row r="13" spans="1:17" x14ac:dyDescent="0.2">
      <c r="A13" s="15" t="s">
        <v>73</v>
      </c>
      <c r="B13" s="15" t="s">
        <v>89</v>
      </c>
      <c r="C13" s="16">
        <v>2469500</v>
      </c>
      <c r="D13" s="17">
        <v>2469500000</v>
      </c>
      <c r="E13" s="18">
        <v>7.68</v>
      </c>
      <c r="F13" s="19" t="s">
        <v>90</v>
      </c>
      <c r="G13" s="19" t="s">
        <v>91</v>
      </c>
      <c r="H13" s="18">
        <v>1827657194</v>
      </c>
      <c r="I13" s="20">
        <v>75.12230000000001</v>
      </c>
      <c r="J13" s="20">
        <v>76.4876</v>
      </c>
      <c r="K13" s="18">
        <v>33716906.666666657</v>
      </c>
      <c r="L13" s="18">
        <v>1888862105.166666</v>
      </c>
      <c r="M13" s="21">
        <f t="shared" si="0"/>
        <v>7.3127522802564127E-2</v>
      </c>
      <c r="O13" s="10">
        <v>749863.88888888899</v>
      </c>
    </row>
    <row r="14" spans="1:17" x14ac:dyDescent="0.2">
      <c r="A14" s="15" t="s">
        <v>73</v>
      </c>
      <c r="B14" s="15" t="s">
        <v>92</v>
      </c>
      <c r="C14" s="16">
        <v>1106600</v>
      </c>
      <c r="D14" s="17">
        <v>1106600000</v>
      </c>
      <c r="E14" s="18">
        <v>5.5</v>
      </c>
      <c r="F14" s="19" t="s">
        <v>93</v>
      </c>
      <c r="G14" s="19" t="s">
        <v>94</v>
      </c>
      <c r="H14" s="18">
        <v>999478906.79999995</v>
      </c>
      <c r="I14" s="20">
        <v>91.636900000000011</v>
      </c>
      <c r="J14" s="20">
        <v>92.538300000000007</v>
      </c>
      <c r="K14" s="18">
        <v>9974769.4444444403</v>
      </c>
      <c r="L14" s="18">
        <v>1024028704.84444</v>
      </c>
      <c r="M14" s="21">
        <f t="shared" si="0"/>
        <v>3.9645394049230745E-2</v>
      </c>
      <c r="O14" s="10">
        <v>749863.88888888899</v>
      </c>
    </row>
    <row r="15" spans="1:17" x14ac:dyDescent="0.2">
      <c r="A15" s="15" t="s">
        <v>73</v>
      </c>
      <c r="B15" s="15" t="s">
        <v>95</v>
      </c>
      <c r="C15" s="16">
        <v>1897500</v>
      </c>
      <c r="D15" s="17">
        <v>1897500000</v>
      </c>
      <c r="E15" s="18">
        <v>11</v>
      </c>
      <c r="F15" s="19" t="s">
        <v>77</v>
      </c>
      <c r="G15" s="19" t="s">
        <v>96</v>
      </c>
      <c r="H15" s="18">
        <v>1743261712.5</v>
      </c>
      <c r="I15" s="20">
        <v>84.98360000000001</v>
      </c>
      <c r="J15" s="20">
        <v>91.003</v>
      </c>
      <c r="K15" s="18">
        <v>114218958.333333</v>
      </c>
      <c r="L15" s="18">
        <v>1726782768.333333</v>
      </c>
      <c r="M15" s="21">
        <f t="shared" si="0"/>
        <v>6.6852601850058591E-2</v>
      </c>
      <c r="O15" s="10">
        <v>749863.88888888899</v>
      </c>
    </row>
    <row r="16" spans="1:17" x14ac:dyDescent="0.2">
      <c r="A16" s="15" t="s">
        <v>73</v>
      </c>
      <c r="B16" s="15" t="s">
        <v>97</v>
      </c>
      <c r="C16" s="16">
        <v>1897500</v>
      </c>
      <c r="D16" s="17">
        <v>1897500000</v>
      </c>
      <c r="E16" s="18">
        <v>10.4</v>
      </c>
      <c r="F16" s="19" t="s">
        <v>77</v>
      </c>
      <c r="G16" s="19" t="s">
        <v>98</v>
      </c>
      <c r="H16" s="18">
        <v>1736743800</v>
      </c>
      <c r="I16" s="20">
        <v>87.257600000000011</v>
      </c>
      <c r="J16" s="20">
        <v>92.602000000000004</v>
      </c>
      <c r="K16" s="18">
        <v>101410833.333333</v>
      </c>
      <c r="L16" s="18">
        <v>1757123793.333333</v>
      </c>
      <c r="M16" s="21">
        <f t="shared" si="0"/>
        <v>6.8027258269641372E-2</v>
      </c>
      <c r="O16" s="10">
        <v>749863.88888888899</v>
      </c>
    </row>
    <row r="17" spans="1:15" x14ac:dyDescent="0.2">
      <c r="A17" s="15" t="s">
        <v>73</v>
      </c>
      <c r="B17" s="15" t="s">
        <v>99</v>
      </c>
      <c r="C17" s="16">
        <v>1897500</v>
      </c>
      <c r="D17" s="17">
        <v>1897500000</v>
      </c>
      <c r="E17" s="18">
        <v>10.65</v>
      </c>
      <c r="F17" s="19" t="s">
        <v>77</v>
      </c>
      <c r="G17" s="19" t="s">
        <v>100</v>
      </c>
      <c r="H17" s="18">
        <v>1648500562.5</v>
      </c>
      <c r="I17" s="20">
        <v>75.232700000000008</v>
      </c>
      <c r="J17" s="20">
        <v>77.629000000000005</v>
      </c>
      <c r="K17" s="18">
        <v>45468843.75</v>
      </c>
      <c r="L17" s="18">
        <v>1473009326.25</v>
      </c>
      <c r="M17" s="21">
        <f t="shared" si="0"/>
        <v>5.7027732622245558E-2</v>
      </c>
      <c r="O17" s="10">
        <v>749863.88888888899</v>
      </c>
    </row>
    <row r="18" spans="1:15" x14ac:dyDescent="0.2">
      <c r="A18" s="15" t="s">
        <v>73</v>
      </c>
      <c r="B18" s="15" t="s">
        <v>101</v>
      </c>
      <c r="C18" s="16">
        <v>2530000</v>
      </c>
      <c r="D18" s="17">
        <v>2530000000</v>
      </c>
      <c r="E18" s="18">
        <v>10.67</v>
      </c>
      <c r="F18" s="19" t="s">
        <v>77</v>
      </c>
      <c r="G18" s="19" t="s">
        <v>102</v>
      </c>
      <c r="H18" s="18">
        <v>2455119589.9966769</v>
      </c>
      <c r="I18" s="20">
        <v>98.518200000000007</v>
      </c>
      <c r="J18" s="20">
        <v>101.06710000000001</v>
      </c>
      <c r="K18" s="18">
        <v>64488294.44444444</v>
      </c>
      <c r="L18" s="18">
        <v>2556998754.4444442</v>
      </c>
      <c r="M18" s="21">
        <f t="shared" si="0"/>
        <v>9.8994513262928296E-2</v>
      </c>
      <c r="O18" s="10">
        <v>749863.88888888899</v>
      </c>
    </row>
    <row r="19" spans="1:15" x14ac:dyDescent="0.2">
      <c r="A19" s="15" t="s">
        <v>73</v>
      </c>
      <c r="B19" s="15" t="s">
        <v>103</v>
      </c>
      <c r="C19" s="16">
        <v>1897500</v>
      </c>
      <c r="D19" s="17">
        <v>1897500000</v>
      </c>
      <c r="E19" s="18">
        <v>8.07</v>
      </c>
      <c r="F19" s="19" t="s">
        <v>77</v>
      </c>
      <c r="G19" s="19" t="s">
        <v>104</v>
      </c>
      <c r="H19" s="18">
        <v>1359122325</v>
      </c>
      <c r="I19" s="20">
        <v>60.795999999999999</v>
      </c>
      <c r="J19" s="20">
        <v>64.270600000000002</v>
      </c>
      <c r="K19" s="18">
        <v>65930218.75</v>
      </c>
      <c r="L19" s="18">
        <v>1219534318.75</v>
      </c>
      <c r="M19" s="21">
        <f t="shared" si="0"/>
        <v>4.7214417325096951E-2</v>
      </c>
      <c r="O19" s="10">
        <v>749863.88888888899</v>
      </c>
    </row>
    <row r="20" spans="1:15" x14ac:dyDescent="0.2">
      <c r="A20" s="15" t="s">
        <v>73</v>
      </c>
      <c r="B20" s="15" t="s">
        <v>105</v>
      </c>
      <c r="C20" s="16">
        <v>1897500</v>
      </c>
      <c r="D20" s="17">
        <v>1897500000</v>
      </c>
      <c r="E20" s="18">
        <v>8.07</v>
      </c>
      <c r="F20" s="19" t="s">
        <v>77</v>
      </c>
      <c r="G20" s="19" t="s">
        <v>106</v>
      </c>
      <c r="H20" s="18">
        <v>1338524962.5</v>
      </c>
      <c r="I20" s="20">
        <v>59.321899999999999</v>
      </c>
      <c r="J20" s="20">
        <v>65.105400000000003</v>
      </c>
      <c r="K20" s="18">
        <v>109741912.5</v>
      </c>
      <c r="L20" s="18">
        <v>1235374965</v>
      </c>
      <c r="M20" s="21">
        <f t="shared" si="0"/>
        <v>4.7827689843342541E-2</v>
      </c>
      <c r="O20" s="10">
        <v>749863.88888888899</v>
      </c>
    </row>
    <row r="21" spans="1:15" x14ac:dyDescent="0.2">
      <c r="A21" s="15" t="s">
        <v>73</v>
      </c>
      <c r="B21" s="15" t="s">
        <v>107</v>
      </c>
      <c r="C21" s="16">
        <v>1897500</v>
      </c>
      <c r="D21" s="17">
        <v>1897500000</v>
      </c>
      <c r="E21" s="18">
        <v>10.55</v>
      </c>
      <c r="F21" s="19" t="s">
        <v>77</v>
      </c>
      <c r="G21" s="19" t="s">
        <v>108</v>
      </c>
      <c r="H21" s="18">
        <v>1708326839.9966669</v>
      </c>
      <c r="I21" s="20">
        <v>82.854100000000003</v>
      </c>
      <c r="J21" s="20">
        <v>85.169200000000004</v>
      </c>
      <c r="K21" s="18">
        <v>43929760.416666657</v>
      </c>
      <c r="L21" s="18">
        <v>1616086307.916666</v>
      </c>
      <c r="M21" s="21">
        <f t="shared" si="0"/>
        <v>6.2566975116830931E-2</v>
      </c>
      <c r="O21" s="10">
        <v>749863.88888888899</v>
      </c>
    </row>
    <row r="22" spans="1:15" x14ac:dyDescent="0.2">
      <c r="A22" s="15" t="s">
        <v>109</v>
      </c>
      <c r="B22" s="15" t="s">
        <v>110</v>
      </c>
      <c r="C22" s="16">
        <v>992234</v>
      </c>
      <c r="D22" s="17">
        <v>992234000</v>
      </c>
      <c r="E22" s="18">
        <v>14.3</v>
      </c>
      <c r="F22" s="19" t="s">
        <v>111</v>
      </c>
      <c r="G22" s="19" t="s">
        <v>112</v>
      </c>
      <c r="H22" s="18">
        <v>991722999.49000001</v>
      </c>
      <c r="I22" s="20">
        <v>94.642694219999996</v>
      </c>
      <c r="J22" s="20">
        <v>96.390494219999994</v>
      </c>
      <c r="K22" s="18">
        <v>17342045.355555549</v>
      </c>
      <c r="L22" s="18">
        <v>956419035.96664405</v>
      </c>
      <c r="M22" s="21">
        <f t="shared" si="0"/>
        <v>3.702787761485949E-2</v>
      </c>
      <c r="O22" s="10">
        <v>749863.88888888899</v>
      </c>
    </row>
    <row r="23" spans="1:15" x14ac:dyDescent="0.2">
      <c r="A23" s="15" t="s">
        <v>73</v>
      </c>
      <c r="B23" s="15" t="s">
        <v>113</v>
      </c>
      <c r="C23" s="16">
        <v>2391500</v>
      </c>
      <c r="D23" s="17">
        <v>2391500000</v>
      </c>
      <c r="E23" s="18">
        <v>5.3</v>
      </c>
      <c r="F23" s="19" t="s">
        <v>114</v>
      </c>
      <c r="G23" s="19" t="s">
        <v>115</v>
      </c>
      <c r="H23" s="18">
        <v>1903079172</v>
      </c>
      <c r="I23" s="20">
        <v>81.437400000000011</v>
      </c>
      <c r="J23" s="20">
        <v>86.707999999999998</v>
      </c>
      <c r="K23" s="18">
        <v>126045336.111111</v>
      </c>
      <c r="L23" s="18">
        <v>2073620757.11111</v>
      </c>
      <c r="M23" s="21">
        <f t="shared" si="0"/>
        <v>8.0280476157963354E-2</v>
      </c>
      <c r="O23" s="10">
        <v>749863.88888888899</v>
      </c>
    </row>
    <row r="24" spans="1:15" x14ac:dyDescent="0.2">
      <c r="A24" s="15" t="s">
        <v>73</v>
      </c>
      <c r="B24" s="15" t="s">
        <v>116</v>
      </c>
      <c r="C24" s="16">
        <v>1897500</v>
      </c>
      <c r="D24" s="17">
        <v>1897500000</v>
      </c>
      <c r="E24" s="18">
        <v>10.3</v>
      </c>
      <c r="F24" s="19" t="s">
        <v>77</v>
      </c>
      <c r="G24" s="19" t="s">
        <v>117</v>
      </c>
      <c r="H24" s="18">
        <v>1645329839.996666</v>
      </c>
      <c r="I24" s="20">
        <v>77.139600000000002</v>
      </c>
      <c r="J24" s="20">
        <v>83.147900000000007</v>
      </c>
      <c r="K24" s="18">
        <v>114008125</v>
      </c>
      <c r="L24" s="18">
        <v>1577732034.999999</v>
      </c>
      <c r="M24" s="21">
        <f t="shared" si="0"/>
        <v>6.10820848436779E-2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1093351930.3555546</v>
      </c>
      <c r="L26" s="23">
        <f>SUM(L8:L25)</f>
        <v>25829701769.966633</v>
      </c>
      <c r="M26" s="26">
        <f>SUM(M8:M25)</f>
        <v>1</v>
      </c>
      <c r="N26" s="9">
        <v>25829701769.96664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232004.33</v>
      </c>
    </row>
    <row r="30" spans="1:15" x14ac:dyDescent="0.2">
      <c r="A30" s="29" t="s">
        <v>75</v>
      </c>
      <c r="B30" s="30">
        <v>232004.33</v>
      </c>
      <c r="C30" s="62">
        <v>232004.39</v>
      </c>
      <c r="D30" s="63">
        <f>B30-C30</f>
        <v>-6.0000000026775524E-2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2204982</v>
      </c>
      <c r="D35" s="32" t="s">
        <v>68</v>
      </c>
      <c r="E35" s="34" t="s">
        <v>69</v>
      </c>
      <c r="F35" s="34" t="s">
        <v>70</v>
      </c>
      <c r="G35" s="35">
        <v>955.71800000181406</v>
      </c>
      <c r="H35" s="35">
        <f>J35/C35</f>
        <v>956.16312893257179</v>
      </c>
      <c r="I35" s="36">
        <v>2107340987.0799999</v>
      </c>
      <c r="J35" s="36">
        <v>2108322488.3599999</v>
      </c>
      <c r="K35" s="37">
        <v>17</v>
      </c>
      <c r="L35" s="37">
        <v>981501.28</v>
      </c>
      <c r="M35" s="31">
        <f>I35+L35</f>
        <v>2108322488.3599999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13611</v>
      </c>
      <c r="D36" s="32" t="s">
        <v>68</v>
      </c>
      <c r="E36" s="34" t="s">
        <v>69</v>
      </c>
      <c r="F36" s="34" t="s">
        <v>70</v>
      </c>
      <c r="G36" s="35">
        <v>955.71800014694008</v>
      </c>
      <c r="H36" s="35">
        <f>J36/C36</f>
        <v>956.16312908676798</v>
      </c>
      <c r="I36" s="36">
        <v>13008277.699999999</v>
      </c>
      <c r="J36" s="36">
        <v>13014336.35</v>
      </c>
      <c r="K36" s="37">
        <v>17</v>
      </c>
      <c r="L36" s="37">
        <v>6058.65</v>
      </c>
      <c r="M36" s="31">
        <f>I36+L36</f>
        <v>13014336.35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2090144</v>
      </c>
      <c r="D37" s="32" t="s">
        <v>68</v>
      </c>
      <c r="E37" s="34" t="s">
        <v>70</v>
      </c>
      <c r="F37" s="34" t="s">
        <v>72</v>
      </c>
      <c r="G37" s="35">
        <v>1008.295</v>
      </c>
      <c r="H37" s="35">
        <f>J37/C37</f>
        <v>1009.703867121117</v>
      </c>
      <c r="I37" s="36">
        <v>2107481744.48</v>
      </c>
      <c r="J37" s="36">
        <v>2110426479.6400001</v>
      </c>
      <c r="K37" s="37">
        <v>17.0002</v>
      </c>
      <c r="L37" s="37"/>
      <c r="M37" s="31">
        <f>I37+L37</f>
        <v>2107481744.48</v>
      </c>
      <c r="N37" s="10"/>
      <c r="O37" s="9"/>
      <c r="Q37" s="9">
        <v>1</v>
      </c>
    </row>
    <row r="38" spans="1:17" x14ac:dyDescent="0.2">
      <c r="A38" s="32" t="s">
        <v>73</v>
      </c>
      <c r="B38" s="32" t="s">
        <v>74</v>
      </c>
      <c r="C38" s="33">
        <v>24976</v>
      </c>
      <c r="D38" s="32" t="s">
        <v>68</v>
      </c>
      <c r="E38" s="34" t="s">
        <v>70</v>
      </c>
      <c r="F38" s="34" t="s">
        <v>72</v>
      </c>
      <c r="G38" s="35">
        <v>560.79340006406107</v>
      </c>
      <c r="H38" s="35">
        <f>J38/C38</f>
        <v>561.57697909993601</v>
      </c>
      <c r="I38" s="36">
        <v>14006375.95999999</v>
      </c>
      <c r="J38" s="36">
        <v>14025946.630000001</v>
      </c>
      <c r="K38" s="37">
        <v>17.0001</v>
      </c>
      <c r="L38" s="37"/>
      <c r="M38" s="31">
        <f>I38+L38</f>
        <v>14006375.95999999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2121488120.4400001</v>
      </c>
      <c r="N40" s="65">
        <v>2121488120.4400001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L26+B30+M40</f>
        <v>27951421894.736633</v>
      </c>
      <c r="C47" s="62">
        <v>27951421894.796638</v>
      </c>
      <c r="D47" s="62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H60" s="54"/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0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41000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365760.98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150381.59</v>
      </c>
      <c r="D67" s="57"/>
      <c r="O67" s="9"/>
    </row>
    <row r="68" spans="1:15" x14ac:dyDescent="0.2">
      <c r="A68" s="24">
        <v>7</v>
      </c>
      <c r="B68" s="55" t="s">
        <v>59</v>
      </c>
      <c r="C68" s="57">
        <v>30596.49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587739.05999999994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selection sqref="A1:XFD1048576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17.10.2025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1065.671</v>
      </c>
      <c r="G5" s="5">
        <v>108.4004</v>
      </c>
      <c r="H5" s="5">
        <v>18.47</v>
      </c>
      <c r="I5" s="5">
        <v>883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1480.03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590977.69000000006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125</v>
      </c>
      <c r="E9" s="4" t="s">
        <v>132</v>
      </c>
      <c r="F9" s="4">
        <v>0.93892999999999993</v>
      </c>
      <c r="G9" s="5">
        <v>96.736100000000008</v>
      </c>
      <c r="H9" s="5">
        <v>6.27</v>
      </c>
      <c r="I9" s="5">
        <v>7855</v>
      </c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168.53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5523.73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2740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120</v>
      </c>
      <c r="E13" s="4" t="s">
        <v>132</v>
      </c>
      <c r="F13" s="4">
        <v>6061596.1399999997</v>
      </c>
      <c r="G13" s="5"/>
      <c r="H13" s="5"/>
      <c r="I13" s="5"/>
      <c r="J13" s="4" t="s">
        <v>122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132</v>
      </c>
      <c r="F14" s="4">
        <v>130.74</v>
      </c>
      <c r="G14" s="5"/>
      <c r="H14" s="5"/>
      <c r="I14" s="5"/>
      <c r="J14" s="4" t="s">
        <v>122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120</v>
      </c>
      <c r="E15" s="4" t="s">
        <v>132</v>
      </c>
      <c r="F15" s="4">
        <v>1789663.54</v>
      </c>
      <c r="G15" s="5"/>
      <c r="H15" s="5"/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120</v>
      </c>
      <c r="E16" s="4" t="s">
        <v>132</v>
      </c>
      <c r="F16" s="4">
        <v>74177.460000000006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120</v>
      </c>
      <c r="E17" s="4" t="s">
        <v>132</v>
      </c>
      <c r="F17" s="4">
        <v>75058.91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120</v>
      </c>
      <c r="E18" s="4" t="s">
        <v>132</v>
      </c>
      <c r="F18" s="4">
        <v>53554.62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120</v>
      </c>
      <c r="E19" s="4" t="s">
        <v>132</v>
      </c>
      <c r="F19" s="4">
        <v>7.19</v>
      </c>
      <c r="G19" s="5"/>
      <c r="H19" s="5"/>
      <c r="I19" s="5"/>
      <c r="J19" s="4" t="s">
        <v>122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125</v>
      </c>
      <c r="E20" s="4" t="s">
        <v>132</v>
      </c>
      <c r="F20" s="4">
        <v>1000</v>
      </c>
      <c r="G20" s="5">
        <v>107.24260000000001</v>
      </c>
      <c r="H20" s="5">
        <v>17.48</v>
      </c>
      <c r="I20" s="5">
        <v>1129</v>
      </c>
      <c r="J20" s="4" t="s">
        <v>126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125</v>
      </c>
      <c r="E21" s="4" t="s">
        <v>132</v>
      </c>
      <c r="F21" s="4">
        <v>999.07300000000009</v>
      </c>
      <c r="G21" s="5">
        <v>100.1015</v>
      </c>
      <c r="H21" s="5">
        <v>24.54</v>
      </c>
      <c r="I21" s="5">
        <v>29</v>
      </c>
      <c r="J21" s="4" t="s">
        <v>126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125</v>
      </c>
      <c r="E22" s="4" t="s">
        <v>132</v>
      </c>
      <c r="F22" s="4">
        <v>1000</v>
      </c>
      <c r="G22" s="5">
        <v>100.1442</v>
      </c>
      <c r="H22" s="5">
        <v>17.3</v>
      </c>
      <c r="I22" s="5">
        <v>728</v>
      </c>
      <c r="J22" s="4" t="s">
        <v>126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125</v>
      </c>
      <c r="E23" s="4" t="s">
        <v>132</v>
      </c>
      <c r="F23" s="4">
        <v>1000</v>
      </c>
      <c r="G23" s="5">
        <v>104.62140000000001</v>
      </c>
      <c r="H23" s="5">
        <v>17.670000000000002</v>
      </c>
      <c r="I23" s="5">
        <v>1915</v>
      </c>
      <c r="J23" s="4" t="s">
        <v>126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125</v>
      </c>
      <c r="E24" s="4" t="s">
        <v>132</v>
      </c>
      <c r="F24" s="4">
        <v>993</v>
      </c>
      <c r="G24" s="5">
        <v>108.25830000000001</v>
      </c>
      <c r="H24" s="5">
        <v>22.18</v>
      </c>
      <c r="I24" s="5">
        <v>397</v>
      </c>
      <c r="J24" s="4" t="s">
        <v>126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125</v>
      </c>
      <c r="E25" s="4" t="s">
        <v>132</v>
      </c>
      <c r="F25" s="4">
        <v>999.86300000000006</v>
      </c>
      <c r="G25" s="5">
        <v>105.003</v>
      </c>
      <c r="H25" s="5">
        <v>21.52</v>
      </c>
      <c r="I25" s="5">
        <v>99</v>
      </c>
      <c r="J25" s="4" t="s">
        <v>126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125</v>
      </c>
      <c r="E26" s="4" t="s">
        <v>132</v>
      </c>
      <c r="F26" s="4">
        <v>1000</v>
      </c>
      <c r="G26" s="5">
        <v>102.15100000000001</v>
      </c>
      <c r="H26" s="5">
        <v>17.580000000000002</v>
      </c>
      <c r="I26" s="5">
        <v>1599</v>
      </c>
      <c r="J26" s="4" t="s">
        <v>126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120</v>
      </c>
      <c r="E27" s="4" t="s">
        <v>132</v>
      </c>
      <c r="F27" s="4">
        <v>1497.74</v>
      </c>
      <c r="G27" s="5"/>
      <c r="H27" s="5"/>
      <c r="I27" s="5"/>
      <c r="J27" s="4" t="s">
        <v>122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125</v>
      </c>
      <c r="E28" s="4" t="s">
        <v>132</v>
      </c>
      <c r="F28" s="4">
        <v>495689</v>
      </c>
      <c r="G28" s="5">
        <v>104.14890000000001</v>
      </c>
      <c r="H28" s="5">
        <v>21.76</v>
      </c>
      <c r="I28" s="5">
        <v>276</v>
      </c>
      <c r="J28" s="4" t="s">
        <v>126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125</v>
      </c>
      <c r="E29" s="4" t="s">
        <v>132</v>
      </c>
      <c r="F29" s="4">
        <v>828</v>
      </c>
      <c r="G29" s="5">
        <v>83.008300000000006</v>
      </c>
      <c r="H29" s="5">
        <v>44.24</v>
      </c>
      <c r="I29" s="5">
        <v>424</v>
      </c>
      <c r="J29" s="4" t="s">
        <v>126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125</v>
      </c>
      <c r="E30" s="4" t="s">
        <v>132</v>
      </c>
      <c r="F30" s="4">
        <v>500249.5</v>
      </c>
      <c r="G30" s="5">
        <v>102.06660000000001</v>
      </c>
      <c r="H30" s="5">
        <v>21.45</v>
      </c>
      <c r="I30" s="5">
        <v>59</v>
      </c>
      <c r="J30" s="4" t="s">
        <v>126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125</v>
      </c>
      <c r="E31" s="4" t="s">
        <v>132</v>
      </c>
      <c r="F31" s="4">
        <v>990.07500000000005</v>
      </c>
      <c r="G31" s="5">
        <v>102.5519</v>
      </c>
      <c r="H31" s="5">
        <v>23.02</v>
      </c>
      <c r="I31" s="5">
        <v>399</v>
      </c>
      <c r="J31" s="4" t="s">
        <v>126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125</v>
      </c>
      <c r="E32" s="4" t="s">
        <v>132</v>
      </c>
      <c r="F32" s="4">
        <v>1009.797</v>
      </c>
      <c r="G32" s="5">
        <v>103.4533</v>
      </c>
      <c r="H32" s="5">
        <v>6.09</v>
      </c>
      <c r="I32" s="5">
        <v>957</v>
      </c>
      <c r="J32" s="4" t="s">
        <v>126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125</v>
      </c>
      <c r="E33" s="4" t="s">
        <v>132</v>
      </c>
      <c r="F33" s="4">
        <v>99.999000000000009</v>
      </c>
      <c r="G33" s="5">
        <v>100.824</v>
      </c>
      <c r="H33" s="5">
        <v>11</v>
      </c>
      <c r="I33" s="5">
        <v>673</v>
      </c>
      <c r="J33" s="4" t="s">
        <v>126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125</v>
      </c>
      <c r="E34" s="4" t="s">
        <v>132</v>
      </c>
      <c r="F34" s="4">
        <v>101.99390000000001</v>
      </c>
      <c r="G34" s="5">
        <v>105.4731</v>
      </c>
      <c r="H34" s="5">
        <v>5.49</v>
      </c>
      <c r="I34" s="5">
        <v>380</v>
      </c>
      <c r="J34" s="4" t="s">
        <v>126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125</v>
      </c>
      <c r="E35" s="4" t="s">
        <v>132</v>
      </c>
      <c r="F35" s="4">
        <v>982.83100000000002</v>
      </c>
      <c r="G35" s="5">
        <v>106.2852</v>
      </c>
      <c r="H35" s="5">
        <v>19.13</v>
      </c>
      <c r="I35" s="5">
        <v>380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125</v>
      </c>
      <c r="E36" s="4" t="s">
        <v>132</v>
      </c>
      <c r="F36" s="4">
        <v>764.52800000000002</v>
      </c>
      <c r="G36" s="5">
        <v>76.513900000000007</v>
      </c>
      <c r="H36" s="5">
        <v>42.75</v>
      </c>
      <c r="I36" s="5">
        <v>577</v>
      </c>
      <c r="J36" s="4" t="s">
        <v>126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125</v>
      </c>
      <c r="E37" s="4" t="s">
        <v>132</v>
      </c>
      <c r="F37" s="4">
        <v>494773.5</v>
      </c>
      <c r="G37" s="5">
        <v>99.071400000000011</v>
      </c>
      <c r="H37" s="5">
        <v>21.73</v>
      </c>
      <c r="I37" s="5">
        <v>637</v>
      </c>
      <c r="J37" s="4" t="s">
        <v>126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125</v>
      </c>
      <c r="E38" s="4" t="s">
        <v>132</v>
      </c>
      <c r="F38" s="4">
        <v>971.69200000000001</v>
      </c>
      <c r="G38" s="5">
        <v>98.160899999999998</v>
      </c>
      <c r="H38" s="5">
        <v>24.11</v>
      </c>
      <c r="I38" s="5">
        <v>379</v>
      </c>
      <c r="J38" s="4" t="s">
        <v>126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125</v>
      </c>
      <c r="E39" s="4" t="s">
        <v>132</v>
      </c>
      <c r="F39" s="4">
        <v>803.05</v>
      </c>
      <c r="G39" s="5">
        <v>81.933999999999997</v>
      </c>
      <c r="H39" s="5">
        <v>32.880000000000003</v>
      </c>
      <c r="I39" s="5">
        <v>978</v>
      </c>
      <c r="J39" s="4" t="s">
        <v>126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125</v>
      </c>
      <c r="E40" s="4" t="s">
        <v>132</v>
      </c>
      <c r="F40" s="4">
        <v>999.99</v>
      </c>
      <c r="G40" s="5">
        <v>100.6712</v>
      </c>
      <c r="H40" s="5">
        <v>22</v>
      </c>
      <c r="I40" s="5">
        <v>720</v>
      </c>
      <c r="J40" s="4" t="s">
        <v>126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125</v>
      </c>
      <c r="E41" s="4" t="s">
        <v>132</v>
      </c>
      <c r="F41" s="4">
        <v>961.94900000000007</v>
      </c>
      <c r="G41" s="5">
        <v>97.567100000000011</v>
      </c>
      <c r="H41" s="5">
        <v>23.26</v>
      </c>
      <c r="I41" s="5">
        <v>370</v>
      </c>
      <c r="J41" s="4" t="s">
        <v>126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125</v>
      </c>
      <c r="E42" s="4" t="s">
        <v>132</v>
      </c>
      <c r="F42" s="4">
        <v>966.25300000000004</v>
      </c>
      <c r="G42" s="5">
        <v>97.628100000000003</v>
      </c>
      <c r="H42" s="5">
        <v>20.87</v>
      </c>
      <c r="I42" s="5">
        <v>834</v>
      </c>
      <c r="J42" s="4" t="s">
        <v>126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125</v>
      </c>
      <c r="E43" s="4" t="s">
        <v>132</v>
      </c>
      <c r="F43" s="4">
        <v>873.05100000000004</v>
      </c>
      <c r="G43" s="5">
        <v>88.938400000000001</v>
      </c>
      <c r="H43" s="5">
        <v>950</v>
      </c>
      <c r="I43" s="5">
        <v>3</v>
      </c>
      <c r="J43" s="4" t="s">
        <v>126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125</v>
      </c>
      <c r="E44" s="4" t="s">
        <v>132</v>
      </c>
      <c r="F44" s="4">
        <v>988.2170000000001</v>
      </c>
      <c r="G44" s="5">
        <v>99.113399999999999</v>
      </c>
      <c r="H44" s="5">
        <v>21.63</v>
      </c>
      <c r="I44" s="5">
        <v>878</v>
      </c>
      <c r="J44" s="4" t="s">
        <v>126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125</v>
      </c>
      <c r="E45" s="4" t="s">
        <v>132</v>
      </c>
      <c r="F45" s="4">
        <v>1004.6510000000001</v>
      </c>
      <c r="G45" s="5">
        <v>107.9401</v>
      </c>
      <c r="H45" s="5">
        <v>19.09</v>
      </c>
      <c r="I45" s="5">
        <v>590</v>
      </c>
      <c r="J45" s="4" t="s">
        <v>126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125</v>
      </c>
      <c r="E46" s="4" t="s">
        <v>132</v>
      </c>
      <c r="F46" s="4">
        <v>1000</v>
      </c>
      <c r="G46" s="5">
        <v>103.66560000000001</v>
      </c>
      <c r="H46" s="5">
        <v>16.899999999999999</v>
      </c>
      <c r="I46" s="5">
        <v>1383</v>
      </c>
      <c r="J46" s="4" t="s">
        <v>126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125</v>
      </c>
      <c r="E47" s="4" t="s">
        <v>132</v>
      </c>
      <c r="F47" s="4">
        <v>1000</v>
      </c>
      <c r="G47" s="5">
        <v>100.12570000000001</v>
      </c>
      <c r="H47" s="5">
        <v>22.63</v>
      </c>
      <c r="I47" s="5">
        <v>668</v>
      </c>
      <c r="J47" s="4" t="s">
        <v>126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125</v>
      </c>
      <c r="E48" s="4" t="s">
        <v>132</v>
      </c>
      <c r="F48" s="4">
        <v>987.82400000000007</v>
      </c>
      <c r="G48" s="5">
        <v>99.949100000000001</v>
      </c>
      <c r="H48" s="5">
        <v>22.47</v>
      </c>
      <c r="I48" s="5">
        <v>192</v>
      </c>
      <c r="J48" s="4" t="s">
        <v>126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125</v>
      </c>
      <c r="E49" s="4" t="s">
        <v>132</v>
      </c>
      <c r="F49" s="4">
        <v>1009.16</v>
      </c>
      <c r="G49" s="5">
        <v>101.97850000000001</v>
      </c>
      <c r="H49" s="5">
        <v>22.02</v>
      </c>
      <c r="I49" s="5">
        <v>897</v>
      </c>
      <c r="J49" s="4" t="s">
        <v>126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120</v>
      </c>
      <c r="E50" s="4" t="s">
        <v>132</v>
      </c>
      <c r="F50" s="4">
        <v>100.92</v>
      </c>
      <c r="G50" s="5"/>
      <c r="H50" s="5"/>
      <c r="I50" s="5"/>
      <c r="J50" s="4" t="s">
        <v>219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125</v>
      </c>
      <c r="E51" s="4" t="s">
        <v>132</v>
      </c>
      <c r="F51" s="4">
        <v>966.38499999999999</v>
      </c>
      <c r="G51" s="5">
        <v>97.746800000000007</v>
      </c>
      <c r="H51" s="5">
        <v>22.8</v>
      </c>
      <c r="I51" s="5">
        <v>894</v>
      </c>
      <c r="J51" s="4" t="s">
        <v>126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125</v>
      </c>
      <c r="E52" s="4" t="s">
        <v>132</v>
      </c>
      <c r="F52" s="4">
        <v>985.83300000000008</v>
      </c>
      <c r="G52" s="5">
        <v>99.808300000000003</v>
      </c>
      <c r="H52" s="5">
        <v>22.01</v>
      </c>
      <c r="I52" s="5">
        <v>618</v>
      </c>
      <c r="J52" s="4" t="s">
        <v>126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769</v>
      </c>
      <c r="G53" s="5">
        <v>77.602800000000002</v>
      </c>
      <c r="H53" s="5">
        <v>117.17</v>
      </c>
      <c r="I53" s="5">
        <v>113</v>
      </c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125</v>
      </c>
      <c r="E54" s="4" t="s">
        <v>132</v>
      </c>
      <c r="F54" s="4">
        <v>993.96400000000006</v>
      </c>
      <c r="G54" s="5">
        <v>99.763100000000009</v>
      </c>
      <c r="H54" s="5">
        <v>22.41</v>
      </c>
      <c r="I54" s="5">
        <v>664</v>
      </c>
      <c r="J54" s="4" t="s">
        <v>126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994.3610000000001</v>
      </c>
      <c r="G55" s="5">
        <v>100.3528</v>
      </c>
      <c r="H55" s="5">
        <v>22.4</v>
      </c>
      <c r="I55" s="5">
        <v>624</v>
      </c>
      <c r="J55" s="4" t="s">
        <v>126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99.998800000000003</v>
      </c>
      <c r="G56" s="5">
        <v>100.46550000000001</v>
      </c>
      <c r="H56" s="5">
        <v>12</v>
      </c>
      <c r="I56" s="5">
        <v>625</v>
      </c>
      <c r="J56" s="4" t="s">
        <v>126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125</v>
      </c>
      <c r="E57" s="4" t="s">
        <v>132</v>
      </c>
      <c r="F57" s="4">
        <v>985.67400000000009</v>
      </c>
      <c r="G57" s="5">
        <v>106.00490000000001</v>
      </c>
      <c r="H57" s="5">
        <v>18.98</v>
      </c>
      <c r="I57" s="5">
        <v>394</v>
      </c>
      <c r="J57" s="4" t="s">
        <v>126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125</v>
      </c>
      <c r="E58" s="4" t="s">
        <v>132</v>
      </c>
      <c r="F58" s="4">
        <v>966.73400000000004</v>
      </c>
      <c r="G58" s="5">
        <v>97.898400000000009</v>
      </c>
      <c r="H58" s="5">
        <v>22.66</v>
      </c>
      <c r="I58" s="5">
        <v>984</v>
      </c>
      <c r="J58" s="4" t="s">
        <v>126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125</v>
      </c>
      <c r="E59" s="4" t="s">
        <v>132</v>
      </c>
      <c r="F59" s="4">
        <v>1003.402</v>
      </c>
      <c r="G59" s="5">
        <v>101.99160000000001</v>
      </c>
      <c r="H59" s="5">
        <v>20.23</v>
      </c>
      <c r="I59" s="5">
        <v>702</v>
      </c>
      <c r="J59" s="4" t="s">
        <v>126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120</v>
      </c>
      <c r="E60" s="4" t="s">
        <v>240</v>
      </c>
      <c r="F60" s="4">
        <v>39520.83</v>
      </c>
      <c r="G60" s="5"/>
      <c r="H60" s="5"/>
      <c r="I60" s="5"/>
      <c r="J60" s="4" t="s">
        <v>122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120</v>
      </c>
      <c r="E61" s="4" t="s">
        <v>240</v>
      </c>
      <c r="F61" s="4">
        <v>30673.360000000001</v>
      </c>
      <c r="G61" s="5"/>
      <c r="H61" s="5"/>
      <c r="I61" s="5"/>
      <c r="J61" s="4" t="s">
        <v>122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125</v>
      </c>
      <c r="E62" s="4" t="s">
        <v>245</v>
      </c>
      <c r="F62" s="4">
        <v>16621.2</v>
      </c>
      <c r="G62" s="5">
        <v>1662.1210000000001</v>
      </c>
      <c r="H62" s="5"/>
      <c r="I62" s="5">
        <v>161</v>
      </c>
      <c r="J62" s="4" t="s">
        <v>126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120</v>
      </c>
      <c r="E63" s="4" t="s">
        <v>248</v>
      </c>
      <c r="F63" s="4">
        <v>21989.759999999998</v>
      </c>
      <c r="G63" s="5"/>
      <c r="H63" s="5"/>
      <c r="I63" s="5"/>
      <c r="J63" s="4" t="s">
        <v>122</v>
      </c>
    </row>
    <row r="64" spans="1:10" x14ac:dyDescent="0.25">
      <c r="A64" s="4">
        <f t="shared" ca="1" si="1"/>
        <v>61</v>
      </c>
      <c r="B64" s="4" t="s">
        <v>249</v>
      </c>
      <c r="C64" s="4" t="s">
        <v>250</v>
      </c>
      <c r="D64" s="4" t="s">
        <v>125</v>
      </c>
      <c r="E64" s="4" t="s">
        <v>248</v>
      </c>
      <c r="F64" s="4">
        <v>999.98500000000001</v>
      </c>
      <c r="G64" s="5">
        <v>103.06200000000001</v>
      </c>
      <c r="H64" s="5">
        <v>6.38</v>
      </c>
      <c r="I64" s="5">
        <v>8409</v>
      </c>
      <c r="J64" s="4" t="s">
        <v>126</v>
      </c>
    </row>
    <row r="65" spans="1:10" x14ac:dyDescent="0.25">
      <c r="A65" s="4">
        <f t="shared" ca="1" si="1"/>
        <v>62</v>
      </c>
      <c r="B65" s="4" t="s">
        <v>251</v>
      </c>
      <c r="C65" s="4" t="s">
        <v>252</v>
      </c>
      <c r="D65" s="4" t="s">
        <v>120</v>
      </c>
      <c r="E65" s="4" t="s">
        <v>253</v>
      </c>
      <c r="F65" s="4">
        <v>3342.47</v>
      </c>
      <c r="G65" s="5"/>
      <c r="H65" s="5"/>
      <c r="I65" s="5"/>
      <c r="J65" s="4" t="s">
        <v>122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125</v>
      </c>
      <c r="E66" s="4" t="s">
        <v>256</v>
      </c>
      <c r="F66" s="4">
        <v>0.97024599999999994</v>
      </c>
      <c r="G66" s="5">
        <v>97.96350000000001</v>
      </c>
      <c r="H66" s="5">
        <v>5</v>
      </c>
      <c r="I66" s="5">
        <v>377</v>
      </c>
      <c r="J66" s="4" t="s">
        <v>126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120</v>
      </c>
      <c r="E67" s="4" t="s">
        <v>259</v>
      </c>
      <c r="F67" s="4">
        <v>7584.41</v>
      </c>
      <c r="G67" s="5"/>
      <c r="H67" s="5"/>
      <c r="I67" s="5"/>
      <c r="J67" s="4" t="s">
        <v>122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120</v>
      </c>
      <c r="E68" s="4" t="s">
        <v>259</v>
      </c>
      <c r="F68" s="4">
        <v>4689.62</v>
      </c>
      <c r="G68" s="5"/>
      <c r="H68" s="5"/>
      <c r="I68" s="5"/>
      <c r="J68" s="4" t="s">
        <v>122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125</v>
      </c>
      <c r="E69" s="4" t="s">
        <v>264</v>
      </c>
      <c r="F69" s="4">
        <v>997.43299999999999</v>
      </c>
      <c r="G69" s="5">
        <v>102.2641</v>
      </c>
      <c r="H69" s="5">
        <v>18.25</v>
      </c>
      <c r="I69" s="5">
        <v>864</v>
      </c>
      <c r="J69" s="4" t="s">
        <v>126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125</v>
      </c>
      <c r="E70" s="4" t="s">
        <v>264</v>
      </c>
      <c r="F70" s="4">
        <v>98.884399999999999</v>
      </c>
      <c r="G70" s="5">
        <v>98.884399999999999</v>
      </c>
      <c r="H70" s="5">
        <v>15.84</v>
      </c>
      <c r="I70" s="5">
        <v>27</v>
      </c>
      <c r="J70" s="4" t="s">
        <v>126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125</v>
      </c>
      <c r="E71" s="4" t="s">
        <v>264</v>
      </c>
      <c r="F71" s="4">
        <v>100.0198</v>
      </c>
      <c r="G71" s="5">
        <v>100.48650000000001</v>
      </c>
      <c r="H71" s="5">
        <v>7.99</v>
      </c>
      <c r="I71" s="5">
        <v>801</v>
      </c>
      <c r="J71" s="4" t="s">
        <v>126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125</v>
      </c>
      <c r="E72" s="4" t="s">
        <v>73</v>
      </c>
      <c r="F72" s="4">
        <v>1000</v>
      </c>
      <c r="G72" s="5">
        <v>110.38380000000001</v>
      </c>
      <c r="H72" s="5">
        <v>12.97</v>
      </c>
      <c r="I72" s="5">
        <v>1171</v>
      </c>
      <c r="J72" s="4" t="s">
        <v>126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125</v>
      </c>
      <c r="E73" s="4" t="s">
        <v>73</v>
      </c>
      <c r="F73" s="4">
        <v>1000</v>
      </c>
      <c r="G73" s="5">
        <v>101.80900000000001</v>
      </c>
      <c r="H73" s="5">
        <v>12.99</v>
      </c>
      <c r="I73" s="5">
        <v>1411</v>
      </c>
      <c r="J73" s="4" t="s">
        <v>126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125</v>
      </c>
      <c r="E74" s="4" t="s">
        <v>73</v>
      </c>
      <c r="F74" s="4">
        <v>1000</v>
      </c>
      <c r="G74" s="5">
        <v>105.0291</v>
      </c>
      <c r="H74" s="5">
        <v>12.7</v>
      </c>
      <c r="I74" s="5">
        <v>224</v>
      </c>
      <c r="J74" s="4" t="s">
        <v>126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125</v>
      </c>
      <c r="E75" s="4" t="s">
        <v>73</v>
      </c>
      <c r="F75" s="4">
        <v>1000</v>
      </c>
      <c r="G75" s="5">
        <v>102.7859</v>
      </c>
      <c r="H75" s="5">
        <v>12.84</v>
      </c>
      <c r="I75" s="5">
        <v>287</v>
      </c>
      <c r="J75" s="4" t="s">
        <v>126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73</v>
      </c>
      <c r="F76" s="4">
        <v>1000</v>
      </c>
      <c r="G76" s="5">
        <v>106.0783</v>
      </c>
      <c r="H76" s="5">
        <v>12.88</v>
      </c>
      <c r="I76" s="5">
        <v>560</v>
      </c>
      <c r="J76" s="4" t="s">
        <v>126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125</v>
      </c>
      <c r="E77" s="4" t="s">
        <v>73</v>
      </c>
      <c r="F77" s="4">
        <v>1000</v>
      </c>
      <c r="G77" s="5">
        <v>103.9075</v>
      </c>
      <c r="H77" s="5">
        <v>12.91</v>
      </c>
      <c r="I77" s="5">
        <v>621</v>
      </c>
      <c r="J77" s="4" t="s">
        <v>126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125</v>
      </c>
      <c r="E78" s="4" t="s">
        <v>73</v>
      </c>
      <c r="F78" s="4">
        <v>1000</v>
      </c>
      <c r="G78" s="5">
        <v>111.614</v>
      </c>
      <c r="H78" s="5">
        <v>12.98</v>
      </c>
      <c r="I78" s="5">
        <v>771</v>
      </c>
      <c r="J78" s="4" t="s">
        <v>126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125</v>
      </c>
      <c r="E79" s="4" t="s">
        <v>73</v>
      </c>
      <c r="F79" s="4">
        <v>1000</v>
      </c>
      <c r="G79" s="5">
        <v>101.80900000000001</v>
      </c>
      <c r="H79" s="5">
        <v>12.98</v>
      </c>
      <c r="I79" s="5">
        <v>1046</v>
      </c>
      <c r="J79" s="4" t="s">
        <v>126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125</v>
      </c>
      <c r="E80" s="4" t="s">
        <v>73</v>
      </c>
      <c r="F80" s="4">
        <v>1000</v>
      </c>
      <c r="G80" s="5">
        <v>112.5908</v>
      </c>
      <c r="H80" s="5">
        <v>12.24</v>
      </c>
      <c r="I80" s="5">
        <v>13</v>
      </c>
      <c r="J80" s="4" t="s">
        <v>126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125</v>
      </c>
      <c r="E81" s="4" t="s">
        <v>73</v>
      </c>
      <c r="F81" s="4">
        <v>1000</v>
      </c>
      <c r="G81" s="5">
        <v>109.3708</v>
      </c>
      <c r="H81" s="5">
        <v>12.97</v>
      </c>
      <c r="I81" s="5">
        <v>1565</v>
      </c>
      <c r="J81" s="4" t="s">
        <v>126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125</v>
      </c>
      <c r="E82" s="4" t="s">
        <v>73</v>
      </c>
      <c r="F82" s="4">
        <v>990.52500000000009</v>
      </c>
      <c r="G82" s="5">
        <v>103.64970000000001</v>
      </c>
      <c r="H82" s="5">
        <v>17.43</v>
      </c>
      <c r="I82" s="5">
        <v>31</v>
      </c>
      <c r="J82" s="4" t="s">
        <v>126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125</v>
      </c>
      <c r="E83" s="4" t="s">
        <v>73</v>
      </c>
      <c r="F83" s="4">
        <v>887.66600000000005</v>
      </c>
      <c r="G83" s="5">
        <v>93.266600000000011</v>
      </c>
      <c r="H83" s="5">
        <v>17</v>
      </c>
      <c r="I83" s="5">
        <v>403</v>
      </c>
      <c r="J83" s="4" t="s">
        <v>126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125</v>
      </c>
      <c r="E84" s="4" t="s">
        <v>73</v>
      </c>
      <c r="F84" s="4">
        <v>1000</v>
      </c>
      <c r="G84" s="5">
        <v>103.9075</v>
      </c>
      <c r="H84" s="5">
        <v>12.97</v>
      </c>
      <c r="I84" s="5">
        <v>1352</v>
      </c>
      <c r="J84" s="4" t="s">
        <v>126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125</v>
      </c>
      <c r="E85" s="4" t="s">
        <v>73</v>
      </c>
      <c r="F85" s="4">
        <v>1000</v>
      </c>
      <c r="G85" s="5">
        <v>112.62700000000001</v>
      </c>
      <c r="H85" s="5">
        <v>12.24</v>
      </c>
      <c r="I85" s="5">
        <v>12</v>
      </c>
      <c r="J85" s="4" t="s">
        <v>126</v>
      </c>
    </row>
    <row r="86" spans="1:10" x14ac:dyDescent="0.25">
      <c r="A86" s="4">
        <f t="shared" ca="1" si="2"/>
        <v>83</v>
      </c>
      <c r="B86" s="4" t="s">
        <v>297</v>
      </c>
      <c r="C86" s="4" t="s">
        <v>76</v>
      </c>
      <c r="D86" s="4" t="s">
        <v>125</v>
      </c>
      <c r="E86" s="4" t="s">
        <v>73</v>
      </c>
      <c r="F86" s="4">
        <v>862.29499999999996</v>
      </c>
      <c r="G86" s="5">
        <v>89.279499999999999</v>
      </c>
      <c r="H86" s="5">
        <v>16.93</v>
      </c>
      <c r="I86" s="5">
        <v>527</v>
      </c>
      <c r="J86" s="4" t="s">
        <v>126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125</v>
      </c>
      <c r="E87" s="4" t="s">
        <v>73</v>
      </c>
      <c r="F87" s="4">
        <v>823.68400000000008</v>
      </c>
      <c r="G87" s="5">
        <v>82.810699999999997</v>
      </c>
      <c r="H87" s="5">
        <v>16.990000000000002</v>
      </c>
      <c r="I87" s="5">
        <v>702</v>
      </c>
      <c r="J87" s="4" t="s">
        <v>126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125</v>
      </c>
      <c r="E88" s="4" t="s">
        <v>73</v>
      </c>
      <c r="F88" s="4">
        <v>832.41500000000008</v>
      </c>
      <c r="G88" s="5">
        <v>89.615099999999998</v>
      </c>
      <c r="H88" s="5">
        <v>16.98</v>
      </c>
      <c r="I88" s="5">
        <v>738</v>
      </c>
      <c r="J88" s="4" t="s">
        <v>126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125</v>
      </c>
      <c r="E89" s="4" t="s">
        <v>73</v>
      </c>
      <c r="F89" s="4">
        <v>1000</v>
      </c>
      <c r="G89" s="5">
        <v>102.82210000000001</v>
      </c>
      <c r="H89" s="5">
        <v>12.94</v>
      </c>
      <c r="I89" s="5">
        <v>651</v>
      </c>
      <c r="J89" s="4" t="s">
        <v>126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125</v>
      </c>
      <c r="E90" s="4" t="s">
        <v>73</v>
      </c>
      <c r="F90" s="4">
        <v>1000</v>
      </c>
      <c r="G90" s="5">
        <v>111.57780000000001</v>
      </c>
      <c r="H90" s="5">
        <v>12.3</v>
      </c>
      <c r="I90" s="5">
        <v>42</v>
      </c>
      <c r="J90" s="4" t="s">
        <v>126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125</v>
      </c>
      <c r="E91" s="4" t="s">
        <v>73</v>
      </c>
      <c r="F91" s="4">
        <v>1000</v>
      </c>
      <c r="G91" s="5">
        <v>108.48830000000001</v>
      </c>
      <c r="H91" s="5">
        <v>13.06</v>
      </c>
      <c r="I91" s="5">
        <v>1592</v>
      </c>
      <c r="J91" s="4" t="s">
        <v>126</v>
      </c>
    </row>
    <row r="92" spans="1:10" x14ac:dyDescent="0.25">
      <c r="A92" s="4">
        <f t="shared" ca="1" si="2"/>
        <v>89</v>
      </c>
      <c r="B92" s="4" t="s">
        <v>308</v>
      </c>
      <c r="C92" s="4" t="s">
        <v>103</v>
      </c>
      <c r="D92" s="4" t="s">
        <v>125</v>
      </c>
      <c r="E92" s="4" t="s">
        <v>73</v>
      </c>
      <c r="F92" s="4">
        <v>607.96</v>
      </c>
      <c r="G92" s="5">
        <v>64.270600000000002</v>
      </c>
      <c r="H92" s="5">
        <v>17.07</v>
      </c>
      <c r="I92" s="5">
        <v>3130</v>
      </c>
      <c r="J92" s="4" t="s">
        <v>126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125</v>
      </c>
      <c r="E93" s="4" t="s">
        <v>73</v>
      </c>
      <c r="F93" s="4">
        <v>869.5440000000001</v>
      </c>
      <c r="G93" s="5">
        <v>89.382199999999997</v>
      </c>
      <c r="H93" s="5">
        <v>16.96</v>
      </c>
      <c r="I93" s="5">
        <v>612</v>
      </c>
      <c r="J93" s="4" t="s">
        <v>126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125</v>
      </c>
      <c r="E94" s="4" t="s">
        <v>73</v>
      </c>
      <c r="F94" s="4">
        <v>530.65800000000002</v>
      </c>
      <c r="G94" s="5">
        <v>53.570399999999999</v>
      </c>
      <c r="H94" s="5">
        <v>17.09</v>
      </c>
      <c r="I94" s="5">
        <v>6920</v>
      </c>
      <c r="J94" s="4" t="s">
        <v>126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125</v>
      </c>
      <c r="E95" s="4" t="s">
        <v>73</v>
      </c>
      <c r="F95" s="4">
        <v>1000</v>
      </c>
      <c r="G95" s="5">
        <v>100.6151</v>
      </c>
      <c r="H95" s="5">
        <v>12.98</v>
      </c>
      <c r="I95" s="5">
        <v>349</v>
      </c>
      <c r="J95" s="4" t="s">
        <v>126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125</v>
      </c>
      <c r="E96" s="4" t="s">
        <v>73</v>
      </c>
      <c r="F96" s="4">
        <v>1000</v>
      </c>
      <c r="G96" s="5">
        <v>103.94370000000001</v>
      </c>
      <c r="H96" s="5">
        <v>12.97</v>
      </c>
      <c r="I96" s="5">
        <v>1351</v>
      </c>
      <c r="J96" s="4" t="s">
        <v>126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125</v>
      </c>
      <c r="E97" s="4" t="s">
        <v>73</v>
      </c>
      <c r="F97" s="4">
        <v>1000</v>
      </c>
      <c r="G97" s="5">
        <v>104.95670000000001</v>
      </c>
      <c r="H97" s="5">
        <v>12.97</v>
      </c>
      <c r="I97" s="5">
        <v>1687</v>
      </c>
      <c r="J97" s="4" t="s">
        <v>126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125</v>
      </c>
      <c r="E98" s="4" t="s">
        <v>73</v>
      </c>
      <c r="F98" s="4">
        <v>1000</v>
      </c>
      <c r="G98" s="5">
        <v>101.7728</v>
      </c>
      <c r="H98" s="5">
        <v>12.91</v>
      </c>
      <c r="I98" s="5">
        <v>316</v>
      </c>
      <c r="J98" s="4" t="s">
        <v>126</v>
      </c>
    </row>
    <row r="99" spans="1:10" x14ac:dyDescent="0.25">
      <c r="A99" s="4">
        <f t="shared" ca="1" si="2"/>
        <v>96</v>
      </c>
      <c r="B99" s="4" t="s">
        <v>321</v>
      </c>
      <c r="C99" s="4" t="s">
        <v>105</v>
      </c>
      <c r="D99" s="4" t="s">
        <v>125</v>
      </c>
      <c r="E99" s="4" t="s">
        <v>73</v>
      </c>
      <c r="F99" s="4">
        <v>593.21900000000005</v>
      </c>
      <c r="G99" s="5">
        <v>65.105400000000003</v>
      </c>
      <c r="H99" s="5">
        <v>17.080000000000002</v>
      </c>
      <c r="I99" s="5">
        <v>3392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125</v>
      </c>
      <c r="E100" s="4" t="s">
        <v>73</v>
      </c>
      <c r="F100" s="4">
        <v>906.93499999999995</v>
      </c>
      <c r="G100" s="5">
        <v>96.218500000000006</v>
      </c>
      <c r="H100" s="5">
        <v>16.940000000000001</v>
      </c>
      <c r="I100" s="5">
        <v>506</v>
      </c>
      <c r="J100" s="4" t="s">
        <v>126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125</v>
      </c>
      <c r="E101" s="4" t="s">
        <v>73</v>
      </c>
      <c r="F101" s="4">
        <v>888.23200000000008</v>
      </c>
      <c r="G101" s="5">
        <v>91.423200000000008</v>
      </c>
      <c r="H101" s="5">
        <v>16.96</v>
      </c>
      <c r="I101" s="5">
        <v>625</v>
      </c>
      <c r="J101" s="4" t="s">
        <v>126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125</v>
      </c>
      <c r="E102" s="4" t="s">
        <v>73</v>
      </c>
      <c r="F102" s="4">
        <v>587.50200000000007</v>
      </c>
      <c r="G102" s="5">
        <v>60.564</v>
      </c>
      <c r="H102" s="5">
        <v>17.07</v>
      </c>
      <c r="I102" s="5">
        <v>3940</v>
      </c>
      <c r="J102" s="4" t="s">
        <v>126</v>
      </c>
    </row>
    <row r="103" spans="1:10" x14ac:dyDescent="0.25">
      <c r="A103" s="4">
        <f t="shared" ca="1" si="3"/>
        <v>100</v>
      </c>
      <c r="B103" s="4" t="s">
        <v>328</v>
      </c>
      <c r="C103" s="4" t="s">
        <v>329</v>
      </c>
      <c r="D103" s="4" t="s">
        <v>125</v>
      </c>
      <c r="E103" s="4" t="s">
        <v>73</v>
      </c>
      <c r="F103" s="4">
        <v>657.74400000000003</v>
      </c>
      <c r="G103" s="5">
        <v>70.417100000000005</v>
      </c>
      <c r="H103" s="5">
        <v>17.059999999999999</v>
      </c>
      <c r="I103" s="5">
        <v>2727</v>
      </c>
      <c r="J103" s="4" t="s">
        <v>126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125</v>
      </c>
      <c r="E104" s="4" t="s">
        <v>73</v>
      </c>
      <c r="F104" s="4">
        <v>648.45299999999997</v>
      </c>
      <c r="G104" s="5">
        <v>68.934300000000007</v>
      </c>
      <c r="H104" s="5">
        <v>17.059999999999999</v>
      </c>
      <c r="I104" s="5">
        <v>2746</v>
      </c>
      <c r="J104" s="4" t="s">
        <v>126</v>
      </c>
    </row>
    <row r="105" spans="1:10" x14ac:dyDescent="0.25">
      <c r="A105" s="4">
        <f t="shared" ca="1" si="3"/>
        <v>102</v>
      </c>
      <c r="B105" s="4" t="s">
        <v>332</v>
      </c>
      <c r="C105" s="4" t="s">
        <v>79</v>
      </c>
      <c r="D105" s="4" t="s">
        <v>125</v>
      </c>
      <c r="E105" s="4" t="s">
        <v>73</v>
      </c>
      <c r="F105" s="4">
        <v>675.11</v>
      </c>
      <c r="G105" s="5">
        <v>71.759500000000003</v>
      </c>
      <c r="H105" s="5">
        <v>17.059999999999999</v>
      </c>
      <c r="I105" s="5">
        <v>2374</v>
      </c>
      <c r="J105" s="4" t="s">
        <v>126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125</v>
      </c>
      <c r="E106" s="4" t="s">
        <v>73</v>
      </c>
      <c r="F106" s="4">
        <v>704.02300000000002</v>
      </c>
      <c r="G106" s="5">
        <v>74.083100000000002</v>
      </c>
      <c r="H106" s="5">
        <v>17.04</v>
      </c>
      <c r="I106" s="5">
        <v>2032</v>
      </c>
      <c r="J106" s="4" t="s">
        <v>126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125</v>
      </c>
      <c r="E107" s="4" t="s">
        <v>73</v>
      </c>
      <c r="F107" s="4">
        <v>589.81299999999999</v>
      </c>
      <c r="G107" s="5">
        <v>64.926299999999998</v>
      </c>
      <c r="H107" s="5">
        <v>17.09</v>
      </c>
      <c r="I107" s="5">
        <v>4136</v>
      </c>
      <c r="J107" s="4" t="s">
        <v>126</v>
      </c>
    </row>
    <row r="108" spans="1:10" x14ac:dyDescent="0.25">
      <c r="A108" s="4">
        <f t="shared" ca="1" si="3"/>
        <v>105</v>
      </c>
      <c r="B108" s="4" t="s">
        <v>337</v>
      </c>
      <c r="C108" s="4" t="s">
        <v>338</v>
      </c>
      <c r="D108" s="4" t="s">
        <v>125</v>
      </c>
      <c r="E108" s="4" t="s">
        <v>73</v>
      </c>
      <c r="F108" s="4">
        <v>1000</v>
      </c>
      <c r="G108" s="5">
        <v>105.0291</v>
      </c>
      <c r="H108" s="5">
        <v>12.7</v>
      </c>
      <c r="I108" s="5">
        <v>224</v>
      </c>
      <c r="J108" s="4" t="s">
        <v>126</v>
      </c>
    </row>
    <row r="109" spans="1:10" x14ac:dyDescent="0.25">
      <c r="A109" s="4">
        <f t="shared" ca="1" si="3"/>
        <v>106</v>
      </c>
      <c r="B109" s="4" t="s">
        <v>339</v>
      </c>
      <c r="C109" s="4" t="s">
        <v>89</v>
      </c>
      <c r="D109" s="4" t="s">
        <v>125</v>
      </c>
      <c r="E109" s="4" t="s">
        <v>73</v>
      </c>
      <c r="F109" s="4">
        <v>751.22300000000007</v>
      </c>
      <c r="G109" s="5">
        <v>76.4876</v>
      </c>
      <c r="H109" s="5">
        <v>17.02</v>
      </c>
      <c r="I109" s="5">
        <v>1397</v>
      </c>
      <c r="J109" s="4" t="s">
        <v>126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125</v>
      </c>
      <c r="E110" s="4" t="s">
        <v>73</v>
      </c>
      <c r="F110" s="4">
        <v>728.452</v>
      </c>
      <c r="G110" s="5">
        <v>78.242500000000007</v>
      </c>
      <c r="H110" s="5">
        <v>17.059999999999999</v>
      </c>
      <c r="I110" s="5">
        <v>1572</v>
      </c>
      <c r="J110" s="4" t="s">
        <v>126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125</v>
      </c>
      <c r="E111" s="4" t="s">
        <v>73</v>
      </c>
      <c r="F111" s="4">
        <v>528.76100000000008</v>
      </c>
      <c r="G111" s="5">
        <v>59.393600000000006</v>
      </c>
      <c r="H111" s="5">
        <v>17.09</v>
      </c>
      <c r="I111" s="5">
        <v>4813</v>
      </c>
      <c r="J111" s="4" t="s">
        <v>126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125</v>
      </c>
      <c r="E112" s="4" t="s">
        <v>73</v>
      </c>
      <c r="F112" s="4">
        <v>988.5870000000001</v>
      </c>
      <c r="G112" s="5">
        <v>103.8831</v>
      </c>
      <c r="H112" s="5">
        <v>17.29</v>
      </c>
      <c r="I112" s="5">
        <v>39</v>
      </c>
      <c r="J112" s="4" t="s">
        <v>126</v>
      </c>
    </row>
    <row r="113" spans="1:10" x14ac:dyDescent="0.25">
      <c r="A113" s="4">
        <f t="shared" ca="1" si="3"/>
        <v>110</v>
      </c>
      <c r="B113" s="4" t="s">
        <v>346</v>
      </c>
      <c r="C113" s="4" t="s">
        <v>92</v>
      </c>
      <c r="D113" s="4" t="s">
        <v>125</v>
      </c>
      <c r="E113" s="4" t="s">
        <v>73</v>
      </c>
      <c r="F113" s="4">
        <v>916.36900000000003</v>
      </c>
      <c r="G113" s="5">
        <v>92.538300000000007</v>
      </c>
      <c r="H113" s="5">
        <v>16.97</v>
      </c>
      <c r="I113" s="5">
        <v>306</v>
      </c>
      <c r="J113" s="4" t="s">
        <v>126</v>
      </c>
    </row>
    <row r="114" spans="1:10" x14ac:dyDescent="0.25">
      <c r="A114" s="4">
        <f t="shared" ca="1" si="3"/>
        <v>111</v>
      </c>
      <c r="B114" s="4" t="s">
        <v>347</v>
      </c>
      <c r="C114" s="4" t="s">
        <v>113</v>
      </c>
      <c r="D114" s="4" t="s">
        <v>125</v>
      </c>
      <c r="E114" s="4" t="s">
        <v>73</v>
      </c>
      <c r="F114" s="4">
        <v>814.37400000000002</v>
      </c>
      <c r="G114" s="5">
        <v>86.707999999999998</v>
      </c>
      <c r="H114" s="5">
        <v>16.98</v>
      </c>
      <c r="I114" s="5">
        <v>733</v>
      </c>
      <c r="J114" s="4" t="s">
        <v>126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125</v>
      </c>
      <c r="E115" s="4" t="s">
        <v>73</v>
      </c>
      <c r="F115" s="4">
        <v>750.27600000000007</v>
      </c>
      <c r="G115" s="5">
        <v>75.440100000000001</v>
      </c>
      <c r="H115" s="5">
        <v>17.02</v>
      </c>
      <c r="I115" s="5">
        <v>1070</v>
      </c>
      <c r="J115" s="4" t="s">
        <v>126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125</v>
      </c>
      <c r="E116" s="4" t="s">
        <v>73</v>
      </c>
      <c r="F116" s="4">
        <v>546.05700000000002</v>
      </c>
      <c r="G116" s="5">
        <v>56.507600000000004</v>
      </c>
      <c r="H116" s="5">
        <v>17.080000000000002</v>
      </c>
      <c r="I116" s="5">
        <v>5030</v>
      </c>
      <c r="J116" s="4" t="s">
        <v>126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125</v>
      </c>
      <c r="E117" s="4" t="s">
        <v>73</v>
      </c>
      <c r="F117" s="4">
        <v>541.06700000000001</v>
      </c>
      <c r="G117" s="5">
        <v>59.477500000000006</v>
      </c>
      <c r="H117" s="5">
        <v>17.09</v>
      </c>
      <c r="I117" s="5">
        <v>5246</v>
      </c>
      <c r="J117" s="4" t="s">
        <v>126</v>
      </c>
    </row>
    <row r="118" spans="1:10" x14ac:dyDescent="0.25">
      <c r="A118" s="4">
        <f t="shared" ca="1" si="3"/>
        <v>115</v>
      </c>
      <c r="B118" s="4" t="s">
        <v>354</v>
      </c>
      <c r="C118" s="4" t="s">
        <v>95</v>
      </c>
      <c r="D118" s="4" t="s">
        <v>125</v>
      </c>
      <c r="E118" s="4" t="s">
        <v>73</v>
      </c>
      <c r="F118" s="4">
        <v>849.83600000000001</v>
      </c>
      <c r="G118" s="5">
        <v>91.003</v>
      </c>
      <c r="H118" s="5">
        <v>17.02</v>
      </c>
      <c r="I118" s="5">
        <v>1262</v>
      </c>
      <c r="J118" s="4" t="s">
        <v>126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125</v>
      </c>
      <c r="E119" s="4" t="s">
        <v>73</v>
      </c>
      <c r="F119" s="4">
        <v>949.74200000000008</v>
      </c>
      <c r="G119" s="5">
        <v>97.603099999999998</v>
      </c>
      <c r="H119" s="5">
        <v>16.95</v>
      </c>
      <c r="I119" s="5">
        <v>260</v>
      </c>
      <c r="J119" s="4" t="s">
        <v>126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125</v>
      </c>
      <c r="E120" s="4" t="s">
        <v>73</v>
      </c>
      <c r="F120" s="4">
        <v>1000</v>
      </c>
      <c r="G120" s="5">
        <v>111.0749</v>
      </c>
      <c r="H120" s="5">
        <v>13.07</v>
      </c>
      <c r="I120" s="5">
        <v>1154</v>
      </c>
      <c r="J120" s="4" t="s">
        <v>126</v>
      </c>
    </row>
    <row r="121" spans="1:10" x14ac:dyDescent="0.25">
      <c r="A121" s="4">
        <f t="shared" ca="1" si="3"/>
        <v>118</v>
      </c>
      <c r="B121" s="4" t="s">
        <v>359</v>
      </c>
      <c r="C121" s="4" t="s">
        <v>360</v>
      </c>
      <c r="D121" s="4" t="s">
        <v>125</v>
      </c>
      <c r="E121" s="4" t="s">
        <v>73</v>
      </c>
      <c r="F121" s="4">
        <v>1000</v>
      </c>
      <c r="G121" s="5">
        <v>107.16380000000001</v>
      </c>
      <c r="H121" s="5">
        <v>12.56</v>
      </c>
      <c r="I121" s="5">
        <v>164</v>
      </c>
      <c r="J121" s="4" t="s">
        <v>126</v>
      </c>
    </row>
    <row r="122" spans="1:10" x14ac:dyDescent="0.25">
      <c r="A122" s="4">
        <f t="shared" ca="1" si="3"/>
        <v>119</v>
      </c>
      <c r="B122" s="4" t="s">
        <v>361</v>
      </c>
      <c r="C122" s="4" t="s">
        <v>362</v>
      </c>
      <c r="D122" s="4" t="s">
        <v>125</v>
      </c>
      <c r="E122" s="4" t="s">
        <v>73</v>
      </c>
      <c r="F122" s="4">
        <v>1000</v>
      </c>
      <c r="G122" s="5">
        <v>108.28530000000001</v>
      </c>
      <c r="H122" s="5">
        <v>12.95</v>
      </c>
      <c r="I122" s="5">
        <v>1231</v>
      </c>
      <c r="J122" s="4" t="s">
        <v>126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125</v>
      </c>
      <c r="E123" s="4" t="s">
        <v>73</v>
      </c>
      <c r="F123" s="4">
        <v>854.26499999999999</v>
      </c>
      <c r="G123" s="5">
        <v>95.605699999999999</v>
      </c>
      <c r="H123" s="5">
        <v>17.010000000000002</v>
      </c>
      <c r="I123" s="5">
        <v>1107</v>
      </c>
      <c r="J123" s="4" t="s">
        <v>126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125</v>
      </c>
      <c r="E124" s="4" t="s">
        <v>73</v>
      </c>
      <c r="F124" s="4">
        <v>1000</v>
      </c>
      <c r="G124" s="5">
        <v>108.3939</v>
      </c>
      <c r="H124" s="5">
        <v>12.93</v>
      </c>
      <c r="I124" s="5">
        <v>862</v>
      </c>
      <c r="J124" s="4" t="s">
        <v>126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125</v>
      </c>
      <c r="E125" s="4" t="s">
        <v>73</v>
      </c>
      <c r="F125" s="4">
        <v>563.98500000000001</v>
      </c>
      <c r="G125" s="5">
        <v>59.041600000000003</v>
      </c>
      <c r="H125" s="5">
        <v>17.059999999999999</v>
      </c>
      <c r="I125" s="5">
        <v>2382</v>
      </c>
      <c r="J125" s="4" t="s">
        <v>126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125</v>
      </c>
      <c r="E126" s="4" t="s">
        <v>73</v>
      </c>
      <c r="F126" s="4">
        <v>774.59100000000001</v>
      </c>
      <c r="G126" s="5">
        <v>83.616200000000006</v>
      </c>
      <c r="H126" s="5">
        <v>17.02</v>
      </c>
      <c r="I126" s="5">
        <v>1151</v>
      </c>
      <c r="J126" s="4" t="s">
        <v>126</v>
      </c>
    </row>
    <row r="127" spans="1:10" x14ac:dyDescent="0.25">
      <c r="A127" s="4">
        <f t="shared" ca="1" si="3"/>
        <v>124</v>
      </c>
      <c r="B127" s="4" t="s">
        <v>371</v>
      </c>
      <c r="C127" s="4" t="s">
        <v>372</v>
      </c>
      <c r="D127" s="4" t="s">
        <v>125</v>
      </c>
      <c r="E127" s="4" t="s">
        <v>73</v>
      </c>
      <c r="F127" s="4">
        <v>769.72800000000007</v>
      </c>
      <c r="G127" s="5">
        <v>79.4589</v>
      </c>
      <c r="H127" s="5">
        <v>17</v>
      </c>
      <c r="I127" s="5">
        <v>915</v>
      </c>
      <c r="J127" s="4" t="s">
        <v>126</v>
      </c>
    </row>
    <row r="128" spans="1:10" x14ac:dyDescent="0.25">
      <c r="A128" s="4">
        <f t="shared" ca="1" si="3"/>
        <v>125</v>
      </c>
      <c r="B128" s="4" t="s">
        <v>373</v>
      </c>
      <c r="C128" s="4" t="s">
        <v>99</v>
      </c>
      <c r="D128" s="4" t="s">
        <v>125</v>
      </c>
      <c r="E128" s="4" t="s">
        <v>73</v>
      </c>
      <c r="F128" s="4">
        <v>752.327</v>
      </c>
      <c r="G128" s="5">
        <v>77.629000000000005</v>
      </c>
      <c r="H128" s="5">
        <v>17.05</v>
      </c>
      <c r="I128" s="5">
        <v>2475</v>
      </c>
      <c r="J128" s="4" t="s">
        <v>126</v>
      </c>
    </row>
    <row r="129" spans="1:10" x14ac:dyDescent="0.25">
      <c r="A129" s="4">
        <f t="shared" ca="1" si="3"/>
        <v>126</v>
      </c>
      <c r="B129" s="4" t="s">
        <v>374</v>
      </c>
      <c r="C129" s="4" t="s">
        <v>107</v>
      </c>
      <c r="D129" s="4" t="s">
        <v>125</v>
      </c>
      <c r="E129" s="4" t="s">
        <v>73</v>
      </c>
      <c r="F129" s="4">
        <v>828.54100000000005</v>
      </c>
      <c r="G129" s="5">
        <v>85.169200000000004</v>
      </c>
      <c r="H129" s="5">
        <v>17.010000000000002</v>
      </c>
      <c r="I129" s="5">
        <v>1381</v>
      </c>
      <c r="J129" s="4" t="s">
        <v>126</v>
      </c>
    </row>
    <row r="130" spans="1:10" x14ac:dyDescent="0.25">
      <c r="A130" s="4">
        <f t="shared" ca="1" si="3"/>
        <v>127</v>
      </c>
      <c r="B130" s="4" t="s">
        <v>375</v>
      </c>
      <c r="C130" s="4" t="s">
        <v>376</v>
      </c>
      <c r="D130" s="4" t="s">
        <v>125</v>
      </c>
      <c r="E130" s="4" t="s">
        <v>73</v>
      </c>
      <c r="F130" s="4">
        <v>1000</v>
      </c>
      <c r="G130" s="5">
        <v>100.65130000000001</v>
      </c>
      <c r="H130" s="5">
        <v>13.01</v>
      </c>
      <c r="I130" s="5">
        <v>1809</v>
      </c>
      <c r="J130" s="4" t="s">
        <v>126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125</v>
      </c>
      <c r="E131" s="4" t="s">
        <v>73</v>
      </c>
      <c r="F131" s="4">
        <v>1000</v>
      </c>
      <c r="G131" s="5">
        <v>110.42</v>
      </c>
      <c r="H131" s="5">
        <v>12.99</v>
      </c>
      <c r="I131" s="5">
        <v>2265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380</v>
      </c>
      <c r="D132" s="4" t="s">
        <v>125</v>
      </c>
      <c r="E132" s="4" t="s">
        <v>73</v>
      </c>
      <c r="F132" s="4">
        <v>1000</v>
      </c>
      <c r="G132" s="5">
        <v>100.7236</v>
      </c>
      <c r="H132" s="5">
        <v>13.02</v>
      </c>
      <c r="I132" s="5">
        <v>2172</v>
      </c>
      <c r="J132" s="4" t="s">
        <v>126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125</v>
      </c>
      <c r="E133" s="4" t="s">
        <v>73</v>
      </c>
      <c r="F133" s="4">
        <v>913.01300000000003</v>
      </c>
      <c r="G133" s="5">
        <v>95.576900000000009</v>
      </c>
      <c r="H133" s="5">
        <v>16.940000000000001</v>
      </c>
      <c r="I133" s="5">
        <v>580</v>
      </c>
      <c r="J133" s="4" t="s">
        <v>126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125</v>
      </c>
      <c r="E134" s="4" t="s">
        <v>73</v>
      </c>
      <c r="F134" s="4">
        <v>704.65100000000007</v>
      </c>
      <c r="G134" s="5">
        <v>78.415000000000006</v>
      </c>
      <c r="H134" s="5">
        <v>17.080000000000002</v>
      </c>
      <c r="I134" s="5">
        <v>4122</v>
      </c>
      <c r="J134" s="4" t="s">
        <v>126</v>
      </c>
    </row>
    <row r="135" spans="1:10" x14ac:dyDescent="0.25">
      <c r="A135" s="4">
        <f t="shared" ca="1" si="4"/>
        <v>132</v>
      </c>
      <c r="B135" s="4" t="s">
        <v>385</v>
      </c>
      <c r="C135" s="4" t="s">
        <v>101</v>
      </c>
      <c r="D135" s="4" t="s">
        <v>125</v>
      </c>
      <c r="E135" s="4" t="s">
        <v>73</v>
      </c>
      <c r="F135" s="4">
        <v>985.18200000000002</v>
      </c>
      <c r="G135" s="5">
        <v>101.06710000000001</v>
      </c>
      <c r="H135" s="5">
        <v>16.490000000000002</v>
      </c>
      <c r="I135" s="5">
        <v>97</v>
      </c>
      <c r="J135" s="4" t="s">
        <v>126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125</v>
      </c>
      <c r="E136" s="4" t="s">
        <v>73</v>
      </c>
      <c r="F136" s="4">
        <v>823.63</v>
      </c>
      <c r="G136" s="5">
        <v>90.093600000000009</v>
      </c>
      <c r="H136" s="5">
        <v>17.05</v>
      </c>
      <c r="I136" s="5">
        <v>1572</v>
      </c>
      <c r="J136" s="4" t="s">
        <v>126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125</v>
      </c>
      <c r="E137" s="4" t="s">
        <v>73</v>
      </c>
      <c r="F137" s="4">
        <v>696.85900000000004</v>
      </c>
      <c r="G137" s="5">
        <v>71.243000000000009</v>
      </c>
      <c r="H137" s="5">
        <v>17.080000000000002</v>
      </c>
      <c r="I137" s="5">
        <v>3966</v>
      </c>
      <c r="J137" s="4" t="s">
        <v>126</v>
      </c>
    </row>
    <row r="138" spans="1:10" x14ac:dyDescent="0.25">
      <c r="A138" s="4">
        <f t="shared" ca="1" si="4"/>
        <v>135</v>
      </c>
      <c r="B138" s="4" t="s">
        <v>390</v>
      </c>
      <c r="C138" s="4" t="s">
        <v>391</v>
      </c>
      <c r="D138" s="4" t="s">
        <v>125</v>
      </c>
      <c r="E138" s="4" t="s">
        <v>73</v>
      </c>
      <c r="F138" s="4">
        <v>700.15200000000004</v>
      </c>
      <c r="G138" s="5">
        <v>76.761899999999997</v>
      </c>
      <c r="H138" s="5">
        <v>17.080000000000002</v>
      </c>
      <c r="I138" s="5">
        <v>3046</v>
      </c>
      <c r="J138" s="4" t="s">
        <v>126</v>
      </c>
    </row>
    <row r="139" spans="1:10" x14ac:dyDescent="0.25">
      <c r="A139" s="4">
        <f t="shared" ca="1" si="4"/>
        <v>136</v>
      </c>
      <c r="B139" s="4" t="s">
        <v>392</v>
      </c>
      <c r="C139" s="4" t="s">
        <v>97</v>
      </c>
      <c r="D139" s="4" t="s">
        <v>125</v>
      </c>
      <c r="E139" s="4" t="s">
        <v>73</v>
      </c>
      <c r="F139" s="4">
        <v>872.57600000000002</v>
      </c>
      <c r="G139" s="5">
        <v>92.602000000000004</v>
      </c>
      <c r="H139" s="5">
        <v>17</v>
      </c>
      <c r="I139" s="5">
        <v>909</v>
      </c>
      <c r="J139" s="4" t="s">
        <v>126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125</v>
      </c>
      <c r="E140" s="4" t="s">
        <v>73</v>
      </c>
      <c r="F140" s="4">
        <v>957.529</v>
      </c>
      <c r="G140" s="5">
        <v>97.882100000000008</v>
      </c>
      <c r="H140" s="5">
        <v>16.330000000000002</v>
      </c>
      <c r="I140" s="5">
        <v>292</v>
      </c>
      <c r="J140" s="4" t="s">
        <v>126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125</v>
      </c>
      <c r="E141" s="4" t="s">
        <v>73</v>
      </c>
      <c r="F141" s="4">
        <v>689.577</v>
      </c>
      <c r="G141" s="5">
        <v>75.136200000000002</v>
      </c>
      <c r="H141" s="5">
        <v>17.059999999999999</v>
      </c>
      <c r="I141" s="5">
        <v>3432</v>
      </c>
      <c r="J141" s="4" t="s">
        <v>126</v>
      </c>
    </row>
    <row r="142" spans="1:10" x14ac:dyDescent="0.25">
      <c r="A142" s="4">
        <f t="shared" ca="1" si="4"/>
        <v>139</v>
      </c>
      <c r="B142" s="4" t="s">
        <v>397</v>
      </c>
      <c r="C142" s="4" t="s">
        <v>116</v>
      </c>
      <c r="D142" s="4" t="s">
        <v>125</v>
      </c>
      <c r="E142" s="4" t="s">
        <v>73</v>
      </c>
      <c r="F142" s="4">
        <v>771.39600000000007</v>
      </c>
      <c r="G142" s="5">
        <v>83.147900000000007</v>
      </c>
      <c r="H142" s="5">
        <v>17.03</v>
      </c>
      <c r="I142" s="5">
        <v>1978</v>
      </c>
      <c r="J142" s="4" t="s">
        <v>126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125</v>
      </c>
      <c r="E143" s="4" t="s">
        <v>73</v>
      </c>
      <c r="F143" s="4">
        <v>733.84400000000005</v>
      </c>
      <c r="G143" s="5">
        <v>74.98790000000001</v>
      </c>
      <c r="H143" s="5">
        <v>17.059999999999999</v>
      </c>
      <c r="I143" s="5">
        <v>2868</v>
      </c>
      <c r="J143" s="4" t="s">
        <v>126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125</v>
      </c>
      <c r="E144" s="4" t="s">
        <v>73</v>
      </c>
      <c r="F144" s="4">
        <v>979.6880000000001</v>
      </c>
      <c r="G144" s="5">
        <v>99.165700000000001</v>
      </c>
      <c r="H144" s="5">
        <v>16.34</v>
      </c>
      <c r="I144" s="5">
        <v>335</v>
      </c>
      <c r="J144" s="4" t="s">
        <v>126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125</v>
      </c>
      <c r="E145" s="4" t="s">
        <v>73</v>
      </c>
      <c r="F145" s="4">
        <v>982.90100000000007</v>
      </c>
      <c r="G145" s="5">
        <v>104.64330000000001</v>
      </c>
      <c r="H145" s="5">
        <v>16.32</v>
      </c>
      <c r="I145" s="5">
        <v>763</v>
      </c>
      <c r="J145" s="4" t="s">
        <v>126</v>
      </c>
    </row>
    <row r="146" spans="1:10" x14ac:dyDescent="0.25">
      <c r="A146" s="4">
        <f t="shared" ca="1" si="4"/>
        <v>143</v>
      </c>
      <c r="B146" s="4" t="s">
        <v>404</v>
      </c>
      <c r="C146" s="4" t="s">
        <v>405</v>
      </c>
      <c r="D146" s="4" t="s">
        <v>125</v>
      </c>
      <c r="E146" s="4" t="s">
        <v>73</v>
      </c>
      <c r="F146" s="4">
        <v>881.97400000000005</v>
      </c>
      <c r="G146" s="5">
        <v>93.953000000000003</v>
      </c>
      <c r="H146" s="5">
        <v>17.05</v>
      </c>
      <c r="I146" s="5">
        <v>2407</v>
      </c>
      <c r="J146" s="4" t="s">
        <v>126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125</v>
      </c>
      <c r="E147" s="4" t="s">
        <v>73</v>
      </c>
      <c r="F147" s="4">
        <v>955.99400000000003</v>
      </c>
      <c r="G147" s="5">
        <v>105.1194</v>
      </c>
      <c r="H147" s="5">
        <v>17</v>
      </c>
      <c r="I147" s="5">
        <v>1234</v>
      </c>
      <c r="J147" s="4" t="s">
        <v>126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125</v>
      </c>
      <c r="E148" s="4" t="s">
        <v>73</v>
      </c>
      <c r="F148" s="4">
        <v>1000</v>
      </c>
      <c r="G148" s="5">
        <v>101.81020000000001</v>
      </c>
      <c r="H148" s="5">
        <v>17.080000000000002</v>
      </c>
      <c r="I148" s="5">
        <v>328</v>
      </c>
      <c r="J148" s="4" t="s">
        <v>126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125</v>
      </c>
      <c r="E149" s="4" t="s">
        <v>73</v>
      </c>
      <c r="F149" s="4">
        <v>893.38400000000001</v>
      </c>
      <c r="G149" s="5">
        <v>95.366200000000006</v>
      </c>
      <c r="H149" s="5">
        <v>17.03</v>
      </c>
      <c r="I149" s="5">
        <v>2034</v>
      </c>
      <c r="J149" s="4" t="s">
        <v>126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125</v>
      </c>
      <c r="E150" s="4" t="s">
        <v>73</v>
      </c>
      <c r="F150" s="4">
        <v>983.42900000000009</v>
      </c>
      <c r="G150" s="5">
        <v>102.6589</v>
      </c>
      <c r="H150" s="5">
        <v>16.3</v>
      </c>
      <c r="I150" s="5">
        <v>251</v>
      </c>
      <c r="J150" s="4" t="s">
        <v>126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125</v>
      </c>
      <c r="E151" s="4" t="s">
        <v>73</v>
      </c>
      <c r="F151" s="4">
        <v>890.30900000000008</v>
      </c>
      <c r="G151" s="5">
        <v>94.3292</v>
      </c>
      <c r="H151" s="5">
        <v>17.059999999999999</v>
      </c>
      <c r="I151" s="5">
        <v>2789</v>
      </c>
      <c r="J151" s="4" t="s">
        <v>126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125</v>
      </c>
      <c r="E152" s="4" t="s">
        <v>73</v>
      </c>
      <c r="F152" s="4">
        <v>829.01400000000001</v>
      </c>
      <c r="G152" s="5">
        <v>90.734700000000004</v>
      </c>
      <c r="H152" s="5">
        <v>17.059999999999999</v>
      </c>
      <c r="I152" s="5">
        <v>1955</v>
      </c>
      <c r="J152" s="4" t="s">
        <v>126</v>
      </c>
    </row>
    <row r="153" spans="1:10" x14ac:dyDescent="0.25">
      <c r="A153" s="4">
        <f t="shared" ca="1" si="4"/>
        <v>150</v>
      </c>
      <c r="B153" s="4" t="s">
        <v>418</v>
      </c>
      <c r="C153" s="4" t="s">
        <v>84</v>
      </c>
      <c r="D153" s="4" t="s">
        <v>125</v>
      </c>
      <c r="E153" s="4" t="s">
        <v>73</v>
      </c>
      <c r="F153" s="4">
        <v>1017.1450000000001</v>
      </c>
      <c r="G153" s="5">
        <v>105.02200000000001</v>
      </c>
      <c r="H153" s="5">
        <v>16.36</v>
      </c>
      <c r="I153" s="5">
        <v>1391</v>
      </c>
      <c r="J153" s="4" t="s">
        <v>126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125</v>
      </c>
      <c r="E154" s="4" t="s">
        <v>73</v>
      </c>
      <c r="F154" s="4">
        <v>887.39</v>
      </c>
      <c r="G154" s="5">
        <v>97.6404</v>
      </c>
      <c r="H154" s="5">
        <v>17.059999999999999</v>
      </c>
      <c r="I154" s="5">
        <v>3063</v>
      </c>
      <c r="J154" s="4" t="s">
        <v>126</v>
      </c>
    </row>
    <row r="155" spans="1:10" x14ac:dyDescent="0.25">
      <c r="A155" s="4">
        <f t="shared" ca="1" si="4"/>
        <v>152</v>
      </c>
      <c r="B155" s="4" t="s">
        <v>421</v>
      </c>
      <c r="C155" s="4" t="s">
        <v>422</v>
      </c>
      <c r="D155" s="4" t="s">
        <v>125</v>
      </c>
      <c r="E155" s="4" t="s">
        <v>73</v>
      </c>
      <c r="F155" s="4">
        <v>906.31900000000007</v>
      </c>
      <c r="G155" s="5">
        <v>99.594700000000003</v>
      </c>
      <c r="H155" s="5">
        <v>17.05</v>
      </c>
      <c r="I155" s="5">
        <v>2333</v>
      </c>
      <c r="J155" s="4" t="s">
        <v>126</v>
      </c>
    </row>
    <row r="156" spans="1:10" x14ac:dyDescent="0.25">
      <c r="A156" s="4">
        <f t="shared" ca="1" si="4"/>
        <v>153</v>
      </c>
      <c r="B156" s="4" t="s">
        <v>423</v>
      </c>
      <c r="C156" s="4" t="s">
        <v>424</v>
      </c>
      <c r="D156" s="4" t="s">
        <v>125</v>
      </c>
      <c r="E156" s="4" t="s">
        <v>73</v>
      </c>
      <c r="F156" s="4">
        <v>847.23099999999999</v>
      </c>
      <c r="G156" s="5">
        <v>90.402300000000011</v>
      </c>
      <c r="H156" s="5">
        <v>17.07</v>
      </c>
      <c r="I156" s="5">
        <v>4601</v>
      </c>
      <c r="J156" s="4" t="s">
        <v>126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125</v>
      </c>
      <c r="E157" s="4" t="s">
        <v>73</v>
      </c>
      <c r="F157" s="4">
        <v>1000</v>
      </c>
      <c r="G157" s="5">
        <v>108.4902</v>
      </c>
      <c r="H157" s="5">
        <v>15.44</v>
      </c>
      <c r="I157" s="5">
        <v>1992</v>
      </c>
      <c r="J157" s="4" t="s">
        <v>126</v>
      </c>
    </row>
    <row r="158" spans="1:10" x14ac:dyDescent="0.25">
      <c r="A158" s="4">
        <f t="shared" ca="1" si="4"/>
        <v>155</v>
      </c>
      <c r="B158" s="4" t="s">
        <v>427</v>
      </c>
      <c r="C158" s="4" t="s">
        <v>87</v>
      </c>
      <c r="D158" s="4" t="s">
        <v>125</v>
      </c>
      <c r="E158" s="4" t="s">
        <v>73</v>
      </c>
      <c r="F158" s="4">
        <v>850.81</v>
      </c>
      <c r="G158" s="5">
        <v>92.414300000000011</v>
      </c>
      <c r="H158" s="5">
        <v>17.02</v>
      </c>
      <c r="I158" s="5">
        <v>1603</v>
      </c>
      <c r="J158" s="4" t="s">
        <v>126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125</v>
      </c>
      <c r="E159" s="4" t="s">
        <v>73</v>
      </c>
      <c r="F159" s="4">
        <v>91.36290000000001</v>
      </c>
      <c r="G159" s="5">
        <v>91.36290000000001</v>
      </c>
      <c r="H159" s="5">
        <v>16.43</v>
      </c>
      <c r="I159" s="5">
        <v>211</v>
      </c>
      <c r="J159" s="4" t="s">
        <v>126</v>
      </c>
    </row>
    <row r="160" spans="1:10" x14ac:dyDescent="0.25">
      <c r="A160" s="4">
        <f t="shared" ca="1" si="4"/>
        <v>157</v>
      </c>
      <c r="B160" s="4" t="s">
        <v>430</v>
      </c>
      <c r="C160" s="4" t="s">
        <v>81</v>
      </c>
      <c r="D160" s="4" t="s">
        <v>125</v>
      </c>
      <c r="E160" s="4" t="s">
        <v>73</v>
      </c>
      <c r="F160" s="4">
        <v>95.290400000000005</v>
      </c>
      <c r="G160" s="5">
        <v>95.290400000000005</v>
      </c>
      <c r="H160" s="5">
        <v>16.11</v>
      </c>
      <c r="I160" s="5">
        <v>113</v>
      </c>
      <c r="J160" s="4" t="s">
        <v>126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125</v>
      </c>
      <c r="E161" s="4" t="s">
        <v>73</v>
      </c>
      <c r="F161" s="4">
        <v>858.57900000000006</v>
      </c>
      <c r="G161" s="5">
        <v>95.346800000000002</v>
      </c>
      <c r="H161" s="5">
        <v>17.080000000000002</v>
      </c>
      <c r="I161" s="5">
        <v>3407</v>
      </c>
      <c r="J161" s="4" t="s">
        <v>126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125</v>
      </c>
      <c r="E162" s="4" t="s">
        <v>73</v>
      </c>
      <c r="F162" s="4">
        <v>0.98624999999999996</v>
      </c>
      <c r="G162" s="5">
        <v>98.729800000000012</v>
      </c>
      <c r="H162" s="5">
        <v>4.9000000000000004</v>
      </c>
      <c r="I162" s="5">
        <v>3462</v>
      </c>
      <c r="J162" s="4" t="s">
        <v>126</v>
      </c>
    </row>
    <row r="163" spans="1:10" x14ac:dyDescent="0.25">
      <c r="A163" s="4">
        <f t="shared" ca="1" si="4"/>
        <v>160</v>
      </c>
      <c r="B163" s="4" t="s">
        <v>435</v>
      </c>
      <c r="C163" s="4" t="s">
        <v>436</v>
      </c>
      <c r="D163" s="4" t="s">
        <v>125</v>
      </c>
      <c r="E163" s="4" t="s">
        <v>73</v>
      </c>
      <c r="F163" s="4">
        <v>99.698300000000003</v>
      </c>
      <c r="G163" s="5">
        <v>99.698300000000003</v>
      </c>
      <c r="H163" s="5">
        <v>15.78</v>
      </c>
      <c r="I163" s="5">
        <v>8</v>
      </c>
      <c r="J163" s="4" t="s">
        <v>126</v>
      </c>
    </row>
    <row r="164" spans="1:10" x14ac:dyDescent="0.25">
      <c r="A164" s="4">
        <f t="shared" ref="A164:A181" ca="1" si="5">IF(OFFSET(A164,-1,0)="№ п/п",1,OFFSET(A164,-1,0)+1)</f>
        <v>161</v>
      </c>
      <c r="B164" s="4" t="s">
        <v>437</v>
      </c>
      <c r="C164" s="4" t="s">
        <v>438</v>
      </c>
      <c r="D164" s="4" t="s">
        <v>125</v>
      </c>
      <c r="E164" s="4" t="s">
        <v>73</v>
      </c>
      <c r="F164" s="4">
        <v>1019.2190000000001</v>
      </c>
      <c r="G164" s="5">
        <v>102.29860000000001</v>
      </c>
      <c r="H164" s="5">
        <v>16.37</v>
      </c>
      <c r="I164" s="5">
        <v>1819</v>
      </c>
      <c r="J164" s="4" t="s">
        <v>126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120</v>
      </c>
      <c r="E165" s="4" t="s">
        <v>441</v>
      </c>
      <c r="F165" s="4">
        <v>360.52</v>
      </c>
      <c r="G165" s="5"/>
      <c r="H165" s="5"/>
      <c r="I165" s="5"/>
      <c r="J165" s="4" t="s">
        <v>122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120</v>
      </c>
      <c r="E166" s="4" t="s">
        <v>441</v>
      </c>
      <c r="F166" s="4">
        <v>26.88</v>
      </c>
      <c r="G166" s="5"/>
      <c r="H166" s="5"/>
      <c r="I166" s="5"/>
      <c r="J166" s="4" t="s">
        <v>219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125</v>
      </c>
      <c r="E167" s="4" t="s">
        <v>441</v>
      </c>
      <c r="F167" s="4">
        <v>986.47700000000009</v>
      </c>
      <c r="G167" s="5">
        <v>105.1049</v>
      </c>
      <c r="H167" s="5">
        <v>18.080000000000002</v>
      </c>
      <c r="I167" s="5">
        <v>778</v>
      </c>
      <c r="J167" s="4" t="s">
        <v>126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120</v>
      </c>
      <c r="E168" s="4" t="s">
        <v>448</v>
      </c>
      <c r="F168" s="4">
        <v>861.94</v>
      </c>
      <c r="G168" s="5"/>
      <c r="H168" s="5"/>
      <c r="I168" s="5"/>
      <c r="J168" s="4" t="s">
        <v>122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125</v>
      </c>
      <c r="E169" s="4" t="s">
        <v>451</v>
      </c>
      <c r="F169" s="4">
        <v>0.86969399999999997</v>
      </c>
      <c r="G169" s="5">
        <v>88.288700000000006</v>
      </c>
      <c r="H169" s="5">
        <v>5.72</v>
      </c>
      <c r="I169" s="5">
        <v>2028</v>
      </c>
      <c r="J169" s="4" t="s">
        <v>126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125</v>
      </c>
      <c r="E170" s="4" t="s">
        <v>451</v>
      </c>
      <c r="F170" s="4">
        <v>1001.85</v>
      </c>
      <c r="G170" s="5">
        <v>102.72250000000001</v>
      </c>
      <c r="H170" s="5">
        <v>5.2</v>
      </c>
      <c r="I170" s="5">
        <v>1468</v>
      </c>
      <c r="J170" s="4" t="s">
        <v>126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125</v>
      </c>
      <c r="E171" s="4" t="s">
        <v>451</v>
      </c>
      <c r="F171" s="4">
        <v>1.037873</v>
      </c>
      <c r="G171" s="5">
        <v>103.9436</v>
      </c>
      <c r="H171" s="5">
        <v>4.68</v>
      </c>
      <c r="I171" s="5">
        <v>1634</v>
      </c>
      <c r="J171" s="4" t="s">
        <v>126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125</v>
      </c>
      <c r="E172" s="4" t="s">
        <v>451</v>
      </c>
      <c r="F172" s="4">
        <v>1.007261</v>
      </c>
      <c r="G172" s="5">
        <v>101.14830000000001</v>
      </c>
      <c r="H172" s="5">
        <v>3.08</v>
      </c>
      <c r="I172" s="5">
        <v>1051</v>
      </c>
      <c r="J172" s="4" t="s">
        <v>126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120</v>
      </c>
      <c r="E173" s="4" t="s">
        <v>460</v>
      </c>
      <c r="F173" s="4">
        <v>30323.93</v>
      </c>
      <c r="G173" s="5"/>
      <c r="H173" s="5"/>
      <c r="I173" s="5"/>
      <c r="J173" s="4" t="s">
        <v>122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120</v>
      </c>
      <c r="E174" s="4" t="s">
        <v>463</v>
      </c>
      <c r="F174" s="4">
        <v>77.100000000000009</v>
      </c>
      <c r="G174" s="5"/>
      <c r="H174" s="5"/>
      <c r="I174" s="5"/>
      <c r="J174" s="4" t="s">
        <v>219</v>
      </c>
    </row>
    <row r="175" spans="1:10" x14ac:dyDescent="0.25">
      <c r="A175" s="4">
        <f t="shared" ca="1" si="5"/>
        <v>172</v>
      </c>
      <c r="B175" s="4" t="s">
        <v>464</v>
      </c>
      <c r="C175" s="4" t="s">
        <v>465</v>
      </c>
      <c r="D175" s="4" t="s">
        <v>125</v>
      </c>
      <c r="E175" s="4" t="s">
        <v>466</v>
      </c>
      <c r="F175" s="4">
        <v>99.980100000000007</v>
      </c>
      <c r="G175" s="5">
        <v>100.9273</v>
      </c>
      <c r="H175" s="5">
        <v>11</v>
      </c>
      <c r="I175" s="5">
        <v>335</v>
      </c>
      <c r="J175" s="4" t="s">
        <v>126</v>
      </c>
    </row>
    <row r="176" spans="1:10" x14ac:dyDescent="0.25">
      <c r="A176" s="4">
        <f t="shared" ca="1" si="5"/>
        <v>173</v>
      </c>
      <c r="B176" s="4" t="s">
        <v>467</v>
      </c>
      <c r="C176" s="4" t="s">
        <v>468</v>
      </c>
      <c r="D176" s="4" t="s">
        <v>120</v>
      </c>
      <c r="E176" s="4" t="s">
        <v>469</v>
      </c>
      <c r="F176" s="4">
        <v>818.8</v>
      </c>
      <c r="G176" s="5"/>
      <c r="H176" s="5"/>
      <c r="I176" s="5"/>
      <c r="J176" s="4" t="s">
        <v>122</v>
      </c>
    </row>
    <row r="177" spans="1:10" x14ac:dyDescent="0.25">
      <c r="A177" s="4">
        <f t="shared" ca="1" si="5"/>
        <v>174</v>
      </c>
      <c r="B177" s="4" t="s">
        <v>470</v>
      </c>
      <c r="C177" s="4" t="s">
        <v>471</v>
      </c>
      <c r="D177" s="4" t="s">
        <v>125</v>
      </c>
      <c r="E177" s="4" t="s">
        <v>109</v>
      </c>
      <c r="F177" s="4">
        <v>0.99942999999999993</v>
      </c>
      <c r="G177" s="5">
        <v>100.372</v>
      </c>
      <c r="H177" s="5">
        <v>5.85</v>
      </c>
      <c r="I177" s="5">
        <v>155</v>
      </c>
      <c r="J177" s="4" t="s">
        <v>126</v>
      </c>
    </row>
    <row r="178" spans="1:10" x14ac:dyDescent="0.25">
      <c r="A178" s="4">
        <f t="shared" ca="1" si="5"/>
        <v>175</v>
      </c>
      <c r="B178" s="4" t="s">
        <v>472</v>
      </c>
      <c r="C178" s="4" t="s">
        <v>473</v>
      </c>
      <c r="D178" s="4" t="s">
        <v>125</v>
      </c>
      <c r="E178" s="4" t="s">
        <v>109</v>
      </c>
      <c r="F178" s="4">
        <v>1000</v>
      </c>
      <c r="G178" s="5">
        <v>100.9589</v>
      </c>
      <c r="H178" s="5">
        <v>17.48</v>
      </c>
      <c r="I178" s="5">
        <v>893</v>
      </c>
      <c r="J178" s="4" t="s">
        <v>126</v>
      </c>
    </row>
    <row r="179" spans="1:10" x14ac:dyDescent="0.25">
      <c r="A179" s="4">
        <f t="shared" ca="1" si="5"/>
        <v>176</v>
      </c>
      <c r="B179" s="4" t="s">
        <v>474</v>
      </c>
      <c r="C179" s="4" t="s">
        <v>110</v>
      </c>
      <c r="D179" s="4" t="s">
        <v>125</v>
      </c>
      <c r="E179" s="4" t="s">
        <v>109</v>
      </c>
      <c r="F179" s="4">
        <v>946.42694224456</v>
      </c>
      <c r="G179" s="5">
        <v>96.390494219999994</v>
      </c>
      <c r="H179" s="5">
        <v>17.82</v>
      </c>
      <c r="I179" s="5">
        <v>687</v>
      </c>
      <c r="J179" s="4" t="s">
        <v>126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125</v>
      </c>
      <c r="E180" s="4" t="s">
        <v>109</v>
      </c>
      <c r="F180" s="4">
        <v>1000</v>
      </c>
      <c r="G180" s="5">
        <v>102.3596</v>
      </c>
      <c r="H180" s="5">
        <v>16.22</v>
      </c>
      <c r="I180" s="5">
        <v>862</v>
      </c>
      <c r="J180" s="4" t="s">
        <v>126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125</v>
      </c>
      <c r="E181" s="4" t="s">
        <v>479</v>
      </c>
      <c r="F181" s="4">
        <v>1.0164899999999999</v>
      </c>
      <c r="G181" s="5">
        <v>104.0561</v>
      </c>
      <c r="H181" s="5">
        <v>4.76</v>
      </c>
      <c r="I181" s="5">
        <v>935</v>
      </c>
      <c r="J181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2025-10-20T06:03:29Z</dcterms:created>
  <dcterms:modified xsi:type="dcterms:W3CDTF">2025-10-20T07:25:55Z</dcterms:modified>
</cp:coreProperties>
</file>