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12102025\"/>
    </mc:Choice>
  </mc:AlternateContent>
  <xr:revisionPtr revIDLastSave="0" documentId="8_{85ED4CDF-019E-487C-A12B-7945AE18C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B45" i="1" l="1"/>
  <c r="M23" i="1"/>
  <c r="M19" i="1"/>
  <c r="M15" i="1"/>
  <c r="M11" i="1"/>
  <c r="M21" i="1"/>
  <c r="M17" i="1"/>
  <c r="M13" i="1"/>
  <c r="M9" i="1"/>
  <c r="M24" i="1"/>
  <c r="M20" i="1"/>
  <c r="M16" i="1"/>
  <c r="M12" i="1"/>
  <c r="M8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<sst xmlns="http://schemas.openxmlformats.org/spreadsheetml/2006/main" count="165" uniqueCount="114">
  <si>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</si>
  <si>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</si>
  <si>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</si>
  <si>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</si>
  <si>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</si>
  <si>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</si>
  <si>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</si>
  <si>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</si>
  <si>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</si>
  <si>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</si>
  <si>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</si>
  <si>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</si>
  <si>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</si>
  <si>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</si>
  <si>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</si>
  <si>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</si>
  <si>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</si>
  <si>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</si>
  <si>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</si>
  <si>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</si>
  <si>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</si>
  <si>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</si>
  <si>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</si>
  <si>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</si>
  <si>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</si>
  <si>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</si>
  <si>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</si>
  <si>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</si>
  <si>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</si>
  <si>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</si>
  <si>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</si>
  <si>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</si>
  <si>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</si>
  <si>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</si>
  <si>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</si>
  <si>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</si>
  <si>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</si>
  <si>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</si>
  <si>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</si>
  <si>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</si>
  <si>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</si>
  <si>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</si>
  <si>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</si>
  <si>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</si>
  <si>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</si>
  <si>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</si>
  <si>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</si>
  <si>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</si>
  <si>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</si>
  <si>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</si>
  <si>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</si>
  <si>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</si>
  <si>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</si>
  <si>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</si>
  <si>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</si>
  <si>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</si>
  <si>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</si>
  <si>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</si>
  <si>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</si>
  <si>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</si>
  <si>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</si>
  <si>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</si>
  <si>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</si>
  <si>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</si>
  <si>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</si>
  <si>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</si>
  <si>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</si>
  <si>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</si>
  <si>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</si>
  <si>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10.10.2025</t>
  </si>
  <si>
    <t>13.10.2025</t>
  </si>
  <si>
    <t>KZ96601A861038102391</t>
  </si>
  <si>
    <t>KZKD00001152</t>
  </si>
  <si>
    <t>18.07.2024</t>
  </si>
  <si>
    <t>26.07.2032</t>
  </si>
  <si>
    <t>KZKD00000477</t>
  </si>
  <si>
    <t>24.07.2025</t>
  </si>
  <si>
    <t>19.10.2027</t>
  </si>
  <si>
    <t>KZK200000760</t>
  </si>
  <si>
    <t>14.08.2025</t>
  </si>
  <si>
    <t>07.08.2029</t>
  </si>
  <si>
    <t>KZKD00000535</t>
  </si>
  <si>
    <t>27.03.2027</t>
  </si>
  <si>
    <t>KZKD00000790</t>
  </si>
  <si>
    <t>10.07.2025</t>
  </si>
  <si>
    <t>13.08.2029</t>
  </si>
  <si>
    <t>KZKD00001087</t>
  </si>
  <si>
    <t>31.03.2029</t>
  </si>
  <si>
    <t>KZKD00001129</t>
  </si>
  <si>
    <t>17.03.2031</t>
  </si>
  <si>
    <t>KZKD00000741</t>
  </si>
  <si>
    <t>12.05.2034</t>
  </si>
  <si>
    <t>KZKD00000832</t>
  </si>
  <si>
    <t>29.01.2035</t>
  </si>
  <si>
    <t>KZK100000373</t>
  </si>
  <si>
    <t>13.03.2025</t>
  </si>
  <si>
    <t>06.02.2026</t>
  </si>
  <si>
    <t>KZK200000687</t>
  </si>
  <si>
    <t>21.01.2026</t>
  </si>
  <si>
    <t>KZKD00001137</t>
  </si>
  <si>
    <t>12.04.2028</t>
  </si>
  <si>
    <t>KZKD00000949</t>
  </si>
  <si>
    <t>16.04.2032</t>
  </si>
  <si>
    <t>KZKD00001251</t>
  </si>
  <si>
    <t>07.03.2030</t>
  </si>
  <si>
    <t>21.08.2025</t>
  </si>
  <si>
    <t>18.08.2026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</si>
  <si>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</si>
  <si>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</si>
  <si>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</si>
  <si>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</si>
  <si>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</si>
  <si>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</si>
  <si>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12.10.2025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</si>
</sst>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43" fontId="10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2" workbookViewId="0">
      <selection activeCell="F62" sqref="F62"/>
    </sheetView>
  </sheetViews>
  <sheetFormatPr defaultColWidth="9.109375" defaultRowHeight="10.199999999999999" x14ac:dyDescent="0.2"/>
  <cols>
    <col min="1" max="1" width="32" style="7" bestFit="1" customWidth="1"/>
    <col min="2" max="2" width="27.44140625" style="7" bestFit="1" customWidth="1"/>
    <col min="3" max="3" width="14.6640625" style="7" customWidth="1"/>
    <col min="4" max="4" width="18.5546875" style="7" customWidth="1"/>
    <col min="5" max="5" width="16.5546875" style="7" bestFit="1" customWidth="1"/>
    <col min="6" max="6" width="18.5546875" style="7" bestFit="1" customWidth="1"/>
    <col min="7" max="7" width="17.6640625" style="7" customWidth="1"/>
    <col min="8" max="8" width="17" style="7" customWidth="1"/>
    <col min="9" max="10" width="19.77734375" style="7" bestFit="1" customWidth="1"/>
    <col min="11" max="11" width="18.77734375" style="7" customWidth="1"/>
    <col min="12" max="12" width="21.5546875" style="7" customWidth="1"/>
    <col min="13" max="13" width="19.109375" style="7" customWidth="1"/>
    <col min="14" max="14" width="26.33203125" style="7" customWidth="1"/>
    <col min="15" max="15" width="15" style="8" customWidth="1"/>
    <col min="16" max="16" width="9.109375" style="7"/>
    <col min="17" max="17" width="9.109375" style="7" hidden="1" customWidth="1"/>
    <col min="18" max="16384" width="9.109375" style="7"/>
  </cols>
  <sheetData>
    <row r="1" spans="1:17" ht="20.399999999999999" x14ac:dyDescent="0.2">
      <c r="A1" s="6" t="s">
        <v>45</v>
      </c>
      <c r="B1" s="6" t="s">
        <v>46</v>
      </c>
      <c r="Q1" s="9">
        <f>L26</f>
        <v>25830504490.911419</v>
      </c>
    </row>
    <row r="2" spans="1:17" x14ac:dyDescent="0.2">
      <c r="A2" s="6" t="s">
        <v>64</v>
      </c>
      <c r="B2" s="6" t="s">
        <v>113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0.6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1897500</v>
      </c>
      <c r="D8" s="15">
        <v>1897500000</v>
      </c>
      <c r="E8" s="16">
        <v>10.65</v>
      </c>
      <c r="F8" s="17" t="s">
        <v>73</v>
      </c>
      <c r="G8" s="17" t="s">
        <v>74</v>
      </c>
      <c r="H8" s="16">
        <v>1648500562.5</v>
      </c>
      <c r="I8" s="18">
        <v>75.7547</v>
      </c>
      <c r="J8" s="18">
        <v>77.943899999999999</v>
      </c>
      <c r="K8" s="16">
        <v>42662125</v>
      </c>
      <c r="L8" s="16">
        <v>1480107557.5</v>
      </c>
      <c r="M8" s="19">
        <f t="shared" ref="M8:M24" si="0">L8/$Q$1</f>
        <v>5.7300760735075174E-2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2391500</v>
      </c>
      <c r="D9" s="15">
        <v>2391500000</v>
      </c>
      <c r="E9" s="16">
        <v>5.3</v>
      </c>
      <c r="F9" s="17" t="s">
        <v>76</v>
      </c>
      <c r="G9" s="17" t="s">
        <v>77</v>
      </c>
      <c r="H9" s="16">
        <v>1903079172</v>
      </c>
      <c r="I9" s="18">
        <v>81.270800000000008</v>
      </c>
      <c r="J9" s="18">
        <v>86.438299999999998</v>
      </c>
      <c r="K9" s="16">
        <v>124284926.3888889</v>
      </c>
      <c r="L9" s="16">
        <v>2067876108.3888891</v>
      </c>
      <c r="M9" s="19">
        <f t="shared" si="0"/>
        <v>8.0055583471723549E-2</v>
      </c>
      <c r="O9" s="8">
        <v>749863.88888888899</v>
      </c>
    </row>
    <row r="10" spans="1:17" x14ac:dyDescent="0.2">
      <c r="A10" s="13" t="s">
        <v>66</v>
      </c>
      <c r="B10" s="13" t="s">
        <v>78</v>
      </c>
      <c r="C10" s="14">
        <v>897100</v>
      </c>
      <c r="D10" s="15">
        <v>897100000</v>
      </c>
      <c r="E10" s="16">
        <v>17.010000000000002</v>
      </c>
      <c r="F10" s="17" t="s">
        <v>79</v>
      </c>
      <c r="G10" s="17" t="s">
        <v>80</v>
      </c>
      <c r="H10" s="16">
        <v>896985171.20000005</v>
      </c>
      <c r="I10" s="18">
        <v>101.9636</v>
      </c>
      <c r="J10" s="18">
        <v>104.94040000000001</v>
      </c>
      <c r="K10" s="16">
        <v>27552183.75</v>
      </c>
      <c r="L10" s="16">
        <v>942267639.35000002</v>
      </c>
      <c r="M10" s="19">
        <f t="shared" si="0"/>
        <v>3.6478870928809817E-2</v>
      </c>
      <c r="O10" s="8">
        <v>749863.88888888899</v>
      </c>
    </row>
    <row r="11" spans="1:17" x14ac:dyDescent="0.2">
      <c r="A11" s="13" t="s">
        <v>66</v>
      </c>
      <c r="B11" s="13" t="s">
        <v>81</v>
      </c>
      <c r="C11" s="14">
        <v>3162500</v>
      </c>
      <c r="D11" s="15">
        <v>3162500000</v>
      </c>
      <c r="E11" s="16">
        <v>5.49</v>
      </c>
      <c r="F11" s="17" t="s">
        <v>73</v>
      </c>
      <c r="G11" s="17" t="s">
        <v>82</v>
      </c>
      <c r="H11" s="16">
        <v>2627740225</v>
      </c>
      <c r="I11" s="18">
        <v>85.9816</v>
      </c>
      <c r="J11" s="18">
        <v>88.924900000000008</v>
      </c>
      <c r="K11" s="16">
        <v>94044843.75</v>
      </c>
      <c r="L11" s="16">
        <v>2813212943.75</v>
      </c>
      <c r="M11" s="19">
        <f t="shared" si="0"/>
        <v>0.10891049165299276</v>
      </c>
      <c r="O11" s="8">
        <v>749863.88888888899</v>
      </c>
    </row>
    <row r="12" spans="1:17" x14ac:dyDescent="0.2">
      <c r="A12" s="13" t="s">
        <v>66</v>
      </c>
      <c r="B12" s="13" t="s">
        <v>83</v>
      </c>
      <c r="C12" s="14">
        <v>2469500</v>
      </c>
      <c r="D12" s="15">
        <v>2469500000</v>
      </c>
      <c r="E12" s="16">
        <v>7.68</v>
      </c>
      <c r="F12" s="17" t="s">
        <v>84</v>
      </c>
      <c r="G12" s="17" t="s">
        <v>85</v>
      </c>
      <c r="H12" s="16">
        <v>1827657194</v>
      </c>
      <c r="I12" s="18">
        <v>75.272599999999997</v>
      </c>
      <c r="J12" s="18">
        <v>76.488600000000005</v>
      </c>
      <c r="K12" s="16">
        <v>31082773.333333328</v>
      </c>
      <c r="L12" s="16">
        <v>1889939630.333333</v>
      </c>
      <c r="M12" s="19">
        <f t="shared" si="0"/>
        <v>7.3166965476741536E-2</v>
      </c>
      <c r="O12" s="8">
        <v>749863.88888888899</v>
      </c>
    </row>
    <row r="13" spans="1:17" x14ac:dyDescent="0.2">
      <c r="A13" s="13" t="s">
        <v>66</v>
      </c>
      <c r="B13" s="13" t="s">
        <v>86</v>
      </c>
      <c r="C13" s="14">
        <v>1897500</v>
      </c>
      <c r="D13" s="15">
        <v>1897500000</v>
      </c>
      <c r="E13" s="16">
        <v>11</v>
      </c>
      <c r="F13" s="17" t="s">
        <v>73</v>
      </c>
      <c r="G13" s="17" t="s">
        <v>87</v>
      </c>
      <c r="H13" s="16">
        <v>1743261712.5</v>
      </c>
      <c r="I13" s="18">
        <v>85.107799999999997</v>
      </c>
      <c r="J13" s="18">
        <v>90.91340000000001</v>
      </c>
      <c r="K13" s="16">
        <v>111320000</v>
      </c>
      <c r="L13" s="16">
        <v>1726240505</v>
      </c>
      <c r="M13" s="19">
        <f t="shared" si="0"/>
        <v>6.6829531169528097E-2</v>
      </c>
      <c r="O13" s="8">
        <v>749863.88888888899</v>
      </c>
    </row>
    <row r="14" spans="1:17" x14ac:dyDescent="0.2">
      <c r="A14" s="13" t="s">
        <v>66</v>
      </c>
      <c r="B14" s="13" t="s">
        <v>88</v>
      </c>
      <c r="C14" s="14">
        <v>1897500</v>
      </c>
      <c r="D14" s="15">
        <v>1897500000</v>
      </c>
      <c r="E14" s="16">
        <v>10.3</v>
      </c>
      <c r="F14" s="17" t="s">
        <v>73</v>
      </c>
      <c r="G14" s="17" t="s">
        <v>89</v>
      </c>
      <c r="H14" s="16">
        <v>1645329839.996666</v>
      </c>
      <c r="I14" s="18">
        <v>77.51230000000001</v>
      </c>
      <c r="J14" s="18">
        <v>83.320400000000006</v>
      </c>
      <c r="K14" s="16">
        <v>111293645.833333</v>
      </c>
      <c r="L14" s="16">
        <v>1582089538.333333</v>
      </c>
      <c r="M14" s="19">
        <f t="shared" si="0"/>
        <v>6.1248882649194807E-2</v>
      </c>
      <c r="O14" s="8">
        <v>749863.88888888899</v>
      </c>
    </row>
    <row r="15" spans="1:17" x14ac:dyDescent="0.2">
      <c r="A15" s="13" t="s">
        <v>66</v>
      </c>
      <c r="B15" s="13" t="s">
        <v>90</v>
      </c>
      <c r="C15" s="14">
        <v>1897500</v>
      </c>
      <c r="D15" s="15">
        <v>1897500000</v>
      </c>
      <c r="E15" s="16">
        <v>8.07</v>
      </c>
      <c r="F15" s="17" t="s">
        <v>73</v>
      </c>
      <c r="G15" s="17" t="s">
        <v>91</v>
      </c>
      <c r="H15" s="16">
        <v>1359122325</v>
      </c>
      <c r="I15" s="18">
        <v>61.370400000000004</v>
      </c>
      <c r="J15" s="18">
        <v>64.688100000000006</v>
      </c>
      <c r="K15" s="16">
        <v>63803437.5</v>
      </c>
      <c r="L15" s="16">
        <v>1228306777.5</v>
      </c>
      <c r="M15" s="19">
        <f t="shared" si="0"/>
        <v>4.7552566305167805E-2</v>
      </c>
      <c r="O15" s="8">
        <v>749863.88888888899</v>
      </c>
    </row>
    <row r="16" spans="1:17" x14ac:dyDescent="0.2">
      <c r="A16" s="13" t="s">
        <v>66</v>
      </c>
      <c r="B16" s="13" t="s">
        <v>92</v>
      </c>
      <c r="C16" s="14">
        <v>1897500</v>
      </c>
      <c r="D16" s="15">
        <v>1897500000</v>
      </c>
      <c r="E16" s="16">
        <v>8.07</v>
      </c>
      <c r="F16" s="17" t="s">
        <v>73</v>
      </c>
      <c r="G16" s="17" t="s">
        <v>93</v>
      </c>
      <c r="H16" s="16">
        <v>1338524962.5</v>
      </c>
      <c r="I16" s="18">
        <v>59.923500000000004</v>
      </c>
      <c r="J16" s="18">
        <v>65.5501</v>
      </c>
      <c r="K16" s="16">
        <v>107615131.25</v>
      </c>
      <c r="L16" s="16">
        <v>1244663543.75</v>
      </c>
      <c r="M16" s="19">
        <f t="shared" si="0"/>
        <v>4.8185800791770851E-2</v>
      </c>
      <c r="O16" s="8">
        <v>749863.88888888899</v>
      </c>
    </row>
    <row r="17" spans="1:15" x14ac:dyDescent="0.2">
      <c r="A17" s="13" t="s">
        <v>66</v>
      </c>
      <c r="B17" s="13" t="s">
        <v>94</v>
      </c>
      <c r="C17" s="14">
        <v>11424000</v>
      </c>
      <c r="D17" s="15">
        <v>1142400000</v>
      </c>
      <c r="E17" s="16">
        <v>0</v>
      </c>
      <c r="F17" s="17" t="s">
        <v>95</v>
      </c>
      <c r="G17" s="17" t="s">
        <v>96</v>
      </c>
      <c r="H17" s="16">
        <v>1003902278.4</v>
      </c>
      <c r="I17" s="18">
        <v>94.9482</v>
      </c>
      <c r="J17" s="18">
        <v>94.9482</v>
      </c>
      <c r="K17" s="16"/>
      <c r="L17" s="16">
        <v>1084688236.8</v>
      </c>
      <c r="M17" s="19">
        <f t="shared" si="0"/>
        <v>4.1992530079373883E-2</v>
      </c>
      <c r="O17" s="8">
        <v>749863.88888888899</v>
      </c>
    </row>
    <row r="18" spans="1:15" x14ac:dyDescent="0.2">
      <c r="A18" s="13" t="s">
        <v>66</v>
      </c>
      <c r="B18" s="13" t="s">
        <v>97</v>
      </c>
      <c r="C18" s="14">
        <v>2530000</v>
      </c>
      <c r="D18" s="15">
        <v>2530000000</v>
      </c>
      <c r="E18" s="16">
        <v>10.67</v>
      </c>
      <c r="F18" s="17" t="s">
        <v>73</v>
      </c>
      <c r="G18" s="17" t="s">
        <v>98</v>
      </c>
      <c r="H18" s="16">
        <v>2455119589.9966769</v>
      </c>
      <c r="I18" s="18">
        <v>98.385500000000008</v>
      </c>
      <c r="J18" s="18">
        <v>100.727</v>
      </c>
      <c r="K18" s="16">
        <v>60738975</v>
      </c>
      <c r="L18" s="16">
        <v>2549892125</v>
      </c>
      <c r="M18" s="19">
        <f t="shared" si="0"/>
        <v>9.8716311402171464E-2</v>
      </c>
      <c r="O18" s="8">
        <v>749863.88888888899</v>
      </c>
    </row>
    <row r="19" spans="1:15" x14ac:dyDescent="0.2">
      <c r="A19" s="13" t="s">
        <v>66</v>
      </c>
      <c r="B19" s="13" t="s">
        <v>99</v>
      </c>
      <c r="C19" s="14">
        <v>1897500</v>
      </c>
      <c r="D19" s="15">
        <v>1897500000</v>
      </c>
      <c r="E19" s="16">
        <v>10.4</v>
      </c>
      <c r="F19" s="17" t="s">
        <v>73</v>
      </c>
      <c r="G19" s="17" t="s">
        <v>100</v>
      </c>
      <c r="H19" s="16">
        <v>1736743800</v>
      </c>
      <c r="I19" s="18">
        <v>87.227699999999999</v>
      </c>
      <c r="J19" s="18">
        <v>92.369900000000001</v>
      </c>
      <c r="K19" s="16">
        <v>98670000</v>
      </c>
      <c r="L19" s="16">
        <v>1753815607.5</v>
      </c>
      <c r="M19" s="19">
        <f t="shared" si="0"/>
        <v>6.7897071391582312E-2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1897500</v>
      </c>
      <c r="D20" s="15">
        <v>1897500000</v>
      </c>
      <c r="E20" s="16">
        <v>8.4499999999999993</v>
      </c>
      <c r="F20" s="17" t="s">
        <v>73</v>
      </c>
      <c r="G20" s="17" t="s">
        <v>102</v>
      </c>
      <c r="H20" s="16">
        <v>1457889097.496666</v>
      </c>
      <c r="I20" s="18">
        <v>67.9602</v>
      </c>
      <c r="J20" s="18">
        <v>72.04440000000001</v>
      </c>
      <c r="K20" s="16">
        <v>78387833.333333328</v>
      </c>
      <c r="L20" s="16">
        <v>1367932628.333333</v>
      </c>
      <c r="M20" s="19">
        <f t="shared" si="0"/>
        <v>5.2958029867927914E-2</v>
      </c>
      <c r="O20" s="8">
        <v>749863.88888888899</v>
      </c>
    </row>
    <row r="21" spans="1:15" x14ac:dyDescent="0.2">
      <c r="A21" s="13" t="s">
        <v>66</v>
      </c>
      <c r="B21" s="13" t="s">
        <v>103</v>
      </c>
      <c r="C21" s="14">
        <v>550000</v>
      </c>
      <c r="D21" s="15">
        <v>550000000</v>
      </c>
      <c r="E21" s="16">
        <v>12</v>
      </c>
      <c r="F21" s="17" t="s">
        <v>95</v>
      </c>
      <c r="G21" s="17" t="s">
        <v>104</v>
      </c>
      <c r="H21" s="16">
        <v>491343050</v>
      </c>
      <c r="I21" s="18">
        <v>85.349100000000007</v>
      </c>
      <c r="J21" s="18">
        <v>92.449100000000001</v>
      </c>
      <c r="K21" s="16">
        <v>39416666.666666657</v>
      </c>
      <c r="L21" s="16">
        <v>508836716.66666698</v>
      </c>
      <c r="M21" s="19">
        <f t="shared" si="0"/>
        <v>1.9699062279085702E-2</v>
      </c>
      <c r="O21" s="8">
        <v>749863.88888888899</v>
      </c>
    </row>
    <row r="22" spans="1:15" x14ac:dyDescent="0.2">
      <c r="A22" s="13" t="s">
        <v>66</v>
      </c>
      <c r="B22" s="13" t="s">
        <v>67</v>
      </c>
      <c r="C22" s="14">
        <v>1106600</v>
      </c>
      <c r="D22" s="15">
        <v>1106600000</v>
      </c>
      <c r="E22" s="16">
        <v>5.5</v>
      </c>
      <c r="F22" s="17" t="s">
        <v>105</v>
      </c>
      <c r="G22" s="17" t="s">
        <v>106</v>
      </c>
      <c r="H22" s="16">
        <v>999478906.79999995</v>
      </c>
      <c r="I22" s="18">
        <v>91.320100000000011</v>
      </c>
      <c r="J22" s="18">
        <v>92.114500000000007</v>
      </c>
      <c r="K22" s="16">
        <v>9129450</v>
      </c>
      <c r="L22" s="16">
        <v>1019677676.5999999</v>
      </c>
      <c r="M22" s="19">
        <f t="shared" si="0"/>
        <v>3.9475716665107262E-2</v>
      </c>
      <c r="O22" s="8">
        <v>749863.88888888899</v>
      </c>
    </row>
    <row r="23" spans="1:15" x14ac:dyDescent="0.2">
      <c r="A23" s="13" t="s">
        <v>66</v>
      </c>
      <c r="B23" s="13" t="s">
        <v>107</v>
      </c>
      <c r="C23" s="14">
        <v>1897500</v>
      </c>
      <c r="D23" s="15">
        <v>1897500000</v>
      </c>
      <c r="E23" s="16">
        <v>10.55</v>
      </c>
      <c r="F23" s="17" t="s">
        <v>73</v>
      </c>
      <c r="G23" s="17" t="s">
        <v>108</v>
      </c>
      <c r="H23" s="16">
        <v>1708326839.9966669</v>
      </c>
      <c r="I23" s="18">
        <v>83.0321</v>
      </c>
      <c r="J23" s="18">
        <v>85.142099999999999</v>
      </c>
      <c r="K23" s="16">
        <v>41149395.833333328</v>
      </c>
      <c r="L23" s="16">
        <v>1616683493.333333</v>
      </c>
      <c r="M23" s="19">
        <f t="shared" si="0"/>
        <v>6.2588150142486393E-2</v>
      </c>
      <c r="O23" s="8">
        <v>749863.88888888899</v>
      </c>
    </row>
    <row r="24" spans="1:15" x14ac:dyDescent="0.2">
      <c r="A24" s="13" t="s">
        <v>109</v>
      </c>
      <c r="B24" s="13" t="s">
        <v>110</v>
      </c>
      <c r="C24" s="14">
        <v>992234</v>
      </c>
      <c r="D24" s="15">
        <v>992234000</v>
      </c>
      <c r="E24" s="16">
        <v>14.3</v>
      </c>
      <c r="F24" s="17" t="s">
        <v>111</v>
      </c>
      <c r="G24" s="17" t="s">
        <v>112</v>
      </c>
      <c r="H24" s="16">
        <v>991722999.49000001</v>
      </c>
      <c r="I24" s="18">
        <v>94.625098960000003</v>
      </c>
      <c r="J24" s="18">
        <v>96.094798960000006</v>
      </c>
      <c r="K24" s="16">
        <v>15371358.383333329</v>
      </c>
      <c r="L24" s="16">
        <v>954273762.77253497</v>
      </c>
      <c r="M24" s="19">
        <f t="shared" si="0"/>
        <v>3.694367499126084E-2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1056522746.0222219</v>
      </c>
      <c r="L26" s="21">
        <f>SUM(L8:L25)</f>
        <v>25830504490.911419</v>
      </c>
      <c r="M26" s="24">
        <f>SUM(M8:M25)</f>
        <v>1.0000000000000004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283445.21000000002</v>
      </c>
    </row>
    <row r="30" spans="1:15" x14ac:dyDescent="0.2">
      <c r="A30" s="27" t="s">
        <v>71</v>
      </c>
      <c r="B30" s="28">
        <v>283445.21000000002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0.399999999999999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14118</v>
      </c>
      <c r="D35" s="30" t="s">
        <v>68</v>
      </c>
      <c r="E35" s="32" t="s">
        <v>69</v>
      </c>
      <c r="F35" s="32" t="s">
        <v>70</v>
      </c>
      <c r="G35" s="33">
        <v>921.1450000000001</v>
      </c>
      <c r="H35" s="33">
        <f>J35/C35</f>
        <v>922.33744085564524</v>
      </c>
      <c r="I35" s="34">
        <v>13004725.109999999</v>
      </c>
      <c r="J35" s="34">
        <v>13021559.99</v>
      </c>
      <c r="K35" s="35">
        <v>15.75</v>
      </c>
      <c r="L35" s="35">
        <v>11223.253333333299</v>
      </c>
      <c r="M35" s="29">
        <f>I35+L35</f>
        <v>13015948.363333333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2281686</v>
      </c>
      <c r="D36" s="30" t="s">
        <v>68</v>
      </c>
      <c r="E36" s="32" t="s">
        <v>69</v>
      </c>
      <c r="F36" s="32" t="s">
        <v>70</v>
      </c>
      <c r="G36" s="33">
        <v>921.1450000000001</v>
      </c>
      <c r="H36" s="33">
        <f>J36/C36</f>
        <v>922.33744112905981</v>
      </c>
      <c r="I36" s="34">
        <v>2101763650.47</v>
      </c>
      <c r="J36" s="34">
        <v>2104484426.7</v>
      </c>
      <c r="K36" s="35">
        <v>15.75</v>
      </c>
      <c r="L36" s="35">
        <v>1813850.82</v>
      </c>
      <c r="M36" s="29">
        <f>I36+L36</f>
        <v>2103577501.29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2116593449.6533332</v>
      </c>
      <c r="O38" s="39"/>
    </row>
    <row r="40" spans="1:17" ht="20.399999999999999" x14ac:dyDescent="0.2">
      <c r="A40" s="25" t="s">
        <v>37</v>
      </c>
    </row>
    <row r="41" spans="1:17" ht="20.399999999999999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L26+M38+B30</f>
        <v>27947381385.77475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3" t="s">
        <v>48</v>
      </c>
      <c r="B50" s="53"/>
      <c r="C50" s="53"/>
      <c r="D50" s="53"/>
      <c r="O50" s="7"/>
    </row>
    <row r="51" spans="1:15" x14ac:dyDescent="0.2">
      <c r="O51" s="7"/>
    </row>
    <row r="52" spans="1:15" ht="20.399999999999999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4"/>
      <c r="B53" s="54"/>
      <c r="C53" s="54"/>
      <c r="D53" s="54"/>
      <c r="E53" s="54"/>
      <c r="F53" s="54"/>
      <c r="G53" s="54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5"/>
    </row>
    <row r="56" spans="1:15" x14ac:dyDescent="0.2">
      <c r="A56" s="53" t="s">
        <v>49</v>
      </c>
      <c r="B56" s="53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4" t="s">
        <v>53</v>
      </c>
      <c r="C60" s="56">
        <v>2299715.86</v>
      </c>
      <c r="D60" s="22"/>
      <c r="E60" s="52"/>
      <c r="O60" s="7"/>
    </row>
    <row r="61" spans="1:15" x14ac:dyDescent="0.2">
      <c r="A61" s="22">
        <v>2</v>
      </c>
      <c r="B61" s="54" t="s">
        <v>54</v>
      </c>
      <c r="C61" s="56">
        <v>0</v>
      </c>
      <c r="D61" s="22"/>
      <c r="E61" s="52"/>
      <c r="O61" s="7"/>
    </row>
    <row r="62" spans="1:15" x14ac:dyDescent="0.2">
      <c r="A62" s="22">
        <v>3</v>
      </c>
      <c r="B62" s="54" t="s">
        <v>55</v>
      </c>
      <c r="C62" s="56">
        <v>469719.35</v>
      </c>
      <c r="D62" s="22"/>
      <c r="F62" s="52"/>
      <c r="O62" s="7"/>
    </row>
    <row r="63" spans="1:15" x14ac:dyDescent="0.2">
      <c r="A63" s="22">
        <v>4</v>
      </c>
      <c r="B63" s="54" t="s">
        <v>56</v>
      </c>
      <c r="C63" s="56">
        <v>0</v>
      </c>
      <c r="D63" s="22"/>
      <c r="O63" s="7"/>
    </row>
    <row r="64" spans="1:15" x14ac:dyDescent="0.2">
      <c r="A64" s="22">
        <v>5</v>
      </c>
      <c r="B64" s="57" t="s">
        <v>57</v>
      </c>
      <c r="C64" s="56">
        <v>365760.98</v>
      </c>
      <c r="D64" s="22"/>
      <c r="F64" s="52"/>
      <c r="O64" s="7"/>
    </row>
    <row r="65" spans="1:15" x14ac:dyDescent="0.2">
      <c r="A65" s="22">
        <v>6</v>
      </c>
      <c r="B65" s="54" t="s">
        <v>58</v>
      </c>
      <c r="C65" s="56">
        <v>128000.6</v>
      </c>
      <c r="D65" s="56"/>
      <c r="O65" s="7"/>
    </row>
    <row r="66" spans="1:15" x14ac:dyDescent="0.2">
      <c r="A66" s="22">
        <v>7</v>
      </c>
      <c r="B66" s="54" t="s">
        <v>59</v>
      </c>
      <c r="C66" s="56">
        <v>64831.12</v>
      </c>
      <c r="D66" s="56"/>
      <c r="O66" s="7"/>
    </row>
    <row r="67" spans="1:15" x14ac:dyDescent="0.2">
      <c r="A67" s="22">
        <v>8</v>
      </c>
      <c r="B67" s="54" t="s">
        <v>60</v>
      </c>
      <c r="C67" s="56">
        <v>0</v>
      </c>
      <c r="D67" s="22"/>
      <c r="O67" s="7"/>
    </row>
    <row r="68" spans="1:15" ht="20.399999999999999" x14ac:dyDescent="0.2">
      <c r="A68" s="22">
        <v>9</v>
      </c>
      <c r="B68" s="57" t="s">
        <v>61</v>
      </c>
      <c r="C68" s="56">
        <v>0</v>
      </c>
      <c r="D68" s="22"/>
      <c r="O68" s="7"/>
    </row>
    <row r="69" spans="1:15" ht="20.399999999999999" x14ac:dyDescent="0.2">
      <c r="A69" s="22">
        <v>10</v>
      </c>
      <c r="B69" s="57" t="s">
        <v>62</v>
      </c>
      <c r="C69" s="56">
        <v>0</v>
      </c>
      <c r="D69" s="22"/>
      <c r="E69" s="52"/>
      <c r="O69" s="7"/>
    </row>
    <row r="70" spans="1:15" x14ac:dyDescent="0.2">
      <c r="A70" s="58" t="s">
        <v>63</v>
      </c>
      <c r="B70" s="58"/>
      <c r="C70" s="59">
        <f>SUM(C60:C69)</f>
        <v>3328027.91</v>
      </c>
      <c r="D70" s="54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8671875" defaultRowHeight="14.4" x14ac:dyDescent="0.3"/>
  <cols>
    <col min="1" max="1" width="11.44140625" style="1" bestFit="1" customWidth="1"/>
    <col min="2" max="2" width="14.109375" style="1" bestFit="1" customWidth="1"/>
    <col min="3" max="3" width="15.109375" style="1" bestFit="1" customWidth="1"/>
    <col min="4" max="4" width="30.44140625" style="1" customWidth="1"/>
    <col min="5" max="5" width="35.44140625" style="1" customWidth="1"/>
    <col min="6" max="6" width="13.109375" style="1" customWidth="1"/>
    <col min="7" max="7" width="14.5546875" style="1" customWidth="1"/>
    <col min="8" max="8" width="17" style="1" customWidth="1"/>
    <col min="9" max="9" width="14.5546875" style="1" customWidth="1"/>
    <col min="10" max="10" width="15.88671875" style="1" customWidth="1"/>
    <col min="11" max="16384" width="8.88671875" style="1"/>
  </cols>
  <sheetData>
    <row r="1" spans="1:10" x14ac:dyDescent="0.3">
      <c r="A1" s="4" t="s">
        <v>6</v>
      </c>
      <c r="B1" s="5" t="str">
        <f>__mdDATAHead__</f>
        <v>12.10.2025</v>
      </c>
    </row>
    <row r="3" spans="1:10" s="3" customFormat="1" ht="42" customHeight="1" x14ac:dyDescent="0.3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2025-10-13T06:04:06Z</dcterms:created>
  <dcterms:modified xsi:type="dcterms:W3CDTF">2025-10-13T06:10:53Z</dcterms:modified>
</cp:coreProperties>
</file>