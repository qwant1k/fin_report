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F312374D-572E-4D4B-BF52-63867DF27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B47" i="1" s="1"/>
  <c r="K26" i="1"/>
  <c r="H26" i="1"/>
  <c r="D26" i="1"/>
  <c r="Q1" i="1"/>
  <c r="M22" i="1" s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  <c r="O26" i="1" l="1"/>
</calcChain>
</file>

<file path=xl/sharedStrings.xml><?xml version="1.0" encoding="utf-8"?>
<sst xmlns="http://schemas.openxmlformats.org/spreadsheetml/2006/main" count="1070" uniqueCount="479">
  <si>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</si>
  <si>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</si>
  <si>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</si>
  <si>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</si>
  <si>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</si>
  <si>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</si>
  <si>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</si>
  <si>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</si>
  <si>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</si>
  <si>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</si>
  <si>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</si>
  <si>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</si>
  <si>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</si>
  <si>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</si>
  <si>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</si>
  <si>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</si>
  <si>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</si>
  <si>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</si>
  <si>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</si>
  <si>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</si>
  <si>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</si>
  <si>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</si>
  <si>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</si>
  <si>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</si>
  <si>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</si>
  <si>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</si>
  <si>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</si>
  <si>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</si>
  <si>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</si>
  <si>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</si>
  <si>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</si>
  <si>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</si>
  <si>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</si>
  <si>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</si>
  <si>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</si>
  <si>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</si>
  <si>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</si>
  <si>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</si>
  <si>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</si>
  <si>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</si>
  <si>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</si>
  <si>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</si>
  <si>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</si>
  <si>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</si>
  <si>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</si>
  <si>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</si>
  <si>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</si>
  <si>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</si>
  <si>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</si>
  <si>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</si>
  <si>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</si>
  <si>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</si>
  <si>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</si>
  <si>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</si>
  <si>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</si>
  <si>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</si>
  <si>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</si>
  <si>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</si>
  <si>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</si>
  <si>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</si>
  <si>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</si>
  <si>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</si>
  <si>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</si>
  <si>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</si>
  <si>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</si>
  <si>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</si>
  <si>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</si>
  <si>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</si>
  <si>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</si>
  <si>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10.10.2025</t>
  </si>
  <si>
    <t>13.10.2025</t>
  </si>
  <si>
    <t>14.10.2025</t>
  </si>
  <si>
    <t>KZKD00001095</t>
  </si>
  <si>
    <t>KZ96601A861038102391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</si>
  <si>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</si>
  <si>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</si>
  <si>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</si>
  <si>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</si>
  <si>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</si>
  <si>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</si>
  <si>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</si>
  <si>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KZKD00001129</t>
  </si>
  <si>
    <t>18.07.2024</t>
  </si>
  <si>
    <t>17.03.2031</t>
  </si>
  <si>
    <t>21.08.2025</t>
  </si>
  <si>
    <t>18.08.2026</t>
  </si>
  <si>
    <t>KZK200000760</t>
  </si>
  <si>
    <t>14.08.2025</t>
  </si>
  <si>
    <t>07.08.2029</t>
  </si>
  <si>
    <t>KZKD00000535</t>
  </si>
  <si>
    <t>27.03.2027</t>
  </si>
  <si>
    <t>KZKD00001152</t>
  </si>
  <si>
    <t>26.07.2032</t>
  </si>
  <si>
    <t>KZKD00001251</t>
  </si>
  <si>
    <t>13.03.2025</t>
  </si>
  <si>
    <t>07.03.2030</t>
  </si>
  <si>
    <t>KZK200000687</t>
  </si>
  <si>
    <t>21.01.2026</t>
  </si>
  <si>
    <t>KZKD00000741</t>
  </si>
  <si>
    <t>12.05.2034</t>
  </si>
  <si>
    <t>KZK100000373</t>
  </si>
  <si>
    <t>06.02.2026</t>
  </si>
  <si>
    <t>KZKD00001087</t>
  </si>
  <si>
    <t>31.03.2029</t>
  </si>
  <si>
    <t>KZKD00000832</t>
  </si>
  <si>
    <t>29.01.2035</t>
  </si>
  <si>
    <t>KZKD00000477</t>
  </si>
  <si>
    <t>24.07.2025</t>
  </si>
  <si>
    <t>19.10.2027</t>
  </si>
  <si>
    <t>KZKD00001137</t>
  </si>
  <si>
    <t>12.04.2028</t>
  </si>
  <si>
    <t>KZKD00001160</t>
  </si>
  <si>
    <t>28.07.2029</t>
  </si>
  <si>
    <t>KZKD00000949</t>
  </si>
  <si>
    <t>16.04.2032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</si>
  <si>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</si>
  <si>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</si>
  <si>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</si>
  <si>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</si>
  <si>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</si>
  <si>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</si>
  <si>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</si>
  <si>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</si>
  <si>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</si>
  <si>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</si>
  <si>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</si>
  <si>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</si>
  <si>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</si>
  <si>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</si>
  <si>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</si>
  <si>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</si>
  <si>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</si>
  <si>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</si>
  <si>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</si>
  <si>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</si>
  <si>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</si>
  <si>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</si>
  <si>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</si>
  <si>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</si>
  <si>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</si>
  <si>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</si>
  <si>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</si>
  <si>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</si>
  <si>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</si>
  <si>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</si>
  <si>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</si>
  <si>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</si>
  <si>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</si>
  <si>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</si>
  <si>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</si>
  <si>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</si>
  <si>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</si>
  <si>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</si>
  <si>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</si>
  <si>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</si>
  <si>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</si>
  <si>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</si>
  <si>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</si>
  <si>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</si>
  <si>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</si>
  <si>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</si>
  <si>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</si>
  <si>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</si>
  <si>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</si>
  <si>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</si>
  <si>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</si>
  <si>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</si>
  <si>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</si>
  <si>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</si>
  <si>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</si>
  <si>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MTM084_0001</t>
  </si>
  <si>
    <t>KZKT00000073</t>
  </si>
  <si>
    <t>BCCIbe</t>
  </si>
  <si>
    <t>KZPF00000553</t>
  </si>
  <si>
    <t>KASAb1</t>
  </si>
  <si>
    <t>KZ2C00013753</t>
  </si>
  <si>
    <t>MFRFb21</t>
  </si>
  <si>
    <t>KZ2P00014723</t>
  </si>
  <si>
    <t>MFMOb32</t>
  </si>
  <si>
    <t>KZ2P00014590</t>
  </si>
  <si>
    <t>BIGDb2</t>
  </si>
  <si>
    <t>KZ2D00012531</t>
  </si>
  <si>
    <t>MFMOb23</t>
  </si>
  <si>
    <t>KZ2P00013154</t>
  </si>
  <si>
    <t>MFMOb26</t>
  </si>
  <si>
    <t>KZ2P00013204</t>
  </si>
  <si>
    <t>MFUCb9</t>
  </si>
  <si>
    <t>KZ2P00015431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</si>
  <si>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</si>
  <si>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</si>
  <si>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</si>
  <si>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</si>
  <si>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</si>
  <si>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</si>
  <si>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</si>
  <si>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</si>
  <si>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</si>
  <si>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</si>
  <si>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</si>
  <si>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</si>
  <si>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</si>
  <si>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</si>
  <si>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</si>
  <si>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</si>
  <si>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</si>
  <si>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</si>
  <si>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</si>
  <si>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</si>
  <si>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</si>
  <si>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</si>
  <si>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</si>
  <si>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</si>
  <si>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</si>
  <si>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</si>
  <si>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</si>
  <si>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</si>
  <si>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</si>
  <si>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</si>
  <si>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</si>
  <si>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</si>
  <si>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</si>
  <si>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</si>
  <si>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</si>
  <si>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</si>
  <si>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</si>
  <si>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</si>
  <si>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</si>
  <si>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</si>
  <si>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</si>
  <si>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</si>
  <si>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MFMOb10</t>
  </si>
  <si>
    <t>KZ2P00012651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</si>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</sst>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1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25848810500.114594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74</v>
      </c>
      <c r="B8" s="15" t="s">
        <v>75</v>
      </c>
      <c r="C8" s="16">
        <v>992234</v>
      </c>
      <c r="D8" s="17">
        <v>992234000</v>
      </c>
      <c r="E8" s="18">
        <v>14.3</v>
      </c>
      <c r="F8" s="19" t="s">
        <v>76</v>
      </c>
      <c r="G8" s="19" t="s">
        <v>77</v>
      </c>
      <c r="H8" s="18">
        <v>991722999.49000001</v>
      </c>
      <c r="I8" s="20">
        <v>94.628746179999993</v>
      </c>
      <c r="J8" s="20">
        <v>96.217646180000003</v>
      </c>
      <c r="K8" s="18">
        <v>15765495.777777771</v>
      </c>
      <c r="L8" s="18">
        <v>954704089.10348797</v>
      </c>
      <c r="M8" s="21">
        <f t="shared" ref="M8:M24" si="0">L8/$Q$1</f>
        <v>3.6934159469320861E-2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2469500</v>
      </c>
      <c r="D9" s="17">
        <v>2469500000</v>
      </c>
      <c r="E9" s="18">
        <v>7.68</v>
      </c>
      <c r="F9" s="19" t="s">
        <v>79</v>
      </c>
      <c r="G9" s="19" t="s">
        <v>80</v>
      </c>
      <c r="H9" s="18">
        <v>1827657194</v>
      </c>
      <c r="I9" s="20">
        <v>75.308900000000008</v>
      </c>
      <c r="J9" s="20">
        <v>76.58890000000001</v>
      </c>
      <c r="K9" s="18">
        <v>31609600</v>
      </c>
      <c r="L9" s="18">
        <v>1891362885.5</v>
      </c>
      <c r="M9" s="21">
        <f t="shared" si="0"/>
        <v>7.3170209727508165E-2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10.3</v>
      </c>
      <c r="F10" s="19" t="s">
        <v>82</v>
      </c>
      <c r="G10" s="19" t="s">
        <v>83</v>
      </c>
      <c r="H10" s="18">
        <v>1645329839.996666</v>
      </c>
      <c r="I10" s="20">
        <v>77.534100000000009</v>
      </c>
      <c r="J10" s="20">
        <v>83.427999999999997</v>
      </c>
      <c r="K10" s="18">
        <v>111836541.666667</v>
      </c>
      <c r="L10" s="18">
        <v>1583046089.166666</v>
      </c>
      <c r="M10" s="21">
        <f t="shared" si="0"/>
        <v>6.1242512074574887E-2</v>
      </c>
      <c r="O10" s="10">
        <v>749863.88888888899</v>
      </c>
    </row>
    <row r="11" spans="1:17" x14ac:dyDescent="0.2">
      <c r="A11" s="15" t="s">
        <v>66</v>
      </c>
      <c r="B11" s="15" t="s">
        <v>67</v>
      </c>
      <c r="C11" s="16">
        <v>1106600</v>
      </c>
      <c r="D11" s="17">
        <v>1106600000</v>
      </c>
      <c r="E11" s="18">
        <v>5.5</v>
      </c>
      <c r="F11" s="19" t="s">
        <v>84</v>
      </c>
      <c r="G11" s="19" t="s">
        <v>85</v>
      </c>
      <c r="H11" s="18">
        <v>999478906.79999995</v>
      </c>
      <c r="I11" s="20">
        <v>91.395300000000006</v>
      </c>
      <c r="J11" s="20">
        <v>92.235600000000005</v>
      </c>
      <c r="K11" s="18">
        <v>9298513.8888888899</v>
      </c>
      <c r="L11" s="18">
        <v>1020678903.68889</v>
      </c>
      <c r="M11" s="21">
        <f t="shared" si="0"/>
        <v>3.9486494114859369E-2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897100</v>
      </c>
      <c r="D12" s="17">
        <v>897100000</v>
      </c>
      <c r="E12" s="18">
        <v>17.010000000000002</v>
      </c>
      <c r="F12" s="19" t="s">
        <v>87</v>
      </c>
      <c r="G12" s="19" t="s">
        <v>88</v>
      </c>
      <c r="H12" s="18">
        <v>896985171.20000005</v>
      </c>
      <c r="I12" s="20">
        <v>101.9585</v>
      </c>
      <c r="J12" s="20">
        <v>105.077</v>
      </c>
      <c r="K12" s="18">
        <v>27976063.5</v>
      </c>
      <c r="L12" s="18">
        <v>942645767</v>
      </c>
      <c r="M12" s="21">
        <f t="shared" si="0"/>
        <v>3.6467665194722249E-2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3162500</v>
      </c>
      <c r="D13" s="17">
        <v>3162500000</v>
      </c>
      <c r="E13" s="18">
        <v>5.49</v>
      </c>
      <c r="F13" s="19" t="s">
        <v>82</v>
      </c>
      <c r="G13" s="19" t="s">
        <v>90</v>
      </c>
      <c r="H13" s="18">
        <v>2627740225</v>
      </c>
      <c r="I13" s="20">
        <v>86.053700000000006</v>
      </c>
      <c r="J13" s="20">
        <v>89.042700000000011</v>
      </c>
      <c r="K13" s="18">
        <v>94527125</v>
      </c>
      <c r="L13" s="18">
        <v>2815975387.5</v>
      </c>
      <c r="M13" s="21">
        <f t="shared" si="0"/>
        <v>0.10894023102097933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10.65</v>
      </c>
      <c r="F14" s="19" t="s">
        <v>82</v>
      </c>
      <c r="G14" s="19" t="s">
        <v>92</v>
      </c>
      <c r="H14" s="18">
        <v>1648500562.5</v>
      </c>
      <c r="I14" s="20">
        <v>75.76700000000001</v>
      </c>
      <c r="J14" s="20">
        <v>78.044899999999998</v>
      </c>
      <c r="K14" s="18">
        <v>43223468.75</v>
      </c>
      <c r="L14" s="18">
        <v>1480902293.75</v>
      </c>
      <c r="M14" s="21">
        <f t="shared" si="0"/>
        <v>5.729092616247989E-2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550000</v>
      </c>
      <c r="D15" s="17">
        <v>550000000</v>
      </c>
      <c r="E15" s="18">
        <v>12</v>
      </c>
      <c r="F15" s="19" t="s">
        <v>94</v>
      </c>
      <c r="G15" s="19" t="s">
        <v>95</v>
      </c>
      <c r="H15" s="18">
        <v>491343050</v>
      </c>
      <c r="I15" s="20">
        <v>85.368900000000011</v>
      </c>
      <c r="J15" s="20">
        <v>92.568899999999999</v>
      </c>
      <c r="K15" s="18">
        <v>39599999.999999993</v>
      </c>
      <c r="L15" s="18">
        <v>509128950</v>
      </c>
      <c r="M15" s="21">
        <f t="shared" si="0"/>
        <v>1.9696416978171701E-2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2530000</v>
      </c>
      <c r="D16" s="17">
        <v>2530000000</v>
      </c>
      <c r="E16" s="18">
        <v>10.67</v>
      </c>
      <c r="F16" s="19" t="s">
        <v>82</v>
      </c>
      <c r="G16" s="19" t="s">
        <v>97</v>
      </c>
      <c r="H16" s="18">
        <v>2455119589.9966769</v>
      </c>
      <c r="I16" s="20">
        <v>98.41</v>
      </c>
      <c r="J16" s="20">
        <v>100.8404</v>
      </c>
      <c r="K16" s="18">
        <v>61488838.888888881</v>
      </c>
      <c r="L16" s="18">
        <v>2551261838.8888879</v>
      </c>
      <c r="M16" s="21">
        <f t="shared" si="0"/>
        <v>9.8699390398547651E-2</v>
      </c>
      <c r="O16" s="10">
        <v>749863.88888888899</v>
      </c>
    </row>
    <row r="17" spans="1:15" x14ac:dyDescent="0.2">
      <c r="A17" s="15" t="s">
        <v>66</v>
      </c>
      <c r="B17" s="15" t="s">
        <v>98</v>
      </c>
      <c r="C17" s="16">
        <v>1897500</v>
      </c>
      <c r="D17" s="17">
        <v>1897500000</v>
      </c>
      <c r="E17" s="18">
        <v>8.07</v>
      </c>
      <c r="F17" s="19" t="s">
        <v>82</v>
      </c>
      <c r="G17" s="19" t="s">
        <v>99</v>
      </c>
      <c r="H17" s="18">
        <v>1359122325</v>
      </c>
      <c r="I17" s="20">
        <v>61.386200000000002</v>
      </c>
      <c r="J17" s="20">
        <v>64.771100000000004</v>
      </c>
      <c r="K17" s="18">
        <v>64228793.75</v>
      </c>
      <c r="L17" s="18">
        <v>1229031938.75</v>
      </c>
      <c r="M17" s="21">
        <f t="shared" si="0"/>
        <v>4.7546943746001442E-2</v>
      </c>
      <c r="O17" s="10">
        <v>749863.88888888899</v>
      </c>
    </row>
    <row r="18" spans="1:15" x14ac:dyDescent="0.2">
      <c r="A18" s="15" t="s">
        <v>66</v>
      </c>
      <c r="B18" s="15" t="s">
        <v>100</v>
      </c>
      <c r="C18" s="16">
        <v>11424000</v>
      </c>
      <c r="D18" s="17">
        <v>1142400000</v>
      </c>
      <c r="E18" s="18">
        <v>0</v>
      </c>
      <c r="F18" s="19" t="s">
        <v>94</v>
      </c>
      <c r="G18" s="19" t="s">
        <v>101</v>
      </c>
      <c r="H18" s="18">
        <v>1003902278.4</v>
      </c>
      <c r="I18" s="20">
        <v>95.057400000000001</v>
      </c>
      <c r="J18" s="20">
        <v>95.057400000000001</v>
      </c>
      <c r="K18" s="18"/>
      <c r="L18" s="18">
        <v>1085935737.5999999</v>
      </c>
      <c r="M18" s="21">
        <f t="shared" si="0"/>
        <v>4.2011052601247774E-2</v>
      </c>
      <c r="O18" s="10">
        <v>749863.88888888899</v>
      </c>
    </row>
    <row r="19" spans="1:15" x14ac:dyDescent="0.2">
      <c r="A19" s="15" t="s">
        <v>66</v>
      </c>
      <c r="B19" s="15" t="s">
        <v>102</v>
      </c>
      <c r="C19" s="16">
        <v>1897500</v>
      </c>
      <c r="D19" s="17">
        <v>1897500000</v>
      </c>
      <c r="E19" s="18">
        <v>11</v>
      </c>
      <c r="F19" s="19" t="s">
        <v>82</v>
      </c>
      <c r="G19" s="19" t="s">
        <v>103</v>
      </c>
      <c r="H19" s="18">
        <v>1743261712.5</v>
      </c>
      <c r="I19" s="20">
        <v>85.134900000000002</v>
      </c>
      <c r="J19" s="20">
        <v>91.0321</v>
      </c>
      <c r="K19" s="18">
        <v>111899791.666667</v>
      </c>
      <c r="L19" s="18">
        <v>1727334519.166666</v>
      </c>
      <c r="M19" s="21">
        <f t="shared" si="0"/>
        <v>6.6824526380392185E-2</v>
      </c>
      <c r="O19" s="10">
        <v>749863.88888888899</v>
      </c>
    </row>
    <row r="20" spans="1:15" x14ac:dyDescent="0.2">
      <c r="A20" s="15" t="s">
        <v>66</v>
      </c>
      <c r="B20" s="15" t="s">
        <v>104</v>
      </c>
      <c r="C20" s="16">
        <v>1897500</v>
      </c>
      <c r="D20" s="17">
        <v>1897500000</v>
      </c>
      <c r="E20" s="18">
        <v>8.07</v>
      </c>
      <c r="F20" s="19" t="s">
        <v>82</v>
      </c>
      <c r="G20" s="19" t="s">
        <v>105</v>
      </c>
      <c r="H20" s="18">
        <v>1338524962.5</v>
      </c>
      <c r="I20" s="20">
        <v>59.939300000000003</v>
      </c>
      <c r="J20" s="20">
        <v>65.633099999999999</v>
      </c>
      <c r="K20" s="18">
        <v>108040487.5</v>
      </c>
      <c r="L20" s="18">
        <v>1245388705</v>
      </c>
      <c r="M20" s="21">
        <f t="shared" si="0"/>
        <v>4.8179729778841426E-2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2391500</v>
      </c>
      <c r="D21" s="17">
        <v>2391500000</v>
      </c>
      <c r="E21" s="18">
        <v>5.3</v>
      </c>
      <c r="F21" s="19" t="s">
        <v>107</v>
      </c>
      <c r="G21" s="19" t="s">
        <v>108</v>
      </c>
      <c r="H21" s="18">
        <v>1903079172</v>
      </c>
      <c r="I21" s="20">
        <v>81.340500000000006</v>
      </c>
      <c r="J21" s="20">
        <v>86.552199999999999</v>
      </c>
      <c r="K21" s="18">
        <v>124637008.333333</v>
      </c>
      <c r="L21" s="18">
        <v>2069895065.8333299</v>
      </c>
      <c r="M21" s="21">
        <f t="shared" si="0"/>
        <v>8.0076994870775728E-2</v>
      </c>
      <c r="O21" s="10">
        <v>749863.88888888899</v>
      </c>
    </row>
    <row r="22" spans="1:15" x14ac:dyDescent="0.2">
      <c r="A22" s="15" t="s">
        <v>66</v>
      </c>
      <c r="B22" s="15" t="s">
        <v>109</v>
      </c>
      <c r="C22" s="16">
        <v>1897500</v>
      </c>
      <c r="D22" s="17">
        <v>1897500000</v>
      </c>
      <c r="E22" s="18">
        <v>10.4</v>
      </c>
      <c r="F22" s="19" t="s">
        <v>82</v>
      </c>
      <c r="G22" s="19" t="s">
        <v>110</v>
      </c>
      <c r="H22" s="18">
        <v>1736743800</v>
      </c>
      <c r="I22" s="20">
        <v>87.2624</v>
      </c>
      <c r="J22" s="20">
        <v>92.49130000000001</v>
      </c>
      <c r="K22" s="18">
        <v>99218166.666666657</v>
      </c>
      <c r="L22" s="18">
        <v>1755022206.666666</v>
      </c>
      <c r="M22" s="21">
        <f t="shared" si="0"/>
        <v>6.7895666094920912E-2</v>
      </c>
      <c r="O22" s="10">
        <v>749863.88888888899</v>
      </c>
    </row>
    <row r="23" spans="1:15" x14ac:dyDescent="0.2">
      <c r="A23" s="15" t="s">
        <v>66</v>
      </c>
      <c r="B23" s="15" t="s">
        <v>111</v>
      </c>
      <c r="C23" s="16">
        <v>1897500</v>
      </c>
      <c r="D23" s="17">
        <v>1897500000</v>
      </c>
      <c r="E23" s="18">
        <v>10.55</v>
      </c>
      <c r="F23" s="19" t="s">
        <v>82</v>
      </c>
      <c r="G23" s="19" t="s">
        <v>112</v>
      </c>
      <c r="H23" s="18">
        <v>1708326839.9966669</v>
      </c>
      <c r="I23" s="20">
        <v>83.055900000000008</v>
      </c>
      <c r="J23" s="20">
        <v>85.253799999999998</v>
      </c>
      <c r="K23" s="18">
        <v>41705468.75</v>
      </c>
      <c r="L23" s="18">
        <v>1617691171.25</v>
      </c>
      <c r="M23" s="21">
        <f t="shared" si="0"/>
        <v>6.2582809032656589E-2</v>
      </c>
      <c r="O23" s="10">
        <v>749863.88888888899</v>
      </c>
    </row>
    <row r="24" spans="1:15" x14ac:dyDescent="0.2">
      <c r="A24" s="15" t="s">
        <v>66</v>
      </c>
      <c r="B24" s="15" t="s">
        <v>113</v>
      </c>
      <c r="C24" s="16">
        <v>1897500</v>
      </c>
      <c r="D24" s="17">
        <v>1897500000</v>
      </c>
      <c r="E24" s="18">
        <v>8.4499999999999993</v>
      </c>
      <c r="F24" s="19" t="s">
        <v>82</v>
      </c>
      <c r="G24" s="19" t="s">
        <v>114</v>
      </c>
      <c r="H24" s="18">
        <v>1457889097.496666</v>
      </c>
      <c r="I24" s="20">
        <v>67.982700000000008</v>
      </c>
      <c r="J24" s="20">
        <v>72.13730000000001</v>
      </c>
      <c r="K24" s="18">
        <v>78833218.75</v>
      </c>
      <c r="L24" s="18">
        <v>1368804951.25</v>
      </c>
      <c r="M24" s="21">
        <f t="shared" si="0"/>
        <v>5.2954272353999882E-2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1063888582.8888892</v>
      </c>
      <c r="L26" s="23">
        <f>SUM(L8:L25)</f>
        <v>25848810500.114594</v>
      </c>
      <c r="M26" s="26">
        <f>SUM(M8:M25)</f>
        <v>1</v>
      </c>
      <c r="N26" s="9">
        <v>25848810500.114597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190268.12</v>
      </c>
    </row>
    <row r="30" spans="1:15" x14ac:dyDescent="0.2">
      <c r="A30" s="29" t="s">
        <v>73</v>
      </c>
      <c r="B30" s="30">
        <v>190268.12</v>
      </c>
      <c r="C30" s="62">
        <v>190268.18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2281686</v>
      </c>
      <c r="D35" s="32" t="s">
        <v>68</v>
      </c>
      <c r="E35" s="34" t="s">
        <v>69</v>
      </c>
      <c r="F35" s="34" t="s">
        <v>70</v>
      </c>
      <c r="G35" s="35">
        <v>921.1450000000001</v>
      </c>
      <c r="H35" s="35">
        <f>J35/C35</f>
        <v>922.33744112905981</v>
      </c>
      <c r="I35" s="36">
        <v>2101763650.47</v>
      </c>
      <c r="J35" s="36">
        <v>2104484426.7</v>
      </c>
      <c r="K35" s="37">
        <v>15.75</v>
      </c>
      <c r="L35" s="37">
        <v>2720776.23</v>
      </c>
      <c r="M35" s="31">
        <f>I35+L35</f>
        <v>2104484426.7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14118</v>
      </c>
      <c r="D36" s="32" t="s">
        <v>68</v>
      </c>
      <c r="E36" s="34" t="s">
        <v>69</v>
      </c>
      <c r="F36" s="34" t="s">
        <v>70</v>
      </c>
      <c r="G36" s="35">
        <v>921.1450000000001</v>
      </c>
      <c r="H36" s="35">
        <f>J36/C36</f>
        <v>922.33744085564524</v>
      </c>
      <c r="I36" s="36">
        <v>13004725.109999999</v>
      </c>
      <c r="J36" s="36">
        <v>13021559.99</v>
      </c>
      <c r="K36" s="37">
        <v>15.75</v>
      </c>
      <c r="L36" s="37">
        <v>16834.88</v>
      </c>
      <c r="M36" s="31">
        <f>I36+L36</f>
        <v>13021559.99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2282840</v>
      </c>
      <c r="D37" s="32" t="s">
        <v>68</v>
      </c>
      <c r="E37" s="34" t="s">
        <v>70</v>
      </c>
      <c r="F37" s="34" t="s">
        <v>71</v>
      </c>
      <c r="G37" s="35">
        <v>922.35599999999999</v>
      </c>
      <c r="H37" s="35">
        <f>J37/C37</f>
        <v>922.78561826496821</v>
      </c>
      <c r="I37" s="36">
        <v>2105591171.04</v>
      </c>
      <c r="J37" s="36">
        <v>2106571920.8</v>
      </c>
      <c r="K37" s="37">
        <v>17.001100000000001</v>
      </c>
      <c r="L37" s="37"/>
      <c r="M37" s="31">
        <f>I37+L37</f>
        <v>2105591171.04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72</v>
      </c>
      <c r="C38" s="33">
        <v>12564</v>
      </c>
      <c r="D38" s="32" t="s">
        <v>68</v>
      </c>
      <c r="E38" s="34" t="s">
        <v>70</v>
      </c>
      <c r="F38" s="34" t="s">
        <v>71</v>
      </c>
      <c r="G38" s="35">
        <v>955.74599968163</v>
      </c>
      <c r="H38" s="35">
        <f>J38/C38</f>
        <v>956.19117319325062</v>
      </c>
      <c r="I38" s="36">
        <v>12007992.74</v>
      </c>
      <c r="J38" s="36">
        <v>12013585.9</v>
      </c>
      <c r="K38" s="37">
        <v>17.001200000000001</v>
      </c>
      <c r="L38" s="37"/>
      <c r="M38" s="31">
        <f>I38+L38</f>
        <v>12007992.74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2117599163.78</v>
      </c>
      <c r="N40" s="65">
        <v>2117599163.78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L26+M40+B30</f>
        <v>27966599932.014591</v>
      </c>
      <c r="C47" s="62">
        <v>27966599932.074596</v>
      </c>
      <c r="D47" s="62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2299715.86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471719.35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F65" s="54"/>
      <c r="O65" s="9"/>
    </row>
    <row r="66" spans="1:15" ht="22.5" x14ac:dyDescent="0.2">
      <c r="A66" s="24">
        <v>5</v>
      </c>
      <c r="B66" s="58" t="s">
        <v>57</v>
      </c>
      <c r="C66" s="57">
        <v>365760.98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131198.31</v>
      </c>
      <c r="D67" s="57"/>
      <c r="O67" s="9"/>
    </row>
    <row r="68" spans="1:15" x14ac:dyDescent="0.2">
      <c r="A68" s="24">
        <v>7</v>
      </c>
      <c r="B68" s="55" t="s">
        <v>59</v>
      </c>
      <c r="C68" s="57">
        <v>66449.63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3334844.13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13.10.2025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99.91810000000001</v>
      </c>
      <c r="G4" s="5">
        <v>99.91810000000001</v>
      </c>
      <c r="H4" s="5">
        <v>14.96</v>
      </c>
      <c r="I4" s="5">
        <v>3</v>
      </c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123</v>
      </c>
      <c r="F5" s="4">
        <v>9490.25</v>
      </c>
      <c r="G5" s="5"/>
      <c r="H5" s="5"/>
      <c r="I5" s="5"/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117</v>
      </c>
      <c r="E6" s="4" t="s">
        <v>123</v>
      </c>
      <c r="F6" s="4">
        <v>1066.1220000000001</v>
      </c>
      <c r="G6" s="5">
        <v>108.20110000000001</v>
      </c>
      <c r="H6" s="5">
        <v>18.47</v>
      </c>
      <c r="I6" s="5">
        <v>887</v>
      </c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122</v>
      </c>
      <c r="E7" s="4" t="s">
        <v>129</v>
      </c>
      <c r="F7" s="4">
        <v>1478.15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122</v>
      </c>
      <c r="E8" s="4" t="s">
        <v>132</v>
      </c>
      <c r="F8" s="4">
        <v>594050.07000000007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122</v>
      </c>
      <c r="E9" s="4" t="s">
        <v>132</v>
      </c>
      <c r="F9" s="4">
        <v>6301.35</v>
      </c>
      <c r="G9" s="5"/>
      <c r="H9" s="5"/>
      <c r="I9" s="5"/>
      <c r="J9" s="4" t="s">
        <v>124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117</v>
      </c>
      <c r="E10" s="4" t="s">
        <v>132</v>
      </c>
      <c r="F10" s="4">
        <v>0.9436739999999999</v>
      </c>
      <c r="G10" s="5">
        <v>97.146600000000007</v>
      </c>
      <c r="H10" s="5">
        <v>6.23</v>
      </c>
      <c r="I10" s="5">
        <v>7859</v>
      </c>
      <c r="J10" s="4" t="s">
        <v>119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122</v>
      </c>
      <c r="E11" s="4" t="s">
        <v>132</v>
      </c>
      <c r="F11" s="4">
        <v>168.53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122</v>
      </c>
      <c r="E12" s="4" t="s">
        <v>132</v>
      </c>
      <c r="F12" s="4">
        <v>5523.73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122</v>
      </c>
      <c r="E13" s="4" t="s">
        <v>132</v>
      </c>
      <c r="F13" s="4">
        <v>6103277.2000000002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122</v>
      </c>
      <c r="E14" s="4" t="s">
        <v>132</v>
      </c>
      <c r="F14" s="4">
        <v>130.77000000000001</v>
      </c>
      <c r="G14" s="5"/>
      <c r="H14" s="5"/>
      <c r="I14" s="5"/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122</v>
      </c>
      <c r="E15" s="4" t="s">
        <v>132</v>
      </c>
      <c r="F15" s="4">
        <v>1173.3</v>
      </c>
      <c r="G15" s="5"/>
      <c r="H15" s="5"/>
      <c r="I15" s="5"/>
      <c r="J15" s="4" t="s">
        <v>147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122</v>
      </c>
      <c r="E16" s="4" t="s">
        <v>132</v>
      </c>
      <c r="F16" s="4">
        <v>1069.95</v>
      </c>
      <c r="G16" s="5"/>
      <c r="H16" s="5"/>
      <c r="I16" s="5"/>
      <c r="J16" s="4" t="s">
        <v>147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122</v>
      </c>
      <c r="E17" s="4" t="s">
        <v>132</v>
      </c>
      <c r="F17" s="4">
        <v>1785731.55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122</v>
      </c>
      <c r="E18" s="4" t="s">
        <v>132</v>
      </c>
      <c r="F18" s="4">
        <v>74593.52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122</v>
      </c>
      <c r="E19" s="4" t="s">
        <v>132</v>
      </c>
      <c r="F19" s="4">
        <v>75510.080000000002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122</v>
      </c>
      <c r="E20" s="4" t="s">
        <v>132</v>
      </c>
      <c r="F20" s="4">
        <v>53858.63</v>
      </c>
      <c r="G20" s="5"/>
      <c r="H20" s="5"/>
      <c r="I20" s="5"/>
      <c r="J20" s="4" t="s">
        <v>124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122</v>
      </c>
      <c r="E21" s="4" t="s">
        <v>132</v>
      </c>
      <c r="F21" s="4">
        <v>7.22</v>
      </c>
      <c r="G21" s="5"/>
      <c r="H21" s="5"/>
      <c r="I21" s="5"/>
      <c r="J21" s="4" t="s">
        <v>124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117</v>
      </c>
      <c r="E22" s="4" t="s">
        <v>132</v>
      </c>
      <c r="F22" s="4">
        <v>1000</v>
      </c>
      <c r="G22" s="5">
        <v>107.0365</v>
      </c>
      <c r="H22" s="5">
        <v>17.45</v>
      </c>
      <c r="I22" s="5">
        <v>1133</v>
      </c>
      <c r="J22" s="4" t="s">
        <v>119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117</v>
      </c>
      <c r="E23" s="4" t="s">
        <v>132</v>
      </c>
      <c r="F23" s="4">
        <v>999.38100000000009</v>
      </c>
      <c r="G23" s="5">
        <v>101.81500000000001</v>
      </c>
      <c r="H23" s="5">
        <v>24.03</v>
      </c>
      <c r="I23" s="5">
        <v>33</v>
      </c>
      <c r="J23" s="4" t="s">
        <v>119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117</v>
      </c>
      <c r="E24" s="4" t="s">
        <v>132</v>
      </c>
      <c r="F24" s="4">
        <v>1000</v>
      </c>
      <c r="G24" s="5">
        <v>108.6054</v>
      </c>
      <c r="H24" s="5">
        <v>17.309999999999999</v>
      </c>
      <c r="I24" s="5">
        <v>732</v>
      </c>
      <c r="J24" s="4" t="s">
        <v>119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117</v>
      </c>
      <c r="E25" s="4" t="s">
        <v>132</v>
      </c>
      <c r="F25" s="4">
        <v>1000</v>
      </c>
      <c r="G25" s="5">
        <v>104.4175</v>
      </c>
      <c r="H25" s="5">
        <v>17.64</v>
      </c>
      <c r="I25" s="5">
        <v>1919</v>
      </c>
      <c r="J25" s="4" t="s">
        <v>119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117</v>
      </c>
      <c r="E26" s="4" t="s">
        <v>132</v>
      </c>
      <c r="F26" s="4">
        <v>993</v>
      </c>
      <c r="G26" s="5">
        <v>108.0194</v>
      </c>
      <c r="H26" s="5">
        <v>22.16</v>
      </c>
      <c r="I26" s="5">
        <v>401</v>
      </c>
      <c r="J26" s="4" t="s">
        <v>119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117</v>
      </c>
      <c r="E27" s="4" t="s">
        <v>132</v>
      </c>
      <c r="F27" s="4">
        <v>1000</v>
      </c>
      <c r="G27" s="5">
        <v>101.9522</v>
      </c>
      <c r="H27" s="5">
        <v>17.55</v>
      </c>
      <c r="I27" s="5">
        <v>1603</v>
      </c>
      <c r="J27" s="4" t="s">
        <v>119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122</v>
      </c>
      <c r="E28" s="4" t="s">
        <v>132</v>
      </c>
      <c r="F28" s="4">
        <v>1494.49</v>
      </c>
      <c r="G28" s="5"/>
      <c r="H28" s="5"/>
      <c r="I28" s="5"/>
      <c r="J28" s="4" t="s">
        <v>124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117</v>
      </c>
      <c r="E29" s="4" t="s">
        <v>132</v>
      </c>
      <c r="F29" s="4">
        <v>1010.9930000000001</v>
      </c>
      <c r="G29" s="5">
        <v>103.50070000000001</v>
      </c>
      <c r="H29" s="5">
        <v>6.04</v>
      </c>
      <c r="I29" s="5">
        <v>961</v>
      </c>
      <c r="J29" s="4" t="s">
        <v>119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117</v>
      </c>
      <c r="E30" s="4" t="s">
        <v>132</v>
      </c>
      <c r="F30" s="4">
        <v>998.721</v>
      </c>
      <c r="G30" s="5">
        <v>100.1777</v>
      </c>
      <c r="H30" s="5">
        <v>22.08</v>
      </c>
      <c r="I30" s="5">
        <v>665</v>
      </c>
      <c r="J30" s="4" t="s">
        <v>119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117</v>
      </c>
      <c r="E31" s="4" t="s">
        <v>132</v>
      </c>
      <c r="F31" s="4">
        <v>99.999000000000009</v>
      </c>
      <c r="G31" s="5">
        <v>100.70180000000001</v>
      </c>
      <c r="H31" s="5">
        <v>11</v>
      </c>
      <c r="I31" s="5">
        <v>677</v>
      </c>
      <c r="J31" s="4" t="s">
        <v>119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117</v>
      </c>
      <c r="E32" s="4" t="s">
        <v>132</v>
      </c>
      <c r="F32" s="4">
        <v>102.02080000000001</v>
      </c>
      <c r="G32" s="5">
        <v>105.4166</v>
      </c>
      <c r="H32" s="5">
        <v>5.48</v>
      </c>
      <c r="I32" s="5">
        <v>384</v>
      </c>
      <c r="J32" s="4" t="s">
        <v>119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117</v>
      </c>
      <c r="E33" s="4" t="s">
        <v>132</v>
      </c>
      <c r="F33" s="4">
        <v>875.476</v>
      </c>
      <c r="G33" s="5">
        <v>89.197600000000008</v>
      </c>
      <c r="H33" s="5">
        <v>32.090000000000003</v>
      </c>
      <c r="I33" s="5">
        <v>581</v>
      </c>
      <c r="J33" s="4" t="s">
        <v>119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117</v>
      </c>
      <c r="E34" s="4" t="s">
        <v>132</v>
      </c>
      <c r="F34" s="4">
        <v>82.201000000000008</v>
      </c>
      <c r="G34" s="5">
        <v>83.100999999999999</v>
      </c>
      <c r="H34" s="5">
        <v>25.75</v>
      </c>
      <c r="I34" s="5">
        <v>581</v>
      </c>
      <c r="J34" s="4" t="s">
        <v>119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122</v>
      </c>
      <c r="E35" s="4" t="s">
        <v>132</v>
      </c>
      <c r="F35" s="4">
        <v>88.31</v>
      </c>
      <c r="G35" s="5">
        <v>88.31</v>
      </c>
      <c r="H35" s="5"/>
      <c r="I35" s="5"/>
      <c r="J35" s="4" t="s">
        <v>147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117</v>
      </c>
      <c r="E36" s="4" t="s">
        <v>132</v>
      </c>
      <c r="F36" s="4">
        <v>979.33900000000006</v>
      </c>
      <c r="G36" s="5">
        <v>98.6922</v>
      </c>
      <c r="H36" s="5">
        <v>23.24</v>
      </c>
      <c r="I36" s="5">
        <v>383</v>
      </c>
      <c r="J36" s="4" t="s">
        <v>119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117</v>
      </c>
      <c r="E37" s="4" t="s">
        <v>132</v>
      </c>
      <c r="F37" s="4">
        <v>835.95</v>
      </c>
      <c r="G37" s="5">
        <v>84.982700000000008</v>
      </c>
      <c r="H37" s="5">
        <v>30.77</v>
      </c>
      <c r="I37" s="5">
        <v>982</v>
      </c>
      <c r="J37" s="4" t="s">
        <v>119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117</v>
      </c>
      <c r="E38" s="4" t="s">
        <v>132</v>
      </c>
      <c r="F38" s="4">
        <v>783.19900000000007</v>
      </c>
      <c r="G38" s="5">
        <v>78.808800000000005</v>
      </c>
      <c r="H38" s="5">
        <v>39.51</v>
      </c>
      <c r="I38" s="5">
        <v>631</v>
      </c>
      <c r="J38" s="4" t="s">
        <v>119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117</v>
      </c>
      <c r="E39" s="4" t="s">
        <v>132</v>
      </c>
      <c r="F39" s="4">
        <v>969.82300000000009</v>
      </c>
      <c r="G39" s="5">
        <v>98.1434</v>
      </c>
      <c r="H39" s="5">
        <v>22.33</v>
      </c>
      <c r="I39" s="5">
        <v>374</v>
      </c>
      <c r="J39" s="4" t="s">
        <v>119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117</v>
      </c>
      <c r="E40" s="4" t="s">
        <v>132</v>
      </c>
      <c r="F40" s="4">
        <v>966.76100000000008</v>
      </c>
      <c r="G40" s="5">
        <v>97.467800000000011</v>
      </c>
      <c r="H40" s="5">
        <v>20.84</v>
      </c>
      <c r="I40" s="5">
        <v>838</v>
      </c>
      <c r="J40" s="4" t="s">
        <v>119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117</v>
      </c>
      <c r="E41" s="4" t="s">
        <v>132</v>
      </c>
      <c r="F41" s="4">
        <v>775.99099999999999</v>
      </c>
      <c r="G41" s="5">
        <v>78.999099999999999</v>
      </c>
      <c r="H41" s="5">
        <v>950</v>
      </c>
      <c r="I41" s="5">
        <v>7</v>
      </c>
      <c r="J41" s="4" t="s">
        <v>119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117</v>
      </c>
      <c r="E42" s="4" t="s">
        <v>132</v>
      </c>
      <c r="F42" s="4">
        <v>994.17900000000009</v>
      </c>
      <c r="G42" s="5">
        <v>99.476200000000006</v>
      </c>
      <c r="H42" s="5">
        <v>21.31</v>
      </c>
      <c r="I42" s="5">
        <v>882</v>
      </c>
      <c r="J42" s="4" t="s">
        <v>119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117</v>
      </c>
      <c r="E43" s="4" t="s">
        <v>132</v>
      </c>
      <c r="F43" s="4">
        <v>1004.6410000000001</v>
      </c>
      <c r="G43" s="5">
        <v>107.72240000000001</v>
      </c>
      <c r="H43" s="5">
        <v>19.09</v>
      </c>
      <c r="I43" s="5">
        <v>594</v>
      </c>
      <c r="J43" s="4" t="s">
        <v>119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117</v>
      </c>
      <c r="E44" s="4" t="s">
        <v>132</v>
      </c>
      <c r="F44" s="4">
        <v>98.193600000000004</v>
      </c>
      <c r="G44" s="5">
        <v>98.888000000000005</v>
      </c>
      <c r="H44" s="5">
        <v>11.37</v>
      </c>
      <c r="I44" s="5">
        <v>522</v>
      </c>
      <c r="J44" s="4" t="s">
        <v>119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117</v>
      </c>
      <c r="E45" s="4" t="s">
        <v>132</v>
      </c>
      <c r="F45" s="4">
        <v>1000</v>
      </c>
      <c r="G45" s="5">
        <v>103.47590000000001</v>
      </c>
      <c r="H45" s="5">
        <v>16.88</v>
      </c>
      <c r="I45" s="5">
        <v>1387</v>
      </c>
      <c r="J45" s="4" t="s">
        <v>119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117</v>
      </c>
      <c r="E46" s="4" t="s">
        <v>132</v>
      </c>
      <c r="F46" s="4">
        <v>1002.884</v>
      </c>
      <c r="G46" s="5">
        <v>102.03760000000001</v>
      </c>
      <c r="H46" s="5">
        <v>22.3</v>
      </c>
      <c r="I46" s="5">
        <v>672</v>
      </c>
      <c r="J46" s="4" t="s">
        <v>119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117</v>
      </c>
      <c r="E47" s="4" t="s">
        <v>132</v>
      </c>
      <c r="F47" s="4">
        <v>994.94100000000003</v>
      </c>
      <c r="G47" s="5">
        <v>100.4385</v>
      </c>
      <c r="H47" s="5">
        <v>21</v>
      </c>
      <c r="I47" s="5">
        <v>196</v>
      </c>
      <c r="J47" s="4" t="s">
        <v>119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117</v>
      </c>
      <c r="E48" s="4" t="s">
        <v>132</v>
      </c>
      <c r="F48" s="4">
        <v>1021.653</v>
      </c>
      <c r="G48" s="5">
        <v>102.9778</v>
      </c>
      <c r="H48" s="5">
        <v>21.37</v>
      </c>
      <c r="I48" s="5">
        <v>901</v>
      </c>
      <c r="J48" s="4" t="s">
        <v>119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122</v>
      </c>
      <c r="E49" s="4" t="s">
        <v>132</v>
      </c>
      <c r="F49" s="4">
        <v>100.78</v>
      </c>
      <c r="G49" s="5"/>
      <c r="H49" s="5"/>
      <c r="I49" s="5"/>
      <c r="J49" s="4" t="s">
        <v>147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117</v>
      </c>
      <c r="E50" s="4" t="s">
        <v>132</v>
      </c>
      <c r="F50" s="4">
        <v>811.99</v>
      </c>
      <c r="G50" s="5">
        <v>82.073999999999998</v>
      </c>
      <c r="H50" s="5">
        <v>32.160000000000004</v>
      </c>
      <c r="I50" s="5">
        <v>898</v>
      </c>
      <c r="J50" s="4" t="s">
        <v>119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117</v>
      </c>
      <c r="E51" s="4" t="s">
        <v>132</v>
      </c>
      <c r="F51" s="4">
        <v>985.79600000000005</v>
      </c>
      <c r="G51" s="5">
        <v>99.571300000000008</v>
      </c>
      <c r="H51" s="5">
        <v>22.01</v>
      </c>
      <c r="I51" s="5">
        <v>622</v>
      </c>
      <c r="J51" s="4" t="s">
        <v>119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117</v>
      </c>
      <c r="E52" s="4" t="s">
        <v>132</v>
      </c>
      <c r="F52" s="4">
        <v>772.78899999999999</v>
      </c>
      <c r="G52" s="5">
        <v>78.562200000000004</v>
      </c>
      <c r="H52" s="5">
        <v>40.090000000000003</v>
      </c>
      <c r="I52" s="5">
        <v>648</v>
      </c>
      <c r="J52" s="4" t="s">
        <v>119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117</v>
      </c>
      <c r="E53" s="4" t="s">
        <v>132</v>
      </c>
      <c r="F53" s="4">
        <v>997.94800000000009</v>
      </c>
      <c r="G53" s="5">
        <v>99.917000000000002</v>
      </c>
      <c r="H53" s="5">
        <v>22.14</v>
      </c>
      <c r="I53" s="5">
        <v>668</v>
      </c>
      <c r="J53" s="4" t="s">
        <v>119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117</v>
      </c>
      <c r="E54" s="4" t="s">
        <v>132</v>
      </c>
      <c r="F54" s="4">
        <v>994.36700000000008</v>
      </c>
      <c r="G54" s="5">
        <v>100.10890000000001</v>
      </c>
      <c r="H54" s="5">
        <v>22.4</v>
      </c>
      <c r="I54" s="5">
        <v>628</v>
      </c>
      <c r="J54" s="4" t="s">
        <v>119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117</v>
      </c>
      <c r="E55" s="4" t="s">
        <v>132</v>
      </c>
      <c r="F55" s="4">
        <v>99.999000000000009</v>
      </c>
      <c r="G55" s="5">
        <v>100.3323</v>
      </c>
      <c r="H55" s="5">
        <v>12</v>
      </c>
      <c r="I55" s="5">
        <v>629</v>
      </c>
      <c r="J55" s="4" t="s">
        <v>119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117</v>
      </c>
      <c r="E56" s="4" t="s">
        <v>132</v>
      </c>
      <c r="F56" s="4">
        <v>989.40500000000009</v>
      </c>
      <c r="G56" s="5">
        <v>106.1836</v>
      </c>
      <c r="H56" s="5">
        <v>18.559999999999999</v>
      </c>
      <c r="I56" s="5">
        <v>398</v>
      </c>
      <c r="J56" s="4" t="s">
        <v>119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117</v>
      </c>
      <c r="E57" s="4" t="s">
        <v>132</v>
      </c>
      <c r="F57" s="4">
        <v>78.203500000000005</v>
      </c>
      <c r="G57" s="5">
        <v>80.236800000000002</v>
      </c>
      <c r="H57" s="5">
        <v>37.410000000000004</v>
      </c>
      <c r="I57" s="5">
        <v>396</v>
      </c>
      <c r="J57" s="4" t="s">
        <v>119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117</v>
      </c>
      <c r="E58" s="4" t="s">
        <v>132</v>
      </c>
      <c r="F58" s="4">
        <v>9.935179999999999</v>
      </c>
      <c r="G58" s="5">
        <v>99.40740000000001</v>
      </c>
      <c r="H58" s="5">
        <v>10.38</v>
      </c>
      <c r="I58" s="5">
        <v>699</v>
      </c>
      <c r="J58" s="4" t="s">
        <v>119</v>
      </c>
    </row>
    <row r="59" spans="1:10" x14ac:dyDescent="0.25">
      <c r="A59" s="4">
        <f t="shared" ca="1" si="1"/>
        <v>56</v>
      </c>
      <c r="B59" s="4" t="s">
        <v>234</v>
      </c>
      <c r="C59" s="4" t="s">
        <v>235</v>
      </c>
      <c r="D59" s="4" t="s">
        <v>117</v>
      </c>
      <c r="E59" s="4" t="s">
        <v>132</v>
      </c>
      <c r="F59" s="4">
        <v>974.43299999999999</v>
      </c>
      <c r="G59" s="5">
        <v>98.435000000000002</v>
      </c>
      <c r="H59" s="5">
        <v>22.27</v>
      </c>
      <c r="I59" s="5">
        <v>988</v>
      </c>
      <c r="J59" s="4" t="s">
        <v>119</v>
      </c>
    </row>
    <row r="60" spans="1:10" x14ac:dyDescent="0.25">
      <c r="A60" s="4">
        <f t="shared" ca="1" si="1"/>
        <v>57</v>
      </c>
      <c r="B60" s="4" t="s">
        <v>236</v>
      </c>
      <c r="C60" s="4" t="s">
        <v>237</v>
      </c>
      <c r="D60" s="4" t="s">
        <v>117</v>
      </c>
      <c r="E60" s="4" t="s">
        <v>132</v>
      </c>
      <c r="F60" s="4">
        <v>1002.768</v>
      </c>
      <c r="G60" s="5">
        <v>101.7004</v>
      </c>
      <c r="H60" s="5">
        <v>20.28</v>
      </c>
      <c r="I60" s="5">
        <v>706</v>
      </c>
      <c r="J60" s="4" t="s">
        <v>119</v>
      </c>
    </row>
    <row r="61" spans="1:10" x14ac:dyDescent="0.25">
      <c r="A61" s="4">
        <f t="shared" ca="1" si="1"/>
        <v>58</v>
      </c>
      <c r="B61" s="4" t="s">
        <v>238</v>
      </c>
      <c r="C61" s="4" t="s">
        <v>239</v>
      </c>
      <c r="D61" s="4" t="s">
        <v>122</v>
      </c>
      <c r="E61" s="4" t="s">
        <v>240</v>
      </c>
      <c r="F61" s="4">
        <v>39550.47</v>
      </c>
      <c r="G61" s="5"/>
      <c r="H61" s="5"/>
      <c r="I61" s="5"/>
      <c r="J61" s="4" t="s">
        <v>124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122</v>
      </c>
      <c r="E62" s="4" t="s">
        <v>240</v>
      </c>
      <c r="F62" s="4">
        <v>31301.17</v>
      </c>
      <c r="G62" s="5"/>
      <c r="H62" s="5"/>
      <c r="I62" s="5"/>
      <c r="J62" s="4" t="s">
        <v>124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117</v>
      </c>
      <c r="E63" s="4" t="s">
        <v>245</v>
      </c>
      <c r="F63" s="4">
        <v>16432.8</v>
      </c>
      <c r="G63" s="5">
        <v>1643.277</v>
      </c>
      <c r="H63" s="5"/>
      <c r="I63" s="5">
        <v>165</v>
      </c>
      <c r="J63" s="4" t="s">
        <v>119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117</v>
      </c>
      <c r="E64" s="4" t="s">
        <v>245</v>
      </c>
      <c r="F64" s="4">
        <v>999.41800000000001</v>
      </c>
      <c r="G64" s="5">
        <v>100.8918</v>
      </c>
      <c r="H64" s="5">
        <v>19.05</v>
      </c>
      <c r="I64" s="5">
        <v>348</v>
      </c>
      <c r="J64" s="4" t="s">
        <v>119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122</v>
      </c>
      <c r="E65" s="4" t="s">
        <v>250</v>
      </c>
      <c r="F65" s="4">
        <v>21910.85</v>
      </c>
      <c r="G65" s="5"/>
      <c r="H65" s="5"/>
      <c r="I65" s="5"/>
      <c r="J65" s="4" t="s">
        <v>124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117</v>
      </c>
      <c r="E66" s="4" t="s">
        <v>250</v>
      </c>
      <c r="F66" s="4">
        <v>992.726</v>
      </c>
      <c r="G66" s="5">
        <v>102.26530000000001</v>
      </c>
      <c r="H66" s="5">
        <v>6.44</v>
      </c>
      <c r="I66" s="5">
        <v>8413</v>
      </c>
      <c r="J66" s="4" t="s">
        <v>119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122</v>
      </c>
      <c r="E67" s="4" t="s">
        <v>255</v>
      </c>
      <c r="F67" s="4">
        <v>3349.87</v>
      </c>
      <c r="G67" s="5"/>
      <c r="H67" s="5"/>
      <c r="I67" s="5"/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117</v>
      </c>
      <c r="E68" s="4" t="s">
        <v>258</v>
      </c>
      <c r="F68" s="4">
        <v>0.96980599999999995</v>
      </c>
      <c r="G68" s="5">
        <v>97.897300000000001</v>
      </c>
      <c r="H68" s="5">
        <v>5.01</v>
      </c>
      <c r="I68" s="5">
        <v>381</v>
      </c>
      <c r="J68" s="4" t="s">
        <v>119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122</v>
      </c>
      <c r="E69" s="4" t="s">
        <v>261</v>
      </c>
      <c r="F69" s="4">
        <v>9005.86</v>
      </c>
      <c r="G69" s="5"/>
      <c r="H69" s="5"/>
      <c r="I69" s="5"/>
      <c r="J69" s="4" t="s">
        <v>124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122</v>
      </c>
      <c r="E70" s="4" t="s">
        <v>261</v>
      </c>
      <c r="F70" s="4">
        <v>4957.45</v>
      </c>
      <c r="G70" s="5"/>
      <c r="H70" s="5"/>
      <c r="I70" s="5"/>
      <c r="J70" s="4" t="s">
        <v>124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117</v>
      </c>
      <c r="E71" s="4" t="s">
        <v>266</v>
      </c>
      <c r="F71" s="4">
        <v>992.98700000000008</v>
      </c>
      <c r="G71" s="5">
        <v>101.61790000000001</v>
      </c>
      <c r="H71" s="5">
        <v>18.490000000000002</v>
      </c>
      <c r="I71" s="5">
        <v>868</v>
      </c>
      <c r="J71" s="4" t="s">
        <v>119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117</v>
      </c>
      <c r="E72" s="4" t="s">
        <v>266</v>
      </c>
      <c r="F72" s="4">
        <v>100.02090000000001</v>
      </c>
      <c r="G72" s="5">
        <v>100.39870000000001</v>
      </c>
      <c r="H72" s="5">
        <v>7.99</v>
      </c>
      <c r="I72" s="5">
        <v>805</v>
      </c>
      <c r="J72" s="4" t="s">
        <v>119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117</v>
      </c>
      <c r="E73" s="4" t="s">
        <v>66</v>
      </c>
      <c r="F73" s="4">
        <v>1000</v>
      </c>
      <c r="G73" s="5">
        <v>110.23910000000001</v>
      </c>
      <c r="H73" s="5">
        <v>12.97</v>
      </c>
      <c r="I73" s="5">
        <v>1175</v>
      </c>
      <c r="J73" s="4" t="s">
        <v>119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117</v>
      </c>
      <c r="E74" s="4" t="s">
        <v>66</v>
      </c>
      <c r="F74" s="4">
        <v>1000</v>
      </c>
      <c r="G74" s="5">
        <v>101.66430000000001</v>
      </c>
      <c r="H74" s="5">
        <v>13</v>
      </c>
      <c r="I74" s="5">
        <v>1415</v>
      </c>
      <c r="J74" s="4" t="s">
        <v>119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117</v>
      </c>
      <c r="E75" s="4" t="s">
        <v>66</v>
      </c>
      <c r="F75" s="4">
        <v>1000</v>
      </c>
      <c r="G75" s="5">
        <v>104.8844</v>
      </c>
      <c r="H75" s="5">
        <v>12.71</v>
      </c>
      <c r="I75" s="5">
        <v>228</v>
      </c>
      <c r="J75" s="4" t="s">
        <v>119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117</v>
      </c>
      <c r="E76" s="4" t="s">
        <v>66</v>
      </c>
      <c r="F76" s="4">
        <v>1000</v>
      </c>
      <c r="G76" s="5">
        <v>102.64120000000001</v>
      </c>
      <c r="H76" s="5">
        <v>12.85</v>
      </c>
      <c r="I76" s="5">
        <v>291</v>
      </c>
      <c r="J76" s="4" t="s">
        <v>119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117</v>
      </c>
      <c r="E77" s="4" t="s">
        <v>66</v>
      </c>
      <c r="F77" s="4">
        <v>1000</v>
      </c>
      <c r="G77" s="5">
        <v>105.9336</v>
      </c>
      <c r="H77" s="5">
        <v>12.88</v>
      </c>
      <c r="I77" s="5">
        <v>564</v>
      </c>
      <c r="J77" s="4" t="s">
        <v>119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117</v>
      </c>
      <c r="E78" s="4" t="s">
        <v>66</v>
      </c>
      <c r="F78" s="4">
        <v>1000</v>
      </c>
      <c r="G78" s="5">
        <v>103.7628</v>
      </c>
      <c r="H78" s="5">
        <v>12.91</v>
      </c>
      <c r="I78" s="5">
        <v>625</v>
      </c>
      <c r="J78" s="4" t="s">
        <v>119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117</v>
      </c>
      <c r="E79" s="4" t="s">
        <v>66</v>
      </c>
      <c r="F79" s="4">
        <v>1000</v>
      </c>
      <c r="G79" s="5">
        <v>111.4692</v>
      </c>
      <c r="H79" s="5">
        <v>12.98</v>
      </c>
      <c r="I79" s="5">
        <v>775</v>
      </c>
      <c r="J79" s="4" t="s">
        <v>119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117</v>
      </c>
      <c r="E80" s="4" t="s">
        <v>66</v>
      </c>
      <c r="F80" s="4">
        <v>1000</v>
      </c>
      <c r="G80" s="5">
        <v>101.66430000000001</v>
      </c>
      <c r="H80" s="5">
        <v>12.99</v>
      </c>
      <c r="I80" s="5">
        <v>1050</v>
      </c>
      <c r="J80" s="4" t="s">
        <v>119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117</v>
      </c>
      <c r="E81" s="4" t="s">
        <v>66</v>
      </c>
      <c r="F81" s="4">
        <v>1000</v>
      </c>
      <c r="G81" s="5">
        <v>112.4461</v>
      </c>
      <c r="H81" s="5">
        <v>12.25</v>
      </c>
      <c r="I81" s="5">
        <v>17</v>
      </c>
      <c r="J81" s="4" t="s">
        <v>119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117</v>
      </c>
      <c r="E82" s="4" t="s">
        <v>66</v>
      </c>
      <c r="F82" s="4">
        <v>1000</v>
      </c>
      <c r="G82" s="5">
        <v>109.226</v>
      </c>
      <c r="H82" s="5">
        <v>12.97</v>
      </c>
      <c r="I82" s="5">
        <v>1569</v>
      </c>
      <c r="J82" s="4" t="s">
        <v>119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117</v>
      </c>
      <c r="E83" s="4" t="s">
        <v>66</v>
      </c>
      <c r="F83" s="4">
        <v>989.54300000000001</v>
      </c>
      <c r="G83" s="5">
        <v>103.49600000000001</v>
      </c>
      <c r="H83" s="5">
        <v>17.05</v>
      </c>
      <c r="I83" s="5">
        <v>35</v>
      </c>
      <c r="J83" s="4" t="s">
        <v>119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117</v>
      </c>
      <c r="E84" s="4" t="s">
        <v>66</v>
      </c>
      <c r="F84" s="4">
        <v>885.44100000000003</v>
      </c>
      <c r="G84" s="5">
        <v>92.988500000000002</v>
      </c>
      <c r="H84" s="5">
        <v>17.14</v>
      </c>
      <c r="I84" s="5">
        <v>407</v>
      </c>
      <c r="J84" s="4" t="s">
        <v>119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117</v>
      </c>
      <c r="E85" s="4" t="s">
        <v>66</v>
      </c>
      <c r="F85" s="4">
        <v>1000</v>
      </c>
      <c r="G85" s="5">
        <v>103.7628</v>
      </c>
      <c r="H85" s="5">
        <v>12.97</v>
      </c>
      <c r="I85" s="5">
        <v>1356</v>
      </c>
      <c r="J85" s="4" t="s">
        <v>119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117</v>
      </c>
      <c r="E86" s="4" t="s">
        <v>66</v>
      </c>
      <c r="F86" s="4">
        <v>1000</v>
      </c>
      <c r="G86" s="5">
        <v>112.48230000000001</v>
      </c>
      <c r="H86" s="5">
        <v>12.25</v>
      </c>
      <c r="I86" s="5">
        <v>16</v>
      </c>
      <c r="J86" s="4" t="s">
        <v>119</v>
      </c>
    </row>
    <row r="87" spans="1:10" x14ac:dyDescent="0.25">
      <c r="A87" s="4">
        <f t="shared" ca="1" si="2"/>
        <v>84</v>
      </c>
      <c r="B87" s="4" t="s">
        <v>297</v>
      </c>
      <c r="C87" s="4" t="s">
        <v>89</v>
      </c>
      <c r="D87" s="4" t="s">
        <v>117</v>
      </c>
      <c r="E87" s="4" t="s">
        <v>66</v>
      </c>
      <c r="F87" s="4">
        <v>860.53700000000003</v>
      </c>
      <c r="G87" s="5">
        <v>89.042700000000011</v>
      </c>
      <c r="H87" s="5">
        <v>17.010000000000002</v>
      </c>
      <c r="I87" s="5">
        <v>531</v>
      </c>
      <c r="J87" s="4" t="s">
        <v>119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117</v>
      </c>
      <c r="E88" s="4" t="s">
        <v>66</v>
      </c>
      <c r="F88" s="4">
        <v>822.67400000000009</v>
      </c>
      <c r="G88" s="5">
        <v>82.648700000000005</v>
      </c>
      <c r="H88" s="5">
        <v>17</v>
      </c>
      <c r="I88" s="5">
        <v>706</v>
      </c>
      <c r="J88" s="4" t="s">
        <v>119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117</v>
      </c>
      <c r="E89" s="4" t="s">
        <v>66</v>
      </c>
      <c r="F89" s="4">
        <v>831.53899999999999</v>
      </c>
      <c r="G89" s="5">
        <v>89.455300000000008</v>
      </c>
      <c r="H89" s="5">
        <v>16.98</v>
      </c>
      <c r="I89" s="5">
        <v>742</v>
      </c>
      <c r="J89" s="4" t="s">
        <v>119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117</v>
      </c>
      <c r="E90" s="4" t="s">
        <v>66</v>
      </c>
      <c r="F90" s="4">
        <v>1000</v>
      </c>
      <c r="G90" s="5">
        <v>102.67740000000001</v>
      </c>
      <c r="H90" s="5">
        <v>12.94</v>
      </c>
      <c r="I90" s="5">
        <v>655</v>
      </c>
      <c r="J90" s="4" t="s">
        <v>119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117</v>
      </c>
      <c r="E91" s="4" t="s">
        <v>66</v>
      </c>
      <c r="F91" s="4">
        <v>1000</v>
      </c>
      <c r="G91" s="5">
        <v>111.43310000000001</v>
      </c>
      <c r="H91" s="5">
        <v>12.31</v>
      </c>
      <c r="I91" s="5">
        <v>46</v>
      </c>
      <c r="J91" s="4" t="s">
        <v>119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117</v>
      </c>
      <c r="E92" s="4" t="s">
        <v>66</v>
      </c>
      <c r="F92" s="4">
        <v>1000</v>
      </c>
      <c r="G92" s="5">
        <v>108.3426</v>
      </c>
      <c r="H92" s="5">
        <v>13.06</v>
      </c>
      <c r="I92" s="5">
        <v>1596</v>
      </c>
      <c r="J92" s="4" t="s">
        <v>119</v>
      </c>
    </row>
    <row r="93" spans="1:10" x14ac:dyDescent="0.25">
      <c r="A93" s="4">
        <f t="shared" ca="1" si="2"/>
        <v>90</v>
      </c>
      <c r="B93" s="4" t="s">
        <v>308</v>
      </c>
      <c r="C93" s="4" t="s">
        <v>98</v>
      </c>
      <c r="D93" s="4" t="s">
        <v>117</v>
      </c>
      <c r="E93" s="4" t="s">
        <v>66</v>
      </c>
      <c r="F93" s="4">
        <v>613.86200000000008</v>
      </c>
      <c r="G93" s="5">
        <v>64.771100000000004</v>
      </c>
      <c r="H93" s="5">
        <v>16.87</v>
      </c>
      <c r="I93" s="5">
        <v>3134</v>
      </c>
      <c r="J93" s="4" t="s">
        <v>119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117</v>
      </c>
      <c r="E94" s="4" t="s">
        <v>66</v>
      </c>
      <c r="F94" s="4">
        <v>868.26400000000001</v>
      </c>
      <c r="G94" s="5">
        <v>89.171199999999999</v>
      </c>
      <c r="H94" s="5">
        <v>17.010000000000002</v>
      </c>
      <c r="I94" s="5">
        <v>616</v>
      </c>
      <c r="J94" s="4" t="s">
        <v>119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117</v>
      </c>
      <c r="E95" s="4" t="s">
        <v>66</v>
      </c>
      <c r="F95" s="4">
        <v>538.04</v>
      </c>
      <c r="G95" s="5">
        <v>54.212500000000006</v>
      </c>
      <c r="H95" s="5">
        <v>16.86</v>
      </c>
      <c r="I95" s="5">
        <v>6924</v>
      </c>
      <c r="J95" s="4" t="s">
        <v>119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117</v>
      </c>
      <c r="E96" s="4" t="s">
        <v>66</v>
      </c>
      <c r="F96" s="4">
        <v>1000</v>
      </c>
      <c r="G96" s="5">
        <v>100.47030000000001</v>
      </c>
      <c r="H96" s="5">
        <v>12.99</v>
      </c>
      <c r="I96" s="5">
        <v>353</v>
      </c>
      <c r="J96" s="4" t="s">
        <v>119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117</v>
      </c>
      <c r="E97" s="4" t="s">
        <v>66</v>
      </c>
      <c r="F97" s="4">
        <v>1000</v>
      </c>
      <c r="G97" s="5">
        <v>103.79900000000001</v>
      </c>
      <c r="H97" s="5">
        <v>12.97</v>
      </c>
      <c r="I97" s="5">
        <v>1355</v>
      </c>
      <c r="J97" s="4" t="s">
        <v>119</v>
      </c>
    </row>
    <row r="98" spans="1:10" x14ac:dyDescent="0.25">
      <c r="A98" s="4">
        <f t="shared" ca="1" si="2"/>
        <v>95</v>
      </c>
      <c r="B98" s="4" t="s">
        <v>317</v>
      </c>
      <c r="C98" s="4" t="s">
        <v>318</v>
      </c>
      <c r="D98" s="4" t="s">
        <v>117</v>
      </c>
      <c r="E98" s="4" t="s">
        <v>66</v>
      </c>
      <c r="F98" s="4">
        <v>1000</v>
      </c>
      <c r="G98" s="5">
        <v>104.81200000000001</v>
      </c>
      <c r="H98" s="5">
        <v>12.97</v>
      </c>
      <c r="I98" s="5">
        <v>1691</v>
      </c>
      <c r="J98" s="4" t="s">
        <v>119</v>
      </c>
    </row>
    <row r="99" spans="1:10" x14ac:dyDescent="0.25">
      <c r="A99" s="4">
        <f t="shared" ca="1" si="2"/>
        <v>96</v>
      </c>
      <c r="B99" s="4" t="s">
        <v>319</v>
      </c>
      <c r="C99" s="4" t="s">
        <v>320</v>
      </c>
      <c r="D99" s="4" t="s">
        <v>117</v>
      </c>
      <c r="E99" s="4" t="s">
        <v>66</v>
      </c>
      <c r="F99" s="4">
        <v>1000</v>
      </c>
      <c r="G99" s="5">
        <v>101.6281</v>
      </c>
      <c r="H99" s="5">
        <v>12.92</v>
      </c>
      <c r="I99" s="5">
        <v>320</v>
      </c>
      <c r="J99" s="4" t="s">
        <v>119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321</v>
      </c>
      <c r="C100" s="4" t="s">
        <v>104</v>
      </c>
      <c r="D100" s="4" t="s">
        <v>117</v>
      </c>
      <c r="E100" s="4" t="s">
        <v>66</v>
      </c>
      <c r="F100" s="4">
        <v>599.39300000000003</v>
      </c>
      <c r="G100" s="5">
        <v>65.633099999999999</v>
      </c>
      <c r="H100" s="5">
        <v>16.88</v>
      </c>
      <c r="I100" s="5">
        <v>3396</v>
      </c>
      <c r="J100" s="4" t="s">
        <v>119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117</v>
      </c>
      <c r="E101" s="4" t="s">
        <v>66</v>
      </c>
      <c r="F101" s="4">
        <v>905.32</v>
      </c>
      <c r="G101" s="5">
        <v>95.957000000000008</v>
      </c>
      <c r="H101" s="5">
        <v>17.03</v>
      </c>
      <c r="I101" s="5">
        <v>510</v>
      </c>
      <c r="J101" s="4" t="s">
        <v>119</v>
      </c>
    </row>
    <row r="102" spans="1:10" x14ac:dyDescent="0.25">
      <c r="A102" s="4">
        <f t="shared" ca="1" si="3"/>
        <v>99</v>
      </c>
      <c r="B102" s="4" t="s">
        <v>324</v>
      </c>
      <c r="C102" s="4" t="s">
        <v>325</v>
      </c>
      <c r="D102" s="4" t="s">
        <v>117</v>
      </c>
      <c r="E102" s="4" t="s">
        <v>66</v>
      </c>
      <c r="F102" s="4">
        <v>887.10800000000006</v>
      </c>
      <c r="G102" s="5">
        <v>91.210800000000006</v>
      </c>
      <c r="H102" s="5">
        <v>17</v>
      </c>
      <c r="I102" s="5">
        <v>629</v>
      </c>
      <c r="J102" s="4" t="s">
        <v>119</v>
      </c>
    </row>
    <row r="103" spans="1:10" x14ac:dyDescent="0.25">
      <c r="A103" s="4">
        <f t="shared" ca="1" si="3"/>
        <v>100</v>
      </c>
      <c r="B103" s="4" t="s">
        <v>326</v>
      </c>
      <c r="C103" s="4" t="s">
        <v>327</v>
      </c>
      <c r="D103" s="4" t="s">
        <v>117</v>
      </c>
      <c r="E103" s="4" t="s">
        <v>66</v>
      </c>
      <c r="F103" s="4">
        <v>594.28600000000006</v>
      </c>
      <c r="G103" s="5">
        <v>61.148200000000003</v>
      </c>
      <c r="H103" s="5">
        <v>16.86</v>
      </c>
      <c r="I103" s="5">
        <v>3944</v>
      </c>
      <c r="J103" s="4" t="s">
        <v>119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117</v>
      </c>
      <c r="E104" s="4" t="s">
        <v>66</v>
      </c>
      <c r="F104" s="4">
        <v>663.17100000000005</v>
      </c>
      <c r="G104" s="5">
        <v>70.863600000000005</v>
      </c>
      <c r="H104" s="5">
        <v>16.88</v>
      </c>
      <c r="I104" s="5">
        <v>2731</v>
      </c>
      <c r="J104" s="4" t="s">
        <v>119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117</v>
      </c>
      <c r="E105" s="4" t="s">
        <v>66</v>
      </c>
      <c r="F105" s="4">
        <v>653.88100000000009</v>
      </c>
      <c r="G105" s="5">
        <v>69.383099999999999</v>
      </c>
      <c r="H105" s="5">
        <v>16.88</v>
      </c>
      <c r="I105" s="5">
        <v>2750</v>
      </c>
      <c r="J105" s="4" t="s">
        <v>119</v>
      </c>
    </row>
    <row r="106" spans="1:10" x14ac:dyDescent="0.25">
      <c r="A106" s="4">
        <f t="shared" ca="1" si="3"/>
        <v>103</v>
      </c>
      <c r="B106" s="4" t="s">
        <v>332</v>
      </c>
      <c r="C106" s="4" t="s">
        <v>113</v>
      </c>
      <c r="D106" s="4" t="s">
        <v>117</v>
      </c>
      <c r="E106" s="4" t="s">
        <v>66</v>
      </c>
      <c r="F106" s="4">
        <v>679.827</v>
      </c>
      <c r="G106" s="5">
        <v>72.13730000000001</v>
      </c>
      <c r="H106" s="5">
        <v>16.88</v>
      </c>
      <c r="I106" s="5">
        <v>2378</v>
      </c>
      <c r="J106" s="4" t="s">
        <v>119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117</v>
      </c>
      <c r="E107" s="4" t="s">
        <v>66</v>
      </c>
      <c r="F107" s="4">
        <v>707.92399999999998</v>
      </c>
      <c r="G107" s="5">
        <v>74.379400000000004</v>
      </c>
      <c r="H107" s="5">
        <v>16.88</v>
      </c>
      <c r="I107" s="5">
        <v>2036</v>
      </c>
      <c r="J107" s="4" t="s">
        <v>119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117</v>
      </c>
      <c r="E108" s="4" t="s">
        <v>66</v>
      </c>
      <c r="F108" s="4">
        <v>596.72699999999998</v>
      </c>
      <c r="G108" s="5">
        <v>65.521000000000001</v>
      </c>
      <c r="H108" s="5">
        <v>16.88</v>
      </c>
      <c r="I108" s="5">
        <v>4140</v>
      </c>
      <c r="J108" s="4" t="s">
        <v>119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117</v>
      </c>
      <c r="E109" s="4" t="s">
        <v>66</v>
      </c>
      <c r="F109" s="4">
        <v>1000</v>
      </c>
      <c r="G109" s="5">
        <v>104.8844</v>
      </c>
      <c r="H109" s="5">
        <v>12.71</v>
      </c>
      <c r="I109" s="5">
        <v>228</v>
      </c>
      <c r="J109" s="4" t="s">
        <v>119</v>
      </c>
    </row>
    <row r="110" spans="1:10" x14ac:dyDescent="0.25">
      <c r="A110" s="4">
        <f t="shared" ca="1" si="3"/>
        <v>107</v>
      </c>
      <c r="B110" s="4" t="s">
        <v>339</v>
      </c>
      <c r="C110" s="4" t="s">
        <v>78</v>
      </c>
      <c r="D110" s="4" t="s">
        <v>117</v>
      </c>
      <c r="E110" s="4" t="s">
        <v>66</v>
      </c>
      <c r="F110" s="4">
        <v>753.08900000000006</v>
      </c>
      <c r="G110" s="5">
        <v>76.58890000000001</v>
      </c>
      <c r="H110" s="5">
        <v>16.920000000000002</v>
      </c>
      <c r="I110" s="5">
        <v>1401</v>
      </c>
      <c r="J110" s="4" t="s">
        <v>119</v>
      </c>
    </row>
    <row r="111" spans="1:10" x14ac:dyDescent="0.25">
      <c r="A111" s="4">
        <f t="shared" ca="1" si="3"/>
        <v>108</v>
      </c>
      <c r="B111" s="4" t="s">
        <v>340</v>
      </c>
      <c r="C111" s="4" t="s">
        <v>341</v>
      </c>
      <c r="D111" s="4" t="s">
        <v>117</v>
      </c>
      <c r="E111" s="4" t="s">
        <v>66</v>
      </c>
      <c r="F111" s="4">
        <v>730.87300000000005</v>
      </c>
      <c r="G111" s="5">
        <v>78.399299999999997</v>
      </c>
      <c r="H111" s="5">
        <v>16.93</v>
      </c>
      <c r="I111" s="5">
        <v>1576</v>
      </c>
      <c r="J111" s="4" t="s">
        <v>119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117</v>
      </c>
      <c r="E112" s="4" t="s">
        <v>66</v>
      </c>
      <c r="F112" s="4">
        <v>535.63400000000001</v>
      </c>
      <c r="G112" s="5">
        <v>59.993100000000005</v>
      </c>
      <c r="H112" s="5">
        <v>16.86</v>
      </c>
      <c r="I112" s="5">
        <v>4817</v>
      </c>
      <c r="J112" s="4" t="s">
        <v>119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117</v>
      </c>
      <c r="E113" s="4" t="s">
        <v>66</v>
      </c>
      <c r="F113" s="4">
        <v>987.61700000000008</v>
      </c>
      <c r="G113" s="5">
        <v>103.7239</v>
      </c>
      <c r="H113" s="5">
        <v>17.05</v>
      </c>
      <c r="I113" s="5">
        <v>43</v>
      </c>
      <c r="J113" s="4" t="s">
        <v>119</v>
      </c>
    </row>
    <row r="114" spans="1:10" x14ac:dyDescent="0.25">
      <c r="A114" s="4">
        <f t="shared" ca="1" si="3"/>
        <v>111</v>
      </c>
      <c r="B114" s="4" t="s">
        <v>346</v>
      </c>
      <c r="C114" s="4" t="s">
        <v>67</v>
      </c>
      <c r="D114" s="4" t="s">
        <v>117</v>
      </c>
      <c r="E114" s="4" t="s">
        <v>66</v>
      </c>
      <c r="F114" s="4">
        <v>913.95300000000009</v>
      </c>
      <c r="G114" s="5">
        <v>92.235600000000005</v>
      </c>
      <c r="H114" s="5">
        <v>17.190000000000001</v>
      </c>
      <c r="I114" s="5">
        <v>310</v>
      </c>
      <c r="J114" s="4" t="s">
        <v>119</v>
      </c>
    </row>
    <row r="115" spans="1:10" x14ac:dyDescent="0.25">
      <c r="A115" s="4">
        <f t="shared" ca="1" si="3"/>
        <v>112</v>
      </c>
      <c r="B115" s="4" t="s">
        <v>347</v>
      </c>
      <c r="C115" s="4" t="s">
        <v>106</v>
      </c>
      <c r="D115" s="4" t="s">
        <v>117</v>
      </c>
      <c r="E115" s="4" t="s">
        <v>66</v>
      </c>
      <c r="F115" s="4">
        <v>813.40500000000009</v>
      </c>
      <c r="G115" s="5">
        <v>86.552199999999999</v>
      </c>
      <c r="H115" s="5">
        <v>16.98</v>
      </c>
      <c r="I115" s="5">
        <v>737</v>
      </c>
      <c r="J115" s="4" t="s">
        <v>119</v>
      </c>
    </row>
    <row r="116" spans="1:10" x14ac:dyDescent="0.25">
      <c r="A116" s="4">
        <f t="shared" ca="1" si="3"/>
        <v>113</v>
      </c>
      <c r="B116" s="4" t="s">
        <v>348</v>
      </c>
      <c r="C116" s="4" t="s">
        <v>349</v>
      </c>
      <c r="D116" s="4" t="s">
        <v>117</v>
      </c>
      <c r="E116" s="4" t="s">
        <v>66</v>
      </c>
      <c r="F116" s="4">
        <v>750.75200000000007</v>
      </c>
      <c r="G116" s="5">
        <v>75.426600000000008</v>
      </c>
      <c r="H116" s="5">
        <v>16.95</v>
      </c>
      <c r="I116" s="5">
        <v>1074</v>
      </c>
      <c r="J116" s="4" t="s">
        <v>119</v>
      </c>
    </row>
    <row r="117" spans="1:10" x14ac:dyDescent="0.25">
      <c r="A117" s="4">
        <f t="shared" ca="1" si="3"/>
        <v>114</v>
      </c>
      <c r="B117" s="4" t="s">
        <v>350</v>
      </c>
      <c r="C117" s="4" t="s">
        <v>351</v>
      </c>
      <c r="D117" s="4" t="s">
        <v>117</v>
      </c>
      <c r="E117" s="4" t="s">
        <v>66</v>
      </c>
      <c r="F117" s="4">
        <v>553.19900000000007</v>
      </c>
      <c r="G117" s="5">
        <v>57.129100000000001</v>
      </c>
      <c r="H117" s="5">
        <v>16.86</v>
      </c>
      <c r="I117" s="5">
        <v>5034</v>
      </c>
      <c r="J117" s="4" t="s">
        <v>119</v>
      </c>
    </row>
    <row r="118" spans="1:10" x14ac:dyDescent="0.25">
      <c r="A118" s="4">
        <f t="shared" ca="1" si="3"/>
        <v>115</v>
      </c>
      <c r="B118" s="4" t="s">
        <v>352</v>
      </c>
      <c r="C118" s="4" t="s">
        <v>353</v>
      </c>
      <c r="D118" s="4" t="s">
        <v>117</v>
      </c>
      <c r="E118" s="4" t="s">
        <v>66</v>
      </c>
      <c r="F118" s="4">
        <v>548.19299999999998</v>
      </c>
      <c r="G118" s="5">
        <v>60.097100000000005</v>
      </c>
      <c r="H118" s="5">
        <v>16.87</v>
      </c>
      <c r="I118" s="5">
        <v>5250</v>
      </c>
      <c r="J118" s="4" t="s">
        <v>119</v>
      </c>
    </row>
    <row r="119" spans="1:10" x14ac:dyDescent="0.25">
      <c r="A119" s="4">
        <f t="shared" ca="1" si="3"/>
        <v>116</v>
      </c>
      <c r="B119" s="4" t="s">
        <v>354</v>
      </c>
      <c r="C119" s="4" t="s">
        <v>102</v>
      </c>
      <c r="D119" s="4" t="s">
        <v>117</v>
      </c>
      <c r="E119" s="4" t="s">
        <v>66</v>
      </c>
      <c r="F119" s="4">
        <v>851.34900000000005</v>
      </c>
      <c r="G119" s="5">
        <v>91.0321</v>
      </c>
      <c r="H119" s="5">
        <v>16.93</v>
      </c>
      <c r="I119" s="5">
        <v>1266</v>
      </c>
      <c r="J119" s="4" t="s">
        <v>119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117</v>
      </c>
      <c r="E120" s="4" t="s">
        <v>66</v>
      </c>
      <c r="F120" s="4">
        <v>947.548</v>
      </c>
      <c r="G120" s="5">
        <v>97.282600000000002</v>
      </c>
      <c r="H120" s="5">
        <v>17.2</v>
      </c>
      <c r="I120" s="5">
        <v>264</v>
      </c>
      <c r="J120" s="4" t="s">
        <v>119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117</v>
      </c>
      <c r="E121" s="4" t="s">
        <v>66</v>
      </c>
      <c r="F121" s="4">
        <v>1000</v>
      </c>
      <c r="G121" s="5">
        <v>110.92920000000001</v>
      </c>
      <c r="H121" s="5">
        <v>13.07</v>
      </c>
      <c r="I121" s="5">
        <v>1158</v>
      </c>
      <c r="J121" s="4" t="s">
        <v>119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117</v>
      </c>
      <c r="E122" s="4" t="s">
        <v>66</v>
      </c>
      <c r="F122" s="4">
        <v>1000</v>
      </c>
      <c r="G122" s="5">
        <v>107.01900000000001</v>
      </c>
      <c r="H122" s="5">
        <v>12.57</v>
      </c>
      <c r="I122" s="5">
        <v>168</v>
      </c>
      <c r="J122" s="4" t="s">
        <v>119</v>
      </c>
    </row>
    <row r="123" spans="1:10" x14ac:dyDescent="0.25">
      <c r="A123" s="4">
        <f t="shared" ca="1" si="3"/>
        <v>120</v>
      </c>
      <c r="B123" s="4" t="s">
        <v>361</v>
      </c>
      <c r="C123" s="4" t="s">
        <v>362</v>
      </c>
      <c r="D123" s="4" t="s">
        <v>117</v>
      </c>
      <c r="E123" s="4" t="s">
        <v>66</v>
      </c>
      <c r="F123" s="4">
        <v>1000</v>
      </c>
      <c r="G123" s="5">
        <v>108.14060000000001</v>
      </c>
      <c r="H123" s="5">
        <v>12.95</v>
      </c>
      <c r="I123" s="5">
        <v>1235</v>
      </c>
      <c r="J123" s="4" t="s">
        <v>119</v>
      </c>
    </row>
    <row r="124" spans="1:10" x14ac:dyDescent="0.25">
      <c r="A124" s="4">
        <f t="shared" ca="1" si="3"/>
        <v>121</v>
      </c>
      <c r="B124" s="4" t="s">
        <v>363</v>
      </c>
      <c r="C124" s="4" t="s">
        <v>72</v>
      </c>
      <c r="D124" s="4" t="s">
        <v>117</v>
      </c>
      <c r="E124" s="4" t="s">
        <v>66</v>
      </c>
      <c r="F124" s="4">
        <v>855.11800000000005</v>
      </c>
      <c r="G124" s="5">
        <v>95.574600000000004</v>
      </c>
      <c r="H124" s="5">
        <v>16.940000000000001</v>
      </c>
      <c r="I124" s="5">
        <v>1111</v>
      </c>
      <c r="J124" s="4" t="s">
        <v>119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117</v>
      </c>
      <c r="E125" s="4" t="s">
        <v>66</v>
      </c>
      <c r="F125" s="4">
        <v>1000</v>
      </c>
      <c r="G125" s="5">
        <v>108.2492</v>
      </c>
      <c r="H125" s="5">
        <v>12.93</v>
      </c>
      <c r="I125" s="5">
        <v>866</v>
      </c>
      <c r="J125" s="4" t="s">
        <v>119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117</v>
      </c>
      <c r="E126" s="4" t="s">
        <v>66</v>
      </c>
      <c r="F126" s="4">
        <v>568.279</v>
      </c>
      <c r="G126" s="5">
        <v>59.409800000000004</v>
      </c>
      <c r="H126" s="5">
        <v>16.88</v>
      </c>
      <c r="I126" s="5">
        <v>2386</v>
      </c>
      <c r="J126" s="4" t="s">
        <v>119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117</v>
      </c>
      <c r="E127" s="4" t="s">
        <v>66</v>
      </c>
      <c r="F127" s="4">
        <v>775.44299999999998</v>
      </c>
      <c r="G127" s="5">
        <v>83.621099999999998</v>
      </c>
      <c r="H127" s="5">
        <v>16.940000000000001</v>
      </c>
      <c r="I127" s="5">
        <v>1155</v>
      </c>
      <c r="J127" s="4" t="s">
        <v>119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117</v>
      </c>
      <c r="E128" s="4" t="s">
        <v>66</v>
      </c>
      <c r="F128" s="4">
        <v>769.49200000000008</v>
      </c>
      <c r="G128" s="5">
        <v>79.379800000000003</v>
      </c>
      <c r="H128" s="5">
        <v>16.96</v>
      </c>
      <c r="I128" s="5">
        <v>919</v>
      </c>
      <c r="J128" s="4" t="s">
        <v>119</v>
      </c>
    </row>
    <row r="129" spans="1:10" x14ac:dyDescent="0.25">
      <c r="A129" s="4">
        <f t="shared" ca="1" si="3"/>
        <v>126</v>
      </c>
      <c r="B129" s="4" t="s">
        <v>372</v>
      </c>
      <c r="C129" s="4" t="s">
        <v>91</v>
      </c>
      <c r="D129" s="4" t="s">
        <v>117</v>
      </c>
      <c r="E129" s="4" t="s">
        <v>66</v>
      </c>
      <c r="F129" s="4">
        <v>757.67</v>
      </c>
      <c r="G129" s="5">
        <v>78.044899999999998</v>
      </c>
      <c r="H129" s="5">
        <v>16.88</v>
      </c>
      <c r="I129" s="5">
        <v>2479</v>
      </c>
      <c r="J129" s="4" t="s">
        <v>119</v>
      </c>
    </row>
    <row r="130" spans="1:10" x14ac:dyDescent="0.25">
      <c r="A130" s="4">
        <f t="shared" ca="1" si="3"/>
        <v>127</v>
      </c>
      <c r="B130" s="4" t="s">
        <v>373</v>
      </c>
      <c r="C130" s="4" t="s">
        <v>111</v>
      </c>
      <c r="D130" s="4" t="s">
        <v>117</v>
      </c>
      <c r="E130" s="4" t="s">
        <v>66</v>
      </c>
      <c r="F130" s="4">
        <v>830.55900000000008</v>
      </c>
      <c r="G130" s="5">
        <v>85.253799999999998</v>
      </c>
      <c r="H130" s="5">
        <v>16.91</v>
      </c>
      <c r="I130" s="5">
        <v>1385</v>
      </c>
      <c r="J130" s="4" t="s">
        <v>119</v>
      </c>
    </row>
    <row r="131" spans="1:10" x14ac:dyDescent="0.25">
      <c r="A131" s="4">
        <f t="shared" ca="1" si="3"/>
        <v>128</v>
      </c>
      <c r="B131" s="4" t="s">
        <v>374</v>
      </c>
      <c r="C131" s="4" t="s">
        <v>375</v>
      </c>
      <c r="D131" s="4" t="s">
        <v>117</v>
      </c>
      <c r="E131" s="4" t="s">
        <v>66</v>
      </c>
      <c r="F131" s="4">
        <v>1000</v>
      </c>
      <c r="G131" s="5">
        <v>100.5065</v>
      </c>
      <c r="H131" s="5">
        <v>13.02</v>
      </c>
      <c r="I131" s="5">
        <v>1813</v>
      </c>
      <c r="J131" s="4" t="s">
        <v>119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376</v>
      </c>
      <c r="C132" s="4" t="s">
        <v>377</v>
      </c>
      <c r="D132" s="4" t="s">
        <v>117</v>
      </c>
      <c r="E132" s="4" t="s">
        <v>66</v>
      </c>
      <c r="F132" s="4">
        <v>1000</v>
      </c>
      <c r="G132" s="5">
        <v>110.2753</v>
      </c>
      <c r="H132" s="5">
        <v>12.99</v>
      </c>
      <c r="I132" s="5">
        <v>2269</v>
      </c>
      <c r="J132" s="4" t="s">
        <v>119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117</v>
      </c>
      <c r="E133" s="4" t="s">
        <v>66</v>
      </c>
      <c r="F133" s="4">
        <v>1000</v>
      </c>
      <c r="G133" s="5">
        <v>100.5789</v>
      </c>
      <c r="H133" s="5">
        <v>13.02</v>
      </c>
      <c r="I133" s="5">
        <v>2176</v>
      </c>
      <c r="J133" s="4" t="s">
        <v>119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117</v>
      </c>
      <c r="E134" s="4" t="s">
        <v>66</v>
      </c>
      <c r="F134" s="4">
        <v>911.78</v>
      </c>
      <c r="G134" s="5">
        <v>95.338000000000008</v>
      </c>
      <c r="H134" s="5">
        <v>17</v>
      </c>
      <c r="I134" s="5">
        <v>584</v>
      </c>
      <c r="J134" s="4" t="s">
        <v>119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117</v>
      </c>
      <c r="E135" s="4" t="s">
        <v>66</v>
      </c>
      <c r="F135" s="4">
        <v>712.35800000000006</v>
      </c>
      <c r="G135" s="5">
        <v>79.062899999999999</v>
      </c>
      <c r="H135" s="5">
        <v>16.88</v>
      </c>
      <c r="I135" s="5">
        <v>4126</v>
      </c>
      <c r="J135" s="4" t="s">
        <v>119</v>
      </c>
    </row>
    <row r="136" spans="1:10" x14ac:dyDescent="0.25">
      <c r="A136" s="4">
        <f t="shared" ca="1" si="4"/>
        <v>133</v>
      </c>
      <c r="B136" s="4" t="s">
        <v>384</v>
      </c>
      <c r="C136" s="4" t="s">
        <v>96</v>
      </c>
      <c r="D136" s="4" t="s">
        <v>117</v>
      </c>
      <c r="E136" s="4" t="s">
        <v>66</v>
      </c>
      <c r="F136" s="4">
        <v>984.1</v>
      </c>
      <c r="G136" s="5">
        <v>100.8404</v>
      </c>
      <c r="H136" s="5">
        <v>16.68</v>
      </c>
      <c r="I136" s="5">
        <v>101</v>
      </c>
      <c r="J136" s="4" t="s">
        <v>119</v>
      </c>
    </row>
    <row r="137" spans="1:10" x14ac:dyDescent="0.25">
      <c r="A137" s="4">
        <f t="shared" ca="1" si="4"/>
        <v>134</v>
      </c>
      <c r="B137" s="4" t="s">
        <v>385</v>
      </c>
      <c r="C137" s="4" t="s">
        <v>386</v>
      </c>
      <c r="D137" s="4" t="s">
        <v>117</v>
      </c>
      <c r="E137" s="4" t="s">
        <v>66</v>
      </c>
      <c r="F137" s="4">
        <v>826.32</v>
      </c>
      <c r="G137" s="5">
        <v>90.240300000000005</v>
      </c>
      <c r="H137" s="5">
        <v>16.93</v>
      </c>
      <c r="I137" s="5">
        <v>1576</v>
      </c>
      <c r="J137" s="4" t="s">
        <v>119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117</v>
      </c>
      <c r="E138" s="4" t="s">
        <v>66</v>
      </c>
      <c r="F138" s="4">
        <v>704.44200000000001</v>
      </c>
      <c r="G138" s="5">
        <v>71.881500000000003</v>
      </c>
      <c r="H138" s="5">
        <v>16.87</v>
      </c>
      <c r="I138" s="5">
        <v>3970</v>
      </c>
      <c r="J138" s="4" t="s">
        <v>119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117</v>
      </c>
      <c r="E139" s="4" t="s">
        <v>66</v>
      </c>
      <c r="F139" s="4">
        <v>706.38600000000008</v>
      </c>
      <c r="G139" s="5">
        <v>77.272800000000004</v>
      </c>
      <c r="H139" s="5">
        <v>16.89</v>
      </c>
      <c r="I139" s="5">
        <v>3050</v>
      </c>
      <c r="J139" s="4" t="s">
        <v>119</v>
      </c>
    </row>
    <row r="140" spans="1:10" x14ac:dyDescent="0.25">
      <c r="A140" s="4">
        <f t="shared" ca="1" si="4"/>
        <v>137</v>
      </c>
      <c r="B140" s="4" t="s">
        <v>391</v>
      </c>
      <c r="C140" s="4" t="s">
        <v>109</v>
      </c>
      <c r="D140" s="4" t="s">
        <v>117</v>
      </c>
      <c r="E140" s="4" t="s">
        <v>66</v>
      </c>
      <c r="F140" s="4">
        <v>872.62400000000002</v>
      </c>
      <c r="G140" s="5">
        <v>92.49130000000001</v>
      </c>
      <c r="H140" s="5">
        <v>16.97</v>
      </c>
      <c r="I140" s="5">
        <v>913</v>
      </c>
      <c r="J140" s="4" t="s">
        <v>119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117</v>
      </c>
      <c r="E141" s="4" t="s">
        <v>66</v>
      </c>
      <c r="F141" s="4">
        <v>955.52600000000007</v>
      </c>
      <c r="G141" s="5">
        <v>97.565100000000001</v>
      </c>
      <c r="H141" s="5">
        <v>16.53</v>
      </c>
      <c r="I141" s="5">
        <v>296</v>
      </c>
      <c r="J141" s="4" t="s">
        <v>119</v>
      </c>
    </row>
    <row r="142" spans="1:10" x14ac:dyDescent="0.25">
      <c r="A142" s="4">
        <f t="shared" ca="1" si="4"/>
        <v>139</v>
      </c>
      <c r="B142" s="4" t="s">
        <v>394</v>
      </c>
      <c r="C142" s="4" t="s">
        <v>395</v>
      </c>
      <c r="D142" s="4" t="s">
        <v>117</v>
      </c>
      <c r="E142" s="4" t="s">
        <v>66</v>
      </c>
      <c r="F142" s="4">
        <v>696.36</v>
      </c>
      <c r="G142" s="5">
        <v>75.700600000000009</v>
      </c>
      <c r="H142" s="5">
        <v>16.86</v>
      </c>
      <c r="I142" s="5">
        <v>3436</v>
      </c>
      <c r="J142" s="4" t="s">
        <v>119</v>
      </c>
    </row>
    <row r="143" spans="1:10" x14ac:dyDescent="0.25">
      <c r="A143" s="4">
        <f t="shared" ca="1" si="4"/>
        <v>140</v>
      </c>
      <c r="B143" s="4" t="s">
        <v>396</v>
      </c>
      <c r="C143" s="4" t="s">
        <v>81</v>
      </c>
      <c r="D143" s="4" t="s">
        <v>117</v>
      </c>
      <c r="E143" s="4" t="s">
        <v>66</v>
      </c>
      <c r="F143" s="4">
        <v>775.34100000000001</v>
      </c>
      <c r="G143" s="5">
        <v>83.427999999999997</v>
      </c>
      <c r="H143" s="5">
        <v>16.88</v>
      </c>
      <c r="I143" s="5">
        <v>1982</v>
      </c>
      <c r="J143" s="4" t="s">
        <v>119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117</v>
      </c>
      <c r="E144" s="4" t="s">
        <v>66</v>
      </c>
      <c r="F144" s="4">
        <v>740.00400000000002</v>
      </c>
      <c r="G144" s="5">
        <v>75.485100000000003</v>
      </c>
      <c r="H144" s="5">
        <v>16.88</v>
      </c>
      <c r="I144" s="5">
        <v>2872</v>
      </c>
      <c r="J144" s="4" t="s">
        <v>119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117</v>
      </c>
      <c r="E145" s="4" t="s">
        <v>66</v>
      </c>
      <c r="F145" s="4">
        <v>978.05700000000002</v>
      </c>
      <c r="G145" s="5">
        <v>98.848200000000006</v>
      </c>
      <c r="H145" s="5">
        <v>16.510000000000002</v>
      </c>
      <c r="I145" s="5">
        <v>339</v>
      </c>
      <c r="J145" s="4" t="s">
        <v>119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117</v>
      </c>
      <c r="E146" s="4" t="s">
        <v>66</v>
      </c>
      <c r="F146" s="4">
        <v>982.697</v>
      </c>
      <c r="G146" s="5">
        <v>104.45230000000001</v>
      </c>
      <c r="H146" s="5">
        <v>16.330000000000002</v>
      </c>
      <c r="I146" s="5">
        <v>767</v>
      </c>
      <c r="J146" s="4" t="s">
        <v>119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117</v>
      </c>
      <c r="E147" s="4" t="s">
        <v>66</v>
      </c>
      <c r="F147" s="4">
        <v>887.62800000000004</v>
      </c>
      <c r="G147" s="5">
        <v>94.362800000000007</v>
      </c>
      <c r="H147" s="5">
        <v>16.88</v>
      </c>
      <c r="I147" s="5">
        <v>2411</v>
      </c>
      <c r="J147" s="4" t="s">
        <v>119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117</v>
      </c>
      <c r="E148" s="4" t="s">
        <v>66</v>
      </c>
      <c r="F148" s="4">
        <v>957.66500000000008</v>
      </c>
      <c r="G148" s="5">
        <v>105.1165</v>
      </c>
      <c r="H148" s="5">
        <v>16.920000000000002</v>
      </c>
      <c r="I148" s="5">
        <v>1238</v>
      </c>
      <c r="J148" s="4" t="s">
        <v>119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117</v>
      </c>
      <c r="E149" s="4" t="s">
        <v>66</v>
      </c>
      <c r="F149" s="4">
        <v>1000</v>
      </c>
      <c r="G149" s="5">
        <v>101.6169</v>
      </c>
      <c r="H149" s="5">
        <v>17.059999999999999</v>
      </c>
      <c r="I149" s="5">
        <v>332</v>
      </c>
      <c r="J149" s="4" t="s">
        <v>119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117</v>
      </c>
      <c r="E150" s="4" t="s">
        <v>66</v>
      </c>
      <c r="F150" s="4">
        <v>897.94600000000003</v>
      </c>
      <c r="G150" s="5">
        <v>95.666800000000009</v>
      </c>
      <c r="H150" s="5">
        <v>16.89</v>
      </c>
      <c r="I150" s="5">
        <v>2038</v>
      </c>
      <c r="J150" s="4" t="s">
        <v>119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117</v>
      </c>
      <c r="E151" s="4" t="s">
        <v>66</v>
      </c>
      <c r="F151" s="4">
        <v>981.68700000000001</v>
      </c>
      <c r="G151" s="5">
        <v>102.3319</v>
      </c>
      <c r="H151" s="5">
        <v>16.53</v>
      </c>
      <c r="I151" s="5">
        <v>255</v>
      </c>
      <c r="J151" s="4" t="s">
        <v>119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117</v>
      </c>
      <c r="E152" s="4" t="s">
        <v>66</v>
      </c>
      <c r="F152" s="4">
        <v>896.995</v>
      </c>
      <c r="G152" s="5">
        <v>94.837299999999999</v>
      </c>
      <c r="H152" s="5">
        <v>16.89</v>
      </c>
      <c r="I152" s="5">
        <v>2793</v>
      </c>
      <c r="J152" s="4" t="s">
        <v>119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117</v>
      </c>
      <c r="E153" s="4" t="s">
        <v>66</v>
      </c>
      <c r="F153" s="4">
        <v>833.077</v>
      </c>
      <c r="G153" s="5">
        <v>91.0077</v>
      </c>
      <c r="H153" s="5">
        <v>16.91</v>
      </c>
      <c r="I153" s="5">
        <v>1959</v>
      </c>
      <c r="J153" s="4" t="s">
        <v>119</v>
      </c>
    </row>
    <row r="154" spans="1:10" x14ac:dyDescent="0.25">
      <c r="A154" s="4">
        <f t="shared" ca="1" si="4"/>
        <v>151</v>
      </c>
      <c r="B154" s="4" t="s">
        <v>417</v>
      </c>
      <c r="C154" s="4" t="s">
        <v>86</v>
      </c>
      <c r="D154" s="4" t="s">
        <v>117</v>
      </c>
      <c r="E154" s="4" t="s">
        <v>66</v>
      </c>
      <c r="F154" s="4">
        <v>1019.585</v>
      </c>
      <c r="G154" s="5">
        <v>105.077</v>
      </c>
      <c r="H154" s="5">
        <v>16.27</v>
      </c>
      <c r="I154" s="5">
        <v>1395</v>
      </c>
      <c r="J154" s="4" t="s">
        <v>119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117</v>
      </c>
      <c r="E155" s="4" t="s">
        <v>66</v>
      </c>
      <c r="F155" s="4">
        <v>894.62200000000007</v>
      </c>
      <c r="G155" s="5">
        <v>98.202500000000001</v>
      </c>
      <c r="H155" s="5">
        <v>16.87</v>
      </c>
      <c r="I155" s="5">
        <v>3067</v>
      </c>
      <c r="J155" s="4" t="s">
        <v>119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117</v>
      </c>
      <c r="E156" s="4" t="s">
        <v>66</v>
      </c>
      <c r="F156" s="4">
        <v>911.827</v>
      </c>
      <c r="G156" s="5">
        <v>99.9833</v>
      </c>
      <c r="H156" s="5">
        <v>16.89</v>
      </c>
      <c r="I156" s="5">
        <v>2337</v>
      </c>
      <c r="J156" s="4" t="s">
        <v>119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117</v>
      </c>
      <c r="E157" s="4" t="s">
        <v>66</v>
      </c>
      <c r="F157" s="4">
        <v>856.48200000000008</v>
      </c>
      <c r="G157" s="5">
        <v>91.170700000000011</v>
      </c>
      <c r="H157" s="5">
        <v>16.86</v>
      </c>
      <c r="I157" s="5">
        <v>4605</v>
      </c>
      <c r="J157" s="4" t="s">
        <v>119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117</v>
      </c>
      <c r="E158" s="4" t="s">
        <v>66</v>
      </c>
      <c r="F158" s="4">
        <v>1000</v>
      </c>
      <c r="G158" s="5">
        <v>108.31780000000001</v>
      </c>
      <c r="H158" s="5">
        <v>15.44</v>
      </c>
      <c r="I158" s="5">
        <v>1996</v>
      </c>
      <c r="J158" s="4" t="s">
        <v>119</v>
      </c>
    </row>
    <row r="159" spans="1:10" x14ac:dyDescent="0.25">
      <c r="A159" s="4">
        <f t="shared" ca="1" si="4"/>
        <v>156</v>
      </c>
      <c r="B159" s="4" t="s">
        <v>426</v>
      </c>
      <c r="C159" s="4" t="s">
        <v>93</v>
      </c>
      <c r="D159" s="4" t="s">
        <v>117</v>
      </c>
      <c r="E159" s="4" t="s">
        <v>66</v>
      </c>
      <c r="F159" s="4">
        <v>853.68900000000008</v>
      </c>
      <c r="G159" s="5">
        <v>92.568899999999999</v>
      </c>
      <c r="H159" s="5">
        <v>16.899999999999999</v>
      </c>
      <c r="I159" s="5">
        <v>1607</v>
      </c>
      <c r="J159" s="4" t="s">
        <v>119</v>
      </c>
    </row>
    <row r="160" spans="1:10" x14ac:dyDescent="0.25">
      <c r="A160" s="4">
        <f t="shared" ca="1" si="4"/>
        <v>157</v>
      </c>
      <c r="B160" s="4" t="s">
        <v>427</v>
      </c>
      <c r="C160" s="4" t="s">
        <v>428</v>
      </c>
      <c r="D160" s="4" t="s">
        <v>117</v>
      </c>
      <c r="E160" s="4" t="s">
        <v>66</v>
      </c>
      <c r="F160" s="4">
        <v>91.0715</v>
      </c>
      <c r="G160" s="5">
        <v>91.0715</v>
      </c>
      <c r="H160" s="5">
        <v>16.72</v>
      </c>
      <c r="I160" s="5">
        <v>215</v>
      </c>
      <c r="J160" s="4" t="s">
        <v>119</v>
      </c>
    </row>
    <row r="161" spans="1:10" x14ac:dyDescent="0.25">
      <c r="A161" s="4">
        <f t="shared" ca="1" si="4"/>
        <v>158</v>
      </c>
      <c r="B161" s="4" t="s">
        <v>429</v>
      </c>
      <c r="C161" s="4" t="s">
        <v>100</v>
      </c>
      <c r="D161" s="4" t="s">
        <v>117</v>
      </c>
      <c r="E161" s="4" t="s">
        <v>66</v>
      </c>
      <c r="F161" s="4">
        <v>95.057400000000001</v>
      </c>
      <c r="G161" s="5">
        <v>95.057400000000001</v>
      </c>
      <c r="H161" s="5">
        <v>16.36</v>
      </c>
      <c r="I161" s="5">
        <v>117</v>
      </c>
      <c r="J161" s="4" t="s">
        <v>119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117</v>
      </c>
      <c r="E162" s="4" t="s">
        <v>66</v>
      </c>
      <c r="F162" s="4">
        <v>866.31200000000001</v>
      </c>
      <c r="G162" s="5">
        <v>95.964500000000001</v>
      </c>
      <c r="H162" s="5">
        <v>16.89</v>
      </c>
      <c r="I162" s="5">
        <v>3411</v>
      </c>
      <c r="J162" s="4" t="s">
        <v>119</v>
      </c>
    </row>
    <row r="163" spans="1:10" x14ac:dyDescent="0.25">
      <c r="A163" s="4">
        <f t="shared" ca="1" si="4"/>
        <v>160</v>
      </c>
      <c r="B163" s="4" t="s">
        <v>432</v>
      </c>
      <c r="C163" s="4" t="s">
        <v>433</v>
      </c>
      <c r="D163" s="4" t="s">
        <v>117</v>
      </c>
      <c r="E163" s="4" t="s">
        <v>66</v>
      </c>
      <c r="F163" s="4">
        <v>0.98624999999999996</v>
      </c>
      <c r="G163" s="5">
        <v>98.677400000000006</v>
      </c>
      <c r="H163" s="5">
        <v>4.9000000000000004</v>
      </c>
      <c r="I163" s="5">
        <v>3466</v>
      </c>
      <c r="J163" s="4" t="s">
        <v>119</v>
      </c>
    </row>
    <row r="164" spans="1:10" x14ac:dyDescent="0.25">
      <c r="A164" s="4">
        <f t="shared" ref="A164:A182" ca="1" si="5">IF(OFFSET(A164,-1,0)="№ п/п",1,OFFSET(A164,-1,0)+1)</f>
        <v>161</v>
      </c>
      <c r="B164" s="4" t="s">
        <v>434</v>
      </c>
      <c r="C164" s="4" t="s">
        <v>435</v>
      </c>
      <c r="D164" s="4" t="s">
        <v>117</v>
      </c>
      <c r="E164" s="4" t="s">
        <v>66</v>
      </c>
      <c r="F164" s="4">
        <v>99.544899999999998</v>
      </c>
      <c r="G164" s="5">
        <v>99.544899999999998</v>
      </c>
      <c r="H164" s="5">
        <v>15.17</v>
      </c>
      <c r="I164" s="5">
        <v>12</v>
      </c>
      <c r="J164" s="4" t="s">
        <v>119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117</v>
      </c>
      <c r="E165" s="4" t="s">
        <v>66</v>
      </c>
      <c r="F165" s="4">
        <v>1023.336</v>
      </c>
      <c r="G165" s="5">
        <v>102.5219</v>
      </c>
      <c r="H165" s="5">
        <v>16.25</v>
      </c>
      <c r="I165" s="5">
        <v>1823</v>
      </c>
      <c r="J165" s="4" t="s">
        <v>119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122</v>
      </c>
      <c r="E166" s="4" t="s">
        <v>440</v>
      </c>
      <c r="F166" s="4">
        <v>365.2</v>
      </c>
      <c r="G166" s="5"/>
      <c r="H166" s="5"/>
      <c r="I166" s="5"/>
      <c r="J166" s="4" t="s">
        <v>124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122</v>
      </c>
      <c r="E167" s="4" t="s">
        <v>440</v>
      </c>
      <c r="F167" s="4">
        <v>26.79</v>
      </c>
      <c r="G167" s="5"/>
      <c r="H167" s="5"/>
      <c r="I167" s="5"/>
      <c r="J167" s="4" t="s">
        <v>147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117</v>
      </c>
      <c r="E168" s="4" t="s">
        <v>440</v>
      </c>
      <c r="F168" s="4">
        <v>986.40100000000007</v>
      </c>
      <c r="G168" s="5">
        <v>104.8965</v>
      </c>
      <c r="H168" s="5">
        <v>18.05</v>
      </c>
      <c r="I168" s="5">
        <v>782</v>
      </c>
      <c r="J168" s="4" t="s">
        <v>119</v>
      </c>
    </row>
    <row r="169" spans="1:10" x14ac:dyDescent="0.25">
      <c r="A169" s="4">
        <f t="shared" ca="1" si="5"/>
        <v>166</v>
      </c>
      <c r="B169" s="4" t="s">
        <v>445</v>
      </c>
      <c r="C169" s="4" t="s">
        <v>446</v>
      </c>
      <c r="D169" s="4" t="s">
        <v>122</v>
      </c>
      <c r="E169" s="4" t="s">
        <v>447</v>
      </c>
      <c r="F169" s="4">
        <v>868</v>
      </c>
      <c r="G169" s="5"/>
      <c r="H169" s="5"/>
      <c r="I169" s="5"/>
      <c r="J169" s="4" t="s">
        <v>124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117</v>
      </c>
      <c r="E170" s="4" t="s">
        <v>450</v>
      </c>
      <c r="F170" s="4">
        <v>1.001571</v>
      </c>
      <c r="G170" s="5">
        <v>100.49040000000001</v>
      </c>
      <c r="H170" s="5">
        <v>5.63</v>
      </c>
      <c r="I170" s="5">
        <v>162</v>
      </c>
      <c r="J170" s="4" t="s">
        <v>119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117</v>
      </c>
      <c r="E171" s="4" t="s">
        <v>450</v>
      </c>
      <c r="F171" s="4">
        <v>1001.8470000000001</v>
      </c>
      <c r="G171" s="5">
        <v>102.6639</v>
      </c>
      <c r="H171" s="5">
        <v>5.2</v>
      </c>
      <c r="I171" s="5">
        <v>1472</v>
      </c>
      <c r="J171" s="4" t="s">
        <v>119</v>
      </c>
    </row>
    <row r="172" spans="1:10" x14ac:dyDescent="0.25">
      <c r="A172" s="4">
        <f t="shared" ca="1" si="5"/>
        <v>169</v>
      </c>
      <c r="B172" s="4" t="s">
        <v>453</v>
      </c>
      <c r="C172" s="4" t="s">
        <v>454</v>
      </c>
      <c r="D172" s="4" t="s">
        <v>122</v>
      </c>
      <c r="E172" s="4" t="s">
        <v>455</v>
      </c>
      <c r="F172" s="4">
        <v>29302.06</v>
      </c>
      <c r="G172" s="5"/>
      <c r="H172" s="5"/>
      <c r="I172" s="5"/>
      <c r="J172" s="4" t="s">
        <v>124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122</v>
      </c>
      <c r="E173" s="4" t="s">
        <v>458</v>
      </c>
      <c r="F173" s="4">
        <v>44568.44</v>
      </c>
      <c r="G173" s="5"/>
      <c r="H173" s="5"/>
      <c r="I173" s="5"/>
      <c r="J173" s="4" t="s">
        <v>124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122</v>
      </c>
      <c r="E174" s="4" t="s">
        <v>458</v>
      </c>
      <c r="F174" s="4">
        <v>79.760000000000005</v>
      </c>
      <c r="G174" s="5"/>
      <c r="H174" s="5"/>
      <c r="I174" s="5"/>
      <c r="J174" s="4" t="s">
        <v>147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117</v>
      </c>
      <c r="E175" s="4" t="s">
        <v>463</v>
      </c>
      <c r="F175" s="4">
        <v>99.983500000000006</v>
      </c>
      <c r="G175" s="5">
        <v>100.80850000000001</v>
      </c>
      <c r="H175" s="5">
        <v>11</v>
      </c>
      <c r="I175" s="5">
        <v>339</v>
      </c>
      <c r="J175" s="4" t="s">
        <v>119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122</v>
      </c>
      <c r="E176" s="4" t="s">
        <v>466</v>
      </c>
      <c r="F176" s="4">
        <v>6.18</v>
      </c>
      <c r="G176" s="5"/>
      <c r="H176" s="5"/>
      <c r="I176" s="5"/>
      <c r="J176" s="4" t="s">
        <v>147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122</v>
      </c>
      <c r="E177" s="4" t="s">
        <v>466</v>
      </c>
      <c r="F177" s="4">
        <v>811.41</v>
      </c>
      <c r="G177" s="5"/>
      <c r="H177" s="5"/>
      <c r="I177" s="5"/>
      <c r="J177" s="4" t="s">
        <v>124</v>
      </c>
    </row>
    <row r="178" spans="1:10" x14ac:dyDescent="0.25">
      <c r="A178" s="4">
        <f t="shared" ca="1" si="5"/>
        <v>175</v>
      </c>
      <c r="B178" s="4" t="s">
        <v>469</v>
      </c>
      <c r="C178" s="4" t="s">
        <v>470</v>
      </c>
      <c r="D178" s="4" t="s">
        <v>117</v>
      </c>
      <c r="E178" s="4" t="s">
        <v>74</v>
      </c>
      <c r="F178" s="4">
        <v>0.99737599999999993</v>
      </c>
      <c r="G178" s="5">
        <v>100.10300000000001</v>
      </c>
      <c r="H178" s="5">
        <v>6.33</v>
      </c>
      <c r="I178" s="5">
        <v>159</v>
      </c>
      <c r="J178" s="4" t="s">
        <v>119</v>
      </c>
    </row>
    <row r="179" spans="1:10" x14ac:dyDescent="0.25">
      <c r="A179" s="4">
        <f t="shared" ca="1" si="5"/>
        <v>176</v>
      </c>
      <c r="B179" s="4" t="s">
        <v>471</v>
      </c>
      <c r="C179" s="4" t="s">
        <v>472</v>
      </c>
      <c r="D179" s="4" t="s">
        <v>117</v>
      </c>
      <c r="E179" s="4" t="s">
        <v>74</v>
      </c>
      <c r="F179" s="4">
        <v>1000</v>
      </c>
      <c r="G179" s="5">
        <v>100.7671</v>
      </c>
      <c r="H179" s="5">
        <v>17.48</v>
      </c>
      <c r="I179" s="5">
        <v>897</v>
      </c>
      <c r="J179" s="4" t="s">
        <v>119</v>
      </c>
    </row>
    <row r="180" spans="1:10" x14ac:dyDescent="0.25">
      <c r="A180" s="4">
        <f t="shared" ca="1" si="5"/>
        <v>177</v>
      </c>
      <c r="B180" s="4" t="s">
        <v>473</v>
      </c>
      <c r="C180" s="4" t="s">
        <v>75</v>
      </c>
      <c r="D180" s="4" t="s">
        <v>117</v>
      </c>
      <c r="E180" s="4" t="s">
        <v>74</v>
      </c>
      <c r="F180" s="4">
        <v>946.28746175368906</v>
      </c>
      <c r="G180" s="5">
        <v>96.217646180000003</v>
      </c>
      <c r="H180" s="5">
        <v>17.82</v>
      </c>
      <c r="I180" s="5">
        <v>691</v>
      </c>
      <c r="J180" s="4" t="s">
        <v>119</v>
      </c>
    </row>
    <row r="181" spans="1:10" x14ac:dyDescent="0.25">
      <c r="A181" s="4">
        <f t="shared" ca="1" si="5"/>
        <v>178</v>
      </c>
      <c r="B181" s="4" t="s">
        <v>474</v>
      </c>
      <c r="C181" s="4" t="s">
        <v>475</v>
      </c>
      <c r="D181" s="4" t="s">
        <v>117</v>
      </c>
      <c r="E181" s="4" t="s">
        <v>74</v>
      </c>
      <c r="F181" s="4">
        <v>1000</v>
      </c>
      <c r="G181" s="5">
        <v>102.1815</v>
      </c>
      <c r="H181" s="5">
        <v>16.22</v>
      </c>
      <c r="I181" s="5">
        <v>866</v>
      </c>
      <c r="J181" s="4" t="s">
        <v>119</v>
      </c>
    </row>
    <row r="182" spans="1:10" x14ac:dyDescent="0.25">
      <c r="A182" s="4">
        <f t="shared" ca="1" si="5"/>
        <v>179</v>
      </c>
      <c r="B182" s="4" t="s">
        <v>476</v>
      </c>
      <c r="C182" s="4" t="s">
        <v>477</v>
      </c>
      <c r="D182" s="4" t="s">
        <v>117</v>
      </c>
      <c r="E182" s="4" t="s">
        <v>478</v>
      </c>
      <c r="F182" s="4">
        <v>1.0197699999999998</v>
      </c>
      <c r="G182" s="5">
        <v>104.32350000000001</v>
      </c>
      <c r="H182" s="5">
        <v>4.62</v>
      </c>
      <c r="I182" s="5">
        <v>939</v>
      </c>
      <c r="J182" s="4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2025-10-14T04:49:18Z</dcterms:created>
  <dcterms:modified xsi:type="dcterms:W3CDTF">2025-10-14T07:12:07Z</dcterms:modified>
</cp:coreProperties>
</file>