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16102025\"/>
    </mc:Choice>
  </mc:AlternateContent>
  <xr:revisionPtr revIDLastSave="0" documentId="13_ncr:1_{61DAD9DA-1CDD-405A-9FE5-1D63E97F9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B1" i="2"/>
  <c r="C73" i="1"/>
  <c r="G57" i="1"/>
  <c r="F57" i="1"/>
  <c r="E57" i="1"/>
  <c r="G46" i="1"/>
  <c r="F46" i="1"/>
  <c r="E46" i="1"/>
  <c r="M39" i="1"/>
  <c r="H39" i="1"/>
  <c r="M38" i="1"/>
  <c r="M41" i="1" s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B48" i="1" l="1"/>
  <c r="M23" i="1"/>
  <c r="M19" i="1"/>
  <c r="M15" i="1"/>
  <c r="M11" i="1"/>
  <c r="M22" i="1"/>
  <c r="M18" i="1"/>
  <c r="M14" i="1"/>
  <c r="M10" i="1"/>
  <c r="M20" i="1"/>
  <c r="M8" i="1"/>
  <c r="M21" i="1"/>
  <c r="M17" i="1"/>
  <c r="M13" i="1"/>
  <c r="M9" i="1"/>
  <c r="M24" i="1"/>
  <c r="M16" i="1"/>
  <c r="M12" i="1"/>
  <c r="M26" i="1" l="1"/>
</calcChain>
</file>

<file path=xl/sharedStrings.xml><?xml version="1.0" encoding="utf-8"?>
<sst xmlns="http://schemas.openxmlformats.org/spreadsheetml/2006/main" count="1035" uniqueCount="464">
  <si>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</si>
  <si>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</si>
  <si>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</si>
  <si>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</si>
  <si>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</si>
  <si>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</si>
  <si>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</si>
  <si>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</si>
  <si>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</si>
  <si>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</si>
  <si>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</si>
  <si>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</si>
  <si>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</si>
  <si>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</si>
  <si>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</si>
  <si>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</si>
  <si>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</si>
  <si>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</si>
  <si>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</si>
  <si>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</si>
  <si>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</si>
  <si>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</si>
  <si>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</si>
  <si>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</si>
  <si>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</si>
  <si>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</si>
  <si>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</si>
  <si>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</si>
  <si>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</si>
  <si>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</si>
  <si>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</si>
  <si>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</si>
  <si>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</si>
  <si>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</si>
  <si>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</si>
  <si>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</si>
  <si>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</si>
  <si>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</si>
  <si>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</si>
  <si>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</si>
  <si>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</si>
  <si>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</si>
  <si>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</si>
  <si>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</si>
  <si>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</si>
  <si>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</si>
  <si>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</si>
  <si>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</si>
  <si>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</si>
  <si>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</si>
  <si>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</si>
  <si>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</si>
  <si>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</si>
  <si>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</si>
  <si>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</si>
  <si>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</si>
  <si>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</si>
  <si>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</si>
  <si>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</si>
  <si>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</si>
  <si>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</si>
  <si>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</si>
  <si>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</si>
  <si>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</si>
  <si>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</si>
  <si>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</si>
  <si>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</si>
  <si>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</si>
  <si>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</si>
  <si>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15.10.2025</t>
  </si>
  <si>
    <t>16.10.2025</t>
  </si>
  <si>
    <t>АО "Казахстанский фонд устойчивости"</t>
  </si>
  <si>
    <t>KZ2C00006906</t>
  </si>
  <si>
    <t>17.10.2025</t>
  </si>
  <si>
    <t>KZ96601A861038102391</t>
  </si>
  <si>
    <t>KZK200000760</t>
  </si>
  <si>
    <t>14.08.2025</t>
  </si>
  <si>
    <t>07.08.2029</t>
  </si>
  <si>
    <t>KZK200000687</t>
  </si>
  <si>
    <t>18.07.2024</t>
  </si>
  <si>
    <t>21.01.2026</t>
  </si>
  <si>
    <t>KZKD00001137</t>
  </si>
  <si>
    <t>12.04.2028</t>
  </si>
  <si>
    <t>KZKD00001129</t>
  </si>
  <si>
    <t>17.03.2031</t>
  </si>
  <si>
    <t>KZKD00000741</t>
  </si>
  <si>
    <t>12.05.2034</t>
  </si>
  <si>
    <t>KZKD00000832</t>
  </si>
  <si>
    <t>29.01.2035</t>
  </si>
  <si>
    <t>KZK100000373</t>
  </si>
  <si>
    <t>13.03.2025</t>
  </si>
  <si>
    <t>06.02.2026</t>
  </si>
  <si>
    <t>KZKD00000790</t>
  </si>
  <si>
    <t>10.07.2025</t>
  </si>
  <si>
    <t>13.08.2029</t>
  </si>
  <si>
    <t>KZKD00000535</t>
  </si>
  <si>
    <t>27.03.2027</t>
  </si>
  <si>
    <t>KZKD00000949</t>
  </si>
  <si>
    <t>16.04.2032</t>
  </si>
  <si>
    <t>KZKD00000444</t>
  </si>
  <si>
    <t>21.08.2025</t>
  </si>
  <si>
    <t>18.08.2026</t>
  </si>
  <si>
    <t>KZKD00001160</t>
  </si>
  <si>
    <t>28.07.2029</t>
  </si>
  <si>
    <t>KZKD00001152</t>
  </si>
  <si>
    <t>26.07.2032</t>
  </si>
  <si>
    <t>KZKD00000477</t>
  </si>
  <si>
    <t>24.07.2025</t>
  </si>
  <si>
    <t>19.10.2027</t>
  </si>
  <si>
    <t>Евразийский банк развития</t>
  </si>
  <si>
    <t>KZ2D00011863</t>
  </si>
  <si>
    <t>24.09.2024</t>
  </si>
  <si>
    <t>03.09.2027</t>
  </si>
  <si>
    <t>KZKD00001251</t>
  </si>
  <si>
    <t>07.03.2030</t>
  </si>
  <si>
    <t>KZKD00001087</t>
  </si>
  <si>
    <t>31.03.2029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</si>
  <si>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</si>
  <si>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</si>
  <si>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</si>
  <si>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</si>
  <si>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</si>
  <si>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</si>
  <si>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</si>
  <si>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</si>
  <si>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</si>
  <si>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</si>
  <si>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</si>
  <si>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</si>
  <si>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</si>
  <si>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</si>
  <si>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</si>
  <si>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</si>
  <si>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</si>
  <si>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</si>
  <si>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</si>
  <si>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</si>
  <si>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</si>
  <si>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</si>
  <si>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</si>
  <si>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</si>
  <si>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</si>
  <si>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</si>
  <si>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</si>
  <si>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</si>
  <si>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</si>
  <si>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</si>
  <si>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</si>
  <si>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</si>
  <si>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</si>
  <si>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</si>
  <si>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</si>
  <si>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</si>
  <si>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</si>
  <si>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</si>
  <si>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</si>
  <si>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</si>
  <si>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</si>
  <si>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</si>
  <si>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</si>
  <si>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</si>
  <si>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</si>
  <si>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</si>
  <si>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</si>
  <si>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</si>
  <si>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</si>
  <si>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</si>
  <si>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</si>
  <si>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</si>
  <si>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</si>
  <si>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MFDGb1</t>
  </si>
  <si>
    <t>KZ2P00012677</t>
  </si>
  <si>
    <t>KASAb1</t>
  </si>
  <si>
    <t>KZ2C00013753</t>
  </si>
  <si>
    <t>BIGDb2</t>
  </si>
  <si>
    <t>KZ2D00012531</t>
  </si>
  <si>
    <t>MFMOb23</t>
  </si>
  <si>
    <t>KZ2P00013154</t>
  </si>
  <si>
    <t>MFUCb9</t>
  </si>
  <si>
    <t>KZ2P00015431</t>
  </si>
  <si>
    <t>Доллар Сша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</si>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</sst>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5" workbookViewId="0">
      <selection activeCell="F34" sqref="F34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25815956009.283974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897100</v>
      </c>
      <c r="D8" s="17">
        <v>897100000</v>
      </c>
      <c r="E8" s="18">
        <v>17.010000000000002</v>
      </c>
      <c r="F8" s="19" t="s">
        <v>76</v>
      </c>
      <c r="G8" s="19" t="s">
        <v>77</v>
      </c>
      <c r="H8" s="18">
        <v>896985171.20000005</v>
      </c>
      <c r="I8" s="20">
        <v>101.69550000000001</v>
      </c>
      <c r="J8" s="20">
        <v>104.95580000000001</v>
      </c>
      <c r="K8" s="18">
        <v>29247702.75</v>
      </c>
      <c r="L8" s="18">
        <v>941558033.25</v>
      </c>
      <c r="M8" s="21">
        <f t="shared" ref="M8:M24" si="0">L8/$Q$1</f>
        <v>3.6471941341680143E-2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2530000</v>
      </c>
      <c r="D9" s="17">
        <v>2530000000</v>
      </c>
      <c r="E9" s="18">
        <v>10.67</v>
      </c>
      <c r="F9" s="19" t="s">
        <v>79</v>
      </c>
      <c r="G9" s="19" t="s">
        <v>80</v>
      </c>
      <c r="H9" s="18">
        <v>2455119589.9966769</v>
      </c>
      <c r="I9" s="20">
        <v>98.511400000000009</v>
      </c>
      <c r="J9" s="20">
        <v>101.03070000000001</v>
      </c>
      <c r="K9" s="18">
        <v>63738430.555555552</v>
      </c>
      <c r="L9" s="18">
        <v>2556076850.5555549</v>
      </c>
      <c r="M9" s="21">
        <f t="shared" si="0"/>
        <v>9.901151247841973E-2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10.4</v>
      </c>
      <c r="F10" s="19" t="s">
        <v>79</v>
      </c>
      <c r="G10" s="19" t="s">
        <v>82</v>
      </c>
      <c r="H10" s="18">
        <v>1736743800</v>
      </c>
      <c r="I10" s="20">
        <v>87.229300000000009</v>
      </c>
      <c r="J10" s="20">
        <v>92.544899999999998</v>
      </c>
      <c r="K10" s="18">
        <v>100862666.666667</v>
      </c>
      <c r="L10" s="18">
        <v>1756038634.166666</v>
      </c>
      <c r="M10" s="21">
        <f t="shared" si="0"/>
        <v>6.80214450913674E-2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1897500</v>
      </c>
      <c r="D11" s="17">
        <v>1897500000</v>
      </c>
      <c r="E11" s="18">
        <v>10.3</v>
      </c>
      <c r="F11" s="19" t="s">
        <v>79</v>
      </c>
      <c r="G11" s="19" t="s">
        <v>84</v>
      </c>
      <c r="H11" s="18">
        <v>1645329839.996666</v>
      </c>
      <c r="I11" s="20">
        <v>77.118900000000011</v>
      </c>
      <c r="J11" s="20">
        <v>83.098600000000005</v>
      </c>
      <c r="K11" s="18">
        <v>113465229.166667</v>
      </c>
      <c r="L11" s="18">
        <v>1576796356.666666</v>
      </c>
      <c r="M11" s="21">
        <f t="shared" si="0"/>
        <v>6.1078363942811804E-2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1897500</v>
      </c>
      <c r="D12" s="17">
        <v>1897500000</v>
      </c>
      <c r="E12" s="18">
        <v>8.07</v>
      </c>
      <c r="F12" s="19" t="s">
        <v>79</v>
      </c>
      <c r="G12" s="19" t="s">
        <v>86</v>
      </c>
      <c r="H12" s="18">
        <v>1359122325</v>
      </c>
      <c r="I12" s="20">
        <v>60.789300000000004</v>
      </c>
      <c r="J12" s="20">
        <v>64.241500000000002</v>
      </c>
      <c r="K12" s="18">
        <v>65504862.5</v>
      </c>
      <c r="L12" s="18">
        <v>1218981830</v>
      </c>
      <c r="M12" s="21">
        <f t="shared" si="0"/>
        <v>4.7218155684865121E-2</v>
      </c>
      <c r="O12" s="10">
        <v>749863.88888888899</v>
      </c>
    </row>
    <row r="13" spans="1:17" x14ac:dyDescent="0.2">
      <c r="A13" s="15" t="s">
        <v>66</v>
      </c>
      <c r="B13" s="15" t="s">
        <v>87</v>
      </c>
      <c r="C13" s="16">
        <v>1897500</v>
      </c>
      <c r="D13" s="17">
        <v>1897500000</v>
      </c>
      <c r="E13" s="18">
        <v>8.07</v>
      </c>
      <c r="F13" s="19" t="s">
        <v>79</v>
      </c>
      <c r="G13" s="19" t="s">
        <v>88</v>
      </c>
      <c r="H13" s="18">
        <v>1338524962.5</v>
      </c>
      <c r="I13" s="20">
        <v>59.316600000000001</v>
      </c>
      <c r="J13" s="20">
        <v>65.077700000000007</v>
      </c>
      <c r="K13" s="18">
        <v>109316556.25</v>
      </c>
      <c r="L13" s="18">
        <v>1234849041.25</v>
      </c>
      <c r="M13" s="21">
        <f t="shared" si="0"/>
        <v>4.7832783756135998E-2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11424000</v>
      </c>
      <c r="D14" s="17">
        <v>1142400000</v>
      </c>
      <c r="E14" s="18">
        <v>0</v>
      </c>
      <c r="F14" s="19" t="s">
        <v>90</v>
      </c>
      <c r="G14" s="19" t="s">
        <v>91</v>
      </c>
      <c r="H14" s="18">
        <v>1003902278.4</v>
      </c>
      <c r="I14" s="20">
        <v>95.256600000000006</v>
      </c>
      <c r="J14" s="20">
        <v>95.256600000000006</v>
      </c>
      <c r="K14" s="18"/>
      <c r="L14" s="18">
        <v>1088211398.4000001</v>
      </c>
      <c r="M14" s="21">
        <f t="shared" si="0"/>
        <v>4.2152667056321903E-2</v>
      </c>
      <c r="O14" s="10">
        <v>749863.88888888899</v>
      </c>
    </row>
    <row r="15" spans="1:17" x14ac:dyDescent="0.2">
      <c r="A15" s="15" t="s">
        <v>66</v>
      </c>
      <c r="B15" s="15" t="s">
        <v>92</v>
      </c>
      <c r="C15" s="16">
        <v>2469500</v>
      </c>
      <c r="D15" s="17">
        <v>2469500000</v>
      </c>
      <c r="E15" s="18">
        <v>7.68</v>
      </c>
      <c r="F15" s="19" t="s">
        <v>93</v>
      </c>
      <c r="G15" s="19" t="s">
        <v>94</v>
      </c>
      <c r="H15" s="18">
        <v>1827657194</v>
      </c>
      <c r="I15" s="20">
        <v>75.092399999999998</v>
      </c>
      <c r="J15" s="20">
        <v>76.436400000000006</v>
      </c>
      <c r="K15" s="18">
        <v>33190080</v>
      </c>
      <c r="L15" s="18">
        <v>1887596898</v>
      </c>
      <c r="M15" s="21">
        <f t="shared" si="0"/>
        <v>7.3117450979587176E-2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3162500</v>
      </c>
      <c r="D16" s="17">
        <v>3162500000</v>
      </c>
      <c r="E16" s="18">
        <v>5.49</v>
      </c>
      <c r="F16" s="19" t="s">
        <v>79</v>
      </c>
      <c r="G16" s="19" t="s">
        <v>96</v>
      </c>
      <c r="H16" s="18">
        <v>2627740225</v>
      </c>
      <c r="I16" s="20">
        <v>86.200699999999998</v>
      </c>
      <c r="J16" s="20">
        <v>89.235500000000002</v>
      </c>
      <c r="K16" s="18">
        <v>95973968.75</v>
      </c>
      <c r="L16" s="18">
        <v>2822071106.25</v>
      </c>
      <c r="M16" s="21">
        <f t="shared" si="0"/>
        <v>0.10931499516171791</v>
      </c>
      <c r="O16" s="10">
        <v>749863.88888888899</v>
      </c>
    </row>
    <row r="17" spans="1:15" x14ac:dyDescent="0.2">
      <c r="A17" s="15" t="s">
        <v>66</v>
      </c>
      <c r="B17" s="15" t="s">
        <v>97</v>
      </c>
      <c r="C17" s="16">
        <v>1897500</v>
      </c>
      <c r="D17" s="17">
        <v>1897500000</v>
      </c>
      <c r="E17" s="18">
        <v>8.4499999999999993</v>
      </c>
      <c r="F17" s="19" t="s">
        <v>79</v>
      </c>
      <c r="G17" s="19" t="s">
        <v>98</v>
      </c>
      <c r="H17" s="18">
        <v>1457889097.496666</v>
      </c>
      <c r="I17" s="20">
        <v>67.495500000000007</v>
      </c>
      <c r="J17" s="20">
        <v>71.720500000000001</v>
      </c>
      <c r="K17" s="18">
        <v>80169375</v>
      </c>
      <c r="L17" s="18">
        <v>1360896487.5</v>
      </c>
      <c r="M17" s="21">
        <f t="shared" si="0"/>
        <v>5.2715324081377898E-2</v>
      </c>
      <c r="O17" s="10">
        <v>749863.88888888899</v>
      </c>
    </row>
    <row r="18" spans="1:15" x14ac:dyDescent="0.2">
      <c r="A18" s="15" t="s">
        <v>66</v>
      </c>
      <c r="B18" s="15" t="s">
        <v>99</v>
      </c>
      <c r="C18" s="16">
        <v>1106600</v>
      </c>
      <c r="D18" s="17">
        <v>1106600000</v>
      </c>
      <c r="E18" s="18">
        <v>5.5</v>
      </c>
      <c r="F18" s="19" t="s">
        <v>100</v>
      </c>
      <c r="G18" s="19" t="s">
        <v>101</v>
      </c>
      <c r="H18" s="18">
        <v>999478906.79999995</v>
      </c>
      <c r="I18" s="20">
        <v>91.616500000000002</v>
      </c>
      <c r="J18" s="20">
        <v>92.502600000000001</v>
      </c>
      <c r="K18" s="18">
        <v>9805705.5555555504</v>
      </c>
      <c r="L18" s="18">
        <v>1023633894.55556</v>
      </c>
      <c r="M18" s="21">
        <f t="shared" si="0"/>
        <v>3.9651210057355196E-2</v>
      </c>
      <c r="O18" s="10">
        <v>749863.88888888899</v>
      </c>
    </row>
    <row r="19" spans="1:15" x14ac:dyDescent="0.2">
      <c r="A19" s="15" t="s">
        <v>66</v>
      </c>
      <c r="B19" s="15" t="s">
        <v>102</v>
      </c>
      <c r="C19" s="16">
        <v>1897500</v>
      </c>
      <c r="D19" s="17">
        <v>1897500000</v>
      </c>
      <c r="E19" s="18">
        <v>10.55</v>
      </c>
      <c r="F19" s="19" t="s">
        <v>79</v>
      </c>
      <c r="G19" s="19" t="s">
        <v>103</v>
      </c>
      <c r="H19" s="18">
        <v>1708326839.9966669</v>
      </c>
      <c r="I19" s="20">
        <v>82.827399999999997</v>
      </c>
      <c r="J19" s="20">
        <v>85.113200000000006</v>
      </c>
      <c r="K19" s="18">
        <v>43373687.5</v>
      </c>
      <c r="L19" s="18">
        <v>1615023602.5</v>
      </c>
      <c r="M19" s="21">
        <f t="shared" si="0"/>
        <v>6.2559124361662333E-2</v>
      </c>
      <c r="O19" s="10">
        <v>749863.88888888899</v>
      </c>
    </row>
    <row r="20" spans="1:15" x14ac:dyDescent="0.2">
      <c r="A20" s="15" t="s">
        <v>66</v>
      </c>
      <c r="B20" s="15" t="s">
        <v>104</v>
      </c>
      <c r="C20" s="16">
        <v>1897500</v>
      </c>
      <c r="D20" s="17">
        <v>1897500000</v>
      </c>
      <c r="E20" s="18">
        <v>10.65</v>
      </c>
      <c r="F20" s="19" t="s">
        <v>79</v>
      </c>
      <c r="G20" s="19" t="s">
        <v>105</v>
      </c>
      <c r="H20" s="18">
        <v>1648500562.5</v>
      </c>
      <c r="I20" s="20">
        <v>75.220200000000006</v>
      </c>
      <c r="J20" s="20">
        <v>77.5869</v>
      </c>
      <c r="K20" s="18">
        <v>44907500</v>
      </c>
      <c r="L20" s="18">
        <v>1472210795</v>
      </c>
      <c r="M20" s="21">
        <f t="shared" si="0"/>
        <v>5.7027165465829012E-2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2391500</v>
      </c>
      <c r="D21" s="17">
        <v>2391500000</v>
      </c>
      <c r="E21" s="18">
        <v>5.3</v>
      </c>
      <c r="F21" s="19" t="s">
        <v>107</v>
      </c>
      <c r="G21" s="19" t="s">
        <v>108</v>
      </c>
      <c r="H21" s="18">
        <v>1903079172</v>
      </c>
      <c r="I21" s="20">
        <v>81.401700000000005</v>
      </c>
      <c r="J21" s="20">
        <v>86.657499999999999</v>
      </c>
      <c r="K21" s="18">
        <v>125693254.166667</v>
      </c>
      <c r="L21" s="18">
        <v>2072414909.6666701</v>
      </c>
      <c r="M21" s="21">
        <f t="shared" si="0"/>
        <v>8.0276512282612553E-2</v>
      </c>
      <c r="O21" s="10">
        <v>749863.88888888899</v>
      </c>
    </row>
    <row r="22" spans="1:15" x14ac:dyDescent="0.2">
      <c r="A22" s="15" t="s">
        <v>109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94.637104690000001</v>
      </c>
      <c r="J22" s="20">
        <v>96.345204690000003</v>
      </c>
      <c r="K22" s="18">
        <v>16947907.96111111</v>
      </c>
      <c r="L22" s="18">
        <v>955969437.35618699</v>
      </c>
      <c r="M22" s="21">
        <f t="shared" si="0"/>
        <v>3.7030177654951063E-2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550000</v>
      </c>
      <c r="D23" s="17">
        <v>550000000</v>
      </c>
      <c r="E23" s="18">
        <v>12</v>
      </c>
      <c r="F23" s="19" t="s">
        <v>90</v>
      </c>
      <c r="G23" s="19" t="s">
        <v>114</v>
      </c>
      <c r="H23" s="18">
        <v>491343050</v>
      </c>
      <c r="I23" s="20">
        <v>85.0565</v>
      </c>
      <c r="J23" s="20">
        <v>92.356500000000011</v>
      </c>
      <c r="K23" s="18">
        <v>40149999.999999993</v>
      </c>
      <c r="L23" s="18">
        <v>507960750</v>
      </c>
      <c r="M23" s="21">
        <f t="shared" si="0"/>
        <v>1.9676232397410592E-2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11</v>
      </c>
      <c r="F24" s="19" t="s">
        <v>79</v>
      </c>
      <c r="G24" s="19" t="s">
        <v>116</v>
      </c>
      <c r="H24" s="18">
        <v>1743261712.5</v>
      </c>
      <c r="I24" s="20">
        <v>84.955300000000008</v>
      </c>
      <c r="J24" s="20">
        <v>90.944200000000009</v>
      </c>
      <c r="K24" s="18">
        <v>113639166.666667</v>
      </c>
      <c r="L24" s="18">
        <v>1725665984.166666</v>
      </c>
      <c r="M24" s="21">
        <f t="shared" si="0"/>
        <v>6.6844938205894031E-2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1085986093.4888902</v>
      </c>
      <c r="L26" s="23">
        <f>SUM(L8:L25)</f>
        <v>25815956009.283974</v>
      </c>
      <c r="M26" s="26">
        <f>SUM(M8:M25)</f>
        <v>0.99999999999999978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383300.06</v>
      </c>
    </row>
    <row r="30" spans="1:15" x14ac:dyDescent="0.2">
      <c r="A30" s="29" t="s">
        <v>74</v>
      </c>
      <c r="B30" s="30">
        <v>383300.06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3923720</v>
      </c>
      <c r="D35" s="32" t="s">
        <v>68</v>
      </c>
      <c r="E35" s="34" t="s">
        <v>69</v>
      </c>
      <c r="F35" s="34" t="s">
        <v>70</v>
      </c>
      <c r="G35" s="35">
        <v>536.66700000000003</v>
      </c>
      <c r="H35" s="35">
        <f>J35/C35</f>
        <v>536.91695596270893</v>
      </c>
      <c r="I35" s="36">
        <v>2105731041.24</v>
      </c>
      <c r="J35" s="36">
        <v>2106711798.45</v>
      </c>
      <c r="K35" s="37">
        <v>17.0001</v>
      </c>
      <c r="L35" s="37">
        <v>980757.21</v>
      </c>
      <c r="M35" s="31">
        <f>I35+L35</f>
        <v>2106711798.45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24232</v>
      </c>
      <c r="D36" s="32" t="s">
        <v>68</v>
      </c>
      <c r="E36" s="34" t="s">
        <v>69</v>
      </c>
      <c r="F36" s="34" t="s">
        <v>70</v>
      </c>
      <c r="G36" s="35">
        <v>536.66699983492902</v>
      </c>
      <c r="H36" s="35">
        <f>J36/C36</f>
        <v>536.9169556784417</v>
      </c>
      <c r="I36" s="36">
        <v>13004514.739999991</v>
      </c>
      <c r="J36" s="36">
        <v>13010571.67</v>
      </c>
      <c r="K36" s="37">
        <v>17.0001</v>
      </c>
      <c r="L36" s="37">
        <v>6056.93</v>
      </c>
      <c r="M36" s="31">
        <f>I36+L36</f>
        <v>13010571.669999991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1864</v>
      </c>
      <c r="D37" s="32" t="s">
        <v>68</v>
      </c>
      <c r="E37" s="34" t="s">
        <v>69</v>
      </c>
      <c r="F37" s="34" t="s">
        <v>70</v>
      </c>
      <c r="G37" s="35">
        <v>536.66700107296106</v>
      </c>
      <c r="H37" s="35">
        <f>J37/C37</f>
        <v>536.91695815450646</v>
      </c>
      <c r="I37" s="36">
        <v>1000347.29</v>
      </c>
      <c r="J37" s="36">
        <v>1000813.21</v>
      </c>
      <c r="K37" s="37">
        <v>17.0001</v>
      </c>
      <c r="L37" s="37">
        <v>465.92</v>
      </c>
      <c r="M37" s="31">
        <f>I37+L37</f>
        <v>1000813.2100000001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72</v>
      </c>
      <c r="C38" s="33">
        <v>2204982</v>
      </c>
      <c r="D38" s="32" t="s">
        <v>68</v>
      </c>
      <c r="E38" s="34" t="s">
        <v>70</v>
      </c>
      <c r="F38" s="34" t="s">
        <v>73</v>
      </c>
      <c r="G38" s="35">
        <v>955.71800000181406</v>
      </c>
      <c r="H38" s="35">
        <f>J38/C38</f>
        <v>956.16312893257179</v>
      </c>
      <c r="I38" s="36">
        <v>2107340987.0799999</v>
      </c>
      <c r="J38" s="36">
        <v>2108322488.3599999</v>
      </c>
      <c r="K38" s="37">
        <v>17</v>
      </c>
      <c r="L38" s="37"/>
      <c r="M38" s="31">
        <f>I38+L38</f>
        <v>2107340987.0799999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72</v>
      </c>
      <c r="C39" s="33">
        <v>13611</v>
      </c>
      <c r="D39" s="32" t="s">
        <v>68</v>
      </c>
      <c r="E39" s="34" t="s">
        <v>70</v>
      </c>
      <c r="F39" s="34" t="s">
        <v>73</v>
      </c>
      <c r="G39" s="35">
        <v>955.71800014694008</v>
      </c>
      <c r="H39" s="35">
        <f>J39/C39</f>
        <v>956.16312908676798</v>
      </c>
      <c r="I39" s="36">
        <v>13008277.699999999</v>
      </c>
      <c r="J39" s="36">
        <v>13014336.35</v>
      </c>
      <c r="K39" s="37">
        <v>17</v>
      </c>
      <c r="L39" s="37"/>
      <c r="M39" s="31">
        <f>I39+L39</f>
        <v>13008277.699999999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2120349264.78</v>
      </c>
      <c r="O41" s="41"/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27936688574.123974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55" t="s">
        <v>48</v>
      </c>
      <c r="B53" s="55"/>
      <c r="C53" s="55"/>
      <c r="D53" s="55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6"/>
      <c r="B56" s="56"/>
      <c r="C56" s="56"/>
      <c r="D56" s="56"/>
      <c r="E56" s="56"/>
      <c r="F56" s="56"/>
      <c r="G56" s="56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7"/>
    </row>
    <row r="59" spans="1:15" x14ac:dyDescent="0.2">
      <c r="A59" s="55" t="s">
        <v>49</v>
      </c>
      <c r="B59" s="55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6" t="s">
        <v>53</v>
      </c>
      <c r="C63" s="58">
        <v>2299715.86</v>
      </c>
      <c r="D63" s="24"/>
      <c r="E63" s="54"/>
      <c r="O63" s="9"/>
    </row>
    <row r="64" spans="1:15" x14ac:dyDescent="0.2">
      <c r="A64" s="24">
        <v>2</v>
      </c>
      <c r="B64" s="56" t="s">
        <v>54</v>
      </c>
      <c r="C64" s="58">
        <v>0</v>
      </c>
      <c r="D64" s="24"/>
      <c r="E64" s="54"/>
      <c r="O64" s="9"/>
    </row>
    <row r="65" spans="1:15" x14ac:dyDescent="0.2">
      <c r="A65" s="24">
        <v>3</v>
      </c>
      <c r="B65" s="56" t="s">
        <v>55</v>
      </c>
      <c r="C65" s="58">
        <v>480719.35</v>
      </c>
      <c r="D65" s="24"/>
      <c r="F65" s="54"/>
      <c r="O65" s="9"/>
    </row>
    <row r="66" spans="1:15" x14ac:dyDescent="0.2">
      <c r="A66" s="24">
        <v>4</v>
      </c>
      <c r="B66" s="56" t="s">
        <v>56</v>
      </c>
      <c r="C66" s="58">
        <v>0</v>
      </c>
      <c r="D66" s="24"/>
      <c r="O66" s="9"/>
    </row>
    <row r="67" spans="1:15" ht="22.5" x14ac:dyDescent="0.2">
      <c r="A67" s="24">
        <v>5</v>
      </c>
      <c r="B67" s="59" t="s">
        <v>57</v>
      </c>
      <c r="C67" s="58">
        <v>365760.98</v>
      </c>
      <c r="D67" s="24"/>
      <c r="F67" s="54"/>
      <c r="O67" s="9"/>
    </row>
    <row r="68" spans="1:15" x14ac:dyDescent="0.2">
      <c r="A68" s="24">
        <v>6</v>
      </c>
      <c r="B68" s="56" t="s">
        <v>58</v>
      </c>
      <c r="C68" s="58">
        <v>140834.89000000001</v>
      </c>
      <c r="D68" s="58"/>
      <c r="O68" s="9"/>
    </row>
    <row r="69" spans="1:15" x14ac:dyDescent="0.2">
      <c r="A69" s="24">
        <v>7</v>
      </c>
      <c r="B69" s="56" t="s">
        <v>59</v>
      </c>
      <c r="C69" s="58">
        <v>71346.570000000007</v>
      </c>
      <c r="D69" s="58"/>
      <c r="O69" s="9"/>
    </row>
    <row r="70" spans="1:15" x14ac:dyDescent="0.2">
      <c r="A70" s="24">
        <v>8</v>
      </c>
      <c r="B70" s="56" t="s">
        <v>60</v>
      </c>
      <c r="C70" s="58">
        <v>0</v>
      </c>
      <c r="D70" s="24"/>
      <c r="O70" s="9"/>
    </row>
    <row r="71" spans="1:15" ht="22.5" x14ac:dyDescent="0.2">
      <c r="A71" s="24">
        <v>9</v>
      </c>
      <c r="B71" s="59" t="s">
        <v>61</v>
      </c>
      <c r="C71" s="58">
        <v>0</v>
      </c>
      <c r="D71" s="24"/>
      <c r="O71" s="9"/>
    </row>
    <row r="72" spans="1:15" ht="22.5" x14ac:dyDescent="0.2">
      <c r="A72" s="24">
        <v>10</v>
      </c>
      <c r="B72" s="59" t="s">
        <v>62</v>
      </c>
      <c r="C72" s="58">
        <v>0</v>
      </c>
      <c r="D72" s="24"/>
      <c r="E72" s="54"/>
      <c r="O72" s="9"/>
    </row>
    <row r="73" spans="1:15" x14ac:dyDescent="0.2">
      <c r="A73" s="60" t="s">
        <v>63</v>
      </c>
      <c r="B73" s="60"/>
      <c r="C73" s="61">
        <f>SUM(C63:C72)</f>
        <v>3358377.65</v>
      </c>
      <c r="D73" s="56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16.10.2025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1065.7830000000001</v>
      </c>
      <c r="G5" s="5">
        <v>108.35050000000001</v>
      </c>
      <c r="H5" s="5">
        <v>18.47</v>
      </c>
      <c r="I5" s="5">
        <v>884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1478.92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591846.63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124</v>
      </c>
      <c r="E9" s="4" t="s">
        <v>131</v>
      </c>
      <c r="F9" s="4">
        <v>0.93843799999999999</v>
      </c>
      <c r="G9" s="5">
        <v>96.670900000000003</v>
      </c>
      <c r="H9" s="5">
        <v>6.28</v>
      </c>
      <c r="I9" s="5">
        <v>7856</v>
      </c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168.53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5523.73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6065104.9900000002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119</v>
      </c>
      <c r="E13" s="4" t="s">
        <v>131</v>
      </c>
      <c r="F13" s="4">
        <v>130.74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1788232.6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74280.290000000008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75161.850000000006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53628.79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7.2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124</v>
      </c>
      <c r="E19" s="4" t="s">
        <v>131</v>
      </c>
      <c r="F19" s="4">
        <v>1000</v>
      </c>
      <c r="G19" s="5">
        <v>107.19070000000001</v>
      </c>
      <c r="H19" s="5">
        <v>17.47</v>
      </c>
      <c r="I19" s="5">
        <v>1130</v>
      </c>
      <c r="J19" s="4" t="s">
        <v>125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124</v>
      </c>
      <c r="E20" s="4" t="s">
        <v>131</v>
      </c>
      <c r="F20" s="4">
        <v>997.36800000000005</v>
      </c>
      <c r="G20" s="5">
        <v>99.866200000000006</v>
      </c>
      <c r="H20" s="5">
        <v>26.74</v>
      </c>
      <c r="I20" s="5">
        <v>30</v>
      </c>
      <c r="J20" s="4" t="s">
        <v>125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124</v>
      </c>
      <c r="E21" s="4" t="s">
        <v>131</v>
      </c>
      <c r="F21" s="4">
        <v>1000</v>
      </c>
      <c r="G21" s="5">
        <v>100.09610000000001</v>
      </c>
      <c r="H21" s="5">
        <v>17.29</v>
      </c>
      <c r="I21" s="5">
        <v>729</v>
      </c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124</v>
      </c>
      <c r="E22" s="4" t="s">
        <v>131</v>
      </c>
      <c r="F22" s="4">
        <v>1000</v>
      </c>
      <c r="G22" s="5">
        <v>104.5702</v>
      </c>
      <c r="H22" s="5">
        <v>17.66</v>
      </c>
      <c r="I22" s="5">
        <v>1916</v>
      </c>
      <c r="J22" s="4" t="s">
        <v>125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124</v>
      </c>
      <c r="E23" s="4" t="s">
        <v>131</v>
      </c>
      <c r="F23" s="4">
        <v>993</v>
      </c>
      <c r="G23" s="5">
        <v>108.1986</v>
      </c>
      <c r="H23" s="5">
        <v>22.17</v>
      </c>
      <c r="I23" s="5">
        <v>398</v>
      </c>
      <c r="J23" s="4" t="s">
        <v>125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124</v>
      </c>
      <c r="E24" s="4" t="s">
        <v>131</v>
      </c>
      <c r="F24" s="4">
        <v>999.86300000000006</v>
      </c>
      <c r="G24" s="5">
        <v>104.9432</v>
      </c>
      <c r="H24" s="5">
        <v>21.51</v>
      </c>
      <c r="I24" s="5">
        <v>100</v>
      </c>
      <c r="J24" s="4" t="s">
        <v>125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1000</v>
      </c>
      <c r="G25" s="5">
        <v>102.1011</v>
      </c>
      <c r="H25" s="5">
        <v>17.57</v>
      </c>
      <c r="I25" s="5">
        <v>1600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119</v>
      </c>
      <c r="E26" s="4" t="s">
        <v>131</v>
      </c>
      <c r="F26" s="4">
        <v>1497.03</v>
      </c>
      <c r="G26" s="5"/>
      <c r="H26" s="5"/>
      <c r="I26" s="5"/>
      <c r="J26" s="4" t="s">
        <v>121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124</v>
      </c>
      <c r="E27" s="4" t="s">
        <v>131</v>
      </c>
      <c r="F27" s="4">
        <v>990.07500000000005</v>
      </c>
      <c r="G27" s="5">
        <v>102.49080000000001</v>
      </c>
      <c r="H27" s="5">
        <v>23.02</v>
      </c>
      <c r="I27" s="5">
        <v>400</v>
      </c>
      <c r="J27" s="4" t="s">
        <v>125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124</v>
      </c>
      <c r="E28" s="4" t="s">
        <v>131</v>
      </c>
      <c r="F28" s="4">
        <v>1009.808</v>
      </c>
      <c r="G28" s="5">
        <v>103.43640000000001</v>
      </c>
      <c r="H28" s="5">
        <v>6.09</v>
      </c>
      <c r="I28" s="5">
        <v>958</v>
      </c>
      <c r="J28" s="4" t="s">
        <v>125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101.99990000000001</v>
      </c>
      <c r="G29" s="5">
        <v>105.45820000000001</v>
      </c>
      <c r="H29" s="5">
        <v>5.49</v>
      </c>
      <c r="I29" s="5">
        <v>381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825.49</v>
      </c>
      <c r="G30" s="5">
        <v>82.549000000000007</v>
      </c>
      <c r="H30" s="5">
        <v>36.69</v>
      </c>
      <c r="I30" s="5">
        <v>578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119</v>
      </c>
      <c r="E31" s="4" t="s">
        <v>131</v>
      </c>
      <c r="F31" s="4">
        <v>89.21</v>
      </c>
      <c r="G31" s="5">
        <v>89.21220000000001</v>
      </c>
      <c r="H31" s="5"/>
      <c r="I31" s="5"/>
      <c r="J31" s="4" t="s">
        <v>180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131</v>
      </c>
      <c r="F32" s="4">
        <v>971.41800000000001</v>
      </c>
      <c r="G32" s="5">
        <v>98.075100000000006</v>
      </c>
      <c r="H32" s="5">
        <v>24.13</v>
      </c>
      <c r="I32" s="5">
        <v>380</v>
      </c>
      <c r="J32" s="4" t="s">
        <v>125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131</v>
      </c>
      <c r="F33" s="4">
        <v>803.05</v>
      </c>
      <c r="G33" s="5">
        <v>81.873699999999999</v>
      </c>
      <c r="H33" s="5">
        <v>32.869999999999997</v>
      </c>
      <c r="I33" s="5">
        <v>979</v>
      </c>
      <c r="J33" s="4" t="s">
        <v>125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131</v>
      </c>
      <c r="F34" s="4">
        <v>963.97700000000009</v>
      </c>
      <c r="G34" s="5">
        <v>97.717100000000002</v>
      </c>
      <c r="H34" s="5">
        <v>23.02</v>
      </c>
      <c r="I34" s="5">
        <v>371</v>
      </c>
      <c r="J34" s="4" t="s">
        <v>125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131</v>
      </c>
      <c r="F35" s="4">
        <v>966.20300000000009</v>
      </c>
      <c r="G35" s="5">
        <v>97.570300000000003</v>
      </c>
      <c r="H35" s="5">
        <v>20.87</v>
      </c>
      <c r="I35" s="5">
        <v>835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131</v>
      </c>
      <c r="F36" s="4">
        <v>819.79100000000005</v>
      </c>
      <c r="G36" s="5">
        <v>83.554100000000005</v>
      </c>
      <c r="H36" s="5">
        <v>950</v>
      </c>
      <c r="I36" s="5">
        <v>4</v>
      </c>
      <c r="J36" s="4" t="s">
        <v>125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131</v>
      </c>
      <c r="F37" s="4">
        <v>989.61800000000005</v>
      </c>
      <c r="G37" s="5">
        <v>99.195100000000011</v>
      </c>
      <c r="H37" s="5">
        <v>21.56</v>
      </c>
      <c r="I37" s="5">
        <v>879</v>
      </c>
      <c r="J37" s="4" t="s">
        <v>125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131</v>
      </c>
      <c r="F38" s="4">
        <v>1004.648</v>
      </c>
      <c r="G38" s="5">
        <v>107.88560000000001</v>
      </c>
      <c r="H38" s="5">
        <v>19.09</v>
      </c>
      <c r="I38" s="5">
        <v>591</v>
      </c>
      <c r="J38" s="4" t="s">
        <v>125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131</v>
      </c>
      <c r="F39" s="4">
        <v>1000</v>
      </c>
      <c r="G39" s="5">
        <v>103.61880000000001</v>
      </c>
      <c r="H39" s="5">
        <v>16.899999999999999</v>
      </c>
      <c r="I39" s="5">
        <v>1384</v>
      </c>
      <c r="J39" s="4" t="s">
        <v>125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131</v>
      </c>
      <c r="F40" s="4">
        <v>999.24300000000005</v>
      </c>
      <c r="G40" s="5">
        <v>99.987200000000001</v>
      </c>
      <c r="H40" s="5">
        <v>22.68</v>
      </c>
      <c r="I40" s="5">
        <v>669</v>
      </c>
      <c r="J40" s="4" t="s">
        <v>125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131</v>
      </c>
      <c r="F41" s="4">
        <v>989.54700000000003</v>
      </c>
      <c r="G41" s="5">
        <v>100.06580000000001</v>
      </c>
      <c r="H41" s="5">
        <v>22.11</v>
      </c>
      <c r="I41" s="5">
        <v>193</v>
      </c>
      <c r="J41" s="4" t="s">
        <v>125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131</v>
      </c>
      <c r="F42" s="4">
        <v>1011.0410000000001</v>
      </c>
      <c r="G42" s="5">
        <v>102.1041</v>
      </c>
      <c r="H42" s="5">
        <v>21.92</v>
      </c>
      <c r="I42" s="5">
        <v>898</v>
      </c>
      <c r="J42" s="4" t="s">
        <v>125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119</v>
      </c>
      <c r="E43" s="4" t="s">
        <v>131</v>
      </c>
      <c r="F43" s="4">
        <v>100.76</v>
      </c>
      <c r="G43" s="5"/>
      <c r="H43" s="5"/>
      <c r="I43" s="5"/>
      <c r="J43" s="4" t="s">
        <v>180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131</v>
      </c>
      <c r="F44" s="4">
        <v>926.8</v>
      </c>
      <c r="G44" s="5">
        <v>93.73</v>
      </c>
      <c r="H44" s="5">
        <v>25.02</v>
      </c>
      <c r="I44" s="5">
        <v>895</v>
      </c>
      <c r="J44" s="4" t="s">
        <v>125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131</v>
      </c>
      <c r="F45" s="4">
        <v>985.80200000000002</v>
      </c>
      <c r="G45" s="5">
        <v>99.746900000000011</v>
      </c>
      <c r="H45" s="5">
        <v>22.01</v>
      </c>
      <c r="I45" s="5">
        <v>619</v>
      </c>
      <c r="J45" s="4" t="s">
        <v>125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124</v>
      </c>
      <c r="E46" s="4" t="s">
        <v>131</v>
      </c>
      <c r="F46" s="4">
        <v>768.85</v>
      </c>
      <c r="G46" s="5">
        <v>77.523899999999998</v>
      </c>
      <c r="H46" s="5">
        <v>116.39</v>
      </c>
      <c r="I46" s="5">
        <v>114</v>
      </c>
      <c r="J46" s="4" t="s">
        <v>125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124</v>
      </c>
      <c r="E47" s="4" t="s">
        <v>131</v>
      </c>
      <c r="F47" s="4">
        <v>993.67100000000005</v>
      </c>
      <c r="G47" s="5">
        <v>99.672700000000006</v>
      </c>
      <c r="H47" s="5">
        <v>22.43</v>
      </c>
      <c r="I47" s="5">
        <v>665</v>
      </c>
      <c r="J47" s="4" t="s">
        <v>125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992.495</v>
      </c>
      <c r="G48" s="5">
        <v>100.10510000000001</v>
      </c>
      <c r="H48" s="5">
        <v>22.53</v>
      </c>
      <c r="I48" s="5">
        <v>625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99.998900000000006</v>
      </c>
      <c r="G49" s="5">
        <v>100.43220000000001</v>
      </c>
      <c r="H49" s="5">
        <v>12</v>
      </c>
      <c r="I49" s="5">
        <v>626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986.55600000000004</v>
      </c>
      <c r="G50" s="5">
        <v>106.0445</v>
      </c>
      <c r="H50" s="5">
        <v>18.88</v>
      </c>
      <c r="I50" s="5">
        <v>395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970.13300000000004</v>
      </c>
      <c r="G51" s="5">
        <v>98.18</v>
      </c>
      <c r="H51" s="5">
        <v>22.49</v>
      </c>
      <c r="I51" s="5">
        <v>985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1003.437</v>
      </c>
      <c r="G52" s="5">
        <v>101.93810000000001</v>
      </c>
      <c r="H52" s="5">
        <v>20.23</v>
      </c>
      <c r="I52" s="5">
        <v>703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119</v>
      </c>
      <c r="E53" s="4" t="s">
        <v>225</v>
      </c>
      <c r="F53" s="4">
        <v>39541.67</v>
      </c>
      <c r="G53" s="5"/>
      <c r="H53" s="5"/>
      <c r="I53" s="5"/>
      <c r="J53" s="4" t="s">
        <v>121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119</v>
      </c>
      <c r="E54" s="4" t="s">
        <v>225</v>
      </c>
      <c r="F54" s="4">
        <v>30763.81</v>
      </c>
      <c r="G54" s="5"/>
      <c r="H54" s="5"/>
      <c r="I54" s="5"/>
      <c r="J54" s="4" t="s">
        <v>121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124</v>
      </c>
      <c r="E55" s="4" t="s">
        <v>230</v>
      </c>
      <c r="F55" s="4">
        <v>16503.900000000001</v>
      </c>
      <c r="G55" s="5">
        <v>1650.3920000000001</v>
      </c>
      <c r="H55" s="5"/>
      <c r="I55" s="5">
        <v>162</v>
      </c>
      <c r="J55" s="4" t="s">
        <v>125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119</v>
      </c>
      <c r="E56" s="4" t="s">
        <v>233</v>
      </c>
      <c r="F56" s="4">
        <v>21989.759999999998</v>
      </c>
      <c r="G56" s="5"/>
      <c r="H56" s="5"/>
      <c r="I56" s="5"/>
      <c r="J56" s="4" t="s">
        <v>121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124</v>
      </c>
      <c r="E57" s="4" t="s">
        <v>233</v>
      </c>
      <c r="F57" s="4">
        <v>999.72800000000007</v>
      </c>
      <c r="G57" s="5">
        <v>103.01860000000001</v>
      </c>
      <c r="H57" s="5">
        <v>6.38</v>
      </c>
      <c r="I57" s="5">
        <v>8410</v>
      </c>
      <c r="J57" s="4" t="s">
        <v>125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119</v>
      </c>
      <c r="E58" s="4" t="s">
        <v>238</v>
      </c>
      <c r="F58" s="4">
        <v>3335.45</v>
      </c>
      <c r="G58" s="5"/>
      <c r="H58" s="5"/>
      <c r="I58" s="5"/>
      <c r="J58" s="4" t="s">
        <v>121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124</v>
      </c>
      <c r="E59" s="4" t="s">
        <v>241</v>
      </c>
      <c r="F59" s="4">
        <v>0.970136</v>
      </c>
      <c r="G59" s="5">
        <v>97.946899999999999</v>
      </c>
      <c r="H59" s="5">
        <v>5</v>
      </c>
      <c r="I59" s="5">
        <v>378</v>
      </c>
      <c r="J59" s="4" t="s">
        <v>125</v>
      </c>
    </row>
    <row r="60" spans="1:10" x14ac:dyDescent="0.25">
      <c r="A60" s="4">
        <f t="shared" ca="1" si="1"/>
        <v>57</v>
      </c>
      <c r="B60" s="4" t="s">
        <v>242</v>
      </c>
      <c r="C60" s="4" t="s">
        <v>243</v>
      </c>
      <c r="D60" s="4" t="s">
        <v>119</v>
      </c>
      <c r="E60" s="4" t="s">
        <v>244</v>
      </c>
      <c r="F60" s="4">
        <v>7831.81</v>
      </c>
      <c r="G60" s="5"/>
      <c r="H60" s="5"/>
      <c r="I60" s="5"/>
      <c r="J60" s="4" t="s">
        <v>121</v>
      </c>
    </row>
    <row r="61" spans="1:10" x14ac:dyDescent="0.25">
      <c r="A61" s="4">
        <f t="shared" ca="1" si="1"/>
        <v>58</v>
      </c>
      <c r="B61" s="4" t="s">
        <v>245</v>
      </c>
      <c r="C61" s="4" t="s">
        <v>246</v>
      </c>
      <c r="D61" s="4" t="s">
        <v>119</v>
      </c>
      <c r="E61" s="4" t="s">
        <v>244</v>
      </c>
      <c r="F61" s="4">
        <v>4821.5600000000004</v>
      </c>
      <c r="G61" s="5"/>
      <c r="H61" s="5"/>
      <c r="I61" s="5"/>
      <c r="J61" s="4" t="s">
        <v>121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124</v>
      </c>
      <c r="E62" s="4" t="s">
        <v>249</v>
      </c>
      <c r="F62" s="4">
        <v>997.44600000000003</v>
      </c>
      <c r="G62" s="5">
        <v>102.215</v>
      </c>
      <c r="H62" s="5">
        <v>18.25</v>
      </c>
      <c r="I62" s="5">
        <v>865</v>
      </c>
      <c r="J62" s="4" t="s">
        <v>125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124</v>
      </c>
      <c r="E63" s="4" t="s">
        <v>249</v>
      </c>
      <c r="F63" s="4">
        <v>98.844500000000011</v>
      </c>
      <c r="G63" s="5">
        <v>98.844500000000011</v>
      </c>
      <c r="H63" s="5">
        <v>15.8</v>
      </c>
      <c r="I63" s="5">
        <v>28</v>
      </c>
      <c r="J63" s="4" t="s">
        <v>125</v>
      </c>
    </row>
    <row r="64" spans="1:10" x14ac:dyDescent="0.25">
      <c r="A64" s="4">
        <f t="shared" ca="1" si="1"/>
        <v>61</v>
      </c>
      <c r="B64" s="4" t="s">
        <v>252</v>
      </c>
      <c r="C64" s="4" t="s">
        <v>253</v>
      </c>
      <c r="D64" s="4" t="s">
        <v>124</v>
      </c>
      <c r="E64" s="4" t="s">
        <v>249</v>
      </c>
      <c r="F64" s="4">
        <v>100.0201</v>
      </c>
      <c r="G64" s="5">
        <v>100.4645</v>
      </c>
      <c r="H64" s="5">
        <v>7.99</v>
      </c>
      <c r="I64" s="5">
        <v>802</v>
      </c>
      <c r="J64" s="4" t="s">
        <v>125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124</v>
      </c>
      <c r="E65" s="4" t="s">
        <v>66</v>
      </c>
      <c r="F65" s="4">
        <v>1000</v>
      </c>
      <c r="G65" s="5">
        <v>110.3476</v>
      </c>
      <c r="H65" s="5">
        <v>12.97</v>
      </c>
      <c r="I65" s="5">
        <v>1172</v>
      </c>
      <c r="J65" s="4" t="s">
        <v>125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124</v>
      </c>
      <c r="E66" s="4" t="s">
        <v>66</v>
      </c>
      <c r="F66" s="4">
        <v>1000</v>
      </c>
      <c r="G66" s="5">
        <v>101.7728</v>
      </c>
      <c r="H66" s="5">
        <v>12.99</v>
      </c>
      <c r="I66" s="5">
        <v>1412</v>
      </c>
      <c r="J66" s="4" t="s">
        <v>125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124</v>
      </c>
      <c r="E67" s="4" t="s">
        <v>66</v>
      </c>
      <c r="F67" s="4">
        <v>1000</v>
      </c>
      <c r="G67" s="5">
        <v>104.99290000000001</v>
      </c>
      <c r="H67" s="5">
        <v>12.7</v>
      </c>
      <c r="I67" s="5">
        <v>225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124</v>
      </c>
      <c r="E68" s="4" t="s">
        <v>66</v>
      </c>
      <c r="F68" s="4">
        <v>1000</v>
      </c>
      <c r="G68" s="5">
        <v>102.7497</v>
      </c>
      <c r="H68" s="5">
        <v>12.84</v>
      </c>
      <c r="I68" s="5">
        <v>288</v>
      </c>
      <c r="J68" s="4" t="s">
        <v>125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124</v>
      </c>
      <c r="E69" s="4" t="s">
        <v>66</v>
      </c>
      <c r="F69" s="4">
        <v>1000</v>
      </c>
      <c r="G69" s="5">
        <v>106.04220000000001</v>
      </c>
      <c r="H69" s="5">
        <v>12.88</v>
      </c>
      <c r="I69" s="5">
        <v>561</v>
      </c>
      <c r="J69" s="4" t="s">
        <v>125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124</v>
      </c>
      <c r="E70" s="4" t="s">
        <v>66</v>
      </c>
      <c r="F70" s="4">
        <v>1000</v>
      </c>
      <c r="G70" s="5">
        <v>103.87130000000001</v>
      </c>
      <c r="H70" s="5">
        <v>12.91</v>
      </c>
      <c r="I70" s="5">
        <v>622</v>
      </c>
      <c r="J70" s="4" t="s">
        <v>125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124</v>
      </c>
      <c r="E71" s="4" t="s">
        <v>66</v>
      </c>
      <c r="F71" s="4">
        <v>1000</v>
      </c>
      <c r="G71" s="5">
        <v>111.57780000000001</v>
      </c>
      <c r="H71" s="5">
        <v>12.98</v>
      </c>
      <c r="I71" s="5">
        <v>772</v>
      </c>
      <c r="J71" s="4" t="s">
        <v>125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124</v>
      </c>
      <c r="E72" s="4" t="s">
        <v>66</v>
      </c>
      <c r="F72" s="4">
        <v>1000</v>
      </c>
      <c r="G72" s="5">
        <v>101.7728</v>
      </c>
      <c r="H72" s="5">
        <v>12.98</v>
      </c>
      <c r="I72" s="5">
        <v>1047</v>
      </c>
      <c r="J72" s="4" t="s">
        <v>125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124</v>
      </c>
      <c r="E73" s="4" t="s">
        <v>66</v>
      </c>
      <c r="F73" s="4">
        <v>1000</v>
      </c>
      <c r="G73" s="5">
        <v>112.55470000000001</v>
      </c>
      <c r="H73" s="5">
        <v>12.24</v>
      </c>
      <c r="I73" s="5">
        <v>14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66</v>
      </c>
      <c r="F74" s="4">
        <v>1000</v>
      </c>
      <c r="G74" s="5">
        <v>109.33460000000001</v>
      </c>
      <c r="H74" s="5">
        <v>12.97</v>
      </c>
      <c r="I74" s="5">
        <v>1566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66</v>
      </c>
      <c r="F75" s="4">
        <v>990.25</v>
      </c>
      <c r="G75" s="5">
        <v>103.6083</v>
      </c>
      <c r="H75" s="5">
        <v>17.37</v>
      </c>
      <c r="I75" s="5">
        <v>32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66</v>
      </c>
      <c r="F76" s="4">
        <v>887.40200000000004</v>
      </c>
      <c r="G76" s="5">
        <v>93.226300000000009</v>
      </c>
      <c r="H76" s="5">
        <v>17</v>
      </c>
      <c r="I76" s="5">
        <v>404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66</v>
      </c>
      <c r="F77" s="4">
        <v>1000</v>
      </c>
      <c r="G77" s="5">
        <v>103.87130000000001</v>
      </c>
      <c r="H77" s="5">
        <v>12.97</v>
      </c>
      <c r="I77" s="5">
        <v>1353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124</v>
      </c>
      <c r="E78" s="4" t="s">
        <v>66</v>
      </c>
      <c r="F78" s="4">
        <v>1000</v>
      </c>
      <c r="G78" s="5">
        <v>112.5908</v>
      </c>
      <c r="H78" s="5">
        <v>12.24</v>
      </c>
      <c r="I78" s="5">
        <v>13</v>
      </c>
      <c r="J78" s="4" t="s">
        <v>125</v>
      </c>
    </row>
    <row r="79" spans="1:10" x14ac:dyDescent="0.25">
      <c r="A79" s="4">
        <f t="shared" ca="1" si="2"/>
        <v>76</v>
      </c>
      <c r="B79" s="4" t="s">
        <v>282</v>
      </c>
      <c r="C79" s="4" t="s">
        <v>95</v>
      </c>
      <c r="D79" s="4" t="s">
        <v>124</v>
      </c>
      <c r="E79" s="4" t="s">
        <v>66</v>
      </c>
      <c r="F79" s="4">
        <v>862.00700000000006</v>
      </c>
      <c r="G79" s="5">
        <v>89.235500000000002</v>
      </c>
      <c r="H79" s="5">
        <v>16.940000000000001</v>
      </c>
      <c r="I79" s="5">
        <v>528</v>
      </c>
      <c r="J79" s="4" t="s">
        <v>125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124</v>
      </c>
      <c r="E80" s="4" t="s">
        <v>66</v>
      </c>
      <c r="F80" s="4">
        <v>823.35800000000006</v>
      </c>
      <c r="G80" s="5">
        <v>82.762799999999999</v>
      </c>
      <c r="H80" s="5">
        <v>17</v>
      </c>
      <c r="I80" s="5">
        <v>703</v>
      </c>
      <c r="J80" s="4" t="s">
        <v>125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124</v>
      </c>
      <c r="E81" s="4" t="s">
        <v>66</v>
      </c>
      <c r="F81" s="4">
        <v>832.07500000000005</v>
      </c>
      <c r="G81" s="5">
        <v>89.563100000000006</v>
      </c>
      <c r="H81" s="5">
        <v>16.990000000000002</v>
      </c>
      <c r="I81" s="5">
        <v>739</v>
      </c>
      <c r="J81" s="4" t="s">
        <v>125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124</v>
      </c>
      <c r="E82" s="4" t="s">
        <v>66</v>
      </c>
      <c r="F82" s="4">
        <v>1000</v>
      </c>
      <c r="G82" s="5">
        <v>102.7859</v>
      </c>
      <c r="H82" s="5">
        <v>12.94</v>
      </c>
      <c r="I82" s="5">
        <v>652</v>
      </c>
      <c r="J82" s="4" t="s">
        <v>125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124</v>
      </c>
      <c r="E83" s="4" t="s">
        <v>66</v>
      </c>
      <c r="F83" s="4">
        <v>1000</v>
      </c>
      <c r="G83" s="5">
        <v>111.5416</v>
      </c>
      <c r="H83" s="5">
        <v>12.3</v>
      </c>
      <c r="I83" s="5">
        <v>43</v>
      </c>
      <c r="J83" s="4" t="s">
        <v>125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124</v>
      </c>
      <c r="E84" s="4" t="s">
        <v>66</v>
      </c>
      <c r="F84" s="4">
        <v>1000</v>
      </c>
      <c r="G84" s="5">
        <v>108.45190000000001</v>
      </c>
      <c r="H84" s="5">
        <v>13.06</v>
      </c>
      <c r="I84" s="5">
        <v>1593</v>
      </c>
      <c r="J84" s="4" t="s">
        <v>125</v>
      </c>
    </row>
    <row r="85" spans="1:10" x14ac:dyDescent="0.25">
      <c r="A85" s="4">
        <f t="shared" ca="1" si="2"/>
        <v>82</v>
      </c>
      <c r="B85" s="4" t="s">
        <v>293</v>
      </c>
      <c r="C85" s="4" t="s">
        <v>85</v>
      </c>
      <c r="D85" s="4" t="s">
        <v>124</v>
      </c>
      <c r="E85" s="4" t="s">
        <v>66</v>
      </c>
      <c r="F85" s="4">
        <v>607.89300000000003</v>
      </c>
      <c r="G85" s="5">
        <v>64.241500000000002</v>
      </c>
      <c r="H85" s="5">
        <v>17.07</v>
      </c>
      <c r="I85" s="5">
        <v>3131</v>
      </c>
      <c r="J85" s="4" t="s">
        <v>125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124</v>
      </c>
      <c r="E86" s="4" t="s">
        <v>66</v>
      </c>
      <c r="F86" s="4">
        <v>869.27600000000007</v>
      </c>
      <c r="G86" s="5">
        <v>89.334600000000009</v>
      </c>
      <c r="H86" s="5">
        <v>16.97</v>
      </c>
      <c r="I86" s="5">
        <v>613</v>
      </c>
      <c r="J86" s="4" t="s">
        <v>125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124</v>
      </c>
      <c r="E87" s="4" t="s">
        <v>66</v>
      </c>
      <c r="F87" s="4">
        <v>530.73800000000006</v>
      </c>
      <c r="G87" s="5">
        <v>53.554400000000001</v>
      </c>
      <c r="H87" s="5">
        <v>17.09</v>
      </c>
      <c r="I87" s="5">
        <v>6921</v>
      </c>
      <c r="J87" s="4" t="s">
        <v>125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124</v>
      </c>
      <c r="E88" s="4" t="s">
        <v>66</v>
      </c>
      <c r="F88" s="4">
        <v>1000</v>
      </c>
      <c r="G88" s="5">
        <v>100.5789</v>
      </c>
      <c r="H88" s="5">
        <v>12.99</v>
      </c>
      <c r="I88" s="5">
        <v>350</v>
      </c>
      <c r="J88" s="4" t="s">
        <v>125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124</v>
      </c>
      <c r="E89" s="4" t="s">
        <v>66</v>
      </c>
      <c r="F89" s="4">
        <v>1000</v>
      </c>
      <c r="G89" s="5">
        <v>103.9075</v>
      </c>
      <c r="H89" s="5">
        <v>12.97</v>
      </c>
      <c r="I89" s="5">
        <v>1352</v>
      </c>
      <c r="J89" s="4" t="s">
        <v>125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124</v>
      </c>
      <c r="E90" s="4" t="s">
        <v>66</v>
      </c>
      <c r="F90" s="4">
        <v>1000</v>
      </c>
      <c r="G90" s="5">
        <v>104.92060000000001</v>
      </c>
      <c r="H90" s="5">
        <v>12.97</v>
      </c>
      <c r="I90" s="5">
        <v>1688</v>
      </c>
      <c r="J90" s="4" t="s">
        <v>125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124</v>
      </c>
      <c r="E91" s="4" t="s">
        <v>66</v>
      </c>
      <c r="F91" s="4">
        <v>1000</v>
      </c>
      <c r="G91" s="5">
        <v>101.7367</v>
      </c>
      <c r="H91" s="5">
        <v>12.91</v>
      </c>
      <c r="I91" s="5">
        <v>317</v>
      </c>
      <c r="J91" s="4" t="s">
        <v>125</v>
      </c>
    </row>
    <row r="92" spans="1:10" x14ac:dyDescent="0.25">
      <c r="A92" s="4">
        <f t="shared" ca="1" si="2"/>
        <v>89</v>
      </c>
      <c r="B92" s="4" t="s">
        <v>306</v>
      </c>
      <c r="C92" s="4" t="s">
        <v>87</v>
      </c>
      <c r="D92" s="4" t="s">
        <v>124</v>
      </c>
      <c r="E92" s="4" t="s">
        <v>66</v>
      </c>
      <c r="F92" s="4">
        <v>593.16600000000005</v>
      </c>
      <c r="G92" s="5">
        <v>65.077700000000007</v>
      </c>
      <c r="H92" s="5">
        <v>17.080000000000002</v>
      </c>
      <c r="I92" s="5">
        <v>3393</v>
      </c>
      <c r="J92" s="4" t="s">
        <v>125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124</v>
      </c>
      <c r="E93" s="4" t="s">
        <v>66</v>
      </c>
      <c r="F93" s="4">
        <v>906.726</v>
      </c>
      <c r="G93" s="5">
        <v>96.172600000000003</v>
      </c>
      <c r="H93" s="5">
        <v>16.940000000000001</v>
      </c>
      <c r="I93" s="5">
        <v>507</v>
      </c>
      <c r="J93" s="4" t="s">
        <v>125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124</v>
      </c>
      <c r="E94" s="4" t="s">
        <v>66</v>
      </c>
      <c r="F94" s="4">
        <v>887.9910000000001</v>
      </c>
      <c r="G94" s="5">
        <v>91.374099999999999</v>
      </c>
      <c r="H94" s="5">
        <v>16.97</v>
      </c>
      <c r="I94" s="5">
        <v>626</v>
      </c>
      <c r="J94" s="4" t="s">
        <v>125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124</v>
      </c>
      <c r="E95" s="4" t="s">
        <v>66</v>
      </c>
      <c r="F95" s="4">
        <v>587.50300000000004</v>
      </c>
      <c r="G95" s="5">
        <v>60.540500000000002</v>
      </c>
      <c r="H95" s="5">
        <v>17.07</v>
      </c>
      <c r="I95" s="5">
        <v>3941</v>
      </c>
      <c r="J95" s="4" t="s">
        <v>125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124</v>
      </c>
      <c r="E96" s="4" t="s">
        <v>66</v>
      </c>
      <c r="F96" s="4">
        <v>657.63200000000006</v>
      </c>
      <c r="G96" s="5">
        <v>70.381900000000002</v>
      </c>
      <c r="H96" s="5">
        <v>17.07</v>
      </c>
      <c r="I96" s="5">
        <v>2728</v>
      </c>
      <c r="J96" s="4" t="s">
        <v>125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124</v>
      </c>
      <c r="E97" s="4" t="s">
        <v>66</v>
      </c>
      <c r="F97" s="4">
        <v>648.346</v>
      </c>
      <c r="G97" s="5">
        <v>68.900100000000009</v>
      </c>
      <c r="H97" s="5">
        <v>17.059999999999999</v>
      </c>
      <c r="I97" s="5">
        <v>2747</v>
      </c>
      <c r="J97" s="4" t="s">
        <v>125</v>
      </c>
    </row>
    <row r="98" spans="1:10" x14ac:dyDescent="0.25">
      <c r="A98" s="4">
        <f t="shared" ca="1" si="2"/>
        <v>95</v>
      </c>
      <c r="B98" s="4" t="s">
        <v>317</v>
      </c>
      <c r="C98" s="4" t="s">
        <v>97</v>
      </c>
      <c r="D98" s="4" t="s">
        <v>124</v>
      </c>
      <c r="E98" s="4" t="s">
        <v>66</v>
      </c>
      <c r="F98" s="4">
        <v>674.95500000000004</v>
      </c>
      <c r="G98" s="5">
        <v>71.720500000000001</v>
      </c>
      <c r="H98" s="5">
        <v>17.059999999999999</v>
      </c>
      <c r="I98" s="5">
        <v>2375</v>
      </c>
      <c r="J98" s="4" t="s">
        <v>125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124</v>
      </c>
      <c r="E99" s="4" t="s">
        <v>66</v>
      </c>
      <c r="F99" s="4">
        <v>703.82</v>
      </c>
      <c r="G99" s="5">
        <v>74.039299999999997</v>
      </c>
      <c r="H99" s="5">
        <v>17.04</v>
      </c>
      <c r="I99" s="5">
        <v>2033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124</v>
      </c>
      <c r="E100" s="4" t="s">
        <v>66</v>
      </c>
      <c r="F100" s="4">
        <v>589.81100000000004</v>
      </c>
      <c r="G100" s="5">
        <v>64.901899999999998</v>
      </c>
      <c r="H100" s="5">
        <v>17.09</v>
      </c>
      <c r="I100" s="5">
        <v>4137</v>
      </c>
      <c r="J100" s="4" t="s">
        <v>125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124</v>
      </c>
      <c r="E101" s="4" t="s">
        <v>66</v>
      </c>
      <c r="F101" s="4">
        <v>1000</v>
      </c>
      <c r="G101" s="5">
        <v>104.99290000000001</v>
      </c>
      <c r="H101" s="5">
        <v>12.7</v>
      </c>
      <c r="I101" s="5">
        <v>225</v>
      </c>
      <c r="J101" s="4" t="s">
        <v>125</v>
      </c>
    </row>
    <row r="102" spans="1:10" x14ac:dyDescent="0.25">
      <c r="A102" s="4">
        <f t="shared" ca="1" si="3"/>
        <v>99</v>
      </c>
      <c r="B102" s="4" t="s">
        <v>324</v>
      </c>
      <c r="C102" s="4" t="s">
        <v>92</v>
      </c>
      <c r="D102" s="4" t="s">
        <v>124</v>
      </c>
      <c r="E102" s="4" t="s">
        <v>66</v>
      </c>
      <c r="F102" s="4">
        <v>750.92400000000009</v>
      </c>
      <c r="G102" s="5">
        <v>76.436400000000006</v>
      </c>
      <c r="H102" s="5">
        <v>17.03</v>
      </c>
      <c r="I102" s="5">
        <v>1398</v>
      </c>
      <c r="J102" s="4" t="s">
        <v>125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124</v>
      </c>
      <c r="E103" s="4" t="s">
        <v>66</v>
      </c>
      <c r="F103" s="4">
        <v>728.16300000000001</v>
      </c>
      <c r="G103" s="5">
        <v>78.192300000000003</v>
      </c>
      <c r="H103" s="5">
        <v>17.059999999999999</v>
      </c>
      <c r="I103" s="5">
        <v>1573</v>
      </c>
      <c r="J103" s="4" t="s">
        <v>125</v>
      </c>
    </row>
    <row r="104" spans="1:10" x14ac:dyDescent="0.25">
      <c r="A104" s="4">
        <f t="shared" ca="1" si="3"/>
        <v>101</v>
      </c>
      <c r="B104" s="4" t="s">
        <v>327</v>
      </c>
      <c r="C104" s="4" t="s">
        <v>328</v>
      </c>
      <c r="D104" s="4" t="s">
        <v>124</v>
      </c>
      <c r="E104" s="4" t="s">
        <v>66</v>
      </c>
      <c r="F104" s="4">
        <v>528.78</v>
      </c>
      <c r="G104" s="5">
        <v>59.373600000000003</v>
      </c>
      <c r="H104" s="5">
        <v>17.080000000000002</v>
      </c>
      <c r="I104" s="5">
        <v>4814</v>
      </c>
      <c r="J104" s="4" t="s">
        <v>125</v>
      </c>
    </row>
    <row r="105" spans="1:10" x14ac:dyDescent="0.25">
      <c r="A105" s="4">
        <f t="shared" ca="1" si="3"/>
        <v>102</v>
      </c>
      <c r="B105" s="4" t="s">
        <v>329</v>
      </c>
      <c r="C105" s="4" t="s">
        <v>330</v>
      </c>
      <c r="D105" s="4" t="s">
        <v>124</v>
      </c>
      <c r="E105" s="4" t="s">
        <v>66</v>
      </c>
      <c r="F105" s="4">
        <v>988.33400000000006</v>
      </c>
      <c r="G105" s="5">
        <v>103.84230000000001</v>
      </c>
      <c r="H105" s="5">
        <v>17.240000000000002</v>
      </c>
      <c r="I105" s="5">
        <v>40</v>
      </c>
      <c r="J105" s="4" t="s">
        <v>125</v>
      </c>
    </row>
    <row r="106" spans="1:10" x14ac:dyDescent="0.25">
      <c r="A106" s="4">
        <f t="shared" ca="1" si="3"/>
        <v>103</v>
      </c>
      <c r="B106" s="4" t="s">
        <v>331</v>
      </c>
      <c r="C106" s="4" t="s">
        <v>99</v>
      </c>
      <c r="D106" s="4" t="s">
        <v>124</v>
      </c>
      <c r="E106" s="4" t="s">
        <v>66</v>
      </c>
      <c r="F106" s="4">
        <v>916.16500000000008</v>
      </c>
      <c r="G106" s="5">
        <v>92.502600000000001</v>
      </c>
      <c r="H106" s="5">
        <v>16.97</v>
      </c>
      <c r="I106" s="5">
        <v>307</v>
      </c>
      <c r="J106" s="4" t="s">
        <v>125</v>
      </c>
    </row>
    <row r="107" spans="1:10" x14ac:dyDescent="0.25">
      <c r="A107" s="4">
        <f t="shared" ca="1" si="3"/>
        <v>104</v>
      </c>
      <c r="B107" s="4" t="s">
        <v>332</v>
      </c>
      <c r="C107" s="4" t="s">
        <v>106</v>
      </c>
      <c r="D107" s="4" t="s">
        <v>124</v>
      </c>
      <c r="E107" s="4" t="s">
        <v>66</v>
      </c>
      <c r="F107" s="4">
        <v>814.01700000000005</v>
      </c>
      <c r="G107" s="5">
        <v>86.657499999999999</v>
      </c>
      <c r="H107" s="5">
        <v>16.990000000000002</v>
      </c>
      <c r="I107" s="5">
        <v>734</v>
      </c>
      <c r="J107" s="4" t="s">
        <v>125</v>
      </c>
    </row>
    <row r="108" spans="1:10" x14ac:dyDescent="0.25">
      <c r="A108" s="4">
        <f t="shared" ca="1" si="3"/>
        <v>105</v>
      </c>
      <c r="B108" s="4" t="s">
        <v>333</v>
      </c>
      <c r="C108" s="4" t="s">
        <v>334</v>
      </c>
      <c r="D108" s="4" t="s">
        <v>124</v>
      </c>
      <c r="E108" s="4" t="s">
        <v>66</v>
      </c>
      <c r="F108" s="4">
        <v>749.92200000000003</v>
      </c>
      <c r="G108" s="5">
        <v>75.389400000000009</v>
      </c>
      <c r="H108" s="5">
        <v>17.03</v>
      </c>
      <c r="I108" s="5">
        <v>1071</v>
      </c>
      <c r="J108" s="4" t="s">
        <v>125</v>
      </c>
    </row>
    <row r="109" spans="1:10" x14ac:dyDescent="0.25">
      <c r="A109" s="4">
        <f t="shared" ca="1" si="3"/>
        <v>106</v>
      </c>
      <c r="B109" s="4" t="s">
        <v>335</v>
      </c>
      <c r="C109" s="4" t="s">
        <v>336</v>
      </c>
      <c r="D109" s="4" t="s">
        <v>124</v>
      </c>
      <c r="E109" s="4" t="s">
        <v>66</v>
      </c>
      <c r="F109" s="4">
        <v>546.101</v>
      </c>
      <c r="G109" s="5">
        <v>56.488900000000001</v>
      </c>
      <c r="H109" s="5">
        <v>17.080000000000002</v>
      </c>
      <c r="I109" s="5">
        <v>5031</v>
      </c>
      <c r="J109" s="4" t="s">
        <v>125</v>
      </c>
    </row>
    <row r="110" spans="1:10" x14ac:dyDescent="0.25">
      <c r="A110" s="4">
        <f t="shared" ca="1" si="3"/>
        <v>107</v>
      </c>
      <c r="B110" s="4" t="s">
        <v>337</v>
      </c>
      <c r="C110" s="4" t="s">
        <v>338</v>
      </c>
      <c r="D110" s="4" t="s">
        <v>124</v>
      </c>
      <c r="E110" s="4" t="s">
        <v>66</v>
      </c>
      <c r="F110" s="4">
        <v>541.10500000000002</v>
      </c>
      <c r="G110" s="5">
        <v>59.458000000000006</v>
      </c>
      <c r="H110" s="5">
        <v>17.09</v>
      </c>
      <c r="I110" s="5">
        <v>5247</v>
      </c>
      <c r="J110" s="4" t="s">
        <v>125</v>
      </c>
    </row>
    <row r="111" spans="1:10" x14ac:dyDescent="0.25">
      <c r="A111" s="4">
        <f t="shared" ca="1" si="3"/>
        <v>108</v>
      </c>
      <c r="B111" s="4" t="s">
        <v>339</v>
      </c>
      <c r="C111" s="4" t="s">
        <v>115</v>
      </c>
      <c r="D111" s="4" t="s">
        <v>124</v>
      </c>
      <c r="E111" s="4" t="s">
        <v>66</v>
      </c>
      <c r="F111" s="4">
        <v>849.553</v>
      </c>
      <c r="G111" s="5">
        <v>90.944200000000009</v>
      </c>
      <c r="H111" s="5">
        <v>17.02</v>
      </c>
      <c r="I111" s="5">
        <v>1263</v>
      </c>
      <c r="J111" s="4" t="s">
        <v>125</v>
      </c>
    </row>
    <row r="112" spans="1:10" x14ac:dyDescent="0.25">
      <c r="A112" s="4">
        <f t="shared" ca="1" si="3"/>
        <v>109</v>
      </c>
      <c r="B112" s="4" t="s">
        <v>340</v>
      </c>
      <c r="C112" s="4" t="s">
        <v>341</v>
      </c>
      <c r="D112" s="4" t="s">
        <v>124</v>
      </c>
      <c r="E112" s="4" t="s">
        <v>66</v>
      </c>
      <c r="F112" s="4">
        <v>949.63600000000008</v>
      </c>
      <c r="G112" s="5">
        <v>97.5672</v>
      </c>
      <c r="H112" s="5">
        <v>16.940000000000001</v>
      </c>
      <c r="I112" s="5">
        <v>261</v>
      </c>
      <c r="J112" s="4" t="s">
        <v>125</v>
      </c>
    </row>
    <row r="113" spans="1:10" x14ac:dyDescent="0.25">
      <c r="A113" s="4">
        <f t="shared" ca="1" si="3"/>
        <v>110</v>
      </c>
      <c r="B113" s="4" t="s">
        <v>342</v>
      </c>
      <c r="C113" s="4" t="s">
        <v>343</v>
      </c>
      <c r="D113" s="4" t="s">
        <v>124</v>
      </c>
      <c r="E113" s="4" t="s">
        <v>66</v>
      </c>
      <c r="F113" s="4">
        <v>1000</v>
      </c>
      <c r="G113" s="5">
        <v>111.0385</v>
      </c>
      <c r="H113" s="5">
        <v>13.07</v>
      </c>
      <c r="I113" s="5">
        <v>1155</v>
      </c>
      <c r="J113" s="4" t="s">
        <v>125</v>
      </c>
    </row>
    <row r="114" spans="1:10" x14ac:dyDescent="0.25">
      <c r="A114" s="4">
        <f t="shared" ca="1" si="3"/>
        <v>111</v>
      </c>
      <c r="B114" s="4" t="s">
        <v>344</v>
      </c>
      <c r="C114" s="4" t="s">
        <v>345</v>
      </c>
      <c r="D114" s="4" t="s">
        <v>124</v>
      </c>
      <c r="E114" s="4" t="s">
        <v>66</v>
      </c>
      <c r="F114" s="4">
        <v>1000</v>
      </c>
      <c r="G114" s="5">
        <v>107.1276</v>
      </c>
      <c r="H114" s="5">
        <v>12.56</v>
      </c>
      <c r="I114" s="5">
        <v>165</v>
      </c>
      <c r="J114" s="4" t="s">
        <v>125</v>
      </c>
    </row>
    <row r="115" spans="1:10" x14ac:dyDescent="0.25">
      <c r="A115" s="4">
        <f t="shared" ca="1" si="3"/>
        <v>112</v>
      </c>
      <c r="B115" s="4" t="s">
        <v>346</v>
      </c>
      <c r="C115" s="4" t="s">
        <v>347</v>
      </c>
      <c r="D115" s="4" t="s">
        <v>124</v>
      </c>
      <c r="E115" s="4" t="s">
        <v>66</v>
      </c>
      <c r="F115" s="4">
        <v>1000</v>
      </c>
      <c r="G115" s="5">
        <v>108.2492</v>
      </c>
      <c r="H115" s="5">
        <v>12.95</v>
      </c>
      <c r="I115" s="5">
        <v>1232</v>
      </c>
      <c r="J115" s="4" t="s">
        <v>125</v>
      </c>
    </row>
    <row r="116" spans="1:10" x14ac:dyDescent="0.25">
      <c r="A116" s="4">
        <f t="shared" ca="1" si="3"/>
        <v>113</v>
      </c>
      <c r="B116" s="4" t="s">
        <v>348</v>
      </c>
      <c r="C116" s="4" t="s">
        <v>349</v>
      </c>
      <c r="D116" s="4" t="s">
        <v>124</v>
      </c>
      <c r="E116" s="4" t="s">
        <v>66</v>
      </c>
      <c r="F116" s="4">
        <v>853.947</v>
      </c>
      <c r="G116" s="5">
        <v>95.544800000000009</v>
      </c>
      <c r="H116" s="5">
        <v>17.02</v>
      </c>
      <c r="I116" s="5">
        <v>1108</v>
      </c>
      <c r="J116" s="4" t="s">
        <v>125</v>
      </c>
    </row>
    <row r="117" spans="1:10" x14ac:dyDescent="0.25">
      <c r="A117" s="4">
        <f t="shared" ca="1" si="3"/>
        <v>114</v>
      </c>
      <c r="B117" s="4" t="s">
        <v>350</v>
      </c>
      <c r="C117" s="4" t="s">
        <v>351</v>
      </c>
      <c r="D117" s="4" t="s">
        <v>124</v>
      </c>
      <c r="E117" s="4" t="s">
        <v>66</v>
      </c>
      <c r="F117" s="4">
        <v>1000</v>
      </c>
      <c r="G117" s="5">
        <v>108.35770000000001</v>
      </c>
      <c r="H117" s="5">
        <v>12.93</v>
      </c>
      <c r="I117" s="5">
        <v>863</v>
      </c>
      <c r="J117" s="4" t="s">
        <v>125</v>
      </c>
    </row>
    <row r="118" spans="1:10" x14ac:dyDescent="0.25">
      <c r="A118" s="4">
        <f t="shared" ca="1" si="3"/>
        <v>115</v>
      </c>
      <c r="B118" s="4" t="s">
        <v>352</v>
      </c>
      <c r="C118" s="4" t="s">
        <v>353</v>
      </c>
      <c r="D118" s="4" t="s">
        <v>124</v>
      </c>
      <c r="E118" s="4" t="s">
        <v>66</v>
      </c>
      <c r="F118" s="4">
        <v>563.81900000000007</v>
      </c>
      <c r="G118" s="5">
        <v>59.009700000000002</v>
      </c>
      <c r="H118" s="5">
        <v>17.059999999999999</v>
      </c>
      <c r="I118" s="5">
        <v>2383</v>
      </c>
      <c r="J118" s="4" t="s">
        <v>125</v>
      </c>
    </row>
    <row r="119" spans="1:10" x14ac:dyDescent="0.25">
      <c r="A119" s="4">
        <f t="shared" ca="1" si="3"/>
        <v>116</v>
      </c>
      <c r="B119" s="4" t="s">
        <v>354</v>
      </c>
      <c r="C119" s="4" t="s">
        <v>355</v>
      </c>
      <c r="D119" s="4" t="s">
        <v>124</v>
      </c>
      <c r="E119" s="4" t="s">
        <v>66</v>
      </c>
      <c r="F119" s="4">
        <v>774.245</v>
      </c>
      <c r="G119" s="5">
        <v>83.561500000000009</v>
      </c>
      <c r="H119" s="5">
        <v>17.03</v>
      </c>
      <c r="I119" s="5">
        <v>1152</v>
      </c>
      <c r="J119" s="4" t="s">
        <v>125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124</v>
      </c>
      <c r="E120" s="4" t="s">
        <v>66</v>
      </c>
      <c r="F120" s="4">
        <v>769.35900000000004</v>
      </c>
      <c r="G120" s="5">
        <v>79.408100000000005</v>
      </c>
      <c r="H120" s="5">
        <v>17.010000000000002</v>
      </c>
      <c r="I120" s="5">
        <v>916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104</v>
      </c>
      <c r="D121" s="4" t="s">
        <v>124</v>
      </c>
      <c r="E121" s="4" t="s">
        <v>66</v>
      </c>
      <c r="F121" s="4">
        <v>752.202</v>
      </c>
      <c r="G121" s="5">
        <v>77.5869</v>
      </c>
      <c r="H121" s="5">
        <v>17.059999999999999</v>
      </c>
      <c r="I121" s="5">
        <v>2476</v>
      </c>
      <c r="J121" s="4" t="s">
        <v>125</v>
      </c>
    </row>
    <row r="122" spans="1:10" x14ac:dyDescent="0.25">
      <c r="A122" s="4">
        <f t="shared" ca="1" si="3"/>
        <v>119</v>
      </c>
      <c r="B122" s="4" t="s">
        <v>359</v>
      </c>
      <c r="C122" s="4" t="s">
        <v>102</v>
      </c>
      <c r="D122" s="4" t="s">
        <v>124</v>
      </c>
      <c r="E122" s="4" t="s">
        <v>66</v>
      </c>
      <c r="F122" s="4">
        <v>828.274</v>
      </c>
      <c r="G122" s="5">
        <v>85.113200000000006</v>
      </c>
      <c r="H122" s="5">
        <v>17.02</v>
      </c>
      <c r="I122" s="5">
        <v>1382</v>
      </c>
      <c r="J122" s="4" t="s">
        <v>125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124</v>
      </c>
      <c r="E123" s="4" t="s">
        <v>66</v>
      </c>
      <c r="F123" s="4">
        <v>1000</v>
      </c>
      <c r="G123" s="5">
        <v>100.6151</v>
      </c>
      <c r="H123" s="5">
        <v>13.02</v>
      </c>
      <c r="I123" s="5">
        <v>1810</v>
      </c>
      <c r="J123" s="4" t="s">
        <v>125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124</v>
      </c>
      <c r="E124" s="4" t="s">
        <v>66</v>
      </c>
      <c r="F124" s="4">
        <v>1000</v>
      </c>
      <c r="G124" s="5">
        <v>110.38380000000001</v>
      </c>
      <c r="H124" s="5">
        <v>12.99</v>
      </c>
      <c r="I124" s="5">
        <v>2266</v>
      </c>
      <c r="J124" s="4" t="s">
        <v>125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124</v>
      </c>
      <c r="E125" s="4" t="s">
        <v>66</v>
      </c>
      <c r="F125" s="4">
        <v>1000</v>
      </c>
      <c r="G125" s="5">
        <v>100.68740000000001</v>
      </c>
      <c r="H125" s="5">
        <v>13.02</v>
      </c>
      <c r="I125" s="5">
        <v>2173</v>
      </c>
      <c r="J125" s="4" t="s">
        <v>125</v>
      </c>
    </row>
    <row r="126" spans="1:10" x14ac:dyDescent="0.25">
      <c r="A126" s="4">
        <f t="shared" ca="1" si="3"/>
        <v>123</v>
      </c>
      <c r="B126" s="4" t="s">
        <v>366</v>
      </c>
      <c r="C126" s="4" t="s">
        <v>367</v>
      </c>
      <c r="D126" s="4" t="s">
        <v>124</v>
      </c>
      <c r="E126" s="4" t="s">
        <v>66</v>
      </c>
      <c r="F126" s="4">
        <v>912.81299999999999</v>
      </c>
      <c r="G126" s="5">
        <v>95.528000000000006</v>
      </c>
      <c r="H126" s="5">
        <v>16.95</v>
      </c>
      <c r="I126" s="5">
        <v>581</v>
      </c>
      <c r="J126" s="4" t="s">
        <v>125</v>
      </c>
    </row>
    <row r="127" spans="1:10" x14ac:dyDescent="0.25">
      <c r="A127" s="4">
        <f t="shared" ca="1" si="3"/>
        <v>124</v>
      </c>
      <c r="B127" s="4" t="s">
        <v>368</v>
      </c>
      <c r="C127" s="4" t="s">
        <v>369</v>
      </c>
      <c r="D127" s="4" t="s">
        <v>124</v>
      </c>
      <c r="E127" s="4" t="s">
        <v>66</v>
      </c>
      <c r="F127" s="4">
        <v>704.64600000000007</v>
      </c>
      <c r="G127" s="5">
        <v>78.383800000000008</v>
      </c>
      <c r="H127" s="5">
        <v>17.080000000000002</v>
      </c>
      <c r="I127" s="5">
        <v>4123</v>
      </c>
      <c r="J127" s="4" t="s">
        <v>125</v>
      </c>
    </row>
    <row r="128" spans="1:10" x14ac:dyDescent="0.25">
      <c r="A128" s="4">
        <f t="shared" ca="1" si="3"/>
        <v>125</v>
      </c>
      <c r="B128" s="4" t="s">
        <v>370</v>
      </c>
      <c r="C128" s="4" t="s">
        <v>78</v>
      </c>
      <c r="D128" s="4" t="s">
        <v>124</v>
      </c>
      <c r="E128" s="4" t="s">
        <v>66</v>
      </c>
      <c r="F128" s="4">
        <v>985.11400000000003</v>
      </c>
      <c r="G128" s="5">
        <v>101.03070000000001</v>
      </c>
      <c r="H128" s="5">
        <v>16.45</v>
      </c>
      <c r="I128" s="5">
        <v>98</v>
      </c>
      <c r="J128" s="4" t="s">
        <v>125</v>
      </c>
    </row>
    <row r="129" spans="1:10" x14ac:dyDescent="0.25">
      <c r="A129" s="4">
        <f t="shared" ca="1" si="3"/>
        <v>126</v>
      </c>
      <c r="B129" s="4" t="s">
        <v>371</v>
      </c>
      <c r="C129" s="4" t="s">
        <v>372</v>
      </c>
      <c r="D129" s="4" t="s">
        <v>124</v>
      </c>
      <c r="E129" s="4" t="s">
        <v>66</v>
      </c>
      <c r="F129" s="4">
        <v>823.36900000000003</v>
      </c>
      <c r="G129" s="5">
        <v>90.036900000000003</v>
      </c>
      <c r="H129" s="5">
        <v>17.059999999999999</v>
      </c>
      <c r="I129" s="5">
        <v>1573</v>
      </c>
      <c r="J129" s="4" t="s">
        <v>125</v>
      </c>
    </row>
    <row r="130" spans="1:10" x14ac:dyDescent="0.25">
      <c r="A130" s="4">
        <f t="shared" ca="1" si="3"/>
        <v>127</v>
      </c>
      <c r="B130" s="4" t="s">
        <v>373</v>
      </c>
      <c r="C130" s="4" t="s">
        <v>374</v>
      </c>
      <c r="D130" s="4" t="s">
        <v>124</v>
      </c>
      <c r="E130" s="4" t="s">
        <v>66</v>
      </c>
      <c r="F130" s="4">
        <v>696.86800000000005</v>
      </c>
      <c r="G130" s="5">
        <v>71.213999999999999</v>
      </c>
      <c r="H130" s="5">
        <v>17.080000000000002</v>
      </c>
      <c r="I130" s="5">
        <v>3967</v>
      </c>
      <c r="J130" s="4" t="s">
        <v>125</v>
      </c>
    </row>
    <row r="131" spans="1:10" x14ac:dyDescent="0.25">
      <c r="A131" s="4">
        <f t="shared" ca="1" si="3"/>
        <v>128</v>
      </c>
      <c r="B131" s="4" t="s">
        <v>375</v>
      </c>
      <c r="C131" s="4" t="s">
        <v>376</v>
      </c>
      <c r="D131" s="4" t="s">
        <v>124</v>
      </c>
      <c r="E131" s="4" t="s">
        <v>66</v>
      </c>
      <c r="F131" s="4">
        <v>700.07299999999998</v>
      </c>
      <c r="G131" s="5">
        <v>76.72590000000001</v>
      </c>
      <c r="H131" s="5">
        <v>17.080000000000002</v>
      </c>
      <c r="I131" s="5">
        <v>3047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81</v>
      </c>
      <c r="D132" s="4" t="s">
        <v>124</v>
      </c>
      <c r="E132" s="4" t="s">
        <v>66</v>
      </c>
      <c r="F132" s="4">
        <v>872.29300000000001</v>
      </c>
      <c r="G132" s="5">
        <v>92.544899999999998</v>
      </c>
      <c r="H132" s="5">
        <v>17.010000000000002</v>
      </c>
      <c r="I132" s="5">
        <v>910</v>
      </c>
      <c r="J132" s="4" t="s">
        <v>125</v>
      </c>
    </row>
    <row r="133" spans="1:10" x14ac:dyDescent="0.25">
      <c r="A133" s="4">
        <f t="shared" ca="1" si="4"/>
        <v>130</v>
      </c>
      <c r="B133" s="4" t="s">
        <v>378</v>
      </c>
      <c r="C133" s="4" t="s">
        <v>379</v>
      </c>
      <c r="D133" s="4" t="s">
        <v>124</v>
      </c>
      <c r="E133" s="4" t="s">
        <v>66</v>
      </c>
      <c r="F133" s="4">
        <v>957.45100000000002</v>
      </c>
      <c r="G133" s="5">
        <v>97.845100000000002</v>
      </c>
      <c r="H133" s="5">
        <v>16.32</v>
      </c>
      <c r="I133" s="5">
        <v>293</v>
      </c>
      <c r="J133" s="4" t="s">
        <v>125</v>
      </c>
    </row>
    <row r="134" spans="1:10" x14ac:dyDescent="0.25">
      <c r="A134" s="4">
        <f t="shared" ca="1" si="4"/>
        <v>131</v>
      </c>
      <c r="B134" s="4" t="s">
        <v>380</v>
      </c>
      <c r="C134" s="4" t="s">
        <v>381</v>
      </c>
      <c r="D134" s="4" t="s">
        <v>124</v>
      </c>
      <c r="E134" s="4" t="s">
        <v>66</v>
      </c>
      <c r="F134" s="4">
        <v>689.53399999999999</v>
      </c>
      <c r="G134" s="5">
        <v>75.103400000000008</v>
      </c>
      <c r="H134" s="5">
        <v>17.059999999999999</v>
      </c>
      <c r="I134" s="5">
        <v>3433</v>
      </c>
      <c r="J134" s="4" t="s">
        <v>125</v>
      </c>
    </row>
    <row r="135" spans="1:10" x14ac:dyDescent="0.25">
      <c r="A135" s="4">
        <f t="shared" ca="1" si="4"/>
        <v>132</v>
      </c>
      <c r="B135" s="4" t="s">
        <v>382</v>
      </c>
      <c r="C135" s="4" t="s">
        <v>83</v>
      </c>
      <c r="D135" s="4" t="s">
        <v>124</v>
      </c>
      <c r="E135" s="4" t="s">
        <v>66</v>
      </c>
      <c r="F135" s="4">
        <v>771.18900000000008</v>
      </c>
      <c r="G135" s="5">
        <v>83.098600000000005</v>
      </c>
      <c r="H135" s="5">
        <v>17.04</v>
      </c>
      <c r="I135" s="5">
        <v>1979</v>
      </c>
      <c r="J135" s="4" t="s">
        <v>125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124</v>
      </c>
      <c r="E136" s="4" t="s">
        <v>66</v>
      </c>
      <c r="F136" s="4">
        <v>733.76700000000005</v>
      </c>
      <c r="G136" s="5">
        <v>74.950500000000005</v>
      </c>
      <c r="H136" s="5">
        <v>17.07</v>
      </c>
      <c r="I136" s="5">
        <v>2869</v>
      </c>
      <c r="J136" s="4" t="s">
        <v>125</v>
      </c>
    </row>
    <row r="137" spans="1:10" x14ac:dyDescent="0.25">
      <c r="A137" s="4">
        <f t="shared" ca="1" si="4"/>
        <v>134</v>
      </c>
      <c r="B137" s="4" t="s">
        <v>385</v>
      </c>
      <c r="C137" s="4" t="s">
        <v>386</v>
      </c>
      <c r="D137" s="4" t="s">
        <v>124</v>
      </c>
      <c r="E137" s="4" t="s">
        <v>66</v>
      </c>
      <c r="F137" s="4">
        <v>979.68200000000002</v>
      </c>
      <c r="G137" s="5">
        <v>99.126500000000007</v>
      </c>
      <c r="H137" s="5">
        <v>16.330000000000002</v>
      </c>
      <c r="I137" s="5">
        <v>336</v>
      </c>
      <c r="J137" s="4" t="s">
        <v>125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124</v>
      </c>
      <c r="E138" s="4" t="s">
        <v>66</v>
      </c>
      <c r="F138" s="4">
        <v>982.73500000000001</v>
      </c>
      <c r="G138" s="5">
        <v>104.58410000000001</v>
      </c>
      <c r="H138" s="5">
        <v>16.330000000000002</v>
      </c>
      <c r="I138" s="5">
        <v>764</v>
      </c>
      <c r="J138" s="4" t="s">
        <v>125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124</v>
      </c>
      <c r="E139" s="4" t="s">
        <v>66</v>
      </c>
      <c r="F139" s="4">
        <v>881.84900000000005</v>
      </c>
      <c r="G139" s="5">
        <v>93.901600000000002</v>
      </c>
      <c r="H139" s="5">
        <v>17.05</v>
      </c>
      <c r="I139" s="5">
        <v>2408</v>
      </c>
      <c r="J139" s="4" t="s">
        <v>125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124</v>
      </c>
      <c r="E140" s="4" t="s">
        <v>66</v>
      </c>
      <c r="F140" s="4">
        <v>955.75700000000006</v>
      </c>
      <c r="G140" s="5">
        <v>105.0532</v>
      </c>
      <c r="H140" s="5">
        <v>17.010000000000002</v>
      </c>
      <c r="I140" s="5">
        <v>1235</v>
      </c>
      <c r="J140" s="4" t="s">
        <v>125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124</v>
      </c>
      <c r="E141" s="4" t="s">
        <v>66</v>
      </c>
      <c r="F141" s="4">
        <v>1000</v>
      </c>
      <c r="G141" s="5">
        <v>101.7617</v>
      </c>
      <c r="H141" s="5">
        <v>17.07</v>
      </c>
      <c r="I141" s="5">
        <v>329</v>
      </c>
      <c r="J141" s="4" t="s">
        <v>125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124</v>
      </c>
      <c r="E142" s="4" t="s">
        <v>66</v>
      </c>
      <c r="F142" s="4">
        <v>893.21400000000006</v>
      </c>
      <c r="G142" s="5">
        <v>95.310299999999998</v>
      </c>
      <c r="H142" s="5">
        <v>17.04</v>
      </c>
      <c r="I142" s="5">
        <v>2035</v>
      </c>
      <c r="J142" s="4" t="s">
        <v>125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124</v>
      </c>
      <c r="E143" s="4" t="s">
        <v>66</v>
      </c>
      <c r="F143" s="4">
        <v>983.43600000000004</v>
      </c>
      <c r="G143" s="5">
        <v>102.62140000000001</v>
      </c>
      <c r="H143" s="5">
        <v>16.29</v>
      </c>
      <c r="I143" s="5">
        <v>252</v>
      </c>
      <c r="J143" s="4" t="s">
        <v>125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124</v>
      </c>
      <c r="E144" s="4" t="s">
        <v>66</v>
      </c>
      <c r="F144" s="4">
        <v>890.22700000000009</v>
      </c>
      <c r="G144" s="5">
        <v>94.280900000000003</v>
      </c>
      <c r="H144" s="5">
        <v>17.059999999999999</v>
      </c>
      <c r="I144" s="5">
        <v>2790</v>
      </c>
      <c r="J144" s="4" t="s">
        <v>125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124</v>
      </c>
      <c r="E145" s="4" t="s">
        <v>66</v>
      </c>
      <c r="F145" s="4">
        <v>828.81100000000004</v>
      </c>
      <c r="G145" s="5">
        <v>90.681100000000001</v>
      </c>
      <c r="H145" s="5">
        <v>17.059999999999999</v>
      </c>
      <c r="I145" s="5">
        <v>1956</v>
      </c>
      <c r="J145" s="4" t="s">
        <v>125</v>
      </c>
    </row>
    <row r="146" spans="1:10" x14ac:dyDescent="0.25">
      <c r="A146" s="4">
        <f t="shared" ca="1" si="4"/>
        <v>143</v>
      </c>
      <c r="B146" s="4" t="s">
        <v>403</v>
      </c>
      <c r="C146" s="4" t="s">
        <v>75</v>
      </c>
      <c r="D146" s="4" t="s">
        <v>124</v>
      </c>
      <c r="E146" s="4" t="s">
        <v>66</v>
      </c>
      <c r="F146" s="4">
        <v>1016.955</v>
      </c>
      <c r="G146" s="5">
        <v>104.95580000000001</v>
      </c>
      <c r="H146" s="5">
        <v>16.37</v>
      </c>
      <c r="I146" s="5">
        <v>1392</v>
      </c>
      <c r="J146" s="4" t="s">
        <v>125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124</v>
      </c>
      <c r="E147" s="4" t="s">
        <v>66</v>
      </c>
      <c r="F147" s="4">
        <v>887.32100000000003</v>
      </c>
      <c r="G147" s="5">
        <v>97.59320000000001</v>
      </c>
      <c r="H147" s="5">
        <v>17.059999999999999</v>
      </c>
      <c r="I147" s="5">
        <v>3064</v>
      </c>
      <c r="J147" s="4" t="s">
        <v>125</v>
      </c>
    </row>
    <row r="148" spans="1:10" x14ac:dyDescent="0.25">
      <c r="A148" s="4">
        <f t="shared" ca="1" si="4"/>
        <v>145</v>
      </c>
      <c r="B148" s="4" t="s">
        <v>406</v>
      </c>
      <c r="C148" s="4" t="s">
        <v>407</v>
      </c>
      <c r="D148" s="4" t="s">
        <v>124</v>
      </c>
      <c r="E148" s="4" t="s">
        <v>66</v>
      </c>
      <c r="F148" s="4">
        <v>906.178</v>
      </c>
      <c r="G148" s="5">
        <v>99.54</v>
      </c>
      <c r="H148" s="5">
        <v>17.05</v>
      </c>
      <c r="I148" s="5">
        <v>2334</v>
      </c>
      <c r="J148" s="4" t="s">
        <v>125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124</v>
      </c>
      <c r="E149" s="4" t="s">
        <v>66</v>
      </c>
      <c r="F149" s="4">
        <v>847.26700000000005</v>
      </c>
      <c r="G149" s="5">
        <v>90.366700000000009</v>
      </c>
      <c r="H149" s="5">
        <v>17.07</v>
      </c>
      <c r="I149" s="5">
        <v>4602</v>
      </c>
      <c r="J149" s="4" t="s">
        <v>125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124</v>
      </c>
      <c r="E150" s="4" t="s">
        <v>66</v>
      </c>
      <c r="F150" s="4">
        <v>1000</v>
      </c>
      <c r="G150" s="5">
        <v>108.44710000000001</v>
      </c>
      <c r="H150" s="5">
        <v>15.44</v>
      </c>
      <c r="I150" s="5">
        <v>1993</v>
      </c>
      <c r="J150" s="4" t="s">
        <v>125</v>
      </c>
    </row>
    <row r="151" spans="1:10" x14ac:dyDescent="0.25">
      <c r="A151" s="4">
        <f t="shared" ca="1" si="4"/>
        <v>148</v>
      </c>
      <c r="B151" s="4" t="s">
        <v>412</v>
      </c>
      <c r="C151" s="4" t="s">
        <v>113</v>
      </c>
      <c r="D151" s="4" t="s">
        <v>124</v>
      </c>
      <c r="E151" s="4" t="s">
        <v>66</v>
      </c>
      <c r="F151" s="4">
        <v>850.56500000000005</v>
      </c>
      <c r="G151" s="5">
        <v>92.356500000000011</v>
      </c>
      <c r="H151" s="5">
        <v>17.03</v>
      </c>
      <c r="I151" s="5">
        <v>1604</v>
      </c>
      <c r="J151" s="4" t="s">
        <v>125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124</v>
      </c>
      <c r="E152" s="4" t="s">
        <v>66</v>
      </c>
      <c r="F152" s="4">
        <v>91.330600000000004</v>
      </c>
      <c r="G152" s="5">
        <v>91.330600000000004</v>
      </c>
      <c r="H152" s="5">
        <v>16.420000000000002</v>
      </c>
      <c r="I152" s="5">
        <v>212</v>
      </c>
      <c r="J152" s="4" t="s">
        <v>125</v>
      </c>
    </row>
    <row r="153" spans="1:10" x14ac:dyDescent="0.25">
      <c r="A153" s="4">
        <f t="shared" ca="1" si="4"/>
        <v>150</v>
      </c>
      <c r="B153" s="4" t="s">
        <v>415</v>
      </c>
      <c r="C153" s="4" t="s">
        <v>89</v>
      </c>
      <c r="D153" s="4" t="s">
        <v>124</v>
      </c>
      <c r="E153" s="4" t="s">
        <v>66</v>
      </c>
      <c r="F153" s="4">
        <v>95.256600000000006</v>
      </c>
      <c r="G153" s="5">
        <v>95.256600000000006</v>
      </c>
      <c r="H153" s="5">
        <v>16.080000000000002</v>
      </c>
      <c r="I153" s="5">
        <v>114</v>
      </c>
      <c r="J153" s="4" t="s">
        <v>125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124</v>
      </c>
      <c r="E154" s="4" t="s">
        <v>66</v>
      </c>
      <c r="F154" s="4">
        <v>858.53300000000002</v>
      </c>
      <c r="G154" s="5">
        <v>95.303300000000007</v>
      </c>
      <c r="H154" s="5">
        <v>17.080000000000002</v>
      </c>
      <c r="I154" s="5">
        <v>3408</v>
      </c>
      <c r="J154" s="4" t="s">
        <v>125</v>
      </c>
    </row>
    <row r="155" spans="1:10" x14ac:dyDescent="0.25">
      <c r="A155" s="4">
        <f t="shared" ca="1" si="4"/>
        <v>152</v>
      </c>
      <c r="B155" s="4" t="s">
        <v>418</v>
      </c>
      <c r="C155" s="4" t="s">
        <v>67</v>
      </c>
      <c r="D155" s="4" t="s">
        <v>124</v>
      </c>
      <c r="E155" s="4" t="s">
        <v>66</v>
      </c>
      <c r="F155" s="4">
        <v>0.98624999999999996</v>
      </c>
      <c r="G155" s="5">
        <v>98.716700000000003</v>
      </c>
      <c r="H155" s="5">
        <v>4.9000000000000004</v>
      </c>
      <c r="I155" s="5">
        <v>3463</v>
      </c>
      <c r="J155" s="4" t="s">
        <v>125</v>
      </c>
    </row>
    <row r="156" spans="1:10" x14ac:dyDescent="0.25">
      <c r="A156" s="4">
        <f t="shared" ca="1" si="4"/>
        <v>153</v>
      </c>
      <c r="B156" s="4" t="s">
        <v>419</v>
      </c>
      <c r="C156" s="4" t="s">
        <v>420</v>
      </c>
      <c r="D156" s="4" t="s">
        <v>124</v>
      </c>
      <c r="E156" s="4" t="s">
        <v>66</v>
      </c>
      <c r="F156" s="4">
        <v>99.656100000000009</v>
      </c>
      <c r="G156" s="5">
        <v>99.656100000000009</v>
      </c>
      <c r="H156" s="5">
        <v>15.74</v>
      </c>
      <c r="I156" s="5">
        <v>9</v>
      </c>
      <c r="J156" s="4" t="s">
        <v>125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124</v>
      </c>
      <c r="E157" s="4" t="s">
        <v>66</v>
      </c>
      <c r="F157" s="4">
        <v>1019.066</v>
      </c>
      <c r="G157" s="5">
        <v>102.23620000000001</v>
      </c>
      <c r="H157" s="5">
        <v>16.37</v>
      </c>
      <c r="I157" s="5">
        <v>1820</v>
      </c>
      <c r="J157" s="4" t="s">
        <v>125</v>
      </c>
    </row>
    <row r="158" spans="1:10" x14ac:dyDescent="0.25">
      <c r="A158" s="4">
        <f t="shared" ca="1" si="4"/>
        <v>155</v>
      </c>
      <c r="B158" s="4" t="s">
        <v>423</v>
      </c>
      <c r="C158" s="4" t="s">
        <v>424</v>
      </c>
      <c r="D158" s="4" t="s">
        <v>119</v>
      </c>
      <c r="E158" s="4" t="s">
        <v>425</v>
      </c>
      <c r="F158" s="4">
        <v>356</v>
      </c>
      <c r="G158" s="5"/>
      <c r="H158" s="5"/>
      <c r="I158" s="5"/>
      <c r="J158" s="4" t="s">
        <v>121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119</v>
      </c>
      <c r="E159" s="4" t="s">
        <v>425</v>
      </c>
      <c r="F159" s="4">
        <v>26.82</v>
      </c>
      <c r="G159" s="5"/>
      <c r="H159" s="5"/>
      <c r="I159" s="5"/>
      <c r="J159" s="4" t="s">
        <v>180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124</v>
      </c>
      <c r="E160" s="4" t="s">
        <v>425</v>
      </c>
      <c r="F160" s="4">
        <v>986.45699999999999</v>
      </c>
      <c r="G160" s="5">
        <v>105.05170000000001</v>
      </c>
      <c r="H160" s="5">
        <v>18.07</v>
      </c>
      <c r="I160" s="5">
        <v>779</v>
      </c>
      <c r="J160" s="4" t="s">
        <v>125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119</v>
      </c>
      <c r="E161" s="4" t="s">
        <v>432</v>
      </c>
      <c r="F161" s="4">
        <v>853.77</v>
      </c>
      <c r="G161" s="5"/>
      <c r="H161" s="5"/>
      <c r="I161" s="5"/>
      <c r="J161" s="4" t="s">
        <v>121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124</v>
      </c>
      <c r="E162" s="4" t="s">
        <v>435</v>
      </c>
      <c r="F162" s="4">
        <v>0.86962699999999993</v>
      </c>
      <c r="G162" s="5">
        <v>88.273800000000008</v>
      </c>
      <c r="H162" s="5">
        <v>5.72</v>
      </c>
      <c r="I162" s="5">
        <v>2029</v>
      </c>
      <c r="J162" s="4" t="s">
        <v>125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124</v>
      </c>
      <c r="E163" s="4" t="s">
        <v>435</v>
      </c>
      <c r="F163" s="4">
        <v>1001.849</v>
      </c>
      <c r="G163" s="5">
        <v>102.70780000000001</v>
      </c>
      <c r="H163" s="5">
        <v>5.2</v>
      </c>
      <c r="I163" s="5">
        <v>1469</v>
      </c>
      <c r="J163" s="4" t="s">
        <v>125</v>
      </c>
    </row>
    <row r="164" spans="1:10" x14ac:dyDescent="0.25">
      <c r="A164" s="4">
        <f t="shared" ref="A164:A174" ca="1" si="5">IF(OFFSET(A164,-1,0)="№ п/п",1,OFFSET(A164,-1,0)+1)</f>
        <v>161</v>
      </c>
      <c r="B164" s="4" t="s">
        <v>438</v>
      </c>
      <c r="C164" s="4" t="s">
        <v>439</v>
      </c>
      <c r="D164" s="4" t="s">
        <v>124</v>
      </c>
      <c r="E164" s="4" t="s">
        <v>435</v>
      </c>
      <c r="F164" s="4">
        <v>1.0072729999999999</v>
      </c>
      <c r="G164" s="5">
        <v>101.14030000000001</v>
      </c>
      <c r="H164" s="5">
        <v>3.08</v>
      </c>
      <c r="I164" s="5">
        <v>1052</v>
      </c>
      <c r="J164" s="4" t="s">
        <v>125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119</v>
      </c>
      <c r="E165" s="4" t="s">
        <v>442</v>
      </c>
      <c r="F165" s="4">
        <v>29950.54</v>
      </c>
      <c r="G165" s="5"/>
      <c r="H165" s="5"/>
      <c r="I165" s="5"/>
      <c r="J165" s="4" t="s">
        <v>121</v>
      </c>
    </row>
    <row r="166" spans="1:10" x14ac:dyDescent="0.25">
      <c r="A166" s="4">
        <f t="shared" ca="1" si="5"/>
        <v>163</v>
      </c>
      <c r="B166" s="4" t="s">
        <v>443</v>
      </c>
      <c r="C166" s="4" t="s">
        <v>444</v>
      </c>
      <c r="D166" s="4" t="s">
        <v>119</v>
      </c>
      <c r="E166" s="4" t="s">
        <v>445</v>
      </c>
      <c r="F166" s="4">
        <v>43264.77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119</v>
      </c>
      <c r="E167" s="4" t="s">
        <v>445</v>
      </c>
      <c r="F167" s="4">
        <v>77.56</v>
      </c>
      <c r="G167" s="5"/>
      <c r="H167" s="5"/>
      <c r="I167" s="5"/>
      <c r="J167" s="4" t="s">
        <v>180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124</v>
      </c>
      <c r="E168" s="4" t="s">
        <v>450</v>
      </c>
      <c r="F168" s="4">
        <v>99.980500000000006</v>
      </c>
      <c r="G168" s="5">
        <v>100.8972</v>
      </c>
      <c r="H168" s="5">
        <v>11</v>
      </c>
      <c r="I168" s="5">
        <v>336</v>
      </c>
      <c r="J168" s="4" t="s">
        <v>125</v>
      </c>
    </row>
    <row r="169" spans="1:10" x14ac:dyDescent="0.25">
      <c r="A169" s="4">
        <f t="shared" ca="1" si="5"/>
        <v>166</v>
      </c>
      <c r="B169" s="4" t="s">
        <v>451</v>
      </c>
      <c r="C169" s="4" t="s">
        <v>452</v>
      </c>
      <c r="D169" s="4" t="s">
        <v>119</v>
      </c>
      <c r="E169" s="4" t="s">
        <v>453</v>
      </c>
      <c r="F169" s="4">
        <v>818.8</v>
      </c>
      <c r="G169" s="5"/>
      <c r="H169" s="5"/>
      <c r="I169" s="5"/>
      <c r="J169" s="4" t="s">
        <v>121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124</v>
      </c>
      <c r="E170" s="4" t="s">
        <v>109</v>
      </c>
      <c r="F170" s="4">
        <v>0.997004</v>
      </c>
      <c r="G170" s="5">
        <v>100.1135</v>
      </c>
      <c r="H170" s="5">
        <v>6.43</v>
      </c>
      <c r="I170" s="5">
        <v>156</v>
      </c>
      <c r="J170" s="4" t="s">
        <v>125</v>
      </c>
    </row>
    <row r="171" spans="1:10" x14ac:dyDescent="0.25">
      <c r="A171" s="4">
        <f t="shared" ca="1" si="5"/>
        <v>168</v>
      </c>
      <c r="B171" s="4" t="s">
        <v>456</v>
      </c>
      <c r="C171" s="4" t="s">
        <v>457</v>
      </c>
      <c r="D171" s="4" t="s">
        <v>124</v>
      </c>
      <c r="E171" s="4" t="s">
        <v>109</v>
      </c>
      <c r="F171" s="4">
        <v>1000</v>
      </c>
      <c r="G171" s="5">
        <v>100.911</v>
      </c>
      <c r="H171" s="5">
        <v>17.48</v>
      </c>
      <c r="I171" s="5">
        <v>894</v>
      </c>
      <c r="J171" s="4" t="s">
        <v>125</v>
      </c>
    </row>
    <row r="172" spans="1:10" x14ac:dyDescent="0.25">
      <c r="A172" s="4">
        <f t="shared" ca="1" si="5"/>
        <v>169</v>
      </c>
      <c r="B172" s="4" t="s">
        <v>458</v>
      </c>
      <c r="C172" s="4" t="s">
        <v>110</v>
      </c>
      <c r="D172" s="4" t="s">
        <v>124</v>
      </c>
      <c r="E172" s="4" t="s">
        <v>109</v>
      </c>
      <c r="F172" s="4">
        <v>946.37104694565608</v>
      </c>
      <c r="G172" s="5">
        <v>96.345204690000003</v>
      </c>
      <c r="H172" s="5">
        <v>17.82</v>
      </c>
      <c r="I172" s="5">
        <v>688</v>
      </c>
      <c r="J172" s="4" t="s">
        <v>125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124</v>
      </c>
      <c r="E173" s="4" t="s">
        <v>109</v>
      </c>
      <c r="F173" s="4">
        <v>1000</v>
      </c>
      <c r="G173" s="5">
        <v>102.3151</v>
      </c>
      <c r="H173" s="5">
        <v>16.22</v>
      </c>
      <c r="I173" s="5">
        <v>863</v>
      </c>
      <c r="J173" s="4" t="s">
        <v>125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124</v>
      </c>
      <c r="E174" s="4" t="s">
        <v>463</v>
      </c>
      <c r="F174" s="4">
        <v>1.0167569999999999</v>
      </c>
      <c r="G174" s="5">
        <v>104.0676</v>
      </c>
      <c r="H174" s="5">
        <v>4.75</v>
      </c>
      <c r="I174" s="5">
        <v>936</v>
      </c>
      <c r="J174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2025-10-17T05:02:39Z</dcterms:created>
  <dcterms:modified xsi:type="dcterms:W3CDTF">2025-10-17T05:10:22Z</dcterms:modified>
</cp:coreProperties>
</file>