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12.2025\"/>
    </mc:Choice>
  </mc:AlternateContent>
  <xr:revisionPtr revIDLastSave="0" documentId="13_ncr:1_{8DCDCFE5-EDB9-42A6-AAF5-09502BC23135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ДУ" sheetId="1" r:id="rId1"/>
    <sheet name="комм" sheetId="3" r:id="rId2"/>
    <sheet name="Цены KASE" sheetId="2" r:id="rId3"/>
  </sheets>
  <definedNames>
    <definedName name="__mdDATACDebt__">ДУ!#REF!</definedName>
    <definedName name="__mdDATACommission__">ДУ!$C$85:$C$94</definedName>
    <definedName name="__mdDATACurrency__">ДУ!$29:$31</definedName>
    <definedName name="__mdDATADDebt__">ДУ!#REF!</definedName>
    <definedName name="__mdDATAHead__">ДУ!$B$2</definedName>
    <definedName name="__mdDATAItogoActive__">ДУ!$B$70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70" i="1" l="1"/>
  <c r="O63" i="1"/>
  <c r="O26" i="1"/>
  <c r="D30" i="1"/>
  <c r="F91" i="1"/>
  <c r="F90" i="1"/>
  <c r="C95" i="1"/>
  <c r="F2" i="3"/>
  <c r="C2" i="3"/>
  <c r="B70" i="1" l="1"/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B1" i="2"/>
  <c r="G79" i="1"/>
  <c r="F79" i="1"/>
  <c r="E79" i="1"/>
  <c r="G68" i="1"/>
  <c r="F68" i="1"/>
  <c r="E68" i="1"/>
  <c r="M63" i="1"/>
  <c r="M61" i="1"/>
  <c r="H61" i="1"/>
  <c r="M60" i="1"/>
  <c r="H60" i="1"/>
  <c r="M59" i="1"/>
  <c r="H59" i="1"/>
  <c r="M58" i="1"/>
  <c r="H58" i="1"/>
  <c r="M57" i="1"/>
  <c r="H57" i="1"/>
  <c r="M56" i="1"/>
  <c r="H56" i="1"/>
  <c r="M55" i="1"/>
  <c r="H55" i="1"/>
  <c r="M54" i="1"/>
  <c r="H54" i="1"/>
  <c r="M53" i="1"/>
  <c r="H53" i="1"/>
  <c r="M52" i="1"/>
  <c r="H52" i="1"/>
  <c r="M51" i="1"/>
  <c r="H51" i="1"/>
  <c r="M50" i="1"/>
  <c r="H50" i="1"/>
  <c r="M49" i="1"/>
  <c r="H49" i="1"/>
  <c r="M48" i="1"/>
  <c r="H48" i="1"/>
  <c r="M47" i="1"/>
  <c r="H47" i="1"/>
  <c r="M46" i="1"/>
  <c r="H46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K26" i="1"/>
  <c r="H26" i="1"/>
  <c r="D26" i="1"/>
  <c r="M17" i="1"/>
  <c r="M9" i="1"/>
  <c r="Q1" i="1"/>
  <c r="M23" i="1" s="1"/>
  <c r="M10" i="1" l="1"/>
  <c r="M18" i="1"/>
  <c r="M13" i="1"/>
  <c r="M21" i="1"/>
  <c r="M14" i="1"/>
  <c r="M22" i="1"/>
  <c r="M8" i="1"/>
  <c r="M12" i="1"/>
  <c r="M16" i="1"/>
  <c r="M20" i="1"/>
  <c r="M24" i="1"/>
  <c r="M11" i="1"/>
  <c r="M15" i="1"/>
  <c r="M19" i="1"/>
  <c r="M26" i="1" l="1"/>
  <c r="F87" i="1" l="1"/>
  <c r="E95" i="1" l="1"/>
  <c r="B2" i="3" s="1"/>
  <c r="G2" i="3" s="1"/>
  <c r="H2" i="3" s="1"/>
  <c r="F89" i="1"/>
</calcChain>
</file>

<file path=xl/sharedStrings.xml><?xml version="1.0" encoding="utf-8"?>
<sst xmlns="http://schemas.openxmlformats.org/spreadsheetml/2006/main" count="1230" uniqueCount="511">
  <si>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</si>
  <si>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</si>
  <si>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</si>
  <si>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</si>
  <si>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</si>
  <si>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</si>
  <si>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</si>
  <si>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</si>
  <si>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</si>
  <si>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</si>
  <si>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</si>
  <si>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</si>
  <si>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</si>
  <si>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</si>
  <si>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</si>
  <si>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</si>
  <si>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</si>
  <si>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</si>
  <si>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</si>
  <si>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</si>
  <si>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</si>
  <si>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</si>
  <si>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</si>
  <si>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</si>
  <si>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</si>
  <si>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</si>
  <si>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</si>
  <si>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</si>
  <si>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</si>
  <si>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</si>
  <si>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</si>
  <si>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</si>
  <si>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</si>
  <si>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</si>
  <si>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</si>
  <si>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</si>
  <si>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</si>
  <si>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</si>
  <si>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</si>
  <si>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</si>
  <si>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</si>
  <si>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</si>
  <si>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</si>
  <si>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</si>
  <si>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</si>
  <si>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</si>
  <si>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</si>
  <si>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</si>
  <si>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</si>
  <si>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</si>
  <si>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</si>
  <si>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</si>
  <si>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</si>
  <si>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</si>
  <si>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</si>
  <si>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</si>
  <si>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</si>
  <si>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</si>
  <si>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</si>
  <si>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</si>
  <si>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</si>
  <si>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</si>
  <si>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</si>
  <si>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</si>
  <si>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</si>
  <si>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</si>
  <si>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</si>
  <si>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XS1901718335</t>
  </si>
  <si>
    <t>KZT</t>
  </si>
  <si>
    <t>30.12.2025</t>
  </si>
  <si>
    <t>31.12.2025</t>
  </si>
  <si>
    <t>Европейский банк реконструкции и развития</t>
  </si>
  <si>
    <t>XS3059487721</t>
  </si>
  <si>
    <t>Евразийский банк развития</t>
  </si>
  <si>
    <t>KZ2D00009628</t>
  </si>
  <si>
    <t>KZKD00001178</t>
  </si>
  <si>
    <t>KZKD00000964</t>
  </si>
  <si>
    <t>KZKD00000972</t>
  </si>
  <si>
    <t>KZKD00001137</t>
  </si>
  <si>
    <t>KZK200000737</t>
  </si>
  <si>
    <t>KZK200000729</t>
  </si>
  <si>
    <t>KZKD00001129</t>
  </si>
  <si>
    <t>KZKD00001103</t>
  </si>
  <si>
    <t>АО "Казахстанский фонд устойчивости"</t>
  </si>
  <si>
    <t>KZ2C00007326</t>
  </si>
  <si>
    <t>KZ2C00006906</t>
  </si>
  <si>
    <t>KZ2C00008936</t>
  </si>
  <si>
    <t>KZ2C00008944</t>
  </si>
  <si>
    <t>KZ2D00013620</t>
  </si>
  <si>
    <t>05.01.2026</t>
  </si>
  <si>
    <t>KZKD00001236</t>
  </si>
  <si>
    <t>KZ96601A861038102391</t>
  </si>
  <si>
    <t>KZK200000687</t>
  </si>
  <si>
    <t>18.07.2024</t>
  </si>
  <si>
    <t>21.01.2026</t>
  </si>
  <si>
    <t>KZKD00000535</t>
  </si>
  <si>
    <t>27.03.2027</t>
  </si>
  <si>
    <t>12.04.2028</t>
  </si>
  <si>
    <t>KZKD00001087</t>
  </si>
  <si>
    <t>31.03.2029</t>
  </si>
  <si>
    <t>KZKD00001160</t>
  </si>
  <si>
    <t>28.07.2029</t>
  </si>
  <si>
    <t>17.03.2031</t>
  </si>
  <si>
    <t>KZKD00000949</t>
  </si>
  <si>
    <t>16.04.2032</t>
  </si>
  <si>
    <t>KZKD00001152</t>
  </si>
  <si>
    <t>26.07.2032</t>
  </si>
  <si>
    <t>KZKD00000741</t>
  </si>
  <si>
    <t>12.05.2034</t>
  </si>
  <si>
    <t>KZKD00000832</t>
  </si>
  <si>
    <t>29.01.2035</t>
  </si>
  <si>
    <t>KZ2D00011863</t>
  </si>
  <si>
    <t>24.09.2024</t>
  </si>
  <si>
    <t>03.09.2027</t>
  </si>
  <si>
    <t>KZKD00001251</t>
  </si>
  <si>
    <t>13.03.2025</t>
  </si>
  <si>
    <t>07.03.2030</t>
  </si>
  <si>
    <t>KZKD00000790</t>
  </si>
  <si>
    <t>10.07.2025</t>
  </si>
  <si>
    <t>13.08.2029</t>
  </si>
  <si>
    <t>KZK100000373</t>
  </si>
  <si>
    <t>06.02.2026</t>
  </si>
  <si>
    <t>KZKD00000477</t>
  </si>
  <si>
    <t>24.07.2025</t>
  </si>
  <si>
    <t>19.10.2027</t>
  </si>
  <si>
    <t>KZKD00000444</t>
  </si>
  <si>
    <t>21.08.2025</t>
  </si>
  <si>
    <t>18.08.2026</t>
  </si>
  <si>
    <t>KZK200000760</t>
  </si>
  <si>
    <t>14.08.2025</t>
  </si>
  <si>
    <t>07.08.2029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</si>
  <si>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</si>
  <si>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</si>
  <si>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</si>
  <si>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</si>
  <si>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</si>
  <si>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</si>
  <si>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</si>
  <si>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Облигации</t>
  </si>
  <si>
    <t>Чистая цена в %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</si>
  <si>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</si>
  <si>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</si>
  <si>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</si>
  <si>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</si>
  <si>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</si>
  <si>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</si>
  <si>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</si>
  <si>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</si>
  <si>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</si>
  <si>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</si>
  <si>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</si>
  <si>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</si>
  <si>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</si>
  <si>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</si>
  <si>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</si>
  <si>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</si>
  <si>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KMGZe16</t>
  </si>
  <si>
    <t>XS2242422397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</si>
  <si>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</si>
  <si>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</si>
  <si>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</si>
  <si>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</si>
  <si>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</si>
  <si>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</si>
  <si>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</si>
  <si>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</si>
  <si>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</si>
  <si>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</si>
  <si>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</si>
  <si>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</si>
  <si>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MTM060_0001</t>
  </si>
  <si>
    <t>KZKT00000032</t>
  </si>
  <si>
    <t>MTM084_0001</t>
  </si>
  <si>
    <t>KZKT00000073</t>
  </si>
  <si>
    <t>BCCIbe</t>
  </si>
  <si>
    <t>KZPF00000553</t>
  </si>
  <si>
    <t>BTRKb9</t>
  </si>
  <si>
    <t>KZ2C00010304</t>
  </si>
  <si>
    <t>MFTSb2</t>
  </si>
  <si>
    <t>KZ2P00010788</t>
  </si>
  <si>
    <t>MFOKb27</t>
  </si>
  <si>
    <t>KZ2C00010833</t>
  </si>
  <si>
    <t>MFDFb4</t>
  </si>
  <si>
    <t>KZ2P00015985</t>
  </si>
  <si>
    <t>KASAb1</t>
  </si>
  <si>
    <t>KZ2C00013753</t>
  </si>
  <si>
    <t>MFRFb24</t>
  </si>
  <si>
    <t>KZ2P00015845</t>
  </si>
  <si>
    <t>CLSGb4</t>
  </si>
  <si>
    <t>KZ2P00011604</t>
  </si>
  <si>
    <t>MFMOb23</t>
  </si>
  <si>
    <t>KZ2P00013154</t>
  </si>
  <si>
    <t>MFTSb3</t>
  </si>
  <si>
    <t>KZ2P00014400</t>
  </si>
  <si>
    <t>MFMOb18</t>
  </si>
  <si>
    <t>KZ2P00013444</t>
  </si>
  <si>
    <t>MFTSb5</t>
  </si>
  <si>
    <t>KZ2P00016231</t>
  </si>
  <si>
    <t>MFKMb8</t>
  </si>
  <si>
    <t>KZ2C00016426</t>
  </si>
  <si>
    <t>MFRFb14</t>
  </si>
  <si>
    <t>KZ2P00011687</t>
  </si>
  <si>
    <t>MFOKb26</t>
  </si>
  <si>
    <t>KZ2C00013274</t>
  </si>
  <si>
    <t>MFMOb29</t>
  </si>
  <si>
    <t>KZ2P00014459</t>
  </si>
  <si>
    <t>MFSLb3</t>
  </si>
  <si>
    <t>KZ2P00011729</t>
  </si>
  <si>
    <t>MFOKb22</t>
  </si>
  <si>
    <t>KZ2C00011914</t>
  </si>
  <si>
    <t>MFOKb21</t>
  </si>
  <si>
    <t>KZ2C00011906</t>
  </si>
  <si>
    <t>MFOKb24</t>
  </si>
  <si>
    <t>KZ2C00013258</t>
  </si>
  <si>
    <t>BIGDb5</t>
  </si>
  <si>
    <t>KZ2D00012861</t>
  </si>
  <si>
    <t>MFOKb31</t>
  </si>
  <si>
    <t>KZ2C00015576</t>
  </si>
  <si>
    <t>MFOKb30</t>
  </si>
  <si>
    <t>KZ2C00015568</t>
  </si>
  <si>
    <t>MTC048_0001</t>
  </si>
  <si>
    <t>KZKF00000012</t>
  </si>
  <si>
    <t>MFOKb20</t>
  </si>
  <si>
    <t>KZ2C00010916</t>
  </si>
  <si>
    <t>MFMOb33</t>
  </si>
  <si>
    <t>KZ2P00014608</t>
  </si>
  <si>
    <t>MFOKb18</t>
  </si>
  <si>
    <t>KZ2C00010478</t>
  </si>
  <si>
    <t>MFOKb25</t>
  </si>
  <si>
    <t>KZ2C00013266</t>
  </si>
  <si>
    <t>MFRFb16</t>
  </si>
  <si>
    <t>KZ2P00013063</t>
  </si>
  <si>
    <t>MFOKb28</t>
  </si>
  <si>
    <t>KZ2C00015394</t>
  </si>
  <si>
    <t>MFRFb18</t>
  </si>
  <si>
    <t>KZ2P00013998</t>
  </si>
  <si>
    <t>MFMOb25</t>
  </si>
  <si>
    <t>KZ2P00013220</t>
  </si>
  <si>
    <t>MFMCb2</t>
  </si>
  <si>
    <t>KZ2P00011968</t>
  </si>
  <si>
    <t>MFRFb19</t>
  </si>
  <si>
    <t>KZ2P00014004</t>
  </si>
  <si>
    <t>TSSPb1</t>
  </si>
  <si>
    <t>KZ2P00008113</t>
  </si>
  <si>
    <t>BIGDb6</t>
  </si>
  <si>
    <t>KZ2D00015328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</si>
  <si>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</si>
  <si>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</si>
  <si>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</si>
  <si>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</si>
  <si>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</si>
  <si>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</si>
  <si>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</si>
  <si>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</si>
  <si>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KMGZ</t>
  </si>
  <si>
    <t>KZ1C00001122</t>
  </si>
  <si>
    <t>АО "НАЦИОНАЛЬНАЯ КОМПАНИЯ "КАЗМУНАЙГАЗ"</t>
  </si>
  <si>
    <t>KMGZe14</t>
  </si>
  <si>
    <t>XS1807300105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</si>
  <si>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</si>
  <si>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</si>
  <si>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</si>
  <si>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</si>
  <si>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</si>
  <si>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</si>
  <si>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KZIKb39</t>
  </si>
  <si>
    <t>KZ2C00014736</t>
  </si>
  <si>
    <t>АО "КАЗАХСТАНСКАЯ ИПОТЕЧНАЯ КОМПАНИЯ"</t>
  </si>
  <si>
    <t>CCBNp</t>
  </si>
  <si>
    <t>KZ000A0H0930</t>
  </si>
  <si>
    <t>АО "Банк ЦентрКредит"</t>
  </si>
  <si>
    <t>CCBN</t>
  </si>
  <si>
    <t>KZ0007786572</t>
  </si>
  <si>
    <t>HCBNb11</t>
  </si>
  <si>
    <t>KZ2C00009926</t>
  </si>
  <si>
    <t>ОАО "ГАЗПРОМ"</t>
  </si>
  <si>
    <t>HCBNb13</t>
  </si>
  <si>
    <t>KZ2C00011195</t>
  </si>
  <si>
    <t>NTK029_2870</t>
  </si>
  <si>
    <t>KZW100014361</t>
  </si>
  <si>
    <t>HCBNb15</t>
  </si>
  <si>
    <t>KZ2C00011401</t>
  </si>
  <si>
    <t>ALMSb1</t>
  </si>
  <si>
    <t>KZ2C00012953</t>
  </si>
  <si>
    <t>HCBNb19</t>
  </si>
  <si>
    <t>KZ2C00014124</t>
  </si>
  <si>
    <t>HCBNb17</t>
  </si>
  <si>
    <t>KZ2C00014066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</si>
  <si>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</si>
  <si>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</si>
  <si>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</si>
  <si>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</si>
  <si>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</si>
  <si>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</si>
  <si>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</si>
  <si>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</si>
  <si>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</si>
  <si>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</si>
  <si>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</si>
  <si>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</si>
  <si>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</si>
  <si>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</si>
  <si>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</si>
  <si>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</si>
  <si>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MUJ228_0004</t>
  </si>
  <si>
    <t>KZKA00000371</t>
  </si>
  <si>
    <t>MUM180_0005</t>
  </si>
  <si>
    <t>KZKD00000493</t>
  </si>
  <si>
    <t>MUJ228_0003</t>
  </si>
  <si>
    <t>KZKA00000322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</si>
  <si>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</si>
  <si>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</si>
  <si>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</si>
  <si>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</si>
  <si>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</si>
  <si>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</si>
  <si>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</si>
  <si>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</si>
  <si>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</si>
  <si>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</si>
  <si>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</si>
  <si>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</si>
  <si>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</si>
  <si>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</si>
  <si>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</si>
  <si>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</si>
  <si>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</si>
  <si>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</si>
  <si>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</si>
  <si>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</si>
  <si>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</si>
  <si>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</si>
  <si>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</si>
  <si>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</si>
  <si>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</si>
  <si>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</si>
  <si>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</si>
  <si>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</si>
  <si>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MUM180_0013</t>
  </si>
  <si>
    <t>KZKD00000931</t>
  </si>
  <si>
    <t>MUM180_0014</t>
  </si>
  <si>
    <t>KZKD00000956</t>
  </si>
  <si>
    <t>MUM168_0003</t>
  </si>
  <si>
    <t>MUM156_0006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</si>
  <si>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</si>
  <si>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</si>
  <si>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</si>
  <si>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</si>
  <si>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</si>
  <si>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</si>
  <si>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</si>
  <si>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</si>
  <si>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</si>
  <si>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</si>
  <si>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</si>
  <si>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</si>
  <si>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</si>
  <si>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</si>
  <si>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</si>
  <si>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</si>
  <si>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KZKD00000857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</si>
  <si>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</si>
  <si>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</si>
  <si>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</si>
  <si>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</si>
  <si>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</si>
  <si>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</si>
  <si>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</si>
  <si>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</si>
  <si>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</si>
  <si>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</si>
  <si>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</si>
  <si>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</si>
  <si>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</si>
  <si>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</si>
  <si>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</si>
  <si>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</si>
  <si>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</si>
  <si>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</si>
  <si>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</si>
  <si>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</si>
  <si>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</si>
  <si>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</si>
  <si>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</si>
  <si>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</si>
  <si>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</si>
  <si>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</si>
  <si>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</si>
  <si>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</si>
  <si>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</si>
  <si>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</si>
  <si>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</si>
  <si>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</si>
  <si>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</si>
  <si>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</si>
  <si>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</si>
  <si>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</si>
  <si>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</si>
  <si>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</si>
  <si>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</si>
  <si>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</si>
  <si>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</si>
  <si>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</si>
  <si>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</si>
  <si>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</si>
  <si>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MOM048_0054</t>
  </si>
  <si>
    <t>MOM060_0054</t>
  </si>
  <si>
    <t>MTM096_0001</t>
  </si>
  <si>
    <t>KZKT00000057</t>
  </si>
  <si>
    <t>MUM108_0014</t>
  </si>
  <si>
    <t>MUM072_0014</t>
  </si>
  <si>
    <t>KZKD00001210</t>
  </si>
  <si>
    <t>MTM048_0001</t>
  </si>
  <si>
    <t>KZKT00000024</t>
  </si>
  <si>
    <t>MUM096_0014</t>
  </si>
  <si>
    <t>KZKD00001228</t>
  </si>
  <si>
    <t>MOM048_0053</t>
  </si>
  <si>
    <t>KZK200000711</t>
  </si>
  <si>
    <t>MUM096_0015</t>
  </si>
  <si>
    <t>KZKD00001301</t>
  </si>
  <si>
    <t>MUM084_0019</t>
  </si>
  <si>
    <t>KZKD00001244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</si>
  <si>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</si>
  <si>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</si>
  <si>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</si>
  <si>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</si>
  <si>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</si>
  <si>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</si>
  <si>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</si>
  <si>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</si>
  <si>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</si>
  <si>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</si>
  <si>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</si>
  <si>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</si>
  <si>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</si>
  <si>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</si>
  <si>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</si>
  <si>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</si>
  <si>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</si>
  <si>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MOM060_0055</t>
  </si>
  <si>
    <t>KZK200000778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</si>
  <si>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</si>
  <si>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</si>
  <si>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</si>
  <si>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</si>
  <si>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</si>
  <si>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</si>
  <si>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</si>
  <si>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</si>
  <si>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</si>
  <si>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</si>
  <si>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</si>
  <si>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BRKZb14</t>
  </si>
  <si>
    <t>KZ2C00004273</t>
  </si>
  <si>
    <t>АО "Банк Развития Казахстана"</t>
  </si>
  <si>
    <t>BRKZe12</t>
  </si>
  <si>
    <t>XS2337670694</t>
  </si>
  <si>
    <t>BRKZe16</t>
  </si>
  <si>
    <t>XS2917067204</t>
  </si>
  <si>
    <t>BRKZe22</t>
  </si>
  <si>
    <t>XS3204113354</t>
  </si>
  <si>
    <t>BRKZe18</t>
  </si>
  <si>
    <t>XS3032932645</t>
  </si>
  <si>
    <t>KFUSb47</t>
  </si>
  <si>
    <t>KFUSb48</t>
  </si>
  <si>
    <t>KFUSb46</t>
  </si>
  <si>
    <t>KZ2C00008928</t>
  </si>
  <si>
    <t>KFUSb49</t>
  </si>
  <si>
    <t>KZ2C00008951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</si>
  <si>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</si>
  <si>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</si>
  <si>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</si>
  <si>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</si>
  <si>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</si>
  <si>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</si>
  <si>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</si>
  <si>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</si>
  <si>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KAFIb16</t>
  </si>
  <si>
    <t>KZ2C00015535</t>
  </si>
  <si>
    <t>АО "КазАгроФинанс"</t>
  </si>
  <si>
    <t>KAFIb17</t>
  </si>
  <si>
    <t>KZ2C00015543</t>
  </si>
  <si>
    <t>TSBNb36</t>
  </si>
  <si>
    <t>KZ2C00004463</t>
  </si>
  <si>
    <t>First Heartland Jusan Bank АО</t>
  </si>
  <si>
    <t>TSBNb33</t>
  </si>
  <si>
    <t>KZ2C00004430</t>
  </si>
  <si>
    <t>NCOMb9</t>
  </si>
  <si>
    <t>KZ2P00016330</t>
  </si>
  <si>
    <t>ТОО "FINCRAFT GROUP"</t>
  </si>
  <si>
    <t>AIRA</t>
  </si>
  <si>
    <t>KZ1C00004050</t>
  </si>
  <si>
    <t>АО "ЭЙР АСТАНА"</t>
  </si>
  <si>
    <t>EABRb40</t>
  </si>
  <si>
    <t>EABRb53</t>
  </si>
  <si>
    <t>EABRb52</t>
  </si>
  <si>
    <t>EABRb42</t>
  </si>
  <si>
    <t>KZ2D00009222</t>
  </si>
  <si>
    <t>BTRKe2</t>
  </si>
  <si>
    <t>XS3189694345</t>
  </si>
  <si>
    <t>АО "НУХ Байтерек"</t>
  </si>
  <si>
    <t xml:space="preserve">Средняя грязная </t>
  </si>
  <si>
    <t xml:space="preserve">Сумма комиссий кроме ДУ </t>
  </si>
  <si>
    <t xml:space="preserve">Месячная доля комиссии ДУ </t>
  </si>
  <si>
    <t>К оплате</t>
  </si>
  <si>
    <t>КФГД</t>
  </si>
  <si>
    <t>Оплаченная комиссия ДУ за ноябрь</t>
  </si>
  <si>
    <t>Фактическая комиссия  за ноябрь</t>
  </si>
  <si>
    <t>Корректировка комиссии ДУ за ноябрь</t>
  </si>
  <si>
    <t>Комиссия ДУ за декабрь</t>
  </si>
  <si>
    <t>перед.комм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</si>
</sst>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0" formatCode="_-* #,##0.0000\ _₸_-;\-* #,##0.0000\ _₸_-;_-* &quot;-&quot;????\ _₸_-;_-@_-"/>
    <numFmt numFmtId="171" formatCode="_-* #,##0.0000\ _₽_-;\-* #,##0.0000\ _₽_-;_-* &quot;-&quot;??\ _₽_-;_-@_-"/>
    <numFmt numFmtId="172" formatCode="#,##0.0"/>
    <numFmt numFmtId="173" formatCode="_-* #,##0.00\ _₸_-;\-* #,##0.00\ _₸_-;_-* &quot;-&quot;??\ _₸_-;_-@_-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5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78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43" fontId="11" fillId="0" borderId="1" xfId="2" applyFont="1" applyBorder="1" applyAlignment="1">
      <alignment vertical="center"/>
    </xf>
    <xf numFmtId="0" fontId="0" fillId="0" borderId="0" xfId="0" applyAlignment="1">
      <alignment wrapText="1"/>
    </xf>
    <xf numFmtId="4" fontId="0" fillId="0" borderId="0" xfId="0" applyNumberFormat="1"/>
    <xf numFmtId="43" fontId="0" fillId="0" borderId="0" xfId="4" applyFont="1"/>
    <xf numFmtId="43" fontId="0" fillId="0" borderId="0" xfId="0" applyNumberFormat="1"/>
    <xf numFmtId="43" fontId="0" fillId="3" borderId="0" xfId="4" applyFont="1" applyFill="1"/>
    <xf numFmtId="168" fontId="3" fillId="4" borderId="0" xfId="0" applyNumberFormat="1" applyFont="1" applyFill="1"/>
    <xf numFmtId="170" fontId="0" fillId="0" borderId="0" xfId="0" applyNumberFormat="1"/>
    <xf numFmtId="171" fontId="0" fillId="0" borderId="0" xfId="0" applyNumberFormat="1"/>
    <xf numFmtId="168" fontId="0" fillId="0" borderId="0" xfId="0" applyNumberFormat="1"/>
    <xf numFmtId="43" fontId="10" fillId="0" borderId="1" xfId="2" applyFont="1" applyBorder="1" applyAlignment="1">
      <alignment vertical="center"/>
    </xf>
    <xf numFmtId="169" fontId="7" fillId="0" borderId="0" xfId="0" applyNumberFormat="1" applyFont="1"/>
    <xf numFmtId="43" fontId="13" fillId="0" borderId="0" xfId="2" applyFont="1"/>
    <xf numFmtId="172" fontId="6" fillId="0" borderId="0" xfId="0" applyNumberFormat="1" applyFont="1"/>
    <xf numFmtId="43" fontId="14" fillId="0" borderId="0" xfId="2" applyFont="1"/>
    <xf numFmtId="172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horizontal="center" vertical="center"/>
    </xf>
    <xf numFmtId="173" fontId="0" fillId="0" borderId="0" xfId="0" applyNumberFormat="1"/>
  </cellXfs>
  <cellStyles count="5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  <cellStyle name="Финансовый 5" xfId="4" xr:uid="{3DF278F6-5933-4F00-81E3-EECC7F77D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304800</xdr:colOff>
      <xdr:row>12</xdr:row>
      <xdr:rowOff>114300</xdr:rowOff>
    </xdr:from>
    <xdr:to>
      <xdr:col>4</xdr:col>
      <xdr:colOff>1086778</xdr:colOff>
      <xdr:row>53</xdr:row>
      <xdr:rowOff>58232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6EFA273F-A66D-4DF7-A297-BE37F6B89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2781300"/>
          <a:ext cx="6649378" cy="775443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opLeftCell="A54" workbookViewId="0">
      <selection activeCell="E90" sqref="E90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27179330898.089054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92</v>
      </c>
      <c r="C8" s="16">
        <v>2530000</v>
      </c>
      <c r="D8" s="17">
        <v>2530000000</v>
      </c>
      <c r="E8" s="18">
        <v>10.67</v>
      </c>
      <c r="F8" s="19" t="s">
        <v>93</v>
      </c>
      <c r="G8" s="19" t="s">
        <v>94</v>
      </c>
      <c r="H8" s="18">
        <v>2455119589.9966769</v>
      </c>
      <c r="I8" s="20">
        <v>99.674300000000002</v>
      </c>
      <c r="J8" s="20">
        <v>104.38690000000001</v>
      </c>
      <c r="K8" s="18">
        <v>119228358.333333</v>
      </c>
      <c r="L8" s="18">
        <v>2640988148.333333</v>
      </c>
      <c r="M8" s="21">
        <f t="shared" ref="M8:M24" si="0">L8/$Q$1</f>
        <v>9.7168990592002305E-2</v>
      </c>
      <c r="O8" s="10">
        <v>749863.88888888899</v>
      </c>
    </row>
    <row r="9" spans="1:17" x14ac:dyDescent="0.2">
      <c r="A9" s="15" t="s">
        <v>66</v>
      </c>
      <c r="B9" s="15" t="s">
        <v>95</v>
      </c>
      <c r="C9" s="16">
        <v>3162500</v>
      </c>
      <c r="D9" s="17">
        <v>3162500000</v>
      </c>
      <c r="E9" s="18">
        <v>5.49</v>
      </c>
      <c r="F9" s="19" t="s">
        <v>93</v>
      </c>
      <c r="G9" s="19" t="s">
        <v>96</v>
      </c>
      <c r="H9" s="18">
        <v>2627740225</v>
      </c>
      <c r="I9" s="20">
        <v>88.150100000000009</v>
      </c>
      <c r="J9" s="20">
        <v>92.313400000000001</v>
      </c>
      <c r="K9" s="18">
        <v>131662781.25</v>
      </c>
      <c r="L9" s="18">
        <v>2919409693.75</v>
      </c>
      <c r="M9" s="21">
        <f t="shared" si="0"/>
        <v>0.10741286107066235</v>
      </c>
      <c r="O9" s="10">
        <v>749863.88888888899</v>
      </c>
    </row>
    <row r="10" spans="1:17" x14ac:dyDescent="0.2">
      <c r="A10" s="15" t="s">
        <v>66</v>
      </c>
      <c r="B10" s="15" t="s">
        <v>78</v>
      </c>
      <c r="C10" s="16">
        <v>1897500</v>
      </c>
      <c r="D10" s="17">
        <v>1897500000</v>
      </c>
      <c r="E10" s="18">
        <v>10.4</v>
      </c>
      <c r="F10" s="19" t="s">
        <v>93</v>
      </c>
      <c r="G10" s="19" t="s">
        <v>97</v>
      </c>
      <c r="H10" s="18">
        <v>1736743800</v>
      </c>
      <c r="I10" s="20">
        <v>88.996099999999998</v>
      </c>
      <c r="J10" s="20">
        <v>96.449400000000011</v>
      </c>
      <c r="K10" s="18">
        <v>141427000</v>
      </c>
      <c r="L10" s="18">
        <v>1830127997.5</v>
      </c>
      <c r="M10" s="21">
        <f t="shared" si="0"/>
        <v>6.7335285197498151E-2</v>
      </c>
      <c r="O10" s="10">
        <v>749863.88888888899</v>
      </c>
    </row>
    <row r="11" spans="1:17" x14ac:dyDescent="0.2">
      <c r="A11" s="15" t="s">
        <v>66</v>
      </c>
      <c r="B11" s="15" t="s">
        <v>98</v>
      </c>
      <c r="C11" s="16">
        <v>1897500</v>
      </c>
      <c r="D11" s="17">
        <v>1897500000</v>
      </c>
      <c r="E11" s="18">
        <v>11</v>
      </c>
      <c r="F11" s="19" t="s">
        <v>93</v>
      </c>
      <c r="G11" s="19" t="s">
        <v>99</v>
      </c>
      <c r="H11" s="18">
        <v>1743261712.5</v>
      </c>
      <c r="I11" s="20">
        <v>87.473300000000009</v>
      </c>
      <c r="J11" s="20">
        <v>95.723300000000009</v>
      </c>
      <c r="K11" s="18">
        <v>156543750</v>
      </c>
      <c r="L11" s="18">
        <v>1816349617.5</v>
      </c>
      <c r="M11" s="21">
        <f t="shared" si="0"/>
        <v>6.6828341886359874E-2</v>
      </c>
      <c r="O11" s="10">
        <v>749863.88888888899</v>
      </c>
    </row>
    <row r="12" spans="1:17" x14ac:dyDescent="0.2">
      <c r="A12" s="15" t="s">
        <v>66</v>
      </c>
      <c r="B12" s="15" t="s">
        <v>100</v>
      </c>
      <c r="C12" s="16">
        <v>1897500</v>
      </c>
      <c r="D12" s="17">
        <v>1897500000</v>
      </c>
      <c r="E12" s="18">
        <v>10.55</v>
      </c>
      <c r="F12" s="19" t="s">
        <v>93</v>
      </c>
      <c r="G12" s="19" t="s">
        <v>101</v>
      </c>
      <c r="H12" s="18">
        <v>1708326839.9966669</v>
      </c>
      <c r="I12" s="20">
        <v>85.552499999999995</v>
      </c>
      <c r="J12" s="20">
        <v>90.006900000000002</v>
      </c>
      <c r="K12" s="18">
        <v>84523083.333333328</v>
      </c>
      <c r="L12" s="18">
        <v>1707881770.833333</v>
      </c>
      <c r="M12" s="21">
        <f t="shared" si="0"/>
        <v>6.2837520807159097E-2</v>
      </c>
      <c r="O12" s="10">
        <v>749863.88888888899</v>
      </c>
    </row>
    <row r="13" spans="1:17" x14ac:dyDescent="0.2">
      <c r="A13" s="15" t="s">
        <v>66</v>
      </c>
      <c r="B13" s="15" t="s">
        <v>81</v>
      </c>
      <c r="C13" s="16">
        <v>1897500</v>
      </c>
      <c r="D13" s="17">
        <v>1897500000</v>
      </c>
      <c r="E13" s="18">
        <v>10.3</v>
      </c>
      <c r="F13" s="19" t="s">
        <v>93</v>
      </c>
      <c r="G13" s="19" t="s">
        <v>102</v>
      </c>
      <c r="H13" s="18">
        <v>1645329839.996666</v>
      </c>
      <c r="I13" s="20">
        <v>81.294300000000007</v>
      </c>
      <c r="J13" s="20">
        <v>89.391199999999998</v>
      </c>
      <c r="K13" s="18">
        <v>153639520.83333299</v>
      </c>
      <c r="L13" s="18">
        <v>1696198863.333333</v>
      </c>
      <c r="M13" s="21">
        <f t="shared" si="0"/>
        <v>6.2407675512445769E-2</v>
      </c>
      <c r="O13" s="10">
        <v>749863.88888888899</v>
      </c>
    </row>
    <row r="14" spans="1:17" x14ac:dyDescent="0.2">
      <c r="A14" s="15" t="s">
        <v>66</v>
      </c>
      <c r="B14" s="15" t="s">
        <v>103</v>
      </c>
      <c r="C14" s="16">
        <v>1897500</v>
      </c>
      <c r="D14" s="17">
        <v>1897500000</v>
      </c>
      <c r="E14" s="18">
        <v>8.4499999999999993</v>
      </c>
      <c r="F14" s="19" t="s">
        <v>93</v>
      </c>
      <c r="G14" s="19" t="s">
        <v>104</v>
      </c>
      <c r="H14" s="18">
        <v>1457889097.496666</v>
      </c>
      <c r="I14" s="20">
        <v>72.270700000000005</v>
      </c>
      <c r="J14" s="20">
        <v>78.232600000000005</v>
      </c>
      <c r="K14" s="18">
        <v>113127895.833333</v>
      </c>
      <c r="L14" s="18">
        <v>1484464428.333333</v>
      </c>
      <c r="M14" s="21">
        <f t="shared" si="0"/>
        <v>5.4617401506293295E-2</v>
      </c>
      <c r="O14" s="10">
        <v>749863.88888888899</v>
      </c>
    </row>
    <row r="15" spans="1:17" x14ac:dyDescent="0.2">
      <c r="A15" s="15" t="s">
        <v>66</v>
      </c>
      <c r="B15" s="15" t="s">
        <v>105</v>
      </c>
      <c r="C15" s="16">
        <v>1897500</v>
      </c>
      <c r="D15" s="17">
        <v>1897500000</v>
      </c>
      <c r="E15" s="18">
        <v>10.65</v>
      </c>
      <c r="F15" s="19" t="s">
        <v>93</v>
      </c>
      <c r="G15" s="19" t="s">
        <v>106</v>
      </c>
      <c r="H15" s="18">
        <v>1648500562.5</v>
      </c>
      <c r="I15" s="20">
        <v>80.155200000000008</v>
      </c>
      <c r="J15" s="20">
        <v>84.710999999999999</v>
      </c>
      <c r="K15" s="18">
        <v>86446937.5</v>
      </c>
      <c r="L15" s="18">
        <v>1607391857.5</v>
      </c>
      <c r="M15" s="21">
        <f t="shared" si="0"/>
        <v>5.9140229151594524E-2</v>
      </c>
      <c r="O15" s="10">
        <v>749863.88888888899</v>
      </c>
    </row>
    <row r="16" spans="1:17" x14ac:dyDescent="0.2">
      <c r="A16" s="15" t="s">
        <v>66</v>
      </c>
      <c r="B16" s="15" t="s">
        <v>107</v>
      </c>
      <c r="C16" s="16">
        <v>1897500</v>
      </c>
      <c r="D16" s="17">
        <v>1897500000</v>
      </c>
      <c r="E16" s="18">
        <v>8.07</v>
      </c>
      <c r="F16" s="19" t="s">
        <v>93</v>
      </c>
      <c r="G16" s="19" t="s">
        <v>108</v>
      </c>
      <c r="H16" s="18">
        <v>1359122325</v>
      </c>
      <c r="I16" s="20">
        <v>66.316699999999997</v>
      </c>
      <c r="J16" s="20">
        <v>71.427700000000002</v>
      </c>
      <c r="K16" s="18">
        <v>96981225</v>
      </c>
      <c r="L16" s="18">
        <v>1355340607.5</v>
      </c>
      <c r="M16" s="21">
        <f t="shared" si="0"/>
        <v>4.9866592101989252E-2</v>
      </c>
      <c r="O16" s="10">
        <v>749863.88888888899</v>
      </c>
    </row>
    <row r="17" spans="1:15" x14ac:dyDescent="0.2">
      <c r="A17" s="15" t="s">
        <v>66</v>
      </c>
      <c r="B17" s="15" t="s">
        <v>109</v>
      </c>
      <c r="C17" s="16">
        <v>1897500</v>
      </c>
      <c r="D17" s="17">
        <v>1897500000</v>
      </c>
      <c r="E17" s="18">
        <v>8.07</v>
      </c>
      <c r="F17" s="19" t="s">
        <v>93</v>
      </c>
      <c r="G17" s="19" t="s">
        <v>110</v>
      </c>
      <c r="H17" s="18">
        <v>1338524962.5</v>
      </c>
      <c r="I17" s="20">
        <v>65.10390000000001</v>
      </c>
      <c r="J17" s="20">
        <v>72.523800000000008</v>
      </c>
      <c r="K17" s="18">
        <v>140792918.75</v>
      </c>
      <c r="L17" s="18">
        <v>1376139421.25</v>
      </c>
      <c r="M17" s="21">
        <f t="shared" si="0"/>
        <v>5.0631835875943318E-2</v>
      </c>
      <c r="O17" s="10">
        <v>749863.88888888899</v>
      </c>
    </row>
    <row r="18" spans="1:15" x14ac:dyDescent="0.2">
      <c r="A18" s="15" t="s">
        <v>73</v>
      </c>
      <c r="B18" s="15" t="s">
        <v>111</v>
      </c>
      <c r="C18" s="16">
        <v>992234</v>
      </c>
      <c r="D18" s="17">
        <v>992234000</v>
      </c>
      <c r="E18" s="18">
        <v>14.3</v>
      </c>
      <c r="F18" s="19" t="s">
        <v>112</v>
      </c>
      <c r="G18" s="19" t="s">
        <v>113</v>
      </c>
      <c r="H18" s="18">
        <v>991722999.49000001</v>
      </c>
      <c r="I18" s="20">
        <v>97.155226999999996</v>
      </c>
      <c r="J18" s="20">
        <v>101.802727</v>
      </c>
      <c r="K18" s="18">
        <v>46114075.149999991</v>
      </c>
      <c r="L18" s="18">
        <v>1010121270.2168421</v>
      </c>
      <c r="M18" s="21">
        <f t="shared" si="0"/>
        <v>3.7165052885384402E-2</v>
      </c>
      <c r="O18" s="10">
        <v>749863.88888888899</v>
      </c>
    </row>
    <row r="19" spans="1:15" x14ac:dyDescent="0.2">
      <c r="A19" s="15" t="s">
        <v>66</v>
      </c>
      <c r="B19" s="15" t="s">
        <v>114</v>
      </c>
      <c r="C19" s="16">
        <v>550000</v>
      </c>
      <c r="D19" s="17">
        <v>550000000</v>
      </c>
      <c r="E19" s="18">
        <v>12</v>
      </c>
      <c r="F19" s="19" t="s">
        <v>115</v>
      </c>
      <c r="G19" s="19" t="s">
        <v>116</v>
      </c>
      <c r="H19" s="18">
        <v>491343050</v>
      </c>
      <c r="I19" s="20">
        <v>88.371700000000004</v>
      </c>
      <c r="J19" s="20">
        <v>98.138400000000004</v>
      </c>
      <c r="K19" s="18">
        <v>53716666.666666657</v>
      </c>
      <c r="L19" s="18">
        <v>539761016.66666698</v>
      </c>
      <c r="M19" s="21">
        <f t="shared" si="0"/>
        <v>1.9859245935469918E-2</v>
      </c>
      <c r="O19" s="10">
        <v>749863.88888888899</v>
      </c>
    </row>
    <row r="20" spans="1:15" x14ac:dyDescent="0.2">
      <c r="A20" s="15" t="s">
        <v>66</v>
      </c>
      <c r="B20" s="15" t="s">
        <v>117</v>
      </c>
      <c r="C20" s="16">
        <v>2469500</v>
      </c>
      <c r="D20" s="17">
        <v>2469500000</v>
      </c>
      <c r="E20" s="18">
        <v>7.68</v>
      </c>
      <c r="F20" s="19" t="s">
        <v>118</v>
      </c>
      <c r="G20" s="19" t="s">
        <v>119</v>
      </c>
      <c r="H20" s="18">
        <v>1827657194</v>
      </c>
      <c r="I20" s="20">
        <v>78.074300000000008</v>
      </c>
      <c r="J20" s="20">
        <v>80.997</v>
      </c>
      <c r="K20" s="18">
        <v>72175253.333333328</v>
      </c>
      <c r="L20" s="18">
        <v>2000220091.833333</v>
      </c>
      <c r="M20" s="21">
        <f t="shared" si="0"/>
        <v>7.3593426539207626E-2</v>
      </c>
      <c r="O20" s="10">
        <v>749863.88888888899</v>
      </c>
    </row>
    <row r="21" spans="1:15" x14ac:dyDescent="0.2">
      <c r="A21" s="15" t="s">
        <v>66</v>
      </c>
      <c r="B21" s="15" t="s">
        <v>120</v>
      </c>
      <c r="C21" s="16">
        <v>11424000</v>
      </c>
      <c r="D21" s="17">
        <v>1142400000</v>
      </c>
      <c r="E21" s="18">
        <v>0</v>
      </c>
      <c r="F21" s="19" t="s">
        <v>115</v>
      </c>
      <c r="G21" s="19" t="s">
        <v>121</v>
      </c>
      <c r="H21" s="18">
        <v>1003902278.4</v>
      </c>
      <c r="I21" s="20">
        <v>98.418800000000005</v>
      </c>
      <c r="J21" s="20">
        <v>98.418800000000005</v>
      </c>
      <c r="K21" s="18"/>
      <c r="L21" s="18">
        <v>1124336371.2</v>
      </c>
      <c r="M21" s="21">
        <f t="shared" si="0"/>
        <v>4.1367330763799295E-2</v>
      </c>
      <c r="O21" s="10">
        <v>749863.88888888899</v>
      </c>
    </row>
    <row r="22" spans="1:15" x14ac:dyDescent="0.2">
      <c r="A22" s="15" t="s">
        <v>66</v>
      </c>
      <c r="B22" s="15" t="s">
        <v>122</v>
      </c>
      <c r="C22" s="16">
        <v>2391500</v>
      </c>
      <c r="D22" s="17">
        <v>2391500000</v>
      </c>
      <c r="E22" s="18">
        <v>5.3</v>
      </c>
      <c r="F22" s="19" t="s">
        <v>123</v>
      </c>
      <c r="G22" s="19" t="s">
        <v>124</v>
      </c>
      <c r="H22" s="18">
        <v>1903079172</v>
      </c>
      <c r="I22" s="20">
        <v>83.445800000000006</v>
      </c>
      <c r="J22" s="20">
        <v>84.491100000000003</v>
      </c>
      <c r="K22" s="18">
        <v>24997818.055555549</v>
      </c>
      <c r="L22" s="18">
        <v>2020604125.0555551</v>
      </c>
      <c r="M22" s="21">
        <f t="shared" si="0"/>
        <v>7.4343409432408844E-2</v>
      </c>
      <c r="O22" s="10">
        <v>749863.88888888899</v>
      </c>
    </row>
    <row r="23" spans="1:15" x14ac:dyDescent="0.2">
      <c r="A23" s="15" t="s">
        <v>66</v>
      </c>
      <c r="B23" s="15" t="s">
        <v>125</v>
      </c>
      <c r="C23" s="16">
        <v>1106600</v>
      </c>
      <c r="D23" s="17">
        <v>1106600000</v>
      </c>
      <c r="E23" s="18">
        <v>5.5</v>
      </c>
      <c r="F23" s="19" t="s">
        <v>126</v>
      </c>
      <c r="G23" s="19" t="s">
        <v>127</v>
      </c>
      <c r="H23" s="18">
        <v>999478906.79999995</v>
      </c>
      <c r="I23" s="20">
        <v>93.534100000000009</v>
      </c>
      <c r="J23" s="20">
        <v>95.55080000000001</v>
      </c>
      <c r="K23" s="18">
        <v>22316433.333333299</v>
      </c>
      <c r="L23" s="18">
        <v>1057364783.9333301</v>
      </c>
      <c r="M23" s="21">
        <f t="shared" si="0"/>
        <v>3.890326763002367E-2</v>
      </c>
      <c r="O23" s="10">
        <v>749863.88888888899</v>
      </c>
    </row>
    <row r="24" spans="1:15" x14ac:dyDescent="0.2">
      <c r="A24" s="15" t="s">
        <v>66</v>
      </c>
      <c r="B24" s="15" t="s">
        <v>128</v>
      </c>
      <c r="C24" s="16">
        <v>897100</v>
      </c>
      <c r="D24" s="17">
        <v>897100000</v>
      </c>
      <c r="E24" s="18">
        <v>17.010000000000002</v>
      </c>
      <c r="F24" s="19" t="s">
        <v>129</v>
      </c>
      <c r="G24" s="19" t="s">
        <v>130</v>
      </c>
      <c r="H24" s="18">
        <v>896985171.20000005</v>
      </c>
      <c r="I24" s="20">
        <v>103.8921</v>
      </c>
      <c r="J24" s="20">
        <v>110.64890000000001</v>
      </c>
      <c r="K24" s="18">
        <v>60614804.25</v>
      </c>
      <c r="L24" s="18">
        <v>992630833.35000002</v>
      </c>
      <c r="M24" s="21">
        <f t="shared" si="0"/>
        <v>3.6521533111758493E-2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1504308521.6222215</v>
      </c>
      <c r="L26" s="23">
        <f>SUM(L8:L25)</f>
        <v>27179330898.089054</v>
      </c>
      <c r="M26" s="26">
        <f>SUM(M8:M25)</f>
        <v>1.0000000000000002</v>
      </c>
      <c r="N26" s="9">
        <v>27179330898.089066</v>
      </c>
      <c r="O26" s="71">
        <f>L26-N26</f>
        <v>0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488705.36</v>
      </c>
    </row>
    <row r="30" spans="1:15" x14ac:dyDescent="0.2">
      <c r="A30" s="29" t="s">
        <v>91</v>
      </c>
      <c r="B30" s="30">
        <v>488705.36</v>
      </c>
      <c r="C30" s="11">
        <v>488705.42</v>
      </c>
      <c r="D30" s="70">
        <f>B30-C30</f>
        <v>-5.9999999997671694E-2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30888</v>
      </c>
      <c r="D35" s="32" t="s">
        <v>68</v>
      </c>
      <c r="E35" s="34" t="s">
        <v>69</v>
      </c>
      <c r="F35" s="34" t="s">
        <v>70</v>
      </c>
      <c r="G35" s="35">
        <v>582.99809990935012</v>
      </c>
      <c r="H35" s="35">
        <f t="shared" ref="H35:H61" si="1">J35/C35</f>
        <v>583.26971477596476</v>
      </c>
      <c r="I35" s="36">
        <v>18007645.309999999</v>
      </c>
      <c r="J35" s="36">
        <v>18016034.949999999</v>
      </c>
      <c r="K35" s="37">
        <v>17.005100000000002</v>
      </c>
      <c r="L35" s="37">
        <v>8389.64</v>
      </c>
      <c r="M35" s="31">
        <f t="shared" ref="M35:M61" si="2">I35+L35</f>
        <v>18016034.949999999</v>
      </c>
      <c r="N35" s="10"/>
      <c r="O35" s="9"/>
      <c r="Q35" s="9">
        <v>0</v>
      </c>
    </row>
    <row r="36" spans="1:17" x14ac:dyDescent="0.2">
      <c r="A36" s="32" t="s">
        <v>71</v>
      </c>
      <c r="B36" s="32" t="s">
        <v>72</v>
      </c>
      <c r="C36" s="33">
        <v>380524950</v>
      </c>
      <c r="D36" s="32" t="s">
        <v>68</v>
      </c>
      <c r="E36" s="34" t="s">
        <v>69</v>
      </c>
      <c r="F36" s="34" t="s">
        <v>70</v>
      </c>
      <c r="G36" s="35">
        <v>1.0249000000131399</v>
      </c>
      <c r="H36" s="35">
        <f t="shared" si="1"/>
        <v>1.0253774910948676</v>
      </c>
      <c r="I36" s="36">
        <v>390000021.25999999</v>
      </c>
      <c r="J36" s="36">
        <v>390181718.52999997</v>
      </c>
      <c r="K36" s="37">
        <v>17.005000000000003</v>
      </c>
      <c r="L36" s="37">
        <v>181697.27</v>
      </c>
      <c r="M36" s="31">
        <f t="shared" si="2"/>
        <v>390181718.52999997</v>
      </c>
      <c r="N36" s="10"/>
      <c r="O36" s="9"/>
      <c r="Q36" s="9">
        <v>0</v>
      </c>
    </row>
    <row r="37" spans="1:17" x14ac:dyDescent="0.2">
      <c r="A37" s="32" t="s">
        <v>73</v>
      </c>
      <c r="B37" s="32" t="s">
        <v>74</v>
      </c>
      <c r="C37" s="33">
        <v>35316</v>
      </c>
      <c r="D37" s="32" t="s">
        <v>68</v>
      </c>
      <c r="E37" s="34" t="s">
        <v>69</v>
      </c>
      <c r="F37" s="34" t="s">
        <v>70</v>
      </c>
      <c r="G37" s="35">
        <v>509.70750000000004</v>
      </c>
      <c r="H37" s="35">
        <f t="shared" si="1"/>
        <v>509.94496913580252</v>
      </c>
      <c r="I37" s="36">
        <v>18000830.07</v>
      </c>
      <c r="J37" s="36">
        <v>18009216.530000001</v>
      </c>
      <c r="K37" s="37">
        <v>17.005100000000002</v>
      </c>
      <c r="L37" s="37">
        <v>8386.4600000000009</v>
      </c>
      <c r="M37" s="31">
        <f t="shared" si="2"/>
        <v>18009216.530000001</v>
      </c>
      <c r="N37" s="10"/>
      <c r="O37" s="9"/>
      <c r="Q37" s="9">
        <v>0</v>
      </c>
    </row>
    <row r="38" spans="1:17" x14ac:dyDescent="0.2">
      <c r="A38" s="32" t="s">
        <v>71</v>
      </c>
      <c r="B38" s="32" t="s">
        <v>72</v>
      </c>
      <c r="C38" s="33">
        <v>15611280</v>
      </c>
      <c r="D38" s="32" t="s">
        <v>68</v>
      </c>
      <c r="E38" s="34" t="s">
        <v>69</v>
      </c>
      <c r="F38" s="34" t="s">
        <v>70</v>
      </c>
      <c r="G38" s="35">
        <v>1.02489999987189</v>
      </c>
      <c r="H38" s="35">
        <f t="shared" si="1"/>
        <v>1.0253774911474267</v>
      </c>
      <c r="I38" s="36">
        <v>16000000.86999999</v>
      </c>
      <c r="J38" s="36">
        <v>16007455.119999999</v>
      </c>
      <c r="K38" s="37">
        <v>17.005000000000003</v>
      </c>
      <c r="L38" s="37">
        <v>7454.25</v>
      </c>
      <c r="M38" s="31">
        <f t="shared" si="2"/>
        <v>16007455.11999999</v>
      </c>
      <c r="N38" s="10"/>
      <c r="O38" s="9"/>
      <c r="Q38" s="9">
        <v>0</v>
      </c>
    </row>
    <row r="39" spans="1:17" x14ac:dyDescent="0.2">
      <c r="A39" s="32" t="s">
        <v>66</v>
      </c>
      <c r="B39" s="32" t="s">
        <v>75</v>
      </c>
      <c r="C39" s="33">
        <v>208292</v>
      </c>
      <c r="D39" s="32" t="s">
        <v>68</v>
      </c>
      <c r="E39" s="34" t="s">
        <v>69</v>
      </c>
      <c r="F39" s="34" t="s">
        <v>70</v>
      </c>
      <c r="G39" s="35">
        <v>825.90500000000009</v>
      </c>
      <c r="H39" s="35">
        <f t="shared" si="1"/>
        <v>826.28978347704185</v>
      </c>
      <c r="I39" s="36">
        <v>172029404.25999999</v>
      </c>
      <c r="J39" s="36">
        <v>172109551.58000001</v>
      </c>
      <c r="K39" s="37">
        <v>17.005100000000002</v>
      </c>
      <c r="L39" s="37">
        <v>80147.320000000007</v>
      </c>
      <c r="M39" s="31">
        <f t="shared" si="2"/>
        <v>172109551.57999998</v>
      </c>
      <c r="N39" s="10"/>
      <c r="O39" s="9"/>
      <c r="Q39" s="9">
        <v>0</v>
      </c>
    </row>
    <row r="40" spans="1:17" x14ac:dyDescent="0.2">
      <c r="A40" s="32" t="s">
        <v>66</v>
      </c>
      <c r="B40" s="32" t="s">
        <v>76</v>
      </c>
      <c r="C40" s="33">
        <v>322758</v>
      </c>
      <c r="D40" s="32" t="s">
        <v>68</v>
      </c>
      <c r="E40" s="34" t="s">
        <v>69</v>
      </c>
      <c r="F40" s="34" t="s">
        <v>70</v>
      </c>
      <c r="G40" s="35">
        <v>799.83600000619708</v>
      </c>
      <c r="H40" s="35">
        <f t="shared" si="1"/>
        <v>800.20863811276558</v>
      </c>
      <c r="I40" s="36">
        <v>258153467.69</v>
      </c>
      <c r="J40" s="36">
        <v>258273739.62</v>
      </c>
      <c r="K40" s="37">
        <v>17.005100000000002</v>
      </c>
      <c r="L40" s="37">
        <v>120271.93</v>
      </c>
      <c r="M40" s="31">
        <f t="shared" si="2"/>
        <v>258273739.62</v>
      </c>
      <c r="N40" s="10"/>
      <c r="O40" s="9"/>
      <c r="Q40" s="9">
        <v>0</v>
      </c>
    </row>
    <row r="41" spans="1:17" x14ac:dyDescent="0.2">
      <c r="A41" s="32" t="s">
        <v>66</v>
      </c>
      <c r="B41" s="32" t="s">
        <v>77</v>
      </c>
      <c r="C41" s="33">
        <v>125990</v>
      </c>
      <c r="D41" s="32" t="s">
        <v>68</v>
      </c>
      <c r="E41" s="34" t="s">
        <v>69</v>
      </c>
      <c r="F41" s="34" t="s">
        <v>70</v>
      </c>
      <c r="G41" s="35">
        <v>682.71800000000007</v>
      </c>
      <c r="H41" s="35">
        <f t="shared" si="1"/>
        <v>683.03607365663947</v>
      </c>
      <c r="I41" s="36">
        <v>86015640.819999993</v>
      </c>
      <c r="J41" s="36">
        <v>86055714.920000002</v>
      </c>
      <c r="K41" s="37">
        <v>17.005100000000002</v>
      </c>
      <c r="L41" s="37">
        <v>40074.1</v>
      </c>
      <c r="M41" s="31">
        <f t="shared" si="2"/>
        <v>86055714.919999987</v>
      </c>
      <c r="N41" s="10"/>
      <c r="O41" s="9"/>
      <c r="Q41" s="9">
        <v>0</v>
      </c>
    </row>
    <row r="42" spans="1:17" x14ac:dyDescent="0.2">
      <c r="A42" s="32" t="s">
        <v>66</v>
      </c>
      <c r="B42" s="32" t="s">
        <v>78</v>
      </c>
      <c r="C42" s="33">
        <v>4152</v>
      </c>
      <c r="D42" s="32" t="s">
        <v>68</v>
      </c>
      <c r="E42" s="34" t="s">
        <v>69</v>
      </c>
      <c r="F42" s="34" t="s">
        <v>70</v>
      </c>
      <c r="G42" s="35">
        <v>964.13099951830395</v>
      </c>
      <c r="H42" s="35">
        <f t="shared" si="1"/>
        <v>964.58018063583813</v>
      </c>
      <c r="I42" s="36">
        <v>4003071.91</v>
      </c>
      <c r="J42" s="36">
        <v>4004936.91</v>
      </c>
      <c r="K42" s="37">
        <v>17.005100000000002</v>
      </c>
      <c r="L42" s="37">
        <v>1865</v>
      </c>
      <c r="M42" s="31">
        <f t="shared" si="2"/>
        <v>4004936.91</v>
      </c>
      <c r="N42" s="10"/>
      <c r="O42" s="9"/>
      <c r="Q42" s="9">
        <v>0</v>
      </c>
    </row>
    <row r="43" spans="1:17" x14ac:dyDescent="0.2">
      <c r="A43" s="32" t="s">
        <v>66</v>
      </c>
      <c r="B43" s="32" t="s">
        <v>79</v>
      </c>
      <c r="C43" s="33">
        <v>7952</v>
      </c>
      <c r="D43" s="32" t="s">
        <v>68</v>
      </c>
      <c r="E43" s="34" t="s">
        <v>69</v>
      </c>
      <c r="F43" s="34" t="s">
        <v>70</v>
      </c>
      <c r="G43" s="35">
        <v>1006.99099974849</v>
      </c>
      <c r="H43" s="35">
        <f t="shared" si="1"/>
        <v>1007.4601496478874</v>
      </c>
      <c r="I43" s="36">
        <v>8007592.4299999997</v>
      </c>
      <c r="J43" s="36">
        <v>8011323.1100000003</v>
      </c>
      <c r="K43" s="37">
        <v>17.005100000000002</v>
      </c>
      <c r="L43" s="37">
        <v>3730.68</v>
      </c>
      <c r="M43" s="31">
        <f t="shared" si="2"/>
        <v>8011323.1099999994</v>
      </c>
      <c r="N43" s="10"/>
      <c r="O43" s="9"/>
      <c r="Q43" s="9">
        <v>0</v>
      </c>
    </row>
    <row r="44" spans="1:17" x14ac:dyDescent="0.2">
      <c r="A44" s="32" t="s">
        <v>66</v>
      </c>
      <c r="B44" s="32" t="s">
        <v>80</v>
      </c>
      <c r="C44" s="33">
        <v>15648</v>
      </c>
      <c r="D44" s="32" t="s">
        <v>68</v>
      </c>
      <c r="E44" s="34" t="s">
        <v>69</v>
      </c>
      <c r="F44" s="34" t="s">
        <v>70</v>
      </c>
      <c r="G44" s="35">
        <v>1023.38</v>
      </c>
      <c r="H44" s="35">
        <f t="shared" si="1"/>
        <v>1023.8567855316974</v>
      </c>
      <c r="I44" s="36">
        <v>16013850.24</v>
      </c>
      <c r="J44" s="36">
        <v>16021310.98</v>
      </c>
      <c r="K44" s="37">
        <v>17.005100000000002</v>
      </c>
      <c r="L44" s="37">
        <v>7460.74</v>
      </c>
      <c r="M44" s="31">
        <f t="shared" si="2"/>
        <v>16021310.98</v>
      </c>
      <c r="N44" s="10"/>
      <c r="O44" s="9"/>
      <c r="Q44" s="9">
        <v>0</v>
      </c>
    </row>
    <row r="45" spans="1:17" x14ac:dyDescent="0.2">
      <c r="A45" s="32" t="s">
        <v>66</v>
      </c>
      <c r="B45" s="32" t="s">
        <v>79</v>
      </c>
      <c r="C45" s="33">
        <v>442330</v>
      </c>
      <c r="D45" s="32" t="s">
        <v>68</v>
      </c>
      <c r="E45" s="34" t="s">
        <v>69</v>
      </c>
      <c r="F45" s="34" t="s">
        <v>70</v>
      </c>
      <c r="G45" s="35">
        <v>1006.9910000000001</v>
      </c>
      <c r="H45" s="35">
        <f t="shared" si="1"/>
        <v>1007.4601502045984</v>
      </c>
      <c r="I45" s="36">
        <v>445422329.02999997</v>
      </c>
      <c r="J45" s="36">
        <v>445629848.24000001</v>
      </c>
      <c r="K45" s="37">
        <v>17.005100000000002</v>
      </c>
      <c r="L45" s="37">
        <v>207519.21</v>
      </c>
      <c r="M45" s="31">
        <f t="shared" si="2"/>
        <v>445629848.23999995</v>
      </c>
      <c r="N45" s="10"/>
      <c r="O45" s="9"/>
      <c r="Q45" s="9">
        <v>0</v>
      </c>
    </row>
    <row r="46" spans="1:17" x14ac:dyDescent="0.2">
      <c r="A46" s="32" t="s">
        <v>66</v>
      </c>
      <c r="B46" s="32" t="s">
        <v>79</v>
      </c>
      <c r="C46" s="33">
        <v>89460</v>
      </c>
      <c r="D46" s="32" t="s">
        <v>68</v>
      </c>
      <c r="E46" s="34" t="s">
        <v>69</v>
      </c>
      <c r="F46" s="34" t="s">
        <v>70</v>
      </c>
      <c r="G46" s="35">
        <v>1006.9910000000001</v>
      </c>
      <c r="H46" s="35">
        <f t="shared" si="1"/>
        <v>1007.4601502347418</v>
      </c>
      <c r="I46" s="36">
        <v>90085414.859999999</v>
      </c>
      <c r="J46" s="36">
        <v>90127385.040000007</v>
      </c>
      <c r="K46" s="37">
        <v>17.005100000000002</v>
      </c>
      <c r="L46" s="37">
        <v>41970.18</v>
      </c>
      <c r="M46" s="31">
        <f t="shared" si="2"/>
        <v>90127385.040000007</v>
      </c>
      <c r="N46" s="10"/>
      <c r="O46" s="9"/>
      <c r="Q46" s="9">
        <v>0</v>
      </c>
    </row>
    <row r="47" spans="1:17" x14ac:dyDescent="0.2">
      <c r="A47" s="32" t="s">
        <v>66</v>
      </c>
      <c r="B47" s="32" t="s">
        <v>81</v>
      </c>
      <c r="C47" s="33">
        <v>158898</v>
      </c>
      <c r="D47" s="32" t="s">
        <v>68</v>
      </c>
      <c r="E47" s="34" t="s">
        <v>69</v>
      </c>
      <c r="F47" s="34" t="s">
        <v>70</v>
      </c>
      <c r="G47" s="35">
        <v>893.66500000000008</v>
      </c>
      <c r="H47" s="35">
        <f t="shared" si="1"/>
        <v>894.08135237699651</v>
      </c>
      <c r="I47" s="36">
        <v>142001581.16999999</v>
      </c>
      <c r="J47" s="36">
        <v>142067738.72999999</v>
      </c>
      <c r="K47" s="37">
        <v>17.005100000000002</v>
      </c>
      <c r="L47" s="37">
        <v>66157.56</v>
      </c>
      <c r="M47" s="31">
        <f t="shared" si="2"/>
        <v>142067738.72999999</v>
      </c>
      <c r="N47" s="10"/>
      <c r="O47" s="9"/>
      <c r="Q47" s="9">
        <v>0</v>
      </c>
    </row>
    <row r="48" spans="1:17" x14ac:dyDescent="0.2">
      <c r="A48" s="32" t="s">
        <v>66</v>
      </c>
      <c r="B48" s="32" t="s">
        <v>67</v>
      </c>
      <c r="C48" s="33">
        <v>199056</v>
      </c>
      <c r="D48" s="32" t="s">
        <v>68</v>
      </c>
      <c r="E48" s="34" t="s">
        <v>69</v>
      </c>
      <c r="F48" s="34" t="s">
        <v>70</v>
      </c>
      <c r="G48" s="35">
        <v>582.99809998191506</v>
      </c>
      <c r="H48" s="35">
        <f t="shared" si="1"/>
        <v>583.26971480387431</v>
      </c>
      <c r="I48" s="36">
        <v>116049269.79000001</v>
      </c>
      <c r="J48" s="36">
        <v>116103336.34999999</v>
      </c>
      <c r="K48" s="37">
        <v>17.005100000000002</v>
      </c>
      <c r="L48" s="37">
        <v>54066.559999999998</v>
      </c>
      <c r="M48" s="31">
        <f t="shared" si="2"/>
        <v>116103336.35000001</v>
      </c>
      <c r="N48" s="10"/>
      <c r="O48" s="9"/>
      <c r="Q48" s="9">
        <v>0</v>
      </c>
    </row>
    <row r="49" spans="1:17" x14ac:dyDescent="0.2">
      <c r="A49" s="32" t="s">
        <v>66</v>
      </c>
      <c r="B49" s="32" t="s">
        <v>82</v>
      </c>
      <c r="C49" s="33">
        <v>50869</v>
      </c>
      <c r="D49" s="32" t="s">
        <v>68</v>
      </c>
      <c r="E49" s="34" t="s">
        <v>69</v>
      </c>
      <c r="F49" s="34" t="s">
        <v>70</v>
      </c>
      <c r="G49" s="35">
        <v>845.677999960683</v>
      </c>
      <c r="H49" s="35">
        <f t="shared" si="1"/>
        <v>846.07199551789904</v>
      </c>
      <c r="I49" s="36">
        <v>43018794.18</v>
      </c>
      <c r="J49" s="36">
        <v>43038836.340000004</v>
      </c>
      <c r="K49" s="37">
        <v>17.005100000000002</v>
      </c>
      <c r="L49" s="37">
        <v>20042.16</v>
      </c>
      <c r="M49" s="31">
        <f t="shared" si="2"/>
        <v>43038836.339999996</v>
      </c>
      <c r="N49" s="10"/>
      <c r="O49" s="9"/>
      <c r="Q49" s="9">
        <v>0</v>
      </c>
    </row>
    <row r="50" spans="1:17" x14ac:dyDescent="0.2">
      <c r="A50" s="32" t="s">
        <v>66</v>
      </c>
      <c r="B50" s="32" t="s">
        <v>77</v>
      </c>
      <c r="C50" s="33">
        <v>33695</v>
      </c>
      <c r="D50" s="32" t="s">
        <v>68</v>
      </c>
      <c r="E50" s="34" t="s">
        <v>69</v>
      </c>
      <c r="F50" s="34" t="s">
        <v>70</v>
      </c>
      <c r="G50" s="35">
        <v>682.71800000000007</v>
      </c>
      <c r="H50" s="35">
        <f t="shared" si="1"/>
        <v>683.0360736014245</v>
      </c>
      <c r="I50" s="36">
        <v>23004183.010000002</v>
      </c>
      <c r="J50" s="36">
        <v>23014900.5</v>
      </c>
      <c r="K50" s="37">
        <v>17.005100000000002</v>
      </c>
      <c r="L50" s="37">
        <v>10717.49</v>
      </c>
      <c r="M50" s="31">
        <f t="shared" si="2"/>
        <v>23014900.5</v>
      </c>
      <c r="N50" s="10"/>
      <c r="O50" s="9"/>
      <c r="Q50" s="9">
        <v>0</v>
      </c>
    </row>
    <row r="51" spans="1:17" x14ac:dyDescent="0.2">
      <c r="A51" s="32" t="s">
        <v>66</v>
      </c>
      <c r="B51" s="32" t="s">
        <v>80</v>
      </c>
      <c r="C51" s="33">
        <v>29340</v>
      </c>
      <c r="D51" s="32" t="s">
        <v>68</v>
      </c>
      <c r="E51" s="34" t="s">
        <v>69</v>
      </c>
      <c r="F51" s="34" t="s">
        <v>70</v>
      </c>
      <c r="G51" s="35">
        <v>1023.38</v>
      </c>
      <c r="H51" s="35">
        <f t="shared" si="1"/>
        <v>1023.8567856169052</v>
      </c>
      <c r="I51" s="36">
        <v>30025969.199999999</v>
      </c>
      <c r="J51" s="36">
        <v>30039958.09</v>
      </c>
      <c r="K51" s="37">
        <v>17.005100000000002</v>
      </c>
      <c r="L51" s="37">
        <v>13988.89</v>
      </c>
      <c r="M51" s="31">
        <f t="shared" si="2"/>
        <v>30039958.09</v>
      </c>
      <c r="N51" s="10"/>
      <c r="O51" s="9"/>
      <c r="Q51" s="9">
        <v>0</v>
      </c>
    </row>
    <row r="52" spans="1:17" x14ac:dyDescent="0.2">
      <c r="A52" s="32" t="s">
        <v>66</v>
      </c>
      <c r="B52" s="32" t="s">
        <v>67</v>
      </c>
      <c r="C52" s="33">
        <v>319176</v>
      </c>
      <c r="D52" s="32" t="s">
        <v>68</v>
      </c>
      <c r="E52" s="34" t="s">
        <v>69</v>
      </c>
      <c r="F52" s="34" t="s">
        <v>70</v>
      </c>
      <c r="G52" s="35">
        <v>582.99810001378501</v>
      </c>
      <c r="H52" s="35">
        <f t="shared" si="1"/>
        <v>583.2697148281826</v>
      </c>
      <c r="I52" s="36">
        <v>186079001.56999999</v>
      </c>
      <c r="J52" s="36">
        <v>186165694.5</v>
      </c>
      <c r="K52" s="37">
        <v>17.005100000000002</v>
      </c>
      <c r="L52" s="37">
        <v>86692.93</v>
      </c>
      <c r="M52" s="31">
        <f t="shared" si="2"/>
        <v>186165694.5</v>
      </c>
      <c r="N52" s="10"/>
      <c r="O52" s="9"/>
      <c r="Q52" s="9">
        <v>0</v>
      </c>
    </row>
    <row r="53" spans="1:17" x14ac:dyDescent="0.2">
      <c r="A53" s="32" t="s">
        <v>83</v>
      </c>
      <c r="B53" s="32" t="s">
        <v>84</v>
      </c>
      <c r="C53" s="33">
        <v>41164</v>
      </c>
      <c r="D53" s="32" t="s">
        <v>68</v>
      </c>
      <c r="E53" s="34" t="s">
        <v>69</v>
      </c>
      <c r="F53" s="34" t="s">
        <v>70</v>
      </c>
      <c r="G53" s="35">
        <v>996.41299995141401</v>
      </c>
      <c r="H53" s="35">
        <f t="shared" si="1"/>
        <v>996.87722184433005</v>
      </c>
      <c r="I53" s="36">
        <v>41016344.729999997</v>
      </c>
      <c r="J53" s="36">
        <v>41035453.960000001</v>
      </c>
      <c r="K53" s="37">
        <v>17.005100000000002</v>
      </c>
      <c r="L53" s="37">
        <v>19109.23</v>
      </c>
      <c r="M53" s="31">
        <f t="shared" si="2"/>
        <v>41035453.959999993</v>
      </c>
      <c r="N53" s="10"/>
      <c r="O53" s="9"/>
      <c r="Q53" s="9">
        <v>0</v>
      </c>
    </row>
    <row r="54" spans="1:17" x14ac:dyDescent="0.2">
      <c r="A54" s="32" t="s">
        <v>83</v>
      </c>
      <c r="B54" s="32" t="s">
        <v>85</v>
      </c>
      <c r="C54" s="33">
        <v>26184</v>
      </c>
      <c r="D54" s="32" t="s">
        <v>68</v>
      </c>
      <c r="E54" s="34" t="s">
        <v>69</v>
      </c>
      <c r="F54" s="34" t="s">
        <v>70</v>
      </c>
      <c r="G54" s="35">
        <v>917.042999923617</v>
      </c>
      <c r="H54" s="35">
        <f t="shared" si="1"/>
        <v>917.47024404216324</v>
      </c>
      <c r="I54" s="36">
        <v>24011853.91</v>
      </c>
      <c r="J54" s="36">
        <v>24023040.870000001</v>
      </c>
      <c r="K54" s="37">
        <v>17.005100000000002</v>
      </c>
      <c r="L54" s="37">
        <v>11186.96</v>
      </c>
      <c r="M54" s="31">
        <f t="shared" si="2"/>
        <v>24023040.870000001</v>
      </c>
      <c r="N54" s="10"/>
      <c r="O54" s="9"/>
      <c r="Q54" s="9">
        <v>0</v>
      </c>
    </row>
    <row r="55" spans="1:17" x14ac:dyDescent="0.2">
      <c r="A55" s="32" t="s">
        <v>83</v>
      </c>
      <c r="B55" s="32" t="s">
        <v>86</v>
      </c>
      <c r="C55" s="33">
        <v>26709</v>
      </c>
      <c r="D55" s="32" t="s">
        <v>68</v>
      </c>
      <c r="E55" s="34" t="s">
        <v>69</v>
      </c>
      <c r="F55" s="34" t="s">
        <v>70</v>
      </c>
      <c r="G55" s="35">
        <v>1086.9040001497619</v>
      </c>
      <c r="H55" s="35">
        <f t="shared" si="1"/>
        <v>1087.4103811449324</v>
      </c>
      <c r="I55" s="36">
        <v>29030118.93999999</v>
      </c>
      <c r="J55" s="36">
        <v>29043643.870000001</v>
      </c>
      <c r="K55" s="37">
        <v>17.005100000000002</v>
      </c>
      <c r="L55" s="37">
        <v>13524.93</v>
      </c>
      <c r="M55" s="31">
        <f t="shared" si="2"/>
        <v>29043643.86999999</v>
      </c>
      <c r="N55" s="10"/>
      <c r="O55" s="9"/>
      <c r="Q55" s="9">
        <v>0</v>
      </c>
    </row>
    <row r="56" spans="1:17" x14ac:dyDescent="0.2">
      <c r="A56" s="32" t="s">
        <v>83</v>
      </c>
      <c r="B56" s="32" t="s">
        <v>84</v>
      </c>
      <c r="C56" s="33">
        <v>102408</v>
      </c>
      <c r="D56" s="32" t="s">
        <v>68</v>
      </c>
      <c r="E56" s="34" t="s">
        <v>69</v>
      </c>
      <c r="F56" s="34" t="s">
        <v>70</v>
      </c>
      <c r="G56" s="35">
        <v>996.41299996094108</v>
      </c>
      <c r="H56" s="35">
        <f t="shared" si="1"/>
        <v>996.87722199437542</v>
      </c>
      <c r="I56" s="36">
        <v>102040662.5</v>
      </c>
      <c r="J56" s="36">
        <v>102088202.55</v>
      </c>
      <c r="K56" s="37">
        <v>17.005100000000002</v>
      </c>
      <c r="L56" s="37">
        <v>47540.05</v>
      </c>
      <c r="M56" s="31">
        <f t="shared" si="2"/>
        <v>102088202.55</v>
      </c>
      <c r="N56" s="10"/>
      <c r="O56" s="9"/>
      <c r="Q56" s="9">
        <v>0</v>
      </c>
    </row>
    <row r="57" spans="1:17" x14ac:dyDescent="0.2">
      <c r="A57" s="32" t="s">
        <v>83</v>
      </c>
      <c r="B57" s="32" t="s">
        <v>87</v>
      </c>
      <c r="C57" s="33">
        <v>28520</v>
      </c>
      <c r="D57" s="32" t="s">
        <v>68</v>
      </c>
      <c r="E57" s="34" t="s">
        <v>69</v>
      </c>
      <c r="F57" s="34" t="s">
        <v>70</v>
      </c>
      <c r="G57" s="35">
        <v>1087.797</v>
      </c>
      <c r="H57" s="35">
        <f t="shared" si="1"/>
        <v>1088.3037973352034</v>
      </c>
      <c r="I57" s="36">
        <v>31023970.440000001</v>
      </c>
      <c r="J57" s="36">
        <v>31038424.300000001</v>
      </c>
      <c r="K57" s="37">
        <v>17.005100000000002</v>
      </c>
      <c r="L57" s="37">
        <v>14453.86</v>
      </c>
      <c r="M57" s="31">
        <f t="shared" si="2"/>
        <v>31038424.300000001</v>
      </c>
      <c r="N57" s="10"/>
      <c r="O57" s="9"/>
      <c r="Q57" s="9">
        <v>0</v>
      </c>
    </row>
    <row r="58" spans="1:17" x14ac:dyDescent="0.2">
      <c r="A58" s="32" t="s">
        <v>83</v>
      </c>
      <c r="B58" s="32" t="s">
        <v>84</v>
      </c>
      <c r="C58" s="33">
        <v>38152</v>
      </c>
      <c r="D58" s="32" t="s">
        <v>68</v>
      </c>
      <c r="E58" s="34" t="s">
        <v>69</v>
      </c>
      <c r="F58" s="34" t="s">
        <v>70</v>
      </c>
      <c r="G58" s="35">
        <v>996.41300010484406</v>
      </c>
      <c r="H58" s="35">
        <f t="shared" si="1"/>
        <v>996.87722216397572</v>
      </c>
      <c r="I58" s="36">
        <v>38015148.779999986</v>
      </c>
      <c r="J58" s="36">
        <v>38032859.780000001</v>
      </c>
      <c r="K58" s="37">
        <v>17.005100000000002</v>
      </c>
      <c r="L58" s="37">
        <v>17711</v>
      </c>
      <c r="M58" s="31">
        <f t="shared" si="2"/>
        <v>38032859.779999986</v>
      </c>
      <c r="N58" s="10"/>
      <c r="O58" s="9"/>
      <c r="Q58" s="9">
        <v>0</v>
      </c>
    </row>
    <row r="59" spans="1:17" x14ac:dyDescent="0.2">
      <c r="A59" s="32" t="s">
        <v>73</v>
      </c>
      <c r="B59" s="32" t="s">
        <v>88</v>
      </c>
      <c r="C59" s="33">
        <v>14848</v>
      </c>
      <c r="D59" s="32" t="s">
        <v>68</v>
      </c>
      <c r="E59" s="34" t="s">
        <v>70</v>
      </c>
      <c r="F59" s="34" t="s">
        <v>89</v>
      </c>
      <c r="G59" s="35">
        <v>1078.741000134698</v>
      </c>
      <c r="H59" s="35">
        <f t="shared" si="1"/>
        <v>1081.2531512661637</v>
      </c>
      <c r="I59" s="36">
        <v>16017146.36999999</v>
      </c>
      <c r="J59" s="36">
        <v>16054446.789999999</v>
      </c>
      <c r="K59" s="37">
        <v>17.0001</v>
      </c>
      <c r="L59" s="37"/>
      <c r="M59" s="31">
        <f t="shared" si="2"/>
        <v>16017146.36999999</v>
      </c>
      <c r="N59" s="10"/>
      <c r="O59" s="9"/>
      <c r="Q59" s="9">
        <v>1</v>
      </c>
    </row>
    <row r="60" spans="1:17" x14ac:dyDescent="0.2">
      <c r="A60" s="32" t="s">
        <v>73</v>
      </c>
      <c r="B60" s="32" t="s">
        <v>88</v>
      </c>
      <c r="C60" s="33">
        <v>218080</v>
      </c>
      <c r="D60" s="32" t="s">
        <v>68</v>
      </c>
      <c r="E60" s="34" t="s">
        <v>70</v>
      </c>
      <c r="F60" s="34" t="s">
        <v>89</v>
      </c>
      <c r="G60" s="35">
        <v>1078.741</v>
      </c>
      <c r="H60" s="35">
        <f t="shared" si="1"/>
        <v>1081.253151366471</v>
      </c>
      <c r="I60" s="36">
        <v>235251837.28</v>
      </c>
      <c r="J60" s="36">
        <v>235799687.25</v>
      </c>
      <c r="K60" s="37">
        <v>17.0001</v>
      </c>
      <c r="L60" s="37"/>
      <c r="M60" s="31">
        <f t="shared" si="2"/>
        <v>235251837.28</v>
      </c>
      <c r="N60" s="10"/>
      <c r="O60" s="9"/>
      <c r="Q60" s="9">
        <v>1</v>
      </c>
    </row>
    <row r="61" spans="1:17" x14ac:dyDescent="0.2">
      <c r="A61" s="32" t="s">
        <v>66</v>
      </c>
      <c r="B61" s="32" t="s">
        <v>90</v>
      </c>
      <c r="C61" s="33">
        <v>2039725</v>
      </c>
      <c r="D61" s="32" t="s">
        <v>68</v>
      </c>
      <c r="E61" s="34" t="s">
        <v>70</v>
      </c>
      <c r="F61" s="34" t="s">
        <v>89</v>
      </c>
      <c r="G61" s="35">
        <v>1018.154</v>
      </c>
      <c r="H61" s="35">
        <f t="shared" si="1"/>
        <v>1020.5250575102036</v>
      </c>
      <c r="I61" s="36">
        <v>2076754167.6500001</v>
      </c>
      <c r="J61" s="36">
        <v>2081590472.9300001</v>
      </c>
      <c r="K61" s="37">
        <v>17.0001</v>
      </c>
      <c r="L61" s="37"/>
      <c r="M61" s="31">
        <f t="shared" si="2"/>
        <v>2076754167.6500001</v>
      </c>
      <c r="N61" s="10"/>
      <c r="O61" s="9"/>
      <c r="Q61" s="9">
        <v>1</v>
      </c>
    </row>
    <row r="62" spans="1:17" hidden="1" x14ac:dyDescent="0.2">
      <c r="A62" s="32"/>
      <c r="B62" s="32"/>
      <c r="C62" s="33"/>
      <c r="D62" s="32"/>
      <c r="E62" s="34"/>
      <c r="F62" s="34"/>
      <c r="G62" s="35"/>
      <c r="H62" s="35"/>
      <c r="I62" s="36"/>
      <c r="J62" s="36"/>
      <c r="K62" s="37"/>
      <c r="L62" s="31"/>
      <c r="M62" s="31"/>
      <c r="N62" s="10"/>
      <c r="O62" s="9"/>
    </row>
    <row r="63" spans="1:17" s="13" customFormat="1" x14ac:dyDescent="0.2">
      <c r="A63" s="38"/>
      <c r="B63" s="39" t="s">
        <v>5</v>
      </c>
      <c r="C63" s="38"/>
      <c r="D63" s="38"/>
      <c r="E63" s="38"/>
      <c r="F63" s="38"/>
      <c r="G63" s="38"/>
      <c r="H63" s="38"/>
      <c r="I63" s="38"/>
      <c r="J63" s="38"/>
      <c r="K63" s="38"/>
      <c r="L63" s="38" t="s">
        <v>44</v>
      </c>
      <c r="M63" s="40">
        <f>SUMIF(Q35:Q62,1,M35:M62)</f>
        <v>2328023151.3000002</v>
      </c>
      <c r="N63" s="72">
        <v>2328023151.3000002</v>
      </c>
      <c r="O63" s="73">
        <f>M63-N63</f>
        <v>0</v>
      </c>
    </row>
    <row r="65" spans="1:15" ht="22.5" x14ac:dyDescent="0.2">
      <c r="A65" s="27" t="s">
        <v>37</v>
      </c>
    </row>
    <row r="66" spans="1:15" ht="22.5" x14ac:dyDescent="0.2">
      <c r="A66" s="14" t="s">
        <v>7</v>
      </c>
      <c r="B66" s="14" t="s">
        <v>38</v>
      </c>
      <c r="C66" s="14" t="s">
        <v>26</v>
      </c>
      <c r="D66" s="14" t="s">
        <v>39</v>
      </c>
      <c r="E66" s="14" t="s">
        <v>25</v>
      </c>
      <c r="F66" s="14" t="s">
        <v>40</v>
      </c>
      <c r="G66" s="14" t="s">
        <v>41</v>
      </c>
      <c r="N66" s="10"/>
      <c r="O66" s="9"/>
    </row>
    <row r="67" spans="1:15" hidden="1" x14ac:dyDescent="0.2">
      <c r="A67" s="42"/>
      <c r="B67" s="42"/>
      <c r="C67" s="32"/>
      <c r="D67" s="43"/>
      <c r="E67" s="29"/>
      <c r="F67" s="29"/>
      <c r="G67" s="31"/>
      <c r="N67" s="10"/>
      <c r="O67" s="9"/>
    </row>
    <row r="68" spans="1:15" s="13" customFormat="1" x14ac:dyDescent="0.2">
      <c r="A68" s="44"/>
      <c r="B68" s="45" t="s">
        <v>5</v>
      </c>
      <c r="C68" s="46"/>
      <c r="D68" s="47"/>
      <c r="E68" s="48">
        <f>SUM(E67:E67)</f>
        <v>0</v>
      </c>
      <c r="F68" s="40">
        <f>SUM(F67:F67)</f>
        <v>0</v>
      </c>
      <c r="G68" s="40">
        <f>SUM(G67:G67)</f>
        <v>0</v>
      </c>
      <c r="N68" s="41"/>
    </row>
    <row r="69" spans="1:15" x14ac:dyDescent="0.2">
      <c r="A69" s="49"/>
      <c r="D69" s="50"/>
      <c r="G69" s="51"/>
    </row>
    <row r="70" spans="1:15" x14ac:dyDescent="0.2">
      <c r="A70" s="52" t="s">
        <v>22</v>
      </c>
      <c r="B70" s="53">
        <f>L26+B29+M63</f>
        <v>29507842754.749054</v>
      </c>
      <c r="C70" s="74">
        <v>29507842754.809063</v>
      </c>
      <c r="D70" s="74">
        <f>__mdDATAItogoActive__-C70</f>
        <v>-6.0009002685546875E-2</v>
      </c>
    </row>
    <row r="71" spans="1:15" x14ac:dyDescent="0.2">
      <c r="D71" s="54"/>
      <c r="E71" s="54"/>
    </row>
    <row r="73" spans="1:15" x14ac:dyDescent="0.2">
      <c r="A73" s="52" t="s">
        <v>47</v>
      </c>
      <c r="B73" s="52"/>
      <c r="C73" s="52"/>
      <c r="F73" s="54"/>
      <c r="O73" s="9"/>
    </row>
    <row r="74" spans="1:15" x14ac:dyDescent="0.2">
      <c r="O74" s="9"/>
    </row>
    <row r="75" spans="1:15" x14ac:dyDescent="0.2">
      <c r="A75" s="75" t="s">
        <v>48</v>
      </c>
      <c r="B75" s="75"/>
      <c r="C75" s="75"/>
      <c r="D75" s="75"/>
      <c r="O75" s="9"/>
    </row>
    <row r="76" spans="1:15" x14ac:dyDescent="0.2">
      <c r="O76" s="9"/>
    </row>
    <row r="77" spans="1:15" ht="22.5" x14ac:dyDescent="0.2">
      <c r="A77" s="14" t="s">
        <v>7</v>
      </c>
      <c r="B77" s="14" t="s">
        <v>38</v>
      </c>
      <c r="C77" s="14" t="s">
        <v>26</v>
      </c>
      <c r="D77" s="14" t="s">
        <v>39</v>
      </c>
      <c r="E77" s="14" t="s">
        <v>25</v>
      </c>
      <c r="F77" s="14" t="s">
        <v>40</v>
      </c>
      <c r="G77" s="14" t="s">
        <v>41</v>
      </c>
      <c r="O77" s="9"/>
    </row>
    <row r="78" spans="1:15" hidden="1" x14ac:dyDescent="0.2">
      <c r="A78" s="55"/>
      <c r="B78" s="55"/>
      <c r="C78" s="55"/>
      <c r="D78" s="55"/>
      <c r="E78" s="55"/>
      <c r="F78" s="55"/>
      <c r="G78" s="55"/>
      <c r="O78" s="9"/>
    </row>
    <row r="79" spans="1:15" s="13" customFormat="1" x14ac:dyDescent="0.2">
      <c r="A79" s="38"/>
      <c r="B79" s="39" t="s">
        <v>5</v>
      </c>
      <c r="C79" s="38"/>
      <c r="D79" s="38"/>
      <c r="E79" s="48">
        <f>SUM(E78:E78)</f>
        <v>0</v>
      </c>
      <c r="F79" s="40">
        <f>SUM(F78:F78)</f>
        <v>0</v>
      </c>
      <c r="G79" s="40">
        <f>SUM(G78:G78)</f>
        <v>0</v>
      </c>
    </row>
    <row r="80" spans="1:15" s="13" customFormat="1" x14ac:dyDescent="0.2">
      <c r="B80" s="56"/>
    </row>
    <row r="81" spans="1:15" x14ac:dyDescent="0.2">
      <c r="A81" s="75" t="s">
        <v>49</v>
      </c>
      <c r="B81" s="75"/>
      <c r="O81" s="9"/>
    </row>
    <row r="82" spans="1:15" x14ac:dyDescent="0.2">
      <c r="O82" s="9"/>
    </row>
    <row r="83" spans="1:15" x14ac:dyDescent="0.2">
      <c r="A83" s="14" t="s">
        <v>7</v>
      </c>
      <c r="B83" s="14" t="s">
        <v>38</v>
      </c>
      <c r="C83" s="14" t="s">
        <v>50</v>
      </c>
      <c r="D83" s="14" t="s">
        <v>51</v>
      </c>
      <c r="E83" s="11" t="s">
        <v>505</v>
      </c>
      <c r="F83" s="11"/>
      <c r="O83" s="9"/>
    </row>
    <row r="84" spans="1:15" x14ac:dyDescent="0.2">
      <c r="A84" s="24" t="s">
        <v>52</v>
      </c>
      <c r="B84" s="24">
        <v>1</v>
      </c>
      <c r="C84" s="24">
        <v>2</v>
      </c>
      <c r="D84" s="24">
        <v>3</v>
      </c>
      <c r="E84" s="11"/>
      <c r="F84" s="11"/>
      <c r="O84" s="9"/>
    </row>
    <row r="85" spans="1:15" x14ac:dyDescent="0.2">
      <c r="A85" s="24">
        <v>1</v>
      </c>
      <c r="B85" s="55" t="s">
        <v>53</v>
      </c>
      <c r="C85" s="57">
        <v>-2.14</v>
      </c>
      <c r="D85" s="24"/>
      <c r="E85" s="11"/>
      <c r="F85" s="11"/>
      <c r="O85" s="9"/>
    </row>
    <row r="86" spans="1:15" x14ac:dyDescent="0.2">
      <c r="A86" s="24">
        <v>2</v>
      </c>
      <c r="B86" s="55" t="s">
        <v>54</v>
      </c>
      <c r="C86" s="57">
        <v>0</v>
      </c>
      <c r="D86" s="24"/>
      <c r="E86" s="11"/>
      <c r="F86" s="11"/>
      <c r="O86" s="9"/>
    </row>
    <row r="87" spans="1:15" x14ac:dyDescent="0.2">
      <c r="A87" s="24">
        <v>3</v>
      </c>
      <c r="B87" s="55" t="s">
        <v>55</v>
      </c>
      <c r="C87" s="57">
        <v>519848.03</v>
      </c>
      <c r="D87" s="24"/>
      <c r="E87" s="11">
        <v>519848.0344343633</v>
      </c>
      <c r="F87" s="11">
        <f>C87-E87</f>
        <v>-4.434363276232034E-3</v>
      </c>
      <c r="O87" s="9"/>
    </row>
    <row r="88" spans="1:15" x14ac:dyDescent="0.2">
      <c r="A88" s="24">
        <v>4</v>
      </c>
      <c r="B88" s="55" t="s">
        <v>56</v>
      </c>
      <c r="C88" s="57">
        <v>0</v>
      </c>
      <c r="D88" s="24"/>
      <c r="E88" s="11"/>
      <c r="F88" s="11"/>
      <c r="O88" s="9"/>
    </row>
    <row r="89" spans="1:15" ht="22.5" x14ac:dyDescent="0.2">
      <c r="A89" s="24">
        <v>5</v>
      </c>
      <c r="B89" s="58" t="s">
        <v>57</v>
      </c>
      <c r="C89" s="57">
        <v>0</v>
      </c>
      <c r="D89" s="24"/>
      <c r="E89" s="11">
        <v>394078.82</v>
      </c>
      <c r="F89" s="11">
        <f>C89-E89</f>
        <v>-394078.82</v>
      </c>
      <c r="G89" s="9" t="s">
        <v>510</v>
      </c>
      <c r="O89" s="9"/>
    </row>
    <row r="90" spans="1:15" x14ac:dyDescent="0.2">
      <c r="A90" s="24">
        <v>6</v>
      </c>
      <c r="B90" s="55" t="s">
        <v>58</v>
      </c>
      <c r="C90" s="57">
        <v>122455.58</v>
      </c>
      <c r="D90" s="57"/>
      <c r="E90" s="11">
        <v>122455.58000000006</v>
      </c>
      <c r="F90" s="11">
        <f>C90-E90</f>
        <v>0</v>
      </c>
      <c r="G90" s="54"/>
      <c r="O90" s="9"/>
    </row>
    <row r="91" spans="1:15" x14ac:dyDescent="0.2">
      <c r="A91" s="24">
        <v>7</v>
      </c>
      <c r="B91" s="55" t="s">
        <v>59</v>
      </c>
      <c r="C91" s="57">
        <v>62507.78</v>
      </c>
      <c r="D91" s="57"/>
      <c r="E91" s="11">
        <v>62507.779999999977</v>
      </c>
      <c r="F91" s="11">
        <f>C91-E91</f>
        <v>0</v>
      </c>
      <c r="G91" s="54"/>
      <c r="O91" s="9"/>
    </row>
    <row r="92" spans="1:15" x14ac:dyDescent="0.2">
      <c r="A92" s="24">
        <v>8</v>
      </c>
      <c r="B92" s="55" t="s">
        <v>60</v>
      </c>
      <c r="C92" s="57">
        <v>0</v>
      </c>
      <c r="D92" s="24"/>
      <c r="E92" s="11"/>
      <c r="F92" s="11"/>
      <c r="O92" s="9"/>
    </row>
    <row r="93" spans="1:15" ht="22.5" x14ac:dyDescent="0.2">
      <c r="A93" s="24">
        <v>9</v>
      </c>
      <c r="B93" s="58" t="s">
        <v>61</v>
      </c>
      <c r="C93" s="57">
        <v>0</v>
      </c>
      <c r="D93" s="24"/>
      <c r="E93" s="11"/>
      <c r="F93" s="11"/>
      <c r="O93" s="9"/>
    </row>
    <row r="94" spans="1:15" ht="22.5" x14ac:dyDescent="0.2">
      <c r="A94" s="24">
        <v>10</v>
      </c>
      <c r="B94" s="58" t="s">
        <v>62</v>
      </c>
      <c r="C94" s="57">
        <v>0</v>
      </c>
      <c r="D94" s="24"/>
      <c r="E94" s="11"/>
      <c r="F94" s="11"/>
      <c r="O94" s="9"/>
    </row>
    <row r="95" spans="1:15" x14ac:dyDescent="0.2">
      <c r="A95" s="76" t="s">
        <v>63</v>
      </c>
      <c r="B95" s="76"/>
      <c r="C95" s="59">
        <f>SUM(C85:C94)</f>
        <v>704809.25</v>
      </c>
      <c r="D95" s="55"/>
      <c r="E95" s="69">
        <f>SUM(E85:E94)</f>
        <v>1098890.2144343634</v>
      </c>
      <c r="F95" s="11"/>
      <c r="O95" s="9"/>
    </row>
    <row r="96" spans="1:15" x14ac:dyDescent="0.2">
      <c r="E96" s="11"/>
      <c r="F96" s="11"/>
    </row>
    <row r="97" spans="3:6" x14ac:dyDescent="0.2">
      <c r="C97" s="51"/>
      <c r="E97" s="11"/>
      <c r="F97" s="11"/>
    </row>
    <row r="98" spans="3:6" x14ac:dyDescent="0.2">
      <c r="C98" s="54"/>
      <c r="E98" s="11"/>
      <c r="F98" s="11"/>
    </row>
    <row r="99" spans="3:6" x14ac:dyDescent="0.2">
      <c r="C99" s="54"/>
      <c r="D99" s="54"/>
    </row>
    <row r="100" spans="3:6" x14ac:dyDescent="0.2">
      <c r="C100" s="54"/>
    </row>
  </sheetData>
  <mergeCells count="3">
    <mergeCell ref="A75:D75"/>
    <mergeCell ref="A81:B81"/>
    <mergeCell ref="A95:B9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A743BB-861F-4B38-84A6-32EB9CEE0ECE}">
  <dimension ref="A1:J20"/>
  <sheetViews>
    <sheetView tabSelected="1" workbookViewId="0">
      <selection activeCell="B2" sqref="B2"/>
    </sheetView>
  </sheetViews>
  <sheetFormatPr defaultRowHeight="15" x14ac:dyDescent="0.25"/>
  <cols>
    <col min="1" max="7" width="22" customWidth="1"/>
    <col min="8" max="8" width="14.5703125" bestFit="1" customWidth="1"/>
    <col min="9" max="9" width="16" bestFit="1" customWidth="1"/>
  </cols>
  <sheetData>
    <row r="1" spans="1:10" s="60" customFormat="1" ht="45" x14ac:dyDescent="0.25">
      <c r="A1" s="60" t="s">
        <v>501</v>
      </c>
      <c r="B1" s="60" t="s">
        <v>502</v>
      </c>
      <c r="C1" s="60" t="s">
        <v>503</v>
      </c>
      <c r="D1" s="60" t="s">
        <v>506</v>
      </c>
      <c r="E1" s="60" t="s">
        <v>507</v>
      </c>
      <c r="F1" s="60" t="s">
        <v>508</v>
      </c>
      <c r="G1" s="60" t="s">
        <v>509</v>
      </c>
      <c r="H1" s="60" t="s">
        <v>504</v>
      </c>
    </row>
    <row r="2" spans="1:10" x14ac:dyDescent="0.25">
      <c r="A2" s="61">
        <v>29145525292.744999</v>
      </c>
      <c r="B2" s="62">
        <f>ДУ!E95</f>
        <v>1098890.2144343634</v>
      </c>
      <c r="C2" s="62">
        <f>A2*0.1%/12</f>
        <v>2428793.7743954165</v>
      </c>
      <c r="D2" s="63">
        <v>2358632.48</v>
      </c>
      <c r="E2" s="63">
        <v>2358635.71</v>
      </c>
      <c r="F2" s="64">
        <f>E2-D2</f>
        <v>3.2299999999813735</v>
      </c>
      <c r="G2" s="64">
        <f>(A2-B2-C2)*0.1%/12</f>
        <v>2428499.8007296808</v>
      </c>
      <c r="H2" s="65">
        <f>G2+F2</f>
        <v>2428503.0307296808</v>
      </c>
      <c r="J2" s="77"/>
    </row>
    <row r="3" spans="1:10" x14ac:dyDescent="0.25">
      <c r="A3" s="61"/>
      <c r="D3" s="66"/>
      <c r="E3" s="61"/>
      <c r="F3" s="61"/>
      <c r="G3" s="61"/>
      <c r="H3" s="61"/>
    </row>
    <row r="4" spans="1:10" x14ac:dyDescent="0.25">
      <c r="A4" s="61"/>
      <c r="D4" s="66"/>
      <c r="F4" s="66"/>
      <c r="G4" s="67"/>
      <c r="H4" s="67"/>
    </row>
    <row r="5" spans="1:10" x14ac:dyDescent="0.25">
      <c r="A5" s="61"/>
      <c r="D5" s="61"/>
      <c r="E5" s="66"/>
    </row>
    <row r="6" spans="1:10" x14ac:dyDescent="0.25">
      <c r="D6" s="61"/>
    </row>
    <row r="7" spans="1:10" x14ac:dyDescent="0.25">
      <c r="D7" s="61"/>
    </row>
    <row r="8" spans="1:10" x14ac:dyDescent="0.25">
      <c r="D8" s="61"/>
      <c r="F8" s="66"/>
    </row>
    <row r="11" spans="1:10" x14ac:dyDescent="0.25">
      <c r="E11" s="68"/>
    </row>
    <row r="12" spans="1:10" x14ac:dyDescent="0.25">
      <c r="E12" s="61"/>
    </row>
    <row r="13" spans="1:10" x14ac:dyDescent="0.25">
      <c r="E13" s="61"/>
    </row>
    <row r="14" spans="1:10" x14ac:dyDescent="0.25">
      <c r="E14" s="61"/>
    </row>
    <row r="15" spans="1:10" x14ac:dyDescent="0.25">
      <c r="E15" s="61"/>
    </row>
    <row r="16" spans="1:10" x14ac:dyDescent="0.25">
      <c r="E16" s="61"/>
    </row>
    <row r="17" spans="5:5" x14ac:dyDescent="0.25">
      <c r="E17" s="61"/>
    </row>
    <row r="18" spans="5:5" x14ac:dyDescent="0.25">
      <c r="E18" s="61"/>
    </row>
    <row r="19" spans="5:5" x14ac:dyDescent="0.25">
      <c r="E19" s="61"/>
    </row>
    <row r="20" spans="5:5" x14ac:dyDescent="0.25">
      <c r="E20" s="6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89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31.12.2025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131</v>
      </c>
      <c r="C4" s="4" t="s">
        <v>132</v>
      </c>
      <c r="D4" s="4" t="s">
        <v>133</v>
      </c>
      <c r="E4" s="4" t="s">
        <v>134</v>
      </c>
      <c r="F4" s="4">
        <v>9490.25</v>
      </c>
      <c r="G4" s="5"/>
      <c r="H4" s="5"/>
      <c r="I4" s="5"/>
      <c r="J4" s="4" t="s">
        <v>135</v>
      </c>
    </row>
    <row r="5" spans="1:10" x14ac:dyDescent="0.25">
      <c r="A5" s="4">
        <f t="shared" ca="1" si="0"/>
        <v>2</v>
      </c>
      <c r="B5" s="4" t="s">
        <v>136</v>
      </c>
      <c r="C5" s="4" t="s">
        <v>137</v>
      </c>
      <c r="D5" s="4" t="s">
        <v>138</v>
      </c>
      <c r="E5" s="4" t="s">
        <v>134</v>
      </c>
      <c r="F5" s="4">
        <v>1040.4270000000001</v>
      </c>
      <c r="G5" s="5">
        <v>110.33710000000001</v>
      </c>
      <c r="H5" s="5">
        <v>19.59</v>
      </c>
      <c r="I5" s="5">
        <v>808</v>
      </c>
      <c r="J5" s="4" t="s">
        <v>139</v>
      </c>
    </row>
    <row r="6" spans="1:10" x14ac:dyDescent="0.25">
      <c r="A6" s="4">
        <f t="shared" ca="1" si="0"/>
        <v>3</v>
      </c>
      <c r="B6" s="4" t="s">
        <v>140</v>
      </c>
      <c r="C6" s="4" t="s">
        <v>141</v>
      </c>
      <c r="D6" s="4" t="s">
        <v>133</v>
      </c>
      <c r="E6" s="4" t="s">
        <v>142</v>
      </c>
      <c r="F6" s="4">
        <v>1546.02</v>
      </c>
      <c r="G6" s="5"/>
      <c r="H6" s="5"/>
      <c r="I6" s="5"/>
      <c r="J6" s="4" t="s">
        <v>135</v>
      </c>
    </row>
    <row r="7" spans="1:10" x14ac:dyDescent="0.25">
      <c r="A7" s="4">
        <f t="shared" ca="1" si="0"/>
        <v>4</v>
      </c>
      <c r="B7" s="4" t="s">
        <v>143</v>
      </c>
      <c r="C7" s="4" t="s">
        <v>144</v>
      </c>
      <c r="D7" s="4" t="s">
        <v>133</v>
      </c>
      <c r="E7" s="4" t="s">
        <v>145</v>
      </c>
      <c r="F7" s="4">
        <v>562788.70000000007</v>
      </c>
      <c r="G7" s="5"/>
      <c r="H7" s="5"/>
      <c r="I7" s="5"/>
      <c r="J7" s="4" t="s">
        <v>135</v>
      </c>
    </row>
    <row r="8" spans="1:10" x14ac:dyDescent="0.25">
      <c r="A8" s="4">
        <f t="shared" ca="1" si="0"/>
        <v>5</v>
      </c>
      <c r="B8" s="4" t="s">
        <v>146</v>
      </c>
      <c r="C8" s="4" t="s">
        <v>147</v>
      </c>
      <c r="D8" s="4" t="s">
        <v>133</v>
      </c>
      <c r="E8" s="4" t="s">
        <v>145</v>
      </c>
      <c r="F8" s="4">
        <v>6301.35</v>
      </c>
      <c r="G8" s="5"/>
      <c r="H8" s="5"/>
      <c r="I8" s="5"/>
      <c r="J8" s="4" t="s">
        <v>135</v>
      </c>
    </row>
    <row r="9" spans="1:10" x14ac:dyDescent="0.25">
      <c r="A9" s="4">
        <f t="shared" ca="1" si="0"/>
        <v>6</v>
      </c>
      <c r="B9" s="4" t="s">
        <v>148</v>
      </c>
      <c r="C9" s="4" t="s">
        <v>149</v>
      </c>
      <c r="D9" s="4" t="s">
        <v>133</v>
      </c>
      <c r="E9" s="4" t="s">
        <v>145</v>
      </c>
      <c r="F9" s="4">
        <v>168.08</v>
      </c>
      <c r="G9" s="5"/>
      <c r="H9" s="5"/>
      <c r="I9" s="5"/>
      <c r="J9" s="4" t="s">
        <v>135</v>
      </c>
    </row>
    <row r="10" spans="1:10" x14ac:dyDescent="0.25">
      <c r="A10" s="4">
        <f t="shared" ca="1" si="0"/>
        <v>7</v>
      </c>
      <c r="B10" s="4" t="s">
        <v>150</v>
      </c>
      <c r="C10" s="4" t="s">
        <v>151</v>
      </c>
      <c r="D10" s="4" t="s">
        <v>133</v>
      </c>
      <c r="E10" s="4" t="s">
        <v>145</v>
      </c>
      <c r="F10" s="4">
        <v>5706.05</v>
      </c>
      <c r="G10" s="5"/>
      <c r="H10" s="5"/>
      <c r="I10" s="5"/>
      <c r="J10" s="4" t="s">
        <v>135</v>
      </c>
    </row>
    <row r="11" spans="1:10" x14ac:dyDescent="0.25">
      <c r="A11" s="4">
        <f t="shared" ca="1" si="0"/>
        <v>8</v>
      </c>
      <c r="B11" s="4" t="s">
        <v>152</v>
      </c>
      <c r="C11" s="4" t="s">
        <v>153</v>
      </c>
      <c r="D11" s="4" t="s">
        <v>133</v>
      </c>
      <c r="E11" s="4" t="s">
        <v>145</v>
      </c>
      <c r="F11" s="4">
        <v>5774483.7999999998</v>
      </c>
      <c r="G11" s="5"/>
      <c r="H11" s="5"/>
      <c r="I11" s="5"/>
      <c r="J11" s="4" t="s">
        <v>135</v>
      </c>
    </row>
    <row r="12" spans="1:10" x14ac:dyDescent="0.25">
      <c r="A12" s="4">
        <f t="shared" ca="1" si="0"/>
        <v>9</v>
      </c>
      <c r="B12" s="4" t="s">
        <v>154</v>
      </c>
      <c r="C12" s="4" t="s">
        <v>155</v>
      </c>
      <c r="D12" s="4" t="s">
        <v>133</v>
      </c>
      <c r="E12" s="4" t="s">
        <v>145</v>
      </c>
      <c r="F12" s="4">
        <v>131.75</v>
      </c>
      <c r="G12" s="5"/>
      <c r="H12" s="5"/>
      <c r="I12" s="5"/>
      <c r="J12" s="4" t="s">
        <v>135</v>
      </c>
    </row>
    <row r="13" spans="1:10" x14ac:dyDescent="0.25">
      <c r="A13" s="4">
        <f t="shared" ca="1" si="0"/>
        <v>10</v>
      </c>
      <c r="B13" s="4" t="s">
        <v>156</v>
      </c>
      <c r="C13" s="4" t="s">
        <v>157</v>
      </c>
      <c r="D13" s="4" t="s">
        <v>138</v>
      </c>
      <c r="E13" s="4" t="s">
        <v>145</v>
      </c>
      <c r="F13" s="4">
        <v>0.89931799999999995</v>
      </c>
      <c r="G13" s="5">
        <v>90.670700000000011</v>
      </c>
      <c r="H13" s="5">
        <v>5.18</v>
      </c>
      <c r="I13" s="5">
        <v>2662</v>
      </c>
      <c r="J13" s="4" t="s">
        <v>139</v>
      </c>
    </row>
    <row r="14" spans="1:10" x14ac:dyDescent="0.25">
      <c r="A14" s="4">
        <f t="shared" ca="1" si="0"/>
        <v>11</v>
      </c>
      <c r="B14" s="4" t="s">
        <v>158</v>
      </c>
      <c r="C14" s="4" t="s">
        <v>159</v>
      </c>
      <c r="D14" s="4" t="s">
        <v>133</v>
      </c>
      <c r="E14" s="4" t="s">
        <v>145</v>
      </c>
      <c r="F14" s="4">
        <v>1870150.51</v>
      </c>
      <c r="G14" s="5"/>
      <c r="H14" s="5"/>
      <c r="I14" s="5"/>
      <c r="J14" s="4" t="s">
        <v>135</v>
      </c>
    </row>
    <row r="15" spans="1:10" x14ac:dyDescent="0.25">
      <c r="A15" s="4">
        <f t="shared" ca="1" si="0"/>
        <v>12</v>
      </c>
      <c r="B15" s="4" t="s">
        <v>160</v>
      </c>
      <c r="C15" s="4" t="s">
        <v>161</v>
      </c>
      <c r="D15" s="4" t="s">
        <v>133</v>
      </c>
      <c r="E15" s="4" t="s">
        <v>145</v>
      </c>
      <c r="F15" s="4">
        <v>71492.240000000005</v>
      </c>
      <c r="G15" s="5"/>
      <c r="H15" s="5"/>
      <c r="I15" s="5"/>
      <c r="J15" s="4" t="s">
        <v>135</v>
      </c>
    </row>
    <row r="16" spans="1:10" x14ac:dyDescent="0.25">
      <c r="A16" s="4">
        <f t="shared" ca="1" si="0"/>
        <v>13</v>
      </c>
      <c r="B16" s="4" t="s">
        <v>162</v>
      </c>
      <c r="C16" s="4" t="s">
        <v>163</v>
      </c>
      <c r="D16" s="4" t="s">
        <v>133</v>
      </c>
      <c r="E16" s="4" t="s">
        <v>145</v>
      </c>
      <c r="F16" s="4">
        <v>71861.240000000005</v>
      </c>
      <c r="G16" s="5"/>
      <c r="H16" s="5"/>
      <c r="I16" s="5"/>
      <c r="J16" s="4" t="s">
        <v>135</v>
      </c>
    </row>
    <row r="17" spans="1:10" x14ac:dyDescent="0.25">
      <c r="A17" s="4">
        <f t="shared" ca="1" si="0"/>
        <v>14</v>
      </c>
      <c r="B17" s="4" t="s">
        <v>164</v>
      </c>
      <c r="C17" s="4" t="s">
        <v>165</v>
      </c>
      <c r="D17" s="4" t="s">
        <v>133</v>
      </c>
      <c r="E17" s="4" t="s">
        <v>145</v>
      </c>
      <c r="F17" s="4">
        <v>50915.44</v>
      </c>
      <c r="G17" s="5"/>
      <c r="H17" s="5"/>
      <c r="I17" s="5"/>
      <c r="J17" s="4" t="s">
        <v>135</v>
      </c>
    </row>
    <row r="18" spans="1:10" x14ac:dyDescent="0.25">
      <c r="A18" s="4">
        <f t="shared" ca="1" si="0"/>
        <v>15</v>
      </c>
      <c r="B18" s="4" t="s">
        <v>166</v>
      </c>
      <c r="C18" s="4" t="s">
        <v>167</v>
      </c>
      <c r="D18" s="4" t="s">
        <v>133</v>
      </c>
      <c r="E18" s="4" t="s">
        <v>145</v>
      </c>
      <c r="F18" s="4">
        <v>7.35</v>
      </c>
      <c r="G18" s="5"/>
      <c r="H18" s="5"/>
      <c r="I18" s="5"/>
      <c r="J18" s="4" t="s">
        <v>135</v>
      </c>
    </row>
    <row r="19" spans="1:10" x14ac:dyDescent="0.25">
      <c r="A19" s="4">
        <f t="shared" ca="1" si="0"/>
        <v>16</v>
      </c>
      <c r="B19" s="4" t="s">
        <v>168</v>
      </c>
      <c r="C19" s="4" t="s">
        <v>169</v>
      </c>
      <c r="D19" s="4" t="s">
        <v>138</v>
      </c>
      <c r="E19" s="4" t="s">
        <v>145</v>
      </c>
      <c r="F19" s="4">
        <v>1000</v>
      </c>
      <c r="G19" s="5">
        <v>102.11790000000001</v>
      </c>
      <c r="H19" s="5">
        <v>18.12</v>
      </c>
      <c r="I19" s="5">
        <v>1054</v>
      </c>
      <c r="J19" s="4" t="s">
        <v>139</v>
      </c>
    </row>
    <row r="20" spans="1:10" x14ac:dyDescent="0.25">
      <c r="A20" s="4">
        <f t="shared" ca="1" si="0"/>
        <v>17</v>
      </c>
      <c r="B20" s="4" t="s">
        <v>170</v>
      </c>
      <c r="C20" s="4" t="s">
        <v>171</v>
      </c>
      <c r="D20" s="4" t="s">
        <v>138</v>
      </c>
      <c r="E20" s="4" t="s">
        <v>145</v>
      </c>
      <c r="F20" s="4">
        <v>1000</v>
      </c>
      <c r="G20" s="5">
        <v>103.79010000000001</v>
      </c>
      <c r="H20" s="5">
        <v>17.89</v>
      </c>
      <c r="I20" s="5">
        <v>653</v>
      </c>
      <c r="J20" s="4" t="s">
        <v>139</v>
      </c>
    </row>
    <row r="21" spans="1:10" x14ac:dyDescent="0.25">
      <c r="A21" s="4">
        <f t="shared" ca="1" si="0"/>
        <v>18</v>
      </c>
      <c r="B21" s="4" t="s">
        <v>172</v>
      </c>
      <c r="C21" s="4" t="s">
        <v>173</v>
      </c>
      <c r="D21" s="4" t="s">
        <v>138</v>
      </c>
      <c r="E21" s="4" t="s">
        <v>145</v>
      </c>
      <c r="F21" s="4">
        <v>1000</v>
      </c>
      <c r="G21" s="5">
        <v>105.93220000000001</v>
      </c>
      <c r="H21" s="5">
        <v>18.22</v>
      </c>
      <c r="I21" s="5">
        <v>1524</v>
      </c>
      <c r="J21" s="4" t="s">
        <v>139</v>
      </c>
    </row>
    <row r="22" spans="1:10" x14ac:dyDescent="0.25">
      <c r="A22" s="4">
        <f t="shared" ca="1" si="0"/>
        <v>19</v>
      </c>
      <c r="B22" s="4" t="s">
        <v>174</v>
      </c>
      <c r="C22" s="4" t="s">
        <v>175</v>
      </c>
      <c r="D22" s="4" t="s">
        <v>133</v>
      </c>
      <c r="E22" s="4" t="s">
        <v>145</v>
      </c>
      <c r="F22" s="4">
        <v>1543.2</v>
      </c>
      <c r="G22" s="5"/>
      <c r="H22" s="5"/>
      <c r="I22" s="5"/>
      <c r="J22" s="4" t="s">
        <v>135</v>
      </c>
    </row>
    <row r="23" spans="1:10" x14ac:dyDescent="0.25">
      <c r="A23" s="4">
        <f t="shared" ca="1" si="0"/>
        <v>20</v>
      </c>
      <c r="B23" s="4" t="s">
        <v>176</v>
      </c>
      <c r="C23" s="4" t="s">
        <v>177</v>
      </c>
      <c r="D23" s="4" t="s">
        <v>138</v>
      </c>
      <c r="E23" s="4" t="s">
        <v>145</v>
      </c>
      <c r="F23" s="4">
        <v>817.98200000000008</v>
      </c>
      <c r="G23" s="5">
        <v>93.859300000000005</v>
      </c>
      <c r="H23" s="5">
        <v>16.46</v>
      </c>
      <c r="I23" s="5">
        <v>4775</v>
      </c>
      <c r="J23" s="4" t="s">
        <v>139</v>
      </c>
    </row>
    <row r="24" spans="1:10" x14ac:dyDescent="0.25">
      <c r="A24" s="4">
        <f t="shared" ca="1" si="0"/>
        <v>21</v>
      </c>
      <c r="B24" s="4" t="s">
        <v>178</v>
      </c>
      <c r="C24" s="4" t="s">
        <v>179</v>
      </c>
      <c r="D24" s="4" t="s">
        <v>138</v>
      </c>
      <c r="E24" s="4" t="s">
        <v>145</v>
      </c>
      <c r="F24" s="4">
        <v>498595</v>
      </c>
      <c r="G24" s="5">
        <v>103.7621</v>
      </c>
      <c r="H24" s="5">
        <v>21.01</v>
      </c>
      <c r="I24" s="5">
        <v>201</v>
      </c>
      <c r="J24" s="4" t="s">
        <v>139</v>
      </c>
    </row>
    <row r="25" spans="1:10" x14ac:dyDescent="0.25">
      <c r="A25" s="4">
        <f t="shared" ca="1" si="0"/>
        <v>22</v>
      </c>
      <c r="B25" s="4" t="s">
        <v>180</v>
      </c>
      <c r="C25" s="4" t="s">
        <v>181</v>
      </c>
      <c r="D25" s="4" t="s">
        <v>138</v>
      </c>
      <c r="E25" s="4" t="s">
        <v>145</v>
      </c>
      <c r="F25" s="4">
        <v>100.0115</v>
      </c>
      <c r="G25" s="5">
        <v>100.34480000000001</v>
      </c>
      <c r="H25" s="5">
        <v>9.99</v>
      </c>
      <c r="I25" s="5">
        <v>688</v>
      </c>
      <c r="J25" s="4" t="s">
        <v>139</v>
      </c>
    </row>
    <row r="26" spans="1:10" x14ac:dyDescent="0.25">
      <c r="A26" s="4">
        <f t="shared" ca="1" si="0"/>
        <v>23</v>
      </c>
      <c r="B26" s="4" t="s">
        <v>182</v>
      </c>
      <c r="C26" s="4" t="s">
        <v>183</v>
      </c>
      <c r="D26" s="4" t="s">
        <v>138</v>
      </c>
      <c r="E26" s="4" t="s">
        <v>145</v>
      </c>
      <c r="F26" s="4">
        <v>979.02200000000005</v>
      </c>
      <c r="G26" s="5">
        <v>98.696600000000004</v>
      </c>
      <c r="H26" s="5">
        <v>23</v>
      </c>
      <c r="I26" s="5">
        <v>1053</v>
      </c>
      <c r="J26" s="4" t="s">
        <v>139</v>
      </c>
    </row>
    <row r="27" spans="1:10" x14ac:dyDescent="0.25">
      <c r="A27" s="4">
        <f t="shared" ca="1" si="0"/>
        <v>24</v>
      </c>
      <c r="B27" s="4" t="s">
        <v>184</v>
      </c>
      <c r="C27" s="4" t="s">
        <v>185</v>
      </c>
      <c r="D27" s="4" t="s">
        <v>138</v>
      </c>
      <c r="E27" s="4" t="s">
        <v>145</v>
      </c>
      <c r="F27" s="4">
        <v>1001.3290000000001</v>
      </c>
      <c r="G27" s="5">
        <v>100.6746</v>
      </c>
      <c r="H27" s="5">
        <v>6.44</v>
      </c>
      <c r="I27" s="5">
        <v>882</v>
      </c>
      <c r="J27" s="4" t="s">
        <v>139</v>
      </c>
    </row>
    <row r="28" spans="1:10" x14ac:dyDescent="0.25">
      <c r="A28" s="4">
        <f t="shared" ca="1" si="0"/>
        <v>25</v>
      </c>
      <c r="B28" s="4" t="s">
        <v>186</v>
      </c>
      <c r="C28" s="4" t="s">
        <v>187</v>
      </c>
      <c r="D28" s="4" t="s">
        <v>138</v>
      </c>
      <c r="E28" s="4" t="s">
        <v>145</v>
      </c>
      <c r="F28" s="4">
        <v>1013.6560000000001</v>
      </c>
      <c r="G28" s="5">
        <v>101.74890000000001</v>
      </c>
      <c r="H28" s="5">
        <v>22.34</v>
      </c>
      <c r="I28" s="5">
        <v>1029</v>
      </c>
      <c r="J28" s="4" t="s">
        <v>139</v>
      </c>
    </row>
    <row r="29" spans="1:10" x14ac:dyDescent="0.25">
      <c r="A29" s="4">
        <f t="shared" ca="1" si="0"/>
        <v>26</v>
      </c>
      <c r="B29" s="4" t="s">
        <v>188</v>
      </c>
      <c r="C29" s="4" t="s">
        <v>189</v>
      </c>
      <c r="D29" s="4" t="s">
        <v>138</v>
      </c>
      <c r="E29" s="4" t="s">
        <v>145</v>
      </c>
      <c r="F29" s="4">
        <v>995</v>
      </c>
      <c r="G29" s="5">
        <v>104.0556</v>
      </c>
      <c r="H29" s="5">
        <v>20.88</v>
      </c>
      <c r="I29" s="5">
        <v>557</v>
      </c>
      <c r="J29" s="4" t="s">
        <v>139</v>
      </c>
    </row>
    <row r="30" spans="1:10" x14ac:dyDescent="0.25">
      <c r="A30" s="4">
        <f t="shared" ca="1" si="0"/>
        <v>27</v>
      </c>
      <c r="B30" s="4" t="s">
        <v>190</v>
      </c>
      <c r="C30" s="4" t="s">
        <v>191</v>
      </c>
      <c r="D30" s="4" t="s">
        <v>138</v>
      </c>
      <c r="E30" s="4" t="s">
        <v>145</v>
      </c>
      <c r="F30" s="4">
        <v>822.96300000000008</v>
      </c>
      <c r="G30" s="5">
        <v>83.151899999999998</v>
      </c>
      <c r="H30" s="5">
        <v>38.78</v>
      </c>
      <c r="I30" s="5">
        <v>502</v>
      </c>
      <c r="J30" s="4" t="s">
        <v>139</v>
      </c>
    </row>
    <row r="31" spans="1:10" x14ac:dyDescent="0.25">
      <c r="A31" s="4">
        <f t="shared" ca="1" si="0"/>
        <v>28</v>
      </c>
      <c r="B31" s="4" t="s">
        <v>192</v>
      </c>
      <c r="C31" s="4" t="s">
        <v>193</v>
      </c>
      <c r="D31" s="4" t="s">
        <v>138</v>
      </c>
      <c r="E31" s="4" t="s">
        <v>145</v>
      </c>
      <c r="F31" s="4">
        <v>500543.5</v>
      </c>
      <c r="G31" s="5">
        <v>104.4837</v>
      </c>
      <c r="H31" s="5">
        <v>20.9</v>
      </c>
      <c r="I31" s="5">
        <v>562</v>
      </c>
      <c r="J31" s="4" t="s">
        <v>139</v>
      </c>
    </row>
    <row r="32" spans="1:10" x14ac:dyDescent="0.25">
      <c r="A32" s="4">
        <f t="shared" ca="1" si="0"/>
        <v>29</v>
      </c>
      <c r="B32" s="4" t="s">
        <v>194</v>
      </c>
      <c r="C32" s="4" t="s">
        <v>195</v>
      </c>
      <c r="D32" s="4" t="s">
        <v>138</v>
      </c>
      <c r="E32" s="4" t="s">
        <v>145</v>
      </c>
      <c r="F32" s="4">
        <v>999.9910000000001</v>
      </c>
      <c r="G32" s="5">
        <v>100.24350000000001</v>
      </c>
      <c r="H32" s="5">
        <v>21.99</v>
      </c>
      <c r="I32" s="5">
        <v>58</v>
      </c>
      <c r="J32" s="4" t="s">
        <v>139</v>
      </c>
    </row>
    <row r="33" spans="1:10" x14ac:dyDescent="0.25">
      <c r="A33" s="4">
        <f t="shared" ca="1" si="0"/>
        <v>30</v>
      </c>
      <c r="B33" s="4" t="s">
        <v>196</v>
      </c>
      <c r="C33" s="4" t="s">
        <v>197</v>
      </c>
      <c r="D33" s="4" t="s">
        <v>138</v>
      </c>
      <c r="E33" s="4" t="s">
        <v>145</v>
      </c>
      <c r="F33" s="4">
        <v>499905.5</v>
      </c>
      <c r="G33" s="5">
        <v>101.1422</v>
      </c>
      <c r="H33" s="5">
        <v>22</v>
      </c>
      <c r="I33" s="5">
        <v>711</v>
      </c>
      <c r="J33" s="4" t="s">
        <v>139</v>
      </c>
    </row>
    <row r="34" spans="1:10" x14ac:dyDescent="0.25">
      <c r="A34" s="4">
        <f t="shared" ca="1" si="0"/>
        <v>31</v>
      </c>
      <c r="B34" s="4" t="s">
        <v>198</v>
      </c>
      <c r="C34" s="4" t="s">
        <v>199</v>
      </c>
      <c r="D34" s="4" t="s">
        <v>138</v>
      </c>
      <c r="E34" s="4" t="s">
        <v>145</v>
      </c>
      <c r="F34" s="4">
        <v>999.80499999999995</v>
      </c>
      <c r="G34" s="5">
        <v>101.0305</v>
      </c>
      <c r="H34" s="5">
        <v>21</v>
      </c>
      <c r="I34" s="5">
        <v>1078</v>
      </c>
      <c r="J34" s="4" t="s">
        <v>139</v>
      </c>
    </row>
    <row r="35" spans="1:10" x14ac:dyDescent="0.25">
      <c r="A35" s="4">
        <f t="shared" ca="1" si="0"/>
        <v>32</v>
      </c>
      <c r="B35" s="4" t="s">
        <v>200</v>
      </c>
      <c r="C35" s="4" t="s">
        <v>201</v>
      </c>
      <c r="D35" s="4" t="s">
        <v>138</v>
      </c>
      <c r="E35" s="4" t="s">
        <v>145</v>
      </c>
      <c r="F35" s="4">
        <v>990.80499999999995</v>
      </c>
      <c r="G35" s="5">
        <v>99.080500000000001</v>
      </c>
      <c r="H35" s="5">
        <v>22.22</v>
      </c>
      <c r="I35" s="5">
        <v>304</v>
      </c>
      <c r="J35" s="4" t="s">
        <v>139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202</v>
      </c>
      <c r="C36" s="4" t="s">
        <v>203</v>
      </c>
      <c r="D36" s="4" t="s">
        <v>138</v>
      </c>
      <c r="E36" s="4" t="s">
        <v>145</v>
      </c>
      <c r="F36" s="4">
        <v>1011.2220000000001</v>
      </c>
      <c r="G36" s="5">
        <v>101.70190000000001</v>
      </c>
      <c r="H36" s="5">
        <v>20.29</v>
      </c>
      <c r="I36" s="5">
        <v>903</v>
      </c>
      <c r="J36" s="4" t="s">
        <v>139</v>
      </c>
    </row>
    <row r="37" spans="1:10" x14ac:dyDescent="0.25">
      <c r="A37" s="4">
        <f t="shared" ca="1" si="1"/>
        <v>34</v>
      </c>
      <c r="B37" s="4" t="s">
        <v>204</v>
      </c>
      <c r="C37" s="4" t="s">
        <v>205</v>
      </c>
      <c r="D37" s="4" t="s">
        <v>138</v>
      </c>
      <c r="E37" s="4" t="s">
        <v>145</v>
      </c>
      <c r="F37" s="4">
        <v>983.53700000000003</v>
      </c>
      <c r="G37" s="5">
        <v>99.820400000000006</v>
      </c>
      <c r="H37" s="5">
        <v>23.14</v>
      </c>
      <c r="I37" s="5">
        <v>645</v>
      </c>
      <c r="J37" s="4" t="s">
        <v>139</v>
      </c>
    </row>
    <row r="38" spans="1:10" x14ac:dyDescent="0.25">
      <c r="A38" s="4">
        <f t="shared" ca="1" si="1"/>
        <v>35</v>
      </c>
      <c r="B38" s="4" t="s">
        <v>206</v>
      </c>
      <c r="C38" s="4" t="s">
        <v>207</v>
      </c>
      <c r="D38" s="4" t="s">
        <v>138</v>
      </c>
      <c r="E38" s="4" t="s">
        <v>145</v>
      </c>
      <c r="F38" s="4">
        <v>981.75800000000004</v>
      </c>
      <c r="G38" s="5">
        <v>103.3091</v>
      </c>
      <c r="H38" s="5">
        <v>23.7</v>
      </c>
      <c r="I38" s="5">
        <v>276</v>
      </c>
      <c r="J38" s="4" t="s">
        <v>139</v>
      </c>
    </row>
    <row r="39" spans="1:10" x14ac:dyDescent="0.25">
      <c r="A39" s="4">
        <f t="shared" ca="1" si="1"/>
        <v>36</v>
      </c>
      <c r="B39" s="4" t="s">
        <v>208</v>
      </c>
      <c r="C39" s="4" t="s">
        <v>209</v>
      </c>
      <c r="D39" s="4" t="s">
        <v>138</v>
      </c>
      <c r="E39" s="4" t="s">
        <v>145</v>
      </c>
      <c r="F39" s="4">
        <v>967.66700000000003</v>
      </c>
      <c r="G39" s="5">
        <v>97.241700000000009</v>
      </c>
      <c r="H39" s="5">
        <v>23.43</v>
      </c>
      <c r="I39" s="5">
        <v>295</v>
      </c>
      <c r="J39" s="4" t="s">
        <v>139</v>
      </c>
    </row>
    <row r="40" spans="1:10" x14ac:dyDescent="0.25">
      <c r="A40" s="4">
        <f t="shared" ca="1" si="1"/>
        <v>37</v>
      </c>
      <c r="B40" s="4" t="s">
        <v>210</v>
      </c>
      <c r="C40" s="4" t="s">
        <v>211</v>
      </c>
      <c r="D40" s="4" t="s">
        <v>138</v>
      </c>
      <c r="E40" s="4" t="s">
        <v>145</v>
      </c>
      <c r="F40" s="4">
        <v>959.63300000000004</v>
      </c>
      <c r="G40" s="5">
        <v>96.068899999999999</v>
      </c>
      <c r="H40" s="5">
        <v>21.42</v>
      </c>
      <c r="I40" s="5">
        <v>759</v>
      </c>
      <c r="J40" s="4" t="s">
        <v>139</v>
      </c>
    </row>
    <row r="41" spans="1:10" x14ac:dyDescent="0.25">
      <c r="A41" s="4">
        <f t="shared" ca="1" si="1"/>
        <v>38</v>
      </c>
      <c r="B41" s="4" t="s">
        <v>212</v>
      </c>
      <c r="C41" s="4" t="s">
        <v>213</v>
      </c>
      <c r="D41" s="4" t="s">
        <v>138</v>
      </c>
      <c r="E41" s="4" t="s">
        <v>145</v>
      </c>
      <c r="F41" s="4">
        <v>996.327</v>
      </c>
      <c r="G41" s="5">
        <v>100.68270000000001</v>
      </c>
      <c r="H41" s="5">
        <v>21.21</v>
      </c>
      <c r="I41" s="5">
        <v>803</v>
      </c>
      <c r="J41" s="4" t="s">
        <v>139</v>
      </c>
    </row>
    <row r="42" spans="1:10" x14ac:dyDescent="0.25">
      <c r="A42" s="4">
        <f t="shared" ca="1" si="1"/>
        <v>39</v>
      </c>
      <c r="B42" s="4" t="s">
        <v>214</v>
      </c>
      <c r="C42" s="4" t="s">
        <v>215</v>
      </c>
      <c r="D42" s="4" t="s">
        <v>138</v>
      </c>
      <c r="E42" s="4" t="s">
        <v>145</v>
      </c>
      <c r="F42" s="4">
        <v>999.55400000000009</v>
      </c>
      <c r="G42" s="5">
        <v>101.63460000000001</v>
      </c>
      <c r="H42" s="5">
        <v>19.48</v>
      </c>
      <c r="I42" s="5">
        <v>515</v>
      </c>
      <c r="J42" s="4" t="s">
        <v>139</v>
      </c>
    </row>
    <row r="43" spans="1:10" x14ac:dyDescent="0.25">
      <c r="A43" s="4">
        <f t="shared" ca="1" si="1"/>
        <v>40</v>
      </c>
      <c r="B43" s="4" t="s">
        <v>216</v>
      </c>
      <c r="C43" s="4" t="s">
        <v>217</v>
      </c>
      <c r="D43" s="4" t="s">
        <v>138</v>
      </c>
      <c r="E43" s="4" t="s">
        <v>145</v>
      </c>
      <c r="F43" s="4">
        <v>1026.5550000000001</v>
      </c>
      <c r="G43" s="5">
        <v>103.22550000000001</v>
      </c>
      <c r="H43" s="5">
        <v>21.56</v>
      </c>
      <c r="I43" s="5">
        <v>1057</v>
      </c>
      <c r="J43" s="4" t="s">
        <v>139</v>
      </c>
    </row>
    <row r="44" spans="1:10" x14ac:dyDescent="0.25">
      <c r="A44" s="4">
        <f t="shared" ca="1" si="1"/>
        <v>41</v>
      </c>
      <c r="B44" s="4" t="s">
        <v>218</v>
      </c>
      <c r="C44" s="4" t="s">
        <v>219</v>
      </c>
      <c r="D44" s="4" t="s">
        <v>138</v>
      </c>
      <c r="E44" s="4" t="s">
        <v>145</v>
      </c>
      <c r="F44" s="4">
        <v>1026.4100000000001</v>
      </c>
      <c r="G44" s="5">
        <v>103.211</v>
      </c>
      <c r="H44" s="5">
        <v>21.56</v>
      </c>
      <c r="I44" s="5">
        <v>1057</v>
      </c>
      <c r="J44" s="4" t="s">
        <v>139</v>
      </c>
    </row>
    <row r="45" spans="1:10" x14ac:dyDescent="0.25">
      <c r="A45" s="4">
        <f t="shared" ca="1" si="1"/>
        <v>42</v>
      </c>
      <c r="B45" s="4" t="s">
        <v>220</v>
      </c>
      <c r="C45" s="4" t="s">
        <v>221</v>
      </c>
      <c r="D45" s="4" t="s">
        <v>138</v>
      </c>
      <c r="E45" s="4" t="s">
        <v>145</v>
      </c>
      <c r="F45" s="4">
        <v>1000</v>
      </c>
      <c r="G45" s="5">
        <v>107.54470000000001</v>
      </c>
      <c r="H45" s="5">
        <v>17.86</v>
      </c>
      <c r="I45" s="5">
        <v>1308</v>
      </c>
      <c r="J45" s="4" t="s">
        <v>139</v>
      </c>
    </row>
    <row r="46" spans="1:10" x14ac:dyDescent="0.25">
      <c r="A46" s="4">
        <f t="shared" ca="1" si="1"/>
        <v>43</v>
      </c>
      <c r="B46" s="4" t="s">
        <v>222</v>
      </c>
      <c r="C46" s="4" t="s">
        <v>223</v>
      </c>
      <c r="D46" s="4" t="s">
        <v>138</v>
      </c>
      <c r="E46" s="4" t="s">
        <v>145</v>
      </c>
      <c r="F46" s="4">
        <v>1001.4720000000001</v>
      </c>
      <c r="G46" s="5">
        <v>101.0497</v>
      </c>
      <c r="H46" s="5">
        <v>21.55</v>
      </c>
      <c r="I46" s="5">
        <v>593</v>
      </c>
      <c r="J46" s="4" t="s">
        <v>139</v>
      </c>
    </row>
    <row r="47" spans="1:10" x14ac:dyDescent="0.25">
      <c r="A47" s="4">
        <f t="shared" ca="1" si="1"/>
        <v>44</v>
      </c>
      <c r="B47" s="4" t="s">
        <v>224</v>
      </c>
      <c r="C47" s="4" t="s">
        <v>225</v>
      </c>
      <c r="D47" s="4" t="s">
        <v>138</v>
      </c>
      <c r="E47" s="4" t="s">
        <v>145</v>
      </c>
      <c r="F47" s="4">
        <v>99.999099999999999</v>
      </c>
      <c r="G47" s="5">
        <v>100.3352</v>
      </c>
      <c r="H47" s="5">
        <v>11</v>
      </c>
      <c r="I47" s="5">
        <v>689</v>
      </c>
      <c r="J47" s="4" t="s">
        <v>139</v>
      </c>
    </row>
    <row r="48" spans="1:10" x14ac:dyDescent="0.25">
      <c r="A48" s="4">
        <f t="shared" ca="1" si="1"/>
        <v>45</v>
      </c>
      <c r="B48" s="4" t="s">
        <v>226</v>
      </c>
      <c r="C48" s="4" t="s">
        <v>227</v>
      </c>
      <c r="D48" s="4" t="s">
        <v>138</v>
      </c>
      <c r="E48" s="4" t="s">
        <v>145</v>
      </c>
      <c r="F48" s="4">
        <v>992.49700000000007</v>
      </c>
      <c r="G48" s="5">
        <v>99.471900000000005</v>
      </c>
      <c r="H48" s="5">
        <v>22.43</v>
      </c>
      <c r="I48" s="5">
        <v>117</v>
      </c>
      <c r="J48" s="4" t="s">
        <v>139</v>
      </c>
    </row>
    <row r="49" spans="1:10" x14ac:dyDescent="0.25">
      <c r="A49" s="4">
        <f t="shared" ca="1" si="1"/>
        <v>46</v>
      </c>
      <c r="B49" s="4" t="s">
        <v>228</v>
      </c>
      <c r="C49" s="4" t="s">
        <v>229</v>
      </c>
      <c r="D49" s="4" t="s">
        <v>138</v>
      </c>
      <c r="E49" s="4" t="s">
        <v>145</v>
      </c>
      <c r="F49" s="4">
        <v>1012.981</v>
      </c>
      <c r="G49" s="5">
        <v>101.29810000000001</v>
      </c>
      <c r="H49" s="5">
        <v>20.6</v>
      </c>
      <c r="I49" s="5">
        <v>822</v>
      </c>
      <c r="J49" s="4" t="s">
        <v>139</v>
      </c>
    </row>
    <row r="50" spans="1:10" x14ac:dyDescent="0.25">
      <c r="A50" s="4">
        <f t="shared" ca="1" si="1"/>
        <v>47</v>
      </c>
      <c r="B50" s="4" t="s">
        <v>230</v>
      </c>
      <c r="C50" s="4" t="s">
        <v>231</v>
      </c>
      <c r="D50" s="4" t="s">
        <v>138</v>
      </c>
      <c r="E50" s="4" t="s">
        <v>145</v>
      </c>
      <c r="F50" s="4">
        <v>920.15</v>
      </c>
      <c r="G50" s="5">
        <v>92.131700000000009</v>
      </c>
      <c r="H50" s="5">
        <v>25.72</v>
      </c>
      <c r="I50" s="5">
        <v>819</v>
      </c>
      <c r="J50" s="4" t="s">
        <v>139</v>
      </c>
    </row>
    <row r="51" spans="1:10" x14ac:dyDescent="0.25">
      <c r="A51" s="4">
        <f t="shared" ca="1" si="1"/>
        <v>48</v>
      </c>
      <c r="B51" s="4" t="s">
        <v>232</v>
      </c>
      <c r="C51" s="4" t="s">
        <v>233</v>
      </c>
      <c r="D51" s="4" t="s">
        <v>138</v>
      </c>
      <c r="E51" s="4" t="s">
        <v>145</v>
      </c>
      <c r="F51" s="4">
        <v>1000.0490000000001</v>
      </c>
      <c r="G51" s="5">
        <v>100.38820000000001</v>
      </c>
      <c r="H51" s="5">
        <v>23</v>
      </c>
      <c r="I51" s="5">
        <v>1090</v>
      </c>
      <c r="J51" s="4" t="s">
        <v>139</v>
      </c>
    </row>
    <row r="52" spans="1:10" x14ac:dyDescent="0.25">
      <c r="A52" s="4">
        <f t="shared" ca="1" si="1"/>
        <v>49</v>
      </c>
      <c r="B52" s="4" t="s">
        <v>234</v>
      </c>
      <c r="C52" s="4" t="s">
        <v>235</v>
      </c>
      <c r="D52" s="4" t="s">
        <v>138</v>
      </c>
      <c r="E52" s="4" t="s">
        <v>145</v>
      </c>
      <c r="F52" s="4">
        <v>1020.556</v>
      </c>
      <c r="G52" s="5">
        <v>102.5445</v>
      </c>
      <c r="H52" s="5">
        <v>20.45</v>
      </c>
      <c r="I52" s="5">
        <v>569</v>
      </c>
      <c r="J52" s="4" t="s">
        <v>139</v>
      </c>
    </row>
    <row r="53" spans="1:10" x14ac:dyDescent="0.25">
      <c r="A53" s="4">
        <f t="shared" ca="1" si="1"/>
        <v>50</v>
      </c>
      <c r="B53" s="4" t="s">
        <v>236</v>
      </c>
      <c r="C53" s="4" t="s">
        <v>237</v>
      </c>
      <c r="D53" s="4" t="s">
        <v>138</v>
      </c>
      <c r="E53" s="4" t="s">
        <v>145</v>
      </c>
      <c r="F53" s="4">
        <v>988.28800000000001</v>
      </c>
      <c r="G53" s="5">
        <v>99.989900000000006</v>
      </c>
      <c r="H53" s="5">
        <v>22.87</v>
      </c>
      <c r="I53" s="5">
        <v>589</v>
      </c>
      <c r="J53" s="4" t="s">
        <v>139</v>
      </c>
    </row>
    <row r="54" spans="1:10" x14ac:dyDescent="0.25">
      <c r="A54" s="4">
        <f t="shared" ca="1" si="1"/>
        <v>51</v>
      </c>
      <c r="B54" s="4" t="s">
        <v>238</v>
      </c>
      <c r="C54" s="4" t="s">
        <v>239</v>
      </c>
      <c r="D54" s="4" t="s">
        <v>138</v>
      </c>
      <c r="E54" s="4" t="s">
        <v>145</v>
      </c>
      <c r="F54" s="4">
        <v>989.99400000000003</v>
      </c>
      <c r="G54" s="5">
        <v>101.2355</v>
      </c>
      <c r="H54" s="5">
        <v>18.7</v>
      </c>
      <c r="I54" s="5">
        <v>319</v>
      </c>
      <c r="J54" s="4" t="s">
        <v>139</v>
      </c>
    </row>
    <row r="55" spans="1:10" x14ac:dyDescent="0.25">
      <c r="A55" s="4">
        <f t="shared" ca="1" si="1"/>
        <v>52</v>
      </c>
      <c r="B55" s="4" t="s">
        <v>240</v>
      </c>
      <c r="C55" s="4" t="s">
        <v>241</v>
      </c>
      <c r="D55" s="4" t="s">
        <v>138</v>
      </c>
      <c r="E55" s="4" t="s">
        <v>145</v>
      </c>
      <c r="F55" s="4">
        <v>900</v>
      </c>
      <c r="G55" s="5">
        <v>90.2333</v>
      </c>
      <c r="H55" s="5">
        <v>26.53</v>
      </c>
      <c r="I55" s="5">
        <v>909</v>
      </c>
      <c r="J55" s="4" t="s">
        <v>139</v>
      </c>
    </row>
    <row r="56" spans="1:10" x14ac:dyDescent="0.25">
      <c r="A56" s="4">
        <f t="shared" ca="1" si="1"/>
        <v>53</v>
      </c>
      <c r="B56" s="4" t="s">
        <v>242</v>
      </c>
      <c r="C56" s="4" t="s">
        <v>243</v>
      </c>
      <c r="D56" s="4" t="s">
        <v>138</v>
      </c>
      <c r="E56" s="4" t="s">
        <v>145</v>
      </c>
      <c r="F56" s="4">
        <v>916.92</v>
      </c>
      <c r="G56" s="5">
        <v>95.692000000000007</v>
      </c>
      <c r="H56" s="5">
        <v>22.39</v>
      </c>
      <c r="I56" s="5">
        <v>923</v>
      </c>
      <c r="J56" s="4" t="s">
        <v>139</v>
      </c>
    </row>
    <row r="57" spans="1:10" x14ac:dyDescent="0.25">
      <c r="A57" s="4">
        <f t="shared" ca="1" si="1"/>
        <v>54</v>
      </c>
      <c r="B57" s="4" t="s">
        <v>244</v>
      </c>
      <c r="C57" s="4" t="s">
        <v>245</v>
      </c>
      <c r="D57" s="4" t="s">
        <v>138</v>
      </c>
      <c r="E57" s="4" t="s">
        <v>145</v>
      </c>
      <c r="F57" s="4">
        <v>1009.479</v>
      </c>
      <c r="G57" s="5">
        <v>106.75620000000001</v>
      </c>
      <c r="H57" s="5">
        <v>19.740000000000002</v>
      </c>
      <c r="I57" s="5">
        <v>627</v>
      </c>
      <c r="J57" s="4" t="s">
        <v>139</v>
      </c>
    </row>
    <row r="58" spans="1:10" x14ac:dyDescent="0.25">
      <c r="A58" s="4">
        <f t="shared" ca="1" si="1"/>
        <v>55</v>
      </c>
      <c r="B58" s="4" t="s">
        <v>246</v>
      </c>
      <c r="C58" s="4" t="s">
        <v>247</v>
      </c>
      <c r="D58" s="4" t="s">
        <v>133</v>
      </c>
      <c r="E58" s="4" t="s">
        <v>248</v>
      </c>
      <c r="F58" s="4">
        <v>42879.26</v>
      </c>
      <c r="G58" s="5"/>
      <c r="H58" s="5"/>
      <c r="I58" s="5"/>
      <c r="J58" s="4" t="s">
        <v>135</v>
      </c>
    </row>
    <row r="59" spans="1:10" x14ac:dyDescent="0.25">
      <c r="A59" s="4">
        <f t="shared" ca="1" si="1"/>
        <v>56</v>
      </c>
      <c r="B59" s="4" t="s">
        <v>249</v>
      </c>
      <c r="C59" s="4" t="s">
        <v>250</v>
      </c>
      <c r="D59" s="4" t="s">
        <v>133</v>
      </c>
      <c r="E59" s="4" t="s">
        <v>248</v>
      </c>
      <c r="F59" s="4">
        <v>27625.39</v>
      </c>
      <c r="G59" s="5"/>
      <c r="H59" s="5"/>
      <c r="I59" s="5"/>
      <c r="J59" s="4" t="s">
        <v>135</v>
      </c>
    </row>
    <row r="60" spans="1:10" x14ac:dyDescent="0.25">
      <c r="A60" s="4">
        <f t="shared" ca="1" si="1"/>
        <v>57</v>
      </c>
      <c r="B60" s="4" t="s">
        <v>251</v>
      </c>
      <c r="C60" s="4" t="s">
        <v>252</v>
      </c>
      <c r="D60" s="4" t="s">
        <v>138</v>
      </c>
      <c r="E60" s="4" t="s">
        <v>253</v>
      </c>
      <c r="F60" s="4">
        <v>16745.400000000001</v>
      </c>
      <c r="G60" s="5">
        <v>1674.5350000000001</v>
      </c>
      <c r="H60" s="5"/>
      <c r="I60" s="5">
        <v>86</v>
      </c>
      <c r="J60" s="4" t="s">
        <v>139</v>
      </c>
    </row>
    <row r="61" spans="1:10" x14ac:dyDescent="0.25">
      <c r="A61" s="4">
        <f t="shared" ca="1" si="1"/>
        <v>58</v>
      </c>
      <c r="B61" s="4" t="s">
        <v>254</v>
      </c>
      <c r="C61" s="4" t="s">
        <v>255</v>
      </c>
      <c r="D61" s="4" t="s">
        <v>133</v>
      </c>
      <c r="E61" s="4" t="s">
        <v>256</v>
      </c>
      <c r="F61" s="4">
        <v>21383.23</v>
      </c>
      <c r="G61" s="5"/>
      <c r="H61" s="5"/>
      <c r="I61" s="5"/>
      <c r="J61" s="4" t="s">
        <v>135</v>
      </c>
    </row>
    <row r="62" spans="1:10" x14ac:dyDescent="0.25">
      <c r="A62" s="4">
        <f t="shared" ca="1" si="1"/>
        <v>59</v>
      </c>
      <c r="B62" s="4" t="s">
        <v>257</v>
      </c>
      <c r="C62" s="4" t="s">
        <v>258</v>
      </c>
      <c r="D62" s="4" t="s">
        <v>138</v>
      </c>
      <c r="E62" s="4" t="s">
        <v>256</v>
      </c>
      <c r="F62" s="4">
        <v>1.009854</v>
      </c>
      <c r="G62" s="5">
        <v>101.97080000000001</v>
      </c>
      <c r="H62" s="5">
        <v>5.12</v>
      </c>
      <c r="I62" s="5">
        <v>1576</v>
      </c>
      <c r="J62" s="4" t="s">
        <v>139</v>
      </c>
    </row>
    <row r="63" spans="1:10" x14ac:dyDescent="0.25">
      <c r="A63" s="4">
        <f t="shared" ca="1" si="1"/>
        <v>60</v>
      </c>
      <c r="B63" s="4" t="s">
        <v>259</v>
      </c>
      <c r="C63" s="4" t="s">
        <v>260</v>
      </c>
      <c r="D63" s="4" t="s">
        <v>133</v>
      </c>
      <c r="E63" s="4" t="s">
        <v>261</v>
      </c>
      <c r="F63" s="4">
        <v>3383.83</v>
      </c>
      <c r="G63" s="5"/>
      <c r="H63" s="5"/>
      <c r="I63" s="5"/>
      <c r="J63" s="4" t="s">
        <v>135</v>
      </c>
    </row>
    <row r="64" spans="1:10" x14ac:dyDescent="0.25">
      <c r="A64" s="4">
        <f t="shared" ca="1" si="1"/>
        <v>61</v>
      </c>
      <c r="B64" s="4" t="s">
        <v>262</v>
      </c>
      <c r="C64" s="4" t="s">
        <v>263</v>
      </c>
      <c r="D64" s="4" t="s">
        <v>138</v>
      </c>
      <c r="E64" s="4" t="s">
        <v>264</v>
      </c>
      <c r="F64" s="4">
        <v>0.97598999999999991</v>
      </c>
      <c r="G64" s="5">
        <v>97.943400000000011</v>
      </c>
      <c r="H64" s="5">
        <v>5</v>
      </c>
      <c r="I64" s="5">
        <v>302</v>
      </c>
      <c r="J64" s="4" t="s">
        <v>139</v>
      </c>
    </row>
    <row r="65" spans="1:10" x14ac:dyDescent="0.25">
      <c r="A65" s="4">
        <f t="shared" ca="1" si="1"/>
        <v>62</v>
      </c>
      <c r="B65" s="4" t="s">
        <v>265</v>
      </c>
      <c r="C65" s="4" t="s">
        <v>266</v>
      </c>
      <c r="D65" s="4" t="s">
        <v>138</v>
      </c>
      <c r="E65" s="4" t="s">
        <v>267</v>
      </c>
      <c r="F65" s="4">
        <v>1026.8150000000001</v>
      </c>
      <c r="G65" s="5">
        <v>110.48150000000001</v>
      </c>
      <c r="H65" s="5">
        <v>17</v>
      </c>
      <c r="I65" s="5">
        <v>1667</v>
      </c>
      <c r="J65" s="4" t="s">
        <v>139</v>
      </c>
    </row>
    <row r="66" spans="1:10" x14ac:dyDescent="0.25">
      <c r="A66" s="4">
        <f t="shared" ca="1" si="1"/>
        <v>63</v>
      </c>
      <c r="B66" s="4" t="s">
        <v>268</v>
      </c>
      <c r="C66" s="4" t="s">
        <v>269</v>
      </c>
      <c r="D66" s="4" t="s">
        <v>133</v>
      </c>
      <c r="E66" s="4" t="s">
        <v>270</v>
      </c>
      <c r="F66" s="4">
        <v>8545.76</v>
      </c>
      <c r="G66" s="5"/>
      <c r="H66" s="5"/>
      <c r="I66" s="5"/>
      <c r="J66" s="4" t="s">
        <v>135</v>
      </c>
    </row>
    <row r="67" spans="1:10" x14ac:dyDescent="0.25">
      <c r="A67" s="4">
        <f t="shared" ca="1" si="1"/>
        <v>64</v>
      </c>
      <c r="B67" s="4" t="s">
        <v>271</v>
      </c>
      <c r="C67" s="4" t="s">
        <v>272</v>
      </c>
      <c r="D67" s="4" t="s">
        <v>133</v>
      </c>
      <c r="E67" s="4" t="s">
        <v>270</v>
      </c>
      <c r="F67" s="4">
        <v>4791.57</v>
      </c>
      <c r="G67" s="5"/>
      <c r="H67" s="5"/>
      <c r="I67" s="5"/>
      <c r="J67" s="4" t="s">
        <v>135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273</v>
      </c>
      <c r="C68" s="4" t="s">
        <v>274</v>
      </c>
      <c r="D68" s="4" t="s">
        <v>138</v>
      </c>
      <c r="E68" s="4" t="s">
        <v>275</v>
      </c>
      <c r="F68" s="4">
        <v>969.404</v>
      </c>
      <c r="G68" s="5">
        <v>103.4487</v>
      </c>
      <c r="H68" s="5">
        <v>17.990000000000002</v>
      </c>
      <c r="I68" s="5">
        <v>952</v>
      </c>
      <c r="J68" s="4" t="s">
        <v>139</v>
      </c>
    </row>
    <row r="69" spans="1:10" x14ac:dyDescent="0.25">
      <c r="A69" s="4">
        <f t="shared" ca="1" si="2"/>
        <v>66</v>
      </c>
      <c r="B69" s="4" t="s">
        <v>276</v>
      </c>
      <c r="C69" s="4" t="s">
        <v>277</v>
      </c>
      <c r="D69" s="4" t="s">
        <v>138</v>
      </c>
      <c r="E69" s="4" t="s">
        <v>275</v>
      </c>
      <c r="F69" s="4">
        <v>984.16700000000003</v>
      </c>
      <c r="G69" s="5">
        <v>104.61800000000001</v>
      </c>
      <c r="H69" s="5">
        <v>19.03</v>
      </c>
      <c r="I69" s="5">
        <v>789</v>
      </c>
      <c r="J69" s="4" t="s">
        <v>139</v>
      </c>
    </row>
    <row r="70" spans="1:10" x14ac:dyDescent="0.25">
      <c r="A70" s="4">
        <f t="shared" ca="1" si="2"/>
        <v>67</v>
      </c>
      <c r="B70" s="4" t="s">
        <v>278</v>
      </c>
      <c r="C70" s="4" t="s">
        <v>279</v>
      </c>
      <c r="D70" s="4" t="s">
        <v>138</v>
      </c>
      <c r="E70" s="4" t="s">
        <v>275</v>
      </c>
      <c r="F70" s="4">
        <v>99.656300000000002</v>
      </c>
      <c r="G70" s="5">
        <v>99.656300000000002</v>
      </c>
      <c r="H70" s="5">
        <v>15.74</v>
      </c>
      <c r="I70" s="5">
        <v>9</v>
      </c>
      <c r="J70" s="4" t="s">
        <v>139</v>
      </c>
    </row>
    <row r="71" spans="1:10" x14ac:dyDescent="0.25">
      <c r="A71" s="4">
        <f t="shared" ca="1" si="2"/>
        <v>68</v>
      </c>
      <c r="B71" s="4" t="s">
        <v>280</v>
      </c>
      <c r="C71" s="4" t="s">
        <v>281</v>
      </c>
      <c r="D71" s="4" t="s">
        <v>138</v>
      </c>
      <c r="E71" s="4" t="s">
        <v>275</v>
      </c>
      <c r="F71" s="4">
        <v>981.29600000000005</v>
      </c>
      <c r="G71" s="5">
        <v>106.515</v>
      </c>
      <c r="H71" s="5">
        <v>17.990000000000002</v>
      </c>
      <c r="I71" s="5">
        <v>1283</v>
      </c>
      <c r="J71" s="4" t="s">
        <v>139</v>
      </c>
    </row>
    <row r="72" spans="1:10" x14ac:dyDescent="0.25">
      <c r="A72" s="4">
        <f t="shared" ca="1" si="2"/>
        <v>69</v>
      </c>
      <c r="B72" s="4" t="s">
        <v>282</v>
      </c>
      <c r="C72" s="4" t="s">
        <v>283</v>
      </c>
      <c r="D72" s="4" t="s">
        <v>138</v>
      </c>
      <c r="E72" s="4" t="s">
        <v>275</v>
      </c>
      <c r="F72" s="4">
        <v>100.01870000000001</v>
      </c>
      <c r="G72" s="5">
        <v>100.10760000000001</v>
      </c>
      <c r="H72" s="5">
        <v>7.99</v>
      </c>
      <c r="I72" s="5">
        <v>726</v>
      </c>
      <c r="J72" s="4" t="s">
        <v>139</v>
      </c>
    </row>
    <row r="73" spans="1:10" x14ac:dyDescent="0.25">
      <c r="A73" s="4">
        <f t="shared" ca="1" si="2"/>
        <v>70</v>
      </c>
      <c r="B73" s="4" t="s">
        <v>284</v>
      </c>
      <c r="C73" s="4" t="s">
        <v>285</v>
      </c>
      <c r="D73" s="4" t="s">
        <v>138</v>
      </c>
      <c r="E73" s="4" t="s">
        <v>275</v>
      </c>
      <c r="F73" s="4">
        <v>1009.51</v>
      </c>
      <c r="G73" s="5">
        <v>110.36210000000001</v>
      </c>
      <c r="H73" s="5">
        <v>18.490000000000002</v>
      </c>
      <c r="I73" s="5">
        <v>551</v>
      </c>
      <c r="J73" s="4" t="s">
        <v>139</v>
      </c>
    </row>
    <row r="74" spans="1:10" x14ac:dyDescent="0.25">
      <c r="A74" s="4">
        <f t="shared" ca="1" si="2"/>
        <v>71</v>
      </c>
      <c r="B74" s="4" t="s">
        <v>286</v>
      </c>
      <c r="C74" s="4" t="s">
        <v>287</v>
      </c>
      <c r="D74" s="4" t="s">
        <v>138</v>
      </c>
      <c r="E74" s="4" t="s">
        <v>275</v>
      </c>
      <c r="F74" s="4">
        <v>1025.7850000000001</v>
      </c>
      <c r="G74" s="5">
        <v>111.3857</v>
      </c>
      <c r="H74" s="5">
        <v>18.23</v>
      </c>
      <c r="I74" s="5">
        <v>1657</v>
      </c>
      <c r="J74" s="4" t="s">
        <v>139</v>
      </c>
    </row>
    <row r="75" spans="1:10" x14ac:dyDescent="0.25">
      <c r="A75" s="4">
        <f t="shared" ca="1" si="2"/>
        <v>72</v>
      </c>
      <c r="B75" s="4" t="s">
        <v>288</v>
      </c>
      <c r="C75" s="4" t="s">
        <v>289</v>
      </c>
      <c r="D75" s="4" t="s">
        <v>138</v>
      </c>
      <c r="E75" s="4" t="s">
        <v>66</v>
      </c>
      <c r="F75" s="4">
        <v>1000</v>
      </c>
      <c r="G75" s="5">
        <v>100</v>
      </c>
      <c r="H75" s="5">
        <v>12.47</v>
      </c>
      <c r="I75" s="5">
        <v>1096</v>
      </c>
      <c r="J75" s="4" t="s">
        <v>139</v>
      </c>
    </row>
    <row r="76" spans="1:10" x14ac:dyDescent="0.25">
      <c r="A76" s="4">
        <f t="shared" ca="1" si="2"/>
        <v>73</v>
      </c>
      <c r="B76" s="4" t="s">
        <v>290</v>
      </c>
      <c r="C76" s="4" t="s">
        <v>291</v>
      </c>
      <c r="D76" s="4" t="s">
        <v>138</v>
      </c>
      <c r="E76" s="4" t="s">
        <v>66</v>
      </c>
      <c r="F76" s="4">
        <v>1000</v>
      </c>
      <c r="G76" s="5">
        <v>104.25890000000001</v>
      </c>
      <c r="H76" s="5">
        <v>12.41</v>
      </c>
      <c r="I76" s="5">
        <v>1336</v>
      </c>
      <c r="J76" s="4" t="s">
        <v>139</v>
      </c>
    </row>
    <row r="77" spans="1:10" x14ac:dyDescent="0.25">
      <c r="A77" s="4">
        <f t="shared" ca="1" si="2"/>
        <v>74</v>
      </c>
      <c r="B77" s="4" t="s">
        <v>292</v>
      </c>
      <c r="C77" s="4" t="s">
        <v>293</v>
      </c>
      <c r="D77" s="4" t="s">
        <v>138</v>
      </c>
      <c r="E77" s="4" t="s">
        <v>66</v>
      </c>
      <c r="F77" s="4">
        <v>1000</v>
      </c>
      <c r="G77" s="5">
        <v>107.34050000000001</v>
      </c>
      <c r="H77" s="5">
        <v>12.01</v>
      </c>
      <c r="I77" s="5">
        <v>149</v>
      </c>
      <c r="J77" s="4" t="s">
        <v>139</v>
      </c>
    </row>
    <row r="78" spans="1:10" x14ac:dyDescent="0.25">
      <c r="A78" s="4">
        <f t="shared" ca="1" si="2"/>
        <v>75</v>
      </c>
      <c r="B78" s="4" t="s">
        <v>294</v>
      </c>
      <c r="C78" s="4" t="s">
        <v>295</v>
      </c>
      <c r="D78" s="4" t="s">
        <v>138</v>
      </c>
      <c r="E78" s="4" t="s">
        <v>66</v>
      </c>
      <c r="F78" s="4">
        <v>1000</v>
      </c>
      <c r="G78" s="5">
        <v>105.19380000000001</v>
      </c>
      <c r="H78" s="5">
        <v>12.14</v>
      </c>
      <c r="I78" s="5">
        <v>212</v>
      </c>
      <c r="J78" s="4" t="s">
        <v>139</v>
      </c>
    </row>
    <row r="79" spans="1:10" x14ac:dyDescent="0.25">
      <c r="A79" s="4">
        <f t="shared" ca="1" si="2"/>
        <v>76</v>
      </c>
      <c r="B79" s="4" t="s">
        <v>296</v>
      </c>
      <c r="C79" s="4" t="s">
        <v>297</v>
      </c>
      <c r="D79" s="4" t="s">
        <v>138</v>
      </c>
      <c r="E79" s="4" t="s">
        <v>66</v>
      </c>
      <c r="F79" s="4">
        <v>1000</v>
      </c>
      <c r="G79" s="5">
        <v>108.3446</v>
      </c>
      <c r="H79" s="5">
        <v>12.33</v>
      </c>
      <c r="I79" s="5">
        <v>485</v>
      </c>
      <c r="J79" s="4" t="s">
        <v>139</v>
      </c>
    </row>
    <row r="80" spans="1:10" x14ac:dyDescent="0.25">
      <c r="A80" s="4">
        <f t="shared" ca="1" si="2"/>
        <v>77</v>
      </c>
      <c r="B80" s="4" t="s">
        <v>298</v>
      </c>
      <c r="C80" s="4" t="s">
        <v>299</v>
      </c>
      <c r="D80" s="4" t="s">
        <v>138</v>
      </c>
      <c r="E80" s="4" t="s">
        <v>66</v>
      </c>
      <c r="F80" s="4">
        <v>1000</v>
      </c>
      <c r="G80" s="5">
        <v>106.2671</v>
      </c>
      <c r="H80" s="5">
        <v>12.33</v>
      </c>
      <c r="I80" s="5">
        <v>546</v>
      </c>
      <c r="J80" s="4" t="s">
        <v>139</v>
      </c>
    </row>
    <row r="81" spans="1:10" x14ac:dyDescent="0.25">
      <c r="A81" s="4">
        <f t="shared" ca="1" si="2"/>
        <v>78</v>
      </c>
      <c r="B81" s="4" t="s">
        <v>300</v>
      </c>
      <c r="C81" s="4" t="s">
        <v>301</v>
      </c>
      <c r="D81" s="4" t="s">
        <v>138</v>
      </c>
      <c r="E81" s="4" t="s">
        <v>66</v>
      </c>
      <c r="F81" s="4">
        <v>1000</v>
      </c>
      <c r="G81" s="5">
        <v>101.1773</v>
      </c>
      <c r="H81" s="5">
        <v>12.43</v>
      </c>
      <c r="I81" s="5">
        <v>696</v>
      </c>
      <c r="J81" s="4" t="s">
        <v>139</v>
      </c>
    </row>
    <row r="82" spans="1:10" x14ac:dyDescent="0.25">
      <c r="A82" s="4">
        <f t="shared" ca="1" si="2"/>
        <v>79</v>
      </c>
      <c r="B82" s="4" t="s">
        <v>302</v>
      </c>
      <c r="C82" s="4" t="s">
        <v>303</v>
      </c>
      <c r="D82" s="4" t="s">
        <v>138</v>
      </c>
      <c r="E82" s="4" t="s">
        <v>66</v>
      </c>
      <c r="F82" s="4">
        <v>1000</v>
      </c>
      <c r="G82" s="5">
        <v>104.25890000000001</v>
      </c>
      <c r="H82" s="5">
        <v>12.39</v>
      </c>
      <c r="I82" s="5">
        <v>971</v>
      </c>
      <c r="J82" s="4" t="s">
        <v>139</v>
      </c>
    </row>
    <row r="83" spans="1:10" x14ac:dyDescent="0.25">
      <c r="A83" s="4">
        <f t="shared" ca="1" si="2"/>
        <v>80</v>
      </c>
      <c r="B83" s="4" t="s">
        <v>304</v>
      </c>
      <c r="C83" s="4" t="s">
        <v>305</v>
      </c>
      <c r="D83" s="4" t="s">
        <v>138</v>
      </c>
      <c r="E83" s="4" t="s">
        <v>66</v>
      </c>
      <c r="F83" s="4">
        <v>1000</v>
      </c>
      <c r="G83" s="5">
        <v>111.49550000000001</v>
      </c>
      <c r="H83" s="5">
        <v>12.45</v>
      </c>
      <c r="I83" s="5">
        <v>1490</v>
      </c>
      <c r="J83" s="4" t="s">
        <v>139</v>
      </c>
    </row>
    <row r="84" spans="1:10" x14ac:dyDescent="0.25">
      <c r="A84" s="4">
        <f t="shared" ca="1" si="2"/>
        <v>81</v>
      </c>
      <c r="B84" s="4" t="s">
        <v>306</v>
      </c>
      <c r="C84" s="4" t="s">
        <v>307</v>
      </c>
      <c r="D84" s="4" t="s">
        <v>138</v>
      </c>
      <c r="E84" s="4" t="s">
        <v>66</v>
      </c>
      <c r="F84" s="4">
        <v>907.36099999999999</v>
      </c>
      <c r="G84" s="5">
        <v>91.25</v>
      </c>
      <c r="H84" s="5">
        <v>16.93</v>
      </c>
      <c r="I84" s="5">
        <v>328</v>
      </c>
      <c r="J84" s="4" t="s">
        <v>139</v>
      </c>
    </row>
    <row r="85" spans="1:10" x14ac:dyDescent="0.25">
      <c r="A85" s="4">
        <f t="shared" ca="1" si="2"/>
        <v>82</v>
      </c>
      <c r="B85" s="4" t="s">
        <v>308</v>
      </c>
      <c r="C85" s="4" t="s">
        <v>309</v>
      </c>
      <c r="D85" s="4" t="s">
        <v>138</v>
      </c>
      <c r="E85" s="4" t="s">
        <v>66</v>
      </c>
      <c r="F85" s="4">
        <v>1000</v>
      </c>
      <c r="G85" s="5">
        <v>106.2671</v>
      </c>
      <c r="H85" s="5">
        <v>12.4</v>
      </c>
      <c r="I85" s="5">
        <v>1277</v>
      </c>
      <c r="J85" s="4" t="s">
        <v>139</v>
      </c>
    </row>
    <row r="86" spans="1:10" x14ac:dyDescent="0.25">
      <c r="A86" s="4">
        <f t="shared" ca="1" si="2"/>
        <v>83</v>
      </c>
      <c r="B86" s="4" t="s">
        <v>310</v>
      </c>
      <c r="C86" s="4" t="s">
        <v>95</v>
      </c>
      <c r="D86" s="4" t="s">
        <v>138</v>
      </c>
      <c r="E86" s="4" t="s">
        <v>66</v>
      </c>
      <c r="F86" s="4">
        <v>881.50100000000009</v>
      </c>
      <c r="G86" s="5">
        <v>92.313400000000001</v>
      </c>
      <c r="H86" s="5">
        <v>16.760000000000002</v>
      </c>
      <c r="I86" s="5">
        <v>452</v>
      </c>
      <c r="J86" s="4" t="s">
        <v>139</v>
      </c>
    </row>
    <row r="87" spans="1:10" x14ac:dyDescent="0.25">
      <c r="A87" s="4">
        <f t="shared" ca="1" si="2"/>
        <v>84</v>
      </c>
      <c r="B87" s="4" t="s">
        <v>311</v>
      </c>
      <c r="C87" s="4" t="s">
        <v>312</v>
      </c>
      <c r="D87" s="4" t="s">
        <v>138</v>
      </c>
      <c r="E87" s="4" t="s">
        <v>66</v>
      </c>
      <c r="F87" s="4">
        <v>843.24900000000002</v>
      </c>
      <c r="G87" s="5">
        <v>85.880400000000009</v>
      </c>
      <c r="H87" s="5">
        <v>16.670000000000002</v>
      </c>
      <c r="I87" s="5">
        <v>627</v>
      </c>
      <c r="J87" s="4" t="s">
        <v>139</v>
      </c>
    </row>
    <row r="88" spans="1:10" x14ac:dyDescent="0.25">
      <c r="A88" s="4">
        <f t="shared" ca="1" si="2"/>
        <v>85</v>
      </c>
      <c r="B88" s="4" t="s">
        <v>313</v>
      </c>
      <c r="C88" s="4" t="s">
        <v>314</v>
      </c>
      <c r="D88" s="4" t="s">
        <v>138</v>
      </c>
      <c r="E88" s="4" t="s">
        <v>66</v>
      </c>
      <c r="F88" s="4">
        <v>850.91800000000001</v>
      </c>
      <c r="G88" s="5">
        <v>86.283500000000004</v>
      </c>
      <c r="H88" s="5">
        <v>16.62</v>
      </c>
      <c r="I88" s="5">
        <v>663</v>
      </c>
      <c r="J88" s="4" t="s">
        <v>139</v>
      </c>
    </row>
    <row r="89" spans="1:10" x14ac:dyDescent="0.25">
      <c r="A89" s="4">
        <f t="shared" ca="1" si="2"/>
        <v>86</v>
      </c>
      <c r="B89" s="4" t="s">
        <v>315</v>
      </c>
      <c r="C89" s="4" t="s">
        <v>316</v>
      </c>
      <c r="D89" s="4" t="s">
        <v>138</v>
      </c>
      <c r="E89" s="4" t="s">
        <v>66</v>
      </c>
      <c r="F89" s="4">
        <v>1000</v>
      </c>
      <c r="G89" s="5">
        <v>105.22840000000001</v>
      </c>
      <c r="H89" s="5">
        <v>12.34</v>
      </c>
      <c r="I89" s="5">
        <v>576</v>
      </c>
      <c r="J89" s="4" t="s">
        <v>139</v>
      </c>
    </row>
    <row r="90" spans="1:10" x14ac:dyDescent="0.25">
      <c r="A90" s="4">
        <f t="shared" ca="1" si="2"/>
        <v>87</v>
      </c>
      <c r="B90" s="4" t="s">
        <v>317</v>
      </c>
      <c r="C90" s="4" t="s">
        <v>318</v>
      </c>
      <c r="D90" s="4" t="s">
        <v>138</v>
      </c>
      <c r="E90" s="4" t="s">
        <v>66</v>
      </c>
      <c r="F90" s="4">
        <v>1000</v>
      </c>
      <c r="G90" s="5">
        <v>110.6718</v>
      </c>
      <c r="H90" s="5">
        <v>12.53</v>
      </c>
      <c r="I90" s="5">
        <v>1517</v>
      </c>
      <c r="J90" s="4" t="s">
        <v>139</v>
      </c>
    </row>
    <row r="91" spans="1:10" x14ac:dyDescent="0.25">
      <c r="A91" s="4">
        <f t="shared" ca="1" si="2"/>
        <v>88</v>
      </c>
      <c r="B91" s="4" t="s">
        <v>319</v>
      </c>
      <c r="C91" s="4" t="s">
        <v>107</v>
      </c>
      <c r="D91" s="4" t="s">
        <v>138</v>
      </c>
      <c r="E91" s="4" t="s">
        <v>66</v>
      </c>
      <c r="F91" s="4">
        <v>663.16700000000003</v>
      </c>
      <c r="G91" s="5">
        <v>71.427700000000002</v>
      </c>
      <c r="H91" s="5">
        <v>15.49</v>
      </c>
      <c r="I91" s="5">
        <v>3055</v>
      </c>
      <c r="J91" s="4" t="s">
        <v>139</v>
      </c>
    </row>
    <row r="92" spans="1:10" x14ac:dyDescent="0.25">
      <c r="A92" s="4">
        <f t="shared" ca="1" si="2"/>
        <v>89</v>
      </c>
      <c r="B92" s="4" t="s">
        <v>320</v>
      </c>
      <c r="C92" s="4" t="s">
        <v>321</v>
      </c>
      <c r="D92" s="4" t="s">
        <v>138</v>
      </c>
      <c r="E92" s="4" t="s">
        <v>66</v>
      </c>
      <c r="F92" s="4">
        <v>885.86300000000006</v>
      </c>
      <c r="G92" s="5">
        <v>92.528800000000004</v>
      </c>
      <c r="H92" s="5">
        <v>16.73</v>
      </c>
      <c r="I92" s="5">
        <v>537</v>
      </c>
      <c r="J92" s="4" t="s">
        <v>139</v>
      </c>
    </row>
    <row r="93" spans="1:10" x14ac:dyDescent="0.25">
      <c r="A93" s="4">
        <f t="shared" ca="1" si="2"/>
        <v>90</v>
      </c>
      <c r="B93" s="4" t="s">
        <v>322</v>
      </c>
      <c r="C93" s="4" t="s">
        <v>323</v>
      </c>
      <c r="D93" s="4" t="s">
        <v>138</v>
      </c>
      <c r="E93" s="4" t="s">
        <v>66</v>
      </c>
      <c r="F93" s="4">
        <v>594.1</v>
      </c>
      <c r="G93" s="5">
        <v>61.668600000000005</v>
      </c>
      <c r="H93" s="5">
        <v>15.31</v>
      </c>
      <c r="I93" s="5">
        <v>6845</v>
      </c>
      <c r="J93" s="4" t="s">
        <v>139</v>
      </c>
    </row>
    <row r="94" spans="1:10" x14ac:dyDescent="0.25">
      <c r="A94" s="4">
        <f t="shared" ca="1" si="2"/>
        <v>91</v>
      </c>
      <c r="B94" s="4" t="s">
        <v>324</v>
      </c>
      <c r="C94" s="4" t="s">
        <v>325</v>
      </c>
      <c r="D94" s="4" t="s">
        <v>138</v>
      </c>
      <c r="E94" s="4" t="s">
        <v>66</v>
      </c>
      <c r="F94" s="4">
        <v>1000</v>
      </c>
      <c r="G94" s="5">
        <v>103.11630000000001</v>
      </c>
      <c r="H94" s="5">
        <v>12.27</v>
      </c>
      <c r="I94" s="5">
        <v>274</v>
      </c>
      <c r="J94" s="4" t="s">
        <v>139</v>
      </c>
    </row>
    <row r="95" spans="1:10" x14ac:dyDescent="0.25">
      <c r="A95" s="4">
        <f t="shared" ca="1" si="2"/>
        <v>92</v>
      </c>
      <c r="B95" s="4" t="s">
        <v>326</v>
      </c>
      <c r="C95" s="4" t="s">
        <v>327</v>
      </c>
      <c r="D95" s="4" t="s">
        <v>138</v>
      </c>
      <c r="E95" s="4" t="s">
        <v>66</v>
      </c>
      <c r="F95" s="4">
        <v>1000</v>
      </c>
      <c r="G95" s="5">
        <v>106.3018</v>
      </c>
      <c r="H95" s="5">
        <v>12.4</v>
      </c>
      <c r="I95" s="5">
        <v>1276</v>
      </c>
      <c r="J95" s="4" t="s">
        <v>139</v>
      </c>
    </row>
    <row r="96" spans="1:10" x14ac:dyDescent="0.25">
      <c r="A96" s="4">
        <f t="shared" ca="1" si="2"/>
        <v>93</v>
      </c>
      <c r="B96" s="4" t="s">
        <v>328</v>
      </c>
      <c r="C96" s="4" t="s">
        <v>329</v>
      </c>
      <c r="D96" s="4" t="s">
        <v>138</v>
      </c>
      <c r="E96" s="4" t="s">
        <v>66</v>
      </c>
      <c r="F96" s="4">
        <v>1000</v>
      </c>
      <c r="G96" s="5">
        <v>107.27130000000001</v>
      </c>
      <c r="H96" s="5">
        <v>12.41</v>
      </c>
      <c r="I96" s="5">
        <v>1612</v>
      </c>
      <c r="J96" s="4" t="s">
        <v>139</v>
      </c>
    </row>
    <row r="97" spans="1:10" x14ac:dyDescent="0.25">
      <c r="A97" s="4">
        <f t="shared" ca="1" si="2"/>
        <v>94</v>
      </c>
      <c r="B97" s="4" t="s">
        <v>330</v>
      </c>
      <c r="C97" s="4" t="s">
        <v>331</v>
      </c>
      <c r="D97" s="4" t="s">
        <v>138</v>
      </c>
      <c r="E97" s="4" t="s">
        <v>66</v>
      </c>
      <c r="F97" s="4">
        <v>1000</v>
      </c>
      <c r="G97" s="5">
        <v>104.2243</v>
      </c>
      <c r="H97" s="5">
        <v>12.2</v>
      </c>
      <c r="I97" s="5">
        <v>241</v>
      </c>
      <c r="J97" s="4" t="s">
        <v>139</v>
      </c>
    </row>
    <row r="98" spans="1:10" x14ac:dyDescent="0.25">
      <c r="A98" s="4">
        <f t="shared" ca="1" si="2"/>
        <v>95</v>
      </c>
      <c r="B98" s="4" t="s">
        <v>332</v>
      </c>
      <c r="C98" s="4" t="s">
        <v>109</v>
      </c>
      <c r="D98" s="4" t="s">
        <v>138</v>
      </c>
      <c r="E98" s="4" t="s">
        <v>66</v>
      </c>
      <c r="F98" s="4">
        <v>651.03899999999999</v>
      </c>
      <c r="G98" s="5">
        <v>72.523800000000008</v>
      </c>
      <c r="H98" s="5">
        <v>15.46</v>
      </c>
      <c r="I98" s="5">
        <v>3317</v>
      </c>
      <c r="J98" s="4" t="s">
        <v>139</v>
      </c>
    </row>
    <row r="99" spans="1:10" x14ac:dyDescent="0.25">
      <c r="A99" s="4">
        <f t="shared" ca="1" si="2"/>
        <v>96</v>
      </c>
      <c r="B99" s="4" t="s">
        <v>333</v>
      </c>
      <c r="C99" s="4" t="s">
        <v>334</v>
      </c>
      <c r="D99" s="4" t="s">
        <v>138</v>
      </c>
      <c r="E99" s="4" t="s">
        <v>66</v>
      </c>
      <c r="F99" s="4">
        <v>921.11300000000006</v>
      </c>
      <c r="G99" s="5">
        <v>99.461300000000008</v>
      </c>
      <c r="H99" s="5">
        <v>16.79</v>
      </c>
      <c r="I99" s="5">
        <v>431</v>
      </c>
      <c r="J99" s="4" t="s">
        <v>139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335</v>
      </c>
      <c r="C100" s="4" t="s">
        <v>336</v>
      </c>
      <c r="D100" s="4" t="s">
        <v>138</v>
      </c>
      <c r="E100" s="4" t="s">
        <v>66</v>
      </c>
      <c r="F100" s="4">
        <v>902.33800000000008</v>
      </c>
      <c r="G100" s="5">
        <v>94.658799999999999</v>
      </c>
      <c r="H100" s="5">
        <v>16.71</v>
      </c>
      <c r="I100" s="5">
        <v>550</v>
      </c>
      <c r="J100" s="4" t="s">
        <v>139</v>
      </c>
    </row>
    <row r="101" spans="1:10" x14ac:dyDescent="0.25">
      <c r="A101" s="4">
        <f t="shared" ca="1" si="3"/>
        <v>98</v>
      </c>
      <c r="B101" s="4" t="s">
        <v>337</v>
      </c>
      <c r="C101" s="4" t="s">
        <v>77</v>
      </c>
      <c r="D101" s="4" t="s">
        <v>138</v>
      </c>
      <c r="E101" s="4" t="s">
        <v>66</v>
      </c>
      <c r="F101" s="4">
        <v>647.63800000000003</v>
      </c>
      <c r="G101" s="5">
        <v>68.2971</v>
      </c>
      <c r="H101" s="5">
        <v>15.41</v>
      </c>
      <c r="I101" s="5">
        <v>3865</v>
      </c>
      <c r="J101" s="4" t="s">
        <v>139</v>
      </c>
    </row>
    <row r="102" spans="1:10" x14ac:dyDescent="0.25">
      <c r="A102" s="4">
        <f t="shared" ca="1" si="3"/>
        <v>99</v>
      </c>
      <c r="B102" s="4" t="s">
        <v>338</v>
      </c>
      <c r="C102" s="4" t="s">
        <v>339</v>
      </c>
      <c r="D102" s="4" t="s">
        <v>138</v>
      </c>
      <c r="E102" s="4" t="s">
        <v>66</v>
      </c>
      <c r="F102" s="4">
        <v>710.03700000000003</v>
      </c>
      <c r="G102" s="5">
        <v>77.402500000000003</v>
      </c>
      <c r="H102" s="5">
        <v>15.57</v>
      </c>
      <c r="I102" s="5">
        <v>2652</v>
      </c>
      <c r="J102" s="4" t="s">
        <v>139</v>
      </c>
    </row>
    <row r="103" spans="1:10" x14ac:dyDescent="0.25">
      <c r="A103" s="4">
        <f t="shared" ca="1" si="3"/>
        <v>100</v>
      </c>
      <c r="B103" s="4" t="s">
        <v>340</v>
      </c>
      <c r="C103" s="4" t="s">
        <v>341</v>
      </c>
      <c r="D103" s="4" t="s">
        <v>138</v>
      </c>
      <c r="E103" s="4" t="s">
        <v>66</v>
      </c>
      <c r="F103" s="4">
        <v>700.63600000000008</v>
      </c>
      <c r="G103" s="5">
        <v>75.868099999999998</v>
      </c>
      <c r="H103" s="5">
        <v>15.57</v>
      </c>
      <c r="I103" s="5">
        <v>2671</v>
      </c>
      <c r="J103" s="4" t="s">
        <v>139</v>
      </c>
    </row>
    <row r="104" spans="1:10" x14ac:dyDescent="0.25">
      <c r="A104" s="4">
        <f t="shared" ca="1" si="3"/>
        <v>101</v>
      </c>
      <c r="B104" s="4" t="s">
        <v>342</v>
      </c>
      <c r="C104" s="4" t="s">
        <v>103</v>
      </c>
      <c r="D104" s="4" t="s">
        <v>138</v>
      </c>
      <c r="E104" s="4" t="s">
        <v>66</v>
      </c>
      <c r="F104" s="4">
        <v>722.70699999999999</v>
      </c>
      <c r="G104" s="5">
        <v>78.232600000000005</v>
      </c>
      <c r="H104" s="5">
        <v>15.66</v>
      </c>
      <c r="I104" s="5">
        <v>2299</v>
      </c>
      <c r="J104" s="4" t="s">
        <v>139</v>
      </c>
    </row>
    <row r="105" spans="1:10" x14ac:dyDescent="0.25">
      <c r="A105" s="4">
        <f t="shared" ca="1" si="3"/>
        <v>102</v>
      </c>
      <c r="B105" s="4" t="s">
        <v>343</v>
      </c>
      <c r="C105" s="4" t="s">
        <v>76</v>
      </c>
      <c r="D105" s="4" t="s">
        <v>138</v>
      </c>
      <c r="E105" s="4" t="s">
        <v>66</v>
      </c>
      <c r="F105" s="4">
        <v>746.12900000000002</v>
      </c>
      <c r="G105" s="5">
        <v>80.005099999999999</v>
      </c>
      <c r="H105" s="5">
        <v>15.76</v>
      </c>
      <c r="I105" s="5">
        <v>1957</v>
      </c>
      <c r="J105" s="4" t="s">
        <v>139</v>
      </c>
    </row>
    <row r="106" spans="1:10" x14ac:dyDescent="0.25">
      <c r="A106" s="4">
        <f t="shared" ca="1" si="3"/>
        <v>103</v>
      </c>
      <c r="B106" s="4" t="s">
        <v>344</v>
      </c>
      <c r="C106" s="4" t="s">
        <v>345</v>
      </c>
      <c r="D106" s="4" t="s">
        <v>138</v>
      </c>
      <c r="E106" s="4" t="s">
        <v>66</v>
      </c>
      <c r="F106" s="4">
        <v>652.57000000000005</v>
      </c>
      <c r="G106" s="5">
        <v>72.966200000000001</v>
      </c>
      <c r="H106" s="5">
        <v>15.41</v>
      </c>
      <c r="I106" s="5">
        <v>4061</v>
      </c>
      <c r="J106" s="4" t="s">
        <v>139</v>
      </c>
    </row>
    <row r="107" spans="1:10" x14ac:dyDescent="0.25">
      <c r="A107" s="4">
        <f t="shared" ca="1" si="3"/>
        <v>104</v>
      </c>
      <c r="B107" s="4" t="s">
        <v>346</v>
      </c>
      <c r="C107" s="4" t="s">
        <v>347</v>
      </c>
      <c r="D107" s="4" t="s">
        <v>138</v>
      </c>
      <c r="E107" s="4" t="s">
        <v>66</v>
      </c>
      <c r="F107" s="4">
        <v>1000</v>
      </c>
      <c r="G107" s="5">
        <v>107.34050000000001</v>
      </c>
      <c r="H107" s="5">
        <v>12.01</v>
      </c>
      <c r="I107" s="5">
        <v>149</v>
      </c>
      <c r="J107" s="4" t="s">
        <v>139</v>
      </c>
    </row>
    <row r="108" spans="1:10" x14ac:dyDescent="0.25">
      <c r="A108" s="4">
        <f t="shared" ca="1" si="3"/>
        <v>105</v>
      </c>
      <c r="B108" s="4" t="s">
        <v>348</v>
      </c>
      <c r="C108" s="4" t="s">
        <v>117</v>
      </c>
      <c r="D108" s="4" t="s">
        <v>138</v>
      </c>
      <c r="E108" s="4" t="s">
        <v>66</v>
      </c>
      <c r="F108" s="4">
        <v>780.74300000000005</v>
      </c>
      <c r="G108" s="5">
        <v>80.997</v>
      </c>
      <c r="H108" s="5">
        <v>16.080000000000002</v>
      </c>
      <c r="I108" s="5">
        <v>1322</v>
      </c>
      <c r="J108" s="4" t="s">
        <v>139</v>
      </c>
    </row>
    <row r="109" spans="1:10" x14ac:dyDescent="0.25">
      <c r="A109" s="4">
        <f t="shared" ca="1" si="3"/>
        <v>106</v>
      </c>
      <c r="B109" s="4" t="s">
        <v>349</v>
      </c>
      <c r="C109" s="4" t="s">
        <v>350</v>
      </c>
      <c r="D109" s="4" t="s">
        <v>138</v>
      </c>
      <c r="E109" s="4" t="s">
        <v>66</v>
      </c>
      <c r="F109" s="4">
        <v>762.85900000000004</v>
      </c>
      <c r="G109" s="5">
        <v>83.240600000000001</v>
      </c>
      <c r="H109" s="5">
        <v>15.99</v>
      </c>
      <c r="I109" s="5">
        <v>1497</v>
      </c>
      <c r="J109" s="4" t="s">
        <v>139</v>
      </c>
    </row>
    <row r="110" spans="1:10" x14ac:dyDescent="0.25">
      <c r="A110" s="4">
        <f t="shared" ca="1" si="3"/>
        <v>107</v>
      </c>
      <c r="B110" s="4" t="s">
        <v>351</v>
      </c>
      <c r="C110" s="4" t="s">
        <v>352</v>
      </c>
      <c r="D110" s="4" t="s">
        <v>138</v>
      </c>
      <c r="E110" s="4" t="s">
        <v>66</v>
      </c>
      <c r="F110" s="4">
        <v>590.81000000000006</v>
      </c>
      <c r="G110" s="5">
        <v>59.300400000000003</v>
      </c>
      <c r="H110" s="5">
        <v>15.35</v>
      </c>
      <c r="I110" s="5">
        <v>4738</v>
      </c>
      <c r="J110" s="4" t="s">
        <v>139</v>
      </c>
    </row>
    <row r="111" spans="1:10" x14ac:dyDescent="0.25">
      <c r="A111" s="4">
        <f t="shared" ca="1" si="3"/>
        <v>108</v>
      </c>
      <c r="B111" s="4" t="s">
        <v>353</v>
      </c>
      <c r="C111" s="4" t="s">
        <v>125</v>
      </c>
      <c r="D111" s="4" t="s">
        <v>138</v>
      </c>
      <c r="E111" s="4" t="s">
        <v>66</v>
      </c>
      <c r="F111" s="4">
        <v>935.34100000000001</v>
      </c>
      <c r="G111" s="5">
        <v>95.55080000000001</v>
      </c>
      <c r="H111" s="5">
        <v>16.93</v>
      </c>
      <c r="I111" s="5">
        <v>231</v>
      </c>
      <c r="J111" s="4" t="s">
        <v>139</v>
      </c>
    </row>
    <row r="112" spans="1:10" x14ac:dyDescent="0.25">
      <c r="A112" s="4">
        <f t="shared" ca="1" si="3"/>
        <v>109</v>
      </c>
      <c r="B112" s="4" t="s">
        <v>354</v>
      </c>
      <c r="C112" s="4" t="s">
        <v>122</v>
      </c>
      <c r="D112" s="4" t="s">
        <v>138</v>
      </c>
      <c r="E112" s="4" t="s">
        <v>66</v>
      </c>
      <c r="F112" s="4">
        <v>834.45800000000008</v>
      </c>
      <c r="G112" s="5">
        <v>84.491100000000003</v>
      </c>
      <c r="H112" s="5">
        <v>16.62</v>
      </c>
      <c r="I112" s="5">
        <v>658</v>
      </c>
      <c r="J112" s="4" t="s">
        <v>139</v>
      </c>
    </row>
    <row r="113" spans="1:10" x14ac:dyDescent="0.25">
      <c r="A113" s="4">
        <f t="shared" ca="1" si="3"/>
        <v>110</v>
      </c>
      <c r="B113" s="4" t="s">
        <v>355</v>
      </c>
      <c r="C113" s="4" t="s">
        <v>356</v>
      </c>
      <c r="D113" s="4" t="s">
        <v>138</v>
      </c>
      <c r="E113" s="4" t="s">
        <v>66</v>
      </c>
      <c r="F113" s="4">
        <v>775.29399999999998</v>
      </c>
      <c r="G113" s="5">
        <v>79.057200000000009</v>
      </c>
      <c r="H113" s="5">
        <v>16.330000000000002</v>
      </c>
      <c r="I113" s="5">
        <v>995</v>
      </c>
      <c r="J113" s="4" t="s">
        <v>139</v>
      </c>
    </row>
    <row r="114" spans="1:10" x14ac:dyDescent="0.25">
      <c r="A114" s="4">
        <f t="shared" ca="1" si="3"/>
        <v>111</v>
      </c>
      <c r="B114" s="4" t="s">
        <v>357</v>
      </c>
      <c r="C114" s="4" t="s">
        <v>358</v>
      </c>
      <c r="D114" s="4" t="s">
        <v>138</v>
      </c>
      <c r="E114" s="4" t="s">
        <v>66</v>
      </c>
      <c r="F114" s="4">
        <v>608.61500000000001</v>
      </c>
      <c r="G114" s="5">
        <v>64.456600000000009</v>
      </c>
      <c r="H114" s="5">
        <v>15.34</v>
      </c>
      <c r="I114" s="5">
        <v>4955</v>
      </c>
      <c r="J114" s="4" t="s">
        <v>139</v>
      </c>
    </row>
    <row r="115" spans="1:10" x14ac:dyDescent="0.25">
      <c r="A115" s="4">
        <f t="shared" ca="1" si="3"/>
        <v>112</v>
      </c>
      <c r="B115" s="4" t="s">
        <v>359</v>
      </c>
      <c r="C115" s="4" t="s">
        <v>360</v>
      </c>
      <c r="D115" s="4" t="s">
        <v>138</v>
      </c>
      <c r="E115" s="4" t="s">
        <v>66</v>
      </c>
      <c r="F115" s="4">
        <v>605.01499999999999</v>
      </c>
      <c r="G115" s="5">
        <v>67.569500000000005</v>
      </c>
      <c r="H115" s="5">
        <v>15.34</v>
      </c>
      <c r="I115" s="5">
        <v>5171</v>
      </c>
      <c r="J115" s="4" t="s">
        <v>139</v>
      </c>
    </row>
    <row r="116" spans="1:10" x14ac:dyDescent="0.25">
      <c r="A116" s="4">
        <f t="shared" ca="1" si="3"/>
        <v>113</v>
      </c>
      <c r="B116" s="4" t="s">
        <v>361</v>
      </c>
      <c r="C116" s="4" t="s">
        <v>98</v>
      </c>
      <c r="D116" s="4" t="s">
        <v>138</v>
      </c>
      <c r="E116" s="4" t="s">
        <v>66</v>
      </c>
      <c r="F116" s="4">
        <v>874.73300000000006</v>
      </c>
      <c r="G116" s="5">
        <v>95.723300000000009</v>
      </c>
      <c r="H116" s="5">
        <v>16.190000000000001</v>
      </c>
      <c r="I116" s="5">
        <v>1187</v>
      </c>
      <c r="J116" s="4" t="s">
        <v>139</v>
      </c>
    </row>
    <row r="117" spans="1:10" x14ac:dyDescent="0.25">
      <c r="A117" s="4">
        <f t="shared" ca="1" si="3"/>
        <v>114</v>
      </c>
      <c r="B117" s="4" t="s">
        <v>362</v>
      </c>
      <c r="C117" s="4" t="s">
        <v>363</v>
      </c>
      <c r="D117" s="4" t="s">
        <v>138</v>
      </c>
      <c r="E117" s="4" t="s">
        <v>66</v>
      </c>
      <c r="F117" s="4">
        <v>963.06200000000001</v>
      </c>
      <c r="G117" s="5">
        <v>100.7804</v>
      </c>
      <c r="H117" s="5">
        <v>16.89</v>
      </c>
      <c r="I117" s="5">
        <v>185</v>
      </c>
      <c r="J117" s="4" t="s">
        <v>139</v>
      </c>
    </row>
    <row r="118" spans="1:10" x14ac:dyDescent="0.25">
      <c r="A118" s="4">
        <f t="shared" ca="1" si="3"/>
        <v>115</v>
      </c>
      <c r="B118" s="4" t="s">
        <v>364</v>
      </c>
      <c r="C118" s="4" t="s">
        <v>365</v>
      </c>
      <c r="D118" s="4" t="s">
        <v>138</v>
      </c>
      <c r="E118" s="4" t="s">
        <v>66</v>
      </c>
      <c r="F118" s="4">
        <v>1000</v>
      </c>
      <c r="G118" s="5">
        <v>100.5929</v>
      </c>
      <c r="H118" s="5">
        <v>12.54</v>
      </c>
      <c r="I118" s="5">
        <v>1079</v>
      </c>
      <c r="J118" s="4" t="s">
        <v>139</v>
      </c>
    </row>
    <row r="119" spans="1:10" x14ac:dyDescent="0.25">
      <c r="A119" s="4">
        <f t="shared" ca="1" si="3"/>
        <v>116</v>
      </c>
      <c r="B119" s="4" t="s">
        <v>366</v>
      </c>
      <c r="C119" s="4" t="s">
        <v>367</v>
      </c>
      <c r="D119" s="4" t="s">
        <v>138</v>
      </c>
      <c r="E119" s="4" t="s">
        <v>66</v>
      </c>
      <c r="F119" s="4">
        <v>1000</v>
      </c>
      <c r="G119" s="5">
        <v>109.38340000000001</v>
      </c>
      <c r="H119" s="5">
        <v>11.89</v>
      </c>
      <c r="I119" s="5">
        <v>89</v>
      </c>
      <c r="J119" s="4" t="s">
        <v>139</v>
      </c>
    </row>
    <row r="120" spans="1:10" x14ac:dyDescent="0.25">
      <c r="A120" s="4">
        <f t="shared" ca="1" si="3"/>
        <v>117</v>
      </c>
      <c r="B120" s="4" t="s">
        <v>368</v>
      </c>
      <c r="C120" s="4" t="s">
        <v>369</v>
      </c>
      <c r="D120" s="4" t="s">
        <v>138</v>
      </c>
      <c r="E120" s="4" t="s">
        <v>66</v>
      </c>
      <c r="F120" s="4">
        <v>1000</v>
      </c>
      <c r="G120" s="5">
        <v>110.4568</v>
      </c>
      <c r="H120" s="5">
        <v>12.43</v>
      </c>
      <c r="I120" s="5">
        <v>1156</v>
      </c>
      <c r="J120" s="4" t="s">
        <v>139</v>
      </c>
    </row>
    <row r="121" spans="1:10" x14ac:dyDescent="0.25">
      <c r="A121" s="4">
        <f t="shared" ca="1" si="3"/>
        <v>118</v>
      </c>
      <c r="B121" s="4" t="s">
        <v>370</v>
      </c>
      <c r="C121" s="4" t="s">
        <v>371</v>
      </c>
      <c r="D121" s="4" t="s">
        <v>138</v>
      </c>
      <c r="E121" s="4" t="s">
        <v>66</v>
      </c>
      <c r="F121" s="4">
        <v>874.51</v>
      </c>
      <c r="G121" s="5">
        <v>89.283300000000011</v>
      </c>
      <c r="H121" s="5">
        <v>16.309999999999999</v>
      </c>
      <c r="I121" s="5">
        <v>1032</v>
      </c>
      <c r="J121" s="4" t="s">
        <v>139</v>
      </c>
    </row>
    <row r="122" spans="1:10" x14ac:dyDescent="0.25">
      <c r="A122" s="4">
        <f t="shared" ca="1" si="3"/>
        <v>119</v>
      </c>
      <c r="B122" s="4" t="s">
        <v>372</v>
      </c>
      <c r="C122" s="4" t="s">
        <v>373</v>
      </c>
      <c r="D122" s="4" t="s">
        <v>138</v>
      </c>
      <c r="E122" s="4" t="s">
        <v>66</v>
      </c>
      <c r="F122" s="4">
        <v>1000</v>
      </c>
      <c r="G122" s="5">
        <v>110.56060000000001</v>
      </c>
      <c r="H122" s="5">
        <v>12.41</v>
      </c>
      <c r="I122" s="5">
        <v>787</v>
      </c>
      <c r="J122" s="4" t="s">
        <v>139</v>
      </c>
    </row>
    <row r="123" spans="1:10" x14ac:dyDescent="0.25">
      <c r="A123" s="4">
        <f t="shared" ca="1" si="3"/>
        <v>120</v>
      </c>
      <c r="B123" s="4" t="s">
        <v>374</v>
      </c>
      <c r="C123" s="4" t="s">
        <v>375</v>
      </c>
      <c r="D123" s="4" t="s">
        <v>138</v>
      </c>
      <c r="E123" s="4" t="s">
        <v>66</v>
      </c>
      <c r="F123" s="4">
        <v>610.36200000000008</v>
      </c>
      <c r="G123" s="5">
        <v>64.794499999999999</v>
      </c>
      <c r="H123" s="5">
        <v>15.62</v>
      </c>
      <c r="I123" s="5">
        <v>2307</v>
      </c>
      <c r="J123" s="4" t="s">
        <v>139</v>
      </c>
    </row>
    <row r="124" spans="1:10" x14ac:dyDescent="0.25">
      <c r="A124" s="4">
        <f t="shared" ca="1" si="3"/>
        <v>121</v>
      </c>
      <c r="B124" s="4" t="s">
        <v>376</v>
      </c>
      <c r="C124" s="4" t="s">
        <v>377</v>
      </c>
      <c r="D124" s="4" t="s">
        <v>138</v>
      </c>
      <c r="E124" s="4" t="s">
        <v>66</v>
      </c>
      <c r="F124" s="4">
        <v>800.41399999999999</v>
      </c>
      <c r="G124" s="5">
        <v>80.44250000000001</v>
      </c>
      <c r="H124" s="5">
        <v>16.27</v>
      </c>
      <c r="I124" s="5">
        <v>1076</v>
      </c>
      <c r="J124" s="4" t="s">
        <v>139</v>
      </c>
    </row>
    <row r="125" spans="1:10" x14ac:dyDescent="0.25">
      <c r="A125" s="4">
        <f t="shared" ca="1" si="3"/>
        <v>122</v>
      </c>
      <c r="B125" s="4" t="s">
        <v>378</v>
      </c>
      <c r="C125" s="4" t="s">
        <v>379</v>
      </c>
      <c r="D125" s="4" t="s">
        <v>138</v>
      </c>
      <c r="E125" s="4" t="s">
        <v>66</v>
      </c>
      <c r="F125" s="4">
        <v>793.43400000000008</v>
      </c>
      <c r="G125" s="5">
        <v>82.843400000000003</v>
      </c>
      <c r="H125" s="5">
        <v>16.45</v>
      </c>
      <c r="I125" s="5">
        <v>840</v>
      </c>
      <c r="J125" s="4" t="s">
        <v>139</v>
      </c>
    </row>
    <row r="126" spans="1:10" x14ac:dyDescent="0.25">
      <c r="A126" s="4">
        <f t="shared" ca="1" si="3"/>
        <v>123</v>
      </c>
      <c r="B126" s="4" t="s">
        <v>380</v>
      </c>
      <c r="C126" s="4" t="s">
        <v>105</v>
      </c>
      <c r="D126" s="4" t="s">
        <v>138</v>
      </c>
      <c r="E126" s="4" t="s">
        <v>66</v>
      </c>
      <c r="F126" s="4">
        <v>801.55200000000002</v>
      </c>
      <c r="G126" s="5">
        <v>84.710999999999999</v>
      </c>
      <c r="H126" s="5">
        <v>15.65</v>
      </c>
      <c r="I126" s="5">
        <v>2400</v>
      </c>
      <c r="J126" s="4" t="s">
        <v>139</v>
      </c>
    </row>
    <row r="127" spans="1:10" x14ac:dyDescent="0.25">
      <c r="A127" s="4">
        <f t="shared" ca="1" si="3"/>
        <v>124</v>
      </c>
      <c r="B127" s="4" t="s">
        <v>381</v>
      </c>
      <c r="C127" s="4" t="s">
        <v>100</v>
      </c>
      <c r="D127" s="4" t="s">
        <v>138</v>
      </c>
      <c r="E127" s="4" t="s">
        <v>66</v>
      </c>
      <c r="F127" s="4">
        <v>855.52500000000009</v>
      </c>
      <c r="G127" s="5">
        <v>90.006900000000002</v>
      </c>
      <c r="H127" s="5">
        <v>16.100000000000001</v>
      </c>
      <c r="I127" s="5">
        <v>1306</v>
      </c>
      <c r="J127" s="4" t="s">
        <v>139</v>
      </c>
    </row>
    <row r="128" spans="1:10" x14ac:dyDescent="0.25">
      <c r="A128" s="4">
        <f t="shared" ca="1" si="3"/>
        <v>125</v>
      </c>
      <c r="B128" s="4" t="s">
        <v>382</v>
      </c>
      <c r="C128" s="4" t="s">
        <v>383</v>
      </c>
      <c r="D128" s="4" t="s">
        <v>138</v>
      </c>
      <c r="E128" s="4" t="s">
        <v>66</v>
      </c>
      <c r="F128" s="4">
        <v>1000</v>
      </c>
      <c r="G128" s="5">
        <v>103.15090000000001</v>
      </c>
      <c r="H128" s="5">
        <v>12.43</v>
      </c>
      <c r="I128" s="5">
        <v>1734</v>
      </c>
      <c r="J128" s="4" t="s">
        <v>139</v>
      </c>
    </row>
    <row r="129" spans="1:10" x14ac:dyDescent="0.25">
      <c r="A129" s="4">
        <f t="shared" ca="1" si="3"/>
        <v>126</v>
      </c>
      <c r="B129" s="4" t="s">
        <v>384</v>
      </c>
      <c r="C129" s="4" t="s">
        <v>385</v>
      </c>
      <c r="D129" s="4" t="s">
        <v>138</v>
      </c>
      <c r="E129" s="4" t="s">
        <v>66</v>
      </c>
      <c r="F129" s="4">
        <v>1000</v>
      </c>
      <c r="G129" s="5">
        <v>100.03460000000001</v>
      </c>
      <c r="H129" s="5">
        <v>12.47</v>
      </c>
      <c r="I129" s="5">
        <v>2190</v>
      </c>
      <c r="J129" s="4" t="s">
        <v>139</v>
      </c>
    </row>
    <row r="130" spans="1:10" x14ac:dyDescent="0.25">
      <c r="A130" s="4">
        <f t="shared" ca="1" si="3"/>
        <v>127</v>
      </c>
      <c r="B130" s="4" t="s">
        <v>386</v>
      </c>
      <c r="C130" s="4" t="s">
        <v>387</v>
      </c>
      <c r="D130" s="4" t="s">
        <v>138</v>
      </c>
      <c r="E130" s="4" t="s">
        <v>66</v>
      </c>
      <c r="F130" s="4">
        <v>1000</v>
      </c>
      <c r="G130" s="5">
        <v>103.2201</v>
      </c>
      <c r="H130" s="5">
        <v>12.43</v>
      </c>
      <c r="I130" s="5">
        <v>2097</v>
      </c>
      <c r="J130" s="4" t="s">
        <v>139</v>
      </c>
    </row>
    <row r="131" spans="1:10" x14ac:dyDescent="0.25">
      <c r="A131" s="4">
        <f t="shared" ca="1" si="3"/>
        <v>128</v>
      </c>
      <c r="B131" s="4" t="s">
        <v>388</v>
      </c>
      <c r="C131" s="4" t="s">
        <v>389</v>
      </c>
      <c r="D131" s="4" t="s">
        <v>138</v>
      </c>
      <c r="E131" s="4" t="s">
        <v>66</v>
      </c>
      <c r="F131" s="4">
        <v>925.02500000000009</v>
      </c>
      <c r="G131" s="5">
        <v>98.886900000000011</v>
      </c>
      <c r="H131" s="5">
        <v>16.73</v>
      </c>
      <c r="I131" s="5">
        <v>505</v>
      </c>
      <c r="J131" s="4" t="s">
        <v>139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390</v>
      </c>
      <c r="C132" s="4" t="s">
        <v>391</v>
      </c>
      <c r="D132" s="4" t="s">
        <v>138</v>
      </c>
      <c r="E132" s="4" t="s">
        <v>66</v>
      </c>
      <c r="F132" s="4">
        <v>773.49400000000003</v>
      </c>
      <c r="G132" s="5">
        <v>87.54</v>
      </c>
      <c r="H132" s="5">
        <v>15.43</v>
      </c>
      <c r="I132" s="5">
        <v>4047</v>
      </c>
      <c r="J132" s="4" t="s">
        <v>139</v>
      </c>
    </row>
    <row r="133" spans="1:10" x14ac:dyDescent="0.25">
      <c r="A133" s="4">
        <f t="shared" ca="1" si="4"/>
        <v>130</v>
      </c>
      <c r="B133" s="4" t="s">
        <v>392</v>
      </c>
      <c r="C133" s="4" t="s">
        <v>92</v>
      </c>
      <c r="D133" s="4" t="s">
        <v>138</v>
      </c>
      <c r="E133" s="4" t="s">
        <v>66</v>
      </c>
      <c r="F133" s="4">
        <v>996.74300000000005</v>
      </c>
      <c r="G133" s="5">
        <v>104.38690000000001</v>
      </c>
      <c r="H133" s="5">
        <v>16.12</v>
      </c>
      <c r="I133" s="5">
        <v>22</v>
      </c>
      <c r="J133" s="4" t="s">
        <v>139</v>
      </c>
    </row>
    <row r="134" spans="1:10" x14ac:dyDescent="0.25">
      <c r="A134" s="4">
        <f t="shared" ca="1" si="4"/>
        <v>131</v>
      </c>
      <c r="B134" s="4" t="s">
        <v>393</v>
      </c>
      <c r="C134" s="4" t="s">
        <v>394</v>
      </c>
      <c r="D134" s="4" t="s">
        <v>138</v>
      </c>
      <c r="E134" s="4" t="s">
        <v>66</v>
      </c>
      <c r="F134" s="4">
        <v>856.56200000000001</v>
      </c>
      <c r="G134" s="5">
        <v>95.6173</v>
      </c>
      <c r="H134" s="5">
        <v>16.02</v>
      </c>
      <c r="I134" s="5">
        <v>1497</v>
      </c>
      <c r="J134" s="4" t="s">
        <v>139</v>
      </c>
    </row>
    <row r="135" spans="1:10" x14ac:dyDescent="0.25">
      <c r="A135" s="4">
        <f t="shared" ca="1" si="4"/>
        <v>132</v>
      </c>
      <c r="B135" s="4" t="s">
        <v>395</v>
      </c>
      <c r="C135" s="4" t="s">
        <v>396</v>
      </c>
      <c r="D135" s="4" t="s">
        <v>138</v>
      </c>
      <c r="E135" s="4" t="s">
        <v>66</v>
      </c>
      <c r="F135" s="4">
        <v>761.99200000000008</v>
      </c>
      <c r="G135" s="5">
        <v>79.942300000000003</v>
      </c>
      <c r="H135" s="5">
        <v>15.44</v>
      </c>
      <c r="I135" s="5">
        <v>3891</v>
      </c>
      <c r="J135" s="4" t="s">
        <v>139</v>
      </c>
    </row>
    <row r="136" spans="1:10" x14ac:dyDescent="0.25">
      <c r="A136" s="4">
        <f t="shared" ca="1" si="4"/>
        <v>133</v>
      </c>
      <c r="B136" s="4" t="s">
        <v>397</v>
      </c>
      <c r="C136" s="4" t="s">
        <v>82</v>
      </c>
      <c r="D136" s="4" t="s">
        <v>138</v>
      </c>
      <c r="E136" s="4" t="s">
        <v>66</v>
      </c>
      <c r="F136" s="4">
        <v>757.96900000000005</v>
      </c>
      <c r="G136" s="5">
        <v>84.595700000000008</v>
      </c>
      <c r="H136" s="5">
        <v>15.55</v>
      </c>
      <c r="I136" s="5">
        <v>2971</v>
      </c>
      <c r="J136" s="4" t="s">
        <v>139</v>
      </c>
    </row>
    <row r="137" spans="1:10" x14ac:dyDescent="0.25">
      <c r="A137" s="4">
        <f t="shared" ca="1" si="4"/>
        <v>134</v>
      </c>
      <c r="B137" s="4" t="s">
        <v>398</v>
      </c>
      <c r="C137" s="4" t="s">
        <v>78</v>
      </c>
      <c r="D137" s="4" t="s">
        <v>138</v>
      </c>
      <c r="E137" s="4" t="s">
        <v>66</v>
      </c>
      <c r="F137" s="4">
        <v>889.96100000000001</v>
      </c>
      <c r="G137" s="5">
        <v>96.449400000000011</v>
      </c>
      <c r="H137" s="5">
        <v>16.47</v>
      </c>
      <c r="I137" s="5">
        <v>834</v>
      </c>
      <c r="J137" s="4" t="s">
        <v>139</v>
      </c>
    </row>
    <row r="138" spans="1:10" x14ac:dyDescent="0.25">
      <c r="A138" s="4">
        <f t="shared" ca="1" si="4"/>
        <v>135</v>
      </c>
      <c r="B138" s="4" t="s">
        <v>399</v>
      </c>
      <c r="C138" s="4" t="s">
        <v>400</v>
      </c>
      <c r="D138" s="4" t="s">
        <v>138</v>
      </c>
      <c r="E138" s="4" t="s">
        <v>66</v>
      </c>
      <c r="F138" s="4">
        <v>968.10900000000004</v>
      </c>
      <c r="G138" s="5">
        <v>101.06920000000001</v>
      </c>
      <c r="H138" s="5">
        <v>16.29</v>
      </c>
      <c r="I138" s="5">
        <v>217</v>
      </c>
      <c r="J138" s="4" t="s">
        <v>139</v>
      </c>
    </row>
    <row r="139" spans="1:10" x14ac:dyDescent="0.25">
      <c r="A139" s="4">
        <f t="shared" ca="1" si="4"/>
        <v>136</v>
      </c>
      <c r="B139" s="4" t="s">
        <v>401</v>
      </c>
      <c r="C139" s="4" t="s">
        <v>402</v>
      </c>
      <c r="D139" s="4" t="s">
        <v>138</v>
      </c>
      <c r="E139" s="4" t="s">
        <v>66</v>
      </c>
      <c r="F139" s="4">
        <v>751.15700000000004</v>
      </c>
      <c r="G139" s="5">
        <v>83.372600000000006</v>
      </c>
      <c r="H139" s="5">
        <v>15.47</v>
      </c>
      <c r="I139" s="5">
        <v>3357</v>
      </c>
      <c r="J139" s="4" t="s">
        <v>139</v>
      </c>
    </row>
    <row r="140" spans="1:10" x14ac:dyDescent="0.25">
      <c r="A140" s="4">
        <f t="shared" ca="1" si="4"/>
        <v>137</v>
      </c>
      <c r="B140" s="4" t="s">
        <v>403</v>
      </c>
      <c r="C140" s="4" t="s">
        <v>81</v>
      </c>
      <c r="D140" s="4" t="s">
        <v>138</v>
      </c>
      <c r="E140" s="4" t="s">
        <v>66</v>
      </c>
      <c r="F140" s="4">
        <v>812.94299999999998</v>
      </c>
      <c r="G140" s="5">
        <v>89.391199999999998</v>
      </c>
      <c r="H140" s="5">
        <v>15.79</v>
      </c>
      <c r="I140" s="5">
        <v>1903</v>
      </c>
      <c r="J140" s="4" t="s">
        <v>139</v>
      </c>
    </row>
    <row r="141" spans="1:10" x14ac:dyDescent="0.25">
      <c r="A141" s="4">
        <f t="shared" ca="1" si="4"/>
        <v>138</v>
      </c>
      <c r="B141" s="4" t="s">
        <v>404</v>
      </c>
      <c r="C141" s="4" t="s">
        <v>75</v>
      </c>
      <c r="D141" s="4" t="s">
        <v>138</v>
      </c>
      <c r="E141" s="4" t="s">
        <v>66</v>
      </c>
      <c r="F141" s="4">
        <v>788.45300000000009</v>
      </c>
      <c r="G141" s="5">
        <v>82.616500000000002</v>
      </c>
      <c r="H141" s="5">
        <v>15.57</v>
      </c>
      <c r="I141" s="5">
        <v>2793</v>
      </c>
      <c r="J141" s="4" t="s">
        <v>139</v>
      </c>
    </row>
    <row r="142" spans="1:10" x14ac:dyDescent="0.25">
      <c r="A142" s="4">
        <f t="shared" ca="1" si="4"/>
        <v>139</v>
      </c>
      <c r="B142" s="4" t="s">
        <v>405</v>
      </c>
      <c r="C142" s="4" t="s">
        <v>80</v>
      </c>
      <c r="D142" s="4" t="s">
        <v>138</v>
      </c>
      <c r="E142" s="4" t="s">
        <v>66</v>
      </c>
      <c r="F142" s="4">
        <v>983.84</v>
      </c>
      <c r="G142" s="5">
        <v>102.39960000000001</v>
      </c>
      <c r="H142" s="5">
        <v>16.3</v>
      </c>
      <c r="I142" s="5">
        <v>260</v>
      </c>
      <c r="J142" s="4" t="s">
        <v>139</v>
      </c>
    </row>
    <row r="143" spans="1:10" x14ac:dyDescent="0.25">
      <c r="A143" s="4">
        <f t="shared" ca="1" si="4"/>
        <v>140</v>
      </c>
      <c r="B143" s="4" t="s">
        <v>406</v>
      </c>
      <c r="C143" s="4" t="s">
        <v>79</v>
      </c>
      <c r="D143" s="4" t="s">
        <v>138</v>
      </c>
      <c r="E143" s="4" t="s">
        <v>66</v>
      </c>
      <c r="F143" s="4">
        <v>989.52500000000009</v>
      </c>
      <c r="G143" s="5">
        <v>100.7433</v>
      </c>
      <c r="H143" s="5">
        <v>15.98</v>
      </c>
      <c r="I143" s="5">
        <v>688</v>
      </c>
      <c r="J143" s="4" t="s">
        <v>139</v>
      </c>
    </row>
    <row r="144" spans="1:10" x14ac:dyDescent="0.25">
      <c r="A144" s="4">
        <f t="shared" ca="1" si="4"/>
        <v>141</v>
      </c>
      <c r="B144" s="4" t="s">
        <v>407</v>
      </c>
      <c r="C144" s="4" t="s">
        <v>408</v>
      </c>
      <c r="D144" s="4" t="s">
        <v>138</v>
      </c>
      <c r="E144" s="4" t="s">
        <v>66</v>
      </c>
      <c r="F144" s="4">
        <v>1000</v>
      </c>
      <c r="G144" s="5">
        <v>108.4933</v>
      </c>
      <c r="H144" s="5">
        <v>18.3</v>
      </c>
      <c r="I144" s="5">
        <v>1840</v>
      </c>
      <c r="J144" s="4" t="s">
        <v>139</v>
      </c>
    </row>
    <row r="145" spans="1:10" x14ac:dyDescent="0.25">
      <c r="A145" s="4">
        <f t="shared" ca="1" si="4"/>
        <v>142</v>
      </c>
      <c r="B145" s="4" t="s">
        <v>409</v>
      </c>
      <c r="C145" s="4" t="s">
        <v>90</v>
      </c>
      <c r="D145" s="4" t="s">
        <v>138</v>
      </c>
      <c r="E145" s="4" t="s">
        <v>66</v>
      </c>
      <c r="F145" s="4">
        <v>932.21</v>
      </c>
      <c r="G145" s="5">
        <v>101.81540000000001</v>
      </c>
      <c r="H145" s="5">
        <v>15.69</v>
      </c>
      <c r="I145" s="5">
        <v>2332</v>
      </c>
      <c r="J145" s="4" t="s">
        <v>139</v>
      </c>
    </row>
    <row r="146" spans="1:10" x14ac:dyDescent="0.25">
      <c r="A146" s="4">
        <f t="shared" ca="1" si="4"/>
        <v>143</v>
      </c>
      <c r="B146" s="4" t="s">
        <v>410</v>
      </c>
      <c r="C146" s="4" t="s">
        <v>411</v>
      </c>
      <c r="D146" s="4" t="s">
        <v>138</v>
      </c>
      <c r="E146" s="4" t="s">
        <v>66</v>
      </c>
      <c r="F146" s="4">
        <v>976.96600000000001</v>
      </c>
      <c r="G146" s="5">
        <v>110.31910000000001</v>
      </c>
      <c r="H146" s="5">
        <v>16.21</v>
      </c>
      <c r="I146" s="5">
        <v>1159</v>
      </c>
      <c r="J146" s="4" t="s">
        <v>139</v>
      </c>
    </row>
    <row r="147" spans="1:10" x14ac:dyDescent="0.25">
      <c r="A147" s="4">
        <f t="shared" ca="1" si="4"/>
        <v>144</v>
      </c>
      <c r="B147" s="4" t="s">
        <v>412</v>
      </c>
      <c r="C147" s="4" t="s">
        <v>413</v>
      </c>
      <c r="D147" s="4" t="s">
        <v>138</v>
      </c>
      <c r="E147" s="4" t="s">
        <v>66</v>
      </c>
      <c r="F147" s="4">
        <v>1000</v>
      </c>
      <c r="G147" s="5">
        <v>105.4893</v>
      </c>
      <c r="H147" s="5">
        <v>17.66</v>
      </c>
      <c r="I147" s="5">
        <v>253</v>
      </c>
      <c r="J147" s="4" t="s">
        <v>139</v>
      </c>
    </row>
    <row r="148" spans="1:10" x14ac:dyDescent="0.25">
      <c r="A148" s="4">
        <f t="shared" ca="1" si="4"/>
        <v>145</v>
      </c>
      <c r="B148" s="4" t="s">
        <v>414</v>
      </c>
      <c r="C148" s="4" t="s">
        <v>415</v>
      </c>
      <c r="D148" s="4" t="s">
        <v>138</v>
      </c>
      <c r="E148" s="4" t="s">
        <v>66</v>
      </c>
      <c r="F148" s="4">
        <v>935.48300000000006</v>
      </c>
      <c r="G148" s="5">
        <v>102.41500000000001</v>
      </c>
      <c r="H148" s="5">
        <v>15.8</v>
      </c>
      <c r="I148" s="5">
        <v>1959</v>
      </c>
      <c r="J148" s="4" t="s">
        <v>139</v>
      </c>
    </row>
    <row r="149" spans="1:10" x14ac:dyDescent="0.25">
      <c r="A149" s="4">
        <f t="shared" ca="1" si="4"/>
        <v>146</v>
      </c>
      <c r="B149" s="4" t="s">
        <v>416</v>
      </c>
      <c r="C149" s="4" t="s">
        <v>417</v>
      </c>
      <c r="D149" s="4" t="s">
        <v>138</v>
      </c>
      <c r="E149" s="4" t="s">
        <v>66</v>
      </c>
      <c r="F149" s="4">
        <v>988.78600000000006</v>
      </c>
      <c r="G149" s="5">
        <v>99.107800000000012</v>
      </c>
      <c r="H149" s="5">
        <v>16.240000000000002</v>
      </c>
      <c r="I149" s="5">
        <v>176</v>
      </c>
      <c r="J149" s="4" t="s">
        <v>139</v>
      </c>
    </row>
    <row r="150" spans="1:10" x14ac:dyDescent="0.25">
      <c r="A150" s="4">
        <f t="shared" ca="1" si="4"/>
        <v>147</v>
      </c>
      <c r="B150" s="4" t="s">
        <v>418</v>
      </c>
      <c r="C150" s="4" t="s">
        <v>419</v>
      </c>
      <c r="D150" s="4" t="s">
        <v>138</v>
      </c>
      <c r="E150" s="4" t="s">
        <v>66</v>
      </c>
      <c r="F150" s="4">
        <v>947.971</v>
      </c>
      <c r="G150" s="5">
        <v>103.02560000000001</v>
      </c>
      <c r="H150" s="5">
        <v>15.62</v>
      </c>
      <c r="I150" s="5">
        <v>2714</v>
      </c>
      <c r="J150" s="4" t="s">
        <v>139</v>
      </c>
    </row>
    <row r="151" spans="1:10" x14ac:dyDescent="0.25">
      <c r="A151" s="4">
        <f t="shared" ca="1" si="4"/>
        <v>148</v>
      </c>
      <c r="B151" s="4" t="s">
        <v>420</v>
      </c>
      <c r="C151" s="4" t="s">
        <v>421</v>
      </c>
      <c r="D151" s="4" t="s">
        <v>138</v>
      </c>
      <c r="E151" s="4" t="s">
        <v>66</v>
      </c>
      <c r="F151" s="4">
        <v>870.27700000000004</v>
      </c>
      <c r="G151" s="5">
        <v>97.29440000000001</v>
      </c>
      <c r="H151" s="5">
        <v>15.84</v>
      </c>
      <c r="I151" s="5">
        <v>1880</v>
      </c>
      <c r="J151" s="4" t="s">
        <v>139</v>
      </c>
    </row>
    <row r="152" spans="1:10" x14ac:dyDescent="0.25">
      <c r="A152" s="4">
        <f t="shared" ca="1" si="4"/>
        <v>149</v>
      </c>
      <c r="B152" s="4" t="s">
        <v>422</v>
      </c>
      <c r="C152" s="4" t="s">
        <v>128</v>
      </c>
      <c r="D152" s="4" t="s">
        <v>138</v>
      </c>
      <c r="E152" s="4" t="s">
        <v>66</v>
      </c>
      <c r="F152" s="4">
        <v>1038.921</v>
      </c>
      <c r="G152" s="5">
        <v>110.64890000000001</v>
      </c>
      <c r="H152" s="5">
        <v>15.54</v>
      </c>
      <c r="I152" s="5">
        <v>1316</v>
      </c>
      <c r="J152" s="4" t="s">
        <v>139</v>
      </c>
    </row>
    <row r="153" spans="1:10" x14ac:dyDescent="0.25">
      <c r="A153" s="4">
        <f t="shared" ca="1" si="4"/>
        <v>150</v>
      </c>
      <c r="B153" s="4" t="s">
        <v>423</v>
      </c>
      <c r="C153" s="4" t="s">
        <v>424</v>
      </c>
      <c r="D153" s="4" t="s">
        <v>138</v>
      </c>
      <c r="E153" s="4" t="s">
        <v>66</v>
      </c>
      <c r="F153" s="4">
        <v>950.96500000000003</v>
      </c>
      <c r="G153" s="5">
        <v>106.93820000000001</v>
      </c>
      <c r="H153" s="5">
        <v>15.56</v>
      </c>
      <c r="I153" s="5">
        <v>2988</v>
      </c>
      <c r="J153" s="4" t="s">
        <v>139</v>
      </c>
    </row>
    <row r="154" spans="1:10" x14ac:dyDescent="0.25">
      <c r="A154" s="4">
        <f t="shared" ca="1" si="4"/>
        <v>151</v>
      </c>
      <c r="B154" s="4" t="s">
        <v>425</v>
      </c>
      <c r="C154" s="4" t="s">
        <v>426</v>
      </c>
      <c r="D154" s="4" t="s">
        <v>138</v>
      </c>
      <c r="E154" s="4" t="s">
        <v>66</v>
      </c>
      <c r="F154" s="4">
        <v>956.20699999999999</v>
      </c>
      <c r="G154" s="5">
        <v>107.54400000000001</v>
      </c>
      <c r="H154" s="5">
        <v>15.72</v>
      </c>
      <c r="I154" s="5">
        <v>2258</v>
      </c>
      <c r="J154" s="4" t="s">
        <v>139</v>
      </c>
    </row>
    <row r="155" spans="1:10" x14ac:dyDescent="0.25">
      <c r="A155" s="4">
        <f t="shared" ca="1" si="4"/>
        <v>152</v>
      </c>
      <c r="B155" s="4" t="s">
        <v>427</v>
      </c>
      <c r="C155" s="4" t="s">
        <v>428</v>
      </c>
      <c r="D155" s="4" t="s">
        <v>138</v>
      </c>
      <c r="E155" s="4" t="s">
        <v>66</v>
      </c>
      <c r="F155" s="4">
        <v>926.60300000000007</v>
      </c>
      <c r="G155" s="5">
        <v>101.1986</v>
      </c>
      <c r="H155" s="5">
        <v>15.42</v>
      </c>
      <c r="I155" s="5">
        <v>4526</v>
      </c>
      <c r="J155" s="4" t="s">
        <v>139</v>
      </c>
    </row>
    <row r="156" spans="1:10" x14ac:dyDescent="0.25">
      <c r="A156" s="4">
        <f t="shared" ca="1" si="4"/>
        <v>153</v>
      </c>
      <c r="B156" s="4" t="s">
        <v>429</v>
      </c>
      <c r="C156" s="4" t="s">
        <v>430</v>
      </c>
      <c r="D156" s="4" t="s">
        <v>138</v>
      </c>
      <c r="E156" s="4" t="s">
        <v>66</v>
      </c>
      <c r="F156" s="4">
        <v>1000</v>
      </c>
      <c r="G156" s="5">
        <v>111.2163</v>
      </c>
      <c r="H156" s="5">
        <v>14.9</v>
      </c>
      <c r="I156" s="5">
        <v>1917</v>
      </c>
      <c r="J156" s="4" t="s">
        <v>139</v>
      </c>
    </row>
    <row r="157" spans="1:10" x14ac:dyDescent="0.25">
      <c r="A157" s="4">
        <f t="shared" ca="1" si="4"/>
        <v>154</v>
      </c>
      <c r="B157" s="4" t="s">
        <v>431</v>
      </c>
      <c r="C157" s="4" t="s">
        <v>114</v>
      </c>
      <c r="D157" s="4" t="s">
        <v>138</v>
      </c>
      <c r="E157" s="4" t="s">
        <v>66</v>
      </c>
      <c r="F157" s="4">
        <v>883.7170000000001</v>
      </c>
      <c r="G157" s="5">
        <v>98.138400000000004</v>
      </c>
      <c r="H157" s="5">
        <v>15.97</v>
      </c>
      <c r="I157" s="5">
        <v>1528</v>
      </c>
      <c r="J157" s="4" t="s">
        <v>139</v>
      </c>
    </row>
    <row r="158" spans="1:10" x14ac:dyDescent="0.25">
      <c r="A158" s="4">
        <f t="shared" ca="1" si="4"/>
        <v>155</v>
      </c>
      <c r="B158" s="4" t="s">
        <v>432</v>
      </c>
      <c r="C158" s="4" t="s">
        <v>433</v>
      </c>
      <c r="D158" s="4" t="s">
        <v>138</v>
      </c>
      <c r="E158" s="4" t="s">
        <v>66</v>
      </c>
      <c r="F158" s="4">
        <v>94.343600000000009</v>
      </c>
      <c r="G158" s="5">
        <v>94.343600000000009</v>
      </c>
      <c r="H158" s="5">
        <v>16.21</v>
      </c>
      <c r="I158" s="5">
        <v>136</v>
      </c>
      <c r="J158" s="4" t="s">
        <v>139</v>
      </c>
    </row>
    <row r="159" spans="1:10" x14ac:dyDescent="0.25">
      <c r="A159" s="4">
        <f t="shared" ca="1" si="4"/>
        <v>156</v>
      </c>
      <c r="B159" s="4" t="s">
        <v>434</v>
      </c>
      <c r="C159" s="4" t="s">
        <v>120</v>
      </c>
      <c r="D159" s="4" t="s">
        <v>138</v>
      </c>
      <c r="E159" s="4" t="s">
        <v>66</v>
      </c>
      <c r="F159" s="4">
        <v>98.418800000000005</v>
      </c>
      <c r="G159" s="5">
        <v>98.418800000000005</v>
      </c>
      <c r="H159" s="5">
        <v>15.85</v>
      </c>
      <c r="I159" s="5">
        <v>38</v>
      </c>
      <c r="J159" s="4" t="s">
        <v>139</v>
      </c>
    </row>
    <row r="160" spans="1:10" x14ac:dyDescent="0.25">
      <c r="A160" s="4">
        <f t="shared" ca="1" si="4"/>
        <v>157</v>
      </c>
      <c r="B160" s="4" t="s">
        <v>435</v>
      </c>
      <c r="C160" s="4" t="s">
        <v>436</v>
      </c>
      <c r="D160" s="4" t="s">
        <v>138</v>
      </c>
      <c r="E160" s="4" t="s">
        <v>66</v>
      </c>
      <c r="F160" s="4">
        <v>926.69900000000007</v>
      </c>
      <c r="G160" s="5">
        <v>104.99770000000001</v>
      </c>
      <c r="H160" s="5">
        <v>15.53</v>
      </c>
      <c r="I160" s="5">
        <v>3332</v>
      </c>
      <c r="J160" s="4" t="s">
        <v>139</v>
      </c>
    </row>
    <row r="161" spans="1:10" x14ac:dyDescent="0.25">
      <c r="A161" s="4">
        <f t="shared" ca="1" si="4"/>
        <v>158</v>
      </c>
      <c r="B161" s="4" t="s">
        <v>437</v>
      </c>
      <c r="C161" s="4" t="s">
        <v>438</v>
      </c>
      <c r="D161" s="4" t="s">
        <v>138</v>
      </c>
      <c r="E161" s="4" t="s">
        <v>66</v>
      </c>
      <c r="F161" s="4">
        <v>0.98887499999999995</v>
      </c>
      <c r="G161" s="5">
        <v>99.9482</v>
      </c>
      <c r="H161" s="5">
        <v>4.8600000000000003</v>
      </c>
      <c r="I161" s="5">
        <v>3387</v>
      </c>
      <c r="J161" s="4" t="s">
        <v>139</v>
      </c>
    </row>
    <row r="162" spans="1:10" x14ac:dyDescent="0.25">
      <c r="A162" s="4">
        <f t="shared" ca="1" si="4"/>
        <v>159</v>
      </c>
      <c r="B162" s="4" t="s">
        <v>439</v>
      </c>
      <c r="C162" s="4" t="s">
        <v>440</v>
      </c>
      <c r="D162" s="4" t="s">
        <v>138</v>
      </c>
      <c r="E162" s="4" t="s">
        <v>66</v>
      </c>
      <c r="F162" s="4">
        <v>1052.6880000000001</v>
      </c>
      <c r="G162" s="5">
        <v>109.0826</v>
      </c>
      <c r="H162" s="5">
        <v>15.33</v>
      </c>
      <c r="I162" s="5">
        <v>1744</v>
      </c>
      <c r="J162" s="4" t="s">
        <v>139</v>
      </c>
    </row>
    <row r="163" spans="1:10" x14ac:dyDescent="0.25">
      <c r="A163" s="4">
        <f t="shared" ca="1" si="4"/>
        <v>160</v>
      </c>
      <c r="B163" s="4" t="s">
        <v>441</v>
      </c>
      <c r="C163" s="4" t="s">
        <v>442</v>
      </c>
      <c r="D163" s="4" t="s">
        <v>133</v>
      </c>
      <c r="E163" s="4" t="s">
        <v>443</v>
      </c>
      <c r="F163" s="4">
        <v>369.22</v>
      </c>
      <c r="G163" s="5"/>
      <c r="H163" s="5"/>
      <c r="I163" s="5"/>
      <c r="J163" s="4" t="s">
        <v>135</v>
      </c>
    </row>
    <row r="164" spans="1:10" x14ac:dyDescent="0.25">
      <c r="A164" s="4">
        <f t="shared" ref="A164:A189" ca="1" si="5">IF(OFFSET(A164,-1,0)="№ п/п",1,OFFSET(A164,-1,0)+1)</f>
        <v>161</v>
      </c>
      <c r="B164" s="4" t="s">
        <v>444</v>
      </c>
      <c r="C164" s="4" t="s">
        <v>445</v>
      </c>
      <c r="D164" s="4" t="s">
        <v>133</v>
      </c>
      <c r="E164" s="4" t="s">
        <v>443</v>
      </c>
      <c r="F164" s="4">
        <v>29.65</v>
      </c>
      <c r="G164" s="5"/>
      <c r="H164" s="5"/>
      <c r="I164" s="5"/>
      <c r="J164" s="4" t="s">
        <v>446</v>
      </c>
    </row>
    <row r="165" spans="1:10" x14ac:dyDescent="0.25">
      <c r="A165" s="4">
        <f t="shared" ca="1" si="5"/>
        <v>162</v>
      </c>
      <c r="B165" s="4" t="s">
        <v>447</v>
      </c>
      <c r="C165" s="4" t="s">
        <v>448</v>
      </c>
      <c r="D165" s="4" t="s">
        <v>138</v>
      </c>
      <c r="E165" s="4" t="s">
        <v>443</v>
      </c>
      <c r="F165" s="4">
        <v>1000.119</v>
      </c>
      <c r="G165" s="5">
        <v>101.43180000000001</v>
      </c>
      <c r="H165" s="5">
        <v>18.47</v>
      </c>
      <c r="I165" s="5">
        <v>703</v>
      </c>
      <c r="J165" s="4" t="s">
        <v>139</v>
      </c>
    </row>
    <row r="166" spans="1:10" x14ac:dyDescent="0.25">
      <c r="A166" s="4">
        <f t="shared" ca="1" si="5"/>
        <v>163</v>
      </c>
      <c r="B166" s="4" t="s">
        <v>449</v>
      </c>
      <c r="C166" s="4" t="s">
        <v>450</v>
      </c>
      <c r="D166" s="4" t="s">
        <v>133</v>
      </c>
      <c r="E166" s="4" t="s">
        <v>451</v>
      </c>
      <c r="F166" s="4">
        <v>950.58</v>
      </c>
      <c r="G166" s="5"/>
      <c r="H166" s="5"/>
      <c r="I166" s="5"/>
      <c r="J166" s="4" t="s">
        <v>135</v>
      </c>
    </row>
    <row r="167" spans="1:10" x14ac:dyDescent="0.25">
      <c r="A167" s="4">
        <f t="shared" ca="1" si="5"/>
        <v>164</v>
      </c>
      <c r="B167" s="4" t="s">
        <v>452</v>
      </c>
      <c r="C167" s="4" t="s">
        <v>453</v>
      </c>
      <c r="D167" s="4" t="s">
        <v>138</v>
      </c>
      <c r="E167" s="4" t="s">
        <v>454</v>
      </c>
      <c r="F167" s="4">
        <v>817.77800000000002</v>
      </c>
      <c r="G167" s="5">
        <v>82.144500000000008</v>
      </c>
      <c r="H167" s="5">
        <v>16.98</v>
      </c>
      <c r="I167" s="5">
        <v>1631</v>
      </c>
      <c r="J167" s="4" t="s">
        <v>139</v>
      </c>
    </row>
    <row r="168" spans="1:10" x14ac:dyDescent="0.25">
      <c r="A168" s="4">
        <f t="shared" ca="1" si="5"/>
        <v>165</v>
      </c>
      <c r="B168" s="4" t="s">
        <v>455</v>
      </c>
      <c r="C168" s="4" t="s">
        <v>456</v>
      </c>
      <c r="D168" s="4" t="s">
        <v>138</v>
      </c>
      <c r="E168" s="4" t="s">
        <v>454</v>
      </c>
      <c r="F168" s="4">
        <v>0.87376100000000001</v>
      </c>
      <c r="G168" s="5">
        <v>87.818600000000004</v>
      </c>
      <c r="H168" s="5">
        <v>5.72</v>
      </c>
      <c r="I168" s="5">
        <v>1953</v>
      </c>
      <c r="J168" s="4" t="s">
        <v>139</v>
      </c>
    </row>
    <row r="169" spans="1:10" x14ac:dyDescent="0.25">
      <c r="A169" s="4">
        <f t="shared" ca="1" si="5"/>
        <v>166</v>
      </c>
      <c r="B169" s="4" t="s">
        <v>457</v>
      </c>
      <c r="C169" s="4" t="s">
        <v>458</v>
      </c>
      <c r="D169" s="4" t="s">
        <v>138</v>
      </c>
      <c r="E169" s="4" t="s">
        <v>454</v>
      </c>
      <c r="F169" s="4">
        <v>1001.6930000000001</v>
      </c>
      <c r="G169" s="5">
        <v>101.1464</v>
      </c>
      <c r="H169" s="5">
        <v>5.2</v>
      </c>
      <c r="I169" s="5">
        <v>1393</v>
      </c>
      <c r="J169" s="4" t="s">
        <v>139</v>
      </c>
    </row>
    <row r="170" spans="1:10" x14ac:dyDescent="0.25">
      <c r="A170" s="4">
        <f t="shared" ca="1" si="5"/>
        <v>167</v>
      </c>
      <c r="B170" s="4" t="s">
        <v>459</v>
      </c>
      <c r="C170" s="4" t="s">
        <v>460</v>
      </c>
      <c r="D170" s="4" t="s">
        <v>138</v>
      </c>
      <c r="E170" s="4" t="s">
        <v>454</v>
      </c>
      <c r="F170" s="4">
        <v>0.99188599999999993</v>
      </c>
      <c r="G170" s="5">
        <v>100.13420000000001</v>
      </c>
      <c r="H170" s="5">
        <v>4.78</v>
      </c>
      <c r="I170" s="5">
        <v>1858</v>
      </c>
      <c r="J170" s="4" t="s">
        <v>139</v>
      </c>
    </row>
    <row r="171" spans="1:10" x14ac:dyDescent="0.25">
      <c r="A171" s="4">
        <f t="shared" ca="1" si="5"/>
        <v>168</v>
      </c>
      <c r="B171" s="4" t="s">
        <v>461</v>
      </c>
      <c r="C171" s="4" t="s">
        <v>462</v>
      </c>
      <c r="D171" s="4" t="s">
        <v>138</v>
      </c>
      <c r="E171" s="4" t="s">
        <v>454</v>
      </c>
      <c r="F171" s="4">
        <v>1.0351889999999999</v>
      </c>
      <c r="G171" s="5">
        <v>104.81580000000001</v>
      </c>
      <c r="H171" s="5">
        <v>4.7</v>
      </c>
      <c r="I171" s="5">
        <v>1559</v>
      </c>
      <c r="J171" s="4" t="s">
        <v>139</v>
      </c>
    </row>
    <row r="172" spans="1:10" x14ac:dyDescent="0.25">
      <c r="A172" s="4">
        <f t="shared" ca="1" si="5"/>
        <v>169</v>
      </c>
      <c r="B172" s="4" t="s">
        <v>463</v>
      </c>
      <c r="C172" s="4" t="s">
        <v>86</v>
      </c>
      <c r="D172" s="4" t="s">
        <v>138</v>
      </c>
      <c r="E172" s="4" t="s">
        <v>83</v>
      </c>
      <c r="F172" s="4">
        <v>1027.3050000000001</v>
      </c>
      <c r="G172" s="5">
        <v>111.4966</v>
      </c>
      <c r="H172" s="5">
        <v>17.850000000000001</v>
      </c>
      <c r="I172" s="5">
        <v>751</v>
      </c>
      <c r="J172" s="4" t="s">
        <v>139</v>
      </c>
    </row>
    <row r="173" spans="1:10" x14ac:dyDescent="0.25">
      <c r="A173" s="4">
        <f t="shared" ca="1" si="5"/>
        <v>170</v>
      </c>
      <c r="B173" s="4" t="s">
        <v>464</v>
      </c>
      <c r="C173" s="4" t="s">
        <v>87</v>
      </c>
      <c r="D173" s="4" t="s">
        <v>138</v>
      </c>
      <c r="E173" s="4" t="s">
        <v>83</v>
      </c>
      <c r="F173" s="4">
        <v>1046.4110000000001</v>
      </c>
      <c r="G173" s="5">
        <v>113.4971</v>
      </c>
      <c r="H173" s="5">
        <v>18.04</v>
      </c>
      <c r="I173" s="5">
        <v>1482</v>
      </c>
      <c r="J173" s="4" t="s">
        <v>139</v>
      </c>
    </row>
    <row r="174" spans="1:10" x14ac:dyDescent="0.25">
      <c r="A174" s="4">
        <f t="shared" ca="1" si="5"/>
        <v>171</v>
      </c>
      <c r="B174" s="4" t="s">
        <v>465</v>
      </c>
      <c r="C174" s="4" t="s">
        <v>466</v>
      </c>
      <c r="D174" s="4" t="s">
        <v>138</v>
      </c>
      <c r="E174" s="4" t="s">
        <v>83</v>
      </c>
      <c r="F174" s="4">
        <v>1030.1870000000001</v>
      </c>
      <c r="G174" s="5">
        <v>104.95880000000001</v>
      </c>
      <c r="H174" s="5">
        <v>17.7</v>
      </c>
      <c r="I174" s="5">
        <v>695</v>
      </c>
      <c r="J174" s="4" t="s">
        <v>139</v>
      </c>
    </row>
    <row r="175" spans="1:10" x14ac:dyDescent="0.25">
      <c r="A175" s="4">
        <f t="shared" ca="1" si="5"/>
        <v>172</v>
      </c>
      <c r="B175" s="4" t="s">
        <v>467</v>
      </c>
      <c r="C175" s="4" t="s">
        <v>468</v>
      </c>
      <c r="D175" s="4" t="s">
        <v>138</v>
      </c>
      <c r="E175" s="4" t="s">
        <v>83</v>
      </c>
      <c r="F175" s="4">
        <v>1039.1110000000001</v>
      </c>
      <c r="G175" s="5">
        <v>105.861</v>
      </c>
      <c r="H175" s="5">
        <v>18.3</v>
      </c>
      <c r="I175" s="5">
        <v>1426</v>
      </c>
      <c r="J175" s="4" t="s">
        <v>139</v>
      </c>
    </row>
    <row r="176" spans="1:10" x14ac:dyDescent="0.25">
      <c r="A176" s="4">
        <f t="shared" ca="1" si="5"/>
        <v>173</v>
      </c>
      <c r="B176" s="4" t="s">
        <v>469</v>
      </c>
      <c r="C176" s="4" t="s">
        <v>470</v>
      </c>
      <c r="D176" s="4" t="s">
        <v>133</v>
      </c>
      <c r="E176" s="4" t="s">
        <v>471</v>
      </c>
      <c r="F176" s="4">
        <v>27873.15</v>
      </c>
      <c r="G176" s="5"/>
      <c r="H176" s="5"/>
      <c r="I176" s="5"/>
      <c r="J176" s="4" t="s">
        <v>135</v>
      </c>
    </row>
    <row r="177" spans="1:10" x14ac:dyDescent="0.25">
      <c r="A177" s="4">
        <f t="shared" ca="1" si="5"/>
        <v>174</v>
      </c>
      <c r="B177" s="4" t="s">
        <v>472</v>
      </c>
      <c r="C177" s="4" t="s">
        <v>473</v>
      </c>
      <c r="D177" s="4" t="s">
        <v>133</v>
      </c>
      <c r="E177" s="4" t="s">
        <v>474</v>
      </c>
      <c r="F177" s="4">
        <v>40374.520000000004</v>
      </c>
      <c r="G177" s="5"/>
      <c r="H177" s="5"/>
      <c r="I177" s="5"/>
      <c r="J177" s="4" t="s">
        <v>135</v>
      </c>
    </row>
    <row r="178" spans="1:10" x14ac:dyDescent="0.25">
      <c r="A178" s="4">
        <f t="shared" ca="1" si="5"/>
        <v>175</v>
      </c>
      <c r="B178" s="4" t="s">
        <v>475</v>
      </c>
      <c r="C178" s="4" t="s">
        <v>476</v>
      </c>
      <c r="D178" s="4" t="s">
        <v>133</v>
      </c>
      <c r="E178" s="4" t="s">
        <v>474</v>
      </c>
      <c r="F178" s="4">
        <v>79.790000000000006</v>
      </c>
      <c r="G178" s="5"/>
      <c r="H178" s="5"/>
      <c r="I178" s="5"/>
      <c r="J178" s="4" t="s">
        <v>446</v>
      </c>
    </row>
    <row r="179" spans="1:10" x14ac:dyDescent="0.25">
      <c r="A179" s="4">
        <f t="shared" ca="1" si="5"/>
        <v>176</v>
      </c>
      <c r="B179" s="4" t="s">
        <v>477</v>
      </c>
      <c r="C179" s="4" t="s">
        <v>478</v>
      </c>
      <c r="D179" s="4" t="s">
        <v>138</v>
      </c>
      <c r="E179" s="4" t="s">
        <v>479</v>
      </c>
      <c r="F179" s="4">
        <v>1015.019</v>
      </c>
      <c r="G179" s="5">
        <v>105.88249999999999</v>
      </c>
      <c r="H179" s="5">
        <v>18.48</v>
      </c>
      <c r="I179" s="5">
        <v>1742</v>
      </c>
      <c r="J179" s="4" t="s">
        <v>139</v>
      </c>
    </row>
    <row r="180" spans="1:10" x14ac:dyDescent="0.25">
      <c r="A180" s="4">
        <f t="shared" ca="1" si="5"/>
        <v>177</v>
      </c>
      <c r="B180" s="4" t="s">
        <v>480</v>
      </c>
      <c r="C180" s="4" t="s">
        <v>481</v>
      </c>
      <c r="D180" s="4" t="s">
        <v>138</v>
      </c>
      <c r="E180" s="4" t="s">
        <v>479</v>
      </c>
      <c r="F180" s="4">
        <v>1022.802</v>
      </c>
      <c r="G180" s="5">
        <v>106.66080000000001</v>
      </c>
      <c r="H180" s="5">
        <v>18.23</v>
      </c>
      <c r="I180" s="5">
        <v>1742</v>
      </c>
      <c r="J180" s="4" t="s">
        <v>139</v>
      </c>
    </row>
    <row r="181" spans="1:10" x14ac:dyDescent="0.25">
      <c r="A181" s="4">
        <f t="shared" ca="1" si="5"/>
        <v>178</v>
      </c>
      <c r="B181" s="4" t="s">
        <v>482</v>
      </c>
      <c r="C181" s="4" t="s">
        <v>483</v>
      </c>
      <c r="D181" s="4" t="s">
        <v>138</v>
      </c>
      <c r="E181" s="4" t="s">
        <v>484</v>
      </c>
      <c r="F181" s="4">
        <v>295</v>
      </c>
      <c r="G181" s="5">
        <v>29.593900000000001</v>
      </c>
      <c r="H181" s="5">
        <v>16.559999999999999</v>
      </c>
      <c r="I181" s="5">
        <v>2945</v>
      </c>
      <c r="J181" s="4" t="s">
        <v>139</v>
      </c>
    </row>
    <row r="182" spans="1:10" x14ac:dyDescent="0.25">
      <c r="A182" s="4">
        <f t="shared" ca="1" si="5"/>
        <v>179</v>
      </c>
      <c r="B182" s="4" t="s">
        <v>485</v>
      </c>
      <c r="C182" s="4" t="s">
        <v>486</v>
      </c>
      <c r="D182" s="4" t="s">
        <v>138</v>
      </c>
      <c r="E182" s="4" t="s">
        <v>484</v>
      </c>
      <c r="F182" s="4">
        <v>295</v>
      </c>
      <c r="G182" s="5">
        <v>29.520800000000001</v>
      </c>
      <c r="H182" s="5">
        <v>15.67</v>
      </c>
      <c r="I182" s="5">
        <v>2938</v>
      </c>
      <c r="J182" s="4" t="s">
        <v>139</v>
      </c>
    </row>
    <row r="183" spans="1:10" x14ac:dyDescent="0.25">
      <c r="A183" s="4">
        <f t="shared" ca="1" si="5"/>
        <v>180</v>
      </c>
      <c r="B183" s="4" t="s">
        <v>487</v>
      </c>
      <c r="C183" s="4" t="s">
        <v>488</v>
      </c>
      <c r="D183" s="4" t="s">
        <v>138</v>
      </c>
      <c r="E183" s="4" t="s">
        <v>489</v>
      </c>
      <c r="F183" s="4">
        <v>99.990200000000002</v>
      </c>
      <c r="G183" s="5">
        <v>100.5402</v>
      </c>
      <c r="H183" s="5">
        <v>11</v>
      </c>
      <c r="I183" s="5">
        <v>347</v>
      </c>
      <c r="J183" s="4" t="s">
        <v>139</v>
      </c>
    </row>
    <row r="184" spans="1:10" x14ac:dyDescent="0.25">
      <c r="A184" s="4">
        <f t="shared" ca="1" si="5"/>
        <v>181</v>
      </c>
      <c r="B184" s="4" t="s">
        <v>490</v>
      </c>
      <c r="C184" s="4" t="s">
        <v>491</v>
      </c>
      <c r="D184" s="4" t="s">
        <v>133</v>
      </c>
      <c r="E184" s="4" t="s">
        <v>492</v>
      </c>
      <c r="F184" s="4">
        <v>878.06</v>
      </c>
      <c r="G184" s="5"/>
      <c r="H184" s="5"/>
      <c r="I184" s="5"/>
      <c r="J184" s="4" t="s">
        <v>135</v>
      </c>
    </row>
    <row r="185" spans="1:10" x14ac:dyDescent="0.25">
      <c r="A185" s="4">
        <f t="shared" ca="1" si="5"/>
        <v>182</v>
      </c>
      <c r="B185" s="4" t="s">
        <v>493</v>
      </c>
      <c r="C185" s="4" t="s">
        <v>74</v>
      </c>
      <c r="D185" s="4" t="s">
        <v>138</v>
      </c>
      <c r="E185" s="4" t="s">
        <v>73</v>
      </c>
      <c r="F185" s="4">
        <v>0.99929899999999994</v>
      </c>
      <c r="G185" s="5">
        <v>101.5188</v>
      </c>
      <c r="H185" s="5">
        <v>5.99</v>
      </c>
      <c r="I185" s="5">
        <v>80</v>
      </c>
      <c r="J185" s="4" t="s">
        <v>139</v>
      </c>
    </row>
    <row r="186" spans="1:10" x14ac:dyDescent="0.25">
      <c r="A186" s="4">
        <f t="shared" ca="1" si="5"/>
        <v>183</v>
      </c>
      <c r="B186" s="4" t="s">
        <v>494</v>
      </c>
      <c r="C186" s="4" t="s">
        <v>88</v>
      </c>
      <c r="D186" s="4" t="s">
        <v>138</v>
      </c>
      <c r="E186" s="4" t="s">
        <v>73</v>
      </c>
      <c r="F186" s="4">
        <v>1000</v>
      </c>
      <c r="G186" s="5">
        <v>104.9452</v>
      </c>
      <c r="H186" s="5">
        <v>18.940000000000001</v>
      </c>
      <c r="I186" s="5">
        <v>818</v>
      </c>
      <c r="J186" s="4" t="s">
        <v>139</v>
      </c>
    </row>
    <row r="187" spans="1:10" x14ac:dyDescent="0.25">
      <c r="A187" s="4">
        <f t="shared" ca="1" si="5"/>
        <v>184</v>
      </c>
      <c r="B187" s="4" t="s">
        <v>495</v>
      </c>
      <c r="C187" s="4" t="s">
        <v>111</v>
      </c>
      <c r="D187" s="4" t="s">
        <v>138</v>
      </c>
      <c r="E187" s="4" t="s">
        <v>73</v>
      </c>
      <c r="F187" s="4">
        <v>971.5522699956291</v>
      </c>
      <c r="G187" s="5">
        <v>101.802727</v>
      </c>
      <c r="H187" s="5">
        <v>16.2</v>
      </c>
      <c r="I187" s="5">
        <v>612</v>
      </c>
      <c r="J187" s="4" t="s">
        <v>139</v>
      </c>
    </row>
    <row r="188" spans="1:10" x14ac:dyDescent="0.25">
      <c r="A188" s="4">
        <f t="shared" ca="1" si="5"/>
        <v>185</v>
      </c>
      <c r="B188" s="4" t="s">
        <v>496</v>
      </c>
      <c r="C188" s="4" t="s">
        <v>497</v>
      </c>
      <c r="D188" s="4" t="s">
        <v>138</v>
      </c>
      <c r="E188" s="4" t="s">
        <v>73</v>
      </c>
      <c r="F188" s="4">
        <v>1000</v>
      </c>
      <c r="G188" s="5">
        <v>106.66300000000001</v>
      </c>
      <c r="H188" s="5">
        <v>18.95</v>
      </c>
      <c r="I188" s="5">
        <v>787</v>
      </c>
      <c r="J188" s="4" t="s">
        <v>139</v>
      </c>
    </row>
    <row r="189" spans="1:10" x14ac:dyDescent="0.25">
      <c r="A189" s="4">
        <f t="shared" ca="1" si="5"/>
        <v>186</v>
      </c>
      <c r="B189" s="4" t="s">
        <v>498</v>
      </c>
      <c r="C189" s="4" t="s">
        <v>499</v>
      </c>
      <c r="D189" s="4" t="s">
        <v>138</v>
      </c>
      <c r="E189" s="4" t="s">
        <v>500</v>
      </c>
      <c r="F189" s="4">
        <v>1.0107660000000001</v>
      </c>
      <c r="G189" s="5">
        <v>102.22620000000001</v>
      </c>
      <c r="H189" s="5">
        <v>4.4000000000000004</v>
      </c>
      <c r="I189" s="5">
        <v>1736</v>
      </c>
      <c r="J189" s="4" t="s">
        <v>139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8</vt:i4>
      </vt:variant>
    </vt:vector>
  </HeadingPairs>
  <TitlesOfParts>
    <vt:vector size="11" baseType="lpstr">
      <vt:lpstr>ДУ</vt:lpstr>
      <vt:lpstr>комм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Yerbol Rakhmankul</cp:lastModifiedBy>
  <dcterms:created xsi:type="dcterms:W3CDTF">2026-01-05T05:02:26Z</dcterms:created>
  <dcterms:modified xsi:type="dcterms:W3CDTF">2026-01-14T12:48:03Z</dcterms:modified>
</cp:coreProperties>
</file>