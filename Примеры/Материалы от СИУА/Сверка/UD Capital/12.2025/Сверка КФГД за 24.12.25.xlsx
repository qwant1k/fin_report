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8DDA8F23-23DB-4621-953D-C87E7018B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26" i="1"/>
  <c r="O40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Q1" i="1" s="1"/>
  <c r="M22" i="1" s="1"/>
  <c r="K26" i="1"/>
  <c r="H26" i="1"/>
  <c r="D26" i="1"/>
  <c r="M8" i="1" l="1"/>
  <c r="M12" i="1"/>
  <c r="M16" i="1"/>
  <c r="M20" i="1"/>
  <c r="M24" i="1"/>
  <c r="M15" i="1"/>
  <c r="M9" i="1"/>
  <c r="M13" i="1"/>
  <c r="M17" i="1"/>
  <c r="M21" i="1"/>
  <c r="M11" i="1"/>
  <c r="M19" i="1"/>
  <c r="M23" i="1"/>
  <c r="M10" i="1"/>
  <c r="M14" i="1"/>
  <c r="M18" i="1"/>
  <c r="M26" i="1" l="1"/>
</calcChain>
</file>

<file path=xl/sharedStrings.xml><?xml version="1.0" encoding="utf-8"?>
<sst xmlns="http://schemas.openxmlformats.org/spreadsheetml/2006/main" count="1155" uniqueCount="517">
  <si>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</si>
  <si>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</si>
  <si>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</si>
  <si>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</si>
  <si>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</si>
  <si>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</si>
  <si>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</si>
  <si>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</si>
  <si>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</si>
  <si>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</si>
  <si>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</si>
  <si>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</si>
  <si>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</si>
  <si>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</si>
  <si>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</si>
  <si>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</si>
  <si>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</si>
  <si>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</si>
  <si>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</si>
  <si>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</si>
  <si>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</si>
  <si>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</si>
  <si>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</si>
  <si>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</si>
  <si>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</si>
  <si>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</si>
  <si>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</si>
  <si>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</si>
  <si>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</si>
  <si>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</si>
  <si>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</si>
  <si>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</si>
  <si>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</si>
  <si>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</si>
  <si>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</si>
  <si>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</si>
  <si>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</si>
  <si>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</si>
  <si>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</si>
  <si>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</si>
  <si>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</si>
  <si>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</si>
  <si>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</si>
  <si>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</si>
  <si>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</si>
  <si>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</si>
  <si>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</si>
  <si>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</si>
  <si>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</si>
  <si>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</si>
  <si>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</si>
  <si>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</si>
  <si>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</si>
  <si>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</si>
  <si>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</si>
  <si>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</si>
  <si>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</si>
  <si>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</si>
  <si>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</si>
  <si>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</si>
  <si>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</si>
  <si>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</si>
  <si>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</si>
  <si>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</si>
  <si>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</si>
  <si>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</si>
  <si>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</si>
  <si>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</si>
  <si>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</si>
  <si>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23.12.2025</t>
  </si>
  <si>
    <t>24.12.2025</t>
  </si>
  <si>
    <t>KZKD00001087</t>
  </si>
  <si>
    <t>25.12.2025</t>
  </si>
  <si>
    <t>KZKD00001228</t>
  </si>
  <si>
    <t>KZ96601A861038102391</t>
  </si>
  <si>
    <t>KZK200000687</t>
  </si>
  <si>
    <t>18.07.2024</t>
  </si>
  <si>
    <t>21.01.2026</t>
  </si>
  <si>
    <t>KZKD00000535</t>
  </si>
  <si>
    <t>27.03.2027</t>
  </si>
  <si>
    <t>KZKD00000832</t>
  </si>
  <si>
    <t>29.01.2035</t>
  </si>
  <si>
    <t>KZKD00001251</t>
  </si>
  <si>
    <t>13.03.2025</t>
  </si>
  <si>
    <t>07.03.2030</t>
  </si>
  <si>
    <t>KZKD00000477</t>
  </si>
  <si>
    <t>24.07.2025</t>
  </si>
  <si>
    <t>19.10.2027</t>
  </si>
  <si>
    <t>31.03.2029</t>
  </si>
  <si>
    <t>KZKD00001152</t>
  </si>
  <si>
    <t>26.07.2032</t>
  </si>
  <si>
    <t>KZKD00000741</t>
  </si>
  <si>
    <t>12.05.2034</t>
  </si>
  <si>
    <t>KZKD00001129</t>
  </si>
  <si>
    <t>17.03.2031</t>
  </si>
  <si>
    <t>KZK100000373</t>
  </si>
  <si>
    <t>06.02.2026</t>
  </si>
  <si>
    <t>KZK200000760</t>
  </si>
  <si>
    <t>14.08.2025</t>
  </si>
  <si>
    <t>07.08.2029</t>
  </si>
  <si>
    <t>KZKD00000790</t>
  </si>
  <si>
    <t>10.07.2025</t>
  </si>
  <si>
    <t>13.08.2029</t>
  </si>
  <si>
    <t>KZKD00000949</t>
  </si>
  <si>
    <t>16.04.2032</t>
  </si>
  <si>
    <t>21.08.2025</t>
  </si>
  <si>
    <t>18.08.2026</t>
  </si>
  <si>
    <t>KZKD00001160</t>
  </si>
  <si>
    <t>28.07.2029</t>
  </si>
  <si>
    <t>KZKD00001137</t>
  </si>
  <si>
    <t>12.04.2028</t>
  </si>
  <si>
    <t>Евразийский банк развития</t>
  </si>
  <si>
    <t>KZ2D00011863</t>
  </si>
  <si>
    <t>24.09.2024</t>
  </si>
  <si>
    <t>03.09.2027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</si>
  <si>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</si>
  <si>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</si>
  <si>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</si>
  <si>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</si>
  <si>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</si>
  <si>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</si>
  <si>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</si>
  <si>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</si>
  <si>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</si>
  <si>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</si>
  <si>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</si>
  <si>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</si>
  <si>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</si>
  <si>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</si>
  <si>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</si>
  <si>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</si>
  <si>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</si>
  <si>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</si>
  <si>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</si>
  <si>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</si>
  <si>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</si>
  <si>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KMGZe11</t>
  </si>
  <si>
    <t>XS1595713782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</si>
  <si>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</si>
  <si>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</si>
  <si>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</si>
  <si>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</si>
  <si>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</si>
  <si>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</si>
  <si>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</si>
  <si>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</si>
  <si>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</si>
  <si>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</si>
  <si>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</si>
  <si>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</si>
  <si>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</si>
  <si>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</si>
  <si>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</si>
  <si>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</si>
  <si>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</si>
  <si>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</si>
  <si>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</si>
  <si>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</si>
  <si>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</si>
  <si>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</si>
  <si>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</si>
  <si>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</si>
  <si>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</si>
  <si>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</si>
  <si>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</si>
  <si>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</si>
  <si>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</si>
  <si>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</si>
  <si>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</si>
  <si>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</si>
  <si>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</si>
  <si>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BTRKb9</t>
  </si>
  <si>
    <t>KZ2C00010304</t>
  </si>
  <si>
    <t>MFTSb2</t>
  </si>
  <si>
    <t>KZ2P00010788</t>
  </si>
  <si>
    <t>MFOKb27</t>
  </si>
  <si>
    <t>KZ2C00010833</t>
  </si>
  <si>
    <t>KASAb1</t>
  </si>
  <si>
    <t>KZ2C00013753</t>
  </si>
  <si>
    <t>MFSCb8</t>
  </si>
  <si>
    <t>KZ2P00015712</t>
  </si>
  <si>
    <t>MFRFb24</t>
  </si>
  <si>
    <t>KZ2P00015845</t>
  </si>
  <si>
    <t>MFSCb6</t>
  </si>
  <si>
    <t>KZ2P00015746</t>
  </si>
  <si>
    <t>CLSGb5</t>
  </si>
  <si>
    <t>KZ2P00011612</t>
  </si>
  <si>
    <t>CLSGb4</t>
  </si>
  <si>
    <t>KZ2P00011604</t>
  </si>
  <si>
    <t>MFTSb3</t>
  </si>
  <si>
    <t>KZ2P00014400</t>
  </si>
  <si>
    <t>MFSFb1</t>
  </si>
  <si>
    <t>KZ2P00015308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</si>
  <si>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</si>
  <si>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</si>
  <si>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</si>
  <si>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</si>
  <si>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</si>
  <si>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</si>
  <si>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</si>
  <si>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</si>
  <si>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</si>
  <si>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</si>
  <si>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</si>
  <si>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</si>
  <si>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</si>
  <si>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</si>
  <si>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</si>
  <si>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</si>
  <si>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</si>
  <si>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</si>
  <si>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</si>
  <si>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</si>
  <si>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</si>
  <si>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</si>
  <si>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</si>
  <si>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</si>
  <si>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</si>
  <si>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</si>
  <si>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</si>
  <si>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</si>
  <si>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</si>
  <si>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</si>
  <si>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</si>
  <si>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</si>
  <si>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</si>
  <si>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</si>
  <si>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</si>
  <si>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</si>
  <si>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MFMOb15</t>
  </si>
  <si>
    <t>KZ2P00013295</t>
  </si>
  <si>
    <t>MFRFb18</t>
  </si>
  <si>
    <t>KZ2P00013998</t>
  </si>
  <si>
    <t>MFMOb25</t>
  </si>
  <si>
    <t>KZ2P00013220</t>
  </si>
  <si>
    <t>MFMCb2</t>
  </si>
  <si>
    <t>KZ2P00011968</t>
  </si>
  <si>
    <t>MRDNb1</t>
  </si>
  <si>
    <t>KZ2P00014673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</si>
  <si>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</si>
  <si>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</si>
  <si>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</si>
  <si>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</si>
  <si>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</si>
  <si>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</si>
  <si>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</si>
  <si>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</si>
  <si>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</si>
  <si>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</si>
  <si>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</si>
  <si>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</si>
  <si>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</si>
  <si>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</si>
  <si>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</si>
  <si>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</si>
  <si>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</si>
  <si>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</si>
  <si>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</si>
  <si>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</si>
  <si>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</si>
  <si>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</si>
  <si>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</si>
  <si>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</si>
  <si>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</si>
  <si>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KZIKb40</t>
  </si>
  <si>
    <t>KZ2C00014744</t>
  </si>
  <si>
    <t>АО "КАЗАХСТАНСКАЯ ИПОТЕЧНАЯ КОМПАНИЯ"</t>
  </si>
  <si>
    <t>KZIKb41</t>
  </si>
  <si>
    <t>KZ2C00014751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</si>
  <si>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</si>
  <si>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</si>
  <si>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</si>
  <si>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</si>
  <si>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</si>
  <si>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</si>
  <si>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</si>
  <si>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</si>
  <si>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</si>
  <si>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</si>
  <si>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</si>
  <si>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</si>
  <si>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</si>
  <si>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</si>
  <si>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</si>
  <si>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</si>
  <si>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</si>
  <si>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</si>
  <si>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</si>
  <si>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</si>
  <si>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</si>
  <si>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</si>
  <si>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</si>
  <si>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</si>
  <si>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</si>
  <si>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</si>
  <si>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</si>
  <si>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</si>
  <si>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</si>
  <si>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</si>
  <si>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</si>
  <si>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</si>
  <si>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</si>
  <si>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</si>
  <si>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</si>
  <si>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</si>
  <si>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</si>
  <si>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</si>
  <si>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</si>
  <si>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</si>
  <si>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</si>
  <si>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</si>
  <si>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</si>
  <si>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</si>
  <si>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</si>
  <si>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</si>
  <si>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</si>
  <si>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</si>
  <si>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</si>
  <si>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</si>
  <si>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</si>
  <si>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</si>
  <si>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</si>
  <si>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</si>
  <si>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</si>
  <si>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</si>
  <si>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</si>
  <si>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</si>
  <si>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</si>
  <si>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</si>
  <si>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</si>
  <si>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</si>
  <si>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</si>
  <si>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</si>
  <si>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</si>
  <si>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</si>
  <si>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</si>
  <si>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</si>
  <si>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</si>
  <si>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</si>
  <si>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</si>
  <si>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</si>
  <si>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</si>
  <si>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</si>
  <si>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</si>
  <si>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</si>
  <si>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</si>
  <si>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</si>
  <si>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</si>
  <si>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</si>
  <si>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</si>
  <si>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</si>
  <si>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</si>
  <si>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</si>
  <si>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</si>
  <si>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</si>
  <si>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</si>
  <si>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</si>
  <si>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</si>
  <si>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</si>
  <si>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</si>
  <si>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</si>
  <si>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</si>
  <si>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</si>
  <si>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</si>
  <si>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</si>
  <si>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</si>
  <si>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</si>
  <si>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</si>
  <si>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</si>
  <si>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</si>
  <si>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</si>
  <si>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</si>
  <si>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</si>
  <si>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</si>
  <si>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</si>
  <si>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</si>
  <si>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</si>
  <si>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</si>
  <si>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</si>
  <si>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</si>
  <si>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</si>
  <si>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</si>
  <si>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</si>
  <si>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</si>
  <si>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</si>
  <si>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</si>
  <si>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</si>
  <si>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</si>
  <si>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</si>
  <si>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</si>
  <si>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</si>
  <si>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</si>
  <si>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</si>
  <si>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</si>
  <si>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</si>
  <si>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</si>
  <si>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</si>
  <si>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</si>
  <si>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</si>
  <si>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</si>
  <si>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</si>
  <si>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</si>
  <si>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</si>
  <si>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</si>
  <si>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</si>
  <si>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</si>
  <si>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</si>
  <si>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</si>
  <si>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</si>
  <si>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</si>
  <si>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</si>
  <si>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</si>
  <si>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</si>
  <si>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</si>
  <si>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</si>
  <si>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</si>
  <si>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</si>
  <si>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</si>
  <si>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</si>
  <si>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</si>
  <si>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</si>
  <si>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</si>
  <si>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</si>
  <si>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</si>
  <si>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</si>
  <si>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</si>
  <si>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</si>
  <si>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</si>
  <si>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</si>
  <si>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</si>
  <si>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</si>
  <si>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</si>
  <si>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</si>
  <si>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</si>
  <si>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</si>
  <si>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</si>
  <si>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</si>
  <si>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</si>
  <si>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</si>
  <si>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</si>
  <si>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</si>
  <si>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</si>
  <si>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</si>
  <si>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</si>
  <si>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</si>
  <si>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</si>
  <si>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</si>
  <si>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</si>
  <si>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</si>
  <si>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</si>
  <si>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</si>
  <si>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</si>
  <si>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</si>
  <si>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</si>
  <si>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</si>
  <si>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</si>
  <si>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</si>
  <si>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</si>
  <si>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</si>
  <si>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</si>
  <si>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</si>
  <si>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</si>
  <si>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</si>
  <si>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</si>
  <si>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</si>
  <si>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</si>
  <si>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</si>
  <si>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</si>
  <si>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</si>
  <si>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</si>
  <si>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</si>
  <si>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</si>
  <si>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</si>
  <si>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</si>
  <si>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KFUSb47</t>
  </si>
  <si>
    <t>KZ2C00008936</t>
  </si>
  <si>
    <t>АО "Казахстанский фонд устойчивости"</t>
  </si>
  <si>
    <t>KFUSb48</t>
  </si>
  <si>
    <t>KZ2C00008944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</si>
  <si>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</si>
  <si>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</si>
  <si>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</si>
  <si>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</si>
  <si>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</si>
  <si>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</si>
  <si>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</si>
  <si>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</si>
  <si>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</si>
  <si>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</si>
  <si>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</si>
  <si>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</si>
  <si>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</si>
  <si>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</si>
  <si>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</si>
  <si>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</si>
  <si>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</si>
  <si>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</si>
  <si>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NCOMb9</t>
  </si>
  <si>
    <t>KZ2P00016330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</si>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</sst>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69" fontId="7" fillId="0" borderId="0" xfId="0" applyNumberFormat="1" applyFont="1"/>
    <xf numFmtId="170" fontId="6" fillId="0" borderId="0" xfId="0" applyNumberFormat="1" applyFont="1"/>
    <xf numFmtId="43" fontId="13" fillId="0" borderId="0" xfId="2" applyFont="1"/>
    <xf numFmtId="43" fontId="14" fillId="0" borderId="0" xfId="2" applyFont="1"/>
    <xf numFmtId="170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32" workbookViewId="0">
      <selection activeCell="C47" sqref="C47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27128908220.466957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75</v>
      </c>
      <c r="C8" s="16">
        <v>2530000</v>
      </c>
      <c r="D8" s="17">
        <v>2530000000</v>
      </c>
      <c r="E8" s="18">
        <v>10.67</v>
      </c>
      <c r="F8" s="19" t="s">
        <v>76</v>
      </c>
      <c r="G8" s="19" t="s">
        <v>77</v>
      </c>
      <c r="H8" s="18">
        <v>2455119589.9966769</v>
      </c>
      <c r="I8" s="20">
        <v>99.537700000000001</v>
      </c>
      <c r="J8" s="20">
        <v>104.07250000000001</v>
      </c>
      <c r="K8" s="18">
        <v>114729175</v>
      </c>
      <c r="L8" s="18">
        <v>2633032985</v>
      </c>
      <c r="M8" s="21">
        <f t="shared" ref="M8:M24" si="0">L8/$Q$1</f>
        <v>9.7056356400422775E-2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3162500</v>
      </c>
      <c r="D9" s="17">
        <v>3162500000</v>
      </c>
      <c r="E9" s="18">
        <v>5.49</v>
      </c>
      <c r="F9" s="19" t="s">
        <v>76</v>
      </c>
      <c r="G9" s="19" t="s">
        <v>79</v>
      </c>
      <c r="H9" s="18">
        <v>2627740225</v>
      </c>
      <c r="I9" s="20">
        <v>88.098700000000008</v>
      </c>
      <c r="J9" s="20">
        <v>92.170500000000004</v>
      </c>
      <c r="K9" s="18">
        <v>128769093.75</v>
      </c>
      <c r="L9" s="18">
        <v>2914890481.25</v>
      </c>
      <c r="M9" s="21">
        <f t="shared" si="0"/>
        <v>0.10744591922246649</v>
      </c>
      <c r="O9" s="10">
        <v>749863.88888888899</v>
      </c>
    </row>
    <row r="10" spans="1:17" x14ac:dyDescent="0.2">
      <c r="A10" s="15" t="s">
        <v>66</v>
      </c>
      <c r="B10" s="15" t="s">
        <v>80</v>
      </c>
      <c r="C10" s="16">
        <v>1897500</v>
      </c>
      <c r="D10" s="17">
        <v>1897500000</v>
      </c>
      <c r="E10" s="18">
        <v>8.07</v>
      </c>
      <c r="F10" s="19" t="s">
        <v>76</v>
      </c>
      <c r="G10" s="19" t="s">
        <v>81</v>
      </c>
      <c r="H10" s="18">
        <v>1338524962.5</v>
      </c>
      <c r="I10" s="20">
        <v>65.130400000000009</v>
      </c>
      <c r="J10" s="20">
        <v>72.415800000000004</v>
      </c>
      <c r="K10" s="18">
        <v>138240781.25</v>
      </c>
      <c r="L10" s="18">
        <v>1374090121.25</v>
      </c>
      <c r="M10" s="21">
        <f t="shared" si="0"/>
        <v>5.0650402518349055E-2</v>
      </c>
      <c r="O10" s="10">
        <v>749863.88888888899</v>
      </c>
    </row>
    <row r="11" spans="1:17" x14ac:dyDescent="0.2">
      <c r="A11" s="15" t="s">
        <v>66</v>
      </c>
      <c r="B11" s="15" t="s">
        <v>82</v>
      </c>
      <c r="C11" s="16">
        <v>550000</v>
      </c>
      <c r="D11" s="17">
        <v>550000000</v>
      </c>
      <c r="E11" s="18">
        <v>12</v>
      </c>
      <c r="F11" s="19" t="s">
        <v>83</v>
      </c>
      <c r="G11" s="19" t="s">
        <v>84</v>
      </c>
      <c r="H11" s="18">
        <v>491343050</v>
      </c>
      <c r="I11" s="20">
        <v>88.532499999999999</v>
      </c>
      <c r="J11" s="20">
        <v>98.09920000000001</v>
      </c>
      <c r="K11" s="18">
        <v>52616666.666666657</v>
      </c>
      <c r="L11" s="18">
        <v>539545416.66666698</v>
      </c>
      <c r="M11" s="21">
        <f t="shared" si="0"/>
        <v>1.9888209738555415E-2</v>
      </c>
      <c r="O11" s="10">
        <v>749863.88888888899</v>
      </c>
    </row>
    <row r="12" spans="1:17" x14ac:dyDescent="0.2">
      <c r="A12" s="15" t="s">
        <v>66</v>
      </c>
      <c r="B12" s="15" t="s">
        <v>85</v>
      </c>
      <c r="C12" s="16">
        <v>2391500</v>
      </c>
      <c r="D12" s="17">
        <v>2391500000</v>
      </c>
      <c r="E12" s="18">
        <v>5.3</v>
      </c>
      <c r="F12" s="19" t="s">
        <v>86</v>
      </c>
      <c r="G12" s="19" t="s">
        <v>87</v>
      </c>
      <c r="H12" s="18">
        <v>1903079172</v>
      </c>
      <c r="I12" s="20">
        <v>83.4696</v>
      </c>
      <c r="J12" s="20">
        <v>84.426500000000004</v>
      </c>
      <c r="K12" s="18">
        <v>22885326.388888881</v>
      </c>
      <c r="L12" s="18">
        <v>2019060810.3888879</v>
      </c>
      <c r="M12" s="21">
        <f t="shared" si="0"/>
        <v>7.4424698332151859E-2</v>
      </c>
      <c r="O12" s="10">
        <v>749863.88888888899</v>
      </c>
    </row>
    <row r="13" spans="1:17" x14ac:dyDescent="0.2">
      <c r="A13" s="15" t="s">
        <v>66</v>
      </c>
      <c r="B13" s="15" t="s">
        <v>71</v>
      </c>
      <c r="C13" s="16">
        <v>1897500</v>
      </c>
      <c r="D13" s="17">
        <v>1897500000</v>
      </c>
      <c r="E13" s="18">
        <v>11</v>
      </c>
      <c r="F13" s="19" t="s">
        <v>76</v>
      </c>
      <c r="G13" s="19" t="s">
        <v>88</v>
      </c>
      <c r="H13" s="18">
        <v>1743261712.5</v>
      </c>
      <c r="I13" s="20">
        <v>87.626500000000007</v>
      </c>
      <c r="J13" s="20">
        <v>95.693200000000004</v>
      </c>
      <c r="K13" s="18">
        <v>153065000</v>
      </c>
      <c r="L13" s="18">
        <v>1815777837.5</v>
      </c>
      <c r="M13" s="21">
        <f t="shared" si="0"/>
        <v>6.6931474821759193E-2</v>
      </c>
      <c r="O13" s="10">
        <v>749863.88888888899</v>
      </c>
    </row>
    <row r="14" spans="1:17" x14ac:dyDescent="0.2">
      <c r="A14" s="15" t="s">
        <v>66</v>
      </c>
      <c r="B14" s="15" t="s">
        <v>89</v>
      </c>
      <c r="C14" s="16">
        <v>1897500</v>
      </c>
      <c r="D14" s="17">
        <v>1897500000</v>
      </c>
      <c r="E14" s="18">
        <v>10.65</v>
      </c>
      <c r="F14" s="19" t="s">
        <v>76</v>
      </c>
      <c r="G14" s="19" t="s">
        <v>90</v>
      </c>
      <c r="H14" s="18">
        <v>1648500562.5</v>
      </c>
      <c r="I14" s="20">
        <v>80.267899999999997</v>
      </c>
      <c r="J14" s="20">
        <v>84.646200000000007</v>
      </c>
      <c r="K14" s="18">
        <v>83078875</v>
      </c>
      <c r="L14" s="18">
        <v>1606162277.5</v>
      </c>
      <c r="M14" s="21">
        <f t="shared" si="0"/>
        <v>5.920482551112239E-2</v>
      </c>
      <c r="O14" s="10">
        <v>749863.88888888899</v>
      </c>
    </row>
    <row r="15" spans="1:17" x14ac:dyDescent="0.2">
      <c r="A15" s="15" t="s">
        <v>66</v>
      </c>
      <c r="B15" s="15" t="s">
        <v>91</v>
      </c>
      <c r="C15" s="16">
        <v>1897500</v>
      </c>
      <c r="D15" s="17">
        <v>1897500000</v>
      </c>
      <c r="E15" s="18">
        <v>8.07</v>
      </c>
      <c r="F15" s="19" t="s">
        <v>76</v>
      </c>
      <c r="G15" s="19" t="s">
        <v>92</v>
      </c>
      <c r="H15" s="18">
        <v>1359122325</v>
      </c>
      <c r="I15" s="20">
        <v>66.36</v>
      </c>
      <c r="J15" s="20">
        <v>71.336500000000001</v>
      </c>
      <c r="K15" s="18">
        <v>94429087.5</v>
      </c>
      <c r="L15" s="18">
        <v>1353610087.5</v>
      </c>
      <c r="M15" s="21">
        <f t="shared" si="0"/>
        <v>4.9895487002266876E-2</v>
      </c>
      <c r="O15" s="10">
        <v>749863.88888888899</v>
      </c>
    </row>
    <row r="16" spans="1:17" x14ac:dyDescent="0.2">
      <c r="A16" s="15" t="s">
        <v>66</v>
      </c>
      <c r="B16" s="15" t="s">
        <v>93</v>
      </c>
      <c r="C16" s="16">
        <v>1897500</v>
      </c>
      <c r="D16" s="17">
        <v>1897500000</v>
      </c>
      <c r="E16" s="18">
        <v>10.3</v>
      </c>
      <c r="F16" s="19" t="s">
        <v>76</v>
      </c>
      <c r="G16" s="19" t="s">
        <v>94</v>
      </c>
      <c r="H16" s="18">
        <v>1645329839.996666</v>
      </c>
      <c r="I16" s="20">
        <v>81.417700000000011</v>
      </c>
      <c r="J16" s="20">
        <v>89.343000000000004</v>
      </c>
      <c r="K16" s="18">
        <v>150382145.83333299</v>
      </c>
      <c r="L16" s="18">
        <v>1695283003.333333</v>
      </c>
      <c r="M16" s="21">
        <f t="shared" si="0"/>
        <v>6.2489908902944896E-2</v>
      </c>
      <c r="O16" s="10">
        <v>749863.88888888899</v>
      </c>
    </row>
    <row r="17" spans="1:15" x14ac:dyDescent="0.2">
      <c r="A17" s="15" t="s">
        <v>66</v>
      </c>
      <c r="B17" s="15" t="s">
        <v>95</v>
      </c>
      <c r="C17" s="16">
        <v>11424000</v>
      </c>
      <c r="D17" s="17">
        <v>1142400000</v>
      </c>
      <c r="E17" s="18">
        <v>0</v>
      </c>
      <c r="F17" s="19" t="s">
        <v>83</v>
      </c>
      <c r="G17" s="19" t="s">
        <v>96</v>
      </c>
      <c r="H17" s="18">
        <v>1003902278.4</v>
      </c>
      <c r="I17" s="20">
        <v>98.123200000000011</v>
      </c>
      <c r="J17" s="20">
        <v>98.123200000000011</v>
      </c>
      <c r="K17" s="18"/>
      <c r="L17" s="18">
        <v>1120959436.8</v>
      </c>
      <c r="M17" s="21">
        <f t="shared" si="0"/>
        <v>4.1319740097550649E-2</v>
      </c>
      <c r="O17" s="10">
        <v>749863.88888888899</v>
      </c>
    </row>
    <row r="18" spans="1:15" x14ac:dyDescent="0.2">
      <c r="A18" s="15" t="s">
        <v>66</v>
      </c>
      <c r="B18" s="15" t="s">
        <v>97</v>
      </c>
      <c r="C18" s="16">
        <v>897100</v>
      </c>
      <c r="D18" s="17">
        <v>897100000</v>
      </c>
      <c r="E18" s="18">
        <v>17.010000000000002</v>
      </c>
      <c r="F18" s="19" t="s">
        <v>98</v>
      </c>
      <c r="G18" s="19" t="s">
        <v>99</v>
      </c>
      <c r="H18" s="18">
        <v>896985171.20000005</v>
      </c>
      <c r="I18" s="20">
        <v>104.12830000000001</v>
      </c>
      <c r="J18" s="20">
        <v>110.6016</v>
      </c>
      <c r="K18" s="18">
        <v>58071525.75</v>
      </c>
      <c r="L18" s="18">
        <v>992206505.04999995</v>
      </c>
      <c r="M18" s="21">
        <f t="shared" si="0"/>
        <v>3.6573772043706723E-2</v>
      </c>
      <c r="O18" s="10">
        <v>749863.88888888899</v>
      </c>
    </row>
    <row r="19" spans="1:15" x14ac:dyDescent="0.2">
      <c r="A19" s="15" t="s">
        <v>66</v>
      </c>
      <c r="B19" s="15" t="s">
        <v>100</v>
      </c>
      <c r="C19" s="16">
        <v>2469500</v>
      </c>
      <c r="D19" s="17">
        <v>2469500000</v>
      </c>
      <c r="E19" s="18">
        <v>7.68</v>
      </c>
      <c r="F19" s="19" t="s">
        <v>101</v>
      </c>
      <c r="G19" s="19" t="s">
        <v>102</v>
      </c>
      <c r="H19" s="18">
        <v>1827657194</v>
      </c>
      <c r="I19" s="20">
        <v>78.195900000000009</v>
      </c>
      <c r="J19" s="20">
        <v>80.990600000000001</v>
      </c>
      <c r="K19" s="18">
        <v>69014293.333333328</v>
      </c>
      <c r="L19" s="18">
        <v>2000062043.833333</v>
      </c>
      <c r="M19" s="21">
        <f t="shared" si="0"/>
        <v>7.3724383877874569E-2</v>
      </c>
      <c r="O19" s="10">
        <v>749863.88888888899</v>
      </c>
    </row>
    <row r="20" spans="1:15" x14ac:dyDescent="0.2">
      <c r="A20" s="15" t="s">
        <v>66</v>
      </c>
      <c r="B20" s="15" t="s">
        <v>103</v>
      </c>
      <c r="C20" s="16">
        <v>1897500</v>
      </c>
      <c r="D20" s="17">
        <v>1897500000</v>
      </c>
      <c r="E20" s="18">
        <v>8.4499999999999993</v>
      </c>
      <c r="F20" s="19" t="s">
        <v>76</v>
      </c>
      <c r="G20" s="19" t="s">
        <v>104</v>
      </c>
      <c r="H20" s="18">
        <v>1457889097.496666</v>
      </c>
      <c r="I20" s="20">
        <v>72.351799999999997</v>
      </c>
      <c r="J20" s="20">
        <v>78.172899999999998</v>
      </c>
      <c r="K20" s="18">
        <v>110455583.333333</v>
      </c>
      <c r="L20" s="18">
        <v>1483330988.333333</v>
      </c>
      <c r="M20" s="21">
        <f t="shared" si="0"/>
        <v>5.4677135411378572E-2</v>
      </c>
      <c r="O20" s="10">
        <v>749863.88888888899</v>
      </c>
    </row>
    <row r="21" spans="1:15" x14ac:dyDescent="0.2">
      <c r="A21" s="15" t="s">
        <v>66</v>
      </c>
      <c r="B21" s="15" t="s">
        <v>67</v>
      </c>
      <c r="C21" s="16">
        <v>1106600</v>
      </c>
      <c r="D21" s="17">
        <v>1106600000</v>
      </c>
      <c r="E21" s="18">
        <v>5.5</v>
      </c>
      <c r="F21" s="19" t="s">
        <v>105</v>
      </c>
      <c r="G21" s="19" t="s">
        <v>106</v>
      </c>
      <c r="H21" s="18">
        <v>999478906.79999995</v>
      </c>
      <c r="I21" s="20">
        <v>93.392300000000006</v>
      </c>
      <c r="J21" s="20">
        <v>95.317300000000003</v>
      </c>
      <c r="K21" s="18">
        <v>21302050</v>
      </c>
      <c r="L21" s="18">
        <v>1054781241.8</v>
      </c>
      <c r="M21" s="21">
        <f t="shared" si="0"/>
        <v>3.8880342446078887E-2</v>
      </c>
      <c r="O21" s="10">
        <v>749863.88888888899</v>
      </c>
    </row>
    <row r="22" spans="1:15" x14ac:dyDescent="0.2">
      <c r="A22" s="15" t="s">
        <v>66</v>
      </c>
      <c r="B22" s="15" t="s">
        <v>107</v>
      </c>
      <c r="C22" s="16">
        <v>1897500</v>
      </c>
      <c r="D22" s="17">
        <v>1897500000</v>
      </c>
      <c r="E22" s="18">
        <v>10.55</v>
      </c>
      <c r="F22" s="19" t="s">
        <v>76</v>
      </c>
      <c r="G22" s="19" t="s">
        <v>108</v>
      </c>
      <c r="H22" s="18">
        <v>1708326839.9966669</v>
      </c>
      <c r="I22" s="20">
        <v>85.712500000000006</v>
      </c>
      <c r="J22" s="20">
        <v>89.991100000000003</v>
      </c>
      <c r="K22" s="18">
        <v>81186645.833333328</v>
      </c>
      <c r="L22" s="18">
        <v>1707581333.333333</v>
      </c>
      <c r="M22" s="21">
        <f t="shared" si="0"/>
        <v>6.2943238240788346E-2</v>
      </c>
      <c r="O22" s="10">
        <v>749863.88888888899</v>
      </c>
    </row>
    <row r="23" spans="1:15" x14ac:dyDescent="0.2">
      <c r="A23" s="15" t="s">
        <v>66</v>
      </c>
      <c r="B23" s="15" t="s">
        <v>109</v>
      </c>
      <c r="C23" s="16">
        <v>1897500</v>
      </c>
      <c r="D23" s="17">
        <v>1897500000</v>
      </c>
      <c r="E23" s="18">
        <v>10.4</v>
      </c>
      <c r="F23" s="19" t="s">
        <v>76</v>
      </c>
      <c r="G23" s="19" t="s">
        <v>110</v>
      </c>
      <c r="H23" s="18">
        <v>1736743800</v>
      </c>
      <c r="I23" s="20">
        <v>89.112400000000008</v>
      </c>
      <c r="J23" s="20">
        <v>96.392400000000009</v>
      </c>
      <c r="K23" s="18">
        <v>138138000</v>
      </c>
      <c r="L23" s="18">
        <v>1829045790</v>
      </c>
      <c r="M23" s="21">
        <f t="shared" si="0"/>
        <v>6.7420545461542261E-2</v>
      </c>
      <c r="O23" s="10">
        <v>749863.88888888899</v>
      </c>
    </row>
    <row r="24" spans="1:15" x14ac:dyDescent="0.2">
      <c r="A24" s="15" t="s">
        <v>111</v>
      </c>
      <c r="B24" s="15" t="s">
        <v>112</v>
      </c>
      <c r="C24" s="16">
        <v>992234</v>
      </c>
      <c r="D24" s="17">
        <v>992234000</v>
      </c>
      <c r="E24" s="18">
        <v>14.3</v>
      </c>
      <c r="F24" s="19" t="s">
        <v>113</v>
      </c>
      <c r="G24" s="19" t="s">
        <v>114</v>
      </c>
      <c r="H24" s="18">
        <v>991722999.49000001</v>
      </c>
      <c r="I24" s="20">
        <v>95.314070079999993</v>
      </c>
      <c r="J24" s="20">
        <v>99.723270080000006</v>
      </c>
      <c r="K24" s="18">
        <v>43749250.783333331</v>
      </c>
      <c r="L24" s="18">
        <v>989487860.92807198</v>
      </c>
      <c r="M24" s="21">
        <f t="shared" si="0"/>
        <v>3.6473559971041118E-2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1460113500.4222214</v>
      </c>
      <c r="L26" s="23">
        <f>SUM(L8:L25)</f>
        <v>27128908220.466957</v>
      </c>
      <c r="M26" s="26">
        <f>SUM(M8:M25)</f>
        <v>1.0000000000000002</v>
      </c>
      <c r="N26" s="9">
        <v>27128908220.466961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739804.47</v>
      </c>
    </row>
    <row r="30" spans="1:15" x14ac:dyDescent="0.2">
      <c r="A30" s="29" t="s">
        <v>74</v>
      </c>
      <c r="B30" s="30">
        <v>739804.47</v>
      </c>
      <c r="C30" s="11">
        <v>739804.53</v>
      </c>
      <c r="D30" s="60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2417300</v>
      </c>
      <c r="D35" s="32" t="s">
        <v>68</v>
      </c>
      <c r="E35" s="34" t="s">
        <v>69</v>
      </c>
      <c r="F35" s="34" t="s">
        <v>70</v>
      </c>
      <c r="G35" s="35">
        <v>951.92200000000003</v>
      </c>
      <c r="H35" s="35">
        <f>J35/C35</f>
        <v>952.36551741198844</v>
      </c>
      <c r="I35" s="36">
        <v>2301081050.5999999</v>
      </c>
      <c r="J35" s="36">
        <v>2302153165.2399998</v>
      </c>
      <c r="K35" s="37">
        <v>17.006</v>
      </c>
      <c r="L35" s="37">
        <v>1072114.6399999999</v>
      </c>
      <c r="M35" s="31">
        <f>I35+L35</f>
        <v>2302153165.2399998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18918</v>
      </c>
      <c r="D36" s="32" t="s">
        <v>68</v>
      </c>
      <c r="E36" s="34" t="s">
        <v>69</v>
      </c>
      <c r="F36" s="34" t="s">
        <v>70</v>
      </c>
      <c r="G36" s="35">
        <v>951.92200021143901</v>
      </c>
      <c r="H36" s="35">
        <f>J36/C36</f>
        <v>952.36551749656405</v>
      </c>
      <c r="I36" s="36">
        <v>18008460.399999999</v>
      </c>
      <c r="J36" s="36">
        <v>18016850.859999999</v>
      </c>
      <c r="K36" s="37">
        <v>17.006</v>
      </c>
      <c r="L36" s="37">
        <v>8390.4600000000009</v>
      </c>
      <c r="M36" s="31">
        <f>I36+L36</f>
        <v>18016850.859999999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2411030</v>
      </c>
      <c r="D37" s="32" t="s">
        <v>68</v>
      </c>
      <c r="E37" s="34" t="s">
        <v>70</v>
      </c>
      <c r="F37" s="34" t="s">
        <v>72</v>
      </c>
      <c r="G37" s="35">
        <v>956.93200000000002</v>
      </c>
      <c r="H37" s="35">
        <f>J37/C37</f>
        <v>957.37769435469488</v>
      </c>
      <c r="I37" s="36">
        <v>2307191759.96</v>
      </c>
      <c r="J37" s="36">
        <v>2308266342.4200001</v>
      </c>
      <c r="K37" s="37">
        <v>17</v>
      </c>
      <c r="L37" s="37"/>
      <c r="M37" s="31">
        <f>I37+L37</f>
        <v>2307191759.96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73</v>
      </c>
      <c r="C38" s="33">
        <v>12701</v>
      </c>
      <c r="D38" s="32" t="s">
        <v>68</v>
      </c>
      <c r="E38" s="34" t="s">
        <v>70</v>
      </c>
      <c r="F38" s="34" t="s">
        <v>72</v>
      </c>
      <c r="G38" s="35">
        <v>1023.553999685064</v>
      </c>
      <c r="H38" s="35">
        <f>J38/C38</f>
        <v>1024.0307235650737</v>
      </c>
      <c r="I38" s="36">
        <v>13000159.35</v>
      </c>
      <c r="J38" s="36">
        <v>13006214.220000001</v>
      </c>
      <c r="K38" s="37">
        <v>17</v>
      </c>
      <c r="L38" s="37"/>
      <c r="M38" s="31">
        <f>I38+L38</f>
        <v>13000159.35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2320191919.3099999</v>
      </c>
      <c r="N40" s="61">
        <v>2320191919.3099999</v>
      </c>
      <c r="O40" s="62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L26+B29+M40</f>
        <v>29449839944.24696</v>
      </c>
      <c r="C47" s="64">
        <v>29449839944.306961</v>
      </c>
      <c r="D47" s="64">
        <f>__mdDATAItogoActive__-C47</f>
        <v>-6.0001373291015625E-2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5" t="s">
        <v>48</v>
      </c>
      <c r="B52" s="65"/>
      <c r="C52" s="65"/>
      <c r="D52" s="65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5" t="s">
        <v>49</v>
      </c>
      <c r="B58" s="65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-2.14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G63" s="54"/>
      <c r="O63" s="9"/>
    </row>
    <row r="64" spans="1:15" x14ac:dyDescent="0.2">
      <c r="A64" s="24">
        <v>3</v>
      </c>
      <c r="B64" s="55" t="s">
        <v>55</v>
      </c>
      <c r="C64" s="57">
        <v>549022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0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83926.45</v>
      </c>
      <c r="D67" s="57"/>
      <c r="O67" s="9"/>
    </row>
    <row r="68" spans="1:15" x14ac:dyDescent="0.2">
      <c r="A68" s="24">
        <v>7</v>
      </c>
      <c r="B68" s="55" t="s">
        <v>59</v>
      </c>
      <c r="C68" s="57">
        <v>42968.74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6" t="s">
        <v>63</v>
      </c>
      <c r="B72" s="66"/>
      <c r="C72" s="59">
        <f>SUM(C62:C71)</f>
        <v>675915.04999999993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24.12.2025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115</v>
      </c>
      <c r="C4" s="4" t="s">
        <v>116</v>
      </c>
      <c r="D4" s="4" t="s">
        <v>117</v>
      </c>
      <c r="E4" s="4" t="s">
        <v>118</v>
      </c>
      <c r="F4" s="4">
        <v>9525.31</v>
      </c>
      <c r="G4" s="5"/>
      <c r="H4" s="5"/>
      <c r="I4" s="5"/>
      <c r="J4" s="4" t="s">
        <v>119</v>
      </c>
    </row>
    <row r="5" spans="1:10" x14ac:dyDescent="0.25">
      <c r="A5" s="4">
        <f t="shared" ca="1" si="0"/>
        <v>2</v>
      </c>
      <c r="B5" s="4" t="s">
        <v>120</v>
      </c>
      <c r="C5" s="4" t="s">
        <v>121</v>
      </c>
      <c r="D5" s="4" t="s">
        <v>122</v>
      </c>
      <c r="E5" s="4" t="s">
        <v>118</v>
      </c>
      <c r="F5" s="4">
        <v>1034.2080000000001</v>
      </c>
      <c r="G5" s="5">
        <v>109.3486</v>
      </c>
      <c r="H5" s="5">
        <v>19.95</v>
      </c>
      <c r="I5" s="5">
        <v>815</v>
      </c>
      <c r="J5" s="4" t="s">
        <v>123</v>
      </c>
    </row>
    <row r="6" spans="1:10" x14ac:dyDescent="0.25">
      <c r="A6" s="4">
        <f t="shared" ca="1" si="0"/>
        <v>3</v>
      </c>
      <c r="B6" s="4" t="s">
        <v>124</v>
      </c>
      <c r="C6" s="4" t="s">
        <v>125</v>
      </c>
      <c r="D6" s="4" t="s">
        <v>117</v>
      </c>
      <c r="E6" s="4" t="s">
        <v>126</v>
      </c>
      <c r="F6" s="4">
        <v>1479.74</v>
      </c>
      <c r="G6" s="5"/>
      <c r="H6" s="5"/>
      <c r="I6" s="5"/>
      <c r="J6" s="4" t="s">
        <v>119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117</v>
      </c>
      <c r="E7" s="4" t="s">
        <v>129</v>
      </c>
      <c r="F7" s="4">
        <v>569898.97</v>
      </c>
      <c r="G7" s="5"/>
      <c r="H7" s="5"/>
      <c r="I7" s="5"/>
      <c r="J7" s="4" t="s">
        <v>119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117</v>
      </c>
      <c r="E8" s="4" t="s">
        <v>129</v>
      </c>
      <c r="F8" s="4">
        <v>6301.35</v>
      </c>
      <c r="G8" s="5"/>
      <c r="H8" s="5"/>
      <c r="I8" s="5"/>
      <c r="J8" s="4" t="s">
        <v>119</v>
      </c>
    </row>
    <row r="9" spans="1:10" x14ac:dyDescent="0.25">
      <c r="A9" s="4">
        <f t="shared" ca="1" si="0"/>
        <v>6</v>
      </c>
      <c r="B9" s="4" t="s">
        <v>132</v>
      </c>
      <c r="C9" s="4" t="s">
        <v>133</v>
      </c>
      <c r="D9" s="4" t="s">
        <v>117</v>
      </c>
      <c r="E9" s="4" t="s">
        <v>129</v>
      </c>
      <c r="F9" s="4">
        <v>168.68</v>
      </c>
      <c r="G9" s="5"/>
      <c r="H9" s="5"/>
      <c r="I9" s="5"/>
      <c r="J9" s="4" t="s">
        <v>119</v>
      </c>
    </row>
    <row r="10" spans="1:10" x14ac:dyDescent="0.25">
      <c r="A10" s="4">
        <f t="shared" ca="1" si="0"/>
        <v>7</v>
      </c>
      <c r="B10" s="4" t="s">
        <v>134</v>
      </c>
      <c r="C10" s="4" t="s">
        <v>135</v>
      </c>
      <c r="D10" s="4" t="s">
        <v>117</v>
      </c>
      <c r="E10" s="4" t="s">
        <v>129</v>
      </c>
      <c r="F10" s="4">
        <v>5695.21</v>
      </c>
      <c r="G10" s="5"/>
      <c r="H10" s="5"/>
      <c r="I10" s="5"/>
      <c r="J10" s="4" t="s">
        <v>119</v>
      </c>
    </row>
    <row r="11" spans="1:10" x14ac:dyDescent="0.25">
      <c r="A11" s="4">
        <f t="shared" ca="1" si="0"/>
        <v>8</v>
      </c>
      <c r="B11" s="4" t="s">
        <v>136</v>
      </c>
      <c r="C11" s="4" t="s">
        <v>137</v>
      </c>
      <c r="D11" s="4" t="s">
        <v>122</v>
      </c>
      <c r="E11" s="4" t="s">
        <v>129</v>
      </c>
      <c r="F11" s="4">
        <v>0.97603799999999996</v>
      </c>
      <c r="G11" s="5">
        <v>98.461400000000012</v>
      </c>
      <c r="H11" s="5">
        <v>6.67</v>
      </c>
      <c r="I11" s="5">
        <v>482</v>
      </c>
      <c r="J11" s="4" t="s">
        <v>123</v>
      </c>
    </row>
    <row r="12" spans="1:10" x14ac:dyDescent="0.25">
      <c r="A12" s="4">
        <f t="shared" ca="1" si="0"/>
        <v>9</v>
      </c>
      <c r="B12" s="4" t="s">
        <v>138</v>
      </c>
      <c r="C12" s="4" t="s">
        <v>139</v>
      </c>
      <c r="D12" s="4" t="s">
        <v>117</v>
      </c>
      <c r="E12" s="4" t="s">
        <v>129</v>
      </c>
      <c r="F12" s="4">
        <v>5828867.4100000001</v>
      </c>
      <c r="G12" s="5"/>
      <c r="H12" s="5"/>
      <c r="I12" s="5"/>
      <c r="J12" s="4" t="s">
        <v>119</v>
      </c>
    </row>
    <row r="13" spans="1:10" x14ac:dyDescent="0.25">
      <c r="A13" s="4">
        <f t="shared" ca="1" si="0"/>
        <v>10</v>
      </c>
      <c r="B13" s="4" t="s">
        <v>140</v>
      </c>
      <c r="C13" s="4" t="s">
        <v>141</v>
      </c>
      <c r="D13" s="4" t="s">
        <v>117</v>
      </c>
      <c r="E13" s="4" t="s">
        <v>129</v>
      </c>
      <c r="F13" s="4">
        <v>131.49</v>
      </c>
      <c r="G13" s="5"/>
      <c r="H13" s="5"/>
      <c r="I13" s="5"/>
      <c r="J13" s="4" t="s">
        <v>119</v>
      </c>
    </row>
    <row r="14" spans="1:10" x14ac:dyDescent="0.25">
      <c r="A14" s="4">
        <f t="shared" ca="1" si="0"/>
        <v>11</v>
      </c>
      <c r="B14" s="4" t="s">
        <v>142</v>
      </c>
      <c r="C14" s="4" t="s">
        <v>143</v>
      </c>
      <c r="D14" s="4" t="s">
        <v>122</v>
      </c>
      <c r="E14" s="4" t="s">
        <v>129</v>
      </c>
      <c r="F14" s="4">
        <v>0.89367299999999994</v>
      </c>
      <c r="G14" s="5">
        <v>90.047899999999998</v>
      </c>
      <c r="H14" s="5">
        <v>5.27</v>
      </c>
      <c r="I14" s="5">
        <v>2669</v>
      </c>
      <c r="J14" s="4" t="s">
        <v>123</v>
      </c>
    </row>
    <row r="15" spans="1:10" x14ac:dyDescent="0.25">
      <c r="A15" s="4">
        <f t="shared" ca="1" si="0"/>
        <v>12</v>
      </c>
      <c r="B15" s="4" t="s">
        <v>144</v>
      </c>
      <c r="C15" s="4" t="s">
        <v>145</v>
      </c>
      <c r="D15" s="4" t="s">
        <v>117</v>
      </c>
      <c r="E15" s="4" t="s">
        <v>129</v>
      </c>
      <c r="F15" s="4">
        <v>1182.33</v>
      </c>
      <c r="G15" s="5"/>
      <c r="H15" s="5"/>
      <c r="I15" s="5"/>
      <c r="J15" s="4" t="s">
        <v>146</v>
      </c>
    </row>
    <row r="16" spans="1:10" x14ac:dyDescent="0.25">
      <c r="A16" s="4">
        <f t="shared" ca="1" si="0"/>
        <v>13</v>
      </c>
      <c r="B16" s="4" t="s">
        <v>147</v>
      </c>
      <c r="C16" s="4" t="s">
        <v>148</v>
      </c>
      <c r="D16" s="4" t="s">
        <v>117</v>
      </c>
      <c r="E16" s="4" t="s">
        <v>129</v>
      </c>
      <c r="F16" s="4">
        <v>1076.71</v>
      </c>
      <c r="G16" s="5"/>
      <c r="H16" s="5"/>
      <c r="I16" s="5"/>
      <c r="J16" s="4" t="s">
        <v>146</v>
      </c>
    </row>
    <row r="17" spans="1:10" x14ac:dyDescent="0.25">
      <c r="A17" s="4">
        <f t="shared" ca="1" si="0"/>
        <v>14</v>
      </c>
      <c r="B17" s="4" t="s">
        <v>149</v>
      </c>
      <c r="C17" s="4" t="s">
        <v>150</v>
      </c>
      <c r="D17" s="4" t="s">
        <v>117</v>
      </c>
      <c r="E17" s="4" t="s">
        <v>129</v>
      </c>
      <c r="F17" s="4">
        <v>1867245.26</v>
      </c>
      <c r="G17" s="5"/>
      <c r="H17" s="5"/>
      <c r="I17" s="5"/>
      <c r="J17" s="4" t="s">
        <v>119</v>
      </c>
    </row>
    <row r="18" spans="1:10" x14ac:dyDescent="0.25">
      <c r="A18" s="4">
        <f t="shared" ca="1" si="0"/>
        <v>15</v>
      </c>
      <c r="B18" s="4" t="s">
        <v>151</v>
      </c>
      <c r="C18" s="4" t="s">
        <v>152</v>
      </c>
      <c r="D18" s="4" t="s">
        <v>117</v>
      </c>
      <c r="E18" s="4" t="s">
        <v>129</v>
      </c>
      <c r="F18" s="4">
        <v>72016.83</v>
      </c>
      <c r="G18" s="5"/>
      <c r="H18" s="5"/>
      <c r="I18" s="5"/>
      <c r="J18" s="4" t="s">
        <v>119</v>
      </c>
    </row>
    <row r="19" spans="1:10" x14ac:dyDescent="0.25">
      <c r="A19" s="4">
        <f t="shared" ca="1" si="0"/>
        <v>16</v>
      </c>
      <c r="B19" s="4" t="s">
        <v>153</v>
      </c>
      <c r="C19" s="4" t="s">
        <v>154</v>
      </c>
      <c r="D19" s="4" t="s">
        <v>117</v>
      </c>
      <c r="E19" s="4" t="s">
        <v>129</v>
      </c>
      <c r="F19" s="4">
        <v>72300.259999999995</v>
      </c>
      <c r="G19" s="5"/>
      <c r="H19" s="5"/>
      <c r="I19" s="5"/>
      <c r="J19" s="4" t="s">
        <v>119</v>
      </c>
    </row>
    <row r="20" spans="1:10" x14ac:dyDescent="0.25">
      <c r="A20" s="4">
        <f t="shared" ca="1" si="0"/>
        <v>17</v>
      </c>
      <c r="B20" s="4" t="s">
        <v>155</v>
      </c>
      <c r="C20" s="4" t="s">
        <v>156</v>
      </c>
      <c r="D20" s="4" t="s">
        <v>117</v>
      </c>
      <c r="E20" s="4" t="s">
        <v>129</v>
      </c>
      <c r="F20" s="4">
        <v>51518.03</v>
      </c>
      <c r="G20" s="5"/>
      <c r="H20" s="5"/>
      <c r="I20" s="5"/>
      <c r="J20" s="4" t="s">
        <v>119</v>
      </c>
    </row>
    <row r="21" spans="1:10" x14ac:dyDescent="0.25">
      <c r="A21" s="4">
        <f t="shared" ca="1" si="0"/>
        <v>18</v>
      </c>
      <c r="B21" s="4" t="s">
        <v>157</v>
      </c>
      <c r="C21" s="4" t="s">
        <v>158</v>
      </c>
      <c r="D21" s="4" t="s">
        <v>117</v>
      </c>
      <c r="E21" s="4" t="s">
        <v>129</v>
      </c>
      <c r="F21" s="4">
        <v>7.33</v>
      </c>
      <c r="G21" s="5"/>
      <c r="H21" s="5"/>
      <c r="I21" s="5"/>
      <c r="J21" s="4" t="s">
        <v>119</v>
      </c>
    </row>
    <row r="22" spans="1:10" x14ac:dyDescent="0.25">
      <c r="A22" s="4">
        <f t="shared" ca="1" si="0"/>
        <v>19</v>
      </c>
      <c r="B22" s="4" t="s">
        <v>159</v>
      </c>
      <c r="C22" s="4" t="s">
        <v>160</v>
      </c>
      <c r="D22" s="4" t="s">
        <v>122</v>
      </c>
      <c r="E22" s="4" t="s">
        <v>129</v>
      </c>
      <c r="F22" s="4">
        <v>1000</v>
      </c>
      <c r="G22" s="5">
        <v>101.80900000000001</v>
      </c>
      <c r="H22" s="5">
        <v>18.059999999999999</v>
      </c>
      <c r="I22" s="5">
        <v>1061</v>
      </c>
      <c r="J22" s="4" t="s">
        <v>123</v>
      </c>
    </row>
    <row r="23" spans="1:10" x14ac:dyDescent="0.25">
      <c r="A23" s="4">
        <f t="shared" ca="1" si="0"/>
        <v>20</v>
      </c>
      <c r="B23" s="4" t="s">
        <v>161</v>
      </c>
      <c r="C23" s="4" t="s">
        <v>162</v>
      </c>
      <c r="D23" s="4" t="s">
        <v>122</v>
      </c>
      <c r="E23" s="4" t="s">
        <v>129</v>
      </c>
      <c r="F23" s="4">
        <v>1000</v>
      </c>
      <c r="G23" s="5">
        <v>103.4786</v>
      </c>
      <c r="H23" s="5">
        <v>17.830000000000002</v>
      </c>
      <c r="I23" s="5">
        <v>660</v>
      </c>
      <c r="J23" s="4" t="s">
        <v>123</v>
      </c>
    </row>
    <row r="24" spans="1:10" x14ac:dyDescent="0.25">
      <c r="A24" s="4">
        <f t="shared" ca="1" si="0"/>
        <v>21</v>
      </c>
      <c r="B24" s="4" t="s">
        <v>163</v>
      </c>
      <c r="C24" s="4" t="s">
        <v>164</v>
      </c>
      <c r="D24" s="4" t="s">
        <v>122</v>
      </c>
      <c r="E24" s="4" t="s">
        <v>129</v>
      </c>
      <c r="F24" s="4">
        <v>1000</v>
      </c>
      <c r="G24" s="5">
        <v>108.17970000000001</v>
      </c>
      <c r="H24" s="5">
        <v>18.28</v>
      </c>
      <c r="I24" s="5">
        <v>1847</v>
      </c>
      <c r="J24" s="4" t="s">
        <v>123</v>
      </c>
    </row>
    <row r="25" spans="1:10" x14ac:dyDescent="0.25">
      <c r="A25" s="4">
        <f t="shared" ca="1" si="0"/>
        <v>22</v>
      </c>
      <c r="B25" s="4" t="s">
        <v>165</v>
      </c>
      <c r="C25" s="4" t="s">
        <v>166</v>
      </c>
      <c r="D25" s="4" t="s">
        <v>122</v>
      </c>
      <c r="E25" s="4" t="s">
        <v>129</v>
      </c>
      <c r="F25" s="4">
        <v>1000</v>
      </c>
      <c r="G25" s="5">
        <v>105.60860000000001</v>
      </c>
      <c r="H25" s="5">
        <v>18.16</v>
      </c>
      <c r="I25" s="5">
        <v>1531</v>
      </c>
      <c r="J25" s="4" t="s">
        <v>123</v>
      </c>
    </row>
    <row r="26" spans="1:10" x14ac:dyDescent="0.25">
      <c r="A26" s="4">
        <f t="shared" ca="1" si="0"/>
        <v>23</v>
      </c>
      <c r="B26" s="4" t="s">
        <v>167</v>
      </c>
      <c r="C26" s="4" t="s">
        <v>168</v>
      </c>
      <c r="D26" s="4" t="s">
        <v>117</v>
      </c>
      <c r="E26" s="4" t="s">
        <v>129</v>
      </c>
      <c r="F26" s="4">
        <v>1535.35</v>
      </c>
      <c r="G26" s="5"/>
      <c r="H26" s="5"/>
      <c r="I26" s="5"/>
      <c r="J26" s="4" t="s">
        <v>119</v>
      </c>
    </row>
    <row r="27" spans="1:10" x14ac:dyDescent="0.25">
      <c r="A27" s="4">
        <f t="shared" ca="1" si="0"/>
        <v>24</v>
      </c>
      <c r="B27" s="4" t="s">
        <v>169</v>
      </c>
      <c r="C27" s="4" t="s">
        <v>170</v>
      </c>
      <c r="D27" s="4" t="s">
        <v>122</v>
      </c>
      <c r="E27" s="4" t="s">
        <v>129</v>
      </c>
      <c r="F27" s="4">
        <v>981.25</v>
      </c>
      <c r="G27" s="5">
        <v>101.35</v>
      </c>
      <c r="H27" s="5">
        <v>23.95</v>
      </c>
      <c r="I27" s="5">
        <v>312</v>
      </c>
      <c r="J27" s="4" t="s">
        <v>123</v>
      </c>
    </row>
    <row r="28" spans="1:10" x14ac:dyDescent="0.25">
      <c r="A28" s="4">
        <f t="shared" ca="1" si="0"/>
        <v>25</v>
      </c>
      <c r="B28" s="4" t="s">
        <v>171</v>
      </c>
      <c r="C28" s="4" t="s">
        <v>172</v>
      </c>
      <c r="D28" s="4" t="s">
        <v>122</v>
      </c>
      <c r="E28" s="4" t="s">
        <v>129</v>
      </c>
      <c r="F28" s="4">
        <v>817.72</v>
      </c>
      <c r="G28" s="5">
        <v>93.616399999999999</v>
      </c>
      <c r="H28" s="5">
        <v>16.46</v>
      </c>
      <c r="I28" s="5">
        <v>4782</v>
      </c>
      <c r="J28" s="4" t="s">
        <v>123</v>
      </c>
    </row>
    <row r="29" spans="1:10" x14ac:dyDescent="0.25">
      <c r="A29" s="4">
        <f t="shared" ca="1" si="0"/>
        <v>26</v>
      </c>
      <c r="B29" s="4" t="s">
        <v>173</v>
      </c>
      <c r="C29" s="4" t="s">
        <v>174</v>
      </c>
      <c r="D29" s="4" t="s">
        <v>122</v>
      </c>
      <c r="E29" s="4" t="s">
        <v>129</v>
      </c>
      <c r="F29" s="4">
        <v>497966.5</v>
      </c>
      <c r="G29" s="5">
        <v>103.29470000000001</v>
      </c>
      <c r="H29" s="5">
        <v>21.23</v>
      </c>
      <c r="I29" s="5">
        <v>208</v>
      </c>
      <c r="J29" s="4" t="s">
        <v>123</v>
      </c>
    </row>
    <row r="30" spans="1:10" x14ac:dyDescent="0.25">
      <c r="A30" s="4">
        <f t="shared" ca="1" si="0"/>
        <v>27</v>
      </c>
      <c r="B30" s="4" t="s">
        <v>175</v>
      </c>
      <c r="C30" s="4" t="s">
        <v>176</v>
      </c>
      <c r="D30" s="4" t="s">
        <v>122</v>
      </c>
      <c r="E30" s="4" t="s">
        <v>129</v>
      </c>
      <c r="F30" s="4">
        <v>100.30120000000001</v>
      </c>
      <c r="G30" s="5">
        <v>100.4679</v>
      </c>
      <c r="H30" s="5">
        <v>9.83</v>
      </c>
      <c r="I30" s="5">
        <v>695</v>
      </c>
      <c r="J30" s="4" t="s">
        <v>123</v>
      </c>
    </row>
    <row r="31" spans="1:10" x14ac:dyDescent="0.25">
      <c r="A31" s="4">
        <f t="shared" ca="1" si="0"/>
        <v>28</v>
      </c>
      <c r="B31" s="4" t="s">
        <v>177</v>
      </c>
      <c r="C31" s="4" t="s">
        <v>178</v>
      </c>
      <c r="D31" s="4" t="s">
        <v>122</v>
      </c>
      <c r="E31" s="4" t="s">
        <v>129</v>
      </c>
      <c r="F31" s="4">
        <v>1004.1020000000001</v>
      </c>
      <c r="G31" s="5">
        <v>100.84350000000001</v>
      </c>
      <c r="H31" s="5">
        <v>6.31</v>
      </c>
      <c r="I31" s="5">
        <v>889</v>
      </c>
      <c r="J31" s="4" t="s">
        <v>123</v>
      </c>
    </row>
    <row r="32" spans="1:10" x14ac:dyDescent="0.25">
      <c r="A32" s="4">
        <f t="shared" ca="1" si="0"/>
        <v>29</v>
      </c>
      <c r="B32" s="4" t="s">
        <v>179</v>
      </c>
      <c r="C32" s="4" t="s">
        <v>180</v>
      </c>
      <c r="D32" s="4" t="s">
        <v>122</v>
      </c>
      <c r="E32" s="4" t="s">
        <v>129</v>
      </c>
      <c r="F32" s="4">
        <v>993.9140000000001</v>
      </c>
      <c r="G32" s="5">
        <v>101.06360000000001</v>
      </c>
      <c r="H32" s="5">
        <v>22</v>
      </c>
      <c r="I32" s="5">
        <v>519</v>
      </c>
      <c r="J32" s="4" t="s">
        <v>123</v>
      </c>
    </row>
    <row r="33" spans="1:10" x14ac:dyDescent="0.25">
      <c r="A33" s="4">
        <f t="shared" ca="1" si="0"/>
        <v>30</v>
      </c>
      <c r="B33" s="4" t="s">
        <v>181</v>
      </c>
      <c r="C33" s="4" t="s">
        <v>182</v>
      </c>
      <c r="D33" s="4" t="s">
        <v>122</v>
      </c>
      <c r="E33" s="4" t="s">
        <v>129</v>
      </c>
      <c r="F33" s="4">
        <v>1005.7670000000001</v>
      </c>
      <c r="G33" s="5">
        <v>100.5767</v>
      </c>
      <c r="H33" s="5">
        <v>22.72</v>
      </c>
      <c r="I33" s="5">
        <v>1036</v>
      </c>
      <c r="J33" s="4" t="s">
        <v>123</v>
      </c>
    </row>
    <row r="34" spans="1:10" x14ac:dyDescent="0.25">
      <c r="A34" s="4">
        <f t="shared" ca="1" si="0"/>
        <v>31</v>
      </c>
      <c r="B34" s="4" t="s">
        <v>183</v>
      </c>
      <c r="C34" s="4" t="s">
        <v>184</v>
      </c>
      <c r="D34" s="4" t="s">
        <v>122</v>
      </c>
      <c r="E34" s="4" t="s">
        <v>129</v>
      </c>
      <c r="F34" s="4">
        <v>96.25</v>
      </c>
      <c r="G34" s="5">
        <v>97.008300000000006</v>
      </c>
      <c r="H34" s="5">
        <v>12.7</v>
      </c>
      <c r="I34" s="5">
        <v>705</v>
      </c>
      <c r="J34" s="4" t="s">
        <v>123</v>
      </c>
    </row>
    <row r="35" spans="1:10" x14ac:dyDescent="0.25">
      <c r="A35" s="4">
        <f t="shared" ca="1" si="0"/>
        <v>32</v>
      </c>
      <c r="B35" s="4" t="s">
        <v>185</v>
      </c>
      <c r="C35" s="4" t="s">
        <v>186</v>
      </c>
      <c r="D35" s="4" t="s">
        <v>122</v>
      </c>
      <c r="E35" s="4" t="s">
        <v>129</v>
      </c>
      <c r="F35" s="4">
        <v>977.25</v>
      </c>
      <c r="G35" s="5">
        <v>101.72499999999999</v>
      </c>
      <c r="H35" s="5">
        <v>21.75</v>
      </c>
      <c r="I35" s="5">
        <v>566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187</v>
      </c>
      <c r="C36" s="4" t="s">
        <v>188</v>
      </c>
      <c r="D36" s="4" t="s">
        <v>122</v>
      </c>
      <c r="E36" s="4" t="s">
        <v>129</v>
      </c>
      <c r="F36" s="4">
        <v>991.91200000000003</v>
      </c>
      <c r="G36" s="5">
        <v>103.4051</v>
      </c>
      <c r="H36" s="5">
        <v>21.11</v>
      </c>
      <c r="I36" s="5">
        <v>564</v>
      </c>
      <c r="J36" s="4" t="s">
        <v>123</v>
      </c>
    </row>
    <row r="37" spans="1:10" x14ac:dyDescent="0.25">
      <c r="A37" s="4">
        <f t="shared" ca="1" si="1"/>
        <v>34</v>
      </c>
      <c r="B37" s="4" t="s">
        <v>189</v>
      </c>
      <c r="C37" s="4" t="s">
        <v>190</v>
      </c>
      <c r="D37" s="4" t="s">
        <v>122</v>
      </c>
      <c r="E37" s="4" t="s">
        <v>129</v>
      </c>
      <c r="F37" s="4">
        <v>494363.5</v>
      </c>
      <c r="G37" s="5">
        <v>102.8977</v>
      </c>
      <c r="H37" s="5">
        <v>21.85</v>
      </c>
      <c r="I37" s="5">
        <v>569</v>
      </c>
      <c r="J37" s="4" t="s">
        <v>123</v>
      </c>
    </row>
    <row r="38" spans="1:10" x14ac:dyDescent="0.25">
      <c r="A38" s="4">
        <f t="shared" ca="1" si="1"/>
        <v>35</v>
      </c>
      <c r="B38" s="4" t="s">
        <v>191</v>
      </c>
      <c r="C38" s="4" t="s">
        <v>192</v>
      </c>
      <c r="D38" s="4" t="s">
        <v>122</v>
      </c>
      <c r="E38" s="4" t="s">
        <v>129</v>
      </c>
      <c r="F38" s="4">
        <v>978.71400000000006</v>
      </c>
      <c r="G38" s="5">
        <v>99.277000000000001</v>
      </c>
      <c r="H38" s="5">
        <v>23</v>
      </c>
      <c r="I38" s="5">
        <v>1074</v>
      </c>
      <c r="J38" s="4" t="s">
        <v>123</v>
      </c>
    </row>
    <row r="39" spans="1:10" x14ac:dyDescent="0.25">
      <c r="A39" s="4">
        <f t="shared" ca="1" si="1"/>
        <v>36</v>
      </c>
      <c r="B39" s="4" t="s">
        <v>193</v>
      </c>
      <c r="C39" s="4" t="s">
        <v>194</v>
      </c>
      <c r="D39" s="4" t="s">
        <v>122</v>
      </c>
      <c r="E39" s="4" t="s">
        <v>129</v>
      </c>
      <c r="F39" s="4">
        <v>974.95600000000002</v>
      </c>
      <c r="G39" s="5">
        <v>98.895600000000002</v>
      </c>
      <c r="H39" s="5">
        <v>24.29</v>
      </c>
      <c r="I39" s="5">
        <v>311</v>
      </c>
      <c r="J39" s="4" t="s">
        <v>123</v>
      </c>
    </row>
    <row r="40" spans="1:10" x14ac:dyDescent="0.25">
      <c r="A40" s="4">
        <f t="shared" ca="1" si="1"/>
        <v>37</v>
      </c>
      <c r="B40" s="4" t="s">
        <v>195</v>
      </c>
      <c r="C40" s="4" t="s">
        <v>196</v>
      </c>
      <c r="D40" s="4" t="s">
        <v>122</v>
      </c>
      <c r="E40" s="4" t="s">
        <v>129</v>
      </c>
      <c r="F40" s="4">
        <v>1014.9380000000001</v>
      </c>
      <c r="G40" s="5">
        <v>101.7257</v>
      </c>
      <c r="H40" s="5">
        <v>20.100000000000001</v>
      </c>
      <c r="I40" s="5">
        <v>910</v>
      </c>
      <c r="J40" s="4" t="s">
        <v>123</v>
      </c>
    </row>
    <row r="41" spans="1:10" x14ac:dyDescent="0.25">
      <c r="A41" s="4">
        <f t="shared" ca="1" si="1"/>
        <v>38</v>
      </c>
      <c r="B41" s="4" t="s">
        <v>197</v>
      </c>
      <c r="C41" s="4" t="s">
        <v>198</v>
      </c>
      <c r="D41" s="4" t="s">
        <v>122</v>
      </c>
      <c r="E41" s="4" t="s">
        <v>129</v>
      </c>
      <c r="F41" s="4">
        <v>885.91</v>
      </c>
      <c r="G41" s="5">
        <v>89.752099999999999</v>
      </c>
      <c r="H41" s="5">
        <v>31.49</v>
      </c>
      <c r="I41" s="5">
        <v>559</v>
      </c>
      <c r="J41" s="4" t="s">
        <v>123</v>
      </c>
    </row>
    <row r="42" spans="1:10" x14ac:dyDescent="0.25">
      <c r="A42" s="4">
        <f t="shared" ca="1" si="1"/>
        <v>39</v>
      </c>
      <c r="B42" s="4" t="s">
        <v>199</v>
      </c>
      <c r="C42" s="4" t="s">
        <v>200</v>
      </c>
      <c r="D42" s="4" t="s">
        <v>122</v>
      </c>
      <c r="E42" s="4" t="s">
        <v>129</v>
      </c>
      <c r="F42" s="4">
        <v>982.1110000000001</v>
      </c>
      <c r="G42" s="5">
        <v>102.9944</v>
      </c>
      <c r="H42" s="5">
        <v>23.58</v>
      </c>
      <c r="I42" s="5">
        <v>283</v>
      </c>
      <c r="J42" s="4" t="s">
        <v>123</v>
      </c>
    </row>
    <row r="43" spans="1:10" x14ac:dyDescent="0.25">
      <c r="A43" s="4">
        <f t="shared" ca="1" si="1"/>
        <v>40</v>
      </c>
      <c r="B43" s="4" t="s">
        <v>201</v>
      </c>
      <c r="C43" s="4" t="s">
        <v>202</v>
      </c>
      <c r="D43" s="4" t="s">
        <v>122</v>
      </c>
      <c r="E43" s="4" t="s">
        <v>129</v>
      </c>
      <c r="F43" s="4">
        <v>975.66700000000003</v>
      </c>
      <c r="G43" s="5">
        <v>97.724999999999994</v>
      </c>
      <c r="H43" s="5">
        <v>22.25</v>
      </c>
      <c r="I43" s="5">
        <v>302</v>
      </c>
      <c r="J43" s="4" t="s">
        <v>123</v>
      </c>
    </row>
    <row r="44" spans="1:10" x14ac:dyDescent="0.25">
      <c r="A44" s="4">
        <f t="shared" ca="1" si="1"/>
        <v>41</v>
      </c>
      <c r="B44" s="4" t="s">
        <v>203</v>
      </c>
      <c r="C44" s="4" t="s">
        <v>204</v>
      </c>
      <c r="D44" s="4" t="s">
        <v>122</v>
      </c>
      <c r="E44" s="4" t="s">
        <v>129</v>
      </c>
      <c r="F44" s="4">
        <v>976.20800000000008</v>
      </c>
      <c r="G44" s="5">
        <v>98.993000000000009</v>
      </c>
      <c r="H44" s="5">
        <v>20.41</v>
      </c>
      <c r="I44" s="5">
        <v>766</v>
      </c>
      <c r="J44" s="4" t="s">
        <v>123</v>
      </c>
    </row>
    <row r="45" spans="1:10" x14ac:dyDescent="0.25">
      <c r="A45" s="4">
        <f t="shared" ca="1" si="1"/>
        <v>42</v>
      </c>
      <c r="B45" s="4" t="s">
        <v>205</v>
      </c>
      <c r="C45" s="4" t="s">
        <v>206</v>
      </c>
      <c r="D45" s="4" t="s">
        <v>122</v>
      </c>
      <c r="E45" s="4" t="s">
        <v>129</v>
      </c>
      <c r="F45" s="4">
        <v>1005</v>
      </c>
      <c r="G45" s="5">
        <v>101.2</v>
      </c>
      <c r="H45" s="5">
        <v>20.72</v>
      </c>
      <c r="I45" s="5">
        <v>810</v>
      </c>
      <c r="J45" s="4" t="s">
        <v>123</v>
      </c>
    </row>
    <row r="46" spans="1:10" x14ac:dyDescent="0.25">
      <c r="A46" s="4">
        <f t="shared" ca="1" si="1"/>
        <v>43</v>
      </c>
      <c r="B46" s="4" t="s">
        <v>207</v>
      </c>
      <c r="C46" s="4" t="s">
        <v>208</v>
      </c>
      <c r="D46" s="4" t="s">
        <v>122</v>
      </c>
      <c r="E46" s="4" t="s">
        <v>129</v>
      </c>
      <c r="F46" s="4">
        <v>1001.355</v>
      </c>
      <c r="G46" s="5">
        <v>101.4897</v>
      </c>
      <c r="H46" s="5">
        <v>19.34</v>
      </c>
      <c r="I46" s="5">
        <v>522</v>
      </c>
      <c r="J46" s="4" t="s">
        <v>123</v>
      </c>
    </row>
    <row r="47" spans="1:10" x14ac:dyDescent="0.25">
      <c r="A47" s="4">
        <f t="shared" ca="1" si="1"/>
        <v>44</v>
      </c>
      <c r="B47" s="4" t="s">
        <v>209</v>
      </c>
      <c r="C47" s="4" t="s">
        <v>210</v>
      </c>
      <c r="D47" s="4" t="s">
        <v>122</v>
      </c>
      <c r="E47" s="4" t="s">
        <v>129</v>
      </c>
      <c r="F47" s="4">
        <v>1039.403</v>
      </c>
      <c r="G47" s="5">
        <v>104.13030000000001</v>
      </c>
      <c r="H47" s="5">
        <v>20.98</v>
      </c>
      <c r="I47" s="5">
        <v>1064</v>
      </c>
      <c r="J47" s="4" t="s">
        <v>123</v>
      </c>
    </row>
    <row r="48" spans="1:10" x14ac:dyDescent="0.25">
      <c r="A48" s="4">
        <f t="shared" ca="1" si="1"/>
        <v>45</v>
      </c>
      <c r="B48" s="4" t="s">
        <v>211</v>
      </c>
      <c r="C48" s="4" t="s">
        <v>212</v>
      </c>
      <c r="D48" s="4" t="s">
        <v>122</v>
      </c>
      <c r="E48" s="4" t="s">
        <v>129</v>
      </c>
      <c r="F48" s="4">
        <v>1037.1680000000001</v>
      </c>
      <c r="G48" s="5">
        <v>103.9068</v>
      </c>
      <c r="H48" s="5">
        <v>21.08</v>
      </c>
      <c r="I48" s="5">
        <v>1064</v>
      </c>
      <c r="J48" s="4" t="s">
        <v>123</v>
      </c>
    </row>
    <row r="49" spans="1:10" x14ac:dyDescent="0.25">
      <c r="A49" s="4">
        <f t="shared" ca="1" si="1"/>
        <v>46</v>
      </c>
      <c r="B49" s="4" t="s">
        <v>213</v>
      </c>
      <c r="C49" s="4" t="s">
        <v>214</v>
      </c>
      <c r="D49" s="4" t="s">
        <v>122</v>
      </c>
      <c r="E49" s="4" t="s">
        <v>129</v>
      </c>
      <c r="F49" s="4">
        <v>99.364800000000002</v>
      </c>
      <c r="G49" s="5">
        <v>99.531500000000008</v>
      </c>
      <c r="H49" s="5">
        <v>10.55</v>
      </c>
      <c r="I49" s="5">
        <v>450</v>
      </c>
      <c r="J49" s="4" t="s">
        <v>123</v>
      </c>
    </row>
    <row r="50" spans="1:10" x14ac:dyDescent="0.25">
      <c r="A50" s="4">
        <f t="shared" ca="1" si="1"/>
        <v>47</v>
      </c>
      <c r="B50" s="4" t="s">
        <v>215</v>
      </c>
      <c r="C50" s="4" t="s">
        <v>216</v>
      </c>
      <c r="D50" s="4" t="s">
        <v>122</v>
      </c>
      <c r="E50" s="4" t="s">
        <v>129</v>
      </c>
      <c r="F50" s="4">
        <v>1000</v>
      </c>
      <c r="G50" s="5">
        <v>107.1627</v>
      </c>
      <c r="H50" s="5">
        <v>17.760000000000002</v>
      </c>
      <c r="I50" s="5">
        <v>1315</v>
      </c>
      <c r="J50" s="4" t="s">
        <v>123</v>
      </c>
    </row>
    <row r="51" spans="1:10" x14ac:dyDescent="0.25">
      <c r="A51" s="4">
        <f t="shared" ca="1" si="1"/>
        <v>48</v>
      </c>
      <c r="B51" s="4" t="s">
        <v>217</v>
      </c>
      <c r="C51" s="4" t="s">
        <v>218</v>
      </c>
      <c r="D51" s="4" t="s">
        <v>122</v>
      </c>
      <c r="E51" s="4" t="s">
        <v>129</v>
      </c>
      <c r="F51" s="4">
        <v>1009.0650000000001</v>
      </c>
      <c r="G51" s="5">
        <v>101.44800000000001</v>
      </c>
      <c r="H51" s="5">
        <v>21</v>
      </c>
      <c r="I51" s="5">
        <v>600</v>
      </c>
      <c r="J51" s="4" t="s">
        <v>123</v>
      </c>
    </row>
    <row r="52" spans="1:10" x14ac:dyDescent="0.25">
      <c r="A52" s="4">
        <f t="shared" ca="1" si="1"/>
        <v>49</v>
      </c>
      <c r="B52" s="4" t="s">
        <v>219</v>
      </c>
      <c r="C52" s="4" t="s">
        <v>220</v>
      </c>
      <c r="D52" s="4" t="s">
        <v>122</v>
      </c>
      <c r="E52" s="4" t="s">
        <v>129</v>
      </c>
      <c r="F52" s="4">
        <v>99.997700000000009</v>
      </c>
      <c r="G52" s="5">
        <v>100.15050000000001</v>
      </c>
      <c r="H52" s="5">
        <v>11</v>
      </c>
      <c r="I52" s="5">
        <v>696</v>
      </c>
      <c r="J52" s="4" t="s">
        <v>123</v>
      </c>
    </row>
    <row r="53" spans="1:10" x14ac:dyDescent="0.25">
      <c r="A53" s="4">
        <f t="shared" ca="1" si="1"/>
        <v>50</v>
      </c>
      <c r="B53" s="4" t="s">
        <v>221</v>
      </c>
      <c r="C53" s="4" t="s">
        <v>222</v>
      </c>
      <c r="D53" s="4" t="s">
        <v>122</v>
      </c>
      <c r="E53" s="4" t="s">
        <v>129</v>
      </c>
      <c r="F53" s="4">
        <v>994.64100000000008</v>
      </c>
      <c r="G53" s="5">
        <v>101.0197</v>
      </c>
      <c r="H53" s="5">
        <v>21.65</v>
      </c>
      <c r="I53" s="5">
        <v>124</v>
      </c>
      <c r="J53" s="4" t="s">
        <v>123</v>
      </c>
    </row>
    <row r="54" spans="1:10" x14ac:dyDescent="0.25">
      <c r="A54" s="4">
        <f t="shared" ca="1" si="1"/>
        <v>51</v>
      </c>
      <c r="B54" s="4" t="s">
        <v>223</v>
      </c>
      <c r="C54" s="4" t="s">
        <v>224</v>
      </c>
      <c r="D54" s="4" t="s">
        <v>122</v>
      </c>
      <c r="E54" s="4" t="s">
        <v>129</v>
      </c>
      <c r="F54" s="4">
        <v>1030.46</v>
      </c>
      <c r="G54" s="5">
        <v>104.486</v>
      </c>
      <c r="H54" s="5">
        <v>19.920000000000002</v>
      </c>
      <c r="I54" s="5">
        <v>829</v>
      </c>
      <c r="J54" s="4" t="s">
        <v>123</v>
      </c>
    </row>
    <row r="55" spans="1:10" x14ac:dyDescent="0.25">
      <c r="A55" s="4">
        <f t="shared" ca="1" si="1"/>
        <v>52</v>
      </c>
      <c r="B55" s="4" t="s">
        <v>225</v>
      </c>
      <c r="C55" s="4" t="s">
        <v>226</v>
      </c>
      <c r="D55" s="4" t="s">
        <v>117</v>
      </c>
      <c r="E55" s="4" t="s">
        <v>129</v>
      </c>
      <c r="F55" s="4">
        <v>101.54</v>
      </c>
      <c r="G55" s="5"/>
      <c r="H55" s="5"/>
      <c r="I55" s="5"/>
      <c r="J55" s="4" t="s">
        <v>146</v>
      </c>
    </row>
    <row r="56" spans="1:10" x14ac:dyDescent="0.25">
      <c r="A56" s="4">
        <f t="shared" ca="1" si="1"/>
        <v>53</v>
      </c>
      <c r="B56" s="4" t="s">
        <v>227</v>
      </c>
      <c r="C56" s="4" t="s">
        <v>228</v>
      </c>
      <c r="D56" s="4" t="s">
        <v>122</v>
      </c>
      <c r="E56" s="4" t="s">
        <v>129</v>
      </c>
      <c r="F56" s="4">
        <v>962.09500000000003</v>
      </c>
      <c r="G56" s="5">
        <v>97.726200000000006</v>
      </c>
      <c r="H56" s="5">
        <v>23.17</v>
      </c>
      <c r="I56" s="5">
        <v>826</v>
      </c>
      <c r="J56" s="4" t="s">
        <v>123</v>
      </c>
    </row>
    <row r="57" spans="1:10" x14ac:dyDescent="0.25">
      <c r="A57" s="4">
        <f t="shared" ca="1" si="1"/>
        <v>54</v>
      </c>
      <c r="B57" s="4" t="s">
        <v>229</v>
      </c>
      <c r="C57" s="4" t="s">
        <v>230</v>
      </c>
      <c r="D57" s="4" t="s">
        <v>122</v>
      </c>
      <c r="E57" s="4" t="s">
        <v>129</v>
      </c>
      <c r="F57" s="4">
        <v>991.63400000000001</v>
      </c>
      <c r="G57" s="5">
        <v>99.530100000000004</v>
      </c>
      <c r="H57" s="5">
        <v>23.04</v>
      </c>
      <c r="I57" s="5">
        <v>330</v>
      </c>
      <c r="J57" s="4" t="s">
        <v>123</v>
      </c>
    </row>
    <row r="58" spans="1:10" x14ac:dyDescent="0.25">
      <c r="A58" s="4">
        <f t="shared" ca="1" si="1"/>
        <v>55</v>
      </c>
      <c r="B58" s="4" t="s">
        <v>231</v>
      </c>
      <c r="C58" s="4" t="s">
        <v>232</v>
      </c>
      <c r="D58" s="4" t="s">
        <v>122</v>
      </c>
      <c r="E58" s="4" t="s">
        <v>129</v>
      </c>
      <c r="F58" s="4">
        <v>1010.365</v>
      </c>
      <c r="G58" s="5">
        <v>101.15870000000001</v>
      </c>
      <c r="H58" s="5">
        <v>21.22</v>
      </c>
      <c r="I58" s="5">
        <v>576</v>
      </c>
      <c r="J58" s="4" t="s">
        <v>123</v>
      </c>
    </row>
    <row r="59" spans="1:10" x14ac:dyDescent="0.25">
      <c r="A59" s="4">
        <f t="shared" ca="1" si="1"/>
        <v>56</v>
      </c>
      <c r="B59" s="4" t="s">
        <v>233</v>
      </c>
      <c r="C59" s="4" t="s">
        <v>234</v>
      </c>
      <c r="D59" s="4" t="s">
        <v>122</v>
      </c>
      <c r="E59" s="4" t="s">
        <v>129</v>
      </c>
      <c r="F59" s="4">
        <v>990.57600000000002</v>
      </c>
      <c r="G59" s="5">
        <v>99.852000000000004</v>
      </c>
      <c r="H59" s="5">
        <v>22.69</v>
      </c>
      <c r="I59" s="5">
        <v>596</v>
      </c>
      <c r="J59" s="4" t="s">
        <v>123</v>
      </c>
    </row>
    <row r="60" spans="1:10" x14ac:dyDescent="0.25">
      <c r="A60" s="4">
        <f t="shared" ca="1" si="1"/>
        <v>57</v>
      </c>
      <c r="B60" s="4" t="s">
        <v>235</v>
      </c>
      <c r="C60" s="4" t="s">
        <v>236</v>
      </c>
      <c r="D60" s="4" t="s">
        <v>122</v>
      </c>
      <c r="E60" s="4" t="s">
        <v>129</v>
      </c>
      <c r="F60" s="4">
        <v>987.51800000000003</v>
      </c>
      <c r="G60" s="5">
        <v>100.6962</v>
      </c>
      <c r="H60" s="5">
        <v>19</v>
      </c>
      <c r="I60" s="5">
        <v>326</v>
      </c>
      <c r="J60" s="4" t="s">
        <v>123</v>
      </c>
    </row>
    <row r="61" spans="1:10" x14ac:dyDescent="0.25">
      <c r="A61" s="4">
        <f t="shared" ca="1" si="1"/>
        <v>58</v>
      </c>
      <c r="B61" s="4" t="s">
        <v>237</v>
      </c>
      <c r="C61" s="4" t="s">
        <v>238</v>
      </c>
      <c r="D61" s="4" t="s">
        <v>122</v>
      </c>
      <c r="E61" s="4" t="s">
        <v>129</v>
      </c>
      <c r="F61" s="4">
        <v>9.973749999999999</v>
      </c>
      <c r="G61" s="5">
        <v>100.0986</v>
      </c>
      <c r="H61" s="5">
        <v>10.17</v>
      </c>
      <c r="I61" s="5">
        <v>627</v>
      </c>
      <c r="J61" s="4" t="s">
        <v>123</v>
      </c>
    </row>
    <row r="62" spans="1:10" x14ac:dyDescent="0.25">
      <c r="A62" s="4">
        <f t="shared" ca="1" si="1"/>
        <v>59</v>
      </c>
      <c r="B62" s="4" t="s">
        <v>239</v>
      </c>
      <c r="C62" s="4" t="s">
        <v>240</v>
      </c>
      <c r="D62" s="4" t="s">
        <v>122</v>
      </c>
      <c r="E62" s="4" t="s">
        <v>129</v>
      </c>
      <c r="F62" s="4">
        <v>962.6160000000001</v>
      </c>
      <c r="G62" s="5">
        <v>97.894900000000007</v>
      </c>
      <c r="H62" s="5">
        <v>22.98</v>
      </c>
      <c r="I62" s="5">
        <v>916</v>
      </c>
      <c r="J62" s="4" t="s">
        <v>123</v>
      </c>
    </row>
    <row r="63" spans="1:10" x14ac:dyDescent="0.25">
      <c r="A63" s="4">
        <f t="shared" ca="1" si="1"/>
        <v>60</v>
      </c>
      <c r="B63" s="4" t="s">
        <v>241</v>
      </c>
      <c r="C63" s="4" t="s">
        <v>242</v>
      </c>
      <c r="D63" s="4" t="s">
        <v>122</v>
      </c>
      <c r="E63" s="4" t="s">
        <v>129</v>
      </c>
      <c r="F63" s="4">
        <v>914.13600000000008</v>
      </c>
      <c r="G63" s="5">
        <v>95.113600000000005</v>
      </c>
      <c r="H63" s="5">
        <v>22.52</v>
      </c>
      <c r="I63" s="5">
        <v>930</v>
      </c>
      <c r="J63" s="4" t="s">
        <v>123</v>
      </c>
    </row>
    <row r="64" spans="1:10" x14ac:dyDescent="0.25">
      <c r="A64" s="4">
        <f t="shared" ca="1" si="1"/>
        <v>61</v>
      </c>
      <c r="B64" s="4" t="s">
        <v>243</v>
      </c>
      <c r="C64" s="4" t="s">
        <v>244</v>
      </c>
      <c r="D64" s="4" t="s">
        <v>122</v>
      </c>
      <c r="E64" s="4" t="s">
        <v>129</v>
      </c>
      <c r="F64" s="4">
        <v>1009.572</v>
      </c>
      <c r="G64" s="5">
        <v>106.4239</v>
      </c>
      <c r="H64" s="5">
        <v>19.740000000000002</v>
      </c>
      <c r="I64" s="5">
        <v>634</v>
      </c>
      <c r="J64" s="4" t="s">
        <v>123</v>
      </c>
    </row>
    <row r="65" spans="1:10" x14ac:dyDescent="0.25">
      <c r="A65" s="4">
        <f t="shared" ca="1" si="1"/>
        <v>62</v>
      </c>
      <c r="B65" s="4" t="s">
        <v>245</v>
      </c>
      <c r="C65" s="4" t="s">
        <v>246</v>
      </c>
      <c r="D65" s="4" t="s">
        <v>117</v>
      </c>
      <c r="E65" s="4" t="s">
        <v>247</v>
      </c>
      <c r="F65" s="4">
        <v>42317.08</v>
      </c>
      <c r="G65" s="5"/>
      <c r="H65" s="5"/>
      <c r="I65" s="5"/>
      <c r="J65" s="4" t="s">
        <v>119</v>
      </c>
    </row>
    <row r="66" spans="1:10" x14ac:dyDescent="0.25">
      <c r="A66" s="4">
        <f t="shared" ca="1" si="1"/>
        <v>63</v>
      </c>
      <c r="B66" s="4" t="s">
        <v>248</v>
      </c>
      <c r="C66" s="4" t="s">
        <v>249</v>
      </c>
      <c r="D66" s="4" t="s">
        <v>117</v>
      </c>
      <c r="E66" s="4" t="s">
        <v>247</v>
      </c>
      <c r="F66" s="4">
        <v>27198.240000000002</v>
      </c>
      <c r="G66" s="5"/>
      <c r="H66" s="5"/>
      <c r="I66" s="5"/>
      <c r="J66" s="4" t="s">
        <v>119</v>
      </c>
    </row>
    <row r="67" spans="1:10" x14ac:dyDescent="0.25">
      <c r="A67" s="4">
        <f t="shared" ca="1" si="1"/>
        <v>64</v>
      </c>
      <c r="B67" s="4" t="s">
        <v>250</v>
      </c>
      <c r="C67" s="4" t="s">
        <v>251</v>
      </c>
      <c r="D67" s="4" t="s">
        <v>122</v>
      </c>
      <c r="E67" s="4" t="s">
        <v>252</v>
      </c>
      <c r="F67" s="4">
        <v>16529.8</v>
      </c>
      <c r="G67" s="5">
        <v>1652.9749999999999</v>
      </c>
      <c r="H67" s="5"/>
      <c r="I67" s="5">
        <v>93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253</v>
      </c>
      <c r="C68" s="4" t="s">
        <v>254</v>
      </c>
      <c r="D68" s="4" t="s">
        <v>117</v>
      </c>
      <c r="E68" s="4" t="s">
        <v>255</v>
      </c>
      <c r="F68" s="4">
        <v>21437.91</v>
      </c>
      <c r="G68" s="5"/>
      <c r="H68" s="5"/>
      <c r="I68" s="5"/>
      <c r="J68" s="4" t="s">
        <v>119</v>
      </c>
    </row>
    <row r="69" spans="1:10" x14ac:dyDescent="0.25">
      <c r="A69" s="4">
        <f t="shared" ca="1" si="2"/>
        <v>66</v>
      </c>
      <c r="B69" s="4" t="s">
        <v>256</v>
      </c>
      <c r="C69" s="4" t="s">
        <v>257</v>
      </c>
      <c r="D69" s="4" t="s">
        <v>122</v>
      </c>
      <c r="E69" s="4" t="s">
        <v>255</v>
      </c>
      <c r="F69" s="4">
        <v>1.0095239999999999</v>
      </c>
      <c r="G69" s="5">
        <v>101.84820000000001</v>
      </c>
      <c r="H69" s="5">
        <v>5.13</v>
      </c>
      <c r="I69" s="5">
        <v>1583</v>
      </c>
      <c r="J69" s="4" t="s">
        <v>123</v>
      </c>
    </row>
    <row r="70" spans="1:10" x14ac:dyDescent="0.25">
      <c r="A70" s="4">
        <f t="shared" ca="1" si="2"/>
        <v>67</v>
      </c>
      <c r="B70" s="4" t="s">
        <v>258</v>
      </c>
      <c r="C70" s="4" t="s">
        <v>259</v>
      </c>
      <c r="D70" s="4" t="s">
        <v>117</v>
      </c>
      <c r="E70" s="4" t="s">
        <v>260</v>
      </c>
      <c r="F70" s="4">
        <v>3396.78</v>
      </c>
      <c r="G70" s="5"/>
      <c r="H70" s="5"/>
      <c r="I70" s="5"/>
      <c r="J70" s="4" t="s">
        <v>119</v>
      </c>
    </row>
    <row r="71" spans="1:10" x14ac:dyDescent="0.25">
      <c r="A71" s="4">
        <f t="shared" ca="1" si="2"/>
        <v>68</v>
      </c>
      <c r="B71" s="4" t="s">
        <v>261</v>
      </c>
      <c r="C71" s="4" t="s">
        <v>262</v>
      </c>
      <c r="D71" s="4" t="s">
        <v>122</v>
      </c>
      <c r="E71" s="4" t="s">
        <v>263</v>
      </c>
      <c r="F71" s="4">
        <v>0.9740359999999999</v>
      </c>
      <c r="G71" s="5">
        <v>97.714700000000008</v>
      </c>
      <c r="H71" s="5">
        <v>5.18</v>
      </c>
      <c r="I71" s="5">
        <v>309</v>
      </c>
      <c r="J71" s="4" t="s">
        <v>123</v>
      </c>
    </row>
    <row r="72" spans="1:10" x14ac:dyDescent="0.25">
      <c r="A72" s="4">
        <f t="shared" ca="1" si="2"/>
        <v>69</v>
      </c>
      <c r="B72" s="4" t="s">
        <v>264</v>
      </c>
      <c r="C72" s="4" t="s">
        <v>265</v>
      </c>
      <c r="D72" s="4" t="s">
        <v>122</v>
      </c>
      <c r="E72" s="4" t="s">
        <v>266</v>
      </c>
      <c r="F72" s="4">
        <v>1010.889</v>
      </c>
      <c r="G72" s="5">
        <v>107.16640000000001</v>
      </c>
      <c r="H72" s="5">
        <v>17.98</v>
      </c>
      <c r="I72" s="5">
        <v>978</v>
      </c>
      <c r="J72" s="4" t="s">
        <v>123</v>
      </c>
    </row>
    <row r="73" spans="1:10" x14ac:dyDescent="0.25">
      <c r="A73" s="4">
        <f t="shared" ca="1" si="2"/>
        <v>70</v>
      </c>
      <c r="B73" s="4" t="s">
        <v>267</v>
      </c>
      <c r="C73" s="4" t="s">
        <v>268</v>
      </c>
      <c r="D73" s="4" t="s">
        <v>122</v>
      </c>
      <c r="E73" s="4" t="s">
        <v>266</v>
      </c>
      <c r="F73" s="4">
        <v>1010.889</v>
      </c>
      <c r="G73" s="5">
        <v>107.16640000000001</v>
      </c>
      <c r="H73" s="5">
        <v>17.98</v>
      </c>
      <c r="I73" s="5">
        <v>978</v>
      </c>
      <c r="J73" s="4" t="s">
        <v>123</v>
      </c>
    </row>
    <row r="74" spans="1:10" x14ac:dyDescent="0.25">
      <c r="A74" s="4">
        <f t="shared" ca="1" si="2"/>
        <v>71</v>
      </c>
      <c r="B74" s="4" t="s">
        <v>269</v>
      </c>
      <c r="C74" s="4" t="s">
        <v>270</v>
      </c>
      <c r="D74" s="4" t="s">
        <v>117</v>
      </c>
      <c r="E74" s="4" t="s">
        <v>271</v>
      </c>
      <c r="F74" s="4">
        <v>8952.3000000000011</v>
      </c>
      <c r="G74" s="5"/>
      <c r="H74" s="5"/>
      <c r="I74" s="5"/>
      <c r="J74" s="4" t="s">
        <v>119</v>
      </c>
    </row>
    <row r="75" spans="1:10" x14ac:dyDescent="0.25">
      <c r="A75" s="4">
        <f t="shared" ca="1" si="2"/>
        <v>72</v>
      </c>
      <c r="B75" s="4" t="s">
        <v>272</v>
      </c>
      <c r="C75" s="4" t="s">
        <v>273</v>
      </c>
      <c r="D75" s="4" t="s">
        <v>117</v>
      </c>
      <c r="E75" s="4" t="s">
        <v>271</v>
      </c>
      <c r="F75" s="4">
        <v>4689.42</v>
      </c>
      <c r="G75" s="5"/>
      <c r="H75" s="5"/>
      <c r="I75" s="5"/>
      <c r="J75" s="4" t="s">
        <v>119</v>
      </c>
    </row>
    <row r="76" spans="1:10" x14ac:dyDescent="0.25">
      <c r="A76" s="4">
        <f t="shared" ca="1" si="2"/>
        <v>73</v>
      </c>
      <c r="B76" s="4" t="s">
        <v>274</v>
      </c>
      <c r="C76" s="4" t="s">
        <v>275</v>
      </c>
      <c r="D76" s="4" t="s">
        <v>122</v>
      </c>
      <c r="E76" s="4" t="s">
        <v>276</v>
      </c>
      <c r="F76" s="4">
        <v>969.16</v>
      </c>
      <c r="G76" s="5">
        <v>103.14930000000001</v>
      </c>
      <c r="H76" s="5">
        <v>17.990000000000002</v>
      </c>
      <c r="I76" s="5">
        <v>959</v>
      </c>
      <c r="J76" s="4" t="s">
        <v>123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122</v>
      </c>
      <c r="E77" s="4" t="s">
        <v>276</v>
      </c>
      <c r="F77" s="4">
        <v>972.072</v>
      </c>
      <c r="G77" s="5">
        <v>103.10600000000001</v>
      </c>
      <c r="H77" s="5">
        <v>19.73</v>
      </c>
      <c r="I77" s="5">
        <v>796</v>
      </c>
      <c r="J77" s="4" t="s">
        <v>123</v>
      </c>
    </row>
    <row r="78" spans="1:10" x14ac:dyDescent="0.25">
      <c r="A78" s="4">
        <f t="shared" ca="1" si="2"/>
        <v>75</v>
      </c>
      <c r="B78" s="4" t="s">
        <v>279</v>
      </c>
      <c r="C78" s="4" t="s">
        <v>280</v>
      </c>
      <c r="D78" s="4" t="s">
        <v>122</v>
      </c>
      <c r="E78" s="4" t="s">
        <v>276</v>
      </c>
      <c r="F78" s="4">
        <v>99.356099999999998</v>
      </c>
      <c r="G78" s="5">
        <v>99.356099999999998</v>
      </c>
      <c r="H78" s="5">
        <v>15.77</v>
      </c>
      <c r="I78" s="5">
        <v>16</v>
      </c>
      <c r="J78" s="4" t="s">
        <v>123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122</v>
      </c>
      <c r="E79" s="4" t="s">
        <v>276</v>
      </c>
      <c r="F79" s="4">
        <v>981.09700000000009</v>
      </c>
      <c r="G79" s="5">
        <v>106.2076</v>
      </c>
      <c r="H79" s="5">
        <v>17.990000000000002</v>
      </c>
      <c r="I79" s="5">
        <v>1290</v>
      </c>
      <c r="J79" s="4" t="s">
        <v>123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122</v>
      </c>
      <c r="E80" s="4" t="s">
        <v>276</v>
      </c>
      <c r="F80" s="4">
        <v>990.43700000000001</v>
      </c>
      <c r="G80" s="5">
        <v>107.6208</v>
      </c>
      <c r="H80" s="5">
        <v>18</v>
      </c>
      <c r="I80" s="5">
        <v>549</v>
      </c>
      <c r="J80" s="4" t="s">
        <v>123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122</v>
      </c>
      <c r="E81" s="4" t="s">
        <v>276</v>
      </c>
      <c r="F81" s="4">
        <v>100.0192</v>
      </c>
      <c r="G81" s="5">
        <v>101.9748</v>
      </c>
      <c r="H81" s="5">
        <v>7.99</v>
      </c>
      <c r="I81" s="5">
        <v>733</v>
      </c>
      <c r="J81" s="4" t="s">
        <v>123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122</v>
      </c>
      <c r="E82" s="4" t="s">
        <v>276</v>
      </c>
      <c r="F82" s="4">
        <v>1009.471</v>
      </c>
      <c r="G82" s="5">
        <v>110.03740000000001</v>
      </c>
      <c r="H82" s="5">
        <v>18.490000000000002</v>
      </c>
      <c r="I82" s="5">
        <v>558</v>
      </c>
      <c r="J82" s="4" t="s">
        <v>123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122</v>
      </c>
      <c r="E83" s="4" t="s">
        <v>276</v>
      </c>
      <c r="F83" s="4">
        <v>1025.7350000000001</v>
      </c>
      <c r="G83" s="5">
        <v>111.06240000000001</v>
      </c>
      <c r="H83" s="5">
        <v>18.23</v>
      </c>
      <c r="I83" s="5">
        <v>1664</v>
      </c>
      <c r="J83" s="4" t="s">
        <v>123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122</v>
      </c>
      <c r="E84" s="4" t="s">
        <v>66</v>
      </c>
      <c r="F84" s="4">
        <v>1000</v>
      </c>
      <c r="G84" s="5">
        <v>112.2573</v>
      </c>
      <c r="H84" s="5">
        <v>12.46</v>
      </c>
      <c r="I84" s="5">
        <v>1103</v>
      </c>
      <c r="J84" s="4" t="s">
        <v>123</v>
      </c>
    </row>
    <row r="85" spans="1:10" x14ac:dyDescent="0.25">
      <c r="A85" s="4">
        <f t="shared" ca="1" si="2"/>
        <v>82</v>
      </c>
      <c r="B85" s="4" t="s">
        <v>293</v>
      </c>
      <c r="C85" s="4" t="s">
        <v>294</v>
      </c>
      <c r="D85" s="4" t="s">
        <v>122</v>
      </c>
      <c r="E85" s="4" t="s">
        <v>66</v>
      </c>
      <c r="F85" s="4">
        <v>1000</v>
      </c>
      <c r="G85" s="5">
        <v>104.05110000000001</v>
      </c>
      <c r="H85" s="5">
        <v>12.41</v>
      </c>
      <c r="I85" s="5">
        <v>1343</v>
      </c>
      <c r="J85" s="4" t="s">
        <v>123</v>
      </c>
    </row>
    <row r="86" spans="1:10" x14ac:dyDescent="0.25">
      <c r="A86" s="4">
        <f t="shared" ca="1" si="2"/>
        <v>83</v>
      </c>
      <c r="B86" s="4" t="s">
        <v>295</v>
      </c>
      <c r="C86" s="4" t="s">
        <v>296</v>
      </c>
      <c r="D86" s="4" t="s">
        <v>122</v>
      </c>
      <c r="E86" s="4" t="s">
        <v>66</v>
      </c>
      <c r="F86" s="4">
        <v>1000</v>
      </c>
      <c r="G86" s="5">
        <v>107.1328</v>
      </c>
      <c r="H86" s="5">
        <v>12.03</v>
      </c>
      <c r="I86" s="5">
        <v>156</v>
      </c>
      <c r="J86" s="4" t="s">
        <v>123</v>
      </c>
    </row>
    <row r="87" spans="1:10" x14ac:dyDescent="0.25">
      <c r="A87" s="4">
        <f t="shared" ca="1" si="2"/>
        <v>84</v>
      </c>
      <c r="B87" s="4" t="s">
        <v>297</v>
      </c>
      <c r="C87" s="4" t="s">
        <v>298</v>
      </c>
      <c r="D87" s="4" t="s">
        <v>122</v>
      </c>
      <c r="E87" s="4" t="s">
        <v>66</v>
      </c>
      <c r="F87" s="4">
        <v>1000</v>
      </c>
      <c r="G87" s="5">
        <v>104.986</v>
      </c>
      <c r="H87" s="5">
        <v>12.15</v>
      </c>
      <c r="I87" s="5">
        <v>219</v>
      </c>
      <c r="J87" s="4" t="s">
        <v>123</v>
      </c>
    </row>
    <row r="88" spans="1:10" x14ac:dyDescent="0.25">
      <c r="A88" s="4">
        <f t="shared" ca="1" si="2"/>
        <v>85</v>
      </c>
      <c r="B88" s="4" t="s">
        <v>299</v>
      </c>
      <c r="C88" s="4" t="s">
        <v>300</v>
      </c>
      <c r="D88" s="4" t="s">
        <v>122</v>
      </c>
      <c r="E88" s="4" t="s">
        <v>66</v>
      </c>
      <c r="F88" s="4">
        <v>1000</v>
      </c>
      <c r="G88" s="5">
        <v>108.13690000000001</v>
      </c>
      <c r="H88" s="5">
        <v>12.33</v>
      </c>
      <c r="I88" s="5">
        <v>492</v>
      </c>
      <c r="J88" s="4" t="s">
        <v>123</v>
      </c>
    </row>
    <row r="89" spans="1:10" x14ac:dyDescent="0.25">
      <c r="A89" s="4">
        <f t="shared" ca="1" si="2"/>
        <v>86</v>
      </c>
      <c r="B89" s="4" t="s">
        <v>301</v>
      </c>
      <c r="C89" s="4" t="s">
        <v>302</v>
      </c>
      <c r="D89" s="4" t="s">
        <v>122</v>
      </c>
      <c r="E89" s="4" t="s">
        <v>66</v>
      </c>
      <c r="F89" s="4">
        <v>1000</v>
      </c>
      <c r="G89" s="5">
        <v>106.05940000000001</v>
      </c>
      <c r="H89" s="5">
        <v>12.33</v>
      </c>
      <c r="I89" s="5">
        <v>553</v>
      </c>
      <c r="J89" s="4" t="s">
        <v>123</v>
      </c>
    </row>
    <row r="90" spans="1:10" x14ac:dyDescent="0.25">
      <c r="A90" s="4">
        <f t="shared" ca="1" si="2"/>
        <v>87</v>
      </c>
      <c r="B90" s="4" t="s">
        <v>303</v>
      </c>
      <c r="C90" s="4" t="s">
        <v>304</v>
      </c>
      <c r="D90" s="4" t="s">
        <v>122</v>
      </c>
      <c r="E90" s="4" t="s">
        <v>66</v>
      </c>
      <c r="F90" s="4">
        <v>1000</v>
      </c>
      <c r="G90" s="5">
        <v>100.96950000000001</v>
      </c>
      <c r="H90" s="5">
        <v>12.43</v>
      </c>
      <c r="I90" s="5">
        <v>703</v>
      </c>
      <c r="J90" s="4" t="s">
        <v>123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122</v>
      </c>
      <c r="E91" s="4" t="s">
        <v>66</v>
      </c>
      <c r="F91" s="4">
        <v>1000</v>
      </c>
      <c r="G91" s="5">
        <v>104.05110000000001</v>
      </c>
      <c r="H91" s="5">
        <v>12.39</v>
      </c>
      <c r="I91" s="5">
        <v>978</v>
      </c>
      <c r="J91" s="4" t="s">
        <v>123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122</v>
      </c>
      <c r="E92" s="4" t="s">
        <v>66</v>
      </c>
      <c r="F92" s="4">
        <v>1000</v>
      </c>
      <c r="G92" s="5">
        <v>111.2878</v>
      </c>
      <c r="H92" s="5">
        <v>12.44</v>
      </c>
      <c r="I92" s="5">
        <v>1497</v>
      </c>
      <c r="J92" s="4" t="s">
        <v>123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122</v>
      </c>
      <c r="E93" s="4" t="s">
        <v>66</v>
      </c>
      <c r="F93" s="4">
        <v>906.35300000000007</v>
      </c>
      <c r="G93" s="5">
        <v>91.065899999999999</v>
      </c>
      <c r="H93" s="5">
        <v>16.86</v>
      </c>
      <c r="I93" s="5">
        <v>335</v>
      </c>
      <c r="J93" s="4" t="s">
        <v>123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122</v>
      </c>
      <c r="E94" s="4" t="s">
        <v>66</v>
      </c>
      <c r="F94" s="4">
        <v>1000</v>
      </c>
      <c r="G94" s="5">
        <v>106.05940000000001</v>
      </c>
      <c r="H94" s="5">
        <v>12.4</v>
      </c>
      <c r="I94" s="5">
        <v>1284</v>
      </c>
      <c r="J94" s="4" t="s">
        <v>123</v>
      </c>
    </row>
    <row r="95" spans="1:10" x14ac:dyDescent="0.25">
      <c r="A95" s="4">
        <f t="shared" ca="1" si="2"/>
        <v>92</v>
      </c>
      <c r="B95" s="4" t="s">
        <v>313</v>
      </c>
      <c r="C95" s="4" t="s">
        <v>78</v>
      </c>
      <c r="D95" s="4" t="s">
        <v>122</v>
      </c>
      <c r="E95" s="4" t="s">
        <v>66</v>
      </c>
      <c r="F95" s="4">
        <v>880.98700000000008</v>
      </c>
      <c r="G95" s="5">
        <v>92.170500000000004</v>
      </c>
      <c r="H95" s="5">
        <v>16.66</v>
      </c>
      <c r="I95" s="5">
        <v>459</v>
      </c>
      <c r="J95" s="4" t="s">
        <v>123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122</v>
      </c>
      <c r="E96" s="4" t="s">
        <v>66</v>
      </c>
      <c r="F96" s="4">
        <v>843.41600000000005</v>
      </c>
      <c r="G96" s="5">
        <v>85.805599999999998</v>
      </c>
      <c r="H96" s="5">
        <v>16.55</v>
      </c>
      <c r="I96" s="5">
        <v>634</v>
      </c>
      <c r="J96" s="4" t="s">
        <v>123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122</v>
      </c>
      <c r="E97" s="4" t="s">
        <v>66</v>
      </c>
      <c r="F97" s="4">
        <v>851.34300000000007</v>
      </c>
      <c r="G97" s="5">
        <v>86.217600000000004</v>
      </c>
      <c r="H97" s="5">
        <v>16.5</v>
      </c>
      <c r="I97" s="5">
        <v>670</v>
      </c>
      <c r="J97" s="4" t="s">
        <v>123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122</v>
      </c>
      <c r="E98" s="4" t="s">
        <v>66</v>
      </c>
      <c r="F98" s="4">
        <v>1000</v>
      </c>
      <c r="G98" s="5">
        <v>105.0206</v>
      </c>
      <c r="H98" s="5">
        <v>12.34</v>
      </c>
      <c r="I98" s="5">
        <v>583</v>
      </c>
      <c r="J98" s="4" t="s">
        <v>123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122</v>
      </c>
      <c r="E99" s="4" t="s">
        <v>66</v>
      </c>
      <c r="F99" s="4">
        <v>1000</v>
      </c>
      <c r="G99" s="5">
        <v>110.46250000000001</v>
      </c>
      <c r="H99" s="5">
        <v>12.52</v>
      </c>
      <c r="I99" s="5">
        <v>1524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91</v>
      </c>
      <c r="D100" s="4" t="s">
        <v>122</v>
      </c>
      <c r="E100" s="4" t="s">
        <v>66</v>
      </c>
      <c r="F100" s="4">
        <v>663.6</v>
      </c>
      <c r="G100" s="5">
        <v>71.336500000000001</v>
      </c>
      <c r="H100" s="5">
        <v>15.47</v>
      </c>
      <c r="I100" s="5">
        <v>3062</v>
      </c>
      <c r="J100" s="4" t="s">
        <v>123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122</v>
      </c>
      <c r="E101" s="4" t="s">
        <v>66</v>
      </c>
      <c r="F101" s="4">
        <v>885.96900000000005</v>
      </c>
      <c r="G101" s="5">
        <v>92.414900000000003</v>
      </c>
      <c r="H101" s="5">
        <v>16.62</v>
      </c>
      <c r="I101" s="5">
        <v>544</v>
      </c>
      <c r="J101" s="4" t="s">
        <v>123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122</v>
      </c>
      <c r="E102" s="4" t="s">
        <v>66</v>
      </c>
      <c r="F102" s="4">
        <v>594.101</v>
      </c>
      <c r="G102" s="5">
        <v>61.524500000000003</v>
      </c>
      <c r="H102" s="5">
        <v>15.31</v>
      </c>
      <c r="I102" s="5">
        <v>6852</v>
      </c>
      <c r="J102" s="4" t="s">
        <v>123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122</v>
      </c>
      <c r="E103" s="4" t="s">
        <v>66</v>
      </c>
      <c r="F103" s="4">
        <v>1000</v>
      </c>
      <c r="G103" s="5">
        <v>102.9085</v>
      </c>
      <c r="H103" s="5">
        <v>12.28</v>
      </c>
      <c r="I103" s="5">
        <v>281</v>
      </c>
      <c r="J103" s="4" t="s">
        <v>123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122</v>
      </c>
      <c r="E104" s="4" t="s">
        <v>66</v>
      </c>
      <c r="F104" s="4">
        <v>1000</v>
      </c>
      <c r="G104" s="5">
        <v>106.09400000000001</v>
      </c>
      <c r="H104" s="5">
        <v>12.4</v>
      </c>
      <c r="I104" s="5">
        <v>1283</v>
      </c>
      <c r="J104" s="4" t="s">
        <v>123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122</v>
      </c>
      <c r="E105" s="4" t="s">
        <v>66</v>
      </c>
      <c r="F105" s="4">
        <v>1000</v>
      </c>
      <c r="G105" s="5">
        <v>107.0635</v>
      </c>
      <c r="H105" s="5">
        <v>12.41</v>
      </c>
      <c r="I105" s="5">
        <v>1619</v>
      </c>
      <c r="J105" s="4" t="s">
        <v>123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122</v>
      </c>
      <c r="E106" s="4" t="s">
        <v>66</v>
      </c>
      <c r="F106" s="4">
        <v>1000</v>
      </c>
      <c r="G106" s="5">
        <v>104.01650000000001</v>
      </c>
      <c r="H106" s="5">
        <v>12.21</v>
      </c>
      <c r="I106" s="5">
        <v>248</v>
      </c>
      <c r="J106" s="4" t="s">
        <v>123</v>
      </c>
    </row>
    <row r="107" spans="1:10" x14ac:dyDescent="0.25">
      <c r="A107" s="4">
        <f t="shared" ca="1" si="3"/>
        <v>104</v>
      </c>
      <c r="B107" s="4" t="s">
        <v>335</v>
      </c>
      <c r="C107" s="4" t="s">
        <v>80</v>
      </c>
      <c r="D107" s="4" t="s">
        <v>122</v>
      </c>
      <c r="E107" s="4" t="s">
        <v>66</v>
      </c>
      <c r="F107" s="4">
        <v>651.30400000000009</v>
      </c>
      <c r="G107" s="5">
        <v>72.415800000000004</v>
      </c>
      <c r="H107" s="5">
        <v>15.44</v>
      </c>
      <c r="I107" s="5">
        <v>3324</v>
      </c>
      <c r="J107" s="4" t="s">
        <v>123</v>
      </c>
    </row>
    <row r="108" spans="1:10" x14ac:dyDescent="0.25">
      <c r="A108" s="4">
        <f t="shared" ca="1" si="3"/>
        <v>105</v>
      </c>
      <c r="B108" s="4" t="s">
        <v>336</v>
      </c>
      <c r="C108" s="4" t="s">
        <v>337</v>
      </c>
      <c r="D108" s="4" t="s">
        <v>122</v>
      </c>
      <c r="E108" s="4" t="s">
        <v>66</v>
      </c>
      <c r="F108" s="4">
        <v>920.9430000000001</v>
      </c>
      <c r="G108" s="5">
        <v>99.294300000000007</v>
      </c>
      <c r="H108" s="5">
        <v>16.690000000000001</v>
      </c>
      <c r="I108" s="5">
        <v>438</v>
      </c>
      <c r="J108" s="4" t="s">
        <v>123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122</v>
      </c>
      <c r="E109" s="4" t="s">
        <v>66</v>
      </c>
      <c r="F109" s="4">
        <v>902.702</v>
      </c>
      <c r="G109" s="5">
        <v>94.545200000000008</v>
      </c>
      <c r="H109" s="5">
        <v>16.600000000000001</v>
      </c>
      <c r="I109" s="5">
        <v>557</v>
      </c>
      <c r="J109" s="4" t="s">
        <v>123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122</v>
      </c>
      <c r="E110" s="4" t="s">
        <v>66</v>
      </c>
      <c r="F110" s="4">
        <v>647.91899999999998</v>
      </c>
      <c r="G110" s="5">
        <v>68.183900000000008</v>
      </c>
      <c r="H110" s="5">
        <v>15.39</v>
      </c>
      <c r="I110" s="5">
        <v>3872</v>
      </c>
      <c r="J110" s="4" t="s">
        <v>123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122</v>
      </c>
      <c r="E111" s="4" t="s">
        <v>66</v>
      </c>
      <c r="F111" s="4">
        <v>710.68700000000001</v>
      </c>
      <c r="G111" s="5">
        <v>77.323099999999997</v>
      </c>
      <c r="H111" s="5">
        <v>15.54</v>
      </c>
      <c r="I111" s="5">
        <v>2659</v>
      </c>
      <c r="J111" s="4" t="s">
        <v>123</v>
      </c>
    </row>
    <row r="112" spans="1:10" x14ac:dyDescent="0.25">
      <c r="A112" s="4">
        <f t="shared" ca="1" si="3"/>
        <v>109</v>
      </c>
      <c r="B112" s="4" t="s">
        <v>344</v>
      </c>
      <c r="C112" s="4" t="s">
        <v>345</v>
      </c>
      <c r="D112" s="4" t="s">
        <v>122</v>
      </c>
      <c r="E112" s="4" t="s">
        <v>66</v>
      </c>
      <c r="F112" s="4">
        <v>701.26700000000005</v>
      </c>
      <c r="G112" s="5">
        <v>75.790199999999999</v>
      </c>
      <c r="H112" s="5">
        <v>15.53</v>
      </c>
      <c r="I112" s="5">
        <v>2678</v>
      </c>
      <c r="J112" s="4" t="s">
        <v>123</v>
      </c>
    </row>
    <row r="113" spans="1:10" x14ac:dyDescent="0.25">
      <c r="A113" s="4">
        <f t="shared" ca="1" si="3"/>
        <v>110</v>
      </c>
      <c r="B113" s="4" t="s">
        <v>346</v>
      </c>
      <c r="C113" s="4" t="s">
        <v>103</v>
      </c>
      <c r="D113" s="4" t="s">
        <v>122</v>
      </c>
      <c r="E113" s="4" t="s">
        <v>66</v>
      </c>
      <c r="F113" s="4">
        <v>723.51800000000003</v>
      </c>
      <c r="G113" s="5">
        <v>78.172899999999998</v>
      </c>
      <c r="H113" s="5">
        <v>15.610000000000001</v>
      </c>
      <c r="I113" s="5">
        <v>2306</v>
      </c>
      <c r="J113" s="4" t="s">
        <v>123</v>
      </c>
    </row>
    <row r="114" spans="1:10" x14ac:dyDescent="0.25">
      <c r="A114" s="4">
        <f t="shared" ca="1" si="3"/>
        <v>111</v>
      </c>
      <c r="B114" s="4" t="s">
        <v>347</v>
      </c>
      <c r="C114" s="4" t="s">
        <v>348</v>
      </c>
      <c r="D114" s="4" t="s">
        <v>122</v>
      </c>
      <c r="E114" s="4" t="s">
        <v>66</v>
      </c>
      <c r="F114" s="4">
        <v>747.14100000000008</v>
      </c>
      <c r="G114" s="5">
        <v>79.965699999999998</v>
      </c>
      <c r="H114" s="5">
        <v>15.7</v>
      </c>
      <c r="I114" s="5">
        <v>1964</v>
      </c>
      <c r="J114" s="4" t="s">
        <v>123</v>
      </c>
    </row>
    <row r="115" spans="1:10" x14ac:dyDescent="0.25">
      <c r="A115" s="4">
        <f t="shared" ca="1" si="3"/>
        <v>112</v>
      </c>
      <c r="B115" s="4" t="s">
        <v>349</v>
      </c>
      <c r="C115" s="4" t="s">
        <v>350</v>
      </c>
      <c r="D115" s="4" t="s">
        <v>122</v>
      </c>
      <c r="E115" s="4" t="s">
        <v>66</v>
      </c>
      <c r="F115" s="4">
        <v>652.69900000000007</v>
      </c>
      <c r="G115" s="5">
        <v>72.834100000000007</v>
      </c>
      <c r="H115" s="5">
        <v>15.4</v>
      </c>
      <c r="I115" s="5">
        <v>4068</v>
      </c>
      <c r="J115" s="4" t="s">
        <v>123</v>
      </c>
    </row>
    <row r="116" spans="1:10" x14ac:dyDescent="0.25">
      <c r="A116" s="4">
        <f t="shared" ca="1" si="3"/>
        <v>113</v>
      </c>
      <c r="B116" s="4" t="s">
        <v>351</v>
      </c>
      <c r="C116" s="4" t="s">
        <v>352</v>
      </c>
      <c r="D116" s="4" t="s">
        <v>122</v>
      </c>
      <c r="E116" s="4" t="s">
        <v>66</v>
      </c>
      <c r="F116" s="4">
        <v>1000</v>
      </c>
      <c r="G116" s="5">
        <v>107.1328</v>
      </c>
      <c r="H116" s="5">
        <v>12.03</v>
      </c>
      <c r="I116" s="5">
        <v>156</v>
      </c>
      <c r="J116" s="4" t="s">
        <v>123</v>
      </c>
    </row>
    <row r="117" spans="1:10" x14ac:dyDescent="0.25">
      <c r="A117" s="4">
        <f t="shared" ca="1" si="3"/>
        <v>114</v>
      </c>
      <c r="B117" s="4" t="s">
        <v>353</v>
      </c>
      <c r="C117" s="4" t="s">
        <v>100</v>
      </c>
      <c r="D117" s="4" t="s">
        <v>122</v>
      </c>
      <c r="E117" s="4" t="s">
        <v>66</v>
      </c>
      <c r="F117" s="4">
        <v>781.95900000000006</v>
      </c>
      <c r="G117" s="5">
        <v>80.990600000000001</v>
      </c>
      <c r="H117" s="5">
        <v>15.99</v>
      </c>
      <c r="I117" s="5">
        <v>1329</v>
      </c>
      <c r="J117" s="4" t="s">
        <v>123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122</v>
      </c>
      <c r="E118" s="4" t="s">
        <v>66</v>
      </c>
      <c r="F118" s="4">
        <v>763.91600000000005</v>
      </c>
      <c r="G118" s="5">
        <v>83.218299999999999</v>
      </c>
      <c r="H118" s="5">
        <v>15.92</v>
      </c>
      <c r="I118" s="5">
        <v>1504</v>
      </c>
      <c r="J118" s="4" t="s">
        <v>123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122</v>
      </c>
      <c r="E119" s="4" t="s">
        <v>66</v>
      </c>
      <c r="F119" s="4">
        <v>590.95299999999997</v>
      </c>
      <c r="G119" s="5">
        <v>59.183100000000003</v>
      </c>
      <c r="H119" s="5">
        <v>15.34</v>
      </c>
      <c r="I119" s="5">
        <v>4745</v>
      </c>
      <c r="J119" s="4" t="s">
        <v>123</v>
      </c>
    </row>
    <row r="120" spans="1:10" x14ac:dyDescent="0.25">
      <c r="A120" s="4">
        <f t="shared" ca="1" si="3"/>
        <v>117</v>
      </c>
      <c r="B120" s="4" t="s">
        <v>358</v>
      </c>
      <c r="C120" s="4" t="s">
        <v>67</v>
      </c>
      <c r="D120" s="4" t="s">
        <v>122</v>
      </c>
      <c r="E120" s="4" t="s">
        <v>66</v>
      </c>
      <c r="F120" s="4">
        <v>933.923</v>
      </c>
      <c r="G120" s="5">
        <v>95.317300000000003</v>
      </c>
      <c r="H120" s="5">
        <v>16.899999999999999</v>
      </c>
      <c r="I120" s="5">
        <v>238</v>
      </c>
      <c r="J120" s="4" t="s">
        <v>123</v>
      </c>
    </row>
    <row r="121" spans="1:10" x14ac:dyDescent="0.25">
      <c r="A121" s="4">
        <f t="shared" ca="1" si="3"/>
        <v>118</v>
      </c>
      <c r="B121" s="4" t="s">
        <v>359</v>
      </c>
      <c r="C121" s="4" t="s">
        <v>85</v>
      </c>
      <c r="D121" s="4" t="s">
        <v>122</v>
      </c>
      <c r="E121" s="4" t="s">
        <v>66</v>
      </c>
      <c r="F121" s="4">
        <v>834.69600000000003</v>
      </c>
      <c r="G121" s="5">
        <v>84.426500000000004</v>
      </c>
      <c r="H121" s="5">
        <v>16.5</v>
      </c>
      <c r="I121" s="5">
        <v>665</v>
      </c>
      <c r="J121" s="4" t="s">
        <v>123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122</v>
      </c>
      <c r="E122" s="4" t="s">
        <v>66</v>
      </c>
      <c r="F122" s="4">
        <v>776.11200000000008</v>
      </c>
      <c r="G122" s="5">
        <v>79.047300000000007</v>
      </c>
      <c r="H122" s="5">
        <v>16.22</v>
      </c>
      <c r="I122" s="5">
        <v>1002</v>
      </c>
      <c r="J122" s="4" t="s">
        <v>123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122</v>
      </c>
      <c r="E123" s="4" t="s">
        <v>66</v>
      </c>
      <c r="F123" s="4">
        <v>608.68000000000006</v>
      </c>
      <c r="G123" s="5">
        <v>64.323999999999998</v>
      </c>
      <c r="H123" s="5">
        <v>15.33</v>
      </c>
      <c r="I123" s="5">
        <v>4962</v>
      </c>
      <c r="J123" s="4" t="s">
        <v>123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122</v>
      </c>
      <c r="E124" s="4" t="s">
        <v>66</v>
      </c>
      <c r="F124" s="4">
        <v>604.947</v>
      </c>
      <c r="G124" s="5">
        <v>67.423200000000008</v>
      </c>
      <c r="H124" s="5">
        <v>15.34</v>
      </c>
      <c r="I124" s="5">
        <v>5178</v>
      </c>
      <c r="J124" s="4" t="s">
        <v>123</v>
      </c>
    </row>
    <row r="125" spans="1:10" x14ac:dyDescent="0.25">
      <c r="A125" s="4">
        <f t="shared" ca="1" si="3"/>
        <v>122</v>
      </c>
      <c r="B125" s="4" t="s">
        <v>366</v>
      </c>
      <c r="C125" s="4" t="s">
        <v>71</v>
      </c>
      <c r="D125" s="4" t="s">
        <v>122</v>
      </c>
      <c r="E125" s="4" t="s">
        <v>66</v>
      </c>
      <c r="F125" s="4">
        <v>876.26499999999999</v>
      </c>
      <c r="G125" s="5">
        <v>95.693200000000004</v>
      </c>
      <c r="H125" s="5">
        <v>16.09</v>
      </c>
      <c r="I125" s="5">
        <v>1194</v>
      </c>
      <c r="J125" s="4" t="s">
        <v>123</v>
      </c>
    </row>
    <row r="126" spans="1:10" x14ac:dyDescent="0.25">
      <c r="A126" s="4">
        <f t="shared" ca="1" si="3"/>
        <v>123</v>
      </c>
      <c r="B126" s="4" t="s">
        <v>367</v>
      </c>
      <c r="C126" s="4" t="s">
        <v>368</v>
      </c>
      <c r="D126" s="4" t="s">
        <v>122</v>
      </c>
      <c r="E126" s="4" t="s">
        <v>66</v>
      </c>
      <c r="F126" s="4">
        <v>961.93100000000004</v>
      </c>
      <c r="G126" s="5">
        <v>100.51560000000001</v>
      </c>
      <c r="H126" s="5">
        <v>16.89</v>
      </c>
      <c r="I126" s="5">
        <v>192</v>
      </c>
      <c r="J126" s="4" t="s">
        <v>123</v>
      </c>
    </row>
    <row r="127" spans="1:10" x14ac:dyDescent="0.25">
      <c r="A127" s="4">
        <f t="shared" ca="1" si="3"/>
        <v>124</v>
      </c>
      <c r="B127" s="4" t="s">
        <v>369</v>
      </c>
      <c r="C127" s="4" t="s">
        <v>370</v>
      </c>
      <c r="D127" s="4" t="s">
        <v>122</v>
      </c>
      <c r="E127" s="4" t="s">
        <v>66</v>
      </c>
      <c r="F127" s="4">
        <v>1000</v>
      </c>
      <c r="G127" s="5">
        <v>100.3836</v>
      </c>
      <c r="H127" s="5">
        <v>12.55</v>
      </c>
      <c r="I127" s="5">
        <v>1086</v>
      </c>
      <c r="J127" s="4" t="s">
        <v>123</v>
      </c>
    </row>
    <row r="128" spans="1:10" x14ac:dyDescent="0.25">
      <c r="A128" s="4">
        <f t="shared" ca="1" si="3"/>
        <v>125</v>
      </c>
      <c r="B128" s="4" t="s">
        <v>371</v>
      </c>
      <c r="C128" s="4" t="s">
        <v>372</v>
      </c>
      <c r="D128" s="4" t="s">
        <v>122</v>
      </c>
      <c r="E128" s="4" t="s">
        <v>66</v>
      </c>
      <c r="F128" s="4">
        <v>1000</v>
      </c>
      <c r="G128" s="5">
        <v>109.1756</v>
      </c>
      <c r="H128" s="5">
        <v>11.91</v>
      </c>
      <c r="I128" s="5">
        <v>96</v>
      </c>
      <c r="J128" s="4" t="s">
        <v>123</v>
      </c>
    </row>
    <row r="129" spans="1:10" x14ac:dyDescent="0.25">
      <c r="A129" s="4">
        <f t="shared" ca="1" si="3"/>
        <v>126</v>
      </c>
      <c r="B129" s="4" t="s">
        <v>373</v>
      </c>
      <c r="C129" s="4" t="s">
        <v>374</v>
      </c>
      <c r="D129" s="4" t="s">
        <v>122</v>
      </c>
      <c r="E129" s="4" t="s">
        <v>66</v>
      </c>
      <c r="F129" s="4">
        <v>1000</v>
      </c>
      <c r="G129" s="5">
        <v>110.24900000000001</v>
      </c>
      <c r="H129" s="5">
        <v>12.42</v>
      </c>
      <c r="I129" s="5">
        <v>1163</v>
      </c>
      <c r="J129" s="4" t="s">
        <v>123</v>
      </c>
    </row>
    <row r="130" spans="1:10" x14ac:dyDescent="0.25">
      <c r="A130" s="4">
        <f t="shared" ca="1" si="3"/>
        <v>127</v>
      </c>
      <c r="B130" s="4" t="s">
        <v>375</v>
      </c>
      <c r="C130" s="4" t="s">
        <v>376</v>
      </c>
      <c r="D130" s="4" t="s">
        <v>122</v>
      </c>
      <c r="E130" s="4" t="s">
        <v>66</v>
      </c>
      <c r="F130" s="4">
        <v>876.08699999999999</v>
      </c>
      <c r="G130" s="5">
        <v>89.266500000000008</v>
      </c>
      <c r="H130" s="5">
        <v>16.2</v>
      </c>
      <c r="I130" s="5">
        <v>1039</v>
      </c>
      <c r="J130" s="4" t="s">
        <v>123</v>
      </c>
    </row>
    <row r="131" spans="1:10" x14ac:dyDescent="0.25">
      <c r="A131" s="4">
        <f t="shared" ca="1" si="3"/>
        <v>128</v>
      </c>
      <c r="B131" s="4" t="s">
        <v>377</v>
      </c>
      <c r="C131" s="4" t="s">
        <v>378</v>
      </c>
      <c r="D131" s="4" t="s">
        <v>122</v>
      </c>
      <c r="E131" s="4" t="s">
        <v>66</v>
      </c>
      <c r="F131" s="4">
        <v>1000</v>
      </c>
      <c r="G131" s="5">
        <v>110.35290000000001</v>
      </c>
      <c r="H131" s="5">
        <v>12.41</v>
      </c>
      <c r="I131" s="5">
        <v>794</v>
      </c>
      <c r="J131" s="4" t="s">
        <v>123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380</v>
      </c>
      <c r="D132" s="4" t="s">
        <v>122</v>
      </c>
      <c r="E132" s="4" t="s">
        <v>66</v>
      </c>
      <c r="F132" s="4">
        <v>610.80200000000002</v>
      </c>
      <c r="G132" s="5">
        <v>64.746899999999997</v>
      </c>
      <c r="H132" s="5">
        <v>15.58</v>
      </c>
      <c r="I132" s="5">
        <v>2314</v>
      </c>
      <c r="J132" s="4" t="s">
        <v>123</v>
      </c>
    </row>
    <row r="133" spans="1:10" x14ac:dyDescent="0.25">
      <c r="A133" s="4">
        <f t="shared" ca="1" si="4"/>
        <v>130</v>
      </c>
      <c r="B133" s="4" t="s">
        <v>381</v>
      </c>
      <c r="C133" s="4" t="s">
        <v>382</v>
      </c>
      <c r="D133" s="4" t="s">
        <v>122</v>
      </c>
      <c r="E133" s="4" t="s">
        <v>66</v>
      </c>
      <c r="F133" s="4">
        <v>801.57500000000005</v>
      </c>
      <c r="G133" s="5">
        <v>80.438299999999998</v>
      </c>
      <c r="H133" s="5">
        <v>16.16</v>
      </c>
      <c r="I133" s="5">
        <v>1083</v>
      </c>
      <c r="J133" s="4" t="s">
        <v>123</v>
      </c>
    </row>
    <row r="134" spans="1:10" x14ac:dyDescent="0.25">
      <c r="A134" s="4">
        <f t="shared" ca="1" si="4"/>
        <v>131</v>
      </c>
      <c r="B134" s="4" t="s">
        <v>383</v>
      </c>
      <c r="C134" s="4" t="s">
        <v>384</v>
      </c>
      <c r="D134" s="4" t="s">
        <v>122</v>
      </c>
      <c r="E134" s="4" t="s">
        <v>66</v>
      </c>
      <c r="F134" s="4">
        <v>793.93</v>
      </c>
      <c r="G134" s="5">
        <v>82.809700000000007</v>
      </c>
      <c r="H134" s="5">
        <v>16.34</v>
      </c>
      <c r="I134" s="5">
        <v>847</v>
      </c>
      <c r="J134" s="4" t="s">
        <v>123</v>
      </c>
    </row>
    <row r="135" spans="1:10" x14ac:dyDescent="0.25">
      <c r="A135" s="4">
        <f t="shared" ca="1" si="4"/>
        <v>132</v>
      </c>
      <c r="B135" s="4" t="s">
        <v>385</v>
      </c>
      <c r="C135" s="4" t="s">
        <v>89</v>
      </c>
      <c r="D135" s="4" t="s">
        <v>122</v>
      </c>
      <c r="E135" s="4" t="s">
        <v>66</v>
      </c>
      <c r="F135" s="4">
        <v>802.67900000000009</v>
      </c>
      <c r="G135" s="5">
        <v>84.646200000000007</v>
      </c>
      <c r="H135" s="5">
        <v>15.610000000000001</v>
      </c>
      <c r="I135" s="5">
        <v>2407</v>
      </c>
      <c r="J135" s="4" t="s">
        <v>123</v>
      </c>
    </row>
    <row r="136" spans="1:10" x14ac:dyDescent="0.25">
      <c r="A136" s="4">
        <f t="shared" ca="1" si="4"/>
        <v>133</v>
      </c>
      <c r="B136" s="4" t="s">
        <v>386</v>
      </c>
      <c r="C136" s="4" t="s">
        <v>107</v>
      </c>
      <c r="D136" s="4" t="s">
        <v>122</v>
      </c>
      <c r="E136" s="4" t="s">
        <v>66</v>
      </c>
      <c r="F136" s="4">
        <v>857.125</v>
      </c>
      <c r="G136" s="5">
        <v>89.991100000000003</v>
      </c>
      <c r="H136" s="5">
        <v>16.010000000000002</v>
      </c>
      <c r="I136" s="5">
        <v>1313</v>
      </c>
      <c r="J136" s="4" t="s">
        <v>123</v>
      </c>
    </row>
    <row r="137" spans="1:10" x14ac:dyDescent="0.25">
      <c r="A137" s="4">
        <f t="shared" ca="1" si="4"/>
        <v>134</v>
      </c>
      <c r="B137" s="4" t="s">
        <v>387</v>
      </c>
      <c r="C137" s="4" t="s">
        <v>388</v>
      </c>
      <c r="D137" s="4" t="s">
        <v>122</v>
      </c>
      <c r="E137" s="4" t="s">
        <v>66</v>
      </c>
      <c r="F137" s="4">
        <v>1000</v>
      </c>
      <c r="G137" s="5">
        <v>102.9431</v>
      </c>
      <c r="H137" s="5">
        <v>12.43</v>
      </c>
      <c r="I137" s="5">
        <v>1741</v>
      </c>
      <c r="J137" s="4" t="s">
        <v>123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122</v>
      </c>
      <c r="E138" s="4" t="s">
        <v>66</v>
      </c>
      <c r="F138" s="4">
        <v>1000</v>
      </c>
      <c r="G138" s="5">
        <v>112.29190000000001</v>
      </c>
      <c r="H138" s="5">
        <v>12.46</v>
      </c>
      <c r="I138" s="5">
        <v>2197</v>
      </c>
      <c r="J138" s="4" t="s">
        <v>123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122</v>
      </c>
      <c r="E139" s="4" t="s">
        <v>66</v>
      </c>
      <c r="F139" s="4">
        <v>1000</v>
      </c>
      <c r="G139" s="5">
        <v>103.0124</v>
      </c>
      <c r="H139" s="5">
        <v>12.43</v>
      </c>
      <c r="I139" s="5">
        <v>2104</v>
      </c>
      <c r="J139" s="4" t="s">
        <v>123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122</v>
      </c>
      <c r="E140" s="4" t="s">
        <v>66</v>
      </c>
      <c r="F140" s="4">
        <v>925.37900000000002</v>
      </c>
      <c r="G140" s="5">
        <v>98.749000000000009</v>
      </c>
      <c r="H140" s="5">
        <v>16.63</v>
      </c>
      <c r="I140" s="5">
        <v>512</v>
      </c>
      <c r="J140" s="4" t="s">
        <v>123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122</v>
      </c>
      <c r="E141" s="4" t="s">
        <v>66</v>
      </c>
      <c r="F141" s="4">
        <v>773.83300000000008</v>
      </c>
      <c r="G141" s="5">
        <v>87.389700000000005</v>
      </c>
      <c r="H141" s="5">
        <v>15.42</v>
      </c>
      <c r="I141" s="5">
        <v>4054</v>
      </c>
      <c r="J141" s="4" t="s">
        <v>123</v>
      </c>
    </row>
    <row r="142" spans="1:10" x14ac:dyDescent="0.25">
      <c r="A142" s="4">
        <f t="shared" ca="1" si="4"/>
        <v>139</v>
      </c>
      <c r="B142" s="4" t="s">
        <v>397</v>
      </c>
      <c r="C142" s="4" t="s">
        <v>75</v>
      </c>
      <c r="D142" s="4" t="s">
        <v>122</v>
      </c>
      <c r="E142" s="4" t="s">
        <v>66</v>
      </c>
      <c r="F142" s="4">
        <v>995.37700000000007</v>
      </c>
      <c r="G142" s="5">
        <v>104.07250000000001</v>
      </c>
      <c r="H142" s="5">
        <v>16.740000000000002</v>
      </c>
      <c r="I142" s="5">
        <v>29</v>
      </c>
      <c r="J142" s="4" t="s">
        <v>123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122</v>
      </c>
      <c r="E143" s="4" t="s">
        <v>66</v>
      </c>
      <c r="F143" s="4">
        <v>858.02500000000009</v>
      </c>
      <c r="G143" s="5">
        <v>95.580300000000008</v>
      </c>
      <c r="H143" s="5">
        <v>15.94</v>
      </c>
      <c r="I143" s="5">
        <v>1504</v>
      </c>
      <c r="J143" s="4" t="s">
        <v>123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122</v>
      </c>
      <c r="E144" s="4" t="s">
        <v>66</v>
      </c>
      <c r="F144" s="4">
        <v>762.54600000000005</v>
      </c>
      <c r="G144" s="5">
        <v>79.817999999999998</v>
      </c>
      <c r="H144" s="5">
        <v>15.42</v>
      </c>
      <c r="I144" s="5">
        <v>3898</v>
      </c>
      <c r="J144" s="4" t="s">
        <v>123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122</v>
      </c>
      <c r="E145" s="4" t="s">
        <v>66</v>
      </c>
      <c r="F145" s="4">
        <v>758.60599999999999</v>
      </c>
      <c r="G145" s="5">
        <v>84.490700000000004</v>
      </c>
      <c r="H145" s="5">
        <v>15.52</v>
      </c>
      <c r="I145" s="5">
        <v>2978</v>
      </c>
      <c r="J145" s="4" t="s">
        <v>123</v>
      </c>
    </row>
    <row r="146" spans="1:10" x14ac:dyDescent="0.25">
      <c r="A146" s="4">
        <f t="shared" ca="1" si="4"/>
        <v>143</v>
      </c>
      <c r="B146" s="4" t="s">
        <v>404</v>
      </c>
      <c r="C146" s="4" t="s">
        <v>109</v>
      </c>
      <c r="D146" s="4" t="s">
        <v>122</v>
      </c>
      <c r="E146" s="4" t="s">
        <v>66</v>
      </c>
      <c r="F146" s="4">
        <v>891.12400000000002</v>
      </c>
      <c r="G146" s="5">
        <v>96.392400000000009</v>
      </c>
      <c r="H146" s="5">
        <v>16.36</v>
      </c>
      <c r="I146" s="5">
        <v>841</v>
      </c>
      <c r="J146" s="4" t="s">
        <v>123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122</v>
      </c>
      <c r="E147" s="4" t="s">
        <v>66</v>
      </c>
      <c r="F147" s="4">
        <v>967.30400000000009</v>
      </c>
      <c r="G147" s="5">
        <v>100.81370000000001</v>
      </c>
      <c r="H147" s="5">
        <v>16.27</v>
      </c>
      <c r="I147" s="5">
        <v>224</v>
      </c>
      <c r="J147" s="4" t="s">
        <v>123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122</v>
      </c>
      <c r="E148" s="4" t="s">
        <v>66</v>
      </c>
      <c r="F148" s="4">
        <v>751.67100000000005</v>
      </c>
      <c r="G148" s="5">
        <v>83.253200000000007</v>
      </c>
      <c r="H148" s="5">
        <v>15.45</v>
      </c>
      <c r="I148" s="5">
        <v>3364</v>
      </c>
      <c r="J148" s="4" t="s">
        <v>123</v>
      </c>
    </row>
    <row r="149" spans="1:10" x14ac:dyDescent="0.25">
      <c r="A149" s="4">
        <f t="shared" ca="1" si="4"/>
        <v>146</v>
      </c>
      <c r="B149" s="4" t="s">
        <v>409</v>
      </c>
      <c r="C149" s="4" t="s">
        <v>93</v>
      </c>
      <c r="D149" s="4" t="s">
        <v>122</v>
      </c>
      <c r="E149" s="4" t="s">
        <v>66</v>
      </c>
      <c r="F149" s="4">
        <v>814.17700000000002</v>
      </c>
      <c r="G149" s="5">
        <v>89.343000000000004</v>
      </c>
      <c r="H149" s="5">
        <v>15.73</v>
      </c>
      <c r="I149" s="5">
        <v>1910</v>
      </c>
      <c r="J149" s="4" t="s">
        <v>123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122</v>
      </c>
      <c r="E150" s="4" t="s">
        <v>66</v>
      </c>
      <c r="F150" s="4">
        <v>789.41100000000006</v>
      </c>
      <c r="G150" s="5">
        <v>82.534100000000009</v>
      </c>
      <c r="H150" s="5">
        <v>15.54</v>
      </c>
      <c r="I150" s="5">
        <v>2800</v>
      </c>
      <c r="J150" s="4" t="s">
        <v>123</v>
      </c>
    </row>
    <row r="151" spans="1:10" x14ac:dyDescent="0.25">
      <c r="A151" s="4">
        <f t="shared" ca="1" si="4"/>
        <v>148</v>
      </c>
      <c r="B151" s="4" t="s">
        <v>412</v>
      </c>
      <c r="C151" s="4" t="s">
        <v>413</v>
      </c>
      <c r="D151" s="4" t="s">
        <v>122</v>
      </c>
      <c r="E151" s="4" t="s">
        <v>66</v>
      </c>
      <c r="F151" s="4">
        <v>983.73900000000003</v>
      </c>
      <c r="G151" s="5">
        <v>102.15780000000001</v>
      </c>
      <c r="H151" s="5">
        <v>16.260000000000002</v>
      </c>
      <c r="I151" s="5">
        <v>267</v>
      </c>
      <c r="J151" s="4" t="s">
        <v>123</v>
      </c>
    </row>
    <row r="152" spans="1:10" x14ac:dyDescent="0.25">
      <c r="A152" s="4">
        <f t="shared" ca="1" si="4"/>
        <v>149</v>
      </c>
      <c r="B152" s="4" t="s">
        <v>414</v>
      </c>
      <c r="C152" s="4" t="s">
        <v>415</v>
      </c>
      <c r="D152" s="4" t="s">
        <v>122</v>
      </c>
      <c r="E152" s="4" t="s">
        <v>66</v>
      </c>
      <c r="F152" s="4">
        <v>991.19400000000007</v>
      </c>
      <c r="G152" s="5">
        <v>100.65440000000001</v>
      </c>
      <c r="H152" s="5">
        <v>15.88</v>
      </c>
      <c r="I152" s="5">
        <v>695</v>
      </c>
      <c r="J152" s="4" t="s">
        <v>123</v>
      </c>
    </row>
    <row r="153" spans="1:10" x14ac:dyDescent="0.25">
      <c r="A153" s="4">
        <f t="shared" ca="1" si="4"/>
        <v>150</v>
      </c>
      <c r="B153" s="4" t="s">
        <v>416</v>
      </c>
      <c r="C153" s="4" t="s">
        <v>417</v>
      </c>
      <c r="D153" s="4" t="s">
        <v>122</v>
      </c>
      <c r="E153" s="4" t="s">
        <v>66</v>
      </c>
      <c r="F153" s="4">
        <v>933.74</v>
      </c>
      <c r="G153" s="5">
        <v>101.7351</v>
      </c>
      <c r="H153" s="5">
        <v>15.65</v>
      </c>
      <c r="I153" s="5">
        <v>2339</v>
      </c>
      <c r="J153" s="4" t="s">
        <v>123</v>
      </c>
    </row>
    <row r="154" spans="1:10" x14ac:dyDescent="0.25">
      <c r="A154" s="4">
        <f t="shared" ca="1" si="4"/>
        <v>151</v>
      </c>
      <c r="B154" s="4" t="s">
        <v>418</v>
      </c>
      <c r="C154" s="4" t="s">
        <v>419</v>
      </c>
      <c r="D154" s="4" t="s">
        <v>122</v>
      </c>
      <c r="E154" s="4" t="s">
        <v>66</v>
      </c>
      <c r="F154" s="4">
        <v>978.995</v>
      </c>
      <c r="G154" s="5">
        <v>110.26700000000001</v>
      </c>
      <c r="H154" s="5">
        <v>16.12</v>
      </c>
      <c r="I154" s="5">
        <v>1166</v>
      </c>
      <c r="J154" s="4" t="s">
        <v>123</v>
      </c>
    </row>
    <row r="155" spans="1:10" x14ac:dyDescent="0.25">
      <c r="A155" s="4">
        <f t="shared" ca="1" si="4"/>
        <v>152</v>
      </c>
      <c r="B155" s="4" t="s">
        <v>420</v>
      </c>
      <c r="C155" s="4" t="s">
        <v>421</v>
      </c>
      <c r="D155" s="4" t="s">
        <v>122</v>
      </c>
      <c r="E155" s="4" t="s">
        <v>66</v>
      </c>
      <c r="F155" s="4">
        <v>1000</v>
      </c>
      <c r="G155" s="5">
        <v>105.1742</v>
      </c>
      <c r="H155" s="5">
        <v>17.600000000000001</v>
      </c>
      <c r="I155" s="5">
        <v>260</v>
      </c>
      <c r="J155" s="4" t="s">
        <v>123</v>
      </c>
    </row>
    <row r="156" spans="1:10" x14ac:dyDescent="0.25">
      <c r="A156" s="4">
        <f t="shared" ca="1" si="4"/>
        <v>153</v>
      </c>
      <c r="B156" s="4" t="s">
        <v>422</v>
      </c>
      <c r="C156" s="4" t="s">
        <v>73</v>
      </c>
      <c r="D156" s="4" t="s">
        <v>122</v>
      </c>
      <c r="E156" s="4" t="s">
        <v>66</v>
      </c>
      <c r="F156" s="4">
        <v>937.221</v>
      </c>
      <c r="G156" s="5">
        <v>102.3554</v>
      </c>
      <c r="H156" s="5">
        <v>15.74</v>
      </c>
      <c r="I156" s="5">
        <v>1966</v>
      </c>
      <c r="J156" s="4" t="s">
        <v>123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122</v>
      </c>
      <c r="E157" s="4" t="s">
        <v>66</v>
      </c>
      <c r="F157" s="4">
        <v>988.44</v>
      </c>
      <c r="G157" s="5">
        <v>98.844000000000008</v>
      </c>
      <c r="H157" s="5">
        <v>16.25</v>
      </c>
      <c r="I157" s="5">
        <v>183</v>
      </c>
      <c r="J157" s="4" t="s">
        <v>123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122</v>
      </c>
      <c r="E158" s="4" t="s">
        <v>66</v>
      </c>
      <c r="F158" s="4">
        <v>949.3660000000001</v>
      </c>
      <c r="G158" s="5">
        <v>102.9242</v>
      </c>
      <c r="H158" s="5">
        <v>15.59</v>
      </c>
      <c r="I158" s="5">
        <v>2721</v>
      </c>
      <c r="J158" s="4" t="s">
        <v>123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122</v>
      </c>
      <c r="E159" s="4" t="s">
        <v>66</v>
      </c>
      <c r="F159" s="4">
        <v>871.71400000000006</v>
      </c>
      <c r="G159" s="5">
        <v>97.238100000000003</v>
      </c>
      <c r="H159" s="5">
        <v>15.78</v>
      </c>
      <c r="I159" s="5">
        <v>1887</v>
      </c>
      <c r="J159" s="4" t="s">
        <v>123</v>
      </c>
    </row>
    <row r="160" spans="1:10" x14ac:dyDescent="0.25">
      <c r="A160" s="4">
        <f t="shared" ca="1" si="4"/>
        <v>157</v>
      </c>
      <c r="B160" s="4" t="s">
        <v>429</v>
      </c>
      <c r="C160" s="4" t="s">
        <v>97</v>
      </c>
      <c r="D160" s="4" t="s">
        <v>122</v>
      </c>
      <c r="E160" s="4" t="s">
        <v>66</v>
      </c>
      <c r="F160" s="4">
        <v>1041.2830000000001</v>
      </c>
      <c r="G160" s="5">
        <v>110.6016</v>
      </c>
      <c r="H160" s="5">
        <v>15.46</v>
      </c>
      <c r="I160" s="5">
        <v>1323</v>
      </c>
      <c r="J160" s="4" t="s">
        <v>123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122</v>
      </c>
      <c r="E161" s="4" t="s">
        <v>66</v>
      </c>
      <c r="F161" s="4">
        <v>952.10599999999999</v>
      </c>
      <c r="G161" s="5">
        <v>106.81060000000001</v>
      </c>
      <c r="H161" s="5">
        <v>15.53</v>
      </c>
      <c r="I161" s="5">
        <v>2995</v>
      </c>
      <c r="J161" s="4" t="s">
        <v>123</v>
      </c>
    </row>
    <row r="162" spans="1:10" x14ac:dyDescent="0.25">
      <c r="A162" s="4">
        <f t="shared" ca="1" si="4"/>
        <v>159</v>
      </c>
      <c r="B162" s="4" t="s">
        <v>432</v>
      </c>
      <c r="C162" s="4" t="s">
        <v>433</v>
      </c>
      <c r="D162" s="4" t="s">
        <v>122</v>
      </c>
      <c r="E162" s="4" t="s">
        <v>66</v>
      </c>
      <c r="F162" s="4">
        <v>957.76200000000006</v>
      </c>
      <c r="G162" s="5">
        <v>107.45620000000001</v>
      </c>
      <c r="H162" s="5">
        <v>15.67</v>
      </c>
      <c r="I162" s="5">
        <v>2265</v>
      </c>
      <c r="J162" s="4" t="s">
        <v>123</v>
      </c>
    </row>
    <row r="163" spans="1:10" x14ac:dyDescent="0.25">
      <c r="A163" s="4">
        <f t="shared" ca="1" si="4"/>
        <v>160</v>
      </c>
      <c r="B163" s="4" t="s">
        <v>434</v>
      </c>
      <c r="C163" s="4" t="s">
        <v>435</v>
      </c>
      <c r="D163" s="4" t="s">
        <v>122</v>
      </c>
      <c r="E163" s="4" t="s">
        <v>66</v>
      </c>
      <c r="F163" s="4">
        <v>927.2170000000001</v>
      </c>
      <c r="G163" s="5">
        <v>101.02500000000001</v>
      </c>
      <c r="H163" s="5">
        <v>15.4</v>
      </c>
      <c r="I163" s="5">
        <v>4533</v>
      </c>
      <c r="J163" s="4" t="s">
        <v>123</v>
      </c>
    </row>
    <row r="164" spans="1:10" x14ac:dyDescent="0.25">
      <c r="A164" s="4">
        <f t="shared" ref="A164:A199" ca="1" si="5">IF(OFFSET(A164,-1,0)="№ п/п",1,OFFSET(A164,-1,0)+1)</f>
        <v>161</v>
      </c>
      <c r="B164" s="4" t="s">
        <v>436</v>
      </c>
      <c r="C164" s="4" t="s">
        <v>437</v>
      </c>
      <c r="D164" s="4" t="s">
        <v>122</v>
      </c>
      <c r="E164" s="4" t="s">
        <v>66</v>
      </c>
      <c r="F164" s="4">
        <v>1000</v>
      </c>
      <c r="G164" s="5">
        <v>110.967</v>
      </c>
      <c r="H164" s="5">
        <v>14.9</v>
      </c>
      <c r="I164" s="5">
        <v>1924</v>
      </c>
      <c r="J164" s="4" t="s">
        <v>123</v>
      </c>
    </row>
    <row r="165" spans="1:10" x14ac:dyDescent="0.25">
      <c r="A165" s="4">
        <f t="shared" ca="1" si="5"/>
        <v>162</v>
      </c>
      <c r="B165" s="4" t="s">
        <v>438</v>
      </c>
      <c r="C165" s="4" t="s">
        <v>82</v>
      </c>
      <c r="D165" s="4" t="s">
        <v>122</v>
      </c>
      <c r="E165" s="4" t="s">
        <v>66</v>
      </c>
      <c r="F165" s="4">
        <v>885.32500000000005</v>
      </c>
      <c r="G165" s="5">
        <v>98.09920000000001</v>
      </c>
      <c r="H165" s="5">
        <v>15.9</v>
      </c>
      <c r="I165" s="5">
        <v>1535</v>
      </c>
      <c r="J165" s="4" t="s">
        <v>123</v>
      </c>
    </row>
    <row r="166" spans="1:10" x14ac:dyDescent="0.25">
      <c r="A166" s="4">
        <f t="shared" ca="1" si="5"/>
        <v>163</v>
      </c>
      <c r="B166" s="4" t="s">
        <v>439</v>
      </c>
      <c r="C166" s="4" t="s">
        <v>440</v>
      </c>
      <c r="D166" s="4" t="s">
        <v>122</v>
      </c>
      <c r="E166" s="4" t="s">
        <v>66</v>
      </c>
      <c r="F166" s="4">
        <v>94.079599999999999</v>
      </c>
      <c r="G166" s="5">
        <v>94.079599999999999</v>
      </c>
      <c r="H166" s="5">
        <v>16.18</v>
      </c>
      <c r="I166" s="5">
        <v>143</v>
      </c>
      <c r="J166" s="4" t="s">
        <v>123</v>
      </c>
    </row>
    <row r="167" spans="1:10" x14ac:dyDescent="0.25">
      <c r="A167" s="4">
        <f t="shared" ca="1" si="5"/>
        <v>164</v>
      </c>
      <c r="B167" s="4" t="s">
        <v>441</v>
      </c>
      <c r="C167" s="4" t="s">
        <v>95</v>
      </c>
      <c r="D167" s="4" t="s">
        <v>122</v>
      </c>
      <c r="E167" s="4" t="s">
        <v>66</v>
      </c>
      <c r="F167" s="4">
        <v>98.123200000000011</v>
      </c>
      <c r="G167" s="5">
        <v>98.123200000000011</v>
      </c>
      <c r="H167" s="5">
        <v>15.87</v>
      </c>
      <c r="I167" s="5">
        <v>45</v>
      </c>
      <c r="J167" s="4" t="s">
        <v>123</v>
      </c>
    </row>
    <row r="168" spans="1:10" x14ac:dyDescent="0.25">
      <c r="A168" s="4">
        <f t="shared" ca="1" si="5"/>
        <v>165</v>
      </c>
      <c r="B168" s="4" t="s">
        <v>442</v>
      </c>
      <c r="C168" s="4" t="s">
        <v>443</v>
      </c>
      <c r="D168" s="4" t="s">
        <v>122</v>
      </c>
      <c r="E168" s="4" t="s">
        <v>66</v>
      </c>
      <c r="F168" s="4">
        <v>927.6</v>
      </c>
      <c r="G168" s="5">
        <v>104.8544</v>
      </c>
      <c r="H168" s="5">
        <v>15.51</v>
      </c>
      <c r="I168" s="5">
        <v>3339</v>
      </c>
      <c r="J168" s="4" t="s">
        <v>123</v>
      </c>
    </row>
    <row r="169" spans="1:10" x14ac:dyDescent="0.25">
      <c r="A169" s="4">
        <f t="shared" ca="1" si="5"/>
        <v>166</v>
      </c>
      <c r="B169" s="4" t="s">
        <v>444</v>
      </c>
      <c r="C169" s="4" t="s">
        <v>445</v>
      </c>
      <c r="D169" s="4" t="s">
        <v>122</v>
      </c>
      <c r="E169" s="4" t="s">
        <v>66</v>
      </c>
      <c r="F169" s="4">
        <v>0.99753399999999992</v>
      </c>
      <c r="G169" s="5">
        <v>100.7355</v>
      </c>
      <c r="H169" s="5">
        <v>4.75</v>
      </c>
      <c r="I169" s="5">
        <v>3394</v>
      </c>
      <c r="J169" s="4" t="s">
        <v>123</v>
      </c>
    </row>
    <row r="170" spans="1:10" x14ac:dyDescent="0.25">
      <c r="A170" s="4">
        <f t="shared" ca="1" si="5"/>
        <v>167</v>
      </c>
      <c r="B170" s="4" t="s">
        <v>446</v>
      </c>
      <c r="C170" s="4" t="s">
        <v>447</v>
      </c>
      <c r="D170" s="4" t="s">
        <v>122</v>
      </c>
      <c r="E170" s="4" t="s">
        <v>66</v>
      </c>
      <c r="F170" s="4">
        <v>1055.011</v>
      </c>
      <c r="G170" s="5">
        <v>109.03240000000001</v>
      </c>
      <c r="H170" s="5">
        <v>15.27</v>
      </c>
      <c r="I170" s="5">
        <v>1751</v>
      </c>
      <c r="J170" s="4" t="s">
        <v>123</v>
      </c>
    </row>
    <row r="171" spans="1:10" x14ac:dyDescent="0.25">
      <c r="A171" s="4">
        <f t="shared" ca="1" si="5"/>
        <v>168</v>
      </c>
      <c r="B171" s="4" t="s">
        <v>448</v>
      </c>
      <c r="C171" s="4" t="s">
        <v>449</v>
      </c>
      <c r="D171" s="4" t="s">
        <v>117</v>
      </c>
      <c r="E171" s="4" t="s">
        <v>450</v>
      </c>
      <c r="F171" s="4">
        <v>373.82</v>
      </c>
      <c r="G171" s="5"/>
      <c r="H171" s="5"/>
      <c r="I171" s="5"/>
      <c r="J171" s="4" t="s">
        <v>119</v>
      </c>
    </row>
    <row r="172" spans="1:10" x14ac:dyDescent="0.25">
      <c r="A172" s="4">
        <f t="shared" ca="1" si="5"/>
        <v>169</v>
      </c>
      <c r="B172" s="4" t="s">
        <v>451</v>
      </c>
      <c r="C172" s="4" t="s">
        <v>452</v>
      </c>
      <c r="D172" s="4" t="s">
        <v>117</v>
      </c>
      <c r="E172" s="4" t="s">
        <v>450</v>
      </c>
      <c r="F172" s="4">
        <v>29.05</v>
      </c>
      <c r="G172" s="5"/>
      <c r="H172" s="5"/>
      <c r="I172" s="5"/>
      <c r="J172" s="4" t="s">
        <v>146</v>
      </c>
    </row>
    <row r="173" spans="1:10" x14ac:dyDescent="0.25">
      <c r="A173" s="4">
        <f t="shared" ca="1" si="5"/>
        <v>170</v>
      </c>
      <c r="B173" s="4" t="s">
        <v>453</v>
      </c>
      <c r="C173" s="4" t="s">
        <v>454</v>
      </c>
      <c r="D173" s="4" t="s">
        <v>122</v>
      </c>
      <c r="E173" s="4" t="s">
        <v>450</v>
      </c>
      <c r="F173" s="4">
        <v>1000.253</v>
      </c>
      <c r="G173" s="5">
        <v>101.0908</v>
      </c>
      <c r="H173" s="5">
        <v>18.48</v>
      </c>
      <c r="I173" s="5">
        <v>710</v>
      </c>
      <c r="J173" s="4" t="s">
        <v>123</v>
      </c>
    </row>
    <row r="174" spans="1:10" x14ac:dyDescent="0.25">
      <c r="A174" s="4">
        <f t="shared" ca="1" si="5"/>
        <v>171</v>
      </c>
      <c r="B174" s="4" t="s">
        <v>455</v>
      </c>
      <c r="C174" s="4" t="s">
        <v>456</v>
      </c>
      <c r="D174" s="4" t="s">
        <v>122</v>
      </c>
      <c r="E174" s="4" t="s">
        <v>457</v>
      </c>
      <c r="F174" s="4">
        <v>887.96600000000001</v>
      </c>
      <c r="G174" s="5">
        <v>90.243300000000005</v>
      </c>
      <c r="H174" s="5">
        <v>17.490000000000002</v>
      </c>
      <c r="I174" s="5">
        <v>1055</v>
      </c>
      <c r="J174" s="4" t="s">
        <v>123</v>
      </c>
    </row>
    <row r="175" spans="1:10" x14ac:dyDescent="0.25">
      <c r="A175" s="4">
        <f t="shared" ca="1" si="5"/>
        <v>172</v>
      </c>
      <c r="B175" s="4" t="s">
        <v>458</v>
      </c>
      <c r="C175" s="4" t="s">
        <v>459</v>
      </c>
      <c r="D175" s="4" t="s">
        <v>117</v>
      </c>
      <c r="E175" s="4" t="s">
        <v>460</v>
      </c>
      <c r="F175" s="4">
        <v>955.91</v>
      </c>
      <c r="G175" s="5"/>
      <c r="H175" s="5"/>
      <c r="I175" s="5"/>
      <c r="J175" s="4" t="s">
        <v>119</v>
      </c>
    </row>
    <row r="176" spans="1:10" x14ac:dyDescent="0.25">
      <c r="A176" s="4">
        <f t="shared" ca="1" si="5"/>
        <v>173</v>
      </c>
      <c r="B176" s="4" t="s">
        <v>461</v>
      </c>
      <c r="C176" s="4" t="s">
        <v>462</v>
      </c>
      <c r="D176" s="4" t="s">
        <v>122</v>
      </c>
      <c r="E176" s="4" t="s">
        <v>463</v>
      </c>
      <c r="F176" s="4">
        <v>804.03</v>
      </c>
      <c r="G176" s="5">
        <v>80.586300000000008</v>
      </c>
      <c r="H176" s="5">
        <v>17.48</v>
      </c>
      <c r="I176" s="5">
        <v>1638</v>
      </c>
      <c r="J176" s="4" t="s">
        <v>123</v>
      </c>
    </row>
    <row r="177" spans="1:10" x14ac:dyDescent="0.25">
      <c r="A177" s="4">
        <f t="shared" ca="1" si="5"/>
        <v>174</v>
      </c>
      <c r="B177" s="4" t="s">
        <v>464</v>
      </c>
      <c r="C177" s="4" t="s">
        <v>465</v>
      </c>
      <c r="D177" s="4" t="s">
        <v>122</v>
      </c>
      <c r="E177" s="4" t="s">
        <v>463</v>
      </c>
      <c r="F177" s="4">
        <v>0.87333099999999997</v>
      </c>
      <c r="G177" s="5">
        <v>87.726399999999998</v>
      </c>
      <c r="H177" s="5">
        <v>5.72</v>
      </c>
      <c r="I177" s="5">
        <v>1960</v>
      </c>
      <c r="J177" s="4" t="s">
        <v>123</v>
      </c>
    </row>
    <row r="178" spans="1:10" x14ac:dyDescent="0.25">
      <c r="A178" s="4">
        <f t="shared" ca="1" si="5"/>
        <v>175</v>
      </c>
      <c r="B178" s="4" t="s">
        <v>466</v>
      </c>
      <c r="C178" s="4" t="s">
        <v>467</v>
      </c>
      <c r="D178" s="4" t="s">
        <v>122</v>
      </c>
      <c r="E178" s="4" t="s">
        <v>463</v>
      </c>
      <c r="F178" s="4">
        <v>1001.707</v>
      </c>
      <c r="G178" s="5">
        <v>101.0603</v>
      </c>
      <c r="H178" s="5">
        <v>5.2</v>
      </c>
      <c r="I178" s="5">
        <v>1400</v>
      </c>
      <c r="J178" s="4" t="s">
        <v>123</v>
      </c>
    </row>
    <row r="179" spans="1:10" x14ac:dyDescent="0.25">
      <c r="A179" s="4">
        <f t="shared" ca="1" si="5"/>
        <v>176</v>
      </c>
      <c r="B179" s="4" t="s">
        <v>468</v>
      </c>
      <c r="C179" s="4" t="s">
        <v>469</v>
      </c>
      <c r="D179" s="4" t="s">
        <v>122</v>
      </c>
      <c r="E179" s="4" t="s">
        <v>463</v>
      </c>
      <c r="F179" s="4">
        <v>0.98919199999999996</v>
      </c>
      <c r="G179" s="5">
        <v>99.7881</v>
      </c>
      <c r="H179" s="5">
        <v>4.84</v>
      </c>
      <c r="I179" s="5">
        <v>1865</v>
      </c>
      <c r="J179" s="4" t="s">
        <v>123</v>
      </c>
    </row>
    <row r="180" spans="1:10" x14ac:dyDescent="0.25">
      <c r="A180" s="4">
        <f t="shared" ca="1" si="5"/>
        <v>177</v>
      </c>
      <c r="B180" s="4" t="s">
        <v>470</v>
      </c>
      <c r="C180" s="4" t="s">
        <v>471</v>
      </c>
      <c r="D180" s="4" t="s">
        <v>122</v>
      </c>
      <c r="E180" s="4" t="s">
        <v>463</v>
      </c>
      <c r="F180" s="4">
        <v>1.0333870000000001</v>
      </c>
      <c r="G180" s="5">
        <v>104.54180000000001</v>
      </c>
      <c r="H180" s="5">
        <v>4.75</v>
      </c>
      <c r="I180" s="5">
        <v>1566</v>
      </c>
      <c r="J180" s="4" t="s">
        <v>123</v>
      </c>
    </row>
    <row r="181" spans="1:10" x14ac:dyDescent="0.25">
      <c r="A181" s="4">
        <f t="shared" ca="1" si="5"/>
        <v>178</v>
      </c>
      <c r="B181" s="4" t="s">
        <v>472</v>
      </c>
      <c r="C181" s="4" t="s">
        <v>473</v>
      </c>
      <c r="D181" s="4" t="s">
        <v>122</v>
      </c>
      <c r="E181" s="4" t="s">
        <v>463</v>
      </c>
      <c r="F181" s="4">
        <v>1.006532</v>
      </c>
      <c r="G181" s="5">
        <v>101.6995</v>
      </c>
      <c r="H181" s="5">
        <v>3.09</v>
      </c>
      <c r="I181" s="5">
        <v>983</v>
      </c>
      <c r="J181" s="4" t="s">
        <v>123</v>
      </c>
    </row>
    <row r="182" spans="1:10" x14ac:dyDescent="0.25">
      <c r="A182" s="4">
        <f t="shared" ca="1" si="5"/>
        <v>179</v>
      </c>
      <c r="B182" s="4" t="s">
        <v>474</v>
      </c>
      <c r="C182" s="4" t="s">
        <v>475</v>
      </c>
      <c r="D182" s="4" t="s">
        <v>122</v>
      </c>
      <c r="E182" s="4" t="s">
        <v>476</v>
      </c>
      <c r="F182" s="4">
        <v>1018.346</v>
      </c>
      <c r="G182" s="5">
        <v>110.1836</v>
      </c>
      <c r="H182" s="5">
        <v>18.28</v>
      </c>
      <c r="I182" s="5">
        <v>758</v>
      </c>
      <c r="J182" s="4" t="s">
        <v>123</v>
      </c>
    </row>
    <row r="183" spans="1:10" x14ac:dyDescent="0.25">
      <c r="A183" s="4">
        <f t="shared" ca="1" si="5"/>
        <v>180</v>
      </c>
      <c r="B183" s="4" t="s">
        <v>477</v>
      </c>
      <c r="C183" s="4" t="s">
        <v>478</v>
      </c>
      <c r="D183" s="4" t="s">
        <v>122</v>
      </c>
      <c r="E183" s="4" t="s">
        <v>476</v>
      </c>
      <c r="F183" s="4">
        <v>1032.8330000000001</v>
      </c>
      <c r="G183" s="5">
        <v>111.7183</v>
      </c>
      <c r="H183" s="5">
        <v>18.420000000000002</v>
      </c>
      <c r="I183" s="5">
        <v>1489</v>
      </c>
      <c r="J183" s="4" t="s">
        <v>123</v>
      </c>
    </row>
    <row r="184" spans="1:10" x14ac:dyDescent="0.25">
      <c r="A184" s="4">
        <f t="shared" ca="1" si="5"/>
        <v>181</v>
      </c>
      <c r="B184" s="4" t="s">
        <v>479</v>
      </c>
      <c r="C184" s="4" t="s">
        <v>480</v>
      </c>
      <c r="D184" s="4" t="s">
        <v>122</v>
      </c>
      <c r="E184" s="4" t="s">
        <v>476</v>
      </c>
      <c r="F184" s="4">
        <v>1051.0740000000001</v>
      </c>
      <c r="G184" s="5">
        <v>106.67740000000001</v>
      </c>
      <c r="H184" s="5">
        <v>17.88</v>
      </c>
      <c r="I184" s="5">
        <v>1433</v>
      </c>
      <c r="J184" s="4" t="s">
        <v>123</v>
      </c>
    </row>
    <row r="185" spans="1:10" x14ac:dyDescent="0.25">
      <c r="A185" s="4">
        <f t="shared" ca="1" si="5"/>
        <v>182</v>
      </c>
      <c r="B185" s="4" t="s">
        <v>481</v>
      </c>
      <c r="C185" s="4" t="s">
        <v>482</v>
      </c>
      <c r="D185" s="4" t="s">
        <v>117</v>
      </c>
      <c r="E185" s="4" t="s">
        <v>483</v>
      </c>
      <c r="F185" s="4">
        <v>27069.11</v>
      </c>
      <c r="G185" s="5"/>
      <c r="H185" s="5"/>
      <c r="I185" s="5"/>
      <c r="J185" s="4" t="s">
        <v>119</v>
      </c>
    </row>
    <row r="186" spans="1:10" x14ac:dyDescent="0.25">
      <c r="A186" s="4">
        <f t="shared" ca="1" si="5"/>
        <v>183</v>
      </c>
      <c r="B186" s="4" t="s">
        <v>484</v>
      </c>
      <c r="C186" s="4" t="s">
        <v>485</v>
      </c>
      <c r="D186" s="4" t="s">
        <v>117</v>
      </c>
      <c r="E186" s="4" t="s">
        <v>486</v>
      </c>
      <c r="F186" s="4">
        <v>40618.840000000004</v>
      </c>
      <c r="G186" s="5"/>
      <c r="H186" s="5"/>
      <c r="I186" s="5"/>
      <c r="J186" s="4" t="s">
        <v>119</v>
      </c>
    </row>
    <row r="187" spans="1:10" x14ac:dyDescent="0.25">
      <c r="A187" s="4">
        <f t="shared" ca="1" si="5"/>
        <v>184</v>
      </c>
      <c r="B187" s="4" t="s">
        <v>487</v>
      </c>
      <c r="C187" s="4" t="s">
        <v>488</v>
      </c>
      <c r="D187" s="4" t="s">
        <v>117</v>
      </c>
      <c r="E187" s="4" t="s">
        <v>486</v>
      </c>
      <c r="F187" s="4">
        <v>79.260000000000005</v>
      </c>
      <c r="G187" s="5"/>
      <c r="H187" s="5"/>
      <c r="I187" s="5"/>
      <c r="J187" s="4" t="s">
        <v>146</v>
      </c>
    </row>
    <row r="188" spans="1:10" x14ac:dyDescent="0.25">
      <c r="A188" s="4">
        <f t="shared" ca="1" si="5"/>
        <v>185</v>
      </c>
      <c r="B188" s="4" t="s">
        <v>489</v>
      </c>
      <c r="C188" s="4" t="s">
        <v>490</v>
      </c>
      <c r="D188" s="4" t="s">
        <v>122</v>
      </c>
      <c r="E188" s="4" t="s">
        <v>491</v>
      </c>
      <c r="F188" s="4">
        <v>1015.086</v>
      </c>
      <c r="G188" s="5">
        <v>105.57250000000001</v>
      </c>
      <c r="H188" s="5">
        <v>18.48</v>
      </c>
      <c r="I188" s="5">
        <v>1749</v>
      </c>
      <c r="J188" s="4" t="s">
        <v>123</v>
      </c>
    </row>
    <row r="189" spans="1:10" x14ac:dyDescent="0.25">
      <c r="A189" s="4">
        <f t="shared" ca="1" si="5"/>
        <v>186</v>
      </c>
      <c r="B189" s="4" t="s">
        <v>492</v>
      </c>
      <c r="C189" s="4" t="s">
        <v>493</v>
      </c>
      <c r="D189" s="4" t="s">
        <v>122</v>
      </c>
      <c r="E189" s="4" t="s">
        <v>491</v>
      </c>
      <c r="F189" s="4">
        <v>1015.086</v>
      </c>
      <c r="G189" s="5">
        <v>105.57250000000001</v>
      </c>
      <c r="H189" s="5">
        <v>18.48</v>
      </c>
      <c r="I189" s="5">
        <v>1749</v>
      </c>
      <c r="J189" s="4" t="s">
        <v>123</v>
      </c>
    </row>
    <row r="190" spans="1:10" x14ac:dyDescent="0.25">
      <c r="A190" s="4">
        <f t="shared" ca="1" si="5"/>
        <v>187</v>
      </c>
      <c r="B190" s="4" t="s">
        <v>494</v>
      </c>
      <c r="C190" s="4" t="s">
        <v>495</v>
      </c>
      <c r="D190" s="4" t="s">
        <v>122</v>
      </c>
      <c r="E190" s="4" t="s">
        <v>496</v>
      </c>
      <c r="F190" s="4">
        <v>295</v>
      </c>
      <c r="G190" s="5">
        <v>29.592200000000002</v>
      </c>
      <c r="H190" s="5">
        <v>16.53</v>
      </c>
      <c r="I190" s="5">
        <v>2952</v>
      </c>
      <c r="J190" s="4" t="s">
        <v>123</v>
      </c>
    </row>
    <row r="191" spans="1:10" x14ac:dyDescent="0.25">
      <c r="A191" s="4">
        <f t="shared" ca="1" si="5"/>
        <v>188</v>
      </c>
      <c r="B191" s="4" t="s">
        <v>497</v>
      </c>
      <c r="C191" s="4" t="s">
        <v>498</v>
      </c>
      <c r="D191" s="4" t="s">
        <v>122</v>
      </c>
      <c r="E191" s="4" t="s">
        <v>499</v>
      </c>
      <c r="F191" s="4">
        <v>99.994200000000006</v>
      </c>
      <c r="G191" s="5">
        <v>100.3609</v>
      </c>
      <c r="H191" s="5">
        <v>11</v>
      </c>
      <c r="I191" s="5">
        <v>354</v>
      </c>
      <c r="J191" s="4" t="s">
        <v>123</v>
      </c>
    </row>
    <row r="192" spans="1:10" x14ac:dyDescent="0.25">
      <c r="A192" s="4">
        <f t="shared" ca="1" si="5"/>
        <v>189</v>
      </c>
      <c r="B192" s="4" t="s">
        <v>500</v>
      </c>
      <c r="C192" s="4" t="s">
        <v>501</v>
      </c>
      <c r="D192" s="4" t="s">
        <v>117</v>
      </c>
      <c r="E192" s="4" t="s">
        <v>502</v>
      </c>
      <c r="F192" s="4">
        <v>6.43</v>
      </c>
      <c r="G192" s="5"/>
      <c r="H192" s="5"/>
      <c r="I192" s="5"/>
      <c r="J192" s="4" t="s">
        <v>146</v>
      </c>
    </row>
    <row r="193" spans="1:10" x14ac:dyDescent="0.25">
      <c r="A193" s="4">
        <f t="shared" ca="1" si="5"/>
        <v>190</v>
      </c>
      <c r="B193" s="4" t="s">
        <v>503</v>
      </c>
      <c r="C193" s="4" t="s">
        <v>504</v>
      </c>
      <c r="D193" s="4" t="s">
        <v>117</v>
      </c>
      <c r="E193" s="4" t="s">
        <v>502</v>
      </c>
      <c r="F193" s="4">
        <v>865.73</v>
      </c>
      <c r="G193" s="5"/>
      <c r="H193" s="5"/>
      <c r="I193" s="5"/>
      <c r="J193" s="4" t="s">
        <v>119</v>
      </c>
    </row>
    <row r="194" spans="1:10" x14ac:dyDescent="0.25">
      <c r="A194" s="4">
        <f t="shared" ca="1" si="5"/>
        <v>191</v>
      </c>
      <c r="B194" s="4" t="s">
        <v>505</v>
      </c>
      <c r="C194" s="4" t="s">
        <v>506</v>
      </c>
      <c r="D194" s="4" t="s">
        <v>122</v>
      </c>
      <c r="E194" s="4" t="s">
        <v>111</v>
      </c>
      <c r="F194" s="4">
        <v>0.99923999999999991</v>
      </c>
      <c r="G194" s="5">
        <v>101.41760000000001</v>
      </c>
      <c r="H194" s="5">
        <v>6</v>
      </c>
      <c r="I194" s="5">
        <v>87</v>
      </c>
      <c r="J194" s="4" t="s">
        <v>123</v>
      </c>
    </row>
    <row r="195" spans="1:10" x14ac:dyDescent="0.25">
      <c r="A195" s="4">
        <f t="shared" ca="1" si="5"/>
        <v>192</v>
      </c>
      <c r="B195" s="4" t="s">
        <v>507</v>
      </c>
      <c r="C195" s="4" t="s">
        <v>508</v>
      </c>
      <c r="D195" s="4" t="s">
        <v>122</v>
      </c>
      <c r="E195" s="4" t="s">
        <v>111</v>
      </c>
      <c r="F195" s="4">
        <v>1000</v>
      </c>
      <c r="G195" s="5">
        <v>104.58080000000001</v>
      </c>
      <c r="H195" s="5">
        <v>18.940000000000001</v>
      </c>
      <c r="I195" s="5">
        <v>825</v>
      </c>
      <c r="J195" s="4" t="s">
        <v>123</v>
      </c>
    </row>
    <row r="196" spans="1:10" x14ac:dyDescent="0.25">
      <c r="A196" s="4">
        <f t="shared" ca="1" si="5"/>
        <v>193</v>
      </c>
      <c r="B196" s="4" t="s">
        <v>509</v>
      </c>
      <c r="C196" s="4" t="s">
        <v>112</v>
      </c>
      <c r="D196" s="4" t="s">
        <v>122</v>
      </c>
      <c r="E196" s="4" t="s">
        <v>111</v>
      </c>
      <c r="F196" s="4">
        <v>953.14070082736407</v>
      </c>
      <c r="G196" s="5">
        <v>99.723270080000006</v>
      </c>
      <c r="H196" s="5">
        <v>17.559999999999999</v>
      </c>
      <c r="I196" s="5">
        <v>619</v>
      </c>
      <c r="J196" s="4" t="s">
        <v>123</v>
      </c>
    </row>
    <row r="197" spans="1:10" x14ac:dyDescent="0.25">
      <c r="A197" s="4">
        <f t="shared" ca="1" si="5"/>
        <v>194</v>
      </c>
      <c r="B197" s="4" t="s">
        <v>510</v>
      </c>
      <c r="C197" s="4" t="s">
        <v>511</v>
      </c>
      <c r="D197" s="4" t="s">
        <v>122</v>
      </c>
      <c r="E197" s="4" t="s">
        <v>111</v>
      </c>
      <c r="F197" s="4">
        <v>1000</v>
      </c>
      <c r="G197" s="5">
        <v>106.29860000000001</v>
      </c>
      <c r="H197" s="5">
        <v>18.95</v>
      </c>
      <c r="I197" s="5">
        <v>794</v>
      </c>
      <c r="J197" s="4" t="s">
        <v>123</v>
      </c>
    </row>
    <row r="198" spans="1:10" x14ac:dyDescent="0.25">
      <c r="A198" s="4">
        <f t="shared" ca="1" si="5"/>
        <v>195</v>
      </c>
      <c r="B198" s="4" t="s">
        <v>512</v>
      </c>
      <c r="C198" s="4" t="s">
        <v>513</v>
      </c>
      <c r="D198" s="4" t="s">
        <v>122</v>
      </c>
      <c r="E198" s="4" t="s">
        <v>514</v>
      </c>
      <c r="F198" s="4">
        <v>1.016929</v>
      </c>
      <c r="G198" s="5">
        <v>102.38930000000001</v>
      </c>
      <c r="H198" s="5">
        <v>4.6900000000000004</v>
      </c>
      <c r="I198" s="5">
        <v>867</v>
      </c>
      <c r="J198" s="4" t="s">
        <v>123</v>
      </c>
    </row>
    <row r="199" spans="1:10" x14ac:dyDescent="0.25">
      <c r="A199" s="4">
        <f t="shared" ca="1" si="5"/>
        <v>196</v>
      </c>
      <c r="B199" s="4" t="s">
        <v>515</v>
      </c>
      <c r="C199" s="4" t="s">
        <v>516</v>
      </c>
      <c r="D199" s="4" t="s">
        <v>122</v>
      </c>
      <c r="E199" s="4" t="s">
        <v>514</v>
      </c>
      <c r="F199" s="4">
        <v>1.010812</v>
      </c>
      <c r="G199" s="5">
        <v>102.1533</v>
      </c>
      <c r="H199" s="5">
        <v>4.4000000000000004</v>
      </c>
      <c r="I199" s="5">
        <v>1743</v>
      </c>
      <c r="J199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2025-12-25T05:05:04Z</dcterms:created>
  <dcterms:modified xsi:type="dcterms:W3CDTF">2025-12-25T07:36:10Z</dcterms:modified>
</cp:coreProperties>
</file>