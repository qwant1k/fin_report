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83CDE39D-B95C-494E-B0B5-5CED54772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B4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B1" i="2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M23" i="1" l="1"/>
  <c r="M19" i="1"/>
  <c r="M15" i="1"/>
  <c r="M11" i="1"/>
  <c r="M22" i="1"/>
  <c r="M18" i="1"/>
  <c r="M14" i="1"/>
  <c r="M10" i="1"/>
  <c r="M21" i="1"/>
  <c r="M17" i="1"/>
  <c r="M13" i="1"/>
  <c r="M9" i="1"/>
  <c r="M24" i="1"/>
  <c r="M20" i="1"/>
  <c r="M16" i="1"/>
  <c r="M12" i="1"/>
  <c r="M8" i="1"/>
  <c r="M26" i="1" l="1"/>
</calcChain>
</file>

<file path=xl/sharedStrings.xml><?xml version="1.0" encoding="utf-8"?>
<sst xmlns="http://schemas.openxmlformats.org/spreadsheetml/2006/main" count="165" uniqueCount="114">
  <si>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</si>
  <si>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</si>
  <si>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</si>
  <si>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</si>
  <si>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</si>
  <si>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</si>
  <si>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</si>
  <si>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</si>
  <si>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</si>
  <si>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</si>
  <si>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</si>
  <si>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</si>
  <si>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</si>
  <si>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</si>
  <si>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</si>
  <si>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</si>
  <si>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</si>
  <si>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</si>
  <si>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</si>
  <si>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</si>
  <si>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</si>
  <si>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</si>
  <si>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</si>
  <si>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</si>
  <si>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</si>
  <si>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</si>
  <si>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</si>
  <si>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</si>
  <si>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</si>
  <si>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</si>
  <si>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</si>
  <si>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</si>
  <si>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</si>
  <si>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</si>
  <si>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</si>
  <si>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</si>
  <si>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</si>
  <si>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</si>
  <si>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</si>
  <si>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</si>
  <si>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</si>
  <si>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</si>
  <si>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</si>
  <si>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</si>
  <si>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</si>
  <si>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</si>
  <si>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</si>
  <si>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</si>
  <si>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</si>
  <si>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</si>
  <si>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</si>
  <si>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</si>
  <si>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</si>
  <si>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</si>
  <si>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</si>
  <si>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</si>
  <si>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</si>
  <si>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</si>
  <si>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</si>
  <si>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</si>
  <si>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</si>
  <si>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</si>
  <si>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</si>
  <si>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</si>
  <si>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</si>
  <si>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</si>
  <si>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</si>
  <si>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KZK100000373</t>
  </si>
  <si>
    <t>KZT</t>
  </si>
  <si>
    <t>05.12.2025</t>
  </si>
  <si>
    <t>08.12.2025</t>
  </si>
  <si>
    <t>KZ96601A861038102391</t>
  </si>
  <si>
    <t>KZKD00001251</t>
  </si>
  <si>
    <t>13.03.2025</t>
  </si>
  <si>
    <t>07.03.2030</t>
  </si>
  <si>
    <t>06.02.2026</t>
  </si>
  <si>
    <t>KZK200000687</t>
  </si>
  <si>
    <t>18.07.2024</t>
  </si>
  <si>
    <t>21.01.2026</t>
  </si>
  <si>
    <t>KZKD00001160</t>
  </si>
  <si>
    <t>28.07.2029</t>
  </si>
  <si>
    <t>KZKD00001152</t>
  </si>
  <si>
    <t>26.07.2032</t>
  </si>
  <si>
    <t>KZKD00000741</t>
  </si>
  <si>
    <t>12.05.2034</t>
  </si>
  <si>
    <t>KZKD00000535</t>
  </si>
  <si>
    <t>27.03.2027</t>
  </si>
  <si>
    <t>KZKD00000790</t>
  </si>
  <si>
    <t>10.07.2025</t>
  </si>
  <si>
    <t>13.08.2029</t>
  </si>
  <si>
    <t>KZKD00000949</t>
  </si>
  <si>
    <t>16.04.2032</t>
  </si>
  <si>
    <t>KZKD00000832</t>
  </si>
  <si>
    <t>29.01.2035</t>
  </si>
  <si>
    <t>KZKD00000444</t>
  </si>
  <si>
    <t>21.08.2025</t>
  </si>
  <si>
    <t>18.08.2026</t>
  </si>
  <si>
    <t>KZK200000760</t>
  </si>
  <si>
    <t>14.08.2025</t>
  </si>
  <si>
    <t>07.08.2029</t>
  </si>
  <si>
    <t>KZKD00000477</t>
  </si>
  <si>
    <t>24.07.2025</t>
  </si>
  <si>
    <t>19.10.2027</t>
  </si>
  <si>
    <t>KZKD00001087</t>
  </si>
  <si>
    <t>31.03.2029</t>
  </si>
  <si>
    <t>KZKD00001129</t>
  </si>
  <si>
    <t>17.03.2031</t>
  </si>
  <si>
    <t>Евразийский банк развития</t>
  </si>
  <si>
    <t>KZ2D00011863</t>
  </si>
  <si>
    <t>24.09.2024</t>
  </si>
  <si>
    <t>03.09.2027</t>
  </si>
  <si>
    <t>KZKD00001137</t>
  </si>
  <si>
    <t>12.04.2028</t>
  </si>
  <si>
    <t>07.12.2025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</si>
</sst>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\Shares\&#1044;&#1077;&#1087;&#1072;&#1088;&#1090;&#1072;&#1084;&#1077;&#1085;&#1090;%20&#1041;&#1101;&#1082;-&#1086;&#1092;&#1080;&#1089;\&#1060;&#1054;&#1053;&#1044;&#1067;\&#1050;&#1060;&#1043;&#1044;\UDCAP_&#1057;&#1042;&#1045;&#1056;&#1050;&#1040;%20&#1079;&#1072;%2006122025\&#1057;&#1074;&#1077;&#1088;&#1082;&#1072;%20&#1050;&#1060;&#1043;&#1044;%20&#1079;&#1072;%2006.12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Цены KASE"/>
    </sheetNames>
    <sheetDataSet>
      <sheetData sheetId="0"/>
      <sheetData sheetId="1">
        <row r="5">
          <cell r="C5" t="str">
            <v>KZ1C00008721</v>
          </cell>
          <cell r="D5" t="str">
            <v>Акции</v>
          </cell>
          <cell r="E5" t="str">
            <v>АО "АзияАгроФуд"</v>
          </cell>
          <cell r="F5">
            <v>100</v>
          </cell>
          <cell r="G5">
            <v>100</v>
          </cell>
        </row>
        <row r="6">
          <cell r="C6" t="str">
            <v>US02376R1023</v>
          </cell>
          <cell r="D6" t="str">
            <v>Акции</v>
          </cell>
          <cell r="E6" t="str">
            <v>American Airlines</v>
          </cell>
          <cell r="F6">
            <v>7369.8290500000003</v>
          </cell>
          <cell r="G6">
            <v>7369.8290500000003</v>
          </cell>
        </row>
        <row r="7">
          <cell r="C7" t="str">
            <v>US0378331005</v>
          </cell>
          <cell r="D7" t="str">
            <v>Акции</v>
          </cell>
          <cell r="E7" t="str">
            <v xml:space="preserve">Apple Inc. </v>
          </cell>
          <cell r="F7">
            <v>143480.80739999999</v>
          </cell>
          <cell r="G7">
            <v>143480.80739999999</v>
          </cell>
        </row>
        <row r="8">
          <cell r="C8" t="str">
            <v>KZMJ00002103</v>
          </cell>
          <cell r="D8" t="str">
            <v>Облигации</v>
          </cell>
          <cell r="E8" t="str">
            <v>Акимат Актюбинской области</v>
          </cell>
          <cell r="F8">
            <v>100</v>
          </cell>
          <cell r="G8">
            <v>100.2479</v>
          </cell>
        </row>
        <row r="9">
          <cell r="C9" t="str">
            <v>KZMJ00001832</v>
          </cell>
          <cell r="D9" t="str">
            <v>Облигации</v>
          </cell>
          <cell r="E9" t="str">
            <v>Акимат Актюбинской области</v>
          </cell>
          <cell r="F9">
            <v>100</v>
          </cell>
          <cell r="G9">
            <v>100.0068</v>
          </cell>
        </row>
        <row r="10">
          <cell r="C10" t="str">
            <v>KZMJ00001931</v>
          </cell>
          <cell r="D10" t="str">
            <v>Облигации</v>
          </cell>
          <cell r="E10" t="str">
            <v>Акимат Актюбинской области</v>
          </cell>
          <cell r="F10">
            <v>100</v>
          </cell>
          <cell r="G10">
            <v>100.0038</v>
          </cell>
        </row>
        <row r="11">
          <cell r="C11" t="str">
            <v>KZMF00000069</v>
          </cell>
          <cell r="D11" t="str">
            <v>Облигации</v>
          </cell>
          <cell r="E11" t="str">
            <v>Акимат Актюбинской области</v>
          </cell>
          <cell r="F11">
            <v>100</v>
          </cell>
          <cell r="G11">
            <v>102.7111</v>
          </cell>
        </row>
        <row r="12">
          <cell r="C12" t="str">
            <v>KZMF00000812</v>
          </cell>
          <cell r="D12" t="str">
            <v>Облигации</v>
          </cell>
          <cell r="E12" t="str">
            <v>Акимат Актюбинской области</v>
          </cell>
          <cell r="F12">
            <v>100</v>
          </cell>
          <cell r="G12">
            <v>100.74939999999999</v>
          </cell>
        </row>
        <row r="13">
          <cell r="C13" t="str">
            <v>KZMJ00002830</v>
          </cell>
          <cell r="D13" t="str">
            <v>Облигации</v>
          </cell>
          <cell r="E13" t="str">
            <v>Акимат Актюбинской области</v>
          </cell>
          <cell r="F13">
            <v>96.661158866675223</v>
          </cell>
          <cell r="G13">
            <v>98.498658866675214</v>
          </cell>
        </row>
        <row r="14">
          <cell r="C14" t="str">
            <v>KZMF00000218</v>
          </cell>
          <cell r="D14" t="str">
            <v>Облигации</v>
          </cell>
          <cell r="E14" t="str">
            <v>Акимат Актюбинской области</v>
          </cell>
          <cell r="F14">
            <v>100</v>
          </cell>
          <cell r="G14">
            <v>101.88079999999999</v>
          </cell>
        </row>
        <row r="15">
          <cell r="C15" t="str">
            <v>KZMF00000325</v>
          </cell>
          <cell r="D15" t="str">
            <v>Облигации</v>
          </cell>
          <cell r="E15" t="str">
            <v>Акимат Актюбинской области</v>
          </cell>
          <cell r="F15">
            <v>100</v>
          </cell>
          <cell r="G15">
            <v>100.7286</v>
          </cell>
        </row>
        <row r="16">
          <cell r="C16" t="str">
            <v>KZMF00000333</v>
          </cell>
          <cell r="D16" t="str">
            <v>Облигации</v>
          </cell>
          <cell r="E16" t="str">
            <v>Акимат Актюбинской области</v>
          </cell>
          <cell r="F16">
            <v>100</v>
          </cell>
          <cell r="G16">
            <v>100.7286</v>
          </cell>
        </row>
        <row r="17">
          <cell r="C17" t="str">
            <v>US0028241000</v>
          </cell>
          <cell r="D17" t="str">
            <v>Акции</v>
          </cell>
          <cell r="E17" t="str">
            <v>Abbott Lab.</v>
          </cell>
          <cell r="F17">
            <v>63149.418449999997</v>
          </cell>
          <cell r="G17">
            <v>63149.418449999997</v>
          </cell>
        </row>
        <row r="18">
          <cell r="C18" t="str">
            <v>KZ2P00011364</v>
          </cell>
          <cell r="D18" t="str">
            <v>Облигации</v>
          </cell>
          <cell r="E18" t="str">
            <v>ТОО "A-cars"</v>
          </cell>
          <cell r="F18">
            <v>96.638415456994494</v>
          </cell>
          <cell r="G18">
            <v>104.43841545699449</v>
          </cell>
        </row>
        <row r="19">
          <cell r="C19" t="str">
            <v>KZ1C00000918</v>
          </cell>
          <cell r="D19" t="str">
            <v>Акции</v>
          </cell>
          <cell r="E19" t="str">
            <v>АО "Айдала Мунай"</v>
          </cell>
          <cell r="F19">
            <v>13124.6</v>
          </cell>
          <cell r="G19">
            <v>13124.6</v>
          </cell>
        </row>
        <row r="20">
          <cell r="C20" t="str">
            <v>KZ1C00014562</v>
          </cell>
          <cell r="D20" t="str">
            <v>Акции</v>
          </cell>
          <cell r="E20" t="str">
            <v>АО "Aidarly Project (Айдарлы Проджект)"</v>
          </cell>
          <cell r="F20">
            <v>0.01</v>
          </cell>
          <cell r="G20">
            <v>0.01</v>
          </cell>
        </row>
        <row r="21">
          <cell r="C21" t="str">
            <v>US0255371017</v>
          </cell>
          <cell r="D21" t="str">
            <v>Акции</v>
          </cell>
          <cell r="E21" t="str">
            <v>American Electric Power Company, Inc.</v>
          </cell>
          <cell r="F21">
            <v>59496.042049999996</v>
          </cell>
          <cell r="G21">
            <v>59496.042049999996</v>
          </cell>
        </row>
        <row r="22">
          <cell r="C22" t="str">
            <v>XS2125308168</v>
          </cell>
          <cell r="D22" t="str">
            <v>Облигации</v>
          </cell>
          <cell r="E22" t="str">
            <v>Эмират Абу-Даби</v>
          </cell>
          <cell r="F22">
            <v>96.754999999999995</v>
          </cell>
          <cell r="G22">
            <v>97.180300000000003</v>
          </cell>
        </row>
        <row r="23">
          <cell r="C23" t="str">
            <v>XS2057865979</v>
          </cell>
          <cell r="D23" t="str">
            <v>Облигации</v>
          </cell>
          <cell r="E23" t="str">
            <v>Эмират Абу-Даби</v>
          </cell>
          <cell r="F23">
            <v>94.891999999999996</v>
          </cell>
          <cell r="G23">
            <v>95.343400000000003</v>
          </cell>
        </row>
        <row r="24">
          <cell r="C24" t="str">
            <v>KZ2C00006120</v>
          </cell>
          <cell r="D24" t="str">
            <v>Облигации</v>
          </cell>
          <cell r="E24" t="str">
            <v>АО "Аграрная кредитная корпорация"</v>
          </cell>
          <cell r="F24">
            <v>96.684676269203962</v>
          </cell>
          <cell r="G24">
            <v>96.940276269203963</v>
          </cell>
        </row>
        <row r="25">
          <cell r="C25" t="str">
            <v>KZ2C00006161</v>
          </cell>
          <cell r="D25" t="str">
            <v>Облигации</v>
          </cell>
          <cell r="E25" t="str">
            <v>АО "Аграрная кредитная корпорация"</v>
          </cell>
          <cell r="F25">
            <v>93.625204916808727</v>
          </cell>
          <cell r="G25">
            <v>95.267604916808722</v>
          </cell>
        </row>
        <row r="26">
          <cell r="C26" t="str">
            <v>KZ2C00006922</v>
          </cell>
          <cell r="D26" t="str">
            <v>Облигации</v>
          </cell>
          <cell r="E26" t="str">
            <v>АО "Аграрная кредитная корпорация"</v>
          </cell>
          <cell r="F26">
            <v>76.533827804014251</v>
          </cell>
          <cell r="G26">
            <v>79.49012780401425</v>
          </cell>
        </row>
        <row r="27">
          <cell r="C27" t="str">
            <v>KZ2C00007755</v>
          </cell>
          <cell r="D27" t="str">
            <v>Облигации</v>
          </cell>
          <cell r="E27" t="str">
            <v>АО "Аграрная кредитная корпорация"</v>
          </cell>
          <cell r="F27">
            <v>88.389036075325819</v>
          </cell>
          <cell r="G27">
            <v>95.680736075325825</v>
          </cell>
        </row>
        <row r="28">
          <cell r="C28" t="str">
            <v>KZ2C00007953</v>
          </cell>
          <cell r="D28" t="str">
            <v>Облигации</v>
          </cell>
          <cell r="E28" t="str">
            <v>АО "Аграрная кредитная корпорация"</v>
          </cell>
          <cell r="F28">
            <v>59.711568464428261</v>
          </cell>
          <cell r="G28">
            <v>60.460968464428262</v>
          </cell>
        </row>
        <row r="29">
          <cell r="C29" t="str">
            <v>KZ2C00008316</v>
          </cell>
          <cell r="D29" t="str">
            <v>Облигации</v>
          </cell>
          <cell r="E29" t="str">
            <v>АО "Аграрная кредитная корпорация"</v>
          </cell>
          <cell r="F29">
            <v>75.928464160128513</v>
          </cell>
          <cell r="G29">
            <v>81.167364160128514</v>
          </cell>
        </row>
        <row r="30">
          <cell r="C30" t="str">
            <v>KZ2C00003796</v>
          </cell>
          <cell r="D30" t="str">
            <v>Облигации</v>
          </cell>
          <cell r="E30" t="str">
            <v>АО "Аграрная кредитная корпорация"</v>
          </cell>
          <cell r="F30">
            <v>97.417178918293217</v>
          </cell>
          <cell r="G30">
            <v>103.75607891829323</v>
          </cell>
        </row>
        <row r="31">
          <cell r="C31" t="str">
            <v>KZ1C00014513</v>
          </cell>
          <cell r="D31" t="str">
            <v>Акции</v>
          </cell>
          <cell r="E31" t="str">
            <v>АО "Акбакай Голд Ресорсиз"</v>
          </cell>
          <cell r="F31">
            <v>0.01</v>
          </cell>
          <cell r="G31">
            <v>0.01</v>
          </cell>
        </row>
        <row r="32">
          <cell r="C32" t="str">
            <v>KZMJ00002004</v>
          </cell>
          <cell r="D32" t="str">
            <v>Облигации</v>
          </cell>
          <cell r="E32" t="str">
            <v>Акимат области Абай</v>
          </cell>
          <cell r="F32">
            <v>100</v>
          </cell>
          <cell r="G32">
            <v>101.13330000000001</v>
          </cell>
        </row>
        <row r="33">
          <cell r="C33" t="str">
            <v>KZMJ00001857</v>
          </cell>
          <cell r="D33" t="str">
            <v>Облигации</v>
          </cell>
          <cell r="E33" t="str">
            <v>Акимат области Абай</v>
          </cell>
          <cell r="F33">
            <v>100</v>
          </cell>
          <cell r="G33">
            <v>100.17310000000001</v>
          </cell>
        </row>
        <row r="34">
          <cell r="C34" t="str">
            <v>KZMJ00002145</v>
          </cell>
          <cell r="D34" t="str">
            <v>Облигации</v>
          </cell>
          <cell r="E34" t="str">
            <v>Акимат области Абай</v>
          </cell>
          <cell r="F34">
            <v>100</v>
          </cell>
          <cell r="G34">
            <v>100.0078</v>
          </cell>
        </row>
        <row r="35">
          <cell r="C35" t="str">
            <v>KZMJ00002087</v>
          </cell>
          <cell r="D35" t="str">
            <v>Облигации</v>
          </cell>
          <cell r="E35" t="str">
            <v>Акимат области Абай</v>
          </cell>
          <cell r="F35">
            <v>100</v>
          </cell>
          <cell r="G35">
            <v>100.0193</v>
          </cell>
        </row>
        <row r="36">
          <cell r="C36" t="str">
            <v>KZMF00000978</v>
          </cell>
          <cell r="D36" t="str">
            <v>Облигации</v>
          </cell>
          <cell r="E36" t="str">
            <v>Акимат области Абай</v>
          </cell>
          <cell r="F36">
            <v>100</v>
          </cell>
          <cell r="G36">
            <v>100.00920000000001</v>
          </cell>
        </row>
        <row r="37">
          <cell r="C37" t="str">
            <v>KZMJ00002343</v>
          </cell>
          <cell r="D37" t="str">
            <v>Облигации</v>
          </cell>
          <cell r="E37" t="str">
            <v>Акимат области Абай</v>
          </cell>
          <cell r="F37">
            <v>93.495326025988874</v>
          </cell>
          <cell r="G37">
            <v>99.814726025988875</v>
          </cell>
        </row>
        <row r="38">
          <cell r="C38" t="str">
            <v>KZMJ00002384</v>
          </cell>
          <cell r="D38" t="str">
            <v>Облигации</v>
          </cell>
          <cell r="E38" t="str">
            <v>Акимат области Абай</v>
          </cell>
          <cell r="F38">
            <v>96.473388500954783</v>
          </cell>
          <cell r="G38">
            <v>101.51338850095478</v>
          </cell>
        </row>
        <row r="39">
          <cell r="C39" t="str">
            <v>KZMJ00002525</v>
          </cell>
          <cell r="D39" t="str">
            <v>Облигации</v>
          </cell>
          <cell r="E39" t="str">
            <v>Акимат области Абай</v>
          </cell>
          <cell r="F39">
            <v>96.473388500954783</v>
          </cell>
          <cell r="G39">
            <v>101.51338850095478</v>
          </cell>
        </row>
        <row r="40">
          <cell r="C40" t="str">
            <v>KZMJ00002616</v>
          </cell>
          <cell r="D40" t="str">
            <v>Облигации</v>
          </cell>
          <cell r="E40" t="str">
            <v>Акимат области Абай</v>
          </cell>
          <cell r="F40">
            <v>96.43662793730698</v>
          </cell>
          <cell r="G40">
            <v>101.26662793730698</v>
          </cell>
        </row>
        <row r="41">
          <cell r="C41" t="str">
            <v>KZ1C00004050</v>
          </cell>
          <cell r="D41" t="str">
            <v>Акции</v>
          </cell>
          <cell r="E41" t="str">
            <v>АО "Эйр Астана"</v>
          </cell>
          <cell r="F41">
            <v>861.98599716222941</v>
          </cell>
          <cell r="G41">
            <v>861.98599716222941</v>
          </cell>
        </row>
        <row r="42">
          <cell r="C42" t="str">
            <v>US0090632078</v>
          </cell>
          <cell r="D42" t="str">
            <v>Депозитарные расписки</v>
          </cell>
          <cell r="E42" t="str">
            <v>АО "Эйр Астана"</v>
          </cell>
          <cell r="F42">
            <v>3461.6246000000001</v>
          </cell>
          <cell r="G42">
            <v>3461.6246000000001</v>
          </cell>
        </row>
        <row r="43">
          <cell r="C43" t="str">
            <v>NL0000235190</v>
          </cell>
          <cell r="D43" t="str">
            <v>Акции</v>
          </cell>
          <cell r="E43" t="str">
            <v>Airbus</v>
          </cell>
          <cell r="F43">
            <v>114948.63870000002</v>
          </cell>
          <cell r="G43">
            <v>114948.63870000002</v>
          </cell>
        </row>
        <row r="44">
          <cell r="C44" t="str">
            <v>KZ1C00014141</v>
          </cell>
          <cell r="D44" t="str">
            <v>Акции</v>
          </cell>
          <cell r="E44" t="str">
            <v>АО "Акжал Голд Ресорсиз"</v>
          </cell>
          <cell r="F44">
            <v>1000</v>
          </cell>
          <cell r="G44">
            <v>1000</v>
          </cell>
        </row>
        <row r="45">
          <cell r="C45" t="str">
            <v>KZMJ00002012</v>
          </cell>
          <cell r="D45" t="str">
            <v>Облигации</v>
          </cell>
          <cell r="E45" t="str">
            <v>Акимат Акмолинской области</v>
          </cell>
          <cell r="F45">
            <v>100</v>
          </cell>
          <cell r="G45">
            <v>101.13330000000001</v>
          </cell>
        </row>
        <row r="46">
          <cell r="C46" t="str">
            <v>KZMJ00001790</v>
          </cell>
          <cell r="D46" t="str">
            <v>Облигации</v>
          </cell>
          <cell r="E46" t="str">
            <v>Акимат Акмолинской области</v>
          </cell>
          <cell r="F46">
            <v>100</v>
          </cell>
          <cell r="G46">
            <v>100.0068</v>
          </cell>
        </row>
        <row r="47">
          <cell r="C47" t="str">
            <v>KZMJ00002210</v>
          </cell>
          <cell r="D47" t="str">
            <v>Облигации</v>
          </cell>
          <cell r="E47" t="str">
            <v>Акимат Акмолинской области</v>
          </cell>
          <cell r="F47">
            <v>100</v>
          </cell>
          <cell r="G47">
            <v>100.1507</v>
          </cell>
        </row>
        <row r="48">
          <cell r="C48" t="str">
            <v>KZMF00001042</v>
          </cell>
          <cell r="D48" t="str">
            <v>Облигации</v>
          </cell>
          <cell r="E48" t="str">
            <v>Акимат Акмолинской области</v>
          </cell>
          <cell r="F48">
            <v>100</v>
          </cell>
          <cell r="G48">
            <v>100.0067</v>
          </cell>
        </row>
        <row r="49">
          <cell r="C49" t="str">
            <v>KZMF00000051</v>
          </cell>
          <cell r="D49" t="str">
            <v>Облигации</v>
          </cell>
          <cell r="E49" t="str">
            <v>Акимат Акмолинской области</v>
          </cell>
          <cell r="F49">
            <v>100</v>
          </cell>
          <cell r="G49">
            <v>102.7111</v>
          </cell>
        </row>
        <row r="50">
          <cell r="C50" t="str">
            <v>KZMF00000762</v>
          </cell>
          <cell r="D50" t="str">
            <v>Облигации</v>
          </cell>
          <cell r="E50" t="str">
            <v>Акимат Акмолинской области</v>
          </cell>
          <cell r="F50">
            <v>100</v>
          </cell>
          <cell r="G50">
            <v>100.74939999999999</v>
          </cell>
        </row>
        <row r="51">
          <cell r="C51" t="str">
            <v>KZMJ00002459</v>
          </cell>
          <cell r="D51" t="str">
            <v>Облигации</v>
          </cell>
          <cell r="E51" t="str">
            <v>Акимат Акмолинской области</v>
          </cell>
          <cell r="F51">
            <v>96.473388500954783</v>
          </cell>
          <cell r="G51">
            <v>101.51338850095478</v>
          </cell>
        </row>
        <row r="52">
          <cell r="C52" t="str">
            <v>KZMF00000283</v>
          </cell>
          <cell r="D52" t="str">
            <v>Облигации</v>
          </cell>
          <cell r="E52" t="str">
            <v>Акимат Акмолинской области</v>
          </cell>
          <cell r="F52">
            <v>100</v>
          </cell>
          <cell r="G52">
            <v>101.88079999999999</v>
          </cell>
        </row>
        <row r="53">
          <cell r="C53" t="str">
            <v>KZMF00000366</v>
          </cell>
          <cell r="D53" t="str">
            <v>Облигации</v>
          </cell>
          <cell r="E53" t="str">
            <v>Акимат Акмолинской области</v>
          </cell>
          <cell r="F53">
            <v>100</v>
          </cell>
          <cell r="G53">
            <v>100.7286</v>
          </cell>
        </row>
        <row r="54">
          <cell r="C54" t="str">
            <v>KZMF00000374</v>
          </cell>
          <cell r="D54" t="str">
            <v>Облигации</v>
          </cell>
          <cell r="E54" t="str">
            <v>Акимат Акмолинской области</v>
          </cell>
          <cell r="F54">
            <v>100</v>
          </cell>
          <cell r="G54">
            <v>100.7286</v>
          </cell>
        </row>
        <row r="55">
          <cell r="C55" t="str">
            <v>KZMF00000614</v>
          </cell>
          <cell r="D55" t="str">
            <v>Облигации</v>
          </cell>
          <cell r="E55" t="str">
            <v>Акимат Акмолинской области</v>
          </cell>
          <cell r="F55">
            <v>100</v>
          </cell>
          <cell r="G55">
            <v>105.69329999999999</v>
          </cell>
        </row>
        <row r="56">
          <cell r="C56" t="str">
            <v>KZ2C00005676</v>
          </cell>
          <cell r="D56" t="str">
            <v>Акции</v>
          </cell>
          <cell r="E56" t="str">
            <v>АО "АстанаГаз КМГ"</v>
          </cell>
          <cell r="F56">
            <v>1129.78</v>
          </cell>
          <cell r="G56">
            <v>1129.78</v>
          </cell>
        </row>
        <row r="57">
          <cell r="C57" t="str">
            <v>KZ2C00005841</v>
          </cell>
          <cell r="D57" t="str">
            <v>Акции</v>
          </cell>
          <cell r="E57" t="str">
            <v>АО "АстанаГаз КМГ"</v>
          </cell>
          <cell r="F57">
            <v>0.01</v>
          </cell>
          <cell r="G57">
            <v>0.01</v>
          </cell>
        </row>
        <row r="58">
          <cell r="C58" t="str">
            <v>KZ1C00001007</v>
          </cell>
          <cell r="D58" t="str">
            <v>Акции</v>
          </cell>
          <cell r="E58" t="str">
            <v>АО "Ай Карааул"</v>
          </cell>
          <cell r="F58">
            <v>0.01</v>
          </cell>
          <cell r="G58">
            <v>0.01</v>
          </cell>
        </row>
        <row r="59">
          <cell r="C59" t="str">
            <v>KZ2P00013733</v>
          </cell>
          <cell r="D59" t="str">
            <v>Облигации</v>
          </cell>
          <cell r="E59" t="str">
            <v>ТОО "АКВЕЙ"</v>
          </cell>
          <cell r="F59">
            <v>99.078963426682833</v>
          </cell>
          <cell r="G59">
            <v>101.75116342668284</v>
          </cell>
        </row>
        <row r="60">
          <cell r="C60" t="str">
            <v>KZ1C00001288</v>
          </cell>
          <cell r="D60" t="str">
            <v>Акции</v>
          </cell>
          <cell r="E60" t="str">
            <v xml:space="preserve">АО "Актюбинский завод металлоконструкций" </v>
          </cell>
          <cell r="F60">
            <v>6301.35</v>
          </cell>
          <cell r="G60">
            <v>6301.35</v>
          </cell>
        </row>
        <row r="61">
          <cell r="C61" t="str">
            <v>KZ2C00006062</v>
          </cell>
          <cell r="D61" t="str">
            <v>Облигации</v>
          </cell>
          <cell r="E61" t="str">
            <v>АО "Банк ЦентрКредит"</v>
          </cell>
          <cell r="F61">
            <v>94.100100268297268</v>
          </cell>
          <cell r="G61">
            <v>95.294500268297256</v>
          </cell>
        </row>
        <row r="62">
          <cell r="C62" t="str">
            <v>KZAJ00000127</v>
          </cell>
          <cell r="D62" t="str">
            <v>Облигации</v>
          </cell>
          <cell r="E62" t="str">
            <v>Акимат г. Алматы</v>
          </cell>
          <cell r="F62">
            <v>100</v>
          </cell>
          <cell r="G62">
            <v>100.8146</v>
          </cell>
        </row>
        <row r="63">
          <cell r="C63" t="str">
            <v>KZAJ00000135</v>
          </cell>
          <cell r="D63" t="str">
            <v>Облигации</v>
          </cell>
          <cell r="E63" t="str">
            <v>Акимат г. Алматы</v>
          </cell>
          <cell r="F63">
            <v>100</v>
          </cell>
          <cell r="G63">
            <v>100.00539999999999</v>
          </cell>
        </row>
        <row r="64">
          <cell r="C64" t="str">
            <v>KZAF00000089</v>
          </cell>
          <cell r="D64" t="str">
            <v>Облигации</v>
          </cell>
          <cell r="E64" t="str">
            <v>Акимат г. Алматы</v>
          </cell>
          <cell r="F64">
            <v>100</v>
          </cell>
          <cell r="G64">
            <v>106.7253</v>
          </cell>
        </row>
        <row r="65">
          <cell r="C65" t="str">
            <v>KZAF00000022</v>
          </cell>
          <cell r="D65" t="str">
            <v>Облигации</v>
          </cell>
          <cell r="E65" t="str">
            <v>Акимат г. Алматы</v>
          </cell>
          <cell r="F65">
            <v>100</v>
          </cell>
          <cell r="G65">
            <v>102.7111</v>
          </cell>
        </row>
        <row r="66">
          <cell r="C66" t="str">
            <v>KZAF00000071</v>
          </cell>
          <cell r="D66" t="str">
            <v>Облигации</v>
          </cell>
          <cell r="E66" t="str">
            <v>Акимат г. Алматы</v>
          </cell>
          <cell r="F66">
            <v>100</v>
          </cell>
          <cell r="G66">
            <v>100.74939999999999</v>
          </cell>
        </row>
        <row r="67">
          <cell r="C67" t="str">
            <v>KZAF00000030</v>
          </cell>
          <cell r="D67" t="str">
            <v>Облигации</v>
          </cell>
          <cell r="E67" t="str">
            <v>Акимат г. Алматы</v>
          </cell>
          <cell r="F67">
            <v>100</v>
          </cell>
          <cell r="G67">
            <v>101.88079999999999</v>
          </cell>
        </row>
        <row r="68">
          <cell r="C68" t="str">
            <v>KZAF00000048</v>
          </cell>
          <cell r="D68" t="str">
            <v>Облигации</v>
          </cell>
          <cell r="E68" t="str">
            <v>Акимат г. Алматы</v>
          </cell>
          <cell r="F68">
            <v>100</v>
          </cell>
          <cell r="G68">
            <v>100.7286</v>
          </cell>
        </row>
        <row r="69">
          <cell r="C69" t="str">
            <v>KZAF00000055</v>
          </cell>
          <cell r="D69" t="str">
            <v>Облигации</v>
          </cell>
          <cell r="E69" t="str">
            <v>Акимат г. Алматы</v>
          </cell>
          <cell r="F69">
            <v>100</v>
          </cell>
          <cell r="G69">
            <v>100.7286</v>
          </cell>
        </row>
        <row r="70">
          <cell r="C70" t="str">
            <v>KZAF00000063</v>
          </cell>
          <cell r="D70" t="str">
            <v>Облигации</v>
          </cell>
          <cell r="E70" t="str">
            <v>Акимат г. Алматы</v>
          </cell>
          <cell r="F70">
            <v>100</v>
          </cell>
          <cell r="G70">
            <v>105.69329999999999</v>
          </cell>
        </row>
        <row r="71">
          <cell r="C71" t="str">
            <v>KZ2P00008758</v>
          </cell>
          <cell r="D71" t="str">
            <v>Облигации</v>
          </cell>
          <cell r="E71" t="str">
            <v>АО "АИФН "Алматы Логистик Центр"</v>
          </cell>
          <cell r="F71">
            <v>89.938432738693479</v>
          </cell>
          <cell r="G71">
            <v>92.134232738693484</v>
          </cell>
        </row>
        <row r="72">
          <cell r="C72" t="str">
            <v>KZ1C00001080</v>
          </cell>
          <cell r="D72" t="str">
            <v>Акции</v>
          </cell>
          <cell r="E72" t="str">
            <v>АО "АК Алтыналмас"</v>
          </cell>
          <cell r="F72">
            <v>14000</v>
          </cell>
          <cell r="G72">
            <v>14000</v>
          </cell>
        </row>
        <row r="73">
          <cell r="C73" t="str">
            <v>KZ2C00012953</v>
          </cell>
          <cell r="D73" t="str">
            <v>Облигации</v>
          </cell>
          <cell r="E73" t="str">
            <v>АО "АК Алтыналмас"</v>
          </cell>
          <cell r="F73">
            <v>98.561372507307553</v>
          </cell>
          <cell r="G73">
            <v>100.09467250730755</v>
          </cell>
        </row>
        <row r="74">
          <cell r="C74" t="str">
            <v>KZ1C00001460</v>
          </cell>
          <cell r="D74" t="str">
            <v>Акции</v>
          </cell>
          <cell r="E74" t="str">
            <v>АО "Алма Телекоммуникейшнс Казахстан"</v>
          </cell>
          <cell r="F74">
            <v>0.01</v>
          </cell>
          <cell r="G74">
            <v>0.01</v>
          </cell>
        </row>
        <row r="75">
          <cell r="C75" t="str">
            <v>KZ1C00000983</v>
          </cell>
          <cell r="D75" t="str">
            <v>Акции</v>
          </cell>
          <cell r="E75" t="str">
            <v>АО "Алтай Ресорсиз"</v>
          </cell>
          <cell r="F75">
            <v>15.43</v>
          </cell>
          <cell r="G75">
            <v>15.43</v>
          </cell>
        </row>
        <row r="76">
          <cell r="C76" t="str">
            <v>US0079031078</v>
          </cell>
          <cell r="D76" t="str">
            <v>Акции</v>
          </cell>
          <cell r="E76" t="str">
            <v>Advanced Micro Devices, Inc.</v>
          </cell>
          <cell r="F76">
            <v>109197.60400000001</v>
          </cell>
          <cell r="G76">
            <v>109197.60400000001</v>
          </cell>
        </row>
        <row r="77">
          <cell r="C77" t="str">
            <v>KZ0009093902</v>
          </cell>
          <cell r="D77" t="str">
            <v>Акции</v>
          </cell>
          <cell r="E77" t="str">
            <v>АО "СНПС - Актобемунайгаз"</v>
          </cell>
          <cell r="F77">
            <v>15500.01</v>
          </cell>
          <cell r="G77">
            <v>15500.01</v>
          </cell>
        </row>
        <row r="78">
          <cell r="C78" t="str">
            <v>KZ1C00000603</v>
          </cell>
          <cell r="D78" t="str">
            <v>Акции</v>
          </cell>
          <cell r="E78" t="str">
            <v>АО "СК "Amanat"</v>
          </cell>
          <cell r="F78">
            <v>0.01</v>
          </cell>
          <cell r="G78">
            <v>0.01</v>
          </cell>
        </row>
        <row r="79">
          <cell r="C79" t="str">
            <v>KZ1C00001601</v>
          </cell>
          <cell r="D79" t="str">
            <v>Акции</v>
          </cell>
          <cell r="E79" t="str">
            <v>АО "Аскер Мунай Эксплорэйшн"</v>
          </cell>
          <cell r="F79">
            <v>0.01</v>
          </cell>
          <cell r="G79">
            <v>0.01</v>
          </cell>
        </row>
        <row r="80">
          <cell r="C80" t="str">
            <v>US0231351067</v>
          </cell>
          <cell r="D80" t="str">
            <v>Акции</v>
          </cell>
          <cell r="E80" t="str">
            <v>Amazon.com, Inc.</v>
          </cell>
          <cell r="F80">
            <v>117238.56435</v>
          </cell>
          <cell r="G80">
            <v>117238.56435</v>
          </cell>
        </row>
        <row r="81">
          <cell r="C81" t="str">
            <v>KZ1C00001163</v>
          </cell>
          <cell r="D81" t="str">
            <v>Акции</v>
          </cell>
          <cell r="E81" t="str">
            <v>АО "Ушкую"</v>
          </cell>
          <cell r="F81">
            <v>0.01</v>
          </cell>
          <cell r="G81">
            <v>0.01</v>
          </cell>
        </row>
        <row r="82">
          <cell r="C82" t="str">
            <v>KZ2P00008493</v>
          </cell>
          <cell r="D82" t="str">
            <v>Облигации</v>
          </cell>
          <cell r="E82" t="str">
            <v>ТОО "АРКАДА ИНДАСТРИ"</v>
          </cell>
          <cell r="F82">
            <v>95.32013413231121</v>
          </cell>
          <cell r="G82">
            <v>98.932634132311208</v>
          </cell>
        </row>
        <row r="83">
          <cell r="C83" t="str">
            <v>KZ2P00009202</v>
          </cell>
          <cell r="D83" t="str">
            <v>Облигации</v>
          </cell>
          <cell r="E83" t="str">
            <v>ТОО "АРКАДА ИНДАСТРИ"</v>
          </cell>
          <cell r="F83">
            <v>96.870932093022844</v>
          </cell>
          <cell r="G83">
            <v>108.78763209302285</v>
          </cell>
        </row>
        <row r="84">
          <cell r="C84" t="str">
            <v>KZ2P00009665</v>
          </cell>
          <cell r="D84" t="str">
            <v>Облигации</v>
          </cell>
          <cell r="E84" t="str">
            <v>ТОО "АРКАДА ИНДАСТРИ"</v>
          </cell>
          <cell r="F84">
            <v>96.824658286599785</v>
          </cell>
          <cell r="G84">
            <v>99.496858286599789</v>
          </cell>
        </row>
        <row r="85">
          <cell r="C85" t="str">
            <v>KZMF00001034</v>
          </cell>
          <cell r="D85" t="str">
            <v>Облигации</v>
          </cell>
          <cell r="E85" t="str">
            <v>Акимат Атырауской области</v>
          </cell>
          <cell r="F85">
            <v>100</v>
          </cell>
          <cell r="G85">
            <v>100.0078</v>
          </cell>
        </row>
        <row r="86">
          <cell r="C86" t="str">
            <v>KZMF00000028</v>
          </cell>
          <cell r="D86" t="str">
            <v>Облигации</v>
          </cell>
          <cell r="E86" t="str">
            <v>Акимат Атырауской области</v>
          </cell>
          <cell r="F86">
            <v>100</v>
          </cell>
          <cell r="G86">
            <v>102.7111</v>
          </cell>
        </row>
        <row r="87">
          <cell r="C87" t="str">
            <v>KZMF00000796</v>
          </cell>
          <cell r="D87" t="str">
            <v>Облигации</v>
          </cell>
          <cell r="E87" t="str">
            <v>Акимат Атырауской области</v>
          </cell>
          <cell r="F87">
            <v>100</v>
          </cell>
          <cell r="G87">
            <v>100.74939999999999</v>
          </cell>
        </row>
        <row r="88">
          <cell r="C88" t="str">
            <v>KZMF00000291</v>
          </cell>
          <cell r="D88" t="str">
            <v>Облигации</v>
          </cell>
          <cell r="E88" t="str">
            <v>Акимат Атырауской области</v>
          </cell>
          <cell r="F88">
            <v>100</v>
          </cell>
          <cell r="G88">
            <v>101.88079999999999</v>
          </cell>
        </row>
        <row r="89">
          <cell r="C89" t="str">
            <v>KZMF00000457</v>
          </cell>
          <cell r="D89" t="str">
            <v>Облигации</v>
          </cell>
          <cell r="E89" t="str">
            <v>Акимат Атырауской области</v>
          </cell>
          <cell r="F89">
            <v>100</v>
          </cell>
          <cell r="G89">
            <v>100.7286</v>
          </cell>
        </row>
        <row r="90">
          <cell r="C90" t="str">
            <v>KZMF00000465</v>
          </cell>
          <cell r="D90" t="str">
            <v>Облигации</v>
          </cell>
          <cell r="E90" t="str">
            <v>Акимат Атырауской области</v>
          </cell>
          <cell r="F90">
            <v>100</v>
          </cell>
          <cell r="G90">
            <v>100.7286</v>
          </cell>
        </row>
        <row r="91">
          <cell r="C91" t="str">
            <v>KZMF00000671</v>
          </cell>
          <cell r="D91" t="str">
            <v>Облигации</v>
          </cell>
          <cell r="E91" t="str">
            <v>Акимат Атырауской области</v>
          </cell>
          <cell r="F91">
            <v>100</v>
          </cell>
          <cell r="G91">
            <v>105.69329999999999</v>
          </cell>
        </row>
        <row r="92">
          <cell r="C92" t="str">
            <v>KZ2C00011203</v>
          </cell>
          <cell r="D92" t="str">
            <v>Облигации</v>
          </cell>
          <cell r="E92" t="str">
            <v>АО "Аэропорт "Сары-Арка"</v>
          </cell>
          <cell r="F92">
            <v>101.05847880079365</v>
          </cell>
          <cell r="G92">
            <v>101.37017880079365</v>
          </cell>
        </row>
        <row r="93">
          <cell r="C93" t="str">
            <v>KZ2P00014293</v>
          </cell>
          <cell r="D93" t="str">
            <v>Облигации</v>
          </cell>
          <cell r="E93" t="str">
            <v>ТОО "Asia Bell"</v>
          </cell>
          <cell r="F93">
            <v>97.406285361946445</v>
          </cell>
          <cell r="G93">
            <v>99.881285361946439</v>
          </cell>
        </row>
        <row r="94">
          <cell r="C94" t="str">
            <v>KZ000A0F4546</v>
          </cell>
          <cell r="D94" t="str">
            <v>Акции</v>
          </cell>
          <cell r="E94" t="str">
            <v>АО "ForteBank"</v>
          </cell>
          <cell r="F94">
            <v>13.26</v>
          </cell>
          <cell r="G94">
            <v>13.26</v>
          </cell>
        </row>
        <row r="95">
          <cell r="C95" t="str">
            <v>US34955X5077</v>
          </cell>
          <cell r="D95" t="str">
            <v>Депозитарные расписки</v>
          </cell>
          <cell r="E95" t="str">
            <v>АО "ForteBank"</v>
          </cell>
          <cell r="F95">
            <v>2737.9090000000001</v>
          </cell>
          <cell r="G95">
            <v>2737.9090000000001</v>
          </cell>
        </row>
        <row r="96">
          <cell r="C96" t="str">
            <v>XS2610164944</v>
          </cell>
          <cell r="D96" t="str">
            <v>Облигации</v>
          </cell>
          <cell r="E96" t="str">
            <v>Азиатский банк развития</v>
          </cell>
          <cell r="F96">
            <v>87.0835576946874</v>
          </cell>
          <cell r="G96">
            <v>90.138557694687393</v>
          </cell>
        </row>
        <row r="97">
          <cell r="C97" t="str">
            <v>US045167FW84</v>
          </cell>
          <cell r="D97" t="str">
            <v>Облигации</v>
          </cell>
          <cell r="E97" t="str">
            <v>Азиатский банк развития</v>
          </cell>
          <cell r="F97">
            <v>100.38</v>
          </cell>
          <cell r="G97">
            <v>100.7967</v>
          </cell>
        </row>
        <row r="98">
          <cell r="C98" t="str">
            <v>US045167GD94</v>
          </cell>
          <cell r="D98" t="str">
            <v>Облигации</v>
          </cell>
          <cell r="E98" t="str">
            <v>Азиатский банк развития</v>
          </cell>
          <cell r="F98">
            <v>102.27500000000001</v>
          </cell>
          <cell r="G98">
            <v>103.3566</v>
          </cell>
        </row>
        <row r="99">
          <cell r="C99" t="str">
            <v>XS2971950428</v>
          </cell>
          <cell r="D99" t="str">
            <v>Облигации</v>
          </cell>
          <cell r="E99" t="str">
            <v>Азиатский банк развития</v>
          </cell>
          <cell r="F99">
            <v>95.64103871656944</v>
          </cell>
          <cell r="G99">
            <v>97.344838716569441</v>
          </cell>
        </row>
        <row r="100">
          <cell r="C100" t="str">
            <v>XS1937714753</v>
          </cell>
          <cell r="D100" t="str">
            <v>Облигации</v>
          </cell>
          <cell r="E100" t="str">
            <v>Азиатский банк развития</v>
          </cell>
          <cell r="F100">
            <v>99.213390055030032</v>
          </cell>
          <cell r="G100">
            <v>100.31069005503004</v>
          </cell>
        </row>
        <row r="101">
          <cell r="C101" t="str">
            <v>XS3015676425</v>
          </cell>
          <cell r="D101" t="str">
            <v>Облигации</v>
          </cell>
          <cell r="E101" t="str">
            <v>Азиатский банк развития</v>
          </cell>
          <cell r="F101">
            <v>91.67475779024565</v>
          </cell>
          <cell r="G101">
            <v>94.957957790245658</v>
          </cell>
        </row>
        <row r="102">
          <cell r="C102" t="str">
            <v>XS3145682491</v>
          </cell>
          <cell r="D102" t="str">
            <v>Облигации</v>
          </cell>
          <cell r="E102" t="str">
            <v>Азиатский банк развития</v>
          </cell>
          <cell r="F102">
            <v>96.651304199808607</v>
          </cell>
          <cell r="G102">
            <v>101.84570419980861</v>
          </cell>
        </row>
        <row r="103">
          <cell r="C103" t="str">
            <v>XS3171554333</v>
          </cell>
          <cell r="D103" t="str">
            <v>Облигации</v>
          </cell>
          <cell r="E103" t="str">
            <v>Азиатский банк развития</v>
          </cell>
          <cell r="F103">
            <v>100</v>
          </cell>
          <cell r="G103">
            <v>100.5941</v>
          </cell>
        </row>
        <row r="104">
          <cell r="C104" t="str">
            <v>XS3231207146</v>
          </cell>
          <cell r="D104" t="str">
            <v>Облигации</v>
          </cell>
          <cell r="E104" t="str">
            <v>Азиатский банк развития</v>
          </cell>
          <cell r="F104">
            <v>100</v>
          </cell>
          <cell r="G104">
            <v>100.49509999999999</v>
          </cell>
        </row>
        <row r="105">
          <cell r="C105" t="str">
            <v>XS2294363416</v>
          </cell>
          <cell r="D105" t="str">
            <v>Облигации</v>
          </cell>
          <cell r="E105" t="str">
            <v>Азиатский банк развития</v>
          </cell>
          <cell r="F105">
            <v>76.775000000000006</v>
          </cell>
          <cell r="G105">
            <v>78.974199999999996</v>
          </cell>
        </row>
        <row r="106">
          <cell r="C106" t="str">
            <v>XS2294363689</v>
          </cell>
          <cell r="D106" t="str">
            <v>Акции</v>
          </cell>
          <cell r="E106" t="str">
            <v>Азиатский банк развития</v>
          </cell>
          <cell r="F106">
            <v>1.0115083333333332</v>
          </cell>
          <cell r="G106">
            <v>1.0115083333333332</v>
          </cell>
        </row>
        <row r="107">
          <cell r="C107" t="str">
            <v>XS2351373134</v>
          </cell>
          <cell r="D107" t="str">
            <v>Акции</v>
          </cell>
          <cell r="E107" t="str">
            <v>Азиатский банк развития</v>
          </cell>
          <cell r="F107">
            <v>0.87100166666666667</v>
          </cell>
          <cell r="G107">
            <v>0.87100166666666667</v>
          </cell>
        </row>
        <row r="108">
          <cell r="C108" t="str">
            <v>XS2444205756</v>
          </cell>
          <cell r="D108" t="str">
            <v>Облигации</v>
          </cell>
          <cell r="E108" t="str">
            <v>Азиатский банк развития</v>
          </cell>
          <cell r="F108">
            <v>79.555000000000007</v>
          </cell>
          <cell r="G108">
            <v>81.938299999999998</v>
          </cell>
        </row>
        <row r="109">
          <cell r="C109" t="str">
            <v>KZZJ00000136</v>
          </cell>
          <cell r="D109" t="str">
            <v>Облигации</v>
          </cell>
          <cell r="E109" t="str">
            <v>Акимат г. Астана</v>
          </cell>
          <cell r="F109">
            <v>100</v>
          </cell>
          <cell r="G109">
            <v>101.7118</v>
          </cell>
        </row>
        <row r="110">
          <cell r="C110" t="str">
            <v>KZZJ00000151</v>
          </cell>
          <cell r="D110" t="str">
            <v>Облигации</v>
          </cell>
          <cell r="E110" t="str">
            <v>Акимат г. Астана</v>
          </cell>
          <cell r="F110">
            <v>100</v>
          </cell>
          <cell r="G110">
            <v>101.66459999999999</v>
          </cell>
        </row>
        <row r="111">
          <cell r="C111" t="str">
            <v>KZZJ00000128</v>
          </cell>
          <cell r="D111" t="str">
            <v>Облигации</v>
          </cell>
          <cell r="E111" t="str">
            <v>Акимат г. Астана</v>
          </cell>
          <cell r="F111">
            <v>100</v>
          </cell>
          <cell r="G111">
            <v>100.0175</v>
          </cell>
        </row>
        <row r="112">
          <cell r="C112" t="str">
            <v>KZZJ00000169</v>
          </cell>
          <cell r="D112" t="str">
            <v>Облигации</v>
          </cell>
          <cell r="E112" t="str">
            <v>Акимат г. Астана</v>
          </cell>
          <cell r="F112">
            <v>100</v>
          </cell>
          <cell r="G112">
            <v>100.1215</v>
          </cell>
        </row>
        <row r="113">
          <cell r="C113" t="str">
            <v>KZZJ00000144</v>
          </cell>
          <cell r="D113" t="str">
            <v>Облигации</v>
          </cell>
          <cell r="E113" t="str">
            <v>Акимат г. Астана</v>
          </cell>
          <cell r="F113">
            <v>100</v>
          </cell>
          <cell r="G113">
            <v>100.0067</v>
          </cell>
        </row>
        <row r="114">
          <cell r="C114" t="str">
            <v>KZZF00000015</v>
          </cell>
          <cell r="D114" t="str">
            <v>Облигации</v>
          </cell>
          <cell r="E114" t="str">
            <v>Акимат г. Астана</v>
          </cell>
          <cell r="F114">
            <v>100</v>
          </cell>
          <cell r="G114">
            <v>102.7111</v>
          </cell>
        </row>
        <row r="115">
          <cell r="C115" t="str">
            <v>KZ1C00014851</v>
          </cell>
          <cell r="D115" t="str">
            <v>Акции</v>
          </cell>
          <cell r="E115" t="str">
            <v xml:space="preserve">АО "ALTYN SAMRUK QAZAQSTAN" </v>
          </cell>
          <cell r="F115">
            <v>0.01</v>
          </cell>
          <cell r="G115">
            <v>0.01</v>
          </cell>
        </row>
        <row r="116">
          <cell r="C116" t="str">
            <v>KZ2C00010155</v>
          </cell>
          <cell r="D116" t="str">
            <v>Облигации</v>
          </cell>
          <cell r="E116" t="str">
            <v xml:space="preserve">АО "ALTYN SAMRUK QAZAQSTAN" </v>
          </cell>
          <cell r="F116">
            <v>95.051458434052179</v>
          </cell>
          <cell r="G116">
            <v>95.151458434052174</v>
          </cell>
        </row>
        <row r="117">
          <cell r="C117" t="str">
            <v>KZ1P00014989</v>
          </cell>
          <cell r="D117" t="str">
            <v>Акции</v>
          </cell>
          <cell r="E117" t="str">
            <v xml:space="preserve">АО "ALTYN SAMRUK QAZAQSTAN" </v>
          </cell>
          <cell r="F117">
            <v>0.01</v>
          </cell>
          <cell r="G117">
            <v>0.01</v>
          </cell>
        </row>
        <row r="118">
          <cell r="C118" t="str">
            <v>KZ1C00001585</v>
          </cell>
          <cell r="D118" t="str">
            <v>Акции</v>
          </cell>
          <cell r="E118" t="str">
            <v>АО "КСЖ "Freedom Life"</v>
          </cell>
          <cell r="F118">
            <v>2418.66</v>
          </cell>
          <cell r="G118">
            <v>2418.66</v>
          </cell>
        </row>
        <row r="119">
          <cell r="C119" t="str">
            <v>KZ2P00008998</v>
          </cell>
          <cell r="D119" t="str">
            <v>Облигации</v>
          </cell>
          <cell r="E119" t="str">
            <v>ТОО "ASIA PARK" ("АЗИЯ ПАРК")</v>
          </cell>
          <cell r="F119">
            <v>94.46625698687474</v>
          </cell>
          <cell r="G119">
            <v>94.899556986874742</v>
          </cell>
        </row>
        <row r="120">
          <cell r="C120" t="str">
            <v>KZ2P00011091</v>
          </cell>
          <cell r="D120" t="str">
            <v>Облигации</v>
          </cell>
          <cell r="E120" t="str">
            <v>ТОО "ASIA PARK" ("АЗИЯ ПАРК")</v>
          </cell>
          <cell r="F120">
            <v>91.045764570653176</v>
          </cell>
          <cell r="G120">
            <v>93.892964570653177</v>
          </cell>
        </row>
        <row r="121">
          <cell r="C121" t="str">
            <v>KZ1C00000678</v>
          </cell>
          <cell r="D121" t="str">
            <v>Акции</v>
          </cell>
          <cell r="E121" t="str">
            <v>АО "ASTEL" (АСТЕЛ)</v>
          </cell>
          <cell r="F121">
            <v>0.01</v>
          </cell>
          <cell r="G121">
            <v>0.01</v>
          </cell>
        </row>
        <row r="122">
          <cell r="C122" t="str">
            <v>KZ1C00001171</v>
          </cell>
          <cell r="D122" t="str">
            <v>Акции</v>
          </cell>
          <cell r="E122" t="str">
            <v>АО "AltynEx Company"</v>
          </cell>
          <cell r="F122">
            <v>0.01</v>
          </cell>
          <cell r="G122">
            <v>0.01</v>
          </cell>
        </row>
        <row r="123">
          <cell r="C123" t="str">
            <v>KZ2C00003135</v>
          </cell>
          <cell r="D123" t="str">
            <v>Облигации</v>
          </cell>
          <cell r="E123" t="str">
            <v>АО "Alatau City Bank"</v>
          </cell>
          <cell r="F123">
            <v>98.01264185690755</v>
          </cell>
          <cell r="G123">
            <v>100.47634185690755</v>
          </cell>
        </row>
        <row r="124">
          <cell r="C124" t="str">
            <v>KZ2C00004059</v>
          </cell>
          <cell r="D124" t="str">
            <v>Облигации</v>
          </cell>
          <cell r="E124" t="str">
            <v>АО "Alatau City Bank"</v>
          </cell>
          <cell r="F124">
            <v>9.095361569950791</v>
          </cell>
          <cell r="G124">
            <v>9.1084615699507925</v>
          </cell>
        </row>
        <row r="125">
          <cell r="C125" t="str">
            <v>KZMJ00001972</v>
          </cell>
          <cell r="D125" t="str">
            <v>Облигации</v>
          </cell>
          <cell r="E125" t="str">
            <v>Акимат Алматинской области</v>
          </cell>
          <cell r="F125">
            <v>100</v>
          </cell>
          <cell r="G125">
            <v>101.2278</v>
          </cell>
        </row>
        <row r="126">
          <cell r="C126" t="str">
            <v>KZMJ00001840</v>
          </cell>
          <cell r="D126" t="str">
            <v>Облигации</v>
          </cell>
          <cell r="E126" t="str">
            <v>Акимат Алматинской области</v>
          </cell>
          <cell r="F126">
            <v>100</v>
          </cell>
          <cell r="G126">
            <v>100.17310000000001</v>
          </cell>
        </row>
        <row r="127">
          <cell r="C127" t="str">
            <v>KZMJ00002202</v>
          </cell>
          <cell r="D127" t="str">
            <v>Облигации</v>
          </cell>
          <cell r="E127" t="str">
            <v>Акимат Алматинской области</v>
          </cell>
          <cell r="F127">
            <v>100</v>
          </cell>
          <cell r="G127">
            <v>100.1507</v>
          </cell>
        </row>
        <row r="128">
          <cell r="C128" t="str">
            <v>KZMJ00001998</v>
          </cell>
          <cell r="D128" t="str">
            <v>Облигации</v>
          </cell>
          <cell r="E128" t="str">
            <v>Акимат Алматинской области</v>
          </cell>
          <cell r="F128">
            <v>100</v>
          </cell>
          <cell r="G128">
            <v>100.0038</v>
          </cell>
        </row>
        <row r="129">
          <cell r="C129" t="str">
            <v>KZMF00000960</v>
          </cell>
          <cell r="D129" t="str">
            <v>Облигации</v>
          </cell>
          <cell r="E129" t="str">
            <v>Акимат Алматинской области</v>
          </cell>
          <cell r="F129">
            <v>100</v>
          </cell>
          <cell r="G129">
            <v>100.0067</v>
          </cell>
        </row>
        <row r="130">
          <cell r="C130" t="str">
            <v>KZMF00000077</v>
          </cell>
          <cell r="D130" t="str">
            <v>Облигации</v>
          </cell>
          <cell r="E130" t="str">
            <v>Акимат Алматинской области</v>
          </cell>
          <cell r="F130">
            <v>100</v>
          </cell>
          <cell r="G130">
            <v>102.7111</v>
          </cell>
        </row>
        <row r="131">
          <cell r="C131" t="str">
            <v>KZMF00000721</v>
          </cell>
          <cell r="D131" t="str">
            <v>Облигации</v>
          </cell>
          <cell r="E131" t="str">
            <v>Акимат Алматинской области</v>
          </cell>
          <cell r="F131">
            <v>100</v>
          </cell>
          <cell r="G131">
            <v>100.74939999999999</v>
          </cell>
        </row>
        <row r="132">
          <cell r="C132" t="str">
            <v>KZMJ00002335</v>
          </cell>
          <cell r="D132" t="str">
            <v>Облигации</v>
          </cell>
          <cell r="E132" t="str">
            <v>Акимат Алматинской области</v>
          </cell>
          <cell r="F132">
            <v>93.495326025988874</v>
          </cell>
          <cell r="G132">
            <v>99.814726025988875</v>
          </cell>
        </row>
        <row r="133">
          <cell r="C133" t="str">
            <v>KZMJ00002483</v>
          </cell>
          <cell r="D133" t="str">
            <v>Облигации</v>
          </cell>
          <cell r="E133" t="str">
            <v>Акимат Алматинской области</v>
          </cell>
          <cell r="F133">
            <v>96.473388500954783</v>
          </cell>
          <cell r="G133">
            <v>101.51338850095478</v>
          </cell>
        </row>
        <row r="134">
          <cell r="C134" t="str">
            <v>KZMJ00002491</v>
          </cell>
          <cell r="D134" t="str">
            <v>Облигации</v>
          </cell>
          <cell r="E134" t="str">
            <v>Акимат Алматинской области</v>
          </cell>
          <cell r="F134">
            <v>96.473388500954783</v>
          </cell>
          <cell r="G134">
            <v>101.51338850095478</v>
          </cell>
        </row>
        <row r="135">
          <cell r="C135" t="str">
            <v>KZMJ00002657</v>
          </cell>
          <cell r="D135" t="str">
            <v>Облигации</v>
          </cell>
          <cell r="E135" t="str">
            <v>Акимат Алматинской области</v>
          </cell>
          <cell r="F135">
            <v>96.43662793730698</v>
          </cell>
          <cell r="G135">
            <v>101.26662793730698</v>
          </cell>
        </row>
        <row r="136">
          <cell r="C136" t="str">
            <v>KZMJ00002715</v>
          </cell>
          <cell r="D136" t="str">
            <v>Облигации</v>
          </cell>
          <cell r="E136" t="str">
            <v>Акимат Алматинской области</v>
          </cell>
          <cell r="F136">
            <v>96.517299493850786</v>
          </cell>
          <cell r="G136">
            <v>100.13979949385079</v>
          </cell>
        </row>
        <row r="137">
          <cell r="C137" t="str">
            <v>KZMF00000317</v>
          </cell>
          <cell r="D137" t="str">
            <v>Облигации</v>
          </cell>
          <cell r="E137" t="str">
            <v>Акимат Алматинской области</v>
          </cell>
          <cell r="F137">
            <v>100</v>
          </cell>
          <cell r="G137">
            <v>101.88079999999999</v>
          </cell>
        </row>
        <row r="138">
          <cell r="C138" t="str">
            <v>KZMF00000473</v>
          </cell>
          <cell r="D138" t="str">
            <v>Облигации</v>
          </cell>
          <cell r="E138" t="str">
            <v>Акимат Алматинской области</v>
          </cell>
          <cell r="F138">
            <v>100</v>
          </cell>
          <cell r="G138">
            <v>100.7286</v>
          </cell>
        </row>
        <row r="139">
          <cell r="C139" t="str">
            <v>KZMF00000499</v>
          </cell>
          <cell r="D139" t="str">
            <v>Облигации</v>
          </cell>
          <cell r="E139" t="str">
            <v>Акимат Алматинской области</v>
          </cell>
          <cell r="F139">
            <v>100</v>
          </cell>
          <cell r="G139">
            <v>100.7286</v>
          </cell>
        </row>
        <row r="140">
          <cell r="C140" t="str">
            <v>KZMF00000655</v>
          </cell>
          <cell r="D140" t="str">
            <v>Облигации</v>
          </cell>
          <cell r="E140" t="str">
            <v>Акимат Алматинской области</v>
          </cell>
          <cell r="F140">
            <v>100</v>
          </cell>
          <cell r="G140">
            <v>105.69329999999999</v>
          </cell>
        </row>
        <row r="141">
          <cell r="C141" t="str">
            <v>KZ1C00001155</v>
          </cell>
          <cell r="D141" t="str">
            <v>Акции</v>
          </cell>
          <cell r="E141" t="str">
            <v>АО "Дочернее предприятие "Актобе-Темир-ВС"</v>
          </cell>
          <cell r="F141">
            <v>0.01</v>
          </cell>
          <cell r="G141">
            <v>0.01</v>
          </cell>
        </row>
        <row r="142">
          <cell r="C142" t="str">
            <v>AT0000A2HLC4</v>
          </cell>
          <cell r="D142" t="str">
            <v>Облигации</v>
          </cell>
          <cell r="E142" t="str">
            <v>Австрийская Республика</v>
          </cell>
          <cell r="F142">
            <v>30.338000000000001</v>
          </cell>
          <cell r="G142">
            <v>30.7059</v>
          </cell>
        </row>
        <row r="143">
          <cell r="C143" t="str">
            <v>KZ2P00008741</v>
          </cell>
          <cell r="D143" t="str">
            <v>Облигации</v>
          </cell>
          <cell r="E143" t="str">
            <v>ТОО "Авеста-Караганда"</v>
          </cell>
          <cell r="F143">
            <v>93.704905654711609</v>
          </cell>
          <cell r="G143">
            <v>95.077105654711616</v>
          </cell>
        </row>
        <row r="144">
          <cell r="C144" t="str">
            <v>KZ2P00011075</v>
          </cell>
          <cell r="D144" t="str">
            <v>Облигации</v>
          </cell>
          <cell r="E144" t="str">
            <v>ТОО "Авеста-Караганда"</v>
          </cell>
          <cell r="F144">
            <v>90.259742960493426</v>
          </cell>
          <cell r="G144">
            <v>93.59304296049342</v>
          </cell>
        </row>
        <row r="145">
          <cell r="C145" t="str">
            <v>KZ000A1CTMD1</v>
          </cell>
          <cell r="D145" t="str">
            <v>Акции</v>
          </cell>
          <cell r="E145" t="str">
            <v>АО "Актюбинский завод нефтяного оборудования"</v>
          </cell>
          <cell r="F145">
            <v>0.01</v>
          </cell>
          <cell r="G145">
            <v>0.01</v>
          </cell>
        </row>
        <row r="146">
          <cell r="C146" t="str">
            <v>KZ1P00000269</v>
          </cell>
          <cell r="D146" t="str">
            <v>Акции</v>
          </cell>
          <cell r="E146" t="str">
            <v>АО "Актюбинский завод нефтяного оборудования"</v>
          </cell>
          <cell r="F146">
            <v>0.01</v>
          </cell>
          <cell r="G146">
            <v>0.01</v>
          </cell>
        </row>
        <row r="147">
          <cell r="C147" t="str">
            <v>US0605051046</v>
          </cell>
          <cell r="D147" t="str">
            <v>Акции</v>
          </cell>
          <cell r="E147" t="str">
            <v>Bank of America Corporation</v>
          </cell>
          <cell r="F147">
            <v>27455.830099999999</v>
          </cell>
          <cell r="G147">
            <v>27455.830099999999</v>
          </cell>
        </row>
        <row r="148">
          <cell r="C148" t="str">
            <v>KZ1C00001015</v>
          </cell>
          <cell r="D148" t="str">
            <v>Акции</v>
          </cell>
          <cell r="E148" t="str">
            <v>АО "БАСТ"</v>
          </cell>
          <cell r="F148">
            <v>6366.8388118414805</v>
          </cell>
          <cell r="G148">
            <v>6366.8388118414805</v>
          </cell>
        </row>
        <row r="149">
          <cell r="C149" t="str">
            <v>US0970231058</v>
          </cell>
          <cell r="D149" t="str">
            <v>Акции</v>
          </cell>
          <cell r="E149" t="str">
            <v>The Boeing Company</v>
          </cell>
          <cell r="F149">
            <v>101653.6845</v>
          </cell>
          <cell r="G149">
            <v>101653.6845</v>
          </cell>
        </row>
        <row r="150">
          <cell r="C150" t="str">
            <v>KZPF00000058</v>
          </cell>
          <cell r="D150" t="str">
            <v>Паи ПИФ</v>
          </cell>
          <cell r="E150" t="str">
            <v>АО "BCC Invest" - дочерняя организация АО "Банк ЦентрКредит"</v>
          </cell>
          <cell r="F150">
            <v>66175.216586459588</v>
          </cell>
          <cell r="G150">
            <v>66175.216586459588</v>
          </cell>
        </row>
        <row r="151">
          <cell r="C151" t="str">
            <v>KZPF00000553</v>
          </cell>
          <cell r="D151" t="str">
            <v>Паи ПИФ</v>
          </cell>
          <cell r="E151" t="str">
            <v>АО "BCC Invest" - дочерняя организация АО "Банк ЦентрКредит"</v>
          </cell>
          <cell r="F151">
            <v>1527.97</v>
          </cell>
          <cell r="G151">
            <v>1527.97</v>
          </cell>
        </row>
        <row r="152">
          <cell r="C152" t="str">
            <v>KZPF00000231</v>
          </cell>
          <cell r="D152" t="str">
            <v>Паи ПИФ</v>
          </cell>
          <cell r="E152" t="str">
            <v>АО "BCC Invest" - дочерняя организация АО "Банк ЦентрКредит"</v>
          </cell>
          <cell r="F152">
            <v>7.1904066000195286</v>
          </cell>
          <cell r="G152">
            <v>7.1904066000195286</v>
          </cell>
        </row>
        <row r="153">
          <cell r="C153" t="str">
            <v>KZPF00000900</v>
          </cell>
          <cell r="D153" t="str">
            <v>Паи ПИФ</v>
          </cell>
          <cell r="E153" t="str">
            <v>АО "BCC Invest" - дочерняя организация АО "Банк ЦентрКредит"</v>
          </cell>
          <cell r="F153">
            <v>51084.346228672206</v>
          </cell>
          <cell r="G153">
            <v>51084.346228672206</v>
          </cell>
        </row>
        <row r="154">
          <cell r="C154" t="str">
            <v>KZ1C00013663</v>
          </cell>
          <cell r="D154" t="str">
            <v>Акции</v>
          </cell>
          <cell r="E154" t="str">
            <v>АО "Горнорудная компания "Бенкала"</v>
          </cell>
          <cell r="F154">
            <v>0.01</v>
          </cell>
          <cell r="G154">
            <v>0.01</v>
          </cell>
        </row>
        <row r="155">
          <cell r="C155" t="str">
            <v>KZ2C00009934</v>
          </cell>
          <cell r="D155" t="str">
            <v>Облигации</v>
          </cell>
          <cell r="E155" t="str">
            <v>АО Bereke Bank (ДБ Lesha Bank LLC (Public))</v>
          </cell>
          <cell r="F155">
            <v>31.403954652057632</v>
          </cell>
          <cell r="G155">
            <v>31.406854652057632</v>
          </cell>
        </row>
        <row r="156">
          <cell r="C156" t="str">
            <v>KZ2C00011708</v>
          </cell>
          <cell r="D156" t="str">
            <v>Облигации</v>
          </cell>
          <cell r="E156" t="str">
            <v>АО Bereke Bank (ДБ Lesha Bank LLC (Public))</v>
          </cell>
          <cell r="F156">
            <v>99.41588241270972</v>
          </cell>
          <cell r="G156">
            <v>104.25148241270972</v>
          </cell>
        </row>
        <row r="157">
          <cell r="C157" t="str">
            <v>KZ2C00011831</v>
          </cell>
          <cell r="D157" t="str">
            <v>Облигации</v>
          </cell>
          <cell r="E157" t="str">
            <v>АО Bereke Bank (ДБ Lesha Bank LLC (Public))</v>
          </cell>
          <cell r="F157">
            <v>99.163994517388431</v>
          </cell>
          <cell r="G157">
            <v>104.01329451738845</v>
          </cell>
        </row>
        <row r="158">
          <cell r="C158" t="str">
            <v>KZ2D00012457</v>
          </cell>
          <cell r="D158" t="str">
            <v>Облигации</v>
          </cell>
          <cell r="E158" t="str">
            <v>BI Development Ltd.</v>
          </cell>
          <cell r="F158">
            <v>97.584304932735421</v>
          </cell>
          <cell r="G158">
            <v>99.261404932735431</v>
          </cell>
        </row>
        <row r="159">
          <cell r="C159" t="str">
            <v>KZ2D00012531</v>
          </cell>
          <cell r="D159" t="str">
            <v>Облигации</v>
          </cell>
          <cell r="E159" t="str">
            <v>BI Development Ltd.</v>
          </cell>
          <cell r="F159">
            <v>100.95829906435297</v>
          </cell>
          <cell r="G159">
            <v>101.68749906435296</v>
          </cell>
        </row>
        <row r="160">
          <cell r="C160" t="str">
            <v>KZ2D00012861</v>
          </cell>
          <cell r="D160" t="str">
            <v>Облигации</v>
          </cell>
          <cell r="E160" t="str">
            <v>BI Development Ltd.</v>
          </cell>
          <cell r="F160">
            <v>98.696326680201253</v>
          </cell>
          <cell r="G160">
            <v>99.021326680201255</v>
          </cell>
        </row>
        <row r="161">
          <cell r="C161" t="str">
            <v>KZ2D00015328</v>
          </cell>
          <cell r="D161" t="str">
            <v>Облигации</v>
          </cell>
          <cell r="E161" t="str">
            <v>BI Development Ltd.</v>
          </cell>
          <cell r="F161">
            <v>99.83643030398359</v>
          </cell>
          <cell r="G161">
            <v>104.2211303039836</v>
          </cell>
        </row>
        <row r="162">
          <cell r="C162" t="str">
            <v>US09062X1037</v>
          </cell>
          <cell r="D162" t="str">
            <v>Акции</v>
          </cell>
          <cell r="E162" t="str">
            <v>Biogen</v>
          </cell>
          <cell r="F162">
            <v>91485.793000000005</v>
          </cell>
          <cell r="G162">
            <v>91485.793000000005</v>
          </cell>
        </row>
        <row r="163">
          <cell r="C163" t="str">
            <v>US78468R6633</v>
          </cell>
          <cell r="D163" t="str">
            <v>Бумаги ин. инвест. фондов. ETF</v>
          </cell>
          <cell r="E163" t="str">
            <v xml:space="preserve">SPDR Series Trust </v>
          </cell>
          <cell r="F163">
            <v>46171.815000000002</v>
          </cell>
          <cell r="G163">
            <v>46171.815000000002</v>
          </cell>
        </row>
        <row r="164">
          <cell r="C164" t="str">
            <v>US74347G1849</v>
          </cell>
          <cell r="D164" t="str">
            <v>Бумаги ин. инвест. фондов. ETF</v>
          </cell>
          <cell r="E164" t="str">
            <v>ProShares Trust</v>
          </cell>
          <cell r="F164">
            <v>11106.4661</v>
          </cell>
          <cell r="G164">
            <v>11106.4661</v>
          </cell>
        </row>
        <row r="165">
          <cell r="C165" t="str">
            <v>US74347G4405</v>
          </cell>
          <cell r="D165" t="str">
            <v>Бумаги ин. инвест. фондов. ETF</v>
          </cell>
          <cell r="E165" t="str">
            <v>ProShares Trust</v>
          </cell>
          <cell r="F165">
            <v>6905.5878499999999</v>
          </cell>
          <cell r="G165">
            <v>6905.5878499999999</v>
          </cell>
        </row>
        <row r="166">
          <cell r="C166" t="str">
            <v>KZ2P00010317</v>
          </cell>
          <cell r="D166" t="str">
            <v>Облигации</v>
          </cell>
          <cell r="E166" t="str">
            <v>ТОО "Black Biotechnology (Блэк Биотехнолоджи)"</v>
          </cell>
          <cell r="F166">
            <v>98.543122719622076</v>
          </cell>
          <cell r="G166">
            <v>99.618122719622079</v>
          </cell>
        </row>
        <row r="167">
          <cell r="C167" t="str">
            <v>US37954Y7159</v>
          </cell>
          <cell r="D167" t="str">
            <v>Бумаги ин. инвест. фондов. ETF</v>
          </cell>
          <cell r="E167" t="str">
            <v>Mirae Asset Global Investments</v>
          </cell>
          <cell r="F167">
            <v>18370.32705</v>
          </cell>
          <cell r="G167">
            <v>18370.32705</v>
          </cell>
        </row>
        <row r="168">
          <cell r="C168" t="str">
            <v>KZ2P00009905</v>
          </cell>
          <cell r="D168" t="str">
            <v>Облигации</v>
          </cell>
          <cell r="E168" t="str">
            <v>ТОО "BRBAPK"</v>
          </cell>
          <cell r="F168">
            <v>92.220665306719283</v>
          </cell>
          <cell r="G168">
            <v>97.915065306719285</v>
          </cell>
        </row>
        <row r="169">
          <cell r="C169" t="str">
            <v>KZ2C00004000</v>
          </cell>
          <cell r="D169" t="str">
            <v>Облигации</v>
          </cell>
          <cell r="E169" t="str">
            <v>АО "Банк Развития Казахстана"</v>
          </cell>
          <cell r="F169">
            <v>72.771468125643921</v>
          </cell>
          <cell r="G169">
            <v>75.990268125643922</v>
          </cell>
        </row>
        <row r="170">
          <cell r="C170" t="str">
            <v>KZ2C00004018</v>
          </cell>
          <cell r="D170" t="str">
            <v>Облигации</v>
          </cell>
          <cell r="E170" t="str">
            <v>АО "Банк Развития Казахстана"</v>
          </cell>
          <cell r="F170">
            <v>77.315532716592713</v>
          </cell>
          <cell r="G170">
            <v>80.503032716592713</v>
          </cell>
        </row>
        <row r="171">
          <cell r="C171" t="str">
            <v>KZ2C00004026</v>
          </cell>
          <cell r="D171" t="str">
            <v>Облигации</v>
          </cell>
          <cell r="E171" t="str">
            <v>АО "Банк Развития Казахстана"</v>
          </cell>
          <cell r="F171">
            <v>83.434015490834881</v>
          </cell>
          <cell r="G171">
            <v>86.520115490834883</v>
          </cell>
        </row>
        <row r="172">
          <cell r="C172" t="str">
            <v>KZ2C00004190</v>
          </cell>
          <cell r="D172" t="str">
            <v>Облигации</v>
          </cell>
          <cell r="E172" t="str">
            <v>АО "Банк Развития Казахстана"</v>
          </cell>
          <cell r="F172">
            <v>78.782552875593453</v>
          </cell>
          <cell r="G172">
            <v>78.843652875593449</v>
          </cell>
        </row>
        <row r="173">
          <cell r="C173" t="str">
            <v>KZ2C00004273</v>
          </cell>
          <cell r="D173" t="str">
            <v>Облигации</v>
          </cell>
          <cell r="E173" t="str">
            <v>АО "Банк Развития Казахстана"</v>
          </cell>
          <cell r="F173">
            <v>77.48904489773598</v>
          </cell>
          <cell r="G173">
            <v>82.591844897735967</v>
          </cell>
        </row>
        <row r="174">
          <cell r="C174" t="str">
            <v>KZ2C00005908</v>
          </cell>
          <cell r="D174" t="str">
            <v>Облигации</v>
          </cell>
          <cell r="E174" t="str">
            <v>АО "Банк Развития Казахстана"</v>
          </cell>
          <cell r="F174">
            <v>95.37959191285681</v>
          </cell>
          <cell r="G174">
            <v>100.0184919128568</v>
          </cell>
        </row>
        <row r="175">
          <cell r="C175" t="str">
            <v>KZ2C00006286</v>
          </cell>
          <cell r="D175" t="str">
            <v>Облигации</v>
          </cell>
          <cell r="E175" t="str">
            <v>АО "Банк Развития Казахстана"</v>
          </cell>
          <cell r="F175">
            <v>9.9883199508574059</v>
          </cell>
          <cell r="G175">
            <v>10.012519950857406</v>
          </cell>
        </row>
        <row r="176">
          <cell r="C176" t="str">
            <v>KZ2C00006765</v>
          </cell>
          <cell r="D176" t="str">
            <v>Облигации</v>
          </cell>
          <cell r="E176" t="str">
            <v>АО "Банк Развития Казахстана"</v>
          </cell>
          <cell r="F176">
            <v>9.1014598801219435</v>
          </cell>
          <cell r="G176">
            <v>9.1101598801219428</v>
          </cell>
        </row>
        <row r="177">
          <cell r="C177" t="str">
            <v>KZ2C00006898</v>
          </cell>
          <cell r="D177" t="str">
            <v>Облигации</v>
          </cell>
          <cell r="E177" t="str">
            <v>АО "Банк Развития Казахстана"</v>
          </cell>
          <cell r="F177">
            <v>78.330352470620383</v>
          </cell>
          <cell r="G177">
            <v>84.099252470620385</v>
          </cell>
        </row>
        <row r="178">
          <cell r="C178" t="str">
            <v>KZ2C00007102</v>
          </cell>
          <cell r="D178" t="str">
            <v>Облигации</v>
          </cell>
          <cell r="E178" t="str">
            <v>АО "Банк Развития Казахстана"</v>
          </cell>
          <cell r="F178">
            <v>88.064224848517497</v>
          </cell>
          <cell r="G178">
            <v>93.8331248485175</v>
          </cell>
        </row>
        <row r="179">
          <cell r="C179" t="str">
            <v>KZ2C00007904</v>
          </cell>
          <cell r="D179" t="str">
            <v>Облигации</v>
          </cell>
          <cell r="E179" t="str">
            <v>АО "Банк Развития Казахстана"</v>
          </cell>
          <cell r="F179">
            <v>58.955507869851992</v>
          </cell>
          <cell r="G179">
            <v>59.704907869851993</v>
          </cell>
        </row>
        <row r="180">
          <cell r="C180" t="str">
            <v>KZ2C00009132</v>
          </cell>
          <cell r="D180" t="str">
            <v>Облигации</v>
          </cell>
          <cell r="E180" t="str">
            <v>АО "Банк Развития Казахстана"</v>
          </cell>
          <cell r="F180">
            <v>24.695149452186246</v>
          </cell>
          <cell r="G180">
            <v>25.160449452186246</v>
          </cell>
        </row>
        <row r="181">
          <cell r="C181" t="str">
            <v>KZ2C00009140</v>
          </cell>
          <cell r="D181" t="str">
            <v>Облигации</v>
          </cell>
          <cell r="E181" t="str">
            <v>АО "Банк Развития Казахстана"</v>
          </cell>
          <cell r="F181">
            <v>22.320072457752254</v>
          </cell>
          <cell r="G181">
            <v>22.722872457752253</v>
          </cell>
        </row>
        <row r="182">
          <cell r="C182" t="str">
            <v>KZ2C00003580</v>
          </cell>
          <cell r="D182" t="str">
            <v>Облигации</v>
          </cell>
          <cell r="E182" t="str">
            <v>АО "Банк Развития Казахстана"</v>
          </cell>
          <cell r="F182">
            <v>97.679374616371391</v>
          </cell>
          <cell r="G182">
            <v>98.068274616371397</v>
          </cell>
        </row>
        <row r="183">
          <cell r="C183" t="str">
            <v>KZ2C00009637</v>
          </cell>
          <cell r="D183" t="str">
            <v>Облигации</v>
          </cell>
          <cell r="E183" t="str">
            <v>АО "Банк Развития Казахстана"</v>
          </cell>
          <cell r="F183">
            <v>100</v>
          </cell>
          <cell r="G183">
            <v>108.5577</v>
          </cell>
        </row>
        <row r="184">
          <cell r="C184" t="str">
            <v>KZ2C00011583</v>
          </cell>
          <cell r="D184" t="str">
            <v>Акции</v>
          </cell>
          <cell r="E184" t="str">
            <v>АО "Банк Развития Казахстана"</v>
          </cell>
          <cell r="F184">
            <v>1015.5</v>
          </cell>
          <cell r="G184">
            <v>1015.5</v>
          </cell>
        </row>
        <row r="185">
          <cell r="C185" t="str">
            <v>KZ2C00012813</v>
          </cell>
          <cell r="D185" t="str">
            <v>Облигации</v>
          </cell>
          <cell r="E185" t="str">
            <v>АО "Банк Развития Казахстана"</v>
          </cell>
          <cell r="F185">
            <v>49.283299170839221</v>
          </cell>
          <cell r="G185">
            <v>54.93329917083922</v>
          </cell>
        </row>
        <row r="186">
          <cell r="C186" t="str">
            <v>KZ2C00003648</v>
          </cell>
          <cell r="D186" t="str">
            <v>Облигации</v>
          </cell>
          <cell r="E186" t="str">
            <v>АО "Банк Развития Казахстана"</v>
          </cell>
          <cell r="F186">
            <v>96.698310820132605</v>
          </cell>
          <cell r="G186">
            <v>101.5205108201326</v>
          </cell>
        </row>
        <row r="187">
          <cell r="C187" t="str">
            <v>KZ2C00003713</v>
          </cell>
          <cell r="D187" t="str">
            <v>Облигации</v>
          </cell>
          <cell r="E187" t="str">
            <v>АО "Банк Развития Казахстана"</v>
          </cell>
          <cell r="F187">
            <v>87.731965521232496</v>
          </cell>
          <cell r="G187">
            <v>93.023665521232502</v>
          </cell>
        </row>
        <row r="188">
          <cell r="C188" t="str">
            <v>XS2337670421</v>
          </cell>
          <cell r="D188" t="str">
            <v>Облигации</v>
          </cell>
          <cell r="E188" t="str">
            <v>АО "Банк Развития Казахстана"</v>
          </cell>
          <cell r="F188">
            <v>96.722442620813808</v>
          </cell>
          <cell r="G188">
            <v>97.604542620813803</v>
          </cell>
        </row>
        <row r="189">
          <cell r="C189" t="str">
            <v>XS2337670694</v>
          </cell>
          <cell r="D189" t="str">
            <v>Облигации</v>
          </cell>
          <cell r="E189" t="str">
            <v>АО "Банк Развития Казахстана"</v>
          </cell>
          <cell r="F189">
            <v>90.059065367331883</v>
          </cell>
          <cell r="G189">
            <v>90.296665367331883</v>
          </cell>
        </row>
        <row r="190">
          <cell r="C190" t="str">
            <v>XS2800066297</v>
          </cell>
          <cell r="D190" t="str">
            <v>Облигации</v>
          </cell>
          <cell r="E190" t="str">
            <v>АО "Банк Развития Казахстана"</v>
          </cell>
          <cell r="F190">
            <v>101.19799999999999</v>
          </cell>
          <cell r="G190">
            <v>101.9619</v>
          </cell>
        </row>
        <row r="191">
          <cell r="C191" t="str">
            <v>XS2800066370</v>
          </cell>
          <cell r="D191" t="str">
            <v>Облигации</v>
          </cell>
          <cell r="E191" t="str">
            <v>АО "Банк Развития Казахстана"</v>
          </cell>
          <cell r="F191">
            <v>92.989668325494918</v>
          </cell>
          <cell r="G191">
            <v>94.795268325494916</v>
          </cell>
        </row>
        <row r="192">
          <cell r="C192" t="str">
            <v>XS2917067204</v>
          </cell>
          <cell r="D192" t="str">
            <v>Облигации</v>
          </cell>
          <cell r="E192" t="str">
            <v>АО "Банк Развития Казахстана"</v>
          </cell>
          <cell r="F192">
            <v>101.05314836174787</v>
          </cell>
          <cell r="G192">
            <v>101.66564836174787</v>
          </cell>
        </row>
        <row r="193">
          <cell r="C193" t="str">
            <v>XS2917067386</v>
          </cell>
          <cell r="D193" t="str">
            <v>Облигации</v>
          </cell>
          <cell r="E193" t="str">
            <v>АО "Банк Развития Казахстана"</v>
          </cell>
          <cell r="F193">
            <v>90.395200000000003</v>
          </cell>
          <cell r="G193">
            <v>90.844800000000006</v>
          </cell>
        </row>
        <row r="194">
          <cell r="C194" t="str">
            <v>XS3032932645</v>
          </cell>
          <cell r="D194" t="str">
            <v>Облигации</v>
          </cell>
          <cell r="E194" t="str">
            <v>АО "Банк Развития Казахстана"</v>
          </cell>
          <cell r="F194">
            <v>103.209</v>
          </cell>
          <cell r="G194">
            <v>104.1153</v>
          </cell>
        </row>
        <row r="195">
          <cell r="C195" t="str">
            <v>HK0001185674</v>
          </cell>
          <cell r="D195" t="str">
            <v>Облигации</v>
          </cell>
          <cell r="E195" t="str">
            <v>АО "Банк Развития Казахстана"</v>
          </cell>
          <cell r="F195">
            <v>100.63409658383691</v>
          </cell>
          <cell r="G195">
            <v>101.50599658383692</v>
          </cell>
        </row>
        <row r="196">
          <cell r="C196" t="str">
            <v>XS3204113354</v>
          </cell>
          <cell r="D196" t="str">
            <v>Облигации</v>
          </cell>
          <cell r="E196" t="str">
            <v>АО "Банк Развития Казахстана"</v>
          </cell>
          <cell r="F196">
            <v>98.74</v>
          </cell>
          <cell r="G196">
            <v>99.366100000000003</v>
          </cell>
        </row>
        <row r="197">
          <cell r="C197" t="str">
            <v>XS3204113867</v>
          </cell>
          <cell r="D197" t="str">
            <v>Облигации</v>
          </cell>
          <cell r="E197" t="str">
            <v>АО "Банк Развития Казахстана"</v>
          </cell>
          <cell r="F197">
            <v>101.01</v>
          </cell>
          <cell r="G197">
            <v>103.6678</v>
          </cell>
        </row>
        <row r="198">
          <cell r="C198" t="str">
            <v>XS0248160102</v>
          </cell>
          <cell r="D198" t="str">
            <v>Облигации</v>
          </cell>
          <cell r="E198" t="str">
            <v>АО "Банк Развития Казахстана"</v>
          </cell>
          <cell r="F198">
            <v>100.306</v>
          </cell>
          <cell r="G198">
            <v>101.506</v>
          </cell>
        </row>
        <row r="199">
          <cell r="C199" t="str">
            <v>KZ1C00001353</v>
          </cell>
          <cell r="D199" t="str">
            <v>Акции</v>
          </cell>
          <cell r="E199" t="str">
            <v>АО "3А-БэстГрупп"</v>
          </cell>
          <cell r="F199">
            <v>0.01</v>
          </cell>
          <cell r="G199">
            <v>0.01</v>
          </cell>
        </row>
        <row r="200">
          <cell r="C200" t="str">
            <v>KZX000002183</v>
          </cell>
          <cell r="D200" t="str">
            <v>Облигации</v>
          </cell>
          <cell r="E200" t="str">
            <v>Black Sea Trade and Development Bank</v>
          </cell>
          <cell r="F200">
            <v>103.6890515608646</v>
          </cell>
          <cell r="G200">
            <v>106.36265156086459</v>
          </cell>
        </row>
        <row r="201">
          <cell r="C201" t="str">
            <v>KZ1C00000165</v>
          </cell>
          <cell r="D201" t="str">
            <v>Акции</v>
          </cell>
          <cell r="E201" t="str">
            <v>АО "Баян Сулу"</v>
          </cell>
          <cell r="F201">
            <v>294.35000000000002</v>
          </cell>
          <cell r="G201">
            <v>294.35000000000002</v>
          </cell>
        </row>
        <row r="202">
          <cell r="C202" t="str">
            <v>KZ2C00006807</v>
          </cell>
          <cell r="D202" t="str">
            <v>Облигации</v>
          </cell>
          <cell r="E202" t="str">
            <v>АО "Казахстанская Жилищная Компания"</v>
          </cell>
          <cell r="F202">
            <v>61.540656574645098</v>
          </cell>
          <cell r="G202">
            <v>64.216256574645101</v>
          </cell>
        </row>
        <row r="203">
          <cell r="C203" t="str">
            <v>KZ2C00006815</v>
          </cell>
          <cell r="D203" t="str">
            <v>Облигации</v>
          </cell>
          <cell r="E203" t="str">
            <v>АО "Казахстанская Жилищная Компания"</v>
          </cell>
          <cell r="F203">
            <v>56.297040587155465</v>
          </cell>
          <cell r="G203">
            <v>58.153240587155466</v>
          </cell>
        </row>
        <row r="204">
          <cell r="C204" t="str">
            <v>KZ2C00006823</v>
          </cell>
          <cell r="D204" t="str">
            <v>Облигации</v>
          </cell>
          <cell r="E204" t="str">
            <v>АО "Казахстанская Жилищная Компания"</v>
          </cell>
          <cell r="F204">
            <v>51.846969718719571</v>
          </cell>
          <cell r="G204">
            <v>52.566069718719575</v>
          </cell>
        </row>
        <row r="205">
          <cell r="C205" t="str">
            <v>KZ2C00006831</v>
          </cell>
          <cell r="D205" t="str">
            <v>Облигации</v>
          </cell>
          <cell r="E205" t="str">
            <v>АО "Казахстанская Жилищная Компания"</v>
          </cell>
          <cell r="F205">
            <v>51.846969718719571</v>
          </cell>
          <cell r="G205">
            <v>52.566069718719575</v>
          </cell>
        </row>
        <row r="206">
          <cell r="C206" t="str">
            <v>KZ2C00005718</v>
          </cell>
          <cell r="D206" t="str">
            <v>Облигации</v>
          </cell>
          <cell r="E206" t="str">
            <v>АО "Национальный управляющий холдинг "Байтерек"</v>
          </cell>
          <cell r="F206">
            <v>64.212522806879733</v>
          </cell>
          <cell r="G206">
            <v>68.381922806879729</v>
          </cell>
        </row>
        <row r="207">
          <cell r="C207" t="str">
            <v>KZ2C00011211</v>
          </cell>
          <cell r="D207" t="str">
            <v>Облигации</v>
          </cell>
          <cell r="E207" t="str">
            <v>АО "Национальный управляющий холдинг "Байтерек"</v>
          </cell>
          <cell r="F207">
            <v>87.33641993875095</v>
          </cell>
          <cell r="G207">
            <v>87.785119938750952</v>
          </cell>
        </row>
        <row r="208">
          <cell r="C208" t="str">
            <v>KZ2C00012698</v>
          </cell>
          <cell r="D208" t="str">
            <v>Облигации</v>
          </cell>
          <cell r="E208" t="str">
            <v>АО "Национальный управляющий холдинг "Байтерек"</v>
          </cell>
          <cell r="F208">
            <v>98.582846146795518</v>
          </cell>
          <cell r="G208">
            <v>98.852946146795517</v>
          </cell>
        </row>
        <row r="209">
          <cell r="C209" t="str">
            <v>KZ2C00012987</v>
          </cell>
          <cell r="D209" t="str">
            <v>Облигации</v>
          </cell>
          <cell r="E209" t="str">
            <v>АО "Национальный управляющий холдинг "Байтерек"</v>
          </cell>
          <cell r="F209">
            <v>98.916736412513501</v>
          </cell>
          <cell r="G209">
            <v>105.5417364125135</v>
          </cell>
        </row>
        <row r="210">
          <cell r="C210" t="str">
            <v>KZ2C00012995</v>
          </cell>
          <cell r="D210" t="str">
            <v>Облигации</v>
          </cell>
          <cell r="E210" t="str">
            <v>АО "Национальный управляющий холдинг "Байтерек"</v>
          </cell>
          <cell r="F210">
            <v>98.867897352422261</v>
          </cell>
          <cell r="G210">
            <v>101.60679735242226</v>
          </cell>
        </row>
        <row r="211">
          <cell r="C211" t="str">
            <v>KZ2C00012268</v>
          </cell>
          <cell r="D211" t="str">
            <v>Облигации</v>
          </cell>
          <cell r="E211" t="str">
            <v>АО "Национальный управляющий холдинг "Байтерек"</v>
          </cell>
          <cell r="F211">
            <v>99.15477723121009</v>
          </cell>
          <cell r="G211">
            <v>101.70617723121009</v>
          </cell>
        </row>
        <row r="212">
          <cell r="C212" t="str">
            <v>KZ2C00013878</v>
          </cell>
          <cell r="D212" t="str">
            <v>Облигации</v>
          </cell>
          <cell r="E212" t="str">
            <v>АО "Национальный управляющий холдинг "Байтерек"</v>
          </cell>
          <cell r="F212">
            <v>94.900698621896538</v>
          </cell>
          <cell r="G212">
            <v>104.61819862189654</v>
          </cell>
        </row>
        <row r="213">
          <cell r="C213" t="str">
            <v>KZ2C00013902</v>
          </cell>
          <cell r="D213" t="str">
            <v>Облигации</v>
          </cell>
          <cell r="E213" t="str">
            <v>АО "Национальный управляющий холдинг "Байтерек"</v>
          </cell>
          <cell r="F213">
            <v>96.546951219512195</v>
          </cell>
          <cell r="G213">
            <v>104.9566512195122</v>
          </cell>
        </row>
        <row r="214">
          <cell r="C214" t="str">
            <v>KZ2C00013928</v>
          </cell>
          <cell r="D214" t="str">
            <v>Облигации</v>
          </cell>
          <cell r="E214" t="str">
            <v>АО "Национальный управляющий холдинг "Байтерек"</v>
          </cell>
          <cell r="F214">
            <v>96.546951219512195</v>
          </cell>
          <cell r="G214">
            <v>104.9566512195122</v>
          </cell>
        </row>
        <row r="215">
          <cell r="C215" t="str">
            <v>KZ2C00013936</v>
          </cell>
          <cell r="D215" t="str">
            <v>Облигации</v>
          </cell>
          <cell r="E215" t="str">
            <v>АО "Национальный управляющий холдинг "Байтерек"</v>
          </cell>
          <cell r="F215">
            <v>98.923463305260853</v>
          </cell>
          <cell r="G215">
            <v>103.24426330526086</v>
          </cell>
        </row>
        <row r="216">
          <cell r="C216" t="str">
            <v>KZ2C00014033</v>
          </cell>
          <cell r="D216" t="str">
            <v>Облигации</v>
          </cell>
          <cell r="E216" t="str">
            <v>АО "Национальный управляющий холдинг "Байтерек"</v>
          </cell>
          <cell r="F216">
            <v>98.618464945860225</v>
          </cell>
          <cell r="G216">
            <v>108.08066494586022</v>
          </cell>
        </row>
        <row r="217">
          <cell r="C217" t="str">
            <v>KZ2C00014520</v>
          </cell>
          <cell r="D217" t="str">
            <v>Облигации</v>
          </cell>
          <cell r="E217" t="str">
            <v>АО "Национальный управляющий холдинг "Байтерек"</v>
          </cell>
          <cell r="F217">
            <v>99.03888161928927</v>
          </cell>
          <cell r="G217">
            <v>105.68248161928928</v>
          </cell>
        </row>
        <row r="218">
          <cell r="C218" t="str">
            <v>KZ2C00016160</v>
          </cell>
          <cell r="D218" t="str">
            <v>Облигации</v>
          </cell>
          <cell r="E218" t="str">
            <v>АО "Национальный управляющий холдинг "Байтерек"</v>
          </cell>
          <cell r="F218">
            <v>98.702149859839423</v>
          </cell>
          <cell r="G218">
            <v>99.250649859839413</v>
          </cell>
        </row>
        <row r="219">
          <cell r="C219" t="str">
            <v>KZ2C00007052</v>
          </cell>
          <cell r="D219" t="str">
            <v>Облигации</v>
          </cell>
          <cell r="E219" t="str">
            <v>АО "Национальный управляющий холдинг "Байтерек"</v>
          </cell>
          <cell r="F219">
            <v>77.645672353170369</v>
          </cell>
          <cell r="G219">
            <v>78.398972353170379</v>
          </cell>
        </row>
        <row r="220">
          <cell r="C220" t="str">
            <v>KZ2C00007060</v>
          </cell>
          <cell r="D220" t="str">
            <v>Облигации</v>
          </cell>
          <cell r="E220" t="str">
            <v>АО "Национальный управляющий холдинг "Байтерек"</v>
          </cell>
          <cell r="F220">
            <v>89.711434977578477</v>
          </cell>
          <cell r="G220">
            <v>95.235834977578477</v>
          </cell>
        </row>
        <row r="221">
          <cell r="C221" t="str">
            <v>KZ2C00007078</v>
          </cell>
          <cell r="D221" t="str">
            <v>Облигации</v>
          </cell>
          <cell r="E221" t="str">
            <v>АО "Национальный управляющий холдинг "Байтерек"</v>
          </cell>
          <cell r="F221">
            <v>77.47992923634942</v>
          </cell>
          <cell r="G221">
            <v>83.00432923634942</v>
          </cell>
        </row>
        <row r="222">
          <cell r="C222" t="str">
            <v>KZ2C00007383</v>
          </cell>
          <cell r="D222" t="str">
            <v>Облигации</v>
          </cell>
          <cell r="E222" t="str">
            <v>АО "Национальный управляющий холдинг "Байтерек"</v>
          </cell>
          <cell r="F222">
            <v>77.9625109373291</v>
          </cell>
          <cell r="G222">
            <v>80.284710937329109</v>
          </cell>
        </row>
        <row r="223">
          <cell r="C223" t="str">
            <v>KZ2C00008332</v>
          </cell>
          <cell r="D223" t="str">
            <v>Облигации</v>
          </cell>
          <cell r="E223" t="str">
            <v>АО "Национальный управляющий холдинг "Байтерек"</v>
          </cell>
          <cell r="F223">
            <v>84.291326698020342</v>
          </cell>
          <cell r="G223">
            <v>89.302426698020341</v>
          </cell>
        </row>
        <row r="224">
          <cell r="C224" t="str">
            <v>KZ2C00010304</v>
          </cell>
          <cell r="D224" t="str">
            <v>Облигации</v>
          </cell>
          <cell r="E224" t="str">
            <v>АО "Национальный управляющий холдинг "Байтерек"</v>
          </cell>
          <cell r="F224">
            <v>77.102906595209447</v>
          </cell>
          <cell r="G224">
            <v>88.261206595209444</v>
          </cell>
        </row>
        <row r="225">
          <cell r="C225" t="str">
            <v>XS3067899610</v>
          </cell>
          <cell r="D225" t="str">
            <v>Облигации</v>
          </cell>
          <cell r="E225" t="str">
            <v>АО "Национальный управляющий холдинг "Байтерек"</v>
          </cell>
          <cell r="F225">
            <v>101.45941701131287</v>
          </cell>
          <cell r="G225">
            <v>101.86821701131286</v>
          </cell>
        </row>
        <row r="226">
          <cell r="C226" t="str">
            <v>XS3189694345</v>
          </cell>
          <cell r="D226" t="str">
            <v>Облигации</v>
          </cell>
          <cell r="E226" t="str">
            <v>АО "Национальный управляющий холдинг "Байтерек"</v>
          </cell>
          <cell r="F226">
            <v>98.998000000000005</v>
          </cell>
          <cell r="G226">
            <v>99.824700000000007</v>
          </cell>
        </row>
        <row r="227">
          <cell r="C227" t="str">
            <v>KZ1C00000629</v>
          </cell>
          <cell r="D227" t="str">
            <v>Акции</v>
          </cell>
          <cell r="E227" t="str">
            <v>АО "CHINATOWN"</v>
          </cell>
          <cell r="F227">
            <v>50</v>
          </cell>
          <cell r="G227">
            <v>50</v>
          </cell>
        </row>
        <row r="228">
          <cell r="C228" t="str">
            <v>US1491231015</v>
          </cell>
          <cell r="D228" t="str">
            <v>Акции</v>
          </cell>
          <cell r="E228" t="str">
            <v>Caterpillar</v>
          </cell>
          <cell r="F228">
            <v>297560.94785</v>
          </cell>
          <cell r="G228">
            <v>297560.94785</v>
          </cell>
        </row>
        <row r="229">
          <cell r="C229" t="str">
            <v>KZ0007786572</v>
          </cell>
          <cell r="D229" t="str">
            <v>Акции</v>
          </cell>
          <cell r="E229" t="str">
            <v>АО "Банк ЦентрКредит"</v>
          </cell>
          <cell r="F229">
            <v>4541.0423274636332</v>
          </cell>
          <cell r="G229">
            <v>4541.0423274636332</v>
          </cell>
        </row>
        <row r="230">
          <cell r="C230" t="str">
            <v>KZ2C00004158</v>
          </cell>
          <cell r="D230" t="str">
            <v>Облигации</v>
          </cell>
          <cell r="E230" t="str">
            <v>АО "Банк ЦентрКредит"</v>
          </cell>
          <cell r="F230">
            <v>86.382663826303613</v>
          </cell>
          <cell r="G230">
            <v>90.382663826303613</v>
          </cell>
        </row>
        <row r="231">
          <cell r="C231" t="str">
            <v>KZ2C00004554</v>
          </cell>
          <cell r="D231" t="str">
            <v>Облигации</v>
          </cell>
          <cell r="E231" t="str">
            <v>АО "Банк ЦентрКредит"</v>
          </cell>
          <cell r="F231">
            <v>99.431875568207644</v>
          </cell>
          <cell r="G231">
            <v>104.23767556820765</v>
          </cell>
        </row>
        <row r="232">
          <cell r="C232" t="str">
            <v>KZ2C00007714</v>
          </cell>
          <cell r="D232" t="str">
            <v>Облигации</v>
          </cell>
          <cell r="E232" t="str">
            <v>АО "Банк ЦентрКредит"</v>
          </cell>
          <cell r="F232">
            <v>82.15142833053568</v>
          </cell>
          <cell r="G232">
            <v>82.98202833053567</v>
          </cell>
        </row>
        <row r="233">
          <cell r="C233" t="str">
            <v>KZ000A0H0930</v>
          </cell>
          <cell r="D233" t="str">
            <v>Акции</v>
          </cell>
          <cell r="E233" t="str">
            <v>АО "Банк ЦентрКредит"</v>
          </cell>
          <cell r="F233">
            <v>8952.2999999999993</v>
          </cell>
          <cell r="G233">
            <v>8952.2999999999993</v>
          </cell>
        </row>
        <row r="234">
          <cell r="C234" t="str">
            <v>XS3045699132</v>
          </cell>
          <cell r="D234" t="str">
            <v>Облигации</v>
          </cell>
          <cell r="E234" t="str">
            <v>Citigroup Global Markets Holdings Inc.</v>
          </cell>
          <cell r="F234">
            <v>100</v>
          </cell>
          <cell r="G234">
            <v>109.88290000000001</v>
          </cell>
        </row>
        <row r="235">
          <cell r="C235" t="str">
            <v>KZ2P00010192</v>
          </cell>
          <cell r="D235" t="str">
            <v>Облигации</v>
          </cell>
          <cell r="E235" t="str">
            <v>ТОО "Capital Leasing Group (Капитал Лизинг Груп)"</v>
          </cell>
          <cell r="F235">
            <v>99.999899999999997</v>
          </cell>
          <cell r="G235">
            <v>102.0902</v>
          </cell>
        </row>
        <row r="236">
          <cell r="C236" t="str">
            <v>KZ2P00011604</v>
          </cell>
          <cell r="D236" t="str">
            <v>Облигации</v>
          </cell>
          <cell r="E236" t="str">
            <v>ТОО "Capital Leasing Group (Капитал Лизинг Груп)"</v>
          </cell>
          <cell r="F236">
            <v>98.5</v>
          </cell>
          <cell r="G236">
            <v>101.6319</v>
          </cell>
        </row>
        <row r="237">
          <cell r="C237" t="str">
            <v>KZ2P00011612</v>
          </cell>
          <cell r="D237" t="str">
            <v>Облигации</v>
          </cell>
          <cell r="E237" t="str">
            <v>ТОО "Capital Leasing Group (Капитал Лизинг Груп)"</v>
          </cell>
          <cell r="F237">
            <v>97.150389746489495</v>
          </cell>
          <cell r="G237">
            <v>100.0947897464895</v>
          </cell>
        </row>
        <row r="238">
          <cell r="C238" t="str">
            <v>KZ2P00014780</v>
          </cell>
          <cell r="D238" t="str">
            <v>Облигации</v>
          </cell>
          <cell r="E238" t="str">
            <v>ТОО "Capital Leasing Group (Капитал Лизинг Груп)"</v>
          </cell>
          <cell r="F238">
            <v>99.628267640120555</v>
          </cell>
          <cell r="G238">
            <v>107.26996764012056</v>
          </cell>
        </row>
        <row r="239">
          <cell r="C239" t="str">
            <v>KZ2P00015506</v>
          </cell>
          <cell r="D239" t="str">
            <v>Облигации</v>
          </cell>
          <cell r="E239" t="str">
            <v>ТОО "Capital Leasing Group (Капитал Лизинг Груп)"</v>
          </cell>
          <cell r="F239">
            <v>98.102343932556892</v>
          </cell>
          <cell r="G239">
            <v>102.12734393255688</v>
          </cell>
        </row>
        <row r="240">
          <cell r="C240" t="str">
            <v>US20825C1045</v>
          </cell>
          <cell r="D240" t="str">
            <v>Акции</v>
          </cell>
          <cell r="E240" t="str">
            <v>ConocoPhillips</v>
          </cell>
          <cell r="F240">
            <v>46542.703350000003</v>
          </cell>
          <cell r="G240">
            <v>46542.703350000003</v>
          </cell>
        </row>
        <row r="241">
          <cell r="C241" t="str">
            <v>KZ1C00001486</v>
          </cell>
          <cell r="D241" t="str">
            <v>Акции</v>
          </cell>
          <cell r="E241" t="str">
            <v>АО "Кристалл Менеджмент"</v>
          </cell>
          <cell r="F241">
            <v>0.01</v>
          </cell>
          <cell r="G241">
            <v>0.01</v>
          </cell>
        </row>
        <row r="242">
          <cell r="C242" t="str">
            <v>US79466L3024</v>
          </cell>
          <cell r="D242" t="str">
            <v>Акции</v>
          </cell>
          <cell r="E242" t="str">
            <v>SALESFORCE.COM Inc</v>
          </cell>
          <cell r="F242">
            <v>121499.9958</v>
          </cell>
          <cell r="G242">
            <v>121499.9958</v>
          </cell>
        </row>
        <row r="243">
          <cell r="C243" t="str">
            <v>KZ1C00009562</v>
          </cell>
          <cell r="D243" t="str">
            <v>Акции</v>
          </cell>
          <cell r="E243" t="str">
            <v>АО "Сентрас Секьюритиз"</v>
          </cell>
          <cell r="F243">
            <v>2898</v>
          </cell>
          <cell r="G243">
            <v>2898</v>
          </cell>
        </row>
        <row r="244">
          <cell r="C244" t="str">
            <v>KZPF00000025</v>
          </cell>
          <cell r="D244" t="str">
            <v>Паи ПИФ</v>
          </cell>
          <cell r="E244" t="str">
            <v>АО "Сентрас Секьюритиз"</v>
          </cell>
          <cell r="F244">
            <v>5730447.5199999996</v>
          </cell>
          <cell r="G244">
            <v>5730447.5199999996</v>
          </cell>
        </row>
        <row r="245">
          <cell r="C245" t="str">
            <v>KZPF00000033</v>
          </cell>
          <cell r="D245" t="str">
            <v>Паи ПИФ</v>
          </cell>
          <cell r="E245" t="str">
            <v>АО "Сентрас Секьюритиз"</v>
          </cell>
          <cell r="F245">
            <v>3206890</v>
          </cell>
          <cell r="G245">
            <v>3206890</v>
          </cell>
        </row>
        <row r="246">
          <cell r="C246" t="str">
            <v>KZPF00000280</v>
          </cell>
          <cell r="D246" t="str">
            <v>Паи ПИФ</v>
          </cell>
          <cell r="E246" t="str">
            <v>АО "Сентрас Секьюритиз"</v>
          </cell>
          <cell r="F246">
            <v>1854137.7050000001</v>
          </cell>
          <cell r="G246">
            <v>1854137.7050000001</v>
          </cell>
        </row>
        <row r="247">
          <cell r="C247" t="str">
            <v>US1729674242</v>
          </cell>
          <cell r="D247" t="str">
            <v>Акции</v>
          </cell>
          <cell r="E247" t="str">
            <v>Citigroup Inc.</v>
          </cell>
          <cell r="F247">
            <v>53874.686650000003</v>
          </cell>
          <cell r="G247">
            <v>53874.686650000003</v>
          </cell>
        </row>
        <row r="248">
          <cell r="C248" t="str">
            <v>US2546871060</v>
          </cell>
          <cell r="D248" t="str">
            <v>Акции</v>
          </cell>
          <cell r="E248" t="str">
            <v>The Walt Disney Company</v>
          </cell>
          <cell r="F248">
            <v>53476.044750000001</v>
          </cell>
          <cell r="G248">
            <v>53476.044750000001</v>
          </cell>
        </row>
        <row r="249">
          <cell r="C249" t="str">
            <v>KZ2C00000701</v>
          </cell>
          <cell r="D249" t="str">
            <v>Облигации</v>
          </cell>
          <cell r="E249" t="str">
            <v>АО "Dosjan temir joly"</v>
          </cell>
          <cell r="F249">
            <v>74.54702221335414</v>
          </cell>
          <cell r="G249">
            <v>78.561622213354141</v>
          </cell>
        </row>
        <row r="250">
          <cell r="C250" t="str">
            <v>KZMJ00001915</v>
          </cell>
          <cell r="D250" t="str">
            <v>Облигации</v>
          </cell>
          <cell r="E250" t="str">
            <v>Акимат Жамбылской области</v>
          </cell>
          <cell r="F250">
            <v>100</v>
          </cell>
          <cell r="G250">
            <v>101.5583</v>
          </cell>
        </row>
        <row r="251">
          <cell r="C251" t="str">
            <v>KZMJ00001808</v>
          </cell>
          <cell r="D251" t="str">
            <v>Облигации</v>
          </cell>
          <cell r="E251" t="str">
            <v>Акимат Жамбылской области</v>
          </cell>
          <cell r="F251">
            <v>100</v>
          </cell>
          <cell r="G251">
            <v>100.0185</v>
          </cell>
        </row>
        <row r="252">
          <cell r="C252" t="str">
            <v>KZMJ00002137</v>
          </cell>
          <cell r="D252" t="str">
            <v>Облигации</v>
          </cell>
          <cell r="E252" t="str">
            <v>Акимат Жамбылской области</v>
          </cell>
          <cell r="F252">
            <v>100</v>
          </cell>
          <cell r="G252">
            <v>100.0457</v>
          </cell>
        </row>
        <row r="253">
          <cell r="C253" t="str">
            <v>KZMF00000887</v>
          </cell>
          <cell r="D253" t="str">
            <v>Облигации</v>
          </cell>
          <cell r="E253" t="str">
            <v>Акимат Жамбылской области</v>
          </cell>
          <cell r="F253">
            <v>100</v>
          </cell>
          <cell r="G253">
            <v>100.00920000000001</v>
          </cell>
        </row>
        <row r="254">
          <cell r="C254" t="str">
            <v>KZMF00000168</v>
          </cell>
          <cell r="D254" t="str">
            <v>Облигации</v>
          </cell>
          <cell r="E254" t="str">
            <v>Акимат Жамбылской области</v>
          </cell>
          <cell r="F254">
            <v>100</v>
          </cell>
          <cell r="G254">
            <v>102.7111</v>
          </cell>
        </row>
        <row r="255">
          <cell r="C255" t="str">
            <v>KZMF00000820</v>
          </cell>
          <cell r="D255" t="str">
            <v>Облигации</v>
          </cell>
          <cell r="E255" t="str">
            <v>Акимат Жамбылской области</v>
          </cell>
          <cell r="F255">
            <v>100</v>
          </cell>
          <cell r="G255">
            <v>100.74939999999999</v>
          </cell>
        </row>
        <row r="256">
          <cell r="C256" t="str">
            <v>KZMJ00002467</v>
          </cell>
          <cell r="D256" t="str">
            <v>Облигации</v>
          </cell>
          <cell r="E256" t="str">
            <v>Акимат Жамбылской области</v>
          </cell>
          <cell r="F256">
            <v>96.473388500954783</v>
          </cell>
          <cell r="G256">
            <v>101.51338850095478</v>
          </cell>
        </row>
        <row r="257">
          <cell r="C257" t="str">
            <v>KZMJ00002665</v>
          </cell>
          <cell r="D257" t="str">
            <v>Облигации</v>
          </cell>
          <cell r="E257" t="str">
            <v>Акимат Жамбылской области</v>
          </cell>
          <cell r="F257">
            <v>96.517299493850786</v>
          </cell>
          <cell r="G257">
            <v>100.13979949385079</v>
          </cell>
        </row>
        <row r="258">
          <cell r="C258" t="str">
            <v>KZMJ00002806</v>
          </cell>
          <cell r="D258" t="str">
            <v>Облигации</v>
          </cell>
          <cell r="E258" t="str">
            <v>Акимат Жамбылской области</v>
          </cell>
          <cell r="F258">
            <v>96.661158866675223</v>
          </cell>
          <cell r="G258">
            <v>98.498658866675214</v>
          </cell>
        </row>
        <row r="259">
          <cell r="C259" t="str">
            <v>KZMF00000226</v>
          </cell>
          <cell r="D259" t="str">
            <v>Облигации</v>
          </cell>
          <cell r="E259" t="str">
            <v>Акимат Жамбылской области</v>
          </cell>
          <cell r="F259">
            <v>100</v>
          </cell>
          <cell r="G259">
            <v>101.88079999999999</v>
          </cell>
        </row>
        <row r="260">
          <cell r="C260" t="str">
            <v>KZMF00000424</v>
          </cell>
          <cell r="D260" t="str">
            <v>Облигации</v>
          </cell>
          <cell r="E260" t="str">
            <v>Акимат Жамбылской области</v>
          </cell>
          <cell r="F260">
            <v>100</v>
          </cell>
          <cell r="G260">
            <v>100.7286</v>
          </cell>
        </row>
        <row r="261">
          <cell r="C261" t="str">
            <v>KZMF00000432</v>
          </cell>
          <cell r="D261" t="str">
            <v>Облигации</v>
          </cell>
          <cell r="E261" t="str">
            <v>Акимат Жамбылской области</v>
          </cell>
          <cell r="F261">
            <v>100</v>
          </cell>
          <cell r="G261">
            <v>100.7286</v>
          </cell>
        </row>
        <row r="262">
          <cell r="C262" t="str">
            <v>KZMF00000648</v>
          </cell>
          <cell r="D262" t="str">
            <v>Облигации</v>
          </cell>
          <cell r="E262" t="str">
            <v>Акимат Жамбылской области</v>
          </cell>
          <cell r="F262">
            <v>100</v>
          </cell>
          <cell r="G262">
            <v>105.69329999999999</v>
          </cell>
        </row>
        <row r="263">
          <cell r="C263" t="str">
            <v>KZ2D00009628</v>
          </cell>
          <cell r="D263" t="str">
            <v>Облигации</v>
          </cell>
          <cell r="E263" t="str">
            <v>Евразийский банк развития</v>
          </cell>
          <cell r="F263">
            <v>99.994151263261514</v>
          </cell>
          <cell r="G263">
            <v>101.18585126326151</v>
          </cell>
        </row>
        <row r="264">
          <cell r="C264" t="str">
            <v>KZ2D00009222</v>
          </cell>
          <cell r="D264" t="str">
            <v>Облигации</v>
          </cell>
          <cell r="E264" t="str">
            <v>Евразийский банк развития</v>
          </cell>
          <cell r="F264">
            <v>101.0922154977129</v>
          </cell>
          <cell r="G264">
            <v>106.40181549771289</v>
          </cell>
        </row>
        <row r="265">
          <cell r="C265" t="str">
            <v>KZ2D00010766</v>
          </cell>
          <cell r="D265" t="str">
            <v>Облигации</v>
          </cell>
          <cell r="E265" t="str">
            <v>Евразийский банк развития</v>
          </cell>
          <cell r="F265">
            <v>94.309365088045496</v>
          </cell>
          <cell r="G265">
            <v>107.6021650880455</v>
          </cell>
        </row>
        <row r="266">
          <cell r="C266" t="str">
            <v>KZ2D00011038</v>
          </cell>
          <cell r="D266" t="str">
            <v>Облигации</v>
          </cell>
          <cell r="E266" t="str">
            <v>Евразийский банк развития</v>
          </cell>
          <cell r="F266">
            <v>90.541333577264197</v>
          </cell>
          <cell r="G266">
            <v>99.611033577264195</v>
          </cell>
        </row>
        <row r="267">
          <cell r="C267" t="str">
            <v>KZ2D00011863</v>
          </cell>
          <cell r="D267" t="str">
            <v>Облигации</v>
          </cell>
          <cell r="E267" t="str">
            <v>Евразийский банк развития</v>
          </cell>
          <cell r="F267">
            <v>94.453081592475115</v>
          </cell>
          <cell r="G267">
            <v>98.107481592475111</v>
          </cell>
        </row>
        <row r="268">
          <cell r="C268" t="str">
            <v>KZ2D00013620</v>
          </cell>
          <cell r="D268" t="str">
            <v>Облигации</v>
          </cell>
          <cell r="E268" t="str">
            <v>Евразийский банк развития</v>
          </cell>
          <cell r="F268">
            <v>101.17845531648861</v>
          </cell>
          <cell r="G268">
            <v>104.77025531648862</v>
          </cell>
        </row>
        <row r="269">
          <cell r="C269" t="str">
            <v>KZ2D00014701</v>
          </cell>
          <cell r="D269" t="str">
            <v>Облигации</v>
          </cell>
          <cell r="E269" t="str">
            <v>Евразийский банк развития</v>
          </cell>
          <cell r="F269">
            <v>100.52695794402801</v>
          </cell>
          <cell r="G269">
            <v>101.05325794402802</v>
          </cell>
        </row>
        <row r="270">
          <cell r="C270" t="str">
            <v>KZ2D00014982</v>
          </cell>
          <cell r="D270" t="str">
            <v>Облигации</v>
          </cell>
          <cell r="E270" t="str">
            <v>Евразийский банк развития</v>
          </cell>
          <cell r="F270">
            <v>99.804024191475577</v>
          </cell>
          <cell r="G270">
            <v>99.804024191475577</v>
          </cell>
        </row>
        <row r="271">
          <cell r="C271" t="str">
            <v>KZX000001433</v>
          </cell>
          <cell r="D271" t="str">
            <v>Облигации</v>
          </cell>
          <cell r="E271" t="str">
            <v>Евразийский банк развития</v>
          </cell>
          <cell r="F271">
            <v>106.92560854160394</v>
          </cell>
          <cell r="G271">
            <v>109.20060854160394</v>
          </cell>
        </row>
        <row r="272">
          <cell r="C272" t="str">
            <v>XS2315951041</v>
          </cell>
          <cell r="D272" t="str">
            <v>Облигации</v>
          </cell>
          <cell r="E272" t="str">
            <v>Евразийский банк развития</v>
          </cell>
          <cell r="F272">
            <v>98.028656444640305</v>
          </cell>
          <cell r="G272">
            <v>98.749156444640306</v>
          </cell>
        </row>
        <row r="273">
          <cell r="C273" t="str">
            <v>XS2093242530</v>
          </cell>
          <cell r="D273" t="str">
            <v>Облигации</v>
          </cell>
          <cell r="E273" t="str">
            <v>Европейский банк реконструкции и развития</v>
          </cell>
          <cell r="F273">
            <v>92.208127953165828</v>
          </cell>
          <cell r="G273">
            <v>99.578427953165829</v>
          </cell>
        </row>
        <row r="274">
          <cell r="C274" t="str">
            <v>XS2214305737</v>
          </cell>
          <cell r="D274" t="str">
            <v>Облигации</v>
          </cell>
          <cell r="E274" t="str">
            <v>Европейский банк реконструкции и развития</v>
          </cell>
          <cell r="F274">
            <v>91.954528690042892</v>
          </cell>
          <cell r="G274">
            <v>96.496828690042904</v>
          </cell>
        </row>
        <row r="275">
          <cell r="C275" t="str">
            <v>XS2264979431</v>
          </cell>
          <cell r="D275" t="str">
            <v>Облигации</v>
          </cell>
          <cell r="E275" t="str">
            <v>Европейский банк реконструкции и развития</v>
          </cell>
          <cell r="F275">
            <v>89.160494091563919</v>
          </cell>
          <cell r="G275">
            <v>97.260494091563928</v>
          </cell>
        </row>
        <row r="276">
          <cell r="C276" t="str">
            <v>XS2655869530</v>
          </cell>
          <cell r="D276" t="str">
            <v>Акции</v>
          </cell>
          <cell r="E276" t="str">
            <v>Европейский банк реконструкции и развития</v>
          </cell>
          <cell r="F276">
            <v>1</v>
          </cell>
          <cell r="G276">
            <v>1</v>
          </cell>
        </row>
        <row r="277">
          <cell r="C277" t="str">
            <v>XS2708176610</v>
          </cell>
          <cell r="D277" t="str">
            <v>Акции</v>
          </cell>
          <cell r="E277" t="str">
            <v>Европейский банк реконструкции и развития</v>
          </cell>
          <cell r="F277">
            <v>0.8</v>
          </cell>
          <cell r="G277">
            <v>0.8</v>
          </cell>
        </row>
        <row r="278">
          <cell r="C278" t="str">
            <v>XS2733527670</v>
          </cell>
          <cell r="D278" t="str">
            <v>Облигации</v>
          </cell>
          <cell r="E278" t="str">
            <v>Европейский банк реконструкции и развития</v>
          </cell>
          <cell r="F278">
            <v>99.774615673688814</v>
          </cell>
          <cell r="G278">
            <v>112.77841567368883</v>
          </cell>
        </row>
        <row r="279">
          <cell r="C279" t="str">
            <v>XS2754484439</v>
          </cell>
          <cell r="D279" t="str">
            <v>Облигации</v>
          </cell>
          <cell r="E279" t="str">
            <v>Европейский банк реконструкции и развития</v>
          </cell>
          <cell r="F279">
            <v>100</v>
          </cell>
          <cell r="G279">
            <v>101.27160000000001</v>
          </cell>
        </row>
        <row r="280">
          <cell r="C280" t="str">
            <v>XS2774403690</v>
          </cell>
          <cell r="D280" t="str">
            <v>Облигации</v>
          </cell>
          <cell r="E280" t="str">
            <v>Европейский банк реконструкции и развития</v>
          </cell>
          <cell r="F280">
            <v>100</v>
          </cell>
          <cell r="G280">
            <v>103.1336</v>
          </cell>
        </row>
        <row r="281">
          <cell r="C281" t="str">
            <v>US29874QEX88</v>
          </cell>
          <cell r="D281" t="str">
            <v>Облигации</v>
          </cell>
          <cell r="E281" t="str">
            <v>Европейский банк реконструкции и развития</v>
          </cell>
          <cell r="F281">
            <v>101.697</v>
          </cell>
          <cell r="G281">
            <v>102.74209999999999</v>
          </cell>
        </row>
        <row r="282">
          <cell r="C282" t="str">
            <v>US29874QFA76</v>
          </cell>
          <cell r="D282" t="str">
            <v>Облигации</v>
          </cell>
          <cell r="E282" t="str">
            <v>Европейский банк реконструкции и развития</v>
          </cell>
          <cell r="F282">
            <v>101.479</v>
          </cell>
          <cell r="G282">
            <v>102.9686</v>
          </cell>
        </row>
        <row r="283">
          <cell r="C283" t="str">
            <v>XS3004202225</v>
          </cell>
          <cell r="D283" t="str">
            <v>Облигации</v>
          </cell>
          <cell r="E283" t="str">
            <v>Европейский банк реконструкции и развития</v>
          </cell>
          <cell r="F283">
            <v>100</v>
          </cell>
          <cell r="G283">
            <v>100.51439999999999</v>
          </cell>
        </row>
        <row r="284">
          <cell r="C284" t="str">
            <v>XS3059487721</v>
          </cell>
          <cell r="D284" t="str">
            <v>Облигации</v>
          </cell>
          <cell r="E284" t="str">
            <v>Европейский банк реконструкции и развития</v>
          </cell>
          <cell r="F284">
            <v>100</v>
          </cell>
          <cell r="G284">
            <v>101.28270000000001</v>
          </cell>
        </row>
        <row r="285">
          <cell r="C285" t="str">
            <v>XS1957561555</v>
          </cell>
          <cell r="D285" t="str">
            <v>Облигации</v>
          </cell>
          <cell r="E285" t="str">
            <v>Европейский банк реконструкции и развития</v>
          </cell>
          <cell r="F285">
            <v>99.424476501037802</v>
          </cell>
          <cell r="G285">
            <v>103.31327650103781</v>
          </cell>
        </row>
        <row r="286">
          <cell r="C286" t="str">
            <v>XS2012983693</v>
          </cell>
          <cell r="D286" t="str">
            <v>Облигации</v>
          </cell>
          <cell r="E286" t="str">
            <v>Европейский банк реконструкции и развития</v>
          </cell>
          <cell r="F286">
            <v>97.349516603077944</v>
          </cell>
          <cell r="G286">
            <v>104.27391660307795</v>
          </cell>
        </row>
        <row r="287">
          <cell r="C287" t="str">
            <v>XS2027948582</v>
          </cell>
          <cell r="D287" t="str">
            <v>Облигации</v>
          </cell>
          <cell r="E287" t="str">
            <v>Европейский банк реконструкции и развития</v>
          </cell>
          <cell r="F287">
            <v>93.079780152101563</v>
          </cell>
          <cell r="G287">
            <v>98.908380152101557</v>
          </cell>
        </row>
        <row r="288">
          <cell r="C288" t="str">
            <v>XS2093223076</v>
          </cell>
          <cell r="D288" t="str">
            <v>Облигации</v>
          </cell>
          <cell r="E288" t="str">
            <v>Европейский банк реконструкции и развития</v>
          </cell>
          <cell r="F288">
            <v>95.568005661846428</v>
          </cell>
          <cell r="G288">
            <v>102.93830566184643</v>
          </cell>
        </row>
        <row r="289">
          <cell r="C289" t="str">
            <v>US298785JT41</v>
          </cell>
          <cell r="D289" t="str">
            <v>Облигации</v>
          </cell>
          <cell r="E289" t="str">
            <v>Европейский инвестиционный банк</v>
          </cell>
          <cell r="F289">
            <v>99.441999999999993</v>
          </cell>
          <cell r="G289">
            <v>99.622600000000006</v>
          </cell>
        </row>
        <row r="290">
          <cell r="C290" t="str">
            <v>US298785JW79</v>
          </cell>
          <cell r="D290" t="str">
            <v>Облигации</v>
          </cell>
          <cell r="E290" t="str">
            <v>Европейский инвестиционный банк</v>
          </cell>
          <cell r="F290">
            <v>99.664000000000001</v>
          </cell>
          <cell r="G290">
            <v>101.0737</v>
          </cell>
        </row>
        <row r="291">
          <cell r="C291" t="str">
            <v>KZ1C00000538</v>
          </cell>
          <cell r="D291" t="str">
            <v>Акции</v>
          </cell>
          <cell r="E291" t="str">
            <v>АО "ЭКОТОН+"</v>
          </cell>
          <cell r="F291">
            <v>40000</v>
          </cell>
          <cell r="G291">
            <v>40000</v>
          </cell>
        </row>
        <row r="292">
          <cell r="C292" t="str">
            <v>US74349Y5713</v>
          </cell>
          <cell r="D292" t="str">
            <v>Бумаги ин. инвест. фондов. ETF</v>
          </cell>
          <cell r="E292" t="str">
            <v>ProShares Trust</v>
          </cell>
          <cell r="F292">
            <v>22558.590049999999</v>
          </cell>
          <cell r="G292">
            <v>22558.590049999999</v>
          </cell>
        </row>
        <row r="293">
          <cell r="C293" t="str">
            <v>KZ2C00004075</v>
          </cell>
          <cell r="D293" t="str">
            <v>Облигации</v>
          </cell>
          <cell r="E293" t="str">
            <v>АО "Евразийский банк"</v>
          </cell>
          <cell r="F293">
            <v>49.081261101468272</v>
          </cell>
          <cell r="G293">
            <v>49.603461101468277</v>
          </cell>
        </row>
        <row r="294">
          <cell r="C294" t="str">
            <v>KZ2C00005981</v>
          </cell>
          <cell r="D294" t="str">
            <v>Облигации</v>
          </cell>
          <cell r="E294" t="str">
            <v>АО "Евразийский банк"</v>
          </cell>
          <cell r="F294">
            <v>95.762805407008457</v>
          </cell>
          <cell r="G294">
            <v>99.108605407008454</v>
          </cell>
        </row>
        <row r="295">
          <cell r="C295" t="str">
            <v>KZ2C00010924</v>
          </cell>
          <cell r="D295" t="str">
            <v>Облигации</v>
          </cell>
          <cell r="E295" t="str">
            <v>АО "Евразийский Капитал"</v>
          </cell>
          <cell r="F295">
            <v>88.671750199914172</v>
          </cell>
          <cell r="G295">
            <v>93.421750199914172</v>
          </cell>
        </row>
        <row r="296">
          <cell r="C296" t="str">
            <v>US4642867075</v>
          </cell>
          <cell r="D296" t="str">
            <v>Бумаги ин. инвест. фондов. ETF</v>
          </cell>
          <cell r="E296" t="str">
            <v>iShares Inc.</v>
          </cell>
          <cell r="F296">
            <v>22649.419849999998</v>
          </cell>
          <cell r="G296">
            <v>22649.419849999998</v>
          </cell>
        </row>
        <row r="297">
          <cell r="C297" t="str">
            <v>KZ1C00005560</v>
          </cell>
          <cell r="D297" t="str">
            <v>Акции</v>
          </cell>
          <cell r="E297" t="str">
            <v>АО "Товарная Биржа "Каспий"</v>
          </cell>
          <cell r="F297">
            <v>1000</v>
          </cell>
          <cell r="G297">
            <v>1000</v>
          </cell>
        </row>
        <row r="298">
          <cell r="C298" t="str">
            <v>KZ1P00013585</v>
          </cell>
          <cell r="D298" t="str">
            <v>Акции</v>
          </cell>
          <cell r="E298" t="str">
            <v>АО "Товарная Биржа "Каспий"</v>
          </cell>
          <cell r="F298">
            <v>1000</v>
          </cell>
          <cell r="G298">
            <v>1000</v>
          </cell>
        </row>
        <row r="299">
          <cell r="C299" t="str">
            <v>KZ1C00001478</v>
          </cell>
          <cell r="D299" t="str">
            <v>Акции</v>
          </cell>
          <cell r="E299" t="str">
            <v>АО "Green Power Generation"</v>
          </cell>
          <cell r="F299">
            <v>0.01</v>
          </cell>
          <cell r="G299">
            <v>0.01</v>
          </cell>
        </row>
        <row r="300">
          <cell r="C300" t="str">
            <v>KZ2C00002962</v>
          </cell>
          <cell r="D300" t="str">
            <v>Облигации</v>
          </cell>
          <cell r="E300" t="str">
            <v>АО "Аграрная кредитная корпорация"</v>
          </cell>
          <cell r="F300">
            <v>97.570582605204251</v>
          </cell>
          <cell r="G300">
            <v>101.90628260520424</v>
          </cell>
        </row>
        <row r="301">
          <cell r="C301" t="str">
            <v>KZ2C00003465</v>
          </cell>
          <cell r="D301" t="str">
            <v>Облигации</v>
          </cell>
          <cell r="E301" t="str">
            <v>АО "Аграрная кредитная корпорация"</v>
          </cell>
          <cell r="F301">
            <v>97.024272786934574</v>
          </cell>
          <cell r="G301">
            <v>98.255072786934562</v>
          </cell>
        </row>
        <row r="302">
          <cell r="C302" t="str">
            <v>KZ2P00003874</v>
          </cell>
          <cell r="D302" t="str">
            <v>Акции</v>
          </cell>
          <cell r="E302" t="str">
            <v>ТОО "Компания Фаэтон"</v>
          </cell>
          <cell r="F302">
            <v>1054.2494300000001</v>
          </cell>
          <cell r="G302">
            <v>1054.2494300000001</v>
          </cell>
        </row>
        <row r="303">
          <cell r="C303" t="str">
            <v>KZ2P00004286</v>
          </cell>
          <cell r="D303" t="str">
            <v>Облигации</v>
          </cell>
          <cell r="E303" t="str">
            <v>ТОО "Компания Фаэтон"</v>
          </cell>
          <cell r="F303">
            <v>74.830878847617242</v>
          </cell>
          <cell r="G303">
            <v>78.833678847617236</v>
          </cell>
        </row>
        <row r="304">
          <cell r="C304" t="str">
            <v>KZ2P00004500</v>
          </cell>
          <cell r="D304" t="str">
            <v>Облигации</v>
          </cell>
          <cell r="E304" t="str">
            <v>ТОО "Компания Фаэтон"</v>
          </cell>
          <cell r="F304">
            <v>98.309623857259652</v>
          </cell>
          <cell r="G304">
            <v>101.37212385725965</v>
          </cell>
        </row>
        <row r="305">
          <cell r="C305" t="str">
            <v>US35671D8570</v>
          </cell>
          <cell r="D305" t="str">
            <v>Акции</v>
          </cell>
          <cell r="E305" t="str">
            <v>Freeport-McMoRan Inc.</v>
          </cell>
          <cell r="F305">
            <v>22149.855950000001</v>
          </cell>
          <cell r="G305">
            <v>22149.855950000001</v>
          </cell>
        </row>
        <row r="306">
          <cell r="C306" t="str">
            <v>KZ2P00010689</v>
          </cell>
          <cell r="D306" t="str">
            <v>Облигации</v>
          </cell>
          <cell r="E306" t="str">
            <v>ТОО "Коллекторское агентство "FD Collection"</v>
          </cell>
          <cell r="F306">
            <v>87.440538891212839</v>
          </cell>
          <cell r="G306">
            <v>93.329438891212831</v>
          </cell>
        </row>
        <row r="307">
          <cell r="C307" t="str">
            <v>KZ1C00001262</v>
          </cell>
          <cell r="D307" t="str">
            <v>Акции</v>
          </cell>
          <cell r="E307" t="str">
            <v>АО "Фридом Финанс"</v>
          </cell>
          <cell r="F307">
            <v>5830</v>
          </cell>
          <cell r="G307">
            <v>5830</v>
          </cell>
        </row>
        <row r="308">
          <cell r="C308" t="str">
            <v>KZPF00000082</v>
          </cell>
          <cell r="D308" t="str">
            <v>Паи ПИФ</v>
          </cell>
          <cell r="E308" t="str">
            <v>АО "Фридом Финанс"</v>
          </cell>
          <cell r="F308">
            <v>78620.775213323679</v>
          </cell>
          <cell r="G308">
            <v>78620.775213323679</v>
          </cell>
        </row>
        <row r="309">
          <cell r="C309" t="str">
            <v>KZPF00000090</v>
          </cell>
          <cell r="D309" t="str">
            <v>Паи ПИФ</v>
          </cell>
          <cell r="E309" t="str">
            <v>АО "Фридом Финанс"</v>
          </cell>
          <cell r="F309">
            <v>5611.2113091982937</v>
          </cell>
          <cell r="G309">
            <v>5611.2113091982937</v>
          </cell>
        </row>
        <row r="310">
          <cell r="C310" t="str">
            <v>KZPF00000132</v>
          </cell>
          <cell r="D310" t="str">
            <v>Паи ПИФ</v>
          </cell>
          <cell r="E310" t="str">
            <v>АО "Alatau City Invest"</v>
          </cell>
          <cell r="F310">
            <v>550433.63410000002</v>
          </cell>
          <cell r="G310">
            <v>550433.63410000002</v>
          </cell>
        </row>
        <row r="311">
          <cell r="C311" t="str">
            <v>KZPF00000173</v>
          </cell>
          <cell r="D311" t="str">
            <v>Паи ПИФ</v>
          </cell>
          <cell r="E311" t="str">
            <v>АО "Alatau City Invest"</v>
          </cell>
          <cell r="F311">
            <v>12010.075000000001</v>
          </cell>
          <cell r="G311">
            <v>12010.075000000001</v>
          </cell>
        </row>
        <row r="312">
          <cell r="C312" t="str">
            <v>KZPF00000124</v>
          </cell>
          <cell r="D312" t="str">
            <v>Паи ПИФ</v>
          </cell>
          <cell r="E312" t="str">
            <v>АО "Alatau City Invest"</v>
          </cell>
          <cell r="F312">
            <v>15073.115</v>
          </cell>
          <cell r="G312">
            <v>15073.115</v>
          </cell>
        </row>
        <row r="313">
          <cell r="C313" t="str">
            <v>KZPF00000140</v>
          </cell>
          <cell r="D313" t="str">
            <v>Паи ПИФ</v>
          </cell>
          <cell r="E313" t="str">
            <v>АО "Alatau City Invest"</v>
          </cell>
          <cell r="F313">
            <v>595871.24155000004</v>
          </cell>
          <cell r="G313">
            <v>595871.24155000004</v>
          </cell>
        </row>
        <row r="314">
          <cell r="C314" t="str">
            <v>KZ1C00015171</v>
          </cell>
          <cell r="D314" t="str">
            <v>Акции</v>
          </cell>
          <cell r="E314" t="str">
            <v>АО "ФИНАНСОВЫЙ ХОЛДИНГ "РЕСПУБЛИКА"</v>
          </cell>
          <cell r="F314">
            <v>10691.67</v>
          </cell>
          <cell r="G314">
            <v>10691.67</v>
          </cell>
        </row>
        <row r="315">
          <cell r="C315" t="str">
            <v>KZ2P00008477</v>
          </cell>
          <cell r="D315" t="str">
            <v>Облигации</v>
          </cell>
          <cell r="E315" t="str">
            <v>ТОО "FinQ"</v>
          </cell>
          <cell r="F315">
            <v>100</v>
          </cell>
          <cell r="G315">
            <v>104.9833</v>
          </cell>
        </row>
        <row r="316">
          <cell r="C316" t="str">
            <v>KZ2P00011471</v>
          </cell>
          <cell r="D316" t="str">
            <v>Облигации</v>
          </cell>
          <cell r="E316" t="str">
            <v>ТОО "FinQ"</v>
          </cell>
          <cell r="F316">
            <v>100</v>
          </cell>
          <cell r="G316">
            <v>102.5278</v>
          </cell>
        </row>
        <row r="317">
          <cell r="C317" t="str">
            <v>KZ2C00013548</v>
          </cell>
          <cell r="D317" t="str">
            <v>Облигации</v>
          </cell>
          <cell r="E317" t="str">
            <v>АО "FIVE BROKERS' CAPITAL"</v>
          </cell>
          <cell r="F317">
            <v>100.35043273215294</v>
          </cell>
          <cell r="G317">
            <v>106.04483273215294</v>
          </cell>
        </row>
        <row r="318">
          <cell r="C318" t="str">
            <v>US35473P6786</v>
          </cell>
          <cell r="D318" t="str">
            <v>Бумаги ин. инвест. фондов. ETF</v>
          </cell>
          <cell r="E318" t="str">
            <v>Franklin Templeton Investments, Inc.</v>
          </cell>
          <cell r="F318">
            <v>16836.31265</v>
          </cell>
          <cell r="G318">
            <v>16836.31265</v>
          </cell>
        </row>
        <row r="319">
          <cell r="C319" t="str">
            <v>KZ2P00011141</v>
          </cell>
          <cell r="D319" t="str">
            <v>Облигации</v>
          </cell>
          <cell r="E319" t="str">
            <v>ТОО "BASS Gold"</v>
          </cell>
          <cell r="F319">
            <v>98.59634669490606</v>
          </cell>
          <cell r="G319">
            <v>99.929646694906069</v>
          </cell>
        </row>
        <row r="320">
          <cell r="C320" t="str">
            <v>KZ2P00011778</v>
          </cell>
          <cell r="D320" t="str">
            <v>Облигации</v>
          </cell>
          <cell r="E320" t="str">
            <v>ТОО "BASS Gold"</v>
          </cell>
          <cell r="F320">
            <v>96.677140466677926</v>
          </cell>
          <cell r="G320">
            <v>99.457740466677919</v>
          </cell>
        </row>
        <row r="321">
          <cell r="C321" t="str">
            <v>KZ2P00013592</v>
          </cell>
          <cell r="D321" t="str">
            <v>Облигации</v>
          </cell>
          <cell r="E321" t="str">
            <v>ТОО "BASS Gold"</v>
          </cell>
          <cell r="F321">
            <v>98.664976107184685</v>
          </cell>
          <cell r="G321">
            <v>100.95667610718468</v>
          </cell>
        </row>
        <row r="322">
          <cell r="C322" t="str">
            <v>US3563901046</v>
          </cell>
          <cell r="D322" t="str">
            <v>Акции</v>
          </cell>
          <cell r="E322" t="str">
            <v>Freedom Holding Corp.</v>
          </cell>
          <cell r="F322">
            <v>67826.192277190203</v>
          </cell>
          <cell r="G322">
            <v>67826.192277190203</v>
          </cell>
        </row>
        <row r="323">
          <cell r="C323" t="str">
            <v>KZ2C00008068</v>
          </cell>
          <cell r="D323" t="str">
            <v>Облигации</v>
          </cell>
          <cell r="E323" t="str">
            <v xml:space="preserve">АО "Фонд развития предпринимательства "Даму" </v>
          </cell>
          <cell r="F323">
            <v>95.152742521217888</v>
          </cell>
          <cell r="G323">
            <v>97.797142521217893</v>
          </cell>
        </row>
        <row r="324">
          <cell r="C324" t="str">
            <v>US34959E1091</v>
          </cell>
          <cell r="D324" t="str">
            <v>Акции</v>
          </cell>
          <cell r="E324" t="str">
            <v>Fortinet, Inc.</v>
          </cell>
          <cell r="F324">
            <v>41811.984600000003</v>
          </cell>
          <cell r="G324">
            <v>41811.984600000003</v>
          </cell>
        </row>
        <row r="325">
          <cell r="C325" t="str">
            <v>US4642871846</v>
          </cell>
          <cell r="D325" t="str">
            <v>Бумаги ин. инвест. фондов. ETF</v>
          </cell>
          <cell r="E325" t="str">
            <v>iShares Trust</v>
          </cell>
          <cell r="F325">
            <v>19869.018749999999</v>
          </cell>
          <cell r="G325">
            <v>19869.018749999999</v>
          </cell>
        </row>
        <row r="326">
          <cell r="C326" t="str">
            <v>US3453708600</v>
          </cell>
          <cell r="D326" t="str">
            <v>Акции</v>
          </cell>
          <cell r="E326" t="str">
            <v>Ford Motor Company</v>
          </cell>
          <cell r="F326">
            <v>6653.2828499999996</v>
          </cell>
          <cell r="G326">
            <v>6653.2828499999996</v>
          </cell>
        </row>
        <row r="327">
          <cell r="C327" t="str">
            <v>GB00BMH19X50</v>
          </cell>
          <cell r="D327" t="str">
            <v>Акции</v>
          </cell>
          <cell r="E327" t="str">
            <v>AltynGold plc</v>
          </cell>
          <cell r="F327">
            <v>6672.966300000001</v>
          </cell>
          <cell r="G327">
            <v>6672.966300000001</v>
          </cell>
        </row>
        <row r="328">
          <cell r="C328" t="str">
            <v>US92189F1066</v>
          </cell>
          <cell r="D328" t="str">
            <v>Бумаги ин. инвест. фондов. ETF</v>
          </cell>
          <cell r="E328" t="str">
            <v>VANECK ETF TRUST</v>
          </cell>
          <cell r="F328">
            <v>40616.058900000004</v>
          </cell>
          <cell r="G328">
            <v>40616.058900000004</v>
          </cell>
        </row>
        <row r="329">
          <cell r="C329" t="str">
            <v>US78463V1070</v>
          </cell>
          <cell r="D329" t="str">
            <v>Бумаги ин. инвест. фондов. ETF</v>
          </cell>
          <cell r="E329" t="str">
            <v>SPDR Gold Trust</v>
          </cell>
          <cell r="F329">
            <v>195185.67105</v>
          </cell>
          <cell r="G329">
            <v>195185.67105</v>
          </cell>
        </row>
        <row r="330">
          <cell r="C330" t="str">
            <v>US02079K1079</v>
          </cell>
          <cell r="D330" t="str">
            <v>Акции</v>
          </cell>
          <cell r="E330" t="str">
            <v>ALPHABET INC.</v>
          </cell>
          <cell r="F330">
            <v>162123.62385</v>
          </cell>
          <cell r="G330">
            <v>162123.62385</v>
          </cell>
        </row>
        <row r="331">
          <cell r="C331" t="str">
            <v>KZ2C00009918</v>
          </cell>
          <cell r="D331" t="str">
            <v>Облигации</v>
          </cell>
          <cell r="E331" t="str">
            <v>АО "Home Credit Bank"</v>
          </cell>
          <cell r="F331">
            <v>98.443200000000004</v>
          </cell>
          <cell r="G331">
            <v>104.1724</v>
          </cell>
        </row>
        <row r="332">
          <cell r="C332" t="str">
            <v>KZ2C00009926</v>
          </cell>
          <cell r="D332" t="str">
            <v>Облигации</v>
          </cell>
          <cell r="E332" t="str">
            <v>АО "Home Credit Bank"</v>
          </cell>
          <cell r="F332">
            <v>94.848799999999997</v>
          </cell>
          <cell r="G332">
            <v>100.21129999999999</v>
          </cell>
        </row>
        <row r="333">
          <cell r="C333" t="str">
            <v>KZ2C00011195</v>
          </cell>
          <cell r="D333" t="str">
            <v>Облигации</v>
          </cell>
          <cell r="E333" t="str">
            <v>АО "Home Credit Bank"</v>
          </cell>
          <cell r="F333">
            <v>97.176848364989269</v>
          </cell>
          <cell r="G333">
            <v>102.11764836498928</v>
          </cell>
        </row>
        <row r="334">
          <cell r="C334" t="str">
            <v>KZ2C00011351</v>
          </cell>
          <cell r="D334" t="str">
            <v>Облигации</v>
          </cell>
          <cell r="E334" t="str">
            <v>АО "Home Credit Bank"</v>
          </cell>
          <cell r="F334">
            <v>97.69</v>
          </cell>
          <cell r="G334">
            <v>105.3567</v>
          </cell>
        </row>
        <row r="335">
          <cell r="C335" t="str">
            <v>KZ2C00011401</v>
          </cell>
          <cell r="D335" t="str">
            <v>Облигации</v>
          </cell>
          <cell r="E335" t="str">
            <v>АО "Home Credit Bank"</v>
          </cell>
          <cell r="F335">
            <v>95.537099999999995</v>
          </cell>
          <cell r="G335">
            <v>102.7246</v>
          </cell>
        </row>
        <row r="336">
          <cell r="C336" t="str">
            <v>KZ2C00013795</v>
          </cell>
          <cell r="D336" t="str">
            <v>Облигации</v>
          </cell>
          <cell r="E336" t="str">
            <v>АО "Home Credit Bank"</v>
          </cell>
          <cell r="F336">
            <v>99.566772257869161</v>
          </cell>
          <cell r="G336">
            <v>100.32507225786917</v>
          </cell>
        </row>
        <row r="337">
          <cell r="C337" t="str">
            <v>KZ2C00014066</v>
          </cell>
          <cell r="D337" t="str">
            <v>Облигации</v>
          </cell>
          <cell r="E337" t="str">
            <v>АО "Home Credit Bank"</v>
          </cell>
          <cell r="F337">
            <v>99.50843125901946</v>
          </cell>
          <cell r="G337">
            <v>106.98923125901946</v>
          </cell>
        </row>
        <row r="338">
          <cell r="C338" t="str">
            <v>KZ2C00014116</v>
          </cell>
          <cell r="D338" t="str">
            <v>Облигации</v>
          </cell>
          <cell r="E338" t="str">
            <v>АО "Home Credit Bank"</v>
          </cell>
          <cell r="F338">
            <v>99.980500000000006</v>
          </cell>
          <cell r="G338">
            <v>100.4743</v>
          </cell>
        </row>
        <row r="339">
          <cell r="C339" t="str">
            <v>KZ2C00014124</v>
          </cell>
          <cell r="D339" t="str">
            <v>Облигации</v>
          </cell>
          <cell r="E339" t="str">
            <v>АО "Home Credit Bank"</v>
          </cell>
          <cell r="F339">
            <v>99.61</v>
          </cell>
          <cell r="G339">
            <v>107.68429999999999</v>
          </cell>
        </row>
        <row r="340">
          <cell r="C340" t="str">
            <v>KZ2C00014173</v>
          </cell>
          <cell r="D340" t="str">
            <v>Облигации</v>
          </cell>
          <cell r="E340" t="str">
            <v>АО "Home Credit Bank"</v>
          </cell>
          <cell r="F340">
            <v>100.45581788595484</v>
          </cell>
          <cell r="G340">
            <v>100.94961788595484</v>
          </cell>
        </row>
        <row r="341">
          <cell r="C341" t="str">
            <v>KZPF00000538</v>
          </cell>
          <cell r="D341" t="str">
            <v>Паи ПИФ</v>
          </cell>
          <cell r="E341" t="str">
            <v xml:space="preserve">АО "Дочерняя организация Народного Банка Казахстана "Halyk Finance" </v>
          </cell>
          <cell r="F341">
            <v>50022.144999999997</v>
          </cell>
          <cell r="G341">
            <v>50022.144999999997</v>
          </cell>
        </row>
        <row r="342">
          <cell r="C342" t="str">
            <v>KZPF00000546</v>
          </cell>
          <cell r="D342" t="str">
            <v>Паи ПИФ</v>
          </cell>
          <cell r="E342" t="str">
            <v xml:space="preserve">АО "Дочерняя организация Народного Банка Казахстана "Halyk Finance" </v>
          </cell>
          <cell r="F342">
            <v>70868.58</v>
          </cell>
          <cell r="G342">
            <v>70868.58</v>
          </cell>
        </row>
        <row r="343">
          <cell r="C343" t="str">
            <v>KZPF00000520</v>
          </cell>
          <cell r="D343" t="str">
            <v>Паи ПИФ</v>
          </cell>
          <cell r="E343" t="str">
            <v xml:space="preserve">АО "Дочерняя организация Народного Банка Казахстана "Halyk Finance" </v>
          </cell>
          <cell r="F343">
            <v>70232.53</v>
          </cell>
          <cell r="G343">
            <v>70232.53</v>
          </cell>
        </row>
        <row r="344">
          <cell r="C344" t="str">
            <v>KZPF00000041</v>
          </cell>
          <cell r="D344" t="str">
            <v>Паи ПИФ</v>
          </cell>
          <cell r="E344" t="str">
            <v xml:space="preserve">АО "Дочерняя организация Народного Банка Казахстана "Halyk Finance" </v>
          </cell>
          <cell r="F344">
            <v>553187.81000000006</v>
          </cell>
          <cell r="G344">
            <v>553187.81000000006</v>
          </cell>
        </row>
        <row r="345">
          <cell r="C345" t="str">
            <v>KZPF00000165</v>
          </cell>
          <cell r="D345" t="str">
            <v>Паи ПИФ</v>
          </cell>
          <cell r="E345" t="str">
            <v xml:space="preserve">АО "Дочерняя организация Народного Банка Казахстана "Halyk Finance" </v>
          </cell>
          <cell r="F345">
            <v>4308.0324000000001</v>
          </cell>
          <cell r="G345">
            <v>4308.0324000000001</v>
          </cell>
        </row>
        <row r="346">
          <cell r="C346" t="str">
            <v>XS1555404786</v>
          </cell>
          <cell r="D346" t="str">
            <v>Акции</v>
          </cell>
          <cell r="E346" t="str">
            <v>Правительство специального административного региона Гонконг Китайской Народной Республики</v>
          </cell>
          <cell r="F346">
            <v>502.37710075000001</v>
          </cell>
          <cell r="G346">
            <v>502.37710075000001</v>
          </cell>
        </row>
        <row r="347">
          <cell r="C347" t="str">
            <v>KZ000A0LE0S4</v>
          </cell>
          <cell r="D347" t="str">
            <v>Акции</v>
          </cell>
          <cell r="E347" t="str">
            <v>АО "Народный Банк Казахстана"</v>
          </cell>
          <cell r="F347">
            <v>321.55415943660375</v>
          </cell>
          <cell r="G347">
            <v>321.55415943660375</v>
          </cell>
        </row>
        <row r="348">
          <cell r="C348" t="str">
            <v>KZ2C00011468</v>
          </cell>
          <cell r="D348" t="str">
            <v>Облигации</v>
          </cell>
          <cell r="E348" t="str">
            <v>АО "Народный Банк Казахстана"</v>
          </cell>
          <cell r="F348">
            <v>104.93193724991485</v>
          </cell>
          <cell r="G348">
            <v>111.65943724991486</v>
          </cell>
        </row>
        <row r="349">
          <cell r="C349" t="str">
            <v>KZ2C00012482</v>
          </cell>
          <cell r="D349" t="str">
            <v>Облигации</v>
          </cell>
          <cell r="E349" t="str">
            <v>АО "Народный Банк Казахстана"</v>
          </cell>
          <cell r="F349">
            <v>100</v>
          </cell>
          <cell r="G349">
            <v>100.102</v>
          </cell>
        </row>
        <row r="350">
          <cell r="C350" t="str">
            <v>US46627J3023</v>
          </cell>
          <cell r="D350" t="str">
            <v>Депозитарные расписки</v>
          </cell>
          <cell r="E350" t="str">
            <v>АО "Народный Банк Казахстана"</v>
          </cell>
          <cell r="F350">
            <v>12993.7075</v>
          </cell>
          <cell r="G350">
            <v>12993.7075</v>
          </cell>
        </row>
        <row r="351">
          <cell r="C351" t="str">
            <v>US4642885135</v>
          </cell>
          <cell r="D351" t="str">
            <v>Бумаги ин. инвест. фондов. ETF</v>
          </cell>
          <cell r="E351" t="str">
            <v>BlackRock, Inc</v>
          </cell>
          <cell r="F351">
            <v>40724.550049999998</v>
          </cell>
          <cell r="G351">
            <v>40724.550049999998</v>
          </cell>
        </row>
        <row r="352">
          <cell r="C352" t="str">
            <v>US4592001014</v>
          </cell>
          <cell r="D352" t="str">
            <v>Акции</v>
          </cell>
          <cell r="E352" t="str">
            <v>IBM corp.</v>
          </cell>
          <cell r="F352">
            <v>152864.03034999999</v>
          </cell>
          <cell r="G352">
            <v>152864.03034999999</v>
          </cell>
        </row>
        <row r="353">
          <cell r="C353" t="str">
            <v>US459058KW25</v>
          </cell>
          <cell r="D353" t="str">
            <v>Облигации</v>
          </cell>
          <cell r="E353" t="str">
            <v>Международный банк реконструкции и развития</v>
          </cell>
          <cell r="F353">
            <v>102.654</v>
          </cell>
          <cell r="G353">
            <v>104.2471</v>
          </cell>
        </row>
        <row r="354">
          <cell r="C354" t="str">
            <v>US459058KL69</v>
          </cell>
          <cell r="D354" t="str">
            <v>Облигации</v>
          </cell>
          <cell r="E354" t="str">
            <v>Международный банк реконструкции и развития</v>
          </cell>
          <cell r="F354">
            <v>99.962999999999994</v>
          </cell>
          <cell r="G354">
            <v>100.7081</v>
          </cell>
        </row>
        <row r="355">
          <cell r="C355" t="str">
            <v>US459058LA95</v>
          </cell>
          <cell r="D355" t="str">
            <v>Облигации</v>
          </cell>
          <cell r="E355" t="str">
            <v>Международный банк реконструкции и развития</v>
          </cell>
          <cell r="F355">
            <v>101.13</v>
          </cell>
          <cell r="G355">
            <v>102.7411</v>
          </cell>
        </row>
        <row r="356">
          <cell r="C356" t="str">
            <v>US459058LF82</v>
          </cell>
          <cell r="D356" t="str">
            <v>Облигации</v>
          </cell>
          <cell r="E356" t="str">
            <v>Международный банк реконструкции и развития</v>
          </cell>
          <cell r="F356">
            <v>103.477</v>
          </cell>
          <cell r="G356">
            <v>104.1645</v>
          </cell>
        </row>
        <row r="357">
          <cell r="C357" t="str">
            <v>XS2624614751</v>
          </cell>
          <cell r="D357" t="str">
            <v>Акции</v>
          </cell>
          <cell r="E357" t="str">
            <v>Исламская корпорация по развитию частного сектора</v>
          </cell>
          <cell r="F357">
            <v>1</v>
          </cell>
          <cell r="G357">
            <v>1</v>
          </cell>
        </row>
        <row r="358">
          <cell r="C358" t="str">
            <v>US4642882249</v>
          </cell>
          <cell r="D358" t="str">
            <v>Бумаги ин. инвест. фондов. ETF</v>
          </cell>
          <cell r="E358" t="str">
            <v>iShares Trust</v>
          </cell>
          <cell r="F358">
            <v>8384.0951499999992</v>
          </cell>
          <cell r="G358">
            <v>8384.0951499999992</v>
          </cell>
        </row>
        <row r="359">
          <cell r="C359" t="str">
            <v>XS2838544778</v>
          </cell>
          <cell r="D359" t="str">
            <v>Облигации</v>
          </cell>
          <cell r="E359" t="str">
            <v>International Development Association</v>
          </cell>
          <cell r="F359">
            <v>102.289</v>
          </cell>
          <cell r="G359">
            <v>104.4036</v>
          </cell>
        </row>
        <row r="360">
          <cell r="C360" t="str">
            <v>KZ2C00007011</v>
          </cell>
          <cell r="D360" t="str">
            <v>Облигации</v>
          </cell>
          <cell r="E360" t="str">
            <v>АО "Фонд развития промышленности"</v>
          </cell>
          <cell r="F360">
            <v>77.452734274240441</v>
          </cell>
          <cell r="G360">
            <v>78.239434274240438</v>
          </cell>
        </row>
        <row r="361">
          <cell r="C361" t="str">
            <v>KZ2C00007391</v>
          </cell>
          <cell r="D361" t="str">
            <v>Облигации</v>
          </cell>
          <cell r="E361" t="str">
            <v>АО "Фонд развития промышленности"</v>
          </cell>
          <cell r="F361">
            <v>75.634349906546589</v>
          </cell>
          <cell r="G361">
            <v>78.06214990654658</v>
          </cell>
        </row>
        <row r="362">
          <cell r="C362" t="str">
            <v>KZ2C00008217</v>
          </cell>
          <cell r="D362" t="str">
            <v>Облигации</v>
          </cell>
          <cell r="E362" t="str">
            <v>АО "Фонд развития промышленности"</v>
          </cell>
          <cell r="F362">
            <v>85.477486875205074</v>
          </cell>
          <cell r="G362">
            <v>86.269686875205082</v>
          </cell>
        </row>
        <row r="363">
          <cell r="C363" t="str">
            <v>KZ2C00010338</v>
          </cell>
          <cell r="D363" t="str">
            <v>Облигации</v>
          </cell>
          <cell r="E363" t="str">
            <v>АО "Фонд развития промышленности"</v>
          </cell>
          <cell r="F363">
            <v>70.241311723398866</v>
          </cell>
          <cell r="G363">
            <v>81.528411723398861</v>
          </cell>
        </row>
        <row r="364">
          <cell r="C364" t="str">
            <v>KZ2C00011542</v>
          </cell>
          <cell r="D364" t="str">
            <v>Акции</v>
          </cell>
          <cell r="E364" t="str">
            <v>АО "Фонд развития промышленности"</v>
          </cell>
          <cell r="F364">
            <v>1037.19</v>
          </cell>
          <cell r="G364">
            <v>1037.19</v>
          </cell>
        </row>
        <row r="365">
          <cell r="C365" t="str">
            <v>KZ2C00015857</v>
          </cell>
          <cell r="D365" t="str">
            <v>Облигации</v>
          </cell>
          <cell r="E365" t="str">
            <v>АО "Фонд развития промышленности"</v>
          </cell>
          <cell r="F365">
            <v>99.653470928284108</v>
          </cell>
          <cell r="G365">
            <v>102.60907092828411</v>
          </cell>
        </row>
        <row r="366">
          <cell r="C366" t="str">
            <v>IE00BG0C3K84</v>
          </cell>
          <cell r="D366" t="str">
            <v>Бумаги ин. инвест. фондов. ETF</v>
          </cell>
          <cell r="E366" t="str">
            <v>FinEx Physically Backed Funds</v>
          </cell>
          <cell r="F366">
            <v>4224.9882972727482</v>
          </cell>
          <cell r="G366">
            <v>4224.9882972727482</v>
          </cell>
        </row>
        <row r="367">
          <cell r="C367" t="str">
            <v>XS1831081408</v>
          </cell>
          <cell r="D367" t="str">
            <v>Акции</v>
          </cell>
          <cell r="E367" t="str">
            <v>Международная финансовая корпорация</v>
          </cell>
          <cell r="F367">
            <v>76719.610145311104</v>
          </cell>
          <cell r="G367">
            <v>76719.610145311104</v>
          </cell>
        </row>
        <row r="368">
          <cell r="C368" t="str">
            <v>XS2725046283</v>
          </cell>
          <cell r="D368" t="str">
            <v>Акции</v>
          </cell>
          <cell r="E368" t="str">
            <v>Международная финансовая корпорация</v>
          </cell>
          <cell r="F368">
            <v>1</v>
          </cell>
          <cell r="G368">
            <v>1</v>
          </cell>
        </row>
        <row r="369">
          <cell r="C369" t="str">
            <v>XS2725047505</v>
          </cell>
          <cell r="D369" t="str">
            <v>Акции</v>
          </cell>
          <cell r="E369" t="str">
            <v>Международная финансовая корпорация</v>
          </cell>
          <cell r="F369">
            <v>1</v>
          </cell>
          <cell r="G369">
            <v>1</v>
          </cell>
        </row>
        <row r="370">
          <cell r="C370" t="str">
            <v>US45950KDD90</v>
          </cell>
          <cell r="D370" t="str">
            <v>Облигации</v>
          </cell>
          <cell r="E370" t="str">
            <v>Международная финансовая корпорация</v>
          </cell>
          <cell r="F370">
            <v>102.23</v>
          </cell>
          <cell r="G370">
            <v>104.005</v>
          </cell>
        </row>
        <row r="371">
          <cell r="C371" t="str">
            <v>KZ1C00000256</v>
          </cell>
          <cell r="D371" t="str">
            <v>Акции</v>
          </cell>
          <cell r="E371" t="str">
            <v>АО "Teniz Capital Investment Banking"</v>
          </cell>
          <cell r="F371">
            <v>9490.25</v>
          </cell>
          <cell r="G371">
            <v>9490.25</v>
          </cell>
        </row>
        <row r="372">
          <cell r="C372" t="str">
            <v>US4642895118</v>
          </cell>
          <cell r="D372" t="str">
            <v>Бумаги ин. инвест. фондов. ETF</v>
          </cell>
          <cell r="E372" t="str">
            <v>iShares Trust</v>
          </cell>
          <cell r="F372">
            <v>25775.478800000001</v>
          </cell>
          <cell r="G372">
            <v>25775.478800000001</v>
          </cell>
        </row>
        <row r="373">
          <cell r="C373" t="str">
            <v>KZ2C00008845</v>
          </cell>
          <cell r="D373" t="str">
            <v>Облигации</v>
          </cell>
          <cell r="E373" t="str">
            <v>АО "Банк "Bank RBK"</v>
          </cell>
          <cell r="F373">
            <v>94.703119467318999</v>
          </cell>
          <cell r="G373">
            <v>97.036419467319007</v>
          </cell>
        </row>
        <row r="374">
          <cell r="C374" t="str">
            <v>KZ2C00008852</v>
          </cell>
          <cell r="D374" t="str">
            <v>Облигации</v>
          </cell>
          <cell r="E374" t="str">
            <v>АО "Банк "Bank RBK"</v>
          </cell>
          <cell r="F374">
            <v>94.727049119754767</v>
          </cell>
          <cell r="G374">
            <v>102.99094911975477</v>
          </cell>
        </row>
        <row r="375">
          <cell r="C375" t="str">
            <v>KZ2C00009827</v>
          </cell>
          <cell r="D375" t="str">
            <v>Облигации</v>
          </cell>
          <cell r="E375" t="str">
            <v>АО "Банк "Bank RBK"</v>
          </cell>
          <cell r="F375">
            <v>40.902877372412888</v>
          </cell>
          <cell r="G375">
            <v>42.636177372412888</v>
          </cell>
        </row>
        <row r="376">
          <cell r="C376" t="str">
            <v>KZ2C00009835</v>
          </cell>
          <cell r="D376" t="str">
            <v>Облигации</v>
          </cell>
          <cell r="E376" t="str">
            <v>АО "Банк "Bank RBK"</v>
          </cell>
          <cell r="F376">
            <v>40.365370763375239</v>
          </cell>
          <cell r="G376">
            <v>41.465370763375233</v>
          </cell>
        </row>
        <row r="377">
          <cell r="C377" t="str">
            <v>KZ2C00011880</v>
          </cell>
          <cell r="D377" t="str">
            <v>Облигации</v>
          </cell>
          <cell r="E377" t="str">
            <v>АО "Банк "Bank RBK"</v>
          </cell>
          <cell r="F377">
            <v>96.402350867690544</v>
          </cell>
          <cell r="G377">
            <v>100.49095086769054</v>
          </cell>
        </row>
        <row r="378">
          <cell r="C378" t="str">
            <v>KZ2C00015873</v>
          </cell>
          <cell r="D378" t="str">
            <v>Облигации</v>
          </cell>
          <cell r="E378" t="str">
            <v>АО "Банк "Bank RBK"</v>
          </cell>
          <cell r="F378">
            <v>43.421285469004957</v>
          </cell>
          <cell r="G378">
            <v>43.810185469004956</v>
          </cell>
        </row>
        <row r="379">
          <cell r="C379" t="str">
            <v>KZ2C00004125</v>
          </cell>
          <cell r="D379" t="str">
            <v>Облигации</v>
          </cell>
          <cell r="E379" t="str">
            <v>АО "Банк "Bank RBK"</v>
          </cell>
          <cell r="F379">
            <v>43.206714009337681</v>
          </cell>
          <cell r="G379">
            <v>43.351114009337685</v>
          </cell>
        </row>
        <row r="380">
          <cell r="C380" t="str">
            <v>KZ2C00006013</v>
          </cell>
          <cell r="D380" t="str">
            <v>Облигации</v>
          </cell>
          <cell r="E380" t="str">
            <v>АО "Банк "Bank RBK"</v>
          </cell>
          <cell r="F380">
            <v>93.600131455323861</v>
          </cell>
          <cell r="G380">
            <v>95.759731455323859</v>
          </cell>
        </row>
        <row r="381">
          <cell r="C381" t="str">
            <v>KZ2C00006021</v>
          </cell>
          <cell r="D381" t="str">
            <v>Облигации</v>
          </cell>
          <cell r="E381" t="str">
            <v>АО "Банк "Bank RBK"</v>
          </cell>
          <cell r="F381">
            <v>74.32210271297869</v>
          </cell>
          <cell r="G381">
            <v>79.566302712978683</v>
          </cell>
        </row>
        <row r="382">
          <cell r="C382" t="str">
            <v>KZ1P00000764</v>
          </cell>
          <cell r="D382" t="str">
            <v>Акции</v>
          </cell>
          <cell r="E382" t="str">
            <v>АО "Банк "Bank RBK"</v>
          </cell>
          <cell r="F382">
            <v>10000</v>
          </cell>
          <cell r="G382">
            <v>10000</v>
          </cell>
        </row>
        <row r="383">
          <cell r="C383" t="str">
            <v>US4581401001</v>
          </cell>
          <cell r="D383" t="str">
            <v>Акции</v>
          </cell>
          <cell r="E383" t="str">
            <v>Intel Corporation</v>
          </cell>
          <cell r="F383">
            <v>21778.9676</v>
          </cell>
          <cell r="G383">
            <v>21778.9676</v>
          </cell>
        </row>
        <row r="384">
          <cell r="C384" t="str">
            <v>KZX000001870</v>
          </cell>
          <cell r="D384" t="str">
            <v>Облигации</v>
          </cell>
          <cell r="E384" t="str">
            <v>ЧК JET Group Ltd.</v>
          </cell>
          <cell r="F384">
            <v>97.932569611850866</v>
          </cell>
          <cell r="G384">
            <v>107.38536961185086</v>
          </cell>
        </row>
        <row r="385">
          <cell r="C385" t="str">
            <v>US4781601046</v>
          </cell>
          <cell r="D385" t="str">
            <v>Акции</v>
          </cell>
          <cell r="E385" t="str">
            <v>Johnson &amp; Johnson</v>
          </cell>
          <cell r="F385">
            <v>103260.86735</v>
          </cell>
          <cell r="G385">
            <v>103260.86735</v>
          </cell>
        </row>
        <row r="386">
          <cell r="C386" t="str">
            <v>US46625H1005</v>
          </cell>
          <cell r="D386" t="str">
            <v>Акции</v>
          </cell>
          <cell r="E386" t="str">
            <v>JPMorgan Chase &amp; Co.</v>
          </cell>
          <cell r="F386">
            <v>158465.20134999999</v>
          </cell>
          <cell r="G386">
            <v>158465.20134999999</v>
          </cell>
        </row>
        <row r="387">
          <cell r="C387" t="str">
            <v>KZ1C00001510</v>
          </cell>
          <cell r="D387" t="str">
            <v>Акции</v>
          </cell>
          <cell r="E387" t="str">
            <v>АО "Joint Resources"</v>
          </cell>
          <cell r="F387">
            <v>0.01</v>
          </cell>
          <cell r="G387">
            <v>0.01</v>
          </cell>
        </row>
        <row r="388">
          <cell r="C388" t="str">
            <v>KZ2C00004133</v>
          </cell>
          <cell r="D388" t="str">
            <v>Облигации</v>
          </cell>
          <cell r="E388" t="str">
            <v>АО "Жилищный строительный сберегательный банк "Отбасы банк"</v>
          </cell>
          <cell r="F388">
            <v>95.158276076192635</v>
          </cell>
          <cell r="G388">
            <v>99.09507607619264</v>
          </cell>
        </row>
        <row r="389">
          <cell r="C389" t="str">
            <v>KZ2C00011658</v>
          </cell>
          <cell r="D389" t="str">
            <v>Облигации</v>
          </cell>
          <cell r="E389" t="str">
            <v>АО "Жилищный строительный сберегательный банк "Отбасы банк"</v>
          </cell>
          <cell r="F389">
            <v>89.515648219636716</v>
          </cell>
          <cell r="G389">
            <v>94.701048219636718</v>
          </cell>
        </row>
        <row r="390">
          <cell r="C390" t="str">
            <v>KZ2C00011740</v>
          </cell>
          <cell r="D390" t="str">
            <v>Облигации</v>
          </cell>
          <cell r="E390" t="str">
            <v>АО "Жилищный строительный сберегательный банк "Отбасы банк"</v>
          </cell>
          <cell r="F390">
            <v>89.515648219636716</v>
          </cell>
          <cell r="G390">
            <v>94.701048219636718</v>
          </cell>
        </row>
        <row r="391">
          <cell r="C391" t="str">
            <v>KZ2C00011757</v>
          </cell>
          <cell r="D391" t="str">
            <v>Облигации</v>
          </cell>
          <cell r="E391" t="str">
            <v>АО "Жилищный строительный сберегательный банк "Отбасы банк"</v>
          </cell>
          <cell r="F391">
            <v>91.703394901297642</v>
          </cell>
          <cell r="G391">
            <v>98.989494901297647</v>
          </cell>
        </row>
        <row r="392">
          <cell r="C392" t="str">
            <v>KZ2C00013662</v>
          </cell>
          <cell r="D392" t="str">
            <v>Облигации</v>
          </cell>
          <cell r="E392" t="str">
            <v>АО "Жилищный строительный сберегательный банк "Отбасы банк"</v>
          </cell>
          <cell r="F392">
            <v>94.994548748832131</v>
          </cell>
          <cell r="G392">
            <v>96.873748748832128</v>
          </cell>
        </row>
        <row r="393">
          <cell r="C393" t="str">
            <v>KZ2C00013670</v>
          </cell>
          <cell r="D393" t="str">
            <v>Облигации</v>
          </cell>
          <cell r="E393" t="str">
            <v>АО "Жилищный строительный сберегательный банк "Отбасы банк"</v>
          </cell>
          <cell r="F393">
            <v>95.013570060615493</v>
          </cell>
          <cell r="G393">
            <v>95.701070060615493</v>
          </cell>
        </row>
        <row r="394">
          <cell r="C394" t="str">
            <v>KZ2C00013688</v>
          </cell>
          <cell r="D394" t="str">
            <v>Облигации</v>
          </cell>
          <cell r="E394" t="str">
            <v>АО "Жилищный строительный сберегательный банк "Отбасы банк"</v>
          </cell>
          <cell r="F394">
            <v>99.713504867111453</v>
          </cell>
          <cell r="G394">
            <v>105.31350486711145</v>
          </cell>
        </row>
        <row r="395">
          <cell r="C395" t="str">
            <v>KZ2C00013696</v>
          </cell>
          <cell r="D395" t="str">
            <v>Облигации</v>
          </cell>
          <cell r="E395" t="str">
            <v>АО "Жилищный строительный сберегательный банк "Отбасы банк"</v>
          </cell>
          <cell r="F395">
            <v>99.713504867111453</v>
          </cell>
          <cell r="G395">
            <v>105.31350486711145</v>
          </cell>
        </row>
        <row r="396">
          <cell r="C396" t="str">
            <v>KZMJ00002046</v>
          </cell>
          <cell r="D396" t="str">
            <v>Облигации</v>
          </cell>
          <cell r="E396" t="str">
            <v>Акимат области Жетісу</v>
          </cell>
          <cell r="F396">
            <v>100</v>
          </cell>
          <cell r="G396">
            <v>100.05540000000001</v>
          </cell>
        </row>
        <row r="397">
          <cell r="C397" t="str">
            <v>KZMJ00002061</v>
          </cell>
          <cell r="D397" t="str">
            <v>Облигации</v>
          </cell>
          <cell r="E397" t="str">
            <v>Акимат области Жетісу</v>
          </cell>
          <cell r="F397">
            <v>100</v>
          </cell>
          <cell r="G397">
            <v>100.6493</v>
          </cell>
        </row>
        <row r="398">
          <cell r="C398" t="str">
            <v>KZMJ00002194</v>
          </cell>
          <cell r="D398" t="str">
            <v>Облигации</v>
          </cell>
          <cell r="E398" t="str">
            <v>Акимат области Жетісу</v>
          </cell>
          <cell r="F398">
            <v>100</v>
          </cell>
          <cell r="G398">
            <v>100.1507</v>
          </cell>
        </row>
        <row r="399">
          <cell r="C399" t="str">
            <v>KZMF00001018</v>
          </cell>
          <cell r="D399" t="str">
            <v>Облигации</v>
          </cell>
          <cell r="E399" t="str">
            <v>Акимат области Жетісу</v>
          </cell>
          <cell r="F399">
            <v>100</v>
          </cell>
          <cell r="G399">
            <v>100.0078</v>
          </cell>
        </row>
        <row r="400">
          <cell r="C400" t="str">
            <v>KZMJ00002244</v>
          </cell>
          <cell r="D400" t="str">
            <v>Облигации</v>
          </cell>
          <cell r="E400" t="str">
            <v>Акимат области Жетісу</v>
          </cell>
          <cell r="F400">
            <v>93.495326025988874</v>
          </cell>
          <cell r="G400">
            <v>99.814726025988875</v>
          </cell>
        </row>
        <row r="401">
          <cell r="C401" t="str">
            <v>KZMJ00002251</v>
          </cell>
          <cell r="D401" t="str">
            <v>Облигации</v>
          </cell>
          <cell r="E401" t="str">
            <v>Акимат области Жетісу</v>
          </cell>
          <cell r="F401">
            <v>93.522983255825835</v>
          </cell>
          <cell r="G401">
            <v>100.44908325582584</v>
          </cell>
        </row>
        <row r="402">
          <cell r="C402" t="str">
            <v>KZMJ00002673</v>
          </cell>
          <cell r="D402" t="str">
            <v>Облигации</v>
          </cell>
          <cell r="E402" t="str">
            <v>Акимат области Жетісу</v>
          </cell>
          <cell r="F402">
            <v>96.517299493850786</v>
          </cell>
          <cell r="G402">
            <v>100.13979949385079</v>
          </cell>
        </row>
        <row r="403">
          <cell r="C403" t="str">
            <v>KZMJ00002681</v>
          </cell>
          <cell r="D403" t="str">
            <v>Облигации</v>
          </cell>
          <cell r="E403" t="str">
            <v>Акимат области Жетісу</v>
          </cell>
          <cell r="F403">
            <v>96.517299493850786</v>
          </cell>
          <cell r="G403">
            <v>100.13979949385079</v>
          </cell>
        </row>
        <row r="404">
          <cell r="C404" t="str">
            <v>KZ2C00007805</v>
          </cell>
          <cell r="D404" t="str">
            <v>Облигации</v>
          </cell>
          <cell r="E404" t="str">
            <v>АО "Qazaqstan Investment Corporation"</v>
          </cell>
          <cell r="F404">
            <v>100</v>
          </cell>
          <cell r="G404">
            <v>100.74939999999999</v>
          </cell>
        </row>
        <row r="405">
          <cell r="C405" t="str">
            <v>KZ2C00007862</v>
          </cell>
          <cell r="D405" t="str">
            <v>Облигации</v>
          </cell>
          <cell r="E405" t="str">
            <v>АО "КазАгроФинанс"</v>
          </cell>
          <cell r="F405">
            <v>88.10989418134092</v>
          </cell>
          <cell r="G405">
            <v>91.580694181340917</v>
          </cell>
        </row>
        <row r="406">
          <cell r="C406" t="str">
            <v>KZ2C00008514</v>
          </cell>
          <cell r="D406" t="str">
            <v>Облигации</v>
          </cell>
          <cell r="E406" t="str">
            <v>АО "КазАгроФинанс"</v>
          </cell>
          <cell r="F406">
            <v>104.77901263261512</v>
          </cell>
          <cell r="G406">
            <v>110.72331263261512</v>
          </cell>
        </row>
        <row r="407">
          <cell r="C407" t="str">
            <v>KZ2C00009843</v>
          </cell>
          <cell r="D407" t="str">
            <v>Облигации</v>
          </cell>
          <cell r="E407" t="str">
            <v>АО "КазАгроФинанс"</v>
          </cell>
          <cell r="F407">
            <v>109.78344088373619</v>
          </cell>
          <cell r="G407">
            <v>117.42994088373619</v>
          </cell>
        </row>
        <row r="408">
          <cell r="C408" t="str">
            <v>KZ2C00015535</v>
          </cell>
          <cell r="D408" t="str">
            <v>Облигации</v>
          </cell>
          <cell r="E408" t="str">
            <v>АО "КазАгроФинанс"</v>
          </cell>
          <cell r="F408">
            <v>102.54145943884855</v>
          </cell>
          <cell r="G408">
            <v>105.60255943884854</v>
          </cell>
        </row>
        <row r="409">
          <cell r="C409" t="str">
            <v>KZ2C00015543</v>
          </cell>
          <cell r="D409" t="str">
            <v>Облигации</v>
          </cell>
          <cell r="E409" t="str">
            <v>АО "КазАгроФинанс"</v>
          </cell>
          <cell r="F409">
            <v>102.54145943884855</v>
          </cell>
          <cell r="G409">
            <v>105.60255943884854</v>
          </cell>
        </row>
        <row r="410">
          <cell r="C410" t="str">
            <v>KZ2C00013753</v>
          </cell>
          <cell r="D410" t="str">
            <v>Облигации</v>
          </cell>
          <cell r="E410" t="str">
            <v>АО "Казахстанский электролизный завод"</v>
          </cell>
          <cell r="F410">
            <v>100.01731287956029</v>
          </cell>
          <cell r="G410">
            <v>100.10761287956029</v>
          </cell>
        </row>
        <row r="411">
          <cell r="C411" t="str">
            <v>KZ1C00001213</v>
          </cell>
          <cell r="D411" t="str">
            <v>Акции</v>
          </cell>
          <cell r="E411" t="str">
            <v>АО "Казахстанская фондовая биржа"</v>
          </cell>
          <cell r="F411">
            <v>67249.5</v>
          </cell>
          <cell r="G411">
            <v>67249.5</v>
          </cell>
        </row>
        <row r="412">
          <cell r="C412" t="str">
            <v>KZ1C00000025</v>
          </cell>
          <cell r="D412" t="str">
            <v>Акции</v>
          </cell>
          <cell r="E412" t="str">
            <v>АО "Атамекен-Агро"</v>
          </cell>
          <cell r="F412">
            <v>0.01</v>
          </cell>
          <cell r="G412">
            <v>0.01</v>
          </cell>
        </row>
        <row r="413">
          <cell r="C413" t="str">
            <v>KZ1P00000038</v>
          </cell>
          <cell r="D413" t="str">
            <v>Акции</v>
          </cell>
          <cell r="E413" t="str">
            <v>АО "Атамекен-Агро"</v>
          </cell>
          <cell r="F413">
            <v>0.01</v>
          </cell>
          <cell r="G413">
            <v>0.01</v>
          </cell>
        </row>
        <row r="414">
          <cell r="C414" t="str">
            <v>KZ1C00000876</v>
          </cell>
          <cell r="D414" t="str">
            <v>Акции</v>
          </cell>
          <cell r="E414" t="str">
            <v>АО "Кселл"</v>
          </cell>
          <cell r="F414">
            <v>3370.2149803639145</v>
          </cell>
          <cell r="G414">
            <v>3370.2149803639145</v>
          </cell>
        </row>
        <row r="415">
          <cell r="C415" t="str">
            <v>KZ1C00000959</v>
          </cell>
          <cell r="D415" t="str">
            <v>Акции</v>
          </cell>
          <cell r="E415" t="str">
            <v>АО "KEGOC"</v>
          </cell>
          <cell r="F415">
            <v>1396.8718878224877</v>
          </cell>
          <cell r="G415">
            <v>1396.8718878224877</v>
          </cell>
        </row>
        <row r="416">
          <cell r="C416" t="str">
            <v>KZ2C00003572</v>
          </cell>
          <cell r="D416" t="str">
            <v>Облигации</v>
          </cell>
          <cell r="E416" t="str">
            <v>АО "KEGOC"</v>
          </cell>
          <cell r="F416">
            <v>83.900182592119975</v>
          </cell>
          <cell r="G416">
            <v>90.672682592119969</v>
          </cell>
        </row>
        <row r="417">
          <cell r="C417" t="str">
            <v>KZ2C00003978</v>
          </cell>
          <cell r="D417" t="str">
            <v>Облигации</v>
          </cell>
          <cell r="E417" t="str">
            <v>АО "KEGOC"</v>
          </cell>
          <cell r="F417">
            <v>77.037739265559907</v>
          </cell>
          <cell r="G417">
            <v>80.104439265559904</v>
          </cell>
        </row>
        <row r="418">
          <cell r="C418" t="str">
            <v>KZ2C00006658</v>
          </cell>
          <cell r="D418" t="str">
            <v>Облигации</v>
          </cell>
          <cell r="E418" t="str">
            <v>АО "KEGOC"</v>
          </cell>
          <cell r="F418">
            <v>75.86145548507055</v>
          </cell>
          <cell r="G418">
            <v>76.075355485070546</v>
          </cell>
        </row>
        <row r="419">
          <cell r="C419" t="str">
            <v>KZ2C00007797</v>
          </cell>
          <cell r="D419" t="str">
            <v>Облигации</v>
          </cell>
          <cell r="E419" t="str">
            <v>АО "KEGOC"</v>
          </cell>
          <cell r="F419">
            <v>100</v>
          </cell>
          <cell r="G419">
            <v>108.9462</v>
          </cell>
        </row>
        <row r="420">
          <cell r="C420" t="str">
            <v>KZ2C00006906</v>
          </cell>
          <cell r="D420" t="str">
            <v>Облигации</v>
          </cell>
          <cell r="E420" t="str">
            <v>АО "Казахстанский фонд устойчивости"</v>
          </cell>
          <cell r="F420">
            <v>87.391211856064743</v>
          </cell>
          <cell r="G420">
            <v>88.857911856064746</v>
          </cell>
        </row>
        <row r="421">
          <cell r="C421" t="str">
            <v>KZ2C00007326</v>
          </cell>
          <cell r="D421" t="str">
            <v>Облигации</v>
          </cell>
          <cell r="E421" t="str">
            <v>АО "Казахстанский фонд устойчивости"</v>
          </cell>
          <cell r="F421">
            <v>90.10186481461227</v>
          </cell>
          <cell r="G421">
            <v>97.833764814612266</v>
          </cell>
        </row>
        <row r="422">
          <cell r="C422" t="str">
            <v>KZ2C00015105</v>
          </cell>
          <cell r="D422" t="str">
            <v>Облигации</v>
          </cell>
          <cell r="E422" t="str">
            <v>АО "Казахстанский фонд устойчивости"</v>
          </cell>
          <cell r="F422">
            <v>91.270320311764692</v>
          </cell>
          <cell r="G422">
            <v>93.214720311764694</v>
          </cell>
        </row>
        <row r="423">
          <cell r="C423" t="str">
            <v>KZ2C00007334</v>
          </cell>
          <cell r="D423" t="str">
            <v>Облигации</v>
          </cell>
          <cell r="E423" t="str">
            <v>АО "Казахстанский фонд устойчивости"</v>
          </cell>
          <cell r="F423">
            <v>74.902601998404833</v>
          </cell>
          <cell r="G423">
            <v>82.027601998404833</v>
          </cell>
        </row>
        <row r="424">
          <cell r="C424" t="str">
            <v>KZ2C00015220</v>
          </cell>
          <cell r="D424" t="str">
            <v>Облигации</v>
          </cell>
          <cell r="E424" t="str">
            <v>АО "Казахстанский фонд устойчивости"</v>
          </cell>
          <cell r="F424">
            <v>91.429236844558503</v>
          </cell>
          <cell r="G424">
            <v>94.102836844558496</v>
          </cell>
        </row>
        <row r="425">
          <cell r="C425" t="str">
            <v>KZ2C00008928</v>
          </cell>
          <cell r="D425" t="str">
            <v>Облигации</v>
          </cell>
          <cell r="E425" t="str">
            <v>АО "Казахстанский фонд устойчивости"</v>
          </cell>
          <cell r="F425">
            <v>100</v>
          </cell>
          <cell r="G425">
            <v>100.5397</v>
          </cell>
        </row>
        <row r="426">
          <cell r="C426" t="str">
            <v>KZ2C00008936</v>
          </cell>
          <cell r="D426" t="str">
            <v>Облигации</v>
          </cell>
          <cell r="E426" t="str">
            <v>АО "Казахстанский фонд устойчивости"</v>
          </cell>
          <cell r="F426">
            <v>100</v>
          </cell>
          <cell r="G426">
            <v>107.27809999999999</v>
          </cell>
        </row>
        <row r="427">
          <cell r="C427" t="str">
            <v>KZ2C00008944</v>
          </cell>
          <cell r="D427" t="str">
            <v>Облигации</v>
          </cell>
          <cell r="E427" t="str">
            <v>АО "Казахстанский фонд устойчивости"</v>
          </cell>
          <cell r="F427">
            <v>100</v>
          </cell>
          <cell r="G427">
            <v>107.3537</v>
          </cell>
        </row>
        <row r="428">
          <cell r="C428" t="str">
            <v>KZ2C00008951</v>
          </cell>
          <cell r="D428" t="str">
            <v>Облигации</v>
          </cell>
          <cell r="E428" t="str">
            <v>АО "Казахстанский фонд устойчивости"</v>
          </cell>
          <cell r="F428">
            <v>100</v>
          </cell>
          <cell r="G428">
            <v>100.5425</v>
          </cell>
        </row>
        <row r="429">
          <cell r="C429" t="str">
            <v>KZ2C00007110</v>
          </cell>
          <cell r="D429" t="str">
            <v>Облигации</v>
          </cell>
          <cell r="E429" t="str">
            <v>АО "Казахстанский фонд устойчивости"</v>
          </cell>
          <cell r="F429">
            <v>99.754923165263037</v>
          </cell>
          <cell r="G429">
            <v>109.09662316526304</v>
          </cell>
        </row>
        <row r="430">
          <cell r="C430" t="str">
            <v>KZ2C00009462</v>
          </cell>
          <cell r="D430" t="str">
            <v>Облигации</v>
          </cell>
          <cell r="E430" t="str">
            <v>АО "Казахстанский фонд устойчивости"</v>
          </cell>
          <cell r="F430">
            <v>100</v>
          </cell>
          <cell r="G430">
            <v>103.42659999999999</v>
          </cell>
        </row>
        <row r="431">
          <cell r="C431" t="str">
            <v>KZ2C00009470</v>
          </cell>
          <cell r="D431" t="str">
            <v>Облигации</v>
          </cell>
          <cell r="E431" t="str">
            <v>АО "Казахстанский фонд устойчивости"</v>
          </cell>
          <cell r="F431">
            <v>100</v>
          </cell>
          <cell r="G431">
            <v>107.0146</v>
          </cell>
        </row>
        <row r="432">
          <cell r="C432" t="str">
            <v>KZ2C00007128</v>
          </cell>
          <cell r="D432" t="str">
            <v>Облигации</v>
          </cell>
          <cell r="E432" t="str">
            <v>АО "Казахстанский фонд устойчивости"</v>
          </cell>
          <cell r="F432">
            <v>86.024569421337105</v>
          </cell>
          <cell r="G432">
            <v>95.287069421337108</v>
          </cell>
        </row>
        <row r="433">
          <cell r="C433" t="str">
            <v>KZ2C00010726</v>
          </cell>
          <cell r="D433" t="str">
            <v>Облигации</v>
          </cell>
          <cell r="E433" t="str">
            <v>АО "Казахстанский фонд устойчивости"</v>
          </cell>
          <cell r="F433">
            <v>98.795705477803594</v>
          </cell>
          <cell r="G433">
            <v>109.07350547780359</v>
          </cell>
        </row>
        <row r="434">
          <cell r="C434" t="str">
            <v>KZ2C00007136</v>
          </cell>
          <cell r="D434" t="str">
            <v>Облигации</v>
          </cell>
          <cell r="E434" t="str">
            <v>АО "Казахстанский фонд устойчивости"</v>
          </cell>
          <cell r="F434">
            <v>75.979023569944218</v>
          </cell>
          <cell r="G434">
            <v>76.374823569944226</v>
          </cell>
        </row>
        <row r="435">
          <cell r="C435" t="str">
            <v>KZ2C00010791</v>
          </cell>
          <cell r="D435" t="str">
            <v>Облигации</v>
          </cell>
          <cell r="E435" t="str">
            <v>АО "Казахстанский фонд устойчивости"</v>
          </cell>
          <cell r="F435">
            <v>95.73454143539854</v>
          </cell>
          <cell r="G435">
            <v>98.616441435398542</v>
          </cell>
        </row>
        <row r="436">
          <cell r="C436" t="str">
            <v>KZ2C00010809</v>
          </cell>
          <cell r="D436" t="str">
            <v>Облигации</v>
          </cell>
          <cell r="E436" t="str">
            <v>АО "Казахстанский фонд устойчивости"</v>
          </cell>
          <cell r="F436">
            <v>95.578343297881645</v>
          </cell>
          <cell r="G436">
            <v>97.974143297881639</v>
          </cell>
        </row>
        <row r="437">
          <cell r="C437" t="str">
            <v>KZ2C00011989</v>
          </cell>
          <cell r="D437" t="str">
            <v>Облигации</v>
          </cell>
          <cell r="E437" t="str">
            <v>АО "Казахстанский фонд устойчивости"</v>
          </cell>
          <cell r="F437">
            <v>96.193226507788808</v>
          </cell>
          <cell r="G437">
            <v>100.29042650778881</v>
          </cell>
        </row>
        <row r="438">
          <cell r="C438" t="str">
            <v>KZ2C00011997</v>
          </cell>
          <cell r="D438" t="str">
            <v>Облигации</v>
          </cell>
          <cell r="E438" t="str">
            <v>АО "Казахстанский фонд устойчивости"</v>
          </cell>
          <cell r="F438">
            <v>95.114128847617508</v>
          </cell>
          <cell r="G438">
            <v>96.121028847617509</v>
          </cell>
        </row>
        <row r="439">
          <cell r="C439" t="str">
            <v>KZ2C00012029</v>
          </cell>
          <cell r="D439" t="str">
            <v>Облигации</v>
          </cell>
          <cell r="E439" t="str">
            <v>АО "Казахстанский фонд устойчивости"</v>
          </cell>
          <cell r="F439">
            <v>95.814463819905825</v>
          </cell>
          <cell r="G439">
            <v>98.939463819905825</v>
          </cell>
        </row>
        <row r="440">
          <cell r="C440" t="str">
            <v>KZ2C00012037</v>
          </cell>
          <cell r="D440" t="str">
            <v>Облигации</v>
          </cell>
          <cell r="E440" t="str">
            <v>АО "Казахстанский фонд устойчивости"</v>
          </cell>
          <cell r="F440">
            <v>97.994185765080914</v>
          </cell>
          <cell r="G440">
            <v>106.39698576508091</v>
          </cell>
        </row>
        <row r="441">
          <cell r="C441" t="str">
            <v>KZ2C00012045</v>
          </cell>
          <cell r="D441" t="str">
            <v>Облигации</v>
          </cell>
          <cell r="E441" t="str">
            <v>АО "Казахстанский фонд устойчивости"</v>
          </cell>
          <cell r="F441">
            <v>97.562537571675961</v>
          </cell>
          <cell r="G441">
            <v>104.95833757167597</v>
          </cell>
        </row>
        <row r="442">
          <cell r="C442" t="str">
            <v>KZ2C00012086</v>
          </cell>
          <cell r="D442" t="str">
            <v>Облигации</v>
          </cell>
          <cell r="E442" t="str">
            <v>АО "Казахстанский фонд устойчивости"</v>
          </cell>
          <cell r="F442">
            <v>98.84478358799953</v>
          </cell>
          <cell r="G442">
            <v>109.22668358799953</v>
          </cell>
        </row>
        <row r="443">
          <cell r="C443" t="str">
            <v>KZ2C00012094</v>
          </cell>
          <cell r="D443" t="str">
            <v>Облигации</v>
          </cell>
          <cell r="E443" t="str">
            <v>АО "Казахстанский фонд устойчивости"</v>
          </cell>
          <cell r="F443">
            <v>96.950785669296621</v>
          </cell>
          <cell r="G443">
            <v>102.95768566929662</v>
          </cell>
        </row>
        <row r="444">
          <cell r="C444" t="str">
            <v>KZ2C00012128</v>
          </cell>
          <cell r="D444" t="str">
            <v>Облигации</v>
          </cell>
          <cell r="E444" t="str">
            <v>АО "Казахстанский фонд устойчивости"</v>
          </cell>
          <cell r="F444">
            <v>97.046482616617737</v>
          </cell>
          <cell r="G444">
            <v>103.29648261661774</v>
          </cell>
        </row>
        <row r="445">
          <cell r="C445" t="str">
            <v>KZ2C00012136</v>
          </cell>
          <cell r="D445" t="str">
            <v>Облигации</v>
          </cell>
          <cell r="E445" t="str">
            <v>АО "Казахстанский фонд устойчивости"</v>
          </cell>
          <cell r="F445">
            <v>96.670773343994526</v>
          </cell>
          <cell r="G445">
            <v>101.94857334399452</v>
          </cell>
        </row>
        <row r="446">
          <cell r="C446" t="str">
            <v>KZ2C00012144</v>
          </cell>
          <cell r="D446" t="str">
            <v>Облигации</v>
          </cell>
          <cell r="E446" t="str">
            <v>АО "Казахстанский фонд устойчивости"</v>
          </cell>
          <cell r="F446">
            <v>95.512894681157263</v>
          </cell>
          <cell r="G446">
            <v>97.700394681157263</v>
          </cell>
        </row>
        <row r="447">
          <cell r="C447" t="str">
            <v>KZ2C00007318</v>
          </cell>
          <cell r="D447" t="str">
            <v>Облигации</v>
          </cell>
          <cell r="E447" t="str">
            <v>АО "Казахстанский фонд устойчивости"</v>
          </cell>
          <cell r="F447">
            <v>98.795124471729352</v>
          </cell>
          <cell r="G447">
            <v>107.05482447172935</v>
          </cell>
        </row>
        <row r="448">
          <cell r="C448" t="str">
            <v>KZ2C00012383</v>
          </cell>
          <cell r="D448" t="str">
            <v>Облигации</v>
          </cell>
          <cell r="E448" t="str">
            <v>АО "Казахстанский фонд устойчивости"</v>
          </cell>
          <cell r="F448">
            <v>93.770531230172054</v>
          </cell>
          <cell r="G448">
            <v>103.90943123017205</v>
          </cell>
        </row>
        <row r="449">
          <cell r="C449" t="str">
            <v>KZ2C00012391</v>
          </cell>
          <cell r="D449" t="str">
            <v>Облигации</v>
          </cell>
          <cell r="E449" t="str">
            <v>АО "Казахстанский фонд устойчивости"</v>
          </cell>
          <cell r="F449">
            <v>93.393108973191133</v>
          </cell>
          <cell r="G449">
            <v>102.24730897319114</v>
          </cell>
        </row>
        <row r="450">
          <cell r="C450" t="str">
            <v>KZ2C00012409</v>
          </cell>
          <cell r="D450" t="str">
            <v>Облигации</v>
          </cell>
          <cell r="E450" t="str">
            <v>АО "Казахстанский фонд устойчивости"</v>
          </cell>
          <cell r="F450">
            <v>92.918808104560867</v>
          </cell>
          <cell r="G450">
            <v>100.31460810456086</v>
          </cell>
        </row>
        <row r="451">
          <cell r="C451" t="str">
            <v>KZMJ00001907</v>
          </cell>
          <cell r="D451" t="str">
            <v>Облигации</v>
          </cell>
          <cell r="E451" t="str">
            <v>Акимат Карагандинской области</v>
          </cell>
          <cell r="F451">
            <v>100</v>
          </cell>
          <cell r="G451">
            <v>100.1322</v>
          </cell>
        </row>
        <row r="452">
          <cell r="C452" t="str">
            <v>KZMJ00002418</v>
          </cell>
          <cell r="D452" t="str">
            <v>Облигации</v>
          </cell>
          <cell r="E452" t="str">
            <v>Акимат Карагандинской области</v>
          </cell>
          <cell r="F452">
            <v>100</v>
          </cell>
          <cell r="G452">
            <v>100.10209999999999</v>
          </cell>
        </row>
        <row r="453">
          <cell r="C453" t="str">
            <v>KZMF00001026</v>
          </cell>
          <cell r="D453" t="str">
            <v>Облигации</v>
          </cell>
          <cell r="E453" t="str">
            <v>Акимат Карагандинской области</v>
          </cell>
          <cell r="F453">
            <v>100</v>
          </cell>
          <cell r="G453">
            <v>100.0078</v>
          </cell>
        </row>
        <row r="454">
          <cell r="C454" t="str">
            <v>KZMF00000879</v>
          </cell>
          <cell r="D454" t="str">
            <v>Облигации</v>
          </cell>
          <cell r="E454" t="str">
            <v>Акимат Карагандинской области</v>
          </cell>
          <cell r="F454">
            <v>100</v>
          </cell>
          <cell r="G454">
            <v>106.7253</v>
          </cell>
        </row>
        <row r="455">
          <cell r="C455" t="str">
            <v>KZMF00000044</v>
          </cell>
          <cell r="D455" t="str">
            <v>Облигации</v>
          </cell>
          <cell r="E455" t="str">
            <v>Акимат Карагандинской области</v>
          </cell>
          <cell r="F455">
            <v>100</v>
          </cell>
          <cell r="G455">
            <v>102.7111</v>
          </cell>
        </row>
        <row r="456">
          <cell r="C456" t="str">
            <v>KZMF00000804</v>
          </cell>
          <cell r="D456" t="str">
            <v>Облигации</v>
          </cell>
          <cell r="E456" t="str">
            <v>Акимат Карагандинской области</v>
          </cell>
          <cell r="F456">
            <v>100</v>
          </cell>
          <cell r="G456">
            <v>100.74939999999999</v>
          </cell>
        </row>
        <row r="457">
          <cell r="C457" t="str">
            <v>KZMJ00002426</v>
          </cell>
          <cell r="D457" t="str">
            <v>Облигации</v>
          </cell>
          <cell r="E457" t="str">
            <v>Акимат Карагандинской области</v>
          </cell>
          <cell r="F457">
            <v>96.433433229027273</v>
          </cell>
          <cell r="G457">
            <v>101.31593322902727</v>
          </cell>
        </row>
        <row r="458">
          <cell r="C458" t="str">
            <v>KZMJ00002434</v>
          </cell>
          <cell r="D458" t="str">
            <v>Облигации</v>
          </cell>
          <cell r="E458" t="str">
            <v>Акимат Карагандинской области</v>
          </cell>
          <cell r="F458">
            <v>96.473388500954783</v>
          </cell>
          <cell r="G458">
            <v>101.51338850095478</v>
          </cell>
        </row>
        <row r="459">
          <cell r="C459" t="str">
            <v>KZMJ00002442</v>
          </cell>
          <cell r="D459" t="str">
            <v>Облигации</v>
          </cell>
          <cell r="E459" t="str">
            <v>Акимат Карагандинской области</v>
          </cell>
          <cell r="F459">
            <v>96.433433229027273</v>
          </cell>
          <cell r="G459">
            <v>101.31593322902727</v>
          </cell>
        </row>
        <row r="460">
          <cell r="C460" t="str">
            <v>KZMJ00002699</v>
          </cell>
          <cell r="D460" t="str">
            <v>Облигации</v>
          </cell>
          <cell r="E460" t="str">
            <v>Акимат Карагандинской области</v>
          </cell>
          <cell r="F460">
            <v>96.517299493850786</v>
          </cell>
          <cell r="G460">
            <v>100.13979949385079</v>
          </cell>
        </row>
        <row r="461">
          <cell r="C461" t="str">
            <v>KZMJ00002855</v>
          </cell>
          <cell r="D461" t="str">
            <v>Облигации</v>
          </cell>
          <cell r="E461" t="str">
            <v>Акимат Карагандинской области</v>
          </cell>
          <cell r="F461">
            <v>102.11679474634693</v>
          </cell>
          <cell r="G461">
            <v>104.08069474634692</v>
          </cell>
        </row>
        <row r="462">
          <cell r="C462" t="str">
            <v>KZMF00000309</v>
          </cell>
          <cell r="D462" t="str">
            <v>Облигации</v>
          </cell>
          <cell r="E462" t="str">
            <v>Акимат Карагандинской области</v>
          </cell>
          <cell r="F462">
            <v>100</v>
          </cell>
          <cell r="G462">
            <v>101.88079999999999</v>
          </cell>
        </row>
        <row r="463">
          <cell r="C463" t="str">
            <v>KZMF00000531</v>
          </cell>
          <cell r="D463" t="str">
            <v>Облигации</v>
          </cell>
          <cell r="E463" t="str">
            <v>Акимат Карагандинской области</v>
          </cell>
          <cell r="F463">
            <v>100</v>
          </cell>
          <cell r="G463">
            <v>100.7286</v>
          </cell>
        </row>
        <row r="464">
          <cell r="C464" t="str">
            <v>KZMF00000549</v>
          </cell>
          <cell r="D464" t="str">
            <v>Облигации</v>
          </cell>
          <cell r="E464" t="str">
            <v>Акимат Карагандинской области</v>
          </cell>
          <cell r="F464">
            <v>100</v>
          </cell>
          <cell r="G464">
            <v>100.7286</v>
          </cell>
        </row>
        <row r="465">
          <cell r="C465" t="str">
            <v>KZ1C00001379</v>
          </cell>
          <cell r="D465" t="str">
            <v>Акции</v>
          </cell>
          <cell r="E465" t="str">
            <v>АО "Kazakhmys Copper" (Казахмыс Коппер)</v>
          </cell>
          <cell r="F465">
            <v>0.01</v>
          </cell>
          <cell r="G465">
            <v>0.01</v>
          </cell>
        </row>
        <row r="466">
          <cell r="C466" t="str">
            <v>KZ1C00001254</v>
          </cell>
          <cell r="D466" t="str">
            <v>Акции</v>
          </cell>
          <cell r="E466" t="str">
            <v>АО "KM GOLD"</v>
          </cell>
          <cell r="F466">
            <v>71</v>
          </cell>
          <cell r="G466">
            <v>71</v>
          </cell>
        </row>
        <row r="467">
          <cell r="C467" t="str">
            <v>KZ1C00001122</v>
          </cell>
          <cell r="D467" t="str">
            <v>Акции</v>
          </cell>
          <cell r="E467" t="str">
            <v>АО "Национальная компания "КазМунайГаз"</v>
          </cell>
          <cell r="F467">
            <v>21811.97364103686</v>
          </cell>
          <cell r="G467">
            <v>21811.97364103686</v>
          </cell>
        </row>
        <row r="468">
          <cell r="C468" t="str">
            <v>XS1595713782</v>
          </cell>
          <cell r="D468" t="str">
            <v>Облигации</v>
          </cell>
          <cell r="E468" t="str">
            <v>АО "Национальная компания "КазМунайГаз"</v>
          </cell>
          <cell r="F468">
            <v>100.32599999999999</v>
          </cell>
          <cell r="G468">
            <v>100.9329</v>
          </cell>
        </row>
        <row r="469">
          <cell r="C469" t="str">
            <v>XS1595714087</v>
          </cell>
          <cell r="D469" t="str">
            <v>Облигации</v>
          </cell>
          <cell r="E469" t="str">
            <v>АО "Национальная компания "КазМунайГаз"</v>
          </cell>
          <cell r="F469">
            <v>95.287999999999997</v>
          </cell>
          <cell r="G469">
            <v>96.0227</v>
          </cell>
        </row>
        <row r="470">
          <cell r="C470" t="str">
            <v>XS1807300105</v>
          </cell>
          <cell r="D470" t="str">
            <v>Облигации</v>
          </cell>
          <cell r="E470" t="str">
            <v>АО "Национальная компания "КазМунайГаз"</v>
          </cell>
          <cell r="F470">
            <v>102.214</v>
          </cell>
          <cell r="G470">
            <v>102.8262</v>
          </cell>
        </row>
        <row r="471">
          <cell r="C471" t="str">
            <v>XS1807299331</v>
          </cell>
          <cell r="D471" t="str">
            <v>Облигации</v>
          </cell>
          <cell r="E471" t="str">
            <v>АО "Национальная компания "КазМунайГаз"</v>
          </cell>
          <cell r="F471">
            <v>101.577</v>
          </cell>
          <cell r="G471">
            <v>102.303</v>
          </cell>
        </row>
        <row r="472">
          <cell r="C472" t="str">
            <v>XS2242422397</v>
          </cell>
          <cell r="D472" t="str">
            <v>Облигации</v>
          </cell>
          <cell r="E472" t="str">
            <v>АО "Национальная компания "КазМунайГаз"</v>
          </cell>
          <cell r="F472">
            <v>90.409000000000006</v>
          </cell>
          <cell r="G472">
            <v>90.904799999999994</v>
          </cell>
        </row>
        <row r="473">
          <cell r="C473" t="str">
            <v>KZMJ00001964</v>
          </cell>
          <cell r="D473" t="str">
            <v>Облигации</v>
          </cell>
          <cell r="E473" t="str">
            <v>Акимат Кызылординской области</v>
          </cell>
          <cell r="F473">
            <v>100</v>
          </cell>
          <cell r="G473">
            <v>101.3104</v>
          </cell>
        </row>
        <row r="474">
          <cell r="C474" t="str">
            <v>KZMJ00001881</v>
          </cell>
          <cell r="D474" t="str">
            <v>Облигации</v>
          </cell>
          <cell r="E474" t="str">
            <v>Акимат Кызылординской области</v>
          </cell>
          <cell r="F474">
            <v>100</v>
          </cell>
          <cell r="G474">
            <v>100.14100000000001</v>
          </cell>
        </row>
        <row r="475">
          <cell r="C475" t="str">
            <v>KZMJ00002160</v>
          </cell>
          <cell r="D475" t="str">
            <v>Облигации</v>
          </cell>
          <cell r="E475" t="str">
            <v>Акимат Кызылординской области</v>
          </cell>
          <cell r="F475">
            <v>100</v>
          </cell>
          <cell r="G475">
            <v>100.0204</v>
          </cell>
        </row>
        <row r="476">
          <cell r="C476" t="str">
            <v>KZMJ00002053</v>
          </cell>
          <cell r="D476" t="str">
            <v>Облигации</v>
          </cell>
          <cell r="E476" t="str">
            <v>Акимат Кызылординской области</v>
          </cell>
          <cell r="F476">
            <v>100</v>
          </cell>
          <cell r="G476">
            <v>100.0193</v>
          </cell>
        </row>
        <row r="477">
          <cell r="C477" t="str">
            <v>KZMF00000929</v>
          </cell>
          <cell r="D477" t="str">
            <v>Облигации</v>
          </cell>
          <cell r="E477" t="str">
            <v>Акимат Кызылординской области</v>
          </cell>
          <cell r="F477">
            <v>100</v>
          </cell>
          <cell r="G477">
            <v>100.00920000000001</v>
          </cell>
        </row>
        <row r="478">
          <cell r="C478" t="str">
            <v>KZMF00000176</v>
          </cell>
          <cell r="D478" t="str">
            <v>Облигации</v>
          </cell>
          <cell r="E478" t="str">
            <v>Акимат Кызылординской области</v>
          </cell>
          <cell r="F478">
            <v>100</v>
          </cell>
          <cell r="G478">
            <v>102.7111</v>
          </cell>
        </row>
        <row r="479">
          <cell r="C479" t="str">
            <v>KZMJ00002368</v>
          </cell>
          <cell r="D479" t="str">
            <v>Облигации</v>
          </cell>
          <cell r="E479" t="str">
            <v>Акимат Кызылординской области</v>
          </cell>
          <cell r="F479">
            <v>93.495326025988874</v>
          </cell>
          <cell r="G479">
            <v>99.814726025988875</v>
          </cell>
        </row>
        <row r="480">
          <cell r="C480" t="str">
            <v>KZMJ00002392</v>
          </cell>
          <cell r="D480" t="str">
            <v>Облигации</v>
          </cell>
          <cell r="E480" t="str">
            <v>Акимат Кызылординской области</v>
          </cell>
          <cell r="F480">
            <v>96.473388500954783</v>
          </cell>
          <cell r="G480">
            <v>101.51338850095478</v>
          </cell>
        </row>
        <row r="481">
          <cell r="C481" t="str">
            <v>KZMJ00002400</v>
          </cell>
          <cell r="D481" t="str">
            <v>Облигации</v>
          </cell>
          <cell r="E481" t="str">
            <v>Акимат Кызылординской области</v>
          </cell>
          <cell r="F481">
            <v>96.661158866675223</v>
          </cell>
          <cell r="G481">
            <v>98.498658866675214</v>
          </cell>
        </row>
        <row r="482">
          <cell r="C482" t="str">
            <v>KZMJ00002566</v>
          </cell>
          <cell r="D482" t="str">
            <v>Облигации</v>
          </cell>
          <cell r="E482" t="str">
            <v>Акимат Кызылординской области</v>
          </cell>
          <cell r="F482">
            <v>96.473388500954783</v>
          </cell>
          <cell r="G482">
            <v>101.51338850095478</v>
          </cell>
        </row>
        <row r="483">
          <cell r="C483" t="str">
            <v>KZMJ00002848</v>
          </cell>
          <cell r="D483" t="str">
            <v>Облигации</v>
          </cell>
          <cell r="E483" t="str">
            <v>Акимат Кызылординской области</v>
          </cell>
          <cell r="F483">
            <v>96.661158866675223</v>
          </cell>
          <cell r="G483">
            <v>98.498658866675214</v>
          </cell>
        </row>
        <row r="484">
          <cell r="C484" t="str">
            <v>KZMF00000200</v>
          </cell>
          <cell r="D484" t="str">
            <v>Облигации</v>
          </cell>
          <cell r="E484" t="str">
            <v>Акимат Кызылординской области</v>
          </cell>
          <cell r="F484">
            <v>100</v>
          </cell>
          <cell r="G484">
            <v>101.88079999999999</v>
          </cell>
        </row>
        <row r="485">
          <cell r="C485" t="str">
            <v>KZMF00000481</v>
          </cell>
          <cell r="D485" t="str">
            <v>Облигации</v>
          </cell>
          <cell r="E485" t="str">
            <v>Акимат Кызылординской области</v>
          </cell>
          <cell r="F485">
            <v>100</v>
          </cell>
          <cell r="G485">
            <v>100.7286</v>
          </cell>
        </row>
        <row r="486">
          <cell r="C486" t="str">
            <v>KZMF00000507</v>
          </cell>
          <cell r="D486" t="str">
            <v>Облигации</v>
          </cell>
          <cell r="E486" t="str">
            <v>Акимат Кызылординской области</v>
          </cell>
          <cell r="F486">
            <v>100</v>
          </cell>
          <cell r="G486">
            <v>100.7286</v>
          </cell>
        </row>
        <row r="487">
          <cell r="C487" t="str">
            <v>KZMF00000663</v>
          </cell>
          <cell r="D487" t="str">
            <v>Облигации</v>
          </cell>
          <cell r="E487" t="str">
            <v>Акимат Кызылординской области</v>
          </cell>
          <cell r="F487">
            <v>100</v>
          </cell>
          <cell r="G487">
            <v>105.69329999999999</v>
          </cell>
        </row>
        <row r="488">
          <cell r="C488" t="str">
            <v>KZ1C00001072</v>
          </cell>
          <cell r="D488" t="str">
            <v>Акции</v>
          </cell>
          <cell r="E488" t="str">
            <v>АО "КоЖаН"</v>
          </cell>
          <cell r="F488">
            <v>0.01</v>
          </cell>
          <cell r="G488">
            <v>0.01</v>
          </cell>
        </row>
        <row r="489">
          <cell r="C489" t="str">
            <v>US1912161007</v>
          </cell>
          <cell r="D489" t="str">
            <v>Акции</v>
          </cell>
          <cell r="E489" t="str">
            <v>The Coca-Cola Company</v>
          </cell>
          <cell r="F489">
            <v>35880.294049999997</v>
          </cell>
          <cell r="G489">
            <v>35880.294049999997</v>
          </cell>
        </row>
        <row r="490">
          <cell r="C490" t="str">
            <v>KZMJ00002095</v>
          </cell>
          <cell r="D490" t="str">
            <v>Облигации</v>
          </cell>
          <cell r="E490" t="str">
            <v>Акимат Костанайской области</v>
          </cell>
          <cell r="F490">
            <v>100</v>
          </cell>
          <cell r="G490">
            <v>100.2715</v>
          </cell>
        </row>
        <row r="491">
          <cell r="C491" t="str">
            <v>KZMJ00001923</v>
          </cell>
          <cell r="D491" t="str">
            <v>Облигации</v>
          </cell>
          <cell r="E491" t="str">
            <v>Акимат Костанайской области</v>
          </cell>
          <cell r="F491">
            <v>100</v>
          </cell>
          <cell r="G491">
            <v>100.1215</v>
          </cell>
        </row>
        <row r="492">
          <cell r="C492" t="str">
            <v>KZMJ00002111</v>
          </cell>
          <cell r="D492" t="str">
            <v>Облигации</v>
          </cell>
          <cell r="E492" t="str">
            <v>Акимат Костанайской области</v>
          </cell>
          <cell r="F492">
            <v>100</v>
          </cell>
          <cell r="G492">
            <v>100.0457</v>
          </cell>
        </row>
        <row r="493">
          <cell r="C493" t="str">
            <v>KZMJ00001956</v>
          </cell>
          <cell r="D493" t="str">
            <v>Облигации</v>
          </cell>
          <cell r="E493" t="str">
            <v>Акимат Костанайской области</v>
          </cell>
          <cell r="F493">
            <v>100</v>
          </cell>
          <cell r="G493">
            <v>100.0067</v>
          </cell>
        </row>
        <row r="494">
          <cell r="C494" t="str">
            <v>KZMF00000903</v>
          </cell>
          <cell r="D494" t="str">
            <v>Облигации</v>
          </cell>
          <cell r="E494" t="str">
            <v>Акимат Костанайской области</v>
          </cell>
          <cell r="F494">
            <v>100</v>
          </cell>
          <cell r="G494">
            <v>100.00960000000001</v>
          </cell>
        </row>
        <row r="495">
          <cell r="C495" t="str">
            <v>KZMF00000036</v>
          </cell>
          <cell r="D495" t="str">
            <v>Облигации</v>
          </cell>
          <cell r="E495" t="str">
            <v>Акимат Костанайской области</v>
          </cell>
          <cell r="F495">
            <v>100</v>
          </cell>
          <cell r="G495">
            <v>102.7111</v>
          </cell>
        </row>
        <row r="496">
          <cell r="C496" t="str">
            <v>KZMF00000754</v>
          </cell>
          <cell r="D496" t="str">
            <v>Облигации</v>
          </cell>
          <cell r="E496" t="str">
            <v>Акимат Костанайской области</v>
          </cell>
          <cell r="F496">
            <v>100</v>
          </cell>
          <cell r="G496">
            <v>100.74939999999999</v>
          </cell>
        </row>
        <row r="497">
          <cell r="C497" t="str">
            <v>KZMJ00002269</v>
          </cell>
          <cell r="D497" t="str">
            <v>Облигации</v>
          </cell>
          <cell r="E497" t="str">
            <v>Акимат Костанайской области</v>
          </cell>
          <cell r="F497">
            <v>93.522983255825835</v>
          </cell>
          <cell r="G497">
            <v>100.44908325582584</v>
          </cell>
        </row>
        <row r="498">
          <cell r="C498" t="str">
            <v>KZMJ00002475</v>
          </cell>
          <cell r="D498" t="str">
            <v>Облигации</v>
          </cell>
          <cell r="E498" t="str">
            <v>Акимат Костанайской области</v>
          </cell>
          <cell r="F498">
            <v>96.473388500954783</v>
          </cell>
          <cell r="G498">
            <v>101.51338850095478</v>
          </cell>
        </row>
        <row r="499">
          <cell r="C499" t="str">
            <v>KZMF00000259</v>
          </cell>
          <cell r="D499" t="str">
            <v>Облигации</v>
          </cell>
          <cell r="E499" t="str">
            <v>Акимат Костанайской области</v>
          </cell>
          <cell r="F499">
            <v>100</v>
          </cell>
          <cell r="G499">
            <v>101.88079999999999</v>
          </cell>
        </row>
        <row r="500">
          <cell r="C500" t="str">
            <v>KZMF00000572</v>
          </cell>
          <cell r="D500" t="str">
            <v>Облигации</v>
          </cell>
          <cell r="E500" t="str">
            <v>Акимат Костанайской области</v>
          </cell>
          <cell r="F500">
            <v>100</v>
          </cell>
          <cell r="G500">
            <v>100.7286</v>
          </cell>
        </row>
        <row r="501">
          <cell r="C501" t="str">
            <v>KZMF00000580</v>
          </cell>
          <cell r="D501" t="str">
            <v>Облигации</v>
          </cell>
          <cell r="E501" t="str">
            <v>Акимат Костанайской области</v>
          </cell>
          <cell r="F501">
            <v>100</v>
          </cell>
          <cell r="G501">
            <v>100.7286</v>
          </cell>
        </row>
        <row r="502">
          <cell r="C502" t="str">
            <v>KZMF00000689</v>
          </cell>
          <cell r="D502" t="str">
            <v>Облигации</v>
          </cell>
          <cell r="E502" t="str">
            <v>Акимат Костанайской области</v>
          </cell>
          <cell r="F502">
            <v>100</v>
          </cell>
          <cell r="G502">
            <v>105.69329999999999</v>
          </cell>
        </row>
        <row r="503">
          <cell r="C503" t="str">
            <v>KZ1C00000694</v>
          </cell>
          <cell r="D503" t="str">
            <v>Акции</v>
          </cell>
          <cell r="E503" t="str">
            <v>АО "Каспий нефть"</v>
          </cell>
          <cell r="F503">
            <v>0.01</v>
          </cell>
          <cell r="G503">
            <v>0.01</v>
          </cell>
        </row>
        <row r="504">
          <cell r="C504" t="str">
            <v>KZ1C00001536</v>
          </cell>
          <cell r="D504" t="str">
            <v>Акции</v>
          </cell>
          <cell r="E504" t="str">
            <v>АО Kaspi.kz</v>
          </cell>
          <cell r="F504">
            <v>39621.841846221156</v>
          </cell>
          <cell r="G504">
            <v>39621.841846221156</v>
          </cell>
        </row>
        <row r="505">
          <cell r="C505" t="str">
            <v>US48581R2058</v>
          </cell>
          <cell r="D505" t="str">
            <v>Депозитарные расписки</v>
          </cell>
          <cell r="E505" t="str">
            <v>АО Kaspi.kz</v>
          </cell>
          <cell r="F505">
            <v>40284.28900114842</v>
          </cell>
          <cell r="G505">
            <v>40284.28900114842</v>
          </cell>
        </row>
        <row r="506">
          <cell r="C506" t="str">
            <v>KZ2C00003499</v>
          </cell>
          <cell r="D506" t="str">
            <v>Облигации</v>
          </cell>
          <cell r="E506" t="str">
            <v>АО "QAZAQGAZ AIMAQ"</v>
          </cell>
          <cell r="F506">
            <v>99.555379967507292</v>
          </cell>
          <cell r="G506">
            <v>103.03457996750728</v>
          </cell>
        </row>
        <row r="507">
          <cell r="C507" t="str">
            <v>KYG876361257</v>
          </cell>
          <cell r="D507" t="str">
            <v>Акции</v>
          </cell>
          <cell r="E507" t="str">
            <v>Tethys Petroleum Limited</v>
          </cell>
          <cell r="F507">
            <v>254.86263600000004</v>
          </cell>
          <cell r="G507">
            <v>254.86263600000004</v>
          </cell>
        </row>
        <row r="508">
          <cell r="C508" t="str">
            <v>KZ2C00003812</v>
          </cell>
          <cell r="D508" t="str">
            <v>Облигации</v>
          </cell>
          <cell r="E508" t="str">
            <v>АО "Национальный управляющий холдинг "Байтерек"</v>
          </cell>
          <cell r="F508">
            <v>84.433693030023676</v>
          </cell>
          <cell r="G508">
            <v>91.183693030023676</v>
          </cell>
        </row>
        <row r="509">
          <cell r="C509" t="str">
            <v>KZ2C00003820</v>
          </cell>
          <cell r="D509" t="str">
            <v>Облигации</v>
          </cell>
          <cell r="E509" t="str">
            <v>АО "Национальный управляющий холдинг "Байтерек"</v>
          </cell>
          <cell r="F509">
            <v>94.217216810252367</v>
          </cell>
          <cell r="G509">
            <v>100.55611681025236</v>
          </cell>
        </row>
        <row r="510">
          <cell r="C510" t="str">
            <v>KZ2C00004323</v>
          </cell>
          <cell r="D510" t="str">
            <v>Акции</v>
          </cell>
          <cell r="E510" t="str">
            <v>АО "Национальный управляющий холдинг "Байтерек"</v>
          </cell>
          <cell r="F510">
            <v>0.01</v>
          </cell>
          <cell r="G510">
            <v>0.01</v>
          </cell>
        </row>
        <row r="511">
          <cell r="C511" t="str">
            <v>KZ2C00004547</v>
          </cell>
          <cell r="D511" t="str">
            <v>Облигации</v>
          </cell>
          <cell r="E511" t="str">
            <v>АО "Национальный управляющий холдинг "Байтерек"</v>
          </cell>
          <cell r="F511">
            <v>60.970235115475113</v>
          </cell>
          <cell r="G511">
            <v>61.136935115475112</v>
          </cell>
        </row>
        <row r="512">
          <cell r="C512" t="str">
            <v>KZ1C00001619</v>
          </cell>
          <cell r="D512" t="str">
            <v>Акции</v>
          </cell>
          <cell r="E512" t="str">
            <v>АО "Национальная атомная компания "Казатомпром"</v>
          </cell>
          <cell r="F512">
            <v>29138.578937516701</v>
          </cell>
          <cell r="G512">
            <v>29138.578937516701</v>
          </cell>
        </row>
        <row r="513">
          <cell r="C513" t="str">
            <v>US63253R2013</v>
          </cell>
          <cell r="D513" t="str">
            <v>Депозитарные расписки</v>
          </cell>
          <cell r="E513" t="str">
            <v>АО "Национальная атомная компания "Казатомпром"</v>
          </cell>
          <cell r="F513">
            <v>29662.042214428951</v>
          </cell>
          <cell r="G513">
            <v>29662.042214428951</v>
          </cell>
        </row>
        <row r="514">
          <cell r="C514" t="str">
            <v>KZ1C00001395</v>
          </cell>
          <cell r="D514" t="str">
            <v>Акции</v>
          </cell>
          <cell r="E514" t="str">
            <v>АО "КазАзот"</v>
          </cell>
          <cell r="F514">
            <v>0.01</v>
          </cell>
          <cell r="G514">
            <v>0.01</v>
          </cell>
        </row>
        <row r="515">
          <cell r="C515" t="str">
            <v>KZ1C00001296</v>
          </cell>
          <cell r="D515" t="str">
            <v>Акции</v>
          </cell>
          <cell r="E515" t="str">
            <v>АО "Каражыра"</v>
          </cell>
          <cell r="F515">
            <v>13473.57</v>
          </cell>
          <cell r="G515">
            <v>13473.57</v>
          </cell>
        </row>
        <row r="516">
          <cell r="C516" t="str">
            <v>KZ2C00007144</v>
          </cell>
          <cell r="D516" t="str">
            <v>Облигации</v>
          </cell>
          <cell r="E516" t="str">
            <v>АО "Каражыра"</v>
          </cell>
          <cell r="F516">
            <v>80.590256461050103</v>
          </cell>
          <cell r="G516">
            <v>82.806956461050092</v>
          </cell>
        </row>
        <row r="517">
          <cell r="C517" t="str">
            <v>KZ1C00000637</v>
          </cell>
          <cell r="D517" t="str">
            <v>Акции</v>
          </cell>
          <cell r="E517" t="str">
            <v>АО "Казахстанская Жилищная Компания"</v>
          </cell>
          <cell r="F517">
            <v>0.01</v>
          </cell>
          <cell r="G517">
            <v>0.01</v>
          </cell>
        </row>
        <row r="518">
          <cell r="C518" t="str">
            <v>KZ2C00003333</v>
          </cell>
          <cell r="D518" t="str">
            <v>Облигации</v>
          </cell>
          <cell r="E518" t="str">
            <v>АО "Казахстанская Жилищная Компания"</v>
          </cell>
          <cell r="F518">
            <v>86.09247375041015</v>
          </cell>
          <cell r="G518">
            <v>91.050773750410144</v>
          </cell>
        </row>
        <row r="519">
          <cell r="C519" t="str">
            <v>KZ2C00004356</v>
          </cell>
          <cell r="D519" t="str">
            <v>Облигации</v>
          </cell>
          <cell r="E519" t="str">
            <v>АО "Казахстанская Жилищная Компания"</v>
          </cell>
          <cell r="F519">
            <v>2.3688873990785511</v>
          </cell>
          <cell r="G519">
            <v>2.389487399078551</v>
          </cell>
        </row>
        <row r="520">
          <cell r="C520" t="str">
            <v>KZ2C00004349</v>
          </cell>
          <cell r="D520" t="str">
            <v>Облигации</v>
          </cell>
          <cell r="E520" t="str">
            <v>АО "Казахстанская Жилищная Компания"</v>
          </cell>
          <cell r="F520">
            <v>2.0567696223339098</v>
          </cell>
          <cell r="G520">
            <v>2.06486962233391</v>
          </cell>
        </row>
        <row r="521">
          <cell r="C521" t="str">
            <v>KZ2C00006393</v>
          </cell>
          <cell r="D521" t="str">
            <v>Облигации</v>
          </cell>
          <cell r="E521" t="str">
            <v>АО "Казахстанская Жилищная Компания"</v>
          </cell>
          <cell r="F521">
            <v>98.018548342994634</v>
          </cell>
          <cell r="G521">
            <v>100.89424834299464</v>
          </cell>
        </row>
        <row r="522">
          <cell r="C522" t="str">
            <v>KZ2C00006401</v>
          </cell>
          <cell r="D522" t="str">
            <v>Облигации</v>
          </cell>
          <cell r="E522" t="str">
            <v>АО "Казахстанская Жилищная Компания"</v>
          </cell>
          <cell r="F522">
            <v>1.4016504126636129</v>
          </cell>
          <cell r="G522">
            <v>1.4174504126636129</v>
          </cell>
        </row>
        <row r="523">
          <cell r="C523" t="str">
            <v>KZ2C00007086</v>
          </cell>
          <cell r="D523" t="str">
            <v>Облигации</v>
          </cell>
          <cell r="E523" t="str">
            <v>АО "Казахстанская Жилищная Компания"</v>
          </cell>
          <cell r="F523">
            <v>1.9014743956409859</v>
          </cell>
          <cell r="G523">
            <v>1.9192743956409859</v>
          </cell>
        </row>
        <row r="524">
          <cell r="C524" t="str">
            <v>KZ2C00007094</v>
          </cell>
          <cell r="D524" t="str">
            <v>Облигации</v>
          </cell>
          <cell r="E524" t="str">
            <v>АО "Казахстанская Жилищная Компания"</v>
          </cell>
          <cell r="F524">
            <v>51.2419895596177</v>
          </cell>
          <cell r="G524">
            <v>56.860689559617697</v>
          </cell>
        </row>
        <row r="525">
          <cell r="C525" t="str">
            <v>KZ2C00007409</v>
          </cell>
          <cell r="D525" t="str">
            <v>Облигации</v>
          </cell>
          <cell r="E525" t="str">
            <v>АО "Казахстанская Жилищная Компания"</v>
          </cell>
          <cell r="F525">
            <v>70.55540703079491</v>
          </cell>
          <cell r="G525">
            <v>74.217907030794905</v>
          </cell>
        </row>
        <row r="526">
          <cell r="C526" t="str">
            <v>KZ2C00007631</v>
          </cell>
          <cell r="D526" t="str">
            <v>Облигации</v>
          </cell>
          <cell r="E526" t="str">
            <v>АО "Казахстанская Жилищная Компания"</v>
          </cell>
          <cell r="F526">
            <v>1.7235218073147753</v>
          </cell>
          <cell r="G526">
            <v>1.7321218073147753</v>
          </cell>
        </row>
        <row r="527">
          <cell r="C527" t="str">
            <v>KZ2C00007839</v>
          </cell>
          <cell r="D527" t="str">
            <v>Облигации</v>
          </cell>
          <cell r="E527" t="str">
            <v>АО "Казахстанская Жилищная Компания"</v>
          </cell>
          <cell r="F527">
            <v>58.850196749336298</v>
          </cell>
          <cell r="G527">
            <v>59.591196749336298</v>
          </cell>
        </row>
        <row r="528">
          <cell r="C528" t="str">
            <v>KZ2C00007854</v>
          </cell>
          <cell r="D528" t="str">
            <v>Акции</v>
          </cell>
          <cell r="E528" t="str">
            <v>АО "Казахстанская Жилищная Компания"</v>
          </cell>
          <cell r="F528">
            <v>1000</v>
          </cell>
          <cell r="G528">
            <v>1000</v>
          </cell>
        </row>
        <row r="529">
          <cell r="C529" t="str">
            <v>KZ2C00007649</v>
          </cell>
          <cell r="D529" t="str">
            <v>Облигации</v>
          </cell>
          <cell r="E529" t="str">
            <v>АО "Казахстанская Жилищная Компания"</v>
          </cell>
          <cell r="F529">
            <v>34.642479440062637</v>
          </cell>
          <cell r="G529">
            <v>36.262479440062634</v>
          </cell>
        </row>
        <row r="530">
          <cell r="C530" t="str">
            <v>KZ2C00014736</v>
          </cell>
          <cell r="D530" t="str">
            <v>Облигации</v>
          </cell>
          <cell r="E530" t="str">
            <v>АО "Казахстанская Жилищная Компания"</v>
          </cell>
          <cell r="F530">
            <v>95.294295674659338</v>
          </cell>
          <cell r="G530">
            <v>101.84429567465935</v>
          </cell>
        </row>
        <row r="531">
          <cell r="C531" t="str">
            <v>KZ2C00014744</v>
          </cell>
          <cell r="D531" t="str">
            <v>Облигации</v>
          </cell>
          <cell r="E531" t="str">
            <v>АО "Казахстанская Жилищная Компания"</v>
          </cell>
          <cell r="F531">
            <v>97.325883560243383</v>
          </cell>
          <cell r="G531">
            <v>102.41648356024338</v>
          </cell>
        </row>
        <row r="532">
          <cell r="C532" t="str">
            <v>KZ2C00014751</v>
          </cell>
          <cell r="D532" t="str">
            <v>Облигации</v>
          </cell>
          <cell r="E532" t="str">
            <v>АО "Казахстанская Жилищная Компания"</v>
          </cell>
          <cell r="F532">
            <v>97.325883560243383</v>
          </cell>
          <cell r="G532">
            <v>102.41648356024338</v>
          </cell>
        </row>
        <row r="533">
          <cell r="C533" t="str">
            <v>KZ2C00014769</v>
          </cell>
          <cell r="D533" t="str">
            <v>Облигации</v>
          </cell>
          <cell r="E533" t="str">
            <v>АО "Казахстанская Жилищная Компания"</v>
          </cell>
          <cell r="F533">
            <v>97.651276523445276</v>
          </cell>
          <cell r="G533">
            <v>101.36887652344528</v>
          </cell>
        </row>
        <row r="534">
          <cell r="C534" t="str">
            <v>KZ2C00012961</v>
          </cell>
          <cell r="D534" t="str">
            <v>Облигации</v>
          </cell>
          <cell r="E534" t="str">
            <v>АО "Jusan Mobile"</v>
          </cell>
          <cell r="F534">
            <v>104.31699999999999</v>
          </cell>
          <cell r="G534">
            <v>109.08369999999999</v>
          </cell>
        </row>
        <row r="535">
          <cell r="C535" t="str">
            <v>XS1682544157</v>
          </cell>
          <cell r="D535" t="str">
            <v>Облигации</v>
          </cell>
          <cell r="E535" t="str">
            <v>АО "Национальная компания "QazaqGaz"</v>
          </cell>
          <cell r="F535">
            <v>99.244</v>
          </cell>
          <cell r="G535">
            <v>100.0825</v>
          </cell>
        </row>
        <row r="536">
          <cell r="C536" t="str">
            <v>KZ0009093241</v>
          </cell>
          <cell r="D536" t="str">
            <v>Акции</v>
          </cell>
          <cell r="E536" t="str">
            <v>АО "Казахтелеком"</v>
          </cell>
          <cell r="F536">
            <v>40021.054358525646</v>
          </cell>
          <cell r="G536">
            <v>40021.054358525646</v>
          </cell>
        </row>
        <row r="537">
          <cell r="C537" t="str">
            <v>KZ2C00005932</v>
          </cell>
          <cell r="D537" t="str">
            <v>Облигации</v>
          </cell>
          <cell r="E537" t="str">
            <v>АО "Казахтелеком"</v>
          </cell>
          <cell r="F537">
            <v>96.171092639177516</v>
          </cell>
          <cell r="G537">
            <v>101.47389263917751</v>
          </cell>
        </row>
        <row r="538">
          <cell r="C538" t="str">
            <v>KZ0009094645</v>
          </cell>
          <cell r="D538" t="str">
            <v>Акции</v>
          </cell>
          <cell r="E538" t="str">
            <v>АО "Казахтелеком"</v>
          </cell>
          <cell r="F538">
            <v>27294.01</v>
          </cell>
          <cell r="G538">
            <v>27294.01</v>
          </cell>
        </row>
        <row r="539">
          <cell r="C539" t="str">
            <v>KZ1C00000744</v>
          </cell>
          <cell r="D539" t="str">
            <v>Акции</v>
          </cell>
          <cell r="E539" t="str">
            <v>АО "КазТрансОйл"</v>
          </cell>
          <cell r="F539">
            <v>839.77606094896589</v>
          </cell>
          <cell r="G539">
            <v>839.77606094896589</v>
          </cell>
        </row>
        <row r="540">
          <cell r="C540" t="str">
            <v>KZ2P00010119</v>
          </cell>
          <cell r="D540" t="str">
            <v>Облигации</v>
          </cell>
          <cell r="E540" t="str">
            <v>ТОО "KazWind Energy" ("КазВинд Энерджи")</v>
          </cell>
          <cell r="F540">
            <v>93.237972112308967</v>
          </cell>
          <cell r="G540">
            <v>96.137972112308958</v>
          </cell>
        </row>
        <row r="541">
          <cell r="C541" t="str">
            <v>XS1120709826</v>
          </cell>
          <cell r="D541" t="str">
            <v>Облигации</v>
          </cell>
          <cell r="E541" t="str">
            <v>Министерство финансов Республики Казахстан</v>
          </cell>
          <cell r="F541">
            <v>92.796999999999997</v>
          </cell>
          <cell r="G541">
            <v>93.4876</v>
          </cell>
        </row>
        <row r="542">
          <cell r="C542" t="str">
            <v>XS1901718335</v>
          </cell>
          <cell r="D542" t="str">
            <v>Облигации</v>
          </cell>
          <cell r="E542" t="str">
            <v>Министерство финансов Республики Казахстан</v>
          </cell>
          <cell r="F542">
            <v>98.476639043097663</v>
          </cell>
          <cell r="G542">
            <v>98.645839043097666</v>
          </cell>
        </row>
        <row r="543">
          <cell r="C543" t="str">
            <v>XS2050933899</v>
          </cell>
          <cell r="D543" t="str">
            <v>Облигации</v>
          </cell>
          <cell r="E543" t="str">
            <v>Министерство финансов Республики Казахстан</v>
          </cell>
          <cell r="F543">
            <v>98.244033042037529</v>
          </cell>
          <cell r="G543">
            <v>98.352533042037535</v>
          </cell>
        </row>
        <row r="544">
          <cell r="C544" t="str">
            <v>RU000A101RV2</v>
          </cell>
          <cell r="D544" t="str">
            <v>Облигации</v>
          </cell>
          <cell r="E544" t="str">
            <v>Министерство финансов Республики Казахстан</v>
          </cell>
          <cell r="F544">
            <v>85.660555847244979</v>
          </cell>
          <cell r="G544">
            <v>87.078255847244975</v>
          </cell>
        </row>
        <row r="545">
          <cell r="C545" t="str">
            <v>RU000A101RZ3</v>
          </cell>
          <cell r="D545" t="str">
            <v>Облигации</v>
          </cell>
          <cell r="E545" t="str">
            <v>Министерство финансов Республики Казахстан</v>
          </cell>
          <cell r="F545">
            <v>69.916821457561483</v>
          </cell>
          <cell r="G545">
            <v>71.431921457561486</v>
          </cell>
        </row>
        <row r="546">
          <cell r="C546" t="str">
            <v>RU000A101RT6</v>
          </cell>
          <cell r="D546" t="str">
            <v>Облигации</v>
          </cell>
          <cell r="E546" t="str">
            <v>Министерство финансов Республики Казахстан</v>
          </cell>
          <cell r="F546">
            <v>95.972207318927687</v>
          </cell>
          <cell r="G546">
            <v>99.353607318927686</v>
          </cell>
        </row>
        <row r="547">
          <cell r="C547" t="str">
            <v>RU000A101RW0</v>
          </cell>
          <cell r="D547" t="str">
            <v>Облигации</v>
          </cell>
          <cell r="E547" t="str">
            <v>Министерство финансов Республики Казахстан</v>
          </cell>
          <cell r="F547">
            <v>82.667729072493799</v>
          </cell>
          <cell r="G547">
            <v>86.144029072493794</v>
          </cell>
        </row>
        <row r="548">
          <cell r="C548" t="str">
            <v>RU000A101S08</v>
          </cell>
          <cell r="D548" t="str">
            <v>Облигации</v>
          </cell>
          <cell r="E548" t="str">
            <v>Министерство финансов Республики Казахстан</v>
          </cell>
          <cell r="F548">
            <v>70.3275392808238</v>
          </cell>
          <cell r="G548">
            <v>73.907839280823794</v>
          </cell>
        </row>
        <row r="549">
          <cell r="C549" t="str">
            <v>RU000A101S16</v>
          </cell>
          <cell r="D549" t="str">
            <v>Облигации</v>
          </cell>
          <cell r="E549" t="str">
            <v>Министерство финансов Республики Казахстан</v>
          </cell>
          <cell r="F549">
            <v>70.3275392808238</v>
          </cell>
          <cell r="G549">
            <v>73.907839280823794</v>
          </cell>
        </row>
        <row r="550">
          <cell r="C550" t="str">
            <v>XS1263139856</v>
          </cell>
          <cell r="D550" t="str">
            <v>Облигации</v>
          </cell>
          <cell r="E550" t="str">
            <v>Министерство финансов Республики Казахстан</v>
          </cell>
          <cell r="F550">
            <v>111.696</v>
          </cell>
          <cell r="G550">
            <v>114.11539999999999</v>
          </cell>
        </row>
        <row r="551">
          <cell r="C551" t="str">
            <v>XS2914770545</v>
          </cell>
          <cell r="D551" t="str">
            <v>Облигации</v>
          </cell>
          <cell r="E551" t="str">
            <v>Министерство финансов Республики Казахстан</v>
          </cell>
          <cell r="F551">
            <v>98.619</v>
          </cell>
          <cell r="G551">
            <v>99.3523</v>
          </cell>
        </row>
        <row r="552">
          <cell r="C552" t="str">
            <v>XS3093655341</v>
          </cell>
          <cell r="D552" t="str">
            <v>Облигации</v>
          </cell>
          <cell r="E552" t="str">
            <v>Министерство финансов Республики Казахстан</v>
          </cell>
          <cell r="F552">
            <v>101.627</v>
          </cell>
          <cell r="G552">
            <v>103.7659</v>
          </cell>
        </row>
        <row r="553">
          <cell r="C553" t="str">
            <v>XS3093658014</v>
          </cell>
          <cell r="D553" t="str">
            <v>Облигации</v>
          </cell>
          <cell r="E553" t="str">
            <v>Министерство финансов Республики Казахстан</v>
          </cell>
          <cell r="F553">
            <v>102.83199999999999</v>
          </cell>
          <cell r="G553">
            <v>105.1848</v>
          </cell>
        </row>
        <row r="554">
          <cell r="C554" t="str">
            <v>XS3212533262</v>
          </cell>
          <cell r="D554" t="str">
            <v>Облигации</v>
          </cell>
          <cell r="E554" t="str">
            <v>Министерство финансов Республики Казахстан</v>
          </cell>
          <cell r="F554">
            <v>99.38</v>
          </cell>
          <cell r="G554">
            <v>99.833500000000001</v>
          </cell>
        </row>
        <row r="555">
          <cell r="C555" t="str">
            <v>KZ1C00000215</v>
          </cell>
          <cell r="D555" t="str">
            <v>Акции</v>
          </cell>
          <cell r="E555" t="str">
            <v>АО "KMK Мунай"</v>
          </cell>
          <cell r="F555">
            <v>0.01</v>
          </cell>
          <cell r="G555">
            <v>0.01</v>
          </cell>
        </row>
        <row r="556">
          <cell r="C556" t="str">
            <v>KZ1C00000892</v>
          </cell>
          <cell r="D556" t="str">
            <v>Акции</v>
          </cell>
          <cell r="E556" t="str">
            <v>АО "ЛОГИКОМ"</v>
          </cell>
          <cell r="F556">
            <v>0.01</v>
          </cell>
          <cell r="G556">
            <v>0.01</v>
          </cell>
        </row>
        <row r="557">
          <cell r="C557" t="str">
            <v>KZ2C00008886</v>
          </cell>
          <cell r="D557" t="str">
            <v>Облигации</v>
          </cell>
          <cell r="E557" t="str">
            <v>АО "ЛОГИКОМ"</v>
          </cell>
          <cell r="F557">
            <v>92.398766481904161</v>
          </cell>
          <cell r="G557">
            <v>96.493166481904154</v>
          </cell>
        </row>
        <row r="558">
          <cell r="C558" t="str">
            <v>US4642872422</v>
          </cell>
          <cell r="D558" t="str">
            <v>Бумаги ин. инвест. фондов. ETF</v>
          </cell>
          <cell r="E558" t="str">
            <v>BlackRock, Inc</v>
          </cell>
          <cell r="F558">
            <v>56034.417450000001</v>
          </cell>
          <cell r="G558">
            <v>56034.417450000001</v>
          </cell>
        </row>
        <row r="559">
          <cell r="C559" t="str">
            <v>KZ1C00001593</v>
          </cell>
          <cell r="D559" t="str">
            <v>Акции</v>
          </cell>
          <cell r="E559" t="str">
            <v>АО "Лизинг Групп"</v>
          </cell>
          <cell r="F559">
            <v>1.81</v>
          </cell>
          <cell r="G559">
            <v>1.81</v>
          </cell>
        </row>
        <row r="560">
          <cell r="C560" t="str">
            <v>KZ2C00012854</v>
          </cell>
          <cell r="D560" t="str">
            <v>Облигации</v>
          </cell>
          <cell r="E560" t="str">
            <v>АО "Лизинг Групп"</v>
          </cell>
          <cell r="F560">
            <v>100.3066948033583</v>
          </cell>
          <cell r="G560">
            <v>101.6677948033583</v>
          </cell>
        </row>
        <row r="561">
          <cell r="C561" t="str">
            <v>KZ2C00008639</v>
          </cell>
          <cell r="D561" t="str">
            <v>Облигации</v>
          </cell>
          <cell r="E561" t="str">
            <v>АО "Лизинг Групп"</v>
          </cell>
          <cell r="F561">
            <v>99.993575304633055</v>
          </cell>
          <cell r="G561">
            <v>102.98797530463305</v>
          </cell>
        </row>
        <row r="562">
          <cell r="C562" t="str">
            <v>KZ2C00008647</v>
          </cell>
          <cell r="D562" t="str">
            <v>Облигации</v>
          </cell>
          <cell r="E562" t="str">
            <v>АО "Лизинг Групп"</v>
          </cell>
          <cell r="F562">
            <v>100.02488556650404</v>
          </cell>
          <cell r="G562">
            <v>101.38598556650405</v>
          </cell>
        </row>
        <row r="563">
          <cell r="C563" t="str">
            <v>KZ2C00012193</v>
          </cell>
          <cell r="D563" t="str">
            <v>Облигации</v>
          </cell>
          <cell r="E563" t="str">
            <v>АО "Лизинг Групп"</v>
          </cell>
          <cell r="F563">
            <v>98.747083152217428</v>
          </cell>
          <cell r="G563">
            <v>101.74148315221743</v>
          </cell>
        </row>
        <row r="564">
          <cell r="C564" t="str">
            <v>KZ1C00000868</v>
          </cell>
          <cell r="D564" t="str">
            <v>Акции</v>
          </cell>
          <cell r="E564" t="str">
            <v>АО "Матен Петролеум"</v>
          </cell>
          <cell r="F564">
            <v>7350</v>
          </cell>
          <cell r="G564">
            <v>7350</v>
          </cell>
        </row>
        <row r="565">
          <cell r="C565" t="str">
            <v>US57636Q1040</v>
          </cell>
          <cell r="D565" t="str">
            <v>Акции</v>
          </cell>
          <cell r="E565" t="str">
            <v>Mastercard, Inc.</v>
          </cell>
          <cell r="F565">
            <v>281491.64240000001</v>
          </cell>
          <cell r="G565">
            <v>281491.64240000001</v>
          </cell>
        </row>
        <row r="566">
          <cell r="C566" t="str">
            <v>US30303M1027</v>
          </cell>
          <cell r="D566" t="str">
            <v>Акции</v>
          </cell>
          <cell r="E566" t="str">
            <v>Meta Platforms, Inc.</v>
          </cell>
          <cell r="F566">
            <v>336198.93554999999</v>
          </cell>
          <cell r="G566">
            <v>336198.93554999999</v>
          </cell>
        </row>
        <row r="567">
          <cell r="C567" t="str">
            <v>KZ2P00010390</v>
          </cell>
          <cell r="D567" t="str">
            <v>Облигации</v>
          </cell>
          <cell r="E567" t="str">
            <v>ТОО "КТ"AgroBusiness KZ"</v>
          </cell>
          <cell r="F567">
            <v>100.77229269759481</v>
          </cell>
          <cell r="G567">
            <v>100.83059269759481</v>
          </cell>
        </row>
        <row r="568">
          <cell r="C568" t="str">
            <v>KZ2P00010226</v>
          </cell>
          <cell r="D568" t="str">
            <v>Облигации</v>
          </cell>
          <cell r="E568" t="str">
            <v>ТОО "МФО "Арнур Кредит"</v>
          </cell>
          <cell r="F568">
            <v>99.964804747209854</v>
          </cell>
          <cell r="G568">
            <v>104.55650474720986</v>
          </cell>
        </row>
        <row r="569">
          <cell r="C569" t="str">
            <v>KZ2P00014434</v>
          </cell>
          <cell r="D569" t="str">
            <v>Облигации</v>
          </cell>
          <cell r="E569" t="str">
            <v>ТОО "МФО "Арнур Кредит"</v>
          </cell>
          <cell r="F569">
            <v>97.744132161590613</v>
          </cell>
          <cell r="G569">
            <v>98.021932161590613</v>
          </cell>
        </row>
        <row r="570">
          <cell r="C570" t="str">
            <v>KZ2P00014996</v>
          </cell>
          <cell r="D570" t="str">
            <v>Облигации</v>
          </cell>
          <cell r="E570" t="str">
            <v>ТОО "Микрофинансовая организация аФинанс"</v>
          </cell>
          <cell r="F570">
            <v>100.47340324742069</v>
          </cell>
          <cell r="G570">
            <v>101.34010324742069</v>
          </cell>
        </row>
        <row r="571">
          <cell r="C571" t="str">
            <v>KZ2P00015589</v>
          </cell>
          <cell r="D571" t="str">
            <v>Облигации</v>
          </cell>
          <cell r="E571" t="str">
            <v>ТОО "Микрофинансовая организация аФинанс"</v>
          </cell>
          <cell r="F571">
            <v>101.37470453094924</v>
          </cell>
          <cell r="G571">
            <v>101.69410453094925</v>
          </cell>
        </row>
        <row r="572">
          <cell r="C572" t="str">
            <v>KZ2P00015670</v>
          </cell>
          <cell r="D572" t="str">
            <v>Акции</v>
          </cell>
          <cell r="E572" t="str">
            <v>ТОО "Микрофинансовая организация аФинанс"</v>
          </cell>
          <cell r="F572">
            <v>50695.000000000007</v>
          </cell>
          <cell r="G572">
            <v>50695.000000000007</v>
          </cell>
        </row>
        <row r="573">
          <cell r="C573" t="str">
            <v>KZ2P00015886</v>
          </cell>
          <cell r="D573" t="str">
            <v>Облигации</v>
          </cell>
          <cell r="E573" t="str">
            <v>ТОО "Микрофинансовая организация аФинанс"</v>
          </cell>
          <cell r="F573">
            <v>100.72529244494399</v>
          </cell>
          <cell r="G573">
            <v>101.39749244494399</v>
          </cell>
        </row>
        <row r="574">
          <cell r="C574" t="str">
            <v>KZ2P00014244</v>
          </cell>
          <cell r="D574" t="str">
            <v>Облигации</v>
          </cell>
          <cell r="E574" t="str">
            <v>ТОО "Микрофинансовая организация аФинанс"</v>
          </cell>
          <cell r="F574">
            <v>100.29468408484408</v>
          </cell>
          <cell r="G574">
            <v>102.62798408484407</v>
          </cell>
        </row>
        <row r="575">
          <cell r="C575" t="str">
            <v>KZ2P00014475</v>
          </cell>
          <cell r="D575" t="str">
            <v>Облигации</v>
          </cell>
          <cell r="E575" t="str">
            <v>ТОО "МФО "Бухта"</v>
          </cell>
          <cell r="F575">
            <v>99.816100000000006</v>
          </cell>
          <cell r="G575">
            <v>106.06610000000001</v>
          </cell>
        </row>
        <row r="576">
          <cell r="C576" t="str">
            <v>KZ2P00013311</v>
          </cell>
          <cell r="D576" t="str">
            <v>Облигации</v>
          </cell>
          <cell r="E576" t="str">
            <v>ТОО "Birinshi Lombard"</v>
          </cell>
          <cell r="F576">
            <v>98.025056693574868</v>
          </cell>
          <cell r="G576">
            <v>102.45835669357487</v>
          </cell>
        </row>
        <row r="577">
          <cell r="C577" t="str">
            <v>KZ2P00014202</v>
          </cell>
          <cell r="D577" t="str">
            <v>Облигации</v>
          </cell>
          <cell r="E577" t="str">
            <v>ТОО "Birinshi Lombard"</v>
          </cell>
          <cell r="F577">
            <v>96.915800000000004</v>
          </cell>
          <cell r="G577">
            <v>101.0575</v>
          </cell>
        </row>
        <row r="578">
          <cell r="C578" t="str">
            <v>KZ2C00012581</v>
          </cell>
          <cell r="D578" t="str">
            <v>Облигации</v>
          </cell>
          <cell r="E578" t="str">
            <v>АО "МФО "Береке"</v>
          </cell>
          <cell r="F578">
            <v>98.693663078064361</v>
          </cell>
          <cell r="G578">
            <v>109.13536307806436</v>
          </cell>
        </row>
        <row r="579">
          <cell r="C579" t="str">
            <v>KZ2C00014223</v>
          </cell>
          <cell r="D579" t="str">
            <v>Облигации</v>
          </cell>
          <cell r="E579" t="str">
            <v>АО "МФО "Береке"</v>
          </cell>
          <cell r="F579">
            <v>99</v>
          </cell>
          <cell r="G579">
            <v>101.98609999999999</v>
          </cell>
        </row>
        <row r="580">
          <cell r="C580" t="str">
            <v>KZ2C00014231</v>
          </cell>
          <cell r="D580" t="str">
            <v>Акции</v>
          </cell>
          <cell r="E580" t="str">
            <v>АО "МФО "Береке"</v>
          </cell>
          <cell r="F580">
            <v>1000</v>
          </cell>
          <cell r="G580">
            <v>1000</v>
          </cell>
        </row>
        <row r="581">
          <cell r="C581" t="str">
            <v>KZ2P00011950</v>
          </cell>
          <cell r="D581" t="str">
            <v>Облигации</v>
          </cell>
          <cell r="E581" t="str">
            <v>ТОО "Микрофинансовая организация "Азиатский Кредитный Фонд"</v>
          </cell>
          <cell r="F581">
            <v>99.087000000000003</v>
          </cell>
          <cell r="G581">
            <v>99.553700000000006</v>
          </cell>
        </row>
        <row r="582">
          <cell r="C582" t="str">
            <v>KZ2P00014640</v>
          </cell>
          <cell r="D582" t="str">
            <v>Облигации</v>
          </cell>
          <cell r="E582" t="str">
            <v>ТОО "Микрофинансовая организация "Азиатский Кредитный Фонд"</v>
          </cell>
          <cell r="F582">
            <v>100.58866491804751</v>
          </cell>
          <cell r="G582">
            <v>101.52616491804751</v>
          </cell>
        </row>
        <row r="583">
          <cell r="C583" t="str">
            <v>KZ2P00011166</v>
          </cell>
          <cell r="D583" t="str">
            <v>Облигации</v>
          </cell>
          <cell r="E583" t="str">
            <v>ТОО "МФО "Капиталинвест"</v>
          </cell>
          <cell r="F583">
            <v>100</v>
          </cell>
          <cell r="G583">
            <v>101.34439999999999</v>
          </cell>
        </row>
        <row r="584">
          <cell r="C584" t="str">
            <v>KZ2P00010457</v>
          </cell>
          <cell r="D584" t="str">
            <v>Облигации</v>
          </cell>
          <cell r="E584" t="str">
            <v>ТОО "Микрофинансовая организация "ФинТехЛаб"</v>
          </cell>
          <cell r="F584">
            <v>99.883959385555144</v>
          </cell>
          <cell r="G584">
            <v>102.39225938555515</v>
          </cell>
        </row>
        <row r="585">
          <cell r="C585" t="str">
            <v>KZ2P00010465</v>
          </cell>
          <cell r="D585" t="str">
            <v>Облигации</v>
          </cell>
          <cell r="E585" t="str">
            <v>ТОО "Микрофинансовая организация "ФинТехЛаб"</v>
          </cell>
          <cell r="F585">
            <v>100.03973783134457</v>
          </cell>
          <cell r="G585">
            <v>101.44533783134456</v>
          </cell>
        </row>
        <row r="586">
          <cell r="C586" t="str">
            <v>KZ2P00013840</v>
          </cell>
          <cell r="D586" t="str">
            <v>Облигации</v>
          </cell>
          <cell r="E586" t="str">
            <v>ТОО "Микрофинансовая организация "ФинТехЛаб"</v>
          </cell>
          <cell r="F586">
            <v>99.1</v>
          </cell>
          <cell r="G586">
            <v>99.625</v>
          </cell>
        </row>
        <row r="587">
          <cell r="C587" t="str">
            <v>KZ2P00015985</v>
          </cell>
          <cell r="D587" t="str">
            <v>Облигации</v>
          </cell>
          <cell r="E587" t="str">
            <v>ТОО "Микрофинансовая организация "ФинТехЛаб"</v>
          </cell>
          <cell r="F587">
            <v>101.59708694153568</v>
          </cell>
          <cell r="G587">
            <v>102.69708694153567</v>
          </cell>
        </row>
        <row r="588">
          <cell r="C588" t="str">
            <v>KZ2P00012677</v>
          </cell>
          <cell r="D588" t="str">
            <v>Облигации</v>
          </cell>
          <cell r="E588" t="str">
            <v>ТОО "Микрофинансовая организация "Деньги говорят"</v>
          </cell>
          <cell r="F588">
            <v>99.411143674234154</v>
          </cell>
          <cell r="G588">
            <v>100.38894367423416</v>
          </cell>
        </row>
        <row r="589">
          <cell r="C589" t="str">
            <v>KZ2P00010598</v>
          </cell>
          <cell r="D589" t="str">
            <v>Облигации</v>
          </cell>
          <cell r="E589" t="str">
            <v>ТОО "МФО ЭКО - Финанс"</v>
          </cell>
          <cell r="F589">
            <v>100.05563563985186</v>
          </cell>
          <cell r="G589">
            <v>102.45563563985185</v>
          </cell>
        </row>
        <row r="590">
          <cell r="C590" t="str">
            <v>KZ2P00011380</v>
          </cell>
          <cell r="D590" t="str">
            <v>Облигации</v>
          </cell>
          <cell r="E590" t="str">
            <v>ТОО "МФО ЭКО - Финанс"</v>
          </cell>
          <cell r="F590">
            <v>98.98</v>
          </cell>
          <cell r="G590">
            <v>101.3633</v>
          </cell>
        </row>
        <row r="591">
          <cell r="C591" t="str">
            <v>KZ2P00014210</v>
          </cell>
          <cell r="D591" t="str">
            <v>Облигации</v>
          </cell>
          <cell r="E591" t="str">
            <v>ТОО "МФО ЭКО - Финанс"</v>
          </cell>
          <cell r="F591">
            <v>98.09546939330437</v>
          </cell>
          <cell r="G591">
            <v>98.645469393304367</v>
          </cell>
        </row>
        <row r="592">
          <cell r="C592" t="str">
            <v>KZ2P00015266</v>
          </cell>
          <cell r="D592" t="str">
            <v>Облигации</v>
          </cell>
          <cell r="E592" t="str">
            <v>ТОО "Ломбард "HAYAT CAPITAL"</v>
          </cell>
          <cell r="F592">
            <v>98.487799999999993</v>
          </cell>
          <cell r="G592">
            <v>99.587800000000001</v>
          </cell>
        </row>
        <row r="593">
          <cell r="C593" t="str">
            <v>KZ2P00011257</v>
          </cell>
          <cell r="D593" t="str">
            <v>Облигации</v>
          </cell>
          <cell r="E593" t="str">
            <v>АО "KMF Банк"</v>
          </cell>
          <cell r="F593">
            <v>99.045361249002625</v>
          </cell>
          <cell r="G593">
            <v>109.93286124900263</v>
          </cell>
        </row>
        <row r="594">
          <cell r="C594" t="str">
            <v>KZ2C00013761</v>
          </cell>
          <cell r="D594" t="str">
            <v>Облигации</v>
          </cell>
          <cell r="E594" t="str">
            <v>АО "KMF Банк"</v>
          </cell>
          <cell r="F594">
            <v>98.999456642837984</v>
          </cell>
          <cell r="G594">
            <v>109.07445664283799</v>
          </cell>
        </row>
        <row r="595">
          <cell r="C595" t="str">
            <v>KZ2C00013779</v>
          </cell>
          <cell r="D595" t="str">
            <v>Облигации</v>
          </cell>
          <cell r="E595" t="str">
            <v>АО "KMF Банк"</v>
          </cell>
          <cell r="F595">
            <v>98.996635898630515</v>
          </cell>
          <cell r="G595">
            <v>109.01743589863052</v>
          </cell>
        </row>
        <row r="596">
          <cell r="C596" t="str">
            <v>KZ2P00009186</v>
          </cell>
          <cell r="D596" t="str">
            <v>Облигации</v>
          </cell>
          <cell r="E596" t="str">
            <v>ТОО "МФО "Кредит Time"</v>
          </cell>
          <cell r="F596">
            <v>95.70616027658869</v>
          </cell>
          <cell r="G596">
            <v>98.039460276588684</v>
          </cell>
        </row>
        <row r="597">
          <cell r="C597" t="str">
            <v>KZ2P00010002</v>
          </cell>
          <cell r="D597" t="str">
            <v>Облигации</v>
          </cell>
          <cell r="E597" t="str">
            <v>ТОО "МФО "Кредит Time"</v>
          </cell>
          <cell r="F597">
            <v>94.508201512912862</v>
          </cell>
          <cell r="G597">
            <v>98.674901512912854</v>
          </cell>
        </row>
        <row r="598">
          <cell r="C598" t="str">
            <v>KZ2P00010416</v>
          </cell>
          <cell r="D598" t="str">
            <v>Акции</v>
          </cell>
          <cell r="E598" t="str">
            <v>ТОО "МФО "Кредит Time"</v>
          </cell>
          <cell r="F598">
            <v>1000</v>
          </cell>
          <cell r="G598">
            <v>1000</v>
          </cell>
        </row>
        <row r="599">
          <cell r="C599" t="str">
            <v>KZ2P00011877</v>
          </cell>
          <cell r="D599" t="str">
            <v>Облигации</v>
          </cell>
          <cell r="E599" t="str">
            <v>ТОО "Ломбард "GoldFinMarket"</v>
          </cell>
          <cell r="F599">
            <v>100.12327772913711</v>
          </cell>
          <cell r="G599">
            <v>101.22327772913711</v>
          </cell>
        </row>
        <row r="600">
          <cell r="C600" t="str">
            <v>KZ2P00013501</v>
          </cell>
          <cell r="D600" t="str">
            <v>Облигации</v>
          </cell>
          <cell r="E600" t="str">
            <v>ТОО "Ломбард "GoldFinMarket"</v>
          </cell>
          <cell r="F600">
            <v>99.019607361527989</v>
          </cell>
          <cell r="G600">
            <v>102.80850736152799</v>
          </cell>
        </row>
        <row r="601">
          <cell r="C601" t="str">
            <v>KZ2P00013519</v>
          </cell>
          <cell r="D601" t="str">
            <v>Облигации</v>
          </cell>
          <cell r="E601" t="str">
            <v>ТОО "Ломбард "GoldFinMarket"</v>
          </cell>
          <cell r="F601">
            <v>100.41158953131138</v>
          </cell>
          <cell r="G601">
            <v>100.53378953131138</v>
          </cell>
        </row>
        <row r="602">
          <cell r="C602" t="str">
            <v>KZ2P00013857</v>
          </cell>
          <cell r="D602" t="str">
            <v>Облигации</v>
          </cell>
          <cell r="E602" t="str">
            <v>ТОО "Ломбард "GoldFinMarket"</v>
          </cell>
          <cell r="F602">
            <v>100.558600063922</v>
          </cell>
          <cell r="G602">
            <v>100.68640006392201</v>
          </cell>
        </row>
        <row r="603">
          <cell r="C603" t="str">
            <v>KZ2P00013865</v>
          </cell>
          <cell r="D603" t="str">
            <v>Облигации</v>
          </cell>
          <cell r="E603" t="str">
            <v>ТОО "Ломбард "GoldFinMarket"</v>
          </cell>
          <cell r="F603">
            <v>100.53789969568935</v>
          </cell>
          <cell r="G603">
            <v>102.00729969568934</v>
          </cell>
        </row>
        <row r="604">
          <cell r="C604" t="str">
            <v>KZ2P00014251</v>
          </cell>
          <cell r="D604" t="str">
            <v>Облигации</v>
          </cell>
          <cell r="E604" t="str">
            <v>ТОО "Ломбард "GoldFinMarket"</v>
          </cell>
          <cell r="F604">
            <v>99.265100000000004</v>
          </cell>
          <cell r="G604">
            <v>99.876199999999997</v>
          </cell>
        </row>
        <row r="605">
          <cell r="C605" t="str">
            <v>KZ2P00014269</v>
          </cell>
          <cell r="D605" t="str">
            <v>Облигации</v>
          </cell>
          <cell r="E605" t="str">
            <v>ТОО "Ломбард "GoldFinMarket"</v>
          </cell>
          <cell r="F605">
            <v>100.14707538264317</v>
          </cell>
          <cell r="G605">
            <v>100.45267538264316</v>
          </cell>
        </row>
        <row r="606">
          <cell r="C606" t="str">
            <v>KZ2P00014277</v>
          </cell>
          <cell r="D606" t="str">
            <v>Облигации</v>
          </cell>
          <cell r="E606" t="str">
            <v>ТОО "Ломбард "GoldFinMarket"</v>
          </cell>
          <cell r="F606">
            <v>100.12132367094752</v>
          </cell>
          <cell r="G606">
            <v>100.73242367094753</v>
          </cell>
        </row>
        <row r="607">
          <cell r="C607" t="str">
            <v>KZ2P00012230</v>
          </cell>
          <cell r="D607" t="str">
            <v>Облигации</v>
          </cell>
          <cell r="E607" t="str">
            <v>ТОО "Ломбард "GoldFinMarket"</v>
          </cell>
          <cell r="F607">
            <v>99.515730746515203</v>
          </cell>
          <cell r="G607">
            <v>100.7935307465152</v>
          </cell>
        </row>
        <row r="608">
          <cell r="C608" t="str">
            <v>KZ2P00012727</v>
          </cell>
          <cell r="D608" t="str">
            <v>Облигации</v>
          </cell>
          <cell r="E608" t="str">
            <v>ТОО "Ломбард "GoldFinMarket"</v>
          </cell>
          <cell r="F608">
            <v>99.987329055864066</v>
          </cell>
          <cell r="G608">
            <v>104.93172905586407</v>
          </cell>
        </row>
        <row r="609">
          <cell r="C609" t="str">
            <v>KZ2P00012875</v>
          </cell>
          <cell r="D609" t="str">
            <v>Облигации</v>
          </cell>
          <cell r="E609" t="str">
            <v>ТОО "Ломбард "GoldFinMarket"</v>
          </cell>
          <cell r="F609">
            <v>97.773864416919608</v>
          </cell>
          <cell r="G609">
            <v>100.10716441691962</v>
          </cell>
        </row>
        <row r="610">
          <cell r="C610" t="str">
            <v>KZ2P00012883</v>
          </cell>
          <cell r="D610" t="str">
            <v>Облигации</v>
          </cell>
          <cell r="E610" t="str">
            <v>ТОО "Ломбард "GoldFinMarket"</v>
          </cell>
          <cell r="F610">
            <v>97.630242447713812</v>
          </cell>
          <cell r="G610">
            <v>98.130242447713812</v>
          </cell>
        </row>
        <row r="611">
          <cell r="C611" t="str">
            <v>KZ2P00013584</v>
          </cell>
          <cell r="D611" t="str">
            <v>Облигации</v>
          </cell>
          <cell r="E611" t="str">
            <v>ТОО "Ломбард "GoldFinMarket"</v>
          </cell>
          <cell r="F611">
            <v>99.996140874653008</v>
          </cell>
          <cell r="G611">
            <v>104.21284087465301</v>
          </cell>
        </row>
        <row r="612">
          <cell r="C612" t="str">
            <v>KZ2P00010283</v>
          </cell>
          <cell r="D612" t="str">
            <v>Облигации</v>
          </cell>
          <cell r="E612" t="str">
            <v>ТОО "Ломбард Прогресс"</v>
          </cell>
          <cell r="F612">
            <v>100.02505204350781</v>
          </cell>
          <cell r="G612">
            <v>104.89175204350781</v>
          </cell>
        </row>
        <row r="613">
          <cell r="C613" t="str">
            <v>KZ2P00012479</v>
          </cell>
          <cell r="D613" t="str">
            <v>Облигации</v>
          </cell>
          <cell r="E613" t="str">
            <v>ТОО "Ломбард Прогресс"</v>
          </cell>
          <cell r="F613">
            <v>96.781716642642436</v>
          </cell>
          <cell r="G613">
            <v>99.837316642642435</v>
          </cell>
        </row>
        <row r="614">
          <cell r="C614" t="str">
            <v>KZ2P00011968</v>
          </cell>
          <cell r="D614" t="str">
            <v>Облигации</v>
          </cell>
          <cell r="E614" t="str">
            <v>ТОО "МФО "MyCar Finance"</v>
          </cell>
          <cell r="F614">
            <v>97.899900000000002</v>
          </cell>
          <cell r="G614">
            <v>98.920699999999997</v>
          </cell>
        </row>
        <row r="615">
          <cell r="C615" t="str">
            <v>KZ2P00015928</v>
          </cell>
          <cell r="D615" t="str">
            <v>Облигации</v>
          </cell>
          <cell r="E615" t="str">
            <v>ТОО "МФО "Казахстанская Микрофинансовая Компания"</v>
          </cell>
          <cell r="F615">
            <v>122.4354746272209</v>
          </cell>
          <cell r="G615">
            <v>123.1021746272209</v>
          </cell>
        </row>
        <row r="616">
          <cell r="C616" t="str">
            <v>KZ2P00012651</v>
          </cell>
          <cell r="D616" t="str">
            <v>Облигации</v>
          </cell>
          <cell r="E616" t="str">
            <v>ТОО "МФО "Mogo Kazakhstan (Мого Казахстан)"</v>
          </cell>
          <cell r="F616">
            <v>101.18880824827906</v>
          </cell>
          <cell r="G616">
            <v>101.95550824827906</v>
          </cell>
        </row>
        <row r="617">
          <cell r="C617" t="str">
            <v>KZ2P00012925</v>
          </cell>
          <cell r="D617" t="str">
            <v>Облигации</v>
          </cell>
          <cell r="E617" t="str">
            <v>ТОО "МФО "Mogo Kazakhstan (Мого Казахстан)"</v>
          </cell>
          <cell r="F617">
            <v>100.07591802542981</v>
          </cell>
          <cell r="G617">
            <v>101.42031802542981</v>
          </cell>
        </row>
        <row r="618">
          <cell r="C618" t="str">
            <v>KZ2P00012933</v>
          </cell>
          <cell r="D618" t="str">
            <v>Облигации</v>
          </cell>
          <cell r="E618" t="str">
            <v>ТОО "МФО "Mogo Kazakhstan (Мого Казахстан)"</v>
          </cell>
          <cell r="F618">
            <v>100.12987350922961</v>
          </cell>
          <cell r="G618">
            <v>100.49657350922961</v>
          </cell>
        </row>
        <row r="619">
          <cell r="C619" t="str">
            <v>KZ2P00012941</v>
          </cell>
          <cell r="D619" t="str">
            <v>Облигации</v>
          </cell>
          <cell r="E619" t="str">
            <v>ТОО "МФО "Mogo Kazakhstan (Мого Казахстан)"</v>
          </cell>
          <cell r="F619">
            <v>100.13525974080996</v>
          </cell>
          <cell r="G619">
            <v>101.11305974080996</v>
          </cell>
        </row>
        <row r="620">
          <cell r="C620" t="str">
            <v>KZ2P00013287</v>
          </cell>
          <cell r="D620" t="str">
            <v>Облигации</v>
          </cell>
          <cell r="E620" t="str">
            <v>ТОО "МФО "Mogo Kazakhstan (Мого Казахстан)"</v>
          </cell>
          <cell r="F620">
            <v>102.06994912741244</v>
          </cell>
          <cell r="G620">
            <v>102.06994912741244</v>
          </cell>
        </row>
        <row r="621">
          <cell r="C621" t="str">
            <v>KZ2P00013295</v>
          </cell>
          <cell r="D621" t="str">
            <v>Облигации</v>
          </cell>
          <cell r="E621" t="str">
            <v>ТОО "МФО "Mogo Kazakhstan (Мого Казахстан)"</v>
          </cell>
          <cell r="F621">
            <v>99</v>
          </cell>
          <cell r="G621">
            <v>100.0389</v>
          </cell>
        </row>
        <row r="622">
          <cell r="C622" t="str">
            <v>KZ2P00013303</v>
          </cell>
          <cell r="D622" t="str">
            <v>Облигации</v>
          </cell>
          <cell r="E622" t="str">
            <v>ТОО "МФО "Mogo Kazakhstan (Мого Казахстан)"</v>
          </cell>
          <cell r="F622">
            <v>100.20997609642329</v>
          </cell>
          <cell r="G622">
            <v>101.0432760964233</v>
          </cell>
        </row>
        <row r="623">
          <cell r="C623" t="str">
            <v>KZ2P00013329</v>
          </cell>
          <cell r="D623" t="str">
            <v>Облигации</v>
          </cell>
          <cell r="E623" t="str">
            <v>ТОО "МФО "Mogo Kazakhstan (Мого Казахстан)"</v>
          </cell>
          <cell r="F623">
            <v>100.25541134172396</v>
          </cell>
          <cell r="G623">
            <v>100.72211134172396</v>
          </cell>
        </row>
        <row r="624">
          <cell r="C624" t="str">
            <v>KZ2P00013444</v>
          </cell>
          <cell r="D624" t="str">
            <v>Облигации</v>
          </cell>
          <cell r="E624" t="str">
            <v>ТОО "МФО "Mogo Kazakhstan (Мого Казахстан)"</v>
          </cell>
          <cell r="F624">
            <v>100.15822939627556</v>
          </cell>
          <cell r="G624">
            <v>100.70822939627556</v>
          </cell>
        </row>
        <row r="625">
          <cell r="C625" t="str">
            <v>KZ2P00013451</v>
          </cell>
          <cell r="D625" t="str">
            <v>Облигации</v>
          </cell>
          <cell r="E625" t="str">
            <v>ТОО "МФО "Mogo Kazakhstan (Мого Казахстан)"</v>
          </cell>
          <cell r="F625">
            <v>100.28076700843491</v>
          </cell>
          <cell r="G625">
            <v>100.54746700843491</v>
          </cell>
        </row>
        <row r="626">
          <cell r="C626" t="str">
            <v>KZ2P00013469</v>
          </cell>
          <cell r="D626" t="str">
            <v>Облигации</v>
          </cell>
          <cell r="E626" t="str">
            <v>ТОО "МФО "Mogo Kazakhstan (Мого Казахстан)"</v>
          </cell>
          <cell r="F626">
            <v>100.28076700843491</v>
          </cell>
          <cell r="G626">
            <v>100.54746700843491</v>
          </cell>
        </row>
        <row r="627">
          <cell r="C627" t="str">
            <v>KZ2P00013642</v>
          </cell>
          <cell r="D627" t="str">
            <v>Облигации</v>
          </cell>
          <cell r="E627" t="str">
            <v>ТОО "МФО "Mogo Kazakhstan (Мого Казахстан)"</v>
          </cell>
          <cell r="F627">
            <v>100.45611494899892</v>
          </cell>
          <cell r="G627">
            <v>100.55611494899891</v>
          </cell>
        </row>
        <row r="628">
          <cell r="C628" t="str">
            <v>KZ2P00013659</v>
          </cell>
          <cell r="D628" t="str">
            <v>Облигации</v>
          </cell>
          <cell r="E628" t="str">
            <v>ТОО "МФО "Mogo Kazakhstan (Мого Казахстан)"</v>
          </cell>
          <cell r="F628">
            <v>100.67170353038847</v>
          </cell>
          <cell r="G628">
            <v>101.07170353038846</v>
          </cell>
        </row>
        <row r="629">
          <cell r="C629" t="str">
            <v>KZ2P00013154</v>
          </cell>
          <cell r="D629" t="str">
            <v>Облигации</v>
          </cell>
          <cell r="E629" t="str">
            <v>ТОО "МФО "Mogo Kazakhstan (Мого Казахстан)"</v>
          </cell>
          <cell r="F629">
            <v>99.469222338531168</v>
          </cell>
          <cell r="G629">
            <v>100.63032233853117</v>
          </cell>
        </row>
        <row r="630">
          <cell r="C630" t="str">
            <v>KZ2P00013212</v>
          </cell>
          <cell r="D630" t="str">
            <v>Облигации</v>
          </cell>
          <cell r="E630" t="str">
            <v>ТОО "МФО "Mogo Kazakhstan (Мого Казахстан)"</v>
          </cell>
          <cell r="F630">
            <v>98.688400000000001</v>
          </cell>
          <cell r="G630">
            <v>98.871700000000004</v>
          </cell>
        </row>
        <row r="631">
          <cell r="C631" t="str">
            <v>KZ2P00013220</v>
          </cell>
          <cell r="D631" t="str">
            <v>Облигации</v>
          </cell>
          <cell r="E631" t="str">
            <v>ТОО "МФО "Mogo Kazakhstan (Мого Казахстан)"</v>
          </cell>
          <cell r="F631">
            <v>99.000100000000003</v>
          </cell>
          <cell r="G631">
            <v>100.46680000000001</v>
          </cell>
        </row>
        <row r="632">
          <cell r="C632" t="str">
            <v>KZ2P00013204</v>
          </cell>
          <cell r="D632" t="str">
            <v>Облигации</v>
          </cell>
          <cell r="E632" t="str">
            <v>ТОО "МФО "Mogo Kazakhstan (Мого Казахстан)"</v>
          </cell>
          <cell r="F632">
            <v>102.0376424493399</v>
          </cell>
          <cell r="G632">
            <v>102.67094244933989</v>
          </cell>
        </row>
        <row r="633">
          <cell r="C633" t="str">
            <v>KZ2P00013345</v>
          </cell>
          <cell r="D633" t="str">
            <v>Облигации</v>
          </cell>
          <cell r="E633" t="str">
            <v>ТОО "МФО "Mogo Kazakhstan (Мого Казахстан)"</v>
          </cell>
          <cell r="F633">
            <v>102.20499427661768</v>
          </cell>
          <cell r="G633">
            <v>102.27169427661768</v>
          </cell>
        </row>
        <row r="634">
          <cell r="C634" t="str">
            <v>KZ2P00013352</v>
          </cell>
          <cell r="D634" t="str">
            <v>Облигации</v>
          </cell>
          <cell r="E634" t="str">
            <v>ТОО "МФО "Mogo Kazakhstan (Мого Казахстан)"</v>
          </cell>
          <cell r="F634">
            <v>102.15237656231376</v>
          </cell>
          <cell r="G634">
            <v>102.65237656231376</v>
          </cell>
        </row>
        <row r="635">
          <cell r="C635" t="str">
            <v>KZ2P00014459</v>
          </cell>
          <cell r="D635" t="str">
            <v>Облигации</v>
          </cell>
          <cell r="E635" t="str">
            <v>ТОО "МФО "Mogo Kazakhstan (Мого Казахстан)"</v>
          </cell>
          <cell r="F635">
            <v>99.979900000000001</v>
          </cell>
          <cell r="G635">
            <v>101.7521</v>
          </cell>
        </row>
        <row r="636">
          <cell r="C636" t="str">
            <v>KZ2P00014590</v>
          </cell>
          <cell r="D636" t="str">
            <v>Облигации</v>
          </cell>
          <cell r="E636" t="str">
            <v>ТОО "МФО "Mogo Kazakhstan (Мого Казахстан)"</v>
          </cell>
          <cell r="F636">
            <v>99.699925763378502</v>
          </cell>
          <cell r="G636">
            <v>100.15822576337851</v>
          </cell>
        </row>
        <row r="637">
          <cell r="C637" t="str">
            <v>KZ2P00014608</v>
          </cell>
          <cell r="D637" t="str">
            <v>Облигации</v>
          </cell>
          <cell r="E637" t="str">
            <v>ТОО "МФО "Mogo Kazakhstan (Мого Казахстан)"</v>
          </cell>
          <cell r="F637">
            <v>100</v>
          </cell>
          <cell r="G637">
            <v>100.4889</v>
          </cell>
        </row>
        <row r="638">
          <cell r="C638" t="str">
            <v>KZ2P00012305</v>
          </cell>
          <cell r="D638" t="str">
            <v>Облигации</v>
          </cell>
          <cell r="E638" t="str">
            <v>ТОО "МФО "Mogo Kazakhstan (Мого Казахстан)"</v>
          </cell>
          <cell r="F638">
            <v>99.965918886115418</v>
          </cell>
          <cell r="G638">
            <v>101.73811888611542</v>
          </cell>
        </row>
        <row r="639">
          <cell r="C639" t="str">
            <v>KZ2P00007420</v>
          </cell>
          <cell r="D639" t="str">
            <v>Облигации</v>
          </cell>
          <cell r="E639" t="str">
            <v>ТОО "МФО "НИЕТ Кредит"</v>
          </cell>
          <cell r="F639">
            <v>100</v>
          </cell>
          <cell r="G639">
            <v>102.9944</v>
          </cell>
        </row>
        <row r="640">
          <cell r="C640" t="str">
            <v>KZ2C00010478</v>
          </cell>
          <cell r="D640" t="str">
            <v>Облигации</v>
          </cell>
          <cell r="E640" t="str">
            <v>АО "МФО ОнлайнКазФинанс"</v>
          </cell>
          <cell r="F640">
            <v>99.852230451199588</v>
          </cell>
          <cell r="G640">
            <v>100.35223045119959</v>
          </cell>
        </row>
        <row r="641">
          <cell r="C641" t="str">
            <v>KZ2C00010825</v>
          </cell>
          <cell r="D641" t="str">
            <v>Облигации</v>
          </cell>
          <cell r="E641" t="str">
            <v>АО "МФО ОнлайнКазФинанс"</v>
          </cell>
          <cell r="F641">
            <v>99.063389322834112</v>
          </cell>
          <cell r="G641">
            <v>99.535589322834113</v>
          </cell>
        </row>
        <row r="642">
          <cell r="C642" t="str">
            <v>KZ2C00010916</v>
          </cell>
          <cell r="D642" t="str">
            <v>Облигации</v>
          </cell>
          <cell r="E642" t="str">
            <v>АО "МФО ОнлайнКазФинанс"</v>
          </cell>
          <cell r="F642">
            <v>100.00391603298536</v>
          </cell>
          <cell r="G642">
            <v>101.22331603298537</v>
          </cell>
        </row>
        <row r="643">
          <cell r="C643" t="str">
            <v>KZ2C00011906</v>
          </cell>
          <cell r="D643" t="str">
            <v>Облигации</v>
          </cell>
          <cell r="E643" t="str">
            <v>АО "МФО ОнлайнКазФинанс"</v>
          </cell>
          <cell r="F643">
            <v>97.769074391875449</v>
          </cell>
          <cell r="G643">
            <v>98.138474391875448</v>
          </cell>
        </row>
        <row r="644">
          <cell r="C644" t="str">
            <v>KZ2C00011914</v>
          </cell>
          <cell r="D644" t="str">
            <v>Облигации</v>
          </cell>
          <cell r="E644" t="str">
            <v>АО "МФО ОнлайнКазФинанс"</v>
          </cell>
          <cell r="F644">
            <v>98.389509566669432</v>
          </cell>
          <cell r="G644">
            <v>99.128409566669433</v>
          </cell>
        </row>
        <row r="645">
          <cell r="C645" t="str">
            <v>KZ2C00013241</v>
          </cell>
          <cell r="D645" t="str">
            <v>Облигации</v>
          </cell>
          <cell r="E645" t="str">
            <v>АО "МФО ОнлайнКазФинанс"</v>
          </cell>
          <cell r="F645">
            <v>101.24797829096671</v>
          </cell>
          <cell r="G645">
            <v>102.18127829096672</v>
          </cell>
        </row>
        <row r="646">
          <cell r="C646" t="str">
            <v>KZ2C00013258</v>
          </cell>
          <cell r="D646" t="str">
            <v>Облигации</v>
          </cell>
          <cell r="E646" t="str">
            <v>АО "МФО ОнлайнКазФинанс"</v>
          </cell>
          <cell r="F646">
            <v>100</v>
          </cell>
          <cell r="G646">
            <v>101.3417</v>
          </cell>
        </row>
        <row r="647">
          <cell r="C647" t="str">
            <v>KZ2C00013266</v>
          </cell>
          <cell r="D647" t="str">
            <v>Облигации</v>
          </cell>
          <cell r="E647" t="str">
            <v>АО "МФО ОнлайнКазФинанс"</v>
          </cell>
          <cell r="F647">
            <v>102.46121363182287</v>
          </cell>
          <cell r="G647">
            <v>102.76121363182287</v>
          </cell>
        </row>
        <row r="648">
          <cell r="C648" t="str">
            <v>KZ2C00013274</v>
          </cell>
          <cell r="D648" t="str">
            <v>Облигации</v>
          </cell>
          <cell r="E648" t="str">
            <v>АО "МФО ОнлайнКазФинанс"</v>
          </cell>
          <cell r="F648">
            <v>100.8000669215061</v>
          </cell>
          <cell r="G648">
            <v>101.6763669215061</v>
          </cell>
        </row>
        <row r="649">
          <cell r="C649" t="str">
            <v>KZ2C00010833</v>
          </cell>
          <cell r="D649" t="str">
            <v>Облигации</v>
          </cell>
          <cell r="E649" t="str">
            <v>АО "МФО ОнлайнКазФинанс"</v>
          </cell>
          <cell r="F649">
            <v>99.891494291401997</v>
          </cell>
          <cell r="G649">
            <v>100.363694291402</v>
          </cell>
        </row>
        <row r="650">
          <cell r="C650" t="str">
            <v>KZ2C00015568</v>
          </cell>
          <cell r="D650" t="str">
            <v>Облигации</v>
          </cell>
          <cell r="E650" t="str">
            <v>АО "МФО ОнлайнКазФинанс"</v>
          </cell>
          <cell r="F650">
            <v>105.09670528783317</v>
          </cell>
          <cell r="G650">
            <v>105.99110528783316</v>
          </cell>
        </row>
        <row r="651">
          <cell r="C651" t="str">
            <v>KZ2C00015576</v>
          </cell>
          <cell r="D651" t="str">
            <v>Облигации</v>
          </cell>
          <cell r="E651" t="str">
            <v>АО "МФО ОнлайнКазФинанс"</v>
          </cell>
          <cell r="F651">
            <v>105.31713796572127</v>
          </cell>
          <cell r="G651">
            <v>106.21153796572128</v>
          </cell>
        </row>
        <row r="652">
          <cell r="C652" t="str">
            <v>KZ2P00010291</v>
          </cell>
          <cell r="D652" t="str">
            <v>Облигации</v>
          </cell>
          <cell r="E652" t="str">
            <v>ТОО МФО "Робокэш.кз"</v>
          </cell>
          <cell r="F652">
            <v>100.45113198973797</v>
          </cell>
          <cell r="G652">
            <v>101.00673198973797</v>
          </cell>
        </row>
        <row r="653">
          <cell r="C653" t="str">
            <v>KZ2P00010937</v>
          </cell>
          <cell r="D653" t="str">
            <v>Облигации</v>
          </cell>
          <cell r="E653" t="str">
            <v>ТОО "Микрофинансовая организация "R-Finance"</v>
          </cell>
          <cell r="F653">
            <v>99.996700000000004</v>
          </cell>
          <cell r="G653">
            <v>101.84950000000001</v>
          </cell>
        </row>
        <row r="654">
          <cell r="C654" t="str">
            <v>KZ2P00011398</v>
          </cell>
          <cell r="D654" t="str">
            <v>Облигации</v>
          </cell>
          <cell r="E654" t="str">
            <v>ТОО "Микрофинансовая организация "R-Finance"</v>
          </cell>
          <cell r="F654">
            <v>100.2</v>
          </cell>
          <cell r="G654">
            <v>100.2</v>
          </cell>
        </row>
        <row r="655">
          <cell r="C655" t="str">
            <v>KZ2P00011687</v>
          </cell>
          <cell r="D655" t="str">
            <v>Облигации</v>
          </cell>
          <cell r="E655" t="str">
            <v>ТОО "Микрофинансовая организация "R-Finance"</v>
          </cell>
          <cell r="F655">
            <v>95.215432857495045</v>
          </cell>
          <cell r="G655">
            <v>95.507132857495051</v>
          </cell>
        </row>
        <row r="656">
          <cell r="C656" t="str">
            <v>KZ2P00013063</v>
          </cell>
          <cell r="D656" t="str">
            <v>Облигации</v>
          </cell>
          <cell r="E656" t="str">
            <v>ТОО "Микрофинансовая организация "R-Finance"</v>
          </cell>
          <cell r="F656">
            <v>90.097063204603444</v>
          </cell>
          <cell r="G656">
            <v>90.505363204603455</v>
          </cell>
        </row>
        <row r="657">
          <cell r="C657" t="str">
            <v>KZ2P00014012</v>
          </cell>
          <cell r="D657" t="str">
            <v>Облигации</v>
          </cell>
          <cell r="E657" t="str">
            <v>ТОО "Микрофинансовая организация "R-Finance"</v>
          </cell>
          <cell r="F657">
            <v>96.60545983776278</v>
          </cell>
          <cell r="G657">
            <v>97.344359837762767</v>
          </cell>
        </row>
        <row r="658">
          <cell r="C658" t="str">
            <v>KZ2P00013998</v>
          </cell>
          <cell r="D658" t="str">
            <v>Облигации</v>
          </cell>
          <cell r="E658" t="str">
            <v>ТОО "Микрофинансовая организация "R-Finance"</v>
          </cell>
          <cell r="F658">
            <v>93.58362132558986</v>
          </cell>
          <cell r="G658">
            <v>94.378021325589856</v>
          </cell>
        </row>
        <row r="659">
          <cell r="C659" t="str">
            <v>KZ2P00014004</v>
          </cell>
          <cell r="D659" t="str">
            <v>Облигации</v>
          </cell>
          <cell r="E659" t="str">
            <v>ТОО "Микрофинансовая организация "R-Finance"</v>
          </cell>
          <cell r="F659">
            <v>89.415261463657103</v>
          </cell>
          <cell r="G659">
            <v>89.940261463657109</v>
          </cell>
        </row>
        <row r="660">
          <cell r="C660" t="str">
            <v>KZ2P00014723</v>
          </cell>
          <cell r="D660" t="str">
            <v>Облигации</v>
          </cell>
          <cell r="E660" t="str">
            <v>ТОО "Микрофинансовая организация "R-Finance"</v>
          </cell>
          <cell r="F660">
            <v>93.41756300857385</v>
          </cell>
          <cell r="G660">
            <v>95.067563008573842</v>
          </cell>
        </row>
        <row r="661">
          <cell r="C661" t="str">
            <v>KZ2P00015845</v>
          </cell>
          <cell r="D661" t="str">
            <v>Облигации</v>
          </cell>
          <cell r="E661" t="str">
            <v>ТОО "Микрофинансовая организация "R-Finance"</v>
          </cell>
          <cell r="F661">
            <v>95.427468421034533</v>
          </cell>
          <cell r="G661">
            <v>96.130268421034543</v>
          </cell>
        </row>
        <row r="662">
          <cell r="C662" t="str">
            <v>KZ2P00008766</v>
          </cell>
          <cell r="D662" t="str">
            <v>Облигации</v>
          </cell>
          <cell r="E662" t="str">
            <v>ТОО "Микрофинансовая организация "R-Finance"</v>
          </cell>
          <cell r="F662">
            <v>100.71097041263783</v>
          </cell>
          <cell r="G662">
            <v>101.19707041263783</v>
          </cell>
        </row>
        <row r="663">
          <cell r="C663" t="str">
            <v>KZ2P00010366</v>
          </cell>
          <cell r="D663" t="str">
            <v>Облигации</v>
          </cell>
          <cell r="E663" t="str">
            <v>ТОО "Микрофинансовая организация "R-Finance"</v>
          </cell>
          <cell r="F663">
            <v>98.187960197052846</v>
          </cell>
          <cell r="G663">
            <v>99.64626019705284</v>
          </cell>
        </row>
        <row r="664">
          <cell r="C664" t="str">
            <v>KZ2P00008204</v>
          </cell>
          <cell r="D664" t="str">
            <v>Акции</v>
          </cell>
          <cell r="E664" t="str">
            <v>ТОО "МФО "Rangeld Finance"</v>
          </cell>
          <cell r="F664">
            <v>1000</v>
          </cell>
          <cell r="G664">
            <v>1000</v>
          </cell>
        </row>
        <row r="665">
          <cell r="C665" t="str">
            <v>KZ2P00011497</v>
          </cell>
          <cell r="D665" t="str">
            <v>Облигации</v>
          </cell>
          <cell r="E665" t="str">
            <v>ТОО "МФО "Swiss Capital (Свисс Капитал)"</v>
          </cell>
          <cell r="F665">
            <v>100</v>
          </cell>
          <cell r="G665">
            <v>100.58329999999999</v>
          </cell>
        </row>
        <row r="666">
          <cell r="C666" t="str">
            <v>KZ2P00011638</v>
          </cell>
          <cell r="D666" t="str">
            <v>Облигации</v>
          </cell>
          <cell r="E666" t="str">
            <v>ТОО "МФО "Swiss Capital (Свисс Капитал)"</v>
          </cell>
          <cell r="F666">
            <v>91.741152091298304</v>
          </cell>
          <cell r="G666">
            <v>92.032852091298295</v>
          </cell>
        </row>
        <row r="667">
          <cell r="C667" t="str">
            <v>KZ2P00015746</v>
          </cell>
          <cell r="D667" t="str">
            <v>Облигации</v>
          </cell>
          <cell r="E667" t="str">
            <v>ТОО "МФО "Swiss Capital (Свисс Капитал)"</v>
          </cell>
          <cell r="F667">
            <v>88.76663395437528</v>
          </cell>
          <cell r="G667">
            <v>88.97083395437528</v>
          </cell>
        </row>
        <row r="668">
          <cell r="C668" t="str">
            <v>KZ2P00015738</v>
          </cell>
          <cell r="D668" t="str">
            <v>Акции</v>
          </cell>
          <cell r="E668" t="str">
            <v>ТОО "МФО "Swiss Capital (Свисс Капитал)"</v>
          </cell>
          <cell r="F668">
            <v>51846</v>
          </cell>
          <cell r="G668">
            <v>51846</v>
          </cell>
        </row>
        <row r="669">
          <cell r="C669" t="str">
            <v>KZ2P00015712</v>
          </cell>
          <cell r="D669" t="str">
            <v>Облигации</v>
          </cell>
          <cell r="E669" t="str">
            <v>ТОО "МФО "Swiss Capital (Свисс Капитал)"</v>
          </cell>
          <cell r="F669">
            <v>99.376999999999995</v>
          </cell>
          <cell r="G669">
            <v>99.914500000000004</v>
          </cell>
        </row>
        <row r="670">
          <cell r="C670" t="str">
            <v>KZ2P00015720</v>
          </cell>
          <cell r="D670" t="str">
            <v>Акции</v>
          </cell>
          <cell r="E670" t="str">
            <v>ТОО "МФО "Swiss Capital (Свисс Капитал)"</v>
          </cell>
          <cell r="F670">
            <v>1000</v>
          </cell>
          <cell r="G670">
            <v>1000</v>
          </cell>
        </row>
        <row r="671">
          <cell r="C671" t="str">
            <v>KZ2P00015308</v>
          </cell>
          <cell r="D671" t="str">
            <v>Облигации</v>
          </cell>
          <cell r="E671" t="str">
            <v>ТОО "МФО "Смартолет Финанс"</v>
          </cell>
          <cell r="F671">
            <v>101.91478176703301</v>
          </cell>
          <cell r="G671">
            <v>102.159181767033</v>
          </cell>
        </row>
        <row r="672">
          <cell r="C672" t="str">
            <v>KZ2P00015316</v>
          </cell>
          <cell r="D672" t="str">
            <v>Облигации</v>
          </cell>
          <cell r="E672" t="str">
            <v>ТОО "МФО "Смартолет Финанс"</v>
          </cell>
          <cell r="F672">
            <v>100</v>
          </cell>
          <cell r="G672">
            <v>100.33329999999999</v>
          </cell>
        </row>
        <row r="673">
          <cell r="C673" t="str">
            <v>KZ2P00013402</v>
          </cell>
          <cell r="D673" t="str">
            <v>Облигации</v>
          </cell>
          <cell r="E673" t="str">
            <v>ТОО "Сейф-Ломбард"</v>
          </cell>
          <cell r="F673">
            <v>99.312002078158628</v>
          </cell>
          <cell r="G673">
            <v>103.53420207815863</v>
          </cell>
        </row>
        <row r="674">
          <cell r="C674" t="str">
            <v>KZ2P00014491</v>
          </cell>
          <cell r="D674" t="str">
            <v>Облигации</v>
          </cell>
          <cell r="E674" t="str">
            <v>ТОО "Сейф-Ломбард"</v>
          </cell>
          <cell r="F674">
            <v>99.540117331993329</v>
          </cell>
          <cell r="G674">
            <v>100.76511733199334</v>
          </cell>
        </row>
        <row r="675">
          <cell r="C675" t="str">
            <v>KZ2P00014566</v>
          </cell>
          <cell r="D675" t="str">
            <v>Облигации</v>
          </cell>
          <cell r="E675" t="str">
            <v>ТОО "Сейф-Ломбард"</v>
          </cell>
          <cell r="F675">
            <v>99.631358600120677</v>
          </cell>
          <cell r="G675">
            <v>102.43135860012067</v>
          </cell>
        </row>
        <row r="676">
          <cell r="C676" t="str">
            <v>KZ2P00011729</v>
          </cell>
          <cell r="D676" t="str">
            <v>Облигации</v>
          </cell>
          <cell r="E676" t="str">
            <v>ТОО "Сейф-Ломбард"</v>
          </cell>
          <cell r="F676">
            <v>99.285625836894667</v>
          </cell>
          <cell r="G676">
            <v>102.96062583689468</v>
          </cell>
        </row>
        <row r="677">
          <cell r="C677" t="str">
            <v>KZ2P00012313</v>
          </cell>
          <cell r="D677" t="str">
            <v>Облигации</v>
          </cell>
          <cell r="E677" t="str">
            <v>ТОО "Сейф-Ломбард"</v>
          </cell>
          <cell r="F677">
            <v>99.872043891101029</v>
          </cell>
          <cell r="G677">
            <v>102.78874389110102</v>
          </cell>
        </row>
        <row r="678">
          <cell r="C678" t="str">
            <v>KZ2P00012339</v>
          </cell>
          <cell r="D678" t="str">
            <v>Облигации</v>
          </cell>
          <cell r="E678" t="str">
            <v>ТОО "Сейф-Ломбард"</v>
          </cell>
          <cell r="F678">
            <v>99.605042813657718</v>
          </cell>
          <cell r="G678">
            <v>102.52174281365771</v>
          </cell>
        </row>
        <row r="679">
          <cell r="C679" t="str">
            <v>KZ2P00012362</v>
          </cell>
          <cell r="D679" t="str">
            <v>Акции</v>
          </cell>
          <cell r="E679" t="str">
            <v>ТОО "Сейф-Ломбард"</v>
          </cell>
          <cell r="F679">
            <v>1000</v>
          </cell>
          <cell r="G679">
            <v>1000</v>
          </cell>
        </row>
        <row r="680">
          <cell r="C680" t="str">
            <v>KZ2P00012370</v>
          </cell>
          <cell r="D680" t="str">
            <v>Облигации</v>
          </cell>
          <cell r="E680" t="str">
            <v>ТОО "Сейф-Ломбард"</v>
          </cell>
          <cell r="F680">
            <v>97.58119335944096</v>
          </cell>
          <cell r="G680">
            <v>97.58119335944096</v>
          </cell>
        </row>
        <row r="681">
          <cell r="C681" t="str">
            <v>KZ2P00007776</v>
          </cell>
          <cell r="D681" t="str">
            <v>Облигации</v>
          </cell>
          <cell r="E681" t="str">
            <v>ТОО "МФО "Тойота Файнаншл Сервисез Казахстан"</v>
          </cell>
          <cell r="F681">
            <v>95.358900000000006</v>
          </cell>
          <cell r="G681">
            <v>99.392200000000003</v>
          </cell>
        </row>
        <row r="682">
          <cell r="C682" t="str">
            <v>KZ2P00011596</v>
          </cell>
          <cell r="D682" t="str">
            <v>Облигации</v>
          </cell>
          <cell r="E682" t="str">
            <v>ТОО "МФО "Тойота Файнаншл Сервисез Казахстан"</v>
          </cell>
          <cell r="F682">
            <v>89.932929662579781</v>
          </cell>
          <cell r="G682">
            <v>94.988529662579779</v>
          </cell>
        </row>
        <row r="683">
          <cell r="C683" t="str">
            <v>KZ2P00011976</v>
          </cell>
          <cell r="D683" t="str">
            <v>Акции</v>
          </cell>
          <cell r="E683" t="str">
            <v>ТОО "МФО "Тойота Файнаншл Сервисез Казахстан"</v>
          </cell>
          <cell r="F683">
            <v>1003</v>
          </cell>
          <cell r="G683">
            <v>1003</v>
          </cell>
        </row>
        <row r="684">
          <cell r="C684" t="str">
            <v>KZ2P00013782</v>
          </cell>
          <cell r="D684" t="str">
            <v>Акции</v>
          </cell>
          <cell r="E684" t="str">
            <v>ТОО "МФО "Тойота Файнаншл Сервисез Казахстан"</v>
          </cell>
          <cell r="F684">
            <v>100.62</v>
          </cell>
          <cell r="G684">
            <v>100.62</v>
          </cell>
        </row>
        <row r="685">
          <cell r="C685" t="str">
            <v>KZ2P00014442</v>
          </cell>
          <cell r="D685" t="str">
            <v>Акции</v>
          </cell>
          <cell r="E685" t="str">
            <v>ТОО "МФО "Тойота Файнаншл Сервисез Казахстан"</v>
          </cell>
          <cell r="F685">
            <v>1075.68</v>
          </cell>
          <cell r="G685">
            <v>1075.68</v>
          </cell>
        </row>
        <row r="686">
          <cell r="C686" t="str">
            <v>KZ2P00010580</v>
          </cell>
          <cell r="D686" t="str">
            <v>Облигации</v>
          </cell>
          <cell r="E686" t="str">
            <v>ТОО "МФО "TAS FINANCE GROUP" (ТАС ФИНАНС ГРУПП)</v>
          </cell>
          <cell r="F686">
            <v>99.754876979484891</v>
          </cell>
          <cell r="G686">
            <v>104.70487697948488</v>
          </cell>
        </row>
        <row r="687">
          <cell r="C687" t="str">
            <v>KZ2P00010788</v>
          </cell>
          <cell r="D687" t="str">
            <v>Облигации</v>
          </cell>
          <cell r="E687" t="str">
            <v>ТОО "МФО "TAS FINANCE GROUP" (ТАС ФИНАНС ГРУПП)</v>
          </cell>
          <cell r="F687">
            <v>98.884900000000002</v>
          </cell>
          <cell r="G687">
            <v>101.5043</v>
          </cell>
        </row>
        <row r="688">
          <cell r="C688" t="str">
            <v>KZ2P00014400</v>
          </cell>
          <cell r="D688" t="str">
            <v>Облигации</v>
          </cell>
          <cell r="E688" t="str">
            <v>ТОО "МФО "TAS FINANCE GROUP" (ТАС ФИНАНС ГРУПП)</v>
          </cell>
          <cell r="F688">
            <v>98.111099999999993</v>
          </cell>
          <cell r="G688">
            <v>101.0278</v>
          </cell>
        </row>
        <row r="689">
          <cell r="C689" t="str">
            <v>KZ2P00011174</v>
          </cell>
          <cell r="D689" t="str">
            <v>Облигации</v>
          </cell>
          <cell r="E689" t="str">
            <v>ТОО "МФО "ЮНИКРЕДО"</v>
          </cell>
          <cell r="F689">
            <v>98.257156183197139</v>
          </cell>
          <cell r="G689">
            <v>101.03495618319714</v>
          </cell>
        </row>
        <row r="690">
          <cell r="C690" t="str">
            <v>KZ2P00013014</v>
          </cell>
          <cell r="D690" t="str">
            <v>Облигации</v>
          </cell>
          <cell r="E690" t="str">
            <v>ТОО "МФО "ЮНИКРЕДО"</v>
          </cell>
          <cell r="F690">
            <v>98.635842880373019</v>
          </cell>
          <cell r="G690">
            <v>101.38024288037302</v>
          </cell>
        </row>
        <row r="691">
          <cell r="C691" t="str">
            <v>KZ2P00013824</v>
          </cell>
          <cell r="D691" t="str">
            <v>Облигации</v>
          </cell>
          <cell r="E691" t="str">
            <v>ТОО "МФО "ЮНИКРЕДО"</v>
          </cell>
          <cell r="F691">
            <v>94.641759298768278</v>
          </cell>
          <cell r="G691">
            <v>98.919559298768277</v>
          </cell>
        </row>
        <row r="692">
          <cell r="C692" t="str">
            <v>KZ2P00015431</v>
          </cell>
          <cell r="D692" t="str">
            <v>Облигации</v>
          </cell>
          <cell r="E692" t="str">
            <v>ТОО "МФО "ЮНИКРЕДО"</v>
          </cell>
          <cell r="F692">
            <v>92.609392925674115</v>
          </cell>
          <cell r="G692">
            <v>94.351092925674109</v>
          </cell>
        </row>
        <row r="693">
          <cell r="C693" t="str">
            <v>KZMF00000895</v>
          </cell>
          <cell r="D693" t="str">
            <v>Облигации</v>
          </cell>
          <cell r="E693" t="str">
            <v>Акимат Мангистауской области</v>
          </cell>
          <cell r="F693">
            <v>100</v>
          </cell>
          <cell r="G693">
            <v>100.0067</v>
          </cell>
        </row>
        <row r="694">
          <cell r="C694" t="str">
            <v>KZMF00000838</v>
          </cell>
          <cell r="D694" t="str">
            <v>Облигации</v>
          </cell>
          <cell r="E694" t="str">
            <v>Акимат Мангистауской области</v>
          </cell>
          <cell r="F694">
            <v>100</v>
          </cell>
          <cell r="G694">
            <v>100.0986</v>
          </cell>
        </row>
        <row r="695">
          <cell r="C695" t="str">
            <v>KZMF00000093</v>
          </cell>
          <cell r="D695" t="str">
            <v>Облигации</v>
          </cell>
          <cell r="E695" t="str">
            <v>Акимат Мангистауской области</v>
          </cell>
          <cell r="F695">
            <v>100</v>
          </cell>
          <cell r="G695">
            <v>102.7111</v>
          </cell>
        </row>
        <row r="696">
          <cell r="C696" t="str">
            <v>KZMF00000770</v>
          </cell>
          <cell r="D696" t="str">
            <v>Облигации</v>
          </cell>
          <cell r="E696" t="str">
            <v>Акимат Мангистауской области</v>
          </cell>
          <cell r="F696">
            <v>100</v>
          </cell>
          <cell r="G696">
            <v>100.74939999999999</v>
          </cell>
        </row>
        <row r="697">
          <cell r="C697" t="str">
            <v>KZMJ00002350</v>
          </cell>
          <cell r="D697" t="str">
            <v>Облигации</v>
          </cell>
          <cell r="E697" t="str">
            <v>Акимат Мангистауской области</v>
          </cell>
          <cell r="F697">
            <v>93.495326025988874</v>
          </cell>
          <cell r="G697">
            <v>99.814726025988875</v>
          </cell>
        </row>
        <row r="698">
          <cell r="C698" t="str">
            <v>KZMJ00002574</v>
          </cell>
          <cell r="D698" t="str">
            <v>Облигации</v>
          </cell>
          <cell r="E698" t="str">
            <v>Акимат Мангистауской области</v>
          </cell>
          <cell r="F698">
            <v>96.473388500954783</v>
          </cell>
          <cell r="G698">
            <v>101.51338850095478</v>
          </cell>
        </row>
        <row r="699">
          <cell r="C699" t="str">
            <v>KZMJ00002640</v>
          </cell>
          <cell r="D699" t="str">
            <v>Облигации</v>
          </cell>
          <cell r="E699" t="str">
            <v>Акимат Мангистауской области</v>
          </cell>
          <cell r="F699">
            <v>96.43662793730698</v>
          </cell>
          <cell r="G699">
            <v>101.26662793730698</v>
          </cell>
        </row>
        <row r="700">
          <cell r="C700" t="str">
            <v>KZMJ00002749</v>
          </cell>
          <cell r="D700" t="str">
            <v>Облигации</v>
          </cell>
          <cell r="E700" t="str">
            <v>Акимат Мангистауской области</v>
          </cell>
          <cell r="F700">
            <v>96.517299493850786</v>
          </cell>
          <cell r="G700">
            <v>100.13979949385079</v>
          </cell>
        </row>
        <row r="701">
          <cell r="C701" t="str">
            <v>KZMJ00002772</v>
          </cell>
          <cell r="D701" t="str">
            <v>Облигации</v>
          </cell>
          <cell r="E701" t="str">
            <v>Акимат Мангистауской области</v>
          </cell>
          <cell r="F701">
            <v>96.517299493850786</v>
          </cell>
          <cell r="G701">
            <v>100.13979949385079</v>
          </cell>
        </row>
        <row r="702">
          <cell r="C702" t="str">
            <v>KZMF00000846</v>
          </cell>
          <cell r="D702" t="str">
            <v>Облигации</v>
          </cell>
          <cell r="E702" t="str">
            <v>Акимат Мангистауской области</v>
          </cell>
          <cell r="F702">
            <v>100</v>
          </cell>
          <cell r="G702">
            <v>100.0847</v>
          </cell>
        </row>
        <row r="703">
          <cell r="C703" t="str">
            <v>KZMF00000234</v>
          </cell>
          <cell r="D703" t="str">
            <v>Облигации</v>
          </cell>
          <cell r="E703" t="str">
            <v>Акимат Мангистауской области</v>
          </cell>
          <cell r="F703">
            <v>100</v>
          </cell>
          <cell r="G703">
            <v>101.88079999999999</v>
          </cell>
        </row>
        <row r="704">
          <cell r="C704" t="str">
            <v>KZMF00000853</v>
          </cell>
          <cell r="D704" t="str">
            <v>Облигации</v>
          </cell>
          <cell r="E704" t="str">
            <v>Акимат Мангистауской области</v>
          </cell>
          <cell r="F704">
            <v>100</v>
          </cell>
          <cell r="G704">
            <v>100.0847</v>
          </cell>
        </row>
        <row r="705">
          <cell r="C705" t="str">
            <v>KZMF00000382</v>
          </cell>
          <cell r="D705" t="str">
            <v>Облигации</v>
          </cell>
          <cell r="E705" t="str">
            <v>Акимат Мангистауской области</v>
          </cell>
          <cell r="F705">
            <v>100</v>
          </cell>
          <cell r="G705">
            <v>100.7286</v>
          </cell>
        </row>
        <row r="706">
          <cell r="C706" t="str">
            <v>KZMF00000390</v>
          </cell>
          <cell r="D706" t="str">
            <v>Облигации</v>
          </cell>
          <cell r="E706" t="str">
            <v>Акимат Мангистауской области</v>
          </cell>
          <cell r="F706">
            <v>100</v>
          </cell>
          <cell r="G706">
            <v>100.7286</v>
          </cell>
        </row>
        <row r="707">
          <cell r="C707" t="str">
            <v>KZMF00000630</v>
          </cell>
          <cell r="D707" t="str">
            <v>Облигации</v>
          </cell>
          <cell r="E707" t="str">
            <v>Акимат Мангистауской области</v>
          </cell>
          <cell r="F707">
            <v>100</v>
          </cell>
          <cell r="G707">
            <v>105.69329999999999</v>
          </cell>
        </row>
        <row r="708">
          <cell r="C708" t="str">
            <v>KZ2P00014160</v>
          </cell>
          <cell r="D708" t="str">
            <v>Облигации</v>
          </cell>
          <cell r="E708" t="str">
            <v>ТОО "МеталлИнвестАтырау"</v>
          </cell>
          <cell r="F708">
            <v>100.37995412553448</v>
          </cell>
          <cell r="G708">
            <v>104.19935412553448</v>
          </cell>
        </row>
        <row r="709">
          <cell r="C709" t="str">
            <v>KZ2P00015803</v>
          </cell>
          <cell r="D709" t="str">
            <v>Облигации</v>
          </cell>
          <cell r="E709" t="str">
            <v>ТОО "МеталлИнвестАтырау"</v>
          </cell>
          <cell r="F709">
            <v>100.38822947131831</v>
          </cell>
          <cell r="G709">
            <v>101.51882947131831</v>
          </cell>
        </row>
        <row r="710">
          <cell r="C710" t="str">
            <v>KZ2P00014368</v>
          </cell>
          <cell r="D710" t="str">
            <v>Облигации</v>
          </cell>
          <cell r="E710" t="str">
            <v>ТОО "MARKET JET"</v>
          </cell>
          <cell r="F710">
            <v>101.47203062324449</v>
          </cell>
          <cell r="G710">
            <v>106.45533062324449</v>
          </cell>
        </row>
        <row r="711">
          <cell r="C711" t="str">
            <v>KZ1C00014422</v>
          </cell>
          <cell r="D711" t="str">
            <v>Акции</v>
          </cell>
          <cell r="E711" t="str">
            <v>АО "Майкубен-Вест"</v>
          </cell>
          <cell r="F711">
            <v>52664.62</v>
          </cell>
          <cell r="G711">
            <v>52664.62</v>
          </cell>
        </row>
        <row r="712">
          <cell r="C712" t="str">
            <v>KZK100000373</v>
          </cell>
          <cell r="D712" t="str">
            <v>Облигации</v>
          </cell>
          <cell r="E712" t="str">
            <v>Министерство финансов Республики Казахстан</v>
          </cell>
          <cell r="F712">
            <v>97.288899999999998</v>
          </cell>
          <cell r="G712">
            <v>97.288899999999998</v>
          </cell>
        </row>
        <row r="713">
          <cell r="C713" t="str">
            <v>KZK100000423</v>
          </cell>
          <cell r="D713" t="str">
            <v>Облигации</v>
          </cell>
          <cell r="E713" t="str">
            <v>Министерство финансов Республики Казахстан</v>
          </cell>
          <cell r="F713">
            <v>93.1905</v>
          </cell>
          <cell r="G713">
            <v>93.1905</v>
          </cell>
        </row>
        <row r="714">
          <cell r="C714" t="str">
            <v>KZ0009093696</v>
          </cell>
          <cell r="D714" t="str">
            <v>Акции</v>
          </cell>
          <cell r="E714" t="str">
            <v>АО "Мангистаумунайгаз"</v>
          </cell>
          <cell r="F714">
            <v>0.01</v>
          </cell>
          <cell r="G714">
            <v>0.01</v>
          </cell>
        </row>
        <row r="715">
          <cell r="C715" t="str">
            <v>KZ0009089736</v>
          </cell>
          <cell r="D715" t="str">
            <v>Акции</v>
          </cell>
          <cell r="E715" t="str">
            <v>АО "Мангистаумунайгаз"</v>
          </cell>
          <cell r="F715">
            <v>5695</v>
          </cell>
          <cell r="G715">
            <v>5695</v>
          </cell>
        </row>
        <row r="716">
          <cell r="C716" t="str">
            <v>KZ1C00012020</v>
          </cell>
          <cell r="D716" t="str">
            <v>Акции</v>
          </cell>
          <cell r="E716" t="str">
            <v>АО "Марганец Жайрема"</v>
          </cell>
          <cell r="F716">
            <v>13000</v>
          </cell>
          <cell r="G716">
            <v>13000</v>
          </cell>
        </row>
        <row r="717">
          <cell r="C717" t="str">
            <v>KZ2P00009012</v>
          </cell>
          <cell r="D717" t="str">
            <v>Облигации</v>
          </cell>
          <cell r="E717" t="str">
            <v>ТОО "Freedom Mobile"</v>
          </cell>
          <cell r="F717">
            <v>90.309652687802611</v>
          </cell>
          <cell r="G717">
            <v>91.426352687802606</v>
          </cell>
        </row>
        <row r="718">
          <cell r="C718" t="str">
            <v>KZK200000687</v>
          </cell>
          <cell r="D718" t="str">
            <v>Облигации</v>
          </cell>
          <cell r="E718" t="str">
            <v>Министерство финансов Республики Казахстан</v>
          </cell>
          <cell r="F718">
            <v>99.227699999999999</v>
          </cell>
          <cell r="G718">
            <v>103.19929999999999</v>
          </cell>
        </row>
        <row r="719">
          <cell r="C719" t="str">
            <v>KZK200000711</v>
          </cell>
          <cell r="D719" t="str">
            <v>Облигации</v>
          </cell>
          <cell r="E719" t="str">
            <v>Министерство финансов Республики Казахстан</v>
          </cell>
          <cell r="F719">
            <v>98.531000000000006</v>
          </cell>
          <cell r="G719">
            <v>104.6803</v>
          </cell>
        </row>
        <row r="720">
          <cell r="C720" t="str">
            <v>KZK200000729</v>
          </cell>
          <cell r="D720" t="str">
            <v>Облигации</v>
          </cell>
          <cell r="E720" t="str">
            <v>Министерство финансов Республики Казахстан</v>
          </cell>
          <cell r="F720">
            <v>97.990399999999994</v>
          </cell>
          <cell r="G720">
            <v>101.0407</v>
          </cell>
        </row>
        <row r="721">
          <cell r="C721" t="str">
            <v>KZK200000760</v>
          </cell>
          <cell r="D721" t="str">
            <v>Облигации</v>
          </cell>
          <cell r="E721" t="str">
            <v>Министерство финансов Республики Казахстан</v>
          </cell>
          <cell r="F721">
            <v>102.5604</v>
          </cell>
          <cell r="G721">
            <v>108.13590000000001</v>
          </cell>
        </row>
        <row r="722">
          <cell r="C722" t="str">
            <v>KZK200000679</v>
          </cell>
          <cell r="D722" t="str">
            <v>Облигации</v>
          </cell>
          <cell r="E722" t="str">
            <v>Министерство финансов Республики Казахстан</v>
          </cell>
          <cell r="F722">
            <v>96.238399999999999</v>
          </cell>
          <cell r="G722">
            <v>99.767600000000002</v>
          </cell>
        </row>
        <row r="723">
          <cell r="C723" t="str">
            <v>KZK200000737</v>
          </cell>
          <cell r="D723" t="str">
            <v>Облигации</v>
          </cell>
          <cell r="E723" t="str">
            <v>Министерство финансов Республики Казахстан</v>
          </cell>
          <cell r="F723">
            <v>98.248400000000004</v>
          </cell>
          <cell r="G723">
            <v>98.973299999999995</v>
          </cell>
        </row>
        <row r="724">
          <cell r="C724" t="str">
            <v>KZK200000778</v>
          </cell>
          <cell r="D724" t="str">
            <v>Облигации</v>
          </cell>
          <cell r="E724" t="str">
            <v>Министерство финансов Республики Казахстан</v>
          </cell>
          <cell r="F724">
            <v>103.5822</v>
          </cell>
          <cell r="G724">
            <v>106.2189</v>
          </cell>
        </row>
        <row r="725">
          <cell r="C725" t="str">
            <v>KZ2P00014673</v>
          </cell>
          <cell r="D725" t="str">
            <v>Облигации</v>
          </cell>
          <cell r="E725" t="str">
            <v>ТОО "Управляющая компания "Marden Property"</v>
          </cell>
          <cell r="F725">
            <v>100.01029446336339</v>
          </cell>
          <cell r="G725">
            <v>100.6769944633634</v>
          </cell>
        </row>
        <row r="726">
          <cell r="C726" t="str">
            <v>KZ1C00000413</v>
          </cell>
          <cell r="D726" t="str">
            <v>Акции</v>
          </cell>
          <cell r="E726" t="str">
            <v>АО "Мангистауская региональная электросетевая компания"</v>
          </cell>
          <cell r="F726">
            <v>0.01</v>
          </cell>
          <cell r="G726">
            <v>0.01</v>
          </cell>
        </row>
        <row r="727">
          <cell r="C727" t="str">
            <v>US60770K1079</v>
          </cell>
          <cell r="D727" t="str">
            <v>Акции</v>
          </cell>
          <cell r="E727" t="str">
            <v>Moderna</v>
          </cell>
          <cell r="F727">
            <v>12819.617050000001</v>
          </cell>
          <cell r="G727">
            <v>12819.617050000001</v>
          </cell>
        </row>
        <row r="728">
          <cell r="C728" t="str">
            <v>US5949181045</v>
          </cell>
          <cell r="D728" t="str">
            <v>Акции</v>
          </cell>
          <cell r="E728" t="str">
            <v xml:space="preserve">Microsoft Corporation </v>
          </cell>
          <cell r="F728">
            <v>241990.77160000001</v>
          </cell>
          <cell r="G728">
            <v>241990.77160000001</v>
          </cell>
        </row>
        <row r="729">
          <cell r="C729" t="str">
            <v>US55261F1049</v>
          </cell>
          <cell r="D729" t="str">
            <v>Акции</v>
          </cell>
          <cell r="E729" t="str">
            <v xml:space="preserve">M&amp;T Bank Corporation </v>
          </cell>
          <cell r="F729">
            <v>98383.811700000006</v>
          </cell>
          <cell r="G729">
            <v>98383.811700000006</v>
          </cell>
        </row>
        <row r="730">
          <cell r="C730" t="str">
            <v>KZKF00000012</v>
          </cell>
          <cell r="D730" t="str">
            <v>Облигации</v>
          </cell>
          <cell r="E730" t="str">
            <v>Министерство финансов Республики Казахстан</v>
          </cell>
          <cell r="F730">
            <v>100</v>
          </cell>
          <cell r="G730">
            <v>100</v>
          </cell>
        </row>
        <row r="731">
          <cell r="C731" t="str">
            <v>KZKT00000024</v>
          </cell>
          <cell r="D731" t="str">
            <v>Облигации</v>
          </cell>
          <cell r="E731" t="str">
            <v>Министерство финансов Республики Казахстан</v>
          </cell>
          <cell r="F731">
            <v>100</v>
          </cell>
          <cell r="G731">
            <v>100</v>
          </cell>
        </row>
        <row r="732">
          <cell r="C732" t="str">
            <v>KZKT00000032</v>
          </cell>
          <cell r="D732" t="str">
            <v>Облигации</v>
          </cell>
          <cell r="E732" t="str">
            <v>Министерство финансов Республики Казахстан</v>
          </cell>
          <cell r="F732">
            <v>100</v>
          </cell>
          <cell r="G732">
            <v>100</v>
          </cell>
        </row>
        <row r="733">
          <cell r="C733" t="str">
            <v>KZKT00000040</v>
          </cell>
          <cell r="D733" t="str">
            <v>Облигации</v>
          </cell>
          <cell r="E733" t="str">
            <v>Министерство финансов Республики Казахстан</v>
          </cell>
          <cell r="F733">
            <v>100</v>
          </cell>
          <cell r="G733">
            <v>100</v>
          </cell>
        </row>
        <row r="734">
          <cell r="C734" t="str">
            <v>KZKT00000073</v>
          </cell>
          <cell r="D734" t="str">
            <v>Облигации</v>
          </cell>
          <cell r="E734" t="str">
            <v>Министерство финансов Республики Казахстан</v>
          </cell>
          <cell r="F734">
            <v>100</v>
          </cell>
          <cell r="G734">
            <v>100</v>
          </cell>
        </row>
        <row r="735">
          <cell r="C735" t="str">
            <v>KZKT00000057</v>
          </cell>
          <cell r="D735" t="str">
            <v>Облигации</v>
          </cell>
          <cell r="E735" t="str">
            <v>Министерство финансов Республики Казахстан</v>
          </cell>
          <cell r="F735">
            <v>100</v>
          </cell>
          <cell r="G735">
            <v>100</v>
          </cell>
        </row>
        <row r="736">
          <cell r="C736" t="str">
            <v>KZKA00000611</v>
          </cell>
          <cell r="D736" t="str">
            <v>Облигации</v>
          </cell>
          <cell r="E736" t="str">
            <v>Министерство финансов Республики Казахстан</v>
          </cell>
          <cell r="F736">
            <v>99.893000000000001</v>
          </cell>
          <cell r="G736">
            <v>99.893000000000001</v>
          </cell>
        </row>
        <row r="737">
          <cell r="C737" t="str">
            <v>KZKA00000496</v>
          </cell>
          <cell r="D737" t="str">
            <v>Облигации</v>
          </cell>
          <cell r="E737" t="str">
            <v>Министерство финансов Республики Казахстан</v>
          </cell>
          <cell r="F737">
            <v>99.840500000000006</v>
          </cell>
          <cell r="G737">
            <v>99.840500000000006</v>
          </cell>
        </row>
        <row r="738">
          <cell r="C738" t="str">
            <v>KZKA00000538</v>
          </cell>
          <cell r="D738" t="str">
            <v>Облигации</v>
          </cell>
          <cell r="E738" t="str">
            <v>Министерство финансов Республики Казахстан</v>
          </cell>
          <cell r="F738">
            <v>99.857200000000006</v>
          </cell>
          <cell r="G738">
            <v>99.857200000000006</v>
          </cell>
        </row>
        <row r="739">
          <cell r="C739" t="str">
            <v>KZKA00000645</v>
          </cell>
          <cell r="D739" t="str">
            <v>Облигации</v>
          </cell>
          <cell r="E739" t="str">
            <v>Министерство финансов Республики Казахстан</v>
          </cell>
          <cell r="F739">
            <v>99.983599999999996</v>
          </cell>
          <cell r="G739">
            <v>99.983599999999996</v>
          </cell>
        </row>
        <row r="740">
          <cell r="C740" t="str">
            <v>KZKA00000314</v>
          </cell>
          <cell r="D740" t="str">
            <v>Облигации</v>
          </cell>
          <cell r="E740" t="str">
            <v>Министерство финансов Республики Казахстан</v>
          </cell>
          <cell r="F740">
            <v>99.8172</v>
          </cell>
          <cell r="G740">
            <v>99.8172</v>
          </cell>
        </row>
        <row r="741">
          <cell r="C741" t="str">
            <v>KZKA00000660</v>
          </cell>
          <cell r="D741" t="str">
            <v>Облигации</v>
          </cell>
          <cell r="E741" t="str">
            <v>Министерство финансов Республики Казахстан</v>
          </cell>
          <cell r="F741">
            <v>99.871399999999994</v>
          </cell>
          <cell r="G741">
            <v>99.871399999999994</v>
          </cell>
        </row>
        <row r="742">
          <cell r="C742" t="str">
            <v>KZKA00000199</v>
          </cell>
          <cell r="D742" t="str">
            <v>Облигации</v>
          </cell>
          <cell r="E742" t="str">
            <v>Министерство финансов Республики Казахстан</v>
          </cell>
          <cell r="F742">
            <v>99.8172</v>
          </cell>
          <cell r="G742">
            <v>99.8172</v>
          </cell>
        </row>
        <row r="743">
          <cell r="C743" t="str">
            <v>KZKA00000215</v>
          </cell>
          <cell r="D743" t="str">
            <v>Облигации</v>
          </cell>
          <cell r="E743" t="str">
            <v>Министерство финансов Республики Казахстан</v>
          </cell>
          <cell r="F743">
            <v>99.835099999999997</v>
          </cell>
          <cell r="G743">
            <v>99.835099999999997</v>
          </cell>
        </row>
        <row r="744">
          <cell r="C744" t="str">
            <v>KZKA00000306</v>
          </cell>
          <cell r="D744" t="str">
            <v>Облигации</v>
          </cell>
          <cell r="E744" t="str">
            <v>Министерство финансов Республики Казахстан</v>
          </cell>
          <cell r="F744">
            <v>99.823599999999999</v>
          </cell>
          <cell r="G744">
            <v>99.823599999999999</v>
          </cell>
        </row>
        <row r="745">
          <cell r="C745" t="str">
            <v>KZKA00000330</v>
          </cell>
          <cell r="D745" t="str">
            <v>Облигации</v>
          </cell>
          <cell r="E745" t="str">
            <v>Министерство финансов Республики Казахстан</v>
          </cell>
          <cell r="F745">
            <v>99.834500000000006</v>
          </cell>
          <cell r="G745">
            <v>99.834500000000006</v>
          </cell>
        </row>
        <row r="746">
          <cell r="C746" t="str">
            <v>KZKA00000488</v>
          </cell>
          <cell r="D746" t="str">
            <v>Облигации</v>
          </cell>
          <cell r="E746" t="str">
            <v>Министерство финансов Республики Казахстан</v>
          </cell>
          <cell r="F746">
            <v>99.868799999999993</v>
          </cell>
          <cell r="G746">
            <v>99.868799999999993</v>
          </cell>
        </row>
        <row r="747">
          <cell r="C747" t="str">
            <v>KZKA00000520</v>
          </cell>
          <cell r="D747" t="str">
            <v>Облигации</v>
          </cell>
          <cell r="E747" t="str">
            <v>Министерство финансов Республики Казахстан</v>
          </cell>
          <cell r="F747">
            <v>99.820499999999996</v>
          </cell>
          <cell r="G747">
            <v>99.820499999999996</v>
          </cell>
        </row>
        <row r="748">
          <cell r="C748" t="str">
            <v>KZKA00000207</v>
          </cell>
          <cell r="D748" t="str">
            <v>Облигации</v>
          </cell>
          <cell r="E748" t="str">
            <v>Министерство финансов Республики Казахстан</v>
          </cell>
          <cell r="F748">
            <v>99.820700000000002</v>
          </cell>
          <cell r="G748">
            <v>99.820700000000002</v>
          </cell>
        </row>
        <row r="749">
          <cell r="C749" t="str">
            <v>KZKA00000256</v>
          </cell>
          <cell r="D749" t="str">
            <v>Облигации</v>
          </cell>
          <cell r="E749" t="str">
            <v>Министерство финансов Республики Казахстан</v>
          </cell>
          <cell r="F749">
            <v>99.982500000000002</v>
          </cell>
          <cell r="G749">
            <v>99.982500000000002</v>
          </cell>
        </row>
        <row r="750">
          <cell r="C750" t="str">
            <v>KZKA00000280</v>
          </cell>
          <cell r="D750" t="str">
            <v>Облигации</v>
          </cell>
          <cell r="E750" t="str">
            <v>Министерство финансов Республики Казахстан</v>
          </cell>
          <cell r="F750">
            <v>99.872100000000003</v>
          </cell>
          <cell r="G750">
            <v>99.872100000000003</v>
          </cell>
        </row>
        <row r="751">
          <cell r="C751" t="str">
            <v>KZKA00000447</v>
          </cell>
          <cell r="D751" t="str">
            <v>Облигации</v>
          </cell>
          <cell r="E751" t="str">
            <v>Министерство финансов Республики Казахстан</v>
          </cell>
          <cell r="F751">
            <v>99.856300000000005</v>
          </cell>
          <cell r="G751">
            <v>99.856300000000005</v>
          </cell>
        </row>
        <row r="752">
          <cell r="C752" t="str">
            <v>KZKA00000512</v>
          </cell>
          <cell r="D752" t="str">
            <v>Облигации</v>
          </cell>
          <cell r="E752" t="str">
            <v>Министерство финансов Республики Казахстан</v>
          </cell>
          <cell r="F752">
            <v>99.817099999999996</v>
          </cell>
          <cell r="G752">
            <v>99.817099999999996</v>
          </cell>
        </row>
        <row r="753">
          <cell r="C753" t="str">
            <v>KZKA00000223</v>
          </cell>
          <cell r="D753" t="str">
            <v>Облигации</v>
          </cell>
          <cell r="E753" t="str">
            <v>Министерство финансов Республики Казахстан</v>
          </cell>
          <cell r="F753">
            <v>99.856300000000005</v>
          </cell>
          <cell r="G753">
            <v>99.856300000000005</v>
          </cell>
        </row>
        <row r="754">
          <cell r="C754" t="str">
            <v>KZKA00000264</v>
          </cell>
          <cell r="D754" t="str">
            <v>Облигации</v>
          </cell>
          <cell r="E754" t="str">
            <v>Министерство финансов Республики Казахстан</v>
          </cell>
          <cell r="F754">
            <v>99.951899999999995</v>
          </cell>
          <cell r="G754">
            <v>99.951899999999995</v>
          </cell>
        </row>
        <row r="755">
          <cell r="C755" t="str">
            <v>KZKA00000322</v>
          </cell>
          <cell r="D755" t="str">
            <v>Облигации</v>
          </cell>
          <cell r="E755" t="str">
            <v>Министерство финансов Республики Казахстан</v>
          </cell>
          <cell r="F755">
            <v>99.820700000000002</v>
          </cell>
          <cell r="G755">
            <v>99.820700000000002</v>
          </cell>
        </row>
        <row r="756">
          <cell r="C756" t="str">
            <v>KZKA00000371</v>
          </cell>
          <cell r="D756" t="str">
            <v>Облигации</v>
          </cell>
          <cell r="E756" t="str">
            <v>Министерство финансов Республики Казахстан</v>
          </cell>
          <cell r="F756">
            <v>99.906800000000004</v>
          </cell>
          <cell r="G756">
            <v>99.906800000000004</v>
          </cell>
        </row>
        <row r="757">
          <cell r="C757" t="str">
            <v>KZKA00000454</v>
          </cell>
          <cell r="D757" t="str">
            <v>Облигации</v>
          </cell>
          <cell r="E757" t="str">
            <v>Министерство финансов Республики Казахстан</v>
          </cell>
          <cell r="F757">
            <v>99.891800000000003</v>
          </cell>
          <cell r="G757">
            <v>99.891800000000003</v>
          </cell>
        </row>
        <row r="758">
          <cell r="C758" t="str">
            <v>KZKA00000546</v>
          </cell>
          <cell r="D758" t="str">
            <v>Облигации</v>
          </cell>
          <cell r="E758" t="str">
            <v>Министерство финансов Республики Казахстан</v>
          </cell>
          <cell r="F758">
            <v>99.889200000000002</v>
          </cell>
          <cell r="G758">
            <v>99.889200000000002</v>
          </cell>
        </row>
        <row r="759">
          <cell r="C759" t="str">
            <v>KZKA00000470</v>
          </cell>
          <cell r="D759" t="str">
            <v>Облигации</v>
          </cell>
          <cell r="E759" t="str">
            <v>Министерство финансов Республики Казахстан</v>
          </cell>
          <cell r="F759">
            <v>99.953699999999998</v>
          </cell>
          <cell r="G759">
            <v>99.953699999999998</v>
          </cell>
        </row>
        <row r="760">
          <cell r="C760" t="str">
            <v>KZKD00001145</v>
          </cell>
          <cell r="D760" t="str">
            <v>Облигации</v>
          </cell>
          <cell r="E760" t="str">
            <v>Министерство финансов Республики Казахстан</v>
          </cell>
          <cell r="F760">
            <v>91.667100000000005</v>
          </cell>
          <cell r="G760">
            <v>97.329300000000003</v>
          </cell>
        </row>
        <row r="761">
          <cell r="C761" t="str">
            <v>KZKD00001210</v>
          </cell>
          <cell r="D761" t="str">
            <v>Облигации</v>
          </cell>
          <cell r="E761" t="str">
            <v>Министерство финансов Республики Казахстан</v>
          </cell>
          <cell r="F761">
            <v>96.391300000000001</v>
          </cell>
          <cell r="G761">
            <v>107.9513</v>
          </cell>
        </row>
        <row r="762">
          <cell r="C762" t="str">
            <v>KZKD00001251</v>
          </cell>
          <cell r="D762" t="str">
            <v>Облигации</v>
          </cell>
          <cell r="E762" t="str">
            <v>Министерство финансов Республики Казахстан</v>
          </cell>
          <cell r="F762">
            <v>86.742999999999995</v>
          </cell>
          <cell r="G762">
            <v>95.676299999999998</v>
          </cell>
        </row>
        <row r="763">
          <cell r="C763" t="str">
            <v>KZKD00001137</v>
          </cell>
          <cell r="D763" t="str">
            <v>Облигации</v>
          </cell>
          <cell r="E763" t="str">
            <v>Министерство финансов Республики Казахстан</v>
          </cell>
          <cell r="F763">
            <v>87.875900000000001</v>
          </cell>
          <cell r="G763">
            <v>94.606999999999999</v>
          </cell>
        </row>
        <row r="764">
          <cell r="C764" t="str">
            <v>KZKD00001244</v>
          </cell>
          <cell r="D764" t="str">
            <v>Облигации</v>
          </cell>
          <cell r="E764" t="str">
            <v>Министерство финансов Республики Казахстан</v>
          </cell>
          <cell r="F764">
            <v>85.170199999999994</v>
          </cell>
          <cell r="G764">
            <v>94.603499999999997</v>
          </cell>
        </row>
        <row r="765">
          <cell r="C765" t="str">
            <v>KZKD00001285</v>
          </cell>
          <cell r="D765" t="str">
            <v>Облигации</v>
          </cell>
          <cell r="E765" t="str">
            <v>Министерство финансов Республики Казахстан</v>
          </cell>
          <cell r="F765">
            <v>93.475899999999996</v>
          </cell>
          <cell r="G765">
            <v>104.3853</v>
          </cell>
        </row>
        <row r="766">
          <cell r="C766" t="str">
            <v>KZKD00001095</v>
          </cell>
          <cell r="D766" t="str">
            <v>Облигации</v>
          </cell>
          <cell r="E766" t="str">
            <v>Министерство финансов Республики Казахстан</v>
          </cell>
          <cell r="F766">
            <v>86.240799999999993</v>
          </cell>
          <cell r="G766">
            <v>87.346000000000004</v>
          </cell>
        </row>
        <row r="767">
          <cell r="C767" t="str">
            <v>KZKD00001160</v>
          </cell>
          <cell r="D767" t="str">
            <v>Облигации</v>
          </cell>
          <cell r="E767" t="str">
            <v>Министерство финансов Республики Казахстан</v>
          </cell>
          <cell r="F767">
            <v>84.115700000000004</v>
          </cell>
          <cell r="G767">
            <v>87.837500000000006</v>
          </cell>
        </row>
        <row r="768">
          <cell r="C768" t="str">
            <v>KZKD00001202</v>
          </cell>
          <cell r="D768" t="str">
            <v>Облигации</v>
          </cell>
          <cell r="E768" t="str">
            <v>Министерство финансов Республики Казахстан</v>
          </cell>
          <cell r="F768">
            <v>84.037700000000001</v>
          </cell>
          <cell r="G768">
            <v>93.234899999999996</v>
          </cell>
        </row>
        <row r="769">
          <cell r="C769" t="str">
            <v>KZKD00001228</v>
          </cell>
          <cell r="D769" t="str">
            <v>Облигации</v>
          </cell>
          <cell r="E769" t="str">
            <v>Министерство финансов Республики Казахстан</v>
          </cell>
          <cell r="F769">
            <v>91.637600000000006</v>
          </cell>
          <cell r="G769">
            <v>99.531999999999996</v>
          </cell>
        </row>
        <row r="770">
          <cell r="C770" t="str">
            <v>KZKD00001301</v>
          </cell>
          <cell r="D770" t="str">
            <v>Облигации</v>
          </cell>
          <cell r="E770" t="str">
            <v>Министерство финансов Республики Казахстан</v>
          </cell>
          <cell r="F770">
            <v>92.444299999999998</v>
          </cell>
          <cell r="G770">
            <v>99.669300000000007</v>
          </cell>
        </row>
        <row r="771">
          <cell r="C771" t="str">
            <v>KZKD00000915</v>
          </cell>
          <cell r="D771" t="str">
            <v>Облигации</v>
          </cell>
          <cell r="E771" t="str">
            <v>Министерство финансов Республики Казахстан</v>
          </cell>
          <cell r="F771">
            <v>95.662999999999997</v>
          </cell>
          <cell r="G771">
            <v>99.505200000000002</v>
          </cell>
        </row>
        <row r="772">
          <cell r="C772" t="str">
            <v>KZKD00001087</v>
          </cell>
          <cell r="D772" t="str">
            <v>Облигации</v>
          </cell>
          <cell r="E772" t="str">
            <v>Министерство финансов Республики Казахстан</v>
          </cell>
          <cell r="F772">
            <v>86.088999999999999</v>
          </cell>
          <cell r="G772">
            <v>93.575100000000006</v>
          </cell>
        </row>
        <row r="773">
          <cell r="C773" t="str">
            <v>KZKD00001236</v>
          </cell>
          <cell r="D773" t="str">
            <v>Облигации</v>
          </cell>
          <cell r="E773" t="str">
            <v>Министерство финансов Республики Казахстан</v>
          </cell>
          <cell r="F773">
            <v>91.085099999999997</v>
          </cell>
          <cell r="G773">
            <v>98.707300000000004</v>
          </cell>
        </row>
        <row r="774">
          <cell r="C774" t="str">
            <v>KZKD00001277</v>
          </cell>
          <cell r="D774" t="str">
            <v>Облигации</v>
          </cell>
          <cell r="E774" t="str">
            <v>Министерство финансов Республики Казахстан</v>
          </cell>
          <cell r="F774">
            <v>92.568700000000007</v>
          </cell>
          <cell r="G774">
            <v>103.4034</v>
          </cell>
        </row>
        <row r="775">
          <cell r="C775" t="str">
            <v>KZKD00000899</v>
          </cell>
          <cell r="D775" t="str">
            <v>Облигации</v>
          </cell>
          <cell r="E775" t="str">
            <v>Министерство финансов Республики Казахстан</v>
          </cell>
          <cell r="F775">
            <v>91.250600000000006</v>
          </cell>
          <cell r="G775">
            <v>97.9756</v>
          </cell>
        </row>
        <row r="776">
          <cell r="C776" t="str">
            <v>KZKD00000907</v>
          </cell>
          <cell r="D776" t="str">
            <v>Облигации</v>
          </cell>
          <cell r="E776" t="str">
            <v>Министерство финансов Республики Казахстан</v>
          </cell>
          <cell r="F776">
            <v>89.3125</v>
          </cell>
          <cell r="G776">
            <v>93.112499999999997</v>
          </cell>
        </row>
        <row r="777">
          <cell r="C777" t="str">
            <v>KZKD00001129</v>
          </cell>
          <cell r="D777" t="str">
            <v>Облигации</v>
          </cell>
          <cell r="E777" t="str">
            <v>Министерство финансов Республики Казахстан</v>
          </cell>
          <cell r="F777">
            <v>79.460800000000006</v>
          </cell>
          <cell r="G777">
            <v>86.842500000000001</v>
          </cell>
        </row>
        <row r="778">
          <cell r="C778" t="str">
            <v>KZKD00001269</v>
          </cell>
          <cell r="D778" t="str">
            <v>Облигации</v>
          </cell>
          <cell r="E778" t="str">
            <v>Министерство финансов Республики Казахстан</v>
          </cell>
          <cell r="F778">
            <v>90.025999999999996</v>
          </cell>
          <cell r="G778">
            <v>101.38160000000001</v>
          </cell>
        </row>
        <row r="779">
          <cell r="C779" t="str">
            <v>KZKD00001152</v>
          </cell>
          <cell r="D779" t="str">
            <v>Облигации</v>
          </cell>
          <cell r="E779" t="str">
            <v>Министерство финансов Республики Казахстан</v>
          </cell>
          <cell r="F779">
            <v>78.1297</v>
          </cell>
          <cell r="G779">
            <v>81.945999999999998</v>
          </cell>
        </row>
        <row r="780">
          <cell r="C780" t="str">
            <v>KZKD00001178</v>
          </cell>
          <cell r="D780" t="str">
            <v>Облигации</v>
          </cell>
          <cell r="E780" t="str">
            <v>Министерство финансов Республики Казахстан</v>
          </cell>
          <cell r="F780">
            <v>76.683899999999994</v>
          </cell>
          <cell r="G780">
            <v>79.712699999999998</v>
          </cell>
        </row>
        <row r="781">
          <cell r="C781" t="str">
            <v>KZKD00000758</v>
          </cell>
          <cell r="D781" t="str">
            <v>Облигации</v>
          </cell>
          <cell r="E781" t="str">
            <v>Министерство финансов Республики Казахстан</v>
          </cell>
          <cell r="F781">
            <v>87.603300000000004</v>
          </cell>
          <cell r="G781">
            <v>91.027000000000001</v>
          </cell>
        </row>
        <row r="782">
          <cell r="C782" t="str">
            <v>KZKD00000964</v>
          </cell>
          <cell r="D782" t="str">
            <v>Облигации</v>
          </cell>
          <cell r="E782" t="str">
            <v>Министерство финансов Республики Казахстан</v>
          </cell>
          <cell r="F782">
            <v>72.803100000000001</v>
          </cell>
          <cell r="G782">
            <v>77.609200000000001</v>
          </cell>
        </row>
        <row r="783">
          <cell r="C783" t="str">
            <v>KZKD00001103</v>
          </cell>
          <cell r="D783" t="str">
            <v>Облигации</v>
          </cell>
          <cell r="E783" t="str">
            <v>Министерство финансов Республики Казахстан</v>
          </cell>
          <cell r="F783">
            <v>73.555999999999997</v>
          </cell>
          <cell r="G783">
            <v>81.652000000000001</v>
          </cell>
        </row>
        <row r="784">
          <cell r="C784" t="str">
            <v>KZKD00001293</v>
          </cell>
          <cell r="D784" t="str">
            <v>Облигации</v>
          </cell>
          <cell r="E784" t="str">
            <v>Министерство финансов Республики Казахстан</v>
          </cell>
          <cell r="F784">
            <v>89.688699999999997</v>
          </cell>
          <cell r="G784">
            <v>97.247900000000001</v>
          </cell>
        </row>
        <row r="785">
          <cell r="C785" t="str">
            <v>KZKD00000949</v>
          </cell>
          <cell r="D785" t="str">
            <v>Облигации</v>
          </cell>
          <cell r="E785" t="str">
            <v>Министерство финансов Республики Казахстан</v>
          </cell>
          <cell r="F785">
            <v>70.329700000000003</v>
          </cell>
          <cell r="G785">
            <v>75.704800000000006</v>
          </cell>
        </row>
        <row r="786">
          <cell r="C786" t="str">
            <v>KZKD00001111</v>
          </cell>
          <cell r="D786" t="str">
            <v>Облигации</v>
          </cell>
          <cell r="E786" t="str">
            <v>Министерство финансов Республики Казахстан</v>
          </cell>
          <cell r="F786">
            <v>72.775999999999996</v>
          </cell>
          <cell r="G786">
            <v>80.321100000000001</v>
          </cell>
        </row>
        <row r="787">
          <cell r="C787" t="str">
            <v>KZKD00000444</v>
          </cell>
          <cell r="D787" t="str">
            <v>Облигации</v>
          </cell>
          <cell r="E787" t="str">
            <v>Министерство финансов Республики Казахстан</v>
          </cell>
          <cell r="F787">
            <v>92.665400000000005</v>
          </cell>
          <cell r="G787">
            <v>94.3001</v>
          </cell>
        </row>
        <row r="788">
          <cell r="C788" t="str">
            <v>KZKD00000493</v>
          </cell>
          <cell r="D788" t="str">
            <v>Облигации</v>
          </cell>
          <cell r="E788" t="str">
            <v>Министерство финансов Республики Казахстан</v>
          </cell>
          <cell r="F788">
            <v>89.797499999999999</v>
          </cell>
          <cell r="G788">
            <v>89.964200000000005</v>
          </cell>
        </row>
        <row r="789">
          <cell r="C789" t="str">
            <v>KZKD00000535</v>
          </cell>
          <cell r="D789" t="str">
            <v>Облигации</v>
          </cell>
          <cell r="E789" t="str">
            <v>Министерство финансов Республики Казахстан</v>
          </cell>
          <cell r="F789">
            <v>87.12</v>
          </cell>
          <cell r="G789">
            <v>90.902000000000001</v>
          </cell>
        </row>
        <row r="790">
          <cell r="C790" t="str">
            <v>KZKD00000618</v>
          </cell>
          <cell r="D790" t="str">
            <v>Облигации</v>
          </cell>
          <cell r="E790" t="str">
            <v>Министерство финансов Республики Казахстан</v>
          </cell>
          <cell r="F790">
            <v>83.210300000000004</v>
          </cell>
          <cell r="G790">
            <v>84.384600000000006</v>
          </cell>
        </row>
        <row r="791">
          <cell r="C791" t="str">
            <v>KZKD00000659</v>
          </cell>
          <cell r="D791" t="str">
            <v>Облигации</v>
          </cell>
          <cell r="E791" t="str">
            <v>Министерство финансов Республики Казахстан</v>
          </cell>
          <cell r="F791">
            <v>84.004199999999997</v>
          </cell>
          <cell r="G791">
            <v>84.744500000000002</v>
          </cell>
        </row>
        <row r="792">
          <cell r="C792" t="str">
            <v>KZKD00000717</v>
          </cell>
          <cell r="D792" t="str">
            <v>Облигации</v>
          </cell>
          <cell r="E792" t="str">
            <v>Министерство финансов Республики Казахстан</v>
          </cell>
          <cell r="F792">
            <v>78.705699999999993</v>
          </cell>
          <cell r="G792">
            <v>85.825400000000002</v>
          </cell>
        </row>
        <row r="793">
          <cell r="C793" t="str">
            <v>KZKD00000790</v>
          </cell>
          <cell r="D793" t="str">
            <v>Облигации</v>
          </cell>
          <cell r="E793" t="str">
            <v>Министерство финансов Республики Казахстан</v>
          </cell>
          <cell r="F793">
            <v>76.593000000000004</v>
          </cell>
          <cell r="G793">
            <v>78.982299999999995</v>
          </cell>
        </row>
        <row r="794">
          <cell r="C794" t="str">
            <v>KZKD00000840</v>
          </cell>
          <cell r="D794" t="str">
            <v>Облигации</v>
          </cell>
          <cell r="E794" t="str">
            <v>Министерство финансов Республики Казахстан</v>
          </cell>
          <cell r="F794">
            <v>74.6678</v>
          </cell>
          <cell r="G794">
            <v>81.089100000000002</v>
          </cell>
        </row>
        <row r="795">
          <cell r="C795" t="str">
            <v>KZKD00000931</v>
          </cell>
          <cell r="D795" t="str">
            <v>Облигации</v>
          </cell>
          <cell r="E795" t="str">
            <v>Министерство финансов Республики Казахстан</v>
          </cell>
          <cell r="F795">
            <v>68.946399999999997</v>
          </cell>
          <cell r="G795">
            <v>74.743799999999993</v>
          </cell>
        </row>
        <row r="796">
          <cell r="C796" t="str">
            <v>KZKD00000956</v>
          </cell>
          <cell r="D796" t="str">
            <v>Облигации</v>
          </cell>
          <cell r="E796" t="str">
            <v>Министерство финансов Республики Казахстан</v>
          </cell>
          <cell r="F796">
            <v>68.016400000000004</v>
          </cell>
          <cell r="G796">
            <v>73.233400000000003</v>
          </cell>
        </row>
        <row r="797">
          <cell r="C797" t="str">
            <v>KZKD00001186</v>
          </cell>
          <cell r="D797" t="str">
            <v>Облигации</v>
          </cell>
          <cell r="E797" t="str">
            <v>Министерство финансов Республики Казахстан</v>
          </cell>
          <cell r="F797">
            <v>73.759399999999999</v>
          </cell>
          <cell r="G797">
            <v>76.753799999999998</v>
          </cell>
        </row>
        <row r="798">
          <cell r="C798" t="str">
            <v>KZKD00001194</v>
          </cell>
          <cell r="D798" t="str">
            <v>Облигации</v>
          </cell>
          <cell r="E798" t="str">
            <v>Министерство финансов Республики Казахстан</v>
          </cell>
          <cell r="F798">
            <v>74.784499999999994</v>
          </cell>
          <cell r="G798">
            <v>84.207700000000003</v>
          </cell>
        </row>
        <row r="799">
          <cell r="C799" t="str">
            <v>KZKD00000477</v>
          </cell>
          <cell r="D799" t="str">
            <v>Облигации</v>
          </cell>
          <cell r="E799" t="str">
            <v>Министерство финансов Республики Казахстан</v>
          </cell>
          <cell r="F799">
            <v>82.308199999999999</v>
          </cell>
          <cell r="G799">
            <v>82.985399999999998</v>
          </cell>
        </row>
        <row r="800">
          <cell r="C800" t="str">
            <v>KZKD00000543</v>
          </cell>
          <cell r="D800" t="str">
            <v>Облигации</v>
          </cell>
          <cell r="E800" t="str">
            <v>Министерство финансов Республики Казахстан</v>
          </cell>
          <cell r="F800">
            <v>78.054699999999997</v>
          </cell>
          <cell r="G800">
            <v>81.207499999999996</v>
          </cell>
        </row>
        <row r="801">
          <cell r="C801" t="str">
            <v>KZKD00000626</v>
          </cell>
          <cell r="D801" t="str">
            <v>Облигации</v>
          </cell>
          <cell r="E801" t="str">
            <v>Министерство финансов Республики Казахстан</v>
          </cell>
          <cell r="F801">
            <v>76.191800000000001</v>
          </cell>
          <cell r="G801">
            <v>77.337599999999995</v>
          </cell>
        </row>
        <row r="802">
          <cell r="C802" t="str">
            <v>KZKD00000972</v>
          </cell>
          <cell r="D802" t="str">
            <v>Облигации</v>
          </cell>
          <cell r="E802" t="str">
            <v>Министерство финансов Республики Казахстан</v>
          </cell>
          <cell r="F802">
            <v>62.541400000000003</v>
          </cell>
          <cell r="G802">
            <v>65.485799999999998</v>
          </cell>
        </row>
        <row r="803">
          <cell r="C803" t="str">
            <v>KZKD00001079</v>
          </cell>
          <cell r="D803" t="str">
            <v>Облигации</v>
          </cell>
          <cell r="E803" t="str">
            <v>Министерство финансов Республики Казахстан</v>
          </cell>
          <cell r="F803">
            <v>62.9495</v>
          </cell>
          <cell r="G803">
            <v>70.054500000000004</v>
          </cell>
        </row>
        <row r="804">
          <cell r="C804" t="str">
            <v>KZKD00000550</v>
          </cell>
          <cell r="D804" t="str">
            <v>Облигации</v>
          </cell>
          <cell r="E804" t="str">
            <v>Министерство финансов Республики Казахстан</v>
          </cell>
          <cell r="F804">
            <v>59.195900000000002</v>
          </cell>
          <cell r="G804">
            <v>62.572299999999998</v>
          </cell>
        </row>
        <row r="805">
          <cell r="C805" t="str">
            <v>KZKD00000741</v>
          </cell>
          <cell r="D805" t="str">
            <v>Облигации</v>
          </cell>
          <cell r="E805" t="str">
            <v>Министерство финансов Республики Казахстан</v>
          </cell>
          <cell r="F805">
            <v>64.215299999999999</v>
          </cell>
          <cell r="G805">
            <v>68.765900000000002</v>
          </cell>
        </row>
        <row r="806">
          <cell r="C806" t="str">
            <v>KZKD00000832</v>
          </cell>
          <cell r="D806" t="str">
            <v>Облигации</v>
          </cell>
          <cell r="E806" t="str">
            <v>Министерство финансов Республики Казахстан</v>
          </cell>
          <cell r="F806">
            <v>62.936</v>
          </cell>
          <cell r="G806">
            <v>69.795500000000004</v>
          </cell>
        </row>
        <row r="807">
          <cell r="C807" t="str">
            <v>KZKD00000725</v>
          </cell>
          <cell r="D807" t="str">
            <v>Облигации</v>
          </cell>
          <cell r="E807" t="str">
            <v>Министерство финансов Республики Казахстан</v>
          </cell>
          <cell r="F807">
            <v>56.859299999999998</v>
          </cell>
          <cell r="G807">
            <v>64.430099999999996</v>
          </cell>
        </row>
        <row r="808">
          <cell r="C808" t="str">
            <v>KZKD00000774</v>
          </cell>
          <cell r="D808" t="str">
            <v>Облигации</v>
          </cell>
          <cell r="E808" t="str">
            <v>Министерство финансов Республики Казахстан</v>
          </cell>
          <cell r="F808">
            <v>58.591799999999999</v>
          </cell>
          <cell r="G808">
            <v>61.607100000000003</v>
          </cell>
        </row>
        <row r="809">
          <cell r="C809" t="str">
            <v>KZKD00000857</v>
          </cell>
          <cell r="D809" t="str">
            <v>Облигации</v>
          </cell>
          <cell r="E809" t="str">
            <v>Министерство финансов Республики Казахстан</v>
          </cell>
          <cell r="F809">
            <v>58.187199999999997</v>
          </cell>
          <cell r="G809">
            <v>64.673900000000003</v>
          </cell>
        </row>
        <row r="810">
          <cell r="C810" t="str">
            <v>KZKD00000824</v>
          </cell>
          <cell r="D810" t="str">
            <v>Облигации</v>
          </cell>
          <cell r="E810" t="str">
            <v>Министерство финансов Республики Казахстан</v>
          </cell>
          <cell r="F810">
            <v>57.113399999999999</v>
          </cell>
          <cell r="G810">
            <v>58.771299999999997</v>
          </cell>
        </row>
        <row r="811">
          <cell r="C811" t="str">
            <v>KZKB00000040</v>
          </cell>
          <cell r="D811" t="str">
            <v>Облигации</v>
          </cell>
          <cell r="E811" t="str">
            <v>Министерство финансов Республики Казахстан</v>
          </cell>
          <cell r="F811">
            <v>99.771600000000007</v>
          </cell>
          <cell r="G811">
            <v>99.771600000000007</v>
          </cell>
        </row>
        <row r="812">
          <cell r="C812" t="str">
            <v>US5951121038</v>
          </cell>
          <cell r="D812" t="str">
            <v>Акции</v>
          </cell>
          <cell r="E812" t="str">
            <v>Micron Technology, Inc.</v>
          </cell>
          <cell r="F812">
            <v>115886.20955</v>
          </cell>
          <cell r="G812">
            <v>115886.20955</v>
          </cell>
        </row>
        <row r="813">
          <cell r="C813" t="str">
            <v>USY57542AA32</v>
          </cell>
          <cell r="D813" t="str">
            <v>Акции</v>
          </cell>
          <cell r="E813" t="str">
            <v>Министерство финансов Федерации Малайзия</v>
          </cell>
          <cell r="F813">
            <v>460.48690160000001</v>
          </cell>
          <cell r="G813">
            <v>460.48690160000001</v>
          </cell>
        </row>
        <row r="814">
          <cell r="C814" t="str">
            <v>US55616P1049</v>
          </cell>
          <cell r="D814" t="str">
            <v>Акции</v>
          </cell>
          <cell r="E814" t="str">
            <v>Macy's</v>
          </cell>
          <cell r="F814">
            <v>11310.83315</v>
          </cell>
          <cell r="G814">
            <v>11310.83315</v>
          </cell>
        </row>
        <row r="815">
          <cell r="C815" t="str">
            <v>KZ2D00005949</v>
          </cell>
          <cell r="D815" t="str">
            <v>Облигации</v>
          </cell>
          <cell r="E815" t="str">
            <v>ТОО "Fincraft Group"</v>
          </cell>
          <cell r="F815">
            <v>84.090156012397685</v>
          </cell>
          <cell r="G815">
            <v>89.323456012397685</v>
          </cell>
        </row>
        <row r="816">
          <cell r="C816" t="str">
            <v>KZ2P00009178</v>
          </cell>
          <cell r="D816" t="str">
            <v>Облигации</v>
          </cell>
          <cell r="E816" t="str">
            <v>ТОО "Fincraft Group"</v>
          </cell>
          <cell r="F816">
            <v>99.838449952238392</v>
          </cell>
          <cell r="G816">
            <v>102.61344995223838</v>
          </cell>
        </row>
        <row r="817">
          <cell r="C817" t="str">
            <v>KZ2P00013170</v>
          </cell>
          <cell r="D817" t="str">
            <v>Облигации</v>
          </cell>
          <cell r="E817" t="str">
            <v>ТОО "Fincraft Group"</v>
          </cell>
          <cell r="F817">
            <v>99.864072352218002</v>
          </cell>
          <cell r="G817">
            <v>103.591872352218</v>
          </cell>
        </row>
        <row r="818">
          <cell r="C818" t="str">
            <v>KZ2P00013568</v>
          </cell>
          <cell r="D818" t="str">
            <v>Облигации</v>
          </cell>
          <cell r="E818" t="str">
            <v>ТОО "Fincraft Group"</v>
          </cell>
          <cell r="F818">
            <v>99.799800000000005</v>
          </cell>
          <cell r="G818">
            <v>100.2276</v>
          </cell>
        </row>
        <row r="819">
          <cell r="C819" t="str">
            <v>KZ2P00015084</v>
          </cell>
          <cell r="D819" t="str">
            <v>Облигации</v>
          </cell>
          <cell r="E819" t="str">
            <v>ТОО "Fincraft Group"</v>
          </cell>
          <cell r="F819">
            <v>99.741693199629736</v>
          </cell>
          <cell r="G819">
            <v>102.15559319962975</v>
          </cell>
        </row>
        <row r="820">
          <cell r="C820" t="str">
            <v>KZ2P00008832</v>
          </cell>
          <cell r="D820" t="str">
            <v>Облигации</v>
          </cell>
          <cell r="E820" t="str">
            <v>ТОО "Fincraft Group"</v>
          </cell>
          <cell r="F820">
            <v>99.988323823947837</v>
          </cell>
          <cell r="G820">
            <v>105.15082382394785</v>
          </cell>
        </row>
        <row r="821">
          <cell r="C821" t="str">
            <v>KZ2P00010747</v>
          </cell>
          <cell r="D821" t="str">
            <v>Облигации</v>
          </cell>
          <cell r="E821" t="str">
            <v>ТОО "Fincraft Group"</v>
          </cell>
          <cell r="F821">
            <v>96.395137038609974</v>
          </cell>
          <cell r="G821">
            <v>101.03403703860997</v>
          </cell>
        </row>
        <row r="822">
          <cell r="C822" t="str">
            <v>US6516391066</v>
          </cell>
          <cell r="D822" t="str">
            <v>Акции</v>
          </cell>
          <cell r="E822" t="str">
            <v>Newmont Corp.</v>
          </cell>
          <cell r="F822">
            <v>44945.612699999998</v>
          </cell>
          <cell r="G822">
            <v>44945.612699999998</v>
          </cell>
        </row>
        <row r="823">
          <cell r="C823" t="str">
            <v>US64110L1061</v>
          </cell>
          <cell r="D823" t="str">
            <v>Акции</v>
          </cell>
          <cell r="E823" t="str">
            <v>Netflix, Inc</v>
          </cell>
          <cell r="F823">
            <v>51798.216500000002</v>
          </cell>
          <cell r="G823">
            <v>51798.216500000002</v>
          </cell>
        </row>
        <row r="824">
          <cell r="C824" t="str">
            <v>KZ2C00012904</v>
          </cell>
          <cell r="D824" t="str">
            <v>Облигации</v>
          </cell>
          <cell r="E824" t="str">
            <v>АО "Национальные информационные технологии"</v>
          </cell>
          <cell r="F824">
            <v>98.641339034830935</v>
          </cell>
          <cell r="G824">
            <v>106.98023903483094</v>
          </cell>
        </row>
        <row r="825">
          <cell r="C825" t="str">
            <v>KZ2C00015253</v>
          </cell>
          <cell r="D825" t="str">
            <v>Облигации</v>
          </cell>
          <cell r="E825" t="str">
            <v>АО "Национальные информационные технологии"</v>
          </cell>
          <cell r="F825">
            <v>88.662518369498926</v>
          </cell>
          <cell r="G825">
            <v>92.555018369498924</v>
          </cell>
        </row>
        <row r="826">
          <cell r="C826" t="str">
            <v>KZ2C00015279</v>
          </cell>
          <cell r="D826" t="str">
            <v>Облигации</v>
          </cell>
          <cell r="E826" t="str">
            <v>АО "Национальные информационные технологии"</v>
          </cell>
          <cell r="F826">
            <v>96.950485311298735</v>
          </cell>
          <cell r="G826">
            <v>101.53298531129875</v>
          </cell>
        </row>
        <row r="827">
          <cell r="C827" t="str">
            <v>US6541061031</v>
          </cell>
          <cell r="D827" t="str">
            <v>Акции</v>
          </cell>
          <cell r="E827" t="str">
            <v>NIKE, Inc.</v>
          </cell>
          <cell r="F827">
            <v>33057.001100000001</v>
          </cell>
          <cell r="G827">
            <v>33057.001100000001</v>
          </cell>
        </row>
        <row r="828">
          <cell r="C828" t="str">
            <v>KZ000A1CTMU5</v>
          </cell>
          <cell r="D828" t="str">
            <v>Акции</v>
          </cell>
          <cell r="E828" t="str">
            <v>АО "Нурбанк"</v>
          </cell>
          <cell r="F828">
            <v>6751.38</v>
          </cell>
          <cell r="G828">
            <v>6751.38</v>
          </cell>
        </row>
        <row r="829">
          <cell r="C829" t="str">
            <v>KZ2C00002897</v>
          </cell>
          <cell r="D829" t="str">
            <v>Акции</v>
          </cell>
          <cell r="E829" t="str">
            <v>АО "Нурбанк"</v>
          </cell>
          <cell r="F829">
            <v>88.363100000000003</v>
          </cell>
          <cell r="G829">
            <v>88.363100000000003</v>
          </cell>
        </row>
        <row r="830">
          <cell r="C830" t="str">
            <v>KZ2C00005700</v>
          </cell>
          <cell r="D830" t="str">
            <v>Акции</v>
          </cell>
          <cell r="E830" t="str">
            <v>АО "Нурбанк"</v>
          </cell>
          <cell r="F830">
            <v>0.01</v>
          </cell>
          <cell r="G830">
            <v>0.01</v>
          </cell>
        </row>
        <row r="831">
          <cell r="C831" t="str">
            <v>KZ2C00005734</v>
          </cell>
          <cell r="D831" t="str">
            <v>Акции</v>
          </cell>
          <cell r="E831" t="str">
            <v>АО "Нурбанк"</v>
          </cell>
          <cell r="F831">
            <v>0.01</v>
          </cell>
          <cell r="G831">
            <v>0.01</v>
          </cell>
        </row>
        <row r="832">
          <cell r="C832" t="str">
            <v>KZ2C00002871</v>
          </cell>
          <cell r="D832" t="str">
            <v>Облигации</v>
          </cell>
          <cell r="E832" t="str">
            <v>АО "Нурбанк"</v>
          </cell>
          <cell r="F832">
            <v>98.237010383750658</v>
          </cell>
          <cell r="G832">
            <v>101.21781038375066</v>
          </cell>
        </row>
        <row r="833">
          <cell r="C833" t="str">
            <v>KZ2C00006070</v>
          </cell>
          <cell r="D833" t="str">
            <v>Облигации</v>
          </cell>
          <cell r="E833" t="str">
            <v>АО "Нурбанк"</v>
          </cell>
          <cell r="F833">
            <v>38.098065184927286</v>
          </cell>
          <cell r="G833">
            <v>40.498065184927285</v>
          </cell>
        </row>
        <row r="834">
          <cell r="C834" t="str">
            <v>KZ000A1CTMV3</v>
          </cell>
          <cell r="D834" t="str">
            <v>Акции</v>
          </cell>
          <cell r="E834" t="str">
            <v>АО "Нурбанк"</v>
          </cell>
          <cell r="F834">
            <v>11898.67</v>
          </cell>
          <cell r="G834">
            <v>11898.67</v>
          </cell>
        </row>
        <row r="835">
          <cell r="C835" t="str">
            <v>KZZF00000064</v>
          </cell>
          <cell r="D835" t="str">
            <v>Облигации</v>
          </cell>
          <cell r="E835" t="str">
            <v>Акимат г. Астана</v>
          </cell>
          <cell r="F835">
            <v>100</v>
          </cell>
          <cell r="G835">
            <v>100.74939999999999</v>
          </cell>
        </row>
        <row r="836">
          <cell r="C836" t="str">
            <v>KZZF00000023</v>
          </cell>
          <cell r="D836" t="str">
            <v>Облигации</v>
          </cell>
          <cell r="E836" t="str">
            <v>Акимат г. Астана</v>
          </cell>
          <cell r="F836">
            <v>100</v>
          </cell>
          <cell r="G836">
            <v>101.88079999999999</v>
          </cell>
        </row>
        <row r="837">
          <cell r="C837" t="str">
            <v>KZZF00000031</v>
          </cell>
          <cell r="D837" t="str">
            <v>Облигации</v>
          </cell>
          <cell r="E837" t="str">
            <v>Акимат г. Астана</v>
          </cell>
          <cell r="F837">
            <v>100</v>
          </cell>
          <cell r="G837">
            <v>100.7286</v>
          </cell>
        </row>
        <row r="838">
          <cell r="C838" t="str">
            <v>KZZF00000049</v>
          </cell>
          <cell r="D838" t="str">
            <v>Облигации</v>
          </cell>
          <cell r="E838" t="str">
            <v>Акимат г. Астана</v>
          </cell>
          <cell r="F838">
            <v>100</v>
          </cell>
          <cell r="G838">
            <v>100.7286</v>
          </cell>
        </row>
        <row r="839">
          <cell r="C839" t="str">
            <v>KZZF00000056</v>
          </cell>
          <cell r="D839" t="str">
            <v>Облигации</v>
          </cell>
          <cell r="E839" t="str">
            <v>Акимат г. Астана</v>
          </cell>
          <cell r="F839">
            <v>100</v>
          </cell>
          <cell r="G839">
            <v>105.69329999999999</v>
          </cell>
        </row>
        <row r="840">
          <cell r="C840" t="str">
            <v>KZW100014353</v>
          </cell>
          <cell r="D840" t="str">
            <v>Облигации</v>
          </cell>
          <cell r="E840" t="str">
            <v>ГУ "Национальный Банк Республики Казахстан"</v>
          </cell>
          <cell r="F840">
            <v>99.783100000000005</v>
          </cell>
          <cell r="G840">
            <v>99.783100000000005</v>
          </cell>
        </row>
        <row r="841">
          <cell r="C841" t="str">
            <v>US67066G1040</v>
          </cell>
          <cell r="D841" t="str">
            <v>Акции</v>
          </cell>
          <cell r="E841" t="str">
            <v>NVIDIA Corp.</v>
          </cell>
          <cell r="F841">
            <v>91147.704299999998</v>
          </cell>
          <cell r="G841">
            <v>91147.704299999998</v>
          </cell>
        </row>
        <row r="842">
          <cell r="C842" t="str">
            <v>KZ2P00010770</v>
          </cell>
          <cell r="D842" t="str">
            <v>Облигации</v>
          </cell>
          <cell r="E842" t="str">
            <v>ТОО "Carlsberg Central Asia"</v>
          </cell>
          <cell r="F842">
            <v>101.19026243704026</v>
          </cell>
          <cell r="G842">
            <v>106.15696243704026</v>
          </cell>
        </row>
        <row r="843">
          <cell r="C843" t="str">
            <v>XS1944412748</v>
          </cell>
          <cell r="D843" t="str">
            <v>Облигации</v>
          </cell>
          <cell r="E843" t="str">
            <v>Султанат Оман</v>
          </cell>
          <cell r="F843">
            <v>104.883</v>
          </cell>
          <cell r="G843">
            <v>106.94970000000001</v>
          </cell>
        </row>
        <row r="844">
          <cell r="C844" t="str">
            <v>KZ2P00012743</v>
          </cell>
          <cell r="D844" t="str">
            <v>Облигации</v>
          </cell>
          <cell r="E844" t="str">
            <v>ТОО "Orbis Leasing"</v>
          </cell>
          <cell r="F844">
            <v>99.834893503886576</v>
          </cell>
          <cell r="G844">
            <v>101.08069350388656</v>
          </cell>
        </row>
        <row r="845">
          <cell r="C845" t="str">
            <v>KZ2P00013535</v>
          </cell>
          <cell r="D845" t="str">
            <v>Облигации</v>
          </cell>
          <cell r="E845" t="str">
            <v>ТОО "Orbis Leasing"</v>
          </cell>
          <cell r="F845">
            <v>98.33294803841639</v>
          </cell>
          <cell r="G845">
            <v>98.388548038416388</v>
          </cell>
        </row>
        <row r="846">
          <cell r="C846" t="str">
            <v>KZ2P00013832</v>
          </cell>
          <cell r="D846" t="str">
            <v>Облигации</v>
          </cell>
          <cell r="E846" t="str">
            <v>ТОО "Orbis Leasing"</v>
          </cell>
          <cell r="F846">
            <v>97.407916268296205</v>
          </cell>
          <cell r="G846">
            <v>98.130116268296206</v>
          </cell>
        </row>
        <row r="847">
          <cell r="C847" t="str">
            <v>KZ2P00016124</v>
          </cell>
          <cell r="D847" t="str">
            <v>Облигации</v>
          </cell>
          <cell r="E847" t="str">
            <v>ТОО "Orbis Leasing"</v>
          </cell>
          <cell r="F847">
            <v>99.997699999999995</v>
          </cell>
          <cell r="G847">
            <v>100.23520000000001</v>
          </cell>
        </row>
        <row r="848">
          <cell r="C848" t="str">
            <v>US68389X1054</v>
          </cell>
          <cell r="D848" t="str">
            <v>Акции</v>
          </cell>
          <cell r="E848" t="str">
            <v>ORACLE CORPORATION</v>
          </cell>
          <cell r="F848">
            <v>104434.08560000001</v>
          </cell>
          <cell r="G848">
            <v>104434.08560000001</v>
          </cell>
        </row>
        <row r="849">
          <cell r="C849" t="str">
            <v>KZ2P00011448</v>
          </cell>
          <cell r="D849" t="str">
            <v>Облигации</v>
          </cell>
          <cell r="E849" t="str">
            <v>ТОО "Orient Group KZ"</v>
          </cell>
          <cell r="F849">
            <v>88.239790554118485</v>
          </cell>
          <cell r="G849">
            <v>90.10509055411849</v>
          </cell>
        </row>
        <row r="850">
          <cell r="C850" t="str">
            <v>KZ2C00004539</v>
          </cell>
          <cell r="D850" t="str">
            <v>Облигации</v>
          </cell>
          <cell r="E850" t="str">
            <v>АО "Оптово-розничное предприятие торговли"</v>
          </cell>
          <cell r="F850">
            <v>96.223212347127131</v>
          </cell>
          <cell r="G850">
            <v>100.21901234712713</v>
          </cell>
        </row>
        <row r="851">
          <cell r="C851" t="str">
            <v>KZ2C00006187</v>
          </cell>
          <cell r="D851" t="str">
            <v>Облигации</v>
          </cell>
          <cell r="E851" t="str">
            <v>АО "Оптово-розничное предприятие торговли"</v>
          </cell>
          <cell r="F851">
            <v>89.898148321080996</v>
          </cell>
          <cell r="G851">
            <v>91.006448321080995</v>
          </cell>
        </row>
        <row r="852">
          <cell r="C852" t="str">
            <v>US6745991058</v>
          </cell>
          <cell r="D852" t="str">
            <v>Акции</v>
          </cell>
          <cell r="E852" t="str">
            <v>Occidental Petroleum Corp.</v>
          </cell>
          <cell r="F852">
            <v>21423.217550000001</v>
          </cell>
          <cell r="G852">
            <v>21423.217550000001</v>
          </cell>
        </row>
        <row r="853">
          <cell r="C853" t="str">
            <v>KZ2C00003739</v>
          </cell>
          <cell r="D853" t="str">
            <v>Облигации</v>
          </cell>
          <cell r="E853" t="str">
            <v>АО "ПАВЛОДАРЭНЕРГО"</v>
          </cell>
          <cell r="F853">
            <v>100</v>
          </cell>
          <cell r="G853">
            <v>102.4722</v>
          </cell>
        </row>
        <row r="854">
          <cell r="C854" t="str">
            <v>US715638BU55</v>
          </cell>
          <cell r="D854" t="str">
            <v>Облигации</v>
          </cell>
          <cell r="E854" t="str">
            <v>Министерство экономики и финансов Республики Перу</v>
          </cell>
          <cell r="F854">
            <v>100.339</v>
          </cell>
          <cell r="G854">
            <v>101.48480000000001</v>
          </cell>
        </row>
        <row r="855">
          <cell r="C855" t="str">
            <v>US715638DE95</v>
          </cell>
          <cell r="D855" t="str">
            <v>Облигации</v>
          </cell>
          <cell r="E855" t="str">
            <v>Министерство экономики и финансов Республики Перу</v>
          </cell>
          <cell r="F855">
            <v>99.690631134708994</v>
          </cell>
          <cell r="G855">
            <v>100.56773113470901</v>
          </cell>
        </row>
        <row r="856">
          <cell r="C856" t="str">
            <v>US7170811035</v>
          </cell>
          <cell r="D856" t="str">
            <v>Акции</v>
          </cell>
          <cell r="E856" t="str">
            <v>Pfizer Inc.</v>
          </cell>
          <cell r="F856">
            <v>12930.63125</v>
          </cell>
          <cell r="G856">
            <v>12930.63125</v>
          </cell>
        </row>
        <row r="857">
          <cell r="C857" t="str">
            <v>US46137V1420</v>
          </cell>
          <cell r="D857" t="str">
            <v>Бумаги ин. инвест. фондов. ETF</v>
          </cell>
          <cell r="E857" t="str">
            <v>Invesco Exchange-Traded Fund Trust</v>
          </cell>
          <cell r="F857">
            <v>36485.826050000003</v>
          </cell>
          <cell r="G857">
            <v>36485.826050000003</v>
          </cell>
        </row>
        <row r="858">
          <cell r="C858" t="str">
            <v>KZ1C00001148</v>
          </cell>
          <cell r="D858" t="str">
            <v>Акции</v>
          </cell>
          <cell r="E858" t="str">
            <v>АО "Phystech II"</v>
          </cell>
          <cell r="F858">
            <v>0.01</v>
          </cell>
          <cell r="G858">
            <v>0.01</v>
          </cell>
        </row>
        <row r="859">
          <cell r="C859" t="str">
            <v>US718286CG02</v>
          </cell>
          <cell r="D859" t="str">
            <v>Облигации</v>
          </cell>
          <cell r="E859" t="str">
            <v>Республика Филиппины</v>
          </cell>
          <cell r="F859">
            <v>98.822576133501244</v>
          </cell>
          <cell r="G859">
            <v>100.29137613350125</v>
          </cell>
        </row>
        <row r="860">
          <cell r="C860" t="str">
            <v>US718286CC97</v>
          </cell>
          <cell r="D860" t="str">
            <v>Облигации</v>
          </cell>
          <cell r="E860" t="str">
            <v>Республика Филиппины</v>
          </cell>
          <cell r="F860">
            <v>97.816000000000003</v>
          </cell>
          <cell r="G860">
            <v>98.849299999999999</v>
          </cell>
        </row>
        <row r="861">
          <cell r="C861" t="str">
            <v>KZ2D00007002</v>
          </cell>
          <cell r="D861" t="str">
            <v>Облигации</v>
          </cell>
          <cell r="E861" t="str">
            <v>ПК "СПК "ДАМУ АГРО"</v>
          </cell>
          <cell r="F861">
            <v>100</v>
          </cell>
          <cell r="G861">
            <v>100.7</v>
          </cell>
        </row>
        <row r="862">
          <cell r="C862" t="str">
            <v>KZ2C00015071</v>
          </cell>
          <cell r="D862" t="str">
            <v>Облигации</v>
          </cell>
          <cell r="E862" t="str">
            <v>АО "Национальная компания "Продовольственная контрактная корпорация"</v>
          </cell>
          <cell r="F862">
            <v>99.668657810577841</v>
          </cell>
          <cell r="G862">
            <v>103.36305781057784</v>
          </cell>
        </row>
        <row r="863">
          <cell r="C863" t="str">
            <v>KZ2C00008464</v>
          </cell>
          <cell r="D863" t="str">
            <v>Облигации</v>
          </cell>
          <cell r="E863" t="str">
            <v>АО "Национальная компания "Продовольственная контрактная корпорация"</v>
          </cell>
          <cell r="F863">
            <v>99.10384038931295</v>
          </cell>
          <cell r="G863">
            <v>100.50384038931296</v>
          </cell>
        </row>
        <row r="864">
          <cell r="C864" t="str">
            <v>KZ2C00010023</v>
          </cell>
          <cell r="D864" t="str">
            <v>Облигации</v>
          </cell>
          <cell r="E864" t="str">
            <v>АО "Национальная компания "Продовольственная контрактная корпорация"</v>
          </cell>
          <cell r="F864">
            <v>99.10384038931295</v>
          </cell>
          <cell r="G864">
            <v>100.50384038931296</v>
          </cell>
        </row>
        <row r="865">
          <cell r="C865" t="str">
            <v>RU000A102BF7</v>
          </cell>
          <cell r="D865" t="str">
            <v>Акции</v>
          </cell>
          <cell r="E865" t="str">
            <v>АО "Национальная компания "Продовольственная контрактная корпорация"</v>
          </cell>
          <cell r="F865">
            <v>1644.2650000000001</v>
          </cell>
          <cell r="G865">
            <v>1644.2650000000001</v>
          </cell>
        </row>
        <row r="866">
          <cell r="C866" t="str">
            <v>KZMJ00001980</v>
          </cell>
          <cell r="D866" t="str">
            <v>Облигации</v>
          </cell>
          <cell r="E866" t="str">
            <v>Акимат Павлодарской области</v>
          </cell>
          <cell r="F866">
            <v>100</v>
          </cell>
          <cell r="G866">
            <v>101.2278</v>
          </cell>
        </row>
        <row r="867">
          <cell r="C867" t="str">
            <v>KZMJ00001824</v>
          </cell>
          <cell r="D867" t="str">
            <v>Облигации</v>
          </cell>
          <cell r="E867" t="str">
            <v>Акимат Павлодарской области</v>
          </cell>
          <cell r="F867">
            <v>100</v>
          </cell>
          <cell r="G867">
            <v>100.00190000000001</v>
          </cell>
        </row>
        <row r="868">
          <cell r="C868" t="str">
            <v>KZMJ00002178</v>
          </cell>
          <cell r="D868" t="str">
            <v>Облигации</v>
          </cell>
          <cell r="E868" t="str">
            <v>Акимат Павлодарской области</v>
          </cell>
          <cell r="F868">
            <v>100</v>
          </cell>
          <cell r="G868">
            <v>100.0078</v>
          </cell>
        </row>
        <row r="869">
          <cell r="C869" t="str">
            <v>KZMF00000952</v>
          </cell>
          <cell r="D869" t="str">
            <v>Облигации</v>
          </cell>
          <cell r="E869" t="str">
            <v>Акимат Павлодарской области</v>
          </cell>
          <cell r="F869">
            <v>100</v>
          </cell>
          <cell r="G869">
            <v>100.0067</v>
          </cell>
        </row>
        <row r="870">
          <cell r="C870" t="str">
            <v>KZMF00000192</v>
          </cell>
          <cell r="D870" t="str">
            <v>Облигации</v>
          </cell>
          <cell r="E870" t="str">
            <v>Акимат Павлодарской области</v>
          </cell>
          <cell r="F870">
            <v>100</v>
          </cell>
          <cell r="G870">
            <v>102.7111</v>
          </cell>
        </row>
        <row r="871">
          <cell r="C871" t="str">
            <v>KZMF00000788</v>
          </cell>
          <cell r="D871" t="str">
            <v>Облигации</v>
          </cell>
          <cell r="E871" t="str">
            <v>Акимат Павлодарской области</v>
          </cell>
          <cell r="F871">
            <v>100</v>
          </cell>
          <cell r="G871">
            <v>100.74939999999999</v>
          </cell>
        </row>
        <row r="872">
          <cell r="C872" t="str">
            <v>KZMJ00002285</v>
          </cell>
          <cell r="D872" t="str">
            <v>Облигации</v>
          </cell>
          <cell r="E872" t="str">
            <v>Акимат Павлодарской области</v>
          </cell>
          <cell r="F872">
            <v>93.522983255825835</v>
          </cell>
          <cell r="G872">
            <v>100.44908325582584</v>
          </cell>
        </row>
        <row r="873">
          <cell r="C873" t="str">
            <v>KZMJ00002582</v>
          </cell>
          <cell r="D873" t="str">
            <v>Облигации</v>
          </cell>
          <cell r="E873" t="str">
            <v>Акимат Павлодарской области</v>
          </cell>
          <cell r="F873">
            <v>96.433433229027273</v>
          </cell>
          <cell r="G873">
            <v>101.31593322902727</v>
          </cell>
        </row>
        <row r="874">
          <cell r="C874" t="str">
            <v>KZMJ00002764</v>
          </cell>
          <cell r="D874" t="str">
            <v>Облигации</v>
          </cell>
          <cell r="E874" t="str">
            <v>Акимат Павлодарской области</v>
          </cell>
          <cell r="F874">
            <v>96.517299493850786</v>
          </cell>
          <cell r="G874">
            <v>100.13979949385079</v>
          </cell>
        </row>
        <row r="875">
          <cell r="C875" t="str">
            <v>KZMJ00002814</v>
          </cell>
          <cell r="D875" t="str">
            <v>Облигации</v>
          </cell>
          <cell r="E875" t="str">
            <v>Акимат Павлодарской области</v>
          </cell>
          <cell r="F875">
            <v>96.661158866675223</v>
          </cell>
          <cell r="G875">
            <v>98.498658866675214</v>
          </cell>
        </row>
        <row r="876">
          <cell r="C876" t="str">
            <v>KZMF00000242</v>
          </cell>
          <cell r="D876" t="str">
            <v>Облигации</v>
          </cell>
          <cell r="E876" t="str">
            <v>Акимат Павлодарской области</v>
          </cell>
          <cell r="F876">
            <v>100</v>
          </cell>
          <cell r="G876">
            <v>101.88079999999999</v>
          </cell>
        </row>
        <row r="877">
          <cell r="C877" t="str">
            <v>KZMF00000515</v>
          </cell>
          <cell r="D877" t="str">
            <v>Облигации</v>
          </cell>
          <cell r="E877" t="str">
            <v>Акимат Павлодарской области</v>
          </cell>
          <cell r="F877">
            <v>100</v>
          </cell>
          <cell r="G877">
            <v>100.7286</v>
          </cell>
        </row>
        <row r="878">
          <cell r="C878" t="str">
            <v>KZMF00000523</v>
          </cell>
          <cell r="D878" t="str">
            <v>Облигации</v>
          </cell>
          <cell r="E878" t="str">
            <v>Акимат Павлодарской области</v>
          </cell>
          <cell r="F878">
            <v>100</v>
          </cell>
          <cell r="G878">
            <v>100.7286</v>
          </cell>
        </row>
        <row r="879">
          <cell r="C879" t="str">
            <v>KZMF00000622</v>
          </cell>
          <cell r="D879" t="str">
            <v>Облигации</v>
          </cell>
          <cell r="E879" t="str">
            <v>Акимат Павлодарской области</v>
          </cell>
          <cell r="F879">
            <v>100</v>
          </cell>
          <cell r="G879">
            <v>105.69329999999999</v>
          </cell>
        </row>
        <row r="880">
          <cell r="C880" t="str">
            <v>US70450Y1038</v>
          </cell>
          <cell r="D880" t="str">
            <v>Акции</v>
          </cell>
          <cell r="E880" t="str">
            <v>PayPal Holdings Inc.</v>
          </cell>
          <cell r="F880">
            <v>30814.00965</v>
          </cell>
          <cell r="G880">
            <v>30814.00965</v>
          </cell>
        </row>
        <row r="881">
          <cell r="C881" t="str">
            <v>KZ1C00001577</v>
          </cell>
          <cell r="D881" t="str">
            <v>Акции</v>
          </cell>
          <cell r="E881" t="str">
            <v>АО "ПОЗИТИВ-А"</v>
          </cell>
          <cell r="F881">
            <v>0.01</v>
          </cell>
          <cell r="G881">
            <v>0.01</v>
          </cell>
        </row>
        <row r="882">
          <cell r="C882" t="str">
            <v>XS1405782159</v>
          </cell>
          <cell r="D882" t="str">
            <v>Облигации</v>
          </cell>
          <cell r="E882" t="str">
            <v>Министерство финансов Государства Катар</v>
          </cell>
          <cell r="F882">
            <v>99.575000000000003</v>
          </cell>
          <cell r="G882">
            <v>99.602099999999993</v>
          </cell>
        </row>
        <row r="883">
          <cell r="C883" t="str">
            <v>XS2155352664</v>
          </cell>
          <cell r="D883" t="str">
            <v>Облигации</v>
          </cell>
          <cell r="E883" t="str">
            <v>Министерство финансов Государства Катар</v>
          </cell>
          <cell r="F883">
            <v>99.14</v>
          </cell>
          <cell r="G883">
            <v>99.650400000000005</v>
          </cell>
        </row>
        <row r="884">
          <cell r="C884" t="str">
            <v>XS1959337582</v>
          </cell>
          <cell r="D884" t="str">
            <v>Облигации</v>
          </cell>
          <cell r="E884" t="str">
            <v>Министерство финансов Государства Катар</v>
          </cell>
          <cell r="F884">
            <v>100.24</v>
          </cell>
          <cell r="G884">
            <v>101.14</v>
          </cell>
        </row>
        <row r="885">
          <cell r="C885" t="str">
            <v>XS1807174393</v>
          </cell>
          <cell r="D885" t="str">
            <v>Облигации</v>
          </cell>
          <cell r="E885" t="str">
            <v>Министерство финансов Государства Катар</v>
          </cell>
          <cell r="F885">
            <v>101.465</v>
          </cell>
          <cell r="G885">
            <v>101.99</v>
          </cell>
        </row>
        <row r="886">
          <cell r="C886" t="str">
            <v>US7475251036</v>
          </cell>
          <cell r="D886" t="str">
            <v>Акции</v>
          </cell>
          <cell r="E886" t="str">
            <v xml:space="preserve">QUALCOMM Inc. </v>
          </cell>
          <cell r="F886">
            <v>87819.801349999994</v>
          </cell>
          <cell r="G886">
            <v>87819.801349999994</v>
          </cell>
        </row>
        <row r="887">
          <cell r="C887" t="str">
            <v>US46090E1038</v>
          </cell>
          <cell r="D887" t="str">
            <v>Бумаги ин. инвест. фондов. ETF</v>
          </cell>
          <cell r="E887" t="str">
            <v>Invesco Exchange-Traded Fund Trust</v>
          </cell>
          <cell r="F887">
            <v>314831.22509999998</v>
          </cell>
          <cell r="G887">
            <v>314831.22509999998</v>
          </cell>
        </row>
        <row r="888">
          <cell r="C888" t="str">
            <v>KZ000A1CTMZ4</v>
          </cell>
          <cell r="D888" t="str">
            <v>Акции</v>
          </cell>
          <cell r="E888" t="str">
            <v>АО "ЛОТТЕ Рахат"</v>
          </cell>
          <cell r="F888">
            <v>17000.39</v>
          </cell>
          <cell r="G888">
            <v>17000.39</v>
          </cell>
        </row>
        <row r="889">
          <cell r="C889" t="str">
            <v>KZ2C00009363</v>
          </cell>
          <cell r="D889" t="str">
            <v>Облигации</v>
          </cell>
          <cell r="E889" t="str">
            <v>АО "АИФН "RETAM"</v>
          </cell>
          <cell r="F889">
            <v>96.574222733512755</v>
          </cell>
          <cell r="G889">
            <v>103.24092273351276</v>
          </cell>
        </row>
        <row r="890">
          <cell r="C890" t="str">
            <v>KZ2P00007727</v>
          </cell>
          <cell r="D890" t="str">
            <v>Облигации</v>
          </cell>
          <cell r="E890" t="str">
            <v>ТОО "RG Brands Kazakhstan"</v>
          </cell>
          <cell r="F890">
            <v>74.881447312911945</v>
          </cell>
          <cell r="G890">
            <v>84.492547312911952</v>
          </cell>
        </row>
        <row r="891">
          <cell r="C891" t="str">
            <v>KZ2P00009970</v>
          </cell>
          <cell r="D891" t="str">
            <v>Облигации</v>
          </cell>
          <cell r="E891" t="str">
            <v>ТОО "RG Brands Kazakhstan"</v>
          </cell>
          <cell r="F891">
            <v>72.148336547168981</v>
          </cell>
          <cell r="G891">
            <v>81.870536547168982</v>
          </cell>
        </row>
        <row r="892">
          <cell r="C892" t="str">
            <v>KZ1C00000496</v>
          </cell>
          <cell r="D892" t="str">
            <v>Акции</v>
          </cell>
          <cell r="E892" t="str">
            <v>АО "RG Brands"</v>
          </cell>
          <cell r="F892">
            <v>0.01</v>
          </cell>
          <cell r="G892">
            <v>0.01</v>
          </cell>
        </row>
        <row r="893">
          <cell r="C893" t="str">
            <v>KZ1P00000509</v>
          </cell>
          <cell r="D893" t="str">
            <v>Акции</v>
          </cell>
          <cell r="E893" t="str">
            <v>АО "RG Brands"</v>
          </cell>
          <cell r="F893">
            <v>0.01</v>
          </cell>
          <cell r="G893">
            <v>0.01</v>
          </cell>
        </row>
        <row r="894">
          <cell r="C894" t="str">
            <v>KZ1C00005388</v>
          </cell>
          <cell r="D894" t="str">
            <v>Акции</v>
          </cell>
          <cell r="E894" t="str">
            <v>АО "СК "Sinoasia B&amp;R (Синоазия БиЭндАр)"</v>
          </cell>
          <cell r="F894">
            <v>34400</v>
          </cell>
          <cell r="G894">
            <v>34400</v>
          </cell>
        </row>
        <row r="895">
          <cell r="C895" t="str">
            <v>KZ1P00014559</v>
          </cell>
          <cell r="D895" t="str">
            <v>Акции</v>
          </cell>
          <cell r="E895" t="str">
            <v>АО "СК "Sinoasia B&amp;R (Синоазия БиЭндАр)"</v>
          </cell>
          <cell r="F895">
            <v>17800</v>
          </cell>
          <cell r="G895">
            <v>17800</v>
          </cell>
        </row>
        <row r="896">
          <cell r="C896" t="str">
            <v>KZ2P00011133</v>
          </cell>
          <cell r="D896" t="str">
            <v>Акции</v>
          </cell>
          <cell r="E896" t="str">
            <v>ТОО "Сапфир Инвест"</v>
          </cell>
          <cell r="F896">
            <v>1000</v>
          </cell>
          <cell r="G896">
            <v>1000</v>
          </cell>
        </row>
        <row r="897">
          <cell r="C897" t="str">
            <v>KZ1C00000827</v>
          </cell>
          <cell r="D897" t="str">
            <v>Акции</v>
          </cell>
          <cell r="E897" t="str">
            <v>АО "С.А.С."</v>
          </cell>
          <cell r="F897">
            <v>0.01</v>
          </cell>
          <cell r="G897">
            <v>0.01</v>
          </cell>
        </row>
        <row r="898">
          <cell r="C898" t="str">
            <v>KZ1C00000553</v>
          </cell>
          <cell r="D898" t="str">
            <v>Акции</v>
          </cell>
          <cell r="E898" t="str">
            <v>АО "Fincraft Resources"</v>
          </cell>
          <cell r="F898">
            <v>0.01</v>
          </cell>
          <cell r="G898">
            <v>0.01</v>
          </cell>
        </row>
        <row r="899">
          <cell r="C899" t="str">
            <v>KZ1P00000566</v>
          </cell>
          <cell r="D899" t="str">
            <v>Акции</v>
          </cell>
          <cell r="E899" t="str">
            <v>АО "Fincraft Resources"</v>
          </cell>
          <cell r="F899">
            <v>0.01</v>
          </cell>
          <cell r="G899">
            <v>0.01</v>
          </cell>
        </row>
        <row r="900">
          <cell r="C900" t="str">
            <v>XS1694217495</v>
          </cell>
          <cell r="D900" t="str">
            <v>Облигации</v>
          </cell>
          <cell r="E900" t="str">
            <v xml:space="preserve">Министерства финансов Королевства Саудовской Аравии </v>
          </cell>
          <cell r="F900">
            <v>98.975999999999999</v>
          </cell>
          <cell r="G900">
            <v>99.892300000000006</v>
          </cell>
        </row>
        <row r="901">
          <cell r="C901" t="str">
            <v>XS1936302865</v>
          </cell>
          <cell r="D901" t="str">
            <v>Облигации</v>
          </cell>
          <cell r="E901" t="str">
            <v xml:space="preserve">Министерства финансов Королевства Саудовской Аравии </v>
          </cell>
          <cell r="F901">
            <v>100.70008696971648</v>
          </cell>
          <cell r="G901">
            <v>101.29558696971648</v>
          </cell>
        </row>
        <row r="902">
          <cell r="C902" t="str">
            <v>XS2109766126</v>
          </cell>
          <cell r="D902" t="str">
            <v>Облигации</v>
          </cell>
          <cell r="E902" t="str">
            <v xml:space="preserve">Министерства финансов Королевства Саудовской Аравии </v>
          </cell>
          <cell r="F902">
            <v>98.159000000000006</v>
          </cell>
          <cell r="G902">
            <v>99.006200000000007</v>
          </cell>
        </row>
        <row r="903">
          <cell r="C903" t="str">
            <v>XS1508675417</v>
          </cell>
          <cell r="D903" t="str">
            <v>Облигации</v>
          </cell>
          <cell r="E903" t="str">
            <v xml:space="preserve">Министерства финансов Королевства Саудовской Аравии </v>
          </cell>
          <cell r="F903">
            <v>99.263999999999996</v>
          </cell>
          <cell r="G903">
            <v>99.616100000000003</v>
          </cell>
        </row>
        <row r="904">
          <cell r="C904" t="str">
            <v>XS1599284202</v>
          </cell>
          <cell r="D904" t="str">
            <v>Акции</v>
          </cell>
          <cell r="E904" t="str">
            <v xml:space="preserve">Министерства финансов Королевства Саудовской Аравии </v>
          </cell>
          <cell r="F904">
            <v>501.44609530000002</v>
          </cell>
          <cell r="G904">
            <v>501.44609530000002</v>
          </cell>
        </row>
        <row r="905">
          <cell r="C905" t="str">
            <v>US8552441094</v>
          </cell>
          <cell r="D905" t="str">
            <v>Акции</v>
          </cell>
          <cell r="E905" t="str">
            <v>Starbucks Corporation</v>
          </cell>
          <cell r="F905">
            <v>44239.1587</v>
          </cell>
          <cell r="G905">
            <v>44239.1587</v>
          </cell>
        </row>
        <row r="906">
          <cell r="C906" t="str">
            <v>KZ2P00013113</v>
          </cell>
          <cell r="D906" t="str">
            <v>Облигации</v>
          </cell>
          <cell r="E906" t="str">
            <v>ТОО "Скулбас"</v>
          </cell>
          <cell r="F906">
            <v>96.501838855343138</v>
          </cell>
          <cell r="G906">
            <v>98.470638855343125</v>
          </cell>
        </row>
        <row r="907">
          <cell r="C907" t="str">
            <v>KZ2P00014798</v>
          </cell>
          <cell r="D907" t="str">
            <v>Облигации</v>
          </cell>
          <cell r="E907" t="str">
            <v>ТОО "Скулбас"</v>
          </cell>
          <cell r="F907">
            <v>96.052199999999999</v>
          </cell>
          <cell r="G907">
            <v>97.627200000000002</v>
          </cell>
        </row>
        <row r="908">
          <cell r="C908" t="str">
            <v>KZ2C00014355</v>
          </cell>
          <cell r="D908" t="str">
            <v>Облигации</v>
          </cell>
          <cell r="E908" t="str">
            <v>АО "Станция Экибастузская ГРЭС-2"</v>
          </cell>
          <cell r="F908">
            <v>84.127329994240768</v>
          </cell>
          <cell r="G908">
            <v>90.491229994240769</v>
          </cell>
        </row>
        <row r="909">
          <cell r="C909" t="str">
            <v>KZ2P00014632</v>
          </cell>
          <cell r="D909" t="str">
            <v>Акции</v>
          </cell>
          <cell r="E909" t="str">
            <v>ТОО "СФК "СМК ФФ-1"</v>
          </cell>
          <cell r="F909">
            <v>1000</v>
          </cell>
          <cell r="G909">
            <v>1000</v>
          </cell>
        </row>
        <row r="910">
          <cell r="C910" t="str">
            <v>KZSJ00000168</v>
          </cell>
          <cell r="D910" t="str">
            <v>Облигации</v>
          </cell>
          <cell r="E910" t="str">
            <v>Акимат города Шымкент</v>
          </cell>
          <cell r="F910">
            <v>100</v>
          </cell>
          <cell r="G910">
            <v>100.5549</v>
          </cell>
        </row>
        <row r="911">
          <cell r="C911" t="str">
            <v>KZSJ00000184</v>
          </cell>
          <cell r="D911" t="str">
            <v>Облигации</v>
          </cell>
          <cell r="E911" t="str">
            <v>Акимат города Шымкент</v>
          </cell>
          <cell r="F911">
            <v>100</v>
          </cell>
          <cell r="G911">
            <v>100.425</v>
          </cell>
        </row>
        <row r="912">
          <cell r="C912" t="str">
            <v>KZSJ00000218</v>
          </cell>
          <cell r="D912" t="str">
            <v>Облигации</v>
          </cell>
          <cell r="E912" t="str">
            <v>Акимат города Шымкент</v>
          </cell>
          <cell r="F912">
            <v>100</v>
          </cell>
          <cell r="G912">
            <v>100.1771</v>
          </cell>
        </row>
        <row r="913">
          <cell r="C913" t="str">
            <v>KZSJ00000143</v>
          </cell>
          <cell r="D913" t="str">
            <v>Облигации</v>
          </cell>
          <cell r="E913" t="str">
            <v>Акимат города Шымкент</v>
          </cell>
          <cell r="F913">
            <v>100</v>
          </cell>
          <cell r="G913">
            <v>100.17310000000001</v>
          </cell>
        </row>
        <row r="914">
          <cell r="C914" t="str">
            <v>KZSE00000023</v>
          </cell>
          <cell r="D914" t="str">
            <v>Облигации</v>
          </cell>
          <cell r="E914" t="str">
            <v>Акимат города Шымкент</v>
          </cell>
          <cell r="F914">
            <v>97.56921097914028</v>
          </cell>
          <cell r="G914">
            <v>99.849210979140281</v>
          </cell>
        </row>
        <row r="915">
          <cell r="C915" t="str">
            <v>KZSF00000071</v>
          </cell>
          <cell r="D915" t="str">
            <v>Облигации</v>
          </cell>
          <cell r="E915" t="str">
            <v>Акимат города Шымкент</v>
          </cell>
          <cell r="F915">
            <v>100</v>
          </cell>
          <cell r="G915">
            <v>100.0067</v>
          </cell>
        </row>
        <row r="916">
          <cell r="C916" t="str">
            <v>KZSF00000014</v>
          </cell>
          <cell r="D916" t="str">
            <v>Облигации</v>
          </cell>
          <cell r="E916" t="str">
            <v>Акимат города Шымкент</v>
          </cell>
          <cell r="F916">
            <v>100</v>
          </cell>
          <cell r="G916">
            <v>102.7111</v>
          </cell>
        </row>
        <row r="917">
          <cell r="C917" t="str">
            <v>KZSF00000063</v>
          </cell>
          <cell r="D917" t="str">
            <v>Облигации</v>
          </cell>
          <cell r="E917" t="str">
            <v>Акимат города Шымкент</v>
          </cell>
          <cell r="F917">
            <v>100</v>
          </cell>
          <cell r="G917">
            <v>100.74939999999999</v>
          </cell>
        </row>
        <row r="918">
          <cell r="C918" t="str">
            <v>KZSJ00000176</v>
          </cell>
          <cell r="D918" t="str">
            <v>Облигации</v>
          </cell>
          <cell r="E918" t="str">
            <v>Акимат города Шымкент</v>
          </cell>
          <cell r="F918">
            <v>96.528814572170674</v>
          </cell>
          <cell r="G918">
            <v>99.993814572170677</v>
          </cell>
        </row>
        <row r="919">
          <cell r="C919" t="str">
            <v>KZSJ00000192</v>
          </cell>
          <cell r="D919" t="str">
            <v>Облигации</v>
          </cell>
          <cell r="E919" t="str">
            <v>Акимат города Шымкент</v>
          </cell>
          <cell r="F919">
            <v>96.661158866675223</v>
          </cell>
          <cell r="G919">
            <v>98.498658866675214</v>
          </cell>
        </row>
        <row r="920">
          <cell r="C920" t="str">
            <v>KZSJ00000200</v>
          </cell>
          <cell r="D920" t="str">
            <v>Облигации</v>
          </cell>
          <cell r="E920" t="str">
            <v>Акимат города Шымкент</v>
          </cell>
          <cell r="F920">
            <v>96.661158866675223</v>
          </cell>
          <cell r="G920">
            <v>98.498658866675214</v>
          </cell>
        </row>
        <row r="921">
          <cell r="C921" t="str">
            <v>KZSJ00000226</v>
          </cell>
          <cell r="D921" t="str">
            <v>Облигации</v>
          </cell>
          <cell r="E921" t="str">
            <v>Акимат города Шымкент</v>
          </cell>
          <cell r="F921">
            <v>96.7542078904834</v>
          </cell>
          <cell r="G921">
            <v>97.121707890483393</v>
          </cell>
        </row>
        <row r="922">
          <cell r="C922" t="str">
            <v>KZSF00000022</v>
          </cell>
          <cell r="D922" t="str">
            <v>Облигации</v>
          </cell>
          <cell r="E922" t="str">
            <v>Акимат города Шымкент</v>
          </cell>
          <cell r="F922">
            <v>100</v>
          </cell>
          <cell r="G922">
            <v>101.88079999999999</v>
          </cell>
        </row>
        <row r="923">
          <cell r="C923" t="str">
            <v>KZSF00000030</v>
          </cell>
          <cell r="D923" t="str">
            <v>Облигации</v>
          </cell>
          <cell r="E923" t="str">
            <v>Акимат города Шымкент</v>
          </cell>
          <cell r="F923">
            <v>100</v>
          </cell>
          <cell r="G923">
            <v>100.7286</v>
          </cell>
        </row>
        <row r="924">
          <cell r="C924" t="str">
            <v>KZSF00000048</v>
          </cell>
          <cell r="D924" t="str">
            <v>Облигации</v>
          </cell>
          <cell r="E924" t="str">
            <v>Акимат города Шымкент</v>
          </cell>
          <cell r="F924">
            <v>100</v>
          </cell>
          <cell r="G924">
            <v>100.7286</v>
          </cell>
        </row>
        <row r="925">
          <cell r="C925" t="str">
            <v>KZSF00000055</v>
          </cell>
          <cell r="D925" t="str">
            <v>Облигации</v>
          </cell>
          <cell r="E925" t="str">
            <v>Акимат города Шымкент</v>
          </cell>
          <cell r="F925">
            <v>100</v>
          </cell>
          <cell r="G925">
            <v>105.69329999999999</v>
          </cell>
        </row>
        <row r="926">
          <cell r="C926" t="str">
            <v>KZ1C00001445</v>
          </cell>
          <cell r="D926" t="str">
            <v>Акции</v>
          </cell>
          <cell r="E926" t="str">
            <v>АО "Шубарколь Премиум"</v>
          </cell>
          <cell r="F926">
            <v>0.01</v>
          </cell>
          <cell r="G926">
            <v>0.01</v>
          </cell>
        </row>
        <row r="927">
          <cell r="C927" t="str">
            <v>KZ1C00000967</v>
          </cell>
          <cell r="D927" t="str">
            <v>Акции</v>
          </cell>
          <cell r="E927" t="str">
            <v>АО "ШалкияЦинк ЛТД"</v>
          </cell>
          <cell r="F927">
            <v>0.01</v>
          </cell>
          <cell r="G927">
            <v>0.01</v>
          </cell>
        </row>
        <row r="928">
          <cell r="C928" t="str">
            <v>KZ2C00006500</v>
          </cell>
          <cell r="D928" t="str">
            <v>Облигации</v>
          </cell>
          <cell r="E928" t="str">
            <v>АО "СевКазЭнерго"</v>
          </cell>
          <cell r="F928">
            <v>93.039395271324921</v>
          </cell>
          <cell r="G928">
            <v>98.119295271324916</v>
          </cell>
        </row>
        <row r="929">
          <cell r="C929" t="str">
            <v>KZMJ00002798</v>
          </cell>
          <cell r="D929" t="str">
            <v>Облигации</v>
          </cell>
          <cell r="E929" t="str">
            <v>Акимат Северо-Казахстанской области</v>
          </cell>
          <cell r="F929">
            <v>100</v>
          </cell>
          <cell r="G929">
            <v>100.5244</v>
          </cell>
        </row>
        <row r="930">
          <cell r="C930" t="str">
            <v>KZMJ00001865</v>
          </cell>
          <cell r="D930" t="str">
            <v>Облигации</v>
          </cell>
          <cell r="E930" t="str">
            <v>Акимат Северо-Казахстанской области</v>
          </cell>
          <cell r="F930">
            <v>100</v>
          </cell>
          <cell r="G930">
            <v>100.17310000000001</v>
          </cell>
        </row>
        <row r="931">
          <cell r="C931" t="str">
            <v>KZMJ00002038</v>
          </cell>
          <cell r="D931" t="str">
            <v>Облигации</v>
          </cell>
          <cell r="E931" t="str">
            <v>Акимат Северо-Казахстанской области</v>
          </cell>
          <cell r="F931">
            <v>100</v>
          </cell>
          <cell r="G931">
            <v>100.00190000000001</v>
          </cell>
        </row>
        <row r="932">
          <cell r="C932" t="str">
            <v>KZMF00000150</v>
          </cell>
          <cell r="D932" t="str">
            <v>Облигации</v>
          </cell>
          <cell r="E932" t="str">
            <v>Акимат Северо-Казахстанской области</v>
          </cell>
          <cell r="F932">
            <v>100</v>
          </cell>
          <cell r="G932">
            <v>102.7111</v>
          </cell>
        </row>
        <row r="933">
          <cell r="C933" t="str">
            <v>KZMF00000739</v>
          </cell>
          <cell r="D933" t="str">
            <v>Облигации</v>
          </cell>
          <cell r="E933" t="str">
            <v>Акимат Северо-Казахстанской области</v>
          </cell>
          <cell r="F933">
            <v>100</v>
          </cell>
          <cell r="G933">
            <v>100.74939999999999</v>
          </cell>
        </row>
        <row r="934">
          <cell r="C934" t="str">
            <v>KZMJ00002293</v>
          </cell>
          <cell r="D934" t="str">
            <v>Облигации</v>
          </cell>
          <cell r="E934" t="str">
            <v>Акимат Северо-Казахстанской области</v>
          </cell>
          <cell r="F934">
            <v>93.522983255825835</v>
          </cell>
          <cell r="G934">
            <v>100.44908325582584</v>
          </cell>
        </row>
        <row r="935">
          <cell r="C935" t="str">
            <v>KZMJ00002301</v>
          </cell>
          <cell r="D935" t="str">
            <v>Облигации</v>
          </cell>
          <cell r="E935" t="str">
            <v>Акимат Северо-Казахстанской области</v>
          </cell>
          <cell r="F935">
            <v>93.495326025988874</v>
          </cell>
          <cell r="G935">
            <v>99.814726025988875</v>
          </cell>
        </row>
        <row r="936">
          <cell r="C936" t="str">
            <v>KZMJ00002509</v>
          </cell>
          <cell r="D936" t="str">
            <v>Облигации</v>
          </cell>
          <cell r="E936" t="str">
            <v>Акимат Северо-Казахстанской области</v>
          </cell>
          <cell r="F936">
            <v>96.473388500954783</v>
          </cell>
          <cell r="G936">
            <v>101.51338850095478</v>
          </cell>
        </row>
        <row r="937">
          <cell r="C937" t="str">
            <v>KZMJ00002624</v>
          </cell>
          <cell r="D937" t="str">
            <v>Облигации</v>
          </cell>
          <cell r="E937" t="str">
            <v>Акимат Северо-Казахстанской области</v>
          </cell>
          <cell r="F937">
            <v>96.43662793730698</v>
          </cell>
          <cell r="G937">
            <v>101.26662793730698</v>
          </cell>
        </row>
        <row r="938">
          <cell r="C938" t="str">
            <v>KZMJ00002707</v>
          </cell>
          <cell r="D938" t="str">
            <v>Облигации</v>
          </cell>
          <cell r="E938" t="str">
            <v>Акимат Северо-Казахстанской области</v>
          </cell>
          <cell r="F938">
            <v>96.517299493850786</v>
          </cell>
          <cell r="G938">
            <v>100.13979949385079</v>
          </cell>
        </row>
        <row r="939">
          <cell r="C939" t="str">
            <v>KZMF00000143</v>
          </cell>
          <cell r="D939" t="str">
            <v>Облигации</v>
          </cell>
          <cell r="E939" t="str">
            <v>Акимат Северо-Казахстанской области</v>
          </cell>
          <cell r="F939">
            <v>100</v>
          </cell>
          <cell r="G939">
            <v>101.88079999999999</v>
          </cell>
        </row>
        <row r="940">
          <cell r="C940" t="str">
            <v>KZMF00000408</v>
          </cell>
          <cell r="D940" t="str">
            <v>Облигации</v>
          </cell>
          <cell r="E940" t="str">
            <v>Акимат Северо-Казахстанской области</v>
          </cell>
          <cell r="F940">
            <v>100</v>
          </cell>
          <cell r="G940">
            <v>100.7286</v>
          </cell>
        </row>
        <row r="941">
          <cell r="C941" t="str">
            <v>KZMF00000416</v>
          </cell>
          <cell r="D941" t="str">
            <v>Облигации</v>
          </cell>
          <cell r="E941" t="str">
            <v>Акимат Северо-Казахстанской области</v>
          </cell>
          <cell r="F941">
            <v>100</v>
          </cell>
          <cell r="G941">
            <v>100.7286</v>
          </cell>
        </row>
        <row r="942">
          <cell r="C942" t="str">
            <v>KZMF00000598</v>
          </cell>
          <cell r="D942" t="str">
            <v>Облигации</v>
          </cell>
          <cell r="E942" t="str">
            <v>Акимат Северо-Казахстанской области</v>
          </cell>
          <cell r="F942">
            <v>100</v>
          </cell>
          <cell r="G942">
            <v>105.69329999999999</v>
          </cell>
        </row>
        <row r="943">
          <cell r="C943" t="str">
            <v>KZMJ00002608</v>
          </cell>
          <cell r="D943" t="str">
            <v>Облигации</v>
          </cell>
          <cell r="E943" t="str">
            <v>Акимат Северо-Казахстанской области</v>
          </cell>
          <cell r="F943">
            <v>96.458097806628345</v>
          </cell>
          <cell r="G943">
            <v>101.28809780662834</v>
          </cell>
        </row>
        <row r="944">
          <cell r="C944" t="str">
            <v>KZ2C00002319</v>
          </cell>
          <cell r="D944" t="str">
            <v>Облигации</v>
          </cell>
          <cell r="E944" t="str">
            <v>АО "Фонд национального благосостояния "Самрук-Қазына"</v>
          </cell>
          <cell r="F944">
            <v>91.526734927847514</v>
          </cell>
          <cell r="G944">
            <v>95.085034927847516</v>
          </cell>
        </row>
        <row r="945">
          <cell r="C945" t="str">
            <v>KZ2C00015469</v>
          </cell>
          <cell r="D945" t="str">
            <v>Облигации</v>
          </cell>
          <cell r="E945" t="str">
            <v>АО "Фонд национального благосостояния "Самрук-Қазына"</v>
          </cell>
          <cell r="F945">
            <v>31.677943301850668</v>
          </cell>
          <cell r="G945">
            <v>32.484843301850667</v>
          </cell>
        </row>
        <row r="946">
          <cell r="C946" t="str">
            <v>KZ2C00015451</v>
          </cell>
          <cell r="D946" t="str">
            <v>Облигации</v>
          </cell>
          <cell r="E946" t="str">
            <v>АО "Фонд национального благосостояния "Самрук-Қазына"</v>
          </cell>
          <cell r="F946">
            <v>31.677943301850668</v>
          </cell>
          <cell r="G946">
            <v>32.484843301850667</v>
          </cell>
        </row>
        <row r="947">
          <cell r="C947" t="str">
            <v>XS2399149694</v>
          </cell>
          <cell r="D947" t="str">
            <v>Облигации</v>
          </cell>
          <cell r="E947" t="str">
            <v>АО "Фонд национального благосостояния "Самрук-Қазына"</v>
          </cell>
          <cell r="F947">
            <v>97.578296684062593</v>
          </cell>
          <cell r="G947">
            <v>97.783896684062597</v>
          </cell>
        </row>
        <row r="948">
          <cell r="C948" t="str">
            <v>KZ1C00001429</v>
          </cell>
          <cell r="D948" t="str">
            <v>Акции</v>
          </cell>
          <cell r="E948" t="str">
            <v>АО "Компания по страхованию жизни "Standard Life"</v>
          </cell>
          <cell r="F948">
            <v>0.01</v>
          </cell>
          <cell r="G948">
            <v>0.01</v>
          </cell>
        </row>
        <row r="949">
          <cell r="C949" t="str">
            <v>KZ2P00015290</v>
          </cell>
          <cell r="D949" t="str">
            <v>Облигации</v>
          </cell>
          <cell r="E949" t="str">
            <v>ТОО "Smart Leasing"</v>
          </cell>
          <cell r="F949">
            <v>98.060688944666737</v>
          </cell>
          <cell r="G949">
            <v>100.56628894466674</v>
          </cell>
        </row>
        <row r="950">
          <cell r="C950" t="str">
            <v>KZ2C00011849</v>
          </cell>
          <cell r="D950" t="str">
            <v>Облигации</v>
          </cell>
          <cell r="E950" t="str">
            <v>АО "АИФН "SNS INVESTMENTS (СНС ИНВЕСТМЕНТС)"</v>
          </cell>
          <cell r="F950">
            <v>96.314272707215608</v>
          </cell>
          <cell r="G950">
            <v>97.501772707215608</v>
          </cell>
        </row>
        <row r="951">
          <cell r="C951" t="str">
            <v>US78462F1030</v>
          </cell>
          <cell r="D951" t="str">
            <v>Бумаги ин. инвест. фондов. ETF</v>
          </cell>
          <cell r="E951" t="str">
            <v>State Street Global Advisors</v>
          </cell>
          <cell r="F951">
            <v>345731.01844999997</v>
          </cell>
          <cell r="G951">
            <v>345731.01844999997</v>
          </cell>
        </row>
        <row r="952">
          <cell r="C952" t="str">
            <v>KZ1C00000595</v>
          </cell>
          <cell r="D952" t="str">
            <v>Акции</v>
          </cell>
          <cell r="E952" t="str">
            <v>АО "Tin One Mining" (Тин Уан Майнинг)</v>
          </cell>
          <cell r="F952">
            <v>0.01</v>
          </cell>
          <cell r="G952">
            <v>0.01</v>
          </cell>
        </row>
        <row r="953">
          <cell r="C953" t="str">
            <v>KZ2P00013881</v>
          </cell>
          <cell r="D953" t="str">
            <v>Облигации</v>
          </cell>
          <cell r="E953" t="str">
            <v>ТОО "Частная школа имени Шокана Уалиханова"</v>
          </cell>
          <cell r="F953">
            <v>98.384794018713961</v>
          </cell>
          <cell r="G953">
            <v>98.793094018713973</v>
          </cell>
        </row>
        <row r="954">
          <cell r="C954" t="str">
            <v>KZ2C00006344</v>
          </cell>
          <cell r="D954" t="str">
            <v>Облигации</v>
          </cell>
          <cell r="E954" t="str">
            <v>АО "Транстелеком"</v>
          </cell>
          <cell r="F954">
            <v>100</v>
          </cell>
          <cell r="G954">
            <v>104.6319</v>
          </cell>
        </row>
        <row r="955">
          <cell r="C955" t="str">
            <v>KZ2C00006880</v>
          </cell>
          <cell r="D955" t="str">
            <v>Облигации</v>
          </cell>
          <cell r="E955" t="str">
            <v>АО "Транстелеком"</v>
          </cell>
          <cell r="F955">
            <v>100</v>
          </cell>
          <cell r="G955">
            <v>100.5778</v>
          </cell>
        </row>
        <row r="956">
          <cell r="C956" t="str">
            <v>KZ2C00000065</v>
          </cell>
          <cell r="D956" t="str">
            <v>Облигации</v>
          </cell>
          <cell r="E956" t="str">
            <v>АО "ForteBank"</v>
          </cell>
          <cell r="F956">
            <v>100</v>
          </cell>
          <cell r="G956">
            <v>100.13330000000001</v>
          </cell>
        </row>
        <row r="957">
          <cell r="C957" t="str">
            <v>KZ2C00000073</v>
          </cell>
          <cell r="D957" t="str">
            <v>Облигации</v>
          </cell>
          <cell r="E957" t="str">
            <v>АО "ForteBank"</v>
          </cell>
          <cell r="F957">
            <v>100</v>
          </cell>
          <cell r="G957">
            <v>100.13330000000001</v>
          </cell>
        </row>
        <row r="958">
          <cell r="C958" t="str">
            <v>KZ2C00000107</v>
          </cell>
          <cell r="D958" t="str">
            <v>Облигации</v>
          </cell>
          <cell r="E958" t="str">
            <v>АО "ForteBank"</v>
          </cell>
          <cell r="F958">
            <v>100</v>
          </cell>
          <cell r="G958">
            <v>101.13330000000001</v>
          </cell>
        </row>
        <row r="959">
          <cell r="C959" t="str">
            <v>KZ2C00000115</v>
          </cell>
          <cell r="D959" t="str">
            <v>Облигации</v>
          </cell>
          <cell r="E959" t="str">
            <v>АО "ForteBank"</v>
          </cell>
          <cell r="F959">
            <v>100</v>
          </cell>
          <cell r="G959">
            <v>101.13330000000001</v>
          </cell>
        </row>
        <row r="960">
          <cell r="C960" t="str">
            <v>KZ000A1AT8V6</v>
          </cell>
          <cell r="D960" t="str">
            <v>Облигации</v>
          </cell>
          <cell r="E960" t="str">
            <v>АО "ForteBank"</v>
          </cell>
          <cell r="F960">
            <v>100</v>
          </cell>
          <cell r="G960">
            <v>101.13330000000001</v>
          </cell>
        </row>
        <row r="961">
          <cell r="C961" t="str">
            <v>KZ2C00000123</v>
          </cell>
          <cell r="D961" t="str">
            <v>Облигации</v>
          </cell>
          <cell r="E961" t="str">
            <v>АО "ForteBank"</v>
          </cell>
          <cell r="F961">
            <v>100</v>
          </cell>
          <cell r="G961">
            <v>101.13330000000001</v>
          </cell>
        </row>
        <row r="962">
          <cell r="C962" t="str">
            <v>KZ2P00011810</v>
          </cell>
          <cell r="D962" t="str">
            <v>Облигации</v>
          </cell>
          <cell r="E962" t="str">
            <v>ТОО "Терра"</v>
          </cell>
          <cell r="F962">
            <v>91.449297839555243</v>
          </cell>
          <cell r="G962">
            <v>97.26459783955525</v>
          </cell>
        </row>
        <row r="963">
          <cell r="C963" t="str">
            <v>KZMJ00001949</v>
          </cell>
          <cell r="D963" t="str">
            <v>Облигации</v>
          </cell>
          <cell r="E963" t="str">
            <v>ГУ "Аппарат акима Туркестанской области"</v>
          </cell>
          <cell r="F963">
            <v>100</v>
          </cell>
          <cell r="G963">
            <v>101.4521</v>
          </cell>
        </row>
        <row r="964">
          <cell r="C964" t="str">
            <v>KZMJ00001873</v>
          </cell>
          <cell r="D964" t="str">
            <v>Облигации</v>
          </cell>
          <cell r="E964" t="str">
            <v>ГУ "Аппарат акима Туркестанской области"</v>
          </cell>
          <cell r="F964">
            <v>100</v>
          </cell>
          <cell r="G964">
            <v>100.17310000000001</v>
          </cell>
        </row>
        <row r="965">
          <cell r="C965" t="str">
            <v>KZMJ00002152</v>
          </cell>
          <cell r="D965" t="str">
            <v>Облигации</v>
          </cell>
          <cell r="E965" t="str">
            <v>ГУ "Аппарат акима Туркестанской области"</v>
          </cell>
          <cell r="F965">
            <v>100</v>
          </cell>
          <cell r="G965">
            <v>100.0204</v>
          </cell>
        </row>
        <row r="966">
          <cell r="C966" t="str">
            <v>KZMJ00002079</v>
          </cell>
          <cell r="D966" t="str">
            <v>Облигации</v>
          </cell>
          <cell r="E966" t="str">
            <v>ГУ "Аппарат акима Туркестанской области"</v>
          </cell>
          <cell r="F966">
            <v>100</v>
          </cell>
          <cell r="G966">
            <v>100.0193</v>
          </cell>
        </row>
        <row r="967">
          <cell r="C967" t="str">
            <v>KZMF00000861</v>
          </cell>
          <cell r="D967" t="str">
            <v>Облигации</v>
          </cell>
          <cell r="E967" t="str">
            <v>ГУ "Аппарат акима Туркестанской области"</v>
          </cell>
          <cell r="F967">
            <v>100</v>
          </cell>
          <cell r="G967">
            <v>106.7253</v>
          </cell>
        </row>
        <row r="968">
          <cell r="C968" t="str">
            <v>KZMF00001000</v>
          </cell>
          <cell r="D968" t="str">
            <v>Облигации</v>
          </cell>
          <cell r="E968" t="str">
            <v>ГУ "Аппарат акима Туркестанской области"</v>
          </cell>
          <cell r="F968">
            <v>100</v>
          </cell>
          <cell r="G968">
            <v>100.00920000000001</v>
          </cell>
        </row>
        <row r="969">
          <cell r="C969" t="str">
            <v>KZMF00000911</v>
          </cell>
          <cell r="D969" t="str">
            <v>Облигации</v>
          </cell>
          <cell r="E969" t="str">
            <v>ГУ "Аппарат акима Туркестанской области"</v>
          </cell>
          <cell r="F969">
            <v>100</v>
          </cell>
          <cell r="G969">
            <v>100.0097</v>
          </cell>
        </row>
        <row r="970">
          <cell r="C970" t="str">
            <v>KZMF00000184</v>
          </cell>
          <cell r="D970" t="str">
            <v>Облигации</v>
          </cell>
          <cell r="E970" t="str">
            <v>ГУ "Аппарат акима Туркестанской области"</v>
          </cell>
          <cell r="F970">
            <v>100</v>
          </cell>
          <cell r="G970">
            <v>102.7111</v>
          </cell>
        </row>
        <row r="971">
          <cell r="C971" t="str">
            <v>KZMF00000267</v>
          </cell>
          <cell r="D971" t="str">
            <v>Облигации</v>
          </cell>
          <cell r="E971" t="str">
            <v>ГУ "Аппарат акима Туркестанской области"</v>
          </cell>
          <cell r="F971">
            <v>100</v>
          </cell>
          <cell r="G971">
            <v>101.88079999999999</v>
          </cell>
        </row>
        <row r="972">
          <cell r="C972" t="str">
            <v>KZMF00000705</v>
          </cell>
          <cell r="D972" t="str">
            <v>Облигации</v>
          </cell>
          <cell r="E972" t="str">
            <v>ГУ "Аппарат акима Туркестанской области"</v>
          </cell>
          <cell r="F972">
            <v>100</v>
          </cell>
          <cell r="G972">
            <v>104.6258</v>
          </cell>
        </row>
        <row r="973">
          <cell r="C973" t="str">
            <v>KZMF00000556</v>
          </cell>
          <cell r="D973" t="str">
            <v>Облигации</v>
          </cell>
          <cell r="E973" t="str">
            <v>ГУ "Аппарат акима Туркестанской области"</v>
          </cell>
          <cell r="F973">
            <v>100</v>
          </cell>
          <cell r="G973">
            <v>100.7286</v>
          </cell>
        </row>
        <row r="974">
          <cell r="C974" t="str">
            <v>KZMF00000564</v>
          </cell>
          <cell r="D974" t="str">
            <v>Облигации</v>
          </cell>
          <cell r="E974" t="str">
            <v>ГУ "Аппарат акима Туркестанской области"</v>
          </cell>
          <cell r="F974">
            <v>100</v>
          </cell>
          <cell r="G974">
            <v>100.7286</v>
          </cell>
        </row>
        <row r="975">
          <cell r="C975" t="str">
            <v>KZMF00000697</v>
          </cell>
          <cell r="D975" t="str">
            <v>Облигации</v>
          </cell>
          <cell r="E975" t="str">
            <v>ГУ "Аппарат акима Туркестанской области"</v>
          </cell>
          <cell r="F975">
            <v>100</v>
          </cell>
          <cell r="G975">
            <v>105.69329999999999</v>
          </cell>
        </row>
        <row r="976">
          <cell r="C976" t="str">
            <v>US4642874329</v>
          </cell>
          <cell r="D976" t="str">
            <v>Бумаги ин. инвест. фондов. ETF</v>
          </cell>
          <cell r="E976" t="str">
            <v>iShares Trust</v>
          </cell>
          <cell r="F976">
            <v>44864.875099999997</v>
          </cell>
          <cell r="G976">
            <v>44864.875099999997</v>
          </cell>
        </row>
        <row r="977">
          <cell r="C977" t="str">
            <v>KZ2C00003564</v>
          </cell>
          <cell r="D977" t="str">
            <v>Облигации</v>
          </cell>
          <cell r="E977" t="str">
            <v>АО "Национальная компания "Қазақстан темір жолы"</v>
          </cell>
          <cell r="F977">
            <v>96.501326807843171</v>
          </cell>
          <cell r="G977">
            <v>103.48022680784317</v>
          </cell>
        </row>
        <row r="978">
          <cell r="C978" t="str">
            <v>KZ2C00004109</v>
          </cell>
          <cell r="D978" t="str">
            <v>Облигации</v>
          </cell>
          <cell r="E978" t="str">
            <v>АО "Национальная компания "Қазақстан темір жолы"</v>
          </cell>
          <cell r="F978">
            <v>88.067329875470435</v>
          </cell>
          <cell r="G978">
            <v>92.009029875470432</v>
          </cell>
        </row>
        <row r="979">
          <cell r="C979" t="str">
            <v>KZ2C00005866</v>
          </cell>
          <cell r="D979" t="str">
            <v>Облигации</v>
          </cell>
          <cell r="E979" t="str">
            <v>АО "Национальная компания "Қазақстан темір жолы"</v>
          </cell>
          <cell r="F979">
            <v>29.340556212041655</v>
          </cell>
          <cell r="G979">
            <v>29.923856212041656</v>
          </cell>
        </row>
        <row r="980">
          <cell r="C980" t="str">
            <v>KZ2C00005882</v>
          </cell>
          <cell r="D980" t="str">
            <v>Облигации</v>
          </cell>
          <cell r="E980" t="str">
            <v>АО "Национальная компания "Қазақстан темір жолы"</v>
          </cell>
          <cell r="F980">
            <v>68.636355792752724</v>
          </cell>
          <cell r="G980">
            <v>70.616955792752719</v>
          </cell>
        </row>
        <row r="981">
          <cell r="C981" t="str">
            <v>KZ2C00005890</v>
          </cell>
          <cell r="D981" t="str">
            <v>Облигации</v>
          </cell>
          <cell r="E981" t="str">
            <v>АО "Национальная компания "Қазақстан темір жолы"</v>
          </cell>
          <cell r="F981">
            <v>68.709777398794117</v>
          </cell>
          <cell r="G981">
            <v>71.361177398794126</v>
          </cell>
        </row>
        <row r="982">
          <cell r="C982" t="str">
            <v>KZ1C00000405</v>
          </cell>
          <cell r="D982" t="str">
            <v>Акции</v>
          </cell>
          <cell r="E982" t="str">
            <v>АО "ForteLeasing" (ФортеЛизинг)</v>
          </cell>
          <cell r="F982">
            <v>0.01</v>
          </cell>
          <cell r="G982">
            <v>0.01</v>
          </cell>
        </row>
        <row r="983">
          <cell r="C983" t="str">
            <v>KZ1C00007665</v>
          </cell>
          <cell r="D983" t="str">
            <v>Акции</v>
          </cell>
          <cell r="E983" t="str">
            <v>АО "Tengri Partners Investment Banking (Kazakhstan)"</v>
          </cell>
          <cell r="F983">
            <v>2740</v>
          </cell>
          <cell r="G983">
            <v>2740</v>
          </cell>
        </row>
        <row r="984">
          <cell r="C984" t="str">
            <v>US900123CT57</v>
          </cell>
          <cell r="D984" t="str">
            <v>Облигации</v>
          </cell>
          <cell r="E984" t="str">
            <v>Турецкая Республика</v>
          </cell>
          <cell r="F984">
            <v>107.48590872200641</v>
          </cell>
          <cell r="G984">
            <v>108.31190872200641</v>
          </cell>
        </row>
        <row r="985">
          <cell r="C985" t="str">
            <v>KZ000A0Q5HK5</v>
          </cell>
          <cell r="D985" t="str">
            <v>Акции</v>
          </cell>
          <cell r="E985" t="str">
            <v>АО "Alatau City Bank"</v>
          </cell>
          <cell r="F985">
            <v>0.01</v>
          </cell>
          <cell r="G985">
            <v>0.01</v>
          </cell>
        </row>
        <row r="986">
          <cell r="C986" t="str">
            <v>KZ2C00002061</v>
          </cell>
          <cell r="D986" t="str">
            <v>Облигации</v>
          </cell>
          <cell r="E986" t="str">
            <v>АО "Alatau City Bank"</v>
          </cell>
          <cell r="F986">
            <v>83.230597985166938</v>
          </cell>
          <cell r="G986">
            <v>83.255597985166929</v>
          </cell>
        </row>
        <row r="987">
          <cell r="C987" t="str">
            <v>KZ2C00002913</v>
          </cell>
          <cell r="D987" t="str">
            <v>Облигации</v>
          </cell>
          <cell r="E987" t="str">
            <v>АО "Alatau City Bank"</v>
          </cell>
          <cell r="F987">
            <v>10.03894494511076</v>
          </cell>
          <cell r="G987">
            <v>10.108144945110761</v>
          </cell>
        </row>
        <row r="988">
          <cell r="C988" t="str">
            <v>KZ2C00002921</v>
          </cell>
          <cell r="D988" t="str">
            <v>Облигации</v>
          </cell>
          <cell r="E988" t="str">
            <v>АО "Alatau City Bank"</v>
          </cell>
          <cell r="F988">
            <v>27.539268651860265</v>
          </cell>
          <cell r="G988">
            <v>27.624568651860265</v>
          </cell>
        </row>
        <row r="989">
          <cell r="C989" t="str">
            <v>KZ2C00002939</v>
          </cell>
          <cell r="D989" t="str">
            <v>Облигации</v>
          </cell>
          <cell r="E989" t="str">
            <v>АО "Alatau City Bank"</v>
          </cell>
          <cell r="F989">
            <v>27.539268651860265</v>
          </cell>
          <cell r="G989">
            <v>27.624568651860265</v>
          </cell>
        </row>
        <row r="990">
          <cell r="C990" t="str">
            <v>KZ2C00002947</v>
          </cell>
          <cell r="D990" t="str">
            <v>Облигации</v>
          </cell>
          <cell r="E990" t="str">
            <v>АО "Alatau City Bank"</v>
          </cell>
          <cell r="F990">
            <v>4.9378895827956644</v>
          </cell>
          <cell r="G990">
            <v>5.0211895827956647</v>
          </cell>
        </row>
        <row r="991">
          <cell r="C991" t="str">
            <v>KZ2C00004091</v>
          </cell>
          <cell r="D991" t="str">
            <v>Облигации</v>
          </cell>
          <cell r="E991" t="str">
            <v>АО "Alatau City Bank"</v>
          </cell>
          <cell r="F991">
            <v>10.039559373879126</v>
          </cell>
          <cell r="G991">
            <v>10.050659373879126</v>
          </cell>
        </row>
        <row r="992">
          <cell r="C992" t="str">
            <v>KZ2C00004430</v>
          </cell>
          <cell r="D992" t="str">
            <v>Облигации</v>
          </cell>
          <cell r="E992" t="str">
            <v>АО "Alatau City Bank"</v>
          </cell>
          <cell r="F992">
            <v>27.688971931264511</v>
          </cell>
          <cell r="G992">
            <v>27.702871931264511</v>
          </cell>
        </row>
        <row r="993">
          <cell r="C993" t="str">
            <v>KZ2C00004448</v>
          </cell>
          <cell r="D993" t="str">
            <v>Облигации</v>
          </cell>
          <cell r="E993" t="str">
            <v>АО "Alatau City Bank"</v>
          </cell>
          <cell r="F993">
            <v>27.608063576514624</v>
          </cell>
          <cell r="G993">
            <v>27.694963576514624</v>
          </cell>
        </row>
        <row r="994">
          <cell r="C994" t="str">
            <v>KZ2C00004455</v>
          </cell>
          <cell r="D994" t="str">
            <v>Облигации</v>
          </cell>
          <cell r="E994" t="str">
            <v>АО "Alatau City Bank"</v>
          </cell>
          <cell r="F994">
            <v>27.539268651860265</v>
          </cell>
          <cell r="G994">
            <v>27.624568651860265</v>
          </cell>
        </row>
        <row r="995">
          <cell r="C995" t="str">
            <v>KZ2C00004463</v>
          </cell>
          <cell r="D995" t="str">
            <v>Облигации</v>
          </cell>
          <cell r="E995" t="str">
            <v>АО "Alatau City Bank"</v>
          </cell>
          <cell r="F995">
            <v>29</v>
          </cell>
          <cell r="G995">
            <v>29.0869</v>
          </cell>
        </row>
        <row r="996">
          <cell r="C996" t="str">
            <v>KZ2C00007235</v>
          </cell>
          <cell r="D996" t="str">
            <v>Облигации</v>
          </cell>
          <cell r="E996" t="str">
            <v>АО "Alatau City Bank"</v>
          </cell>
          <cell r="F996">
            <v>99.484924838650727</v>
          </cell>
          <cell r="G996">
            <v>108.00992483865072</v>
          </cell>
        </row>
        <row r="997">
          <cell r="C997" t="str">
            <v>KZ000A0T9AL7</v>
          </cell>
          <cell r="D997" t="str">
            <v>Облигации</v>
          </cell>
          <cell r="E997" t="str">
            <v>АО "Alatau City Bank"</v>
          </cell>
          <cell r="F997">
            <v>86.164671434178473</v>
          </cell>
          <cell r="G997">
            <v>89.164671434178473</v>
          </cell>
        </row>
        <row r="998">
          <cell r="C998" t="str">
            <v>KZ000A0RM3V6</v>
          </cell>
          <cell r="D998" t="str">
            <v>Акции</v>
          </cell>
          <cell r="E998" t="str">
            <v>АО "Alatau City Bank"</v>
          </cell>
          <cell r="F998">
            <v>590</v>
          </cell>
          <cell r="G998">
            <v>590</v>
          </cell>
        </row>
        <row r="999">
          <cell r="C999" t="str">
            <v>US88160R1014</v>
          </cell>
          <cell r="D999" t="str">
            <v>Акции</v>
          </cell>
          <cell r="E999" t="str">
            <v>Tesla, Inc.</v>
          </cell>
          <cell r="F999">
            <v>227109.82269999999</v>
          </cell>
          <cell r="G999">
            <v>227109.82269999999</v>
          </cell>
        </row>
        <row r="1000">
          <cell r="C1000" t="str">
            <v>KZ2P00008113</v>
          </cell>
          <cell r="D1000" t="str">
            <v>Облигации</v>
          </cell>
          <cell r="E1000" t="str">
            <v>ТОО "ТССП Групп"</v>
          </cell>
          <cell r="F1000">
            <v>92.207899999999995</v>
          </cell>
          <cell r="G1000">
            <v>94.957899999999995</v>
          </cell>
        </row>
        <row r="1001">
          <cell r="C1001" t="str">
            <v>KZ2P00014301</v>
          </cell>
          <cell r="D1001" t="str">
            <v>Облигации</v>
          </cell>
          <cell r="E1001" t="str">
            <v>ТОО "ТССП Групп"</v>
          </cell>
          <cell r="F1001">
            <v>101.35787149283817</v>
          </cell>
          <cell r="G1001">
            <v>101.93287149283816</v>
          </cell>
        </row>
        <row r="1002">
          <cell r="C1002" t="str">
            <v>KZ2P00016116</v>
          </cell>
          <cell r="D1002" t="str">
            <v>Облигации</v>
          </cell>
          <cell r="E1002" t="str">
            <v>ТОО "TRANZIT TRANS LOGISTICS"</v>
          </cell>
          <cell r="F1002">
            <v>100.74261590924409</v>
          </cell>
          <cell r="G1002">
            <v>100.9370159092441</v>
          </cell>
        </row>
        <row r="1003">
          <cell r="C1003" t="str">
            <v>US8825081040</v>
          </cell>
          <cell r="D1003" t="str">
            <v>Акции</v>
          </cell>
          <cell r="E1003" t="str">
            <v xml:space="preserve">Texas Instruments Inc. </v>
          </cell>
          <cell r="F1003">
            <v>92487.443849999996</v>
          </cell>
          <cell r="G1003">
            <v>92487.443849999996</v>
          </cell>
        </row>
        <row r="1004">
          <cell r="C1004" t="str">
            <v>US00206R1023</v>
          </cell>
          <cell r="D1004" t="str">
            <v>Акции</v>
          </cell>
          <cell r="E1004" t="str">
            <v>AT&amp;T Inc.</v>
          </cell>
          <cell r="F1004">
            <v>12862.508900000001</v>
          </cell>
          <cell r="G1004">
            <v>12862.508900000001</v>
          </cell>
        </row>
        <row r="1005">
          <cell r="C1005" t="str">
            <v>US90353T1007</v>
          </cell>
          <cell r="D1005" t="str">
            <v>Акции</v>
          </cell>
          <cell r="E1005" t="str">
            <v>Uber Technologies Inc.</v>
          </cell>
          <cell r="F1005">
            <v>45445.176599999999</v>
          </cell>
          <cell r="G1005">
            <v>45445.176599999999</v>
          </cell>
        </row>
        <row r="1006">
          <cell r="C1006" t="str">
            <v>KZ1C00001627</v>
          </cell>
          <cell r="D1006" t="str">
            <v>Акции</v>
          </cell>
          <cell r="E1006" t="str">
            <v>АО "ULMUS BESSHOKY (УЛМУС БЕСШОКЫ)"</v>
          </cell>
          <cell r="F1006">
            <v>230803</v>
          </cell>
          <cell r="G1006">
            <v>230803</v>
          </cell>
        </row>
        <row r="1007">
          <cell r="C1007" t="str">
            <v>US37954Y8710</v>
          </cell>
          <cell r="D1007" t="str">
            <v>Бумаги ин. инвест. фондов. ETF</v>
          </cell>
          <cell r="E1007" t="str">
            <v>Mirae Asset Global Investments</v>
          </cell>
          <cell r="F1007">
            <v>23345.781650000001</v>
          </cell>
          <cell r="G1007">
            <v>23345.781650000001</v>
          </cell>
        </row>
        <row r="1008">
          <cell r="C1008" t="str">
            <v>US91282CGM73</v>
          </cell>
          <cell r="D1008" t="str">
            <v>Облигации</v>
          </cell>
          <cell r="E1008" t="str">
            <v>Министерство финансов США</v>
          </cell>
          <cell r="F1008">
            <v>97.671875</v>
          </cell>
          <cell r="G1008">
            <v>98.745874999999998</v>
          </cell>
        </row>
        <row r="1009">
          <cell r="C1009" t="str">
            <v>US91282CHT18</v>
          </cell>
          <cell r="D1009" t="str">
            <v>Облигации</v>
          </cell>
          <cell r="E1009" t="str">
            <v>Министерство финансов США</v>
          </cell>
          <cell r="F1009">
            <v>99.765625</v>
          </cell>
          <cell r="G1009">
            <v>100.95462499999999</v>
          </cell>
        </row>
        <row r="1010">
          <cell r="C1010" t="str">
            <v>US912810FP85</v>
          </cell>
          <cell r="D1010" t="str">
            <v>Облигации</v>
          </cell>
          <cell r="E1010" t="str">
            <v>Министерство финансов США</v>
          </cell>
          <cell r="F1010">
            <v>108.0859375</v>
          </cell>
          <cell r="G1010">
            <v>109.7352375</v>
          </cell>
        </row>
        <row r="1011">
          <cell r="C1011" t="str">
            <v>US912828YX25</v>
          </cell>
          <cell r="D1011" t="str">
            <v>Облигации</v>
          </cell>
          <cell r="E1011" t="str">
            <v>Министерство финансов США</v>
          </cell>
          <cell r="F1011">
            <v>98.08984375</v>
          </cell>
          <cell r="G1011">
            <v>98.847343749999993</v>
          </cell>
        </row>
        <row r="1012">
          <cell r="C1012" t="str">
            <v>US91282CDP32</v>
          </cell>
          <cell r="D1012" t="str">
            <v>Облигации</v>
          </cell>
          <cell r="E1012" t="str">
            <v>Министерство финансов США</v>
          </cell>
          <cell r="F1012">
            <v>93.796875</v>
          </cell>
          <cell r="G1012">
            <v>94.392075000000006</v>
          </cell>
        </row>
        <row r="1013">
          <cell r="C1013" t="str">
            <v>US91282CBL46</v>
          </cell>
          <cell r="D1013" t="str">
            <v>Облигации</v>
          </cell>
          <cell r="E1013" t="str">
            <v>Министерство финансов США</v>
          </cell>
          <cell r="F1013">
            <v>88.1328125</v>
          </cell>
          <cell r="G1013">
            <v>88.478012500000006</v>
          </cell>
        </row>
        <row r="1014">
          <cell r="C1014" t="str">
            <v>US912828V491</v>
          </cell>
          <cell r="D1014" t="str">
            <v>Облигации</v>
          </cell>
          <cell r="E1014" t="str">
            <v>Министерство финансов США</v>
          </cell>
          <cell r="F1014">
            <v>98.90625</v>
          </cell>
          <cell r="G1014">
            <v>99.053150000000002</v>
          </cell>
        </row>
        <row r="1015">
          <cell r="C1015" t="str">
            <v>US91282CJK80</v>
          </cell>
          <cell r="D1015" t="str">
            <v>Облигации</v>
          </cell>
          <cell r="E1015" t="str">
            <v>Министерство финансов США</v>
          </cell>
          <cell r="F1015">
            <v>100.92578125</v>
          </cell>
          <cell r="G1015">
            <v>101.17918125</v>
          </cell>
        </row>
        <row r="1016">
          <cell r="C1016" t="str">
            <v>US91282CKU44</v>
          </cell>
          <cell r="D1016" t="str">
            <v>Облигации</v>
          </cell>
          <cell r="E1016" t="str">
            <v>Министерство финансов США</v>
          </cell>
          <cell r="F1016">
            <v>104.4921875</v>
          </cell>
          <cell r="G1016">
            <v>104.5555875</v>
          </cell>
        </row>
        <row r="1017">
          <cell r="C1017" t="str">
            <v>US91282CKQ32</v>
          </cell>
          <cell r="D1017" t="str">
            <v>Облигации</v>
          </cell>
          <cell r="E1017" t="str">
            <v>Министерство финансов США</v>
          </cell>
          <cell r="F1017">
            <v>102.9375</v>
          </cell>
          <cell r="G1017">
            <v>103.1772</v>
          </cell>
        </row>
        <row r="1018">
          <cell r="C1018" t="str">
            <v>US91282CKB62</v>
          </cell>
          <cell r="D1018" t="str">
            <v>Облигации</v>
          </cell>
          <cell r="E1018" t="str">
            <v>Министерство финансов США</v>
          </cell>
          <cell r="F1018">
            <v>100.21484375</v>
          </cell>
          <cell r="G1018">
            <v>101.43124374999999</v>
          </cell>
        </row>
        <row r="1019">
          <cell r="C1019" t="str">
            <v>US91282CJV46</v>
          </cell>
          <cell r="D1019" t="str">
            <v>Облигации</v>
          </cell>
          <cell r="E1019" t="str">
            <v>Министерство финансов США</v>
          </cell>
          <cell r="F1019">
            <v>100.06640625</v>
          </cell>
          <cell r="G1019">
            <v>101.54520625000001</v>
          </cell>
        </row>
        <row r="1020">
          <cell r="C1020" t="str">
            <v>US912828YQ73</v>
          </cell>
          <cell r="D1020" t="str">
            <v>Облигации</v>
          </cell>
          <cell r="E1020" t="str">
            <v>Министерство финансов США</v>
          </cell>
          <cell r="F1020">
            <v>98.24609375</v>
          </cell>
          <cell r="G1020">
            <v>98.401893749999999</v>
          </cell>
        </row>
        <row r="1021">
          <cell r="C1021" t="str">
            <v>US912810TW80</v>
          </cell>
          <cell r="D1021" t="str">
            <v>Облигации</v>
          </cell>
          <cell r="E1021" t="str">
            <v>Министерство финансов США</v>
          </cell>
          <cell r="F1021">
            <v>101.171875</v>
          </cell>
          <cell r="G1021">
            <v>101.432175</v>
          </cell>
        </row>
        <row r="1022">
          <cell r="C1022" t="str">
            <v>US912797NU77</v>
          </cell>
          <cell r="D1022" t="str">
            <v>Облигации</v>
          </cell>
          <cell r="E1022" t="str">
            <v>Министерство финансов США</v>
          </cell>
          <cell r="F1022">
            <v>99.775919913194954</v>
          </cell>
          <cell r="G1022">
            <v>99.775919913194954</v>
          </cell>
        </row>
        <row r="1023">
          <cell r="C1023" t="str">
            <v>US912797PD35</v>
          </cell>
          <cell r="D1023" t="str">
            <v>Облигации</v>
          </cell>
          <cell r="E1023" t="str">
            <v>Министерство финансов США</v>
          </cell>
          <cell r="F1023">
            <v>99.510030576530013</v>
          </cell>
          <cell r="G1023">
            <v>99.510030576530013</v>
          </cell>
        </row>
        <row r="1024">
          <cell r="C1024" t="str">
            <v>US912797PM34</v>
          </cell>
          <cell r="D1024" t="str">
            <v>Облигации</v>
          </cell>
          <cell r="E1024" t="str">
            <v>Министерство финансов США</v>
          </cell>
          <cell r="F1024">
            <v>99.240245353372387</v>
          </cell>
          <cell r="G1024">
            <v>99.240245353372387</v>
          </cell>
        </row>
        <row r="1025">
          <cell r="C1025" t="str">
            <v>US912797PV33</v>
          </cell>
          <cell r="D1025" t="str">
            <v>Облигации</v>
          </cell>
          <cell r="E1025" t="str">
            <v>Министерство финансов США</v>
          </cell>
          <cell r="F1025">
            <v>98.970178431019548</v>
          </cell>
          <cell r="G1025">
            <v>98.970178431019548</v>
          </cell>
        </row>
        <row r="1026">
          <cell r="C1026" t="str">
            <v>US91282CMH15</v>
          </cell>
          <cell r="D1026" t="str">
            <v>Облигации</v>
          </cell>
          <cell r="E1026" t="str">
            <v>Министерство финансов США</v>
          </cell>
          <cell r="F1026">
            <v>100.58984375</v>
          </cell>
          <cell r="G1026">
            <v>102.02514375</v>
          </cell>
        </row>
        <row r="1027">
          <cell r="C1027" t="str">
            <v>US912797QD26</v>
          </cell>
          <cell r="D1027" t="str">
            <v>Облигации</v>
          </cell>
          <cell r="E1027" t="str">
            <v>Министерство финансов США</v>
          </cell>
          <cell r="F1027">
            <v>98.692854267252841</v>
          </cell>
          <cell r="G1027">
            <v>98.692854267252841</v>
          </cell>
        </row>
        <row r="1028">
          <cell r="C1028" t="str">
            <v>US912797QN08</v>
          </cell>
          <cell r="D1028" t="str">
            <v>Облигации</v>
          </cell>
          <cell r="E1028" t="str">
            <v>Министерство финансов США</v>
          </cell>
          <cell r="F1028">
            <v>98.430673294514278</v>
          </cell>
          <cell r="G1028">
            <v>98.430673294514278</v>
          </cell>
        </row>
        <row r="1029">
          <cell r="C1029" t="str">
            <v>US912810FJ26</v>
          </cell>
          <cell r="D1029" t="str">
            <v>Облигации</v>
          </cell>
          <cell r="E1029" t="str">
            <v>Министерство финансов США</v>
          </cell>
          <cell r="F1029">
            <v>108.921875</v>
          </cell>
          <cell r="G1029">
            <v>110.80137499999999</v>
          </cell>
        </row>
        <row r="1030">
          <cell r="C1030" t="str">
            <v>US91282CAV37</v>
          </cell>
          <cell r="D1030" t="str">
            <v>Облигации</v>
          </cell>
          <cell r="E1030" t="str">
            <v>Министерство финансов США</v>
          </cell>
          <cell r="F1030">
            <v>87.5078125</v>
          </cell>
          <cell r="G1030">
            <v>87.555712499999998</v>
          </cell>
        </row>
        <row r="1031">
          <cell r="C1031" t="str">
            <v>US912810RJ97</v>
          </cell>
          <cell r="D1031" t="str">
            <v>Облигации</v>
          </cell>
          <cell r="E1031" t="str">
            <v>Министерство финансов США</v>
          </cell>
          <cell r="F1031">
            <v>78.359375</v>
          </cell>
          <cell r="G1031">
            <v>78.523775000000001</v>
          </cell>
        </row>
        <row r="1032">
          <cell r="C1032" t="str">
            <v>US912810SY55</v>
          </cell>
          <cell r="D1032" t="str">
            <v>Облигации</v>
          </cell>
          <cell r="E1032" t="str">
            <v>Министерство финансов США</v>
          </cell>
          <cell r="F1032">
            <v>74.375</v>
          </cell>
          <cell r="G1032">
            <v>74.4983</v>
          </cell>
        </row>
        <row r="1033">
          <cell r="C1033" t="str">
            <v>US91282CBH34</v>
          </cell>
          <cell r="D1033" t="str">
            <v>Облигации</v>
          </cell>
          <cell r="E1033" t="str">
            <v>Министерство финансов США</v>
          </cell>
          <cell r="F1033">
            <v>99.483752235709076</v>
          </cell>
          <cell r="G1033">
            <v>99.614252235709074</v>
          </cell>
        </row>
        <row r="1034">
          <cell r="C1034" t="str">
            <v>US912810TL26</v>
          </cell>
          <cell r="D1034" t="str">
            <v>Облигации</v>
          </cell>
          <cell r="E1034" t="str">
            <v>Министерство финансов США</v>
          </cell>
          <cell r="F1034">
            <v>88.265625</v>
          </cell>
          <cell r="G1034">
            <v>88.484825000000001</v>
          </cell>
        </row>
        <row r="1035">
          <cell r="C1035" t="str">
            <v>US91282CBT71</v>
          </cell>
          <cell r="D1035" t="str">
            <v>Облигации</v>
          </cell>
          <cell r="E1035" t="str">
            <v>Министерство финансов США</v>
          </cell>
          <cell r="F1035">
            <v>99.08984375</v>
          </cell>
          <cell r="G1035">
            <v>99.225443749999997</v>
          </cell>
        </row>
        <row r="1036">
          <cell r="C1036" t="str">
            <v>US91282CCJ80</v>
          </cell>
          <cell r="D1036" t="str">
            <v>Облигации</v>
          </cell>
          <cell r="E1036" t="str">
            <v>Министерство финансов США</v>
          </cell>
          <cell r="F1036">
            <v>98.4375</v>
          </cell>
          <cell r="G1036">
            <v>98.816299999999998</v>
          </cell>
        </row>
        <row r="1037">
          <cell r="C1037" t="str">
            <v>US91282CGA36</v>
          </cell>
          <cell r="D1037" t="str">
            <v>Облигации</v>
          </cell>
          <cell r="E1037" t="str">
            <v>Министерство финансов США</v>
          </cell>
          <cell r="F1037">
            <v>100.00815301549541</v>
          </cell>
          <cell r="G1037">
            <v>101.90405301549541</v>
          </cell>
        </row>
        <row r="1038">
          <cell r="C1038" t="str">
            <v>US91282CEP23</v>
          </cell>
          <cell r="D1038" t="str">
            <v>Облигации</v>
          </cell>
          <cell r="E1038" t="str">
            <v>Министерство финансов США</v>
          </cell>
          <cell r="F1038">
            <v>94.6796875</v>
          </cell>
          <cell r="G1038">
            <v>94.837187499999999</v>
          </cell>
        </row>
        <row r="1039">
          <cell r="C1039" t="str">
            <v>KZMJ00002020</v>
          </cell>
          <cell r="D1039" t="str">
            <v>Облигации</v>
          </cell>
          <cell r="E1039" t="str">
            <v>Акимат области Ұлытау</v>
          </cell>
          <cell r="F1039">
            <v>100</v>
          </cell>
          <cell r="G1039">
            <v>100.0749</v>
          </cell>
        </row>
        <row r="1040">
          <cell r="C1040" t="str">
            <v>KZMJ00002236</v>
          </cell>
          <cell r="D1040" t="str">
            <v>Облигации</v>
          </cell>
          <cell r="E1040" t="str">
            <v>Акимат области Ұлытау</v>
          </cell>
          <cell r="F1040">
            <v>100</v>
          </cell>
          <cell r="G1040">
            <v>100.13509999999999</v>
          </cell>
        </row>
        <row r="1041">
          <cell r="C1041" t="str">
            <v>KZMF00000945</v>
          </cell>
          <cell r="D1041" t="str">
            <v>Облигации</v>
          </cell>
          <cell r="E1041" t="str">
            <v>Акимат области Ұлытау</v>
          </cell>
          <cell r="F1041">
            <v>100</v>
          </cell>
          <cell r="G1041">
            <v>100.0078</v>
          </cell>
        </row>
        <row r="1042">
          <cell r="C1042" t="str">
            <v>KZMJ00002376</v>
          </cell>
          <cell r="D1042" t="str">
            <v>Облигации</v>
          </cell>
          <cell r="E1042" t="str">
            <v>Акимат области Ұлытау</v>
          </cell>
          <cell r="F1042">
            <v>93.495326025988874</v>
          </cell>
          <cell r="G1042">
            <v>99.814726025988875</v>
          </cell>
        </row>
        <row r="1043">
          <cell r="C1043" t="str">
            <v>KZMJ00002533</v>
          </cell>
          <cell r="D1043" t="str">
            <v>Облигации</v>
          </cell>
          <cell r="E1043" t="str">
            <v>Акимат области Ұлытау</v>
          </cell>
          <cell r="F1043">
            <v>96.473388500954783</v>
          </cell>
          <cell r="G1043">
            <v>101.51338850095478</v>
          </cell>
        </row>
        <row r="1044">
          <cell r="C1044" t="str">
            <v>KZMJ00002632</v>
          </cell>
          <cell r="D1044" t="str">
            <v>Облигации</v>
          </cell>
          <cell r="E1044" t="str">
            <v>Акимат области Ұлытау</v>
          </cell>
          <cell r="F1044">
            <v>96.43662793730698</v>
          </cell>
          <cell r="G1044">
            <v>101.26662793730698</v>
          </cell>
        </row>
        <row r="1045">
          <cell r="C1045" t="str">
            <v>KZMJ00002756</v>
          </cell>
          <cell r="D1045" t="str">
            <v>Облигации</v>
          </cell>
          <cell r="E1045" t="str">
            <v>Акимат области Ұлытау</v>
          </cell>
          <cell r="F1045">
            <v>96.517299493850786</v>
          </cell>
          <cell r="G1045">
            <v>100.13979949385079</v>
          </cell>
        </row>
        <row r="1046">
          <cell r="C1046" t="str">
            <v>KZMJ00002822</v>
          </cell>
          <cell r="D1046" t="str">
            <v>Облигации</v>
          </cell>
          <cell r="E1046" t="str">
            <v>Акимат области Ұлытау</v>
          </cell>
          <cell r="F1046">
            <v>96.661158866675223</v>
          </cell>
          <cell r="G1046">
            <v>98.498658866675214</v>
          </cell>
        </row>
        <row r="1047">
          <cell r="C1047" t="str">
            <v>KZ000A1CTM59</v>
          </cell>
          <cell r="D1047" t="str">
            <v>Акции</v>
          </cell>
          <cell r="E1047" t="str">
            <v>АО "Усть-Каменогорский титано-магниевый комбинат"</v>
          </cell>
          <cell r="F1047">
            <v>0.01</v>
          </cell>
          <cell r="G1047">
            <v>0.01</v>
          </cell>
        </row>
        <row r="1048">
          <cell r="C1048" t="str">
            <v>KZ000A1CTM67</v>
          </cell>
          <cell r="D1048" t="str">
            <v>Акции</v>
          </cell>
          <cell r="E1048" t="str">
            <v>АО "Усть-Каменогорский титано-магниевый комбинат"</v>
          </cell>
          <cell r="F1048">
            <v>28000</v>
          </cell>
          <cell r="G1048">
            <v>28000</v>
          </cell>
        </row>
        <row r="1049">
          <cell r="C1049" t="str">
            <v>KZ2C00013811</v>
          </cell>
          <cell r="D1049" t="str">
            <v>Облигации</v>
          </cell>
          <cell r="E1049" t="str">
            <v>АО "Усть-Каменогорский завод промышленной арматуры"</v>
          </cell>
          <cell r="F1049">
            <v>97.206999999999994</v>
          </cell>
          <cell r="G1049">
            <v>97.2667</v>
          </cell>
        </row>
        <row r="1050">
          <cell r="C1050" t="str">
            <v>KZMJ00002186</v>
          </cell>
          <cell r="D1050" t="str">
            <v>Облигации</v>
          </cell>
          <cell r="E1050" t="str">
            <v>Акимат Восточно-Казахстанской области</v>
          </cell>
          <cell r="F1050">
            <v>100</v>
          </cell>
          <cell r="G1050">
            <v>100.0078</v>
          </cell>
        </row>
        <row r="1051">
          <cell r="C1051" t="str">
            <v>KZMF00000994</v>
          </cell>
          <cell r="D1051" t="str">
            <v>Облигации</v>
          </cell>
          <cell r="E1051" t="str">
            <v>Акимат Восточно-Казахстанской области</v>
          </cell>
          <cell r="F1051">
            <v>100</v>
          </cell>
          <cell r="G1051">
            <v>100.00920000000001</v>
          </cell>
        </row>
        <row r="1052">
          <cell r="C1052" t="str">
            <v>KZMF00000937</v>
          </cell>
          <cell r="D1052" t="str">
            <v>Облигации</v>
          </cell>
          <cell r="E1052" t="str">
            <v>Акимат Восточно-Казахстанской области</v>
          </cell>
          <cell r="F1052">
            <v>100</v>
          </cell>
          <cell r="G1052">
            <v>100.00960000000001</v>
          </cell>
        </row>
        <row r="1053">
          <cell r="C1053" t="str">
            <v>KZMF00000101</v>
          </cell>
          <cell r="D1053" t="str">
            <v>Облигации</v>
          </cell>
          <cell r="E1053" t="str">
            <v>Акимат Восточно-Казахстанской области</v>
          </cell>
          <cell r="F1053">
            <v>100</v>
          </cell>
          <cell r="G1053">
            <v>102.7111</v>
          </cell>
        </row>
        <row r="1054">
          <cell r="C1054" t="str">
            <v>KZMF00000747</v>
          </cell>
          <cell r="D1054" t="str">
            <v>Облигации</v>
          </cell>
          <cell r="E1054" t="str">
            <v>Акимат Восточно-Казахстанской области</v>
          </cell>
          <cell r="F1054">
            <v>100</v>
          </cell>
          <cell r="G1054">
            <v>100.74939999999999</v>
          </cell>
        </row>
        <row r="1055">
          <cell r="C1055" t="str">
            <v>KZMJ00002277</v>
          </cell>
          <cell r="D1055" t="str">
            <v>Облигации</v>
          </cell>
          <cell r="E1055" t="str">
            <v>Акимат Восточно-Казахстанской области</v>
          </cell>
          <cell r="F1055">
            <v>93.522983255825835</v>
          </cell>
          <cell r="G1055">
            <v>100.44908325582584</v>
          </cell>
        </row>
        <row r="1056">
          <cell r="C1056" t="str">
            <v>KZMJ00002327</v>
          </cell>
          <cell r="D1056" t="str">
            <v>Облигации</v>
          </cell>
          <cell r="E1056" t="str">
            <v>Акимат Восточно-Казахстанской области</v>
          </cell>
          <cell r="F1056">
            <v>93.495326025988874</v>
          </cell>
          <cell r="G1056">
            <v>99.814726025988875</v>
          </cell>
        </row>
        <row r="1057">
          <cell r="C1057" t="str">
            <v>KZMJ00002541</v>
          </cell>
          <cell r="D1057" t="str">
            <v>Облигации</v>
          </cell>
          <cell r="E1057" t="str">
            <v>Акимат Восточно-Казахстанской области</v>
          </cell>
          <cell r="F1057">
            <v>96.473388500954783</v>
          </cell>
          <cell r="G1057">
            <v>101.51338850095478</v>
          </cell>
        </row>
        <row r="1058">
          <cell r="C1058" t="str">
            <v>KZMJ00002558</v>
          </cell>
          <cell r="D1058" t="str">
            <v>Облигации</v>
          </cell>
          <cell r="E1058" t="str">
            <v>Акимат Восточно-Казахстанской области</v>
          </cell>
          <cell r="F1058">
            <v>96.473388500954783</v>
          </cell>
          <cell r="G1058">
            <v>101.51338850095478</v>
          </cell>
        </row>
        <row r="1059">
          <cell r="C1059" t="str">
            <v>KZMJ00002723</v>
          </cell>
          <cell r="D1059" t="str">
            <v>Облигации</v>
          </cell>
          <cell r="E1059" t="str">
            <v>Акимат Восточно-Казахстанской области</v>
          </cell>
          <cell r="F1059">
            <v>96.517299493850786</v>
          </cell>
          <cell r="G1059">
            <v>100.13979949385079</v>
          </cell>
        </row>
        <row r="1060">
          <cell r="C1060" t="str">
            <v>KZMJ00002731</v>
          </cell>
          <cell r="D1060" t="str">
            <v>Облигации</v>
          </cell>
          <cell r="E1060" t="str">
            <v>Акимат Восточно-Казахстанской области</v>
          </cell>
          <cell r="F1060">
            <v>96.517299493850786</v>
          </cell>
          <cell r="G1060">
            <v>100.13979949385079</v>
          </cell>
        </row>
        <row r="1061">
          <cell r="C1061" t="str">
            <v>KZMF00000275</v>
          </cell>
          <cell r="D1061" t="str">
            <v>Облигации</v>
          </cell>
          <cell r="E1061" t="str">
            <v>Акимат Восточно-Казахстанской области</v>
          </cell>
          <cell r="F1061">
            <v>100</v>
          </cell>
          <cell r="G1061">
            <v>101.88079999999999</v>
          </cell>
        </row>
        <row r="1062">
          <cell r="C1062" t="str">
            <v>KZMF00000341</v>
          </cell>
          <cell r="D1062" t="str">
            <v>Облигации</v>
          </cell>
          <cell r="E1062" t="str">
            <v>Акимат Восточно-Казахстанской области</v>
          </cell>
          <cell r="F1062">
            <v>100</v>
          </cell>
          <cell r="G1062">
            <v>100.7286</v>
          </cell>
        </row>
        <row r="1063">
          <cell r="C1063" t="str">
            <v>KZMF00000358</v>
          </cell>
          <cell r="D1063" t="str">
            <v>Облигации</v>
          </cell>
          <cell r="E1063" t="str">
            <v>Акимат Восточно-Казахстанской области</v>
          </cell>
          <cell r="F1063">
            <v>100</v>
          </cell>
          <cell r="G1063">
            <v>100.7286</v>
          </cell>
        </row>
        <row r="1064">
          <cell r="C1064" t="str">
            <v>KZMF00000606</v>
          </cell>
          <cell r="D1064" t="str">
            <v>Облигации</v>
          </cell>
          <cell r="E1064" t="str">
            <v>Акимат Восточно-Казахстанской области</v>
          </cell>
          <cell r="F1064">
            <v>100</v>
          </cell>
          <cell r="G1064">
            <v>105.69329999999999</v>
          </cell>
        </row>
        <row r="1065">
          <cell r="C1065" t="str">
            <v>US92343V1044</v>
          </cell>
          <cell r="D1065" t="str">
            <v>Акции</v>
          </cell>
          <cell r="E1065" t="str">
            <v>Verizon Communications Inc.</v>
          </cell>
          <cell r="F1065">
            <v>20681.440849999999</v>
          </cell>
          <cell r="G1065">
            <v>20681.440849999999</v>
          </cell>
        </row>
        <row r="1066">
          <cell r="C1066" t="str">
            <v>US81369Y3080</v>
          </cell>
          <cell r="D1066" t="str">
            <v>Бумаги ин. инвест. фондов. ETF</v>
          </cell>
          <cell r="E1066" t="str">
            <v xml:space="preserve">The Select Sector SPDR Trust  </v>
          </cell>
          <cell r="F1066">
            <v>39785.975449999998</v>
          </cell>
          <cell r="G1066">
            <v>39785.975449999998</v>
          </cell>
        </row>
        <row r="1067">
          <cell r="C1067" t="str">
            <v>US81369Y8865</v>
          </cell>
          <cell r="D1067" t="str">
            <v>Бумаги ин. инвест. фондов. ETF</v>
          </cell>
          <cell r="E1067" t="str">
            <v xml:space="preserve">The Select Sector SPDR Trust  </v>
          </cell>
          <cell r="F1067">
            <v>44095.344850000001</v>
          </cell>
          <cell r="G1067">
            <v>44095.344850000001</v>
          </cell>
        </row>
        <row r="1068">
          <cell r="C1068" t="str">
            <v>US30231G1022</v>
          </cell>
          <cell r="D1068" t="str">
            <v>Акции</v>
          </cell>
          <cell r="E1068" t="str">
            <v>Exxon Mobil Corporation</v>
          </cell>
          <cell r="F1068">
            <v>59571.733549999997</v>
          </cell>
          <cell r="G1068">
            <v>59571.733549999997</v>
          </cell>
        </row>
        <row r="1069">
          <cell r="C1069" t="str">
            <v>KZ1C00003821</v>
          </cell>
          <cell r="D1069" t="str">
            <v>Акции</v>
          </cell>
          <cell r="E1069" t="str">
            <v>АО "Жалтырбулак"</v>
          </cell>
          <cell r="F1069">
            <v>1000</v>
          </cell>
          <cell r="G1069">
            <v>1000</v>
          </cell>
        </row>
        <row r="1070">
          <cell r="C1070" t="str">
            <v>USN97716AA72</v>
          </cell>
          <cell r="D1070" t="str">
            <v>Акции</v>
          </cell>
          <cell r="E1070" t="str">
            <v>ТОО "Жаикмунай"</v>
          </cell>
          <cell r="F1070">
            <v>0.01</v>
          </cell>
          <cell r="G1070">
            <v>0.01</v>
          </cell>
        </row>
        <row r="1071">
          <cell r="C1071" t="str">
            <v>USN64884AA29</v>
          </cell>
          <cell r="D1071" t="str">
            <v>Акции</v>
          </cell>
          <cell r="E1071" t="str">
            <v>ТОО "Жаикмунай"</v>
          </cell>
          <cell r="F1071">
            <v>0.01</v>
          </cell>
          <cell r="G1071">
            <v>0.01</v>
          </cell>
        </row>
        <row r="1072">
          <cell r="C1072" t="str">
            <v>KZMJ00001899</v>
          </cell>
          <cell r="D1072" t="str">
            <v>Облигации</v>
          </cell>
          <cell r="E1072" t="str">
            <v>Акимат Западно-Казахстанской области</v>
          </cell>
          <cell r="F1072">
            <v>100</v>
          </cell>
          <cell r="G1072">
            <v>101.6056</v>
          </cell>
        </row>
        <row r="1073">
          <cell r="C1073" t="str">
            <v>KZMJ00002780</v>
          </cell>
          <cell r="D1073" t="str">
            <v>Облигации</v>
          </cell>
          <cell r="E1073" t="str">
            <v>Акимат Западно-Казахстанской области</v>
          </cell>
          <cell r="F1073">
            <v>100</v>
          </cell>
          <cell r="G1073">
            <v>100.5244</v>
          </cell>
        </row>
        <row r="1074">
          <cell r="C1074" t="str">
            <v>KZMJ00001816</v>
          </cell>
          <cell r="D1074" t="str">
            <v>Облигации</v>
          </cell>
          <cell r="E1074" t="str">
            <v>Акимат Западно-Казахстанской области</v>
          </cell>
          <cell r="F1074">
            <v>100</v>
          </cell>
          <cell r="G1074">
            <v>100.0175</v>
          </cell>
        </row>
        <row r="1075">
          <cell r="C1075" t="str">
            <v>KZMJ00002129</v>
          </cell>
          <cell r="D1075" t="str">
            <v>Облигации</v>
          </cell>
          <cell r="E1075" t="str">
            <v>Акимат Западно-Казахстанской области</v>
          </cell>
          <cell r="F1075">
            <v>100</v>
          </cell>
          <cell r="G1075">
            <v>100.0457</v>
          </cell>
        </row>
        <row r="1076">
          <cell r="C1076" t="str">
            <v>KZMJ00002228</v>
          </cell>
          <cell r="D1076" t="str">
            <v>Облигации</v>
          </cell>
          <cell r="E1076" t="str">
            <v>Акимат Западно-Казахстанской области</v>
          </cell>
          <cell r="F1076">
            <v>100</v>
          </cell>
          <cell r="G1076">
            <v>100.13509999999999</v>
          </cell>
        </row>
        <row r="1077">
          <cell r="C1077" t="str">
            <v>KZMF00000986</v>
          </cell>
          <cell r="D1077" t="str">
            <v>Облигации</v>
          </cell>
          <cell r="E1077" t="str">
            <v>Акимат Западно-Казахстанской области</v>
          </cell>
          <cell r="F1077">
            <v>100</v>
          </cell>
          <cell r="G1077">
            <v>100.00920000000001</v>
          </cell>
        </row>
        <row r="1078">
          <cell r="C1078" t="str">
            <v>KZMF00000119</v>
          </cell>
          <cell r="D1078" t="str">
            <v>Облигации</v>
          </cell>
          <cell r="E1078" t="str">
            <v>Акимат Западно-Казахстанской области</v>
          </cell>
          <cell r="F1078">
            <v>100</v>
          </cell>
          <cell r="G1078">
            <v>102.7111</v>
          </cell>
        </row>
        <row r="1079">
          <cell r="C1079" t="str">
            <v>KZMF00000713</v>
          </cell>
          <cell r="D1079" t="str">
            <v>Облигации</v>
          </cell>
          <cell r="E1079" t="str">
            <v>Акимат Западно-Казахстанской области</v>
          </cell>
          <cell r="F1079">
            <v>100</v>
          </cell>
          <cell r="G1079">
            <v>100.74939999999999</v>
          </cell>
        </row>
        <row r="1080">
          <cell r="C1080" t="str">
            <v>KZMJ00002319</v>
          </cell>
          <cell r="D1080" t="str">
            <v>Облигации</v>
          </cell>
          <cell r="E1080" t="str">
            <v>Акимат Западно-Казахстанской области</v>
          </cell>
          <cell r="F1080">
            <v>93.522983255825835</v>
          </cell>
          <cell r="G1080">
            <v>100.44908325582584</v>
          </cell>
        </row>
        <row r="1081">
          <cell r="C1081" t="str">
            <v>KZMJ00002517</v>
          </cell>
          <cell r="D1081" t="str">
            <v>Облигации</v>
          </cell>
          <cell r="E1081" t="str">
            <v>Акимат Западно-Казахстанской области</v>
          </cell>
          <cell r="F1081">
            <v>96.473388500954783</v>
          </cell>
          <cell r="G1081">
            <v>101.51338850095478</v>
          </cell>
        </row>
        <row r="1082">
          <cell r="C1082" t="str">
            <v>KZMJ00002863</v>
          </cell>
          <cell r="D1082" t="str">
            <v>Облигации</v>
          </cell>
          <cell r="E1082" t="str">
            <v>Акимат Западно-Казахстанской области</v>
          </cell>
          <cell r="F1082">
            <v>102.11679474634693</v>
          </cell>
          <cell r="G1082">
            <v>104.08069474634692</v>
          </cell>
        </row>
        <row r="1083">
          <cell r="C1083" t="str">
            <v>KZMF00000127</v>
          </cell>
          <cell r="D1083" t="str">
            <v>Облигации</v>
          </cell>
          <cell r="E1083" t="str">
            <v>Акимат Западно-Казахстанской области</v>
          </cell>
          <cell r="F1083">
            <v>100</v>
          </cell>
          <cell r="G1083">
            <v>101.88079999999999</v>
          </cell>
        </row>
        <row r="1084">
          <cell r="C1084" t="str">
            <v>KZMF00000135</v>
          </cell>
          <cell r="D1084" t="str">
            <v>Облигации</v>
          </cell>
          <cell r="E1084" t="str">
            <v>Акимат Западно-Казахстанской области</v>
          </cell>
          <cell r="F1084">
            <v>100</v>
          </cell>
          <cell r="G1084">
            <v>100.7286</v>
          </cell>
        </row>
        <row r="1085">
          <cell r="C1085" t="str">
            <v>KZMF00000440</v>
          </cell>
          <cell r="D1085" t="str">
            <v>Облигации</v>
          </cell>
          <cell r="E1085" t="str">
            <v>Акимат Западно-Казахстанской области</v>
          </cell>
          <cell r="F1085">
            <v>100</v>
          </cell>
          <cell r="G1085">
            <v>100.7286</v>
          </cell>
        </row>
        <row r="1086">
          <cell r="C1086" t="str">
            <v>KZMJ00002590</v>
          </cell>
          <cell r="D1086" t="str">
            <v>Облигации</v>
          </cell>
          <cell r="E1086" t="str">
            <v>Акимат Западно-Казахстанской области</v>
          </cell>
          <cell r="F1086">
            <v>96.458097806628345</v>
          </cell>
          <cell r="G1086">
            <v>101.28809780662834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7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26566166067.197166</v>
      </c>
    </row>
    <row r="2" spans="1:17" x14ac:dyDescent="0.2">
      <c r="A2" s="6" t="s">
        <v>64</v>
      </c>
      <c r="B2" s="6" t="s">
        <v>113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550000</v>
      </c>
      <c r="D8" s="15">
        <v>550000000</v>
      </c>
      <c r="E8" s="16">
        <v>12</v>
      </c>
      <c r="F8" s="17" t="s">
        <v>73</v>
      </c>
      <c r="G8" s="17" t="s">
        <v>74</v>
      </c>
      <c r="H8" s="16">
        <v>491343050</v>
      </c>
      <c r="I8" s="18">
        <f>VLOOKUP($B$8,'[1]Цены KASE'!C5:G1084,4,0)</f>
        <v>86.742999999999995</v>
      </c>
      <c r="J8" s="18">
        <f>VLOOKUP($B$8,'[1]Цены KASE'!C5:G1084,5,0)</f>
        <v>95.676299999999998</v>
      </c>
      <c r="K8" s="16">
        <v>49499999.999999993</v>
      </c>
      <c r="L8" s="16">
        <v>526586500</v>
      </c>
      <c r="M8" s="19">
        <f t="shared" ref="M8:M24" si="0">L8/$Q$1</f>
        <v>1.9821697216980353E-2</v>
      </c>
      <c r="O8" s="8">
        <v>749863.88888888899</v>
      </c>
    </row>
    <row r="9" spans="1:17" x14ac:dyDescent="0.2">
      <c r="A9" s="13" t="s">
        <v>66</v>
      </c>
      <c r="B9" s="13" t="s">
        <v>67</v>
      </c>
      <c r="C9" s="14">
        <v>11424000</v>
      </c>
      <c r="D9" s="15">
        <v>1142400000</v>
      </c>
      <c r="E9" s="16">
        <v>0</v>
      </c>
      <c r="F9" s="17" t="s">
        <v>73</v>
      </c>
      <c r="G9" s="17" t="s">
        <v>75</v>
      </c>
      <c r="H9" s="16">
        <v>1003902278.4</v>
      </c>
      <c r="I9" s="18">
        <f>VLOOKUP($B$9,'[1]Цены KASE'!C6:G1085,4,0)</f>
        <v>97.288899999999998</v>
      </c>
      <c r="J9" s="18">
        <f>VLOOKUP($B$9,'[1]Цены KASE'!C6:G1085,5,0)</f>
        <v>97.288899999999998</v>
      </c>
      <c r="K9" s="16"/>
      <c r="L9" s="16">
        <v>1111428393.5999999</v>
      </c>
      <c r="M9" s="19">
        <f t="shared" si="0"/>
        <v>4.1836236014964424E-2</v>
      </c>
      <c r="O9" s="8">
        <v>749863.88888888899</v>
      </c>
    </row>
    <row r="10" spans="1:17" x14ac:dyDescent="0.2">
      <c r="A10" s="13" t="s">
        <v>66</v>
      </c>
      <c r="B10" s="13" t="s">
        <v>76</v>
      </c>
      <c r="C10" s="14">
        <v>2530000</v>
      </c>
      <c r="D10" s="15">
        <v>2530000000</v>
      </c>
      <c r="E10" s="16">
        <v>10.67</v>
      </c>
      <c r="F10" s="17" t="s">
        <v>77</v>
      </c>
      <c r="G10" s="17" t="s">
        <v>78</v>
      </c>
      <c r="H10" s="16">
        <v>2455119589.9966769</v>
      </c>
      <c r="I10" s="18">
        <f>VLOOKUP($B$10,'[1]Цены KASE'!C7:G1086,4,0)</f>
        <v>99.227699999999999</v>
      </c>
      <c r="J10" s="18">
        <f>VLOOKUP($B$10,'[1]Цены KASE'!C7:G1086,5,0)</f>
        <v>103.19929999999999</v>
      </c>
      <c r="K10" s="16">
        <v>101981488.888889</v>
      </c>
      <c r="L10" s="16">
        <v>2612442298.8888879</v>
      </c>
      <c r="M10" s="19">
        <f t="shared" si="0"/>
        <v>9.8337196729136864E-2</v>
      </c>
      <c r="O10" s="8">
        <v>749863.88888888899</v>
      </c>
    </row>
    <row r="11" spans="1:17" x14ac:dyDescent="0.2">
      <c r="A11" s="13" t="s">
        <v>66</v>
      </c>
      <c r="B11" s="13" t="s">
        <v>79</v>
      </c>
      <c r="C11" s="14">
        <v>1897500</v>
      </c>
      <c r="D11" s="15">
        <v>1897500000</v>
      </c>
      <c r="E11" s="16">
        <v>10.55</v>
      </c>
      <c r="F11" s="17" t="s">
        <v>77</v>
      </c>
      <c r="G11" s="17" t="s">
        <v>80</v>
      </c>
      <c r="H11" s="16">
        <v>1708326839.9966669</v>
      </c>
      <c r="I11" s="18">
        <f>VLOOKUP($B$11,'[1]Цены KASE'!C8:G1087,4,0)</f>
        <v>84.115700000000004</v>
      </c>
      <c r="J11" s="18">
        <f>VLOOKUP($B$11,'[1]Цены KASE'!C8:G1087,5,0)</f>
        <v>87.837500000000006</v>
      </c>
      <c r="K11" s="16">
        <v>71733406.25</v>
      </c>
      <c r="L11" s="16">
        <v>1667828813.75</v>
      </c>
      <c r="M11" s="19">
        <f t="shared" si="0"/>
        <v>6.2780184748200005E-2</v>
      </c>
      <c r="O11" s="8">
        <v>749863.88888888899</v>
      </c>
    </row>
    <row r="12" spans="1:17" x14ac:dyDescent="0.2">
      <c r="A12" s="13" t="s">
        <v>66</v>
      </c>
      <c r="B12" s="13" t="s">
        <v>81</v>
      </c>
      <c r="C12" s="14">
        <v>1897500</v>
      </c>
      <c r="D12" s="15">
        <v>1897500000</v>
      </c>
      <c r="E12" s="16">
        <v>10.65</v>
      </c>
      <c r="F12" s="17" t="s">
        <v>77</v>
      </c>
      <c r="G12" s="17" t="s">
        <v>82</v>
      </c>
      <c r="H12" s="16">
        <v>1648500562.5</v>
      </c>
      <c r="I12" s="18">
        <f>VLOOKUP($B$12,'[1]Цены KASE'!C9:G1088,4,0)</f>
        <v>78.1297</v>
      </c>
      <c r="J12" s="18">
        <f>VLOOKUP($B$12,'[1]Цены KASE'!C9:G1088,5,0)</f>
        <v>81.945999999999998</v>
      </c>
      <c r="K12" s="16">
        <v>73536031.25</v>
      </c>
      <c r="L12" s="16">
        <v>1556047088.75</v>
      </c>
      <c r="M12" s="19">
        <f t="shared" si="0"/>
        <v>5.8572512300574087E-2</v>
      </c>
      <c r="O12" s="8">
        <v>749863.88888888899</v>
      </c>
    </row>
    <row r="13" spans="1:17" x14ac:dyDescent="0.2">
      <c r="A13" s="13" t="s">
        <v>66</v>
      </c>
      <c r="B13" s="13" t="s">
        <v>83</v>
      </c>
      <c r="C13" s="14">
        <v>1897500</v>
      </c>
      <c r="D13" s="15">
        <v>1897500000</v>
      </c>
      <c r="E13" s="16">
        <v>8.07</v>
      </c>
      <c r="F13" s="17" t="s">
        <v>77</v>
      </c>
      <c r="G13" s="17" t="s">
        <v>84</v>
      </c>
      <c r="H13" s="16">
        <v>1359122325</v>
      </c>
      <c r="I13" s="18">
        <f>VLOOKUP($B$13,'[1]Цены KASE'!C10:G1089,4,0)</f>
        <v>64.215299999999999</v>
      </c>
      <c r="J13" s="18">
        <f>VLOOKUP($B$13,'[1]Цены KASE'!C10:G1089,5,0)</f>
        <v>68.765900000000002</v>
      </c>
      <c r="K13" s="16">
        <v>87198031.25</v>
      </c>
      <c r="L13" s="16">
        <v>1305683348.75</v>
      </c>
      <c r="M13" s="19">
        <f t="shared" si="0"/>
        <v>4.9148354544173586E-2</v>
      </c>
      <c r="O13" s="8">
        <v>749863.88888888899</v>
      </c>
    </row>
    <row r="14" spans="1:17" x14ac:dyDescent="0.2">
      <c r="A14" s="13" t="s">
        <v>66</v>
      </c>
      <c r="B14" s="13" t="s">
        <v>85</v>
      </c>
      <c r="C14" s="14">
        <v>3162500</v>
      </c>
      <c r="D14" s="15">
        <v>3162500000</v>
      </c>
      <c r="E14" s="16">
        <v>5.49</v>
      </c>
      <c r="F14" s="17" t="s">
        <v>77</v>
      </c>
      <c r="G14" s="17" t="s">
        <v>86</v>
      </c>
      <c r="H14" s="16">
        <v>2627740225</v>
      </c>
      <c r="I14" s="18">
        <f>VLOOKUP($B$14,'[1]Цены KASE'!C11:G1090,4,0)</f>
        <v>87.12</v>
      </c>
      <c r="J14" s="18">
        <f>VLOOKUP($B$14,'[1]Цены KASE'!C11:G1090,5,0)</f>
        <v>90.902000000000001</v>
      </c>
      <c r="K14" s="16">
        <v>120570312.5</v>
      </c>
      <c r="L14" s="16">
        <v>2875740312.5</v>
      </c>
      <c r="M14" s="19">
        <f t="shared" si="0"/>
        <v>0.10824822464882686</v>
      </c>
      <c r="O14" s="8">
        <v>749863.88888888899</v>
      </c>
    </row>
    <row r="15" spans="1:17" x14ac:dyDescent="0.2">
      <c r="A15" s="13" t="s">
        <v>66</v>
      </c>
      <c r="B15" s="13" t="s">
        <v>87</v>
      </c>
      <c r="C15" s="14">
        <v>2469500</v>
      </c>
      <c r="D15" s="15">
        <v>2469500000</v>
      </c>
      <c r="E15" s="16">
        <v>7.68</v>
      </c>
      <c r="F15" s="17" t="s">
        <v>88</v>
      </c>
      <c r="G15" s="17" t="s">
        <v>89</v>
      </c>
      <c r="H15" s="16">
        <v>1827657194</v>
      </c>
      <c r="I15" s="18">
        <f>VLOOKUP($B$15,'[1]Цены KASE'!C12:G1091,4,0)</f>
        <v>76.593000000000004</v>
      </c>
      <c r="J15" s="18">
        <f>VLOOKUP($B$15,'[1]Цены KASE'!C12:G1091,5,0)</f>
        <v>78.982299999999995</v>
      </c>
      <c r="K15" s="16">
        <v>60058240</v>
      </c>
      <c r="L15" s="16">
        <v>1951522375</v>
      </c>
      <c r="M15" s="19">
        <f t="shared" si="0"/>
        <v>7.3458939090562309E-2</v>
      </c>
      <c r="O15" s="8">
        <v>749863.88888888899</v>
      </c>
    </row>
    <row r="16" spans="1:17" x14ac:dyDescent="0.2">
      <c r="A16" s="13" t="s">
        <v>66</v>
      </c>
      <c r="B16" s="13" t="s">
        <v>90</v>
      </c>
      <c r="C16" s="14">
        <v>1897500</v>
      </c>
      <c r="D16" s="15">
        <v>1897500000</v>
      </c>
      <c r="E16" s="16">
        <v>8.4499999999999993</v>
      </c>
      <c r="F16" s="17" t="s">
        <v>77</v>
      </c>
      <c r="G16" s="17" t="s">
        <v>91</v>
      </c>
      <c r="H16" s="16">
        <v>1457889097.496666</v>
      </c>
      <c r="I16" s="18">
        <f>VLOOKUP($B$16,'[1]Цены KASE'!C13:G1092,4,0)</f>
        <v>70.329700000000003</v>
      </c>
      <c r="J16" s="18">
        <f>VLOOKUP($B$16,'[1]Цены KASE'!C13:G1092,5,0)</f>
        <v>75.704800000000006</v>
      </c>
      <c r="K16" s="16">
        <v>102884031.25</v>
      </c>
      <c r="L16" s="16">
        <v>1437390088.75</v>
      </c>
      <c r="M16" s="19">
        <f t="shared" si="0"/>
        <v>5.4106041689050172E-2</v>
      </c>
      <c r="O16" s="8">
        <v>749863.88888888899</v>
      </c>
    </row>
    <row r="17" spans="1:15" x14ac:dyDescent="0.2">
      <c r="A17" s="13" t="s">
        <v>66</v>
      </c>
      <c r="B17" s="13" t="s">
        <v>92</v>
      </c>
      <c r="C17" s="14">
        <v>1897500</v>
      </c>
      <c r="D17" s="15">
        <v>1897500000</v>
      </c>
      <c r="E17" s="16">
        <v>8.07</v>
      </c>
      <c r="F17" s="17" t="s">
        <v>77</v>
      </c>
      <c r="G17" s="17" t="s">
        <v>93</v>
      </c>
      <c r="H17" s="16">
        <v>1338524962.5</v>
      </c>
      <c r="I17" s="18">
        <f>VLOOKUP($B$17,'[1]Цены KASE'!C14:G1093,4,0)</f>
        <v>62.936</v>
      </c>
      <c r="J17" s="18">
        <f>VLOOKUP($B$17,'[1]Цены KASE'!C14:G1093,5,0)</f>
        <v>69.795500000000004</v>
      </c>
      <c r="K17" s="16">
        <v>131009725</v>
      </c>
      <c r="L17" s="16">
        <v>1325220325</v>
      </c>
      <c r="M17" s="19">
        <f t="shared" si="0"/>
        <v>4.9883762739717598E-2</v>
      </c>
      <c r="O17" s="8">
        <v>749863.88888888899</v>
      </c>
    </row>
    <row r="18" spans="1:15" x14ac:dyDescent="0.2">
      <c r="A18" s="13" t="s">
        <v>66</v>
      </c>
      <c r="B18" s="13" t="s">
        <v>94</v>
      </c>
      <c r="C18" s="14">
        <v>1106600</v>
      </c>
      <c r="D18" s="15">
        <v>1106600000</v>
      </c>
      <c r="E18" s="16">
        <v>5.5</v>
      </c>
      <c r="F18" s="17" t="s">
        <v>95</v>
      </c>
      <c r="G18" s="17" t="s">
        <v>96</v>
      </c>
      <c r="H18" s="16">
        <v>999478906.79999995</v>
      </c>
      <c r="I18" s="18">
        <f>VLOOKUP($B$18,'[1]Цены KASE'!C15:G1094,4,0)</f>
        <v>92.665400000000005</v>
      </c>
      <c r="J18" s="18">
        <f>VLOOKUP($B$18,'[1]Цены KASE'!C15:G1094,5,0)</f>
        <v>94.3001</v>
      </c>
      <c r="K18" s="16">
        <v>18427963.888888899</v>
      </c>
      <c r="L18" s="16">
        <v>1043863280.28889</v>
      </c>
      <c r="M18" s="19">
        <f t="shared" si="0"/>
        <v>3.929295923425738E-2</v>
      </c>
      <c r="O18" s="8">
        <v>749863.88888888899</v>
      </c>
    </row>
    <row r="19" spans="1:15" x14ac:dyDescent="0.2">
      <c r="A19" s="13" t="s">
        <v>66</v>
      </c>
      <c r="B19" s="13" t="s">
        <v>97</v>
      </c>
      <c r="C19" s="14">
        <v>897100</v>
      </c>
      <c r="D19" s="15">
        <v>897100000</v>
      </c>
      <c r="E19" s="16">
        <v>17.010000000000002</v>
      </c>
      <c r="F19" s="17" t="s">
        <v>98</v>
      </c>
      <c r="G19" s="17" t="s">
        <v>99</v>
      </c>
      <c r="H19" s="16">
        <v>896985171.20000005</v>
      </c>
      <c r="I19" s="18">
        <f>VLOOKUP($B$19,'[1]Цены KASE'!C16:G1095,4,0)</f>
        <v>102.5604</v>
      </c>
      <c r="J19" s="18">
        <f>VLOOKUP($B$19,'[1]Цены KASE'!C16:G1095,5,0)</f>
        <v>108.13590000000001</v>
      </c>
      <c r="K19" s="16">
        <v>50865570</v>
      </c>
      <c r="L19" s="16">
        <v>970934918.39999998</v>
      </c>
      <c r="M19" s="19">
        <f t="shared" si="0"/>
        <v>3.6547799782026935E-2</v>
      </c>
      <c r="O19" s="8">
        <v>749863.88888888899</v>
      </c>
    </row>
    <row r="20" spans="1:15" x14ac:dyDescent="0.2">
      <c r="A20" s="13" t="s">
        <v>66</v>
      </c>
      <c r="B20" s="13" t="s">
        <v>100</v>
      </c>
      <c r="C20" s="14">
        <v>2391500</v>
      </c>
      <c r="D20" s="15">
        <v>2391500000</v>
      </c>
      <c r="E20" s="16">
        <v>5.3</v>
      </c>
      <c r="F20" s="17" t="s">
        <v>101</v>
      </c>
      <c r="G20" s="17" t="s">
        <v>102</v>
      </c>
      <c r="H20" s="16">
        <v>1903079172</v>
      </c>
      <c r="I20" s="18">
        <f>VLOOKUP($B$20,'[1]Цены KASE'!C17:G1096,4,0)</f>
        <v>82.308199999999999</v>
      </c>
      <c r="J20" s="18">
        <f>VLOOKUP($B$20,'[1]Цены KASE'!C17:G1096,5,0)</f>
        <v>82.985399999999998</v>
      </c>
      <c r="K20" s="16">
        <v>16899933.333333328</v>
      </c>
      <c r="L20" s="16">
        <v>1985300536.333333</v>
      </c>
      <c r="M20" s="19">
        <f t="shared" si="0"/>
        <v>7.4730412032796192E-2</v>
      </c>
      <c r="O20" s="8">
        <v>749863.88888888899</v>
      </c>
    </row>
    <row r="21" spans="1:15" x14ac:dyDescent="0.2">
      <c r="A21" s="13" t="s">
        <v>66</v>
      </c>
      <c r="B21" s="13" t="s">
        <v>103</v>
      </c>
      <c r="C21" s="14">
        <v>1897500</v>
      </c>
      <c r="D21" s="15">
        <v>1897500000</v>
      </c>
      <c r="E21" s="16">
        <v>11</v>
      </c>
      <c r="F21" s="17" t="s">
        <v>77</v>
      </c>
      <c r="G21" s="17" t="s">
        <v>104</v>
      </c>
      <c r="H21" s="16">
        <v>1743261712.5</v>
      </c>
      <c r="I21" s="18">
        <f>VLOOKUP($B$21,'[1]Цены KASE'!C18:G1097,4,0)</f>
        <v>86.088999999999999</v>
      </c>
      <c r="J21" s="18">
        <f>VLOOKUP($B$21,'[1]Цены KASE'!C18:G1097,5,0)</f>
        <v>93.575100000000006</v>
      </c>
      <c r="K21" s="16">
        <v>143208541.66666701</v>
      </c>
      <c r="L21" s="16">
        <v>1776747316.666666</v>
      </c>
      <c r="M21" s="19">
        <f t="shared" si="0"/>
        <v>6.6880080180652113E-2</v>
      </c>
      <c r="O21" s="8">
        <v>749863.88888888899</v>
      </c>
    </row>
    <row r="22" spans="1:15" x14ac:dyDescent="0.2">
      <c r="A22" s="13" t="s">
        <v>66</v>
      </c>
      <c r="B22" s="13" t="s">
        <v>105</v>
      </c>
      <c r="C22" s="14">
        <v>1897500</v>
      </c>
      <c r="D22" s="15">
        <v>1897500000</v>
      </c>
      <c r="E22" s="16">
        <v>10.3</v>
      </c>
      <c r="F22" s="17" t="s">
        <v>77</v>
      </c>
      <c r="G22" s="17" t="s">
        <v>106</v>
      </c>
      <c r="H22" s="16">
        <v>1645329839.996666</v>
      </c>
      <c r="I22" s="18">
        <f>VLOOKUP($B$22,'[1]Цены KASE'!C19:G1098,4,0)</f>
        <v>79.460800000000006</v>
      </c>
      <c r="J22" s="18">
        <f>VLOOKUP($B$22,'[1]Цены KASE'!C19:G1098,5,0)</f>
        <v>86.842500000000001</v>
      </c>
      <c r="K22" s="16">
        <v>141152916.66666701</v>
      </c>
      <c r="L22" s="16">
        <v>1648921596.666666</v>
      </c>
      <c r="M22" s="19">
        <f t="shared" si="0"/>
        <v>6.2068481861320898E-2</v>
      </c>
      <c r="O22" s="8">
        <v>749863.88888888899</v>
      </c>
    </row>
    <row r="23" spans="1:15" x14ac:dyDescent="0.2">
      <c r="A23" s="13" t="s">
        <v>107</v>
      </c>
      <c r="B23" s="13" t="s">
        <v>108</v>
      </c>
      <c r="C23" s="14">
        <v>992234</v>
      </c>
      <c r="D23" s="15">
        <v>992234000</v>
      </c>
      <c r="E23" s="16">
        <v>14.3</v>
      </c>
      <c r="F23" s="17" t="s">
        <v>109</v>
      </c>
      <c r="G23" s="17" t="s">
        <v>110</v>
      </c>
      <c r="H23" s="16">
        <v>991722999.49000001</v>
      </c>
      <c r="I23" s="18">
        <f>VLOOKUP($B$23,'[1]Цены KASE'!C20:G1099,4,0)</f>
        <v>94.453081592475115</v>
      </c>
      <c r="J23" s="18">
        <f>VLOOKUP($B$23,'[1]Цены KASE'!C20:G1099,5,0)</f>
        <v>98.107481592475111</v>
      </c>
      <c r="K23" s="16">
        <v>37048915.077777773</v>
      </c>
      <c r="L23" s="16">
        <v>974244504.68605697</v>
      </c>
      <c r="M23" s="19">
        <f t="shared" si="0"/>
        <v>3.6672378777644357E-2</v>
      </c>
      <c r="O23" s="8">
        <v>749863.88888888899</v>
      </c>
    </row>
    <row r="24" spans="1:15" x14ac:dyDescent="0.2">
      <c r="A24" s="13" t="s">
        <v>66</v>
      </c>
      <c r="B24" s="13" t="s">
        <v>111</v>
      </c>
      <c r="C24" s="14">
        <v>1897500</v>
      </c>
      <c r="D24" s="15">
        <v>1897500000</v>
      </c>
      <c r="E24" s="16">
        <v>10.4</v>
      </c>
      <c r="F24" s="17" t="s">
        <v>77</v>
      </c>
      <c r="G24" s="17" t="s">
        <v>112</v>
      </c>
      <c r="H24" s="16">
        <v>1736743800</v>
      </c>
      <c r="I24" s="18">
        <f>VLOOKUP($B$24,'[1]Цены KASE'!C21:G1100,4,0)</f>
        <v>87.875900000000001</v>
      </c>
      <c r="J24" s="18">
        <f>VLOOKUP($B$24,'[1]Цены KASE'!C21:G1100,5,0)</f>
        <v>94.606999999999999</v>
      </c>
      <c r="K24" s="16">
        <v>128819166.666667</v>
      </c>
      <c r="L24" s="16">
        <v>1796264369.166666</v>
      </c>
      <c r="M24" s="19">
        <f t="shared" si="0"/>
        <v>6.7614738409115832E-2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1334894273.6888902</v>
      </c>
      <c r="L26" s="21">
        <f>SUM(L8:L25)</f>
        <v>26566166067.197166</v>
      </c>
      <c r="M26" s="24">
        <f>SUM(M8:M25)</f>
        <v>0.99999999999999989</v>
      </c>
      <c r="N26" s="7">
        <v>26566166067.197166</v>
      </c>
      <c r="O26" s="61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378325.88</v>
      </c>
    </row>
    <row r="30" spans="1:15" x14ac:dyDescent="0.2">
      <c r="A30" s="27" t="s">
        <v>71</v>
      </c>
      <c r="B30" s="28">
        <v>378325.88</v>
      </c>
      <c r="C30" s="9">
        <v>378325.94</v>
      </c>
      <c r="D30" s="60">
        <f>B30-C30</f>
        <v>-5.9999999997671694E-2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154185</v>
      </c>
      <c r="D35" s="30" t="s">
        <v>68</v>
      </c>
      <c r="E35" s="32" t="s">
        <v>69</v>
      </c>
      <c r="F35" s="32" t="s">
        <v>70</v>
      </c>
      <c r="G35" s="33">
        <v>97.288900022699991</v>
      </c>
      <c r="H35" s="33">
        <f>J35/C35</f>
        <v>97.425637578233932</v>
      </c>
      <c r="I35" s="34">
        <v>15000489.050000001</v>
      </c>
      <c r="J35" s="34">
        <v>15021571.93</v>
      </c>
      <c r="K35" s="35">
        <v>17.100000000000001</v>
      </c>
      <c r="L35" s="35">
        <v>14055.253333333299</v>
      </c>
      <c r="M35" s="29">
        <f>I35+L35</f>
        <v>15014544.303333335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23487515</v>
      </c>
      <c r="D36" s="30" t="s">
        <v>68</v>
      </c>
      <c r="E36" s="32" t="s">
        <v>69</v>
      </c>
      <c r="F36" s="32" t="s">
        <v>70</v>
      </c>
      <c r="G36" s="33">
        <v>97.288899999850983</v>
      </c>
      <c r="H36" s="33">
        <f>J36/C36</f>
        <v>97.425637549566218</v>
      </c>
      <c r="I36" s="34">
        <v>2285074498.0799999</v>
      </c>
      <c r="J36" s="34">
        <v>2288286123.3299999</v>
      </c>
      <c r="K36" s="35">
        <v>17.100000000000001</v>
      </c>
      <c r="L36" s="35">
        <v>2141083.5</v>
      </c>
      <c r="M36" s="29">
        <f>I36+L36</f>
        <v>2287215581.5799999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2302230125.8833332</v>
      </c>
      <c r="N38" s="62">
        <v>2302230125.8833332</v>
      </c>
      <c r="O38" s="63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L26+B29+M38</f>
        <v>28868774518.960503</v>
      </c>
      <c r="C45" s="64">
        <v>28868774519.0205</v>
      </c>
      <c r="D45" s="64">
        <f>__mdDATAItogoActive__-C45</f>
        <v>-5.999755859375E-2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2358632.48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446022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369718.98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120345.4</v>
      </c>
      <c r="D65" s="55"/>
      <c r="G65" s="52"/>
      <c r="O65" s="7"/>
    </row>
    <row r="66" spans="1:15" x14ac:dyDescent="0.2">
      <c r="A66" s="22">
        <v>7</v>
      </c>
      <c r="B66" s="53" t="s">
        <v>59</v>
      </c>
      <c r="C66" s="55">
        <v>60667.22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3355386.08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07.12.2025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2025-12-08T04:52:20Z</dcterms:created>
  <dcterms:modified xsi:type="dcterms:W3CDTF">2025-12-08T07:40:04Z</dcterms:modified>
</cp:coreProperties>
</file>