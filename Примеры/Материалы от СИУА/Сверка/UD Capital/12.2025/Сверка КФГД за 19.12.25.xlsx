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56AE2DDE-D0EB-41D5-B649-BFB0FFD77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ДУ!$C$65:$C$74</definedName>
    <definedName name="__mdDATACurrency__">ДУ!$29:$31</definedName>
    <definedName name="__mdDATADDebt__">ДУ!#REF!</definedName>
    <definedName name="__mdDATAHead__">ДУ!$B$2</definedName>
    <definedName name="__mdDATAItogoActive__">ДУ!$B$50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3" i="1"/>
  <c r="O26" i="1"/>
  <c r="D30" i="1"/>
  <c r="B5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B1" i="2"/>
  <c r="C75" i="1"/>
  <c r="G59" i="1"/>
  <c r="F59" i="1"/>
  <c r="E59" i="1"/>
  <c r="G48" i="1"/>
  <c r="F48" i="1"/>
  <c r="E48" i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M17" i="1" s="1"/>
  <c r="K26" i="1"/>
  <c r="H26" i="1"/>
  <c r="D26" i="1"/>
  <c r="M21" i="1"/>
  <c r="M9" i="1"/>
  <c r="M13" i="1" l="1"/>
  <c r="M24" i="1"/>
  <c r="M20" i="1"/>
  <c r="M16" i="1"/>
  <c r="M12" i="1"/>
  <c r="M8" i="1"/>
  <c r="M22" i="1"/>
  <c r="M18" i="1"/>
  <c r="M14" i="1"/>
  <c r="M10" i="1"/>
  <c r="M23" i="1"/>
  <c r="M19" i="1"/>
  <c r="M15" i="1"/>
  <c r="M11" i="1"/>
  <c r="M26" i="1" l="1"/>
</calcChain>
</file>

<file path=xl/sharedStrings.xml><?xml version="1.0" encoding="utf-8"?>
<sst xmlns="http://schemas.openxmlformats.org/spreadsheetml/2006/main" count="1185" uniqueCount="521">
  <si>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</si>
  <si>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</si>
  <si>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</si>
  <si>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</si>
  <si>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</si>
  <si>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</si>
  <si>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</si>
  <si>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</si>
  <si>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</si>
  <si>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</si>
  <si>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</si>
  <si>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</si>
  <si>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</si>
  <si>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</si>
  <si>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</si>
  <si>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</si>
  <si>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</si>
  <si>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</si>
  <si>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</si>
  <si>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</si>
  <si>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</si>
  <si>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</si>
  <si>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</si>
  <si>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</si>
  <si>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</si>
  <si>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</si>
  <si>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</si>
  <si>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</si>
  <si>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</si>
  <si>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</si>
  <si>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</si>
  <si>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</si>
  <si>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</si>
  <si>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</si>
  <si>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</si>
  <si>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</si>
  <si>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</si>
  <si>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</si>
  <si>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</si>
  <si>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</si>
  <si>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</si>
  <si>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</si>
  <si>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</si>
  <si>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</si>
  <si>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</si>
  <si>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</si>
  <si>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</si>
  <si>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</si>
  <si>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</si>
  <si>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</si>
  <si>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</si>
  <si>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</si>
  <si>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</si>
  <si>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</si>
  <si>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</si>
  <si>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</si>
  <si>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</si>
  <si>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</si>
  <si>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</si>
  <si>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</si>
  <si>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</si>
  <si>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</si>
  <si>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</si>
  <si>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</si>
  <si>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</si>
  <si>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</si>
  <si>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</si>
  <si>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</si>
  <si>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</si>
  <si>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18.12.2025</t>
  </si>
  <si>
    <t>19.12.2025</t>
  </si>
  <si>
    <t>KZKD00000444</t>
  </si>
  <si>
    <t>KZKD00001079</t>
  </si>
  <si>
    <t>KZK200000679</t>
  </si>
  <si>
    <t>22.12.2025</t>
  </si>
  <si>
    <t>XS1263139856</t>
  </si>
  <si>
    <t>KZ96601A861038102391</t>
  </si>
  <si>
    <t>KZKD00000949</t>
  </si>
  <si>
    <t>18.07.2024</t>
  </si>
  <si>
    <t>16.04.2032</t>
  </si>
  <si>
    <t>KZKD00001152</t>
  </si>
  <si>
    <t>26.07.2032</t>
  </si>
  <si>
    <t>KZKD00000741</t>
  </si>
  <si>
    <t>12.05.2034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</si>
  <si>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</si>
  <si>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</si>
  <si>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</si>
  <si>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</si>
  <si>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</si>
  <si>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</si>
  <si>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</si>
  <si>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</si>
  <si>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</si>
  <si>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21.08.2025</t>
  </si>
  <si>
    <t>18.08.2026</t>
  </si>
  <si>
    <t>KZK200000687</t>
  </si>
  <si>
    <t>21.01.2026</t>
  </si>
  <si>
    <t>KZKD00001087</t>
  </si>
  <si>
    <t>31.03.2029</t>
  </si>
  <si>
    <t>KZKD00001129</t>
  </si>
  <si>
    <t>17.03.2031</t>
  </si>
  <si>
    <t>KZKD00000790</t>
  </si>
  <si>
    <t>10.07.2025</t>
  </si>
  <si>
    <t>13.08.2029</t>
  </si>
  <si>
    <t>KZKD00000535</t>
  </si>
  <si>
    <t>27.03.2027</t>
  </si>
  <si>
    <t>KZKD00001160</t>
  </si>
  <si>
    <t>28.07.2029</t>
  </si>
  <si>
    <t>KZKD00000477</t>
  </si>
  <si>
    <t>24.07.2025</t>
  </si>
  <si>
    <t>19.10.2027</t>
  </si>
  <si>
    <t>KZK200000760</t>
  </si>
  <si>
    <t>14.08.2025</t>
  </si>
  <si>
    <t>07.08.2029</t>
  </si>
  <si>
    <t>KZKD00001137</t>
  </si>
  <si>
    <t>12.04.2028</t>
  </si>
  <si>
    <t>KZK100000373</t>
  </si>
  <si>
    <t>06.02.2026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</si>
  <si>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</si>
  <si>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</si>
  <si>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</si>
  <si>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</si>
  <si>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</si>
  <si>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</si>
  <si>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</si>
  <si>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</si>
  <si>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</si>
  <si>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</si>
  <si>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</si>
  <si>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</si>
  <si>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</si>
  <si>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</si>
  <si>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</si>
  <si>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</si>
  <si>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</si>
  <si>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</si>
  <si>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</si>
  <si>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</si>
  <si>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</si>
  <si>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</si>
  <si>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</si>
  <si>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</si>
  <si>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</si>
  <si>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</si>
  <si>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</si>
  <si>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</si>
  <si>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</si>
  <si>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</si>
  <si>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</si>
  <si>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</si>
  <si>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</si>
  <si>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</si>
  <si>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</si>
  <si>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</si>
  <si>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</si>
  <si>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</si>
  <si>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</si>
  <si>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</si>
  <si>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</si>
  <si>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</si>
  <si>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</si>
  <si>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</si>
  <si>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</si>
  <si>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</si>
  <si>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</si>
  <si>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</si>
  <si>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</si>
  <si>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</si>
  <si>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</si>
  <si>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</si>
  <si>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</si>
  <si>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</si>
  <si>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BTRKb9</t>
  </si>
  <si>
    <t>KZ2C00010304</t>
  </si>
  <si>
    <t>MFTSb2</t>
  </si>
  <si>
    <t>KZ2P00010788</t>
  </si>
  <si>
    <t>MFOKb27</t>
  </si>
  <si>
    <t>KZ2C00010833</t>
  </si>
  <si>
    <t>KASAb1</t>
  </si>
  <si>
    <t>KZ2C00013753</t>
  </si>
  <si>
    <t>MFSCb8</t>
  </si>
  <si>
    <t>KZ2P00015712</t>
  </si>
  <si>
    <t>MFRFb24</t>
  </si>
  <si>
    <t>KZ2P00015845</t>
  </si>
  <si>
    <t>JSBNb4</t>
  </si>
  <si>
    <t>KZ2C00011757</t>
  </si>
  <si>
    <t>CLSGb5</t>
  </si>
  <si>
    <t>KZ2P00011612</t>
  </si>
  <si>
    <t>CLSGb4</t>
  </si>
  <si>
    <t>KZ2P00011604</t>
  </si>
  <si>
    <t>BIGDb1</t>
  </si>
  <si>
    <t>KZ2D00012457</t>
  </si>
  <si>
    <t>MFMOb23</t>
  </si>
  <si>
    <t>KZ2P00013154</t>
  </si>
  <si>
    <t>JSBNb6</t>
  </si>
  <si>
    <t>KZ2C00013670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</si>
  <si>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</si>
  <si>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</si>
  <si>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</si>
  <si>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</si>
  <si>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</si>
  <si>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</si>
  <si>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</si>
  <si>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</si>
  <si>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</si>
  <si>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</si>
  <si>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</si>
  <si>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</si>
  <si>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</si>
  <si>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</si>
  <si>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</si>
  <si>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</si>
  <si>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</si>
  <si>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</si>
  <si>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</si>
  <si>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</si>
  <si>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</si>
  <si>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</si>
  <si>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</si>
  <si>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</si>
  <si>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</si>
  <si>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</si>
  <si>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</si>
  <si>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</si>
  <si>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</si>
  <si>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</si>
  <si>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</si>
  <si>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</si>
  <si>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</si>
  <si>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</si>
  <si>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</si>
  <si>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</si>
  <si>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</si>
  <si>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</si>
  <si>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</si>
  <si>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</si>
  <si>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</si>
  <si>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</si>
  <si>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</si>
  <si>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</si>
  <si>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JSBNb5</t>
  </si>
  <si>
    <t>KZ2C00013662</t>
  </si>
  <si>
    <t>BTRKb11</t>
  </si>
  <si>
    <t>KZ2C00011211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</si>
  <si>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</si>
  <si>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</si>
  <si>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</si>
  <si>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</si>
  <si>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</si>
  <si>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</si>
  <si>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</si>
  <si>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</si>
  <si>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</si>
  <si>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</si>
  <si>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</si>
  <si>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</si>
  <si>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</si>
  <si>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</si>
  <si>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</si>
  <si>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</si>
  <si>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</si>
  <si>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</si>
  <si>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</si>
  <si>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</si>
  <si>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</si>
  <si>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</si>
  <si>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</si>
  <si>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</si>
  <si>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</si>
  <si>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</si>
  <si>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</si>
  <si>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</si>
  <si>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</si>
  <si>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</si>
  <si>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</si>
  <si>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</si>
  <si>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</si>
  <si>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</si>
  <si>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</si>
  <si>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</si>
  <si>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</si>
  <si>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</si>
  <si>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</si>
  <si>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</si>
  <si>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</si>
  <si>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</si>
  <si>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</si>
  <si>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</si>
  <si>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</si>
  <si>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</si>
  <si>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</si>
  <si>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</si>
  <si>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</si>
  <si>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</si>
  <si>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</si>
  <si>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</si>
  <si>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</si>
  <si>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</si>
  <si>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</si>
  <si>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</si>
  <si>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</si>
  <si>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</si>
  <si>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</si>
  <si>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</si>
  <si>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</si>
  <si>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</si>
  <si>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</si>
  <si>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</si>
  <si>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</si>
  <si>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</si>
  <si>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</si>
  <si>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</si>
  <si>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</si>
  <si>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</si>
  <si>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</si>
  <si>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</si>
  <si>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</si>
  <si>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</si>
  <si>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</si>
  <si>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</si>
  <si>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</si>
  <si>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</si>
  <si>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</si>
  <si>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</si>
  <si>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</si>
  <si>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</si>
  <si>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</si>
  <si>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</si>
  <si>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</si>
  <si>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</si>
  <si>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</si>
  <si>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</si>
  <si>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</si>
  <si>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</si>
  <si>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</si>
  <si>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</si>
  <si>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</si>
  <si>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</si>
  <si>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</si>
  <si>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</si>
  <si>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</si>
  <si>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</si>
  <si>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</si>
  <si>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</si>
  <si>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</si>
  <si>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</si>
  <si>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</si>
  <si>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</si>
  <si>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</si>
  <si>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</si>
  <si>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</si>
  <si>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</si>
  <si>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</si>
  <si>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</si>
  <si>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</si>
  <si>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</si>
  <si>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</si>
  <si>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</si>
  <si>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</si>
  <si>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</si>
  <si>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</si>
  <si>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</si>
  <si>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</si>
  <si>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</si>
  <si>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</si>
  <si>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</si>
  <si>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</si>
  <si>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</si>
  <si>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</si>
  <si>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</si>
  <si>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</si>
  <si>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</si>
  <si>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</si>
  <si>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</si>
  <si>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</si>
  <si>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</si>
  <si>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</si>
  <si>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</si>
  <si>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</si>
  <si>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</si>
  <si>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</si>
  <si>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</si>
  <si>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</si>
  <si>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</si>
  <si>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</si>
  <si>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</si>
  <si>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</si>
  <si>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</si>
  <si>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</si>
  <si>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</si>
  <si>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</si>
  <si>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</si>
  <si>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</si>
  <si>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</si>
  <si>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</si>
  <si>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</si>
  <si>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</si>
  <si>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</si>
  <si>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</si>
  <si>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</si>
  <si>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</si>
  <si>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</si>
  <si>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</si>
  <si>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</si>
  <si>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</si>
  <si>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</si>
  <si>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</si>
  <si>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</si>
  <si>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</si>
  <si>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</si>
  <si>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</si>
  <si>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</si>
  <si>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</si>
  <si>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</si>
  <si>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</si>
  <si>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</si>
  <si>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</si>
  <si>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</si>
  <si>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</si>
  <si>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</si>
  <si>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</si>
  <si>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</si>
  <si>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</si>
  <si>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</si>
  <si>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</si>
  <si>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</si>
  <si>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</si>
  <si>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</si>
  <si>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</si>
  <si>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</si>
  <si>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</si>
  <si>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</si>
  <si>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</si>
  <si>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</si>
  <si>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</si>
  <si>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</si>
  <si>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</si>
  <si>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</si>
  <si>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</si>
  <si>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</si>
  <si>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</si>
  <si>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</si>
  <si>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</si>
  <si>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</si>
  <si>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</si>
  <si>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</si>
  <si>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</si>
  <si>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</si>
  <si>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</si>
  <si>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</si>
  <si>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</si>
  <si>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</si>
  <si>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</si>
  <si>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</si>
  <si>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</si>
  <si>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</si>
  <si>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</si>
  <si>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</si>
  <si>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</si>
  <si>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</si>
  <si>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</si>
  <si>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</si>
  <si>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</si>
  <si>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</si>
  <si>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</si>
  <si>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</si>
  <si>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</si>
  <si>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</si>
  <si>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</si>
  <si>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</si>
  <si>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</si>
  <si>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</si>
  <si>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</si>
  <si>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</si>
  <si>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</si>
  <si>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</si>
  <si>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</si>
  <si>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АО "Казахстанский фонд устойчивости"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</si>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</sst>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14" workbookViewId="0">
      <selection activeCell="D51" sqref="D51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26971147331.88073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1897500</v>
      </c>
      <c r="D8" s="17">
        <v>1897500000</v>
      </c>
      <c r="E8" s="18">
        <v>8.4499999999999993</v>
      </c>
      <c r="F8" s="19" t="s">
        <v>78</v>
      </c>
      <c r="G8" s="19" t="s">
        <v>79</v>
      </c>
      <c r="H8" s="18">
        <v>1457889097.496666</v>
      </c>
      <c r="I8" s="20">
        <v>71.905200000000008</v>
      </c>
      <c r="J8" s="20">
        <v>77.608900000000006</v>
      </c>
      <c r="K8" s="18">
        <v>108228656.25</v>
      </c>
      <c r="L8" s="18">
        <v>1472629826.25</v>
      </c>
      <c r="M8" s="21">
        <f t="shared" ref="M8:M24" si="0">L8/$Q$1</f>
        <v>5.4600192128619829E-2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1897500</v>
      </c>
      <c r="D9" s="17">
        <v>1897500000</v>
      </c>
      <c r="E9" s="18">
        <v>10.65</v>
      </c>
      <c r="F9" s="19" t="s">
        <v>78</v>
      </c>
      <c r="G9" s="19" t="s">
        <v>81</v>
      </c>
      <c r="H9" s="18">
        <v>1648500562.5</v>
      </c>
      <c r="I9" s="20">
        <v>79.802900000000008</v>
      </c>
      <c r="J9" s="20">
        <v>84.033299999999997</v>
      </c>
      <c r="K9" s="18">
        <v>80272156.25</v>
      </c>
      <c r="L9" s="18">
        <v>1594532183.75</v>
      </c>
      <c r="M9" s="21">
        <f t="shared" si="0"/>
        <v>5.9119924122219808E-2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1897500</v>
      </c>
      <c r="D10" s="17">
        <v>1897500000</v>
      </c>
      <c r="E10" s="18">
        <v>8.07</v>
      </c>
      <c r="F10" s="19" t="s">
        <v>78</v>
      </c>
      <c r="G10" s="19" t="s">
        <v>83</v>
      </c>
      <c r="H10" s="18">
        <v>1359122325</v>
      </c>
      <c r="I10" s="20">
        <v>65.986000000000004</v>
      </c>
      <c r="J10" s="20">
        <v>70.850400000000008</v>
      </c>
      <c r="K10" s="18">
        <v>92302306.25</v>
      </c>
      <c r="L10" s="18">
        <v>1344386656.25</v>
      </c>
      <c r="M10" s="21">
        <f t="shared" si="0"/>
        <v>4.9845363999806318E-2</v>
      </c>
      <c r="O10" s="10">
        <v>749863.88888888899</v>
      </c>
    </row>
    <row r="11" spans="1:17" x14ac:dyDescent="0.2">
      <c r="A11" s="15" t="s">
        <v>66</v>
      </c>
      <c r="B11" s="15" t="s">
        <v>84</v>
      </c>
      <c r="C11" s="16">
        <v>1897500</v>
      </c>
      <c r="D11" s="17">
        <v>1897500000</v>
      </c>
      <c r="E11" s="18">
        <v>8.07</v>
      </c>
      <c r="F11" s="19" t="s">
        <v>78</v>
      </c>
      <c r="G11" s="19" t="s">
        <v>85</v>
      </c>
      <c r="H11" s="18">
        <v>1338524962.5</v>
      </c>
      <c r="I11" s="20">
        <v>64.770499999999998</v>
      </c>
      <c r="J11" s="20">
        <v>71.94380000000001</v>
      </c>
      <c r="K11" s="18">
        <v>136114000</v>
      </c>
      <c r="L11" s="18">
        <v>1365134237.5</v>
      </c>
      <c r="M11" s="21">
        <f t="shared" si="0"/>
        <v>5.0614614969915248E-2</v>
      </c>
      <c r="O11" s="10">
        <v>749863.88888888899</v>
      </c>
    </row>
    <row r="12" spans="1:17" x14ac:dyDescent="0.2">
      <c r="A12" s="15" t="s">
        <v>86</v>
      </c>
      <c r="B12" s="15" t="s">
        <v>87</v>
      </c>
      <c r="C12" s="16">
        <v>992234</v>
      </c>
      <c r="D12" s="17">
        <v>992234000</v>
      </c>
      <c r="E12" s="18">
        <v>14.3</v>
      </c>
      <c r="F12" s="19" t="s">
        <v>88</v>
      </c>
      <c r="G12" s="19" t="s">
        <v>89</v>
      </c>
      <c r="H12" s="18">
        <v>991722999.49000001</v>
      </c>
      <c r="I12" s="20">
        <v>95.205428690000005</v>
      </c>
      <c r="J12" s="20">
        <v>99.416028690000005</v>
      </c>
      <c r="K12" s="18">
        <v>41778563.811111107</v>
      </c>
      <c r="L12" s="18">
        <v>986439197.10295701</v>
      </c>
      <c r="M12" s="21">
        <f t="shared" si="0"/>
        <v>3.6573868547926228E-2</v>
      </c>
      <c r="O12" s="10">
        <v>749863.88888888899</v>
      </c>
    </row>
    <row r="13" spans="1:17" x14ac:dyDescent="0.2">
      <c r="A13" s="15" t="s">
        <v>66</v>
      </c>
      <c r="B13" s="15" t="s">
        <v>90</v>
      </c>
      <c r="C13" s="16">
        <v>550000</v>
      </c>
      <c r="D13" s="17">
        <v>550000000</v>
      </c>
      <c r="E13" s="18">
        <v>12</v>
      </c>
      <c r="F13" s="19" t="s">
        <v>91</v>
      </c>
      <c r="G13" s="19" t="s">
        <v>92</v>
      </c>
      <c r="H13" s="18">
        <v>491343050</v>
      </c>
      <c r="I13" s="20">
        <v>87.990400000000008</v>
      </c>
      <c r="J13" s="20">
        <v>97.3904</v>
      </c>
      <c r="K13" s="18">
        <v>51699999.999999993</v>
      </c>
      <c r="L13" s="18">
        <v>535647200</v>
      </c>
      <c r="M13" s="21">
        <f t="shared" si="0"/>
        <v>1.9860007933991317E-2</v>
      </c>
      <c r="O13" s="10">
        <v>749863.88888888899</v>
      </c>
    </row>
    <row r="14" spans="1:17" x14ac:dyDescent="0.2">
      <c r="A14" s="15" t="s">
        <v>66</v>
      </c>
      <c r="B14" s="15" t="s">
        <v>71</v>
      </c>
      <c r="C14" s="16">
        <v>1106600</v>
      </c>
      <c r="D14" s="17">
        <v>1106600000</v>
      </c>
      <c r="E14" s="18">
        <v>5.5</v>
      </c>
      <c r="F14" s="19" t="s">
        <v>93</v>
      </c>
      <c r="G14" s="19" t="s">
        <v>94</v>
      </c>
      <c r="H14" s="18">
        <v>999478906.79999995</v>
      </c>
      <c r="I14" s="20">
        <v>93.160499999999999</v>
      </c>
      <c r="J14" s="20">
        <v>95.009100000000004</v>
      </c>
      <c r="K14" s="18">
        <v>20456730.555555601</v>
      </c>
      <c r="L14" s="18">
        <v>1051370823.55556</v>
      </c>
      <c r="M14" s="21">
        <f t="shared" si="0"/>
        <v>3.8981316242072031E-2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2530000</v>
      </c>
      <c r="D15" s="17">
        <v>2530000000</v>
      </c>
      <c r="E15" s="18">
        <v>10.67</v>
      </c>
      <c r="F15" s="19" t="s">
        <v>78</v>
      </c>
      <c r="G15" s="19" t="s">
        <v>96</v>
      </c>
      <c r="H15" s="18">
        <v>2455119589.9966769</v>
      </c>
      <c r="I15" s="20">
        <v>99.4602</v>
      </c>
      <c r="J15" s="20">
        <v>103.8468</v>
      </c>
      <c r="K15" s="18">
        <v>110979855.555556</v>
      </c>
      <c r="L15" s="18">
        <v>2627322915.5555549</v>
      </c>
      <c r="M15" s="21">
        <f t="shared" si="0"/>
        <v>9.7412352660651486E-2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1897500</v>
      </c>
      <c r="D16" s="17">
        <v>1897500000</v>
      </c>
      <c r="E16" s="18">
        <v>11</v>
      </c>
      <c r="F16" s="19" t="s">
        <v>78</v>
      </c>
      <c r="G16" s="19" t="s">
        <v>98</v>
      </c>
      <c r="H16" s="18">
        <v>1743261712.5</v>
      </c>
      <c r="I16" s="20">
        <v>87.094099999999997</v>
      </c>
      <c r="J16" s="20">
        <v>95.00800000000001</v>
      </c>
      <c r="K16" s="18">
        <v>150166041.66666701</v>
      </c>
      <c r="L16" s="18">
        <v>1802776589.166666</v>
      </c>
      <c r="M16" s="21">
        <f t="shared" si="0"/>
        <v>6.6840930679865018E-2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1897500</v>
      </c>
      <c r="D17" s="17">
        <v>1897500000</v>
      </c>
      <c r="E17" s="18">
        <v>10.3</v>
      </c>
      <c r="F17" s="19" t="s">
        <v>78</v>
      </c>
      <c r="G17" s="19" t="s">
        <v>100</v>
      </c>
      <c r="H17" s="18">
        <v>1645329839.996666</v>
      </c>
      <c r="I17" s="20">
        <v>80.911500000000004</v>
      </c>
      <c r="J17" s="20">
        <v>88.693700000000007</v>
      </c>
      <c r="K17" s="18">
        <v>147667666.66666701</v>
      </c>
      <c r="L17" s="18">
        <v>1682963379.166666</v>
      </c>
      <c r="M17" s="21">
        <f t="shared" si="0"/>
        <v>6.2398657293208704E-2</v>
      </c>
      <c r="O17" s="10">
        <v>749863.88888888899</v>
      </c>
    </row>
    <row r="18" spans="1:15" x14ac:dyDescent="0.2">
      <c r="A18" s="15" t="s">
        <v>66</v>
      </c>
      <c r="B18" s="15" t="s">
        <v>101</v>
      </c>
      <c r="C18" s="16">
        <v>2469500</v>
      </c>
      <c r="D18" s="17">
        <v>2469500000</v>
      </c>
      <c r="E18" s="18">
        <v>7.68</v>
      </c>
      <c r="F18" s="19" t="s">
        <v>102</v>
      </c>
      <c r="G18" s="19" t="s">
        <v>103</v>
      </c>
      <c r="H18" s="18">
        <v>1827657194</v>
      </c>
      <c r="I18" s="20">
        <v>77.679000000000002</v>
      </c>
      <c r="J18" s="20">
        <v>80.367000000000004</v>
      </c>
      <c r="K18" s="18">
        <v>66380160</v>
      </c>
      <c r="L18" s="18">
        <v>1984663065</v>
      </c>
      <c r="M18" s="21">
        <f t="shared" si="0"/>
        <v>7.3584673302127826E-2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3162500</v>
      </c>
      <c r="D19" s="17">
        <v>3162500000</v>
      </c>
      <c r="E19" s="18">
        <v>5.49</v>
      </c>
      <c r="F19" s="19" t="s">
        <v>78</v>
      </c>
      <c r="G19" s="19" t="s">
        <v>105</v>
      </c>
      <c r="H19" s="18">
        <v>2627740225</v>
      </c>
      <c r="I19" s="20">
        <v>87.734800000000007</v>
      </c>
      <c r="J19" s="20">
        <v>91.7303</v>
      </c>
      <c r="K19" s="18">
        <v>126357687.5</v>
      </c>
      <c r="L19" s="18">
        <v>2900970737.5</v>
      </c>
      <c r="M19" s="21">
        <f t="shared" si="0"/>
        <v>0.10755829931161152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1897500</v>
      </c>
      <c r="D20" s="17">
        <v>1897500000</v>
      </c>
      <c r="E20" s="18">
        <v>10.55</v>
      </c>
      <c r="F20" s="19" t="s">
        <v>78</v>
      </c>
      <c r="G20" s="19" t="s">
        <v>107</v>
      </c>
      <c r="H20" s="18">
        <v>1708326839.9966669</v>
      </c>
      <c r="I20" s="20">
        <v>85.184400000000011</v>
      </c>
      <c r="J20" s="20">
        <v>89.316500000000005</v>
      </c>
      <c r="K20" s="18">
        <v>78406281.25</v>
      </c>
      <c r="L20" s="18">
        <v>1694780271.25</v>
      </c>
      <c r="M20" s="21">
        <f t="shared" si="0"/>
        <v>6.2836788157199286E-2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2391500</v>
      </c>
      <c r="D21" s="17">
        <v>2391500000</v>
      </c>
      <c r="E21" s="18">
        <v>5.3</v>
      </c>
      <c r="F21" s="19" t="s">
        <v>109</v>
      </c>
      <c r="G21" s="19" t="s">
        <v>110</v>
      </c>
      <c r="H21" s="18">
        <v>1903079172</v>
      </c>
      <c r="I21" s="20">
        <v>83.023499999999999</v>
      </c>
      <c r="J21" s="20">
        <v>83.906800000000004</v>
      </c>
      <c r="K21" s="18">
        <v>21124916.66666666</v>
      </c>
      <c r="L21" s="18">
        <v>2006631919.166666</v>
      </c>
      <c r="M21" s="21">
        <f t="shared" si="0"/>
        <v>7.4399204990243967E-2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897100</v>
      </c>
      <c r="D22" s="17">
        <v>897100000</v>
      </c>
      <c r="E22" s="18">
        <v>17.010000000000002</v>
      </c>
      <c r="F22" s="19" t="s">
        <v>112</v>
      </c>
      <c r="G22" s="19" t="s">
        <v>113</v>
      </c>
      <c r="H22" s="18">
        <v>896985171.20000005</v>
      </c>
      <c r="I22" s="20">
        <v>103.5895</v>
      </c>
      <c r="J22" s="20">
        <v>109.82650000000001</v>
      </c>
      <c r="K22" s="18">
        <v>55952127</v>
      </c>
      <c r="L22" s="18">
        <v>985253531.5</v>
      </c>
      <c r="M22" s="21">
        <f t="shared" si="0"/>
        <v>3.6529908030104447E-2</v>
      </c>
      <c r="O22" s="10">
        <v>749863.88888888899</v>
      </c>
    </row>
    <row r="23" spans="1:15" x14ac:dyDescent="0.2">
      <c r="A23" s="15" t="s">
        <v>66</v>
      </c>
      <c r="B23" s="15" t="s">
        <v>114</v>
      </c>
      <c r="C23" s="16">
        <v>1897500</v>
      </c>
      <c r="D23" s="17">
        <v>1897500000</v>
      </c>
      <c r="E23" s="18">
        <v>10.4</v>
      </c>
      <c r="F23" s="19" t="s">
        <v>78</v>
      </c>
      <c r="G23" s="19" t="s">
        <v>115</v>
      </c>
      <c r="H23" s="18">
        <v>1736743800</v>
      </c>
      <c r="I23" s="20">
        <v>88.629900000000006</v>
      </c>
      <c r="J23" s="20">
        <v>95.765500000000003</v>
      </c>
      <c r="K23" s="18">
        <v>135397166.66666701</v>
      </c>
      <c r="L23" s="18">
        <v>1817149519.166666</v>
      </c>
      <c r="M23" s="21">
        <f t="shared" si="0"/>
        <v>6.7373830887006395E-2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11424000</v>
      </c>
      <c r="D24" s="17">
        <v>1142400000</v>
      </c>
      <c r="E24" s="18">
        <v>0</v>
      </c>
      <c r="F24" s="19" t="s">
        <v>91</v>
      </c>
      <c r="G24" s="19" t="s">
        <v>117</v>
      </c>
      <c r="H24" s="18">
        <v>1003902278.4</v>
      </c>
      <c r="I24" s="20">
        <v>97.907499999999999</v>
      </c>
      <c r="J24" s="20">
        <v>97.907499999999999</v>
      </c>
      <c r="K24" s="18"/>
      <c r="L24" s="18">
        <v>1118495280</v>
      </c>
      <c r="M24" s="21">
        <f t="shared" si="0"/>
        <v>4.1470066743430824E-2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1423284316.0888903</v>
      </c>
      <c r="L26" s="23">
        <f>SUM(L8:L25)</f>
        <v>26971147331.88073</v>
      </c>
      <c r="M26" s="26">
        <f>SUM(M8:M25)</f>
        <v>1.0000000000000004</v>
      </c>
      <c r="N26" s="9">
        <v>26971147331.880733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523207.1</v>
      </c>
    </row>
    <row r="30" spans="1:15" x14ac:dyDescent="0.2">
      <c r="A30" s="29" t="s">
        <v>76</v>
      </c>
      <c r="B30" s="30">
        <v>523207.1</v>
      </c>
      <c r="C30" s="11">
        <v>523207.16</v>
      </c>
      <c r="D30" s="62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14157</v>
      </c>
      <c r="D35" s="32" t="s">
        <v>68</v>
      </c>
      <c r="E35" s="34" t="s">
        <v>69</v>
      </c>
      <c r="F35" s="34" t="s">
        <v>70</v>
      </c>
      <c r="G35" s="35">
        <v>918.33500035318207</v>
      </c>
      <c r="H35" s="35">
        <f t="shared" ref="H35:H41" si="1">J35/C35</f>
        <v>918.76276824185913</v>
      </c>
      <c r="I35" s="36">
        <v>13000868.59999999</v>
      </c>
      <c r="J35" s="36">
        <v>13006924.51</v>
      </c>
      <c r="K35" s="37">
        <v>17.002000000000002</v>
      </c>
      <c r="L35" s="37">
        <v>6055.91</v>
      </c>
      <c r="M35" s="31">
        <f t="shared" ref="M35:M41" si="2">I35+L35</f>
        <v>13006924.50999999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2422092</v>
      </c>
      <c r="D36" s="32" t="s">
        <v>68</v>
      </c>
      <c r="E36" s="34" t="s">
        <v>69</v>
      </c>
      <c r="F36" s="34" t="s">
        <v>70</v>
      </c>
      <c r="G36" s="35">
        <v>949.57800000165105</v>
      </c>
      <c r="H36" s="35">
        <f t="shared" si="1"/>
        <v>950.02052936469806</v>
      </c>
      <c r="I36" s="36">
        <v>2299965277.1799989</v>
      </c>
      <c r="J36" s="36">
        <v>2301037124.0100002</v>
      </c>
      <c r="K36" s="37">
        <v>17.010000000000002</v>
      </c>
      <c r="L36" s="37">
        <v>1071846.83</v>
      </c>
      <c r="M36" s="31">
        <f t="shared" si="2"/>
        <v>2301037124.0099988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1394</v>
      </c>
      <c r="D37" s="32" t="s">
        <v>68</v>
      </c>
      <c r="E37" s="34" t="s">
        <v>69</v>
      </c>
      <c r="F37" s="34" t="s">
        <v>70</v>
      </c>
      <c r="G37" s="35">
        <v>717.61900286944001</v>
      </c>
      <c r="H37" s="35">
        <f t="shared" si="1"/>
        <v>717.95323529411769</v>
      </c>
      <c r="I37" s="36">
        <v>1000360.89</v>
      </c>
      <c r="J37" s="36">
        <v>1000826.81</v>
      </c>
      <c r="K37" s="37">
        <v>17</v>
      </c>
      <c r="L37" s="37">
        <v>465.92</v>
      </c>
      <c r="M37" s="31">
        <f t="shared" si="2"/>
        <v>1000826.81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235815</v>
      </c>
      <c r="D38" s="32" t="s">
        <v>68</v>
      </c>
      <c r="E38" s="34" t="s">
        <v>70</v>
      </c>
      <c r="F38" s="34" t="s">
        <v>74</v>
      </c>
      <c r="G38" s="35">
        <v>1005.028</v>
      </c>
      <c r="H38" s="35">
        <f t="shared" si="1"/>
        <v>1006.432533511439</v>
      </c>
      <c r="I38" s="36">
        <v>237000677.81999999</v>
      </c>
      <c r="J38" s="36">
        <v>237331887.88999999</v>
      </c>
      <c r="K38" s="37">
        <v>17.003</v>
      </c>
      <c r="L38" s="37"/>
      <c r="M38" s="31">
        <f t="shared" si="2"/>
        <v>237000677.81999999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73</v>
      </c>
      <c r="C39" s="33">
        <v>994005</v>
      </c>
      <c r="D39" s="32" t="s">
        <v>68</v>
      </c>
      <c r="E39" s="34" t="s">
        <v>70</v>
      </c>
      <c r="F39" s="34" t="s">
        <v>74</v>
      </c>
      <c r="G39" s="35">
        <v>1005.028</v>
      </c>
      <c r="H39" s="35">
        <f t="shared" si="1"/>
        <v>1006.4326161236614</v>
      </c>
      <c r="I39" s="36">
        <v>999002857.13999999</v>
      </c>
      <c r="J39" s="36">
        <v>1000399052.59</v>
      </c>
      <c r="K39" s="37">
        <v>17.004000000000001</v>
      </c>
      <c r="L39" s="37"/>
      <c r="M39" s="31">
        <f t="shared" si="2"/>
        <v>999002857.13999999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75</v>
      </c>
      <c r="C40" s="33">
        <v>1803477</v>
      </c>
      <c r="D40" s="32" t="s">
        <v>68</v>
      </c>
      <c r="E40" s="34" t="s">
        <v>70</v>
      </c>
      <c r="F40" s="34" t="s">
        <v>74</v>
      </c>
      <c r="G40" s="35">
        <v>587.203799998558</v>
      </c>
      <c r="H40" s="35">
        <f t="shared" si="1"/>
        <v>588.02475917352979</v>
      </c>
      <c r="I40" s="36">
        <v>1059008547.61</v>
      </c>
      <c r="J40" s="36">
        <v>1060489128.6</v>
      </c>
      <c r="K40" s="37">
        <v>17.010000000000002</v>
      </c>
      <c r="L40" s="37"/>
      <c r="M40" s="31">
        <f t="shared" si="2"/>
        <v>1059008547.61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73</v>
      </c>
      <c r="C41" s="33">
        <v>19900</v>
      </c>
      <c r="D41" s="32" t="s">
        <v>68</v>
      </c>
      <c r="E41" s="34" t="s">
        <v>70</v>
      </c>
      <c r="F41" s="34" t="s">
        <v>74</v>
      </c>
      <c r="G41" s="35">
        <v>1005.028</v>
      </c>
      <c r="H41" s="35">
        <f t="shared" si="1"/>
        <v>1006.4325336683418</v>
      </c>
      <c r="I41" s="36">
        <v>20000057.199999999</v>
      </c>
      <c r="J41" s="36">
        <v>20028007.420000002</v>
      </c>
      <c r="K41" s="37">
        <v>17.003</v>
      </c>
      <c r="L41" s="37"/>
      <c r="M41" s="31">
        <f t="shared" si="2"/>
        <v>20000057.199999999</v>
      </c>
      <c r="N41" s="10"/>
      <c r="O41" s="9"/>
      <c r="Q41" s="9">
        <v>1</v>
      </c>
    </row>
    <row r="42" spans="1:17" hidden="1" x14ac:dyDescent="0.2">
      <c r="A42" s="32"/>
      <c r="B42" s="32"/>
      <c r="C42" s="33"/>
      <c r="D42" s="32"/>
      <c r="E42" s="34"/>
      <c r="F42" s="34"/>
      <c r="G42" s="35"/>
      <c r="H42" s="35"/>
      <c r="I42" s="36"/>
      <c r="J42" s="36"/>
      <c r="K42" s="37"/>
      <c r="L42" s="31"/>
      <c r="M42" s="31"/>
      <c r="N42" s="10"/>
      <c r="O42" s="9"/>
    </row>
    <row r="43" spans="1:17" s="13" customFormat="1" x14ac:dyDescent="0.2">
      <c r="A43" s="38"/>
      <c r="B43" s="39" t="s">
        <v>5</v>
      </c>
      <c r="C43" s="38"/>
      <c r="D43" s="38"/>
      <c r="E43" s="38"/>
      <c r="F43" s="38"/>
      <c r="G43" s="38"/>
      <c r="H43" s="38"/>
      <c r="I43" s="38"/>
      <c r="J43" s="38"/>
      <c r="K43" s="38"/>
      <c r="L43" s="38" t="s">
        <v>44</v>
      </c>
      <c r="M43" s="40">
        <f>SUMIF(Q35:Q42,1,M35:M42)</f>
        <v>2315012139.77</v>
      </c>
      <c r="N43" s="64">
        <v>2315012139.77</v>
      </c>
      <c r="O43" s="65">
        <f>M43-N43</f>
        <v>0</v>
      </c>
    </row>
    <row r="45" spans="1:17" ht="22.5" x14ac:dyDescent="0.2">
      <c r="A45" s="27" t="s">
        <v>37</v>
      </c>
    </row>
    <row r="46" spans="1:17" ht="22.5" x14ac:dyDescent="0.2">
      <c r="A46" s="14" t="s">
        <v>7</v>
      </c>
      <c r="B46" s="14" t="s">
        <v>38</v>
      </c>
      <c r="C46" s="14" t="s">
        <v>26</v>
      </c>
      <c r="D46" s="14" t="s">
        <v>39</v>
      </c>
      <c r="E46" s="14" t="s">
        <v>25</v>
      </c>
      <c r="F46" s="14" t="s">
        <v>40</v>
      </c>
      <c r="G46" s="14" t="s">
        <v>41</v>
      </c>
      <c r="N46" s="10"/>
      <c r="O46" s="9"/>
    </row>
    <row r="47" spans="1:17" hidden="1" x14ac:dyDescent="0.2">
      <c r="A47" s="42"/>
      <c r="B47" s="42"/>
      <c r="C47" s="32"/>
      <c r="D47" s="43"/>
      <c r="E47" s="29"/>
      <c r="F47" s="29"/>
      <c r="G47" s="31"/>
      <c r="N47" s="10"/>
      <c r="O47" s="9"/>
    </row>
    <row r="48" spans="1:17" s="13" customFormat="1" x14ac:dyDescent="0.2">
      <c r="A48" s="44"/>
      <c r="B48" s="45" t="s">
        <v>5</v>
      </c>
      <c r="C48" s="46"/>
      <c r="D48" s="47"/>
      <c r="E48" s="48">
        <f>SUM(E47:E47)</f>
        <v>0</v>
      </c>
      <c r="F48" s="40">
        <f>SUM(F47:F47)</f>
        <v>0</v>
      </c>
      <c r="G48" s="40">
        <f>SUM(G47:G47)</f>
        <v>0</v>
      </c>
      <c r="N48" s="41"/>
    </row>
    <row r="49" spans="1:15" x14ac:dyDescent="0.2">
      <c r="A49" s="49"/>
      <c r="D49" s="50"/>
      <c r="G49" s="51"/>
    </row>
    <row r="50" spans="1:15" x14ac:dyDescent="0.2">
      <c r="A50" s="52" t="s">
        <v>22</v>
      </c>
      <c r="B50" s="53">
        <f>L26+B29+M43</f>
        <v>29286682678.750729</v>
      </c>
      <c r="C50" s="66">
        <v>29286682678.810734</v>
      </c>
      <c r="D50" s="66">
        <f>__mdDATAItogoActive__-C50</f>
        <v>-6.000518798828125E-2</v>
      </c>
    </row>
    <row r="51" spans="1:15" x14ac:dyDescent="0.2">
      <c r="D51" s="54"/>
      <c r="E51" s="54"/>
    </row>
    <row r="53" spans="1:15" x14ac:dyDescent="0.2">
      <c r="A53" s="52" t="s">
        <v>47</v>
      </c>
      <c r="B53" s="52"/>
      <c r="C53" s="52"/>
      <c r="F53" s="54"/>
      <c r="O53" s="9"/>
    </row>
    <row r="54" spans="1:15" x14ac:dyDescent="0.2">
      <c r="O54" s="9"/>
    </row>
    <row r="55" spans="1:15" x14ac:dyDescent="0.2">
      <c r="A55" s="60" t="s">
        <v>48</v>
      </c>
      <c r="B55" s="60"/>
      <c r="C55" s="60"/>
      <c r="D55" s="60"/>
      <c r="O55" s="9"/>
    </row>
    <row r="56" spans="1:15" x14ac:dyDescent="0.2">
      <c r="O56" s="9"/>
    </row>
    <row r="57" spans="1:15" ht="22.5" x14ac:dyDescent="0.2">
      <c r="A57" s="14" t="s">
        <v>7</v>
      </c>
      <c r="B57" s="14" t="s">
        <v>38</v>
      </c>
      <c r="C57" s="14" t="s">
        <v>26</v>
      </c>
      <c r="D57" s="14" t="s">
        <v>39</v>
      </c>
      <c r="E57" s="14" t="s">
        <v>25</v>
      </c>
      <c r="F57" s="14" t="s">
        <v>40</v>
      </c>
      <c r="G57" s="14" t="s">
        <v>41</v>
      </c>
      <c r="O57" s="9"/>
    </row>
    <row r="58" spans="1:15" hidden="1" x14ac:dyDescent="0.2">
      <c r="A58" s="55"/>
      <c r="B58" s="55"/>
      <c r="C58" s="55"/>
      <c r="D58" s="55"/>
      <c r="E58" s="55"/>
      <c r="F58" s="55"/>
      <c r="G58" s="55"/>
      <c r="O58" s="9"/>
    </row>
    <row r="59" spans="1:15" s="13" customFormat="1" x14ac:dyDescent="0.2">
      <c r="A59" s="38"/>
      <c r="B59" s="39" t="s">
        <v>5</v>
      </c>
      <c r="C59" s="38"/>
      <c r="D59" s="38"/>
      <c r="E59" s="48">
        <f>SUM(E58:E58)</f>
        <v>0</v>
      </c>
      <c r="F59" s="40">
        <f>SUM(F58:F58)</f>
        <v>0</v>
      </c>
      <c r="G59" s="40">
        <f>SUM(G58:G58)</f>
        <v>0</v>
      </c>
    </row>
    <row r="60" spans="1:15" s="13" customFormat="1" x14ac:dyDescent="0.2">
      <c r="B60" s="56"/>
    </row>
    <row r="61" spans="1:15" x14ac:dyDescent="0.2">
      <c r="A61" s="60" t="s">
        <v>49</v>
      </c>
      <c r="B61" s="60"/>
      <c r="O61" s="9"/>
    </row>
    <row r="62" spans="1:15" x14ac:dyDescent="0.2">
      <c r="O62" s="9"/>
    </row>
    <row r="63" spans="1:15" x14ac:dyDescent="0.2">
      <c r="A63" s="14" t="s">
        <v>7</v>
      </c>
      <c r="B63" s="14" t="s">
        <v>38</v>
      </c>
      <c r="C63" s="14" t="s">
        <v>50</v>
      </c>
      <c r="D63" s="14" t="s">
        <v>51</v>
      </c>
      <c r="O63" s="9"/>
    </row>
    <row r="64" spans="1:15" x14ac:dyDescent="0.2">
      <c r="A64" s="24" t="s">
        <v>52</v>
      </c>
      <c r="B64" s="24">
        <v>1</v>
      </c>
      <c r="C64" s="24">
        <v>2</v>
      </c>
      <c r="D64" s="24">
        <v>3</v>
      </c>
      <c r="O64" s="9"/>
    </row>
    <row r="65" spans="1:15" x14ac:dyDescent="0.2">
      <c r="A65" s="24">
        <v>1</v>
      </c>
      <c r="B65" s="55" t="s">
        <v>53</v>
      </c>
      <c r="C65" s="57">
        <v>-2.14</v>
      </c>
      <c r="D65" s="24"/>
      <c r="E65" s="54"/>
      <c r="O65" s="9"/>
    </row>
    <row r="66" spans="1:15" x14ac:dyDescent="0.2">
      <c r="A66" s="24">
        <v>2</v>
      </c>
      <c r="B66" s="55" t="s">
        <v>54</v>
      </c>
      <c r="C66" s="57">
        <v>0</v>
      </c>
      <c r="D66" s="24"/>
      <c r="E66" s="54"/>
      <c r="O66" s="9"/>
    </row>
    <row r="67" spans="1:15" x14ac:dyDescent="0.2">
      <c r="A67" s="24">
        <v>3</v>
      </c>
      <c r="B67" s="55" t="s">
        <v>55</v>
      </c>
      <c r="C67" s="57">
        <v>543022</v>
      </c>
      <c r="D67" s="24"/>
      <c r="F67" s="54"/>
      <c r="O67" s="9"/>
    </row>
    <row r="68" spans="1:15" x14ac:dyDescent="0.2">
      <c r="A68" s="24">
        <v>4</v>
      </c>
      <c r="B68" s="55" t="s">
        <v>56</v>
      </c>
      <c r="C68" s="57">
        <v>0</v>
      </c>
      <c r="D68" s="24"/>
      <c r="O68" s="9"/>
    </row>
    <row r="69" spans="1:15" ht="22.5" x14ac:dyDescent="0.2">
      <c r="A69" s="24">
        <v>5</v>
      </c>
      <c r="B69" s="58" t="s">
        <v>57</v>
      </c>
      <c r="C69" s="57">
        <v>395402.41</v>
      </c>
      <c r="D69" s="24"/>
      <c r="F69" s="54"/>
      <c r="O69" s="9"/>
    </row>
    <row r="70" spans="1:15" x14ac:dyDescent="0.2">
      <c r="A70" s="24">
        <v>6</v>
      </c>
      <c r="B70" s="55" t="s">
        <v>58</v>
      </c>
      <c r="C70" s="57">
        <v>169562.11</v>
      </c>
      <c r="D70" s="57"/>
      <c r="O70" s="9"/>
    </row>
    <row r="71" spans="1:15" x14ac:dyDescent="0.2">
      <c r="A71" s="24">
        <v>7</v>
      </c>
      <c r="B71" s="55" t="s">
        <v>59</v>
      </c>
      <c r="C71" s="57">
        <v>37668.080000000002</v>
      </c>
      <c r="D71" s="57"/>
      <c r="O71" s="9"/>
    </row>
    <row r="72" spans="1:15" x14ac:dyDescent="0.2">
      <c r="A72" s="24">
        <v>8</v>
      </c>
      <c r="B72" s="55" t="s">
        <v>60</v>
      </c>
      <c r="C72" s="57">
        <v>0</v>
      </c>
      <c r="D72" s="24"/>
      <c r="O72" s="9"/>
    </row>
    <row r="73" spans="1:15" ht="22.5" x14ac:dyDescent="0.2">
      <c r="A73" s="24">
        <v>9</v>
      </c>
      <c r="B73" s="58" t="s">
        <v>61</v>
      </c>
      <c r="C73" s="57">
        <v>0</v>
      </c>
      <c r="D73" s="24"/>
      <c r="O73" s="9"/>
    </row>
    <row r="74" spans="1:15" ht="22.5" x14ac:dyDescent="0.2">
      <c r="A74" s="24">
        <v>10</v>
      </c>
      <c r="B74" s="58" t="s">
        <v>62</v>
      </c>
      <c r="C74" s="57">
        <v>0</v>
      </c>
      <c r="D74" s="24"/>
      <c r="E74" s="54"/>
      <c r="O74" s="9"/>
    </row>
    <row r="75" spans="1:15" x14ac:dyDescent="0.2">
      <c r="A75" s="61" t="s">
        <v>63</v>
      </c>
      <c r="B75" s="61"/>
      <c r="C75" s="59">
        <f>SUM(C65:C74)</f>
        <v>1145652.46</v>
      </c>
      <c r="D75" s="55"/>
      <c r="O75" s="9"/>
    </row>
    <row r="77" spans="1:15" x14ac:dyDescent="0.2">
      <c r="C77" s="51"/>
    </row>
    <row r="78" spans="1:15" x14ac:dyDescent="0.2">
      <c r="C78" s="54"/>
    </row>
    <row r="79" spans="1:15" x14ac:dyDescent="0.2">
      <c r="C79" s="54"/>
      <c r="D79" s="54"/>
    </row>
    <row r="80" spans="1:15" x14ac:dyDescent="0.2">
      <c r="C80" s="54"/>
    </row>
  </sheetData>
  <mergeCells count="3">
    <mergeCell ref="A55:D55"/>
    <mergeCell ref="A61:B61"/>
    <mergeCell ref="A75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19.12.2025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9490.25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121</v>
      </c>
      <c r="F5" s="4">
        <v>983.096</v>
      </c>
      <c r="G5" s="5">
        <v>103.93180000000001</v>
      </c>
      <c r="H5" s="5">
        <v>22.92</v>
      </c>
      <c r="I5" s="5">
        <v>820</v>
      </c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120</v>
      </c>
      <c r="E6" s="4" t="s">
        <v>129</v>
      </c>
      <c r="F6" s="4">
        <v>1450.09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120</v>
      </c>
      <c r="E7" s="4" t="s">
        <v>132</v>
      </c>
      <c r="F7" s="4">
        <v>573686.78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120</v>
      </c>
      <c r="E8" s="4" t="s">
        <v>132</v>
      </c>
      <c r="F8" s="4">
        <v>6301.35</v>
      </c>
      <c r="G8" s="5"/>
      <c r="H8" s="5"/>
      <c r="I8" s="5"/>
      <c r="J8" s="4" t="s">
        <v>122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120</v>
      </c>
      <c r="E9" s="4" t="s">
        <v>132</v>
      </c>
      <c r="F9" s="4">
        <v>168.08</v>
      </c>
      <c r="G9" s="5"/>
      <c r="H9" s="5"/>
      <c r="I9" s="5"/>
      <c r="J9" s="4" t="s">
        <v>122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132</v>
      </c>
      <c r="F10" s="4">
        <v>5651.85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132</v>
      </c>
      <c r="F11" s="4">
        <v>5851703.7199999997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120</v>
      </c>
      <c r="E12" s="4" t="s">
        <v>132</v>
      </c>
      <c r="F12" s="4">
        <v>130.81</v>
      </c>
      <c r="G12" s="5"/>
      <c r="H12" s="5"/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125</v>
      </c>
      <c r="E13" s="4" t="s">
        <v>132</v>
      </c>
      <c r="F13" s="4">
        <v>0.898837</v>
      </c>
      <c r="G13" s="5">
        <v>90.515600000000006</v>
      </c>
      <c r="H13" s="5">
        <v>5.18</v>
      </c>
      <c r="I13" s="5">
        <v>2674</v>
      </c>
      <c r="J13" s="4" t="s">
        <v>126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120</v>
      </c>
      <c r="E14" s="4" t="s">
        <v>132</v>
      </c>
      <c r="F14" s="4">
        <v>1181.3</v>
      </c>
      <c r="G14" s="5"/>
      <c r="H14" s="5"/>
      <c r="I14" s="5"/>
      <c r="J14" s="4" t="s">
        <v>147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120</v>
      </c>
      <c r="E15" s="4" t="s">
        <v>132</v>
      </c>
      <c r="F15" s="4">
        <v>1086.8499999999999</v>
      </c>
      <c r="G15" s="5"/>
      <c r="H15" s="5"/>
      <c r="I15" s="5"/>
      <c r="J15" s="4" t="s">
        <v>147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120</v>
      </c>
      <c r="E16" s="4" t="s">
        <v>132</v>
      </c>
      <c r="F16" s="4">
        <v>1864616.37</v>
      </c>
      <c r="G16" s="5"/>
      <c r="H16" s="5"/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120</v>
      </c>
      <c r="E17" s="4" t="s">
        <v>132</v>
      </c>
      <c r="F17" s="4">
        <v>72929.03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120</v>
      </c>
      <c r="E18" s="4" t="s">
        <v>132</v>
      </c>
      <c r="F18" s="4">
        <v>73380.05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120</v>
      </c>
      <c r="E19" s="4" t="s">
        <v>132</v>
      </c>
      <c r="F19" s="4">
        <v>51881.84</v>
      </c>
      <c r="G19" s="5"/>
      <c r="H19" s="5"/>
      <c r="I19" s="5"/>
      <c r="J19" s="4" t="s">
        <v>122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120</v>
      </c>
      <c r="E20" s="4" t="s">
        <v>132</v>
      </c>
      <c r="F20" s="4">
        <v>7.27</v>
      </c>
      <c r="G20" s="5"/>
      <c r="H20" s="5"/>
      <c r="I20" s="5"/>
      <c r="J20" s="4" t="s">
        <v>122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125</v>
      </c>
      <c r="E21" s="4" t="s">
        <v>132</v>
      </c>
      <c r="F21" s="4">
        <v>1000</v>
      </c>
      <c r="G21" s="5">
        <v>101.554</v>
      </c>
      <c r="H21" s="5">
        <v>18.02</v>
      </c>
      <c r="I21" s="5">
        <v>1066</v>
      </c>
      <c r="J21" s="4" t="s">
        <v>126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125</v>
      </c>
      <c r="E22" s="4" t="s">
        <v>132</v>
      </c>
      <c r="F22" s="4">
        <v>1000</v>
      </c>
      <c r="G22" s="5">
        <v>103.2222</v>
      </c>
      <c r="H22" s="5">
        <v>17.79</v>
      </c>
      <c r="I22" s="5">
        <v>665</v>
      </c>
      <c r="J22" s="4" t="s">
        <v>126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125</v>
      </c>
      <c r="E23" s="4" t="s">
        <v>132</v>
      </c>
      <c r="F23" s="4">
        <v>1000</v>
      </c>
      <c r="G23" s="5">
        <v>107.90660000000001</v>
      </c>
      <c r="H23" s="5">
        <v>18.23</v>
      </c>
      <c r="I23" s="5">
        <v>1852</v>
      </c>
      <c r="J23" s="4" t="s">
        <v>126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125</v>
      </c>
      <c r="E24" s="4" t="s">
        <v>132</v>
      </c>
      <c r="F24" s="4">
        <v>1000</v>
      </c>
      <c r="G24" s="5">
        <v>105.343</v>
      </c>
      <c r="H24" s="5">
        <v>18.11</v>
      </c>
      <c r="I24" s="5">
        <v>1536</v>
      </c>
      <c r="J24" s="4" t="s">
        <v>126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120</v>
      </c>
      <c r="E25" s="4" t="s">
        <v>132</v>
      </c>
      <c r="F25" s="4">
        <v>1532.95</v>
      </c>
      <c r="G25" s="5"/>
      <c r="H25" s="5"/>
      <c r="I25" s="5"/>
      <c r="J25" s="4" t="s">
        <v>122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125</v>
      </c>
      <c r="E26" s="4" t="s">
        <v>132</v>
      </c>
      <c r="F26" s="4">
        <v>986.7650000000001</v>
      </c>
      <c r="G26" s="5">
        <v>101.60290000000001</v>
      </c>
      <c r="H26" s="5">
        <v>23.19</v>
      </c>
      <c r="I26" s="5">
        <v>317</v>
      </c>
      <c r="J26" s="4" t="s">
        <v>126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125</v>
      </c>
      <c r="E27" s="4" t="s">
        <v>132</v>
      </c>
      <c r="F27" s="4">
        <v>817.56900000000007</v>
      </c>
      <c r="G27" s="5">
        <v>93.4208</v>
      </c>
      <c r="H27" s="5">
        <v>16.46</v>
      </c>
      <c r="I27" s="5">
        <v>4787</v>
      </c>
      <c r="J27" s="4" t="s">
        <v>126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125</v>
      </c>
      <c r="E28" s="4" t="s">
        <v>132</v>
      </c>
      <c r="F28" s="4">
        <v>497398.5</v>
      </c>
      <c r="G28" s="5">
        <v>102.8964</v>
      </c>
      <c r="H28" s="5">
        <v>21.42</v>
      </c>
      <c r="I28" s="5">
        <v>213</v>
      </c>
      <c r="J28" s="4" t="s">
        <v>126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125</v>
      </c>
      <c r="E29" s="4" t="s">
        <v>132</v>
      </c>
      <c r="F29" s="4">
        <v>100.5147</v>
      </c>
      <c r="G29" s="5">
        <v>100.5425</v>
      </c>
      <c r="H29" s="5">
        <v>9.7000000000000011</v>
      </c>
      <c r="I29" s="5">
        <v>700</v>
      </c>
      <c r="J29" s="4" t="s">
        <v>126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125</v>
      </c>
      <c r="E30" s="4" t="s">
        <v>132</v>
      </c>
      <c r="F30" s="4">
        <v>1011.63</v>
      </c>
      <c r="G30" s="5">
        <v>101.5061</v>
      </c>
      <c r="H30" s="5">
        <v>5.98</v>
      </c>
      <c r="I30" s="5">
        <v>894</v>
      </c>
      <c r="J30" s="4" t="s">
        <v>126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125</v>
      </c>
      <c r="E31" s="4" t="s">
        <v>132</v>
      </c>
      <c r="F31" s="4">
        <v>993.90200000000004</v>
      </c>
      <c r="G31" s="5">
        <v>100.7638</v>
      </c>
      <c r="H31" s="5">
        <v>22</v>
      </c>
      <c r="I31" s="5">
        <v>524</v>
      </c>
      <c r="J31" s="4" t="s">
        <v>126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125</v>
      </c>
      <c r="E32" s="4" t="s">
        <v>132</v>
      </c>
      <c r="F32" s="4">
        <v>1013.4430000000001</v>
      </c>
      <c r="G32" s="5">
        <v>102.9415</v>
      </c>
      <c r="H32" s="5">
        <v>22.36</v>
      </c>
      <c r="I32" s="5">
        <v>1041</v>
      </c>
      <c r="J32" s="4" t="s">
        <v>126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125</v>
      </c>
      <c r="E33" s="4" t="s">
        <v>132</v>
      </c>
      <c r="F33" s="4">
        <v>937.72400000000005</v>
      </c>
      <c r="G33" s="5">
        <v>94.026600000000002</v>
      </c>
      <c r="H33" s="5">
        <v>17.48</v>
      </c>
      <c r="I33" s="5">
        <v>1456</v>
      </c>
      <c r="J33" s="4" t="s">
        <v>126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125</v>
      </c>
      <c r="E34" s="4" t="s">
        <v>132</v>
      </c>
      <c r="F34" s="4">
        <v>983.83300000000008</v>
      </c>
      <c r="G34" s="5">
        <v>102.10550000000001</v>
      </c>
      <c r="H34" s="5">
        <v>21.22</v>
      </c>
      <c r="I34" s="5">
        <v>571</v>
      </c>
      <c r="J34" s="4" t="s">
        <v>126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125</v>
      </c>
      <c r="E35" s="4" t="s">
        <v>132</v>
      </c>
      <c r="F35" s="4">
        <v>987.5</v>
      </c>
      <c r="G35" s="5">
        <v>102.67920000000001</v>
      </c>
      <c r="H35" s="5">
        <v>21.45</v>
      </c>
      <c r="I35" s="5">
        <v>569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125</v>
      </c>
      <c r="E36" s="4" t="s">
        <v>132</v>
      </c>
      <c r="F36" s="4">
        <v>985.88700000000006</v>
      </c>
      <c r="G36" s="5">
        <v>100.9366</v>
      </c>
      <c r="H36" s="5">
        <v>19</v>
      </c>
      <c r="I36" s="5">
        <v>317</v>
      </c>
      <c r="J36" s="4" t="s">
        <v>126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125</v>
      </c>
      <c r="E37" s="4" t="s">
        <v>132</v>
      </c>
      <c r="F37" s="4">
        <v>996.3950000000001</v>
      </c>
      <c r="G37" s="5">
        <v>99.822800000000001</v>
      </c>
      <c r="H37" s="5">
        <v>22.3</v>
      </c>
      <c r="I37" s="5">
        <v>514</v>
      </c>
      <c r="J37" s="4" t="s">
        <v>126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125</v>
      </c>
      <c r="E38" s="4" t="s">
        <v>132</v>
      </c>
      <c r="F38" s="4">
        <v>970.21400000000006</v>
      </c>
      <c r="G38" s="5">
        <v>98.3506</v>
      </c>
      <c r="H38" s="5">
        <v>17.48</v>
      </c>
      <c r="I38" s="5">
        <v>1614</v>
      </c>
      <c r="J38" s="4" t="s">
        <v>126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125</v>
      </c>
      <c r="E39" s="4" t="s">
        <v>132</v>
      </c>
      <c r="F39" s="4">
        <v>493318</v>
      </c>
      <c r="G39" s="5">
        <v>102.3969</v>
      </c>
      <c r="H39" s="5">
        <v>22.01</v>
      </c>
      <c r="I39" s="5">
        <v>574</v>
      </c>
      <c r="J39" s="4" t="s">
        <v>126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125</v>
      </c>
      <c r="E40" s="4" t="s">
        <v>132</v>
      </c>
      <c r="F40" s="4">
        <v>977.6640000000001</v>
      </c>
      <c r="G40" s="5">
        <v>98.874700000000004</v>
      </c>
      <c r="H40" s="5">
        <v>23.88</v>
      </c>
      <c r="I40" s="5">
        <v>316</v>
      </c>
      <c r="J40" s="4" t="s">
        <v>126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125</v>
      </c>
      <c r="E41" s="4" t="s">
        <v>132</v>
      </c>
      <c r="F41" s="4">
        <v>1012.02</v>
      </c>
      <c r="G41" s="5">
        <v>102.8832</v>
      </c>
      <c r="H41" s="5">
        <v>20.25</v>
      </c>
      <c r="I41" s="5">
        <v>915</v>
      </c>
      <c r="J41" s="4" t="s">
        <v>126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125</v>
      </c>
      <c r="E42" s="4" t="s">
        <v>132</v>
      </c>
      <c r="F42" s="4">
        <v>1020.55</v>
      </c>
      <c r="G42" s="5">
        <v>102.9106</v>
      </c>
      <c r="H42" s="5">
        <v>20.43</v>
      </c>
      <c r="I42" s="5">
        <v>564</v>
      </c>
      <c r="J42" s="4" t="s">
        <v>126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125</v>
      </c>
      <c r="E43" s="4" t="s">
        <v>132</v>
      </c>
      <c r="F43" s="4">
        <v>981.97800000000007</v>
      </c>
      <c r="G43" s="5">
        <v>102.68950000000001</v>
      </c>
      <c r="H43" s="5">
        <v>23.55</v>
      </c>
      <c r="I43" s="5">
        <v>288</v>
      </c>
      <c r="J43" s="4" t="s">
        <v>126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125</v>
      </c>
      <c r="E44" s="4" t="s">
        <v>132</v>
      </c>
      <c r="F44" s="4">
        <v>976.14800000000002</v>
      </c>
      <c r="G44" s="5">
        <v>99.092600000000004</v>
      </c>
      <c r="H44" s="5">
        <v>22.14</v>
      </c>
      <c r="I44" s="5">
        <v>307</v>
      </c>
      <c r="J44" s="4" t="s">
        <v>126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125</v>
      </c>
      <c r="E45" s="4" t="s">
        <v>132</v>
      </c>
      <c r="F45" s="4">
        <v>968.09</v>
      </c>
      <c r="G45" s="5">
        <v>97.917300000000012</v>
      </c>
      <c r="H45" s="5">
        <v>20.88</v>
      </c>
      <c r="I45" s="5">
        <v>771</v>
      </c>
      <c r="J45" s="4" t="s">
        <v>126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125</v>
      </c>
      <c r="E46" s="4" t="s">
        <v>132</v>
      </c>
      <c r="F46" s="4">
        <v>1001.69</v>
      </c>
      <c r="G46" s="5">
        <v>100.57730000000001</v>
      </c>
      <c r="H46" s="5">
        <v>20.9</v>
      </c>
      <c r="I46" s="5">
        <v>815</v>
      </c>
      <c r="J46" s="4" t="s">
        <v>126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125</v>
      </c>
      <c r="E47" s="4" t="s">
        <v>132</v>
      </c>
      <c r="F47" s="4">
        <v>993.56400000000008</v>
      </c>
      <c r="G47" s="5">
        <v>100.4397</v>
      </c>
      <c r="H47" s="5">
        <v>20</v>
      </c>
      <c r="I47" s="5">
        <v>527</v>
      </c>
      <c r="J47" s="4" t="s">
        <v>126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125</v>
      </c>
      <c r="E48" s="4" t="s">
        <v>132</v>
      </c>
      <c r="F48" s="4">
        <v>1039.9770000000001</v>
      </c>
      <c r="G48" s="5">
        <v>105.78660000000001</v>
      </c>
      <c r="H48" s="5">
        <v>21.15</v>
      </c>
      <c r="I48" s="5">
        <v>1069</v>
      </c>
      <c r="J48" s="4" t="s">
        <v>126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125</v>
      </c>
      <c r="E49" s="4" t="s">
        <v>132</v>
      </c>
      <c r="F49" s="4">
        <v>1036.7280000000001</v>
      </c>
      <c r="G49" s="5">
        <v>105.46170000000001</v>
      </c>
      <c r="H49" s="5">
        <v>21.3</v>
      </c>
      <c r="I49" s="5">
        <v>1069</v>
      </c>
      <c r="J49" s="4" t="s">
        <v>126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125</v>
      </c>
      <c r="E50" s="4" t="s">
        <v>132</v>
      </c>
      <c r="F50" s="4">
        <v>98.975700000000003</v>
      </c>
      <c r="G50" s="5">
        <v>99.003500000000003</v>
      </c>
      <c r="H50" s="5">
        <v>10.88</v>
      </c>
      <c r="I50" s="5">
        <v>455</v>
      </c>
      <c r="J50" s="4" t="s">
        <v>126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125</v>
      </c>
      <c r="E51" s="4" t="s">
        <v>132</v>
      </c>
      <c r="F51" s="4">
        <v>1000</v>
      </c>
      <c r="G51" s="5">
        <v>106.90820000000001</v>
      </c>
      <c r="H51" s="5">
        <v>17.73</v>
      </c>
      <c r="I51" s="5">
        <v>1320</v>
      </c>
      <c r="J51" s="4" t="s">
        <v>126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125</v>
      </c>
      <c r="E52" s="4" t="s">
        <v>132</v>
      </c>
      <c r="F52" s="4">
        <v>1010.24</v>
      </c>
      <c r="G52" s="5">
        <v>101.2647</v>
      </c>
      <c r="H52" s="5">
        <v>20.92</v>
      </c>
      <c r="I52" s="5">
        <v>605</v>
      </c>
      <c r="J52" s="4" t="s">
        <v>126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125</v>
      </c>
      <c r="E53" s="4" t="s">
        <v>132</v>
      </c>
      <c r="F53" s="4">
        <v>99.99860000000001</v>
      </c>
      <c r="G53" s="5">
        <v>99.99860000000001</v>
      </c>
      <c r="H53" s="5">
        <v>11</v>
      </c>
      <c r="I53" s="5">
        <v>701</v>
      </c>
      <c r="J53" s="4" t="s">
        <v>126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125</v>
      </c>
      <c r="E54" s="4" t="s">
        <v>132</v>
      </c>
      <c r="F54" s="4">
        <v>994.31700000000001</v>
      </c>
      <c r="G54" s="5">
        <v>100.70950000000001</v>
      </c>
      <c r="H54" s="5">
        <v>21.68</v>
      </c>
      <c r="I54" s="5">
        <v>129</v>
      </c>
      <c r="J54" s="4" t="s">
        <v>126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125</v>
      </c>
      <c r="E55" s="4" t="s">
        <v>132</v>
      </c>
      <c r="F55" s="4">
        <v>1019.979</v>
      </c>
      <c r="G55" s="5">
        <v>103.1379</v>
      </c>
      <c r="H55" s="5">
        <v>20.5</v>
      </c>
      <c r="I55" s="5">
        <v>834</v>
      </c>
      <c r="J55" s="4" t="s">
        <v>126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125</v>
      </c>
      <c r="E56" s="4" t="s">
        <v>132</v>
      </c>
      <c r="F56" s="4">
        <v>98</v>
      </c>
      <c r="G56" s="5">
        <v>100.71940000000001</v>
      </c>
      <c r="H56" s="5">
        <v>19.21</v>
      </c>
      <c r="I56" s="5">
        <v>92</v>
      </c>
      <c r="J56" s="4" t="s">
        <v>126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120</v>
      </c>
      <c r="E57" s="4" t="s">
        <v>132</v>
      </c>
      <c r="F57" s="4">
        <v>101.46</v>
      </c>
      <c r="G57" s="5"/>
      <c r="H57" s="5"/>
      <c r="I57" s="5"/>
      <c r="J57" s="4" t="s">
        <v>147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125</v>
      </c>
      <c r="E58" s="4" t="s">
        <v>132</v>
      </c>
      <c r="F58" s="4">
        <v>963.67700000000002</v>
      </c>
      <c r="G58" s="5">
        <v>97.592700000000008</v>
      </c>
      <c r="H58" s="5">
        <v>23.07</v>
      </c>
      <c r="I58" s="5">
        <v>831</v>
      </c>
      <c r="J58" s="4" t="s">
        <v>126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125</v>
      </c>
      <c r="E59" s="4" t="s">
        <v>132</v>
      </c>
      <c r="F59" s="4">
        <v>974.9670000000001</v>
      </c>
      <c r="G59" s="5">
        <v>98.838400000000007</v>
      </c>
      <c r="H59" s="5">
        <v>22.96</v>
      </c>
      <c r="I59" s="5">
        <v>555</v>
      </c>
      <c r="J59" s="4" t="s">
        <v>126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125</v>
      </c>
      <c r="E60" s="4" t="s">
        <v>132</v>
      </c>
      <c r="F60" s="4">
        <v>1007.556</v>
      </c>
      <c r="G60" s="5">
        <v>102.40560000000001</v>
      </c>
      <c r="H60" s="5">
        <v>21.43</v>
      </c>
      <c r="I60" s="5">
        <v>581</v>
      </c>
      <c r="J60" s="4" t="s">
        <v>126</v>
      </c>
    </row>
    <row r="61" spans="1:10" x14ac:dyDescent="0.25">
      <c r="A61" s="4">
        <f t="shared" ca="1" si="1"/>
        <v>58</v>
      </c>
      <c r="B61" s="4" t="s">
        <v>240</v>
      </c>
      <c r="C61" s="4" t="s">
        <v>241</v>
      </c>
      <c r="D61" s="4" t="s">
        <v>125</v>
      </c>
      <c r="E61" s="4" t="s">
        <v>132</v>
      </c>
      <c r="F61" s="4">
        <v>970.26100000000008</v>
      </c>
      <c r="G61" s="5">
        <v>99.546900000000008</v>
      </c>
      <c r="H61" s="5">
        <v>17.48</v>
      </c>
      <c r="I61" s="5">
        <v>1588</v>
      </c>
      <c r="J61" s="4" t="s">
        <v>126</v>
      </c>
    </row>
    <row r="62" spans="1:10" x14ac:dyDescent="0.25">
      <c r="A62" s="4">
        <f t="shared" ca="1" si="1"/>
        <v>59</v>
      </c>
      <c r="B62" s="4" t="s">
        <v>242</v>
      </c>
      <c r="C62" s="4" t="s">
        <v>243</v>
      </c>
      <c r="D62" s="4" t="s">
        <v>125</v>
      </c>
      <c r="E62" s="4" t="s">
        <v>132</v>
      </c>
      <c r="F62" s="4">
        <v>899.04900000000009</v>
      </c>
      <c r="G62" s="5">
        <v>90.87700000000001</v>
      </c>
      <c r="H62" s="5">
        <v>17.490000000000002</v>
      </c>
      <c r="I62" s="5">
        <v>1252</v>
      </c>
      <c r="J62" s="4" t="s">
        <v>126</v>
      </c>
    </row>
    <row r="63" spans="1:10" x14ac:dyDescent="0.25">
      <c r="A63" s="4">
        <f t="shared" ca="1" si="1"/>
        <v>60</v>
      </c>
      <c r="B63" s="4" t="s">
        <v>244</v>
      </c>
      <c r="C63" s="4" t="s">
        <v>245</v>
      </c>
      <c r="D63" s="4" t="s">
        <v>125</v>
      </c>
      <c r="E63" s="4" t="s">
        <v>132</v>
      </c>
      <c r="F63" s="4">
        <v>990.51400000000001</v>
      </c>
      <c r="G63" s="5">
        <v>99.540300000000002</v>
      </c>
      <c r="H63" s="5">
        <v>22.69</v>
      </c>
      <c r="I63" s="5">
        <v>601</v>
      </c>
      <c r="J63" s="4" t="s">
        <v>126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125</v>
      </c>
      <c r="E64" s="4" t="s">
        <v>132</v>
      </c>
      <c r="F64" s="4">
        <v>984.05100000000004</v>
      </c>
      <c r="G64" s="5">
        <v>99.444000000000003</v>
      </c>
      <c r="H64" s="5">
        <v>23.24</v>
      </c>
      <c r="I64" s="5">
        <v>561</v>
      </c>
      <c r="J64" s="4" t="s">
        <v>126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125</v>
      </c>
      <c r="E65" s="4" t="s">
        <v>132</v>
      </c>
      <c r="F65" s="4">
        <v>987.41700000000003</v>
      </c>
      <c r="G65" s="5">
        <v>100.4431</v>
      </c>
      <c r="H65" s="5">
        <v>19</v>
      </c>
      <c r="I65" s="5">
        <v>331</v>
      </c>
      <c r="J65" s="4" t="s">
        <v>126</v>
      </c>
    </row>
    <row r="66" spans="1:10" x14ac:dyDescent="0.25">
      <c r="A66" s="4">
        <f t="shared" ca="1" si="1"/>
        <v>63</v>
      </c>
      <c r="B66" s="4" t="s">
        <v>250</v>
      </c>
      <c r="C66" s="4" t="s">
        <v>251</v>
      </c>
      <c r="D66" s="4" t="s">
        <v>125</v>
      </c>
      <c r="E66" s="4" t="s">
        <v>132</v>
      </c>
      <c r="F66" s="4">
        <v>9.940900000000001</v>
      </c>
      <c r="G66" s="5">
        <v>99.631200000000007</v>
      </c>
      <c r="H66" s="5">
        <v>10.38</v>
      </c>
      <c r="I66" s="5">
        <v>632</v>
      </c>
      <c r="J66" s="4" t="s">
        <v>126</v>
      </c>
    </row>
    <row r="67" spans="1:10" x14ac:dyDescent="0.25">
      <c r="A67" s="4">
        <f t="shared" ca="1" si="1"/>
        <v>64</v>
      </c>
      <c r="B67" s="4" t="s">
        <v>252</v>
      </c>
      <c r="C67" s="4" t="s">
        <v>253</v>
      </c>
      <c r="D67" s="4" t="s">
        <v>125</v>
      </c>
      <c r="E67" s="4" t="s">
        <v>132</v>
      </c>
      <c r="F67" s="4">
        <v>970.39600000000007</v>
      </c>
      <c r="G67" s="5">
        <v>98.38130000000001</v>
      </c>
      <c r="H67" s="5">
        <v>22.55</v>
      </c>
      <c r="I67" s="5">
        <v>921</v>
      </c>
      <c r="J67" s="4" t="s">
        <v>126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254</v>
      </c>
      <c r="C68" s="4" t="s">
        <v>255</v>
      </c>
      <c r="D68" s="4" t="s">
        <v>125</v>
      </c>
      <c r="E68" s="4" t="s">
        <v>132</v>
      </c>
      <c r="F68" s="4">
        <v>913.74200000000008</v>
      </c>
      <c r="G68" s="5">
        <v>94.824200000000005</v>
      </c>
      <c r="H68" s="5">
        <v>22.52</v>
      </c>
      <c r="I68" s="5">
        <v>935</v>
      </c>
      <c r="J68" s="4" t="s">
        <v>126</v>
      </c>
    </row>
    <row r="69" spans="1:10" x14ac:dyDescent="0.25">
      <c r="A69" s="4">
        <f t="shared" ca="1" si="2"/>
        <v>66</v>
      </c>
      <c r="B69" s="4" t="s">
        <v>256</v>
      </c>
      <c r="C69" s="4" t="s">
        <v>257</v>
      </c>
      <c r="D69" s="4" t="s">
        <v>125</v>
      </c>
      <c r="E69" s="4" t="s">
        <v>132</v>
      </c>
      <c r="F69" s="4">
        <v>1011.0920000000001</v>
      </c>
      <c r="G69" s="5">
        <v>106.2911</v>
      </c>
      <c r="H69" s="5">
        <v>19.64</v>
      </c>
      <c r="I69" s="5">
        <v>639</v>
      </c>
      <c r="J69" s="4" t="s">
        <v>126</v>
      </c>
    </row>
    <row r="70" spans="1:10" x14ac:dyDescent="0.25">
      <c r="A70" s="4">
        <f t="shared" ca="1" si="2"/>
        <v>67</v>
      </c>
      <c r="B70" s="4" t="s">
        <v>258</v>
      </c>
      <c r="C70" s="4" t="s">
        <v>259</v>
      </c>
      <c r="D70" s="4" t="s">
        <v>120</v>
      </c>
      <c r="E70" s="4" t="s">
        <v>260</v>
      </c>
      <c r="F70" s="4">
        <v>41877.340000000004</v>
      </c>
      <c r="G70" s="5"/>
      <c r="H70" s="5"/>
      <c r="I70" s="5"/>
      <c r="J70" s="4" t="s">
        <v>122</v>
      </c>
    </row>
    <row r="71" spans="1:10" x14ac:dyDescent="0.25">
      <c r="A71" s="4">
        <f t="shared" ca="1" si="2"/>
        <v>68</v>
      </c>
      <c r="B71" s="4" t="s">
        <v>261</v>
      </c>
      <c r="C71" s="4" t="s">
        <v>262</v>
      </c>
      <c r="D71" s="4" t="s">
        <v>120</v>
      </c>
      <c r="E71" s="4" t="s">
        <v>260</v>
      </c>
      <c r="F71" s="4">
        <v>27446.61</v>
      </c>
      <c r="G71" s="5"/>
      <c r="H71" s="5"/>
      <c r="I71" s="5"/>
      <c r="J71" s="4" t="s">
        <v>122</v>
      </c>
    </row>
    <row r="72" spans="1:10" x14ac:dyDescent="0.25">
      <c r="A72" s="4">
        <f t="shared" ca="1" si="2"/>
        <v>69</v>
      </c>
      <c r="B72" s="4" t="s">
        <v>263</v>
      </c>
      <c r="C72" s="4" t="s">
        <v>264</v>
      </c>
      <c r="D72" s="4" t="s">
        <v>125</v>
      </c>
      <c r="E72" s="4" t="s">
        <v>265</v>
      </c>
      <c r="F72" s="4">
        <v>16697</v>
      </c>
      <c r="G72" s="5">
        <v>1669.701</v>
      </c>
      <c r="H72" s="5"/>
      <c r="I72" s="5">
        <v>98</v>
      </c>
      <c r="J72" s="4" t="s">
        <v>126</v>
      </c>
    </row>
    <row r="73" spans="1:10" x14ac:dyDescent="0.25">
      <c r="A73" s="4">
        <f t="shared" ca="1" si="2"/>
        <v>70</v>
      </c>
      <c r="B73" s="4" t="s">
        <v>266</v>
      </c>
      <c r="C73" s="4" t="s">
        <v>267</v>
      </c>
      <c r="D73" s="4" t="s">
        <v>120</v>
      </c>
      <c r="E73" s="4" t="s">
        <v>268</v>
      </c>
      <c r="F73" s="4">
        <v>21625.97</v>
      </c>
      <c r="G73" s="5"/>
      <c r="H73" s="5"/>
      <c r="I73" s="5"/>
      <c r="J73" s="4" t="s">
        <v>122</v>
      </c>
    </row>
    <row r="74" spans="1:10" x14ac:dyDescent="0.25">
      <c r="A74" s="4">
        <f t="shared" ca="1" si="2"/>
        <v>71</v>
      </c>
      <c r="B74" s="4" t="s">
        <v>269</v>
      </c>
      <c r="C74" s="4" t="s">
        <v>270</v>
      </c>
      <c r="D74" s="4" t="s">
        <v>125</v>
      </c>
      <c r="E74" s="4" t="s">
        <v>268</v>
      </c>
      <c r="F74" s="4">
        <v>1.0092429999999999</v>
      </c>
      <c r="G74" s="5">
        <v>101.74550000000001</v>
      </c>
      <c r="H74" s="5">
        <v>5.13</v>
      </c>
      <c r="I74" s="5">
        <v>1588</v>
      </c>
      <c r="J74" s="4" t="s">
        <v>126</v>
      </c>
    </row>
    <row r="75" spans="1:10" x14ac:dyDescent="0.25">
      <c r="A75" s="4">
        <f t="shared" ca="1" si="2"/>
        <v>72</v>
      </c>
      <c r="B75" s="4" t="s">
        <v>271</v>
      </c>
      <c r="C75" s="4" t="s">
        <v>272</v>
      </c>
      <c r="D75" s="4" t="s">
        <v>120</v>
      </c>
      <c r="E75" s="4" t="s">
        <v>273</v>
      </c>
      <c r="F75" s="4">
        <v>3397.21</v>
      </c>
      <c r="G75" s="5"/>
      <c r="H75" s="5"/>
      <c r="I75" s="5"/>
      <c r="J75" s="4" t="s">
        <v>122</v>
      </c>
    </row>
    <row r="76" spans="1:10" x14ac:dyDescent="0.25">
      <c r="A76" s="4">
        <f t="shared" ca="1" si="2"/>
        <v>73</v>
      </c>
      <c r="B76" s="4" t="s">
        <v>274</v>
      </c>
      <c r="C76" s="4" t="s">
        <v>275</v>
      </c>
      <c r="D76" s="4" t="s">
        <v>125</v>
      </c>
      <c r="E76" s="4" t="s">
        <v>276</v>
      </c>
      <c r="F76" s="4">
        <v>0.97506399999999993</v>
      </c>
      <c r="G76" s="5">
        <v>97.789700000000011</v>
      </c>
      <c r="H76" s="5">
        <v>5</v>
      </c>
      <c r="I76" s="5">
        <v>314</v>
      </c>
      <c r="J76" s="4" t="s">
        <v>126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120</v>
      </c>
      <c r="E77" s="4" t="s">
        <v>279</v>
      </c>
      <c r="F77" s="4">
        <v>8952.3000000000011</v>
      </c>
      <c r="G77" s="5"/>
      <c r="H77" s="5"/>
      <c r="I77" s="5"/>
      <c r="J77" s="4" t="s">
        <v>122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120</v>
      </c>
      <c r="E78" s="4" t="s">
        <v>279</v>
      </c>
      <c r="F78" s="4">
        <v>4709.37</v>
      </c>
      <c r="G78" s="5"/>
      <c r="H78" s="5"/>
      <c r="I78" s="5"/>
      <c r="J78" s="4" t="s">
        <v>122</v>
      </c>
    </row>
    <row r="79" spans="1:10" x14ac:dyDescent="0.25">
      <c r="A79" s="4">
        <f t="shared" ca="1" si="2"/>
        <v>76</v>
      </c>
      <c r="B79" s="4" t="s">
        <v>282</v>
      </c>
      <c r="C79" s="4" t="s">
        <v>283</v>
      </c>
      <c r="D79" s="4" t="s">
        <v>125</v>
      </c>
      <c r="E79" s="4" t="s">
        <v>284</v>
      </c>
      <c r="F79" s="4">
        <v>968.98700000000008</v>
      </c>
      <c r="G79" s="5">
        <v>102.9029</v>
      </c>
      <c r="H79" s="5">
        <v>17.990000000000002</v>
      </c>
      <c r="I79" s="5">
        <v>964</v>
      </c>
      <c r="J79" s="4" t="s">
        <v>126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125</v>
      </c>
      <c r="E80" s="4" t="s">
        <v>284</v>
      </c>
      <c r="F80" s="4">
        <v>966.20900000000006</v>
      </c>
      <c r="G80" s="5">
        <v>102.2676</v>
      </c>
      <c r="H80" s="5">
        <v>20.07</v>
      </c>
      <c r="I80" s="5">
        <v>801</v>
      </c>
      <c r="J80" s="4" t="s">
        <v>126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125</v>
      </c>
      <c r="E81" s="4" t="s">
        <v>284</v>
      </c>
      <c r="F81" s="4">
        <v>99.142099999999999</v>
      </c>
      <c r="G81" s="5">
        <v>99.142099999999999</v>
      </c>
      <c r="H81" s="5">
        <v>15.79</v>
      </c>
      <c r="I81" s="5">
        <v>21</v>
      </c>
      <c r="J81" s="4" t="s">
        <v>126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125</v>
      </c>
      <c r="E82" s="4" t="s">
        <v>284</v>
      </c>
      <c r="F82" s="4">
        <v>980.95699999999999</v>
      </c>
      <c r="G82" s="5">
        <v>105.95400000000001</v>
      </c>
      <c r="H82" s="5">
        <v>17.990000000000002</v>
      </c>
      <c r="I82" s="5">
        <v>1295</v>
      </c>
      <c r="J82" s="4" t="s">
        <v>126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125</v>
      </c>
      <c r="E83" s="4" t="s">
        <v>284</v>
      </c>
      <c r="F83" s="4">
        <v>100.01860000000001</v>
      </c>
      <c r="G83" s="5">
        <v>101.863</v>
      </c>
      <c r="H83" s="5">
        <v>7.99</v>
      </c>
      <c r="I83" s="5">
        <v>738</v>
      </c>
      <c r="J83" s="4" t="s">
        <v>126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125</v>
      </c>
      <c r="E84" s="4" t="s">
        <v>284</v>
      </c>
      <c r="F84" s="4">
        <v>1009.451</v>
      </c>
      <c r="G84" s="5">
        <v>109.768</v>
      </c>
      <c r="H84" s="5">
        <v>18.490000000000002</v>
      </c>
      <c r="I84" s="5">
        <v>563</v>
      </c>
      <c r="J84" s="4" t="s">
        <v>126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125</v>
      </c>
      <c r="E85" s="4" t="s">
        <v>284</v>
      </c>
      <c r="F85" s="4">
        <v>1019.13</v>
      </c>
      <c r="G85" s="5">
        <v>110.1366</v>
      </c>
      <c r="H85" s="5">
        <v>18.45</v>
      </c>
      <c r="I85" s="5">
        <v>1669</v>
      </c>
      <c r="J85" s="4" t="s">
        <v>126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125</v>
      </c>
      <c r="E86" s="4" t="s">
        <v>66</v>
      </c>
      <c r="F86" s="4">
        <v>1000</v>
      </c>
      <c r="G86" s="5">
        <v>112.08410000000001</v>
      </c>
      <c r="H86" s="5">
        <v>12.46</v>
      </c>
      <c r="I86" s="5">
        <v>1108</v>
      </c>
      <c r="J86" s="4" t="s">
        <v>126</v>
      </c>
    </row>
    <row r="87" spans="1:10" x14ac:dyDescent="0.25">
      <c r="A87" s="4">
        <f t="shared" ca="1" si="2"/>
        <v>84</v>
      </c>
      <c r="B87" s="4" t="s">
        <v>299</v>
      </c>
      <c r="C87" s="4" t="s">
        <v>300</v>
      </c>
      <c r="D87" s="4" t="s">
        <v>125</v>
      </c>
      <c r="E87" s="4" t="s">
        <v>66</v>
      </c>
      <c r="F87" s="4">
        <v>1000</v>
      </c>
      <c r="G87" s="5">
        <v>103.878</v>
      </c>
      <c r="H87" s="5">
        <v>12.41</v>
      </c>
      <c r="I87" s="5">
        <v>1348</v>
      </c>
      <c r="J87" s="4" t="s">
        <v>126</v>
      </c>
    </row>
    <row r="88" spans="1:10" x14ac:dyDescent="0.25">
      <c r="A88" s="4">
        <f t="shared" ca="1" si="2"/>
        <v>85</v>
      </c>
      <c r="B88" s="4" t="s">
        <v>301</v>
      </c>
      <c r="C88" s="4" t="s">
        <v>302</v>
      </c>
      <c r="D88" s="4" t="s">
        <v>125</v>
      </c>
      <c r="E88" s="4" t="s">
        <v>66</v>
      </c>
      <c r="F88" s="4">
        <v>1000</v>
      </c>
      <c r="G88" s="5">
        <v>106.95960000000001</v>
      </c>
      <c r="H88" s="5">
        <v>12.03</v>
      </c>
      <c r="I88" s="5">
        <v>161</v>
      </c>
      <c r="J88" s="4" t="s">
        <v>126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125</v>
      </c>
      <c r="E89" s="4" t="s">
        <v>66</v>
      </c>
      <c r="F89" s="4">
        <v>1000</v>
      </c>
      <c r="G89" s="5">
        <v>104.8129</v>
      </c>
      <c r="H89" s="5">
        <v>12.16</v>
      </c>
      <c r="I89" s="5">
        <v>224</v>
      </c>
      <c r="J89" s="4" t="s">
        <v>126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125</v>
      </c>
      <c r="E90" s="4" t="s">
        <v>66</v>
      </c>
      <c r="F90" s="4">
        <v>1000</v>
      </c>
      <c r="G90" s="5">
        <v>107.96380000000001</v>
      </c>
      <c r="H90" s="5">
        <v>12.32</v>
      </c>
      <c r="I90" s="5">
        <v>497</v>
      </c>
      <c r="J90" s="4" t="s">
        <v>126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125</v>
      </c>
      <c r="E91" s="4" t="s">
        <v>66</v>
      </c>
      <c r="F91" s="4">
        <v>1000</v>
      </c>
      <c r="G91" s="5">
        <v>105.88630000000001</v>
      </c>
      <c r="H91" s="5">
        <v>12.33</v>
      </c>
      <c r="I91" s="5">
        <v>558</v>
      </c>
      <c r="J91" s="4" t="s">
        <v>126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125</v>
      </c>
      <c r="E92" s="4" t="s">
        <v>66</v>
      </c>
      <c r="F92" s="4">
        <v>1000</v>
      </c>
      <c r="G92" s="5">
        <v>100.79640000000001</v>
      </c>
      <c r="H92" s="5">
        <v>12.44</v>
      </c>
      <c r="I92" s="5">
        <v>708</v>
      </c>
      <c r="J92" s="4" t="s">
        <v>126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125</v>
      </c>
      <c r="E93" s="4" t="s">
        <v>66</v>
      </c>
      <c r="F93" s="4">
        <v>1000</v>
      </c>
      <c r="G93" s="5">
        <v>103.878</v>
      </c>
      <c r="H93" s="5">
        <v>12.39</v>
      </c>
      <c r="I93" s="5">
        <v>983</v>
      </c>
      <c r="J93" s="4" t="s">
        <v>126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125</v>
      </c>
      <c r="E94" s="4" t="s">
        <v>66</v>
      </c>
      <c r="F94" s="4">
        <v>1000</v>
      </c>
      <c r="G94" s="5">
        <v>111.11460000000001</v>
      </c>
      <c r="H94" s="5">
        <v>12.44</v>
      </c>
      <c r="I94" s="5">
        <v>1502</v>
      </c>
      <c r="J94" s="4" t="s">
        <v>126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125</v>
      </c>
      <c r="E95" s="4" t="s">
        <v>66</v>
      </c>
      <c r="F95" s="4">
        <v>903.43200000000002</v>
      </c>
      <c r="G95" s="5">
        <v>90.704300000000003</v>
      </c>
      <c r="H95" s="5">
        <v>17.09</v>
      </c>
      <c r="I95" s="5">
        <v>340</v>
      </c>
      <c r="J95" s="4" t="s">
        <v>126</v>
      </c>
    </row>
    <row r="96" spans="1:10" x14ac:dyDescent="0.25">
      <c r="A96" s="4">
        <f t="shared" ca="1" si="2"/>
        <v>93</v>
      </c>
      <c r="B96" s="4" t="s">
        <v>317</v>
      </c>
      <c r="C96" s="4" t="s">
        <v>318</v>
      </c>
      <c r="D96" s="4" t="s">
        <v>125</v>
      </c>
      <c r="E96" s="4" t="s">
        <v>66</v>
      </c>
      <c r="F96" s="4">
        <v>1000</v>
      </c>
      <c r="G96" s="5">
        <v>105.88630000000001</v>
      </c>
      <c r="H96" s="5">
        <v>12.4</v>
      </c>
      <c r="I96" s="5">
        <v>1289</v>
      </c>
      <c r="J96" s="4" t="s">
        <v>126</v>
      </c>
    </row>
    <row r="97" spans="1:10" x14ac:dyDescent="0.25">
      <c r="A97" s="4">
        <f t="shared" ca="1" si="2"/>
        <v>94</v>
      </c>
      <c r="B97" s="4" t="s">
        <v>319</v>
      </c>
      <c r="C97" s="4" t="s">
        <v>104</v>
      </c>
      <c r="D97" s="4" t="s">
        <v>125</v>
      </c>
      <c r="E97" s="4" t="s">
        <v>66</v>
      </c>
      <c r="F97" s="4">
        <v>877.34800000000007</v>
      </c>
      <c r="G97" s="5">
        <v>91.7303</v>
      </c>
      <c r="H97" s="5">
        <v>16.920000000000002</v>
      </c>
      <c r="I97" s="5">
        <v>464</v>
      </c>
      <c r="J97" s="4" t="s">
        <v>126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125</v>
      </c>
      <c r="E98" s="4" t="s">
        <v>66</v>
      </c>
      <c r="F98" s="4">
        <v>839.06100000000004</v>
      </c>
      <c r="G98" s="5">
        <v>85.293900000000008</v>
      </c>
      <c r="H98" s="5">
        <v>16.809999999999999</v>
      </c>
      <c r="I98" s="5">
        <v>639</v>
      </c>
      <c r="J98" s="4" t="s">
        <v>126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125</v>
      </c>
      <c r="E99" s="4" t="s">
        <v>66</v>
      </c>
      <c r="F99" s="4">
        <v>846.93700000000001</v>
      </c>
      <c r="G99" s="5">
        <v>85.686800000000005</v>
      </c>
      <c r="H99" s="5">
        <v>16.760000000000002</v>
      </c>
      <c r="I99" s="5">
        <v>675</v>
      </c>
      <c r="J99" s="4" t="s">
        <v>126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125</v>
      </c>
      <c r="E100" s="4" t="s">
        <v>66</v>
      </c>
      <c r="F100" s="4">
        <v>1000</v>
      </c>
      <c r="G100" s="5">
        <v>104.84750000000001</v>
      </c>
      <c r="H100" s="5">
        <v>12.34</v>
      </c>
      <c r="I100" s="5">
        <v>588</v>
      </c>
      <c r="J100" s="4" t="s">
        <v>126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125</v>
      </c>
      <c r="E101" s="4" t="s">
        <v>66</v>
      </c>
      <c r="F101" s="4">
        <v>1000</v>
      </c>
      <c r="G101" s="5">
        <v>110.2881</v>
      </c>
      <c r="H101" s="5">
        <v>12.52</v>
      </c>
      <c r="I101" s="5">
        <v>1529</v>
      </c>
      <c r="J101" s="4" t="s">
        <v>126</v>
      </c>
    </row>
    <row r="102" spans="1:10" x14ac:dyDescent="0.25">
      <c r="A102" s="4">
        <f t="shared" ca="1" si="3"/>
        <v>99</v>
      </c>
      <c r="B102" s="4" t="s">
        <v>328</v>
      </c>
      <c r="C102" s="4" t="s">
        <v>82</v>
      </c>
      <c r="D102" s="4" t="s">
        <v>125</v>
      </c>
      <c r="E102" s="4" t="s">
        <v>66</v>
      </c>
      <c r="F102" s="4">
        <v>659.86</v>
      </c>
      <c r="G102" s="5">
        <v>70.850400000000008</v>
      </c>
      <c r="H102" s="5">
        <v>15.57</v>
      </c>
      <c r="I102" s="5">
        <v>3067</v>
      </c>
      <c r="J102" s="4" t="s">
        <v>126</v>
      </c>
    </row>
    <row r="103" spans="1:10" x14ac:dyDescent="0.25">
      <c r="A103" s="4">
        <f t="shared" ca="1" si="3"/>
        <v>100</v>
      </c>
      <c r="B103" s="4" t="s">
        <v>329</v>
      </c>
      <c r="C103" s="4" t="s">
        <v>67</v>
      </c>
      <c r="D103" s="4" t="s">
        <v>125</v>
      </c>
      <c r="E103" s="4" t="s">
        <v>66</v>
      </c>
      <c r="F103" s="4">
        <v>882.08199999999999</v>
      </c>
      <c r="G103" s="5">
        <v>91.922499999999999</v>
      </c>
      <c r="H103" s="5">
        <v>16.88</v>
      </c>
      <c r="I103" s="5">
        <v>549</v>
      </c>
      <c r="J103" s="4" t="s">
        <v>126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125</v>
      </c>
      <c r="E104" s="4" t="s">
        <v>66</v>
      </c>
      <c r="F104" s="4">
        <v>591.62700000000007</v>
      </c>
      <c r="G104" s="5">
        <v>61.157000000000004</v>
      </c>
      <c r="H104" s="5">
        <v>15.37</v>
      </c>
      <c r="I104" s="5">
        <v>6857</v>
      </c>
      <c r="J104" s="4" t="s">
        <v>126</v>
      </c>
    </row>
    <row r="105" spans="1:10" x14ac:dyDescent="0.25">
      <c r="A105" s="4">
        <f t="shared" ca="1" si="3"/>
        <v>102</v>
      </c>
      <c r="B105" s="4" t="s">
        <v>332</v>
      </c>
      <c r="C105" s="4" t="s">
        <v>333</v>
      </c>
      <c r="D105" s="4" t="s">
        <v>125</v>
      </c>
      <c r="E105" s="4" t="s">
        <v>66</v>
      </c>
      <c r="F105" s="4">
        <v>1000</v>
      </c>
      <c r="G105" s="5">
        <v>102.7354</v>
      </c>
      <c r="H105" s="5">
        <v>12.29</v>
      </c>
      <c r="I105" s="5">
        <v>286</v>
      </c>
      <c r="J105" s="4" t="s">
        <v>126</v>
      </c>
    </row>
    <row r="106" spans="1:10" x14ac:dyDescent="0.25">
      <c r="A106" s="4">
        <f t="shared" ca="1" si="3"/>
        <v>103</v>
      </c>
      <c r="B106" s="4" t="s">
        <v>334</v>
      </c>
      <c r="C106" s="4" t="s">
        <v>335</v>
      </c>
      <c r="D106" s="4" t="s">
        <v>125</v>
      </c>
      <c r="E106" s="4" t="s">
        <v>66</v>
      </c>
      <c r="F106" s="4">
        <v>1000</v>
      </c>
      <c r="G106" s="5">
        <v>105.9209</v>
      </c>
      <c r="H106" s="5">
        <v>12.4</v>
      </c>
      <c r="I106" s="5">
        <v>1288</v>
      </c>
      <c r="J106" s="4" t="s">
        <v>126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125</v>
      </c>
      <c r="E107" s="4" t="s">
        <v>66</v>
      </c>
      <c r="F107" s="4">
        <v>1000</v>
      </c>
      <c r="G107" s="5">
        <v>106.8904</v>
      </c>
      <c r="H107" s="5">
        <v>12.41</v>
      </c>
      <c r="I107" s="5">
        <v>1624</v>
      </c>
      <c r="J107" s="4" t="s">
        <v>126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125</v>
      </c>
      <c r="E108" s="4" t="s">
        <v>66</v>
      </c>
      <c r="F108" s="4">
        <v>1000</v>
      </c>
      <c r="G108" s="5">
        <v>103.8434</v>
      </c>
      <c r="H108" s="5">
        <v>12.22</v>
      </c>
      <c r="I108" s="5">
        <v>253</v>
      </c>
      <c r="J108" s="4" t="s">
        <v>126</v>
      </c>
    </row>
    <row r="109" spans="1:10" x14ac:dyDescent="0.25">
      <c r="A109" s="4">
        <f t="shared" ca="1" si="3"/>
        <v>106</v>
      </c>
      <c r="B109" s="4" t="s">
        <v>340</v>
      </c>
      <c r="C109" s="4" t="s">
        <v>84</v>
      </c>
      <c r="D109" s="4" t="s">
        <v>125</v>
      </c>
      <c r="E109" s="4" t="s">
        <v>66</v>
      </c>
      <c r="F109" s="4">
        <v>647.70500000000004</v>
      </c>
      <c r="G109" s="5">
        <v>71.94380000000001</v>
      </c>
      <c r="H109" s="5">
        <v>15.54</v>
      </c>
      <c r="I109" s="5">
        <v>3329</v>
      </c>
      <c r="J109" s="4" t="s">
        <v>126</v>
      </c>
    </row>
    <row r="110" spans="1:10" x14ac:dyDescent="0.25">
      <c r="A110" s="4">
        <f t="shared" ca="1" si="3"/>
        <v>107</v>
      </c>
      <c r="B110" s="4" t="s">
        <v>341</v>
      </c>
      <c r="C110" s="4" t="s">
        <v>342</v>
      </c>
      <c r="D110" s="4" t="s">
        <v>125</v>
      </c>
      <c r="E110" s="4" t="s">
        <v>66</v>
      </c>
      <c r="F110" s="4">
        <v>917.678</v>
      </c>
      <c r="G110" s="5">
        <v>98.842800000000011</v>
      </c>
      <c r="H110" s="5">
        <v>16.940000000000001</v>
      </c>
      <c r="I110" s="5">
        <v>443</v>
      </c>
      <c r="J110" s="4" t="s">
        <v>126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125</v>
      </c>
      <c r="E111" s="4" t="s">
        <v>66</v>
      </c>
      <c r="F111" s="4">
        <v>898.86300000000006</v>
      </c>
      <c r="G111" s="5">
        <v>94.036300000000011</v>
      </c>
      <c r="H111" s="5">
        <v>16.86</v>
      </c>
      <c r="I111" s="5">
        <v>562</v>
      </c>
      <c r="J111" s="4" t="s">
        <v>126</v>
      </c>
    </row>
    <row r="112" spans="1:10" x14ac:dyDescent="0.25">
      <c r="A112" s="4">
        <f t="shared" ca="1" si="3"/>
        <v>109</v>
      </c>
      <c r="B112" s="4" t="s">
        <v>345</v>
      </c>
      <c r="C112" s="4" t="s">
        <v>346</v>
      </c>
      <c r="D112" s="4" t="s">
        <v>125</v>
      </c>
      <c r="E112" s="4" t="s">
        <v>66</v>
      </c>
      <c r="F112" s="4">
        <v>644.63800000000003</v>
      </c>
      <c r="G112" s="5">
        <v>67.738</v>
      </c>
      <c r="H112" s="5">
        <v>15.48</v>
      </c>
      <c r="I112" s="5">
        <v>3877</v>
      </c>
      <c r="J112" s="4" t="s">
        <v>126</v>
      </c>
    </row>
    <row r="113" spans="1:10" x14ac:dyDescent="0.25">
      <c r="A113" s="4">
        <f t="shared" ca="1" si="3"/>
        <v>110</v>
      </c>
      <c r="B113" s="4" t="s">
        <v>347</v>
      </c>
      <c r="C113" s="4" t="s">
        <v>348</v>
      </c>
      <c r="D113" s="4" t="s">
        <v>125</v>
      </c>
      <c r="E113" s="4" t="s">
        <v>66</v>
      </c>
      <c r="F113" s="4">
        <v>706.49900000000002</v>
      </c>
      <c r="G113" s="5">
        <v>76.784100000000009</v>
      </c>
      <c r="H113" s="5">
        <v>15.66</v>
      </c>
      <c r="I113" s="5">
        <v>2664</v>
      </c>
      <c r="J113" s="4" t="s">
        <v>126</v>
      </c>
    </row>
    <row r="114" spans="1:10" x14ac:dyDescent="0.25">
      <c r="A114" s="4">
        <f t="shared" ca="1" si="3"/>
        <v>111</v>
      </c>
      <c r="B114" s="4" t="s">
        <v>349</v>
      </c>
      <c r="C114" s="4" t="s">
        <v>350</v>
      </c>
      <c r="D114" s="4" t="s">
        <v>125</v>
      </c>
      <c r="E114" s="4" t="s">
        <v>66</v>
      </c>
      <c r="F114" s="4">
        <v>697.13800000000003</v>
      </c>
      <c r="G114" s="5">
        <v>75.259799999999998</v>
      </c>
      <c r="H114" s="5">
        <v>15.65</v>
      </c>
      <c r="I114" s="5">
        <v>2683</v>
      </c>
      <c r="J114" s="4" t="s">
        <v>126</v>
      </c>
    </row>
    <row r="115" spans="1:10" x14ac:dyDescent="0.25">
      <c r="A115" s="4">
        <f t="shared" ca="1" si="3"/>
        <v>112</v>
      </c>
      <c r="B115" s="4" t="s">
        <v>351</v>
      </c>
      <c r="C115" s="4" t="s">
        <v>77</v>
      </c>
      <c r="D115" s="4" t="s">
        <v>125</v>
      </c>
      <c r="E115" s="4" t="s">
        <v>66</v>
      </c>
      <c r="F115" s="4">
        <v>719.05200000000002</v>
      </c>
      <c r="G115" s="5">
        <v>77.608900000000006</v>
      </c>
      <c r="H115" s="5">
        <v>15.75</v>
      </c>
      <c r="I115" s="5">
        <v>2311</v>
      </c>
      <c r="J115" s="4" t="s">
        <v>126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125</v>
      </c>
      <c r="E116" s="4" t="s">
        <v>66</v>
      </c>
      <c r="F116" s="4">
        <v>742.35900000000004</v>
      </c>
      <c r="G116" s="5">
        <v>79.370199999999997</v>
      </c>
      <c r="H116" s="5">
        <v>15.85</v>
      </c>
      <c r="I116" s="5">
        <v>1969</v>
      </c>
      <c r="J116" s="4" t="s">
        <v>126</v>
      </c>
    </row>
    <row r="117" spans="1:10" x14ac:dyDescent="0.25">
      <c r="A117" s="4">
        <f t="shared" ca="1" si="3"/>
        <v>114</v>
      </c>
      <c r="B117" s="4" t="s">
        <v>354</v>
      </c>
      <c r="C117" s="4" t="s">
        <v>72</v>
      </c>
      <c r="D117" s="4" t="s">
        <v>125</v>
      </c>
      <c r="E117" s="4" t="s">
        <v>66</v>
      </c>
      <c r="F117" s="4">
        <v>649.38600000000008</v>
      </c>
      <c r="G117" s="5">
        <v>72.381900000000002</v>
      </c>
      <c r="H117" s="5">
        <v>15.48</v>
      </c>
      <c r="I117" s="5">
        <v>4073</v>
      </c>
      <c r="J117" s="4" t="s">
        <v>126</v>
      </c>
    </row>
    <row r="118" spans="1:10" x14ac:dyDescent="0.25">
      <c r="A118" s="4">
        <f t="shared" ca="1" si="3"/>
        <v>115</v>
      </c>
      <c r="B118" s="4" t="s">
        <v>355</v>
      </c>
      <c r="C118" s="4" t="s">
        <v>356</v>
      </c>
      <c r="D118" s="4" t="s">
        <v>125</v>
      </c>
      <c r="E118" s="4" t="s">
        <v>66</v>
      </c>
      <c r="F118" s="4">
        <v>1000</v>
      </c>
      <c r="G118" s="5">
        <v>106.95960000000001</v>
      </c>
      <c r="H118" s="5">
        <v>12.03</v>
      </c>
      <c r="I118" s="5">
        <v>161</v>
      </c>
      <c r="J118" s="4" t="s">
        <v>126</v>
      </c>
    </row>
    <row r="119" spans="1:10" x14ac:dyDescent="0.25">
      <c r="A119" s="4">
        <f t="shared" ca="1" si="3"/>
        <v>116</v>
      </c>
      <c r="B119" s="4" t="s">
        <v>357</v>
      </c>
      <c r="C119" s="4" t="s">
        <v>101</v>
      </c>
      <c r="D119" s="4" t="s">
        <v>125</v>
      </c>
      <c r="E119" s="4" t="s">
        <v>66</v>
      </c>
      <c r="F119" s="4">
        <v>776.79</v>
      </c>
      <c r="G119" s="5">
        <v>80.367000000000004</v>
      </c>
      <c r="H119" s="5">
        <v>16.2</v>
      </c>
      <c r="I119" s="5">
        <v>1334</v>
      </c>
      <c r="J119" s="4" t="s">
        <v>126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125</v>
      </c>
      <c r="E120" s="4" t="s">
        <v>66</v>
      </c>
      <c r="F120" s="4">
        <v>758.75900000000001</v>
      </c>
      <c r="G120" s="5">
        <v>82.5959</v>
      </c>
      <c r="H120" s="5">
        <v>16.11</v>
      </c>
      <c r="I120" s="5">
        <v>1509</v>
      </c>
      <c r="J120" s="4" t="s">
        <v>126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125</v>
      </c>
      <c r="E121" s="4" t="s">
        <v>66</v>
      </c>
      <c r="F121" s="4">
        <v>588.21800000000007</v>
      </c>
      <c r="G121" s="5">
        <v>66.6999</v>
      </c>
      <c r="H121" s="5">
        <v>15.41</v>
      </c>
      <c r="I121" s="5">
        <v>4750</v>
      </c>
      <c r="J121" s="4" t="s">
        <v>126</v>
      </c>
    </row>
    <row r="122" spans="1:10" x14ac:dyDescent="0.25">
      <c r="A122" s="4">
        <f t="shared" ca="1" si="3"/>
        <v>119</v>
      </c>
      <c r="B122" s="4" t="s">
        <v>362</v>
      </c>
      <c r="C122" s="4" t="s">
        <v>71</v>
      </c>
      <c r="D122" s="4" t="s">
        <v>125</v>
      </c>
      <c r="E122" s="4" t="s">
        <v>66</v>
      </c>
      <c r="F122" s="4">
        <v>931.60500000000002</v>
      </c>
      <c r="G122" s="5">
        <v>95.009100000000004</v>
      </c>
      <c r="H122" s="5">
        <v>17.09</v>
      </c>
      <c r="I122" s="5">
        <v>243</v>
      </c>
      <c r="J122" s="4" t="s">
        <v>126</v>
      </c>
    </row>
    <row r="123" spans="1:10" x14ac:dyDescent="0.25">
      <c r="A123" s="4">
        <f t="shared" ca="1" si="3"/>
        <v>120</v>
      </c>
      <c r="B123" s="4" t="s">
        <v>363</v>
      </c>
      <c r="C123" s="4" t="s">
        <v>108</v>
      </c>
      <c r="D123" s="4" t="s">
        <v>125</v>
      </c>
      <c r="E123" s="4" t="s">
        <v>66</v>
      </c>
      <c r="F123" s="4">
        <v>830.23500000000001</v>
      </c>
      <c r="G123" s="5">
        <v>83.906800000000004</v>
      </c>
      <c r="H123" s="5">
        <v>16.77</v>
      </c>
      <c r="I123" s="5">
        <v>670</v>
      </c>
      <c r="J123" s="4" t="s">
        <v>126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125</v>
      </c>
      <c r="E124" s="4" t="s">
        <v>66</v>
      </c>
      <c r="F124" s="4">
        <v>771.02300000000002</v>
      </c>
      <c r="G124" s="5">
        <v>78.462000000000003</v>
      </c>
      <c r="H124" s="5">
        <v>16.47</v>
      </c>
      <c r="I124" s="5">
        <v>1007</v>
      </c>
      <c r="J124" s="4" t="s">
        <v>126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125</v>
      </c>
      <c r="E125" s="4" t="s">
        <v>66</v>
      </c>
      <c r="F125" s="4">
        <v>605.86900000000003</v>
      </c>
      <c r="G125" s="5">
        <v>63.926900000000003</v>
      </c>
      <c r="H125" s="5">
        <v>15.41</v>
      </c>
      <c r="I125" s="5">
        <v>4967</v>
      </c>
      <c r="J125" s="4" t="s">
        <v>126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125</v>
      </c>
      <c r="E126" s="4" t="s">
        <v>66</v>
      </c>
      <c r="F126" s="4">
        <v>602.12800000000004</v>
      </c>
      <c r="G126" s="5">
        <v>67.025100000000009</v>
      </c>
      <c r="H126" s="5">
        <v>15.41</v>
      </c>
      <c r="I126" s="5">
        <v>5183</v>
      </c>
      <c r="J126" s="4" t="s">
        <v>126</v>
      </c>
    </row>
    <row r="127" spans="1:10" x14ac:dyDescent="0.25">
      <c r="A127" s="4">
        <f t="shared" ca="1" si="3"/>
        <v>124</v>
      </c>
      <c r="B127" s="4" t="s">
        <v>370</v>
      </c>
      <c r="C127" s="4" t="s">
        <v>97</v>
      </c>
      <c r="D127" s="4" t="s">
        <v>125</v>
      </c>
      <c r="E127" s="4" t="s">
        <v>66</v>
      </c>
      <c r="F127" s="4">
        <v>870.94100000000003</v>
      </c>
      <c r="G127" s="5">
        <v>95.00800000000001</v>
      </c>
      <c r="H127" s="5">
        <v>16.32</v>
      </c>
      <c r="I127" s="5">
        <v>1199</v>
      </c>
      <c r="J127" s="4" t="s">
        <v>126</v>
      </c>
    </row>
    <row r="128" spans="1:10" x14ac:dyDescent="0.25">
      <c r="A128" s="4">
        <f t="shared" ca="1" si="3"/>
        <v>125</v>
      </c>
      <c r="B128" s="4" t="s">
        <v>371</v>
      </c>
      <c r="C128" s="4" t="s">
        <v>372</v>
      </c>
      <c r="D128" s="4" t="s">
        <v>125</v>
      </c>
      <c r="E128" s="4" t="s">
        <v>66</v>
      </c>
      <c r="F128" s="4">
        <v>960.26900000000001</v>
      </c>
      <c r="G128" s="5">
        <v>100.223</v>
      </c>
      <c r="H128" s="5">
        <v>17.059999999999999</v>
      </c>
      <c r="I128" s="5">
        <v>197</v>
      </c>
      <c r="J128" s="4" t="s">
        <v>126</v>
      </c>
    </row>
    <row r="129" spans="1:10" x14ac:dyDescent="0.25">
      <c r="A129" s="4">
        <f t="shared" ca="1" si="3"/>
        <v>126</v>
      </c>
      <c r="B129" s="4" t="s">
        <v>373</v>
      </c>
      <c r="C129" s="4" t="s">
        <v>374</v>
      </c>
      <c r="D129" s="4" t="s">
        <v>125</v>
      </c>
      <c r="E129" s="4" t="s">
        <v>66</v>
      </c>
      <c r="F129" s="4">
        <v>1000</v>
      </c>
      <c r="G129" s="5">
        <v>100.2093</v>
      </c>
      <c r="H129" s="5">
        <v>12.55</v>
      </c>
      <c r="I129" s="5">
        <v>1091</v>
      </c>
      <c r="J129" s="4" t="s">
        <v>126</v>
      </c>
    </row>
    <row r="130" spans="1:10" x14ac:dyDescent="0.25">
      <c r="A130" s="4">
        <f t="shared" ca="1" si="3"/>
        <v>127</v>
      </c>
      <c r="B130" s="4" t="s">
        <v>375</v>
      </c>
      <c r="C130" s="4" t="s">
        <v>376</v>
      </c>
      <c r="D130" s="4" t="s">
        <v>125</v>
      </c>
      <c r="E130" s="4" t="s">
        <v>66</v>
      </c>
      <c r="F130" s="4">
        <v>1000</v>
      </c>
      <c r="G130" s="5">
        <v>109.00250000000001</v>
      </c>
      <c r="H130" s="5">
        <v>11.92</v>
      </c>
      <c r="I130" s="5">
        <v>101</v>
      </c>
      <c r="J130" s="4" t="s">
        <v>126</v>
      </c>
    </row>
    <row r="131" spans="1:10" x14ac:dyDescent="0.25">
      <c r="A131" s="4">
        <f t="shared" ca="1" si="3"/>
        <v>128</v>
      </c>
      <c r="B131" s="4" t="s">
        <v>377</v>
      </c>
      <c r="C131" s="4" t="s">
        <v>378</v>
      </c>
      <c r="D131" s="4" t="s">
        <v>125</v>
      </c>
      <c r="E131" s="4" t="s">
        <v>66</v>
      </c>
      <c r="F131" s="4">
        <v>1000</v>
      </c>
      <c r="G131" s="5">
        <v>110.0759</v>
      </c>
      <c r="H131" s="5">
        <v>12.42</v>
      </c>
      <c r="I131" s="5">
        <v>1168</v>
      </c>
      <c r="J131" s="4" t="s">
        <v>126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380</v>
      </c>
      <c r="D132" s="4" t="s">
        <v>125</v>
      </c>
      <c r="E132" s="4" t="s">
        <v>66</v>
      </c>
      <c r="F132" s="4">
        <v>871.02200000000005</v>
      </c>
      <c r="G132" s="5">
        <v>88.614500000000007</v>
      </c>
      <c r="H132" s="5">
        <v>16.440000000000001</v>
      </c>
      <c r="I132" s="5">
        <v>1044</v>
      </c>
      <c r="J132" s="4" t="s">
        <v>126</v>
      </c>
    </row>
    <row r="133" spans="1:10" x14ac:dyDescent="0.25">
      <c r="A133" s="4">
        <f t="shared" ca="1" si="4"/>
        <v>130</v>
      </c>
      <c r="B133" s="4" t="s">
        <v>381</v>
      </c>
      <c r="C133" s="4" t="s">
        <v>382</v>
      </c>
      <c r="D133" s="4" t="s">
        <v>125</v>
      </c>
      <c r="E133" s="4" t="s">
        <v>66</v>
      </c>
      <c r="F133" s="4">
        <v>1000</v>
      </c>
      <c r="G133" s="5">
        <v>110.1798</v>
      </c>
      <c r="H133" s="5">
        <v>12.4</v>
      </c>
      <c r="I133" s="5">
        <v>799</v>
      </c>
      <c r="J133" s="4" t="s">
        <v>126</v>
      </c>
    </row>
    <row r="134" spans="1:10" x14ac:dyDescent="0.25">
      <c r="A134" s="4">
        <f t="shared" ca="1" si="4"/>
        <v>131</v>
      </c>
      <c r="B134" s="4" t="s">
        <v>383</v>
      </c>
      <c r="C134" s="4" t="s">
        <v>384</v>
      </c>
      <c r="D134" s="4" t="s">
        <v>125</v>
      </c>
      <c r="E134" s="4" t="s">
        <v>66</v>
      </c>
      <c r="F134" s="4">
        <v>606.77100000000007</v>
      </c>
      <c r="G134" s="5">
        <v>64.267400000000009</v>
      </c>
      <c r="H134" s="5">
        <v>15.7</v>
      </c>
      <c r="I134" s="5">
        <v>2319</v>
      </c>
      <c r="J134" s="4" t="s">
        <v>126</v>
      </c>
    </row>
    <row r="135" spans="1:10" x14ac:dyDescent="0.25">
      <c r="A135" s="4">
        <f t="shared" ca="1" si="4"/>
        <v>132</v>
      </c>
      <c r="B135" s="4" t="s">
        <v>385</v>
      </c>
      <c r="C135" s="4" t="s">
        <v>386</v>
      </c>
      <c r="D135" s="4" t="s">
        <v>125</v>
      </c>
      <c r="E135" s="4" t="s">
        <v>66</v>
      </c>
      <c r="F135" s="4">
        <v>796.48099999999999</v>
      </c>
      <c r="G135" s="5">
        <v>79.828600000000009</v>
      </c>
      <c r="H135" s="5">
        <v>16.399999999999999</v>
      </c>
      <c r="I135" s="5">
        <v>1088</v>
      </c>
      <c r="J135" s="4" t="s">
        <v>126</v>
      </c>
    </row>
    <row r="136" spans="1:10" x14ac:dyDescent="0.25">
      <c r="A136" s="4">
        <f t="shared" ca="1" si="4"/>
        <v>133</v>
      </c>
      <c r="B136" s="4" t="s">
        <v>387</v>
      </c>
      <c r="C136" s="4" t="s">
        <v>388</v>
      </c>
      <c r="D136" s="4" t="s">
        <v>125</v>
      </c>
      <c r="E136" s="4" t="s">
        <v>66</v>
      </c>
      <c r="F136" s="4">
        <v>788.96800000000007</v>
      </c>
      <c r="G136" s="5">
        <v>82.244</v>
      </c>
      <c r="H136" s="5">
        <v>16.600000000000001</v>
      </c>
      <c r="I136" s="5">
        <v>852</v>
      </c>
      <c r="J136" s="4" t="s">
        <v>126</v>
      </c>
    </row>
    <row r="137" spans="1:10" x14ac:dyDescent="0.25">
      <c r="A137" s="4">
        <f t="shared" ca="1" si="4"/>
        <v>134</v>
      </c>
      <c r="B137" s="4" t="s">
        <v>389</v>
      </c>
      <c r="C137" s="4" t="s">
        <v>80</v>
      </c>
      <c r="D137" s="4" t="s">
        <v>125</v>
      </c>
      <c r="E137" s="4" t="s">
        <v>66</v>
      </c>
      <c r="F137" s="4">
        <v>798.029</v>
      </c>
      <c r="G137" s="5">
        <v>84.033299999999997</v>
      </c>
      <c r="H137" s="5">
        <v>15.74</v>
      </c>
      <c r="I137" s="5">
        <v>2412</v>
      </c>
      <c r="J137" s="4" t="s">
        <v>126</v>
      </c>
    </row>
    <row r="138" spans="1:10" x14ac:dyDescent="0.25">
      <c r="A138" s="4">
        <f t="shared" ca="1" si="4"/>
        <v>135</v>
      </c>
      <c r="B138" s="4" t="s">
        <v>390</v>
      </c>
      <c r="C138" s="4" t="s">
        <v>106</v>
      </c>
      <c r="D138" s="4" t="s">
        <v>125</v>
      </c>
      <c r="E138" s="4" t="s">
        <v>66</v>
      </c>
      <c r="F138" s="4">
        <v>851.84400000000005</v>
      </c>
      <c r="G138" s="5">
        <v>89.316500000000005</v>
      </c>
      <c r="H138" s="5">
        <v>16.22</v>
      </c>
      <c r="I138" s="5">
        <v>1318</v>
      </c>
      <c r="J138" s="4" t="s">
        <v>126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125</v>
      </c>
      <c r="E139" s="4" t="s">
        <v>66</v>
      </c>
      <c r="F139" s="4">
        <v>1000</v>
      </c>
      <c r="G139" s="5">
        <v>102.77</v>
      </c>
      <c r="H139" s="5">
        <v>12.43</v>
      </c>
      <c r="I139" s="5">
        <v>1746</v>
      </c>
      <c r="J139" s="4" t="s">
        <v>126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125</v>
      </c>
      <c r="E140" s="4" t="s">
        <v>66</v>
      </c>
      <c r="F140" s="4">
        <v>1000</v>
      </c>
      <c r="G140" s="5">
        <v>112.11880000000001</v>
      </c>
      <c r="H140" s="5">
        <v>12.46</v>
      </c>
      <c r="I140" s="5">
        <v>2202</v>
      </c>
      <c r="J140" s="4" t="s">
        <v>126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125</v>
      </c>
      <c r="E141" s="4" t="s">
        <v>66</v>
      </c>
      <c r="F141" s="4">
        <v>1000</v>
      </c>
      <c r="G141" s="5">
        <v>102.83930000000001</v>
      </c>
      <c r="H141" s="5">
        <v>12.43</v>
      </c>
      <c r="I141" s="5">
        <v>2109</v>
      </c>
      <c r="J141" s="4" t="s">
        <v>126</v>
      </c>
    </row>
    <row r="142" spans="1:10" x14ac:dyDescent="0.25">
      <c r="A142" s="4">
        <f t="shared" ca="1" si="4"/>
        <v>139</v>
      </c>
      <c r="B142" s="4" t="s">
        <v>397</v>
      </c>
      <c r="C142" s="4" t="s">
        <v>398</v>
      </c>
      <c r="D142" s="4" t="s">
        <v>125</v>
      </c>
      <c r="E142" s="4" t="s">
        <v>66</v>
      </c>
      <c r="F142" s="4">
        <v>921.84300000000007</v>
      </c>
      <c r="G142" s="5">
        <v>98.251000000000005</v>
      </c>
      <c r="H142" s="5">
        <v>16.89</v>
      </c>
      <c r="I142" s="5">
        <v>517</v>
      </c>
      <c r="J142" s="4" t="s">
        <v>126</v>
      </c>
    </row>
    <row r="143" spans="1:10" x14ac:dyDescent="0.25">
      <c r="A143" s="4">
        <f t="shared" ca="1" si="4"/>
        <v>140</v>
      </c>
      <c r="B143" s="4" t="s">
        <v>399</v>
      </c>
      <c r="C143" s="4" t="s">
        <v>400</v>
      </c>
      <c r="D143" s="4" t="s">
        <v>125</v>
      </c>
      <c r="E143" s="4" t="s">
        <v>66</v>
      </c>
      <c r="F143" s="4">
        <v>769.94100000000003</v>
      </c>
      <c r="G143" s="5">
        <v>86.847000000000008</v>
      </c>
      <c r="H143" s="5">
        <v>15.5</v>
      </c>
      <c r="I143" s="5">
        <v>4059</v>
      </c>
      <c r="J143" s="4" t="s">
        <v>126</v>
      </c>
    </row>
    <row r="144" spans="1:10" x14ac:dyDescent="0.25">
      <c r="A144" s="4">
        <f t="shared" ca="1" si="4"/>
        <v>141</v>
      </c>
      <c r="B144" s="4" t="s">
        <v>401</v>
      </c>
      <c r="C144" s="4" t="s">
        <v>95</v>
      </c>
      <c r="D144" s="4" t="s">
        <v>125</v>
      </c>
      <c r="E144" s="4" t="s">
        <v>66</v>
      </c>
      <c r="F144" s="4">
        <v>994.60200000000009</v>
      </c>
      <c r="G144" s="5">
        <v>103.8468</v>
      </c>
      <c r="H144" s="5">
        <v>16.670000000000002</v>
      </c>
      <c r="I144" s="5">
        <v>34</v>
      </c>
      <c r="J144" s="4" t="s">
        <v>126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125</v>
      </c>
      <c r="E145" s="4" t="s">
        <v>66</v>
      </c>
      <c r="F145" s="4">
        <v>852.64300000000003</v>
      </c>
      <c r="G145" s="5">
        <v>94.889300000000006</v>
      </c>
      <c r="H145" s="5">
        <v>16.13</v>
      </c>
      <c r="I145" s="5">
        <v>1509</v>
      </c>
      <c r="J145" s="4" t="s">
        <v>126</v>
      </c>
    </row>
    <row r="146" spans="1:10" x14ac:dyDescent="0.25">
      <c r="A146" s="4">
        <f t="shared" ca="1" si="4"/>
        <v>143</v>
      </c>
      <c r="B146" s="4" t="s">
        <v>404</v>
      </c>
      <c r="C146" s="4" t="s">
        <v>405</v>
      </c>
      <c r="D146" s="4" t="s">
        <v>125</v>
      </c>
      <c r="E146" s="4" t="s">
        <v>66</v>
      </c>
      <c r="F146" s="4">
        <v>758.77600000000007</v>
      </c>
      <c r="G146" s="5">
        <v>79.291300000000007</v>
      </c>
      <c r="H146" s="5">
        <v>15.51</v>
      </c>
      <c r="I146" s="5">
        <v>3903</v>
      </c>
      <c r="J146" s="4" t="s">
        <v>126</v>
      </c>
    </row>
    <row r="147" spans="1:10" x14ac:dyDescent="0.25">
      <c r="A147" s="4">
        <f t="shared" ca="1" si="4"/>
        <v>144</v>
      </c>
      <c r="B147" s="4" t="s">
        <v>406</v>
      </c>
      <c r="C147" s="4" t="s">
        <v>407</v>
      </c>
      <c r="D147" s="4" t="s">
        <v>125</v>
      </c>
      <c r="E147" s="4" t="s">
        <v>66</v>
      </c>
      <c r="F147" s="4">
        <v>754.36800000000005</v>
      </c>
      <c r="G147" s="5">
        <v>83.926400000000001</v>
      </c>
      <c r="H147" s="5">
        <v>15.63</v>
      </c>
      <c r="I147" s="5">
        <v>2983</v>
      </c>
      <c r="J147" s="4" t="s">
        <v>126</v>
      </c>
    </row>
    <row r="148" spans="1:10" x14ac:dyDescent="0.25">
      <c r="A148" s="4">
        <f t="shared" ca="1" si="4"/>
        <v>145</v>
      </c>
      <c r="B148" s="4" t="s">
        <v>408</v>
      </c>
      <c r="C148" s="4" t="s">
        <v>114</v>
      </c>
      <c r="D148" s="4" t="s">
        <v>125</v>
      </c>
      <c r="E148" s="4" t="s">
        <v>66</v>
      </c>
      <c r="F148" s="4">
        <v>886.29900000000009</v>
      </c>
      <c r="G148" s="5">
        <v>95.765500000000003</v>
      </c>
      <c r="H148" s="5">
        <v>16.62</v>
      </c>
      <c r="I148" s="5">
        <v>846</v>
      </c>
      <c r="J148" s="4" t="s">
        <v>126</v>
      </c>
    </row>
    <row r="149" spans="1:10" x14ac:dyDescent="0.25">
      <c r="A149" s="4">
        <f t="shared" ca="1" si="4"/>
        <v>146</v>
      </c>
      <c r="B149" s="4" t="s">
        <v>409</v>
      </c>
      <c r="C149" s="4" t="s">
        <v>73</v>
      </c>
      <c r="D149" s="4" t="s">
        <v>125</v>
      </c>
      <c r="E149" s="4" t="s">
        <v>66</v>
      </c>
      <c r="F149" s="4">
        <v>965.65300000000002</v>
      </c>
      <c r="G149" s="5">
        <v>100.50280000000001</v>
      </c>
      <c r="H149" s="5">
        <v>16.440000000000001</v>
      </c>
      <c r="I149" s="5">
        <v>229</v>
      </c>
      <c r="J149" s="4" t="s">
        <v>126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125</v>
      </c>
      <c r="E150" s="4" t="s">
        <v>66</v>
      </c>
      <c r="F150" s="4">
        <v>747.65800000000002</v>
      </c>
      <c r="G150" s="5">
        <v>82.709500000000006</v>
      </c>
      <c r="H150" s="5">
        <v>15.55</v>
      </c>
      <c r="I150" s="5">
        <v>3369</v>
      </c>
      <c r="J150" s="4" t="s">
        <v>126</v>
      </c>
    </row>
    <row r="151" spans="1:10" x14ac:dyDescent="0.25">
      <c r="A151" s="4">
        <f t="shared" ca="1" si="4"/>
        <v>148</v>
      </c>
      <c r="B151" s="4" t="s">
        <v>412</v>
      </c>
      <c r="C151" s="4" t="s">
        <v>99</v>
      </c>
      <c r="D151" s="4" t="s">
        <v>125</v>
      </c>
      <c r="E151" s="4" t="s">
        <v>66</v>
      </c>
      <c r="F151" s="4">
        <v>809.11500000000001</v>
      </c>
      <c r="G151" s="5">
        <v>88.693700000000007</v>
      </c>
      <c r="H151" s="5">
        <v>15.89</v>
      </c>
      <c r="I151" s="5">
        <v>1915</v>
      </c>
      <c r="J151" s="4" t="s">
        <v>126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125</v>
      </c>
      <c r="E152" s="4" t="s">
        <v>66</v>
      </c>
      <c r="F152" s="4">
        <v>785.053</v>
      </c>
      <c r="G152" s="5">
        <v>81.9499</v>
      </c>
      <c r="H152" s="5">
        <v>15.65</v>
      </c>
      <c r="I152" s="5">
        <v>2805</v>
      </c>
      <c r="J152" s="4" t="s">
        <v>126</v>
      </c>
    </row>
    <row r="153" spans="1:10" x14ac:dyDescent="0.25">
      <c r="A153" s="4">
        <f t="shared" ca="1" si="4"/>
        <v>150</v>
      </c>
      <c r="B153" s="4" t="s">
        <v>415</v>
      </c>
      <c r="C153" s="4" t="s">
        <v>416</v>
      </c>
      <c r="D153" s="4" t="s">
        <v>125</v>
      </c>
      <c r="E153" s="4" t="s">
        <v>66</v>
      </c>
      <c r="F153" s="4">
        <v>982.22400000000005</v>
      </c>
      <c r="G153" s="5">
        <v>101.81320000000001</v>
      </c>
      <c r="H153" s="5">
        <v>16.440000000000001</v>
      </c>
      <c r="I153" s="5">
        <v>272</v>
      </c>
      <c r="J153" s="4" t="s">
        <v>126</v>
      </c>
    </row>
    <row r="154" spans="1:10" x14ac:dyDescent="0.25">
      <c r="A154" s="4">
        <f t="shared" ca="1" si="4"/>
        <v>151</v>
      </c>
      <c r="B154" s="4" t="s">
        <v>417</v>
      </c>
      <c r="C154" s="4" t="s">
        <v>418</v>
      </c>
      <c r="D154" s="4" t="s">
        <v>125</v>
      </c>
      <c r="E154" s="4" t="s">
        <v>66</v>
      </c>
      <c r="F154" s="4">
        <v>987.33300000000008</v>
      </c>
      <c r="G154" s="5">
        <v>100.05510000000001</v>
      </c>
      <c r="H154" s="5">
        <v>16.12</v>
      </c>
      <c r="I154" s="5">
        <v>700</v>
      </c>
      <c r="J154" s="4" t="s">
        <v>126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125</v>
      </c>
      <c r="E155" s="4" t="s">
        <v>66</v>
      </c>
      <c r="F155" s="4">
        <v>928.51700000000005</v>
      </c>
      <c r="G155" s="5">
        <v>101.0184</v>
      </c>
      <c r="H155" s="5">
        <v>15.79</v>
      </c>
      <c r="I155" s="5">
        <v>2344</v>
      </c>
      <c r="J155" s="4" t="s">
        <v>126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125</v>
      </c>
      <c r="E156" s="4" t="s">
        <v>66</v>
      </c>
      <c r="F156" s="4">
        <v>973.56900000000007</v>
      </c>
      <c r="G156" s="5">
        <v>109.51190000000001</v>
      </c>
      <c r="H156" s="5">
        <v>16.34</v>
      </c>
      <c r="I156" s="5">
        <v>1171</v>
      </c>
      <c r="J156" s="4" t="s">
        <v>126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125</v>
      </c>
      <c r="E157" s="4" t="s">
        <v>66</v>
      </c>
      <c r="F157" s="4">
        <v>1000</v>
      </c>
      <c r="G157" s="5">
        <v>104.91560000000001</v>
      </c>
      <c r="H157" s="5">
        <v>17.559999999999999</v>
      </c>
      <c r="I157" s="5">
        <v>265</v>
      </c>
      <c r="J157" s="4" t="s">
        <v>126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125</v>
      </c>
      <c r="E158" s="4" t="s">
        <v>66</v>
      </c>
      <c r="F158" s="4">
        <v>931.81700000000001</v>
      </c>
      <c r="G158" s="5">
        <v>101.62060000000001</v>
      </c>
      <c r="H158" s="5">
        <v>15.9</v>
      </c>
      <c r="I158" s="5">
        <v>1971</v>
      </c>
      <c r="J158" s="4" t="s">
        <v>126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125</v>
      </c>
      <c r="E159" s="4" t="s">
        <v>66</v>
      </c>
      <c r="F159" s="4">
        <v>987.38400000000001</v>
      </c>
      <c r="G159" s="5">
        <v>105.42240000000001</v>
      </c>
      <c r="H159" s="5">
        <v>16.39</v>
      </c>
      <c r="I159" s="5">
        <v>188</v>
      </c>
      <c r="J159" s="4" t="s">
        <v>126</v>
      </c>
    </row>
    <row r="160" spans="1:10" x14ac:dyDescent="0.25">
      <c r="A160" s="4">
        <f t="shared" ca="1" si="4"/>
        <v>157</v>
      </c>
      <c r="B160" s="4" t="s">
        <v>429</v>
      </c>
      <c r="C160" s="4" t="s">
        <v>430</v>
      </c>
      <c r="D160" s="4" t="s">
        <v>125</v>
      </c>
      <c r="E160" s="4" t="s">
        <v>66</v>
      </c>
      <c r="F160" s="4">
        <v>944.26700000000005</v>
      </c>
      <c r="G160" s="5">
        <v>102.2136</v>
      </c>
      <c r="H160" s="5">
        <v>15.71</v>
      </c>
      <c r="I160" s="5">
        <v>2726</v>
      </c>
      <c r="J160" s="4" t="s">
        <v>126</v>
      </c>
    </row>
    <row r="161" spans="1:10" x14ac:dyDescent="0.25">
      <c r="A161" s="4">
        <f t="shared" ca="1" si="4"/>
        <v>158</v>
      </c>
      <c r="B161" s="4" t="s">
        <v>431</v>
      </c>
      <c r="C161" s="4" t="s">
        <v>432</v>
      </c>
      <c r="D161" s="4" t="s">
        <v>125</v>
      </c>
      <c r="E161" s="4" t="s">
        <v>66</v>
      </c>
      <c r="F161" s="4">
        <v>866.43600000000004</v>
      </c>
      <c r="G161" s="5">
        <v>96.543599999999998</v>
      </c>
      <c r="H161" s="5">
        <v>15.94</v>
      </c>
      <c r="I161" s="5">
        <v>1892</v>
      </c>
      <c r="J161" s="4" t="s">
        <v>126</v>
      </c>
    </row>
    <row r="162" spans="1:10" x14ac:dyDescent="0.25">
      <c r="A162" s="4">
        <f t="shared" ca="1" si="4"/>
        <v>159</v>
      </c>
      <c r="B162" s="4" t="s">
        <v>433</v>
      </c>
      <c r="C162" s="4" t="s">
        <v>111</v>
      </c>
      <c r="D162" s="4" t="s">
        <v>125</v>
      </c>
      <c r="E162" s="4" t="s">
        <v>66</v>
      </c>
      <c r="F162" s="4">
        <v>1035.895</v>
      </c>
      <c r="G162" s="5">
        <v>109.82650000000001</v>
      </c>
      <c r="H162" s="5">
        <v>15.65</v>
      </c>
      <c r="I162" s="5">
        <v>1328</v>
      </c>
      <c r="J162" s="4" t="s">
        <v>126</v>
      </c>
    </row>
    <row r="163" spans="1:10" x14ac:dyDescent="0.25">
      <c r="A163" s="4">
        <f t="shared" ca="1" si="4"/>
        <v>160</v>
      </c>
      <c r="B163" s="4" t="s">
        <v>434</v>
      </c>
      <c r="C163" s="4" t="s">
        <v>435</v>
      </c>
      <c r="D163" s="4" t="s">
        <v>125</v>
      </c>
      <c r="E163" s="4" t="s">
        <v>66</v>
      </c>
      <c r="F163" s="4">
        <v>947.048</v>
      </c>
      <c r="G163" s="5">
        <v>106.10340000000001</v>
      </c>
      <c r="H163" s="5">
        <v>15.65</v>
      </c>
      <c r="I163" s="5">
        <v>3000</v>
      </c>
      <c r="J163" s="4" t="s">
        <v>126</v>
      </c>
    </row>
    <row r="164" spans="1:10" x14ac:dyDescent="0.25">
      <c r="A164" s="4">
        <f t="shared" ref="A164:A195" ca="1" si="5">IF(OFFSET(A164,-1,0)="№ п/п",1,OFFSET(A164,-1,0)+1)</f>
        <v>161</v>
      </c>
      <c r="B164" s="4" t="s">
        <v>436</v>
      </c>
      <c r="C164" s="4" t="s">
        <v>437</v>
      </c>
      <c r="D164" s="4" t="s">
        <v>125</v>
      </c>
      <c r="E164" s="4" t="s">
        <v>66</v>
      </c>
      <c r="F164" s="4">
        <v>952.36200000000008</v>
      </c>
      <c r="G164" s="5">
        <v>106.71340000000001</v>
      </c>
      <c r="H164" s="5">
        <v>15.81</v>
      </c>
      <c r="I164" s="5">
        <v>2270</v>
      </c>
      <c r="J164" s="4" t="s">
        <v>126</v>
      </c>
    </row>
    <row r="165" spans="1:10" x14ac:dyDescent="0.25">
      <c r="A165" s="4">
        <f t="shared" ca="1" si="5"/>
        <v>162</v>
      </c>
      <c r="B165" s="4" t="s">
        <v>438</v>
      </c>
      <c r="C165" s="4" t="s">
        <v>439</v>
      </c>
      <c r="D165" s="4" t="s">
        <v>125</v>
      </c>
      <c r="E165" s="4" t="s">
        <v>66</v>
      </c>
      <c r="F165" s="4">
        <v>922.81700000000001</v>
      </c>
      <c r="G165" s="5">
        <v>100.3892</v>
      </c>
      <c r="H165" s="5">
        <v>15.49</v>
      </c>
      <c r="I165" s="5">
        <v>4538</v>
      </c>
      <c r="J165" s="4" t="s">
        <v>126</v>
      </c>
    </row>
    <row r="166" spans="1:10" x14ac:dyDescent="0.25">
      <c r="A166" s="4">
        <f t="shared" ca="1" si="5"/>
        <v>163</v>
      </c>
      <c r="B166" s="4" t="s">
        <v>440</v>
      </c>
      <c r="C166" s="4" t="s">
        <v>441</v>
      </c>
      <c r="D166" s="4" t="s">
        <v>125</v>
      </c>
      <c r="E166" s="4" t="s">
        <v>66</v>
      </c>
      <c r="F166" s="4">
        <v>1000</v>
      </c>
      <c r="G166" s="5">
        <v>110.75930000000001</v>
      </c>
      <c r="H166" s="5">
        <v>14.89</v>
      </c>
      <c r="I166" s="5">
        <v>1929</v>
      </c>
      <c r="J166" s="4" t="s">
        <v>126</v>
      </c>
    </row>
    <row r="167" spans="1:10" x14ac:dyDescent="0.25">
      <c r="A167" s="4">
        <f t="shared" ca="1" si="5"/>
        <v>164</v>
      </c>
      <c r="B167" s="4" t="s">
        <v>442</v>
      </c>
      <c r="C167" s="4" t="s">
        <v>90</v>
      </c>
      <c r="D167" s="4" t="s">
        <v>125</v>
      </c>
      <c r="E167" s="4" t="s">
        <v>66</v>
      </c>
      <c r="F167" s="4">
        <v>879.904</v>
      </c>
      <c r="G167" s="5">
        <v>97.3904</v>
      </c>
      <c r="H167" s="5">
        <v>16.09</v>
      </c>
      <c r="I167" s="5">
        <v>1540</v>
      </c>
      <c r="J167" s="4" t="s">
        <v>126</v>
      </c>
    </row>
    <row r="168" spans="1:10" x14ac:dyDescent="0.25">
      <c r="A168" s="4">
        <f t="shared" ca="1" si="5"/>
        <v>165</v>
      </c>
      <c r="B168" s="4" t="s">
        <v>443</v>
      </c>
      <c r="C168" s="4" t="s">
        <v>444</v>
      </c>
      <c r="D168" s="4" t="s">
        <v>125</v>
      </c>
      <c r="E168" s="4" t="s">
        <v>66</v>
      </c>
      <c r="F168" s="4">
        <v>93.834500000000006</v>
      </c>
      <c r="G168" s="5">
        <v>93.834500000000006</v>
      </c>
      <c r="H168" s="5">
        <v>16.309999999999999</v>
      </c>
      <c r="I168" s="5">
        <v>148</v>
      </c>
      <c r="J168" s="4" t="s">
        <v>126</v>
      </c>
    </row>
    <row r="169" spans="1:10" x14ac:dyDescent="0.25">
      <c r="A169" s="4">
        <f t="shared" ca="1" si="5"/>
        <v>166</v>
      </c>
      <c r="B169" s="4" t="s">
        <v>445</v>
      </c>
      <c r="C169" s="4" t="s">
        <v>116</v>
      </c>
      <c r="D169" s="4" t="s">
        <v>125</v>
      </c>
      <c r="E169" s="4" t="s">
        <v>66</v>
      </c>
      <c r="F169" s="4">
        <v>97.907499999999999</v>
      </c>
      <c r="G169" s="5">
        <v>97.907499999999999</v>
      </c>
      <c r="H169" s="5">
        <v>15.92</v>
      </c>
      <c r="I169" s="5">
        <v>50</v>
      </c>
      <c r="J169" s="4" t="s">
        <v>126</v>
      </c>
    </row>
    <row r="170" spans="1:10" x14ac:dyDescent="0.25">
      <c r="A170" s="4">
        <f t="shared" ca="1" si="5"/>
        <v>167</v>
      </c>
      <c r="B170" s="4" t="s">
        <v>446</v>
      </c>
      <c r="C170" s="4" t="s">
        <v>447</v>
      </c>
      <c r="D170" s="4" t="s">
        <v>125</v>
      </c>
      <c r="E170" s="4" t="s">
        <v>66</v>
      </c>
      <c r="F170" s="4">
        <v>922.76400000000001</v>
      </c>
      <c r="G170" s="5">
        <v>104.1764</v>
      </c>
      <c r="H170" s="5">
        <v>15.610000000000001</v>
      </c>
      <c r="I170" s="5">
        <v>3344</v>
      </c>
      <c r="J170" s="4" t="s">
        <v>126</v>
      </c>
    </row>
    <row r="171" spans="1:10" x14ac:dyDescent="0.25">
      <c r="A171" s="4">
        <f t="shared" ca="1" si="5"/>
        <v>168</v>
      </c>
      <c r="B171" s="4" t="s">
        <v>448</v>
      </c>
      <c r="C171" s="4" t="s">
        <v>449</v>
      </c>
      <c r="D171" s="4" t="s">
        <v>125</v>
      </c>
      <c r="E171" s="4" t="s">
        <v>66</v>
      </c>
      <c r="F171" s="4">
        <v>0.99427199999999993</v>
      </c>
      <c r="G171" s="5">
        <v>100.3438</v>
      </c>
      <c r="H171" s="5">
        <v>4.79</v>
      </c>
      <c r="I171" s="5">
        <v>3399</v>
      </c>
      <c r="J171" s="4" t="s">
        <v>126</v>
      </c>
    </row>
    <row r="172" spans="1:10" x14ac:dyDescent="0.25">
      <c r="A172" s="4">
        <f t="shared" ca="1" si="5"/>
        <v>169</v>
      </c>
      <c r="B172" s="4" t="s">
        <v>450</v>
      </c>
      <c r="C172" s="4" t="s">
        <v>451</v>
      </c>
      <c r="D172" s="4" t="s">
        <v>125</v>
      </c>
      <c r="E172" s="4" t="s">
        <v>66</v>
      </c>
      <c r="F172" s="4">
        <v>1049.492</v>
      </c>
      <c r="G172" s="5">
        <v>108.245</v>
      </c>
      <c r="H172" s="5">
        <v>15.43</v>
      </c>
      <c r="I172" s="5">
        <v>1756</v>
      </c>
      <c r="J172" s="4" t="s">
        <v>126</v>
      </c>
    </row>
    <row r="173" spans="1:10" x14ac:dyDescent="0.25">
      <c r="A173" s="4">
        <f t="shared" ca="1" si="5"/>
        <v>170</v>
      </c>
      <c r="B173" s="4" t="s">
        <v>452</v>
      </c>
      <c r="C173" s="4" t="s">
        <v>453</v>
      </c>
      <c r="D173" s="4" t="s">
        <v>120</v>
      </c>
      <c r="E173" s="4" t="s">
        <v>454</v>
      </c>
      <c r="F173" s="4">
        <v>361.54</v>
      </c>
      <c r="G173" s="5"/>
      <c r="H173" s="5"/>
      <c r="I173" s="5"/>
      <c r="J173" s="4" t="s">
        <v>122</v>
      </c>
    </row>
    <row r="174" spans="1:10" x14ac:dyDescent="0.25">
      <c r="A174" s="4">
        <f t="shared" ca="1" si="5"/>
        <v>171</v>
      </c>
      <c r="B174" s="4" t="s">
        <v>455</v>
      </c>
      <c r="C174" s="4" t="s">
        <v>456</v>
      </c>
      <c r="D174" s="4" t="s">
        <v>120</v>
      </c>
      <c r="E174" s="4" t="s">
        <v>454</v>
      </c>
      <c r="F174" s="4">
        <v>27.95</v>
      </c>
      <c r="G174" s="5"/>
      <c r="H174" s="5"/>
      <c r="I174" s="5"/>
      <c r="J174" s="4" t="s">
        <v>147</v>
      </c>
    </row>
    <row r="175" spans="1:10" x14ac:dyDescent="0.25">
      <c r="A175" s="4">
        <f t="shared" ca="1" si="5"/>
        <v>172</v>
      </c>
      <c r="B175" s="4" t="s">
        <v>457</v>
      </c>
      <c r="C175" s="4" t="s">
        <v>458</v>
      </c>
      <c r="D175" s="4" t="s">
        <v>125</v>
      </c>
      <c r="E175" s="4" t="s">
        <v>454</v>
      </c>
      <c r="F175" s="4">
        <v>1000.5260000000001</v>
      </c>
      <c r="G175" s="5">
        <v>100.86490000000001</v>
      </c>
      <c r="H175" s="5">
        <v>18.48</v>
      </c>
      <c r="I175" s="5">
        <v>715</v>
      </c>
      <c r="J175" s="4" t="s">
        <v>126</v>
      </c>
    </row>
    <row r="176" spans="1:10" x14ac:dyDescent="0.25">
      <c r="A176" s="4">
        <f t="shared" ca="1" si="5"/>
        <v>173</v>
      </c>
      <c r="B176" s="4" t="s">
        <v>459</v>
      </c>
      <c r="C176" s="4" t="s">
        <v>460</v>
      </c>
      <c r="D176" s="4" t="s">
        <v>120</v>
      </c>
      <c r="E176" s="4" t="s">
        <v>461</v>
      </c>
      <c r="F176" s="4">
        <v>955.91</v>
      </c>
      <c r="G176" s="5"/>
      <c r="H176" s="5"/>
      <c r="I176" s="5"/>
      <c r="J176" s="4" t="s">
        <v>122</v>
      </c>
    </row>
    <row r="177" spans="1:10" x14ac:dyDescent="0.25">
      <c r="A177" s="4">
        <f t="shared" ca="1" si="5"/>
        <v>174</v>
      </c>
      <c r="B177" s="4" t="s">
        <v>462</v>
      </c>
      <c r="C177" s="4" t="s">
        <v>463</v>
      </c>
      <c r="D177" s="4" t="s">
        <v>125</v>
      </c>
      <c r="E177" s="4" t="s">
        <v>464</v>
      </c>
      <c r="F177" s="4">
        <v>803.70699999999999</v>
      </c>
      <c r="G177" s="5">
        <v>80.401300000000006</v>
      </c>
      <c r="H177" s="5">
        <v>17.48</v>
      </c>
      <c r="I177" s="5">
        <v>1643</v>
      </c>
      <c r="J177" s="4" t="s">
        <v>126</v>
      </c>
    </row>
    <row r="178" spans="1:10" x14ac:dyDescent="0.25">
      <c r="A178" s="4">
        <f t="shared" ca="1" si="5"/>
        <v>175</v>
      </c>
      <c r="B178" s="4" t="s">
        <v>465</v>
      </c>
      <c r="C178" s="4" t="s">
        <v>466</v>
      </c>
      <c r="D178" s="4" t="s">
        <v>125</v>
      </c>
      <c r="E178" s="4" t="s">
        <v>464</v>
      </c>
      <c r="F178" s="4">
        <v>0.87307899999999994</v>
      </c>
      <c r="G178" s="5">
        <v>87.660300000000007</v>
      </c>
      <c r="H178" s="5">
        <v>5.72</v>
      </c>
      <c r="I178" s="5">
        <v>1965</v>
      </c>
      <c r="J178" s="4" t="s">
        <v>126</v>
      </c>
    </row>
    <row r="179" spans="1:10" x14ac:dyDescent="0.25">
      <c r="A179" s="4">
        <f t="shared" ca="1" si="5"/>
        <v>176</v>
      </c>
      <c r="B179" s="4" t="s">
        <v>467</v>
      </c>
      <c r="C179" s="4" t="s">
        <v>468</v>
      </c>
      <c r="D179" s="4" t="s">
        <v>125</v>
      </c>
      <c r="E179" s="4" t="s">
        <v>464</v>
      </c>
      <c r="F179" s="4">
        <v>1001.715</v>
      </c>
      <c r="G179" s="5">
        <v>100.98820000000001</v>
      </c>
      <c r="H179" s="5">
        <v>5.2</v>
      </c>
      <c r="I179" s="5">
        <v>1405</v>
      </c>
      <c r="J179" s="4" t="s">
        <v>126</v>
      </c>
    </row>
    <row r="180" spans="1:10" x14ac:dyDescent="0.25">
      <c r="A180" s="4">
        <f t="shared" ca="1" si="5"/>
        <v>177</v>
      </c>
      <c r="B180" s="4" t="s">
        <v>469</v>
      </c>
      <c r="C180" s="4" t="s">
        <v>470</v>
      </c>
      <c r="D180" s="4" t="s">
        <v>125</v>
      </c>
      <c r="E180" s="4" t="s">
        <v>464</v>
      </c>
      <c r="F180" s="4">
        <v>0.98773899999999992</v>
      </c>
      <c r="G180" s="5">
        <v>99.578900000000004</v>
      </c>
      <c r="H180" s="5">
        <v>4.87</v>
      </c>
      <c r="I180" s="5">
        <v>1870</v>
      </c>
      <c r="J180" s="4" t="s">
        <v>126</v>
      </c>
    </row>
    <row r="181" spans="1:10" x14ac:dyDescent="0.25">
      <c r="A181" s="4">
        <f t="shared" ca="1" si="5"/>
        <v>178</v>
      </c>
      <c r="B181" s="4" t="s">
        <v>471</v>
      </c>
      <c r="C181" s="4" t="s">
        <v>472</v>
      </c>
      <c r="D181" s="4" t="s">
        <v>125</v>
      </c>
      <c r="E181" s="4" t="s">
        <v>464</v>
      </c>
      <c r="F181" s="4">
        <v>1.032535</v>
      </c>
      <c r="G181" s="5">
        <v>104.3785</v>
      </c>
      <c r="H181" s="5">
        <v>4.78</v>
      </c>
      <c r="I181" s="5">
        <v>1571</v>
      </c>
      <c r="J181" s="4" t="s">
        <v>126</v>
      </c>
    </row>
    <row r="182" spans="1:10" x14ac:dyDescent="0.25">
      <c r="A182" s="4">
        <f t="shared" ca="1" si="5"/>
        <v>179</v>
      </c>
      <c r="B182" s="4" t="s">
        <v>473</v>
      </c>
      <c r="C182" s="4" t="s">
        <v>474</v>
      </c>
      <c r="D182" s="4" t="s">
        <v>125</v>
      </c>
      <c r="E182" s="4" t="s">
        <v>464</v>
      </c>
      <c r="F182" s="4">
        <v>1.0067759999999999</v>
      </c>
      <c r="G182" s="5">
        <v>101.67800000000001</v>
      </c>
      <c r="H182" s="5">
        <v>3.08</v>
      </c>
      <c r="I182" s="5">
        <v>988</v>
      </c>
      <c r="J182" s="4" t="s">
        <v>126</v>
      </c>
    </row>
    <row r="183" spans="1:10" x14ac:dyDescent="0.25">
      <c r="A183" s="4">
        <f t="shared" ca="1" si="5"/>
        <v>180</v>
      </c>
      <c r="B183" s="4" t="s">
        <v>475</v>
      </c>
      <c r="C183" s="4" t="s">
        <v>476</v>
      </c>
      <c r="D183" s="4" t="s">
        <v>125</v>
      </c>
      <c r="E183" s="4" t="s">
        <v>477</v>
      </c>
      <c r="F183" s="4">
        <v>1043.384</v>
      </c>
      <c r="G183" s="5">
        <v>112.49640000000001</v>
      </c>
      <c r="H183" s="5">
        <v>18.03</v>
      </c>
      <c r="I183" s="5">
        <v>1494</v>
      </c>
      <c r="J183" s="4" t="s">
        <v>126</v>
      </c>
    </row>
    <row r="184" spans="1:10" x14ac:dyDescent="0.25">
      <c r="A184" s="4">
        <f t="shared" ca="1" si="5"/>
        <v>181</v>
      </c>
      <c r="B184" s="4" t="s">
        <v>478</v>
      </c>
      <c r="C184" s="4" t="s">
        <v>479</v>
      </c>
      <c r="D184" s="4" t="s">
        <v>125</v>
      </c>
      <c r="E184" s="4" t="s">
        <v>477</v>
      </c>
      <c r="F184" s="4">
        <v>1051.2070000000001</v>
      </c>
      <c r="G184" s="5">
        <v>106.42</v>
      </c>
      <c r="H184" s="5">
        <v>17.88</v>
      </c>
      <c r="I184" s="5">
        <v>1438</v>
      </c>
      <c r="J184" s="4" t="s">
        <v>126</v>
      </c>
    </row>
    <row r="185" spans="1:10" x14ac:dyDescent="0.25">
      <c r="A185" s="4">
        <f t="shared" ca="1" si="5"/>
        <v>182</v>
      </c>
      <c r="B185" s="4" t="s">
        <v>480</v>
      </c>
      <c r="C185" s="4" t="s">
        <v>481</v>
      </c>
      <c r="D185" s="4" t="s">
        <v>120</v>
      </c>
      <c r="E185" s="4" t="s">
        <v>482</v>
      </c>
      <c r="F185" s="4">
        <v>27127.55</v>
      </c>
      <c r="G185" s="5"/>
      <c r="H185" s="5"/>
      <c r="I185" s="5"/>
      <c r="J185" s="4" t="s">
        <v>122</v>
      </c>
    </row>
    <row r="186" spans="1:10" x14ac:dyDescent="0.25">
      <c r="A186" s="4">
        <f t="shared" ca="1" si="5"/>
        <v>183</v>
      </c>
      <c r="B186" s="4" t="s">
        <v>483</v>
      </c>
      <c r="C186" s="4" t="s">
        <v>484</v>
      </c>
      <c r="D186" s="4" t="s">
        <v>120</v>
      </c>
      <c r="E186" s="4" t="s">
        <v>485</v>
      </c>
      <c r="F186" s="4">
        <v>40131.160000000003</v>
      </c>
      <c r="G186" s="5"/>
      <c r="H186" s="5"/>
      <c r="I186" s="5"/>
      <c r="J186" s="4" t="s">
        <v>122</v>
      </c>
    </row>
    <row r="187" spans="1:10" x14ac:dyDescent="0.25">
      <c r="A187" s="4">
        <f t="shared" ca="1" si="5"/>
        <v>184</v>
      </c>
      <c r="B187" s="4" t="s">
        <v>486</v>
      </c>
      <c r="C187" s="4" t="s">
        <v>487</v>
      </c>
      <c r="D187" s="4" t="s">
        <v>120</v>
      </c>
      <c r="E187" s="4" t="s">
        <v>485</v>
      </c>
      <c r="F187" s="4">
        <v>78.05</v>
      </c>
      <c r="G187" s="5"/>
      <c r="H187" s="5"/>
      <c r="I187" s="5"/>
      <c r="J187" s="4" t="s">
        <v>147</v>
      </c>
    </row>
    <row r="188" spans="1:10" x14ac:dyDescent="0.25">
      <c r="A188" s="4">
        <f t="shared" ca="1" si="5"/>
        <v>185</v>
      </c>
      <c r="B188" s="4" t="s">
        <v>488</v>
      </c>
      <c r="C188" s="4" t="s">
        <v>489</v>
      </c>
      <c r="D188" s="4" t="s">
        <v>125</v>
      </c>
      <c r="E188" s="4" t="s">
        <v>490</v>
      </c>
      <c r="F188" s="4">
        <v>1015.133</v>
      </c>
      <c r="G188" s="5">
        <v>105.3133</v>
      </c>
      <c r="H188" s="5">
        <v>18.48</v>
      </c>
      <c r="I188" s="5">
        <v>1754</v>
      </c>
      <c r="J188" s="4" t="s">
        <v>126</v>
      </c>
    </row>
    <row r="189" spans="1:10" x14ac:dyDescent="0.25">
      <c r="A189" s="4">
        <f t="shared" ca="1" si="5"/>
        <v>186</v>
      </c>
      <c r="B189" s="4" t="s">
        <v>491</v>
      </c>
      <c r="C189" s="4" t="s">
        <v>492</v>
      </c>
      <c r="D189" s="4" t="s">
        <v>125</v>
      </c>
      <c r="E189" s="4" t="s">
        <v>490</v>
      </c>
      <c r="F189" s="4">
        <v>1015.133</v>
      </c>
      <c r="G189" s="5">
        <v>105.3133</v>
      </c>
      <c r="H189" s="5">
        <v>18.48</v>
      </c>
      <c r="I189" s="5">
        <v>1754</v>
      </c>
      <c r="J189" s="4" t="s">
        <v>126</v>
      </c>
    </row>
    <row r="190" spans="1:10" x14ac:dyDescent="0.25">
      <c r="A190" s="4">
        <f t="shared" ca="1" si="5"/>
        <v>187</v>
      </c>
      <c r="B190" s="4" t="s">
        <v>493</v>
      </c>
      <c r="C190" s="4" t="s">
        <v>494</v>
      </c>
      <c r="D190" s="4" t="s">
        <v>125</v>
      </c>
      <c r="E190" s="4" t="s">
        <v>495</v>
      </c>
      <c r="F190" s="4">
        <v>295</v>
      </c>
      <c r="G190" s="5">
        <v>29.590800000000002</v>
      </c>
      <c r="H190" s="5">
        <v>16.5</v>
      </c>
      <c r="I190" s="5">
        <v>2957</v>
      </c>
      <c r="J190" s="4" t="s">
        <v>126</v>
      </c>
    </row>
    <row r="191" spans="1:10" x14ac:dyDescent="0.25">
      <c r="A191" s="4">
        <f t="shared" ca="1" si="5"/>
        <v>188</v>
      </c>
      <c r="B191" s="4" t="s">
        <v>496</v>
      </c>
      <c r="C191" s="4" t="s">
        <v>497</v>
      </c>
      <c r="D191" s="4" t="s">
        <v>120</v>
      </c>
      <c r="E191" s="4" t="s">
        <v>498</v>
      </c>
      <c r="F191" s="4">
        <v>6.7</v>
      </c>
      <c r="G191" s="5"/>
      <c r="H191" s="5"/>
      <c r="I191" s="5"/>
      <c r="J191" s="4" t="s">
        <v>147</v>
      </c>
    </row>
    <row r="192" spans="1:10" x14ac:dyDescent="0.25">
      <c r="A192" s="4">
        <f t="shared" ca="1" si="5"/>
        <v>189</v>
      </c>
      <c r="B192" s="4" t="s">
        <v>499</v>
      </c>
      <c r="C192" s="4" t="s">
        <v>500</v>
      </c>
      <c r="D192" s="4" t="s">
        <v>120</v>
      </c>
      <c r="E192" s="4" t="s">
        <v>498</v>
      </c>
      <c r="F192" s="4">
        <v>818.09</v>
      </c>
      <c r="G192" s="5"/>
      <c r="H192" s="5"/>
      <c r="I192" s="5"/>
      <c r="J192" s="4" t="s">
        <v>122</v>
      </c>
    </row>
    <row r="193" spans="1:10" x14ac:dyDescent="0.25">
      <c r="A193" s="4">
        <f t="shared" ca="1" si="5"/>
        <v>190</v>
      </c>
      <c r="B193" s="4" t="s">
        <v>501</v>
      </c>
      <c r="C193" s="4" t="s">
        <v>502</v>
      </c>
      <c r="D193" s="4" t="s">
        <v>125</v>
      </c>
      <c r="E193" s="4" t="s">
        <v>86</v>
      </c>
      <c r="F193" s="4">
        <v>0.99920500000000001</v>
      </c>
      <c r="G193" s="5">
        <v>101.33460000000001</v>
      </c>
      <c r="H193" s="5">
        <v>6</v>
      </c>
      <c r="I193" s="5">
        <v>92</v>
      </c>
      <c r="J193" s="4" t="s">
        <v>126</v>
      </c>
    </row>
    <row r="194" spans="1:10" x14ac:dyDescent="0.25">
      <c r="A194" s="4">
        <f t="shared" ca="1" si="5"/>
        <v>191</v>
      </c>
      <c r="B194" s="4" t="s">
        <v>503</v>
      </c>
      <c r="C194" s="4" t="s">
        <v>504</v>
      </c>
      <c r="D194" s="4" t="s">
        <v>125</v>
      </c>
      <c r="E194" s="4" t="s">
        <v>86</v>
      </c>
      <c r="F194" s="4">
        <v>1000</v>
      </c>
      <c r="G194" s="5">
        <v>104.32050000000001</v>
      </c>
      <c r="H194" s="5">
        <v>18.940000000000001</v>
      </c>
      <c r="I194" s="5">
        <v>830</v>
      </c>
      <c r="J194" s="4" t="s">
        <v>126</v>
      </c>
    </row>
    <row r="195" spans="1:10" x14ac:dyDescent="0.25">
      <c r="A195" s="4">
        <f t="shared" ca="1" si="5"/>
        <v>192</v>
      </c>
      <c r="B195" s="4" t="s">
        <v>505</v>
      </c>
      <c r="C195" s="4" t="s">
        <v>87</v>
      </c>
      <c r="D195" s="4" t="s">
        <v>125</v>
      </c>
      <c r="E195" s="4" t="s">
        <v>86</v>
      </c>
      <c r="F195" s="4">
        <v>952.05428688378504</v>
      </c>
      <c r="G195" s="5">
        <v>99.416028690000005</v>
      </c>
      <c r="H195" s="5">
        <v>17.62</v>
      </c>
      <c r="I195" s="5">
        <v>624</v>
      </c>
      <c r="J195" s="4" t="s">
        <v>126</v>
      </c>
    </row>
    <row r="196" spans="1:10" x14ac:dyDescent="0.25">
      <c r="A196" s="4">
        <f t="shared" ref="A196:A202" ca="1" si="6">IF(OFFSET(A196,-1,0)="№ п/п",1,OFFSET(A196,-1,0)+1)</f>
        <v>193</v>
      </c>
      <c r="B196" s="4" t="s">
        <v>506</v>
      </c>
      <c r="C196" s="4" t="s">
        <v>507</v>
      </c>
      <c r="D196" s="4" t="s">
        <v>125</v>
      </c>
      <c r="E196" s="4" t="s">
        <v>86</v>
      </c>
      <c r="F196" s="4">
        <v>1000</v>
      </c>
      <c r="G196" s="5">
        <v>106.03840000000001</v>
      </c>
      <c r="H196" s="5">
        <v>18.95</v>
      </c>
      <c r="I196" s="5">
        <v>799</v>
      </c>
      <c r="J196" s="4" t="s">
        <v>126</v>
      </c>
    </row>
    <row r="197" spans="1:10" x14ac:dyDescent="0.25">
      <c r="A197" s="4">
        <f t="shared" ca="1" si="6"/>
        <v>194</v>
      </c>
      <c r="B197" s="4" t="s">
        <v>508</v>
      </c>
      <c r="C197" s="4" t="s">
        <v>509</v>
      </c>
      <c r="D197" s="4" t="s">
        <v>125</v>
      </c>
      <c r="E197" s="4" t="s">
        <v>510</v>
      </c>
      <c r="F197" s="4">
        <v>1.0214379999999998</v>
      </c>
      <c r="G197" s="5">
        <v>102.7645</v>
      </c>
      <c r="H197" s="5">
        <v>4.49</v>
      </c>
      <c r="I197" s="5">
        <v>872</v>
      </c>
      <c r="J197" s="4" t="s">
        <v>126</v>
      </c>
    </row>
    <row r="198" spans="1:10" x14ac:dyDescent="0.25">
      <c r="A198" s="4">
        <f t="shared" ca="1" si="6"/>
        <v>195</v>
      </c>
      <c r="B198" s="4" t="s">
        <v>511</v>
      </c>
      <c r="C198" s="4" t="s">
        <v>512</v>
      </c>
      <c r="D198" s="4" t="s">
        <v>125</v>
      </c>
      <c r="E198" s="4" t="s">
        <v>510</v>
      </c>
      <c r="F198" s="4">
        <v>979.95500000000004</v>
      </c>
      <c r="G198" s="5">
        <v>108.37020000000001</v>
      </c>
      <c r="H198" s="5">
        <v>17.48</v>
      </c>
      <c r="I198" s="5">
        <v>1602</v>
      </c>
      <c r="J198" s="4" t="s">
        <v>126</v>
      </c>
    </row>
    <row r="199" spans="1:10" x14ac:dyDescent="0.25">
      <c r="A199" s="4">
        <f t="shared" ca="1" si="6"/>
        <v>196</v>
      </c>
      <c r="B199" s="4" t="s">
        <v>513</v>
      </c>
      <c r="C199" s="4" t="s">
        <v>514</v>
      </c>
      <c r="D199" s="4" t="s">
        <v>125</v>
      </c>
      <c r="E199" s="4" t="s">
        <v>510</v>
      </c>
      <c r="F199" s="4">
        <v>997.09900000000005</v>
      </c>
      <c r="G199" s="5">
        <v>108.8002</v>
      </c>
      <c r="H199" s="5">
        <v>17.48</v>
      </c>
      <c r="I199" s="5">
        <v>1637</v>
      </c>
      <c r="J199" s="4" t="s">
        <v>126</v>
      </c>
    </row>
    <row r="200" spans="1:10" x14ac:dyDescent="0.25">
      <c r="A200" s="4">
        <f t="shared" ca="1" si="6"/>
        <v>197</v>
      </c>
      <c r="B200" s="4" t="s">
        <v>515</v>
      </c>
      <c r="C200" s="4" t="s">
        <v>516</v>
      </c>
      <c r="D200" s="4" t="s">
        <v>125</v>
      </c>
      <c r="E200" s="4" t="s">
        <v>510</v>
      </c>
      <c r="F200" s="4">
        <v>997.09900000000005</v>
      </c>
      <c r="G200" s="5">
        <v>108.8002</v>
      </c>
      <c r="H200" s="5">
        <v>17.48</v>
      </c>
      <c r="I200" s="5">
        <v>1637</v>
      </c>
      <c r="J200" s="4" t="s">
        <v>126</v>
      </c>
    </row>
    <row r="201" spans="1:10" x14ac:dyDescent="0.25">
      <c r="A201" s="4">
        <f t="shared" ca="1" si="6"/>
        <v>198</v>
      </c>
      <c r="B201" s="4" t="s">
        <v>517</v>
      </c>
      <c r="C201" s="4" t="s">
        <v>518</v>
      </c>
      <c r="D201" s="4" t="s">
        <v>125</v>
      </c>
      <c r="E201" s="4" t="s">
        <v>510</v>
      </c>
      <c r="F201" s="4">
        <v>1022.176</v>
      </c>
      <c r="G201" s="5">
        <v>107.2501</v>
      </c>
      <c r="H201" s="5">
        <v>17.48</v>
      </c>
      <c r="I201" s="5">
        <v>1727</v>
      </c>
      <c r="J201" s="4" t="s">
        <v>126</v>
      </c>
    </row>
    <row r="202" spans="1:10" x14ac:dyDescent="0.25">
      <c r="A202" s="4">
        <f t="shared" ca="1" si="6"/>
        <v>199</v>
      </c>
      <c r="B202" s="4" t="s">
        <v>519</v>
      </c>
      <c r="C202" s="4" t="s">
        <v>520</v>
      </c>
      <c r="D202" s="4" t="s">
        <v>125</v>
      </c>
      <c r="E202" s="4" t="s">
        <v>510</v>
      </c>
      <c r="F202" s="4">
        <v>1.008645</v>
      </c>
      <c r="G202" s="5">
        <v>101.872</v>
      </c>
      <c r="H202" s="5">
        <v>4.45</v>
      </c>
      <c r="I202" s="5">
        <v>1748</v>
      </c>
      <c r="J202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2025-12-22T04:23:35Z</dcterms:created>
  <dcterms:modified xsi:type="dcterms:W3CDTF">2025-12-22T07:37:21Z</dcterms:modified>
</cp:coreProperties>
</file>