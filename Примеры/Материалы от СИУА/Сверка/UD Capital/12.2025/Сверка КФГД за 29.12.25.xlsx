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D199FD06-2C04-4F53-BE57-C02CD2150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B49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B1" i="2"/>
  <c r="C74" i="1"/>
  <c r="G58" i="1"/>
  <c r="F58" i="1"/>
  <c r="E58" i="1"/>
  <c r="G47" i="1"/>
  <c r="F47" i="1"/>
  <c r="E47" i="1"/>
  <c r="M40" i="1"/>
  <c r="H40" i="1"/>
  <c r="M39" i="1"/>
  <c r="H39" i="1"/>
  <c r="M38" i="1"/>
  <c r="M42" i="1" s="1"/>
  <c r="H38" i="1"/>
  <c r="M37" i="1"/>
  <c r="H37" i="1"/>
  <c r="M36" i="1"/>
  <c r="H36" i="1"/>
  <c r="M35" i="1"/>
  <c r="H35" i="1"/>
  <c r="B29" i="1"/>
  <c r="L26" i="1"/>
  <c r="K26" i="1"/>
  <c r="H26" i="1"/>
  <c r="D26" i="1"/>
  <c r="M18" i="1"/>
  <c r="M14" i="1"/>
  <c r="Q1" i="1"/>
  <c r="M21" i="1" s="1"/>
  <c r="M22" i="1" l="1"/>
  <c r="M10" i="1"/>
  <c r="M11" i="1"/>
  <c r="M15" i="1"/>
  <c r="M19" i="1"/>
  <c r="M23" i="1"/>
  <c r="M8" i="1"/>
  <c r="M12" i="1"/>
  <c r="M16" i="1"/>
  <c r="M20" i="1"/>
  <c r="M24" i="1"/>
  <c r="M9" i="1"/>
  <c r="M13" i="1"/>
  <c r="M17" i="1"/>
  <c r="M26" i="1" l="1"/>
</calcChain>
</file>

<file path=xl/sharedStrings.xml><?xml version="1.0" encoding="utf-8"?>
<sst xmlns="http://schemas.openxmlformats.org/spreadsheetml/2006/main" count="1115" uniqueCount="497">
  <si>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</si>
  <si>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</si>
  <si>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</si>
  <si>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</si>
  <si>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</si>
  <si>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</si>
  <si>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</si>
  <si>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</si>
  <si>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</si>
  <si>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</si>
  <si>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</si>
  <si>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</si>
  <si>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</si>
  <si>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</si>
  <si>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</si>
  <si>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</si>
  <si>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</si>
  <si>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</si>
  <si>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</si>
  <si>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</si>
  <si>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</si>
  <si>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</si>
  <si>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</si>
  <si>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</si>
  <si>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</si>
  <si>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</si>
  <si>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</si>
  <si>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</si>
  <si>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</si>
  <si>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</si>
  <si>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</si>
  <si>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</si>
  <si>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</si>
  <si>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</si>
  <si>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</si>
  <si>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</si>
  <si>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</si>
  <si>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</si>
  <si>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</si>
  <si>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</si>
  <si>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</si>
  <si>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</si>
  <si>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</si>
  <si>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</si>
  <si>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</si>
  <si>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</si>
  <si>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</si>
  <si>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</si>
  <si>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</si>
  <si>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</si>
  <si>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</si>
  <si>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</si>
  <si>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</si>
  <si>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</si>
  <si>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</si>
  <si>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</si>
  <si>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</si>
  <si>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</si>
  <si>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</si>
  <si>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</si>
  <si>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</si>
  <si>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</si>
  <si>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</si>
  <si>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</si>
  <si>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</si>
  <si>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</si>
  <si>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</si>
  <si>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KZK100000373</t>
  </si>
  <si>
    <t>KZT</t>
  </si>
  <si>
    <t>26.12.2025</t>
  </si>
  <si>
    <t>29.12.2025</t>
  </si>
  <si>
    <t>IBRD</t>
  </si>
  <si>
    <t>KZKT00000057</t>
  </si>
  <si>
    <t>30.12.2025</t>
  </si>
  <si>
    <t>АО "Казахстанский фонд устойчивости"</t>
  </si>
  <si>
    <t>KZ2C00006906</t>
  </si>
  <si>
    <t>Евразийский банк развития</t>
  </si>
  <si>
    <t>KZ2D00013620</t>
  </si>
  <si>
    <t>KZKD00001236</t>
  </si>
  <si>
    <t>KZ96601A861038102391</t>
  </si>
  <si>
    <t>KZKD00000832</t>
  </si>
  <si>
    <t>18.07.2024</t>
  </si>
  <si>
    <t>29.01.2035</t>
  </si>
  <si>
    <t>KZ2D00011863</t>
  </si>
  <si>
    <t>24.09.2024</t>
  </si>
  <si>
    <t>03.09.2027</t>
  </si>
  <si>
    <t>KZKD00001137</t>
  </si>
  <si>
    <t>12.04.2028</t>
  </si>
  <si>
    <t>KZKD00001160</t>
  </si>
  <si>
    <t>28.07.2029</t>
  </si>
  <si>
    <t>KZKD00001152</t>
  </si>
  <si>
    <t>26.07.2032</t>
  </si>
  <si>
    <t>KZKD00001251</t>
  </si>
  <si>
    <t>13.03.2025</t>
  </si>
  <si>
    <t>07.03.2030</t>
  </si>
  <si>
    <t>06.02.2026</t>
  </si>
  <si>
    <t>KZKD00001129</t>
  </si>
  <si>
    <t>17.03.2031</t>
  </si>
  <si>
    <t>KZKD00000741</t>
  </si>
  <si>
    <t>12.05.2034</t>
  </si>
  <si>
    <t>KZK200000760</t>
  </si>
  <si>
    <t>14.08.2025</t>
  </si>
  <si>
    <t>07.08.2029</t>
  </si>
  <si>
    <t>KZKD00000790</t>
  </si>
  <si>
    <t>10.07.2025</t>
  </si>
  <si>
    <t>13.08.2029</t>
  </si>
  <si>
    <t>KZKD00000535</t>
  </si>
  <si>
    <t>27.03.2027</t>
  </si>
  <si>
    <t>KZKD00001087</t>
  </si>
  <si>
    <t>31.03.2029</t>
  </si>
  <si>
    <t>KZK200000687</t>
  </si>
  <si>
    <t>21.01.2026</t>
  </si>
  <si>
    <t>KZKD00000444</t>
  </si>
  <si>
    <t>21.08.2025</t>
  </si>
  <si>
    <t>18.08.2026</t>
  </si>
  <si>
    <t>KZKD00000949</t>
  </si>
  <si>
    <t>16.04.2032</t>
  </si>
  <si>
    <t>KZKD00000477</t>
  </si>
  <si>
    <t>24.07.2025</t>
  </si>
  <si>
    <t>19.10.2027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</si>
  <si>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</si>
  <si>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</si>
  <si>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</si>
  <si>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</si>
  <si>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</si>
  <si>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</si>
  <si>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</si>
  <si>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</si>
  <si>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</si>
  <si>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</si>
  <si>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</si>
  <si>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</si>
  <si>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</si>
  <si>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</si>
  <si>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</si>
  <si>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</si>
  <si>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</si>
  <si>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</si>
  <si>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</si>
  <si>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</si>
  <si>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</si>
  <si>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</si>
  <si>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</si>
  <si>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</si>
  <si>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</si>
  <si>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</si>
  <si>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</si>
  <si>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</si>
  <si>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</si>
  <si>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</si>
  <si>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</si>
  <si>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</si>
  <si>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</si>
  <si>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</si>
  <si>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</si>
  <si>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</si>
  <si>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</si>
  <si>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</si>
  <si>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</si>
  <si>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</si>
  <si>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</si>
  <si>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MTM084_0001</t>
  </si>
  <si>
    <t>KZKT00000073</t>
  </si>
  <si>
    <t>BCCIbe</t>
  </si>
  <si>
    <t>KZPF00000553</t>
  </si>
  <si>
    <t>BTRKb9</t>
  </si>
  <si>
    <t>KZ2C00010304</t>
  </si>
  <si>
    <t>MFTSb2</t>
  </si>
  <si>
    <t>KZ2P00010788</t>
  </si>
  <si>
    <t>MFOKb27</t>
  </si>
  <si>
    <t>KZ2C00010833</t>
  </si>
  <si>
    <t>KASAb1</t>
  </si>
  <si>
    <t>KZ2C00013753</t>
  </si>
  <si>
    <t>MFRFb24</t>
  </si>
  <si>
    <t>KZ2P00015845</t>
  </si>
  <si>
    <t>CLSGb5</t>
  </si>
  <si>
    <t>KZ2P00011612</t>
  </si>
  <si>
    <t>CLSGb4</t>
  </si>
  <si>
    <t>KZ2P00011604</t>
  </si>
  <si>
    <t>MFTSb3</t>
  </si>
  <si>
    <t>KZ2P00014400</t>
  </si>
  <si>
    <t>MFMOb18</t>
  </si>
  <si>
    <t>KZ2P00013444</t>
  </si>
  <si>
    <t>MFTSb5</t>
  </si>
  <si>
    <t>KZ2P00016231</t>
  </si>
  <si>
    <t>MFRFb14</t>
  </si>
  <si>
    <t>KZ2P00011687</t>
  </si>
  <si>
    <t>MFOKb26</t>
  </si>
  <si>
    <t>KZ2C00013274</t>
  </si>
  <si>
    <t>MFMOb29</t>
  </si>
  <si>
    <t>KZ2P00014459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</si>
  <si>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</si>
  <si>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</si>
  <si>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</si>
  <si>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</si>
  <si>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</si>
  <si>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</si>
  <si>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</si>
  <si>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</si>
  <si>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</si>
  <si>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</si>
  <si>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</si>
  <si>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</si>
  <si>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</si>
  <si>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</si>
  <si>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</si>
  <si>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</si>
  <si>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</si>
  <si>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</si>
  <si>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</si>
  <si>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</si>
  <si>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</si>
  <si>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</si>
  <si>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</si>
  <si>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</si>
  <si>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</si>
  <si>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</si>
  <si>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</si>
  <si>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</si>
  <si>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</si>
  <si>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MFOKb28</t>
  </si>
  <si>
    <t>KZ2C00015394</t>
  </si>
  <si>
    <t>MFDFb5</t>
  </si>
  <si>
    <t>KZ2P00016553</t>
  </si>
  <si>
    <t>MFMOb15</t>
  </si>
  <si>
    <t>KZ2P00013295</t>
  </si>
  <si>
    <t>MFRFb18</t>
  </si>
  <si>
    <t>KZ2P00013998</t>
  </si>
  <si>
    <t>MFMOb25</t>
  </si>
  <si>
    <t>KZ2P00013220</t>
  </si>
  <si>
    <t>MFMCb2</t>
  </si>
  <si>
    <t>KZ2P00011968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</si>
  <si>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</si>
  <si>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</si>
  <si>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</si>
  <si>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</si>
  <si>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</si>
  <si>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</si>
  <si>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</si>
  <si>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</si>
  <si>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</si>
  <si>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</si>
  <si>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</si>
  <si>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</si>
  <si>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</si>
  <si>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</si>
  <si>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</si>
  <si>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</si>
  <si>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</si>
  <si>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</si>
  <si>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</si>
  <si>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</si>
  <si>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</si>
  <si>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</si>
  <si>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</si>
  <si>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</si>
  <si>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</si>
  <si>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KZIKb39</t>
  </si>
  <si>
    <t>KZ2C00014736</t>
  </si>
  <si>
    <t>АО "КАЗАХСТАНСКАЯ ИПОТЕЧНАЯ КОМПАНИЯ"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</si>
  <si>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</si>
  <si>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</si>
  <si>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</si>
  <si>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</si>
  <si>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</si>
  <si>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</si>
  <si>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</si>
  <si>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</si>
  <si>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</si>
  <si>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</si>
  <si>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</si>
  <si>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</si>
  <si>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</si>
  <si>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</si>
  <si>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</si>
  <si>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</si>
  <si>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</si>
  <si>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</si>
  <si>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</si>
  <si>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</si>
  <si>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</si>
  <si>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</si>
  <si>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</si>
  <si>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</si>
  <si>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</si>
  <si>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</si>
  <si>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</si>
  <si>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</si>
  <si>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</si>
  <si>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</si>
  <si>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</si>
  <si>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</si>
  <si>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</si>
  <si>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</si>
  <si>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</si>
  <si>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</si>
  <si>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</si>
  <si>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</si>
  <si>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</si>
  <si>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</si>
  <si>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</si>
  <si>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</si>
  <si>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</si>
  <si>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</si>
  <si>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</si>
  <si>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</si>
  <si>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</si>
  <si>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</si>
  <si>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</si>
  <si>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</si>
  <si>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</si>
  <si>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</si>
  <si>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</si>
  <si>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</si>
  <si>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</si>
  <si>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</si>
  <si>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</si>
  <si>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</si>
  <si>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</si>
  <si>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</si>
  <si>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</si>
  <si>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</si>
  <si>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</si>
  <si>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</si>
  <si>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</si>
  <si>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</si>
  <si>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</si>
  <si>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</si>
  <si>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</si>
  <si>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</si>
  <si>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</si>
  <si>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</si>
  <si>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</si>
  <si>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</si>
  <si>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</si>
  <si>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</si>
  <si>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</si>
  <si>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</si>
  <si>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</si>
  <si>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</si>
  <si>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</si>
  <si>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</si>
  <si>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</si>
  <si>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</si>
  <si>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</si>
  <si>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</si>
  <si>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</si>
  <si>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</si>
  <si>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</si>
  <si>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</si>
  <si>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</si>
  <si>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</si>
  <si>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</si>
  <si>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</si>
  <si>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</si>
  <si>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</si>
  <si>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</si>
  <si>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</si>
  <si>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</si>
  <si>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</si>
  <si>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</si>
  <si>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</si>
  <si>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</si>
  <si>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</si>
  <si>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</si>
  <si>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</si>
  <si>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</si>
  <si>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</si>
  <si>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</si>
  <si>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</si>
  <si>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</si>
  <si>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</si>
  <si>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</si>
  <si>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</si>
  <si>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</si>
  <si>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</si>
  <si>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</si>
  <si>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</si>
  <si>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</si>
  <si>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</si>
  <si>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</si>
  <si>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</si>
  <si>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</si>
  <si>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</si>
  <si>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</si>
  <si>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</si>
  <si>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</si>
  <si>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</si>
  <si>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</si>
  <si>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</si>
  <si>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</si>
  <si>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</si>
  <si>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</si>
  <si>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</si>
  <si>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</si>
  <si>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</si>
  <si>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</si>
  <si>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</si>
  <si>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</si>
  <si>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</si>
  <si>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</si>
  <si>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</si>
  <si>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</si>
  <si>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</si>
  <si>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</si>
  <si>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</si>
  <si>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</si>
  <si>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</si>
  <si>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</si>
  <si>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</si>
  <si>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</si>
  <si>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</si>
  <si>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</si>
  <si>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</si>
  <si>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</si>
  <si>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</si>
  <si>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</si>
  <si>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</si>
  <si>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</si>
  <si>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</si>
  <si>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</si>
  <si>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</si>
  <si>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</si>
  <si>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</si>
  <si>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</si>
  <si>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</si>
  <si>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</si>
  <si>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</si>
  <si>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</si>
  <si>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</si>
  <si>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</si>
  <si>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</si>
  <si>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</si>
  <si>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</si>
  <si>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</si>
  <si>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</si>
  <si>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</si>
  <si>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</si>
  <si>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</si>
  <si>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</si>
  <si>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</si>
  <si>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</si>
  <si>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</si>
  <si>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</si>
  <si>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</si>
  <si>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</si>
  <si>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</si>
  <si>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</si>
  <si>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</si>
  <si>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</si>
  <si>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</si>
  <si>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</si>
  <si>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</si>
  <si>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</si>
  <si>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</si>
  <si>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</si>
  <si>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</si>
  <si>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</si>
  <si>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KFUSb47</t>
  </si>
  <si>
    <t>KZ2C00008936</t>
  </si>
  <si>
    <t>KFUSb48</t>
  </si>
  <si>
    <t>KZ2C00008944</t>
  </si>
  <si>
    <t>KFUSb46</t>
  </si>
  <si>
    <t>KZ2C00008928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</si>
  <si>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</si>
  <si>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</si>
  <si>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</si>
  <si>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</si>
  <si>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</si>
  <si>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</si>
  <si>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</si>
  <si>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</si>
  <si>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</si>
  <si>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</si>
  <si>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</si>
  <si>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</si>
  <si>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</si>
  <si>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</si>
  <si>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</si>
  <si>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</si>
  <si>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</si>
  <si>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</si>
  <si>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NCOMb9</t>
  </si>
  <si>
    <t>KZ2P00016330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</si>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</sst>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16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27143294568.818043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80</v>
      </c>
      <c r="C8" s="16">
        <v>1897500</v>
      </c>
      <c r="D8" s="17">
        <v>1897500000</v>
      </c>
      <c r="E8" s="18">
        <v>8.07</v>
      </c>
      <c r="F8" s="19" t="s">
        <v>81</v>
      </c>
      <c r="G8" s="19" t="s">
        <v>82</v>
      </c>
      <c r="H8" s="18">
        <v>1338524962.5</v>
      </c>
      <c r="I8" s="20">
        <v>65.097400000000007</v>
      </c>
      <c r="J8" s="20">
        <v>72.494900000000001</v>
      </c>
      <c r="K8" s="18">
        <v>140367562.5</v>
      </c>
      <c r="L8" s="18">
        <v>1375590727.5</v>
      </c>
      <c r="M8" s="21">
        <f t="shared" ref="M8:M24" si="0">L8/$Q$1</f>
        <v>5.0678841656910195E-2</v>
      </c>
      <c r="O8" s="10">
        <v>749863.88888888899</v>
      </c>
    </row>
    <row r="9" spans="1:17" x14ac:dyDescent="0.2">
      <c r="A9" s="15" t="s">
        <v>76</v>
      </c>
      <c r="B9" s="15" t="s">
        <v>83</v>
      </c>
      <c r="C9" s="16">
        <v>992234</v>
      </c>
      <c r="D9" s="17">
        <v>992234000</v>
      </c>
      <c r="E9" s="18">
        <v>14.3</v>
      </c>
      <c r="F9" s="19" t="s">
        <v>84</v>
      </c>
      <c r="G9" s="19" t="s">
        <v>85</v>
      </c>
      <c r="H9" s="18">
        <v>991722999.49000001</v>
      </c>
      <c r="I9" s="20">
        <v>95.245357400000003</v>
      </c>
      <c r="J9" s="20">
        <v>99.853157400000001</v>
      </c>
      <c r="K9" s="18">
        <v>45719937.755555548</v>
      </c>
      <c r="L9" s="18">
        <v>990776757.31805301</v>
      </c>
      <c r="M9" s="21">
        <f t="shared" si="0"/>
        <v>3.6501713334985059E-2</v>
      </c>
      <c r="O9" s="10">
        <v>749863.88888888899</v>
      </c>
    </row>
    <row r="10" spans="1:17" x14ac:dyDescent="0.2">
      <c r="A10" s="15" t="s">
        <v>66</v>
      </c>
      <c r="B10" s="15" t="s">
        <v>86</v>
      </c>
      <c r="C10" s="16">
        <v>1897500</v>
      </c>
      <c r="D10" s="17">
        <v>1897500000</v>
      </c>
      <c r="E10" s="18">
        <v>10.4</v>
      </c>
      <c r="F10" s="19" t="s">
        <v>81</v>
      </c>
      <c r="G10" s="19" t="s">
        <v>87</v>
      </c>
      <c r="H10" s="18">
        <v>1736743800</v>
      </c>
      <c r="I10" s="20">
        <v>88.959000000000003</v>
      </c>
      <c r="J10" s="20">
        <v>96.383400000000009</v>
      </c>
      <c r="K10" s="18">
        <v>140878833.33333299</v>
      </c>
      <c r="L10" s="18">
        <v>1828875858.333333</v>
      </c>
      <c r="M10" s="21">
        <f t="shared" si="0"/>
        <v>6.7378551033901682E-2</v>
      </c>
      <c r="O10" s="10">
        <v>749863.88888888899</v>
      </c>
    </row>
    <row r="11" spans="1:17" x14ac:dyDescent="0.2">
      <c r="A11" s="15" t="s">
        <v>66</v>
      </c>
      <c r="B11" s="15" t="s">
        <v>88</v>
      </c>
      <c r="C11" s="16">
        <v>1897500</v>
      </c>
      <c r="D11" s="17">
        <v>1897500000</v>
      </c>
      <c r="E11" s="18">
        <v>10.55</v>
      </c>
      <c r="F11" s="19" t="s">
        <v>81</v>
      </c>
      <c r="G11" s="19" t="s">
        <v>89</v>
      </c>
      <c r="H11" s="18">
        <v>1708326839.9966669</v>
      </c>
      <c r="I11" s="20">
        <v>85.530799999999999</v>
      </c>
      <c r="J11" s="20">
        <v>89.9559</v>
      </c>
      <c r="K11" s="18">
        <v>83967010.416666657</v>
      </c>
      <c r="L11" s="18">
        <v>1706913940.416666</v>
      </c>
      <c r="M11" s="21">
        <f t="shared" si="0"/>
        <v>6.2885289627941945E-2</v>
      </c>
      <c r="O11" s="10">
        <v>749863.88888888899</v>
      </c>
    </row>
    <row r="12" spans="1:17" x14ac:dyDescent="0.2">
      <c r="A12" s="15" t="s">
        <v>66</v>
      </c>
      <c r="B12" s="15" t="s">
        <v>90</v>
      </c>
      <c r="C12" s="16">
        <v>1897500</v>
      </c>
      <c r="D12" s="17">
        <v>1897500000</v>
      </c>
      <c r="E12" s="18">
        <v>10.65</v>
      </c>
      <c r="F12" s="19" t="s">
        <v>81</v>
      </c>
      <c r="G12" s="19" t="s">
        <v>91</v>
      </c>
      <c r="H12" s="18">
        <v>1648500562.5</v>
      </c>
      <c r="I12" s="20">
        <v>80.146600000000007</v>
      </c>
      <c r="J12" s="20">
        <v>84.672800000000009</v>
      </c>
      <c r="K12" s="18">
        <v>85885593.75</v>
      </c>
      <c r="L12" s="18">
        <v>1606667328.75</v>
      </c>
      <c r="M12" s="21">
        <f t="shared" si="0"/>
        <v>5.9192052927713651E-2</v>
      </c>
      <c r="O12" s="10">
        <v>749863.88888888899</v>
      </c>
    </row>
    <row r="13" spans="1:17" x14ac:dyDescent="0.2">
      <c r="A13" s="15" t="s">
        <v>66</v>
      </c>
      <c r="B13" s="15" t="s">
        <v>92</v>
      </c>
      <c r="C13" s="16">
        <v>550000</v>
      </c>
      <c r="D13" s="17">
        <v>550000000</v>
      </c>
      <c r="E13" s="18">
        <v>12</v>
      </c>
      <c r="F13" s="19" t="s">
        <v>93</v>
      </c>
      <c r="G13" s="19" t="s">
        <v>94</v>
      </c>
      <c r="H13" s="18">
        <v>491343050</v>
      </c>
      <c r="I13" s="20">
        <v>88.350500000000011</v>
      </c>
      <c r="J13" s="20">
        <v>98.083800000000011</v>
      </c>
      <c r="K13" s="18">
        <v>53533333.333333328</v>
      </c>
      <c r="L13" s="18">
        <v>539461083.33333302</v>
      </c>
      <c r="M13" s="21">
        <f t="shared" si="0"/>
        <v>1.9874561725202685E-2</v>
      </c>
      <c r="O13" s="10">
        <v>749863.88888888899</v>
      </c>
    </row>
    <row r="14" spans="1:17" x14ac:dyDescent="0.2">
      <c r="A14" s="15" t="s">
        <v>66</v>
      </c>
      <c r="B14" s="15" t="s">
        <v>67</v>
      </c>
      <c r="C14" s="16">
        <v>11424000</v>
      </c>
      <c r="D14" s="17">
        <v>1142400000</v>
      </c>
      <c r="E14" s="18">
        <v>0</v>
      </c>
      <c r="F14" s="19" t="s">
        <v>93</v>
      </c>
      <c r="G14" s="19" t="s">
        <v>95</v>
      </c>
      <c r="H14" s="18">
        <v>1003902278.4</v>
      </c>
      <c r="I14" s="20">
        <v>98.332400000000007</v>
      </c>
      <c r="J14" s="20">
        <v>98.332400000000007</v>
      </c>
      <c r="K14" s="18"/>
      <c r="L14" s="18">
        <v>1123349337.5999999</v>
      </c>
      <c r="M14" s="21">
        <f t="shared" si="0"/>
        <v>4.1385887580886842E-2</v>
      </c>
      <c r="O14" s="10">
        <v>749863.88888888899</v>
      </c>
    </row>
    <row r="15" spans="1:17" x14ac:dyDescent="0.2">
      <c r="A15" s="15" t="s">
        <v>66</v>
      </c>
      <c r="B15" s="15" t="s">
        <v>96</v>
      </c>
      <c r="C15" s="16">
        <v>1897500</v>
      </c>
      <c r="D15" s="17">
        <v>1897500000</v>
      </c>
      <c r="E15" s="18">
        <v>10.3</v>
      </c>
      <c r="F15" s="19" t="s">
        <v>81</v>
      </c>
      <c r="G15" s="19" t="s">
        <v>97</v>
      </c>
      <c r="H15" s="18">
        <v>1645329839.996666</v>
      </c>
      <c r="I15" s="20">
        <v>81.277799999999999</v>
      </c>
      <c r="J15" s="20">
        <v>89.346100000000007</v>
      </c>
      <c r="K15" s="18">
        <v>153096625</v>
      </c>
      <c r="L15" s="18">
        <v>1695342879.999999</v>
      </c>
      <c r="M15" s="21">
        <f t="shared" si="0"/>
        <v>6.2458994272109943E-2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1897500</v>
      </c>
      <c r="D16" s="17">
        <v>1897500000</v>
      </c>
      <c r="E16" s="18">
        <v>8.07</v>
      </c>
      <c r="F16" s="19" t="s">
        <v>81</v>
      </c>
      <c r="G16" s="19" t="s">
        <v>99</v>
      </c>
      <c r="H16" s="18">
        <v>1359122325</v>
      </c>
      <c r="I16" s="20">
        <v>66.3108</v>
      </c>
      <c r="J16" s="20">
        <v>71.3994</v>
      </c>
      <c r="K16" s="18">
        <v>96555868.75</v>
      </c>
      <c r="L16" s="18">
        <v>1354803298.75</v>
      </c>
      <c r="M16" s="21">
        <f t="shared" si="0"/>
        <v>4.9913001360799625E-2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897100</v>
      </c>
      <c r="D17" s="17">
        <v>897100000</v>
      </c>
      <c r="E17" s="18">
        <v>17.010000000000002</v>
      </c>
      <c r="F17" s="19" t="s">
        <v>101</v>
      </c>
      <c r="G17" s="19" t="s">
        <v>102</v>
      </c>
      <c r="H17" s="18">
        <v>896985171.20000005</v>
      </c>
      <c r="I17" s="20">
        <v>103.8728</v>
      </c>
      <c r="J17" s="20">
        <v>110.5823</v>
      </c>
      <c r="K17" s="18">
        <v>60190924.5</v>
      </c>
      <c r="L17" s="18">
        <v>992033813.29999995</v>
      </c>
      <c r="M17" s="21">
        <f t="shared" si="0"/>
        <v>3.6548025177446181E-2</v>
      </c>
      <c r="O17" s="10">
        <v>749863.88888888899</v>
      </c>
    </row>
    <row r="18" spans="1:15" x14ac:dyDescent="0.2">
      <c r="A18" s="15" t="s">
        <v>66</v>
      </c>
      <c r="B18" s="15" t="s">
        <v>103</v>
      </c>
      <c r="C18" s="16">
        <v>2469500</v>
      </c>
      <c r="D18" s="17">
        <v>2469500000</v>
      </c>
      <c r="E18" s="18">
        <v>7.68</v>
      </c>
      <c r="F18" s="19" t="s">
        <v>104</v>
      </c>
      <c r="G18" s="19" t="s">
        <v>105</v>
      </c>
      <c r="H18" s="18">
        <v>1827657194</v>
      </c>
      <c r="I18" s="20">
        <v>78.051299999999998</v>
      </c>
      <c r="J18" s="20">
        <v>80.952600000000004</v>
      </c>
      <c r="K18" s="18">
        <v>71648426.666666657</v>
      </c>
      <c r="L18" s="18">
        <v>1999125280.166666</v>
      </c>
      <c r="M18" s="21">
        <f t="shared" si="0"/>
        <v>7.3650797072483676E-2</v>
      </c>
      <c r="O18" s="10">
        <v>749863.88888888899</v>
      </c>
    </row>
    <row r="19" spans="1:15" x14ac:dyDescent="0.2">
      <c r="A19" s="15" t="s">
        <v>66</v>
      </c>
      <c r="B19" s="15" t="s">
        <v>106</v>
      </c>
      <c r="C19" s="16">
        <v>3162500</v>
      </c>
      <c r="D19" s="17">
        <v>3162500000</v>
      </c>
      <c r="E19" s="18">
        <v>5.49</v>
      </c>
      <c r="F19" s="19" t="s">
        <v>81</v>
      </c>
      <c r="G19" s="19" t="s">
        <v>107</v>
      </c>
      <c r="H19" s="18">
        <v>2627740225</v>
      </c>
      <c r="I19" s="20">
        <v>88.090600000000009</v>
      </c>
      <c r="J19" s="20">
        <v>92.238600000000005</v>
      </c>
      <c r="K19" s="18">
        <v>131180500</v>
      </c>
      <c r="L19" s="18">
        <v>2917045725</v>
      </c>
      <c r="M19" s="21">
        <f t="shared" si="0"/>
        <v>0.10746837373054464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1897500</v>
      </c>
      <c r="D20" s="17">
        <v>1897500000</v>
      </c>
      <c r="E20" s="18">
        <v>11</v>
      </c>
      <c r="F20" s="19" t="s">
        <v>81</v>
      </c>
      <c r="G20" s="19" t="s">
        <v>109</v>
      </c>
      <c r="H20" s="18">
        <v>1743261712.5</v>
      </c>
      <c r="I20" s="20">
        <v>87.446300000000008</v>
      </c>
      <c r="J20" s="20">
        <v>95.665700000000001</v>
      </c>
      <c r="K20" s="18">
        <v>155963958.33333299</v>
      </c>
      <c r="L20" s="18">
        <v>1815257500.833333</v>
      </c>
      <c r="M20" s="21">
        <f t="shared" si="0"/>
        <v>6.6876830158955111E-2</v>
      </c>
      <c r="O20" s="10">
        <v>749863.88888888899</v>
      </c>
    </row>
    <row r="21" spans="1:15" x14ac:dyDescent="0.2">
      <c r="A21" s="15" t="s">
        <v>66</v>
      </c>
      <c r="B21" s="15" t="s">
        <v>110</v>
      </c>
      <c r="C21" s="16">
        <v>2530000</v>
      </c>
      <c r="D21" s="17">
        <v>2530000000</v>
      </c>
      <c r="E21" s="18">
        <v>10.67</v>
      </c>
      <c r="F21" s="19" t="s">
        <v>81</v>
      </c>
      <c r="G21" s="19" t="s">
        <v>111</v>
      </c>
      <c r="H21" s="18">
        <v>2455119589.9966769</v>
      </c>
      <c r="I21" s="20">
        <v>99.613100000000003</v>
      </c>
      <c r="J21" s="20">
        <v>104.29600000000001</v>
      </c>
      <c r="K21" s="18">
        <v>118478494.444444</v>
      </c>
      <c r="L21" s="18">
        <v>2638689924.4444442</v>
      </c>
      <c r="M21" s="21">
        <f t="shared" si="0"/>
        <v>9.7213325293081632E-2</v>
      </c>
      <c r="O21" s="10">
        <v>749863.88888888899</v>
      </c>
    </row>
    <row r="22" spans="1:15" x14ac:dyDescent="0.2">
      <c r="A22" s="15" t="s">
        <v>66</v>
      </c>
      <c r="B22" s="15" t="s">
        <v>112</v>
      </c>
      <c r="C22" s="16">
        <v>1106600</v>
      </c>
      <c r="D22" s="17">
        <v>1106600000</v>
      </c>
      <c r="E22" s="18">
        <v>5.5</v>
      </c>
      <c r="F22" s="19" t="s">
        <v>113</v>
      </c>
      <c r="G22" s="19" t="s">
        <v>114</v>
      </c>
      <c r="H22" s="18">
        <v>999478906.79999995</v>
      </c>
      <c r="I22" s="20">
        <v>93.465100000000007</v>
      </c>
      <c r="J22" s="20">
        <v>95.466500000000011</v>
      </c>
      <c r="K22" s="18">
        <v>22147369.444444399</v>
      </c>
      <c r="L22" s="18">
        <v>1056432166.04444</v>
      </c>
      <c r="M22" s="21">
        <f t="shared" si="0"/>
        <v>3.8920557833022201E-2</v>
      </c>
      <c r="O22" s="10">
        <v>749863.88888888899</v>
      </c>
    </row>
    <row r="23" spans="1:15" x14ac:dyDescent="0.2">
      <c r="A23" s="15" t="s">
        <v>66</v>
      </c>
      <c r="B23" s="15" t="s">
        <v>115</v>
      </c>
      <c r="C23" s="16">
        <v>1897500</v>
      </c>
      <c r="D23" s="17">
        <v>1897500000</v>
      </c>
      <c r="E23" s="18">
        <v>8.4499999999999993</v>
      </c>
      <c r="F23" s="19" t="s">
        <v>81</v>
      </c>
      <c r="G23" s="19" t="s">
        <v>116</v>
      </c>
      <c r="H23" s="18">
        <v>1457889097.496666</v>
      </c>
      <c r="I23" s="20">
        <v>72.258700000000005</v>
      </c>
      <c r="J23" s="20">
        <v>78.197200000000009</v>
      </c>
      <c r="K23" s="18">
        <v>112682510.416667</v>
      </c>
      <c r="L23" s="18">
        <v>1483791342.916666</v>
      </c>
      <c r="M23" s="21">
        <f t="shared" si="0"/>
        <v>5.4665115878056725E-2</v>
      </c>
      <c r="O23" s="10">
        <v>749863.88888888899</v>
      </c>
    </row>
    <row r="24" spans="1:15" x14ac:dyDescent="0.2">
      <c r="A24" s="15" t="s">
        <v>66</v>
      </c>
      <c r="B24" s="15" t="s">
        <v>117</v>
      </c>
      <c r="C24" s="16">
        <v>2391500</v>
      </c>
      <c r="D24" s="17">
        <v>2391500000</v>
      </c>
      <c r="E24" s="18">
        <v>5.3</v>
      </c>
      <c r="F24" s="19" t="s">
        <v>118</v>
      </c>
      <c r="G24" s="19" t="s">
        <v>119</v>
      </c>
      <c r="H24" s="18">
        <v>1903079172</v>
      </c>
      <c r="I24" s="20">
        <v>83.399200000000008</v>
      </c>
      <c r="J24" s="20">
        <v>84.4298</v>
      </c>
      <c r="K24" s="18">
        <v>24645736.111111108</v>
      </c>
      <c r="L24" s="18">
        <v>2019137604.1111109</v>
      </c>
      <c r="M24" s="21">
        <f t="shared" si="0"/>
        <v>7.438808133595827E-2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1496942684.7555547</v>
      </c>
      <c r="L26" s="23">
        <f>SUM(L8:L25)</f>
        <v>27143294568.818043</v>
      </c>
      <c r="M26" s="26">
        <f>SUM(M8:M25)</f>
        <v>1</v>
      </c>
      <c r="N26" s="9">
        <v>27143294568.81805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163442.03</v>
      </c>
    </row>
    <row r="30" spans="1:15" x14ac:dyDescent="0.2">
      <c r="A30" s="29" t="s">
        <v>79</v>
      </c>
      <c r="B30" s="30">
        <v>163442.03</v>
      </c>
      <c r="C30" s="11">
        <v>163442.09</v>
      </c>
      <c r="D30" s="62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173128</v>
      </c>
      <c r="D35" s="32" t="s">
        <v>68</v>
      </c>
      <c r="E35" s="34" t="s">
        <v>69</v>
      </c>
      <c r="F35" s="34" t="s">
        <v>70</v>
      </c>
      <c r="G35" s="35">
        <v>98.202400016173002</v>
      </c>
      <c r="H35" s="35">
        <f t="shared" ref="H35:H40" si="1">J35/C35</f>
        <v>98.339695023335324</v>
      </c>
      <c r="I35" s="36">
        <v>17001585.109999999</v>
      </c>
      <c r="J35" s="36">
        <v>17025354.719999999</v>
      </c>
      <c r="K35" s="37">
        <v>17.010000000000002</v>
      </c>
      <c r="L35" s="37">
        <v>23769.61</v>
      </c>
      <c r="M35" s="31">
        <f t="shared" ref="M35:M40" si="2">I35+L35</f>
        <v>17025354.719999999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23474120</v>
      </c>
      <c r="D36" s="32" t="s">
        <v>68</v>
      </c>
      <c r="E36" s="34" t="s">
        <v>69</v>
      </c>
      <c r="F36" s="34" t="s">
        <v>70</v>
      </c>
      <c r="G36" s="35">
        <v>98.202400000085191</v>
      </c>
      <c r="H36" s="35">
        <f t="shared" si="1"/>
        <v>98.339695026693235</v>
      </c>
      <c r="I36" s="36">
        <v>2305214921.8899999</v>
      </c>
      <c r="J36" s="36">
        <v>2308437801.8200002</v>
      </c>
      <c r="K36" s="37">
        <v>17.010000000000002</v>
      </c>
      <c r="L36" s="37">
        <v>3222879.93</v>
      </c>
      <c r="M36" s="31">
        <f t="shared" si="2"/>
        <v>2308437801.8199997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915616</v>
      </c>
      <c r="D37" s="32" t="s">
        <v>68</v>
      </c>
      <c r="E37" s="34" t="s">
        <v>70</v>
      </c>
      <c r="F37" s="34" t="s">
        <v>73</v>
      </c>
      <c r="G37" s="35">
        <v>1084.425</v>
      </c>
      <c r="H37" s="35">
        <f t="shared" si="1"/>
        <v>1084.9300776307973</v>
      </c>
      <c r="I37" s="36">
        <v>992916880.79999995</v>
      </c>
      <c r="J37" s="36">
        <v>993379337.96000004</v>
      </c>
      <c r="K37" s="37">
        <v>17.0001</v>
      </c>
      <c r="L37" s="37"/>
      <c r="M37" s="31">
        <f t="shared" si="2"/>
        <v>992916880.79999995</v>
      </c>
      <c r="N37" s="10"/>
      <c r="O37" s="9"/>
      <c r="Q37" s="9">
        <v>1</v>
      </c>
    </row>
    <row r="38" spans="1:17" x14ac:dyDescent="0.2">
      <c r="A38" s="32" t="s">
        <v>74</v>
      </c>
      <c r="B38" s="32" t="s">
        <v>75</v>
      </c>
      <c r="C38" s="33">
        <v>875784</v>
      </c>
      <c r="D38" s="32" t="s">
        <v>68</v>
      </c>
      <c r="E38" s="34" t="s">
        <v>70</v>
      </c>
      <c r="F38" s="34" t="s">
        <v>73</v>
      </c>
      <c r="G38" s="35">
        <v>915.83</v>
      </c>
      <c r="H38" s="35">
        <f t="shared" si="1"/>
        <v>916.25655346523797</v>
      </c>
      <c r="I38" s="36">
        <v>802069260.72000003</v>
      </c>
      <c r="J38" s="36">
        <v>802442829.41999996</v>
      </c>
      <c r="K38" s="37">
        <v>17.0001</v>
      </c>
      <c r="L38" s="37"/>
      <c r="M38" s="31">
        <f t="shared" si="2"/>
        <v>802069260.72000003</v>
      </c>
      <c r="N38" s="10"/>
      <c r="O38" s="9"/>
      <c r="Q38" s="9">
        <v>1</v>
      </c>
    </row>
    <row r="39" spans="1:17" x14ac:dyDescent="0.2">
      <c r="A39" s="32" t="s">
        <v>76</v>
      </c>
      <c r="B39" s="32" t="s">
        <v>77</v>
      </c>
      <c r="C39" s="33">
        <v>14145</v>
      </c>
      <c r="D39" s="32" t="s">
        <v>68</v>
      </c>
      <c r="E39" s="34" t="s">
        <v>70</v>
      </c>
      <c r="F39" s="34" t="s">
        <v>73</v>
      </c>
      <c r="G39" s="35">
        <v>1061.1200000000001</v>
      </c>
      <c r="H39" s="35">
        <f t="shared" si="1"/>
        <v>1061.6142234004949</v>
      </c>
      <c r="I39" s="36">
        <v>15009542.4</v>
      </c>
      <c r="J39" s="36">
        <v>15016533.189999999</v>
      </c>
      <c r="K39" s="37">
        <v>17.0001</v>
      </c>
      <c r="L39" s="37"/>
      <c r="M39" s="31">
        <f t="shared" si="2"/>
        <v>15009542.4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78</v>
      </c>
      <c r="C40" s="33">
        <v>507228</v>
      </c>
      <c r="D40" s="32" t="s">
        <v>68</v>
      </c>
      <c r="E40" s="34" t="s">
        <v>70</v>
      </c>
      <c r="F40" s="34" t="s">
        <v>73</v>
      </c>
      <c r="G40" s="35">
        <v>1017.658999996057</v>
      </c>
      <c r="H40" s="35">
        <f t="shared" si="1"/>
        <v>1018.1329809474241</v>
      </c>
      <c r="I40" s="36">
        <v>516185139.25</v>
      </c>
      <c r="J40" s="36">
        <v>516425555.66000003</v>
      </c>
      <c r="K40" s="37">
        <v>17.0001</v>
      </c>
      <c r="L40" s="37"/>
      <c r="M40" s="31">
        <f t="shared" si="2"/>
        <v>516185139.25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2326180823.1700001</v>
      </c>
      <c r="N42" s="64">
        <v>2326180823.1700001</v>
      </c>
      <c r="O42" s="65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L26+B29+M42</f>
        <v>29469638834.018044</v>
      </c>
      <c r="C49" s="66">
        <v>29469638834.078049</v>
      </c>
      <c r="D49" s="66">
        <f>__mdDATAItogoActive__-C49</f>
        <v>-6.000518798828125E-2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-2.14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124000</v>
      </c>
      <c r="D66" s="2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0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101380.84</v>
      </c>
      <c r="D69" s="57"/>
      <c r="G69" s="54"/>
      <c r="O69" s="9"/>
    </row>
    <row r="70" spans="1:15" x14ac:dyDescent="0.2">
      <c r="A70" s="24">
        <v>7</v>
      </c>
      <c r="B70" s="55" t="s">
        <v>59</v>
      </c>
      <c r="C70" s="57">
        <v>51736.31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277115.01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29.12.2025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>
        <v>9525.31</v>
      </c>
      <c r="G4" s="5"/>
      <c r="H4" s="5"/>
      <c r="I4" s="5"/>
      <c r="J4" s="4" t="s">
        <v>124</v>
      </c>
    </row>
    <row r="5" spans="1:10" x14ac:dyDescent="0.25">
      <c r="A5" s="4">
        <f t="shared" ca="1" si="0"/>
        <v>2</v>
      </c>
      <c r="B5" s="4" t="s">
        <v>125</v>
      </c>
      <c r="C5" s="4" t="s">
        <v>126</v>
      </c>
      <c r="D5" s="4" t="s">
        <v>127</v>
      </c>
      <c r="E5" s="4" t="s">
        <v>123</v>
      </c>
      <c r="F5" s="4">
        <v>1040.5610000000001</v>
      </c>
      <c r="G5" s="5">
        <v>110.2894</v>
      </c>
      <c r="H5" s="5">
        <v>19.59</v>
      </c>
      <c r="I5" s="5">
        <v>810</v>
      </c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122</v>
      </c>
      <c r="E6" s="4" t="s">
        <v>131</v>
      </c>
      <c r="F6" s="4">
        <v>1508.44</v>
      </c>
      <c r="G6" s="5"/>
      <c r="H6" s="5"/>
      <c r="I6" s="5"/>
      <c r="J6" s="4" t="s">
        <v>124</v>
      </c>
    </row>
    <row r="7" spans="1:10" x14ac:dyDescent="0.25">
      <c r="A7" s="4">
        <f t="shared" ca="1" si="0"/>
        <v>4</v>
      </c>
      <c r="B7" s="4" t="s">
        <v>132</v>
      </c>
      <c r="C7" s="4" t="s">
        <v>133</v>
      </c>
      <c r="D7" s="4" t="s">
        <v>122</v>
      </c>
      <c r="E7" s="4" t="s">
        <v>71</v>
      </c>
      <c r="F7" s="4">
        <v>566820.78</v>
      </c>
      <c r="G7" s="5"/>
      <c r="H7" s="5"/>
      <c r="I7" s="5"/>
      <c r="J7" s="4" t="s">
        <v>124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122</v>
      </c>
      <c r="E8" s="4" t="s">
        <v>71</v>
      </c>
      <c r="F8" s="4">
        <v>6301.35</v>
      </c>
      <c r="G8" s="5"/>
      <c r="H8" s="5"/>
      <c r="I8" s="5"/>
      <c r="J8" s="4" t="s">
        <v>124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122</v>
      </c>
      <c r="E9" s="4" t="s">
        <v>71</v>
      </c>
      <c r="F9" s="4">
        <v>168.48</v>
      </c>
      <c r="G9" s="5"/>
      <c r="H9" s="5"/>
      <c r="I9" s="5"/>
      <c r="J9" s="4" t="s">
        <v>124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122</v>
      </c>
      <c r="E10" s="4" t="s">
        <v>71</v>
      </c>
      <c r="F10" s="4">
        <v>5706.05</v>
      </c>
      <c r="G10" s="5"/>
      <c r="H10" s="5"/>
      <c r="I10" s="5"/>
      <c r="J10" s="4" t="s">
        <v>124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122</v>
      </c>
      <c r="E11" s="4" t="s">
        <v>71</v>
      </c>
      <c r="F11" s="4">
        <v>5804295.04</v>
      </c>
      <c r="G11" s="5"/>
      <c r="H11" s="5"/>
      <c r="I11" s="5"/>
      <c r="J11" s="4" t="s">
        <v>124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122</v>
      </c>
      <c r="E12" s="4" t="s">
        <v>71</v>
      </c>
      <c r="F12" s="4">
        <v>131.5</v>
      </c>
      <c r="G12" s="5"/>
      <c r="H12" s="5"/>
      <c r="I12" s="5"/>
      <c r="J12" s="4" t="s">
        <v>124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127</v>
      </c>
      <c r="E13" s="4" t="s">
        <v>71</v>
      </c>
      <c r="F13" s="4">
        <v>0.90083199999999997</v>
      </c>
      <c r="G13" s="5">
        <v>90.812400000000011</v>
      </c>
      <c r="H13" s="5">
        <v>5.15</v>
      </c>
      <c r="I13" s="5">
        <v>2664</v>
      </c>
      <c r="J13" s="4" t="s">
        <v>128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122</v>
      </c>
      <c r="E14" s="4" t="s">
        <v>71</v>
      </c>
      <c r="F14" s="4">
        <v>1874043.41</v>
      </c>
      <c r="G14" s="5"/>
      <c r="H14" s="5"/>
      <c r="I14" s="5"/>
      <c r="J14" s="4" t="s">
        <v>124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122</v>
      </c>
      <c r="E15" s="4" t="s">
        <v>71</v>
      </c>
      <c r="F15" s="4">
        <v>71771.05</v>
      </c>
      <c r="G15" s="5"/>
      <c r="H15" s="5"/>
      <c r="I15" s="5"/>
      <c r="J15" s="4" t="s">
        <v>124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122</v>
      </c>
      <c r="E16" s="4" t="s">
        <v>71</v>
      </c>
      <c r="F16" s="4">
        <v>72082.16</v>
      </c>
      <c r="G16" s="5"/>
      <c r="H16" s="5"/>
      <c r="I16" s="5"/>
      <c r="J16" s="4" t="s">
        <v>124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122</v>
      </c>
      <c r="E17" s="4" t="s">
        <v>71</v>
      </c>
      <c r="F17" s="4">
        <v>51255.65</v>
      </c>
      <c r="G17" s="5"/>
      <c r="H17" s="5"/>
      <c r="I17" s="5"/>
      <c r="J17" s="4" t="s">
        <v>124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122</v>
      </c>
      <c r="E18" s="4" t="s">
        <v>71</v>
      </c>
      <c r="F18" s="4">
        <v>7.36</v>
      </c>
      <c r="G18" s="5"/>
      <c r="H18" s="5"/>
      <c r="I18" s="5"/>
      <c r="J18" s="4" t="s">
        <v>124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127</v>
      </c>
      <c r="E19" s="4" t="s">
        <v>71</v>
      </c>
      <c r="F19" s="4">
        <v>1000</v>
      </c>
      <c r="G19" s="5">
        <v>102.06540000000001</v>
      </c>
      <c r="H19" s="5">
        <v>18.100000000000001</v>
      </c>
      <c r="I19" s="5">
        <v>1056</v>
      </c>
      <c r="J19" s="4" t="s">
        <v>128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127</v>
      </c>
      <c r="E20" s="4" t="s">
        <v>71</v>
      </c>
      <c r="F20" s="4">
        <v>1000</v>
      </c>
      <c r="G20" s="5">
        <v>103.73650000000001</v>
      </c>
      <c r="H20" s="5">
        <v>17.87</v>
      </c>
      <c r="I20" s="5">
        <v>655</v>
      </c>
      <c r="J20" s="4" t="s">
        <v>128</v>
      </c>
    </row>
    <row r="21" spans="1:10" x14ac:dyDescent="0.25">
      <c r="A21" s="4">
        <f t="shared" ca="1" si="0"/>
        <v>18</v>
      </c>
      <c r="B21" s="4" t="s">
        <v>160</v>
      </c>
      <c r="C21" s="4" t="s">
        <v>72</v>
      </c>
      <c r="D21" s="4" t="s">
        <v>127</v>
      </c>
      <c r="E21" s="4" t="s">
        <v>71</v>
      </c>
      <c r="F21" s="4">
        <v>1000</v>
      </c>
      <c r="G21" s="5">
        <v>108.44250000000001</v>
      </c>
      <c r="H21" s="5">
        <v>18.3</v>
      </c>
      <c r="I21" s="5">
        <v>1842</v>
      </c>
      <c r="J21" s="4" t="s">
        <v>128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127</v>
      </c>
      <c r="E22" s="4" t="s">
        <v>71</v>
      </c>
      <c r="F22" s="4">
        <v>1000</v>
      </c>
      <c r="G22" s="5">
        <v>105.87570000000001</v>
      </c>
      <c r="H22" s="5">
        <v>18.2</v>
      </c>
      <c r="I22" s="5">
        <v>1526</v>
      </c>
      <c r="J22" s="4" t="s">
        <v>128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122</v>
      </c>
      <c r="E23" s="4" t="s">
        <v>71</v>
      </c>
      <c r="F23" s="4">
        <v>1539.01</v>
      </c>
      <c r="G23" s="5"/>
      <c r="H23" s="5"/>
      <c r="I23" s="5"/>
      <c r="J23" s="4" t="s">
        <v>124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127</v>
      </c>
      <c r="E24" s="4" t="s">
        <v>71</v>
      </c>
      <c r="F24" s="4">
        <v>817.86700000000008</v>
      </c>
      <c r="G24" s="5">
        <v>93.811700000000002</v>
      </c>
      <c r="H24" s="5">
        <v>16.46</v>
      </c>
      <c r="I24" s="5">
        <v>4777</v>
      </c>
      <c r="J24" s="4" t="s">
        <v>128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127</v>
      </c>
      <c r="E25" s="4" t="s">
        <v>71</v>
      </c>
      <c r="F25" s="4">
        <v>498648.5</v>
      </c>
      <c r="G25" s="5">
        <v>103.7158</v>
      </c>
      <c r="H25" s="5">
        <v>20.98</v>
      </c>
      <c r="I25" s="5">
        <v>203</v>
      </c>
      <c r="J25" s="4" t="s">
        <v>128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127</v>
      </c>
      <c r="E26" s="4" t="s">
        <v>71</v>
      </c>
      <c r="F26" s="4">
        <v>99.86160000000001</v>
      </c>
      <c r="G26" s="5">
        <v>100.16720000000001</v>
      </c>
      <c r="H26" s="5">
        <v>10.08</v>
      </c>
      <c r="I26" s="5">
        <v>690</v>
      </c>
      <c r="J26" s="4" t="s">
        <v>128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127</v>
      </c>
      <c r="E27" s="4" t="s">
        <v>71</v>
      </c>
      <c r="F27" s="4">
        <v>998.40200000000004</v>
      </c>
      <c r="G27" s="5">
        <v>100.36380000000001</v>
      </c>
      <c r="H27" s="5">
        <v>6.57</v>
      </c>
      <c r="I27" s="5">
        <v>884</v>
      </c>
      <c r="J27" s="4" t="s">
        <v>128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127</v>
      </c>
      <c r="E28" s="4" t="s">
        <v>71</v>
      </c>
      <c r="F28" s="4">
        <v>1011.2940000000001</v>
      </c>
      <c r="G28" s="5">
        <v>101.44880000000001</v>
      </c>
      <c r="H28" s="5">
        <v>22.46</v>
      </c>
      <c r="I28" s="5">
        <v>1031</v>
      </c>
      <c r="J28" s="4" t="s">
        <v>128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127</v>
      </c>
      <c r="E29" s="4" t="s">
        <v>71</v>
      </c>
      <c r="F29" s="4">
        <v>973</v>
      </c>
      <c r="G29" s="5">
        <v>101.57780000000001</v>
      </c>
      <c r="H29" s="5">
        <v>22.11</v>
      </c>
      <c r="I29" s="5">
        <v>561</v>
      </c>
      <c r="J29" s="4" t="s">
        <v>128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127</v>
      </c>
      <c r="E30" s="4" t="s">
        <v>71</v>
      </c>
      <c r="F30" s="4">
        <v>995.78100000000006</v>
      </c>
      <c r="G30" s="5">
        <v>104.0767</v>
      </c>
      <c r="H30" s="5">
        <v>20.82</v>
      </c>
      <c r="I30" s="5">
        <v>559</v>
      </c>
      <c r="J30" s="4" t="s">
        <v>128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127</v>
      </c>
      <c r="E31" s="4" t="s">
        <v>71</v>
      </c>
      <c r="F31" s="4">
        <v>497815</v>
      </c>
      <c r="G31" s="5">
        <v>103.8797</v>
      </c>
      <c r="H31" s="5">
        <v>21.32</v>
      </c>
      <c r="I31" s="5">
        <v>564</v>
      </c>
      <c r="J31" s="4" t="s">
        <v>128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127</v>
      </c>
      <c r="E32" s="4" t="s">
        <v>71</v>
      </c>
      <c r="F32" s="4">
        <v>999.9910000000001</v>
      </c>
      <c r="G32" s="5">
        <v>100.1824</v>
      </c>
      <c r="H32" s="5">
        <v>22</v>
      </c>
      <c r="I32" s="5">
        <v>60</v>
      </c>
      <c r="J32" s="4" t="s">
        <v>128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127</v>
      </c>
      <c r="E33" s="4" t="s">
        <v>71</v>
      </c>
      <c r="F33" s="4">
        <v>499905.5</v>
      </c>
      <c r="G33" s="5">
        <v>101.08110000000001</v>
      </c>
      <c r="H33" s="5">
        <v>22</v>
      </c>
      <c r="I33" s="5">
        <v>713</v>
      </c>
      <c r="J33" s="4" t="s">
        <v>128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127</v>
      </c>
      <c r="E34" s="4" t="s">
        <v>71</v>
      </c>
      <c r="F34" s="4">
        <v>985.18</v>
      </c>
      <c r="G34" s="5">
        <v>100.2097</v>
      </c>
      <c r="H34" s="5">
        <v>22.96</v>
      </c>
      <c r="I34" s="5">
        <v>306</v>
      </c>
      <c r="J34" s="4" t="s">
        <v>128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127</v>
      </c>
      <c r="E35" s="4" t="s">
        <v>71</v>
      </c>
      <c r="F35" s="4">
        <v>1015.57</v>
      </c>
      <c r="G35" s="5">
        <v>102.07870000000001</v>
      </c>
      <c r="H35" s="5">
        <v>20.07</v>
      </c>
      <c r="I35" s="5">
        <v>905</v>
      </c>
      <c r="J35" s="4" t="s">
        <v>128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127</v>
      </c>
      <c r="E36" s="4" t="s">
        <v>71</v>
      </c>
      <c r="F36" s="4">
        <v>982.34800000000007</v>
      </c>
      <c r="G36" s="5">
        <v>99.6404</v>
      </c>
      <c r="H36" s="5">
        <v>23.22</v>
      </c>
      <c r="I36" s="5">
        <v>647</v>
      </c>
      <c r="J36" s="4" t="s">
        <v>128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127</v>
      </c>
      <c r="E37" s="4" t="s">
        <v>71</v>
      </c>
      <c r="F37" s="4">
        <v>981.64300000000003</v>
      </c>
      <c r="G37" s="5">
        <v>103.2393</v>
      </c>
      <c r="H37" s="5">
        <v>23.71</v>
      </c>
      <c r="I37" s="5">
        <v>278</v>
      </c>
      <c r="J37" s="4" t="s">
        <v>128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127</v>
      </c>
      <c r="E38" s="4" t="s">
        <v>71</v>
      </c>
      <c r="F38" s="4">
        <v>968.96300000000008</v>
      </c>
      <c r="G38" s="5">
        <v>97.3185</v>
      </c>
      <c r="H38" s="5">
        <v>23.23</v>
      </c>
      <c r="I38" s="5">
        <v>297</v>
      </c>
      <c r="J38" s="4" t="s">
        <v>128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127</v>
      </c>
      <c r="E39" s="4" t="s">
        <v>71</v>
      </c>
      <c r="F39" s="4">
        <v>975.60200000000009</v>
      </c>
      <c r="G39" s="5">
        <v>97.613</v>
      </c>
      <c r="H39" s="5">
        <v>20.45</v>
      </c>
      <c r="I39" s="5">
        <v>761</v>
      </c>
      <c r="J39" s="4" t="s">
        <v>128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127</v>
      </c>
      <c r="E40" s="4" t="s">
        <v>71</v>
      </c>
      <c r="F40" s="4">
        <v>1000.6550000000001</v>
      </c>
      <c r="G40" s="5">
        <v>101.05720000000001</v>
      </c>
      <c r="H40" s="5">
        <v>20.96</v>
      </c>
      <c r="I40" s="5">
        <v>805</v>
      </c>
      <c r="J40" s="4" t="s">
        <v>128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127</v>
      </c>
      <c r="E41" s="4" t="s">
        <v>71</v>
      </c>
      <c r="F41" s="4">
        <v>1001.759</v>
      </c>
      <c r="G41" s="5">
        <v>101.8009</v>
      </c>
      <c r="H41" s="5">
        <v>19.3</v>
      </c>
      <c r="I41" s="5">
        <v>517</v>
      </c>
      <c r="J41" s="4" t="s">
        <v>128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127</v>
      </c>
      <c r="E42" s="4" t="s">
        <v>71</v>
      </c>
      <c r="F42" s="4">
        <v>1031.223</v>
      </c>
      <c r="G42" s="5">
        <v>103.629</v>
      </c>
      <c r="H42" s="5">
        <v>21.34</v>
      </c>
      <c r="I42" s="5">
        <v>1059</v>
      </c>
      <c r="J42" s="4" t="s">
        <v>128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127</v>
      </c>
      <c r="E43" s="4" t="s">
        <v>71</v>
      </c>
      <c r="F43" s="4">
        <v>1029.424</v>
      </c>
      <c r="G43" s="5">
        <v>103.4491</v>
      </c>
      <c r="H43" s="5">
        <v>21.43</v>
      </c>
      <c r="I43" s="5">
        <v>1059</v>
      </c>
      <c r="J43" s="4" t="s">
        <v>128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127</v>
      </c>
      <c r="E44" s="4" t="s">
        <v>71</v>
      </c>
      <c r="F44" s="4">
        <v>1000</v>
      </c>
      <c r="G44" s="5">
        <v>107.4251</v>
      </c>
      <c r="H44" s="5">
        <v>17.809999999999999</v>
      </c>
      <c r="I44" s="5">
        <v>1310</v>
      </c>
      <c r="J44" s="4" t="s">
        <v>128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127</v>
      </c>
      <c r="E45" s="4" t="s">
        <v>71</v>
      </c>
      <c r="F45" s="4">
        <v>1000.971</v>
      </c>
      <c r="G45" s="5">
        <v>100.93940000000001</v>
      </c>
      <c r="H45" s="5">
        <v>21.59</v>
      </c>
      <c r="I45" s="5">
        <v>595</v>
      </c>
      <c r="J45" s="4" t="s">
        <v>128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127</v>
      </c>
      <c r="E46" s="4" t="s">
        <v>71</v>
      </c>
      <c r="F46" s="4">
        <v>98.982300000000009</v>
      </c>
      <c r="G46" s="5">
        <v>99.287900000000008</v>
      </c>
      <c r="H46" s="5">
        <v>11.6</v>
      </c>
      <c r="I46" s="5">
        <v>691</v>
      </c>
      <c r="J46" s="4" t="s">
        <v>128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127</v>
      </c>
      <c r="E47" s="4" t="s">
        <v>71</v>
      </c>
      <c r="F47" s="4">
        <v>993.30600000000004</v>
      </c>
      <c r="G47" s="5">
        <v>99.49730000000001</v>
      </c>
      <c r="H47" s="5">
        <v>22.15</v>
      </c>
      <c r="I47" s="5">
        <v>119</v>
      </c>
      <c r="J47" s="4" t="s">
        <v>128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127</v>
      </c>
      <c r="E48" s="4" t="s">
        <v>71</v>
      </c>
      <c r="F48" s="4">
        <v>1025.605</v>
      </c>
      <c r="G48" s="5">
        <v>104.3005</v>
      </c>
      <c r="H48" s="5">
        <v>20.18</v>
      </c>
      <c r="I48" s="5">
        <v>824</v>
      </c>
      <c r="J48" s="4" t="s">
        <v>128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122</v>
      </c>
      <c r="E49" s="4" t="s">
        <v>71</v>
      </c>
      <c r="F49" s="4">
        <v>101.57</v>
      </c>
      <c r="G49" s="5"/>
      <c r="H49" s="5"/>
      <c r="I49" s="5"/>
      <c r="J49" s="4" t="s">
        <v>217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127</v>
      </c>
      <c r="E50" s="4" t="s">
        <v>71</v>
      </c>
      <c r="F50" s="4">
        <v>924.15</v>
      </c>
      <c r="G50" s="5">
        <v>92.473300000000009</v>
      </c>
      <c r="H50" s="5">
        <v>25.47</v>
      </c>
      <c r="I50" s="5">
        <v>821</v>
      </c>
      <c r="J50" s="4" t="s">
        <v>128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127</v>
      </c>
      <c r="E51" s="4" t="s">
        <v>71</v>
      </c>
      <c r="F51" s="4">
        <v>1000.0490000000001</v>
      </c>
      <c r="G51" s="5">
        <v>100.32430000000001</v>
      </c>
      <c r="H51" s="5">
        <v>23</v>
      </c>
      <c r="I51" s="5">
        <v>1092</v>
      </c>
      <c r="J51" s="4" t="s">
        <v>128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127</v>
      </c>
      <c r="E52" s="4" t="s">
        <v>71</v>
      </c>
      <c r="F52" s="4">
        <v>1000.56</v>
      </c>
      <c r="G52" s="5">
        <v>1000.5647</v>
      </c>
      <c r="H52" s="5"/>
      <c r="I52" s="5">
        <v>362</v>
      </c>
      <c r="J52" s="4" t="s">
        <v>128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127</v>
      </c>
      <c r="E53" s="4" t="s">
        <v>71</v>
      </c>
      <c r="F53" s="4">
        <v>999.471</v>
      </c>
      <c r="G53" s="5">
        <v>100.61930000000001</v>
      </c>
      <c r="H53" s="5">
        <v>22.06</v>
      </c>
      <c r="I53" s="5">
        <v>325</v>
      </c>
      <c r="J53" s="4" t="s">
        <v>128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127</v>
      </c>
      <c r="E54" s="4" t="s">
        <v>71</v>
      </c>
      <c r="F54" s="4">
        <v>1016.7220000000001</v>
      </c>
      <c r="G54" s="5">
        <v>102.1</v>
      </c>
      <c r="H54" s="5">
        <v>20.74</v>
      </c>
      <c r="I54" s="5">
        <v>571</v>
      </c>
      <c r="J54" s="4" t="s">
        <v>128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127</v>
      </c>
      <c r="E55" s="4" t="s">
        <v>71</v>
      </c>
      <c r="F55" s="4">
        <v>987.4190000000001</v>
      </c>
      <c r="G55" s="5">
        <v>99.84190000000001</v>
      </c>
      <c r="H55" s="5">
        <v>22.94</v>
      </c>
      <c r="I55" s="5">
        <v>591</v>
      </c>
      <c r="J55" s="4" t="s">
        <v>128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127</v>
      </c>
      <c r="E56" s="4" t="s">
        <v>71</v>
      </c>
      <c r="F56" s="4">
        <v>989.00900000000001</v>
      </c>
      <c r="G56" s="5">
        <v>101.08840000000001</v>
      </c>
      <c r="H56" s="5">
        <v>18.830000000000002</v>
      </c>
      <c r="I56" s="5">
        <v>321</v>
      </c>
      <c r="J56" s="4" t="s">
        <v>128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127</v>
      </c>
      <c r="E57" s="4" t="s">
        <v>71</v>
      </c>
      <c r="F57" s="4">
        <v>900</v>
      </c>
      <c r="G57" s="5">
        <v>90.175000000000011</v>
      </c>
      <c r="H57" s="5">
        <v>26.53</v>
      </c>
      <c r="I57" s="5">
        <v>911</v>
      </c>
      <c r="J57" s="4" t="s">
        <v>128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127</v>
      </c>
      <c r="E58" s="4" t="s">
        <v>71</v>
      </c>
      <c r="F58" s="4">
        <v>916.71300000000008</v>
      </c>
      <c r="G58" s="5">
        <v>95.621300000000005</v>
      </c>
      <c r="H58" s="5">
        <v>22.39</v>
      </c>
      <c r="I58" s="5">
        <v>925</v>
      </c>
      <c r="J58" s="4" t="s">
        <v>128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127</v>
      </c>
      <c r="E59" s="4" t="s">
        <v>71</v>
      </c>
      <c r="F59" s="4">
        <v>1009.514</v>
      </c>
      <c r="G59" s="5">
        <v>106.70280000000001</v>
      </c>
      <c r="H59" s="5">
        <v>19.740000000000002</v>
      </c>
      <c r="I59" s="5">
        <v>629</v>
      </c>
      <c r="J59" s="4" t="s">
        <v>128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122</v>
      </c>
      <c r="E60" s="4" t="s">
        <v>240</v>
      </c>
      <c r="F60" s="4">
        <v>42528.31</v>
      </c>
      <c r="G60" s="5"/>
      <c r="H60" s="5"/>
      <c r="I60" s="5"/>
      <c r="J60" s="4" t="s">
        <v>124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122</v>
      </c>
      <c r="E61" s="4" t="s">
        <v>240</v>
      </c>
      <c r="F61" s="4">
        <v>27336.43</v>
      </c>
      <c r="G61" s="5"/>
      <c r="H61" s="5"/>
      <c r="I61" s="5"/>
      <c r="J61" s="4" t="s">
        <v>124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127</v>
      </c>
      <c r="E62" s="4" t="s">
        <v>245</v>
      </c>
      <c r="F62" s="4">
        <v>16712.099999999999</v>
      </c>
      <c r="G62" s="5">
        <v>1671.212</v>
      </c>
      <c r="H62" s="5"/>
      <c r="I62" s="5">
        <v>88</v>
      </c>
      <c r="J62" s="4" t="s">
        <v>128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122</v>
      </c>
      <c r="E63" s="4" t="s">
        <v>248</v>
      </c>
      <c r="F63" s="4">
        <v>21407.48</v>
      </c>
      <c r="G63" s="5"/>
      <c r="H63" s="5"/>
      <c r="I63" s="5"/>
      <c r="J63" s="4" t="s">
        <v>124</v>
      </c>
    </row>
    <row r="64" spans="1:10" x14ac:dyDescent="0.25">
      <c r="A64" s="4">
        <f t="shared" ca="1" si="1"/>
        <v>61</v>
      </c>
      <c r="B64" s="4" t="s">
        <v>249</v>
      </c>
      <c r="C64" s="4" t="s">
        <v>250</v>
      </c>
      <c r="D64" s="4" t="s">
        <v>127</v>
      </c>
      <c r="E64" s="4" t="s">
        <v>248</v>
      </c>
      <c r="F64" s="4">
        <v>1.0097289999999999</v>
      </c>
      <c r="G64" s="5">
        <v>101.94340000000001</v>
      </c>
      <c r="H64" s="5">
        <v>5.12</v>
      </c>
      <c r="I64" s="5">
        <v>1578</v>
      </c>
      <c r="J64" s="4" t="s">
        <v>128</v>
      </c>
    </row>
    <row r="65" spans="1:10" x14ac:dyDescent="0.25">
      <c r="A65" s="4">
        <f t="shared" ca="1" si="1"/>
        <v>62</v>
      </c>
      <c r="B65" s="4" t="s">
        <v>251</v>
      </c>
      <c r="C65" s="4" t="s">
        <v>252</v>
      </c>
      <c r="D65" s="4" t="s">
        <v>122</v>
      </c>
      <c r="E65" s="4" t="s">
        <v>253</v>
      </c>
      <c r="F65" s="4">
        <v>3385.46</v>
      </c>
      <c r="G65" s="5"/>
      <c r="H65" s="5"/>
      <c r="I65" s="5"/>
      <c r="J65" s="4" t="s">
        <v>124</v>
      </c>
    </row>
    <row r="66" spans="1:10" x14ac:dyDescent="0.25">
      <c r="A66" s="4">
        <f t="shared" ca="1" si="1"/>
        <v>63</v>
      </c>
      <c r="B66" s="4" t="s">
        <v>254</v>
      </c>
      <c r="C66" s="4" t="s">
        <v>255</v>
      </c>
      <c r="D66" s="4" t="s">
        <v>127</v>
      </c>
      <c r="E66" s="4" t="s">
        <v>256</v>
      </c>
      <c r="F66" s="4">
        <v>0.97434499999999991</v>
      </c>
      <c r="G66" s="5">
        <v>97.773400000000009</v>
      </c>
      <c r="H66" s="5">
        <v>5.19</v>
      </c>
      <c r="I66" s="5">
        <v>304</v>
      </c>
      <c r="J66" s="4" t="s">
        <v>128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127</v>
      </c>
      <c r="E67" s="4" t="s">
        <v>259</v>
      </c>
      <c r="F67" s="4">
        <v>1023.902</v>
      </c>
      <c r="G67" s="5">
        <v>110.14020000000001</v>
      </c>
      <c r="H67" s="5">
        <v>17.09</v>
      </c>
      <c r="I67" s="5">
        <v>1669</v>
      </c>
      <c r="J67" s="4" t="s">
        <v>128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260</v>
      </c>
      <c r="C68" s="4" t="s">
        <v>261</v>
      </c>
      <c r="D68" s="4" t="s">
        <v>122</v>
      </c>
      <c r="E68" s="4" t="s">
        <v>262</v>
      </c>
      <c r="F68" s="4">
        <v>8884.18</v>
      </c>
      <c r="G68" s="5"/>
      <c r="H68" s="5"/>
      <c r="I68" s="5"/>
      <c r="J68" s="4" t="s">
        <v>124</v>
      </c>
    </row>
    <row r="69" spans="1:10" x14ac:dyDescent="0.25">
      <c r="A69" s="4">
        <f t="shared" ca="1" si="2"/>
        <v>66</v>
      </c>
      <c r="B69" s="4" t="s">
        <v>263</v>
      </c>
      <c r="C69" s="4" t="s">
        <v>264</v>
      </c>
      <c r="D69" s="4" t="s">
        <v>122</v>
      </c>
      <c r="E69" s="4" t="s">
        <v>262</v>
      </c>
      <c r="F69" s="4">
        <v>4724.29</v>
      </c>
      <c r="G69" s="5"/>
      <c r="H69" s="5"/>
      <c r="I69" s="5"/>
      <c r="J69" s="4" t="s">
        <v>124</v>
      </c>
    </row>
    <row r="70" spans="1:10" x14ac:dyDescent="0.25">
      <c r="A70" s="4">
        <f t="shared" ca="1" si="2"/>
        <v>67</v>
      </c>
      <c r="B70" s="4" t="s">
        <v>265</v>
      </c>
      <c r="C70" s="4" t="s">
        <v>266</v>
      </c>
      <c r="D70" s="4" t="s">
        <v>127</v>
      </c>
      <c r="E70" s="4" t="s">
        <v>267</v>
      </c>
      <c r="F70" s="4">
        <v>969.30499999999995</v>
      </c>
      <c r="G70" s="5">
        <v>103.393</v>
      </c>
      <c r="H70" s="5">
        <v>18</v>
      </c>
      <c r="I70" s="5">
        <v>954</v>
      </c>
      <c r="J70" s="4" t="s">
        <v>128</v>
      </c>
    </row>
    <row r="71" spans="1:10" x14ac:dyDescent="0.25">
      <c r="A71" s="4">
        <f t="shared" ca="1" si="2"/>
        <v>68</v>
      </c>
      <c r="B71" s="4" t="s">
        <v>268</v>
      </c>
      <c r="C71" s="4" t="s">
        <v>269</v>
      </c>
      <c r="D71" s="4" t="s">
        <v>127</v>
      </c>
      <c r="E71" s="4" t="s">
        <v>267</v>
      </c>
      <c r="F71" s="4">
        <v>982.55200000000002</v>
      </c>
      <c r="G71" s="5">
        <v>104.40600000000001</v>
      </c>
      <c r="H71" s="5">
        <v>19.12</v>
      </c>
      <c r="I71" s="5">
        <v>791</v>
      </c>
      <c r="J71" s="4" t="s">
        <v>128</v>
      </c>
    </row>
    <row r="72" spans="1:10" x14ac:dyDescent="0.25">
      <c r="A72" s="4">
        <f t="shared" ca="1" si="2"/>
        <v>69</v>
      </c>
      <c r="B72" s="4" t="s">
        <v>270</v>
      </c>
      <c r="C72" s="4" t="s">
        <v>271</v>
      </c>
      <c r="D72" s="4" t="s">
        <v>127</v>
      </c>
      <c r="E72" s="4" t="s">
        <v>267</v>
      </c>
      <c r="F72" s="4">
        <v>99.570100000000011</v>
      </c>
      <c r="G72" s="5">
        <v>99.570100000000011</v>
      </c>
      <c r="H72" s="5">
        <v>15.76</v>
      </c>
      <c r="I72" s="5">
        <v>11</v>
      </c>
      <c r="J72" s="4" t="s">
        <v>128</v>
      </c>
    </row>
    <row r="73" spans="1:10" x14ac:dyDescent="0.25">
      <c r="A73" s="4">
        <f t="shared" ca="1" si="2"/>
        <v>70</v>
      </c>
      <c r="B73" s="4" t="s">
        <v>272</v>
      </c>
      <c r="C73" s="4" t="s">
        <v>273</v>
      </c>
      <c r="D73" s="4" t="s">
        <v>127</v>
      </c>
      <c r="E73" s="4" t="s">
        <v>267</v>
      </c>
      <c r="F73" s="4">
        <v>981.21500000000003</v>
      </c>
      <c r="G73" s="5">
        <v>106.459</v>
      </c>
      <c r="H73" s="5">
        <v>17.990000000000002</v>
      </c>
      <c r="I73" s="5">
        <v>1285</v>
      </c>
      <c r="J73" s="4" t="s">
        <v>128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127</v>
      </c>
      <c r="E74" s="4" t="s">
        <v>267</v>
      </c>
      <c r="F74" s="4">
        <v>100.0193</v>
      </c>
      <c r="G74" s="5">
        <v>100.086</v>
      </c>
      <c r="H74" s="5">
        <v>7.99</v>
      </c>
      <c r="I74" s="5">
        <v>728</v>
      </c>
      <c r="J74" s="4" t="s">
        <v>128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127</v>
      </c>
      <c r="E75" s="4" t="s">
        <v>267</v>
      </c>
      <c r="F75" s="4">
        <v>1009.4930000000001</v>
      </c>
      <c r="G75" s="5">
        <v>110.3069</v>
      </c>
      <c r="H75" s="5">
        <v>18.490000000000002</v>
      </c>
      <c r="I75" s="5">
        <v>553</v>
      </c>
      <c r="J75" s="4" t="s">
        <v>128</v>
      </c>
    </row>
    <row r="76" spans="1:10" x14ac:dyDescent="0.25">
      <c r="A76" s="4">
        <f t="shared" ca="1" si="2"/>
        <v>73</v>
      </c>
      <c r="B76" s="4" t="s">
        <v>278</v>
      </c>
      <c r="C76" s="4" t="s">
        <v>279</v>
      </c>
      <c r="D76" s="4" t="s">
        <v>127</v>
      </c>
      <c r="E76" s="4" t="s">
        <v>267</v>
      </c>
      <c r="F76" s="4">
        <v>1025.7630000000001</v>
      </c>
      <c r="G76" s="5">
        <v>111.3305</v>
      </c>
      <c r="H76" s="5">
        <v>18.23</v>
      </c>
      <c r="I76" s="5">
        <v>1659</v>
      </c>
      <c r="J76" s="4" t="s">
        <v>128</v>
      </c>
    </row>
    <row r="77" spans="1:10" x14ac:dyDescent="0.25">
      <c r="A77" s="4">
        <f t="shared" ca="1" si="2"/>
        <v>74</v>
      </c>
      <c r="B77" s="4" t="s">
        <v>280</v>
      </c>
      <c r="C77" s="4" t="s">
        <v>281</v>
      </c>
      <c r="D77" s="4" t="s">
        <v>127</v>
      </c>
      <c r="E77" s="4" t="s">
        <v>66</v>
      </c>
      <c r="F77" s="4">
        <v>1000</v>
      </c>
      <c r="G77" s="5">
        <v>112.43040000000001</v>
      </c>
      <c r="H77" s="5">
        <v>12.47</v>
      </c>
      <c r="I77" s="5">
        <v>1098</v>
      </c>
      <c r="J77" s="4" t="s">
        <v>128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127</v>
      </c>
      <c r="E78" s="4" t="s">
        <v>66</v>
      </c>
      <c r="F78" s="4">
        <v>1000</v>
      </c>
      <c r="G78" s="5">
        <v>104.2243</v>
      </c>
      <c r="H78" s="5">
        <v>12.41</v>
      </c>
      <c r="I78" s="5">
        <v>1338</v>
      </c>
      <c r="J78" s="4" t="s">
        <v>128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127</v>
      </c>
      <c r="E79" s="4" t="s">
        <v>66</v>
      </c>
      <c r="F79" s="4">
        <v>1000</v>
      </c>
      <c r="G79" s="5">
        <v>107.30590000000001</v>
      </c>
      <c r="H79" s="5">
        <v>12.01</v>
      </c>
      <c r="I79" s="5">
        <v>151</v>
      </c>
      <c r="J79" s="4" t="s">
        <v>128</v>
      </c>
    </row>
    <row r="80" spans="1:10" x14ac:dyDescent="0.25">
      <c r="A80" s="4">
        <f t="shared" ca="1" si="2"/>
        <v>77</v>
      </c>
      <c r="B80" s="4" t="s">
        <v>286</v>
      </c>
      <c r="C80" s="4" t="s">
        <v>287</v>
      </c>
      <c r="D80" s="4" t="s">
        <v>127</v>
      </c>
      <c r="E80" s="4" t="s">
        <v>66</v>
      </c>
      <c r="F80" s="4">
        <v>1000</v>
      </c>
      <c r="G80" s="5">
        <v>105.15910000000001</v>
      </c>
      <c r="H80" s="5">
        <v>12.14</v>
      </c>
      <c r="I80" s="5">
        <v>214</v>
      </c>
      <c r="J80" s="4" t="s">
        <v>128</v>
      </c>
    </row>
    <row r="81" spans="1:10" x14ac:dyDescent="0.25">
      <c r="A81" s="4">
        <f t="shared" ca="1" si="2"/>
        <v>78</v>
      </c>
      <c r="B81" s="4" t="s">
        <v>288</v>
      </c>
      <c r="C81" s="4" t="s">
        <v>289</v>
      </c>
      <c r="D81" s="4" t="s">
        <v>127</v>
      </c>
      <c r="E81" s="4" t="s">
        <v>66</v>
      </c>
      <c r="F81" s="4">
        <v>1000</v>
      </c>
      <c r="G81" s="5">
        <v>108.31</v>
      </c>
      <c r="H81" s="5">
        <v>12.33</v>
      </c>
      <c r="I81" s="5">
        <v>487</v>
      </c>
      <c r="J81" s="4" t="s">
        <v>128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127</v>
      </c>
      <c r="E82" s="4" t="s">
        <v>66</v>
      </c>
      <c r="F82" s="4">
        <v>1000</v>
      </c>
      <c r="G82" s="5">
        <v>106.2325</v>
      </c>
      <c r="H82" s="5">
        <v>12.33</v>
      </c>
      <c r="I82" s="5">
        <v>548</v>
      </c>
      <c r="J82" s="4" t="s">
        <v>128</v>
      </c>
    </row>
    <row r="83" spans="1:10" x14ac:dyDescent="0.25">
      <c r="A83" s="4">
        <f t="shared" ca="1" si="2"/>
        <v>80</v>
      </c>
      <c r="B83" s="4" t="s">
        <v>292</v>
      </c>
      <c r="C83" s="4" t="s">
        <v>293</v>
      </c>
      <c r="D83" s="4" t="s">
        <v>127</v>
      </c>
      <c r="E83" s="4" t="s">
        <v>66</v>
      </c>
      <c r="F83" s="4">
        <v>1000</v>
      </c>
      <c r="G83" s="5">
        <v>101.1426</v>
      </c>
      <c r="H83" s="5">
        <v>12.43</v>
      </c>
      <c r="I83" s="5">
        <v>698</v>
      </c>
      <c r="J83" s="4" t="s">
        <v>128</v>
      </c>
    </row>
    <row r="84" spans="1:10" x14ac:dyDescent="0.25">
      <c r="A84" s="4">
        <f t="shared" ca="1" si="2"/>
        <v>81</v>
      </c>
      <c r="B84" s="4" t="s">
        <v>294</v>
      </c>
      <c r="C84" s="4" t="s">
        <v>295</v>
      </c>
      <c r="D84" s="4" t="s">
        <v>127</v>
      </c>
      <c r="E84" s="4" t="s">
        <v>66</v>
      </c>
      <c r="F84" s="4">
        <v>1000</v>
      </c>
      <c r="G84" s="5">
        <v>104.2243</v>
      </c>
      <c r="H84" s="5">
        <v>12.39</v>
      </c>
      <c r="I84" s="5">
        <v>973</v>
      </c>
      <c r="J84" s="4" t="s">
        <v>128</v>
      </c>
    </row>
    <row r="85" spans="1:10" x14ac:dyDescent="0.25">
      <c r="A85" s="4">
        <f t="shared" ca="1" si="2"/>
        <v>82</v>
      </c>
      <c r="B85" s="4" t="s">
        <v>296</v>
      </c>
      <c r="C85" s="4" t="s">
        <v>297</v>
      </c>
      <c r="D85" s="4" t="s">
        <v>127</v>
      </c>
      <c r="E85" s="4" t="s">
        <v>66</v>
      </c>
      <c r="F85" s="4">
        <v>1000</v>
      </c>
      <c r="G85" s="5">
        <v>111.46090000000001</v>
      </c>
      <c r="H85" s="5">
        <v>12.45</v>
      </c>
      <c r="I85" s="5">
        <v>1492</v>
      </c>
      <c r="J85" s="4" t="s">
        <v>128</v>
      </c>
    </row>
    <row r="86" spans="1:10" x14ac:dyDescent="0.25">
      <c r="A86" s="4">
        <f t="shared" ca="1" si="2"/>
        <v>83</v>
      </c>
      <c r="B86" s="4" t="s">
        <v>298</v>
      </c>
      <c r="C86" s="4" t="s">
        <v>299</v>
      </c>
      <c r="D86" s="4" t="s">
        <v>127</v>
      </c>
      <c r="E86" s="4" t="s">
        <v>66</v>
      </c>
      <c r="F86" s="4">
        <v>906.721</v>
      </c>
      <c r="G86" s="5">
        <v>91.1721</v>
      </c>
      <c r="H86" s="5">
        <v>16.990000000000002</v>
      </c>
      <c r="I86" s="5">
        <v>330</v>
      </c>
      <c r="J86" s="4" t="s">
        <v>128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127</v>
      </c>
      <c r="E87" s="4" t="s">
        <v>66</v>
      </c>
      <c r="F87" s="4">
        <v>1000</v>
      </c>
      <c r="G87" s="5">
        <v>106.2325</v>
      </c>
      <c r="H87" s="5">
        <v>12.4</v>
      </c>
      <c r="I87" s="5">
        <v>1279</v>
      </c>
      <c r="J87" s="4" t="s">
        <v>128</v>
      </c>
    </row>
    <row r="88" spans="1:10" x14ac:dyDescent="0.25">
      <c r="A88" s="4">
        <f t="shared" ca="1" si="2"/>
        <v>85</v>
      </c>
      <c r="B88" s="4" t="s">
        <v>302</v>
      </c>
      <c r="C88" s="4" t="s">
        <v>106</v>
      </c>
      <c r="D88" s="4" t="s">
        <v>127</v>
      </c>
      <c r="E88" s="4" t="s">
        <v>66</v>
      </c>
      <c r="F88" s="4">
        <v>880.90600000000006</v>
      </c>
      <c r="G88" s="5">
        <v>92.238600000000005</v>
      </c>
      <c r="H88" s="5">
        <v>16.8</v>
      </c>
      <c r="I88" s="5">
        <v>454</v>
      </c>
      <c r="J88" s="4" t="s">
        <v>128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127</v>
      </c>
      <c r="E89" s="4" t="s">
        <v>66</v>
      </c>
      <c r="F89" s="4">
        <v>842.76800000000003</v>
      </c>
      <c r="G89" s="5">
        <v>85.817100000000011</v>
      </c>
      <c r="H89" s="5">
        <v>16.690000000000001</v>
      </c>
      <c r="I89" s="5">
        <v>629</v>
      </c>
      <c r="J89" s="4" t="s">
        <v>128</v>
      </c>
    </row>
    <row r="90" spans="1:10" x14ac:dyDescent="0.25">
      <c r="A90" s="4">
        <f t="shared" ca="1" si="2"/>
        <v>87</v>
      </c>
      <c r="B90" s="4" t="s">
        <v>305</v>
      </c>
      <c r="C90" s="4" t="s">
        <v>306</v>
      </c>
      <c r="D90" s="4" t="s">
        <v>127</v>
      </c>
      <c r="E90" s="4" t="s">
        <v>66</v>
      </c>
      <c r="F90" s="4">
        <v>850.47400000000005</v>
      </c>
      <c r="G90" s="5">
        <v>86.221000000000004</v>
      </c>
      <c r="H90" s="5">
        <v>16.64</v>
      </c>
      <c r="I90" s="5">
        <v>665</v>
      </c>
      <c r="J90" s="4" t="s">
        <v>128</v>
      </c>
    </row>
    <row r="91" spans="1:10" x14ac:dyDescent="0.25">
      <c r="A91" s="4">
        <f t="shared" ca="1" si="2"/>
        <v>88</v>
      </c>
      <c r="B91" s="4" t="s">
        <v>307</v>
      </c>
      <c r="C91" s="4" t="s">
        <v>308</v>
      </c>
      <c r="D91" s="4" t="s">
        <v>127</v>
      </c>
      <c r="E91" s="4" t="s">
        <v>66</v>
      </c>
      <c r="F91" s="4">
        <v>1000</v>
      </c>
      <c r="G91" s="5">
        <v>105.19380000000001</v>
      </c>
      <c r="H91" s="5">
        <v>12.34</v>
      </c>
      <c r="I91" s="5">
        <v>578</v>
      </c>
      <c r="J91" s="4" t="s">
        <v>128</v>
      </c>
    </row>
    <row r="92" spans="1:10" x14ac:dyDescent="0.25">
      <c r="A92" s="4">
        <f t="shared" ca="1" si="2"/>
        <v>89</v>
      </c>
      <c r="B92" s="4" t="s">
        <v>309</v>
      </c>
      <c r="C92" s="4" t="s">
        <v>310</v>
      </c>
      <c r="D92" s="4" t="s">
        <v>127</v>
      </c>
      <c r="E92" s="4" t="s">
        <v>66</v>
      </c>
      <c r="F92" s="4">
        <v>1000</v>
      </c>
      <c r="G92" s="5">
        <v>110.63690000000001</v>
      </c>
      <c r="H92" s="5">
        <v>12.52</v>
      </c>
      <c r="I92" s="5">
        <v>1519</v>
      </c>
      <c r="J92" s="4" t="s">
        <v>128</v>
      </c>
    </row>
    <row r="93" spans="1:10" x14ac:dyDescent="0.25">
      <c r="A93" s="4">
        <f t="shared" ca="1" si="2"/>
        <v>90</v>
      </c>
      <c r="B93" s="4" t="s">
        <v>311</v>
      </c>
      <c r="C93" s="4" t="s">
        <v>98</v>
      </c>
      <c r="D93" s="4" t="s">
        <v>127</v>
      </c>
      <c r="E93" s="4" t="s">
        <v>66</v>
      </c>
      <c r="F93" s="4">
        <v>663.10800000000006</v>
      </c>
      <c r="G93" s="5">
        <v>71.3994</v>
      </c>
      <c r="H93" s="5">
        <v>15.49</v>
      </c>
      <c r="I93" s="5">
        <v>3057</v>
      </c>
      <c r="J93" s="4" t="s">
        <v>128</v>
      </c>
    </row>
    <row r="94" spans="1:10" x14ac:dyDescent="0.25">
      <c r="A94" s="4">
        <f t="shared" ca="1" si="2"/>
        <v>91</v>
      </c>
      <c r="B94" s="4" t="s">
        <v>312</v>
      </c>
      <c r="C94" s="4" t="s">
        <v>313</v>
      </c>
      <c r="D94" s="4" t="s">
        <v>127</v>
      </c>
      <c r="E94" s="4" t="s">
        <v>66</v>
      </c>
      <c r="F94" s="4">
        <v>885.35</v>
      </c>
      <c r="G94" s="5">
        <v>92.456800000000001</v>
      </c>
      <c r="H94" s="5">
        <v>16.760000000000002</v>
      </c>
      <c r="I94" s="5">
        <v>539</v>
      </c>
      <c r="J94" s="4" t="s">
        <v>128</v>
      </c>
    </row>
    <row r="95" spans="1:10" x14ac:dyDescent="0.25">
      <c r="A95" s="4">
        <f t="shared" ca="1" si="2"/>
        <v>92</v>
      </c>
      <c r="B95" s="4" t="s">
        <v>314</v>
      </c>
      <c r="C95" s="4" t="s">
        <v>315</v>
      </c>
      <c r="D95" s="4" t="s">
        <v>127</v>
      </c>
      <c r="E95" s="4" t="s">
        <v>66</v>
      </c>
      <c r="F95" s="4">
        <v>594.16200000000003</v>
      </c>
      <c r="G95" s="5">
        <v>61.650800000000004</v>
      </c>
      <c r="H95" s="5">
        <v>15.31</v>
      </c>
      <c r="I95" s="5">
        <v>6847</v>
      </c>
      <c r="J95" s="4" t="s">
        <v>128</v>
      </c>
    </row>
    <row r="96" spans="1:10" x14ac:dyDescent="0.25">
      <c r="A96" s="4">
        <f t="shared" ca="1" si="2"/>
        <v>93</v>
      </c>
      <c r="B96" s="4" t="s">
        <v>316</v>
      </c>
      <c r="C96" s="4" t="s">
        <v>317</v>
      </c>
      <c r="D96" s="4" t="s">
        <v>127</v>
      </c>
      <c r="E96" s="4" t="s">
        <v>66</v>
      </c>
      <c r="F96" s="4">
        <v>1000</v>
      </c>
      <c r="G96" s="5">
        <v>103.08160000000001</v>
      </c>
      <c r="H96" s="5">
        <v>12.27</v>
      </c>
      <c r="I96" s="5">
        <v>276</v>
      </c>
      <c r="J96" s="4" t="s">
        <v>128</v>
      </c>
    </row>
    <row r="97" spans="1:10" x14ac:dyDescent="0.25">
      <c r="A97" s="4">
        <f t="shared" ca="1" si="2"/>
        <v>94</v>
      </c>
      <c r="B97" s="4" t="s">
        <v>318</v>
      </c>
      <c r="C97" s="4" t="s">
        <v>319</v>
      </c>
      <c r="D97" s="4" t="s">
        <v>127</v>
      </c>
      <c r="E97" s="4" t="s">
        <v>66</v>
      </c>
      <c r="F97" s="4">
        <v>1000</v>
      </c>
      <c r="G97" s="5">
        <v>106.2671</v>
      </c>
      <c r="H97" s="5">
        <v>12.4</v>
      </c>
      <c r="I97" s="5">
        <v>1278</v>
      </c>
      <c r="J97" s="4" t="s">
        <v>128</v>
      </c>
    </row>
    <row r="98" spans="1:10" x14ac:dyDescent="0.25">
      <c r="A98" s="4">
        <f t="shared" ca="1" si="2"/>
        <v>95</v>
      </c>
      <c r="B98" s="4" t="s">
        <v>320</v>
      </c>
      <c r="C98" s="4" t="s">
        <v>321</v>
      </c>
      <c r="D98" s="4" t="s">
        <v>127</v>
      </c>
      <c r="E98" s="4" t="s">
        <v>66</v>
      </c>
      <c r="F98" s="4">
        <v>1000</v>
      </c>
      <c r="G98" s="5">
        <v>107.23660000000001</v>
      </c>
      <c r="H98" s="5">
        <v>12.41</v>
      </c>
      <c r="I98" s="5">
        <v>1614</v>
      </c>
      <c r="J98" s="4" t="s">
        <v>128</v>
      </c>
    </row>
    <row r="99" spans="1:10" x14ac:dyDescent="0.25">
      <c r="A99" s="4">
        <f t="shared" ca="1" si="2"/>
        <v>96</v>
      </c>
      <c r="B99" s="4" t="s">
        <v>322</v>
      </c>
      <c r="C99" s="4" t="s">
        <v>323</v>
      </c>
      <c r="D99" s="4" t="s">
        <v>127</v>
      </c>
      <c r="E99" s="4" t="s">
        <v>66</v>
      </c>
      <c r="F99" s="4">
        <v>1000</v>
      </c>
      <c r="G99" s="5">
        <v>104.1896</v>
      </c>
      <c r="H99" s="5">
        <v>12.2</v>
      </c>
      <c r="I99" s="5">
        <v>243</v>
      </c>
      <c r="J99" s="4" t="s">
        <v>128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80</v>
      </c>
      <c r="D100" s="4" t="s">
        <v>127</v>
      </c>
      <c r="E100" s="4" t="s">
        <v>66</v>
      </c>
      <c r="F100" s="4">
        <v>650.97400000000005</v>
      </c>
      <c r="G100" s="5">
        <v>72.494900000000001</v>
      </c>
      <c r="H100" s="5">
        <v>15.46</v>
      </c>
      <c r="I100" s="5">
        <v>3319</v>
      </c>
      <c r="J100" s="4" t="s">
        <v>128</v>
      </c>
    </row>
    <row r="101" spans="1:10" x14ac:dyDescent="0.25">
      <c r="A101" s="4">
        <f t="shared" ca="1" si="3"/>
        <v>98</v>
      </c>
      <c r="B101" s="4" t="s">
        <v>325</v>
      </c>
      <c r="C101" s="4" t="s">
        <v>326</v>
      </c>
      <c r="D101" s="4" t="s">
        <v>127</v>
      </c>
      <c r="E101" s="4" t="s">
        <v>66</v>
      </c>
      <c r="F101" s="4">
        <v>920.54700000000003</v>
      </c>
      <c r="G101" s="5">
        <v>99.3797</v>
      </c>
      <c r="H101" s="5">
        <v>16.830000000000002</v>
      </c>
      <c r="I101" s="5">
        <v>433</v>
      </c>
      <c r="J101" s="4" t="s">
        <v>128</v>
      </c>
    </row>
    <row r="102" spans="1:10" x14ac:dyDescent="0.25">
      <c r="A102" s="4">
        <f t="shared" ca="1" si="3"/>
        <v>99</v>
      </c>
      <c r="B102" s="4" t="s">
        <v>327</v>
      </c>
      <c r="C102" s="4" t="s">
        <v>328</v>
      </c>
      <c r="D102" s="4" t="s">
        <v>127</v>
      </c>
      <c r="E102" s="4" t="s">
        <v>66</v>
      </c>
      <c r="F102" s="4">
        <v>901.85599999999999</v>
      </c>
      <c r="G102" s="5">
        <v>94.585599999999999</v>
      </c>
      <c r="H102" s="5">
        <v>16.740000000000002</v>
      </c>
      <c r="I102" s="5">
        <v>552</v>
      </c>
      <c r="J102" s="4" t="s">
        <v>128</v>
      </c>
    </row>
    <row r="103" spans="1:10" x14ac:dyDescent="0.25">
      <c r="A103" s="4">
        <f t="shared" ca="1" si="3"/>
        <v>100</v>
      </c>
      <c r="B103" s="4" t="s">
        <v>329</v>
      </c>
      <c r="C103" s="4" t="s">
        <v>330</v>
      </c>
      <c r="D103" s="4" t="s">
        <v>127</v>
      </c>
      <c r="E103" s="4" t="s">
        <v>66</v>
      </c>
      <c r="F103" s="4">
        <v>647.63200000000006</v>
      </c>
      <c r="G103" s="5">
        <v>68.27300000000001</v>
      </c>
      <c r="H103" s="5">
        <v>15.41</v>
      </c>
      <c r="I103" s="5">
        <v>3867</v>
      </c>
      <c r="J103" s="4" t="s">
        <v>128</v>
      </c>
    </row>
    <row r="104" spans="1:10" x14ac:dyDescent="0.25">
      <c r="A104" s="4">
        <f t="shared" ca="1" si="3"/>
        <v>101</v>
      </c>
      <c r="B104" s="4" t="s">
        <v>331</v>
      </c>
      <c r="C104" s="4" t="s">
        <v>332</v>
      </c>
      <c r="D104" s="4" t="s">
        <v>127</v>
      </c>
      <c r="E104" s="4" t="s">
        <v>66</v>
      </c>
      <c r="F104" s="4">
        <v>709.94400000000007</v>
      </c>
      <c r="G104" s="5">
        <v>77.369100000000003</v>
      </c>
      <c r="H104" s="5">
        <v>15.58</v>
      </c>
      <c r="I104" s="5">
        <v>2654</v>
      </c>
      <c r="J104" s="4" t="s">
        <v>128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127</v>
      </c>
      <c r="E105" s="4" t="s">
        <v>66</v>
      </c>
      <c r="F105" s="4">
        <v>700.548</v>
      </c>
      <c r="G105" s="5">
        <v>75.835800000000006</v>
      </c>
      <c r="H105" s="5">
        <v>15.57</v>
      </c>
      <c r="I105" s="5">
        <v>2673</v>
      </c>
      <c r="J105" s="4" t="s">
        <v>128</v>
      </c>
    </row>
    <row r="106" spans="1:10" x14ac:dyDescent="0.25">
      <c r="A106" s="4">
        <f t="shared" ca="1" si="3"/>
        <v>103</v>
      </c>
      <c r="B106" s="4" t="s">
        <v>335</v>
      </c>
      <c r="C106" s="4" t="s">
        <v>115</v>
      </c>
      <c r="D106" s="4" t="s">
        <v>127</v>
      </c>
      <c r="E106" s="4" t="s">
        <v>66</v>
      </c>
      <c r="F106" s="4">
        <v>722.58699999999999</v>
      </c>
      <c r="G106" s="5">
        <v>78.197200000000009</v>
      </c>
      <c r="H106" s="5">
        <v>15.66</v>
      </c>
      <c r="I106" s="5">
        <v>2301</v>
      </c>
      <c r="J106" s="4" t="s">
        <v>128</v>
      </c>
    </row>
    <row r="107" spans="1:10" x14ac:dyDescent="0.25">
      <c r="A107" s="4">
        <f t="shared" ca="1" si="3"/>
        <v>104</v>
      </c>
      <c r="B107" s="4" t="s">
        <v>336</v>
      </c>
      <c r="C107" s="4" t="s">
        <v>337</v>
      </c>
      <c r="D107" s="4" t="s">
        <v>127</v>
      </c>
      <c r="E107" s="4" t="s">
        <v>66</v>
      </c>
      <c r="F107" s="4">
        <v>745.98</v>
      </c>
      <c r="G107" s="5">
        <v>79.966800000000006</v>
      </c>
      <c r="H107" s="5">
        <v>15.76</v>
      </c>
      <c r="I107" s="5">
        <v>1959</v>
      </c>
      <c r="J107" s="4" t="s">
        <v>128</v>
      </c>
    </row>
    <row r="108" spans="1:10" x14ac:dyDescent="0.25">
      <c r="A108" s="4">
        <f t="shared" ca="1" si="3"/>
        <v>105</v>
      </c>
      <c r="B108" s="4" t="s">
        <v>338</v>
      </c>
      <c r="C108" s="4" t="s">
        <v>339</v>
      </c>
      <c r="D108" s="4" t="s">
        <v>127</v>
      </c>
      <c r="E108" s="4" t="s">
        <v>66</v>
      </c>
      <c r="F108" s="4">
        <v>652.53700000000003</v>
      </c>
      <c r="G108" s="5">
        <v>72.938699999999997</v>
      </c>
      <c r="H108" s="5">
        <v>15.41</v>
      </c>
      <c r="I108" s="5">
        <v>4063</v>
      </c>
      <c r="J108" s="4" t="s">
        <v>128</v>
      </c>
    </row>
    <row r="109" spans="1:10" x14ac:dyDescent="0.25">
      <c r="A109" s="4">
        <f t="shared" ca="1" si="3"/>
        <v>106</v>
      </c>
      <c r="B109" s="4" t="s">
        <v>340</v>
      </c>
      <c r="C109" s="4" t="s">
        <v>341</v>
      </c>
      <c r="D109" s="4" t="s">
        <v>127</v>
      </c>
      <c r="E109" s="4" t="s">
        <v>66</v>
      </c>
      <c r="F109" s="4">
        <v>1000</v>
      </c>
      <c r="G109" s="5">
        <v>107.30590000000001</v>
      </c>
      <c r="H109" s="5">
        <v>12.01</v>
      </c>
      <c r="I109" s="5">
        <v>151</v>
      </c>
      <c r="J109" s="4" t="s">
        <v>128</v>
      </c>
    </row>
    <row r="110" spans="1:10" x14ac:dyDescent="0.25">
      <c r="A110" s="4">
        <f t="shared" ca="1" si="3"/>
        <v>107</v>
      </c>
      <c r="B110" s="4" t="s">
        <v>342</v>
      </c>
      <c r="C110" s="4" t="s">
        <v>103</v>
      </c>
      <c r="D110" s="4" t="s">
        <v>127</v>
      </c>
      <c r="E110" s="4" t="s">
        <v>66</v>
      </c>
      <c r="F110" s="4">
        <v>780.51300000000003</v>
      </c>
      <c r="G110" s="5">
        <v>80.952600000000004</v>
      </c>
      <c r="H110" s="5">
        <v>16.09</v>
      </c>
      <c r="I110" s="5">
        <v>1324</v>
      </c>
      <c r="J110" s="4" t="s">
        <v>128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127</v>
      </c>
      <c r="E111" s="4" t="s">
        <v>66</v>
      </c>
      <c r="F111" s="4">
        <v>762.62700000000007</v>
      </c>
      <c r="G111" s="5">
        <v>83.195999999999998</v>
      </c>
      <c r="H111" s="5">
        <v>16</v>
      </c>
      <c r="I111" s="5">
        <v>1499</v>
      </c>
      <c r="J111" s="4" t="s">
        <v>128</v>
      </c>
    </row>
    <row r="112" spans="1:10" x14ac:dyDescent="0.25">
      <c r="A112" s="4">
        <f t="shared" ca="1" si="3"/>
        <v>109</v>
      </c>
      <c r="B112" s="4" t="s">
        <v>345</v>
      </c>
      <c r="C112" s="4" t="s">
        <v>346</v>
      </c>
      <c r="D112" s="4" t="s">
        <v>127</v>
      </c>
      <c r="E112" s="4" t="s">
        <v>66</v>
      </c>
      <c r="F112" s="4">
        <v>590.85599999999999</v>
      </c>
      <c r="G112" s="5">
        <v>59.283100000000005</v>
      </c>
      <c r="H112" s="5">
        <v>15.34</v>
      </c>
      <c r="I112" s="5">
        <v>4740</v>
      </c>
      <c r="J112" s="4" t="s">
        <v>128</v>
      </c>
    </row>
    <row r="113" spans="1:10" x14ac:dyDescent="0.25">
      <c r="A113" s="4">
        <f t="shared" ca="1" si="3"/>
        <v>110</v>
      </c>
      <c r="B113" s="4" t="s">
        <v>347</v>
      </c>
      <c r="C113" s="4" t="s">
        <v>112</v>
      </c>
      <c r="D113" s="4" t="s">
        <v>127</v>
      </c>
      <c r="E113" s="4" t="s">
        <v>66</v>
      </c>
      <c r="F113" s="4">
        <v>934.65100000000007</v>
      </c>
      <c r="G113" s="5">
        <v>95.466500000000011</v>
      </c>
      <c r="H113" s="5">
        <v>17.010000000000002</v>
      </c>
      <c r="I113" s="5">
        <v>233</v>
      </c>
      <c r="J113" s="4" t="s">
        <v>128</v>
      </c>
    </row>
    <row r="114" spans="1:10" x14ac:dyDescent="0.25">
      <c r="A114" s="4">
        <f t="shared" ca="1" si="3"/>
        <v>111</v>
      </c>
      <c r="B114" s="4" t="s">
        <v>348</v>
      </c>
      <c r="C114" s="4" t="s">
        <v>117</v>
      </c>
      <c r="D114" s="4" t="s">
        <v>127</v>
      </c>
      <c r="E114" s="4" t="s">
        <v>66</v>
      </c>
      <c r="F114" s="4">
        <v>833.99200000000008</v>
      </c>
      <c r="G114" s="5">
        <v>84.4298</v>
      </c>
      <c r="H114" s="5">
        <v>16.64</v>
      </c>
      <c r="I114" s="5">
        <v>660</v>
      </c>
      <c r="J114" s="4" t="s">
        <v>128</v>
      </c>
    </row>
    <row r="115" spans="1:10" x14ac:dyDescent="0.25">
      <c r="A115" s="4">
        <f t="shared" ca="1" si="3"/>
        <v>112</v>
      </c>
      <c r="B115" s="4" t="s">
        <v>349</v>
      </c>
      <c r="C115" s="4" t="s">
        <v>350</v>
      </c>
      <c r="D115" s="4" t="s">
        <v>127</v>
      </c>
      <c r="E115" s="4" t="s">
        <v>66</v>
      </c>
      <c r="F115" s="4">
        <v>774.96400000000006</v>
      </c>
      <c r="G115" s="5">
        <v>79.008899999999997</v>
      </c>
      <c r="H115" s="5">
        <v>16.34</v>
      </c>
      <c r="I115" s="5">
        <v>997</v>
      </c>
      <c r="J115" s="4" t="s">
        <v>128</v>
      </c>
    </row>
    <row r="116" spans="1:10" x14ac:dyDescent="0.25">
      <c r="A116" s="4">
        <f t="shared" ca="1" si="3"/>
        <v>113</v>
      </c>
      <c r="B116" s="4" t="s">
        <v>351</v>
      </c>
      <c r="C116" s="4" t="s">
        <v>352</v>
      </c>
      <c r="D116" s="4" t="s">
        <v>127</v>
      </c>
      <c r="E116" s="4" t="s">
        <v>66</v>
      </c>
      <c r="F116" s="4">
        <v>608.63900000000001</v>
      </c>
      <c r="G116" s="5">
        <v>64.4358</v>
      </c>
      <c r="H116" s="5">
        <v>15.34</v>
      </c>
      <c r="I116" s="5">
        <v>4957</v>
      </c>
      <c r="J116" s="4" t="s">
        <v>128</v>
      </c>
    </row>
    <row r="117" spans="1:10" x14ac:dyDescent="0.25">
      <c r="A117" s="4">
        <f t="shared" ca="1" si="3"/>
        <v>114</v>
      </c>
      <c r="B117" s="4" t="s">
        <v>353</v>
      </c>
      <c r="C117" s="4" t="s">
        <v>354</v>
      </c>
      <c r="D117" s="4" t="s">
        <v>127</v>
      </c>
      <c r="E117" s="4" t="s">
        <v>66</v>
      </c>
      <c r="F117" s="4">
        <v>605.01400000000001</v>
      </c>
      <c r="G117" s="5">
        <v>67.546199999999999</v>
      </c>
      <c r="H117" s="5">
        <v>15.34</v>
      </c>
      <c r="I117" s="5">
        <v>5173</v>
      </c>
      <c r="J117" s="4" t="s">
        <v>128</v>
      </c>
    </row>
    <row r="118" spans="1:10" x14ac:dyDescent="0.25">
      <c r="A118" s="4">
        <f t="shared" ca="1" si="3"/>
        <v>115</v>
      </c>
      <c r="B118" s="4" t="s">
        <v>355</v>
      </c>
      <c r="C118" s="4" t="s">
        <v>108</v>
      </c>
      <c r="D118" s="4" t="s">
        <v>127</v>
      </c>
      <c r="E118" s="4" t="s">
        <v>66</v>
      </c>
      <c r="F118" s="4">
        <v>874.46300000000008</v>
      </c>
      <c r="G118" s="5">
        <v>95.665700000000001</v>
      </c>
      <c r="H118" s="5">
        <v>16.2</v>
      </c>
      <c r="I118" s="5">
        <v>1189</v>
      </c>
      <c r="J118" s="4" t="s">
        <v>128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127</v>
      </c>
      <c r="E119" s="4" t="s">
        <v>66</v>
      </c>
      <c r="F119" s="4">
        <v>962.41800000000001</v>
      </c>
      <c r="G119" s="5">
        <v>100.69070000000001</v>
      </c>
      <c r="H119" s="5">
        <v>16.990000000000002</v>
      </c>
      <c r="I119" s="5">
        <v>187</v>
      </c>
      <c r="J119" s="4" t="s">
        <v>128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127</v>
      </c>
      <c r="E120" s="4" t="s">
        <v>66</v>
      </c>
      <c r="F120" s="4">
        <v>1000</v>
      </c>
      <c r="G120" s="5">
        <v>100.55800000000001</v>
      </c>
      <c r="H120" s="5">
        <v>12.54</v>
      </c>
      <c r="I120" s="5">
        <v>1081</v>
      </c>
      <c r="J120" s="4" t="s">
        <v>128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127</v>
      </c>
      <c r="E121" s="4" t="s">
        <v>66</v>
      </c>
      <c r="F121" s="4">
        <v>1000</v>
      </c>
      <c r="G121" s="5">
        <v>109.34880000000001</v>
      </c>
      <c r="H121" s="5">
        <v>11.9</v>
      </c>
      <c r="I121" s="5">
        <v>91</v>
      </c>
      <c r="J121" s="4" t="s">
        <v>128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127</v>
      </c>
      <c r="E122" s="4" t="s">
        <v>66</v>
      </c>
      <c r="F122" s="4">
        <v>1000</v>
      </c>
      <c r="G122" s="5">
        <v>110.4221</v>
      </c>
      <c r="H122" s="5">
        <v>12.42</v>
      </c>
      <c r="I122" s="5">
        <v>1158</v>
      </c>
      <c r="J122" s="4" t="s">
        <v>128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127</v>
      </c>
      <c r="E123" s="4" t="s">
        <v>66</v>
      </c>
      <c r="F123" s="4">
        <v>874.25200000000007</v>
      </c>
      <c r="G123" s="5">
        <v>89.228400000000008</v>
      </c>
      <c r="H123" s="5">
        <v>16.32</v>
      </c>
      <c r="I123" s="5">
        <v>1034</v>
      </c>
      <c r="J123" s="4" t="s">
        <v>128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127</v>
      </c>
      <c r="E124" s="4" t="s">
        <v>66</v>
      </c>
      <c r="F124" s="4">
        <v>1000</v>
      </c>
      <c r="G124" s="5">
        <v>110.52600000000001</v>
      </c>
      <c r="H124" s="5">
        <v>12.41</v>
      </c>
      <c r="I124" s="5">
        <v>789</v>
      </c>
      <c r="J124" s="4" t="s">
        <v>128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127</v>
      </c>
      <c r="E125" s="4" t="s">
        <v>66</v>
      </c>
      <c r="F125" s="4">
        <v>610.245</v>
      </c>
      <c r="G125" s="5">
        <v>64.767600000000002</v>
      </c>
      <c r="H125" s="5">
        <v>15.62</v>
      </c>
      <c r="I125" s="5">
        <v>2309</v>
      </c>
      <c r="J125" s="4" t="s">
        <v>128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127</v>
      </c>
      <c r="E126" s="4" t="s">
        <v>66</v>
      </c>
      <c r="F126" s="4">
        <v>800.13800000000003</v>
      </c>
      <c r="G126" s="5">
        <v>80.394900000000007</v>
      </c>
      <c r="H126" s="5">
        <v>16.27</v>
      </c>
      <c r="I126" s="5">
        <v>1078</v>
      </c>
      <c r="J126" s="4" t="s">
        <v>128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127</v>
      </c>
      <c r="E127" s="4" t="s">
        <v>66</v>
      </c>
      <c r="F127" s="4">
        <v>793.02300000000002</v>
      </c>
      <c r="G127" s="5">
        <v>82.78840000000001</v>
      </c>
      <c r="H127" s="5">
        <v>16.47</v>
      </c>
      <c r="I127" s="5">
        <v>842</v>
      </c>
      <c r="J127" s="4" t="s">
        <v>128</v>
      </c>
    </row>
    <row r="128" spans="1:10" x14ac:dyDescent="0.25">
      <c r="A128" s="4">
        <f t="shared" ca="1" si="3"/>
        <v>125</v>
      </c>
      <c r="B128" s="4" t="s">
        <v>374</v>
      </c>
      <c r="C128" s="4" t="s">
        <v>90</v>
      </c>
      <c r="D128" s="4" t="s">
        <v>127</v>
      </c>
      <c r="E128" s="4" t="s">
        <v>66</v>
      </c>
      <c r="F128" s="4">
        <v>801.46600000000001</v>
      </c>
      <c r="G128" s="5">
        <v>84.672800000000009</v>
      </c>
      <c r="H128" s="5">
        <v>15.65</v>
      </c>
      <c r="I128" s="5">
        <v>2402</v>
      </c>
      <c r="J128" s="4" t="s">
        <v>128</v>
      </c>
    </row>
    <row r="129" spans="1:10" x14ac:dyDescent="0.25">
      <c r="A129" s="4">
        <f t="shared" ca="1" si="3"/>
        <v>126</v>
      </c>
      <c r="B129" s="4" t="s">
        <v>375</v>
      </c>
      <c r="C129" s="4" t="s">
        <v>88</v>
      </c>
      <c r="D129" s="4" t="s">
        <v>127</v>
      </c>
      <c r="E129" s="4" t="s">
        <v>66</v>
      </c>
      <c r="F129" s="4">
        <v>855.30799999999999</v>
      </c>
      <c r="G129" s="5">
        <v>89.9559</v>
      </c>
      <c r="H129" s="5">
        <v>16.100000000000001</v>
      </c>
      <c r="I129" s="5">
        <v>1308</v>
      </c>
      <c r="J129" s="4" t="s">
        <v>128</v>
      </c>
    </row>
    <row r="130" spans="1:10" x14ac:dyDescent="0.25">
      <c r="A130" s="4">
        <f t="shared" ca="1" si="3"/>
        <v>127</v>
      </c>
      <c r="B130" s="4" t="s">
        <v>376</v>
      </c>
      <c r="C130" s="4" t="s">
        <v>377</v>
      </c>
      <c r="D130" s="4" t="s">
        <v>127</v>
      </c>
      <c r="E130" s="4" t="s">
        <v>66</v>
      </c>
      <c r="F130" s="4">
        <v>1000</v>
      </c>
      <c r="G130" s="5">
        <v>103.11630000000001</v>
      </c>
      <c r="H130" s="5">
        <v>12.43</v>
      </c>
      <c r="I130" s="5">
        <v>1736</v>
      </c>
      <c r="J130" s="4" t="s">
        <v>128</v>
      </c>
    </row>
    <row r="131" spans="1:10" x14ac:dyDescent="0.25">
      <c r="A131" s="4">
        <f t="shared" ca="1" si="3"/>
        <v>128</v>
      </c>
      <c r="B131" s="4" t="s">
        <v>378</v>
      </c>
      <c r="C131" s="4" t="s">
        <v>379</v>
      </c>
      <c r="D131" s="4" t="s">
        <v>127</v>
      </c>
      <c r="E131" s="4" t="s">
        <v>66</v>
      </c>
      <c r="F131" s="4">
        <v>1000</v>
      </c>
      <c r="G131" s="5">
        <v>100</v>
      </c>
      <c r="H131" s="5">
        <v>12.47</v>
      </c>
      <c r="I131" s="5">
        <v>2192</v>
      </c>
      <c r="J131" s="4" t="s">
        <v>128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380</v>
      </c>
      <c r="C132" s="4" t="s">
        <v>381</v>
      </c>
      <c r="D132" s="4" t="s">
        <v>127</v>
      </c>
      <c r="E132" s="4" t="s">
        <v>66</v>
      </c>
      <c r="F132" s="4">
        <v>1000</v>
      </c>
      <c r="G132" s="5">
        <v>103.1855</v>
      </c>
      <c r="H132" s="5">
        <v>12.43</v>
      </c>
      <c r="I132" s="5">
        <v>2099</v>
      </c>
      <c r="J132" s="4" t="s">
        <v>128</v>
      </c>
    </row>
    <row r="133" spans="1:10" x14ac:dyDescent="0.25">
      <c r="A133" s="4">
        <f t="shared" ca="1" si="4"/>
        <v>130</v>
      </c>
      <c r="B133" s="4" t="s">
        <v>382</v>
      </c>
      <c r="C133" s="4" t="s">
        <v>383</v>
      </c>
      <c r="D133" s="4" t="s">
        <v>127</v>
      </c>
      <c r="E133" s="4" t="s">
        <v>66</v>
      </c>
      <c r="F133" s="4">
        <v>924.529</v>
      </c>
      <c r="G133" s="5">
        <v>98.808500000000009</v>
      </c>
      <c r="H133" s="5">
        <v>16.77</v>
      </c>
      <c r="I133" s="5">
        <v>507</v>
      </c>
      <c r="J133" s="4" t="s">
        <v>128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127</v>
      </c>
      <c r="E134" s="4" t="s">
        <v>66</v>
      </c>
      <c r="F134" s="4">
        <v>773.44900000000007</v>
      </c>
      <c r="G134" s="5">
        <v>87.504800000000003</v>
      </c>
      <c r="H134" s="5">
        <v>15.43</v>
      </c>
      <c r="I134" s="5">
        <v>4049</v>
      </c>
      <c r="J134" s="4" t="s">
        <v>128</v>
      </c>
    </row>
    <row r="135" spans="1:10" x14ac:dyDescent="0.25">
      <c r="A135" s="4">
        <f t="shared" ca="1" si="4"/>
        <v>132</v>
      </c>
      <c r="B135" s="4" t="s">
        <v>386</v>
      </c>
      <c r="C135" s="4" t="s">
        <v>110</v>
      </c>
      <c r="D135" s="4" t="s">
        <v>127</v>
      </c>
      <c r="E135" s="4" t="s">
        <v>66</v>
      </c>
      <c r="F135" s="4">
        <v>996.13100000000009</v>
      </c>
      <c r="G135" s="5">
        <v>104.29600000000001</v>
      </c>
      <c r="H135" s="5">
        <v>16.899999999999999</v>
      </c>
      <c r="I135" s="5">
        <v>24</v>
      </c>
      <c r="J135" s="4" t="s">
        <v>128</v>
      </c>
    </row>
    <row r="136" spans="1:10" x14ac:dyDescent="0.25">
      <c r="A136" s="4">
        <f t="shared" ca="1" si="4"/>
        <v>133</v>
      </c>
      <c r="B136" s="4" t="s">
        <v>387</v>
      </c>
      <c r="C136" s="4" t="s">
        <v>388</v>
      </c>
      <c r="D136" s="4" t="s">
        <v>127</v>
      </c>
      <c r="E136" s="4" t="s">
        <v>66</v>
      </c>
      <c r="F136" s="4">
        <v>856.33400000000006</v>
      </c>
      <c r="G136" s="5">
        <v>95.564000000000007</v>
      </c>
      <c r="H136" s="5">
        <v>16.02</v>
      </c>
      <c r="I136" s="5">
        <v>1499</v>
      </c>
      <c r="J136" s="4" t="s">
        <v>128</v>
      </c>
    </row>
    <row r="137" spans="1:10" x14ac:dyDescent="0.25">
      <c r="A137" s="4">
        <f t="shared" ca="1" si="4"/>
        <v>134</v>
      </c>
      <c r="B137" s="4" t="s">
        <v>389</v>
      </c>
      <c r="C137" s="4" t="s">
        <v>390</v>
      </c>
      <c r="D137" s="4" t="s">
        <v>127</v>
      </c>
      <c r="E137" s="4" t="s">
        <v>66</v>
      </c>
      <c r="F137" s="4">
        <v>761.99599999999998</v>
      </c>
      <c r="G137" s="5">
        <v>79.912700000000001</v>
      </c>
      <c r="H137" s="5">
        <v>15.44</v>
      </c>
      <c r="I137" s="5">
        <v>3893</v>
      </c>
      <c r="J137" s="4" t="s">
        <v>128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127</v>
      </c>
      <c r="E138" s="4" t="s">
        <v>66</v>
      </c>
      <c r="F138" s="4">
        <v>757.88300000000004</v>
      </c>
      <c r="G138" s="5">
        <v>84.558999999999997</v>
      </c>
      <c r="H138" s="5">
        <v>15.55</v>
      </c>
      <c r="I138" s="5">
        <v>2973</v>
      </c>
      <c r="J138" s="4" t="s">
        <v>128</v>
      </c>
    </row>
    <row r="139" spans="1:10" x14ac:dyDescent="0.25">
      <c r="A139" s="4">
        <f t="shared" ca="1" si="4"/>
        <v>136</v>
      </c>
      <c r="B139" s="4" t="s">
        <v>393</v>
      </c>
      <c r="C139" s="4" t="s">
        <v>86</v>
      </c>
      <c r="D139" s="4" t="s">
        <v>127</v>
      </c>
      <c r="E139" s="4" t="s">
        <v>66</v>
      </c>
      <c r="F139" s="4">
        <v>889.59</v>
      </c>
      <c r="G139" s="5">
        <v>96.383400000000009</v>
      </c>
      <c r="H139" s="5">
        <v>16.490000000000002</v>
      </c>
      <c r="I139" s="5">
        <v>836</v>
      </c>
      <c r="J139" s="4" t="s">
        <v>128</v>
      </c>
    </row>
    <row r="140" spans="1:10" x14ac:dyDescent="0.25">
      <c r="A140" s="4">
        <f t="shared" ca="1" si="4"/>
        <v>137</v>
      </c>
      <c r="B140" s="4" t="s">
        <v>394</v>
      </c>
      <c r="C140" s="4" t="s">
        <v>395</v>
      </c>
      <c r="D140" s="4" t="s">
        <v>127</v>
      </c>
      <c r="E140" s="4" t="s">
        <v>66</v>
      </c>
      <c r="F140" s="4">
        <v>967.50600000000009</v>
      </c>
      <c r="G140" s="5">
        <v>100.97980000000001</v>
      </c>
      <c r="H140" s="5">
        <v>16.37</v>
      </c>
      <c r="I140" s="5">
        <v>219</v>
      </c>
      <c r="J140" s="4" t="s">
        <v>128</v>
      </c>
    </row>
    <row r="141" spans="1:10" x14ac:dyDescent="0.25">
      <c r="A141" s="4">
        <f t="shared" ca="1" si="4"/>
        <v>138</v>
      </c>
      <c r="B141" s="4" t="s">
        <v>396</v>
      </c>
      <c r="C141" s="4" t="s">
        <v>397</v>
      </c>
      <c r="D141" s="4" t="s">
        <v>127</v>
      </c>
      <c r="E141" s="4" t="s">
        <v>66</v>
      </c>
      <c r="F141" s="4">
        <v>751.09500000000003</v>
      </c>
      <c r="G141" s="5">
        <v>83.338000000000008</v>
      </c>
      <c r="H141" s="5">
        <v>15.47</v>
      </c>
      <c r="I141" s="5">
        <v>3359</v>
      </c>
      <c r="J141" s="4" t="s">
        <v>128</v>
      </c>
    </row>
    <row r="142" spans="1:10" x14ac:dyDescent="0.25">
      <c r="A142" s="4">
        <f t="shared" ca="1" si="4"/>
        <v>139</v>
      </c>
      <c r="B142" s="4" t="s">
        <v>398</v>
      </c>
      <c r="C142" s="4" t="s">
        <v>96</v>
      </c>
      <c r="D142" s="4" t="s">
        <v>127</v>
      </c>
      <c r="E142" s="4" t="s">
        <v>66</v>
      </c>
      <c r="F142" s="4">
        <v>812.77800000000002</v>
      </c>
      <c r="G142" s="5">
        <v>89.346100000000007</v>
      </c>
      <c r="H142" s="5">
        <v>15.79</v>
      </c>
      <c r="I142" s="5">
        <v>1905</v>
      </c>
      <c r="J142" s="4" t="s">
        <v>128</v>
      </c>
    </row>
    <row r="143" spans="1:10" x14ac:dyDescent="0.25">
      <c r="A143" s="4">
        <f t="shared" ca="1" si="4"/>
        <v>140</v>
      </c>
      <c r="B143" s="4" t="s">
        <v>399</v>
      </c>
      <c r="C143" s="4" t="s">
        <v>400</v>
      </c>
      <c r="D143" s="4" t="s">
        <v>127</v>
      </c>
      <c r="E143" s="4" t="s">
        <v>66</v>
      </c>
      <c r="F143" s="4">
        <v>788.40300000000002</v>
      </c>
      <c r="G143" s="5">
        <v>82.581800000000001</v>
      </c>
      <c r="H143" s="5">
        <v>15.57</v>
      </c>
      <c r="I143" s="5">
        <v>2795</v>
      </c>
      <c r="J143" s="4" t="s">
        <v>128</v>
      </c>
    </row>
    <row r="144" spans="1:10" x14ac:dyDescent="0.25">
      <c r="A144" s="4">
        <f t="shared" ca="1" si="4"/>
        <v>141</v>
      </c>
      <c r="B144" s="4" t="s">
        <v>401</v>
      </c>
      <c r="C144" s="4" t="s">
        <v>402</v>
      </c>
      <c r="D144" s="4" t="s">
        <v>127</v>
      </c>
      <c r="E144" s="4" t="s">
        <v>66</v>
      </c>
      <c r="F144" s="4">
        <v>983.33100000000002</v>
      </c>
      <c r="G144" s="5">
        <v>102.31</v>
      </c>
      <c r="H144" s="5">
        <v>16.37</v>
      </c>
      <c r="I144" s="5">
        <v>262</v>
      </c>
      <c r="J144" s="4" t="s">
        <v>128</v>
      </c>
    </row>
    <row r="145" spans="1:10" x14ac:dyDescent="0.25">
      <c r="A145" s="4">
        <f t="shared" ca="1" si="4"/>
        <v>142</v>
      </c>
      <c r="B145" s="4" t="s">
        <v>403</v>
      </c>
      <c r="C145" s="4" t="s">
        <v>404</v>
      </c>
      <c r="D145" s="4" t="s">
        <v>127</v>
      </c>
      <c r="E145" s="4" t="s">
        <v>66</v>
      </c>
      <c r="F145" s="4">
        <v>989.21300000000008</v>
      </c>
      <c r="G145" s="5">
        <v>100.6695</v>
      </c>
      <c r="H145" s="5">
        <v>16</v>
      </c>
      <c r="I145" s="5">
        <v>690</v>
      </c>
      <c r="J145" s="4" t="s">
        <v>128</v>
      </c>
    </row>
    <row r="146" spans="1:10" x14ac:dyDescent="0.25">
      <c r="A146" s="4">
        <f t="shared" ca="1" si="4"/>
        <v>143</v>
      </c>
      <c r="B146" s="4" t="s">
        <v>405</v>
      </c>
      <c r="C146" s="4" t="s">
        <v>78</v>
      </c>
      <c r="D146" s="4" t="s">
        <v>127</v>
      </c>
      <c r="E146" s="4" t="s">
        <v>66</v>
      </c>
      <c r="F146" s="4">
        <v>932.10300000000007</v>
      </c>
      <c r="G146" s="5">
        <v>101.7659</v>
      </c>
      <c r="H146" s="5">
        <v>15.7</v>
      </c>
      <c r="I146" s="5">
        <v>2334</v>
      </c>
      <c r="J146" s="4" t="s">
        <v>128</v>
      </c>
    </row>
    <row r="147" spans="1:10" x14ac:dyDescent="0.25">
      <c r="A147" s="4">
        <f t="shared" ca="1" si="4"/>
        <v>144</v>
      </c>
      <c r="B147" s="4" t="s">
        <v>406</v>
      </c>
      <c r="C147" s="4" t="s">
        <v>407</v>
      </c>
      <c r="D147" s="4" t="s">
        <v>127</v>
      </c>
      <c r="E147" s="4" t="s">
        <v>66</v>
      </c>
      <c r="F147" s="4">
        <v>976.7</v>
      </c>
      <c r="G147" s="5">
        <v>110.25</v>
      </c>
      <c r="H147" s="5">
        <v>16.22</v>
      </c>
      <c r="I147" s="5">
        <v>1161</v>
      </c>
      <c r="J147" s="4" t="s">
        <v>128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127</v>
      </c>
      <c r="E148" s="4" t="s">
        <v>66</v>
      </c>
      <c r="F148" s="4">
        <v>1000</v>
      </c>
      <c r="G148" s="5">
        <v>105.43430000000001</v>
      </c>
      <c r="H148" s="5">
        <v>17.64</v>
      </c>
      <c r="I148" s="5">
        <v>255</v>
      </c>
      <c r="J148" s="4" t="s">
        <v>128</v>
      </c>
    </row>
    <row r="149" spans="1:10" x14ac:dyDescent="0.25">
      <c r="A149" s="4">
        <f t="shared" ca="1" si="4"/>
        <v>146</v>
      </c>
      <c r="B149" s="4" t="s">
        <v>410</v>
      </c>
      <c r="C149" s="4" t="s">
        <v>411</v>
      </c>
      <c r="D149" s="4" t="s">
        <v>127</v>
      </c>
      <c r="E149" s="4" t="s">
        <v>66</v>
      </c>
      <c r="F149" s="4">
        <v>935.34400000000005</v>
      </c>
      <c r="G149" s="5">
        <v>102.3622</v>
      </c>
      <c r="H149" s="5">
        <v>15.81</v>
      </c>
      <c r="I149" s="5">
        <v>1961</v>
      </c>
      <c r="J149" s="4" t="s">
        <v>128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127</v>
      </c>
      <c r="E150" s="4" t="s">
        <v>66</v>
      </c>
      <c r="F150" s="4">
        <v>988.28500000000008</v>
      </c>
      <c r="G150" s="5">
        <v>99.019500000000008</v>
      </c>
      <c r="H150" s="5">
        <v>16.34</v>
      </c>
      <c r="I150" s="5">
        <v>178</v>
      </c>
      <c r="J150" s="4" t="s">
        <v>128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127</v>
      </c>
      <c r="E151" s="4" t="s">
        <v>66</v>
      </c>
      <c r="F151" s="4">
        <v>947.89700000000005</v>
      </c>
      <c r="G151" s="5">
        <v>102.97800000000001</v>
      </c>
      <c r="H151" s="5">
        <v>15.62</v>
      </c>
      <c r="I151" s="5">
        <v>2716</v>
      </c>
      <c r="J151" s="4" t="s">
        <v>128</v>
      </c>
    </row>
    <row r="152" spans="1:10" x14ac:dyDescent="0.25">
      <c r="A152" s="4">
        <f t="shared" ca="1" si="4"/>
        <v>149</v>
      </c>
      <c r="B152" s="4" t="s">
        <v>416</v>
      </c>
      <c r="C152" s="4" t="s">
        <v>417</v>
      </c>
      <c r="D152" s="4" t="s">
        <v>127</v>
      </c>
      <c r="E152" s="4" t="s">
        <v>66</v>
      </c>
      <c r="F152" s="4">
        <v>870.10599999999999</v>
      </c>
      <c r="G152" s="5">
        <v>97.243900000000011</v>
      </c>
      <c r="H152" s="5">
        <v>15.84</v>
      </c>
      <c r="I152" s="5">
        <v>1882</v>
      </c>
      <c r="J152" s="4" t="s">
        <v>128</v>
      </c>
    </row>
    <row r="153" spans="1:10" x14ac:dyDescent="0.25">
      <c r="A153" s="4">
        <f t="shared" ca="1" si="4"/>
        <v>150</v>
      </c>
      <c r="B153" s="4" t="s">
        <v>418</v>
      </c>
      <c r="C153" s="4" t="s">
        <v>100</v>
      </c>
      <c r="D153" s="4" t="s">
        <v>127</v>
      </c>
      <c r="E153" s="4" t="s">
        <v>66</v>
      </c>
      <c r="F153" s="4">
        <v>1038.7280000000001</v>
      </c>
      <c r="G153" s="5">
        <v>110.5823</v>
      </c>
      <c r="H153" s="5">
        <v>15.55</v>
      </c>
      <c r="I153" s="5">
        <v>1318</v>
      </c>
      <c r="J153" s="4" t="s">
        <v>128</v>
      </c>
    </row>
    <row r="154" spans="1:10" x14ac:dyDescent="0.25">
      <c r="A154" s="4">
        <f t="shared" ca="1" si="4"/>
        <v>151</v>
      </c>
      <c r="B154" s="4" t="s">
        <v>419</v>
      </c>
      <c r="C154" s="4" t="s">
        <v>420</v>
      </c>
      <c r="D154" s="4" t="s">
        <v>127</v>
      </c>
      <c r="E154" s="4" t="s">
        <v>66</v>
      </c>
      <c r="F154" s="4">
        <v>950.87400000000002</v>
      </c>
      <c r="G154" s="5">
        <v>106.8888</v>
      </c>
      <c r="H154" s="5">
        <v>15.57</v>
      </c>
      <c r="I154" s="5">
        <v>2990</v>
      </c>
      <c r="J154" s="4" t="s">
        <v>128</v>
      </c>
    </row>
    <row r="155" spans="1:10" x14ac:dyDescent="0.25">
      <c r="A155" s="4">
        <f t="shared" ca="1" si="4"/>
        <v>152</v>
      </c>
      <c r="B155" s="4" t="s">
        <v>421</v>
      </c>
      <c r="C155" s="4" t="s">
        <v>422</v>
      </c>
      <c r="D155" s="4" t="s">
        <v>127</v>
      </c>
      <c r="E155" s="4" t="s">
        <v>66</v>
      </c>
      <c r="F155" s="4">
        <v>956.07</v>
      </c>
      <c r="G155" s="5">
        <v>107.4898</v>
      </c>
      <c r="H155" s="5">
        <v>15.72</v>
      </c>
      <c r="I155" s="5">
        <v>2260</v>
      </c>
      <c r="J155" s="4" t="s">
        <v>128</v>
      </c>
    </row>
    <row r="156" spans="1:10" x14ac:dyDescent="0.25">
      <c r="A156" s="4">
        <f t="shared" ca="1" si="4"/>
        <v>153</v>
      </c>
      <c r="B156" s="4" t="s">
        <v>423</v>
      </c>
      <c r="C156" s="4" t="s">
        <v>424</v>
      </c>
      <c r="D156" s="4" t="s">
        <v>127</v>
      </c>
      <c r="E156" s="4" t="s">
        <v>66</v>
      </c>
      <c r="F156" s="4">
        <v>926.59900000000005</v>
      </c>
      <c r="G156" s="5">
        <v>101.15910000000001</v>
      </c>
      <c r="H156" s="5">
        <v>15.42</v>
      </c>
      <c r="I156" s="5">
        <v>4528</v>
      </c>
      <c r="J156" s="4" t="s">
        <v>128</v>
      </c>
    </row>
    <row r="157" spans="1:10" x14ac:dyDescent="0.25">
      <c r="A157" s="4">
        <f t="shared" ca="1" si="4"/>
        <v>154</v>
      </c>
      <c r="B157" s="4" t="s">
        <v>425</v>
      </c>
      <c r="C157" s="4" t="s">
        <v>426</v>
      </c>
      <c r="D157" s="4" t="s">
        <v>127</v>
      </c>
      <c r="E157" s="4" t="s">
        <v>66</v>
      </c>
      <c r="F157" s="4">
        <v>1000</v>
      </c>
      <c r="G157" s="5">
        <v>111.1747</v>
      </c>
      <c r="H157" s="5">
        <v>14.9</v>
      </c>
      <c r="I157" s="5">
        <v>1919</v>
      </c>
      <c r="J157" s="4" t="s">
        <v>128</v>
      </c>
    </row>
    <row r="158" spans="1:10" x14ac:dyDescent="0.25">
      <c r="A158" s="4">
        <f t="shared" ca="1" si="4"/>
        <v>155</v>
      </c>
      <c r="B158" s="4" t="s">
        <v>427</v>
      </c>
      <c r="C158" s="4" t="s">
        <v>92</v>
      </c>
      <c r="D158" s="4" t="s">
        <v>127</v>
      </c>
      <c r="E158" s="4" t="s">
        <v>66</v>
      </c>
      <c r="F158" s="4">
        <v>883.505</v>
      </c>
      <c r="G158" s="5">
        <v>98.083800000000011</v>
      </c>
      <c r="H158" s="5">
        <v>15.98</v>
      </c>
      <c r="I158" s="5">
        <v>1530</v>
      </c>
      <c r="J158" s="4" t="s">
        <v>128</v>
      </c>
    </row>
    <row r="159" spans="1:10" x14ac:dyDescent="0.25">
      <c r="A159" s="4">
        <f t="shared" ca="1" si="4"/>
        <v>156</v>
      </c>
      <c r="B159" s="4" t="s">
        <v>428</v>
      </c>
      <c r="C159" s="4" t="s">
        <v>429</v>
      </c>
      <c r="D159" s="4" t="s">
        <v>127</v>
      </c>
      <c r="E159" s="4" t="s">
        <v>66</v>
      </c>
      <c r="F159" s="4">
        <v>94.25930000000001</v>
      </c>
      <c r="G159" s="5">
        <v>94.25930000000001</v>
      </c>
      <c r="H159" s="5">
        <v>16.23</v>
      </c>
      <c r="I159" s="5">
        <v>138</v>
      </c>
      <c r="J159" s="4" t="s">
        <v>128</v>
      </c>
    </row>
    <row r="160" spans="1:10" x14ac:dyDescent="0.25">
      <c r="A160" s="4">
        <f t="shared" ca="1" si="4"/>
        <v>157</v>
      </c>
      <c r="B160" s="4" t="s">
        <v>430</v>
      </c>
      <c r="C160" s="4" t="s">
        <v>67</v>
      </c>
      <c r="D160" s="4" t="s">
        <v>127</v>
      </c>
      <c r="E160" s="4" t="s">
        <v>66</v>
      </c>
      <c r="F160" s="4">
        <v>98.332400000000007</v>
      </c>
      <c r="G160" s="5">
        <v>98.332400000000007</v>
      </c>
      <c r="H160" s="5">
        <v>15.87</v>
      </c>
      <c r="I160" s="5">
        <v>40</v>
      </c>
      <c r="J160" s="4" t="s">
        <v>128</v>
      </c>
    </row>
    <row r="161" spans="1:10" x14ac:dyDescent="0.25">
      <c r="A161" s="4">
        <f t="shared" ca="1" si="4"/>
        <v>158</v>
      </c>
      <c r="B161" s="4" t="s">
        <v>431</v>
      </c>
      <c r="C161" s="4" t="s">
        <v>432</v>
      </c>
      <c r="D161" s="4" t="s">
        <v>127</v>
      </c>
      <c r="E161" s="4" t="s">
        <v>66</v>
      </c>
      <c r="F161" s="4">
        <v>926.61900000000003</v>
      </c>
      <c r="G161" s="5">
        <v>104.9508</v>
      </c>
      <c r="H161" s="5">
        <v>15.53</v>
      </c>
      <c r="I161" s="5">
        <v>3334</v>
      </c>
      <c r="J161" s="4" t="s">
        <v>128</v>
      </c>
    </row>
    <row r="162" spans="1:10" x14ac:dyDescent="0.25">
      <c r="A162" s="4">
        <f t="shared" ca="1" si="4"/>
        <v>159</v>
      </c>
      <c r="B162" s="4" t="s">
        <v>433</v>
      </c>
      <c r="C162" s="4" t="s">
        <v>434</v>
      </c>
      <c r="D162" s="4" t="s">
        <v>127</v>
      </c>
      <c r="E162" s="4" t="s">
        <v>66</v>
      </c>
      <c r="F162" s="4">
        <v>0.98993599999999993</v>
      </c>
      <c r="G162" s="5">
        <v>100.0412</v>
      </c>
      <c r="H162" s="5">
        <v>4.8500000000000005</v>
      </c>
      <c r="I162" s="5">
        <v>3389</v>
      </c>
      <c r="J162" s="4" t="s">
        <v>128</v>
      </c>
    </row>
    <row r="163" spans="1:10" x14ac:dyDescent="0.25">
      <c r="A163" s="4">
        <f t="shared" ca="1" si="4"/>
        <v>160</v>
      </c>
      <c r="B163" s="4" t="s">
        <v>435</v>
      </c>
      <c r="C163" s="4" t="s">
        <v>436</v>
      </c>
      <c r="D163" s="4" t="s">
        <v>127</v>
      </c>
      <c r="E163" s="4" t="s">
        <v>66</v>
      </c>
      <c r="F163" s="4">
        <v>1052.567</v>
      </c>
      <c r="G163" s="5">
        <v>109.02340000000001</v>
      </c>
      <c r="H163" s="5">
        <v>15.34</v>
      </c>
      <c r="I163" s="5">
        <v>1746</v>
      </c>
      <c r="J163" s="4" t="s">
        <v>128</v>
      </c>
    </row>
    <row r="164" spans="1:10" x14ac:dyDescent="0.25">
      <c r="A164" s="4">
        <f t="shared" ref="A164:A189" ca="1" si="5">IF(OFFSET(A164,-1,0)="№ п/п",1,OFFSET(A164,-1,0)+1)</f>
        <v>161</v>
      </c>
      <c r="B164" s="4" t="s">
        <v>437</v>
      </c>
      <c r="C164" s="4" t="s">
        <v>438</v>
      </c>
      <c r="D164" s="4" t="s">
        <v>122</v>
      </c>
      <c r="E164" s="4" t="s">
        <v>439</v>
      </c>
      <c r="F164" s="4">
        <v>368.52</v>
      </c>
      <c r="G164" s="5"/>
      <c r="H164" s="5"/>
      <c r="I164" s="5"/>
      <c r="J164" s="4" t="s">
        <v>124</v>
      </c>
    </row>
    <row r="165" spans="1:10" x14ac:dyDescent="0.25">
      <c r="A165" s="4">
        <f t="shared" ca="1" si="5"/>
        <v>162</v>
      </c>
      <c r="B165" s="4" t="s">
        <v>440</v>
      </c>
      <c r="C165" s="4" t="s">
        <v>441</v>
      </c>
      <c r="D165" s="4" t="s">
        <v>122</v>
      </c>
      <c r="E165" s="4" t="s">
        <v>439</v>
      </c>
      <c r="F165" s="4">
        <v>29.69</v>
      </c>
      <c r="G165" s="5"/>
      <c r="H165" s="5"/>
      <c r="I165" s="5"/>
      <c r="J165" s="4" t="s">
        <v>217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127</v>
      </c>
      <c r="E166" s="4" t="s">
        <v>439</v>
      </c>
      <c r="F166" s="4">
        <v>1000.1170000000001</v>
      </c>
      <c r="G166" s="5">
        <v>101.3302</v>
      </c>
      <c r="H166" s="5">
        <v>18.47</v>
      </c>
      <c r="I166" s="5">
        <v>705</v>
      </c>
      <c r="J166" s="4" t="s">
        <v>128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122</v>
      </c>
      <c r="E167" s="4" t="s">
        <v>446</v>
      </c>
      <c r="F167" s="4">
        <v>957.81</v>
      </c>
      <c r="G167" s="5"/>
      <c r="H167" s="5"/>
      <c r="I167" s="5"/>
      <c r="J167" s="4" t="s">
        <v>124</v>
      </c>
    </row>
    <row r="168" spans="1:10" x14ac:dyDescent="0.25">
      <c r="A168" s="4">
        <f t="shared" ca="1" si="5"/>
        <v>165</v>
      </c>
      <c r="B168" s="4" t="s">
        <v>447</v>
      </c>
      <c r="C168" s="4" t="s">
        <v>448</v>
      </c>
      <c r="D168" s="4" t="s">
        <v>127</v>
      </c>
      <c r="E168" s="4" t="s">
        <v>449</v>
      </c>
      <c r="F168" s="4">
        <v>812.26499999999999</v>
      </c>
      <c r="G168" s="5">
        <v>81.562600000000003</v>
      </c>
      <c r="H168" s="5">
        <v>17.18</v>
      </c>
      <c r="I168" s="5">
        <v>1633</v>
      </c>
      <c r="J168" s="4" t="s">
        <v>128</v>
      </c>
    </row>
    <row r="169" spans="1:10" x14ac:dyDescent="0.25">
      <c r="A169" s="4">
        <f t="shared" ca="1" si="5"/>
        <v>166</v>
      </c>
      <c r="B169" s="4" t="s">
        <v>450</v>
      </c>
      <c r="C169" s="4" t="s">
        <v>451</v>
      </c>
      <c r="D169" s="4" t="s">
        <v>127</v>
      </c>
      <c r="E169" s="4" t="s">
        <v>449</v>
      </c>
      <c r="F169" s="4">
        <v>0.87359599999999993</v>
      </c>
      <c r="G169" s="5">
        <v>87.793900000000008</v>
      </c>
      <c r="H169" s="5">
        <v>5.72</v>
      </c>
      <c r="I169" s="5">
        <v>1955</v>
      </c>
      <c r="J169" s="4" t="s">
        <v>128</v>
      </c>
    </row>
    <row r="170" spans="1:10" x14ac:dyDescent="0.25">
      <c r="A170" s="4">
        <f t="shared" ca="1" si="5"/>
        <v>167</v>
      </c>
      <c r="B170" s="4" t="s">
        <v>452</v>
      </c>
      <c r="C170" s="4" t="s">
        <v>453</v>
      </c>
      <c r="D170" s="4" t="s">
        <v>127</v>
      </c>
      <c r="E170" s="4" t="s">
        <v>449</v>
      </c>
      <c r="F170" s="4">
        <v>1001.6980000000001</v>
      </c>
      <c r="G170" s="5">
        <v>101.1323</v>
      </c>
      <c r="H170" s="5">
        <v>5.2</v>
      </c>
      <c r="I170" s="5">
        <v>1395</v>
      </c>
      <c r="J170" s="4" t="s">
        <v>128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127</v>
      </c>
      <c r="E171" s="4" t="s">
        <v>449</v>
      </c>
      <c r="F171" s="4">
        <v>0.99169799999999997</v>
      </c>
      <c r="G171" s="5">
        <v>100.10260000000001</v>
      </c>
      <c r="H171" s="5">
        <v>4.79</v>
      </c>
      <c r="I171" s="5">
        <v>1860</v>
      </c>
      <c r="J171" s="4" t="s">
        <v>128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127</v>
      </c>
      <c r="E172" s="4" t="s">
        <v>449</v>
      </c>
      <c r="F172" s="4">
        <v>1.03471</v>
      </c>
      <c r="G172" s="5">
        <v>104.75230000000001</v>
      </c>
      <c r="H172" s="5">
        <v>4.72</v>
      </c>
      <c r="I172" s="5">
        <v>1561</v>
      </c>
      <c r="J172" s="4" t="s">
        <v>128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127</v>
      </c>
      <c r="E173" s="4" t="s">
        <v>74</v>
      </c>
      <c r="F173" s="4">
        <v>1018.8570000000001</v>
      </c>
      <c r="G173" s="5">
        <v>110.5227</v>
      </c>
      <c r="H173" s="5">
        <v>18.3</v>
      </c>
      <c r="I173" s="5">
        <v>753</v>
      </c>
      <c r="J173" s="4" t="s">
        <v>128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127</v>
      </c>
      <c r="E174" s="4" t="s">
        <v>74</v>
      </c>
      <c r="F174" s="4">
        <v>1033.761</v>
      </c>
      <c r="G174" s="5">
        <v>112.1019</v>
      </c>
      <c r="H174" s="5">
        <v>18.43</v>
      </c>
      <c r="I174" s="5">
        <v>1484</v>
      </c>
      <c r="J174" s="4" t="s">
        <v>128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127</v>
      </c>
      <c r="E175" s="4" t="s">
        <v>74</v>
      </c>
      <c r="F175" s="4">
        <v>1030.3499999999999</v>
      </c>
      <c r="G175" s="5">
        <v>104.86630000000001</v>
      </c>
      <c r="H175" s="5">
        <v>17.68</v>
      </c>
      <c r="I175" s="5">
        <v>697</v>
      </c>
      <c r="J175" s="4" t="s">
        <v>128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127</v>
      </c>
      <c r="E176" s="4" t="s">
        <v>74</v>
      </c>
      <c r="F176" s="4">
        <v>1038.9860000000001</v>
      </c>
      <c r="G176" s="5">
        <v>105.7393</v>
      </c>
      <c r="H176" s="5">
        <v>18.3</v>
      </c>
      <c r="I176" s="5">
        <v>1428</v>
      </c>
      <c r="J176" s="4" t="s">
        <v>128</v>
      </c>
    </row>
    <row r="177" spans="1:10" x14ac:dyDescent="0.25">
      <c r="A177" s="4">
        <f t="shared" ca="1" si="5"/>
        <v>174</v>
      </c>
      <c r="B177" s="4" t="s">
        <v>466</v>
      </c>
      <c r="C177" s="4" t="s">
        <v>467</v>
      </c>
      <c r="D177" s="4" t="s">
        <v>122</v>
      </c>
      <c r="E177" s="4" t="s">
        <v>468</v>
      </c>
      <c r="F177" s="4">
        <v>27667.31</v>
      </c>
      <c r="G177" s="5"/>
      <c r="H177" s="5"/>
      <c r="I177" s="5"/>
      <c r="J177" s="4" t="s">
        <v>124</v>
      </c>
    </row>
    <row r="178" spans="1:10" x14ac:dyDescent="0.25">
      <c r="A178" s="4">
        <f t="shared" ca="1" si="5"/>
        <v>175</v>
      </c>
      <c r="B178" s="4" t="s">
        <v>469</v>
      </c>
      <c r="C178" s="4" t="s">
        <v>470</v>
      </c>
      <c r="D178" s="4" t="s">
        <v>122</v>
      </c>
      <c r="E178" s="4" t="s">
        <v>471</v>
      </c>
      <c r="F178" s="4">
        <v>40548.15</v>
      </c>
      <c r="G178" s="5"/>
      <c r="H178" s="5"/>
      <c r="I178" s="5"/>
      <c r="J178" s="4" t="s">
        <v>124</v>
      </c>
    </row>
    <row r="179" spans="1:10" x14ac:dyDescent="0.25">
      <c r="A179" s="4">
        <f t="shared" ca="1" si="5"/>
        <v>176</v>
      </c>
      <c r="B179" s="4" t="s">
        <v>472</v>
      </c>
      <c r="C179" s="4" t="s">
        <v>473</v>
      </c>
      <c r="D179" s="4" t="s">
        <v>122</v>
      </c>
      <c r="E179" s="4" t="s">
        <v>471</v>
      </c>
      <c r="F179" s="4">
        <v>79.56</v>
      </c>
      <c r="G179" s="5"/>
      <c r="H179" s="5"/>
      <c r="I179" s="5"/>
      <c r="J179" s="4" t="s">
        <v>217</v>
      </c>
    </row>
    <row r="180" spans="1:10" x14ac:dyDescent="0.25">
      <c r="A180" s="4">
        <f t="shared" ca="1" si="5"/>
        <v>177</v>
      </c>
      <c r="B180" s="4" t="s">
        <v>474</v>
      </c>
      <c r="C180" s="4" t="s">
        <v>475</v>
      </c>
      <c r="D180" s="4" t="s">
        <v>127</v>
      </c>
      <c r="E180" s="4" t="s">
        <v>476</v>
      </c>
      <c r="F180" s="4">
        <v>1015.046</v>
      </c>
      <c r="G180" s="5">
        <v>105.83240000000001</v>
      </c>
      <c r="H180" s="5">
        <v>18.48</v>
      </c>
      <c r="I180" s="5">
        <v>1744</v>
      </c>
      <c r="J180" s="4" t="s">
        <v>128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127</v>
      </c>
      <c r="E181" s="4" t="s">
        <v>476</v>
      </c>
      <c r="F181" s="4">
        <v>1015.046</v>
      </c>
      <c r="G181" s="5">
        <v>105.83240000000001</v>
      </c>
      <c r="H181" s="5">
        <v>18.48</v>
      </c>
      <c r="I181" s="5">
        <v>1744</v>
      </c>
      <c r="J181" s="4" t="s">
        <v>128</v>
      </c>
    </row>
    <row r="182" spans="1:10" x14ac:dyDescent="0.25">
      <c r="A182" s="4">
        <f t="shared" ca="1" si="5"/>
        <v>179</v>
      </c>
      <c r="B182" s="4" t="s">
        <v>479</v>
      </c>
      <c r="C182" s="4" t="s">
        <v>480</v>
      </c>
      <c r="D182" s="4" t="s">
        <v>127</v>
      </c>
      <c r="E182" s="4" t="s">
        <v>481</v>
      </c>
      <c r="F182" s="4">
        <v>295</v>
      </c>
      <c r="G182" s="5">
        <v>29.593600000000002</v>
      </c>
      <c r="H182" s="5">
        <v>16.559999999999999</v>
      </c>
      <c r="I182" s="5">
        <v>2947</v>
      </c>
      <c r="J182" s="4" t="s">
        <v>128</v>
      </c>
    </row>
    <row r="183" spans="1:10" x14ac:dyDescent="0.25">
      <c r="A183" s="4">
        <f t="shared" ca="1" si="5"/>
        <v>180</v>
      </c>
      <c r="B183" s="4" t="s">
        <v>482</v>
      </c>
      <c r="C183" s="4" t="s">
        <v>483</v>
      </c>
      <c r="D183" s="4" t="s">
        <v>127</v>
      </c>
      <c r="E183" s="4" t="s">
        <v>484</v>
      </c>
      <c r="F183" s="4">
        <v>99.990900000000011</v>
      </c>
      <c r="G183" s="5">
        <v>100.5103</v>
      </c>
      <c r="H183" s="5">
        <v>11</v>
      </c>
      <c r="I183" s="5">
        <v>349</v>
      </c>
      <c r="J183" s="4" t="s">
        <v>128</v>
      </c>
    </row>
    <row r="184" spans="1:10" x14ac:dyDescent="0.25">
      <c r="A184" s="4">
        <f t="shared" ca="1" si="5"/>
        <v>181</v>
      </c>
      <c r="B184" s="4" t="s">
        <v>485</v>
      </c>
      <c r="C184" s="4" t="s">
        <v>486</v>
      </c>
      <c r="D184" s="4" t="s">
        <v>122</v>
      </c>
      <c r="E184" s="4" t="s">
        <v>487</v>
      </c>
      <c r="F184" s="4">
        <v>888.61</v>
      </c>
      <c r="G184" s="5"/>
      <c r="H184" s="5"/>
      <c r="I184" s="5"/>
      <c r="J184" s="4" t="s">
        <v>124</v>
      </c>
    </row>
    <row r="185" spans="1:10" x14ac:dyDescent="0.25">
      <c r="A185" s="4">
        <f t="shared" ca="1" si="5"/>
        <v>182</v>
      </c>
      <c r="B185" s="4" t="s">
        <v>488</v>
      </c>
      <c r="C185" s="4" t="s">
        <v>489</v>
      </c>
      <c r="D185" s="4" t="s">
        <v>127</v>
      </c>
      <c r="E185" s="4" t="s">
        <v>76</v>
      </c>
      <c r="F185" s="4">
        <v>0.99927599999999994</v>
      </c>
      <c r="G185" s="5">
        <v>101.50060000000001</v>
      </c>
      <c r="H185" s="5">
        <v>6</v>
      </c>
      <c r="I185" s="5">
        <v>82</v>
      </c>
      <c r="J185" s="4" t="s">
        <v>128</v>
      </c>
    </row>
    <row r="186" spans="1:10" x14ac:dyDescent="0.25">
      <c r="A186" s="4">
        <f t="shared" ca="1" si="5"/>
        <v>183</v>
      </c>
      <c r="B186" s="4" t="s">
        <v>490</v>
      </c>
      <c r="C186" s="4" t="s">
        <v>77</v>
      </c>
      <c r="D186" s="4" t="s">
        <v>127</v>
      </c>
      <c r="E186" s="4" t="s">
        <v>76</v>
      </c>
      <c r="F186" s="4">
        <v>1000</v>
      </c>
      <c r="G186" s="5">
        <v>104.84110000000001</v>
      </c>
      <c r="H186" s="5">
        <v>18.940000000000001</v>
      </c>
      <c r="I186" s="5">
        <v>820</v>
      </c>
      <c r="J186" s="4" t="s">
        <v>128</v>
      </c>
    </row>
    <row r="187" spans="1:10" x14ac:dyDescent="0.25">
      <c r="A187" s="4">
        <f t="shared" ca="1" si="5"/>
        <v>184</v>
      </c>
      <c r="B187" s="4" t="s">
        <v>491</v>
      </c>
      <c r="C187" s="4" t="s">
        <v>83</v>
      </c>
      <c r="D187" s="4" t="s">
        <v>127</v>
      </c>
      <c r="E187" s="4" t="s">
        <v>76</v>
      </c>
      <c r="F187" s="4">
        <v>952.45357401832405</v>
      </c>
      <c r="G187" s="5">
        <v>99.853157400000001</v>
      </c>
      <c r="H187" s="5">
        <v>17.63</v>
      </c>
      <c r="I187" s="5">
        <v>614</v>
      </c>
      <c r="J187" s="4" t="s">
        <v>128</v>
      </c>
    </row>
    <row r="188" spans="1:10" x14ac:dyDescent="0.25">
      <c r="A188" s="4">
        <f t="shared" ca="1" si="5"/>
        <v>185</v>
      </c>
      <c r="B188" s="4" t="s">
        <v>492</v>
      </c>
      <c r="C188" s="4" t="s">
        <v>493</v>
      </c>
      <c r="D188" s="4" t="s">
        <v>127</v>
      </c>
      <c r="E188" s="4" t="s">
        <v>76</v>
      </c>
      <c r="F188" s="4">
        <v>1000</v>
      </c>
      <c r="G188" s="5">
        <v>106.55890000000001</v>
      </c>
      <c r="H188" s="5">
        <v>18.95</v>
      </c>
      <c r="I188" s="5">
        <v>789</v>
      </c>
      <c r="J188" s="4" t="s">
        <v>128</v>
      </c>
    </row>
    <row r="189" spans="1:10" x14ac:dyDescent="0.25">
      <c r="A189" s="4">
        <f t="shared" ca="1" si="5"/>
        <v>186</v>
      </c>
      <c r="B189" s="4" t="s">
        <v>494</v>
      </c>
      <c r="C189" s="4" t="s">
        <v>495</v>
      </c>
      <c r="D189" s="4" t="s">
        <v>127</v>
      </c>
      <c r="E189" s="4" t="s">
        <v>496</v>
      </c>
      <c r="F189" s="4">
        <v>1.010783</v>
      </c>
      <c r="G189" s="5">
        <v>102.215</v>
      </c>
      <c r="H189" s="5">
        <v>4.4000000000000004</v>
      </c>
      <c r="I189" s="5">
        <v>1738</v>
      </c>
      <c r="J189" s="4" t="s">
        <v>128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2025-12-30T05:26:00Z</dcterms:created>
  <dcterms:modified xsi:type="dcterms:W3CDTF">2025-12-30T10:53:04Z</dcterms:modified>
</cp:coreProperties>
</file>