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EE8514FD-B1B8-40E5-AC98-BB91CF240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1" i="1" l="1"/>
  <c r="M10" i="1"/>
  <c r="M14" i="1"/>
  <c r="M18" i="1"/>
  <c r="M22" i="1"/>
  <c r="M8" i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<sst xmlns="http://schemas.openxmlformats.org/spreadsheetml/2006/main" count="1155" uniqueCount="513">
  <si>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</si>
  <si>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</si>
  <si>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</si>
  <si>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</si>
  <si>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</si>
  <si>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</si>
  <si>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</si>
  <si>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</si>
  <si>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</si>
  <si>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</si>
  <si>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</si>
  <si>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</si>
  <si>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</si>
  <si>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</si>
  <si>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</si>
  <si>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</si>
  <si>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</si>
  <si>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</si>
  <si>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</si>
  <si>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</si>
  <si>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</si>
  <si>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</si>
  <si>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</si>
  <si>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</si>
  <si>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</si>
  <si>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</si>
  <si>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</si>
  <si>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</si>
  <si>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</si>
  <si>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</si>
  <si>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</si>
  <si>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</si>
  <si>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</si>
  <si>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</si>
  <si>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</si>
  <si>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</si>
  <si>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</si>
  <si>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</si>
  <si>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</si>
  <si>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</si>
  <si>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</si>
  <si>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</si>
  <si>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</si>
  <si>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</si>
  <si>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</si>
  <si>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</si>
  <si>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</si>
  <si>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</si>
  <si>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</si>
  <si>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</si>
  <si>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</si>
  <si>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</si>
  <si>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</si>
  <si>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</si>
  <si>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</si>
  <si>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</si>
  <si>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</si>
  <si>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</si>
  <si>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</si>
  <si>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</si>
  <si>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</si>
  <si>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</si>
  <si>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</si>
  <si>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</si>
  <si>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</si>
  <si>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</si>
  <si>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</si>
  <si>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KZKD00001236</t>
  </si>
  <si>
    <t>KZT</t>
  </si>
  <si>
    <t>09.12.2025</t>
  </si>
  <si>
    <t>10.12.2025</t>
  </si>
  <si>
    <t>KZKD00001095</t>
  </si>
  <si>
    <t>АО "Казахстанский фонд устойчивости"</t>
  </si>
  <si>
    <t>KZ2C00008928</t>
  </si>
  <si>
    <t>11.12.2025</t>
  </si>
  <si>
    <t>KZKD00000477</t>
  </si>
  <si>
    <t>KZ96601A861038102391</t>
  </si>
  <si>
    <t>KZKD00000790</t>
  </si>
  <si>
    <t>10.07.2025</t>
  </si>
  <si>
    <t>13.08.2029</t>
  </si>
  <si>
    <t>KZKD00000535</t>
  </si>
  <si>
    <t>18.07.2024</t>
  </si>
  <si>
    <t>27.03.2027</t>
  </si>
  <si>
    <t>KZKD00001087</t>
  </si>
  <si>
    <t>31.03.2029</t>
  </si>
  <si>
    <t>KZKD00000741</t>
  </si>
  <si>
    <t>12.05.2034</t>
  </si>
  <si>
    <t>KZK200000687</t>
  </si>
  <si>
    <t>21.01.2026</t>
  </si>
  <si>
    <t>KZKD00001152</t>
  </si>
  <si>
    <t>26.07.2032</t>
  </si>
  <si>
    <t>KZKD00000444</t>
  </si>
  <si>
    <t>21.08.2025</t>
  </si>
  <si>
    <t>18.08.2026</t>
  </si>
  <si>
    <t>KZKD00000832</t>
  </si>
  <si>
    <t>29.01.2035</t>
  </si>
  <si>
    <t>KZK200000760</t>
  </si>
  <si>
    <t>14.08.2025</t>
  </si>
  <si>
    <t>07.08.2029</t>
  </si>
  <si>
    <t>KZKD00001129</t>
  </si>
  <si>
    <t>17.03.2031</t>
  </si>
  <si>
    <t>KZKD00000949</t>
  </si>
  <si>
    <t>16.04.2032</t>
  </si>
  <si>
    <t>KZKD00001251</t>
  </si>
  <si>
    <t>13.03.2025</t>
  </si>
  <si>
    <t>07.03.2030</t>
  </si>
  <si>
    <t>KZK100000373</t>
  </si>
  <si>
    <t>06.02.2026</t>
  </si>
  <si>
    <t>KZKD00001137</t>
  </si>
  <si>
    <t>12.04.2028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</si>
  <si>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</si>
  <si>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</si>
  <si>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</si>
  <si>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</si>
  <si>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</si>
  <si>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</si>
  <si>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24.07.2025</t>
  </si>
  <si>
    <t>19.10.2027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</si>
  <si>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</si>
  <si>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</si>
  <si>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</si>
  <si>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</si>
  <si>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</si>
  <si>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</si>
  <si>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</si>
  <si>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</si>
  <si>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</si>
  <si>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</si>
  <si>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</si>
  <si>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</si>
  <si>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</si>
  <si>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</si>
  <si>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</si>
  <si>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</si>
  <si>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</si>
  <si>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</si>
  <si>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</si>
  <si>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</si>
  <si>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</si>
  <si>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</si>
  <si>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</si>
  <si>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</si>
  <si>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</si>
  <si>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</si>
  <si>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</si>
  <si>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</si>
  <si>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</si>
  <si>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</si>
  <si>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</si>
  <si>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</si>
  <si>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</si>
  <si>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</si>
  <si>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</si>
  <si>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</si>
  <si>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</si>
  <si>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</si>
  <si>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</si>
  <si>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</si>
  <si>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</si>
  <si>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</si>
  <si>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</si>
  <si>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</si>
  <si>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</si>
  <si>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</si>
  <si>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</si>
  <si>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</si>
  <si>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</si>
  <si>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</si>
  <si>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</si>
  <si>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</si>
  <si>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</si>
  <si>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</si>
  <si>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</si>
  <si>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</si>
  <si>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MFSCb5</t>
  </si>
  <si>
    <t>KZ2P00011638</t>
  </si>
  <si>
    <t>KASAb1</t>
  </si>
  <si>
    <t>KZ2C00013753</t>
  </si>
  <si>
    <t>MFSCb8</t>
  </si>
  <si>
    <t>KZ2P00015712</t>
  </si>
  <si>
    <t>MFRFb24</t>
  </si>
  <si>
    <t>KZ2P00015845</t>
  </si>
  <si>
    <t>MFMOb32</t>
  </si>
  <si>
    <t>KZ2P00014590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</si>
  <si>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</si>
  <si>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</si>
  <si>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</si>
  <si>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</si>
  <si>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</si>
  <si>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</si>
  <si>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</si>
  <si>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</si>
  <si>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</si>
  <si>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</si>
  <si>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</si>
  <si>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</si>
  <si>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</si>
  <si>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</si>
  <si>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</si>
  <si>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</si>
  <si>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</si>
  <si>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</si>
  <si>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</si>
  <si>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</si>
  <si>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</si>
  <si>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</si>
  <si>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</si>
  <si>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</si>
  <si>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</si>
  <si>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</si>
  <si>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</si>
  <si>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</si>
  <si>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</si>
  <si>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</si>
  <si>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</si>
  <si>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</si>
  <si>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</si>
  <si>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</si>
  <si>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</si>
  <si>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</si>
  <si>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</si>
  <si>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</si>
  <si>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</si>
  <si>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</si>
  <si>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</si>
  <si>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</si>
  <si>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</si>
  <si>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</si>
  <si>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</si>
  <si>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</si>
  <si>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</si>
  <si>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</si>
  <si>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MFMOb15</t>
  </si>
  <si>
    <t>KZ2P00013295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</si>
  <si>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</si>
  <si>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</si>
  <si>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</si>
  <si>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</si>
  <si>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</si>
  <si>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</si>
  <si>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</si>
  <si>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</si>
  <si>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</si>
  <si>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</si>
  <si>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</si>
  <si>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</si>
  <si>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</si>
  <si>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</si>
  <si>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</si>
  <si>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</si>
  <si>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</si>
  <si>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</si>
  <si>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</si>
  <si>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</si>
  <si>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</si>
  <si>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</si>
  <si>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</si>
  <si>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</si>
  <si>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</si>
  <si>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</si>
  <si>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</si>
  <si>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</si>
  <si>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</si>
  <si>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</si>
  <si>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</si>
  <si>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</si>
  <si>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</si>
  <si>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</si>
  <si>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</si>
  <si>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</si>
  <si>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</si>
  <si>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</si>
  <si>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</si>
  <si>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</si>
  <si>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</si>
  <si>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</si>
  <si>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</si>
  <si>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</si>
  <si>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</si>
  <si>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</si>
  <si>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</si>
  <si>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</si>
  <si>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</si>
  <si>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</si>
  <si>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</si>
  <si>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</si>
  <si>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</si>
  <si>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</si>
  <si>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</si>
  <si>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</si>
  <si>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</si>
  <si>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</si>
  <si>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</si>
  <si>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</si>
  <si>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</si>
  <si>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</si>
  <si>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</si>
  <si>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</si>
  <si>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</si>
  <si>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</si>
  <si>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</si>
  <si>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</si>
  <si>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</si>
  <si>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</si>
  <si>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</si>
  <si>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</si>
  <si>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</si>
  <si>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</si>
  <si>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</si>
  <si>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</si>
  <si>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</si>
  <si>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</si>
  <si>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</si>
  <si>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</si>
  <si>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</si>
  <si>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</si>
  <si>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</si>
  <si>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</si>
  <si>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</si>
  <si>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</si>
  <si>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</si>
  <si>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</si>
  <si>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</si>
  <si>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</si>
  <si>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</si>
  <si>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</si>
  <si>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</si>
  <si>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</si>
  <si>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</si>
  <si>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</si>
  <si>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</si>
  <si>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</si>
  <si>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</si>
  <si>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</si>
  <si>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</si>
  <si>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</si>
  <si>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</si>
  <si>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</si>
  <si>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</si>
  <si>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</si>
  <si>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</si>
  <si>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</si>
  <si>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</si>
  <si>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</si>
  <si>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</si>
  <si>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</si>
  <si>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</si>
  <si>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</si>
  <si>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</si>
  <si>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</si>
  <si>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</si>
  <si>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</si>
  <si>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</si>
  <si>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</si>
  <si>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</si>
  <si>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</si>
  <si>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</si>
  <si>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</si>
  <si>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</si>
  <si>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</si>
  <si>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</si>
  <si>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</si>
  <si>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</si>
  <si>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</si>
  <si>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</si>
  <si>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</si>
  <si>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</si>
  <si>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</si>
  <si>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</si>
  <si>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</si>
  <si>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</si>
  <si>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</si>
  <si>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</si>
  <si>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</si>
  <si>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</si>
  <si>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</si>
  <si>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</si>
  <si>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</si>
  <si>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</si>
  <si>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</si>
  <si>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</si>
  <si>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</si>
  <si>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</si>
  <si>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</si>
  <si>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</si>
  <si>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</si>
  <si>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</si>
  <si>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</si>
  <si>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</si>
  <si>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</si>
  <si>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</si>
  <si>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</si>
  <si>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</si>
  <si>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</si>
  <si>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</si>
  <si>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</si>
  <si>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</si>
  <si>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</si>
  <si>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</si>
  <si>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</si>
  <si>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</si>
  <si>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</si>
  <si>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</si>
  <si>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</si>
  <si>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</si>
  <si>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</si>
  <si>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</si>
  <si>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</si>
  <si>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</si>
  <si>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</si>
  <si>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</si>
  <si>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</si>
  <si>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</si>
  <si>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</si>
  <si>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</si>
  <si>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</si>
  <si>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</si>
  <si>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</si>
  <si>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</si>
  <si>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</si>
  <si>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</si>
  <si>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</si>
  <si>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</si>
  <si>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</si>
  <si>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</si>
  <si>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</si>
  <si>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</si>
  <si>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</si>
  <si>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</si>
  <si>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</si>
  <si>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</si>
  <si>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</si>
  <si>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</si>
  <si>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</si>
  <si>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</si>
  <si>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</si>
  <si>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</si>
  <si>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</si>
  <si>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</si>
  <si>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</si>
  <si>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</si>
  <si>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</si>
  <si>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</si>
  <si>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</si>
  <si>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</si>
  <si>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</si>
  <si>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</si>
  <si>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</si>
  <si>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</si>
  <si>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</si>
  <si>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</si>
  <si>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</si>
  <si>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</si>
  <si>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</si>
  <si>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</si>
  <si>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</si>
  <si>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</si>
  <si>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</si>
  <si>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</si>
  <si>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</si>
  <si>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</si>
  <si>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</si>
  <si>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</si>
  <si>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BRKZe21</t>
  </si>
  <si>
    <t>HK0001185674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</si>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</sst>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  <xf numFmtId="170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33" workbookViewId="0">
      <selection activeCell="C49" sqref="C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26717603248.70034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2469500</v>
      </c>
      <c r="D8" s="17">
        <v>2469500000</v>
      </c>
      <c r="E8" s="18">
        <v>7.68</v>
      </c>
      <c r="F8" s="19" t="s">
        <v>78</v>
      </c>
      <c r="G8" s="19" t="s">
        <v>79</v>
      </c>
      <c r="H8" s="18">
        <v>1827657194</v>
      </c>
      <c r="I8" s="20">
        <v>76.928100000000001</v>
      </c>
      <c r="J8" s="20">
        <v>79.42410000000001</v>
      </c>
      <c r="K8" s="18">
        <v>61638720</v>
      </c>
      <c r="L8" s="18">
        <v>1961378149.5</v>
      </c>
      <c r="M8" s="21">
        <f t="shared" ref="M8:M24" si="0">L8/$Q$1</f>
        <v>7.3411455782262575E-2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3162500</v>
      </c>
      <c r="D9" s="17">
        <v>3162500000</v>
      </c>
      <c r="E9" s="18">
        <v>5.49</v>
      </c>
      <c r="F9" s="19" t="s">
        <v>81</v>
      </c>
      <c r="G9" s="19" t="s">
        <v>82</v>
      </c>
      <c r="H9" s="18">
        <v>2627740225</v>
      </c>
      <c r="I9" s="20">
        <v>87.1511</v>
      </c>
      <c r="J9" s="20">
        <v>91.009399999999999</v>
      </c>
      <c r="K9" s="18">
        <v>122017156.25</v>
      </c>
      <c r="L9" s="18">
        <v>2878170693.75</v>
      </c>
      <c r="M9" s="21">
        <f t="shared" si="0"/>
        <v>0.10772563193481835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11</v>
      </c>
      <c r="F10" s="19" t="s">
        <v>81</v>
      </c>
      <c r="G10" s="19" t="s">
        <v>84</v>
      </c>
      <c r="H10" s="18">
        <v>1743261712.5</v>
      </c>
      <c r="I10" s="20">
        <v>86.326100000000011</v>
      </c>
      <c r="J10" s="20">
        <v>93.965000000000003</v>
      </c>
      <c r="K10" s="18">
        <v>144947916.66666701</v>
      </c>
      <c r="L10" s="18">
        <v>1782985664.166666</v>
      </c>
      <c r="M10" s="21">
        <f t="shared" si="0"/>
        <v>6.6734491397666754E-2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8.07</v>
      </c>
      <c r="F11" s="19" t="s">
        <v>81</v>
      </c>
      <c r="G11" s="19" t="s">
        <v>86</v>
      </c>
      <c r="H11" s="18">
        <v>1359122325</v>
      </c>
      <c r="I11" s="20">
        <v>65.412700000000001</v>
      </c>
      <c r="J11" s="20">
        <v>70.075400000000002</v>
      </c>
      <c r="K11" s="18">
        <v>88474100</v>
      </c>
      <c r="L11" s="18">
        <v>1329680082.5</v>
      </c>
      <c r="M11" s="21">
        <f t="shared" si="0"/>
        <v>4.9767940264802059E-2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2530000</v>
      </c>
      <c r="D12" s="17">
        <v>2530000000</v>
      </c>
      <c r="E12" s="18">
        <v>10.67</v>
      </c>
      <c r="F12" s="19" t="s">
        <v>81</v>
      </c>
      <c r="G12" s="19" t="s">
        <v>88</v>
      </c>
      <c r="H12" s="18">
        <v>2455119589.9966769</v>
      </c>
      <c r="I12" s="20">
        <v>99.310299999999998</v>
      </c>
      <c r="J12" s="20">
        <v>103.43010000000001</v>
      </c>
      <c r="K12" s="18">
        <v>104231080.555556</v>
      </c>
      <c r="L12" s="18">
        <v>2616781670.5555549</v>
      </c>
      <c r="M12" s="21">
        <f t="shared" si="0"/>
        <v>9.7942231052586898E-2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10.65</v>
      </c>
      <c r="F13" s="19" t="s">
        <v>81</v>
      </c>
      <c r="G13" s="19" t="s">
        <v>90</v>
      </c>
      <c r="H13" s="18">
        <v>1648500562.5</v>
      </c>
      <c r="I13" s="20">
        <v>79.115200000000002</v>
      </c>
      <c r="J13" s="20">
        <v>83.079400000000007</v>
      </c>
      <c r="K13" s="18">
        <v>75220062.5</v>
      </c>
      <c r="L13" s="18">
        <v>1576430982.5</v>
      </c>
      <c r="M13" s="21">
        <f t="shared" si="0"/>
        <v>5.9003458050702375E-2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1106600</v>
      </c>
      <c r="D14" s="17">
        <v>1106600000</v>
      </c>
      <c r="E14" s="18">
        <v>5.5</v>
      </c>
      <c r="F14" s="19" t="s">
        <v>92</v>
      </c>
      <c r="G14" s="19" t="s">
        <v>93</v>
      </c>
      <c r="H14" s="18">
        <v>999478906.79999995</v>
      </c>
      <c r="I14" s="20">
        <v>92.75</v>
      </c>
      <c r="J14" s="20">
        <v>94.461100000000002</v>
      </c>
      <c r="K14" s="18">
        <v>18935155.555555601</v>
      </c>
      <c r="L14" s="18">
        <v>1045306655.55556</v>
      </c>
      <c r="M14" s="21">
        <f t="shared" si="0"/>
        <v>3.912426746610994E-2</v>
      </c>
      <c r="O14" s="10">
        <v>749863.88888888899</v>
      </c>
    </row>
    <row r="15" spans="1:17" x14ac:dyDescent="0.2">
      <c r="A15" s="15" t="s">
        <v>66</v>
      </c>
      <c r="B15" s="15" t="s">
        <v>94</v>
      </c>
      <c r="C15" s="16">
        <v>1897500</v>
      </c>
      <c r="D15" s="17">
        <v>1897500000</v>
      </c>
      <c r="E15" s="18">
        <v>8.07</v>
      </c>
      <c r="F15" s="19" t="s">
        <v>81</v>
      </c>
      <c r="G15" s="19" t="s">
        <v>95</v>
      </c>
      <c r="H15" s="18">
        <v>1338524962.5</v>
      </c>
      <c r="I15" s="20">
        <v>64.212699999999998</v>
      </c>
      <c r="J15" s="20">
        <v>71.184300000000007</v>
      </c>
      <c r="K15" s="18">
        <v>132285793.75</v>
      </c>
      <c r="L15" s="18">
        <v>1350721776.25</v>
      </c>
      <c r="M15" s="21">
        <f t="shared" si="0"/>
        <v>5.0555499446444732E-2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897100</v>
      </c>
      <c r="D16" s="17">
        <v>897100000</v>
      </c>
      <c r="E16" s="18">
        <v>17.010000000000002</v>
      </c>
      <c r="F16" s="19" t="s">
        <v>97</v>
      </c>
      <c r="G16" s="19" t="s">
        <v>98</v>
      </c>
      <c r="H16" s="18">
        <v>896985171.20000005</v>
      </c>
      <c r="I16" s="20">
        <v>102.83040000000001</v>
      </c>
      <c r="J16" s="20">
        <v>108.6422</v>
      </c>
      <c r="K16" s="18">
        <v>52137209.25</v>
      </c>
      <c r="L16" s="18">
        <v>974628727.64999998</v>
      </c>
      <c r="M16" s="21">
        <f t="shared" si="0"/>
        <v>3.6478898147325779E-2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10.3</v>
      </c>
      <c r="F17" s="19" t="s">
        <v>81</v>
      </c>
      <c r="G17" s="19" t="s">
        <v>100</v>
      </c>
      <c r="H17" s="18">
        <v>1645329839.996666</v>
      </c>
      <c r="I17" s="20">
        <v>80.171400000000006</v>
      </c>
      <c r="J17" s="20">
        <v>87.696100000000001</v>
      </c>
      <c r="K17" s="18">
        <v>142781604.16666701</v>
      </c>
      <c r="L17" s="18">
        <v>1664033919.166666</v>
      </c>
      <c r="M17" s="21">
        <f t="shared" si="0"/>
        <v>6.2282305178239065E-2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8.4499999999999993</v>
      </c>
      <c r="F18" s="19" t="s">
        <v>81</v>
      </c>
      <c r="G18" s="19" t="s">
        <v>102</v>
      </c>
      <c r="H18" s="18">
        <v>1457889097.496666</v>
      </c>
      <c r="I18" s="20">
        <v>71.239999999999995</v>
      </c>
      <c r="J18" s="20">
        <v>76.732500000000002</v>
      </c>
      <c r="K18" s="18">
        <v>104220187.5</v>
      </c>
      <c r="L18" s="18">
        <v>1455999187.5</v>
      </c>
      <c r="M18" s="21">
        <f t="shared" si="0"/>
        <v>5.4495875769501372E-2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550000</v>
      </c>
      <c r="D19" s="17">
        <v>550000000</v>
      </c>
      <c r="E19" s="18">
        <v>12</v>
      </c>
      <c r="F19" s="19" t="s">
        <v>104</v>
      </c>
      <c r="G19" s="19" t="s">
        <v>105</v>
      </c>
      <c r="H19" s="18">
        <v>491343050</v>
      </c>
      <c r="I19" s="20">
        <v>87.2089</v>
      </c>
      <c r="J19" s="20">
        <v>96.308900000000008</v>
      </c>
      <c r="K19" s="18">
        <v>50049999.999999993</v>
      </c>
      <c r="L19" s="18">
        <v>529698950</v>
      </c>
      <c r="M19" s="21">
        <f t="shared" si="0"/>
        <v>1.982584085366141E-2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11424000</v>
      </c>
      <c r="D20" s="17">
        <v>1142400000</v>
      </c>
      <c r="E20" s="18">
        <v>0</v>
      </c>
      <c r="F20" s="19" t="s">
        <v>104</v>
      </c>
      <c r="G20" s="19" t="s">
        <v>107</v>
      </c>
      <c r="H20" s="18">
        <v>1003902278.4</v>
      </c>
      <c r="I20" s="20">
        <v>97.506399999999999</v>
      </c>
      <c r="J20" s="20">
        <v>97.506399999999999</v>
      </c>
      <c r="K20" s="18"/>
      <c r="L20" s="18">
        <v>1113913113.5999999</v>
      </c>
      <c r="M20" s="21">
        <f t="shared" si="0"/>
        <v>4.1692104760713722E-2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10.4</v>
      </c>
      <c r="F21" s="19" t="s">
        <v>81</v>
      </c>
      <c r="G21" s="19" t="s">
        <v>109</v>
      </c>
      <c r="H21" s="18">
        <v>1736743800</v>
      </c>
      <c r="I21" s="20">
        <v>87.9221</v>
      </c>
      <c r="J21" s="20">
        <v>94.797700000000006</v>
      </c>
      <c r="K21" s="18">
        <v>130463666.666667</v>
      </c>
      <c r="L21" s="18">
        <v>1798785514.166666</v>
      </c>
      <c r="M21" s="21">
        <f t="shared" si="0"/>
        <v>6.7325856193862249E-2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1897500</v>
      </c>
      <c r="D22" s="17">
        <v>1897500000</v>
      </c>
      <c r="E22" s="18">
        <v>10.55</v>
      </c>
      <c r="F22" s="19" t="s">
        <v>81</v>
      </c>
      <c r="G22" s="19" t="s">
        <v>111</v>
      </c>
      <c r="H22" s="18">
        <v>1708326839.9966669</v>
      </c>
      <c r="I22" s="20">
        <v>84.424900000000008</v>
      </c>
      <c r="J22" s="20">
        <v>88.293199999999999</v>
      </c>
      <c r="K22" s="18">
        <v>73401625</v>
      </c>
      <c r="L22" s="18">
        <v>1675364102.5</v>
      </c>
      <c r="M22" s="21">
        <f t="shared" si="0"/>
        <v>6.2706377024349932E-2</v>
      </c>
      <c r="O22" s="10">
        <v>749863.88888888899</v>
      </c>
    </row>
    <row r="23" spans="1:15" x14ac:dyDescent="0.2">
      <c r="A23" s="15" t="s">
        <v>112</v>
      </c>
      <c r="B23" s="15" t="s">
        <v>113</v>
      </c>
      <c r="C23" s="16">
        <v>992234</v>
      </c>
      <c r="D23" s="17">
        <v>992234000</v>
      </c>
      <c r="E23" s="18">
        <v>14.3</v>
      </c>
      <c r="F23" s="19" t="s">
        <v>114</v>
      </c>
      <c r="G23" s="19" t="s">
        <v>115</v>
      </c>
      <c r="H23" s="18">
        <v>991722999.49000001</v>
      </c>
      <c r="I23" s="20">
        <v>94.562832549999996</v>
      </c>
      <c r="J23" s="20">
        <v>98.415932549999994</v>
      </c>
      <c r="K23" s="18">
        <v>38231327.26111111</v>
      </c>
      <c r="L23" s="18">
        <v>976515903.17256892</v>
      </c>
      <c r="M23" s="21">
        <f t="shared" si="0"/>
        <v>3.6549532309567132E-2</v>
      </c>
      <c r="O23" s="10">
        <v>749863.88888888899</v>
      </c>
    </row>
    <row r="24" spans="1:15" x14ac:dyDescent="0.2">
      <c r="A24" s="15" t="s">
        <v>66</v>
      </c>
      <c r="B24" s="15" t="s">
        <v>75</v>
      </c>
      <c r="C24" s="16">
        <v>2391500</v>
      </c>
      <c r="D24" s="17">
        <v>2391500000</v>
      </c>
      <c r="E24" s="18">
        <v>5.3</v>
      </c>
      <c r="F24" s="19" t="s">
        <v>116</v>
      </c>
      <c r="G24" s="19" t="s">
        <v>117</v>
      </c>
      <c r="H24" s="18">
        <v>1903079172</v>
      </c>
      <c r="I24" s="20">
        <v>82.343800000000002</v>
      </c>
      <c r="J24" s="20">
        <v>83.0946</v>
      </c>
      <c r="K24" s="18">
        <v>17956179.16666666</v>
      </c>
      <c r="L24" s="18">
        <v>1987208156.166666</v>
      </c>
      <c r="M24" s="21">
        <f t="shared" si="0"/>
        <v>7.4378234367385943E-2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1356991784.2888904</v>
      </c>
      <c r="L26" s="23">
        <f>SUM(L8:L25)</f>
        <v>26717603248.70034</v>
      </c>
      <c r="M26" s="26">
        <f>SUM(M8:M25)</f>
        <v>1.0000000000000002</v>
      </c>
      <c r="N26" s="9">
        <v>26717603248.700352</v>
      </c>
      <c r="O26" s="61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933263.37</v>
      </c>
    </row>
    <row r="30" spans="1:15" x14ac:dyDescent="0.2">
      <c r="A30" s="29" t="s">
        <v>76</v>
      </c>
      <c r="B30" s="30">
        <v>933263.37</v>
      </c>
      <c r="C30" s="11">
        <v>933263.43</v>
      </c>
      <c r="D30" s="60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480700</v>
      </c>
      <c r="D35" s="32" t="s">
        <v>68</v>
      </c>
      <c r="E35" s="34" t="s">
        <v>69</v>
      </c>
      <c r="F35" s="34" t="s">
        <v>70</v>
      </c>
      <c r="G35" s="35">
        <v>988.63100000000009</v>
      </c>
      <c r="H35" s="35">
        <f t="shared" ref="H35:H40" si="1">J35/C35</f>
        <v>989.09416686082795</v>
      </c>
      <c r="I35" s="36">
        <v>475234921.69999999</v>
      </c>
      <c r="J35" s="36">
        <v>475457566.00999999</v>
      </c>
      <c r="K35" s="37">
        <v>17.100000000000001</v>
      </c>
      <c r="L35" s="37">
        <v>222644.31</v>
      </c>
      <c r="M35" s="31">
        <f t="shared" ref="M35:M40" si="2">I35+L35</f>
        <v>475457566.00999999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16016</v>
      </c>
      <c r="D36" s="32" t="s">
        <v>68</v>
      </c>
      <c r="E36" s="34" t="s">
        <v>69</v>
      </c>
      <c r="F36" s="34" t="s">
        <v>70</v>
      </c>
      <c r="G36" s="35">
        <v>874.783000124875</v>
      </c>
      <c r="H36" s="35">
        <f t="shared" si="1"/>
        <v>875.19282967032962</v>
      </c>
      <c r="I36" s="36">
        <v>14010524.529999999</v>
      </c>
      <c r="J36" s="36">
        <v>14017088.359999999</v>
      </c>
      <c r="K36" s="37">
        <v>17.100000000000001</v>
      </c>
      <c r="L36" s="37">
        <v>6563.83</v>
      </c>
      <c r="M36" s="31">
        <f t="shared" si="2"/>
        <v>14017088.359999999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2075216</v>
      </c>
      <c r="D37" s="32" t="s">
        <v>68</v>
      </c>
      <c r="E37" s="34" t="s">
        <v>69</v>
      </c>
      <c r="F37" s="34" t="s">
        <v>70</v>
      </c>
      <c r="G37" s="35">
        <v>874.78300000096408</v>
      </c>
      <c r="H37" s="35">
        <f t="shared" si="1"/>
        <v>875.19282984518236</v>
      </c>
      <c r="I37" s="36">
        <v>1815363678.1300001</v>
      </c>
      <c r="J37" s="36">
        <v>1816214163.5799999</v>
      </c>
      <c r="K37" s="37">
        <v>17.100000000000001</v>
      </c>
      <c r="L37" s="37">
        <v>850485.45</v>
      </c>
      <c r="M37" s="31">
        <f t="shared" si="2"/>
        <v>1816214163.5800002</v>
      </c>
      <c r="N37" s="10"/>
      <c r="O37" s="9"/>
      <c r="Q37" s="9">
        <v>0</v>
      </c>
    </row>
    <row r="38" spans="1:17" x14ac:dyDescent="0.2">
      <c r="A38" s="32" t="s">
        <v>72</v>
      </c>
      <c r="B38" s="32" t="s">
        <v>73</v>
      </c>
      <c r="C38" s="33">
        <v>332320</v>
      </c>
      <c r="D38" s="32" t="s">
        <v>68</v>
      </c>
      <c r="E38" s="34" t="s">
        <v>70</v>
      </c>
      <c r="F38" s="34" t="s">
        <v>74</v>
      </c>
      <c r="G38" s="35">
        <v>1008.0880000000001</v>
      </c>
      <c r="H38" s="35">
        <f t="shared" si="1"/>
        <v>1008.558075589793</v>
      </c>
      <c r="I38" s="36">
        <v>335007804.16000003</v>
      </c>
      <c r="J38" s="36">
        <v>335164019.68000001</v>
      </c>
      <c r="K38" s="37">
        <v>17.020099999999999</v>
      </c>
      <c r="L38" s="37"/>
      <c r="M38" s="31">
        <f t="shared" si="2"/>
        <v>335007804.16000003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16856</v>
      </c>
      <c r="D39" s="32" t="s">
        <v>68</v>
      </c>
      <c r="E39" s="34" t="s">
        <v>70</v>
      </c>
      <c r="F39" s="34" t="s">
        <v>74</v>
      </c>
      <c r="G39" s="35">
        <v>830.94600023730402</v>
      </c>
      <c r="H39" s="35">
        <f t="shared" si="1"/>
        <v>831.33347176079735</v>
      </c>
      <c r="I39" s="36">
        <v>14006425.779999999</v>
      </c>
      <c r="J39" s="36">
        <v>14012957</v>
      </c>
      <c r="K39" s="37">
        <v>17.02</v>
      </c>
      <c r="L39" s="37"/>
      <c r="M39" s="31">
        <f t="shared" si="2"/>
        <v>14006425.779999999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2353820</v>
      </c>
      <c r="D40" s="32" t="s">
        <v>68</v>
      </c>
      <c r="E40" s="34" t="s">
        <v>70</v>
      </c>
      <c r="F40" s="34" t="s">
        <v>74</v>
      </c>
      <c r="G40" s="35">
        <v>830.94600000000003</v>
      </c>
      <c r="H40" s="35">
        <f t="shared" si="1"/>
        <v>831.33347125948455</v>
      </c>
      <c r="I40" s="36">
        <v>1955897313.72</v>
      </c>
      <c r="J40" s="36">
        <v>1956809351.3199999</v>
      </c>
      <c r="K40" s="37">
        <v>17.02</v>
      </c>
      <c r="L40" s="37"/>
      <c r="M40" s="31">
        <f t="shared" si="2"/>
        <v>1955897313.72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2304911543.6599998</v>
      </c>
      <c r="N42" s="62">
        <v>2304911543.6600003</v>
      </c>
      <c r="O42" s="63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L26+B29+M42</f>
        <v>29023448055.730339</v>
      </c>
      <c r="C49" s="64">
        <v>29023448055.790352</v>
      </c>
      <c r="D49" s="64">
        <f>__mdDATAItogoActive__-C49</f>
        <v>-6.00128173828125E-2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5" t="s">
        <v>48</v>
      </c>
      <c r="B54" s="65"/>
      <c r="C54" s="65"/>
      <c r="D54" s="65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5" t="s">
        <v>49</v>
      </c>
      <c r="B60" s="65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0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454022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369718.98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130768.02</v>
      </c>
      <c r="D69" s="57"/>
      <c r="F69" s="54"/>
      <c r="O69" s="9"/>
    </row>
    <row r="70" spans="1:15" x14ac:dyDescent="0.2">
      <c r="A70" s="24">
        <v>7</v>
      </c>
      <c r="B70" s="55" t="s">
        <v>59</v>
      </c>
      <c r="C70" s="57">
        <v>17487.330000000002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6" t="s">
        <v>63</v>
      </c>
      <c r="B74" s="66"/>
      <c r="C74" s="59">
        <f>SUM(C64:C73)</f>
        <v>971996.33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10.12.2025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1061.865</v>
      </c>
      <c r="G5" s="5">
        <v>111.2587</v>
      </c>
      <c r="H5" s="5">
        <v>18.47</v>
      </c>
      <c r="I5" s="5">
        <v>829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1415.46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560872.23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120</v>
      </c>
      <c r="E9" s="4" t="s">
        <v>132</v>
      </c>
      <c r="F9" s="4">
        <v>168.08</v>
      </c>
      <c r="G9" s="5"/>
      <c r="H9" s="5"/>
      <c r="I9" s="5"/>
      <c r="J9" s="4" t="s">
        <v>122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5622.28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5700687.8300000001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131.26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125</v>
      </c>
      <c r="E13" s="4" t="s">
        <v>132</v>
      </c>
      <c r="F13" s="4">
        <v>0.90684799999999999</v>
      </c>
      <c r="G13" s="5">
        <v>91.229200000000006</v>
      </c>
      <c r="H13" s="5">
        <v>5.03</v>
      </c>
      <c r="I13" s="5">
        <v>2683</v>
      </c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132</v>
      </c>
      <c r="F14" s="4">
        <v>1090.74</v>
      </c>
      <c r="G14" s="5"/>
      <c r="H14" s="5"/>
      <c r="I14" s="5"/>
      <c r="J14" s="4" t="s">
        <v>147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120</v>
      </c>
      <c r="E15" s="4" t="s">
        <v>132</v>
      </c>
      <c r="F15" s="4">
        <v>1855792.53</v>
      </c>
      <c r="G15" s="5"/>
      <c r="H15" s="5"/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120</v>
      </c>
      <c r="E16" s="4" t="s">
        <v>132</v>
      </c>
      <c r="F16" s="4">
        <v>71361.56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120</v>
      </c>
      <c r="E17" s="4" t="s">
        <v>132</v>
      </c>
      <c r="F17" s="4">
        <v>71983.290000000008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120</v>
      </c>
      <c r="E18" s="4" t="s">
        <v>132</v>
      </c>
      <c r="F18" s="4">
        <v>50716.55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120</v>
      </c>
      <c r="E19" s="4" t="s">
        <v>132</v>
      </c>
      <c r="F19" s="4">
        <v>7.21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125</v>
      </c>
      <c r="E20" s="4" t="s">
        <v>132</v>
      </c>
      <c r="F20" s="4">
        <v>1000</v>
      </c>
      <c r="G20" s="5">
        <v>101.09820000000001</v>
      </c>
      <c r="H20" s="5">
        <v>17.95</v>
      </c>
      <c r="I20" s="5">
        <v>1075</v>
      </c>
      <c r="J20" s="4" t="s">
        <v>126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125</v>
      </c>
      <c r="E21" s="4" t="s">
        <v>132</v>
      </c>
      <c r="F21" s="4">
        <v>1000</v>
      </c>
      <c r="G21" s="5">
        <v>102.7642</v>
      </c>
      <c r="H21" s="5">
        <v>17.72</v>
      </c>
      <c r="I21" s="5">
        <v>674</v>
      </c>
      <c r="J21" s="4" t="s">
        <v>126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125</v>
      </c>
      <c r="E22" s="4" t="s">
        <v>132</v>
      </c>
      <c r="F22" s="4">
        <v>1000</v>
      </c>
      <c r="G22" s="5">
        <v>107.41940000000001</v>
      </c>
      <c r="H22" s="5">
        <v>18.150000000000002</v>
      </c>
      <c r="I22" s="5">
        <v>1861</v>
      </c>
      <c r="J22" s="4" t="s">
        <v>126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125</v>
      </c>
      <c r="E23" s="4" t="s">
        <v>132</v>
      </c>
      <c r="F23" s="4">
        <v>1000</v>
      </c>
      <c r="G23" s="5">
        <v>104.86890000000001</v>
      </c>
      <c r="H23" s="5">
        <v>18.04</v>
      </c>
      <c r="I23" s="5">
        <v>1545</v>
      </c>
      <c r="J23" s="4" t="s">
        <v>126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120</v>
      </c>
      <c r="E24" s="4" t="s">
        <v>132</v>
      </c>
      <c r="F24" s="4">
        <v>1529.01</v>
      </c>
      <c r="G24" s="5"/>
      <c r="H24" s="5"/>
      <c r="I24" s="5"/>
      <c r="J24" s="4" t="s">
        <v>122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125</v>
      </c>
      <c r="E25" s="4" t="s">
        <v>132</v>
      </c>
      <c r="F25" s="4">
        <v>981.25</v>
      </c>
      <c r="G25" s="5">
        <v>100.51390000000001</v>
      </c>
      <c r="H25" s="5">
        <v>23.85</v>
      </c>
      <c r="I25" s="5">
        <v>326</v>
      </c>
      <c r="J25" s="4" t="s">
        <v>126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125</v>
      </c>
      <c r="E26" s="4" t="s">
        <v>132</v>
      </c>
      <c r="F26" s="4">
        <v>497295.5</v>
      </c>
      <c r="G26" s="5">
        <v>102.36330000000001</v>
      </c>
      <c r="H26" s="5">
        <v>21.41</v>
      </c>
      <c r="I26" s="5">
        <v>222</v>
      </c>
      <c r="J26" s="4" t="s">
        <v>126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125</v>
      </c>
      <c r="E27" s="4" t="s">
        <v>132</v>
      </c>
      <c r="F27" s="4">
        <v>498763</v>
      </c>
      <c r="G27" s="5">
        <v>105.0082</v>
      </c>
      <c r="H27" s="5">
        <v>44.34</v>
      </c>
      <c r="I27" s="5">
        <v>5</v>
      </c>
      <c r="J27" s="4" t="s">
        <v>126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125</v>
      </c>
      <c r="E28" s="4" t="s">
        <v>132</v>
      </c>
      <c r="F28" s="4">
        <v>94.496000000000009</v>
      </c>
      <c r="G28" s="5">
        <v>94.933500000000009</v>
      </c>
      <c r="H28" s="5">
        <v>14.95</v>
      </c>
      <c r="I28" s="5">
        <v>502</v>
      </c>
      <c r="J28" s="4" t="s">
        <v>126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125</v>
      </c>
      <c r="E29" s="4" t="s">
        <v>132</v>
      </c>
      <c r="F29" s="4">
        <v>1008.7270000000001</v>
      </c>
      <c r="G29" s="5">
        <v>101.05330000000001</v>
      </c>
      <c r="H29" s="5">
        <v>6.11</v>
      </c>
      <c r="I29" s="5">
        <v>903</v>
      </c>
      <c r="J29" s="4" t="s">
        <v>126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125</v>
      </c>
      <c r="E30" s="4" t="s">
        <v>132</v>
      </c>
      <c r="F30" s="4">
        <v>993.77500000000009</v>
      </c>
      <c r="G30" s="5">
        <v>100.2136</v>
      </c>
      <c r="H30" s="5">
        <v>22</v>
      </c>
      <c r="I30" s="5">
        <v>533</v>
      </c>
      <c r="J30" s="4" t="s">
        <v>126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125</v>
      </c>
      <c r="E31" s="4" t="s">
        <v>132</v>
      </c>
      <c r="F31" s="4">
        <v>1011.7370000000001</v>
      </c>
      <c r="G31" s="5">
        <v>102.19590000000001</v>
      </c>
      <c r="H31" s="5">
        <v>22.44</v>
      </c>
      <c r="I31" s="5">
        <v>1050</v>
      </c>
      <c r="J31" s="4" t="s">
        <v>126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125</v>
      </c>
      <c r="E32" s="4" t="s">
        <v>132</v>
      </c>
      <c r="F32" s="4">
        <v>96.670500000000004</v>
      </c>
      <c r="G32" s="5">
        <v>97.281600000000012</v>
      </c>
      <c r="H32" s="5">
        <v>13.2</v>
      </c>
      <c r="I32" s="5">
        <v>619</v>
      </c>
      <c r="J32" s="4" t="s">
        <v>126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125</v>
      </c>
      <c r="E33" s="4" t="s">
        <v>132</v>
      </c>
      <c r="F33" s="4">
        <v>987.5</v>
      </c>
      <c r="G33" s="5">
        <v>102.16670000000001</v>
      </c>
      <c r="H33" s="5">
        <v>21.43</v>
      </c>
      <c r="I33" s="5">
        <v>578</v>
      </c>
      <c r="J33" s="4" t="s">
        <v>126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125</v>
      </c>
      <c r="E34" s="4" t="s">
        <v>132</v>
      </c>
      <c r="F34" s="4">
        <v>985.61700000000008</v>
      </c>
      <c r="G34" s="5">
        <v>100.47840000000001</v>
      </c>
      <c r="H34" s="5">
        <v>19</v>
      </c>
      <c r="I34" s="5">
        <v>326</v>
      </c>
      <c r="J34" s="4" t="s">
        <v>126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125</v>
      </c>
      <c r="E35" s="4" t="s">
        <v>132</v>
      </c>
      <c r="F35" s="4">
        <v>993.38900000000001</v>
      </c>
      <c r="G35" s="5">
        <v>100.8056</v>
      </c>
      <c r="H35" s="5">
        <v>22.54</v>
      </c>
      <c r="I35" s="5">
        <v>523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125</v>
      </c>
      <c r="E36" s="4" t="s">
        <v>132</v>
      </c>
      <c r="F36" s="4">
        <v>970.23300000000006</v>
      </c>
      <c r="G36" s="5">
        <v>97.94</v>
      </c>
      <c r="H36" s="5">
        <v>17.48</v>
      </c>
      <c r="I36" s="5">
        <v>1623</v>
      </c>
      <c r="J36" s="4" t="s">
        <v>126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125</v>
      </c>
      <c r="E37" s="4" t="s">
        <v>132</v>
      </c>
      <c r="F37" s="4">
        <v>495100.5</v>
      </c>
      <c r="G37" s="5">
        <v>102.22840000000001</v>
      </c>
      <c r="H37" s="5">
        <v>21.72</v>
      </c>
      <c r="I37" s="5">
        <v>583</v>
      </c>
      <c r="J37" s="4" t="s">
        <v>126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125</v>
      </c>
      <c r="E38" s="4" t="s">
        <v>132</v>
      </c>
      <c r="F38" s="4">
        <v>99.946600000000004</v>
      </c>
      <c r="G38" s="5">
        <v>102.87990000000001</v>
      </c>
      <c r="H38" s="5">
        <v>11.02</v>
      </c>
      <c r="I38" s="5">
        <v>269</v>
      </c>
      <c r="J38" s="4" t="s">
        <v>126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125</v>
      </c>
      <c r="E39" s="4" t="s">
        <v>132</v>
      </c>
      <c r="F39" s="4">
        <v>812.46</v>
      </c>
      <c r="G39" s="5">
        <v>81.829300000000003</v>
      </c>
      <c r="H39" s="5">
        <v>47.23</v>
      </c>
      <c r="I39" s="5">
        <v>325</v>
      </c>
      <c r="J39" s="4" t="s">
        <v>126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125</v>
      </c>
      <c r="E40" s="4" t="s">
        <v>132</v>
      </c>
      <c r="F40" s="4">
        <v>1008.0010000000001</v>
      </c>
      <c r="G40" s="5">
        <v>101.9684</v>
      </c>
      <c r="H40" s="5">
        <v>20.62</v>
      </c>
      <c r="I40" s="5">
        <v>924</v>
      </c>
      <c r="J40" s="4" t="s">
        <v>126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125</v>
      </c>
      <c r="E41" s="4" t="s">
        <v>132</v>
      </c>
      <c r="F41" s="4">
        <v>1011.032</v>
      </c>
      <c r="G41" s="5">
        <v>101.4088</v>
      </c>
      <c r="H41" s="5">
        <v>21.17</v>
      </c>
      <c r="I41" s="5">
        <v>573</v>
      </c>
      <c r="J41" s="4" t="s">
        <v>126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125</v>
      </c>
      <c r="E42" s="4" t="s">
        <v>132</v>
      </c>
      <c r="F42" s="4">
        <v>980.93600000000004</v>
      </c>
      <c r="G42" s="5">
        <v>102.0603</v>
      </c>
      <c r="H42" s="5">
        <v>23.61</v>
      </c>
      <c r="I42" s="5">
        <v>297</v>
      </c>
      <c r="J42" s="4" t="s">
        <v>126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125</v>
      </c>
      <c r="E43" s="4" t="s">
        <v>132</v>
      </c>
      <c r="F43" s="4">
        <v>971.05600000000004</v>
      </c>
      <c r="G43" s="5">
        <v>98.108400000000003</v>
      </c>
      <c r="H43" s="5">
        <v>22.72</v>
      </c>
      <c r="I43" s="5">
        <v>316</v>
      </c>
      <c r="J43" s="4" t="s">
        <v>126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125</v>
      </c>
      <c r="E44" s="4" t="s">
        <v>132</v>
      </c>
      <c r="F44" s="4">
        <v>971.774</v>
      </c>
      <c r="G44" s="5">
        <v>97.810700000000011</v>
      </c>
      <c r="H44" s="5">
        <v>20.65</v>
      </c>
      <c r="I44" s="5">
        <v>780</v>
      </c>
      <c r="J44" s="4" t="s">
        <v>126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125</v>
      </c>
      <c r="E45" s="4" t="s">
        <v>132</v>
      </c>
      <c r="F45" s="4">
        <v>996.52600000000007</v>
      </c>
      <c r="G45" s="5">
        <v>101.2859</v>
      </c>
      <c r="H45" s="5">
        <v>21.2</v>
      </c>
      <c r="I45" s="5">
        <v>824</v>
      </c>
      <c r="J45" s="4" t="s">
        <v>126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125</v>
      </c>
      <c r="E46" s="4" t="s">
        <v>132</v>
      </c>
      <c r="F46" s="4">
        <v>998.0390000000001</v>
      </c>
      <c r="G46" s="5">
        <v>100.39970000000001</v>
      </c>
      <c r="H46" s="5">
        <v>19.64</v>
      </c>
      <c r="I46" s="5">
        <v>536</v>
      </c>
      <c r="J46" s="4" t="s">
        <v>126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125</v>
      </c>
      <c r="E47" s="4" t="s">
        <v>132</v>
      </c>
      <c r="F47" s="4">
        <v>1036.171</v>
      </c>
      <c r="G47" s="5">
        <v>104.831</v>
      </c>
      <c r="H47" s="5">
        <v>21.33</v>
      </c>
      <c r="I47" s="5">
        <v>1078</v>
      </c>
      <c r="J47" s="4" t="s">
        <v>126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125</v>
      </c>
      <c r="E48" s="4" t="s">
        <v>132</v>
      </c>
      <c r="F48" s="4">
        <v>1038.25</v>
      </c>
      <c r="G48" s="5">
        <v>105.0389</v>
      </c>
      <c r="H48" s="5">
        <v>21.24</v>
      </c>
      <c r="I48" s="5">
        <v>1078</v>
      </c>
      <c r="J48" s="4" t="s">
        <v>126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125</v>
      </c>
      <c r="E49" s="4" t="s">
        <v>132</v>
      </c>
      <c r="F49" s="4">
        <v>99.117200000000011</v>
      </c>
      <c r="G49" s="5">
        <v>99.728300000000004</v>
      </c>
      <c r="H49" s="5">
        <v>10.75</v>
      </c>
      <c r="I49" s="5">
        <v>464</v>
      </c>
      <c r="J49" s="4" t="s">
        <v>126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125</v>
      </c>
      <c r="E50" s="4" t="s">
        <v>132</v>
      </c>
      <c r="F50" s="4">
        <v>1000</v>
      </c>
      <c r="G50" s="5">
        <v>106.42440000000001</v>
      </c>
      <c r="H50" s="5">
        <v>17.600000000000001</v>
      </c>
      <c r="I50" s="5">
        <v>1329</v>
      </c>
      <c r="J50" s="4" t="s">
        <v>126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125</v>
      </c>
      <c r="E51" s="4" t="s">
        <v>132</v>
      </c>
      <c r="F51" s="4">
        <v>1002.937</v>
      </c>
      <c r="G51" s="5">
        <v>101.818</v>
      </c>
      <c r="H51" s="5">
        <v>21.74</v>
      </c>
      <c r="I51" s="5">
        <v>614</v>
      </c>
      <c r="J51" s="4" t="s">
        <v>126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125</v>
      </c>
      <c r="E52" s="4" t="s">
        <v>132</v>
      </c>
      <c r="F52" s="4">
        <v>99.999800000000008</v>
      </c>
      <c r="G52" s="5">
        <v>100.64150000000001</v>
      </c>
      <c r="H52" s="5">
        <v>11</v>
      </c>
      <c r="I52" s="5">
        <v>710</v>
      </c>
      <c r="J52" s="4" t="s">
        <v>126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994.41600000000005</v>
      </c>
      <c r="G53" s="5">
        <v>100.21940000000001</v>
      </c>
      <c r="H53" s="5">
        <v>21.54</v>
      </c>
      <c r="I53" s="5">
        <v>138</v>
      </c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125</v>
      </c>
      <c r="E54" s="4" t="s">
        <v>132</v>
      </c>
      <c r="F54" s="4">
        <v>1015.3390000000001</v>
      </c>
      <c r="G54" s="5">
        <v>102.13390000000001</v>
      </c>
      <c r="H54" s="5">
        <v>20.76</v>
      </c>
      <c r="I54" s="5">
        <v>843</v>
      </c>
      <c r="J54" s="4" t="s">
        <v>126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98.25</v>
      </c>
      <c r="G55" s="5">
        <v>100.6944</v>
      </c>
      <c r="H55" s="5">
        <v>17.510000000000002</v>
      </c>
      <c r="I55" s="5">
        <v>101</v>
      </c>
      <c r="J55" s="4" t="s">
        <v>126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962.02700000000004</v>
      </c>
      <c r="G56" s="5">
        <v>96.90270000000001</v>
      </c>
      <c r="H56" s="5">
        <v>23.14</v>
      </c>
      <c r="I56" s="5">
        <v>840</v>
      </c>
      <c r="J56" s="4" t="s">
        <v>126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125</v>
      </c>
      <c r="E57" s="4" t="s">
        <v>132</v>
      </c>
      <c r="F57" s="4">
        <v>991.178</v>
      </c>
      <c r="G57" s="5">
        <v>100.46220000000001</v>
      </c>
      <c r="H57" s="5">
        <v>23.05</v>
      </c>
      <c r="I57" s="5">
        <v>344</v>
      </c>
      <c r="J57" s="4" t="s">
        <v>126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125</v>
      </c>
      <c r="E58" s="4" t="s">
        <v>132</v>
      </c>
      <c r="F58" s="4">
        <v>992.25300000000004</v>
      </c>
      <c r="G58" s="5">
        <v>100.9975</v>
      </c>
      <c r="H58" s="5">
        <v>22.56</v>
      </c>
      <c r="I58" s="5">
        <v>610</v>
      </c>
      <c r="J58" s="4" t="s">
        <v>126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125</v>
      </c>
      <c r="E59" s="4" t="s">
        <v>132</v>
      </c>
      <c r="F59" s="4">
        <v>986.9140000000001</v>
      </c>
      <c r="G59" s="5">
        <v>99.180300000000003</v>
      </c>
      <c r="H59" s="5">
        <v>23</v>
      </c>
      <c r="I59" s="5">
        <v>570</v>
      </c>
      <c r="J59" s="4" t="s">
        <v>126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125</v>
      </c>
      <c r="E60" s="4" t="s">
        <v>132</v>
      </c>
      <c r="F60" s="4">
        <v>987.25900000000001</v>
      </c>
      <c r="G60" s="5">
        <v>99.989800000000002</v>
      </c>
      <c r="H60" s="5">
        <v>19</v>
      </c>
      <c r="I60" s="5">
        <v>340</v>
      </c>
      <c r="J60" s="4" t="s">
        <v>126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125</v>
      </c>
      <c r="E61" s="4" t="s">
        <v>132</v>
      </c>
      <c r="F61" s="4">
        <v>9.9399899999999999</v>
      </c>
      <c r="G61" s="5">
        <v>100.2055</v>
      </c>
      <c r="H61" s="5">
        <v>10.38</v>
      </c>
      <c r="I61" s="5">
        <v>641</v>
      </c>
      <c r="J61" s="4" t="s">
        <v>126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125</v>
      </c>
      <c r="E62" s="4" t="s">
        <v>132</v>
      </c>
      <c r="F62" s="4">
        <v>968.875</v>
      </c>
      <c r="G62" s="5">
        <v>97.7042</v>
      </c>
      <c r="H62" s="5">
        <v>22.62</v>
      </c>
      <c r="I62" s="5">
        <v>930</v>
      </c>
      <c r="J62" s="4" t="s">
        <v>126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125</v>
      </c>
      <c r="E63" s="4" t="s">
        <v>132</v>
      </c>
      <c r="F63" s="4">
        <v>1012.2080000000001</v>
      </c>
      <c r="G63" s="5">
        <v>105.89020000000001</v>
      </c>
      <c r="H63" s="5">
        <v>19.57</v>
      </c>
      <c r="I63" s="5">
        <v>648</v>
      </c>
      <c r="J63" s="4" t="s">
        <v>126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120</v>
      </c>
      <c r="E64" s="4" t="s">
        <v>248</v>
      </c>
      <c r="F64" s="4">
        <v>40342.46</v>
      </c>
      <c r="G64" s="5"/>
      <c r="H64" s="5"/>
      <c r="I64" s="5"/>
      <c r="J64" s="4" t="s">
        <v>122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120</v>
      </c>
      <c r="E65" s="4" t="s">
        <v>248</v>
      </c>
      <c r="F65" s="4">
        <v>27341.7</v>
      </c>
      <c r="G65" s="5"/>
      <c r="H65" s="5"/>
      <c r="I65" s="5"/>
      <c r="J65" s="4" t="s">
        <v>122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125</v>
      </c>
      <c r="E66" s="4" t="s">
        <v>253</v>
      </c>
      <c r="F66" s="4">
        <v>16703</v>
      </c>
      <c r="G66" s="5">
        <v>1670.297</v>
      </c>
      <c r="H66" s="5"/>
      <c r="I66" s="5">
        <v>107</v>
      </c>
      <c r="J66" s="4" t="s">
        <v>126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120</v>
      </c>
      <c r="E67" s="4" t="s">
        <v>256</v>
      </c>
      <c r="F67" s="4">
        <v>21861.91</v>
      </c>
      <c r="G67" s="5"/>
      <c r="H67" s="5"/>
      <c r="I67" s="5"/>
      <c r="J67" s="4" t="s">
        <v>122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257</v>
      </c>
      <c r="C68" s="4" t="s">
        <v>258</v>
      </c>
      <c r="D68" s="4" t="s">
        <v>125</v>
      </c>
      <c r="E68" s="4" t="s">
        <v>256</v>
      </c>
      <c r="F68" s="4">
        <v>1.009279</v>
      </c>
      <c r="G68" s="5">
        <v>101.6147</v>
      </c>
      <c r="H68" s="5">
        <v>5.13</v>
      </c>
      <c r="I68" s="5">
        <v>1597</v>
      </c>
      <c r="J68" s="4" t="s">
        <v>126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120</v>
      </c>
      <c r="E69" s="4" t="s">
        <v>261</v>
      </c>
      <c r="F69" s="4">
        <v>3388.05</v>
      </c>
      <c r="G69" s="5"/>
      <c r="H69" s="5"/>
      <c r="I69" s="5"/>
      <c r="J69" s="4" t="s">
        <v>122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125</v>
      </c>
      <c r="E70" s="4" t="s">
        <v>264</v>
      </c>
      <c r="F70" s="4">
        <v>0.97431299999999998</v>
      </c>
      <c r="G70" s="5">
        <v>97.664600000000007</v>
      </c>
      <c r="H70" s="5">
        <v>5.01</v>
      </c>
      <c r="I70" s="5">
        <v>323</v>
      </c>
      <c r="J70" s="4" t="s">
        <v>126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120</v>
      </c>
      <c r="E71" s="4" t="s">
        <v>267</v>
      </c>
      <c r="F71" s="4">
        <v>8952.3000000000011</v>
      </c>
      <c r="G71" s="5"/>
      <c r="H71" s="5"/>
      <c r="I71" s="5"/>
      <c r="J71" s="4" t="s">
        <v>122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120</v>
      </c>
      <c r="E72" s="4" t="s">
        <v>267</v>
      </c>
      <c r="F72" s="4">
        <v>4564.1099999999997</v>
      </c>
      <c r="G72" s="5"/>
      <c r="H72" s="5"/>
      <c r="I72" s="5"/>
      <c r="J72" s="4" t="s">
        <v>122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125</v>
      </c>
      <c r="E73" s="4" t="s">
        <v>272</v>
      </c>
      <c r="F73" s="4">
        <v>968.70699999999999</v>
      </c>
      <c r="G73" s="5">
        <v>102.4624</v>
      </c>
      <c r="H73" s="5">
        <v>17.990000000000002</v>
      </c>
      <c r="I73" s="5">
        <v>973</v>
      </c>
      <c r="J73" s="4" t="s">
        <v>126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125</v>
      </c>
      <c r="E74" s="4" t="s">
        <v>272</v>
      </c>
      <c r="F74" s="4">
        <v>966.72900000000004</v>
      </c>
      <c r="G74" s="5">
        <v>101.86580000000001</v>
      </c>
      <c r="H74" s="5">
        <v>20.02</v>
      </c>
      <c r="I74" s="5">
        <v>810</v>
      </c>
      <c r="J74" s="4" t="s">
        <v>126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125</v>
      </c>
      <c r="E75" s="4" t="s">
        <v>272</v>
      </c>
      <c r="F75" s="4">
        <v>98.75</v>
      </c>
      <c r="G75" s="5">
        <v>98.75</v>
      </c>
      <c r="H75" s="5">
        <v>15.93</v>
      </c>
      <c r="I75" s="5">
        <v>30</v>
      </c>
      <c r="J75" s="4" t="s">
        <v>126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272</v>
      </c>
      <c r="F76" s="4">
        <v>980.73300000000006</v>
      </c>
      <c r="G76" s="5">
        <v>105.5004</v>
      </c>
      <c r="H76" s="5">
        <v>17.990000000000002</v>
      </c>
      <c r="I76" s="5">
        <v>1304</v>
      </c>
      <c r="J76" s="4" t="s">
        <v>126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125</v>
      </c>
      <c r="E77" s="4" t="s">
        <v>272</v>
      </c>
      <c r="F77" s="4">
        <v>100.0175</v>
      </c>
      <c r="G77" s="5">
        <v>101.6619</v>
      </c>
      <c r="H77" s="5">
        <v>7.99</v>
      </c>
      <c r="I77" s="5">
        <v>747</v>
      </c>
      <c r="J77" s="4" t="s">
        <v>126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125</v>
      </c>
      <c r="E78" s="4" t="s">
        <v>272</v>
      </c>
      <c r="F78" s="4">
        <v>1005.284</v>
      </c>
      <c r="G78" s="5">
        <v>108.87010000000001</v>
      </c>
      <c r="H78" s="5">
        <v>18.809999999999999</v>
      </c>
      <c r="I78" s="5">
        <v>572</v>
      </c>
      <c r="J78" s="4" t="s">
        <v>126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125</v>
      </c>
      <c r="E79" s="4" t="s">
        <v>272</v>
      </c>
      <c r="F79" s="4">
        <v>1019.0680000000001</v>
      </c>
      <c r="G79" s="5">
        <v>109.6529</v>
      </c>
      <c r="H79" s="5">
        <v>18.45</v>
      </c>
      <c r="I79" s="5">
        <v>1678</v>
      </c>
      <c r="J79" s="4" t="s">
        <v>126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125</v>
      </c>
      <c r="E80" s="4" t="s">
        <v>66</v>
      </c>
      <c r="F80" s="4">
        <v>1000</v>
      </c>
      <c r="G80" s="5">
        <v>111.77249999999999</v>
      </c>
      <c r="H80" s="5">
        <v>12.45</v>
      </c>
      <c r="I80" s="5">
        <v>1117</v>
      </c>
      <c r="J80" s="4" t="s">
        <v>126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125</v>
      </c>
      <c r="E81" s="4" t="s">
        <v>66</v>
      </c>
      <c r="F81" s="4">
        <v>1000</v>
      </c>
      <c r="G81" s="5">
        <v>103.5664</v>
      </c>
      <c r="H81" s="5">
        <v>12.41</v>
      </c>
      <c r="I81" s="5">
        <v>1357</v>
      </c>
      <c r="J81" s="4" t="s">
        <v>126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125</v>
      </c>
      <c r="E82" s="4" t="s">
        <v>66</v>
      </c>
      <c r="F82" s="4">
        <v>1000</v>
      </c>
      <c r="G82" s="5">
        <v>106.64800000000001</v>
      </c>
      <c r="H82" s="5">
        <v>12.05</v>
      </c>
      <c r="I82" s="5">
        <v>170</v>
      </c>
      <c r="J82" s="4" t="s">
        <v>126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125</v>
      </c>
      <c r="E83" s="4" t="s">
        <v>66</v>
      </c>
      <c r="F83" s="4">
        <v>1000</v>
      </c>
      <c r="G83" s="5">
        <v>104.5013</v>
      </c>
      <c r="H83" s="5">
        <v>12.18</v>
      </c>
      <c r="I83" s="5">
        <v>233</v>
      </c>
      <c r="J83" s="4" t="s">
        <v>126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125</v>
      </c>
      <c r="E84" s="4" t="s">
        <v>66</v>
      </c>
      <c r="F84" s="4">
        <v>1000</v>
      </c>
      <c r="G84" s="5">
        <v>107.6521</v>
      </c>
      <c r="H84" s="5">
        <v>12.32</v>
      </c>
      <c r="I84" s="5">
        <v>506</v>
      </c>
      <c r="J84" s="4" t="s">
        <v>126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125</v>
      </c>
      <c r="E85" s="4" t="s">
        <v>66</v>
      </c>
      <c r="F85" s="4">
        <v>1000</v>
      </c>
      <c r="G85" s="5">
        <v>105.5746</v>
      </c>
      <c r="H85" s="5">
        <v>12.33</v>
      </c>
      <c r="I85" s="5">
        <v>567</v>
      </c>
      <c r="J85" s="4" t="s">
        <v>126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125</v>
      </c>
      <c r="E86" s="4" t="s">
        <v>66</v>
      </c>
      <c r="F86" s="4">
        <v>1000</v>
      </c>
      <c r="G86" s="5">
        <v>100.48480000000001</v>
      </c>
      <c r="H86" s="5">
        <v>12.45</v>
      </c>
      <c r="I86" s="5">
        <v>717</v>
      </c>
      <c r="J86" s="4" t="s">
        <v>126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125</v>
      </c>
      <c r="E87" s="4" t="s">
        <v>66</v>
      </c>
      <c r="F87" s="4">
        <v>1000</v>
      </c>
      <c r="G87" s="5">
        <v>103.5664</v>
      </c>
      <c r="H87" s="5">
        <v>12.4</v>
      </c>
      <c r="I87" s="5">
        <v>992</v>
      </c>
      <c r="J87" s="4" t="s">
        <v>126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125</v>
      </c>
      <c r="E88" s="4" t="s">
        <v>66</v>
      </c>
      <c r="F88" s="4">
        <v>1000</v>
      </c>
      <c r="G88" s="5">
        <v>110.80300000000001</v>
      </c>
      <c r="H88" s="5">
        <v>12.44</v>
      </c>
      <c r="I88" s="5">
        <v>1511</v>
      </c>
      <c r="J88" s="4" t="s">
        <v>126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125</v>
      </c>
      <c r="E89" s="4" t="s">
        <v>66</v>
      </c>
      <c r="F89" s="4">
        <v>898.52</v>
      </c>
      <c r="G89" s="5">
        <v>90.088100000000011</v>
      </c>
      <c r="H89" s="5">
        <v>17.440000000000001</v>
      </c>
      <c r="I89" s="5">
        <v>349</v>
      </c>
      <c r="J89" s="4" t="s">
        <v>126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125</v>
      </c>
      <c r="E90" s="4" t="s">
        <v>66</v>
      </c>
      <c r="F90" s="4">
        <v>1000</v>
      </c>
      <c r="G90" s="5">
        <v>105.5746</v>
      </c>
      <c r="H90" s="5">
        <v>12.4</v>
      </c>
      <c r="I90" s="5">
        <v>1298</v>
      </c>
      <c r="J90" s="4" t="s">
        <v>126</v>
      </c>
    </row>
    <row r="91" spans="1:10" x14ac:dyDescent="0.25">
      <c r="A91" s="4">
        <f t="shared" ca="1" si="2"/>
        <v>88</v>
      </c>
      <c r="B91" s="4" t="s">
        <v>307</v>
      </c>
      <c r="C91" s="4" t="s">
        <v>80</v>
      </c>
      <c r="D91" s="4" t="s">
        <v>125</v>
      </c>
      <c r="E91" s="4" t="s">
        <v>66</v>
      </c>
      <c r="F91" s="4">
        <v>871.51100000000008</v>
      </c>
      <c r="G91" s="5">
        <v>91.009399999999999</v>
      </c>
      <c r="H91" s="5">
        <v>17.29</v>
      </c>
      <c r="I91" s="5">
        <v>473</v>
      </c>
      <c r="J91" s="4" t="s">
        <v>126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125</v>
      </c>
      <c r="E92" s="4" t="s">
        <v>66</v>
      </c>
      <c r="F92" s="4">
        <v>832.39200000000005</v>
      </c>
      <c r="G92" s="5">
        <v>84.489699999999999</v>
      </c>
      <c r="H92" s="5">
        <v>17.2</v>
      </c>
      <c r="I92" s="5">
        <v>648</v>
      </c>
      <c r="J92" s="4" t="s">
        <v>126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125</v>
      </c>
      <c r="E93" s="4" t="s">
        <v>66</v>
      </c>
      <c r="F93" s="4">
        <v>840.26600000000008</v>
      </c>
      <c r="G93" s="5">
        <v>84.857200000000006</v>
      </c>
      <c r="H93" s="5">
        <v>17.14</v>
      </c>
      <c r="I93" s="5">
        <v>684</v>
      </c>
      <c r="J93" s="4" t="s">
        <v>126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125</v>
      </c>
      <c r="E94" s="4" t="s">
        <v>66</v>
      </c>
      <c r="F94" s="4">
        <v>1000</v>
      </c>
      <c r="G94" s="5">
        <v>104.5359</v>
      </c>
      <c r="H94" s="5">
        <v>12.35</v>
      </c>
      <c r="I94" s="5">
        <v>597</v>
      </c>
      <c r="J94" s="4" t="s">
        <v>126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125</v>
      </c>
      <c r="E95" s="4" t="s">
        <v>66</v>
      </c>
      <c r="F95" s="4">
        <v>1000</v>
      </c>
      <c r="G95" s="5">
        <v>109.9743</v>
      </c>
      <c r="H95" s="5">
        <v>12.52</v>
      </c>
      <c r="I95" s="5">
        <v>1538</v>
      </c>
      <c r="J95" s="4" t="s">
        <v>126</v>
      </c>
    </row>
    <row r="96" spans="1:10" x14ac:dyDescent="0.25">
      <c r="A96" s="4">
        <f t="shared" ca="1" si="2"/>
        <v>93</v>
      </c>
      <c r="B96" s="4" t="s">
        <v>316</v>
      </c>
      <c r="C96" s="4" t="s">
        <v>85</v>
      </c>
      <c r="D96" s="4" t="s">
        <v>125</v>
      </c>
      <c r="E96" s="4" t="s">
        <v>66</v>
      </c>
      <c r="F96" s="4">
        <v>654.12700000000007</v>
      </c>
      <c r="G96" s="5">
        <v>70.075400000000002</v>
      </c>
      <c r="H96" s="5">
        <v>15.72</v>
      </c>
      <c r="I96" s="5">
        <v>3076</v>
      </c>
      <c r="J96" s="4" t="s">
        <v>126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125</v>
      </c>
      <c r="E97" s="4" t="s">
        <v>66</v>
      </c>
      <c r="F97" s="4">
        <v>876.05200000000002</v>
      </c>
      <c r="G97" s="5">
        <v>91.1327</v>
      </c>
      <c r="H97" s="5">
        <v>17.260000000000002</v>
      </c>
      <c r="I97" s="5">
        <v>558</v>
      </c>
      <c r="J97" s="4" t="s">
        <v>126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125</v>
      </c>
      <c r="E98" s="4" t="s">
        <v>66</v>
      </c>
      <c r="F98" s="4">
        <v>587.54899999999998</v>
      </c>
      <c r="G98" s="5">
        <v>60.533000000000001</v>
      </c>
      <c r="H98" s="5">
        <v>15.47</v>
      </c>
      <c r="I98" s="5">
        <v>6866</v>
      </c>
      <c r="J98" s="4" t="s">
        <v>126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125</v>
      </c>
      <c r="E99" s="4" t="s">
        <v>66</v>
      </c>
      <c r="F99" s="4">
        <v>1000</v>
      </c>
      <c r="G99" s="5">
        <v>102.4238</v>
      </c>
      <c r="H99" s="5">
        <v>12.31</v>
      </c>
      <c r="I99" s="5">
        <v>295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324</v>
      </c>
      <c r="D100" s="4" t="s">
        <v>125</v>
      </c>
      <c r="E100" s="4" t="s">
        <v>66</v>
      </c>
      <c r="F100" s="4">
        <v>1000</v>
      </c>
      <c r="G100" s="5">
        <v>105.6093</v>
      </c>
      <c r="H100" s="5">
        <v>12.4</v>
      </c>
      <c r="I100" s="5">
        <v>1297</v>
      </c>
      <c r="J100" s="4" t="s">
        <v>126</v>
      </c>
    </row>
    <row r="101" spans="1:10" x14ac:dyDescent="0.25">
      <c r="A101" s="4">
        <f t="shared" ca="1" si="3"/>
        <v>98</v>
      </c>
      <c r="B101" s="4" t="s">
        <v>325</v>
      </c>
      <c r="C101" s="4" t="s">
        <v>326</v>
      </c>
      <c r="D101" s="4" t="s">
        <v>125</v>
      </c>
      <c r="E101" s="4" t="s">
        <v>66</v>
      </c>
      <c r="F101" s="4">
        <v>1000</v>
      </c>
      <c r="G101" s="5">
        <v>106.5788</v>
      </c>
      <c r="H101" s="5">
        <v>12.41</v>
      </c>
      <c r="I101" s="5">
        <v>1633</v>
      </c>
      <c r="J101" s="4" t="s">
        <v>126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125</v>
      </c>
      <c r="E102" s="4" t="s">
        <v>66</v>
      </c>
      <c r="F102" s="4">
        <v>1000</v>
      </c>
      <c r="G102" s="5">
        <v>103.5318</v>
      </c>
      <c r="H102" s="5">
        <v>12.24</v>
      </c>
      <c r="I102" s="5">
        <v>262</v>
      </c>
      <c r="J102" s="4" t="s">
        <v>126</v>
      </c>
    </row>
    <row r="103" spans="1:10" x14ac:dyDescent="0.25">
      <c r="A103" s="4">
        <f t="shared" ca="1" si="3"/>
        <v>100</v>
      </c>
      <c r="B103" s="4" t="s">
        <v>329</v>
      </c>
      <c r="C103" s="4" t="s">
        <v>94</v>
      </c>
      <c r="D103" s="4" t="s">
        <v>125</v>
      </c>
      <c r="E103" s="4" t="s">
        <v>66</v>
      </c>
      <c r="F103" s="4">
        <v>642.12700000000007</v>
      </c>
      <c r="G103" s="5">
        <v>71.184300000000007</v>
      </c>
      <c r="H103" s="5">
        <v>15.68</v>
      </c>
      <c r="I103" s="5">
        <v>3338</v>
      </c>
      <c r="J103" s="4" t="s">
        <v>126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125</v>
      </c>
      <c r="E104" s="4" t="s">
        <v>66</v>
      </c>
      <c r="F104" s="4">
        <v>912.47200000000009</v>
      </c>
      <c r="G104" s="5">
        <v>98.097200000000001</v>
      </c>
      <c r="H104" s="5">
        <v>17.32</v>
      </c>
      <c r="I104" s="5">
        <v>452</v>
      </c>
      <c r="J104" s="4" t="s">
        <v>126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125</v>
      </c>
      <c r="E105" s="4" t="s">
        <v>66</v>
      </c>
      <c r="F105" s="4">
        <v>892.96900000000005</v>
      </c>
      <c r="G105" s="5">
        <v>93.221900000000005</v>
      </c>
      <c r="H105" s="5">
        <v>17.240000000000002</v>
      </c>
      <c r="I105" s="5">
        <v>571</v>
      </c>
      <c r="J105" s="4" t="s">
        <v>126</v>
      </c>
    </row>
    <row r="106" spans="1:10" x14ac:dyDescent="0.25">
      <c r="A106" s="4">
        <f t="shared" ca="1" si="3"/>
        <v>103</v>
      </c>
      <c r="B106" s="4" t="s">
        <v>334</v>
      </c>
      <c r="C106" s="4" t="s">
        <v>335</v>
      </c>
      <c r="D106" s="4" t="s">
        <v>125</v>
      </c>
      <c r="E106" s="4" t="s">
        <v>66</v>
      </c>
      <c r="F106" s="4">
        <v>639.49300000000005</v>
      </c>
      <c r="G106" s="5">
        <v>67.011499999999998</v>
      </c>
      <c r="H106" s="5">
        <v>15.610000000000001</v>
      </c>
      <c r="I106" s="5">
        <v>3886</v>
      </c>
      <c r="J106" s="4" t="s">
        <v>126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125</v>
      </c>
      <c r="E107" s="4" t="s">
        <v>66</v>
      </c>
      <c r="F107" s="4">
        <v>700.18400000000008</v>
      </c>
      <c r="G107" s="5">
        <v>75.93610000000001</v>
      </c>
      <c r="H107" s="5">
        <v>15.83</v>
      </c>
      <c r="I107" s="5">
        <v>2673</v>
      </c>
      <c r="J107" s="4" t="s">
        <v>126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125</v>
      </c>
      <c r="E108" s="4" t="s">
        <v>66</v>
      </c>
      <c r="F108" s="4">
        <v>690.90500000000009</v>
      </c>
      <c r="G108" s="5">
        <v>74.424999999999997</v>
      </c>
      <c r="H108" s="5">
        <v>15.82</v>
      </c>
      <c r="I108" s="5">
        <v>2692</v>
      </c>
      <c r="J108" s="4" t="s">
        <v>126</v>
      </c>
    </row>
    <row r="109" spans="1:10" x14ac:dyDescent="0.25">
      <c r="A109" s="4">
        <f t="shared" ca="1" si="3"/>
        <v>106</v>
      </c>
      <c r="B109" s="4" t="s">
        <v>340</v>
      </c>
      <c r="C109" s="4" t="s">
        <v>101</v>
      </c>
      <c r="D109" s="4" t="s">
        <v>125</v>
      </c>
      <c r="E109" s="4" t="s">
        <v>66</v>
      </c>
      <c r="F109" s="4">
        <v>712.4</v>
      </c>
      <c r="G109" s="5">
        <v>76.732500000000002</v>
      </c>
      <c r="H109" s="5">
        <v>15.94</v>
      </c>
      <c r="I109" s="5">
        <v>2320</v>
      </c>
      <c r="J109" s="4" t="s">
        <v>126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125</v>
      </c>
      <c r="E110" s="4" t="s">
        <v>66</v>
      </c>
      <c r="F110" s="4">
        <v>735.322</v>
      </c>
      <c r="G110" s="5">
        <v>78.455500000000001</v>
      </c>
      <c r="H110" s="5">
        <v>16.080000000000002</v>
      </c>
      <c r="I110" s="5">
        <v>1978</v>
      </c>
      <c r="J110" s="4" t="s">
        <v>126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125</v>
      </c>
      <c r="E111" s="4" t="s">
        <v>66</v>
      </c>
      <c r="F111" s="4">
        <v>644.14600000000007</v>
      </c>
      <c r="G111" s="5">
        <v>71.6404</v>
      </c>
      <c r="H111" s="5">
        <v>15.610000000000001</v>
      </c>
      <c r="I111" s="5">
        <v>4082</v>
      </c>
      <c r="J111" s="4" t="s">
        <v>126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125</v>
      </c>
      <c r="E112" s="4" t="s">
        <v>66</v>
      </c>
      <c r="F112" s="4">
        <v>1000</v>
      </c>
      <c r="G112" s="5">
        <v>106.64800000000001</v>
      </c>
      <c r="H112" s="5">
        <v>12.05</v>
      </c>
      <c r="I112" s="5">
        <v>170</v>
      </c>
      <c r="J112" s="4" t="s">
        <v>126</v>
      </c>
    </row>
    <row r="113" spans="1:10" x14ac:dyDescent="0.25">
      <c r="A113" s="4">
        <f t="shared" ca="1" si="3"/>
        <v>110</v>
      </c>
      <c r="B113" s="4" t="s">
        <v>347</v>
      </c>
      <c r="C113" s="4" t="s">
        <v>77</v>
      </c>
      <c r="D113" s="4" t="s">
        <v>125</v>
      </c>
      <c r="E113" s="4" t="s">
        <v>66</v>
      </c>
      <c r="F113" s="4">
        <v>769.28100000000006</v>
      </c>
      <c r="G113" s="5">
        <v>79.42410000000001</v>
      </c>
      <c r="H113" s="5">
        <v>16.490000000000002</v>
      </c>
      <c r="I113" s="5">
        <v>1343</v>
      </c>
      <c r="J113" s="4" t="s">
        <v>126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125</v>
      </c>
      <c r="E114" s="4" t="s">
        <v>66</v>
      </c>
      <c r="F114" s="4">
        <v>751.22800000000007</v>
      </c>
      <c r="G114" s="5">
        <v>81.650800000000004</v>
      </c>
      <c r="H114" s="5">
        <v>16.38</v>
      </c>
      <c r="I114" s="5">
        <v>1518</v>
      </c>
      <c r="J114" s="4" t="s">
        <v>126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125</v>
      </c>
      <c r="E115" s="4" t="s">
        <v>66</v>
      </c>
      <c r="F115" s="4">
        <v>583.58300000000008</v>
      </c>
      <c r="G115" s="5">
        <v>66.038899999999998</v>
      </c>
      <c r="H115" s="5">
        <v>15.53</v>
      </c>
      <c r="I115" s="5">
        <v>4759</v>
      </c>
      <c r="J115" s="4" t="s">
        <v>126</v>
      </c>
    </row>
    <row r="116" spans="1:10" x14ac:dyDescent="0.25">
      <c r="A116" s="4">
        <f t="shared" ca="1" si="3"/>
        <v>113</v>
      </c>
      <c r="B116" s="4" t="s">
        <v>352</v>
      </c>
      <c r="C116" s="4" t="s">
        <v>91</v>
      </c>
      <c r="D116" s="4" t="s">
        <v>125</v>
      </c>
      <c r="E116" s="4" t="s">
        <v>66</v>
      </c>
      <c r="F116" s="4">
        <v>927.5</v>
      </c>
      <c r="G116" s="5">
        <v>94.461100000000002</v>
      </c>
      <c r="H116" s="5">
        <v>17.400000000000002</v>
      </c>
      <c r="I116" s="5">
        <v>252</v>
      </c>
      <c r="J116" s="4" t="s">
        <v>126</v>
      </c>
    </row>
    <row r="117" spans="1:10" x14ac:dyDescent="0.25">
      <c r="A117" s="4">
        <f t="shared" ca="1" si="3"/>
        <v>114</v>
      </c>
      <c r="B117" s="4" t="s">
        <v>353</v>
      </c>
      <c r="C117" s="4" t="s">
        <v>75</v>
      </c>
      <c r="D117" s="4" t="s">
        <v>125</v>
      </c>
      <c r="E117" s="4" t="s">
        <v>66</v>
      </c>
      <c r="F117" s="4">
        <v>823.43799999999999</v>
      </c>
      <c r="G117" s="5">
        <v>83.0946</v>
      </c>
      <c r="H117" s="5">
        <v>17.150000000000002</v>
      </c>
      <c r="I117" s="5">
        <v>679</v>
      </c>
      <c r="J117" s="4" t="s">
        <v>126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125</v>
      </c>
      <c r="E118" s="4" t="s">
        <v>66</v>
      </c>
      <c r="F118" s="4">
        <v>763.52200000000005</v>
      </c>
      <c r="G118" s="5">
        <v>77.574399999999997</v>
      </c>
      <c r="H118" s="5">
        <v>16.8</v>
      </c>
      <c r="I118" s="5">
        <v>1016</v>
      </c>
      <c r="J118" s="4" t="s">
        <v>126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125</v>
      </c>
      <c r="E119" s="4" t="s">
        <v>66</v>
      </c>
      <c r="F119" s="4">
        <v>601.33400000000006</v>
      </c>
      <c r="G119" s="5">
        <v>63.264600000000002</v>
      </c>
      <c r="H119" s="5">
        <v>15.52</v>
      </c>
      <c r="I119" s="5">
        <v>4976</v>
      </c>
      <c r="J119" s="4" t="s">
        <v>126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125</v>
      </c>
      <c r="E120" s="4" t="s">
        <v>66</v>
      </c>
      <c r="F120" s="4">
        <v>597.55000000000007</v>
      </c>
      <c r="G120" s="5">
        <v>66.358000000000004</v>
      </c>
      <c r="H120" s="5">
        <v>15.52</v>
      </c>
      <c r="I120" s="5">
        <v>5192</v>
      </c>
      <c r="J120" s="4" t="s">
        <v>126</v>
      </c>
    </row>
    <row r="121" spans="1:10" x14ac:dyDescent="0.25">
      <c r="A121" s="4">
        <f t="shared" ca="1" si="3"/>
        <v>118</v>
      </c>
      <c r="B121" s="4" t="s">
        <v>360</v>
      </c>
      <c r="C121" s="4" t="s">
        <v>83</v>
      </c>
      <c r="D121" s="4" t="s">
        <v>125</v>
      </c>
      <c r="E121" s="4" t="s">
        <v>66</v>
      </c>
      <c r="F121" s="4">
        <v>863.26100000000008</v>
      </c>
      <c r="G121" s="5">
        <v>93.965000000000003</v>
      </c>
      <c r="H121" s="5">
        <v>16.63</v>
      </c>
      <c r="I121" s="5">
        <v>1208</v>
      </c>
      <c r="J121" s="4" t="s">
        <v>126</v>
      </c>
    </row>
    <row r="122" spans="1:10" x14ac:dyDescent="0.25">
      <c r="A122" s="4">
        <f t="shared" ca="1" si="3"/>
        <v>119</v>
      </c>
      <c r="B122" s="4" t="s">
        <v>361</v>
      </c>
      <c r="C122" s="4" t="s">
        <v>362</v>
      </c>
      <c r="D122" s="4" t="s">
        <v>125</v>
      </c>
      <c r="E122" s="4" t="s">
        <v>66</v>
      </c>
      <c r="F122" s="4">
        <v>957.23200000000008</v>
      </c>
      <c r="G122" s="5">
        <v>99.691800000000001</v>
      </c>
      <c r="H122" s="5">
        <v>17.34</v>
      </c>
      <c r="I122" s="5">
        <v>206</v>
      </c>
      <c r="J122" s="4" t="s">
        <v>126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125</v>
      </c>
      <c r="E123" s="4" t="s">
        <v>66</v>
      </c>
      <c r="F123" s="4">
        <v>1000</v>
      </c>
      <c r="G123" s="5">
        <v>112.4504</v>
      </c>
      <c r="H123" s="5">
        <v>12.55</v>
      </c>
      <c r="I123" s="5">
        <v>1100</v>
      </c>
      <c r="J123" s="4" t="s">
        <v>126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125</v>
      </c>
      <c r="E124" s="4" t="s">
        <v>66</v>
      </c>
      <c r="F124" s="4">
        <v>1000</v>
      </c>
      <c r="G124" s="5">
        <v>108.6909</v>
      </c>
      <c r="H124" s="5">
        <v>11.93</v>
      </c>
      <c r="I124" s="5">
        <v>110</v>
      </c>
      <c r="J124" s="4" t="s">
        <v>126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125</v>
      </c>
      <c r="E125" s="4" t="s">
        <v>66</v>
      </c>
      <c r="F125" s="4">
        <v>1000</v>
      </c>
      <c r="G125" s="5">
        <v>109.76430000000001</v>
      </c>
      <c r="H125" s="5">
        <v>12.42</v>
      </c>
      <c r="I125" s="5">
        <v>1177</v>
      </c>
      <c r="J125" s="4" t="s">
        <v>126</v>
      </c>
    </row>
    <row r="126" spans="1:10" x14ac:dyDescent="0.25">
      <c r="A126" s="4">
        <f t="shared" ca="1" si="3"/>
        <v>123</v>
      </c>
      <c r="B126" s="4" t="s">
        <v>369</v>
      </c>
      <c r="C126" s="4" t="s">
        <v>71</v>
      </c>
      <c r="D126" s="4" t="s">
        <v>125</v>
      </c>
      <c r="E126" s="4" t="s">
        <v>66</v>
      </c>
      <c r="F126" s="4">
        <v>863.72900000000004</v>
      </c>
      <c r="G126" s="5">
        <v>87.623500000000007</v>
      </c>
      <c r="H126" s="5">
        <v>16.78</v>
      </c>
      <c r="I126" s="5">
        <v>1053</v>
      </c>
      <c r="J126" s="4" t="s">
        <v>126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125</v>
      </c>
      <c r="E127" s="4" t="s">
        <v>66</v>
      </c>
      <c r="F127" s="4">
        <v>1000</v>
      </c>
      <c r="G127" s="5">
        <v>109.8681</v>
      </c>
      <c r="H127" s="5">
        <v>12.4</v>
      </c>
      <c r="I127" s="5">
        <v>808</v>
      </c>
      <c r="J127" s="4" t="s">
        <v>126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125</v>
      </c>
      <c r="E128" s="4" t="s">
        <v>66</v>
      </c>
      <c r="F128" s="4">
        <v>600.69799999999998</v>
      </c>
      <c r="G128" s="5">
        <v>63.522600000000004</v>
      </c>
      <c r="H128" s="5">
        <v>15.89</v>
      </c>
      <c r="I128" s="5">
        <v>2328</v>
      </c>
      <c r="J128" s="4" t="s">
        <v>126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125</v>
      </c>
      <c r="E129" s="4" t="s">
        <v>66</v>
      </c>
      <c r="F129" s="4">
        <v>789.06500000000005</v>
      </c>
      <c r="G129" s="5">
        <v>78.906500000000008</v>
      </c>
      <c r="H129" s="5">
        <v>16.72</v>
      </c>
      <c r="I129" s="5">
        <v>1097</v>
      </c>
      <c r="J129" s="4" t="s">
        <v>126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125</v>
      </c>
      <c r="E130" s="4" t="s">
        <v>66</v>
      </c>
      <c r="F130" s="4">
        <v>781.54499999999996</v>
      </c>
      <c r="G130" s="5">
        <v>81.3767</v>
      </c>
      <c r="H130" s="5">
        <v>16.96</v>
      </c>
      <c r="I130" s="5">
        <v>861</v>
      </c>
      <c r="J130" s="4" t="s">
        <v>126</v>
      </c>
    </row>
    <row r="131" spans="1:10" x14ac:dyDescent="0.25">
      <c r="A131" s="4">
        <f t="shared" ca="1" si="3"/>
        <v>128</v>
      </c>
      <c r="B131" s="4" t="s">
        <v>378</v>
      </c>
      <c r="C131" s="4" t="s">
        <v>89</v>
      </c>
      <c r="D131" s="4" t="s">
        <v>125</v>
      </c>
      <c r="E131" s="4" t="s">
        <v>66</v>
      </c>
      <c r="F131" s="4">
        <v>791.15200000000004</v>
      </c>
      <c r="G131" s="5">
        <v>83.079400000000007</v>
      </c>
      <c r="H131" s="5">
        <v>15.93</v>
      </c>
      <c r="I131" s="5">
        <v>2421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110</v>
      </c>
      <c r="D132" s="4" t="s">
        <v>125</v>
      </c>
      <c r="E132" s="4" t="s">
        <v>66</v>
      </c>
      <c r="F132" s="4">
        <v>844.24900000000002</v>
      </c>
      <c r="G132" s="5">
        <v>88.293199999999999</v>
      </c>
      <c r="H132" s="5">
        <v>16.510000000000002</v>
      </c>
      <c r="I132" s="5">
        <v>1327</v>
      </c>
      <c r="J132" s="4" t="s">
        <v>126</v>
      </c>
    </row>
    <row r="133" spans="1:10" x14ac:dyDescent="0.25">
      <c r="A133" s="4">
        <f t="shared" ca="1" si="4"/>
        <v>130</v>
      </c>
      <c r="B133" s="4" t="s">
        <v>380</v>
      </c>
      <c r="C133" s="4" t="s">
        <v>381</v>
      </c>
      <c r="D133" s="4" t="s">
        <v>125</v>
      </c>
      <c r="E133" s="4" t="s">
        <v>66</v>
      </c>
      <c r="F133" s="4">
        <v>1000</v>
      </c>
      <c r="G133" s="5">
        <v>102.45840000000001</v>
      </c>
      <c r="H133" s="5">
        <v>12.43</v>
      </c>
      <c r="I133" s="5">
        <v>1755</v>
      </c>
      <c r="J133" s="4" t="s">
        <v>126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125</v>
      </c>
      <c r="E134" s="4" t="s">
        <v>66</v>
      </c>
      <c r="F134" s="4">
        <v>1000</v>
      </c>
      <c r="G134" s="5">
        <v>111.80710000000001</v>
      </c>
      <c r="H134" s="5">
        <v>12.46</v>
      </c>
      <c r="I134" s="5">
        <v>2211</v>
      </c>
      <c r="J134" s="4" t="s">
        <v>126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125</v>
      </c>
      <c r="E135" s="4" t="s">
        <v>66</v>
      </c>
      <c r="F135" s="4">
        <v>1000</v>
      </c>
      <c r="G135" s="5">
        <v>102.52760000000001</v>
      </c>
      <c r="H135" s="5">
        <v>12.44</v>
      </c>
      <c r="I135" s="5">
        <v>2118</v>
      </c>
      <c r="J135" s="4" t="s">
        <v>126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125</v>
      </c>
      <c r="E136" s="4" t="s">
        <v>66</v>
      </c>
      <c r="F136" s="4">
        <v>916.37800000000004</v>
      </c>
      <c r="G136" s="5">
        <v>97.444500000000005</v>
      </c>
      <c r="H136" s="5">
        <v>17.27</v>
      </c>
      <c r="I136" s="5">
        <v>526</v>
      </c>
      <c r="J136" s="4" t="s">
        <v>126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125</v>
      </c>
      <c r="E137" s="4" t="s">
        <v>66</v>
      </c>
      <c r="F137" s="4">
        <v>763.85900000000004</v>
      </c>
      <c r="G137" s="5">
        <v>85.962600000000009</v>
      </c>
      <c r="H137" s="5">
        <v>15.64</v>
      </c>
      <c r="I137" s="5">
        <v>4068</v>
      </c>
      <c r="J137" s="4" t="s">
        <v>126</v>
      </c>
    </row>
    <row r="138" spans="1:10" x14ac:dyDescent="0.25">
      <c r="A138" s="4">
        <f t="shared" ca="1" si="4"/>
        <v>135</v>
      </c>
      <c r="B138" s="4" t="s">
        <v>390</v>
      </c>
      <c r="C138" s="4" t="s">
        <v>87</v>
      </c>
      <c r="D138" s="4" t="s">
        <v>125</v>
      </c>
      <c r="E138" s="4" t="s">
        <v>66</v>
      </c>
      <c r="F138" s="4">
        <v>993.10300000000007</v>
      </c>
      <c r="G138" s="5">
        <v>103.43010000000001</v>
      </c>
      <c r="H138" s="5">
        <v>16.68</v>
      </c>
      <c r="I138" s="5">
        <v>43</v>
      </c>
      <c r="J138" s="4" t="s">
        <v>126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125</v>
      </c>
      <c r="E139" s="4" t="s">
        <v>66</v>
      </c>
      <c r="F139" s="4">
        <v>844.86099999999999</v>
      </c>
      <c r="G139" s="5">
        <v>93.836100000000002</v>
      </c>
      <c r="H139" s="5">
        <v>16.41</v>
      </c>
      <c r="I139" s="5">
        <v>1518</v>
      </c>
      <c r="J139" s="4" t="s">
        <v>126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125</v>
      </c>
      <c r="E140" s="4" t="s">
        <v>66</v>
      </c>
      <c r="F140" s="4">
        <v>752.93400000000008</v>
      </c>
      <c r="G140" s="5">
        <v>78.437600000000003</v>
      </c>
      <c r="H140" s="5">
        <v>15.65</v>
      </c>
      <c r="I140" s="5">
        <v>3912</v>
      </c>
      <c r="J140" s="4" t="s">
        <v>126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125</v>
      </c>
      <c r="E141" s="4" t="s">
        <v>66</v>
      </c>
      <c r="F141" s="4">
        <v>747.93499999999995</v>
      </c>
      <c r="G141" s="5">
        <v>83.030100000000004</v>
      </c>
      <c r="H141" s="5">
        <v>15.79</v>
      </c>
      <c r="I141" s="5">
        <v>2992</v>
      </c>
      <c r="J141" s="4" t="s">
        <v>126</v>
      </c>
    </row>
    <row r="142" spans="1:10" x14ac:dyDescent="0.25">
      <c r="A142" s="4">
        <f t="shared" ca="1" si="4"/>
        <v>139</v>
      </c>
      <c r="B142" s="4" t="s">
        <v>397</v>
      </c>
      <c r="C142" s="4" t="s">
        <v>108</v>
      </c>
      <c r="D142" s="4" t="s">
        <v>125</v>
      </c>
      <c r="E142" s="4" t="s">
        <v>66</v>
      </c>
      <c r="F142" s="4">
        <v>879.221</v>
      </c>
      <c r="G142" s="5">
        <v>94.797700000000006</v>
      </c>
      <c r="H142" s="5">
        <v>16.98</v>
      </c>
      <c r="I142" s="5">
        <v>855</v>
      </c>
      <c r="J142" s="4" t="s">
        <v>126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125</v>
      </c>
      <c r="E143" s="4" t="s">
        <v>66</v>
      </c>
      <c r="F143" s="4">
        <v>962.70500000000004</v>
      </c>
      <c r="G143" s="5">
        <v>99.94550000000001</v>
      </c>
      <c r="H143" s="5">
        <v>16.72</v>
      </c>
      <c r="I143" s="5">
        <v>238</v>
      </c>
      <c r="J143" s="4" t="s">
        <v>126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125</v>
      </c>
      <c r="E144" s="4" t="s">
        <v>66</v>
      </c>
      <c r="F144" s="4">
        <v>741.49300000000005</v>
      </c>
      <c r="G144" s="5">
        <v>81.836800000000011</v>
      </c>
      <c r="H144" s="5">
        <v>15.7</v>
      </c>
      <c r="I144" s="5">
        <v>3378</v>
      </c>
      <c r="J144" s="4" t="s">
        <v>126</v>
      </c>
    </row>
    <row r="145" spans="1:10" x14ac:dyDescent="0.25">
      <c r="A145" s="4">
        <f t="shared" ca="1" si="4"/>
        <v>142</v>
      </c>
      <c r="B145" s="4" t="s">
        <v>402</v>
      </c>
      <c r="C145" s="4" t="s">
        <v>99</v>
      </c>
      <c r="D145" s="4" t="s">
        <v>125</v>
      </c>
      <c r="E145" s="4" t="s">
        <v>66</v>
      </c>
      <c r="F145" s="4">
        <v>801.71400000000006</v>
      </c>
      <c r="G145" s="5">
        <v>87.696100000000001</v>
      </c>
      <c r="H145" s="5">
        <v>16.12</v>
      </c>
      <c r="I145" s="5">
        <v>1924</v>
      </c>
      <c r="J145" s="4" t="s">
        <v>126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125</v>
      </c>
      <c r="E146" s="4" t="s">
        <v>66</v>
      </c>
      <c r="F146" s="4">
        <v>778.52800000000002</v>
      </c>
      <c r="G146" s="5">
        <v>81.030100000000004</v>
      </c>
      <c r="H146" s="5">
        <v>15.83</v>
      </c>
      <c r="I146" s="5">
        <v>2814</v>
      </c>
      <c r="J146" s="4" t="s">
        <v>126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125</v>
      </c>
      <c r="E147" s="4" t="s">
        <v>66</v>
      </c>
      <c r="F147" s="4">
        <v>979.63200000000006</v>
      </c>
      <c r="G147" s="5">
        <v>101.20650000000001</v>
      </c>
      <c r="H147" s="5">
        <v>16.740000000000002</v>
      </c>
      <c r="I147" s="5">
        <v>281</v>
      </c>
      <c r="J147" s="4" t="s">
        <v>126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125</v>
      </c>
      <c r="E148" s="4" t="s">
        <v>66</v>
      </c>
      <c r="F148" s="4">
        <v>981.76400000000001</v>
      </c>
      <c r="G148" s="5">
        <v>99.114500000000007</v>
      </c>
      <c r="H148" s="5">
        <v>16.47</v>
      </c>
      <c r="I148" s="5">
        <v>709</v>
      </c>
      <c r="J148" s="4" t="s">
        <v>126</v>
      </c>
    </row>
    <row r="149" spans="1:10" x14ac:dyDescent="0.25">
      <c r="A149" s="4">
        <f t="shared" ca="1" si="4"/>
        <v>146</v>
      </c>
      <c r="B149" s="4" t="s">
        <v>409</v>
      </c>
      <c r="C149" s="4" t="s">
        <v>67</v>
      </c>
      <c r="D149" s="4" t="s">
        <v>125</v>
      </c>
      <c r="E149" s="4" t="s">
        <v>66</v>
      </c>
      <c r="F149" s="4">
        <v>920.86700000000008</v>
      </c>
      <c r="G149" s="5">
        <v>99.903400000000005</v>
      </c>
      <c r="H149" s="5">
        <v>15.99</v>
      </c>
      <c r="I149" s="5">
        <v>2353</v>
      </c>
      <c r="J149" s="4" t="s">
        <v>126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125</v>
      </c>
      <c r="E150" s="4" t="s">
        <v>66</v>
      </c>
      <c r="F150" s="4">
        <v>965.84300000000007</v>
      </c>
      <c r="G150" s="5">
        <v>108.35680000000001</v>
      </c>
      <c r="H150" s="5">
        <v>16.66</v>
      </c>
      <c r="I150" s="5">
        <v>1180</v>
      </c>
      <c r="J150" s="4" t="s">
        <v>126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125</v>
      </c>
      <c r="E151" s="4" t="s">
        <v>66</v>
      </c>
      <c r="F151" s="4">
        <v>1000</v>
      </c>
      <c r="G151" s="5">
        <v>104.4539</v>
      </c>
      <c r="H151" s="5">
        <v>17.48</v>
      </c>
      <c r="I151" s="5">
        <v>274</v>
      </c>
      <c r="J151" s="4" t="s">
        <v>126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125</v>
      </c>
      <c r="E152" s="4" t="s">
        <v>66</v>
      </c>
      <c r="F152" s="4">
        <v>923.99800000000005</v>
      </c>
      <c r="G152" s="5">
        <v>100.48870000000001</v>
      </c>
      <c r="H152" s="5">
        <v>16.13</v>
      </c>
      <c r="I152" s="5">
        <v>1980</v>
      </c>
      <c r="J152" s="4" t="s">
        <v>126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125</v>
      </c>
      <c r="E153" s="4" t="s">
        <v>66</v>
      </c>
      <c r="F153" s="4">
        <v>985.41700000000003</v>
      </c>
      <c r="G153" s="5">
        <v>104.88200000000001</v>
      </c>
      <c r="H153" s="5">
        <v>16.649999999999999</v>
      </c>
      <c r="I153" s="5">
        <v>197</v>
      </c>
      <c r="J153" s="4" t="s">
        <v>126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125</v>
      </c>
      <c r="E154" s="4" t="s">
        <v>66</v>
      </c>
      <c r="F154" s="4">
        <v>936.71300000000008</v>
      </c>
      <c r="G154" s="5">
        <v>101.09700000000001</v>
      </c>
      <c r="H154" s="5">
        <v>15.89</v>
      </c>
      <c r="I154" s="5">
        <v>2735</v>
      </c>
      <c r="J154" s="4" t="s">
        <v>126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125</v>
      </c>
      <c r="E155" s="4" t="s">
        <v>66</v>
      </c>
      <c r="F155" s="4">
        <v>858.75900000000001</v>
      </c>
      <c r="G155" s="5">
        <v>95.47590000000001</v>
      </c>
      <c r="H155" s="5">
        <v>16.18</v>
      </c>
      <c r="I155" s="5">
        <v>1901</v>
      </c>
      <c r="J155" s="4" t="s">
        <v>126</v>
      </c>
    </row>
    <row r="156" spans="1:10" x14ac:dyDescent="0.25">
      <c r="A156" s="4">
        <f t="shared" ca="1" si="4"/>
        <v>153</v>
      </c>
      <c r="B156" s="4" t="s">
        <v>422</v>
      </c>
      <c r="C156" s="4" t="s">
        <v>96</v>
      </c>
      <c r="D156" s="4" t="s">
        <v>125</v>
      </c>
      <c r="E156" s="4" t="s">
        <v>66</v>
      </c>
      <c r="F156" s="4">
        <v>1028.3040000000001</v>
      </c>
      <c r="G156" s="5">
        <v>108.6422</v>
      </c>
      <c r="H156" s="5">
        <v>15.93</v>
      </c>
      <c r="I156" s="5">
        <v>1337</v>
      </c>
      <c r="J156" s="4" t="s">
        <v>126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125</v>
      </c>
      <c r="E157" s="4" t="s">
        <v>66</v>
      </c>
      <c r="F157" s="4">
        <v>939.46500000000003</v>
      </c>
      <c r="G157" s="5">
        <v>104.98260000000001</v>
      </c>
      <c r="H157" s="5">
        <v>15.82</v>
      </c>
      <c r="I157" s="5">
        <v>3009</v>
      </c>
      <c r="J157" s="4" t="s">
        <v>126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125</v>
      </c>
      <c r="E158" s="4" t="s">
        <v>66</v>
      </c>
      <c r="F158" s="4">
        <v>944.46500000000003</v>
      </c>
      <c r="G158" s="5">
        <v>105.5587</v>
      </c>
      <c r="H158" s="5">
        <v>16.02</v>
      </c>
      <c r="I158" s="5">
        <v>2279</v>
      </c>
      <c r="J158" s="4" t="s">
        <v>126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125</v>
      </c>
      <c r="E159" s="4" t="s">
        <v>66</v>
      </c>
      <c r="F159" s="4">
        <v>915.95300000000009</v>
      </c>
      <c r="G159" s="5">
        <v>99.350300000000004</v>
      </c>
      <c r="H159" s="5">
        <v>15.62</v>
      </c>
      <c r="I159" s="5">
        <v>4547</v>
      </c>
      <c r="J159" s="4" t="s">
        <v>126</v>
      </c>
    </row>
    <row r="160" spans="1:10" x14ac:dyDescent="0.25">
      <c r="A160" s="4">
        <f t="shared" ca="1" si="4"/>
        <v>157</v>
      </c>
      <c r="B160" s="4" t="s">
        <v>429</v>
      </c>
      <c r="C160" s="4" t="s">
        <v>430</v>
      </c>
      <c r="D160" s="4" t="s">
        <v>125</v>
      </c>
      <c r="E160" s="4" t="s">
        <v>66</v>
      </c>
      <c r="F160" s="4">
        <v>1000</v>
      </c>
      <c r="G160" s="5">
        <v>110.3854</v>
      </c>
      <c r="H160" s="5">
        <v>14.89</v>
      </c>
      <c r="I160" s="5">
        <v>1938</v>
      </c>
      <c r="J160" s="4" t="s">
        <v>126</v>
      </c>
    </row>
    <row r="161" spans="1:10" x14ac:dyDescent="0.25">
      <c r="A161" s="4">
        <f t="shared" ca="1" si="4"/>
        <v>158</v>
      </c>
      <c r="B161" s="4" t="s">
        <v>431</v>
      </c>
      <c r="C161" s="4" t="s">
        <v>103</v>
      </c>
      <c r="D161" s="4" t="s">
        <v>125</v>
      </c>
      <c r="E161" s="4" t="s">
        <v>66</v>
      </c>
      <c r="F161" s="4">
        <v>872.08900000000006</v>
      </c>
      <c r="G161" s="5">
        <v>96.308900000000008</v>
      </c>
      <c r="H161" s="5">
        <v>16.36</v>
      </c>
      <c r="I161" s="5">
        <v>1549</v>
      </c>
      <c r="J161" s="4" t="s">
        <v>126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125</v>
      </c>
      <c r="E162" s="4" t="s">
        <v>66</v>
      </c>
      <c r="F162" s="4">
        <v>93.380800000000008</v>
      </c>
      <c r="G162" s="5">
        <v>93.380800000000008</v>
      </c>
      <c r="H162" s="5">
        <v>16.59</v>
      </c>
      <c r="I162" s="5">
        <v>157</v>
      </c>
      <c r="J162" s="4" t="s">
        <v>126</v>
      </c>
    </row>
    <row r="163" spans="1:10" x14ac:dyDescent="0.25">
      <c r="A163" s="4">
        <f t="shared" ca="1" si="4"/>
        <v>160</v>
      </c>
      <c r="B163" s="4" t="s">
        <v>434</v>
      </c>
      <c r="C163" s="4" t="s">
        <v>106</v>
      </c>
      <c r="D163" s="4" t="s">
        <v>125</v>
      </c>
      <c r="E163" s="4" t="s">
        <v>66</v>
      </c>
      <c r="F163" s="4">
        <v>97.506399999999999</v>
      </c>
      <c r="G163" s="5">
        <v>97.506399999999999</v>
      </c>
      <c r="H163" s="5">
        <v>16.09</v>
      </c>
      <c r="I163" s="5">
        <v>59</v>
      </c>
      <c r="J163" s="4" t="s">
        <v>126</v>
      </c>
    </row>
    <row r="164" spans="1:10" x14ac:dyDescent="0.25">
      <c r="A164" s="4">
        <f t="shared" ref="A164:A197" ca="1" si="5">IF(OFFSET(A164,-1,0)="№ п/п",1,OFFSET(A164,-1,0)+1)</f>
        <v>161</v>
      </c>
      <c r="B164" s="4" t="s">
        <v>435</v>
      </c>
      <c r="C164" s="4" t="s">
        <v>436</v>
      </c>
      <c r="D164" s="4" t="s">
        <v>125</v>
      </c>
      <c r="E164" s="4" t="s">
        <v>66</v>
      </c>
      <c r="F164" s="4">
        <v>915.428</v>
      </c>
      <c r="G164" s="5">
        <v>103.09280000000001</v>
      </c>
      <c r="H164" s="5">
        <v>15.77</v>
      </c>
      <c r="I164" s="5">
        <v>3353</v>
      </c>
      <c r="J164" s="4" t="s">
        <v>126</v>
      </c>
    </row>
    <row r="165" spans="1:10" x14ac:dyDescent="0.25">
      <c r="A165" s="4">
        <f t="shared" ca="1" si="5"/>
        <v>162</v>
      </c>
      <c r="B165" s="4" t="s">
        <v>437</v>
      </c>
      <c r="C165" s="4" t="s">
        <v>438</v>
      </c>
      <c r="D165" s="4" t="s">
        <v>125</v>
      </c>
      <c r="E165" s="4" t="s">
        <v>66</v>
      </c>
      <c r="F165" s="4">
        <v>0.98624999999999996</v>
      </c>
      <c r="G165" s="5">
        <v>99.4238</v>
      </c>
      <c r="H165" s="5">
        <v>4.9000000000000004</v>
      </c>
      <c r="I165" s="5">
        <v>3408</v>
      </c>
      <c r="J165" s="4" t="s">
        <v>126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125</v>
      </c>
      <c r="E166" s="4" t="s">
        <v>66</v>
      </c>
      <c r="F166" s="4">
        <v>1041.6590000000001</v>
      </c>
      <c r="G166" s="5">
        <v>107.03800000000001</v>
      </c>
      <c r="H166" s="5">
        <v>15.67</v>
      </c>
      <c r="I166" s="5">
        <v>1765</v>
      </c>
      <c r="J166" s="4" t="s">
        <v>126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120</v>
      </c>
      <c r="E167" s="4" t="s">
        <v>443</v>
      </c>
      <c r="F167" s="4">
        <v>322.34000000000003</v>
      </c>
      <c r="G167" s="5"/>
      <c r="H167" s="5"/>
      <c r="I167" s="5"/>
      <c r="J167" s="4" t="s">
        <v>122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120</v>
      </c>
      <c r="E168" s="4" t="s">
        <v>443</v>
      </c>
      <c r="F168" s="4">
        <v>25.59</v>
      </c>
      <c r="G168" s="5"/>
      <c r="H168" s="5"/>
      <c r="I168" s="5"/>
      <c r="J168" s="4" t="s">
        <v>147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125</v>
      </c>
      <c r="E169" s="4" t="s">
        <v>443</v>
      </c>
      <c r="F169" s="4">
        <v>1000.181</v>
      </c>
      <c r="G169" s="5">
        <v>100.3758</v>
      </c>
      <c r="H169" s="5">
        <v>18.63</v>
      </c>
      <c r="I169" s="5">
        <v>724</v>
      </c>
      <c r="J169" s="4" t="s">
        <v>126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125</v>
      </c>
      <c r="E170" s="4" t="s">
        <v>450</v>
      </c>
      <c r="F170" s="4">
        <v>876.74</v>
      </c>
      <c r="G170" s="5">
        <v>88.638400000000004</v>
      </c>
      <c r="H170" s="5">
        <v>17.990000000000002</v>
      </c>
      <c r="I170" s="5">
        <v>1069</v>
      </c>
      <c r="J170" s="4" t="s">
        <v>126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120</v>
      </c>
      <c r="E171" s="4" t="s">
        <v>453</v>
      </c>
      <c r="F171" s="4">
        <v>878.73</v>
      </c>
      <c r="G171" s="5"/>
      <c r="H171" s="5"/>
      <c r="I171" s="5"/>
      <c r="J171" s="4" t="s">
        <v>122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125</v>
      </c>
      <c r="E172" s="4" t="s">
        <v>456</v>
      </c>
      <c r="F172" s="4">
        <v>802.84</v>
      </c>
      <c r="G172" s="5">
        <v>85.539600000000007</v>
      </c>
      <c r="H172" s="5">
        <v>17.48</v>
      </c>
      <c r="I172" s="5">
        <v>1652</v>
      </c>
      <c r="J172" s="4" t="s">
        <v>126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125</v>
      </c>
      <c r="E173" s="4" t="s">
        <v>456</v>
      </c>
      <c r="F173" s="4">
        <v>0.87255299999999991</v>
      </c>
      <c r="G173" s="5">
        <v>87.533900000000003</v>
      </c>
      <c r="H173" s="5">
        <v>5.72</v>
      </c>
      <c r="I173" s="5">
        <v>1974</v>
      </c>
      <c r="J173" s="4" t="s">
        <v>126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125</v>
      </c>
      <c r="E174" s="4" t="s">
        <v>456</v>
      </c>
      <c r="F174" s="4">
        <v>1001.735</v>
      </c>
      <c r="G174" s="5">
        <v>100.85890000000001</v>
      </c>
      <c r="H174" s="5">
        <v>5.2</v>
      </c>
      <c r="I174" s="5">
        <v>1414</v>
      </c>
      <c r="J174" s="4" t="s">
        <v>126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125</v>
      </c>
      <c r="E175" s="4" t="s">
        <v>456</v>
      </c>
      <c r="F175" s="4">
        <v>0.98975199999999997</v>
      </c>
      <c r="G175" s="5">
        <v>99.665199999999999</v>
      </c>
      <c r="H175" s="5">
        <v>4.83</v>
      </c>
      <c r="I175" s="5">
        <v>1879</v>
      </c>
      <c r="J175" s="4" t="s">
        <v>126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125</v>
      </c>
      <c r="E176" s="4" t="s">
        <v>456</v>
      </c>
      <c r="F176" s="4">
        <v>1.006948</v>
      </c>
      <c r="G176" s="5">
        <v>101.6126</v>
      </c>
      <c r="H176" s="5">
        <v>3.08</v>
      </c>
      <c r="I176" s="5">
        <v>997</v>
      </c>
      <c r="J176" s="4" t="s">
        <v>126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125</v>
      </c>
      <c r="E177" s="4" t="s">
        <v>72</v>
      </c>
      <c r="F177" s="4">
        <v>1040.682</v>
      </c>
      <c r="G177" s="5">
        <v>111.70010000000001</v>
      </c>
      <c r="H177" s="5">
        <v>18.02</v>
      </c>
      <c r="I177" s="5">
        <v>1503</v>
      </c>
      <c r="J177" s="4" t="s">
        <v>126</v>
      </c>
    </row>
    <row r="178" spans="1:10" x14ac:dyDescent="0.25">
      <c r="A178" s="4">
        <f t="shared" ca="1" si="5"/>
        <v>175</v>
      </c>
      <c r="B178" s="4" t="s">
        <v>467</v>
      </c>
      <c r="C178" s="4" t="s">
        <v>468</v>
      </c>
      <c r="D178" s="4" t="s">
        <v>125</v>
      </c>
      <c r="E178" s="4" t="s">
        <v>72</v>
      </c>
      <c r="F178" s="4">
        <v>1051.162</v>
      </c>
      <c r="G178" s="5">
        <v>105.92910000000001</v>
      </c>
      <c r="H178" s="5">
        <v>17.920000000000002</v>
      </c>
      <c r="I178" s="5">
        <v>1447</v>
      </c>
      <c r="J178" s="4" t="s">
        <v>126</v>
      </c>
    </row>
    <row r="179" spans="1:10" x14ac:dyDescent="0.25">
      <c r="A179" s="4">
        <f t="shared" ca="1" si="5"/>
        <v>176</v>
      </c>
      <c r="B179" s="4" t="s">
        <v>469</v>
      </c>
      <c r="C179" s="4" t="s">
        <v>470</v>
      </c>
      <c r="D179" s="4" t="s">
        <v>120</v>
      </c>
      <c r="E179" s="4" t="s">
        <v>471</v>
      </c>
      <c r="F179" s="4">
        <v>30340.76</v>
      </c>
      <c r="G179" s="5"/>
      <c r="H179" s="5"/>
      <c r="I179" s="5"/>
      <c r="J179" s="4" t="s">
        <v>122</v>
      </c>
    </row>
    <row r="180" spans="1:10" x14ac:dyDescent="0.25">
      <c r="A180" s="4">
        <f t="shared" ca="1" si="5"/>
        <v>177</v>
      </c>
      <c r="B180" s="4" t="s">
        <v>472</v>
      </c>
      <c r="C180" s="4" t="s">
        <v>473</v>
      </c>
      <c r="D180" s="4" t="s">
        <v>120</v>
      </c>
      <c r="E180" s="4" t="s">
        <v>471</v>
      </c>
      <c r="F180" s="4">
        <v>59.91</v>
      </c>
      <c r="G180" s="5"/>
      <c r="H180" s="5"/>
      <c r="I180" s="5"/>
      <c r="J180" s="4" t="s">
        <v>147</v>
      </c>
    </row>
    <row r="181" spans="1:10" x14ac:dyDescent="0.25">
      <c r="A181" s="4">
        <f t="shared" ca="1" si="5"/>
        <v>178</v>
      </c>
      <c r="B181" s="4" t="s">
        <v>474</v>
      </c>
      <c r="C181" s="4" t="s">
        <v>475</v>
      </c>
      <c r="D181" s="4" t="s">
        <v>120</v>
      </c>
      <c r="E181" s="4" t="s">
        <v>476</v>
      </c>
      <c r="F181" s="4">
        <v>39613.230000000003</v>
      </c>
      <c r="G181" s="5"/>
      <c r="H181" s="5"/>
      <c r="I181" s="5"/>
      <c r="J181" s="4" t="s">
        <v>122</v>
      </c>
    </row>
    <row r="182" spans="1:10" x14ac:dyDescent="0.25">
      <c r="A182" s="4">
        <f t="shared" ca="1" si="5"/>
        <v>179</v>
      </c>
      <c r="B182" s="4" t="s">
        <v>477</v>
      </c>
      <c r="C182" s="4" t="s">
        <v>478</v>
      </c>
      <c r="D182" s="4" t="s">
        <v>120</v>
      </c>
      <c r="E182" s="4" t="s">
        <v>476</v>
      </c>
      <c r="F182" s="4">
        <v>77.98</v>
      </c>
      <c r="G182" s="5"/>
      <c r="H182" s="5"/>
      <c r="I182" s="5"/>
      <c r="J182" s="4" t="s">
        <v>147</v>
      </c>
    </row>
    <row r="183" spans="1:10" x14ac:dyDescent="0.25">
      <c r="A183" s="4">
        <f t="shared" ca="1" si="5"/>
        <v>180</v>
      </c>
      <c r="B183" s="4" t="s">
        <v>479</v>
      </c>
      <c r="C183" s="4" t="s">
        <v>480</v>
      </c>
      <c r="D183" s="4" t="s">
        <v>125</v>
      </c>
      <c r="E183" s="4" t="s">
        <v>481</v>
      </c>
      <c r="F183" s="4">
        <v>1015.253</v>
      </c>
      <c r="G183" s="5">
        <v>104.8503</v>
      </c>
      <c r="H183" s="5">
        <v>18.48</v>
      </c>
      <c r="I183" s="5">
        <v>1763</v>
      </c>
      <c r="J183" s="4" t="s">
        <v>126</v>
      </c>
    </row>
    <row r="184" spans="1:10" x14ac:dyDescent="0.25">
      <c r="A184" s="4">
        <f t="shared" ca="1" si="5"/>
        <v>181</v>
      </c>
      <c r="B184" s="4" t="s">
        <v>482</v>
      </c>
      <c r="C184" s="4" t="s">
        <v>483</v>
      </c>
      <c r="D184" s="4" t="s">
        <v>125</v>
      </c>
      <c r="E184" s="4" t="s">
        <v>481</v>
      </c>
      <c r="F184" s="4">
        <v>1015.253</v>
      </c>
      <c r="G184" s="5">
        <v>104.8503</v>
      </c>
      <c r="H184" s="5">
        <v>18.48</v>
      </c>
      <c r="I184" s="5">
        <v>1763</v>
      </c>
      <c r="J184" s="4" t="s">
        <v>126</v>
      </c>
    </row>
    <row r="185" spans="1:10" x14ac:dyDescent="0.25">
      <c r="A185" s="4">
        <f t="shared" ca="1" si="5"/>
        <v>182</v>
      </c>
      <c r="B185" s="4" t="s">
        <v>484</v>
      </c>
      <c r="C185" s="4" t="s">
        <v>485</v>
      </c>
      <c r="D185" s="4" t="s">
        <v>125</v>
      </c>
      <c r="E185" s="4" t="s">
        <v>486</v>
      </c>
      <c r="F185" s="4">
        <v>295</v>
      </c>
      <c r="G185" s="5">
        <v>29.5883</v>
      </c>
      <c r="H185" s="5">
        <v>16.440000000000001</v>
      </c>
      <c r="I185" s="5">
        <v>2966</v>
      </c>
      <c r="J185" s="4" t="s">
        <v>126</v>
      </c>
    </row>
    <row r="186" spans="1:10" x14ac:dyDescent="0.25">
      <c r="A186" s="4">
        <f t="shared" ca="1" si="5"/>
        <v>183</v>
      </c>
      <c r="B186" s="4" t="s">
        <v>487</v>
      </c>
      <c r="C186" s="4" t="s">
        <v>488</v>
      </c>
      <c r="D186" s="4" t="s">
        <v>125</v>
      </c>
      <c r="E186" s="4" t="s">
        <v>489</v>
      </c>
      <c r="F186" s="4">
        <v>99.980800000000002</v>
      </c>
      <c r="G186" s="5">
        <v>102.5475</v>
      </c>
      <c r="H186" s="5">
        <v>10.98</v>
      </c>
      <c r="I186" s="5">
        <v>281</v>
      </c>
      <c r="J186" s="4" t="s">
        <v>126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120</v>
      </c>
      <c r="E187" s="4" t="s">
        <v>492</v>
      </c>
      <c r="F187" s="4">
        <v>6.89</v>
      </c>
      <c r="G187" s="5"/>
      <c r="H187" s="5"/>
      <c r="I187" s="5"/>
      <c r="J187" s="4" t="s">
        <v>147</v>
      </c>
    </row>
    <row r="188" spans="1:10" x14ac:dyDescent="0.25">
      <c r="A188" s="4">
        <f t="shared" ca="1" si="5"/>
        <v>185</v>
      </c>
      <c r="B188" s="4" t="s">
        <v>493</v>
      </c>
      <c r="C188" s="4" t="s">
        <v>494</v>
      </c>
      <c r="D188" s="4" t="s">
        <v>120</v>
      </c>
      <c r="E188" s="4" t="s">
        <v>492</v>
      </c>
      <c r="F188" s="4">
        <v>866.77</v>
      </c>
      <c r="G188" s="5"/>
      <c r="H188" s="5"/>
      <c r="I188" s="5"/>
      <c r="J188" s="4" t="s">
        <v>122</v>
      </c>
    </row>
    <row r="189" spans="1:10" x14ac:dyDescent="0.25">
      <c r="A189" s="4">
        <f t="shared" ca="1" si="5"/>
        <v>186</v>
      </c>
      <c r="B189" s="4" t="s">
        <v>495</v>
      </c>
      <c r="C189" s="4" t="s">
        <v>496</v>
      </c>
      <c r="D189" s="4" t="s">
        <v>125</v>
      </c>
      <c r="E189" s="4" t="s">
        <v>112</v>
      </c>
      <c r="F189" s="4">
        <v>0.99913599999999991</v>
      </c>
      <c r="G189" s="5">
        <v>101.18470000000001</v>
      </c>
      <c r="H189" s="5">
        <v>6</v>
      </c>
      <c r="I189" s="5">
        <v>101</v>
      </c>
      <c r="J189" s="4" t="s">
        <v>126</v>
      </c>
    </row>
    <row r="190" spans="1:10" x14ac:dyDescent="0.25">
      <c r="A190" s="4">
        <f t="shared" ca="1" si="5"/>
        <v>187</v>
      </c>
      <c r="B190" s="4" t="s">
        <v>497</v>
      </c>
      <c r="C190" s="4" t="s">
        <v>498</v>
      </c>
      <c r="D190" s="4" t="s">
        <v>125</v>
      </c>
      <c r="E190" s="4" t="s">
        <v>112</v>
      </c>
      <c r="F190" s="4">
        <v>1000</v>
      </c>
      <c r="G190" s="5">
        <v>103.85210000000001</v>
      </c>
      <c r="H190" s="5">
        <v>18.940000000000001</v>
      </c>
      <c r="I190" s="5">
        <v>839</v>
      </c>
      <c r="J190" s="4" t="s">
        <v>126</v>
      </c>
    </row>
    <row r="191" spans="1:10" x14ac:dyDescent="0.25">
      <c r="A191" s="4">
        <f t="shared" ca="1" si="5"/>
        <v>188</v>
      </c>
      <c r="B191" s="4" t="s">
        <v>499</v>
      </c>
      <c r="C191" s="4" t="s">
        <v>113</v>
      </c>
      <c r="D191" s="4" t="s">
        <v>125</v>
      </c>
      <c r="E191" s="4" t="s">
        <v>112</v>
      </c>
      <c r="F191" s="4">
        <v>945.62832548719109</v>
      </c>
      <c r="G191" s="5">
        <v>98.415932549999994</v>
      </c>
      <c r="H191" s="5">
        <v>18.07</v>
      </c>
      <c r="I191" s="5">
        <v>633</v>
      </c>
      <c r="J191" s="4" t="s">
        <v>126</v>
      </c>
    </row>
    <row r="192" spans="1:10" x14ac:dyDescent="0.25">
      <c r="A192" s="4">
        <f t="shared" ca="1" si="5"/>
        <v>189</v>
      </c>
      <c r="B192" s="4" t="s">
        <v>500</v>
      </c>
      <c r="C192" s="4" t="s">
        <v>501</v>
      </c>
      <c r="D192" s="4" t="s">
        <v>125</v>
      </c>
      <c r="E192" s="4" t="s">
        <v>112</v>
      </c>
      <c r="F192" s="4">
        <v>1000</v>
      </c>
      <c r="G192" s="5">
        <v>105.5699</v>
      </c>
      <c r="H192" s="5">
        <v>18.940000000000001</v>
      </c>
      <c r="I192" s="5">
        <v>808</v>
      </c>
      <c r="J192" s="4" t="s">
        <v>126</v>
      </c>
    </row>
    <row r="193" spans="1:10" x14ac:dyDescent="0.25">
      <c r="A193" s="4">
        <f t="shared" ca="1" si="5"/>
        <v>190</v>
      </c>
      <c r="B193" s="4" t="s">
        <v>502</v>
      </c>
      <c r="C193" s="4" t="s">
        <v>503</v>
      </c>
      <c r="D193" s="4" t="s">
        <v>125</v>
      </c>
      <c r="E193" s="4" t="s">
        <v>504</v>
      </c>
      <c r="F193" s="4">
        <v>1.017622</v>
      </c>
      <c r="G193" s="5">
        <v>102.2466</v>
      </c>
      <c r="H193" s="5">
        <v>4.67</v>
      </c>
      <c r="I193" s="5">
        <v>881</v>
      </c>
      <c r="J193" s="4" t="s">
        <v>126</v>
      </c>
    </row>
    <row r="194" spans="1:10" x14ac:dyDescent="0.25">
      <c r="A194" s="4">
        <f t="shared" ca="1" si="5"/>
        <v>191</v>
      </c>
      <c r="B194" s="4" t="s">
        <v>505</v>
      </c>
      <c r="C194" s="4" t="s">
        <v>506</v>
      </c>
      <c r="D194" s="4" t="s">
        <v>125</v>
      </c>
      <c r="E194" s="4" t="s">
        <v>504</v>
      </c>
      <c r="F194" s="4">
        <v>997.10599999999999</v>
      </c>
      <c r="G194" s="5">
        <v>108.3634</v>
      </c>
      <c r="H194" s="5">
        <v>17.48</v>
      </c>
      <c r="I194" s="5">
        <v>1646</v>
      </c>
      <c r="J194" s="4" t="s">
        <v>126</v>
      </c>
    </row>
    <row r="195" spans="1:10" x14ac:dyDescent="0.25">
      <c r="A195" s="4">
        <f t="shared" ca="1" si="5"/>
        <v>192</v>
      </c>
      <c r="B195" s="4" t="s">
        <v>507</v>
      </c>
      <c r="C195" s="4" t="s">
        <v>508</v>
      </c>
      <c r="D195" s="4" t="s">
        <v>125</v>
      </c>
      <c r="E195" s="4" t="s">
        <v>504</v>
      </c>
      <c r="F195" s="4">
        <v>997.10599999999999</v>
      </c>
      <c r="G195" s="5">
        <v>108.3634</v>
      </c>
      <c r="H195" s="5">
        <v>17.48</v>
      </c>
      <c r="I195" s="5">
        <v>1646</v>
      </c>
      <c r="J195" s="4" t="s">
        <v>126</v>
      </c>
    </row>
    <row r="196" spans="1:10" x14ac:dyDescent="0.25">
      <c r="A196" s="4">
        <f t="shared" ca="1" si="5"/>
        <v>193</v>
      </c>
      <c r="B196" s="4" t="s">
        <v>509</v>
      </c>
      <c r="C196" s="4" t="s">
        <v>510</v>
      </c>
      <c r="D196" s="4" t="s">
        <v>125</v>
      </c>
      <c r="E196" s="4" t="s">
        <v>504</v>
      </c>
      <c r="F196" s="4">
        <v>1022.4630000000001</v>
      </c>
      <c r="G196" s="5">
        <v>106.82130000000001</v>
      </c>
      <c r="H196" s="5">
        <v>17.48</v>
      </c>
      <c r="I196" s="5">
        <v>1736</v>
      </c>
      <c r="J196" s="4" t="s">
        <v>126</v>
      </c>
    </row>
    <row r="197" spans="1:10" x14ac:dyDescent="0.25">
      <c r="A197" s="4">
        <f t="shared" ca="1" si="5"/>
        <v>194</v>
      </c>
      <c r="B197" s="4" t="s">
        <v>511</v>
      </c>
      <c r="C197" s="4" t="s">
        <v>512</v>
      </c>
      <c r="D197" s="4" t="s">
        <v>125</v>
      </c>
      <c r="E197" s="4" t="s">
        <v>504</v>
      </c>
      <c r="F197" s="4">
        <v>1.0108979999999999</v>
      </c>
      <c r="G197" s="5">
        <v>101.9811</v>
      </c>
      <c r="H197" s="5">
        <v>4.4000000000000004</v>
      </c>
      <c r="I197" s="5">
        <v>1757</v>
      </c>
      <c r="J197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2025-12-11T04:45:57Z</dcterms:created>
  <dcterms:modified xsi:type="dcterms:W3CDTF">2025-12-11T09:57:37Z</dcterms:modified>
</cp:coreProperties>
</file>