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F67990F2-978E-40D8-A2F5-11C1FA5D5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15" i="1" l="1"/>
  <c r="M11" i="1"/>
  <c r="M21" i="1"/>
  <c r="M17" i="1"/>
  <c r="M13" i="1"/>
  <c r="M9" i="1"/>
  <c r="M24" i="1"/>
  <c r="M20" i="1"/>
  <c r="M16" i="1"/>
  <c r="M12" i="1"/>
  <c r="M8" i="1"/>
  <c r="M23" i="1"/>
  <c r="M19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<sst xmlns="http://schemas.openxmlformats.org/spreadsheetml/2006/main" count="1125" uniqueCount="504">
  <si>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</si>
  <si>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</si>
  <si>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</si>
  <si>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</si>
  <si>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</si>
  <si>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</si>
  <si>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</si>
  <si>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</si>
  <si>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</si>
  <si>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</si>
  <si>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</si>
  <si>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</si>
  <si>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</si>
  <si>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</si>
  <si>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</si>
  <si>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</si>
  <si>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</si>
  <si>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</si>
  <si>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</si>
  <si>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</si>
  <si>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</si>
  <si>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</si>
  <si>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</si>
  <si>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</si>
  <si>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</si>
  <si>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</si>
  <si>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</si>
  <si>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</si>
  <si>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</si>
  <si>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</si>
  <si>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</si>
  <si>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</si>
  <si>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</si>
  <si>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</si>
  <si>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</si>
  <si>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</si>
  <si>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</si>
  <si>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</si>
  <si>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</si>
  <si>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</si>
  <si>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</si>
  <si>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</si>
  <si>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</si>
  <si>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</si>
  <si>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</si>
  <si>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</si>
  <si>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</si>
  <si>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</si>
  <si>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</si>
  <si>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</si>
  <si>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</si>
  <si>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</si>
  <si>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</si>
  <si>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</si>
  <si>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</si>
  <si>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</si>
  <si>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</si>
  <si>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</si>
  <si>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</si>
  <si>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</si>
  <si>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</si>
  <si>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</si>
  <si>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</si>
  <si>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</si>
  <si>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</si>
  <si>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</si>
  <si>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</si>
  <si>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XS1263139856</t>
  </si>
  <si>
    <t>KZT</t>
  </si>
  <si>
    <t>25.12.2025</t>
  </si>
  <si>
    <t>26.12.2025</t>
  </si>
  <si>
    <t>KZK100000373</t>
  </si>
  <si>
    <t>29.12.2025</t>
  </si>
  <si>
    <t>KZ96601A861038102391</t>
  </si>
  <si>
    <t>KZKD00001152</t>
  </si>
  <si>
    <t>18.07.2024</t>
  </si>
  <si>
    <t>26.07.2032</t>
  </si>
  <si>
    <t>KZKD00000477</t>
  </si>
  <si>
    <t>24.07.2025</t>
  </si>
  <si>
    <t>19.10.2027</t>
  </si>
  <si>
    <t>KZKD00000444</t>
  </si>
  <si>
    <t>21.08.2025</t>
  </si>
  <si>
    <t>18.08.2026</t>
  </si>
  <si>
    <t>KZK200000760</t>
  </si>
  <si>
    <t>14.08.2025</t>
  </si>
  <si>
    <t>07.08.2029</t>
  </si>
  <si>
    <t>KZK200000687</t>
  </si>
  <si>
    <t>21.01.2026</t>
  </si>
  <si>
    <t>KZKD00000535</t>
  </si>
  <si>
    <t>27.03.2027</t>
  </si>
  <si>
    <t>KZKD00001137</t>
  </si>
  <si>
    <t>12.04.2028</t>
  </si>
  <si>
    <t>13.03.2025</t>
  </si>
  <si>
    <t>06.02.2026</t>
  </si>
  <si>
    <t>KZKD00000741</t>
  </si>
  <si>
    <t>12.05.2034</t>
  </si>
  <si>
    <t>KZKD00001160</t>
  </si>
  <si>
    <t>28.07.2029</t>
  </si>
  <si>
    <t>KZKD00001087</t>
  </si>
  <si>
    <t>31.03.2029</t>
  </si>
  <si>
    <t>KZKD00001251</t>
  </si>
  <si>
    <t>07.03.2030</t>
  </si>
  <si>
    <t>KZKD00001129</t>
  </si>
  <si>
    <t>17.03.2031</t>
  </si>
  <si>
    <t>KZKD00000949</t>
  </si>
  <si>
    <t>16.04.2032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</si>
  <si>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</si>
  <si>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</si>
  <si>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</si>
  <si>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</si>
  <si>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</si>
  <si>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</si>
  <si>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</si>
  <si>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</si>
  <si>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</si>
  <si>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</si>
  <si>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</si>
  <si>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</si>
  <si>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</si>
  <si>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</si>
  <si>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</si>
  <si>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</si>
  <si>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</si>
  <si>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</si>
  <si>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</si>
  <si>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</si>
  <si>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</si>
  <si>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</si>
  <si>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</si>
  <si>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</si>
  <si>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</si>
  <si>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</si>
  <si>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</si>
  <si>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</si>
  <si>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</si>
  <si>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</si>
  <si>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</si>
  <si>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</si>
  <si>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</si>
  <si>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</si>
  <si>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</si>
  <si>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</si>
  <si>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</si>
  <si>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</si>
  <si>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</si>
  <si>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</si>
  <si>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</si>
  <si>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</si>
  <si>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</si>
  <si>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</si>
  <si>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</si>
  <si>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</si>
  <si>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</si>
  <si>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</si>
  <si>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</si>
  <si>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</si>
  <si>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</si>
  <si>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</si>
  <si>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</si>
  <si>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</si>
  <si>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</si>
  <si>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</si>
  <si>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</si>
  <si>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</si>
  <si>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</si>
  <si>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</si>
  <si>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</si>
  <si>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</si>
  <si>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</si>
  <si>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</si>
  <si>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ORBSb6</t>
  </si>
  <si>
    <t>KZ2P00016124</t>
  </si>
  <si>
    <t>KASAb1</t>
  </si>
  <si>
    <t>KZ2C00013753</t>
  </si>
  <si>
    <t>MFRFb21</t>
  </si>
  <si>
    <t>KZ2P00014723</t>
  </si>
  <si>
    <t>MFRFb24</t>
  </si>
  <si>
    <t>KZ2P00015845</t>
  </si>
  <si>
    <t>CLSGb5</t>
  </si>
  <si>
    <t>KZ2P00011612</t>
  </si>
  <si>
    <t>CLSGb4</t>
  </si>
  <si>
    <t>KZ2P00011604</t>
  </si>
  <si>
    <t>MFTSb3</t>
  </si>
  <si>
    <t>KZ2P00014400</t>
  </si>
  <si>
    <t>MFSFb1</t>
  </si>
  <si>
    <t>KZ2P00015308</t>
  </si>
  <si>
    <t>MFTSb5</t>
  </si>
  <si>
    <t>KZ2P00016231</t>
  </si>
  <si>
    <t>MFTSb4</t>
  </si>
  <si>
    <t>KZ2P00016140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</si>
  <si>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</si>
  <si>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</si>
  <si>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</si>
  <si>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</si>
  <si>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</si>
  <si>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</si>
  <si>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</si>
  <si>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</si>
  <si>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</si>
  <si>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</si>
  <si>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</si>
  <si>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</si>
  <si>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</si>
  <si>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</si>
  <si>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</si>
  <si>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</si>
  <si>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</si>
  <si>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</si>
  <si>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</si>
  <si>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</si>
  <si>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</si>
  <si>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</si>
  <si>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</si>
  <si>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</si>
  <si>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</si>
  <si>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</si>
  <si>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</si>
  <si>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</si>
  <si>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</si>
  <si>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</si>
  <si>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</si>
  <si>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</si>
  <si>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</si>
  <si>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</si>
  <si>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</si>
  <si>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</si>
  <si>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</si>
  <si>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MFOKb28</t>
  </si>
  <si>
    <t>KZ2C00015394</t>
  </si>
  <si>
    <t>MFDFb5</t>
  </si>
  <si>
    <t>KZ2P00016553</t>
  </si>
  <si>
    <t>MFMOb15</t>
  </si>
  <si>
    <t>KZ2P00013295</t>
  </si>
  <si>
    <t>MFRFb18</t>
  </si>
  <si>
    <t>KZ2P00013998</t>
  </si>
  <si>
    <t>MFMOb25</t>
  </si>
  <si>
    <t>KZ2P00013220</t>
  </si>
  <si>
    <t>MFMCb2</t>
  </si>
  <si>
    <t>KZ2P00011968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</si>
  <si>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</si>
  <si>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</si>
  <si>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</si>
  <si>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</si>
  <si>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</si>
  <si>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</si>
  <si>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</si>
  <si>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</si>
  <si>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</si>
  <si>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</si>
  <si>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</si>
  <si>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</si>
  <si>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</si>
  <si>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</si>
  <si>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</si>
  <si>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</si>
  <si>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</si>
  <si>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</si>
  <si>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</si>
  <si>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</si>
  <si>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</si>
  <si>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</si>
  <si>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</si>
  <si>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</si>
  <si>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</si>
  <si>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</si>
  <si>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</si>
  <si>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</si>
  <si>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</si>
  <si>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</si>
  <si>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</si>
  <si>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</si>
  <si>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</si>
  <si>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</si>
  <si>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</si>
  <si>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</si>
  <si>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</si>
  <si>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</si>
  <si>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</si>
  <si>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</si>
  <si>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</si>
  <si>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</si>
  <si>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</si>
  <si>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</si>
  <si>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</si>
  <si>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</si>
  <si>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</si>
  <si>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</si>
  <si>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</si>
  <si>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</si>
  <si>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</si>
  <si>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</si>
  <si>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</si>
  <si>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</si>
  <si>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</si>
  <si>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</si>
  <si>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</si>
  <si>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</si>
  <si>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</si>
  <si>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</si>
  <si>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</si>
  <si>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</si>
  <si>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</si>
  <si>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</si>
  <si>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</si>
  <si>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</si>
  <si>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</si>
  <si>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</si>
  <si>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</si>
  <si>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</si>
  <si>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</si>
  <si>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</si>
  <si>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</si>
  <si>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</si>
  <si>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</si>
  <si>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</si>
  <si>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</si>
  <si>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</si>
  <si>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</si>
  <si>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</si>
  <si>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</si>
  <si>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</si>
  <si>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</si>
  <si>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</si>
  <si>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</si>
  <si>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</si>
  <si>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</si>
  <si>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</si>
  <si>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</si>
  <si>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</si>
  <si>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</si>
  <si>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</si>
  <si>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</si>
  <si>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</si>
  <si>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</si>
  <si>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</si>
  <si>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</si>
  <si>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</si>
  <si>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</si>
  <si>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</si>
  <si>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</si>
  <si>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</si>
  <si>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</si>
  <si>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</si>
  <si>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</si>
  <si>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</si>
  <si>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</si>
  <si>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</si>
  <si>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</si>
  <si>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</si>
  <si>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</si>
  <si>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</si>
  <si>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</si>
  <si>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</si>
  <si>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</si>
  <si>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</si>
  <si>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</si>
  <si>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</si>
  <si>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</si>
  <si>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</si>
  <si>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</si>
  <si>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</si>
  <si>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</si>
  <si>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</si>
  <si>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</si>
  <si>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</si>
  <si>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</si>
  <si>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</si>
  <si>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</si>
  <si>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</si>
  <si>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</si>
  <si>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</si>
  <si>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</si>
  <si>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</si>
  <si>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</si>
  <si>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</si>
  <si>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</si>
  <si>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</si>
  <si>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</si>
  <si>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</si>
  <si>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</si>
  <si>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</si>
  <si>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</si>
  <si>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</si>
  <si>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</si>
  <si>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</si>
  <si>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</si>
  <si>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</si>
  <si>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</si>
  <si>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</si>
  <si>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</si>
  <si>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</si>
  <si>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</si>
  <si>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</si>
  <si>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</si>
  <si>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</si>
  <si>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</si>
  <si>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</si>
  <si>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</si>
  <si>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</si>
  <si>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</si>
  <si>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</si>
  <si>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</si>
  <si>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</si>
  <si>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</si>
  <si>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</si>
  <si>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</si>
  <si>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</si>
  <si>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</si>
  <si>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</si>
  <si>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</si>
  <si>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</si>
  <si>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</si>
  <si>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</si>
  <si>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</si>
  <si>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</si>
  <si>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</si>
  <si>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</si>
  <si>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</si>
  <si>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</si>
  <si>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</si>
  <si>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</si>
  <si>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</si>
  <si>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</si>
  <si>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</si>
  <si>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</si>
  <si>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</si>
  <si>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</si>
  <si>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</si>
  <si>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</si>
  <si>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</si>
  <si>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</si>
  <si>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</si>
  <si>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</si>
  <si>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</si>
  <si>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</si>
  <si>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</si>
  <si>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</si>
  <si>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</si>
  <si>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</si>
  <si>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</si>
  <si>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</si>
  <si>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</si>
  <si>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</si>
  <si>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</si>
  <si>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</si>
  <si>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</si>
  <si>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</si>
  <si>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</si>
  <si>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</si>
  <si>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</si>
  <si>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</si>
  <si>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</si>
  <si>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</si>
  <si>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</si>
  <si>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</si>
  <si>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</si>
  <si>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</si>
  <si>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</si>
  <si>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</si>
  <si>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</si>
  <si>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</si>
  <si>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</si>
  <si>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</si>
  <si>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KFUSb47</t>
  </si>
  <si>
    <t>KZ2C00008936</t>
  </si>
  <si>
    <t>АО "Казахстанский фонд устойчивости"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</si>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</sst>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8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27104015102.352196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74</v>
      </c>
      <c r="C8" s="16">
        <v>1897500</v>
      </c>
      <c r="D8" s="17">
        <v>1897500000</v>
      </c>
      <c r="E8" s="18">
        <v>10.65</v>
      </c>
      <c r="F8" s="19" t="s">
        <v>75</v>
      </c>
      <c r="G8" s="19" t="s">
        <v>76</v>
      </c>
      <c r="H8" s="18">
        <v>1648500562.5</v>
      </c>
      <c r="I8" s="20">
        <v>80.058400000000006</v>
      </c>
      <c r="J8" s="20">
        <v>84.495900000000006</v>
      </c>
      <c r="K8" s="18">
        <v>84201562.5</v>
      </c>
      <c r="L8" s="18">
        <v>1603309702.5</v>
      </c>
      <c r="M8" s="21">
        <f t="shared" ref="M8:M24" si="0">L8/$Q$1</f>
        <v>5.9153955472850156E-2</v>
      </c>
      <c r="O8" s="10">
        <v>749863.88888888899</v>
      </c>
    </row>
    <row r="9" spans="1:17" x14ac:dyDescent="0.2">
      <c r="A9" s="15" t="s">
        <v>66</v>
      </c>
      <c r="B9" s="15" t="s">
        <v>77</v>
      </c>
      <c r="C9" s="16">
        <v>2391500</v>
      </c>
      <c r="D9" s="17">
        <v>2391500000</v>
      </c>
      <c r="E9" s="18">
        <v>5.3</v>
      </c>
      <c r="F9" s="19" t="s">
        <v>78</v>
      </c>
      <c r="G9" s="19" t="s">
        <v>79</v>
      </c>
      <c r="H9" s="18">
        <v>1903079172</v>
      </c>
      <c r="I9" s="20">
        <v>83.364100000000008</v>
      </c>
      <c r="J9" s="20">
        <v>84.350500000000011</v>
      </c>
      <c r="K9" s="18">
        <v>23589490.277777769</v>
      </c>
      <c r="L9" s="18">
        <v>2017241941.777777</v>
      </c>
      <c r="M9" s="21">
        <f t="shared" si="0"/>
        <v>7.4425945165692911E-2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1106600</v>
      </c>
      <c r="D10" s="17">
        <v>1106600000</v>
      </c>
      <c r="E10" s="18">
        <v>5.5</v>
      </c>
      <c r="F10" s="19" t="s">
        <v>81</v>
      </c>
      <c r="G10" s="19" t="s">
        <v>82</v>
      </c>
      <c r="H10" s="18">
        <v>999478906.79999995</v>
      </c>
      <c r="I10" s="20">
        <v>93.391600000000011</v>
      </c>
      <c r="J10" s="20">
        <v>95.347200000000001</v>
      </c>
      <c r="K10" s="18">
        <v>21640177.777777798</v>
      </c>
      <c r="L10" s="18">
        <v>1055111623.37778</v>
      </c>
      <c r="M10" s="21">
        <f t="shared" si="0"/>
        <v>3.8928240682916872E-2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897100</v>
      </c>
      <c r="D11" s="17">
        <v>897100000</v>
      </c>
      <c r="E11" s="18">
        <v>17.010000000000002</v>
      </c>
      <c r="F11" s="19" t="s">
        <v>84</v>
      </c>
      <c r="G11" s="19" t="s">
        <v>85</v>
      </c>
      <c r="H11" s="18">
        <v>896985171.20000005</v>
      </c>
      <c r="I11" s="20">
        <v>103.88470000000001</v>
      </c>
      <c r="J11" s="20">
        <v>110.4525</v>
      </c>
      <c r="K11" s="18">
        <v>58919285.25</v>
      </c>
      <c r="L11" s="18">
        <v>990868928.95000005</v>
      </c>
      <c r="M11" s="21">
        <f t="shared" si="0"/>
        <v>3.6558012722772149E-2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2530000</v>
      </c>
      <c r="D12" s="17">
        <v>2530000000</v>
      </c>
      <c r="E12" s="18">
        <v>10.67</v>
      </c>
      <c r="F12" s="19" t="s">
        <v>75</v>
      </c>
      <c r="G12" s="19" t="s">
        <v>87</v>
      </c>
      <c r="H12" s="18">
        <v>2455119589.9966769</v>
      </c>
      <c r="I12" s="20">
        <v>99.565100000000001</v>
      </c>
      <c r="J12" s="20">
        <v>104.15910000000001</v>
      </c>
      <c r="K12" s="18">
        <v>116228902.777778</v>
      </c>
      <c r="L12" s="18">
        <v>2635225932.7777772</v>
      </c>
      <c r="M12" s="21">
        <f t="shared" si="0"/>
        <v>9.7226404384237589E-2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3162500</v>
      </c>
      <c r="D13" s="17">
        <v>3162500000</v>
      </c>
      <c r="E13" s="18">
        <v>5.49</v>
      </c>
      <c r="F13" s="19" t="s">
        <v>75</v>
      </c>
      <c r="G13" s="19" t="s">
        <v>89</v>
      </c>
      <c r="H13" s="18">
        <v>2627740225</v>
      </c>
      <c r="I13" s="20">
        <v>88.038300000000007</v>
      </c>
      <c r="J13" s="20">
        <v>92.140600000000006</v>
      </c>
      <c r="K13" s="18">
        <v>129733656.25</v>
      </c>
      <c r="L13" s="18">
        <v>2913944893.75</v>
      </c>
      <c r="M13" s="21">
        <f t="shared" si="0"/>
        <v>0.10750971333015219</v>
      </c>
      <c r="O13" s="10">
        <v>749863.88888888899</v>
      </c>
    </row>
    <row r="14" spans="1:17" x14ac:dyDescent="0.2">
      <c r="A14" s="15" t="s">
        <v>66</v>
      </c>
      <c r="B14" s="15" t="s">
        <v>90</v>
      </c>
      <c r="C14" s="16">
        <v>1897500</v>
      </c>
      <c r="D14" s="17">
        <v>1897500000</v>
      </c>
      <c r="E14" s="18">
        <v>10.4</v>
      </c>
      <c r="F14" s="19" t="s">
        <v>75</v>
      </c>
      <c r="G14" s="19" t="s">
        <v>91</v>
      </c>
      <c r="H14" s="18">
        <v>1736743800</v>
      </c>
      <c r="I14" s="20">
        <v>88.952700000000007</v>
      </c>
      <c r="J14" s="20">
        <v>96.290500000000009</v>
      </c>
      <c r="K14" s="18">
        <v>139234333.33333299</v>
      </c>
      <c r="L14" s="18">
        <v>1827111815.833333</v>
      </c>
      <c r="M14" s="21">
        <f t="shared" si="0"/>
        <v>6.7411112668497919E-2</v>
      </c>
      <c r="O14" s="10">
        <v>749863.88888888899</v>
      </c>
    </row>
    <row r="15" spans="1:17" x14ac:dyDescent="0.2">
      <c r="A15" s="15" t="s">
        <v>66</v>
      </c>
      <c r="B15" s="15" t="s">
        <v>71</v>
      </c>
      <c r="C15" s="16">
        <v>11424000</v>
      </c>
      <c r="D15" s="17">
        <v>1142400000</v>
      </c>
      <c r="E15" s="18">
        <v>0</v>
      </c>
      <c r="F15" s="19" t="s">
        <v>92</v>
      </c>
      <c r="G15" s="19" t="s">
        <v>93</v>
      </c>
      <c r="H15" s="18">
        <v>1003902278.4</v>
      </c>
      <c r="I15" s="20">
        <v>98.202400000000011</v>
      </c>
      <c r="J15" s="20">
        <v>98.202400000000011</v>
      </c>
      <c r="K15" s="18"/>
      <c r="L15" s="18">
        <v>1121864217.5999999</v>
      </c>
      <c r="M15" s="21">
        <f t="shared" si="0"/>
        <v>4.1391071151765997E-2</v>
      </c>
      <c r="O15" s="10">
        <v>749863.88888888899</v>
      </c>
    </row>
    <row r="16" spans="1:17" x14ac:dyDescent="0.2">
      <c r="A16" s="15" t="s">
        <v>66</v>
      </c>
      <c r="B16" s="15" t="s">
        <v>94</v>
      </c>
      <c r="C16" s="16">
        <v>1897500</v>
      </c>
      <c r="D16" s="17">
        <v>1897500000</v>
      </c>
      <c r="E16" s="18">
        <v>8.07</v>
      </c>
      <c r="F16" s="19" t="s">
        <v>75</v>
      </c>
      <c r="G16" s="19" t="s">
        <v>95</v>
      </c>
      <c r="H16" s="18">
        <v>1359122325</v>
      </c>
      <c r="I16" s="20">
        <v>66.187600000000003</v>
      </c>
      <c r="J16" s="20">
        <v>71.2089</v>
      </c>
      <c r="K16" s="18">
        <v>95279800</v>
      </c>
      <c r="L16" s="18">
        <v>1351189510</v>
      </c>
      <c r="M16" s="21">
        <f t="shared" si="0"/>
        <v>4.9852005501677066E-2</v>
      </c>
      <c r="O16" s="10">
        <v>749863.88888888899</v>
      </c>
    </row>
    <row r="17" spans="1:15" x14ac:dyDescent="0.2">
      <c r="A17" s="15" t="s">
        <v>66</v>
      </c>
      <c r="B17" s="15" t="s">
        <v>96</v>
      </c>
      <c r="C17" s="16">
        <v>1897500</v>
      </c>
      <c r="D17" s="17">
        <v>1897500000</v>
      </c>
      <c r="E17" s="18">
        <v>10.55</v>
      </c>
      <c r="F17" s="19" t="s">
        <v>75</v>
      </c>
      <c r="G17" s="19" t="s">
        <v>97</v>
      </c>
      <c r="H17" s="18">
        <v>1708326839.9966669</v>
      </c>
      <c r="I17" s="20">
        <v>85.5124</v>
      </c>
      <c r="J17" s="20">
        <v>89.849600000000009</v>
      </c>
      <c r="K17" s="18">
        <v>82298791.666666657</v>
      </c>
      <c r="L17" s="18">
        <v>1704896581.666666</v>
      </c>
      <c r="M17" s="21">
        <f t="shared" si="0"/>
        <v>6.290199349537362E-2</v>
      </c>
      <c r="O17" s="10">
        <v>749863.88888888899</v>
      </c>
    </row>
    <row r="18" spans="1:15" x14ac:dyDescent="0.2">
      <c r="A18" s="15" t="s">
        <v>66</v>
      </c>
      <c r="B18" s="15" t="s">
        <v>98</v>
      </c>
      <c r="C18" s="16">
        <v>1897500</v>
      </c>
      <c r="D18" s="17">
        <v>1897500000</v>
      </c>
      <c r="E18" s="18">
        <v>11</v>
      </c>
      <c r="F18" s="19" t="s">
        <v>75</v>
      </c>
      <c r="G18" s="19" t="s">
        <v>99</v>
      </c>
      <c r="H18" s="18">
        <v>1743261712.5</v>
      </c>
      <c r="I18" s="20">
        <v>87.431899999999999</v>
      </c>
      <c r="J18" s="20">
        <v>95.559700000000007</v>
      </c>
      <c r="K18" s="18">
        <v>154224583.33333299</v>
      </c>
      <c r="L18" s="18">
        <v>1813244885.833333</v>
      </c>
      <c r="M18" s="21">
        <f t="shared" si="0"/>
        <v>6.6899493635390286E-2</v>
      </c>
      <c r="O18" s="10">
        <v>749863.88888888899</v>
      </c>
    </row>
    <row r="19" spans="1:15" x14ac:dyDescent="0.2">
      <c r="A19" s="15" t="s">
        <v>66</v>
      </c>
      <c r="B19" s="15" t="s">
        <v>100</v>
      </c>
      <c r="C19" s="16">
        <v>550000</v>
      </c>
      <c r="D19" s="17">
        <v>550000000</v>
      </c>
      <c r="E19" s="18">
        <v>12</v>
      </c>
      <c r="F19" s="19" t="s">
        <v>92</v>
      </c>
      <c r="G19" s="19" t="s">
        <v>101</v>
      </c>
      <c r="H19" s="18">
        <v>491343050</v>
      </c>
      <c r="I19" s="20">
        <v>88.318400000000011</v>
      </c>
      <c r="J19" s="20">
        <v>97.951700000000002</v>
      </c>
      <c r="K19" s="18">
        <v>52983333.333333328</v>
      </c>
      <c r="L19" s="18">
        <v>538734533.33333302</v>
      </c>
      <c r="M19" s="21">
        <f t="shared" si="0"/>
        <v>1.987655818884854E-2</v>
      </c>
      <c r="O19" s="10">
        <v>749863.88888888899</v>
      </c>
    </row>
    <row r="20" spans="1:15" x14ac:dyDescent="0.2">
      <c r="A20" s="15" t="s">
        <v>66</v>
      </c>
      <c r="B20" s="15" t="s">
        <v>102</v>
      </c>
      <c r="C20" s="16">
        <v>1897500</v>
      </c>
      <c r="D20" s="17">
        <v>1897500000</v>
      </c>
      <c r="E20" s="18">
        <v>10.3</v>
      </c>
      <c r="F20" s="19" t="s">
        <v>75</v>
      </c>
      <c r="G20" s="19" t="s">
        <v>103</v>
      </c>
      <c r="H20" s="18">
        <v>1645329839.996666</v>
      </c>
      <c r="I20" s="20">
        <v>81.214300000000009</v>
      </c>
      <c r="J20" s="20">
        <v>89.19680000000001</v>
      </c>
      <c r="K20" s="18">
        <v>151467937.5</v>
      </c>
      <c r="L20" s="18">
        <v>1692509279.999999</v>
      </c>
      <c r="M20" s="21">
        <f t="shared" si="0"/>
        <v>6.2444965205657531E-2</v>
      </c>
      <c r="O20" s="10">
        <v>749863.88888888899</v>
      </c>
    </row>
    <row r="21" spans="1:15" x14ac:dyDescent="0.2">
      <c r="A21" s="15" t="s">
        <v>66</v>
      </c>
      <c r="B21" s="15" t="s">
        <v>104</v>
      </c>
      <c r="C21" s="16">
        <v>1897500</v>
      </c>
      <c r="D21" s="17">
        <v>1897500000</v>
      </c>
      <c r="E21" s="18">
        <v>8.4499999999999993</v>
      </c>
      <c r="F21" s="19" t="s">
        <v>75</v>
      </c>
      <c r="G21" s="19" t="s">
        <v>105</v>
      </c>
      <c r="H21" s="18">
        <v>1457889097.496666</v>
      </c>
      <c r="I21" s="20">
        <v>72.1678</v>
      </c>
      <c r="J21" s="20">
        <v>78.035899999999998</v>
      </c>
      <c r="K21" s="18">
        <v>111346354.166667</v>
      </c>
      <c r="L21" s="18">
        <v>1480730359.166666</v>
      </c>
      <c r="M21" s="21">
        <f t="shared" si="0"/>
        <v>5.463140252744924E-2</v>
      </c>
      <c r="O21" s="10">
        <v>749863.88888888899</v>
      </c>
    </row>
    <row r="22" spans="1:15" x14ac:dyDescent="0.2">
      <c r="A22" s="15" t="s">
        <v>66</v>
      </c>
      <c r="B22" s="15" t="s">
        <v>106</v>
      </c>
      <c r="C22" s="16">
        <v>1897500</v>
      </c>
      <c r="D22" s="17">
        <v>1897500000</v>
      </c>
      <c r="E22" s="18">
        <v>8.07</v>
      </c>
      <c r="F22" s="19" t="s">
        <v>75</v>
      </c>
      <c r="G22" s="19" t="s">
        <v>107</v>
      </c>
      <c r="H22" s="18">
        <v>1338524962.5</v>
      </c>
      <c r="I22" s="20">
        <v>64.963000000000008</v>
      </c>
      <c r="J22" s="20">
        <v>72.293300000000002</v>
      </c>
      <c r="K22" s="18">
        <v>139091493.75</v>
      </c>
      <c r="L22" s="18">
        <v>1371764418.75</v>
      </c>
      <c r="M22" s="21">
        <f t="shared" si="0"/>
        <v>5.0611114758084413E-2</v>
      </c>
      <c r="O22" s="10">
        <v>749863.88888888899</v>
      </c>
    </row>
    <row r="23" spans="1:15" x14ac:dyDescent="0.2">
      <c r="A23" s="15" t="s">
        <v>108</v>
      </c>
      <c r="B23" s="15" t="s">
        <v>109</v>
      </c>
      <c r="C23" s="16">
        <v>992234</v>
      </c>
      <c r="D23" s="17">
        <v>992234000</v>
      </c>
      <c r="E23" s="18">
        <v>14.3</v>
      </c>
      <c r="F23" s="19" t="s">
        <v>110</v>
      </c>
      <c r="G23" s="19" t="s">
        <v>111</v>
      </c>
      <c r="H23" s="18">
        <v>991722999.49000001</v>
      </c>
      <c r="I23" s="20">
        <v>95.240285540000002</v>
      </c>
      <c r="J23" s="20">
        <v>99.728885539999993</v>
      </c>
      <c r="K23" s="18">
        <v>44537525.572222218</v>
      </c>
      <c r="L23" s="18">
        <v>989544020.36886597</v>
      </c>
      <c r="M23" s="21">
        <f t="shared" si="0"/>
        <v>3.6509130349583863E-2</v>
      </c>
      <c r="O23" s="10">
        <v>749863.88888888899</v>
      </c>
    </row>
    <row r="24" spans="1:15" x14ac:dyDescent="0.2">
      <c r="A24" s="15" t="s">
        <v>66</v>
      </c>
      <c r="B24" s="15" t="s">
        <v>112</v>
      </c>
      <c r="C24" s="16">
        <v>2469500</v>
      </c>
      <c r="D24" s="17">
        <v>2469500000</v>
      </c>
      <c r="E24" s="18">
        <v>7.68</v>
      </c>
      <c r="F24" s="19" t="s">
        <v>113</v>
      </c>
      <c r="G24" s="19" t="s">
        <v>114</v>
      </c>
      <c r="H24" s="18">
        <v>1827657194</v>
      </c>
      <c r="I24" s="20">
        <v>78.018000000000001</v>
      </c>
      <c r="J24" s="20">
        <v>80.8553</v>
      </c>
      <c r="K24" s="18">
        <v>70067946.666666657</v>
      </c>
      <c r="L24" s="18">
        <v>1996722456.666666</v>
      </c>
      <c r="M24" s="21">
        <f t="shared" si="0"/>
        <v>7.366888075904969E-2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1474845174.1555555</v>
      </c>
      <c r="L26" s="23">
        <f>SUM(L8:L25)</f>
        <v>27104015102.352196</v>
      </c>
      <c r="M26" s="26">
        <f>SUM(M8:M25)</f>
        <v>1.0000000000000002</v>
      </c>
      <c r="N26" s="9">
        <v>27104015102.3522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881108.66</v>
      </c>
    </row>
    <row r="30" spans="1:15" x14ac:dyDescent="0.2">
      <c r="A30" s="29" t="s">
        <v>73</v>
      </c>
      <c r="B30" s="30">
        <v>881108.66</v>
      </c>
      <c r="C30" s="11">
        <v>881108.72</v>
      </c>
      <c r="D30" s="62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3936940</v>
      </c>
      <c r="D35" s="32" t="s">
        <v>68</v>
      </c>
      <c r="E35" s="34" t="s">
        <v>69</v>
      </c>
      <c r="F35" s="34" t="s">
        <v>70</v>
      </c>
      <c r="G35" s="35">
        <v>585.73559999898407</v>
      </c>
      <c r="H35" s="35">
        <f>J35/C35</f>
        <v>586.00947712690572</v>
      </c>
      <c r="I35" s="36">
        <v>2306005913.0599999</v>
      </c>
      <c r="J35" s="36">
        <v>2307084150.8800001</v>
      </c>
      <c r="K35" s="37">
        <v>17.066600000000001</v>
      </c>
      <c r="L35" s="37">
        <v>1078237.82</v>
      </c>
      <c r="M35" s="31">
        <f>I35+L35</f>
        <v>2307084150.8800001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25620</v>
      </c>
      <c r="D36" s="32" t="s">
        <v>68</v>
      </c>
      <c r="E36" s="34" t="s">
        <v>69</v>
      </c>
      <c r="F36" s="34" t="s">
        <v>70</v>
      </c>
      <c r="G36" s="35">
        <v>585.735599921936</v>
      </c>
      <c r="H36" s="35">
        <f>J36/C36</f>
        <v>586.00947697111633</v>
      </c>
      <c r="I36" s="36">
        <v>15006546.07</v>
      </c>
      <c r="J36" s="36">
        <v>15013562.800000001</v>
      </c>
      <c r="K36" s="37">
        <v>17.066600000000001</v>
      </c>
      <c r="L36" s="37">
        <v>7016.73</v>
      </c>
      <c r="M36" s="31">
        <f>I36+L36</f>
        <v>15013562.800000001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23474120</v>
      </c>
      <c r="D37" s="32" t="s">
        <v>68</v>
      </c>
      <c r="E37" s="34" t="s">
        <v>70</v>
      </c>
      <c r="F37" s="34" t="s">
        <v>72</v>
      </c>
      <c r="G37" s="35">
        <v>98.202400000085191</v>
      </c>
      <c r="H37" s="35">
        <f>J37/C37</f>
        <v>98.339695026693235</v>
      </c>
      <c r="I37" s="36">
        <v>2305214921.8899999</v>
      </c>
      <c r="J37" s="36">
        <v>2308437801.8200002</v>
      </c>
      <c r="K37" s="37">
        <v>17.010000000000002</v>
      </c>
      <c r="L37" s="37"/>
      <c r="M37" s="31">
        <f>I37+L37</f>
        <v>2305214921.8899999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71</v>
      </c>
      <c r="C38" s="33">
        <v>173128</v>
      </c>
      <c r="D38" s="32" t="s">
        <v>68</v>
      </c>
      <c r="E38" s="34" t="s">
        <v>70</v>
      </c>
      <c r="F38" s="34" t="s">
        <v>72</v>
      </c>
      <c r="G38" s="35">
        <v>98.202400016173002</v>
      </c>
      <c r="H38" s="35">
        <f>J38/C38</f>
        <v>98.339695023335324</v>
      </c>
      <c r="I38" s="36">
        <v>17001585.109999999</v>
      </c>
      <c r="J38" s="36">
        <v>17025354.719999999</v>
      </c>
      <c r="K38" s="37">
        <v>17.010000000000002</v>
      </c>
      <c r="L38" s="37"/>
      <c r="M38" s="31">
        <f>I38+L38</f>
        <v>17001585.109999999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2322216507</v>
      </c>
      <c r="N40" s="64">
        <v>2322216507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29427112718.012196</v>
      </c>
      <c r="C47" s="66">
        <v>29427112718.072201</v>
      </c>
      <c r="D47" s="66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-2.14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120000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97874.76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49963.61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G69" s="5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267836.23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26.12.2025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9525.31</v>
      </c>
      <c r="G4" s="5"/>
      <c r="H4" s="5"/>
      <c r="I4" s="5"/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118</v>
      </c>
      <c r="F5" s="4">
        <v>1051.6130000000001</v>
      </c>
      <c r="G5" s="5">
        <v>111.21130000000001</v>
      </c>
      <c r="H5" s="5">
        <v>18.98</v>
      </c>
      <c r="I5" s="5">
        <v>813</v>
      </c>
      <c r="J5" s="4" t="s">
        <v>123</v>
      </c>
    </row>
    <row r="6" spans="1:10" x14ac:dyDescent="0.25">
      <c r="A6" s="4">
        <f t="shared" ca="1" si="0"/>
        <v>3</v>
      </c>
      <c r="B6" s="4" t="s">
        <v>124</v>
      </c>
      <c r="C6" s="4" t="s">
        <v>125</v>
      </c>
      <c r="D6" s="4" t="s">
        <v>117</v>
      </c>
      <c r="E6" s="4" t="s">
        <v>126</v>
      </c>
      <c r="F6" s="4">
        <v>1498.24</v>
      </c>
      <c r="G6" s="5"/>
      <c r="H6" s="5"/>
      <c r="I6" s="5"/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117</v>
      </c>
      <c r="E7" s="4" t="s">
        <v>129</v>
      </c>
      <c r="F7" s="4">
        <v>569148.81000000006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117</v>
      </c>
      <c r="E8" s="4" t="s">
        <v>129</v>
      </c>
      <c r="F8" s="4">
        <v>6301.35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132</v>
      </c>
      <c r="C9" s="4" t="s">
        <v>133</v>
      </c>
      <c r="D9" s="4" t="s">
        <v>117</v>
      </c>
      <c r="E9" s="4" t="s">
        <v>129</v>
      </c>
      <c r="F9" s="4">
        <v>168.68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134</v>
      </c>
      <c r="C10" s="4" t="s">
        <v>135</v>
      </c>
      <c r="D10" s="4" t="s">
        <v>117</v>
      </c>
      <c r="E10" s="4" t="s">
        <v>129</v>
      </c>
      <c r="F10" s="4">
        <v>5705.06</v>
      </c>
      <c r="G10" s="5"/>
      <c r="H10" s="5"/>
      <c r="I10" s="5"/>
      <c r="J10" s="4" t="s">
        <v>119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117</v>
      </c>
      <c r="E11" s="4" t="s">
        <v>129</v>
      </c>
      <c r="F11" s="4">
        <v>5794361.96</v>
      </c>
      <c r="G11" s="5"/>
      <c r="H11" s="5"/>
      <c r="I11" s="5"/>
      <c r="J11" s="4" t="s">
        <v>119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117</v>
      </c>
      <c r="E12" s="4" t="s">
        <v>129</v>
      </c>
      <c r="F12" s="4">
        <v>131.49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122</v>
      </c>
      <c r="E13" s="4" t="s">
        <v>129</v>
      </c>
      <c r="F13" s="4">
        <v>0.89957899999999991</v>
      </c>
      <c r="G13" s="5">
        <v>90.657899999999998</v>
      </c>
      <c r="H13" s="5">
        <v>5.17</v>
      </c>
      <c r="I13" s="5">
        <v>2667</v>
      </c>
      <c r="J13" s="4" t="s">
        <v>123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117</v>
      </c>
      <c r="E14" s="4" t="s">
        <v>129</v>
      </c>
      <c r="F14" s="4">
        <v>1869729.49</v>
      </c>
      <c r="G14" s="5"/>
      <c r="H14" s="5"/>
      <c r="I14" s="5"/>
      <c r="J14" s="4" t="s">
        <v>119</v>
      </c>
    </row>
    <row r="15" spans="1:10" x14ac:dyDescent="0.25">
      <c r="A15" s="4">
        <f t="shared" ca="1" si="0"/>
        <v>12</v>
      </c>
      <c r="B15" s="4" t="s">
        <v>144</v>
      </c>
      <c r="C15" s="4" t="s">
        <v>145</v>
      </c>
      <c r="D15" s="4" t="s">
        <v>117</v>
      </c>
      <c r="E15" s="4" t="s">
        <v>129</v>
      </c>
      <c r="F15" s="4">
        <v>71934.23</v>
      </c>
      <c r="G15" s="5"/>
      <c r="H15" s="5"/>
      <c r="I15" s="5"/>
      <c r="J15" s="4" t="s">
        <v>119</v>
      </c>
    </row>
    <row r="16" spans="1:10" x14ac:dyDescent="0.25">
      <c r="A16" s="4">
        <f t="shared" ca="1" si="0"/>
        <v>13</v>
      </c>
      <c r="B16" s="4" t="s">
        <v>146</v>
      </c>
      <c r="C16" s="4" t="s">
        <v>147</v>
      </c>
      <c r="D16" s="4" t="s">
        <v>117</v>
      </c>
      <c r="E16" s="4" t="s">
        <v>129</v>
      </c>
      <c r="F16" s="4">
        <v>72213.16</v>
      </c>
      <c r="G16" s="5"/>
      <c r="H16" s="5"/>
      <c r="I16" s="5"/>
      <c r="J16" s="4" t="s">
        <v>119</v>
      </c>
    </row>
    <row r="17" spans="1:10" x14ac:dyDescent="0.25">
      <c r="A17" s="4">
        <f t="shared" ca="1" si="0"/>
        <v>14</v>
      </c>
      <c r="B17" s="4" t="s">
        <v>148</v>
      </c>
      <c r="C17" s="4" t="s">
        <v>149</v>
      </c>
      <c r="D17" s="4" t="s">
        <v>117</v>
      </c>
      <c r="E17" s="4" t="s">
        <v>129</v>
      </c>
      <c r="F17" s="4">
        <v>51459.03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150</v>
      </c>
      <c r="C18" s="4" t="s">
        <v>151</v>
      </c>
      <c r="D18" s="4" t="s">
        <v>117</v>
      </c>
      <c r="E18" s="4" t="s">
        <v>129</v>
      </c>
      <c r="F18" s="4">
        <v>7.35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152</v>
      </c>
      <c r="C19" s="4" t="s">
        <v>153</v>
      </c>
      <c r="D19" s="4" t="s">
        <v>122</v>
      </c>
      <c r="E19" s="4" t="s">
        <v>129</v>
      </c>
      <c r="F19" s="4">
        <v>1000</v>
      </c>
      <c r="G19" s="5">
        <v>101.9115</v>
      </c>
      <c r="H19" s="5">
        <v>18.080000000000002</v>
      </c>
      <c r="I19" s="5">
        <v>1059</v>
      </c>
      <c r="J19" s="4" t="s">
        <v>123</v>
      </c>
    </row>
    <row r="20" spans="1:10" x14ac:dyDescent="0.25">
      <c r="A20" s="4">
        <f t="shared" ca="1" si="0"/>
        <v>17</v>
      </c>
      <c r="B20" s="4" t="s">
        <v>154</v>
      </c>
      <c r="C20" s="4" t="s">
        <v>155</v>
      </c>
      <c r="D20" s="4" t="s">
        <v>122</v>
      </c>
      <c r="E20" s="4" t="s">
        <v>129</v>
      </c>
      <c r="F20" s="4">
        <v>1000</v>
      </c>
      <c r="G20" s="5">
        <v>103.5818</v>
      </c>
      <c r="H20" s="5">
        <v>17.850000000000001</v>
      </c>
      <c r="I20" s="5">
        <v>658</v>
      </c>
      <c r="J20" s="4" t="s">
        <v>123</v>
      </c>
    </row>
    <row r="21" spans="1:10" x14ac:dyDescent="0.25">
      <c r="A21" s="4">
        <f t="shared" ca="1" si="0"/>
        <v>18</v>
      </c>
      <c r="B21" s="4" t="s">
        <v>156</v>
      </c>
      <c r="C21" s="4" t="s">
        <v>157</v>
      </c>
      <c r="D21" s="4" t="s">
        <v>122</v>
      </c>
      <c r="E21" s="4" t="s">
        <v>129</v>
      </c>
      <c r="F21" s="4">
        <v>1000</v>
      </c>
      <c r="G21" s="5">
        <v>108.2899</v>
      </c>
      <c r="H21" s="5">
        <v>18.3</v>
      </c>
      <c r="I21" s="5">
        <v>1845</v>
      </c>
      <c r="J21" s="4" t="s">
        <v>123</v>
      </c>
    </row>
    <row r="22" spans="1:10" x14ac:dyDescent="0.25">
      <c r="A22" s="4">
        <f t="shared" ca="1" si="0"/>
        <v>19</v>
      </c>
      <c r="B22" s="4" t="s">
        <v>158</v>
      </c>
      <c r="C22" s="4" t="s">
        <v>159</v>
      </c>
      <c r="D22" s="4" t="s">
        <v>122</v>
      </c>
      <c r="E22" s="4" t="s">
        <v>129</v>
      </c>
      <c r="F22" s="4">
        <v>1000</v>
      </c>
      <c r="G22" s="5">
        <v>105.71560000000001</v>
      </c>
      <c r="H22" s="5">
        <v>18.18</v>
      </c>
      <c r="I22" s="5">
        <v>1529</v>
      </c>
      <c r="J22" s="4" t="s">
        <v>123</v>
      </c>
    </row>
    <row r="23" spans="1:10" x14ac:dyDescent="0.25">
      <c r="A23" s="4">
        <f t="shared" ca="1" si="0"/>
        <v>20</v>
      </c>
      <c r="B23" s="4" t="s">
        <v>160</v>
      </c>
      <c r="C23" s="4" t="s">
        <v>161</v>
      </c>
      <c r="D23" s="4" t="s">
        <v>117</v>
      </c>
      <c r="E23" s="4" t="s">
        <v>129</v>
      </c>
      <c r="F23" s="4">
        <v>1537.76</v>
      </c>
      <c r="G23" s="5"/>
      <c r="H23" s="5"/>
      <c r="I23" s="5"/>
      <c r="J23" s="4" t="s">
        <v>119</v>
      </c>
    </row>
    <row r="24" spans="1:10" x14ac:dyDescent="0.25">
      <c r="A24" s="4">
        <f t="shared" ca="1" si="0"/>
        <v>21</v>
      </c>
      <c r="B24" s="4" t="s">
        <v>162</v>
      </c>
      <c r="C24" s="4" t="s">
        <v>163</v>
      </c>
      <c r="D24" s="4" t="s">
        <v>122</v>
      </c>
      <c r="E24" s="4" t="s">
        <v>129</v>
      </c>
      <c r="F24" s="4">
        <v>981.25</v>
      </c>
      <c r="G24" s="5">
        <v>101.46940000000001</v>
      </c>
      <c r="H24" s="5">
        <v>23.97</v>
      </c>
      <c r="I24" s="5">
        <v>310</v>
      </c>
      <c r="J24" s="4" t="s">
        <v>123</v>
      </c>
    </row>
    <row r="25" spans="1:10" x14ac:dyDescent="0.25">
      <c r="A25" s="4">
        <f t="shared" ca="1" si="0"/>
        <v>22</v>
      </c>
      <c r="B25" s="4" t="s">
        <v>164</v>
      </c>
      <c r="C25" s="4" t="s">
        <v>165</v>
      </c>
      <c r="D25" s="4" t="s">
        <v>122</v>
      </c>
      <c r="E25" s="4" t="s">
        <v>129</v>
      </c>
      <c r="F25" s="4">
        <v>817.81799999999998</v>
      </c>
      <c r="G25" s="5">
        <v>93.69850000000001</v>
      </c>
      <c r="H25" s="5">
        <v>16.46</v>
      </c>
      <c r="I25" s="5">
        <v>4780</v>
      </c>
      <c r="J25" s="4" t="s">
        <v>123</v>
      </c>
    </row>
    <row r="26" spans="1:10" x14ac:dyDescent="0.25">
      <c r="A26" s="4">
        <f t="shared" ca="1" si="0"/>
        <v>23</v>
      </c>
      <c r="B26" s="4" t="s">
        <v>166</v>
      </c>
      <c r="C26" s="4" t="s">
        <v>167</v>
      </c>
      <c r="D26" s="4" t="s">
        <v>122</v>
      </c>
      <c r="E26" s="4" t="s">
        <v>129</v>
      </c>
      <c r="F26" s="4">
        <v>498422</v>
      </c>
      <c r="G26" s="5">
        <v>103.4997</v>
      </c>
      <c r="H26" s="5">
        <v>21.06</v>
      </c>
      <c r="I26" s="5">
        <v>206</v>
      </c>
      <c r="J26" s="4" t="s">
        <v>123</v>
      </c>
    </row>
    <row r="27" spans="1:10" x14ac:dyDescent="0.25">
      <c r="A27" s="4">
        <f t="shared" ca="1" si="0"/>
        <v>24</v>
      </c>
      <c r="B27" s="4" t="s">
        <v>168</v>
      </c>
      <c r="C27" s="4" t="s">
        <v>169</v>
      </c>
      <c r="D27" s="4" t="s">
        <v>122</v>
      </c>
      <c r="E27" s="4" t="s">
        <v>129</v>
      </c>
      <c r="F27" s="4">
        <v>99.855900000000005</v>
      </c>
      <c r="G27" s="5">
        <v>100.07810000000001</v>
      </c>
      <c r="H27" s="5">
        <v>10.08</v>
      </c>
      <c r="I27" s="5">
        <v>693</v>
      </c>
      <c r="J27" s="4" t="s">
        <v>123</v>
      </c>
    </row>
    <row r="28" spans="1:10" x14ac:dyDescent="0.25">
      <c r="A28" s="4">
        <f t="shared" ca="1" si="0"/>
        <v>25</v>
      </c>
      <c r="B28" s="4" t="s">
        <v>170</v>
      </c>
      <c r="C28" s="4" t="s">
        <v>171</v>
      </c>
      <c r="D28" s="4" t="s">
        <v>122</v>
      </c>
      <c r="E28" s="4" t="s">
        <v>129</v>
      </c>
      <c r="F28" s="4">
        <v>99.994500000000002</v>
      </c>
      <c r="G28" s="5">
        <v>100.78620000000001</v>
      </c>
      <c r="H28" s="5">
        <v>9.5</v>
      </c>
      <c r="I28" s="5">
        <v>1067</v>
      </c>
      <c r="J28" s="4" t="s">
        <v>123</v>
      </c>
    </row>
    <row r="29" spans="1:10" x14ac:dyDescent="0.25">
      <c r="A29" s="4">
        <f t="shared" ca="1" si="0"/>
        <v>26</v>
      </c>
      <c r="B29" s="4" t="s">
        <v>172</v>
      </c>
      <c r="C29" s="4" t="s">
        <v>173</v>
      </c>
      <c r="D29" s="4" t="s">
        <v>122</v>
      </c>
      <c r="E29" s="4" t="s">
        <v>129</v>
      </c>
      <c r="F29" s="4">
        <v>999.13800000000003</v>
      </c>
      <c r="G29" s="5">
        <v>100.3832</v>
      </c>
      <c r="H29" s="5">
        <v>6.54</v>
      </c>
      <c r="I29" s="5">
        <v>887</v>
      </c>
      <c r="J29" s="4" t="s">
        <v>123</v>
      </c>
    </row>
    <row r="30" spans="1:10" x14ac:dyDescent="0.25">
      <c r="A30" s="4">
        <f t="shared" ca="1" si="0"/>
        <v>27</v>
      </c>
      <c r="B30" s="4" t="s">
        <v>174</v>
      </c>
      <c r="C30" s="4" t="s">
        <v>175</v>
      </c>
      <c r="D30" s="4" t="s">
        <v>122</v>
      </c>
      <c r="E30" s="4" t="s">
        <v>129</v>
      </c>
      <c r="F30" s="4">
        <v>854.38100000000009</v>
      </c>
      <c r="G30" s="5">
        <v>86.5381</v>
      </c>
      <c r="H30" s="5">
        <v>33.81</v>
      </c>
      <c r="I30" s="5">
        <v>591</v>
      </c>
      <c r="J30" s="4" t="s">
        <v>123</v>
      </c>
    </row>
    <row r="31" spans="1:10" x14ac:dyDescent="0.25">
      <c r="A31" s="4">
        <f t="shared" ca="1" si="0"/>
        <v>28</v>
      </c>
      <c r="B31" s="4" t="s">
        <v>176</v>
      </c>
      <c r="C31" s="4" t="s">
        <v>177</v>
      </c>
      <c r="D31" s="4" t="s">
        <v>122</v>
      </c>
      <c r="E31" s="4" t="s">
        <v>129</v>
      </c>
      <c r="F31" s="4">
        <v>1008.792</v>
      </c>
      <c r="G31" s="5">
        <v>101.00700000000001</v>
      </c>
      <c r="H31" s="5">
        <v>22.58</v>
      </c>
      <c r="I31" s="5">
        <v>1034</v>
      </c>
      <c r="J31" s="4" t="s">
        <v>123</v>
      </c>
    </row>
    <row r="32" spans="1:10" x14ac:dyDescent="0.25">
      <c r="A32" s="4">
        <f t="shared" ca="1" si="0"/>
        <v>29</v>
      </c>
      <c r="B32" s="4" t="s">
        <v>178</v>
      </c>
      <c r="C32" s="4" t="s">
        <v>179</v>
      </c>
      <c r="D32" s="4" t="s">
        <v>122</v>
      </c>
      <c r="E32" s="4" t="s">
        <v>129</v>
      </c>
      <c r="F32" s="4">
        <v>973</v>
      </c>
      <c r="G32" s="5">
        <v>101.4111</v>
      </c>
      <c r="H32" s="5">
        <v>22.1</v>
      </c>
      <c r="I32" s="5">
        <v>564</v>
      </c>
      <c r="J32" s="4" t="s">
        <v>123</v>
      </c>
    </row>
    <row r="33" spans="1:10" x14ac:dyDescent="0.25">
      <c r="A33" s="4">
        <f t="shared" ca="1" si="0"/>
        <v>30</v>
      </c>
      <c r="B33" s="4" t="s">
        <v>180</v>
      </c>
      <c r="C33" s="4" t="s">
        <v>181</v>
      </c>
      <c r="D33" s="4" t="s">
        <v>122</v>
      </c>
      <c r="E33" s="4" t="s">
        <v>129</v>
      </c>
      <c r="F33" s="4">
        <v>994.55900000000008</v>
      </c>
      <c r="G33" s="5">
        <v>103.78370000000001</v>
      </c>
      <c r="H33" s="5">
        <v>20.91</v>
      </c>
      <c r="I33" s="5">
        <v>562</v>
      </c>
      <c r="J33" s="4" t="s">
        <v>123</v>
      </c>
    </row>
    <row r="34" spans="1:10" x14ac:dyDescent="0.25">
      <c r="A34" s="4">
        <f t="shared" ca="1" si="0"/>
        <v>31</v>
      </c>
      <c r="B34" s="4" t="s">
        <v>182</v>
      </c>
      <c r="C34" s="4" t="s">
        <v>183</v>
      </c>
      <c r="D34" s="4" t="s">
        <v>122</v>
      </c>
      <c r="E34" s="4" t="s">
        <v>129</v>
      </c>
      <c r="F34" s="4">
        <v>497320</v>
      </c>
      <c r="G34" s="5">
        <v>103.6057</v>
      </c>
      <c r="H34" s="5">
        <v>21.4</v>
      </c>
      <c r="I34" s="5">
        <v>567</v>
      </c>
      <c r="J34" s="4" t="s">
        <v>123</v>
      </c>
    </row>
    <row r="35" spans="1:10" x14ac:dyDescent="0.25">
      <c r="A35" s="4">
        <f t="shared" ca="1" si="0"/>
        <v>32</v>
      </c>
      <c r="B35" s="4" t="s">
        <v>184</v>
      </c>
      <c r="C35" s="4" t="s">
        <v>185</v>
      </c>
      <c r="D35" s="4" t="s">
        <v>122</v>
      </c>
      <c r="E35" s="4" t="s">
        <v>129</v>
      </c>
      <c r="F35" s="4">
        <v>978.71400000000006</v>
      </c>
      <c r="G35" s="5">
        <v>99.399200000000008</v>
      </c>
      <c r="H35" s="5">
        <v>23</v>
      </c>
      <c r="I35" s="5">
        <v>1072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186</v>
      </c>
      <c r="C36" s="4" t="s">
        <v>187</v>
      </c>
      <c r="D36" s="4" t="s">
        <v>122</v>
      </c>
      <c r="E36" s="4" t="s">
        <v>129</v>
      </c>
      <c r="F36" s="4">
        <v>499905.5</v>
      </c>
      <c r="G36" s="5">
        <v>100.8978</v>
      </c>
      <c r="H36" s="5">
        <v>22</v>
      </c>
      <c r="I36" s="5">
        <v>716</v>
      </c>
      <c r="J36" s="4" t="s">
        <v>123</v>
      </c>
    </row>
    <row r="37" spans="1:10" x14ac:dyDescent="0.25">
      <c r="A37" s="4">
        <f t="shared" ca="1" si="1"/>
        <v>34</v>
      </c>
      <c r="B37" s="4" t="s">
        <v>188</v>
      </c>
      <c r="C37" s="4" t="s">
        <v>189</v>
      </c>
      <c r="D37" s="4" t="s">
        <v>122</v>
      </c>
      <c r="E37" s="4" t="s">
        <v>129</v>
      </c>
      <c r="F37" s="4">
        <v>990.73300000000006</v>
      </c>
      <c r="G37" s="5">
        <v>99.384399999999999</v>
      </c>
      <c r="H37" s="5">
        <v>9.01</v>
      </c>
      <c r="I37" s="5">
        <v>352</v>
      </c>
      <c r="J37" s="4" t="s">
        <v>123</v>
      </c>
    </row>
    <row r="38" spans="1:10" x14ac:dyDescent="0.25">
      <c r="A38" s="4">
        <f t="shared" ca="1" si="1"/>
        <v>35</v>
      </c>
      <c r="B38" s="4" t="s">
        <v>190</v>
      </c>
      <c r="C38" s="4" t="s">
        <v>191</v>
      </c>
      <c r="D38" s="4" t="s">
        <v>122</v>
      </c>
      <c r="E38" s="4" t="s">
        <v>129</v>
      </c>
      <c r="F38" s="4">
        <v>982.34700000000009</v>
      </c>
      <c r="G38" s="5">
        <v>99.751400000000004</v>
      </c>
      <c r="H38" s="5">
        <v>23.32</v>
      </c>
      <c r="I38" s="5">
        <v>309</v>
      </c>
      <c r="J38" s="4" t="s">
        <v>123</v>
      </c>
    </row>
    <row r="39" spans="1:10" x14ac:dyDescent="0.25">
      <c r="A39" s="4">
        <f t="shared" ca="1" si="1"/>
        <v>36</v>
      </c>
      <c r="B39" s="4" t="s">
        <v>192</v>
      </c>
      <c r="C39" s="4" t="s">
        <v>193</v>
      </c>
      <c r="D39" s="4" t="s">
        <v>122</v>
      </c>
      <c r="E39" s="4" t="s">
        <v>129</v>
      </c>
      <c r="F39" s="4">
        <v>1018.125</v>
      </c>
      <c r="G39" s="5">
        <v>102.16030000000001</v>
      </c>
      <c r="H39" s="5">
        <v>19.940000000000001</v>
      </c>
      <c r="I39" s="5">
        <v>908</v>
      </c>
      <c r="J39" s="4" t="s">
        <v>123</v>
      </c>
    </row>
    <row r="40" spans="1:10" x14ac:dyDescent="0.25">
      <c r="A40" s="4">
        <f t="shared" ca="1" si="1"/>
        <v>37</v>
      </c>
      <c r="B40" s="4" t="s">
        <v>194</v>
      </c>
      <c r="C40" s="4" t="s">
        <v>195</v>
      </c>
      <c r="D40" s="4" t="s">
        <v>122</v>
      </c>
      <c r="E40" s="4" t="s">
        <v>129</v>
      </c>
      <c r="F40" s="4">
        <v>985.37400000000002</v>
      </c>
      <c r="G40" s="5">
        <v>99.759600000000006</v>
      </c>
      <c r="H40" s="5">
        <v>23.01</v>
      </c>
      <c r="I40" s="5">
        <v>650</v>
      </c>
      <c r="J40" s="4" t="s">
        <v>123</v>
      </c>
    </row>
    <row r="41" spans="1:10" x14ac:dyDescent="0.25">
      <c r="A41" s="4">
        <f t="shared" ca="1" si="1"/>
        <v>38</v>
      </c>
      <c r="B41" s="4" t="s">
        <v>196</v>
      </c>
      <c r="C41" s="4" t="s">
        <v>197</v>
      </c>
      <c r="D41" s="4" t="s">
        <v>122</v>
      </c>
      <c r="E41" s="4" t="s">
        <v>129</v>
      </c>
      <c r="F41" s="4">
        <v>820.43</v>
      </c>
      <c r="G41" s="5">
        <v>83.326300000000003</v>
      </c>
      <c r="H41" s="5">
        <v>37.65</v>
      </c>
      <c r="I41" s="5">
        <v>557</v>
      </c>
      <c r="J41" s="4" t="s">
        <v>123</v>
      </c>
    </row>
    <row r="42" spans="1:10" x14ac:dyDescent="0.25">
      <c r="A42" s="4">
        <f t="shared" ca="1" si="1"/>
        <v>39</v>
      </c>
      <c r="B42" s="4" t="s">
        <v>198</v>
      </c>
      <c r="C42" s="4" t="s">
        <v>199</v>
      </c>
      <c r="D42" s="4" t="s">
        <v>122</v>
      </c>
      <c r="E42" s="4" t="s">
        <v>129</v>
      </c>
      <c r="F42" s="4">
        <v>982.2170000000001</v>
      </c>
      <c r="G42" s="5">
        <v>103.1217</v>
      </c>
      <c r="H42" s="5">
        <v>23.59</v>
      </c>
      <c r="I42" s="5">
        <v>281</v>
      </c>
      <c r="J42" s="4" t="s">
        <v>123</v>
      </c>
    </row>
    <row r="43" spans="1:10" x14ac:dyDescent="0.25">
      <c r="A43" s="4">
        <f t="shared" ca="1" si="1"/>
        <v>40</v>
      </c>
      <c r="B43" s="4" t="s">
        <v>200</v>
      </c>
      <c r="C43" s="4" t="s">
        <v>201</v>
      </c>
      <c r="D43" s="4" t="s">
        <v>122</v>
      </c>
      <c r="E43" s="4" t="s">
        <v>129</v>
      </c>
      <c r="F43" s="4">
        <v>971.58199999999999</v>
      </c>
      <c r="G43" s="5">
        <v>97.4221</v>
      </c>
      <c r="H43" s="5">
        <v>22.83</v>
      </c>
      <c r="I43" s="5">
        <v>300</v>
      </c>
      <c r="J43" s="4" t="s">
        <v>123</v>
      </c>
    </row>
    <row r="44" spans="1:10" x14ac:dyDescent="0.25">
      <c r="A44" s="4">
        <f t="shared" ca="1" si="1"/>
        <v>41</v>
      </c>
      <c r="B44" s="4" t="s">
        <v>202</v>
      </c>
      <c r="C44" s="4" t="s">
        <v>203</v>
      </c>
      <c r="D44" s="4" t="s">
        <v>122</v>
      </c>
      <c r="E44" s="4" t="s">
        <v>129</v>
      </c>
      <c r="F44" s="4">
        <v>976.06400000000008</v>
      </c>
      <c r="G44" s="5">
        <v>99.08420000000001</v>
      </c>
      <c r="H44" s="5">
        <v>20.420000000000002</v>
      </c>
      <c r="I44" s="5">
        <v>764</v>
      </c>
      <c r="J44" s="4" t="s">
        <v>123</v>
      </c>
    </row>
    <row r="45" spans="1:10" x14ac:dyDescent="0.25">
      <c r="A45" s="4">
        <f t="shared" ca="1" si="1"/>
        <v>42</v>
      </c>
      <c r="B45" s="4" t="s">
        <v>204</v>
      </c>
      <c r="C45" s="4" t="s">
        <v>205</v>
      </c>
      <c r="D45" s="4" t="s">
        <v>122</v>
      </c>
      <c r="E45" s="4" t="s">
        <v>129</v>
      </c>
      <c r="F45" s="4">
        <v>1002.826</v>
      </c>
      <c r="G45" s="5">
        <v>101.0993</v>
      </c>
      <c r="H45" s="5">
        <v>20.84</v>
      </c>
      <c r="I45" s="5">
        <v>808</v>
      </c>
      <c r="J45" s="4" t="s">
        <v>123</v>
      </c>
    </row>
    <row r="46" spans="1:10" x14ac:dyDescent="0.25">
      <c r="A46" s="4">
        <f t="shared" ca="1" si="1"/>
        <v>43</v>
      </c>
      <c r="B46" s="4" t="s">
        <v>206</v>
      </c>
      <c r="C46" s="4" t="s">
        <v>207</v>
      </c>
      <c r="D46" s="4" t="s">
        <v>122</v>
      </c>
      <c r="E46" s="4" t="s">
        <v>129</v>
      </c>
      <c r="F46" s="4">
        <v>1001.355</v>
      </c>
      <c r="G46" s="5">
        <v>101.598</v>
      </c>
      <c r="H46" s="5">
        <v>19.34</v>
      </c>
      <c r="I46" s="5">
        <v>520</v>
      </c>
      <c r="J46" s="4" t="s">
        <v>123</v>
      </c>
    </row>
    <row r="47" spans="1:10" x14ac:dyDescent="0.25">
      <c r="A47" s="4">
        <f t="shared" ca="1" si="1"/>
        <v>44</v>
      </c>
      <c r="B47" s="4" t="s">
        <v>208</v>
      </c>
      <c r="C47" s="4" t="s">
        <v>209</v>
      </c>
      <c r="D47" s="4" t="s">
        <v>122</v>
      </c>
      <c r="E47" s="4" t="s">
        <v>129</v>
      </c>
      <c r="F47" s="4">
        <v>1034.972</v>
      </c>
      <c r="G47" s="5">
        <v>103.8139</v>
      </c>
      <c r="H47" s="5">
        <v>21.18</v>
      </c>
      <c r="I47" s="5">
        <v>1062</v>
      </c>
      <c r="J47" s="4" t="s">
        <v>123</v>
      </c>
    </row>
    <row r="48" spans="1:10" x14ac:dyDescent="0.25">
      <c r="A48" s="4">
        <f t="shared" ca="1" si="1"/>
        <v>45</v>
      </c>
      <c r="B48" s="4" t="s">
        <v>210</v>
      </c>
      <c r="C48" s="4" t="s">
        <v>211</v>
      </c>
      <c r="D48" s="4" t="s">
        <v>122</v>
      </c>
      <c r="E48" s="4" t="s">
        <v>129</v>
      </c>
      <c r="F48" s="4">
        <v>1033.711</v>
      </c>
      <c r="G48" s="5">
        <v>103.68780000000001</v>
      </c>
      <c r="H48" s="5">
        <v>21.23</v>
      </c>
      <c r="I48" s="5">
        <v>1062</v>
      </c>
      <c r="J48" s="4" t="s">
        <v>123</v>
      </c>
    </row>
    <row r="49" spans="1:10" x14ac:dyDescent="0.25">
      <c r="A49" s="4">
        <f t="shared" ca="1" si="1"/>
        <v>46</v>
      </c>
      <c r="B49" s="4" t="s">
        <v>212</v>
      </c>
      <c r="C49" s="4" t="s">
        <v>213</v>
      </c>
      <c r="D49" s="4" t="s">
        <v>122</v>
      </c>
      <c r="E49" s="4" t="s">
        <v>129</v>
      </c>
      <c r="F49" s="4">
        <v>1000</v>
      </c>
      <c r="G49" s="5">
        <v>107.2749</v>
      </c>
      <c r="H49" s="5">
        <v>17.79</v>
      </c>
      <c r="I49" s="5">
        <v>1313</v>
      </c>
      <c r="J49" s="4" t="s">
        <v>123</v>
      </c>
    </row>
    <row r="50" spans="1:10" x14ac:dyDescent="0.25">
      <c r="A50" s="4">
        <f t="shared" ca="1" si="1"/>
        <v>47</v>
      </c>
      <c r="B50" s="4" t="s">
        <v>214</v>
      </c>
      <c r="C50" s="4" t="s">
        <v>215</v>
      </c>
      <c r="D50" s="4" t="s">
        <v>122</v>
      </c>
      <c r="E50" s="4" t="s">
        <v>129</v>
      </c>
      <c r="F50" s="4">
        <v>1002.0890000000001</v>
      </c>
      <c r="G50" s="5">
        <v>100.8707</v>
      </c>
      <c r="H50" s="5">
        <v>21.51</v>
      </c>
      <c r="I50" s="5">
        <v>598</v>
      </c>
      <c r="J50" s="4" t="s">
        <v>123</v>
      </c>
    </row>
    <row r="51" spans="1:10" x14ac:dyDescent="0.25">
      <c r="A51" s="4">
        <f t="shared" ca="1" si="1"/>
        <v>48</v>
      </c>
      <c r="B51" s="4" t="s">
        <v>216</v>
      </c>
      <c r="C51" s="4" t="s">
        <v>217</v>
      </c>
      <c r="D51" s="4" t="s">
        <v>122</v>
      </c>
      <c r="E51" s="4" t="s">
        <v>129</v>
      </c>
      <c r="F51" s="4">
        <v>99.999300000000005</v>
      </c>
      <c r="G51" s="5">
        <v>100.2132</v>
      </c>
      <c r="H51" s="5">
        <v>11</v>
      </c>
      <c r="I51" s="5">
        <v>694</v>
      </c>
      <c r="J51" s="4" t="s">
        <v>123</v>
      </c>
    </row>
    <row r="52" spans="1:10" x14ac:dyDescent="0.25">
      <c r="A52" s="4">
        <f t="shared" ca="1" si="1"/>
        <v>49</v>
      </c>
      <c r="B52" s="4" t="s">
        <v>218</v>
      </c>
      <c r="C52" s="4" t="s">
        <v>219</v>
      </c>
      <c r="D52" s="4" t="s">
        <v>122</v>
      </c>
      <c r="E52" s="4" t="s">
        <v>129</v>
      </c>
      <c r="F52" s="4">
        <v>994.524</v>
      </c>
      <c r="G52" s="5">
        <v>99.452400000000011</v>
      </c>
      <c r="H52" s="5">
        <v>21.72</v>
      </c>
      <c r="I52" s="5">
        <v>122</v>
      </c>
      <c r="J52" s="4" t="s">
        <v>123</v>
      </c>
    </row>
    <row r="53" spans="1:10" x14ac:dyDescent="0.25">
      <c r="A53" s="4">
        <f t="shared" ca="1" si="1"/>
        <v>50</v>
      </c>
      <c r="B53" s="4" t="s">
        <v>220</v>
      </c>
      <c r="C53" s="4" t="s">
        <v>221</v>
      </c>
      <c r="D53" s="4" t="s">
        <v>122</v>
      </c>
      <c r="E53" s="4" t="s">
        <v>129</v>
      </c>
      <c r="F53" s="4">
        <v>1025.585</v>
      </c>
      <c r="G53" s="5">
        <v>104.11850000000001</v>
      </c>
      <c r="H53" s="5">
        <v>20.190000000000001</v>
      </c>
      <c r="I53" s="5">
        <v>827</v>
      </c>
      <c r="J53" s="4" t="s">
        <v>123</v>
      </c>
    </row>
    <row r="54" spans="1:10" x14ac:dyDescent="0.25">
      <c r="A54" s="4">
        <f t="shared" ca="1" si="1"/>
        <v>51</v>
      </c>
      <c r="B54" s="4" t="s">
        <v>222</v>
      </c>
      <c r="C54" s="4" t="s">
        <v>223</v>
      </c>
      <c r="D54" s="4" t="s">
        <v>117</v>
      </c>
      <c r="E54" s="4" t="s">
        <v>129</v>
      </c>
      <c r="F54" s="4">
        <v>101.56</v>
      </c>
      <c r="G54" s="5"/>
      <c r="H54" s="5"/>
      <c r="I54" s="5"/>
      <c r="J54" s="4" t="s">
        <v>224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122</v>
      </c>
      <c r="E55" s="4" t="s">
        <v>129</v>
      </c>
      <c r="F55" s="4">
        <v>962.09500000000003</v>
      </c>
      <c r="G55" s="5">
        <v>97.842800000000011</v>
      </c>
      <c r="H55" s="5">
        <v>23.17</v>
      </c>
      <c r="I55" s="5">
        <v>824</v>
      </c>
      <c r="J55" s="4" t="s">
        <v>123</v>
      </c>
    </row>
    <row r="56" spans="1:10" x14ac:dyDescent="0.25">
      <c r="A56" s="4">
        <f t="shared" ca="1" si="1"/>
        <v>53</v>
      </c>
      <c r="B56" s="4" t="s">
        <v>227</v>
      </c>
      <c r="C56" s="4" t="s">
        <v>228</v>
      </c>
      <c r="D56" s="4" t="s">
        <v>122</v>
      </c>
      <c r="E56" s="4" t="s">
        <v>129</v>
      </c>
      <c r="F56" s="4">
        <v>1000.11</v>
      </c>
      <c r="G56" s="5">
        <v>100.1388</v>
      </c>
      <c r="H56" s="5">
        <v>22.99</v>
      </c>
      <c r="I56" s="5">
        <v>1095</v>
      </c>
      <c r="J56" s="4" t="s">
        <v>123</v>
      </c>
    </row>
    <row r="57" spans="1:10" x14ac:dyDescent="0.25">
      <c r="A57" s="4">
        <f t="shared" ca="1" si="1"/>
        <v>54</v>
      </c>
      <c r="B57" s="4" t="s">
        <v>229</v>
      </c>
      <c r="C57" s="4" t="s">
        <v>230</v>
      </c>
      <c r="D57" s="4" t="s">
        <v>117</v>
      </c>
      <c r="E57" s="4" t="s">
        <v>129</v>
      </c>
      <c r="F57" s="4">
        <v>1000</v>
      </c>
      <c r="G57" s="5">
        <v>1000</v>
      </c>
      <c r="H57" s="5"/>
      <c r="I57" s="5"/>
      <c r="J57" s="4" t="s">
        <v>119</v>
      </c>
    </row>
    <row r="58" spans="1:10" x14ac:dyDescent="0.25">
      <c r="A58" s="4">
        <f t="shared" ca="1" si="1"/>
        <v>55</v>
      </c>
      <c r="B58" s="4" t="s">
        <v>231</v>
      </c>
      <c r="C58" s="4" t="s">
        <v>232</v>
      </c>
      <c r="D58" s="4" t="s">
        <v>122</v>
      </c>
      <c r="E58" s="4" t="s">
        <v>129</v>
      </c>
      <c r="F58" s="4">
        <v>999.27300000000002</v>
      </c>
      <c r="G58" s="5">
        <v>100.4162</v>
      </c>
      <c r="H58" s="5">
        <v>22.09</v>
      </c>
      <c r="I58" s="5">
        <v>328</v>
      </c>
      <c r="J58" s="4" t="s">
        <v>123</v>
      </c>
    </row>
    <row r="59" spans="1:10" x14ac:dyDescent="0.25">
      <c r="A59" s="4">
        <f t="shared" ca="1" si="1"/>
        <v>56</v>
      </c>
      <c r="B59" s="4" t="s">
        <v>233</v>
      </c>
      <c r="C59" s="4" t="s">
        <v>234</v>
      </c>
      <c r="D59" s="4" t="s">
        <v>122</v>
      </c>
      <c r="E59" s="4" t="s">
        <v>129</v>
      </c>
      <c r="F59" s="4">
        <v>1016.647</v>
      </c>
      <c r="G59" s="5">
        <v>101.90910000000001</v>
      </c>
      <c r="H59" s="5">
        <v>20.75</v>
      </c>
      <c r="I59" s="5">
        <v>574</v>
      </c>
      <c r="J59" s="4" t="s">
        <v>123</v>
      </c>
    </row>
    <row r="60" spans="1:10" x14ac:dyDescent="0.25">
      <c r="A60" s="4">
        <f t="shared" ca="1" si="1"/>
        <v>57</v>
      </c>
      <c r="B60" s="4" t="s">
        <v>235</v>
      </c>
      <c r="C60" s="4" t="s">
        <v>236</v>
      </c>
      <c r="D60" s="4" t="s">
        <v>122</v>
      </c>
      <c r="E60" s="4" t="s">
        <v>129</v>
      </c>
      <c r="F60" s="4">
        <v>990.82400000000007</v>
      </c>
      <c r="G60" s="5">
        <v>99.999099999999999</v>
      </c>
      <c r="H60" s="5">
        <v>22.68</v>
      </c>
      <c r="I60" s="5">
        <v>594</v>
      </c>
      <c r="J60" s="4" t="s">
        <v>123</v>
      </c>
    </row>
    <row r="61" spans="1:10" x14ac:dyDescent="0.25">
      <c r="A61" s="4">
        <f t="shared" ca="1" si="1"/>
        <v>58</v>
      </c>
      <c r="B61" s="4" t="s">
        <v>237</v>
      </c>
      <c r="C61" s="4" t="s">
        <v>238</v>
      </c>
      <c r="D61" s="4" t="s">
        <v>122</v>
      </c>
      <c r="E61" s="4" t="s">
        <v>129</v>
      </c>
      <c r="F61" s="4">
        <v>988.51300000000003</v>
      </c>
      <c r="G61" s="5">
        <v>100.893</v>
      </c>
      <c r="H61" s="5">
        <v>18.88</v>
      </c>
      <c r="I61" s="5">
        <v>324</v>
      </c>
      <c r="J61" s="4" t="s">
        <v>123</v>
      </c>
    </row>
    <row r="62" spans="1:10" x14ac:dyDescent="0.25">
      <c r="A62" s="4">
        <f t="shared" ca="1" si="1"/>
        <v>59</v>
      </c>
      <c r="B62" s="4" t="s">
        <v>239</v>
      </c>
      <c r="C62" s="4" t="s">
        <v>240</v>
      </c>
      <c r="D62" s="4" t="s">
        <v>122</v>
      </c>
      <c r="E62" s="4" t="s">
        <v>129</v>
      </c>
      <c r="F62" s="4">
        <v>926.57900000000006</v>
      </c>
      <c r="G62" s="5">
        <v>92.657899999999998</v>
      </c>
      <c r="H62" s="5">
        <v>24.98</v>
      </c>
      <c r="I62" s="5">
        <v>914</v>
      </c>
      <c r="J62" s="4" t="s">
        <v>123</v>
      </c>
    </row>
    <row r="63" spans="1:10" x14ac:dyDescent="0.25">
      <c r="A63" s="4">
        <f t="shared" ca="1" si="1"/>
        <v>60</v>
      </c>
      <c r="B63" s="4" t="s">
        <v>241</v>
      </c>
      <c r="C63" s="4" t="s">
        <v>242</v>
      </c>
      <c r="D63" s="4" t="s">
        <v>122</v>
      </c>
      <c r="E63" s="4" t="s">
        <v>129</v>
      </c>
      <c r="F63" s="4">
        <v>914.35300000000007</v>
      </c>
      <c r="G63" s="5">
        <v>95.235300000000009</v>
      </c>
      <c r="H63" s="5">
        <v>22.51</v>
      </c>
      <c r="I63" s="5">
        <v>928</v>
      </c>
      <c r="J63" s="4" t="s">
        <v>123</v>
      </c>
    </row>
    <row r="64" spans="1:10" x14ac:dyDescent="0.25">
      <c r="A64" s="4">
        <f t="shared" ca="1" si="1"/>
        <v>61</v>
      </c>
      <c r="B64" s="4" t="s">
        <v>243</v>
      </c>
      <c r="C64" s="4" t="s">
        <v>244</v>
      </c>
      <c r="D64" s="4" t="s">
        <v>122</v>
      </c>
      <c r="E64" s="4" t="s">
        <v>129</v>
      </c>
      <c r="F64" s="4">
        <v>1009.533</v>
      </c>
      <c r="G64" s="5">
        <v>106.5339</v>
      </c>
      <c r="H64" s="5">
        <v>19.740000000000002</v>
      </c>
      <c r="I64" s="5">
        <v>632</v>
      </c>
      <c r="J64" s="4" t="s">
        <v>123</v>
      </c>
    </row>
    <row r="65" spans="1:10" x14ac:dyDescent="0.25">
      <c r="A65" s="4">
        <f t="shared" ca="1" si="1"/>
        <v>62</v>
      </c>
      <c r="B65" s="4" t="s">
        <v>245</v>
      </c>
      <c r="C65" s="4" t="s">
        <v>246</v>
      </c>
      <c r="D65" s="4" t="s">
        <v>117</v>
      </c>
      <c r="E65" s="4" t="s">
        <v>247</v>
      </c>
      <c r="F65" s="4">
        <v>42528.31</v>
      </c>
      <c r="G65" s="5"/>
      <c r="H65" s="5"/>
      <c r="I65" s="5"/>
      <c r="J65" s="4" t="s">
        <v>119</v>
      </c>
    </row>
    <row r="66" spans="1:10" x14ac:dyDescent="0.25">
      <c r="A66" s="4">
        <f t="shared" ca="1" si="1"/>
        <v>63</v>
      </c>
      <c r="B66" s="4" t="s">
        <v>248</v>
      </c>
      <c r="C66" s="4" t="s">
        <v>249</v>
      </c>
      <c r="D66" s="4" t="s">
        <v>117</v>
      </c>
      <c r="E66" s="4" t="s">
        <v>247</v>
      </c>
      <c r="F66" s="4">
        <v>27284.18</v>
      </c>
      <c r="G66" s="5"/>
      <c r="H66" s="5"/>
      <c r="I66" s="5"/>
      <c r="J66" s="4" t="s">
        <v>119</v>
      </c>
    </row>
    <row r="67" spans="1:10" x14ac:dyDescent="0.25">
      <c r="A67" s="4">
        <f t="shared" ca="1" si="1"/>
        <v>64</v>
      </c>
      <c r="B67" s="4" t="s">
        <v>250</v>
      </c>
      <c r="C67" s="4" t="s">
        <v>251</v>
      </c>
      <c r="D67" s="4" t="s">
        <v>122</v>
      </c>
      <c r="E67" s="4" t="s">
        <v>252</v>
      </c>
      <c r="F67" s="4">
        <v>16622.7</v>
      </c>
      <c r="G67" s="5">
        <v>1662.2660000000001</v>
      </c>
      <c r="H67" s="5"/>
      <c r="I67" s="5">
        <v>91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253</v>
      </c>
      <c r="C68" s="4" t="s">
        <v>254</v>
      </c>
      <c r="D68" s="4" t="s">
        <v>117</v>
      </c>
      <c r="E68" s="4" t="s">
        <v>255</v>
      </c>
      <c r="F68" s="4">
        <v>21332.63</v>
      </c>
      <c r="G68" s="5"/>
      <c r="H68" s="5"/>
      <c r="I68" s="5"/>
      <c r="J68" s="4" t="s">
        <v>119</v>
      </c>
    </row>
    <row r="69" spans="1:10" x14ac:dyDescent="0.25">
      <c r="A69" s="4">
        <f t="shared" ca="1" si="2"/>
        <v>66</v>
      </c>
      <c r="B69" s="4" t="s">
        <v>256</v>
      </c>
      <c r="C69" s="4" t="s">
        <v>257</v>
      </c>
      <c r="D69" s="4" t="s">
        <v>122</v>
      </c>
      <c r="E69" s="4" t="s">
        <v>255</v>
      </c>
      <c r="F69" s="4">
        <v>1.0097229999999999</v>
      </c>
      <c r="G69" s="5">
        <v>101.89800000000001</v>
      </c>
      <c r="H69" s="5">
        <v>5.12</v>
      </c>
      <c r="I69" s="5">
        <v>1581</v>
      </c>
      <c r="J69" s="4" t="s">
        <v>123</v>
      </c>
    </row>
    <row r="70" spans="1:10" x14ac:dyDescent="0.25">
      <c r="A70" s="4">
        <f t="shared" ca="1" si="2"/>
        <v>67</v>
      </c>
      <c r="B70" s="4" t="s">
        <v>258</v>
      </c>
      <c r="C70" s="4" t="s">
        <v>259</v>
      </c>
      <c r="D70" s="4" t="s">
        <v>117</v>
      </c>
      <c r="E70" s="4" t="s">
        <v>260</v>
      </c>
      <c r="F70" s="4">
        <v>3386.82</v>
      </c>
      <c r="G70" s="5"/>
      <c r="H70" s="5"/>
      <c r="I70" s="5"/>
      <c r="J70" s="4" t="s">
        <v>119</v>
      </c>
    </row>
    <row r="71" spans="1:10" x14ac:dyDescent="0.25">
      <c r="A71" s="4">
        <f t="shared" ca="1" si="2"/>
        <v>68</v>
      </c>
      <c r="B71" s="4" t="s">
        <v>261</v>
      </c>
      <c r="C71" s="4" t="s">
        <v>262</v>
      </c>
      <c r="D71" s="4" t="s">
        <v>122</v>
      </c>
      <c r="E71" s="4" t="s">
        <v>263</v>
      </c>
      <c r="F71" s="4">
        <v>0.97424199999999994</v>
      </c>
      <c r="G71" s="5">
        <v>97.746400000000008</v>
      </c>
      <c r="H71" s="5">
        <v>5.17</v>
      </c>
      <c r="I71" s="5">
        <v>307</v>
      </c>
      <c r="J71" s="4" t="s">
        <v>123</v>
      </c>
    </row>
    <row r="72" spans="1:10" x14ac:dyDescent="0.25">
      <c r="A72" s="4">
        <f t="shared" ca="1" si="2"/>
        <v>69</v>
      </c>
      <c r="B72" s="4" t="s">
        <v>264</v>
      </c>
      <c r="C72" s="4" t="s">
        <v>265</v>
      </c>
      <c r="D72" s="4" t="s">
        <v>117</v>
      </c>
      <c r="E72" s="4" t="s">
        <v>266</v>
      </c>
      <c r="F72" s="4">
        <v>8928.84</v>
      </c>
      <c r="G72" s="5"/>
      <c r="H72" s="5"/>
      <c r="I72" s="5"/>
      <c r="J72" s="4" t="s">
        <v>119</v>
      </c>
    </row>
    <row r="73" spans="1:10" x14ac:dyDescent="0.25">
      <c r="A73" s="4">
        <f t="shared" ca="1" si="2"/>
        <v>70</v>
      </c>
      <c r="B73" s="4" t="s">
        <v>267</v>
      </c>
      <c r="C73" s="4" t="s">
        <v>268</v>
      </c>
      <c r="D73" s="4" t="s">
        <v>117</v>
      </c>
      <c r="E73" s="4" t="s">
        <v>266</v>
      </c>
      <c r="F73" s="4">
        <v>4696.79</v>
      </c>
      <c r="G73" s="5"/>
      <c r="H73" s="5"/>
      <c r="I73" s="5"/>
      <c r="J73" s="4" t="s">
        <v>119</v>
      </c>
    </row>
    <row r="74" spans="1:10" x14ac:dyDescent="0.25">
      <c r="A74" s="4">
        <f t="shared" ca="1" si="2"/>
        <v>71</v>
      </c>
      <c r="B74" s="4" t="s">
        <v>269</v>
      </c>
      <c r="C74" s="4" t="s">
        <v>270</v>
      </c>
      <c r="D74" s="4" t="s">
        <v>122</v>
      </c>
      <c r="E74" s="4" t="s">
        <v>271</v>
      </c>
      <c r="F74" s="4">
        <v>969.25600000000009</v>
      </c>
      <c r="G74" s="5">
        <v>103.25060000000001</v>
      </c>
      <c r="H74" s="5">
        <v>17.990000000000002</v>
      </c>
      <c r="I74" s="5">
        <v>957</v>
      </c>
      <c r="J74" s="4" t="s">
        <v>123</v>
      </c>
    </row>
    <row r="75" spans="1:10" x14ac:dyDescent="0.25">
      <c r="A75" s="4">
        <f t="shared" ca="1" si="2"/>
        <v>72</v>
      </c>
      <c r="B75" s="4" t="s">
        <v>272</v>
      </c>
      <c r="C75" s="4" t="s">
        <v>273</v>
      </c>
      <c r="D75" s="4" t="s">
        <v>122</v>
      </c>
      <c r="E75" s="4" t="s">
        <v>271</v>
      </c>
      <c r="F75" s="4">
        <v>979.03200000000004</v>
      </c>
      <c r="G75" s="5">
        <v>103.9028</v>
      </c>
      <c r="H75" s="5">
        <v>19.32</v>
      </c>
      <c r="I75" s="5">
        <v>794</v>
      </c>
      <c r="J75" s="4" t="s">
        <v>123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122</v>
      </c>
      <c r="E76" s="4" t="s">
        <v>271</v>
      </c>
      <c r="F76" s="4">
        <v>99.440400000000011</v>
      </c>
      <c r="G76" s="5">
        <v>99.440400000000011</v>
      </c>
      <c r="H76" s="5">
        <v>15.8</v>
      </c>
      <c r="I76" s="5">
        <v>14</v>
      </c>
      <c r="J76" s="4" t="s">
        <v>123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122</v>
      </c>
      <c r="E77" s="4" t="s">
        <v>271</v>
      </c>
      <c r="F77" s="4">
        <v>981.17499999999995</v>
      </c>
      <c r="G77" s="5">
        <v>106.3113</v>
      </c>
      <c r="H77" s="5">
        <v>17.990000000000002</v>
      </c>
      <c r="I77" s="5">
        <v>1288</v>
      </c>
      <c r="J77" s="4" t="s">
        <v>123</v>
      </c>
    </row>
    <row r="78" spans="1:10" x14ac:dyDescent="0.25">
      <c r="A78" s="4">
        <f t="shared" ca="1" si="2"/>
        <v>75</v>
      </c>
      <c r="B78" s="4" t="s">
        <v>278</v>
      </c>
      <c r="C78" s="4" t="s">
        <v>279</v>
      </c>
      <c r="D78" s="4" t="s">
        <v>122</v>
      </c>
      <c r="E78" s="4" t="s">
        <v>271</v>
      </c>
      <c r="F78" s="4">
        <v>100.0194</v>
      </c>
      <c r="G78" s="5">
        <v>100.0194</v>
      </c>
      <c r="H78" s="5">
        <v>7.99</v>
      </c>
      <c r="I78" s="5">
        <v>731</v>
      </c>
      <c r="J78" s="4" t="s">
        <v>123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122</v>
      </c>
      <c r="E79" s="4" t="s">
        <v>271</v>
      </c>
      <c r="F79" s="4">
        <v>1009.485</v>
      </c>
      <c r="G79" s="5">
        <v>110.14570000000001</v>
      </c>
      <c r="H79" s="5">
        <v>18.490000000000002</v>
      </c>
      <c r="I79" s="5">
        <v>556</v>
      </c>
      <c r="J79" s="4" t="s">
        <v>123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122</v>
      </c>
      <c r="E80" s="4" t="s">
        <v>271</v>
      </c>
      <c r="F80" s="4">
        <v>1025.7530000000002</v>
      </c>
      <c r="G80" s="5">
        <v>111.17030000000001</v>
      </c>
      <c r="H80" s="5">
        <v>18.23</v>
      </c>
      <c r="I80" s="5">
        <v>1662</v>
      </c>
      <c r="J80" s="4" t="s">
        <v>123</v>
      </c>
    </row>
    <row r="81" spans="1:10" x14ac:dyDescent="0.25">
      <c r="A81" s="4">
        <f t="shared" ca="1" si="2"/>
        <v>78</v>
      </c>
      <c r="B81" s="4" t="s">
        <v>284</v>
      </c>
      <c r="C81" s="4" t="s">
        <v>285</v>
      </c>
      <c r="D81" s="4" t="s">
        <v>122</v>
      </c>
      <c r="E81" s="4" t="s">
        <v>66</v>
      </c>
      <c r="F81" s="4">
        <v>1000</v>
      </c>
      <c r="G81" s="5">
        <v>112.32650000000001</v>
      </c>
      <c r="H81" s="5">
        <v>12.46</v>
      </c>
      <c r="I81" s="5">
        <v>1101</v>
      </c>
      <c r="J81" s="4" t="s">
        <v>123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122</v>
      </c>
      <c r="E82" s="4" t="s">
        <v>66</v>
      </c>
      <c r="F82" s="4">
        <v>1000</v>
      </c>
      <c r="G82" s="5">
        <v>104.1204</v>
      </c>
      <c r="H82" s="5">
        <v>12.41</v>
      </c>
      <c r="I82" s="5">
        <v>1341</v>
      </c>
      <c r="J82" s="4" t="s">
        <v>123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122</v>
      </c>
      <c r="E83" s="4" t="s">
        <v>66</v>
      </c>
      <c r="F83" s="4">
        <v>1000</v>
      </c>
      <c r="G83" s="5">
        <v>107.202</v>
      </c>
      <c r="H83" s="5">
        <v>12.02</v>
      </c>
      <c r="I83" s="5">
        <v>154</v>
      </c>
      <c r="J83" s="4" t="s">
        <v>123</v>
      </c>
    </row>
    <row r="84" spans="1:10" x14ac:dyDescent="0.25">
      <c r="A84" s="4">
        <f t="shared" ca="1" si="2"/>
        <v>81</v>
      </c>
      <c r="B84" s="4" t="s">
        <v>290</v>
      </c>
      <c r="C84" s="4" t="s">
        <v>291</v>
      </c>
      <c r="D84" s="4" t="s">
        <v>122</v>
      </c>
      <c r="E84" s="4" t="s">
        <v>66</v>
      </c>
      <c r="F84" s="4">
        <v>1000</v>
      </c>
      <c r="G84" s="5">
        <v>105.0553</v>
      </c>
      <c r="H84" s="5">
        <v>12.15</v>
      </c>
      <c r="I84" s="5">
        <v>217</v>
      </c>
      <c r="J84" s="4" t="s">
        <v>123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122</v>
      </c>
      <c r="E85" s="4" t="s">
        <v>66</v>
      </c>
      <c r="F85" s="4">
        <v>1000</v>
      </c>
      <c r="G85" s="5">
        <v>108.20610000000001</v>
      </c>
      <c r="H85" s="5">
        <v>12.33</v>
      </c>
      <c r="I85" s="5">
        <v>490</v>
      </c>
      <c r="J85" s="4" t="s">
        <v>123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122</v>
      </c>
      <c r="E86" s="4" t="s">
        <v>66</v>
      </c>
      <c r="F86" s="4">
        <v>1000</v>
      </c>
      <c r="G86" s="5">
        <v>106.12860000000001</v>
      </c>
      <c r="H86" s="5">
        <v>12.33</v>
      </c>
      <c r="I86" s="5">
        <v>551</v>
      </c>
      <c r="J86" s="4" t="s">
        <v>123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122</v>
      </c>
      <c r="E87" s="4" t="s">
        <v>66</v>
      </c>
      <c r="F87" s="4">
        <v>1000</v>
      </c>
      <c r="G87" s="5">
        <v>101.03880000000001</v>
      </c>
      <c r="H87" s="5">
        <v>12.43</v>
      </c>
      <c r="I87" s="5">
        <v>701</v>
      </c>
      <c r="J87" s="4" t="s">
        <v>123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122</v>
      </c>
      <c r="E88" s="4" t="s">
        <v>66</v>
      </c>
      <c r="F88" s="4">
        <v>1000</v>
      </c>
      <c r="G88" s="5">
        <v>104.1204</v>
      </c>
      <c r="H88" s="5">
        <v>12.39</v>
      </c>
      <c r="I88" s="5">
        <v>976</v>
      </c>
      <c r="J88" s="4" t="s">
        <v>123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122</v>
      </c>
      <c r="E89" s="4" t="s">
        <v>66</v>
      </c>
      <c r="F89" s="4">
        <v>1000</v>
      </c>
      <c r="G89" s="5">
        <v>111.357</v>
      </c>
      <c r="H89" s="5">
        <v>12.45</v>
      </c>
      <c r="I89" s="5">
        <v>1495</v>
      </c>
      <c r="J89" s="4" t="s">
        <v>123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122</v>
      </c>
      <c r="E90" s="4" t="s">
        <v>66</v>
      </c>
      <c r="F90" s="4">
        <v>906.08100000000002</v>
      </c>
      <c r="G90" s="5">
        <v>91.066400000000002</v>
      </c>
      <c r="H90" s="5">
        <v>16.97</v>
      </c>
      <c r="I90" s="5">
        <v>333</v>
      </c>
      <c r="J90" s="4" t="s">
        <v>123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122</v>
      </c>
      <c r="E91" s="4" t="s">
        <v>66</v>
      </c>
      <c r="F91" s="4">
        <v>1000</v>
      </c>
      <c r="G91" s="5">
        <v>106.12860000000001</v>
      </c>
      <c r="H91" s="5">
        <v>12.4</v>
      </c>
      <c r="I91" s="5">
        <v>1282</v>
      </c>
      <c r="J91" s="4" t="s">
        <v>123</v>
      </c>
    </row>
    <row r="92" spans="1:10" x14ac:dyDescent="0.25">
      <c r="A92" s="4">
        <f t="shared" ca="1" si="2"/>
        <v>89</v>
      </c>
      <c r="B92" s="4" t="s">
        <v>306</v>
      </c>
      <c r="C92" s="4" t="s">
        <v>88</v>
      </c>
      <c r="D92" s="4" t="s">
        <v>122</v>
      </c>
      <c r="E92" s="4" t="s">
        <v>66</v>
      </c>
      <c r="F92" s="4">
        <v>880.38300000000004</v>
      </c>
      <c r="G92" s="5">
        <v>92.140600000000006</v>
      </c>
      <c r="H92" s="5">
        <v>16.78</v>
      </c>
      <c r="I92" s="5">
        <v>457</v>
      </c>
      <c r="J92" s="4" t="s">
        <v>123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122</v>
      </c>
      <c r="E93" s="4" t="s">
        <v>66</v>
      </c>
      <c r="F93" s="4">
        <v>842.40800000000002</v>
      </c>
      <c r="G93" s="5">
        <v>85.735300000000009</v>
      </c>
      <c r="H93" s="5">
        <v>16.66</v>
      </c>
      <c r="I93" s="5">
        <v>632</v>
      </c>
      <c r="J93" s="4" t="s">
        <v>123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122</v>
      </c>
      <c r="E94" s="4" t="s">
        <v>66</v>
      </c>
      <c r="F94" s="4">
        <v>850.20500000000004</v>
      </c>
      <c r="G94" s="5">
        <v>86.139899999999997</v>
      </c>
      <c r="H94" s="5">
        <v>16.61</v>
      </c>
      <c r="I94" s="5">
        <v>668</v>
      </c>
      <c r="J94" s="4" t="s">
        <v>123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122</v>
      </c>
      <c r="E95" s="4" t="s">
        <v>66</v>
      </c>
      <c r="F95" s="4">
        <v>1000</v>
      </c>
      <c r="G95" s="5">
        <v>105.0899</v>
      </c>
      <c r="H95" s="5">
        <v>12.34</v>
      </c>
      <c r="I95" s="5">
        <v>581</v>
      </c>
      <c r="J95" s="4" t="s">
        <v>123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122</v>
      </c>
      <c r="E96" s="4" t="s">
        <v>66</v>
      </c>
      <c r="F96" s="4">
        <v>1000</v>
      </c>
      <c r="G96" s="5">
        <v>110.53230000000001</v>
      </c>
      <c r="H96" s="5">
        <v>12.52</v>
      </c>
      <c r="I96" s="5">
        <v>1522</v>
      </c>
      <c r="J96" s="4" t="s">
        <v>123</v>
      </c>
    </row>
    <row r="97" spans="1:10" x14ac:dyDescent="0.25">
      <c r="A97" s="4">
        <f t="shared" ca="1" si="2"/>
        <v>94</v>
      </c>
      <c r="B97" s="4" t="s">
        <v>315</v>
      </c>
      <c r="C97" s="4" t="s">
        <v>94</v>
      </c>
      <c r="D97" s="4" t="s">
        <v>122</v>
      </c>
      <c r="E97" s="4" t="s">
        <v>66</v>
      </c>
      <c r="F97" s="4">
        <v>661.87599999999998</v>
      </c>
      <c r="G97" s="5">
        <v>71.2089</v>
      </c>
      <c r="H97" s="5">
        <v>15.52</v>
      </c>
      <c r="I97" s="5">
        <v>3060</v>
      </c>
      <c r="J97" s="4" t="s">
        <v>123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122</v>
      </c>
      <c r="E98" s="4" t="s">
        <v>66</v>
      </c>
      <c r="F98" s="4">
        <v>885.04200000000003</v>
      </c>
      <c r="G98" s="5">
        <v>92.363700000000009</v>
      </c>
      <c r="H98" s="5">
        <v>16.73</v>
      </c>
      <c r="I98" s="5">
        <v>542</v>
      </c>
      <c r="J98" s="4" t="s">
        <v>123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122</v>
      </c>
      <c r="E99" s="4" t="s">
        <v>66</v>
      </c>
      <c r="F99" s="4">
        <v>592.47900000000004</v>
      </c>
      <c r="G99" s="5">
        <v>61.410400000000003</v>
      </c>
      <c r="H99" s="5">
        <v>15.35</v>
      </c>
      <c r="I99" s="5">
        <v>6850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122</v>
      </c>
      <c r="E100" s="4" t="s">
        <v>66</v>
      </c>
      <c r="F100" s="4">
        <v>1000</v>
      </c>
      <c r="G100" s="5">
        <v>102.9778</v>
      </c>
      <c r="H100" s="5">
        <v>12.28</v>
      </c>
      <c r="I100" s="5">
        <v>279</v>
      </c>
      <c r="J100" s="4" t="s">
        <v>123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122</v>
      </c>
      <c r="E101" s="4" t="s">
        <v>66</v>
      </c>
      <c r="F101" s="4">
        <v>1000</v>
      </c>
      <c r="G101" s="5">
        <v>106.16330000000001</v>
      </c>
      <c r="H101" s="5">
        <v>12.4</v>
      </c>
      <c r="I101" s="5">
        <v>1281</v>
      </c>
      <c r="J101" s="4" t="s">
        <v>123</v>
      </c>
    </row>
    <row r="102" spans="1:10" x14ac:dyDescent="0.25">
      <c r="A102" s="4">
        <f t="shared" ca="1" si="3"/>
        <v>99</v>
      </c>
      <c r="B102" s="4" t="s">
        <v>324</v>
      </c>
      <c r="C102" s="4" t="s">
        <v>325</v>
      </c>
      <c r="D102" s="4" t="s">
        <v>122</v>
      </c>
      <c r="E102" s="4" t="s">
        <v>66</v>
      </c>
      <c r="F102" s="4">
        <v>1000</v>
      </c>
      <c r="G102" s="5">
        <v>107.1328</v>
      </c>
      <c r="H102" s="5">
        <v>12.41</v>
      </c>
      <c r="I102" s="5">
        <v>1617</v>
      </c>
      <c r="J102" s="4" t="s">
        <v>123</v>
      </c>
    </row>
    <row r="103" spans="1:10" x14ac:dyDescent="0.25">
      <c r="A103" s="4">
        <f t="shared" ca="1" si="3"/>
        <v>100</v>
      </c>
      <c r="B103" s="4" t="s">
        <v>326</v>
      </c>
      <c r="C103" s="4" t="s">
        <v>327</v>
      </c>
      <c r="D103" s="4" t="s">
        <v>122</v>
      </c>
      <c r="E103" s="4" t="s">
        <v>66</v>
      </c>
      <c r="F103" s="4">
        <v>1000</v>
      </c>
      <c r="G103" s="5">
        <v>104.08580000000001</v>
      </c>
      <c r="H103" s="5">
        <v>12.21</v>
      </c>
      <c r="I103" s="5">
        <v>246</v>
      </c>
      <c r="J103" s="4" t="s">
        <v>123</v>
      </c>
    </row>
    <row r="104" spans="1:10" x14ac:dyDescent="0.25">
      <c r="A104" s="4">
        <f t="shared" ca="1" si="3"/>
        <v>101</v>
      </c>
      <c r="B104" s="4" t="s">
        <v>328</v>
      </c>
      <c r="C104" s="4" t="s">
        <v>106</v>
      </c>
      <c r="D104" s="4" t="s">
        <v>122</v>
      </c>
      <c r="E104" s="4" t="s">
        <v>66</v>
      </c>
      <c r="F104" s="4">
        <v>649.63</v>
      </c>
      <c r="G104" s="5">
        <v>72.293300000000002</v>
      </c>
      <c r="H104" s="5">
        <v>15.5</v>
      </c>
      <c r="I104" s="5">
        <v>3322</v>
      </c>
      <c r="J104" s="4" t="s">
        <v>123</v>
      </c>
    </row>
    <row r="105" spans="1:10" x14ac:dyDescent="0.25">
      <c r="A105" s="4">
        <f t="shared" ca="1" si="3"/>
        <v>102</v>
      </c>
      <c r="B105" s="4" t="s">
        <v>329</v>
      </c>
      <c r="C105" s="4" t="s">
        <v>330</v>
      </c>
      <c r="D105" s="4" t="s">
        <v>122</v>
      </c>
      <c r="E105" s="4" t="s">
        <v>66</v>
      </c>
      <c r="F105" s="4">
        <v>920.2170000000001</v>
      </c>
      <c r="G105" s="5">
        <v>99.27170000000001</v>
      </c>
      <c r="H105" s="5">
        <v>16.809999999999999</v>
      </c>
      <c r="I105" s="5">
        <v>436</v>
      </c>
      <c r="J105" s="4" t="s">
        <v>123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122</v>
      </c>
      <c r="E106" s="4" t="s">
        <v>66</v>
      </c>
      <c r="F106" s="4">
        <v>901.65700000000004</v>
      </c>
      <c r="G106" s="5">
        <v>94.490700000000004</v>
      </c>
      <c r="H106" s="5">
        <v>16.72</v>
      </c>
      <c r="I106" s="5">
        <v>555</v>
      </c>
      <c r="J106" s="4" t="s">
        <v>123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122</v>
      </c>
      <c r="E107" s="4" t="s">
        <v>66</v>
      </c>
      <c r="F107" s="4">
        <v>646.197</v>
      </c>
      <c r="G107" s="5">
        <v>68.058800000000005</v>
      </c>
      <c r="H107" s="5">
        <v>15.44</v>
      </c>
      <c r="I107" s="5">
        <v>3870</v>
      </c>
      <c r="J107" s="4" t="s">
        <v>123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122</v>
      </c>
      <c r="E108" s="4" t="s">
        <v>66</v>
      </c>
      <c r="F108" s="4">
        <v>708.86099999999999</v>
      </c>
      <c r="G108" s="5">
        <v>77.188699999999997</v>
      </c>
      <c r="H108" s="5">
        <v>15.6</v>
      </c>
      <c r="I108" s="5">
        <v>2657</v>
      </c>
      <c r="J108" s="4" t="s">
        <v>123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122</v>
      </c>
      <c r="E109" s="4" t="s">
        <v>66</v>
      </c>
      <c r="F109" s="4">
        <v>699.46100000000001</v>
      </c>
      <c r="G109" s="5">
        <v>75.656599999999997</v>
      </c>
      <c r="H109" s="5">
        <v>15.59</v>
      </c>
      <c r="I109" s="5">
        <v>2676</v>
      </c>
      <c r="J109" s="4" t="s">
        <v>123</v>
      </c>
    </row>
    <row r="110" spans="1:10" x14ac:dyDescent="0.25">
      <c r="A110" s="4">
        <f t="shared" ca="1" si="3"/>
        <v>107</v>
      </c>
      <c r="B110" s="4" t="s">
        <v>339</v>
      </c>
      <c r="C110" s="4" t="s">
        <v>104</v>
      </c>
      <c r="D110" s="4" t="s">
        <v>122</v>
      </c>
      <c r="E110" s="4" t="s">
        <v>66</v>
      </c>
      <c r="F110" s="4">
        <v>721.678</v>
      </c>
      <c r="G110" s="5">
        <v>78.035899999999998</v>
      </c>
      <c r="H110" s="5">
        <v>15.68</v>
      </c>
      <c r="I110" s="5">
        <v>2304</v>
      </c>
      <c r="J110" s="4" t="s">
        <v>123</v>
      </c>
    </row>
    <row r="111" spans="1:10" x14ac:dyDescent="0.25">
      <c r="A111" s="4">
        <f t="shared" ca="1" si="3"/>
        <v>108</v>
      </c>
      <c r="B111" s="4" t="s">
        <v>340</v>
      </c>
      <c r="C111" s="4" t="s">
        <v>341</v>
      </c>
      <c r="D111" s="4" t="s">
        <v>122</v>
      </c>
      <c r="E111" s="4" t="s">
        <v>66</v>
      </c>
      <c r="F111" s="4">
        <v>745.27200000000005</v>
      </c>
      <c r="G111" s="5">
        <v>79.825600000000009</v>
      </c>
      <c r="H111" s="5">
        <v>15.77</v>
      </c>
      <c r="I111" s="5">
        <v>1962</v>
      </c>
      <c r="J111" s="4" t="s">
        <v>123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122</v>
      </c>
      <c r="E112" s="4" t="s">
        <v>66</v>
      </c>
      <c r="F112" s="4">
        <v>651.00099999999998</v>
      </c>
      <c r="G112" s="5">
        <v>72.712600000000009</v>
      </c>
      <c r="H112" s="5">
        <v>15.44</v>
      </c>
      <c r="I112" s="5">
        <v>4066</v>
      </c>
      <c r="J112" s="4" t="s">
        <v>123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122</v>
      </c>
      <c r="E113" s="4" t="s">
        <v>66</v>
      </c>
      <c r="F113" s="4">
        <v>1000</v>
      </c>
      <c r="G113" s="5">
        <v>107.202</v>
      </c>
      <c r="H113" s="5">
        <v>12.02</v>
      </c>
      <c r="I113" s="5">
        <v>154</v>
      </c>
      <c r="J113" s="4" t="s">
        <v>123</v>
      </c>
    </row>
    <row r="114" spans="1:10" x14ac:dyDescent="0.25">
      <c r="A114" s="4">
        <f t="shared" ca="1" si="3"/>
        <v>111</v>
      </c>
      <c r="B114" s="4" t="s">
        <v>346</v>
      </c>
      <c r="C114" s="4" t="s">
        <v>112</v>
      </c>
      <c r="D114" s="4" t="s">
        <v>122</v>
      </c>
      <c r="E114" s="4" t="s">
        <v>66</v>
      </c>
      <c r="F114" s="4">
        <v>780.18</v>
      </c>
      <c r="G114" s="5">
        <v>80.8553</v>
      </c>
      <c r="H114" s="5">
        <v>16.09</v>
      </c>
      <c r="I114" s="5">
        <v>1327</v>
      </c>
      <c r="J114" s="4" t="s">
        <v>123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122</v>
      </c>
      <c r="E115" s="4" t="s">
        <v>66</v>
      </c>
      <c r="F115" s="4">
        <v>762.14300000000003</v>
      </c>
      <c r="G115" s="5">
        <v>83.083600000000004</v>
      </c>
      <c r="H115" s="5">
        <v>16</v>
      </c>
      <c r="I115" s="5">
        <v>1502</v>
      </c>
      <c r="J115" s="4" t="s">
        <v>123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122</v>
      </c>
      <c r="E116" s="4" t="s">
        <v>66</v>
      </c>
      <c r="F116" s="4">
        <v>589.35199999999998</v>
      </c>
      <c r="G116" s="5">
        <v>59.066900000000004</v>
      </c>
      <c r="H116" s="5">
        <v>15.38</v>
      </c>
      <c r="I116" s="5">
        <v>4743</v>
      </c>
      <c r="J116" s="4" t="s">
        <v>123</v>
      </c>
    </row>
    <row r="117" spans="1:10" x14ac:dyDescent="0.25">
      <c r="A117" s="4">
        <f t="shared" ca="1" si="3"/>
        <v>114</v>
      </c>
      <c r="B117" s="4" t="s">
        <v>351</v>
      </c>
      <c r="C117" s="4" t="s">
        <v>80</v>
      </c>
      <c r="D117" s="4" t="s">
        <v>122</v>
      </c>
      <c r="E117" s="4" t="s">
        <v>66</v>
      </c>
      <c r="F117" s="4">
        <v>933.91600000000005</v>
      </c>
      <c r="G117" s="5">
        <v>95.347200000000001</v>
      </c>
      <c r="H117" s="5">
        <v>17</v>
      </c>
      <c r="I117" s="5">
        <v>236</v>
      </c>
      <c r="J117" s="4" t="s">
        <v>123</v>
      </c>
    </row>
    <row r="118" spans="1:10" x14ac:dyDescent="0.25">
      <c r="A118" s="4">
        <f t="shared" ca="1" si="3"/>
        <v>115</v>
      </c>
      <c r="B118" s="4" t="s">
        <v>352</v>
      </c>
      <c r="C118" s="4" t="s">
        <v>77</v>
      </c>
      <c r="D118" s="4" t="s">
        <v>122</v>
      </c>
      <c r="E118" s="4" t="s">
        <v>66</v>
      </c>
      <c r="F118" s="4">
        <v>833.64100000000008</v>
      </c>
      <c r="G118" s="5">
        <v>84.350500000000011</v>
      </c>
      <c r="H118" s="5">
        <v>16.62</v>
      </c>
      <c r="I118" s="5">
        <v>663</v>
      </c>
      <c r="J118" s="4" t="s">
        <v>123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122</v>
      </c>
      <c r="E119" s="4" t="s">
        <v>66</v>
      </c>
      <c r="F119" s="4">
        <v>774.64800000000002</v>
      </c>
      <c r="G119" s="5">
        <v>78.9315</v>
      </c>
      <c r="H119" s="5">
        <v>16.330000000000002</v>
      </c>
      <c r="I119" s="5">
        <v>1000</v>
      </c>
      <c r="J119" s="4" t="s">
        <v>123</v>
      </c>
    </row>
    <row r="120" spans="1:10" x14ac:dyDescent="0.25">
      <c r="A120" s="4">
        <f t="shared" ca="1" si="3"/>
        <v>117</v>
      </c>
      <c r="B120" s="4" t="s">
        <v>355</v>
      </c>
      <c r="C120" s="4" t="s">
        <v>356</v>
      </c>
      <c r="D120" s="4" t="s">
        <v>122</v>
      </c>
      <c r="E120" s="4" t="s">
        <v>66</v>
      </c>
      <c r="F120" s="4">
        <v>607.04600000000005</v>
      </c>
      <c r="G120" s="5">
        <v>64.207000000000008</v>
      </c>
      <c r="H120" s="5">
        <v>15.38</v>
      </c>
      <c r="I120" s="5">
        <v>4960</v>
      </c>
      <c r="J120" s="4" t="s">
        <v>123</v>
      </c>
    </row>
    <row r="121" spans="1:10" x14ac:dyDescent="0.25">
      <c r="A121" s="4">
        <f t="shared" ca="1" si="3"/>
        <v>118</v>
      </c>
      <c r="B121" s="4" t="s">
        <v>357</v>
      </c>
      <c r="C121" s="4" t="s">
        <v>358</v>
      </c>
      <c r="D121" s="4" t="s">
        <v>122</v>
      </c>
      <c r="E121" s="4" t="s">
        <v>66</v>
      </c>
      <c r="F121" s="4">
        <v>603.35500000000002</v>
      </c>
      <c r="G121" s="5">
        <v>67.310500000000005</v>
      </c>
      <c r="H121" s="5">
        <v>15.38</v>
      </c>
      <c r="I121" s="5">
        <v>5176</v>
      </c>
      <c r="J121" s="4" t="s">
        <v>123</v>
      </c>
    </row>
    <row r="122" spans="1:10" x14ac:dyDescent="0.25">
      <c r="A122" s="4">
        <f t="shared" ca="1" si="3"/>
        <v>119</v>
      </c>
      <c r="B122" s="4" t="s">
        <v>359</v>
      </c>
      <c r="C122" s="4" t="s">
        <v>98</v>
      </c>
      <c r="D122" s="4" t="s">
        <v>122</v>
      </c>
      <c r="E122" s="4" t="s">
        <v>66</v>
      </c>
      <c r="F122" s="4">
        <v>874.31900000000007</v>
      </c>
      <c r="G122" s="5">
        <v>95.559700000000007</v>
      </c>
      <c r="H122" s="5">
        <v>16.190000000000001</v>
      </c>
      <c r="I122" s="5">
        <v>1192</v>
      </c>
      <c r="J122" s="4" t="s">
        <v>123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122</v>
      </c>
      <c r="E123" s="4" t="s">
        <v>66</v>
      </c>
      <c r="F123" s="4">
        <v>961.88100000000009</v>
      </c>
      <c r="G123" s="5">
        <v>100.5612</v>
      </c>
      <c r="H123" s="5">
        <v>16.990000000000002</v>
      </c>
      <c r="I123" s="5">
        <v>190</v>
      </c>
      <c r="J123" s="4" t="s">
        <v>123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122</v>
      </c>
      <c r="E124" s="4" t="s">
        <v>66</v>
      </c>
      <c r="F124" s="4">
        <v>1000</v>
      </c>
      <c r="G124" s="5">
        <v>100.4534</v>
      </c>
      <c r="H124" s="5">
        <v>12.54</v>
      </c>
      <c r="I124" s="5">
        <v>1084</v>
      </c>
      <c r="J124" s="4" t="s">
        <v>123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122</v>
      </c>
      <c r="E125" s="4" t="s">
        <v>66</v>
      </c>
      <c r="F125" s="4">
        <v>1000</v>
      </c>
      <c r="G125" s="5">
        <v>109.2449</v>
      </c>
      <c r="H125" s="5">
        <v>11.9</v>
      </c>
      <c r="I125" s="5">
        <v>94</v>
      </c>
      <c r="J125" s="4" t="s">
        <v>123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122</v>
      </c>
      <c r="E126" s="4" t="s">
        <v>66</v>
      </c>
      <c r="F126" s="4">
        <v>1000</v>
      </c>
      <c r="G126" s="5">
        <v>110.31830000000001</v>
      </c>
      <c r="H126" s="5">
        <v>12.42</v>
      </c>
      <c r="I126" s="5">
        <v>1161</v>
      </c>
      <c r="J126" s="4" t="s">
        <v>123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122</v>
      </c>
      <c r="E127" s="4" t="s">
        <v>66</v>
      </c>
      <c r="F127" s="4">
        <v>874.23099999999999</v>
      </c>
      <c r="G127" s="5">
        <v>89.13900000000001</v>
      </c>
      <c r="H127" s="5">
        <v>16.309999999999999</v>
      </c>
      <c r="I127" s="5">
        <v>1037</v>
      </c>
      <c r="J127" s="4" t="s">
        <v>123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122</v>
      </c>
      <c r="E128" s="4" t="s">
        <v>66</v>
      </c>
      <c r="F128" s="4">
        <v>1000</v>
      </c>
      <c r="G128" s="5">
        <v>110.4221</v>
      </c>
      <c r="H128" s="5">
        <v>12.41</v>
      </c>
      <c r="I128" s="5">
        <v>792</v>
      </c>
      <c r="J128" s="4" t="s">
        <v>123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122</v>
      </c>
      <c r="E129" s="4" t="s">
        <v>66</v>
      </c>
      <c r="F129" s="4">
        <v>609.27499999999998</v>
      </c>
      <c r="G129" s="5">
        <v>64.624700000000004</v>
      </c>
      <c r="H129" s="5">
        <v>15.64</v>
      </c>
      <c r="I129" s="5">
        <v>2312</v>
      </c>
      <c r="J129" s="4" t="s">
        <v>123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122</v>
      </c>
      <c r="E130" s="4" t="s">
        <v>66</v>
      </c>
      <c r="F130" s="4">
        <v>799.92200000000003</v>
      </c>
      <c r="G130" s="5">
        <v>80.313100000000006</v>
      </c>
      <c r="H130" s="5">
        <v>16.260000000000002</v>
      </c>
      <c r="I130" s="5">
        <v>1081</v>
      </c>
      <c r="J130" s="4" t="s">
        <v>123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122</v>
      </c>
      <c r="E131" s="4" t="s">
        <v>66</v>
      </c>
      <c r="F131" s="4">
        <v>792.66100000000006</v>
      </c>
      <c r="G131" s="5">
        <v>82.71050000000001</v>
      </c>
      <c r="H131" s="5">
        <v>16.45</v>
      </c>
      <c r="I131" s="5">
        <v>845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74</v>
      </c>
      <c r="D132" s="4" t="s">
        <v>122</v>
      </c>
      <c r="E132" s="4" t="s">
        <v>66</v>
      </c>
      <c r="F132" s="4">
        <v>800.58400000000006</v>
      </c>
      <c r="G132" s="5">
        <v>84.495900000000006</v>
      </c>
      <c r="H132" s="5">
        <v>15.67</v>
      </c>
      <c r="I132" s="5">
        <v>2405</v>
      </c>
      <c r="J132" s="4" t="s">
        <v>123</v>
      </c>
    </row>
    <row r="133" spans="1:10" x14ac:dyDescent="0.25">
      <c r="A133" s="4">
        <f t="shared" ca="1" si="4"/>
        <v>130</v>
      </c>
      <c r="B133" s="4" t="s">
        <v>379</v>
      </c>
      <c r="C133" s="4" t="s">
        <v>96</v>
      </c>
      <c r="D133" s="4" t="s">
        <v>122</v>
      </c>
      <c r="E133" s="4" t="s">
        <v>66</v>
      </c>
      <c r="F133" s="4">
        <v>855.12400000000002</v>
      </c>
      <c r="G133" s="5">
        <v>89.849600000000009</v>
      </c>
      <c r="H133" s="5">
        <v>16.100000000000001</v>
      </c>
      <c r="I133" s="5">
        <v>1311</v>
      </c>
      <c r="J133" s="4" t="s">
        <v>123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122</v>
      </c>
      <c r="E134" s="4" t="s">
        <v>66</v>
      </c>
      <c r="F134" s="4">
        <v>1000</v>
      </c>
      <c r="G134" s="5">
        <v>103.0124</v>
      </c>
      <c r="H134" s="5">
        <v>12.43</v>
      </c>
      <c r="I134" s="5">
        <v>1739</v>
      </c>
      <c r="J134" s="4" t="s">
        <v>123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122</v>
      </c>
      <c r="E135" s="4" t="s">
        <v>66</v>
      </c>
      <c r="F135" s="4">
        <v>1000</v>
      </c>
      <c r="G135" s="5">
        <v>112.36110000000001</v>
      </c>
      <c r="H135" s="5">
        <v>12.46</v>
      </c>
      <c r="I135" s="5">
        <v>2195</v>
      </c>
      <c r="J135" s="4" t="s">
        <v>123</v>
      </c>
    </row>
    <row r="136" spans="1:10" x14ac:dyDescent="0.25">
      <c r="A136" s="4">
        <f t="shared" ca="1" si="4"/>
        <v>133</v>
      </c>
      <c r="B136" s="4" t="s">
        <v>384</v>
      </c>
      <c r="C136" s="4" t="s">
        <v>385</v>
      </c>
      <c r="D136" s="4" t="s">
        <v>122</v>
      </c>
      <c r="E136" s="4" t="s">
        <v>66</v>
      </c>
      <c r="F136" s="4">
        <v>1000</v>
      </c>
      <c r="G136" s="5">
        <v>103.08160000000001</v>
      </c>
      <c r="H136" s="5">
        <v>12.43</v>
      </c>
      <c r="I136" s="5">
        <v>2102</v>
      </c>
      <c r="J136" s="4" t="s">
        <v>123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122</v>
      </c>
      <c r="E137" s="4" t="s">
        <v>66</v>
      </c>
      <c r="F137" s="4">
        <v>924.37200000000007</v>
      </c>
      <c r="G137" s="5">
        <v>98.706100000000006</v>
      </c>
      <c r="H137" s="5">
        <v>16.740000000000002</v>
      </c>
      <c r="I137" s="5">
        <v>510</v>
      </c>
      <c r="J137" s="4" t="s">
        <v>123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122</v>
      </c>
      <c r="E138" s="4" t="s">
        <v>66</v>
      </c>
      <c r="F138" s="4">
        <v>771.81900000000007</v>
      </c>
      <c r="G138" s="5">
        <v>87.249700000000004</v>
      </c>
      <c r="H138" s="5">
        <v>15.47</v>
      </c>
      <c r="I138" s="5">
        <v>4052</v>
      </c>
      <c r="J138" s="4" t="s">
        <v>123</v>
      </c>
    </row>
    <row r="139" spans="1:10" x14ac:dyDescent="0.25">
      <c r="A139" s="4">
        <f t="shared" ca="1" si="4"/>
        <v>136</v>
      </c>
      <c r="B139" s="4" t="s">
        <v>390</v>
      </c>
      <c r="C139" s="4" t="s">
        <v>86</v>
      </c>
      <c r="D139" s="4" t="s">
        <v>122</v>
      </c>
      <c r="E139" s="4" t="s">
        <v>66</v>
      </c>
      <c r="F139" s="4">
        <v>995.65100000000007</v>
      </c>
      <c r="G139" s="5">
        <v>104.15910000000001</v>
      </c>
      <c r="H139" s="5">
        <v>16.84</v>
      </c>
      <c r="I139" s="5">
        <v>27</v>
      </c>
      <c r="J139" s="4" t="s">
        <v>123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122</v>
      </c>
      <c r="E140" s="4" t="s">
        <v>66</v>
      </c>
      <c r="F140" s="4">
        <v>855.98300000000006</v>
      </c>
      <c r="G140" s="5">
        <v>95.437200000000004</v>
      </c>
      <c r="H140" s="5">
        <v>16.03</v>
      </c>
      <c r="I140" s="5">
        <v>1502</v>
      </c>
      <c r="J140" s="4" t="s">
        <v>123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122</v>
      </c>
      <c r="E141" s="4" t="s">
        <v>66</v>
      </c>
      <c r="F141" s="4">
        <v>760.50100000000009</v>
      </c>
      <c r="G141" s="5">
        <v>79.673400000000001</v>
      </c>
      <c r="H141" s="5">
        <v>15.47</v>
      </c>
      <c r="I141" s="5">
        <v>3896</v>
      </c>
      <c r="J141" s="4" t="s">
        <v>123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122</v>
      </c>
      <c r="E142" s="4" t="s">
        <v>66</v>
      </c>
      <c r="F142" s="4">
        <v>756.65</v>
      </c>
      <c r="G142" s="5">
        <v>84.351300000000009</v>
      </c>
      <c r="H142" s="5">
        <v>15.58</v>
      </c>
      <c r="I142" s="5">
        <v>2976</v>
      </c>
      <c r="J142" s="4" t="s">
        <v>123</v>
      </c>
    </row>
    <row r="143" spans="1:10" x14ac:dyDescent="0.25">
      <c r="A143" s="4">
        <f t="shared" ca="1" si="4"/>
        <v>140</v>
      </c>
      <c r="B143" s="4" t="s">
        <v>397</v>
      </c>
      <c r="C143" s="4" t="s">
        <v>90</v>
      </c>
      <c r="D143" s="4" t="s">
        <v>122</v>
      </c>
      <c r="E143" s="4" t="s">
        <v>66</v>
      </c>
      <c r="F143" s="4">
        <v>889.52700000000004</v>
      </c>
      <c r="G143" s="5">
        <v>96.290500000000009</v>
      </c>
      <c r="H143" s="5">
        <v>16.47</v>
      </c>
      <c r="I143" s="5">
        <v>839</v>
      </c>
      <c r="J143" s="4" t="s">
        <v>123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122</v>
      </c>
      <c r="E144" s="4" t="s">
        <v>66</v>
      </c>
      <c r="F144" s="4">
        <v>967.10400000000004</v>
      </c>
      <c r="G144" s="5">
        <v>100.85210000000001</v>
      </c>
      <c r="H144" s="5">
        <v>16.36</v>
      </c>
      <c r="I144" s="5">
        <v>222</v>
      </c>
      <c r="J144" s="4" t="s">
        <v>123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122</v>
      </c>
      <c r="E145" s="4" t="s">
        <v>66</v>
      </c>
      <c r="F145" s="4">
        <v>749.71600000000001</v>
      </c>
      <c r="G145" s="5">
        <v>83.114699999999999</v>
      </c>
      <c r="H145" s="5">
        <v>15.51</v>
      </c>
      <c r="I145" s="5">
        <v>3362</v>
      </c>
      <c r="J145" s="4" t="s">
        <v>123</v>
      </c>
    </row>
    <row r="146" spans="1:10" x14ac:dyDescent="0.25">
      <c r="A146" s="4">
        <f t="shared" ca="1" si="4"/>
        <v>143</v>
      </c>
      <c r="B146" s="4" t="s">
        <v>402</v>
      </c>
      <c r="C146" s="4" t="s">
        <v>102</v>
      </c>
      <c r="D146" s="4" t="s">
        <v>122</v>
      </c>
      <c r="E146" s="4" t="s">
        <v>66</v>
      </c>
      <c r="F146" s="4">
        <v>812.14300000000003</v>
      </c>
      <c r="G146" s="5">
        <v>89.19680000000001</v>
      </c>
      <c r="H146" s="5">
        <v>15.81</v>
      </c>
      <c r="I146" s="5">
        <v>1908</v>
      </c>
      <c r="J146" s="4" t="s">
        <v>123</v>
      </c>
    </row>
    <row r="147" spans="1:10" x14ac:dyDescent="0.25">
      <c r="A147" s="4">
        <f t="shared" ca="1" si="4"/>
        <v>144</v>
      </c>
      <c r="B147" s="4" t="s">
        <v>403</v>
      </c>
      <c r="C147" s="4" t="s">
        <v>404</v>
      </c>
      <c r="D147" s="4" t="s">
        <v>122</v>
      </c>
      <c r="E147" s="4" t="s">
        <v>66</v>
      </c>
      <c r="F147" s="4">
        <v>787.32400000000007</v>
      </c>
      <c r="G147" s="5">
        <v>82.384799999999998</v>
      </c>
      <c r="H147" s="5">
        <v>15.6</v>
      </c>
      <c r="I147" s="5">
        <v>2798</v>
      </c>
      <c r="J147" s="4" t="s">
        <v>123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122</v>
      </c>
      <c r="E148" s="4" t="s">
        <v>66</v>
      </c>
      <c r="F148" s="4">
        <v>983.22900000000004</v>
      </c>
      <c r="G148" s="5">
        <v>102.18400000000001</v>
      </c>
      <c r="H148" s="5">
        <v>16.350000000000001</v>
      </c>
      <c r="I148" s="5">
        <v>265</v>
      </c>
      <c r="J148" s="4" t="s">
        <v>123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122</v>
      </c>
      <c r="E149" s="4" t="s">
        <v>66</v>
      </c>
      <c r="F149" s="4">
        <v>989.51800000000003</v>
      </c>
      <c r="G149" s="5">
        <v>100.57210000000001</v>
      </c>
      <c r="H149" s="5">
        <v>15.98</v>
      </c>
      <c r="I149" s="5">
        <v>693</v>
      </c>
      <c r="J149" s="4" t="s">
        <v>123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122</v>
      </c>
      <c r="E150" s="4" t="s">
        <v>66</v>
      </c>
      <c r="F150" s="4">
        <v>931.30200000000002</v>
      </c>
      <c r="G150" s="5">
        <v>101.56910000000001</v>
      </c>
      <c r="H150" s="5">
        <v>15.72</v>
      </c>
      <c r="I150" s="5">
        <v>2337</v>
      </c>
      <c r="J150" s="4" t="s">
        <v>123</v>
      </c>
    </row>
    <row r="151" spans="1:10" x14ac:dyDescent="0.25">
      <c r="A151" s="4">
        <f t="shared" ca="1" si="4"/>
        <v>148</v>
      </c>
      <c r="B151" s="4" t="s">
        <v>411</v>
      </c>
      <c r="C151" s="4" t="s">
        <v>412</v>
      </c>
      <c r="D151" s="4" t="s">
        <v>122</v>
      </c>
      <c r="E151" s="4" t="s">
        <v>66</v>
      </c>
      <c r="F151" s="4">
        <v>976.76800000000003</v>
      </c>
      <c r="G151" s="5">
        <v>110.1293</v>
      </c>
      <c r="H151" s="5">
        <v>16.22</v>
      </c>
      <c r="I151" s="5">
        <v>1164</v>
      </c>
      <c r="J151" s="4" t="s">
        <v>123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122</v>
      </c>
      <c r="E152" s="4" t="s">
        <v>66</v>
      </c>
      <c r="F152" s="4">
        <v>1000</v>
      </c>
      <c r="G152" s="5">
        <v>105.2784</v>
      </c>
      <c r="H152" s="5">
        <v>17.62</v>
      </c>
      <c r="I152" s="5">
        <v>258</v>
      </c>
      <c r="J152" s="4" t="s">
        <v>123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122</v>
      </c>
      <c r="E153" s="4" t="s">
        <v>66</v>
      </c>
      <c r="F153" s="4">
        <v>934.81</v>
      </c>
      <c r="G153" s="5">
        <v>102.19210000000001</v>
      </c>
      <c r="H153" s="5">
        <v>15.82</v>
      </c>
      <c r="I153" s="5">
        <v>1964</v>
      </c>
      <c r="J153" s="4" t="s">
        <v>123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122</v>
      </c>
      <c r="E154" s="4" t="s">
        <v>66</v>
      </c>
      <c r="F154" s="4">
        <v>988.15100000000007</v>
      </c>
      <c r="G154" s="5">
        <v>98.891500000000008</v>
      </c>
      <c r="H154" s="5">
        <v>16.330000000000002</v>
      </c>
      <c r="I154" s="5">
        <v>181</v>
      </c>
      <c r="J154" s="4" t="s">
        <v>123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122</v>
      </c>
      <c r="E155" s="4" t="s">
        <v>66</v>
      </c>
      <c r="F155" s="4">
        <v>946.85900000000004</v>
      </c>
      <c r="G155" s="5">
        <v>102.7538</v>
      </c>
      <c r="H155" s="5">
        <v>15.65</v>
      </c>
      <c r="I155" s="5">
        <v>2719</v>
      </c>
      <c r="J155" s="4" t="s">
        <v>123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122</v>
      </c>
      <c r="E156" s="4" t="s">
        <v>66</v>
      </c>
      <c r="F156" s="4">
        <v>869.53</v>
      </c>
      <c r="G156" s="5">
        <v>97.086300000000008</v>
      </c>
      <c r="H156" s="5">
        <v>15.860000000000001</v>
      </c>
      <c r="I156" s="5">
        <v>1885</v>
      </c>
      <c r="J156" s="4" t="s">
        <v>123</v>
      </c>
    </row>
    <row r="157" spans="1:10" x14ac:dyDescent="0.25">
      <c r="A157" s="4">
        <f t="shared" ca="1" si="4"/>
        <v>154</v>
      </c>
      <c r="B157" s="4" t="s">
        <v>423</v>
      </c>
      <c r="C157" s="4" t="s">
        <v>83</v>
      </c>
      <c r="D157" s="4" t="s">
        <v>122</v>
      </c>
      <c r="E157" s="4" t="s">
        <v>66</v>
      </c>
      <c r="F157" s="4">
        <v>1038.847</v>
      </c>
      <c r="G157" s="5">
        <v>110.4525</v>
      </c>
      <c r="H157" s="5">
        <v>15.54</v>
      </c>
      <c r="I157" s="5">
        <v>1321</v>
      </c>
      <c r="J157" s="4" t="s">
        <v>123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122</v>
      </c>
      <c r="E158" s="4" t="s">
        <v>66</v>
      </c>
      <c r="F158" s="4">
        <v>949.62300000000005</v>
      </c>
      <c r="G158" s="5">
        <v>106.64290000000001</v>
      </c>
      <c r="H158" s="5">
        <v>15.59</v>
      </c>
      <c r="I158" s="5">
        <v>2993</v>
      </c>
      <c r="J158" s="4" t="s">
        <v>123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122</v>
      </c>
      <c r="E159" s="4" t="s">
        <v>66</v>
      </c>
      <c r="F159" s="4">
        <v>955.29499999999996</v>
      </c>
      <c r="G159" s="5">
        <v>107.29060000000001</v>
      </c>
      <c r="H159" s="5">
        <v>15.74</v>
      </c>
      <c r="I159" s="5">
        <v>2263</v>
      </c>
      <c r="J159" s="4" t="s">
        <v>123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122</v>
      </c>
      <c r="E160" s="4" t="s">
        <v>66</v>
      </c>
      <c r="F160" s="4">
        <v>924.74200000000008</v>
      </c>
      <c r="G160" s="5">
        <v>100.85590000000001</v>
      </c>
      <c r="H160" s="5">
        <v>15.45</v>
      </c>
      <c r="I160" s="5">
        <v>4531</v>
      </c>
      <c r="J160" s="4" t="s">
        <v>123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122</v>
      </c>
      <c r="E161" s="4" t="s">
        <v>66</v>
      </c>
      <c r="F161" s="4">
        <v>1000</v>
      </c>
      <c r="G161" s="5">
        <v>111.0501</v>
      </c>
      <c r="H161" s="5">
        <v>14.9</v>
      </c>
      <c r="I161" s="5">
        <v>1922</v>
      </c>
      <c r="J161" s="4" t="s">
        <v>123</v>
      </c>
    </row>
    <row r="162" spans="1:10" x14ac:dyDescent="0.25">
      <c r="A162" s="4">
        <f t="shared" ca="1" si="4"/>
        <v>159</v>
      </c>
      <c r="B162" s="4" t="s">
        <v>432</v>
      </c>
      <c r="C162" s="4" t="s">
        <v>100</v>
      </c>
      <c r="D162" s="4" t="s">
        <v>122</v>
      </c>
      <c r="E162" s="4" t="s">
        <v>66</v>
      </c>
      <c r="F162" s="4">
        <v>883.18400000000008</v>
      </c>
      <c r="G162" s="5">
        <v>97.951700000000002</v>
      </c>
      <c r="H162" s="5">
        <v>15.98</v>
      </c>
      <c r="I162" s="5">
        <v>1533</v>
      </c>
      <c r="J162" s="4" t="s">
        <v>123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122</v>
      </c>
      <c r="E163" s="4" t="s">
        <v>66</v>
      </c>
      <c r="F163" s="4">
        <v>94.135300000000001</v>
      </c>
      <c r="G163" s="5">
        <v>94.135300000000001</v>
      </c>
      <c r="H163" s="5">
        <v>16.240000000000002</v>
      </c>
      <c r="I163" s="5">
        <v>141</v>
      </c>
      <c r="J163" s="4" t="s">
        <v>123</v>
      </c>
    </row>
    <row r="164" spans="1:10" x14ac:dyDescent="0.25">
      <c r="A164" s="4">
        <f t="shared" ref="A164:A193" ca="1" si="5">IF(OFFSET(A164,-1,0)="№ п/п",1,OFFSET(A164,-1,0)+1)</f>
        <v>161</v>
      </c>
      <c r="B164" s="4" t="s">
        <v>435</v>
      </c>
      <c r="C164" s="4" t="s">
        <v>71</v>
      </c>
      <c r="D164" s="4" t="s">
        <v>122</v>
      </c>
      <c r="E164" s="4" t="s">
        <v>66</v>
      </c>
      <c r="F164" s="4">
        <v>98.202400000000011</v>
      </c>
      <c r="G164" s="5">
        <v>98.202400000000011</v>
      </c>
      <c r="H164" s="5">
        <v>15.91</v>
      </c>
      <c r="I164" s="5">
        <v>43</v>
      </c>
      <c r="J164" s="4" t="s">
        <v>123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122</v>
      </c>
      <c r="E165" s="4" t="s">
        <v>66</v>
      </c>
      <c r="F165" s="4">
        <v>925.18200000000002</v>
      </c>
      <c r="G165" s="5">
        <v>104.69040000000001</v>
      </c>
      <c r="H165" s="5">
        <v>15.56</v>
      </c>
      <c r="I165" s="5">
        <v>3337</v>
      </c>
      <c r="J165" s="4" t="s">
        <v>123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122</v>
      </c>
      <c r="E166" s="4" t="s">
        <v>66</v>
      </c>
      <c r="F166" s="4">
        <v>0.99068599999999996</v>
      </c>
      <c r="G166" s="5">
        <v>100.07690000000001</v>
      </c>
      <c r="H166" s="5">
        <v>4.84</v>
      </c>
      <c r="I166" s="5">
        <v>3392</v>
      </c>
      <c r="J166" s="4" t="s">
        <v>123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122</v>
      </c>
      <c r="E167" s="4" t="s">
        <v>66</v>
      </c>
      <c r="F167" s="4">
        <v>1052.384</v>
      </c>
      <c r="G167" s="5">
        <v>108.86380000000001</v>
      </c>
      <c r="H167" s="5">
        <v>15.34</v>
      </c>
      <c r="I167" s="5">
        <v>1749</v>
      </c>
      <c r="J167" s="4" t="s">
        <v>123</v>
      </c>
    </row>
    <row r="168" spans="1:10" x14ac:dyDescent="0.25">
      <c r="A168" s="4">
        <f t="shared" ca="1" si="5"/>
        <v>165</v>
      </c>
      <c r="B168" s="4" t="s">
        <v>442</v>
      </c>
      <c r="C168" s="4" t="s">
        <v>443</v>
      </c>
      <c r="D168" s="4" t="s">
        <v>117</v>
      </c>
      <c r="E168" s="4" t="s">
        <v>444</v>
      </c>
      <c r="F168" s="4">
        <v>372.85</v>
      </c>
      <c r="G168" s="5"/>
      <c r="H168" s="5"/>
      <c r="I168" s="5"/>
      <c r="J168" s="4" t="s">
        <v>119</v>
      </c>
    </row>
    <row r="169" spans="1:10" x14ac:dyDescent="0.25">
      <c r="A169" s="4">
        <f t="shared" ca="1" si="5"/>
        <v>166</v>
      </c>
      <c r="B169" s="4" t="s">
        <v>445</v>
      </c>
      <c r="C169" s="4" t="s">
        <v>446</v>
      </c>
      <c r="D169" s="4" t="s">
        <v>117</v>
      </c>
      <c r="E169" s="4" t="s">
        <v>444</v>
      </c>
      <c r="F169" s="4">
        <v>29.59</v>
      </c>
      <c r="G169" s="5"/>
      <c r="H169" s="5"/>
      <c r="I169" s="5"/>
      <c r="J169" s="4" t="s">
        <v>224</v>
      </c>
    </row>
    <row r="170" spans="1:10" x14ac:dyDescent="0.25">
      <c r="A170" s="4">
        <f t="shared" ca="1" si="5"/>
        <v>167</v>
      </c>
      <c r="B170" s="4" t="s">
        <v>447</v>
      </c>
      <c r="C170" s="4" t="s">
        <v>448</v>
      </c>
      <c r="D170" s="4" t="s">
        <v>122</v>
      </c>
      <c r="E170" s="4" t="s">
        <v>444</v>
      </c>
      <c r="F170" s="4">
        <v>1000.2030000000001</v>
      </c>
      <c r="G170" s="5">
        <v>101.1867</v>
      </c>
      <c r="H170" s="5">
        <v>18.47</v>
      </c>
      <c r="I170" s="5">
        <v>708</v>
      </c>
      <c r="J170" s="4" t="s">
        <v>123</v>
      </c>
    </row>
    <row r="171" spans="1:10" x14ac:dyDescent="0.25">
      <c r="A171" s="4">
        <f t="shared" ca="1" si="5"/>
        <v>168</v>
      </c>
      <c r="B171" s="4" t="s">
        <v>449</v>
      </c>
      <c r="C171" s="4" t="s">
        <v>450</v>
      </c>
      <c r="D171" s="4" t="s">
        <v>117</v>
      </c>
      <c r="E171" s="4" t="s">
        <v>451</v>
      </c>
      <c r="F171" s="4">
        <v>963.27</v>
      </c>
      <c r="G171" s="5"/>
      <c r="H171" s="5"/>
      <c r="I171" s="5"/>
      <c r="J171" s="4" t="s">
        <v>119</v>
      </c>
    </row>
    <row r="172" spans="1:10" x14ac:dyDescent="0.25">
      <c r="A172" s="4">
        <f t="shared" ca="1" si="5"/>
        <v>169</v>
      </c>
      <c r="B172" s="4" t="s">
        <v>452</v>
      </c>
      <c r="C172" s="4" t="s">
        <v>453</v>
      </c>
      <c r="D172" s="4" t="s">
        <v>122</v>
      </c>
      <c r="E172" s="4" t="s">
        <v>454</v>
      </c>
      <c r="F172" s="4">
        <v>809.52100000000007</v>
      </c>
      <c r="G172" s="5">
        <v>81.1965</v>
      </c>
      <c r="H172" s="5">
        <v>17.28</v>
      </c>
      <c r="I172" s="5">
        <v>1636</v>
      </c>
      <c r="J172" s="4" t="s">
        <v>123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122</v>
      </c>
      <c r="E173" s="4" t="s">
        <v>454</v>
      </c>
      <c r="F173" s="4">
        <v>0.87351799999999991</v>
      </c>
      <c r="G173" s="5">
        <v>87.761499999999998</v>
      </c>
      <c r="H173" s="5">
        <v>5.72</v>
      </c>
      <c r="I173" s="5">
        <v>1958</v>
      </c>
      <c r="J173" s="4" t="s">
        <v>123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122</v>
      </c>
      <c r="E174" s="4" t="s">
        <v>454</v>
      </c>
      <c r="F174" s="4">
        <v>1001.701</v>
      </c>
      <c r="G174" s="5">
        <v>101.08880000000001</v>
      </c>
      <c r="H174" s="5">
        <v>5.2</v>
      </c>
      <c r="I174" s="5">
        <v>1398</v>
      </c>
      <c r="J174" s="4" t="s">
        <v>123</v>
      </c>
    </row>
    <row r="175" spans="1:10" x14ac:dyDescent="0.25">
      <c r="A175" s="4">
        <f t="shared" ca="1" si="5"/>
        <v>172</v>
      </c>
      <c r="B175" s="4" t="s">
        <v>459</v>
      </c>
      <c r="C175" s="4" t="s">
        <v>460</v>
      </c>
      <c r="D175" s="4" t="s">
        <v>122</v>
      </c>
      <c r="E175" s="4" t="s">
        <v>454</v>
      </c>
      <c r="F175" s="4">
        <v>0.99080399999999991</v>
      </c>
      <c r="G175" s="5">
        <v>99.974800000000002</v>
      </c>
      <c r="H175" s="5">
        <v>4.8100000000000005</v>
      </c>
      <c r="I175" s="5">
        <v>1863</v>
      </c>
      <c r="J175" s="4" t="s">
        <v>123</v>
      </c>
    </row>
    <row r="176" spans="1:10" x14ac:dyDescent="0.25">
      <c r="A176" s="4">
        <f t="shared" ca="1" si="5"/>
        <v>173</v>
      </c>
      <c r="B176" s="4" t="s">
        <v>461</v>
      </c>
      <c r="C176" s="4" t="s">
        <v>462</v>
      </c>
      <c r="D176" s="4" t="s">
        <v>122</v>
      </c>
      <c r="E176" s="4" t="s">
        <v>454</v>
      </c>
      <c r="F176" s="4">
        <v>1.034348</v>
      </c>
      <c r="G176" s="5">
        <v>104.6692</v>
      </c>
      <c r="H176" s="5">
        <v>4.7300000000000004</v>
      </c>
      <c r="I176" s="5">
        <v>1564</v>
      </c>
      <c r="J176" s="4" t="s">
        <v>123</v>
      </c>
    </row>
    <row r="177" spans="1:10" x14ac:dyDescent="0.25">
      <c r="A177" s="4">
        <f t="shared" ca="1" si="5"/>
        <v>174</v>
      </c>
      <c r="B177" s="4" t="s">
        <v>463</v>
      </c>
      <c r="C177" s="4" t="s">
        <v>464</v>
      </c>
      <c r="D177" s="4" t="s">
        <v>122</v>
      </c>
      <c r="E177" s="4" t="s">
        <v>465</v>
      </c>
      <c r="F177" s="4">
        <v>1018.687</v>
      </c>
      <c r="G177" s="5">
        <v>110.34140000000001</v>
      </c>
      <c r="H177" s="5">
        <v>18.3</v>
      </c>
      <c r="I177" s="5">
        <v>756</v>
      </c>
      <c r="J177" s="4" t="s">
        <v>123</v>
      </c>
    </row>
    <row r="178" spans="1:10" x14ac:dyDescent="0.25">
      <c r="A178" s="4">
        <f t="shared" ca="1" si="5"/>
        <v>175</v>
      </c>
      <c r="B178" s="4" t="s">
        <v>466</v>
      </c>
      <c r="C178" s="4" t="s">
        <v>467</v>
      </c>
      <c r="D178" s="4" t="s">
        <v>122</v>
      </c>
      <c r="E178" s="4" t="s">
        <v>465</v>
      </c>
      <c r="F178" s="4">
        <v>1033.451</v>
      </c>
      <c r="G178" s="5">
        <v>111.905</v>
      </c>
      <c r="H178" s="5">
        <v>18.43</v>
      </c>
      <c r="I178" s="5">
        <v>1487</v>
      </c>
      <c r="J178" s="4" t="s">
        <v>123</v>
      </c>
    </row>
    <row r="179" spans="1:10" x14ac:dyDescent="0.25">
      <c r="A179" s="4">
        <f t="shared" ca="1" si="5"/>
        <v>176</v>
      </c>
      <c r="B179" s="4" t="s">
        <v>468</v>
      </c>
      <c r="C179" s="4" t="s">
        <v>469</v>
      </c>
      <c r="D179" s="4" t="s">
        <v>122</v>
      </c>
      <c r="E179" s="4" t="s">
        <v>465</v>
      </c>
      <c r="F179" s="4">
        <v>1038.9770000000001</v>
      </c>
      <c r="G179" s="5">
        <v>105.5759</v>
      </c>
      <c r="H179" s="5">
        <v>18.309999999999999</v>
      </c>
      <c r="I179" s="5">
        <v>1431</v>
      </c>
      <c r="J179" s="4" t="s">
        <v>123</v>
      </c>
    </row>
    <row r="180" spans="1:10" x14ac:dyDescent="0.25">
      <c r="A180" s="4">
        <f t="shared" ca="1" si="5"/>
        <v>177</v>
      </c>
      <c r="B180" s="4" t="s">
        <v>470</v>
      </c>
      <c r="C180" s="4" t="s">
        <v>471</v>
      </c>
      <c r="D180" s="4" t="s">
        <v>117</v>
      </c>
      <c r="E180" s="4" t="s">
        <v>472</v>
      </c>
      <c r="F180" s="4">
        <v>27511.599999999999</v>
      </c>
      <c r="G180" s="5"/>
      <c r="H180" s="5"/>
      <c r="I180" s="5"/>
      <c r="J180" s="4" t="s">
        <v>119</v>
      </c>
    </row>
    <row r="181" spans="1:10" x14ac:dyDescent="0.25">
      <c r="A181" s="4">
        <f t="shared" ca="1" si="5"/>
        <v>178</v>
      </c>
      <c r="B181" s="4" t="s">
        <v>473</v>
      </c>
      <c r="C181" s="4" t="s">
        <v>474</v>
      </c>
      <c r="D181" s="4" t="s">
        <v>117</v>
      </c>
      <c r="E181" s="4" t="s">
        <v>475</v>
      </c>
      <c r="F181" s="4">
        <v>40628.5</v>
      </c>
      <c r="G181" s="5"/>
      <c r="H181" s="5"/>
      <c r="I181" s="5"/>
      <c r="J181" s="4" t="s">
        <v>119</v>
      </c>
    </row>
    <row r="182" spans="1:10" x14ac:dyDescent="0.25">
      <c r="A182" s="4">
        <f t="shared" ca="1" si="5"/>
        <v>179</v>
      </c>
      <c r="B182" s="4" t="s">
        <v>476</v>
      </c>
      <c r="C182" s="4" t="s">
        <v>477</v>
      </c>
      <c r="D182" s="4" t="s">
        <v>117</v>
      </c>
      <c r="E182" s="4" t="s">
        <v>475</v>
      </c>
      <c r="F182" s="4">
        <v>79.55</v>
      </c>
      <c r="G182" s="5"/>
      <c r="H182" s="5"/>
      <c r="I182" s="5"/>
      <c r="J182" s="4" t="s">
        <v>224</v>
      </c>
    </row>
    <row r="183" spans="1:10" x14ac:dyDescent="0.25">
      <c r="A183" s="4">
        <f t="shared" ca="1" si="5"/>
        <v>180</v>
      </c>
      <c r="B183" s="4" t="s">
        <v>478</v>
      </c>
      <c r="C183" s="4" t="s">
        <v>479</v>
      </c>
      <c r="D183" s="4" t="s">
        <v>122</v>
      </c>
      <c r="E183" s="4" t="s">
        <v>480</v>
      </c>
      <c r="F183" s="4">
        <v>1015.0590000000001</v>
      </c>
      <c r="G183" s="5">
        <v>105.67530000000001</v>
      </c>
      <c r="H183" s="5">
        <v>18.48</v>
      </c>
      <c r="I183" s="5">
        <v>1747</v>
      </c>
      <c r="J183" s="4" t="s">
        <v>123</v>
      </c>
    </row>
    <row r="184" spans="1:10" x14ac:dyDescent="0.25">
      <c r="A184" s="4">
        <f t="shared" ca="1" si="5"/>
        <v>181</v>
      </c>
      <c r="B184" s="4" t="s">
        <v>481</v>
      </c>
      <c r="C184" s="4" t="s">
        <v>482</v>
      </c>
      <c r="D184" s="4" t="s">
        <v>122</v>
      </c>
      <c r="E184" s="4" t="s">
        <v>480</v>
      </c>
      <c r="F184" s="4">
        <v>1015.0590000000001</v>
      </c>
      <c r="G184" s="5">
        <v>105.67530000000001</v>
      </c>
      <c r="H184" s="5">
        <v>18.48</v>
      </c>
      <c r="I184" s="5">
        <v>1747</v>
      </c>
      <c r="J184" s="4" t="s">
        <v>123</v>
      </c>
    </row>
    <row r="185" spans="1:10" x14ac:dyDescent="0.25">
      <c r="A185" s="4">
        <f t="shared" ca="1" si="5"/>
        <v>182</v>
      </c>
      <c r="B185" s="4" t="s">
        <v>483</v>
      </c>
      <c r="C185" s="4" t="s">
        <v>484</v>
      </c>
      <c r="D185" s="4" t="s">
        <v>122</v>
      </c>
      <c r="E185" s="4" t="s">
        <v>485</v>
      </c>
      <c r="F185" s="4">
        <v>295</v>
      </c>
      <c r="G185" s="5">
        <v>29.5928</v>
      </c>
      <c r="H185" s="5">
        <v>16.54</v>
      </c>
      <c r="I185" s="5">
        <v>2950</v>
      </c>
      <c r="J185" s="4" t="s">
        <v>123</v>
      </c>
    </row>
    <row r="186" spans="1:10" x14ac:dyDescent="0.25">
      <c r="A186" s="4">
        <f t="shared" ca="1" si="5"/>
        <v>183</v>
      </c>
      <c r="B186" s="4" t="s">
        <v>486</v>
      </c>
      <c r="C186" s="4" t="s">
        <v>487</v>
      </c>
      <c r="D186" s="4" t="s">
        <v>122</v>
      </c>
      <c r="E186" s="4" t="s">
        <v>488</v>
      </c>
      <c r="F186" s="4">
        <v>99.991</v>
      </c>
      <c r="G186" s="5">
        <v>100.4188</v>
      </c>
      <c r="H186" s="5">
        <v>11</v>
      </c>
      <c r="I186" s="5">
        <v>352</v>
      </c>
      <c r="J186" s="4" t="s">
        <v>123</v>
      </c>
    </row>
    <row r="187" spans="1:10" x14ac:dyDescent="0.25">
      <c r="A187" s="4">
        <f t="shared" ca="1" si="5"/>
        <v>184</v>
      </c>
      <c r="B187" s="4" t="s">
        <v>489</v>
      </c>
      <c r="C187" s="4" t="s">
        <v>490</v>
      </c>
      <c r="D187" s="4" t="s">
        <v>117</v>
      </c>
      <c r="E187" s="4" t="s">
        <v>491</v>
      </c>
      <c r="F187" s="4">
        <v>875.32</v>
      </c>
      <c r="G187" s="5"/>
      <c r="H187" s="5"/>
      <c r="I187" s="5"/>
      <c r="J187" s="4" t="s">
        <v>119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122</v>
      </c>
      <c r="E188" s="4" t="s">
        <v>108</v>
      </c>
      <c r="F188" s="4">
        <v>0.99926499999999996</v>
      </c>
      <c r="G188" s="5">
        <v>101.45180000000001</v>
      </c>
      <c r="H188" s="5">
        <v>6</v>
      </c>
      <c r="I188" s="5">
        <v>85</v>
      </c>
      <c r="J188" s="4" t="s">
        <v>123</v>
      </c>
    </row>
    <row r="189" spans="1:10" x14ac:dyDescent="0.25">
      <c r="A189" s="4">
        <f t="shared" ca="1" si="5"/>
        <v>186</v>
      </c>
      <c r="B189" s="4" t="s">
        <v>494</v>
      </c>
      <c r="C189" s="4" t="s">
        <v>495</v>
      </c>
      <c r="D189" s="4" t="s">
        <v>122</v>
      </c>
      <c r="E189" s="4" t="s">
        <v>108</v>
      </c>
      <c r="F189" s="4">
        <v>1000</v>
      </c>
      <c r="G189" s="5">
        <v>104.6849</v>
      </c>
      <c r="H189" s="5">
        <v>18.940000000000001</v>
      </c>
      <c r="I189" s="5">
        <v>823</v>
      </c>
      <c r="J189" s="4" t="s">
        <v>123</v>
      </c>
    </row>
    <row r="190" spans="1:10" x14ac:dyDescent="0.25">
      <c r="A190" s="4">
        <f t="shared" ca="1" si="5"/>
        <v>187</v>
      </c>
      <c r="B190" s="4" t="s">
        <v>496</v>
      </c>
      <c r="C190" s="4" t="s">
        <v>109</v>
      </c>
      <c r="D190" s="4" t="s">
        <v>122</v>
      </c>
      <c r="E190" s="4" t="s">
        <v>108</v>
      </c>
      <c r="F190" s="4">
        <v>952.40285537145905</v>
      </c>
      <c r="G190" s="5">
        <v>99.728885539999993</v>
      </c>
      <c r="H190" s="5">
        <v>17.62</v>
      </c>
      <c r="I190" s="5">
        <v>617</v>
      </c>
      <c r="J190" s="4" t="s">
        <v>123</v>
      </c>
    </row>
    <row r="191" spans="1:10" x14ac:dyDescent="0.25">
      <c r="A191" s="4">
        <f t="shared" ca="1" si="5"/>
        <v>188</v>
      </c>
      <c r="B191" s="4" t="s">
        <v>497</v>
      </c>
      <c r="C191" s="4" t="s">
        <v>498</v>
      </c>
      <c r="D191" s="4" t="s">
        <v>122</v>
      </c>
      <c r="E191" s="4" t="s">
        <v>108</v>
      </c>
      <c r="F191" s="4">
        <v>1000</v>
      </c>
      <c r="G191" s="5">
        <v>106.40270000000001</v>
      </c>
      <c r="H191" s="5">
        <v>18.95</v>
      </c>
      <c r="I191" s="5">
        <v>792</v>
      </c>
      <c r="J191" s="4" t="s">
        <v>123</v>
      </c>
    </row>
    <row r="192" spans="1:10" x14ac:dyDescent="0.25">
      <c r="A192" s="4">
        <f t="shared" ca="1" si="5"/>
        <v>189</v>
      </c>
      <c r="B192" s="4" t="s">
        <v>499</v>
      </c>
      <c r="C192" s="4" t="s">
        <v>500</v>
      </c>
      <c r="D192" s="4" t="s">
        <v>122</v>
      </c>
      <c r="E192" s="4" t="s">
        <v>501</v>
      </c>
      <c r="F192" s="4">
        <v>1.0168729999999999</v>
      </c>
      <c r="G192" s="5">
        <v>102.414</v>
      </c>
      <c r="H192" s="5">
        <v>4.6900000000000004</v>
      </c>
      <c r="I192" s="5">
        <v>865</v>
      </c>
      <c r="J192" s="4" t="s">
        <v>123</v>
      </c>
    </row>
    <row r="193" spans="1:10" x14ac:dyDescent="0.25">
      <c r="A193" s="4">
        <f t="shared" ca="1" si="5"/>
        <v>190</v>
      </c>
      <c r="B193" s="4" t="s">
        <v>502</v>
      </c>
      <c r="C193" s="4" t="s">
        <v>503</v>
      </c>
      <c r="D193" s="4" t="s">
        <v>122</v>
      </c>
      <c r="E193" s="4" t="s">
        <v>501</v>
      </c>
      <c r="F193" s="4">
        <v>1.0107919999999999</v>
      </c>
      <c r="G193" s="5">
        <v>102.17710000000001</v>
      </c>
      <c r="H193" s="5">
        <v>4.4000000000000004</v>
      </c>
      <c r="I193" s="5">
        <v>1741</v>
      </c>
      <c r="J193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2025-12-29T04:15:27Z</dcterms:created>
  <dcterms:modified xsi:type="dcterms:W3CDTF">2025-12-29T06:48:34Z</dcterms:modified>
</cp:coreProperties>
</file>