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A180326F-35C9-4CF8-85DC-42EE8123E8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3" i="1" l="1"/>
  <c r="M19" i="1"/>
  <c r="M15" i="1"/>
  <c r="M11" i="1"/>
  <c r="M22" i="1"/>
  <c r="M18" i="1"/>
  <c r="M14" i="1"/>
  <c r="M13" i="1"/>
  <c r="M20" i="1"/>
  <c r="M12" i="1"/>
  <c r="M10" i="1"/>
  <c r="M21" i="1"/>
  <c r="M17" i="1"/>
  <c r="M9" i="1"/>
  <c r="M24" i="1"/>
  <c r="M16" i="1"/>
  <c r="M8" i="1"/>
  <c r="M26" i="1" l="1"/>
</calcChain>
</file>

<file path=xl/sharedStrings.xml><?xml version="1.0" encoding="utf-8"?>
<sst xmlns="http://schemas.openxmlformats.org/spreadsheetml/2006/main" count="1140" uniqueCount="509">
  <si>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</si>
  <si>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</si>
  <si>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</si>
  <si>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</si>
  <si>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</si>
  <si>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</si>
  <si>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</si>
  <si>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</si>
  <si>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</si>
  <si>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</si>
  <si>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</si>
  <si>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</si>
  <si>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</si>
  <si>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</si>
  <si>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</si>
  <si>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</si>
  <si>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</si>
  <si>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</si>
  <si>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</si>
  <si>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</si>
  <si>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</si>
  <si>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</si>
  <si>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</si>
  <si>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</si>
  <si>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</si>
  <si>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</si>
  <si>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</si>
  <si>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</si>
  <si>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</si>
  <si>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</si>
  <si>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</si>
  <si>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</si>
  <si>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</si>
  <si>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</si>
  <si>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</si>
  <si>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</si>
  <si>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</si>
  <si>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</si>
  <si>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</si>
  <si>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</si>
  <si>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</si>
  <si>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</si>
  <si>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</si>
  <si>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</si>
  <si>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</si>
  <si>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</si>
  <si>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</si>
  <si>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</si>
  <si>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</si>
  <si>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</si>
  <si>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</si>
  <si>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</si>
  <si>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</si>
  <si>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</si>
  <si>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</si>
  <si>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</si>
  <si>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</si>
  <si>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</si>
  <si>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</si>
  <si>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</si>
  <si>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</si>
  <si>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</si>
  <si>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</si>
  <si>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</si>
  <si>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</si>
  <si>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</si>
  <si>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АО "Казахстанский фонд устойчивости"</t>
  </si>
  <si>
    <t>KZ2C00008928</t>
  </si>
  <si>
    <t>KZT</t>
  </si>
  <si>
    <t>10.12.2025</t>
  </si>
  <si>
    <t>11.12.2025</t>
  </si>
  <si>
    <t>МИНИСТЕРСТВО ФИНАНСОВ РК</t>
  </si>
  <si>
    <t>KZKD00000477</t>
  </si>
  <si>
    <t>KZ2C00011989</t>
  </si>
  <si>
    <t>12.12.2025</t>
  </si>
  <si>
    <t>KZK100000373</t>
  </si>
  <si>
    <t>KZ96601A861038102391</t>
  </si>
  <si>
    <t>KZKD00000444</t>
  </si>
  <si>
    <t>21.08.2025</t>
  </si>
  <si>
    <t>18.08.2026</t>
  </si>
  <si>
    <t>KZKD00001160</t>
  </si>
  <si>
    <t>18.07.2024</t>
  </si>
  <si>
    <t>28.07.2029</t>
  </si>
  <si>
    <t>KZK200000760</t>
  </si>
  <si>
    <t>14.08.2025</t>
  </si>
  <si>
    <t>07.08.2029</t>
  </si>
  <si>
    <t>KZKD00001137</t>
  </si>
  <si>
    <t>12.04.2028</t>
  </si>
  <si>
    <t>KZKD00000741</t>
  </si>
  <si>
    <t>12.05.2034</t>
  </si>
  <si>
    <t>KZKD00000790</t>
  </si>
  <si>
    <t>10.07.2025</t>
  </si>
  <si>
    <t>13.08.2029</t>
  </si>
  <si>
    <t>13.03.2025</t>
  </si>
  <si>
    <t>06.02.2026</t>
  </si>
  <si>
    <t>KZKD00000535</t>
  </si>
  <si>
    <t>27.03.2027</t>
  </si>
  <si>
    <t>KZKD00000832</t>
  </si>
  <si>
    <t>29.01.2035</t>
  </si>
  <si>
    <t>24.07.2025</t>
  </si>
  <si>
    <t>19.10.2027</t>
  </si>
  <si>
    <t>KZK200000687</t>
  </si>
  <si>
    <t>21.01.2026</t>
  </si>
  <si>
    <t>KZKD00001087</t>
  </si>
  <si>
    <t>31.03.2029</t>
  </si>
  <si>
    <t>KZKD00000949</t>
  </si>
  <si>
    <t>16.04.2032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</si>
  <si>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</si>
  <si>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</si>
  <si>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</si>
  <si>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</si>
  <si>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</si>
  <si>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</si>
  <si>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KZKD00001251</t>
  </si>
  <si>
    <t>07.03.2030</t>
  </si>
  <si>
    <t>KZKD00001129</t>
  </si>
  <si>
    <t>17.03.2031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</si>
  <si>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</si>
  <si>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</si>
  <si>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</si>
  <si>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</si>
  <si>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</si>
  <si>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</si>
  <si>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</si>
  <si>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</si>
  <si>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</si>
  <si>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</si>
  <si>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</si>
  <si>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</si>
  <si>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</si>
  <si>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</si>
  <si>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</si>
  <si>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</si>
  <si>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</si>
  <si>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</si>
  <si>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</si>
  <si>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</si>
  <si>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</si>
  <si>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</si>
  <si>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</si>
  <si>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</si>
  <si>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</si>
  <si>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</si>
  <si>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</si>
  <si>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FHJIag</t>
  </si>
  <si>
    <t>KZPF00000132</t>
  </si>
  <si>
    <t>Доллар Сша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</si>
  <si>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</si>
  <si>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</si>
  <si>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</si>
  <si>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</si>
  <si>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</si>
  <si>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</si>
  <si>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</si>
  <si>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</si>
  <si>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</si>
  <si>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</si>
  <si>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</si>
  <si>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</si>
  <si>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</si>
  <si>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</si>
  <si>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</si>
  <si>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</si>
  <si>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</si>
  <si>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</si>
  <si>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</si>
  <si>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</si>
  <si>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</si>
  <si>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</si>
  <si>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</si>
  <si>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</si>
  <si>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</si>
  <si>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</si>
  <si>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</si>
  <si>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</si>
  <si>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</si>
  <si>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</si>
  <si>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</si>
  <si>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</si>
  <si>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JSBNb4</t>
  </si>
  <si>
    <t>KZ2C00011757</t>
  </si>
  <si>
    <t>MFMOb32</t>
  </si>
  <si>
    <t>KZ2P00014590</t>
  </si>
  <si>
    <t>CLSGb4</t>
  </si>
  <si>
    <t>KZ2P00011604</t>
  </si>
  <si>
    <t>BIGDb1</t>
  </si>
  <si>
    <t>KZ2D00012457</t>
  </si>
  <si>
    <t>MFMOb23</t>
  </si>
  <si>
    <t>KZ2P00013154</t>
  </si>
  <si>
    <t>JSBNb6</t>
  </si>
  <si>
    <t>KZ2C00013670</t>
  </si>
  <si>
    <t>MFTSb3</t>
  </si>
  <si>
    <t>KZ2P00014400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</si>
  <si>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</si>
  <si>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</si>
  <si>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</si>
  <si>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</si>
  <si>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</si>
  <si>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</si>
  <si>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</si>
  <si>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</si>
  <si>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</si>
  <si>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</si>
  <si>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</si>
  <si>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</si>
  <si>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</si>
  <si>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</si>
  <si>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</si>
  <si>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</si>
  <si>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</si>
  <si>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</si>
  <si>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</si>
  <si>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</si>
  <si>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</si>
  <si>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</si>
  <si>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</si>
  <si>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</si>
  <si>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</si>
  <si>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</si>
  <si>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</si>
  <si>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</si>
  <si>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</si>
  <si>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</si>
  <si>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</si>
  <si>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</si>
  <si>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FPSTb6</t>
  </si>
  <si>
    <t>KZ2P00013592</t>
  </si>
  <si>
    <t>MFRFb16</t>
  </si>
  <si>
    <t>KZ2P00013063</t>
  </si>
  <si>
    <t>JSBNb5</t>
  </si>
  <si>
    <t>KZ2C00013662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</si>
  <si>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</si>
  <si>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</si>
  <si>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</si>
  <si>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</si>
  <si>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</si>
  <si>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</si>
  <si>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</si>
  <si>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</si>
  <si>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</si>
  <si>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</si>
  <si>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</si>
  <si>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</si>
  <si>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</si>
  <si>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</si>
  <si>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</si>
  <si>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</si>
  <si>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</si>
  <si>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</si>
  <si>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</si>
  <si>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</si>
  <si>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</si>
  <si>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</si>
  <si>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</si>
  <si>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</si>
  <si>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</si>
  <si>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</si>
  <si>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</si>
  <si>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</si>
  <si>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</si>
  <si>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</si>
  <si>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</si>
  <si>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</si>
  <si>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</si>
  <si>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</si>
  <si>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</si>
  <si>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</si>
  <si>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</si>
  <si>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</si>
  <si>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</si>
  <si>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</si>
  <si>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</si>
  <si>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</si>
  <si>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</si>
  <si>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</si>
  <si>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</si>
  <si>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</si>
  <si>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</si>
  <si>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</si>
  <si>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</si>
  <si>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</si>
  <si>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</si>
  <si>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</si>
  <si>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</si>
  <si>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</si>
  <si>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</si>
  <si>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</si>
  <si>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</si>
  <si>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</si>
  <si>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</si>
  <si>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</si>
  <si>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</si>
  <si>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</si>
  <si>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</si>
  <si>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</si>
  <si>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</si>
  <si>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</si>
  <si>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</si>
  <si>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</si>
  <si>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</si>
  <si>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</si>
  <si>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</si>
  <si>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</si>
  <si>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</si>
  <si>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</si>
  <si>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</si>
  <si>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</si>
  <si>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</si>
  <si>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</si>
  <si>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</si>
  <si>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</si>
  <si>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</si>
  <si>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</si>
  <si>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</si>
  <si>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</si>
  <si>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</si>
  <si>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</si>
  <si>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</si>
  <si>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</si>
  <si>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</si>
  <si>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</si>
  <si>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</si>
  <si>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</si>
  <si>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</si>
  <si>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</si>
  <si>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</si>
  <si>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</si>
  <si>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</si>
  <si>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</si>
  <si>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</si>
  <si>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</si>
  <si>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</si>
  <si>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</si>
  <si>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</si>
  <si>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</si>
  <si>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</si>
  <si>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</si>
  <si>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</si>
  <si>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</si>
  <si>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</si>
  <si>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</si>
  <si>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</si>
  <si>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</si>
  <si>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</si>
  <si>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</si>
  <si>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</si>
  <si>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</si>
  <si>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</si>
  <si>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</si>
  <si>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</si>
  <si>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</si>
  <si>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</si>
  <si>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</si>
  <si>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</si>
  <si>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</si>
  <si>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</si>
  <si>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</si>
  <si>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</si>
  <si>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</si>
  <si>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</si>
  <si>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</si>
  <si>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</si>
  <si>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</si>
  <si>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</si>
  <si>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</si>
  <si>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</si>
  <si>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</si>
  <si>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</si>
  <si>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</si>
  <si>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</si>
  <si>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</si>
  <si>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</si>
  <si>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</si>
  <si>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</si>
  <si>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</si>
  <si>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</si>
  <si>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</si>
  <si>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</si>
  <si>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</si>
  <si>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</si>
  <si>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</si>
  <si>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</si>
  <si>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</si>
  <si>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</si>
  <si>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</si>
  <si>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</si>
  <si>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</si>
  <si>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</si>
  <si>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</si>
  <si>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</si>
  <si>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</si>
  <si>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</si>
  <si>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</si>
  <si>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</si>
  <si>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</si>
  <si>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</si>
  <si>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</si>
  <si>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</si>
  <si>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</si>
  <si>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</si>
  <si>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</si>
  <si>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</si>
  <si>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</si>
  <si>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</si>
  <si>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</si>
  <si>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</si>
  <si>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</si>
  <si>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</si>
  <si>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</si>
  <si>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</si>
  <si>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</si>
  <si>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</si>
  <si>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</si>
  <si>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</si>
  <si>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</si>
  <si>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</si>
  <si>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</si>
  <si>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</si>
  <si>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</si>
  <si>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</si>
  <si>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</si>
  <si>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</si>
  <si>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</si>
  <si>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</si>
  <si>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</si>
  <si>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</si>
  <si>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</si>
  <si>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</si>
  <si>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</si>
  <si>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</si>
  <si>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</si>
  <si>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</si>
  <si>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</si>
  <si>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</si>
  <si>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</si>
  <si>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</si>
  <si>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</si>
  <si>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</si>
  <si>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</si>
  <si>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</si>
  <si>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</si>
  <si>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</si>
  <si>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</si>
  <si>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</si>
  <si>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</si>
  <si>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</si>
  <si>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</si>
  <si>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</si>
  <si>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</si>
  <si>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</si>
  <si>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</si>
  <si>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</si>
  <si>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</si>
  <si>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</si>
  <si>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</si>
  <si>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</si>
  <si>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</si>
  <si>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</si>
  <si>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</si>
  <si>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</si>
  <si>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</si>
  <si>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</si>
  <si>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BRKZe21</t>
  </si>
  <si>
    <t>HK0001185674</t>
  </si>
  <si>
    <t>KFUSb48</t>
  </si>
  <si>
    <t>KZ2C00008944</t>
  </si>
  <si>
    <t>KFUSb49</t>
  </si>
  <si>
    <t>KZ2C00008951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</si>
  <si>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</si>
  <si>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</si>
  <si>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</si>
  <si>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</si>
  <si>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</si>
  <si>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</si>
  <si>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</si>
  <si>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</si>
  <si>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</si>
  <si>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</si>
  <si>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</si>
  <si>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</si>
  <si>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</si>
  <si>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</si>
  <si>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</si>
  <si>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</si>
  <si>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</si>
  <si>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</si>
  <si>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</si>
  <si>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</si>
  <si>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</si>
  <si>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</si>
  <si>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</si>
  <si>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</si>
  <si>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</si>
  <si>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</si>
  <si>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</si>
  <si>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</si>
  <si>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</si>
  <si>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</si>
  <si>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BTRKb21</t>
  </si>
  <si>
    <t>KZ2C00013878</t>
  </si>
  <si>
    <t>АО "НУХ Байтерек"</t>
  </si>
  <si>
    <t>BTRKb22</t>
  </si>
  <si>
    <t>KZ2C00013902</t>
  </si>
  <si>
    <t>BTRKb23</t>
  </si>
  <si>
    <t>KZ2C00013928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</si>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</sst>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8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26748754958.421062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77</v>
      </c>
      <c r="C8" s="16">
        <v>1106600</v>
      </c>
      <c r="D8" s="17">
        <v>1106600000</v>
      </c>
      <c r="E8" s="18">
        <v>5.5</v>
      </c>
      <c r="F8" s="19" t="s">
        <v>78</v>
      </c>
      <c r="G8" s="19" t="s">
        <v>79</v>
      </c>
      <c r="H8" s="18">
        <v>999478906.79999995</v>
      </c>
      <c r="I8" s="20">
        <v>92.773400000000009</v>
      </c>
      <c r="J8" s="20">
        <v>94.499800000000008</v>
      </c>
      <c r="K8" s="18">
        <v>19104219.444444399</v>
      </c>
      <c r="L8" s="18">
        <v>1045734663.84444</v>
      </c>
      <c r="M8" s="21">
        <f t="shared" ref="M8:M24" si="0">L8/$Q$1</f>
        <v>3.9094704238382544E-2</v>
      </c>
      <c r="O8" s="10">
        <v>749863.88888888899</v>
      </c>
    </row>
    <row r="9" spans="1:17" x14ac:dyDescent="0.2">
      <c r="A9" s="15" t="s">
        <v>71</v>
      </c>
      <c r="B9" s="15" t="s">
        <v>80</v>
      </c>
      <c r="C9" s="16">
        <v>1897500</v>
      </c>
      <c r="D9" s="17">
        <v>1897500000</v>
      </c>
      <c r="E9" s="18">
        <v>10.55</v>
      </c>
      <c r="F9" s="19" t="s">
        <v>81</v>
      </c>
      <c r="G9" s="19" t="s">
        <v>82</v>
      </c>
      <c r="H9" s="18">
        <v>1708326839.9966669</v>
      </c>
      <c r="I9" s="20">
        <v>84.490800000000007</v>
      </c>
      <c r="J9" s="20">
        <v>88.388400000000004</v>
      </c>
      <c r="K9" s="18">
        <v>73957697.916666657</v>
      </c>
      <c r="L9" s="18">
        <v>1677170627.916666</v>
      </c>
      <c r="M9" s="21">
        <f t="shared" si="0"/>
        <v>6.2700885724352493E-2</v>
      </c>
      <c r="O9" s="10">
        <v>749863.88888888899</v>
      </c>
    </row>
    <row r="10" spans="1:17" x14ac:dyDescent="0.2">
      <c r="A10" s="15" t="s">
        <v>71</v>
      </c>
      <c r="B10" s="15" t="s">
        <v>83</v>
      </c>
      <c r="C10" s="16">
        <v>897100</v>
      </c>
      <c r="D10" s="17">
        <v>897100000</v>
      </c>
      <c r="E10" s="18">
        <v>17.010000000000002</v>
      </c>
      <c r="F10" s="19" t="s">
        <v>84</v>
      </c>
      <c r="G10" s="19" t="s">
        <v>85</v>
      </c>
      <c r="H10" s="18">
        <v>896985171.20000005</v>
      </c>
      <c r="I10" s="20">
        <v>102.89030000000001</v>
      </c>
      <c r="J10" s="20">
        <v>108.74930000000001</v>
      </c>
      <c r="K10" s="18">
        <v>52561089</v>
      </c>
      <c r="L10" s="18">
        <v>975589970.29999995</v>
      </c>
      <c r="M10" s="21">
        <f t="shared" si="0"/>
        <v>3.6472350650207139E-2</v>
      </c>
      <c r="O10" s="10">
        <v>749863.88888888899</v>
      </c>
    </row>
    <row r="11" spans="1:17" x14ac:dyDescent="0.2">
      <c r="A11" s="15" t="s">
        <v>71</v>
      </c>
      <c r="B11" s="15" t="s">
        <v>86</v>
      </c>
      <c r="C11" s="16">
        <v>1897500</v>
      </c>
      <c r="D11" s="17">
        <v>1897500000</v>
      </c>
      <c r="E11" s="18">
        <v>10.4</v>
      </c>
      <c r="F11" s="19" t="s">
        <v>81</v>
      </c>
      <c r="G11" s="19" t="s">
        <v>87</v>
      </c>
      <c r="H11" s="18">
        <v>1736743800</v>
      </c>
      <c r="I11" s="20">
        <v>87.948400000000007</v>
      </c>
      <c r="J11" s="20">
        <v>94.852800000000002</v>
      </c>
      <c r="K11" s="18">
        <v>131011833.333333</v>
      </c>
      <c r="L11" s="18">
        <v>1799832723.333333</v>
      </c>
      <c r="M11" s="21">
        <f t="shared" si="0"/>
        <v>6.7286598054041705E-2</v>
      </c>
      <c r="O11" s="10">
        <v>749863.88888888899</v>
      </c>
    </row>
    <row r="12" spans="1:17" x14ac:dyDescent="0.2">
      <c r="A12" s="15" t="s">
        <v>71</v>
      </c>
      <c r="B12" s="15" t="s">
        <v>88</v>
      </c>
      <c r="C12" s="16">
        <v>1897500</v>
      </c>
      <c r="D12" s="17">
        <v>1897500000</v>
      </c>
      <c r="E12" s="18">
        <v>8.07</v>
      </c>
      <c r="F12" s="19" t="s">
        <v>81</v>
      </c>
      <c r="G12" s="19" t="s">
        <v>89</v>
      </c>
      <c r="H12" s="18">
        <v>1359122325</v>
      </c>
      <c r="I12" s="20">
        <v>65.603999999999999</v>
      </c>
      <c r="J12" s="20">
        <v>70.289100000000005</v>
      </c>
      <c r="K12" s="18">
        <v>88899456.25</v>
      </c>
      <c r="L12" s="18">
        <v>1333735356.25</v>
      </c>
      <c r="M12" s="21">
        <f t="shared" si="0"/>
        <v>4.9861586392457961E-2</v>
      </c>
      <c r="O12" s="10">
        <v>749863.88888888899</v>
      </c>
    </row>
    <row r="13" spans="1:17" x14ac:dyDescent="0.2">
      <c r="A13" s="15" t="s">
        <v>71</v>
      </c>
      <c r="B13" s="15" t="s">
        <v>90</v>
      </c>
      <c r="C13" s="16">
        <v>2469500</v>
      </c>
      <c r="D13" s="17">
        <v>2469500000</v>
      </c>
      <c r="E13" s="18">
        <v>7.68</v>
      </c>
      <c r="F13" s="19" t="s">
        <v>91</v>
      </c>
      <c r="G13" s="19" t="s">
        <v>92</v>
      </c>
      <c r="H13" s="18">
        <v>1827657194</v>
      </c>
      <c r="I13" s="20">
        <v>76.997700000000009</v>
      </c>
      <c r="J13" s="20">
        <v>79.515000000000001</v>
      </c>
      <c r="K13" s="18">
        <v>62165546.666666657</v>
      </c>
      <c r="L13" s="18">
        <v>1963623748.166666</v>
      </c>
      <c r="M13" s="21">
        <f t="shared" si="0"/>
        <v>7.3409912020913584E-2</v>
      </c>
      <c r="O13" s="10">
        <v>749863.88888888899</v>
      </c>
    </row>
    <row r="14" spans="1:17" x14ac:dyDescent="0.2">
      <c r="A14" s="15" t="s">
        <v>71</v>
      </c>
      <c r="B14" s="15" t="s">
        <v>75</v>
      </c>
      <c r="C14" s="16">
        <v>11424000</v>
      </c>
      <c r="D14" s="17">
        <v>1142400000</v>
      </c>
      <c r="E14" s="18">
        <v>0</v>
      </c>
      <c r="F14" s="19" t="s">
        <v>93</v>
      </c>
      <c r="G14" s="19" t="s">
        <v>94</v>
      </c>
      <c r="H14" s="18">
        <v>1003902278.4</v>
      </c>
      <c r="I14" s="20">
        <v>97.549700000000001</v>
      </c>
      <c r="J14" s="20">
        <v>97.549700000000001</v>
      </c>
      <c r="K14" s="18"/>
      <c r="L14" s="18">
        <v>1114407772.8</v>
      </c>
      <c r="M14" s="21">
        <f t="shared" si="0"/>
        <v>4.1662042757962509E-2</v>
      </c>
      <c r="O14" s="10">
        <v>749863.88888888899</v>
      </c>
    </row>
    <row r="15" spans="1:17" x14ac:dyDescent="0.2">
      <c r="A15" s="15" t="s">
        <v>71</v>
      </c>
      <c r="B15" s="15" t="s">
        <v>95</v>
      </c>
      <c r="C15" s="16">
        <v>3162500</v>
      </c>
      <c r="D15" s="17">
        <v>3162500000</v>
      </c>
      <c r="E15" s="18">
        <v>5.49</v>
      </c>
      <c r="F15" s="19" t="s">
        <v>81</v>
      </c>
      <c r="G15" s="19" t="s">
        <v>96</v>
      </c>
      <c r="H15" s="18">
        <v>2627740225</v>
      </c>
      <c r="I15" s="20">
        <v>87.171800000000005</v>
      </c>
      <c r="J15" s="20">
        <v>91.045299999999997</v>
      </c>
      <c r="K15" s="18">
        <v>122499437.5</v>
      </c>
      <c r="L15" s="18">
        <v>2879307612.5</v>
      </c>
      <c r="M15" s="21">
        <f t="shared" si="0"/>
        <v>0.10764267783587192</v>
      </c>
      <c r="O15" s="10">
        <v>749863.88888888899</v>
      </c>
    </row>
    <row r="16" spans="1:17" x14ac:dyDescent="0.2">
      <c r="A16" s="15" t="s">
        <v>71</v>
      </c>
      <c r="B16" s="15" t="s">
        <v>97</v>
      </c>
      <c r="C16" s="16">
        <v>1897500</v>
      </c>
      <c r="D16" s="17">
        <v>1897500000</v>
      </c>
      <c r="E16" s="18">
        <v>8.07</v>
      </c>
      <c r="F16" s="19" t="s">
        <v>81</v>
      </c>
      <c r="G16" s="19" t="s">
        <v>98</v>
      </c>
      <c r="H16" s="18">
        <v>1338524962.5</v>
      </c>
      <c r="I16" s="20">
        <v>64.415599999999998</v>
      </c>
      <c r="J16" s="20">
        <v>71.409599999999998</v>
      </c>
      <c r="K16" s="18">
        <v>132711150</v>
      </c>
      <c r="L16" s="18">
        <v>1354997160</v>
      </c>
      <c r="M16" s="21">
        <f t="shared" si="0"/>
        <v>5.0656457173660671E-2</v>
      </c>
      <c r="O16" s="10">
        <v>749863.88888888899</v>
      </c>
    </row>
    <row r="17" spans="1:15" x14ac:dyDescent="0.2">
      <c r="A17" s="15" t="s">
        <v>71</v>
      </c>
      <c r="B17" s="15" t="s">
        <v>72</v>
      </c>
      <c r="C17" s="16">
        <v>2391500</v>
      </c>
      <c r="D17" s="17">
        <v>2391500000</v>
      </c>
      <c r="E17" s="18">
        <v>5.3</v>
      </c>
      <c r="F17" s="19" t="s">
        <v>99</v>
      </c>
      <c r="G17" s="19" t="s">
        <v>100</v>
      </c>
      <c r="H17" s="18">
        <v>1903079172</v>
      </c>
      <c r="I17" s="20">
        <v>82.367900000000006</v>
      </c>
      <c r="J17" s="20">
        <v>83.133499999999998</v>
      </c>
      <c r="K17" s="18">
        <v>18308261.111111108</v>
      </c>
      <c r="L17" s="18">
        <v>1988136589.6111109</v>
      </c>
      <c r="M17" s="21">
        <f t="shared" si="0"/>
        <v>7.4326322578434786E-2</v>
      </c>
      <c r="O17" s="10">
        <v>749863.88888888899</v>
      </c>
    </row>
    <row r="18" spans="1:15" x14ac:dyDescent="0.2">
      <c r="A18" s="15" t="s">
        <v>71</v>
      </c>
      <c r="B18" s="15" t="s">
        <v>101</v>
      </c>
      <c r="C18" s="16">
        <v>2530000</v>
      </c>
      <c r="D18" s="17">
        <v>2530000000</v>
      </c>
      <c r="E18" s="18">
        <v>10.67</v>
      </c>
      <c r="F18" s="19" t="s">
        <v>81</v>
      </c>
      <c r="G18" s="19" t="s">
        <v>102</v>
      </c>
      <c r="H18" s="18">
        <v>2455119589.9966769</v>
      </c>
      <c r="I18" s="20">
        <v>99.326400000000007</v>
      </c>
      <c r="J18" s="20">
        <v>103.47580000000001</v>
      </c>
      <c r="K18" s="18">
        <v>104980944.444444</v>
      </c>
      <c r="L18" s="18">
        <v>2617938864.4444442</v>
      </c>
      <c r="M18" s="21">
        <f t="shared" si="0"/>
        <v>9.7871428726826137E-2</v>
      </c>
      <c r="O18" s="10">
        <v>749863.88888888899</v>
      </c>
    </row>
    <row r="19" spans="1:15" x14ac:dyDescent="0.2">
      <c r="A19" s="15" t="s">
        <v>71</v>
      </c>
      <c r="B19" s="15" t="s">
        <v>103</v>
      </c>
      <c r="C19" s="16">
        <v>1897500</v>
      </c>
      <c r="D19" s="17">
        <v>1897500000</v>
      </c>
      <c r="E19" s="18">
        <v>11</v>
      </c>
      <c r="F19" s="19" t="s">
        <v>81</v>
      </c>
      <c r="G19" s="19" t="s">
        <v>104</v>
      </c>
      <c r="H19" s="18">
        <v>1743261712.5</v>
      </c>
      <c r="I19" s="20">
        <v>86.381799999999998</v>
      </c>
      <c r="J19" s="20">
        <v>94.051200000000009</v>
      </c>
      <c r="K19" s="18">
        <v>145527708.33333299</v>
      </c>
      <c r="L19" s="18">
        <v>1784622363.333333</v>
      </c>
      <c r="M19" s="21">
        <f t="shared" si="0"/>
        <v>6.6717959998788531E-2</v>
      </c>
      <c r="O19" s="10">
        <v>749863.88888888899</v>
      </c>
    </row>
    <row r="20" spans="1:15" x14ac:dyDescent="0.2">
      <c r="A20" s="15" t="s">
        <v>71</v>
      </c>
      <c r="B20" s="15" t="s">
        <v>105</v>
      </c>
      <c r="C20" s="16">
        <v>1897500</v>
      </c>
      <c r="D20" s="17">
        <v>1897500000</v>
      </c>
      <c r="E20" s="18">
        <v>8.4499999999999993</v>
      </c>
      <c r="F20" s="19" t="s">
        <v>81</v>
      </c>
      <c r="G20" s="19" t="s">
        <v>106</v>
      </c>
      <c r="H20" s="18">
        <v>1457889097.496666</v>
      </c>
      <c r="I20" s="20">
        <v>71.391100000000009</v>
      </c>
      <c r="J20" s="20">
        <v>76.9071</v>
      </c>
      <c r="K20" s="18">
        <v>104665572.916667</v>
      </c>
      <c r="L20" s="18">
        <v>1459311695.416666</v>
      </c>
      <c r="M20" s="21">
        <f t="shared" si="0"/>
        <v>5.4556247484604678E-2</v>
      </c>
      <c r="O20" s="10">
        <v>749863.88888888899</v>
      </c>
    </row>
    <row r="21" spans="1:15" x14ac:dyDescent="0.2">
      <c r="A21" s="15" t="s">
        <v>71</v>
      </c>
      <c r="B21" s="15" t="s">
        <v>107</v>
      </c>
      <c r="C21" s="16">
        <v>1897500</v>
      </c>
      <c r="D21" s="17">
        <v>1897500000</v>
      </c>
      <c r="E21" s="18">
        <v>10.65</v>
      </c>
      <c r="F21" s="19" t="s">
        <v>81</v>
      </c>
      <c r="G21" s="19" t="s">
        <v>108</v>
      </c>
      <c r="H21" s="18">
        <v>1648500562.5</v>
      </c>
      <c r="I21" s="20">
        <v>79.277900000000002</v>
      </c>
      <c r="J21" s="20">
        <v>83.27170000000001</v>
      </c>
      <c r="K21" s="18">
        <v>75781406.25</v>
      </c>
      <c r="L21" s="18">
        <v>1580079558.75</v>
      </c>
      <c r="M21" s="21">
        <f t="shared" si="0"/>
        <v>5.9071144103944852E-2</v>
      </c>
      <c r="O21" s="10">
        <v>749863.88888888899</v>
      </c>
    </row>
    <row r="22" spans="1:15" x14ac:dyDescent="0.2">
      <c r="A22" s="15" t="s">
        <v>109</v>
      </c>
      <c r="B22" s="15" t="s">
        <v>110</v>
      </c>
      <c r="C22" s="16">
        <v>992234</v>
      </c>
      <c r="D22" s="17">
        <v>992234000</v>
      </c>
      <c r="E22" s="18">
        <v>14.3</v>
      </c>
      <c r="F22" s="19" t="s">
        <v>111</v>
      </c>
      <c r="G22" s="19" t="s">
        <v>112</v>
      </c>
      <c r="H22" s="18">
        <v>991722999.49000001</v>
      </c>
      <c r="I22" s="20">
        <v>94.568427029999995</v>
      </c>
      <c r="J22" s="20">
        <v>98.461227030000003</v>
      </c>
      <c r="K22" s="18">
        <v>38625464.655555546</v>
      </c>
      <c r="L22" s="18">
        <v>976965550.92107499</v>
      </c>
      <c r="M22" s="21">
        <f t="shared" si="0"/>
        <v>3.6523776618376996E-2</v>
      </c>
      <c r="O22" s="10">
        <v>749863.88888888899</v>
      </c>
    </row>
    <row r="23" spans="1:15" x14ac:dyDescent="0.2">
      <c r="A23" s="15" t="s">
        <v>71</v>
      </c>
      <c r="B23" s="15" t="s">
        <v>113</v>
      </c>
      <c r="C23" s="16">
        <v>550000</v>
      </c>
      <c r="D23" s="17">
        <v>550000000</v>
      </c>
      <c r="E23" s="18">
        <v>12</v>
      </c>
      <c r="F23" s="19" t="s">
        <v>93</v>
      </c>
      <c r="G23" s="19" t="s">
        <v>114</v>
      </c>
      <c r="H23" s="18">
        <v>491343050</v>
      </c>
      <c r="I23" s="20">
        <v>87.298100000000005</v>
      </c>
      <c r="J23" s="20">
        <v>96.431400000000011</v>
      </c>
      <c r="K23" s="18">
        <v>50233333.333333328</v>
      </c>
      <c r="L23" s="18">
        <v>530372883.33333302</v>
      </c>
      <c r="M23" s="21">
        <f t="shared" si="0"/>
        <v>1.9827946540231796E-2</v>
      </c>
      <c r="O23" s="10">
        <v>749863.88888888899</v>
      </c>
    </row>
    <row r="24" spans="1:15" x14ac:dyDescent="0.2">
      <c r="A24" s="15" t="s">
        <v>71</v>
      </c>
      <c r="B24" s="15" t="s">
        <v>115</v>
      </c>
      <c r="C24" s="16">
        <v>1897500</v>
      </c>
      <c r="D24" s="17">
        <v>1897500000</v>
      </c>
      <c r="E24" s="18">
        <v>10.3</v>
      </c>
      <c r="F24" s="19" t="s">
        <v>81</v>
      </c>
      <c r="G24" s="19" t="s">
        <v>116</v>
      </c>
      <c r="H24" s="18">
        <v>1645329839.996666</v>
      </c>
      <c r="I24" s="20">
        <v>80.295299999999997</v>
      </c>
      <c r="J24" s="20">
        <v>87.848600000000005</v>
      </c>
      <c r="K24" s="18">
        <v>143324500</v>
      </c>
      <c r="L24" s="18">
        <v>1666927817.499999</v>
      </c>
      <c r="M24" s="21">
        <f t="shared" si="0"/>
        <v>6.2317959100941844E-2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1364357621.1555545</v>
      </c>
      <c r="L26" s="23">
        <f>SUM(L8:L25)</f>
        <v>26748754958.421062</v>
      </c>
      <c r="M26" s="26">
        <f>SUM(M8:M25)</f>
        <v>1</v>
      </c>
      <c r="N26" s="9">
        <v>26748754958.421074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725421.21</v>
      </c>
    </row>
    <row r="30" spans="1:15" x14ac:dyDescent="0.2">
      <c r="A30" s="29" t="s">
        <v>76</v>
      </c>
      <c r="B30" s="30">
        <v>725421.21</v>
      </c>
      <c r="C30" s="11">
        <v>725421.27</v>
      </c>
      <c r="D30" s="62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332320</v>
      </c>
      <c r="D35" s="32" t="s">
        <v>68</v>
      </c>
      <c r="E35" s="34" t="s">
        <v>69</v>
      </c>
      <c r="F35" s="34" t="s">
        <v>70</v>
      </c>
      <c r="G35" s="35">
        <v>1008.0880000000001</v>
      </c>
      <c r="H35" s="35">
        <f>J35/C35</f>
        <v>1008.558075589793</v>
      </c>
      <c r="I35" s="36">
        <v>335007804.16000003</v>
      </c>
      <c r="J35" s="36">
        <v>335164019.68000001</v>
      </c>
      <c r="K35" s="37">
        <v>17.020099999999999</v>
      </c>
      <c r="L35" s="37">
        <v>156215.51999999999</v>
      </c>
      <c r="M35" s="31">
        <f>I35+L35</f>
        <v>335164019.68000001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16856</v>
      </c>
      <c r="D36" s="32" t="s">
        <v>68</v>
      </c>
      <c r="E36" s="34" t="s">
        <v>69</v>
      </c>
      <c r="F36" s="34" t="s">
        <v>70</v>
      </c>
      <c r="G36" s="35">
        <v>830.94600023730402</v>
      </c>
      <c r="H36" s="35">
        <f>J36/C36</f>
        <v>831.33347176079735</v>
      </c>
      <c r="I36" s="36">
        <v>14006425.779999999</v>
      </c>
      <c r="J36" s="36">
        <v>14012957</v>
      </c>
      <c r="K36" s="37">
        <v>17.02</v>
      </c>
      <c r="L36" s="37">
        <v>6531.22</v>
      </c>
      <c r="M36" s="31">
        <f>I36+L36</f>
        <v>14012957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72</v>
      </c>
      <c r="C37" s="33">
        <v>2353820</v>
      </c>
      <c r="D37" s="32" t="s">
        <v>68</v>
      </c>
      <c r="E37" s="34" t="s">
        <v>69</v>
      </c>
      <c r="F37" s="34" t="s">
        <v>70</v>
      </c>
      <c r="G37" s="35">
        <v>830.94600000000003</v>
      </c>
      <c r="H37" s="35">
        <f>J37/C37</f>
        <v>831.33347125948455</v>
      </c>
      <c r="I37" s="36">
        <v>1955897313.72</v>
      </c>
      <c r="J37" s="36">
        <v>1956809351.3199999</v>
      </c>
      <c r="K37" s="37">
        <v>17.02</v>
      </c>
      <c r="L37" s="37">
        <v>912037.6</v>
      </c>
      <c r="M37" s="31">
        <f>I37+L37</f>
        <v>1956809351.3199999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73</v>
      </c>
      <c r="C38" s="33">
        <v>15952</v>
      </c>
      <c r="D38" s="32" t="s">
        <v>68</v>
      </c>
      <c r="E38" s="34" t="s">
        <v>70</v>
      </c>
      <c r="F38" s="34" t="s">
        <v>74</v>
      </c>
      <c r="G38" s="35">
        <v>1003.7650000000001</v>
      </c>
      <c r="H38" s="35">
        <f>J38/C38</f>
        <v>1004.2341599799398</v>
      </c>
      <c r="I38" s="36">
        <v>16012059.279999999</v>
      </c>
      <c r="J38" s="36">
        <v>16019543.32</v>
      </c>
      <c r="K38" s="37">
        <v>17.060100000000002</v>
      </c>
      <c r="L38" s="37"/>
      <c r="M38" s="31">
        <f>I38+L38</f>
        <v>16012059.279999999</v>
      </c>
      <c r="N38" s="10"/>
      <c r="O38" s="9"/>
      <c r="Q38" s="9">
        <v>1</v>
      </c>
    </row>
    <row r="39" spans="1:17" x14ac:dyDescent="0.2">
      <c r="A39" s="32" t="s">
        <v>71</v>
      </c>
      <c r="B39" s="32" t="s">
        <v>75</v>
      </c>
      <c r="C39" s="33">
        <v>23477080</v>
      </c>
      <c r="D39" s="32" t="s">
        <v>68</v>
      </c>
      <c r="E39" s="34" t="s">
        <v>70</v>
      </c>
      <c r="F39" s="34" t="s">
        <v>74</v>
      </c>
      <c r="G39" s="35">
        <v>97.549700000170375</v>
      </c>
      <c r="H39" s="35">
        <f>J39/C39</f>
        <v>97.595294462514062</v>
      </c>
      <c r="I39" s="36">
        <v>2290182110.8800001</v>
      </c>
      <c r="J39" s="36">
        <v>2291252535.7199998</v>
      </c>
      <c r="K39" s="37">
        <v>17.059999999999999</v>
      </c>
      <c r="L39" s="37"/>
      <c r="M39" s="31">
        <f>I39+L39</f>
        <v>2290182110.8800001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2306194170.1600003</v>
      </c>
      <c r="N41" s="64">
        <v>2306194170.1600003</v>
      </c>
      <c r="O41" s="65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L26+B29+M41</f>
        <v>29055674549.791061</v>
      </c>
      <c r="C48" s="66">
        <v>29055674549.851074</v>
      </c>
      <c r="D48" s="66">
        <f>__mdDATAItogoActive__-C48</f>
        <v>-6.00128173828125E-2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0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456022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369718.98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134242.61000000002</v>
      </c>
      <c r="D68" s="57"/>
      <c r="F68" s="54"/>
      <c r="O68" s="9"/>
    </row>
    <row r="69" spans="1:15" x14ac:dyDescent="0.2">
      <c r="A69" s="24">
        <v>7</v>
      </c>
      <c r="B69" s="55" t="s">
        <v>59</v>
      </c>
      <c r="C69" s="57">
        <v>19244.29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979227.88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11.12.2025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9490.25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1061.7730000000001</v>
      </c>
      <c r="G5" s="5">
        <v>111.31060000000001</v>
      </c>
      <c r="H5" s="5">
        <v>18.47</v>
      </c>
      <c r="I5" s="5">
        <v>828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1415.46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563683.51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119</v>
      </c>
      <c r="E9" s="4" t="s">
        <v>131</v>
      </c>
      <c r="F9" s="4">
        <v>168.08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5622.28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5688478.46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131.03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124</v>
      </c>
      <c r="E13" s="4" t="s">
        <v>131</v>
      </c>
      <c r="F13" s="4">
        <v>0.90654299999999999</v>
      </c>
      <c r="G13" s="5">
        <v>91.208500000000001</v>
      </c>
      <c r="H13" s="5">
        <v>5.04</v>
      </c>
      <c r="I13" s="5">
        <v>2682</v>
      </c>
      <c r="J13" s="4" t="s">
        <v>125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131</v>
      </c>
      <c r="F14" s="4">
        <v>1091.22</v>
      </c>
      <c r="G14" s="5"/>
      <c r="H14" s="5"/>
      <c r="I14" s="5"/>
      <c r="J14" s="4" t="s">
        <v>146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119</v>
      </c>
      <c r="E15" s="4" t="s">
        <v>131</v>
      </c>
      <c r="F15" s="4">
        <v>1857446.83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119</v>
      </c>
      <c r="E16" s="4" t="s">
        <v>131</v>
      </c>
      <c r="F16" s="4">
        <v>71765.86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119</v>
      </c>
      <c r="E17" s="4" t="s">
        <v>131</v>
      </c>
      <c r="F17" s="4">
        <v>72373.279999999999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119</v>
      </c>
      <c r="E18" s="4" t="s">
        <v>131</v>
      </c>
      <c r="F18" s="4">
        <v>50970.6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119</v>
      </c>
      <c r="E19" s="4" t="s">
        <v>131</v>
      </c>
      <c r="F19" s="4">
        <v>7.23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124</v>
      </c>
      <c r="E20" s="4" t="s">
        <v>131</v>
      </c>
      <c r="F20" s="4">
        <v>1000</v>
      </c>
      <c r="G20" s="5">
        <v>101.14870000000001</v>
      </c>
      <c r="H20" s="5">
        <v>17.96</v>
      </c>
      <c r="I20" s="5">
        <v>1074</v>
      </c>
      <c r="J20" s="4" t="s">
        <v>125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124</v>
      </c>
      <c r="E21" s="4" t="s">
        <v>131</v>
      </c>
      <c r="F21" s="4">
        <v>1000</v>
      </c>
      <c r="G21" s="5">
        <v>102.8152</v>
      </c>
      <c r="H21" s="5">
        <v>17.73</v>
      </c>
      <c r="I21" s="5">
        <v>673</v>
      </c>
      <c r="J21" s="4" t="s">
        <v>125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124</v>
      </c>
      <c r="E22" s="4" t="s">
        <v>131</v>
      </c>
      <c r="F22" s="4">
        <v>1000</v>
      </c>
      <c r="G22" s="5">
        <v>107.474</v>
      </c>
      <c r="H22" s="5">
        <v>18.16</v>
      </c>
      <c r="I22" s="5">
        <v>1860</v>
      </c>
      <c r="J22" s="4" t="s">
        <v>125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124</v>
      </c>
      <c r="E23" s="4" t="s">
        <v>131</v>
      </c>
      <c r="F23" s="4">
        <v>1000</v>
      </c>
      <c r="G23" s="5">
        <v>104.9218</v>
      </c>
      <c r="H23" s="5">
        <v>18.05</v>
      </c>
      <c r="I23" s="5">
        <v>1544</v>
      </c>
      <c r="J23" s="4" t="s">
        <v>125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119</v>
      </c>
      <c r="E24" s="4" t="s">
        <v>131</v>
      </c>
      <c r="F24" s="4">
        <v>1530.07</v>
      </c>
      <c r="G24" s="5"/>
      <c r="H24" s="5"/>
      <c r="I24" s="5"/>
      <c r="J24" s="4" t="s">
        <v>121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124</v>
      </c>
      <c r="E25" s="4" t="s">
        <v>131</v>
      </c>
      <c r="F25" s="4">
        <v>981.25</v>
      </c>
      <c r="G25" s="5">
        <v>100.5736</v>
      </c>
      <c r="H25" s="5">
        <v>23.86</v>
      </c>
      <c r="I25" s="5">
        <v>325</v>
      </c>
      <c r="J25" s="4" t="s">
        <v>125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124</v>
      </c>
      <c r="E26" s="4" t="s">
        <v>131</v>
      </c>
      <c r="F26" s="4">
        <v>497311</v>
      </c>
      <c r="G26" s="5">
        <v>102.42330000000001</v>
      </c>
      <c r="H26" s="5">
        <v>21.41</v>
      </c>
      <c r="I26" s="5">
        <v>221</v>
      </c>
      <c r="J26" s="4" t="s">
        <v>125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124</v>
      </c>
      <c r="E27" s="4" t="s">
        <v>131</v>
      </c>
      <c r="F27" s="4">
        <v>498671</v>
      </c>
      <c r="G27" s="5">
        <v>105.0509</v>
      </c>
      <c r="H27" s="5">
        <v>54.61</v>
      </c>
      <c r="I27" s="5">
        <v>4</v>
      </c>
      <c r="J27" s="4" t="s">
        <v>125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124</v>
      </c>
      <c r="E28" s="4" t="s">
        <v>131</v>
      </c>
      <c r="F28" s="4">
        <v>1011.629</v>
      </c>
      <c r="G28" s="5">
        <v>101.36150000000001</v>
      </c>
      <c r="H28" s="5">
        <v>5.99</v>
      </c>
      <c r="I28" s="5">
        <v>902</v>
      </c>
      <c r="J28" s="4" t="s">
        <v>125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124</v>
      </c>
      <c r="E29" s="4" t="s">
        <v>131</v>
      </c>
      <c r="F29" s="4">
        <v>1000</v>
      </c>
      <c r="G29" s="5">
        <v>100.1833</v>
      </c>
      <c r="H29" s="5">
        <v>22</v>
      </c>
      <c r="I29" s="5">
        <v>606</v>
      </c>
      <c r="J29" s="4" t="s">
        <v>125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124</v>
      </c>
      <c r="E30" s="4" t="s">
        <v>131</v>
      </c>
      <c r="F30" s="4">
        <v>1010.4240000000001</v>
      </c>
      <c r="G30" s="5">
        <v>102.1285</v>
      </c>
      <c r="H30" s="5">
        <v>22.5</v>
      </c>
      <c r="I30" s="5">
        <v>1049</v>
      </c>
      <c r="J30" s="4" t="s">
        <v>125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124</v>
      </c>
      <c r="E31" s="4" t="s">
        <v>131</v>
      </c>
      <c r="F31" s="4">
        <v>937.51200000000006</v>
      </c>
      <c r="G31" s="5">
        <v>101.2915</v>
      </c>
      <c r="H31" s="5">
        <v>17.48</v>
      </c>
      <c r="I31" s="5">
        <v>1464</v>
      </c>
      <c r="J31" s="4" t="s">
        <v>125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124</v>
      </c>
      <c r="E32" s="4" t="s">
        <v>131</v>
      </c>
      <c r="F32" s="4">
        <v>95.506200000000007</v>
      </c>
      <c r="G32" s="5">
        <v>96.147900000000007</v>
      </c>
      <c r="H32" s="5">
        <v>14</v>
      </c>
      <c r="I32" s="5">
        <v>618</v>
      </c>
      <c r="J32" s="4" t="s">
        <v>125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124</v>
      </c>
      <c r="E33" s="4" t="s">
        <v>131</v>
      </c>
      <c r="F33" s="4">
        <v>988.125</v>
      </c>
      <c r="G33" s="5">
        <v>102.2861</v>
      </c>
      <c r="H33" s="5">
        <v>21.38</v>
      </c>
      <c r="I33" s="5">
        <v>577</v>
      </c>
      <c r="J33" s="4" t="s">
        <v>125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124</v>
      </c>
      <c r="E34" s="4" t="s">
        <v>131</v>
      </c>
      <c r="F34" s="4">
        <v>985.65500000000009</v>
      </c>
      <c r="G34" s="5">
        <v>100.5301</v>
      </c>
      <c r="H34" s="5">
        <v>19</v>
      </c>
      <c r="I34" s="5">
        <v>325</v>
      </c>
      <c r="J34" s="4" t="s">
        <v>125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124</v>
      </c>
      <c r="E35" s="4" t="s">
        <v>131</v>
      </c>
      <c r="F35" s="4">
        <v>994.37200000000007</v>
      </c>
      <c r="G35" s="5">
        <v>100.965</v>
      </c>
      <c r="H35" s="5">
        <v>22.46</v>
      </c>
      <c r="I35" s="5">
        <v>522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124</v>
      </c>
      <c r="E36" s="4" t="s">
        <v>131</v>
      </c>
      <c r="F36" s="4">
        <v>970.22900000000004</v>
      </c>
      <c r="G36" s="5">
        <v>97.985399999999998</v>
      </c>
      <c r="H36" s="5">
        <v>17.48</v>
      </c>
      <c r="I36" s="5">
        <v>1622</v>
      </c>
      <c r="J36" s="4" t="s">
        <v>125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124</v>
      </c>
      <c r="E37" s="4" t="s">
        <v>131</v>
      </c>
      <c r="F37" s="4">
        <v>494047</v>
      </c>
      <c r="G37" s="5">
        <v>102.07610000000001</v>
      </c>
      <c r="H37" s="5">
        <v>21.88</v>
      </c>
      <c r="I37" s="5">
        <v>582</v>
      </c>
      <c r="J37" s="4" t="s">
        <v>125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124</v>
      </c>
      <c r="E38" s="4" t="s">
        <v>131</v>
      </c>
      <c r="F38" s="4">
        <v>866.96400000000006</v>
      </c>
      <c r="G38" s="5">
        <v>87.338099999999997</v>
      </c>
      <c r="H38" s="5">
        <v>38.99</v>
      </c>
      <c r="I38" s="5">
        <v>324</v>
      </c>
      <c r="J38" s="4" t="s">
        <v>125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124</v>
      </c>
      <c r="E39" s="4" t="s">
        <v>131</v>
      </c>
      <c r="F39" s="4">
        <v>1007.341</v>
      </c>
      <c r="G39" s="5">
        <v>101.96090000000001</v>
      </c>
      <c r="H39" s="5">
        <v>20.65</v>
      </c>
      <c r="I39" s="5">
        <v>923</v>
      </c>
      <c r="J39" s="4" t="s">
        <v>125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124</v>
      </c>
      <c r="E40" s="4" t="s">
        <v>131</v>
      </c>
      <c r="F40" s="4">
        <v>1008.394</v>
      </c>
      <c r="G40" s="5">
        <v>101.20610000000001</v>
      </c>
      <c r="H40" s="5">
        <v>21.36</v>
      </c>
      <c r="I40" s="5">
        <v>572</v>
      </c>
      <c r="J40" s="4" t="s">
        <v>125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124</v>
      </c>
      <c r="E41" s="4" t="s">
        <v>131</v>
      </c>
      <c r="F41" s="4">
        <v>980.98800000000006</v>
      </c>
      <c r="G41" s="5">
        <v>102.1238</v>
      </c>
      <c r="H41" s="5">
        <v>23.61</v>
      </c>
      <c r="I41" s="5">
        <v>296</v>
      </c>
      <c r="J41" s="4" t="s">
        <v>125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124</v>
      </c>
      <c r="E42" s="4" t="s">
        <v>131</v>
      </c>
      <c r="F42" s="4">
        <v>971.55700000000002</v>
      </c>
      <c r="G42" s="5">
        <v>98.211300000000008</v>
      </c>
      <c r="H42" s="5">
        <v>22.66</v>
      </c>
      <c r="I42" s="5">
        <v>315</v>
      </c>
      <c r="J42" s="4" t="s">
        <v>125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124</v>
      </c>
      <c r="E43" s="4" t="s">
        <v>131</v>
      </c>
      <c r="F43" s="4">
        <v>969.63499999999999</v>
      </c>
      <c r="G43" s="5">
        <v>97.649600000000007</v>
      </c>
      <c r="H43" s="5">
        <v>20.77</v>
      </c>
      <c r="I43" s="5">
        <v>779</v>
      </c>
      <c r="J43" s="4" t="s">
        <v>125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124</v>
      </c>
      <c r="E44" s="4" t="s">
        <v>131</v>
      </c>
      <c r="F44" s="4">
        <v>997.36700000000008</v>
      </c>
      <c r="G44" s="5">
        <v>101.42840000000001</v>
      </c>
      <c r="H44" s="5">
        <v>21.15</v>
      </c>
      <c r="I44" s="5">
        <v>823</v>
      </c>
      <c r="J44" s="4" t="s">
        <v>125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124</v>
      </c>
      <c r="E45" s="4" t="s">
        <v>131</v>
      </c>
      <c r="F45" s="4">
        <v>996.851</v>
      </c>
      <c r="G45" s="5">
        <v>100.33510000000001</v>
      </c>
      <c r="H45" s="5">
        <v>19.740000000000002</v>
      </c>
      <c r="I45" s="5">
        <v>535</v>
      </c>
      <c r="J45" s="4" t="s">
        <v>125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124</v>
      </c>
      <c r="E46" s="4" t="s">
        <v>131</v>
      </c>
      <c r="F46" s="4">
        <v>1035.0130000000001</v>
      </c>
      <c r="G46" s="5">
        <v>104.7791</v>
      </c>
      <c r="H46" s="5">
        <v>21.39</v>
      </c>
      <c r="I46" s="5">
        <v>1077</v>
      </c>
      <c r="J46" s="4" t="s">
        <v>125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124</v>
      </c>
      <c r="E47" s="4" t="s">
        <v>131</v>
      </c>
      <c r="F47" s="4">
        <v>1034.759</v>
      </c>
      <c r="G47" s="5">
        <v>104.75370000000001</v>
      </c>
      <c r="H47" s="5">
        <v>21.4</v>
      </c>
      <c r="I47" s="5">
        <v>1077</v>
      </c>
      <c r="J47" s="4" t="s">
        <v>125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124</v>
      </c>
      <c r="E48" s="4" t="s">
        <v>131</v>
      </c>
      <c r="F48" s="4">
        <v>99.084400000000002</v>
      </c>
      <c r="G48" s="5">
        <v>99.723300000000009</v>
      </c>
      <c r="H48" s="5">
        <v>10.78</v>
      </c>
      <c r="I48" s="5">
        <v>463</v>
      </c>
      <c r="J48" s="4" t="s">
        <v>125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124</v>
      </c>
      <c r="E49" s="4" t="s">
        <v>131</v>
      </c>
      <c r="F49" s="4">
        <v>1000</v>
      </c>
      <c r="G49" s="5">
        <v>106.4885</v>
      </c>
      <c r="H49" s="5">
        <v>17.64</v>
      </c>
      <c r="I49" s="5">
        <v>1328</v>
      </c>
      <c r="J49" s="4" t="s">
        <v>125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124</v>
      </c>
      <c r="E50" s="4" t="s">
        <v>131</v>
      </c>
      <c r="F50" s="4">
        <v>1002.937</v>
      </c>
      <c r="G50" s="5">
        <v>101.879</v>
      </c>
      <c r="H50" s="5">
        <v>21.74</v>
      </c>
      <c r="I50" s="5">
        <v>613</v>
      </c>
      <c r="J50" s="4" t="s">
        <v>125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124</v>
      </c>
      <c r="E51" s="4" t="s">
        <v>131</v>
      </c>
      <c r="F51" s="4">
        <v>99.999200000000002</v>
      </c>
      <c r="G51" s="5">
        <v>100.67140000000001</v>
      </c>
      <c r="H51" s="5">
        <v>11</v>
      </c>
      <c r="I51" s="5">
        <v>709</v>
      </c>
      <c r="J51" s="4" t="s">
        <v>125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124</v>
      </c>
      <c r="E52" s="4" t="s">
        <v>131</v>
      </c>
      <c r="F52" s="4">
        <v>994.37900000000002</v>
      </c>
      <c r="G52" s="5">
        <v>100.27120000000001</v>
      </c>
      <c r="H52" s="5">
        <v>21.56</v>
      </c>
      <c r="I52" s="5">
        <v>137</v>
      </c>
      <c r="J52" s="4" t="s">
        <v>125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124</v>
      </c>
      <c r="E53" s="4" t="s">
        <v>131</v>
      </c>
      <c r="F53" s="4">
        <v>1020.07</v>
      </c>
      <c r="G53" s="5">
        <v>102.667</v>
      </c>
      <c r="H53" s="5">
        <v>20.5</v>
      </c>
      <c r="I53" s="5">
        <v>842</v>
      </c>
      <c r="J53" s="4" t="s">
        <v>125</v>
      </c>
    </row>
    <row r="54" spans="1:10" x14ac:dyDescent="0.25">
      <c r="A54" s="4">
        <f t="shared" ca="1" si="1"/>
        <v>51</v>
      </c>
      <c r="B54" s="4" t="s">
        <v>225</v>
      </c>
      <c r="C54" s="4" t="s">
        <v>226</v>
      </c>
      <c r="D54" s="4" t="s">
        <v>124</v>
      </c>
      <c r="E54" s="4" t="s">
        <v>131</v>
      </c>
      <c r="F54" s="4">
        <v>98.25</v>
      </c>
      <c r="G54" s="5">
        <v>100.72499999999999</v>
      </c>
      <c r="H54" s="5">
        <v>17.57</v>
      </c>
      <c r="I54" s="5">
        <v>100</v>
      </c>
      <c r="J54" s="4" t="s">
        <v>125</v>
      </c>
    </row>
    <row r="55" spans="1:10" x14ac:dyDescent="0.25">
      <c r="A55" s="4">
        <f t="shared" ca="1" si="1"/>
        <v>52</v>
      </c>
      <c r="B55" s="4" t="s">
        <v>227</v>
      </c>
      <c r="C55" s="4" t="s">
        <v>228</v>
      </c>
      <c r="D55" s="4" t="s">
        <v>124</v>
      </c>
      <c r="E55" s="4" t="s">
        <v>131</v>
      </c>
      <c r="F55" s="4">
        <v>962.02700000000004</v>
      </c>
      <c r="G55" s="5">
        <v>96.960999999999999</v>
      </c>
      <c r="H55" s="5">
        <v>23.14</v>
      </c>
      <c r="I55" s="5">
        <v>839</v>
      </c>
      <c r="J55" s="4" t="s">
        <v>125</v>
      </c>
    </row>
    <row r="56" spans="1:10" x14ac:dyDescent="0.25">
      <c r="A56" s="4">
        <f t="shared" ca="1" si="1"/>
        <v>53</v>
      </c>
      <c r="B56" s="4" t="s">
        <v>229</v>
      </c>
      <c r="C56" s="4" t="s">
        <v>230</v>
      </c>
      <c r="D56" s="4" t="s">
        <v>124</v>
      </c>
      <c r="E56" s="4" t="s">
        <v>131</v>
      </c>
      <c r="F56" s="4">
        <v>970.23</v>
      </c>
      <c r="G56" s="5">
        <v>99.177199999999999</v>
      </c>
      <c r="H56" s="5">
        <v>17.48</v>
      </c>
      <c r="I56" s="5">
        <v>1596</v>
      </c>
      <c r="J56" s="4" t="s">
        <v>125</v>
      </c>
    </row>
    <row r="57" spans="1:10" x14ac:dyDescent="0.25">
      <c r="A57" s="4">
        <f t="shared" ca="1" si="1"/>
        <v>54</v>
      </c>
      <c r="B57" s="4" t="s">
        <v>231</v>
      </c>
      <c r="C57" s="4" t="s">
        <v>232</v>
      </c>
      <c r="D57" s="4" t="s">
        <v>124</v>
      </c>
      <c r="E57" s="4" t="s">
        <v>131</v>
      </c>
      <c r="F57" s="4">
        <v>991.37100000000009</v>
      </c>
      <c r="G57" s="5">
        <v>99.137100000000004</v>
      </c>
      <c r="H57" s="5">
        <v>22.63</v>
      </c>
      <c r="I57" s="5">
        <v>609</v>
      </c>
      <c r="J57" s="4" t="s">
        <v>125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124</v>
      </c>
      <c r="E58" s="4" t="s">
        <v>131</v>
      </c>
      <c r="F58" s="4">
        <v>986.93600000000004</v>
      </c>
      <c r="G58" s="5">
        <v>99.243600000000001</v>
      </c>
      <c r="H58" s="5">
        <v>23</v>
      </c>
      <c r="I58" s="5">
        <v>569</v>
      </c>
      <c r="J58" s="4" t="s">
        <v>125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124</v>
      </c>
      <c r="E59" s="4" t="s">
        <v>131</v>
      </c>
      <c r="F59" s="4">
        <v>987.28300000000002</v>
      </c>
      <c r="G59" s="5">
        <v>100.0408</v>
      </c>
      <c r="H59" s="5">
        <v>19</v>
      </c>
      <c r="I59" s="5">
        <v>339</v>
      </c>
      <c r="J59" s="4" t="s">
        <v>125</v>
      </c>
    </row>
    <row r="60" spans="1:10" x14ac:dyDescent="0.25">
      <c r="A60" s="4">
        <f t="shared" ca="1" si="1"/>
        <v>57</v>
      </c>
      <c r="B60" s="4" t="s">
        <v>237</v>
      </c>
      <c r="C60" s="4" t="s">
        <v>238</v>
      </c>
      <c r="D60" s="4" t="s">
        <v>124</v>
      </c>
      <c r="E60" s="4" t="s">
        <v>131</v>
      </c>
      <c r="F60" s="4">
        <v>9.9401499999999992</v>
      </c>
      <c r="G60" s="5">
        <v>99.401499999999999</v>
      </c>
      <c r="H60" s="5">
        <v>10.38</v>
      </c>
      <c r="I60" s="5">
        <v>640</v>
      </c>
      <c r="J60" s="4" t="s">
        <v>125</v>
      </c>
    </row>
    <row r="61" spans="1:10" x14ac:dyDescent="0.25">
      <c r="A61" s="4">
        <f t="shared" ca="1" si="1"/>
        <v>58</v>
      </c>
      <c r="B61" s="4" t="s">
        <v>239</v>
      </c>
      <c r="C61" s="4" t="s">
        <v>240</v>
      </c>
      <c r="D61" s="4" t="s">
        <v>124</v>
      </c>
      <c r="E61" s="4" t="s">
        <v>131</v>
      </c>
      <c r="F61" s="4">
        <v>965</v>
      </c>
      <c r="G61" s="5">
        <v>97.375</v>
      </c>
      <c r="H61" s="5">
        <v>22.83</v>
      </c>
      <c r="I61" s="5">
        <v>929</v>
      </c>
      <c r="J61" s="4" t="s">
        <v>125</v>
      </c>
    </row>
    <row r="62" spans="1:10" x14ac:dyDescent="0.25">
      <c r="A62" s="4">
        <f t="shared" ca="1" si="1"/>
        <v>59</v>
      </c>
      <c r="B62" s="4" t="s">
        <v>241</v>
      </c>
      <c r="C62" s="4" t="s">
        <v>242</v>
      </c>
      <c r="D62" s="4" t="s">
        <v>124</v>
      </c>
      <c r="E62" s="4" t="s">
        <v>131</v>
      </c>
      <c r="F62" s="4">
        <v>1012.182</v>
      </c>
      <c r="G62" s="5">
        <v>105.94460000000001</v>
      </c>
      <c r="H62" s="5">
        <v>19.57</v>
      </c>
      <c r="I62" s="5">
        <v>647</v>
      </c>
      <c r="J62" s="4" t="s">
        <v>125</v>
      </c>
    </row>
    <row r="63" spans="1:10" x14ac:dyDescent="0.25">
      <c r="A63" s="4">
        <f t="shared" ca="1" si="1"/>
        <v>60</v>
      </c>
      <c r="B63" s="4" t="s">
        <v>243</v>
      </c>
      <c r="C63" s="4" t="s">
        <v>244</v>
      </c>
      <c r="D63" s="4" t="s">
        <v>119</v>
      </c>
      <c r="E63" s="4" t="s">
        <v>245</v>
      </c>
      <c r="F63" s="4">
        <v>40342.46</v>
      </c>
      <c r="G63" s="5"/>
      <c r="H63" s="5"/>
      <c r="I63" s="5"/>
      <c r="J63" s="4" t="s">
        <v>121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119</v>
      </c>
      <c r="E64" s="4" t="s">
        <v>245</v>
      </c>
      <c r="F64" s="4">
        <v>27281.56</v>
      </c>
      <c r="G64" s="5"/>
      <c r="H64" s="5"/>
      <c r="I64" s="5"/>
      <c r="J64" s="4" t="s">
        <v>121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124</v>
      </c>
      <c r="E65" s="4" t="s">
        <v>250</v>
      </c>
      <c r="F65" s="4">
        <v>16770.3</v>
      </c>
      <c r="G65" s="5">
        <v>1677.0330000000001</v>
      </c>
      <c r="H65" s="5"/>
      <c r="I65" s="5">
        <v>106</v>
      </c>
      <c r="J65" s="4" t="s">
        <v>125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119</v>
      </c>
      <c r="E66" s="4" t="s">
        <v>253</v>
      </c>
      <c r="F66" s="4">
        <v>21799.87</v>
      </c>
      <c r="G66" s="5"/>
      <c r="H66" s="5"/>
      <c r="I66" s="5"/>
      <c r="J66" s="4" t="s">
        <v>121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124</v>
      </c>
      <c r="E67" s="4" t="s">
        <v>253</v>
      </c>
      <c r="F67" s="4">
        <v>1.009134</v>
      </c>
      <c r="G67" s="5">
        <v>101.6151</v>
      </c>
      <c r="H67" s="5">
        <v>5.14</v>
      </c>
      <c r="I67" s="5">
        <v>1596</v>
      </c>
      <c r="J67" s="4" t="s">
        <v>125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119</v>
      </c>
      <c r="E68" s="4" t="s">
        <v>258</v>
      </c>
      <c r="F68" s="4">
        <v>3388.05</v>
      </c>
      <c r="G68" s="5"/>
      <c r="H68" s="5"/>
      <c r="I68" s="5"/>
      <c r="J68" s="4" t="s">
        <v>121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124</v>
      </c>
      <c r="E69" s="4" t="s">
        <v>261</v>
      </c>
      <c r="F69" s="4">
        <v>0.97442299999999993</v>
      </c>
      <c r="G69" s="5">
        <v>97.681200000000004</v>
      </c>
      <c r="H69" s="5">
        <v>5</v>
      </c>
      <c r="I69" s="5">
        <v>322</v>
      </c>
      <c r="J69" s="4" t="s">
        <v>125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119</v>
      </c>
      <c r="E70" s="4" t="s">
        <v>264</v>
      </c>
      <c r="F70" s="4">
        <v>8952.3000000000011</v>
      </c>
      <c r="G70" s="5"/>
      <c r="H70" s="5"/>
      <c r="I70" s="5"/>
      <c r="J70" s="4" t="s">
        <v>121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119</v>
      </c>
      <c r="E71" s="4" t="s">
        <v>264</v>
      </c>
      <c r="F71" s="4">
        <v>4579.18</v>
      </c>
      <c r="G71" s="5"/>
      <c r="H71" s="5"/>
      <c r="I71" s="5"/>
      <c r="J71" s="4" t="s">
        <v>121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124</v>
      </c>
      <c r="E72" s="4" t="s">
        <v>269</v>
      </c>
      <c r="F72" s="4">
        <v>968.75100000000009</v>
      </c>
      <c r="G72" s="5">
        <v>102.51260000000001</v>
      </c>
      <c r="H72" s="5">
        <v>17.990000000000002</v>
      </c>
      <c r="I72" s="5">
        <v>972</v>
      </c>
      <c r="J72" s="4" t="s">
        <v>125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124</v>
      </c>
      <c r="E73" s="4" t="s">
        <v>269</v>
      </c>
      <c r="F73" s="4">
        <v>966.452</v>
      </c>
      <c r="G73" s="5">
        <v>101.88850000000001</v>
      </c>
      <c r="H73" s="5">
        <v>20.04</v>
      </c>
      <c r="I73" s="5">
        <v>809</v>
      </c>
      <c r="J73" s="4" t="s">
        <v>125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124</v>
      </c>
      <c r="E74" s="4" t="s">
        <v>269</v>
      </c>
      <c r="F74" s="4">
        <v>98.793500000000009</v>
      </c>
      <c r="G74" s="5">
        <v>98.793500000000009</v>
      </c>
      <c r="H74" s="5">
        <v>15.92</v>
      </c>
      <c r="I74" s="5">
        <v>29</v>
      </c>
      <c r="J74" s="4" t="s">
        <v>125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124</v>
      </c>
      <c r="E75" s="4" t="s">
        <v>269</v>
      </c>
      <c r="F75" s="4">
        <v>980.76800000000003</v>
      </c>
      <c r="G75" s="5">
        <v>105.5518</v>
      </c>
      <c r="H75" s="5">
        <v>17.990000000000002</v>
      </c>
      <c r="I75" s="5">
        <v>1303</v>
      </c>
      <c r="J75" s="4" t="s">
        <v>125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124</v>
      </c>
      <c r="E76" s="4" t="s">
        <v>269</v>
      </c>
      <c r="F76" s="4">
        <v>100.39060000000001</v>
      </c>
      <c r="G76" s="5">
        <v>102.0573</v>
      </c>
      <c r="H76" s="5">
        <v>7.79</v>
      </c>
      <c r="I76" s="5">
        <v>746</v>
      </c>
      <c r="J76" s="4" t="s">
        <v>125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124</v>
      </c>
      <c r="E77" s="4" t="s">
        <v>269</v>
      </c>
      <c r="F77" s="4">
        <v>1005.2850000000001</v>
      </c>
      <c r="G77" s="5">
        <v>108.92360000000001</v>
      </c>
      <c r="H77" s="5">
        <v>18.809999999999999</v>
      </c>
      <c r="I77" s="5">
        <v>571</v>
      </c>
      <c r="J77" s="4" t="s">
        <v>125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124</v>
      </c>
      <c r="E78" s="4" t="s">
        <v>269</v>
      </c>
      <c r="F78" s="4">
        <v>1019.072</v>
      </c>
      <c r="G78" s="5">
        <v>109.7064</v>
      </c>
      <c r="H78" s="5">
        <v>18.45</v>
      </c>
      <c r="I78" s="5">
        <v>1677</v>
      </c>
      <c r="J78" s="4" t="s">
        <v>125</v>
      </c>
    </row>
    <row r="79" spans="1:10" x14ac:dyDescent="0.25">
      <c r="A79" s="4">
        <f t="shared" ca="1" si="2"/>
        <v>76</v>
      </c>
      <c r="B79" s="4" t="s">
        <v>282</v>
      </c>
      <c r="C79" s="4" t="s">
        <v>283</v>
      </c>
      <c r="D79" s="4" t="s">
        <v>124</v>
      </c>
      <c r="E79" s="4" t="s">
        <v>71</v>
      </c>
      <c r="F79" s="4">
        <v>1000</v>
      </c>
      <c r="G79" s="5">
        <v>111.80710000000001</v>
      </c>
      <c r="H79" s="5">
        <v>12.45</v>
      </c>
      <c r="I79" s="5">
        <v>1116</v>
      </c>
      <c r="J79" s="4" t="s">
        <v>125</v>
      </c>
    </row>
    <row r="80" spans="1:10" x14ac:dyDescent="0.25">
      <c r="A80" s="4">
        <f t="shared" ca="1" si="2"/>
        <v>77</v>
      </c>
      <c r="B80" s="4" t="s">
        <v>284</v>
      </c>
      <c r="C80" s="4" t="s">
        <v>285</v>
      </c>
      <c r="D80" s="4" t="s">
        <v>124</v>
      </c>
      <c r="E80" s="4" t="s">
        <v>71</v>
      </c>
      <c r="F80" s="4">
        <v>1000</v>
      </c>
      <c r="G80" s="5">
        <v>103.601</v>
      </c>
      <c r="H80" s="5">
        <v>12.41</v>
      </c>
      <c r="I80" s="5">
        <v>1356</v>
      </c>
      <c r="J80" s="4" t="s">
        <v>125</v>
      </c>
    </row>
    <row r="81" spans="1:10" x14ac:dyDescent="0.25">
      <c r="A81" s="4">
        <f t="shared" ca="1" si="2"/>
        <v>78</v>
      </c>
      <c r="B81" s="4" t="s">
        <v>286</v>
      </c>
      <c r="C81" s="4" t="s">
        <v>287</v>
      </c>
      <c r="D81" s="4" t="s">
        <v>124</v>
      </c>
      <c r="E81" s="4" t="s">
        <v>71</v>
      </c>
      <c r="F81" s="4">
        <v>1000</v>
      </c>
      <c r="G81" s="5">
        <v>106.68260000000001</v>
      </c>
      <c r="H81" s="5">
        <v>12.05</v>
      </c>
      <c r="I81" s="5">
        <v>169</v>
      </c>
      <c r="J81" s="4" t="s">
        <v>125</v>
      </c>
    </row>
    <row r="82" spans="1:10" x14ac:dyDescent="0.25">
      <c r="A82" s="4">
        <f t="shared" ca="1" si="2"/>
        <v>79</v>
      </c>
      <c r="B82" s="4" t="s">
        <v>288</v>
      </c>
      <c r="C82" s="4" t="s">
        <v>289</v>
      </c>
      <c r="D82" s="4" t="s">
        <v>124</v>
      </c>
      <c r="E82" s="4" t="s">
        <v>71</v>
      </c>
      <c r="F82" s="4">
        <v>1000</v>
      </c>
      <c r="G82" s="5">
        <v>104.5359</v>
      </c>
      <c r="H82" s="5">
        <v>12.18</v>
      </c>
      <c r="I82" s="5">
        <v>232</v>
      </c>
      <c r="J82" s="4" t="s">
        <v>125</v>
      </c>
    </row>
    <row r="83" spans="1:10" x14ac:dyDescent="0.25">
      <c r="A83" s="4">
        <f t="shared" ca="1" si="2"/>
        <v>80</v>
      </c>
      <c r="B83" s="4" t="s">
        <v>290</v>
      </c>
      <c r="C83" s="4" t="s">
        <v>291</v>
      </c>
      <c r="D83" s="4" t="s">
        <v>124</v>
      </c>
      <c r="E83" s="4" t="s">
        <v>71</v>
      </c>
      <c r="F83" s="4">
        <v>1000</v>
      </c>
      <c r="G83" s="5">
        <v>107.68680000000001</v>
      </c>
      <c r="H83" s="5">
        <v>12.32</v>
      </c>
      <c r="I83" s="5">
        <v>505</v>
      </c>
      <c r="J83" s="4" t="s">
        <v>125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124</v>
      </c>
      <c r="E84" s="4" t="s">
        <v>71</v>
      </c>
      <c r="F84" s="4">
        <v>1000</v>
      </c>
      <c r="G84" s="5">
        <v>105.6093</v>
      </c>
      <c r="H84" s="5">
        <v>12.33</v>
      </c>
      <c r="I84" s="5">
        <v>566</v>
      </c>
      <c r="J84" s="4" t="s">
        <v>125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124</v>
      </c>
      <c r="E85" s="4" t="s">
        <v>71</v>
      </c>
      <c r="F85" s="4">
        <v>1000</v>
      </c>
      <c r="G85" s="5">
        <v>100.5194</v>
      </c>
      <c r="H85" s="5">
        <v>12.45</v>
      </c>
      <c r="I85" s="5">
        <v>716</v>
      </c>
      <c r="J85" s="4" t="s">
        <v>125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124</v>
      </c>
      <c r="E86" s="4" t="s">
        <v>71</v>
      </c>
      <c r="F86" s="4">
        <v>1000</v>
      </c>
      <c r="G86" s="5">
        <v>103.601</v>
      </c>
      <c r="H86" s="5">
        <v>12.4</v>
      </c>
      <c r="I86" s="5">
        <v>991</v>
      </c>
      <c r="J86" s="4" t="s">
        <v>125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124</v>
      </c>
      <c r="E87" s="4" t="s">
        <v>71</v>
      </c>
      <c r="F87" s="4">
        <v>1000</v>
      </c>
      <c r="G87" s="5">
        <v>110.83760000000001</v>
      </c>
      <c r="H87" s="5">
        <v>12.44</v>
      </c>
      <c r="I87" s="5">
        <v>1510</v>
      </c>
      <c r="J87" s="4" t="s">
        <v>125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124</v>
      </c>
      <c r="E88" s="4" t="s">
        <v>71</v>
      </c>
      <c r="F88" s="4">
        <v>898.73400000000004</v>
      </c>
      <c r="G88" s="5">
        <v>90.123400000000004</v>
      </c>
      <c r="H88" s="5">
        <v>17.45</v>
      </c>
      <c r="I88" s="5">
        <v>348</v>
      </c>
      <c r="J88" s="4" t="s">
        <v>125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124</v>
      </c>
      <c r="E89" s="4" t="s">
        <v>71</v>
      </c>
      <c r="F89" s="4">
        <v>1000</v>
      </c>
      <c r="G89" s="5">
        <v>105.6093</v>
      </c>
      <c r="H89" s="5">
        <v>12.4</v>
      </c>
      <c r="I89" s="5">
        <v>1297</v>
      </c>
      <c r="J89" s="4" t="s">
        <v>125</v>
      </c>
    </row>
    <row r="90" spans="1:10" x14ac:dyDescent="0.25">
      <c r="A90" s="4">
        <f t="shared" ca="1" si="2"/>
        <v>87</v>
      </c>
      <c r="B90" s="4" t="s">
        <v>304</v>
      </c>
      <c r="C90" s="4" t="s">
        <v>95</v>
      </c>
      <c r="D90" s="4" t="s">
        <v>124</v>
      </c>
      <c r="E90" s="4" t="s">
        <v>71</v>
      </c>
      <c r="F90" s="4">
        <v>871.71800000000007</v>
      </c>
      <c r="G90" s="5">
        <v>91.045299999999997</v>
      </c>
      <c r="H90" s="5">
        <v>17.3</v>
      </c>
      <c r="I90" s="5">
        <v>472</v>
      </c>
      <c r="J90" s="4" t="s">
        <v>125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124</v>
      </c>
      <c r="E91" s="4" t="s">
        <v>71</v>
      </c>
      <c r="F91" s="4">
        <v>832.62</v>
      </c>
      <c r="G91" s="5">
        <v>84.527799999999999</v>
      </c>
      <c r="H91" s="5">
        <v>17.190000000000001</v>
      </c>
      <c r="I91" s="5">
        <v>647</v>
      </c>
      <c r="J91" s="4" t="s">
        <v>125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124</v>
      </c>
      <c r="E92" s="4" t="s">
        <v>71</v>
      </c>
      <c r="F92" s="4">
        <v>840.48500000000001</v>
      </c>
      <c r="G92" s="5">
        <v>84.897100000000009</v>
      </c>
      <c r="H92" s="5">
        <v>17.14</v>
      </c>
      <c r="I92" s="5">
        <v>683</v>
      </c>
      <c r="J92" s="4" t="s">
        <v>125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124</v>
      </c>
      <c r="E93" s="4" t="s">
        <v>71</v>
      </c>
      <c r="F93" s="4">
        <v>1000</v>
      </c>
      <c r="G93" s="5">
        <v>104.57050000000001</v>
      </c>
      <c r="H93" s="5">
        <v>12.35</v>
      </c>
      <c r="I93" s="5">
        <v>596</v>
      </c>
      <c r="J93" s="4" t="s">
        <v>125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124</v>
      </c>
      <c r="E94" s="4" t="s">
        <v>71</v>
      </c>
      <c r="F94" s="4">
        <v>1000</v>
      </c>
      <c r="G94" s="5">
        <v>110.0091</v>
      </c>
      <c r="H94" s="5">
        <v>12.52</v>
      </c>
      <c r="I94" s="5">
        <v>1537</v>
      </c>
      <c r="J94" s="4" t="s">
        <v>125</v>
      </c>
    </row>
    <row r="95" spans="1:10" x14ac:dyDescent="0.25">
      <c r="A95" s="4">
        <f t="shared" ca="1" si="2"/>
        <v>92</v>
      </c>
      <c r="B95" s="4" t="s">
        <v>313</v>
      </c>
      <c r="C95" s="4" t="s">
        <v>88</v>
      </c>
      <c r="D95" s="4" t="s">
        <v>124</v>
      </c>
      <c r="E95" s="4" t="s">
        <v>71</v>
      </c>
      <c r="F95" s="4">
        <v>656.04</v>
      </c>
      <c r="G95" s="5">
        <v>70.289100000000005</v>
      </c>
      <c r="H95" s="5">
        <v>15.67</v>
      </c>
      <c r="I95" s="5">
        <v>3075</v>
      </c>
      <c r="J95" s="4" t="s">
        <v>125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124</v>
      </c>
      <c r="E96" s="4" t="s">
        <v>71</v>
      </c>
      <c r="F96" s="4">
        <v>876.22</v>
      </c>
      <c r="G96" s="5">
        <v>91.170299999999997</v>
      </c>
      <c r="H96" s="5">
        <v>17.260000000000002</v>
      </c>
      <c r="I96" s="5">
        <v>557</v>
      </c>
      <c r="J96" s="4" t="s">
        <v>125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124</v>
      </c>
      <c r="E97" s="4" t="s">
        <v>71</v>
      </c>
      <c r="F97" s="4">
        <v>590.11500000000001</v>
      </c>
      <c r="G97" s="5">
        <v>60.813600000000001</v>
      </c>
      <c r="H97" s="5">
        <v>15.41</v>
      </c>
      <c r="I97" s="5">
        <v>6865</v>
      </c>
      <c r="J97" s="4" t="s">
        <v>125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124</v>
      </c>
      <c r="E98" s="4" t="s">
        <v>71</v>
      </c>
      <c r="F98" s="4">
        <v>1000</v>
      </c>
      <c r="G98" s="5">
        <v>102.45840000000001</v>
      </c>
      <c r="H98" s="5">
        <v>12.31</v>
      </c>
      <c r="I98" s="5">
        <v>294</v>
      </c>
      <c r="J98" s="4" t="s">
        <v>125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124</v>
      </c>
      <c r="E99" s="4" t="s">
        <v>71</v>
      </c>
      <c r="F99" s="4">
        <v>1000</v>
      </c>
      <c r="G99" s="5">
        <v>105.6439</v>
      </c>
      <c r="H99" s="5">
        <v>12.4</v>
      </c>
      <c r="I99" s="5">
        <v>1296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124</v>
      </c>
      <c r="E100" s="4" t="s">
        <v>71</v>
      </c>
      <c r="F100" s="4">
        <v>1000</v>
      </c>
      <c r="G100" s="5">
        <v>106.6134</v>
      </c>
      <c r="H100" s="5">
        <v>12.41</v>
      </c>
      <c r="I100" s="5">
        <v>1632</v>
      </c>
      <c r="J100" s="4" t="s">
        <v>125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124</v>
      </c>
      <c r="E101" s="4" t="s">
        <v>71</v>
      </c>
      <c r="F101" s="4">
        <v>1000</v>
      </c>
      <c r="G101" s="5">
        <v>103.5664</v>
      </c>
      <c r="H101" s="5">
        <v>12.24</v>
      </c>
      <c r="I101" s="5">
        <v>261</v>
      </c>
      <c r="J101" s="4" t="s">
        <v>125</v>
      </c>
    </row>
    <row r="102" spans="1:10" x14ac:dyDescent="0.25">
      <c r="A102" s="4">
        <f t="shared" ca="1" si="3"/>
        <v>99</v>
      </c>
      <c r="B102" s="4" t="s">
        <v>326</v>
      </c>
      <c r="C102" s="4" t="s">
        <v>97</v>
      </c>
      <c r="D102" s="4" t="s">
        <v>124</v>
      </c>
      <c r="E102" s="4" t="s">
        <v>71</v>
      </c>
      <c r="F102" s="4">
        <v>644.15600000000006</v>
      </c>
      <c r="G102" s="5">
        <v>71.409599999999998</v>
      </c>
      <c r="H102" s="5">
        <v>15.63</v>
      </c>
      <c r="I102" s="5">
        <v>3337</v>
      </c>
      <c r="J102" s="4" t="s">
        <v>125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124</v>
      </c>
      <c r="E103" s="4" t="s">
        <v>71</v>
      </c>
      <c r="F103" s="4">
        <v>912.60800000000006</v>
      </c>
      <c r="G103" s="5">
        <v>98.135800000000003</v>
      </c>
      <c r="H103" s="5">
        <v>17.32</v>
      </c>
      <c r="I103" s="5">
        <v>451</v>
      </c>
      <c r="J103" s="4" t="s">
        <v>125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124</v>
      </c>
      <c r="E104" s="4" t="s">
        <v>71</v>
      </c>
      <c r="F104" s="4">
        <v>893.10800000000006</v>
      </c>
      <c r="G104" s="5">
        <v>93.260800000000003</v>
      </c>
      <c r="H104" s="5">
        <v>17.240000000000002</v>
      </c>
      <c r="I104" s="5">
        <v>570</v>
      </c>
      <c r="J104" s="4" t="s">
        <v>125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124</v>
      </c>
      <c r="E105" s="4" t="s">
        <v>71</v>
      </c>
      <c r="F105" s="4">
        <v>641.70800000000008</v>
      </c>
      <c r="G105" s="5">
        <v>67.256600000000006</v>
      </c>
      <c r="H105" s="5">
        <v>15.55</v>
      </c>
      <c r="I105" s="5">
        <v>3885</v>
      </c>
      <c r="J105" s="4" t="s">
        <v>125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124</v>
      </c>
      <c r="E106" s="4" t="s">
        <v>71</v>
      </c>
      <c r="F106" s="4">
        <v>701.92499999999995</v>
      </c>
      <c r="G106" s="5">
        <v>76.134200000000007</v>
      </c>
      <c r="H106" s="5">
        <v>15.78</v>
      </c>
      <c r="I106" s="5">
        <v>2672</v>
      </c>
      <c r="J106" s="4" t="s">
        <v>125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124</v>
      </c>
      <c r="E107" s="4" t="s">
        <v>71</v>
      </c>
      <c r="F107" s="4">
        <v>692.64700000000005</v>
      </c>
      <c r="G107" s="5">
        <v>74.622700000000009</v>
      </c>
      <c r="H107" s="5">
        <v>15.77</v>
      </c>
      <c r="I107" s="5">
        <v>2691</v>
      </c>
      <c r="J107" s="4" t="s">
        <v>125</v>
      </c>
    </row>
    <row r="108" spans="1:10" x14ac:dyDescent="0.25">
      <c r="A108" s="4">
        <f t="shared" ca="1" si="3"/>
        <v>105</v>
      </c>
      <c r="B108" s="4" t="s">
        <v>337</v>
      </c>
      <c r="C108" s="4" t="s">
        <v>105</v>
      </c>
      <c r="D108" s="4" t="s">
        <v>124</v>
      </c>
      <c r="E108" s="4" t="s">
        <v>71</v>
      </c>
      <c r="F108" s="4">
        <v>713.91100000000006</v>
      </c>
      <c r="G108" s="5">
        <v>76.9071</v>
      </c>
      <c r="H108" s="5">
        <v>15.89</v>
      </c>
      <c r="I108" s="5">
        <v>2319</v>
      </c>
      <c r="J108" s="4" t="s">
        <v>125</v>
      </c>
    </row>
    <row r="109" spans="1:10" x14ac:dyDescent="0.25">
      <c r="A109" s="4">
        <f t="shared" ca="1" si="3"/>
        <v>106</v>
      </c>
      <c r="B109" s="4" t="s">
        <v>338</v>
      </c>
      <c r="C109" s="4" t="s">
        <v>339</v>
      </c>
      <c r="D109" s="4" t="s">
        <v>124</v>
      </c>
      <c r="E109" s="4" t="s">
        <v>71</v>
      </c>
      <c r="F109" s="4">
        <v>736.57800000000009</v>
      </c>
      <c r="G109" s="5">
        <v>78.604600000000005</v>
      </c>
      <c r="H109" s="5">
        <v>16.04</v>
      </c>
      <c r="I109" s="5">
        <v>1977</v>
      </c>
      <c r="J109" s="4" t="s">
        <v>125</v>
      </c>
    </row>
    <row r="110" spans="1:10" x14ac:dyDescent="0.25">
      <c r="A110" s="4">
        <f t="shared" ca="1" si="3"/>
        <v>107</v>
      </c>
      <c r="B110" s="4" t="s">
        <v>340</v>
      </c>
      <c r="C110" s="4" t="s">
        <v>341</v>
      </c>
      <c r="D110" s="4" t="s">
        <v>124</v>
      </c>
      <c r="E110" s="4" t="s">
        <v>71</v>
      </c>
      <c r="F110" s="4">
        <v>646.45100000000002</v>
      </c>
      <c r="G110" s="5">
        <v>71.895099999999999</v>
      </c>
      <c r="H110" s="5">
        <v>15.55</v>
      </c>
      <c r="I110" s="5">
        <v>4081</v>
      </c>
      <c r="J110" s="4" t="s">
        <v>125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124</v>
      </c>
      <c r="E111" s="4" t="s">
        <v>71</v>
      </c>
      <c r="F111" s="4">
        <v>1000</v>
      </c>
      <c r="G111" s="5">
        <v>106.68260000000001</v>
      </c>
      <c r="H111" s="5">
        <v>12.05</v>
      </c>
      <c r="I111" s="5">
        <v>169</v>
      </c>
      <c r="J111" s="4" t="s">
        <v>125</v>
      </c>
    </row>
    <row r="112" spans="1:10" x14ac:dyDescent="0.25">
      <c r="A112" s="4">
        <f t="shared" ca="1" si="3"/>
        <v>109</v>
      </c>
      <c r="B112" s="4" t="s">
        <v>344</v>
      </c>
      <c r="C112" s="4" t="s">
        <v>90</v>
      </c>
      <c r="D112" s="4" t="s">
        <v>124</v>
      </c>
      <c r="E112" s="4" t="s">
        <v>71</v>
      </c>
      <c r="F112" s="4">
        <v>769.97700000000009</v>
      </c>
      <c r="G112" s="5">
        <v>79.515000000000001</v>
      </c>
      <c r="H112" s="5">
        <v>16.47</v>
      </c>
      <c r="I112" s="5">
        <v>1342</v>
      </c>
      <c r="J112" s="4" t="s">
        <v>125</v>
      </c>
    </row>
    <row r="113" spans="1:10" x14ac:dyDescent="0.25">
      <c r="A113" s="4">
        <f t="shared" ca="1" si="3"/>
        <v>110</v>
      </c>
      <c r="B113" s="4" t="s">
        <v>345</v>
      </c>
      <c r="C113" s="4" t="s">
        <v>346</v>
      </c>
      <c r="D113" s="4" t="s">
        <v>124</v>
      </c>
      <c r="E113" s="4" t="s">
        <v>71</v>
      </c>
      <c r="F113" s="4">
        <v>752.09900000000005</v>
      </c>
      <c r="G113" s="5">
        <v>81.759200000000007</v>
      </c>
      <c r="H113" s="5">
        <v>16.34</v>
      </c>
      <c r="I113" s="5">
        <v>1517</v>
      </c>
      <c r="J113" s="4" t="s">
        <v>125</v>
      </c>
    </row>
    <row r="114" spans="1:10" x14ac:dyDescent="0.25">
      <c r="A114" s="4">
        <f t="shared" ca="1" si="3"/>
        <v>111</v>
      </c>
      <c r="B114" s="4" t="s">
        <v>347</v>
      </c>
      <c r="C114" s="4" t="s">
        <v>348</v>
      </c>
      <c r="D114" s="4" t="s">
        <v>124</v>
      </c>
      <c r="E114" s="4" t="s">
        <v>71</v>
      </c>
      <c r="F114" s="4">
        <v>585.93100000000004</v>
      </c>
      <c r="G114" s="5">
        <v>66.295600000000007</v>
      </c>
      <c r="H114" s="5">
        <v>15.46</v>
      </c>
      <c r="I114" s="5">
        <v>4758</v>
      </c>
      <c r="J114" s="4" t="s">
        <v>125</v>
      </c>
    </row>
    <row r="115" spans="1:10" x14ac:dyDescent="0.25">
      <c r="A115" s="4">
        <f t="shared" ca="1" si="3"/>
        <v>112</v>
      </c>
      <c r="B115" s="4" t="s">
        <v>349</v>
      </c>
      <c r="C115" s="4" t="s">
        <v>77</v>
      </c>
      <c r="D115" s="4" t="s">
        <v>124</v>
      </c>
      <c r="E115" s="4" t="s">
        <v>71</v>
      </c>
      <c r="F115" s="4">
        <v>927.73400000000004</v>
      </c>
      <c r="G115" s="5">
        <v>94.499800000000008</v>
      </c>
      <c r="H115" s="5">
        <v>17.41</v>
      </c>
      <c r="I115" s="5">
        <v>251</v>
      </c>
      <c r="J115" s="4" t="s">
        <v>125</v>
      </c>
    </row>
    <row r="116" spans="1:10" x14ac:dyDescent="0.25">
      <c r="A116" s="4">
        <f t="shared" ca="1" si="3"/>
        <v>113</v>
      </c>
      <c r="B116" s="4" t="s">
        <v>350</v>
      </c>
      <c r="C116" s="4" t="s">
        <v>72</v>
      </c>
      <c r="D116" s="4" t="s">
        <v>124</v>
      </c>
      <c r="E116" s="4" t="s">
        <v>71</v>
      </c>
      <c r="F116" s="4">
        <v>823.67900000000009</v>
      </c>
      <c r="G116" s="5">
        <v>83.133499999999998</v>
      </c>
      <c r="H116" s="5">
        <v>17.150000000000002</v>
      </c>
      <c r="I116" s="5">
        <v>678</v>
      </c>
      <c r="J116" s="4" t="s">
        <v>125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124</v>
      </c>
      <c r="E117" s="4" t="s">
        <v>71</v>
      </c>
      <c r="F117" s="4">
        <v>763.96500000000003</v>
      </c>
      <c r="G117" s="5">
        <v>77.634</v>
      </c>
      <c r="H117" s="5">
        <v>16.79</v>
      </c>
      <c r="I117" s="5">
        <v>1015</v>
      </c>
      <c r="J117" s="4" t="s">
        <v>125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124</v>
      </c>
      <c r="E118" s="4" t="s">
        <v>71</v>
      </c>
      <c r="F118" s="4">
        <v>603.745</v>
      </c>
      <c r="G118" s="5">
        <v>63.5289</v>
      </c>
      <c r="H118" s="5">
        <v>15.46</v>
      </c>
      <c r="I118" s="5">
        <v>4975</v>
      </c>
      <c r="J118" s="4" t="s">
        <v>125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124</v>
      </c>
      <c r="E119" s="4" t="s">
        <v>71</v>
      </c>
      <c r="F119" s="4">
        <v>600.00200000000007</v>
      </c>
      <c r="G119" s="5">
        <v>66.626500000000007</v>
      </c>
      <c r="H119" s="5">
        <v>15.46</v>
      </c>
      <c r="I119" s="5">
        <v>5191</v>
      </c>
      <c r="J119" s="4" t="s">
        <v>125</v>
      </c>
    </row>
    <row r="120" spans="1:10" x14ac:dyDescent="0.25">
      <c r="A120" s="4">
        <f t="shared" ca="1" si="3"/>
        <v>117</v>
      </c>
      <c r="B120" s="4" t="s">
        <v>357</v>
      </c>
      <c r="C120" s="4" t="s">
        <v>103</v>
      </c>
      <c r="D120" s="4" t="s">
        <v>124</v>
      </c>
      <c r="E120" s="4" t="s">
        <v>71</v>
      </c>
      <c r="F120" s="4">
        <v>863.8180000000001</v>
      </c>
      <c r="G120" s="5">
        <v>94.051200000000009</v>
      </c>
      <c r="H120" s="5">
        <v>16.61</v>
      </c>
      <c r="I120" s="5">
        <v>1207</v>
      </c>
      <c r="J120" s="4" t="s">
        <v>125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124</v>
      </c>
      <c r="E121" s="4" t="s">
        <v>71</v>
      </c>
      <c r="F121" s="4">
        <v>957.399</v>
      </c>
      <c r="G121" s="5">
        <v>99.733800000000002</v>
      </c>
      <c r="H121" s="5">
        <v>17.350000000000001</v>
      </c>
      <c r="I121" s="5">
        <v>205</v>
      </c>
      <c r="J121" s="4" t="s">
        <v>125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124</v>
      </c>
      <c r="E122" s="4" t="s">
        <v>71</v>
      </c>
      <c r="F122" s="4">
        <v>1000</v>
      </c>
      <c r="G122" s="5">
        <v>112.48530000000001</v>
      </c>
      <c r="H122" s="5">
        <v>12.55</v>
      </c>
      <c r="I122" s="5">
        <v>1099</v>
      </c>
      <c r="J122" s="4" t="s">
        <v>125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124</v>
      </c>
      <c r="E123" s="4" t="s">
        <v>71</v>
      </c>
      <c r="F123" s="4">
        <v>1000</v>
      </c>
      <c r="G123" s="5">
        <v>108.72550000000001</v>
      </c>
      <c r="H123" s="5">
        <v>11.93</v>
      </c>
      <c r="I123" s="5">
        <v>109</v>
      </c>
      <c r="J123" s="4" t="s">
        <v>125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124</v>
      </c>
      <c r="E124" s="4" t="s">
        <v>71</v>
      </c>
      <c r="F124" s="4">
        <v>1000</v>
      </c>
      <c r="G124" s="5">
        <v>109.7989</v>
      </c>
      <c r="H124" s="5">
        <v>12.42</v>
      </c>
      <c r="I124" s="5">
        <v>1176</v>
      </c>
      <c r="J124" s="4" t="s">
        <v>125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124</v>
      </c>
      <c r="E125" s="4" t="s">
        <v>71</v>
      </c>
      <c r="F125" s="4">
        <v>864.12200000000007</v>
      </c>
      <c r="G125" s="5">
        <v>87.691900000000004</v>
      </c>
      <c r="H125" s="5">
        <v>16.760000000000002</v>
      </c>
      <c r="I125" s="5">
        <v>1052</v>
      </c>
      <c r="J125" s="4" t="s">
        <v>125</v>
      </c>
    </row>
    <row r="126" spans="1:10" x14ac:dyDescent="0.25">
      <c r="A126" s="4">
        <f t="shared" ca="1" si="3"/>
        <v>123</v>
      </c>
      <c r="B126" s="4" t="s">
        <v>368</v>
      </c>
      <c r="C126" s="4" t="s">
        <v>369</v>
      </c>
      <c r="D126" s="4" t="s">
        <v>124</v>
      </c>
      <c r="E126" s="4" t="s">
        <v>71</v>
      </c>
      <c r="F126" s="4">
        <v>1000</v>
      </c>
      <c r="G126" s="5">
        <v>109.9028</v>
      </c>
      <c r="H126" s="5">
        <v>12.4</v>
      </c>
      <c r="I126" s="5">
        <v>807</v>
      </c>
      <c r="J126" s="4" t="s">
        <v>125</v>
      </c>
    </row>
    <row r="127" spans="1:10" x14ac:dyDescent="0.25">
      <c r="A127" s="4">
        <f t="shared" ca="1" si="3"/>
        <v>124</v>
      </c>
      <c r="B127" s="4" t="s">
        <v>370</v>
      </c>
      <c r="C127" s="4" t="s">
        <v>371</v>
      </c>
      <c r="D127" s="4" t="s">
        <v>124</v>
      </c>
      <c r="E127" s="4" t="s">
        <v>71</v>
      </c>
      <c r="F127" s="4">
        <v>602.14200000000005</v>
      </c>
      <c r="G127" s="5">
        <v>63.682300000000005</v>
      </c>
      <c r="H127" s="5">
        <v>15.84</v>
      </c>
      <c r="I127" s="5">
        <v>2327</v>
      </c>
      <c r="J127" s="4" t="s">
        <v>125</v>
      </c>
    </row>
    <row r="128" spans="1:10" x14ac:dyDescent="0.25">
      <c r="A128" s="4">
        <f t="shared" ca="1" si="3"/>
        <v>125</v>
      </c>
      <c r="B128" s="4" t="s">
        <v>372</v>
      </c>
      <c r="C128" s="4" t="s">
        <v>373</v>
      </c>
      <c r="D128" s="4" t="s">
        <v>124</v>
      </c>
      <c r="E128" s="4" t="s">
        <v>71</v>
      </c>
      <c r="F128" s="4">
        <v>789.54</v>
      </c>
      <c r="G128" s="5">
        <v>78.974100000000007</v>
      </c>
      <c r="H128" s="5">
        <v>16.71</v>
      </c>
      <c r="I128" s="5">
        <v>1096</v>
      </c>
      <c r="J128" s="4" t="s">
        <v>125</v>
      </c>
    </row>
    <row r="129" spans="1:10" x14ac:dyDescent="0.25">
      <c r="A129" s="4">
        <f t="shared" ca="1" si="3"/>
        <v>126</v>
      </c>
      <c r="B129" s="4" t="s">
        <v>374</v>
      </c>
      <c r="C129" s="4" t="s">
        <v>375</v>
      </c>
      <c r="D129" s="4" t="s">
        <v>124</v>
      </c>
      <c r="E129" s="4" t="s">
        <v>71</v>
      </c>
      <c r="F129" s="4">
        <v>781.89800000000002</v>
      </c>
      <c r="G129" s="5">
        <v>81.425899999999999</v>
      </c>
      <c r="H129" s="5">
        <v>16.95</v>
      </c>
      <c r="I129" s="5">
        <v>860</v>
      </c>
      <c r="J129" s="4" t="s">
        <v>125</v>
      </c>
    </row>
    <row r="130" spans="1:10" x14ac:dyDescent="0.25">
      <c r="A130" s="4">
        <f t="shared" ca="1" si="3"/>
        <v>127</v>
      </c>
      <c r="B130" s="4" t="s">
        <v>376</v>
      </c>
      <c r="C130" s="4" t="s">
        <v>107</v>
      </c>
      <c r="D130" s="4" t="s">
        <v>124</v>
      </c>
      <c r="E130" s="4" t="s">
        <v>71</v>
      </c>
      <c r="F130" s="4">
        <v>792.779</v>
      </c>
      <c r="G130" s="5">
        <v>83.27170000000001</v>
      </c>
      <c r="H130" s="5">
        <v>15.88</v>
      </c>
      <c r="I130" s="5">
        <v>2420</v>
      </c>
      <c r="J130" s="4" t="s">
        <v>125</v>
      </c>
    </row>
    <row r="131" spans="1:10" x14ac:dyDescent="0.25">
      <c r="A131" s="4">
        <f t="shared" ca="1" si="3"/>
        <v>128</v>
      </c>
      <c r="B131" s="4" t="s">
        <v>377</v>
      </c>
      <c r="C131" s="4" t="s">
        <v>80</v>
      </c>
      <c r="D131" s="4" t="s">
        <v>124</v>
      </c>
      <c r="E131" s="4" t="s">
        <v>71</v>
      </c>
      <c r="F131" s="4">
        <v>844.90800000000002</v>
      </c>
      <c r="G131" s="5">
        <v>88.388400000000004</v>
      </c>
      <c r="H131" s="5">
        <v>16.490000000000002</v>
      </c>
      <c r="I131" s="5">
        <v>1326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379</v>
      </c>
      <c r="D132" s="4" t="s">
        <v>124</v>
      </c>
      <c r="E132" s="4" t="s">
        <v>71</v>
      </c>
      <c r="F132" s="4">
        <v>1000</v>
      </c>
      <c r="G132" s="5">
        <v>102.49300000000001</v>
      </c>
      <c r="H132" s="5">
        <v>12.43</v>
      </c>
      <c r="I132" s="5">
        <v>1754</v>
      </c>
      <c r="J132" s="4" t="s">
        <v>125</v>
      </c>
    </row>
    <row r="133" spans="1:10" x14ac:dyDescent="0.25">
      <c r="A133" s="4">
        <f t="shared" ca="1" si="4"/>
        <v>130</v>
      </c>
      <c r="B133" s="4" t="s">
        <v>380</v>
      </c>
      <c r="C133" s="4" t="s">
        <v>381</v>
      </c>
      <c r="D133" s="4" t="s">
        <v>124</v>
      </c>
      <c r="E133" s="4" t="s">
        <v>71</v>
      </c>
      <c r="F133" s="4">
        <v>1000</v>
      </c>
      <c r="G133" s="5">
        <v>111.84180000000001</v>
      </c>
      <c r="H133" s="5">
        <v>12.46</v>
      </c>
      <c r="I133" s="5">
        <v>2210</v>
      </c>
      <c r="J133" s="4" t="s">
        <v>125</v>
      </c>
    </row>
    <row r="134" spans="1:10" x14ac:dyDescent="0.25">
      <c r="A134" s="4">
        <f t="shared" ca="1" si="4"/>
        <v>131</v>
      </c>
      <c r="B134" s="4" t="s">
        <v>382</v>
      </c>
      <c r="C134" s="4" t="s">
        <v>383</v>
      </c>
      <c r="D134" s="4" t="s">
        <v>124</v>
      </c>
      <c r="E134" s="4" t="s">
        <v>71</v>
      </c>
      <c r="F134" s="4">
        <v>1000</v>
      </c>
      <c r="G134" s="5">
        <v>102.56230000000001</v>
      </c>
      <c r="H134" s="5">
        <v>12.44</v>
      </c>
      <c r="I134" s="5">
        <v>2117</v>
      </c>
      <c r="J134" s="4" t="s">
        <v>125</v>
      </c>
    </row>
    <row r="135" spans="1:10" x14ac:dyDescent="0.25">
      <c r="A135" s="4">
        <f t="shared" ca="1" si="4"/>
        <v>132</v>
      </c>
      <c r="B135" s="4" t="s">
        <v>384</v>
      </c>
      <c r="C135" s="4" t="s">
        <v>385</v>
      </c>
      <c r="D135" s="4" t="s">
        <v>124</v>
      </c>
      <c r="E135" s="4" t="s">
        <v>71</v>
      </c>
      <c r="F135" s="4">
        <v>916.48400000000004</v>
      </c>
      <c r="G135" s="5">
        <v>97.484000000000009</v>
      </c>
      <c r="H135" s="5">
        <v>17.27</v>
      </c>
      <c r="I135" s="5">
        <v>525</v>
      </c>
      <c r="J135" s="4" t="s">
        <v>125</v>
      </c>
    </row>
    <row r="136" spans="1:10" x14ac:dyDescent="0.25">
      <c r="A136" s="4">
        <f t="shared" ca="1" si="4"/>
        <v>133</v>
      </c>
      <c r="B136" s="4" t="s">
        <v>386</v>
      </c>
      <c r="C136" s="4" t="s">
        <v>387</v>
      </c>
      <c r="D136" s="4" t="s">
        <v>124</v>
      </c>
      <c r="E136" s="4" t="s">
        <v>71</v>
      </c>
      <c r="F136" s="4">
        <v>766.38600000000008</v>
      </c>
      <c r="G136" s="5">
        <v>86.246000000000009</v>
      </c>
      <c r="H136" s="5">
        <v>15.58</v>
      </c>
      <c r="I136" s="5">
        <v>4067</v>
      </c>
      <c r="J136" s="4" t="s">
        <v>125</v>
      </c>
    </row>
    <row r="137" spans="1:10" x14ac:dyDescent="0.25">
      <c r="A137" s="4">
        <f t="shared" ca="1" si="4"/>
        <v>134</v>
      </c>
      <c r="B137" s="4" t="s">
        <v>388</v>
      </c>
      <c r="C137" s="4" t="s">
        <v>101</v>
      </c>
      <c r="D137" s="4" t="s">
        <v>124</v>
      </c>
      <c r="E137" s="4" t="s">
        <v>71</v>
      </c>
      <c r="F137" s="4">
        <v>993.26400000000001</v>
      </c>
      <c r="G137" s="5">
        <v>103.47580000000001</v>
      </c>
      <c r="H137" s="5">
        <v>16.690000000000001</v>
      </c>
      <c r="I137" s="5">
        <v>42</v>
      </c>
      <c r="J137" s="4" t="s">
        <v>125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124</v>
      </c>
      <c r="E138" s="4" t="s">
        <v>71</v>
      </c>
      <c r="F138" s="4">
        <v>845.72800000000007</v>
      </c>
      <c r="G138" s="5">
        <v>93.953400000000002</v>
      </c>
      <c r="H138" s="5">
        <v>16.37</v>
      </c>
      <c r="I138" s="5">
        <v>1517</v>
      </c>
      <c r="J138" s="4" t="s">
        <v>125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124</v>
      </c>
      <c r="E139" s="4" t="s">
        <v>71</v>
      </c>
      <c r="F139" s="4">
        <v>755.35400000000004</v>
      </c>
      <c r="G139" s="5">
        <v>78.709500000000006</v>
      </c>
      <c r="H139" s="5">
        <v>15.59</v>
      </c>
      <c r="I139" s="5">
        <v>3911</v>
      </c>
      <c r="J139" s="4" t="s">
        <v>125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124</v>
      </c>
      <c r="E140" s="4" t="s">
        <v>71</v>
      </c>
      <c r="F140" s="4">
        <v>749.92499999999995</v>
      </c>
      <c r="G140" s="5">
        <v>83.257199999999997</v>
      </c>
      <c r="H140" s="5">
        <v>15.74</v>
      </c>
      <c r="I140" s="5">
        <v>2991</v>
      </c>
      <c r="J140" s="4" t="s">
        <v>125</v>
      </c>
    </row>
    <row r="141" spans="1:10" x14ac:dyDescent="0.25">
      <c r="A141" s="4">
        <f t="shared" ca="1" si="4"/>
        <v>138</v>
      </c>
      <c r="B141" s="4" t="s">
        <v>395</v>
      </c>
      <c r="C141" s="4" t="s">
        <v>86</v>
      </c>
      <c r="D141" s="4" t="s">
        <v>124</v>
      </c>
      <c r="E141" s="4" t="s">
        <v>71</v>
      </c>
      <c r="F141" s="4">
        <v>879.48400000000004</v>
      </c>
      <c r="G141" s="5">
        <v>94.852800000000002</v>
      </c>
      <c r="H141" s="5">
        <v>16.97</v>
      </c>
      <c r="I141" s="5">
        <v>854</v>
      </c>
      <c r="J141" s="4" t="s">
        <v>125</v>
      </c>
    </row>
    <row r="142" spans="1:10" x14ac:dyDescent="0.25">
      <c r="A142" s="4">
        <f t="shared" ca="1" si="4"/>
        <v>139</v>
      </c>
      <c r="B142" s="4" t="s">
        <v>396</v>
      </c>
      <c r="C142" s="4" t="s">
        <v>397</v>
      </c>
      <c r="D142" s="4" t="s">
        <v>124</v>
      </c>
      <c r="E142" s="4" t="s">
        <v>71</v>
      </c>
      <c r="F142" s="4">
        <v>962.82800000000009</v>
      </c>
      <c r="G142" s="5">
        <v>99.987000000000009</v>
      </c>
      <c r="H142" s="5">
        <v>16.72</v>
      </c>
      <c r="I142" s="5">
        <v>237</v>
      </c>
      <c r="J142" s="4" t="s">
        <v>125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124</v>
      </c>
      <c r="E143" s="4" t="s">
        <v>71</v>
      </c>
      <c r="F143" s="4">
        <v>743.678</v>
      </c>
      <c r="G143" s="5">
        <v>82.083800000000011</v>
      </c>
      <c r="H143" s="5">
        <v>15.65</v>
      </c>
      <c r="I143" s="5">
        <v>3377</v>
      </c>
      <c r="J143" s="4" t="s">
        <v>125</v>
      </c>
    </row>
    <row r="144" spans="1:10" x14ac:dyDescent="0.25">
      <c r="A144" s="4">
        <f t="shared" ca="1" si="4"/>
        <v>141</v>
      </c>
      <c r="B144" s="4" t="s">
        <v>400</v>
      </c>
      <c r="C144" s="4" t="s">
        <v>115</v>
      </c>
      <c r="D144" s="4" t="s">
        <v>124</v>
      </c>
      <c r="E144" s="4" t="s">
        <v>71</v>
      </c>
      <c r="F144" s="4">
        <v>802.95300000000009</v>
      </c>
      <c r="G144" s="5">
        <v>87.848600000000005</v>
      </c>
      <c r="H144" s="5">
        <v>16.080000000000002</v>
      </c>
      <c r="I144" s="5">
        <v>1923</v>
      </c>
      <c r="J144" s="4" t="s">
        <v>125</v>
      </c>
    </row>
    <row r="145" spans="1:10" x14ac:dyDescent="0.25">
      <c r="A145" s="4">
        <f t="shared" ca="1" si="4"/>
        <v>142</v>
      </c>
      <c r="B145" s="4" t="s">
        <v>401</v>
      </c>
      <c r="C145" s="4" t="s">
        <v>402</v>
      </c>
      <c r="D145" s="4" t="s">
        <v>124</v>
      </c>
      <c r="E145" s="4" t="s">
        <v>71</v>
      </c>
      <c r="F145" s="4">
        <v>780.41700000000003</v>
      </c>
      <c r="G145" s="5">
        <v>81.248699999999999</v>
      </c>
      <c r="H145" s="5">
        <v>15.77</v>
      </c>
      <c r="I145" s="5">
        <v>2813</v>
      </c>
      <c r="J145" s="4" t="s">
        <v>125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124</v>
      </c>
      <c r="E146" s="4" t="s">
        <v>71</v>
      </c>
      <c r="F146" s="4">
        <v>979.65700000000004</v>
      </c>
      <c r="G146" s="5">
        <v>101.24760000000001</v>
      </c>
      <c r="H146" s="5">
        <v>16.75</v>
      </c>
      <c r="I146" s="5">
        <v>280</v>
      </c>
      <c r="J146" s="4" t="s">
        <v>125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124</v>
      </c>
      <c r="E147" s="4" t="s">
        <v>71</v>
      </c>
      <c r="F147" s="4">
        <v>981.81</v>
      </c>
      <c r="G147" s="5">
        <v>99.16170000000001</v>
      </c>
      <c r="H147" s="5">
        <v>16.47</v>
      </c>
      <c r="I147" s="5">
        <v>708</v>
      </c>
      <c r="J147" s="4" t="s">
        <v>125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124</v>
      </c>
      <c r="E148" s="4" t="s">
        <v>71</v>
      </c>
      <c r="F148" s="4">
        <v>922.53700000000003</v>
      </c>
      <c r="G148" s="5">
        <v>100.1093</v>
      </c>
      <c r="H148" s="5">
        <v>15.94</v>
      </c>
      <c r="I148" s="5">
        <v>2352</v>
      </c>
      <c r="J148" s="4" t="s">
        <v>125</v>
      </c>
    </row>
    <row r="149" spans="1:10" x14ac:dyDescent="0.25">
      <c r="A149" s="4">
        <f t="shared" ca="1" si="4"/>
        <v>146</v>
      </c>
      <c r="B149" s="4" t="s">
        <v>409</v>
      </c>
      <c r="C149" s="4" t="s">
        <v>410</v>
      </c>
      <c r="D149" s="4" t="s">
        <v>124</v>
      </c>
      <c r="E149" s="4" t="s">
        <v>71</v>
      </c>
      <c r="F149" s="4">
        <v>966.33500000000004</v>
      </c>
      <c r="G149" s="5">
        <v>108.44850000000001</v>
      </c>
      <c r="H149" s="5">
        <v>16.64</v>
      </c>
      <c r="I149" s="5">
        <v>1179</v>
      </c>
      <c r="J149" s="4" t="s">
        <v>125</v>
      </c>
    </row>
    <row r="150" spans="1:10" x14ac:dyDescent="0.25">
      <c r="A150" s="4">
        <f t="shared" ca="1" si="4"/>
        <v>147</v>
      </c>
      <c r="B150" s="4" t="s">
        <v>411</v>
      </c>
      <c r="C150" s="4" t="s">
        <v>412</v>
      </c>
      <c r="D150" s="4" t="s">
        <v>124</v>
      </c>
      <c r="E150" s="4" t="s">
        <v>71</v>
      </c>
      <c r="F150" s="4">
        <v>1000</v>
      </c>
      <c r="G150" s="5">
        <v>104.50540000000001</v>
      </c>
      <c r="H150" s="5">
        <v>17.490000000000002</v>
      </c>
      <c r="I150" s="5">
        <v>273</v>
      </c>
      <c r="J150" s="4" t="s">
        <v>125</v>
      </c>
    </row>
    <row r="151" spans="1:10" x14ac:dyDescent="0.25">
      <c r="A151" s="4">
        <f t="shared" ca="1" si="4"/>
        <v>148</v>
      </c>
      <c r="B151" s="4" t="s">
        <v>413</v>
      </c>
      <c r="C151" s="4" t="s">
        <v>414</v>
      </c>
      <c r="D151" s="4" t="s">
        <v>124</v>
      </c>
      <c r="E151" s="4" t="s">
        <v>71</v>
      </c>
      <c r="F151" s="4">
        <v>925.32100000000003</v>
      </c>
      <c r="G151" s="5">
        <v>100.65990000000001</v>
      </c>
      <c r="H151" s="5">
        <v>16.09</v>
      </c>
      <c r="I151" s="5">
        <v>1979</v>
      </c>
      <c r="J151" s="4" t="s">
        <v>125</v>
      </c>
    </row>
    <row r="152" spans="1:10" x14ac:dyDescent="0.25">
      <c r="A152" s="4">
        <f t="shared" ca="1" si="4"/>
        <v>149</v>
      </c>
      <c r="B152" s="4" t="s">
        <v>415</v>
      </c>
      <c r="C152" s="4" t="s">
        <v>416</v>
      </c>
      <c r="D152" s="4" t="s">
        <v>124</v>
      </c>
      <c r="E152" s="4" t="s">
        <v>71</v>
      </c>
      <c r="F152" s="4">
        <v>985.48</v>
      </c>
      <c r="G152" s="5">
        <v>104.9265</v>
      </c>
      <c r="H152" s="5">
        <v>16.649999999999999</v>
      </c>
      <c r="I152" s="5">
        <v>196</v>
      </c>
      <c r="J152" s="4" t="s">
        <v>125</v>
      </c>
    </row>
    <row r="153" spans="1:10" x14ac:dyDescent="0.25">
      <c r="A153" s="4">
        <f t="shared" ca="1" si="4"/>
        <v>150</v>
      </c>
      <c r="B153" s="4" t="s">
        <v>417</v>
      </c>
      <c r="C153" s="4" t="s">
        <v>418</v>
      </c>
      <c r="D153" s="4" t="s">
        <v>124</v>
      </c>
      <c r="E153" s="4" t="s">
        <v>71</v>
      </c>
      <c r="F153" s="4">
        <v>938.71400000000006</v>
      </c>
      <c r="G153" s="5">
        <v>101.33720000000001</v>
      </c>
      <c r="H153" s="5">
        <v>15.84</v>
      </c>
      <c r="I153" s="5">
        <v>2734</v>
      </c>
      <c r="J153" s="4" t="s">
        <v>125</v>
      </c>
    </row>
    <row r="154" spans="1:10" x14ac:dyDescent="0.25">
      <c r="A154" s="4">
        <f t="shared" ca="1" si="4"/>
        <v>151</v>
      </c>
      <c r="B154" s="4" t="s">
        <v>419</v>
      </c>
      <c r="C154" s="4" t="s">
        <v>420</v>
      </c>
      <c r="D154" s="4" t="s">
        <v>124</v>
      </c>
      <c r="E154" s="4" t="s">
        <v>71</v>
      </c>
      <c r="F154" s="4">
        <v>859.99700000000007</v>
      </c>
      <c r="G154" s="5">
        <v>95.63300000000001</v>
      </c>
      <c r="H154" s="5">
        <v>16.14</v>
      </c>
      <c r="I154" s="5">
        <v>1900</v>
      </c>
      <c r="J154" s="4" t="s">
        <v>125</v>
      </c>
    </row>
    <row r="155" spans="1:10" x14ac:dyDescent="0.25">
      <c r="A155" s="4">
        <f t="shared" ca="1" si="4"/>
        <v>152</v>
      </c>
      <c r="B155" s="4" t="s">
        <v>421</v>
      </c>
      <c r="C155" s="4" t="s">
        <v>83</v>
      </c>
      <c r="D155" s="4" t="s">
        <v>124</v>
      </c>
      <c r="E155" s="4" t="s">
        <v>71</v>
      </c>
      <c r="F155" s="4">
        <v>1028.903</v>
      </c>
      <c r="G155" s="5">
        <v>108.74930000000001</v>
      </c>
      <c r="H155" s="5">
        <v>15.91</v>
      </c>
      <c r="I155" s="5">
        <v>1336</v>
      </c>
      <c r="J155" s="4" t="s">
        <v>125</v>
      </c>
    </row>
    <row r="156" spans="1:10" x14ac:dyDescent="0.25">
      <c r="A156" s="4">
        <f t="shared" ca="1" si="4"/>
        <v>153</v>
      </c>
      <c r="B156" s="4" t="s">
        <v>422</v>
      </c>
      <c r="C156" s="4" t="s">
        <v>423</v>
      </c>
      <c r="D156" s="4" t="s">
        <v>124</v>
      </c>
      <c r="E156" s="4" t="s">
        <v>71</v>
      </c>
      <c r="F156" s="4">
        <v>941.68900000000008</v>
      </c>
      <c r="G156" s="5">
        <v>105.2453</v>
      </c>
      <c r="H156" s="5">
        <v>15.77</v>
      </c>
      <c r="I156" s="5">
        <v>3008</v>
      </c>
      <c r="J156" s="4" t="s">
        <v>125</v>
      </c>
    </row>
    <row r="157" spans="1:10" x14ac:dyDescent="0.25">
      <c r="A157" s="4">
        <f t="shared" ca="1" si="4"/>
        <v>154</v>
      </c>
      <c r="B157" s="4" t="s">
        <v>424</v>
      </c>
      <c r="C157" s="4" t="s">
        <v>425</v>
      </c>
      <c r="D157" s="4" t="s">
        <v>124</v>
      </c>
      <c r="E157" s="4" t="s">
        <v>71</v>
      </c>
      <c r="F157" s="4">
        <v>946.096</v>
      </c>
      <c r="G157" s="5">
        <v>105.7624</v>
      </c>
      <c r="H157" s="5">
        <v>15.98</v>
      </c>
      <c r="I157" s="5">
        <v>2278</v>
      </c>
      <c r="J157" s="4" t="s">
        <v>125</v>
      </c>
    </row>
    <row r="158" spans="1:10" x14ac:dyDescent="0.25">
      <c r="A158" s="4">
        <f t="shared" ca="1" si="4"/>
        <v>155</v>
      </c>
      <c r="B158" s="4" t="s">
        <v>426</v>
      </c>
      <c r="C158" s="4" t="s">
        <v>427</v>
      </c>
      <c r="D158" s="4" t="s">
        <v>124</v>
      </c>
      <c r="E158" s="4" t="s">
        <v>71</v>
      </c>
      <c r="F158" s="4">
        <v>918.95600000000002</v>
      </c>
      <c r="G158" s="5">
        <v>99.689800000000005</v>
      </c>
      <c r="H158" s="5">
        <v>15.56</v>
      </c>
      <c r="I158" s="5">
        <v>4546</v>
      </c>
      <c r="J158" s="4" t="s">
        <v>125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124</v>
      </c>
      <c r="E159" s="4" t="s">
        <v>71</v>
      </c>
      <c r="F159" s="4">
        <v>1000</v>
      </c>
      <c r="G159" s="5">
        <v>110.42700000000001</v>
      </c>
      <c r="H159" s="5">
        <v>14.89</v>
      </c>
      <c r="I159" s="5">
        <v>1937</v>
      </c>
      <c r="J159" s="4" t="s">
        <v>125</v>
      </c>
    </row>
    <row r="160" spans="1:10" x14ac:dyDescent="0.25">
      <c r="A160" s="4">
        <f t="shared" ca="1" si="4"/>
        <v>157</v>
      </c>
      <c r="B160" s="4" t="s">
        <v>430</v>
      </c>
      <c r="C160" s="4" t="s">
        <v>113</v>
      </c>
      <c r="D160" s="4" t="s">
        <v>124</v>
      </c>
      <c r="E160" s="4" t="s">
        <v>71</v>
      </c>
      <c r="F160" s="4">
        <v>872.98099999999999</v>
      </c>
      <c r="G160" s="5">
        <v>96.431400000000011</v>
      </c>
      <c r="H160" s="5">
        <v>16.32</v>
      </c>
      <c r="I160" s="5">
        <v>1548</v>
      </c>
      <c r="J160" s="4" t="s">
        <v>125</v>
      </c>
    </row>
    <row r="161" spans="1:10" x14ac:dyDescent="0.25">
      <c r="A161" s="4">
        <f t="shared" ca="1" si="4"/>
        <v>158</v>
      </c>
      <c r="B161" s="4" t="s">
        <v>431</v>
      </c>
      <c r="C161" s="4" t="s">
        <v>432</v>
      </c>
      <c r="D161" s="4" t="s">
        <v>124</v>
      </c>
      <c r="E161" s="4" t="s">
        <v>71</v>
      </c>
      <c r="F161" s="4">
        <v>93.421199999999999</v>
      </c>
      <c r="G161" s="5">
        <v>93.421199999999999</v>
      </c>
      <c r="H161" s="5">
        <v>16.580000000000002</v>
      </c>
      <c r="I161" s="5">
        <v>156</v>
      </c>
      <c r="J161" s="4" t="s">
        <v>125</v>
      </c>
    </row>
    <row r="162" spans="1:10" x14ac:dyDescent="0.25">
      <c r="A162" s="4">
        <f t="shared" ca="1" si="4"/>
        <v>159</v>
      </c>
      <c r="B162" s="4" t="s">
        <v>433</v>
      </c>
      <c r="C162" s="4" t="s">
        <v>75</v>
      </c>
      <c r="D162" s="4" t="s">
        <v>124</v>
      </c>
      <c r="E162" s="4" t="s">
        <v>71</v>
      </c>
      <c r="F162" s="4">
        <v>97.549700000000001</v>
      </c>
      <c r="G162" s="5">
        <v>97.549700000000001</v>
      </c>
      <c r="H162" s="5">
        <v>16.080000000000002</v>
      </c>
      <c r="I162" s="5">
        <v>58</v>
      </c>
      <c r="J162" s="4" t="s">
        <v>125</v>
      </c>
    </row>
    <row r="163" spans="1:10" x14ac:dyDescent="0.25">
      <c r="A163" s="4">
        <f t="shared" ca="1" si="4"/>
        <v>160</v>
      </c>
      <c r="B163" s="4" t="s">
        <v>434</v>
      </c>
      <c r="C163" s="4" t="s">
        <v>435</v>
      </c>
      <c r="D163" s="4" t="s">
        <v>124</v>
      </c>
      <c r="E163" s="4" t="s">
        <v>71</v>
      </c>
      <c r="F163" s="4">
        <v>917.85400000000004</v>
      </c>
      <c r="G163" s="5">
        <v>103.37430000000001</v>
      </c>
      <c r="H163" s="5">
        <v>15.72</v>
      </c>
      <c r="I163" s="5">
        <v>3352</v>
      </c>
      <c r="J163" s="4" t="s">
        <v>125</v>
      </c>
    </row>
    <row r="164" spans="1:10" x14ac:dyDescent="0.25">
      <c r="A164" s="4">
        <f t="shared" ref="A164:A195" ca="1" si="5">IF(OFFSET(A164,-1,0)="№ п/п",1,OFFSET(A164,-1,0)+1)</f>
        <v>161</v>
      </c>
      <c r="B164" s="4" t="s">
        <v>436</v>
      </c>
      <c r="C164" s="4" t="s">
        <v>437</v>
      </c>
      <c r="D164" s="4" t="s">
        <v>124</v>
      </c>
      <c r="E164" s="4" t="s">
        <v>71</v>
      </c>
      <c r="F164" s="4">
        <v>0.98624999999999996</v>
      </c>
      <c r="G164" s="5">
        <v>99.436900000000009</v>
      </c>
      <c r="H164" s="5">
        <v>4.9000000000000004</v>
      </c>
      <c r="I164" s="5">
        <v>3407</v>
      </c>
      <c r="J164" s="4" t="s">
        <v>125</v>
      </c>
    </row>
    <row r="165" spans="1:10" x14ac:dyDescent="0.25">
      <c r="A165" s="4">
        <f t="shared" ca="1" si="5"/>
        <v>162</v>
      </c>
      <c r="B165" s="4" t="s">
        <v>438</v>
      </c>
      <c r="C165" s="4" t="s">
        <v>439</v>
      </c>
      <c r="D165" s="4" t="s">
        <v>124</v>
      </c>
      <c r="E165" s="4" t="s">
        <v>71</v>
      </c>
      <c r="F165" s="4">
        <v>1042.721</v>
      </c>
      <c r="G165" s="5">
        <v>107.1913</v>
      </c>
      <c r="H165" s="5">
        <v>15.64</v>
      </c>
      <c r="I165" s="5">
        <v>1764</v>
      </c>
      <c r="J165" s="4" t="s">
        <v>125</v>
      </c>
    </row>
    <row r="166" spans="1:10" x14ac:dyDescent="0.25">
      <c r="A166" s="4">
        <f t="shared" ca="1" si="5"/>
        <v>163</v>
      </c>
      <c r="B166" s="4" t="s">
        <v>440</v>
      </c>
      <c r="C166" s="4" t="s">
        <v>441</v>
      </c>
      <c r="D166" s="4" t="s">
        <v>119</v>
      </c>
      <c r="E166" s="4" t="s">
        <v>442</v>
      </c>
      <c r="F166" s="4">
        <v>325.24</v>
      </c>
      <c r="G166" s="5"/>
      <c r="H166" s="5"/>
      <c r="I166" s="5"/>
      <c r="J166" s="4" t="s">
        <v>121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119</v>
      </c>
      <c r="E167" s="4" t="s">
        <v>442</v>
      </c>
      <c r="F167" s="4">
        <v>25.64</v>
      </c>
      <c r="G167" s="5"/>
      <c r="H167" s="5"/>
      <c r="I167" s="5"/>
      <c r="J167" s="4" t="s">
        <v>146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124</v>
      </c>
      <c r="E168" s="4" t="s">
        <v>442</v>
      </c>
      <c r="F168" s="4">
        <v>1000.31</v>
      </c>
      <c r="G168" s="5">
        <v>100.43870000000001</v>
      </c>
      <c r="H168" s="5">
        <v>18.57</v>
      </c>
      <c r="I168" s="5">
        <v>723</v>
      </c>
      <c r="J168" s="4" t="s">
        <v>125</v>
      </c>
    </row>
    <row r="169" spans="1:10" x14ac:dyDescent="0.25">
      <c r="A169" s="4">
        <f t="shared" ca="1" si="5"/>
        <v>166</v>
      </c>
      <c r="B169" s="4" t="s">
        <v>447</v>
      </c>
      <c r="C169" s="4" t="s">
        <v>448</v>
      </c>
      <c r="D169" s="4" t="s">
        <v>124</v>
      </c>
      <c r="E169" s="4" t="s">
        <v>449</v>
      </c>
      <c r="F169" s="4">
        <v>876.851</v>
      </c>
      <c r="G169" s="5">
        <v>88.683999999999997</v>
      </c>
      <c r="H169" s="5">
        <v>17.990000000000002</v>
      </c>
      <c r="I169" s="5">
        <v>1068</v>
      </c>
      <c r="J169" s="4" t="s">
        <v>125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119</v>
      </c>
      <c r="E170" s="4" t="s">
        <v>452</v>
      </c>
      <c r="F170" s="4">
        <v>878.73</v>
      </c>
      <c r="G170" s="5"/>
      <c r="H170" s="5"/>
      <c r="I170" s="5"/>
      <c r="J170" s="4" t="s">
        <v>121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124</v>
      </c>
      <c r="E171" s="4" t="s">
        <v>455</v>
      </c>
      <c r="F171" s="4">
        <v>802.96900000000005</v>
      </c>
      <c r="G171" s="5">
        <v>85.582999999999998</v>
      </c>
      <c r="H171" s="5">
        <v>17.48</v>
      </c>
      <c r="I171" s="5">
        <v>1651</v>
      </c>
      <c r="J171" s="4" t="s">
        <v>125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124</v>
      </c>
      <c r="E172" s="4" t="s">
        <v>455</v>
      </c>
      <c r="F172" s="4">
        <v>0.87262899999999999</v>
      </c>
      <c r="G172" s="5">
        <v>87.549700000000001</v>
      </c>
      <c r="H172" s="5">
        <v>5.72</v>
      </c>
      <c r="I172" s="5">
        <v>1973</v>
      </c>
      <c r="J172" s="4" t="s">
        <v>125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124</v>
      </c>
      <c r="E173" s="4" t="s">
        <v>455</v>
      </c>
      <c r="F173" s="4">
        <v>1001.7320000000001</v>
      </c>
      <c r="G173" s="5">
        <v>100.87320000000001</v>
      </c>
      <c r="H173" s="5">
        <v>5.2</v>
      </c>
      <c r="I173" s="5">
        <v>1413</v>
      </c>
      <c r="J173" s="4" t="s">
        <v>125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124</v>
      </c>
      <c r="E174" s="4" t="s">
        <v>455</v>
      </c>
      <c r="F174" s="4">
        <v>0.98921999999999999</v>
      </c>
      <c r="G174" s="5">
        <v>99.624800000000008</v>
      </c>
      <c r="H174" s="5">
        <v>4.84</v>
      </c>
      <c r="I174" s="5">
        <v>1878</v>
      </c>
      <c r="J174" s="4" t="s">
        <v>125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124</v>
      </c>
      <c r="E175" s="4" t="s">
        <v>455</v>
      </c>
      <c r="F175" s="4">
        <v>1.006885</v>
      </c>
      <c r="G175" s="5">
        <v>101.61550000000001</v>
      </c>
      <c r="H175" s="5">
        <v>3.08</v>
      </c>
      <c r="I175" s="5">
        <v>996</v>
      </c>
      <c r="J175" s="4" t="s">
        <v>125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124</v>
      </c>
      <c r="E176" s="4" t="s">
        <v>66</v>
      </c>
      <c r="F176" s="4">
        <v>1041.125</v>
      </c>
      <c r="G176" s="5">
        <v>111.8096</v>
      </c>
      <c r="H176" s="5">
        <v>18.03</v>
      </c>
      <c r="I176" s="5">
        <v>1502</v>
      </c>
      <c r="J176" s="4" t="s">
        <v>125</v>
      </c>
    </row>
    <row r="177" spans="1:10" x14ac:dyDescent="0.25">
      <c r="A177" s="4">
        <f t="shared" ca="1" si="5"/>
        <v>174</v>
      </c>
      <c r="B177" s="4" t="s">
        <v>466</v>
      </c>
      <c r="C177" s="4" t="s">
        <v>467</v>
      </c>
      <c r="D177" s="4" t="s">
        <v>124</v>
      </c>
      <c r="E177" s="4" t="s">
        <v>66</v>
      </c>
      <c r="F177" s="4">
        <v>1051.384</v>
      </c>
      <c r="G177" s="5">
        <v>106.00500000000001</v>
      </c>
      <c r="H177" s="5">
        <v>17.900000000000002</v>
      </c>
      <c r="I177" s="5">
        <v>1446</v>
      </c>
      <c r="J177" s="4" t="s">
        <v>125</v>
      </c>
    </row>
    <row r="178" spans="1:10" x14ac:dyDescent="0.25">
      <c r="A178" s="4">
        <f t="shared" ca="1" si="5"/>
        <v>175</v>
      </c>
      <c r="B178" s="4" t="s">
        <v>468</v>
      </c>
      <c r="C178" s="4" t="s">
        <v>469</v>
      </c>
      <c r="D178" s="4" t="s">
        <v>119</v>
      </c>
      <c r="E178" s="4" t="s">
        <v>470</v>
      </c>
      <c r="F178" s="4">
        <v>30245.3</v>
      </c>
      <c r="G178" s="5"/>
      <c r="H178" s="5"/>
      <c r="I178" s="5"/>
      <c r="J178" s="4" t="s">
        <v>121</v>
      </c>
    </row>
    <row r="179" spans="1:10" x14ac:dyDescent="0.25">
      <c r="A179" s="4">
        <f t="shared" ca="1" si="5"/>
        <v>176</v>
      </c>
      <c r="B179" s="4" t="s">
        <v>471</v>
      </c>
      <c r="C179" s="4" t="s">
        <v>472</v>
      </c>
      <c r="D179" s="4" t="s">
        <v>119</v>
      </c>
      <c r="E179" s="4" t="s">
        <v>470</v>
      </c>
      <c r="F179" s="4">
        <v>59.91</v>
      </c>
      <c r="G179" s="5"/>
      <c r="H179" s="5"/>
      <c r="I179" s="5"/>
      <c r="J179" s="4" t="s">
        <v>146</v>
      </c>
    </row>
    <row r="180" spans="1:10" x14ac:dyDescent="0.25">
      <c r="A180" s="4">
        <f t="shared" ca="1" si="5"/>
        <v>177</v>
      </c>
      <c r="B180" s="4" t="s">
        <v>473</v>
      </c>
      <c r="C180" s="4" t="s">
        <v>474</v>
      </c>
      <c r="D180" s="4" t="s">
        <v>119</v>
      </c>
      <c r="E180" s="4" t="s">
        <v>475</v>
      </c>
      <c r="F180" s="4">
        <v>39349.279999999999</v>
      </c>
      <c r="G180" s="5"/>
      <c r="H180" s="5"/>
      <c r="I180" s="5"/>
      <c r="J180" s="4" t="s">
        <v>121</v>
      </c>
    </row>
    <row r="181" spans="1:10" x14ac:dyDescent="0.25">
      <c r="A181" s="4">
        <f t="shared" ca="1" si="5"/>
        <v>178</v>
      </c>
      <c r="B181" s="4" t="s">
        <v>476</v>
      </c>
      <c r="C181" s="4" t="s">
        <v>477</v>
      </c>
      <c r="D181" s="4" t="s">
        <v>119</v>
      </c>
      <c r="E181" s="4" t="s">
        <v>475</v>
      </c>
      <c r="F181" s="4">
        <v>77.19</v>
      </c>
      <c r="G181" s="5"/>
      <c r="H181" s="5"/>
      <c r="I181" s="5"/>
      <c r="J181" s="4" t="s">
        <v>146</v>
      </c>
    </row>
    <row r="182" spans="1:10" x14ac:dyDescent="0.25">
      <c r="A182" s="4">
        <f t="shared" ca="1" si="5"/>
        <v>179</v>
      </c>
      <c r="B182" s="4" t="s">
        <v>478</v>
      </c>
      <c r="C182" s="4" t="s">
        <v>479</v>
      </c>
      <c r="D182" s="4" t="s">
        <v>124</v>
      </c>
      <c r="E182" s="4" t="s">
        <v>480</v>
      </c>
      <c r="F182" s="4">
        <v>1015.234</v>
      </c>
      <c r="G182" s="5">
        <v>104.9012</v>
      </c>
      <c r="H182" s="5">
        <v>18.48</v>
      </c>
      <c r="I182" s="5">
        <v>1762</v>
      </c>
      <c r="J182" s="4" t="s">
        <v>125</v>
      </c>
    </row>
    <row r="183" spans="1:10" x14ac:dyDescent="0.25">
      <c r="A183" s="4">
        <f t="shared" ca="1" si="5"/>
        <v>180</v>
      </c>
      <c r="B183" s="4" t="s">
        <v>481</v>
      </c>
      <c r="C183" s="4" t="s">
        <v>482</v>
      </c>
      <c r="D183" s="4" t="s">
        <v>124</v>
      </c>
      <c r="E183" s="4" t="s">
        <v>480</v>
      </c>
      <c r="F183" s="4">
        <v>1015.234</v>
      </c>
      <c r="G183" s="5">
        <v>104.9012</v>
      </c>
      <c r="H183" s="5">
        <v>18.48</v>
      </c>
      <c r="I183" s="5">
        <v>1762</v>
      </c>
      <c r="J183" s="4" t="s">
        <v>125</v>
      </c>
    </row>
    <row r="184" spans="1:10" x14ac:dyDescent="0.25">
      <c r="A184" s="4">
        <f t="shared" ca="1" si="5"/>
        <v>181</v>
      </c>
      <c r="B184" s="4" t="s">
        <v>483</v>
      </c>
      <c r="C184" s="4" t="s">
        <v>484</v>
      </c>
      <c r="D184" s="4" t="s">
        <v>124</v>
      </c>
      <c r="E184" s="4" t="s">
        <v>485</v>
      </c>
      <c r="F184" s="4">
        <v>295</v>
      </c>
      <c r="G184" s="5">
        <v>29.588600000000003</v>
      </c>
      <c r="H184" s="5">
        <v>16.45</v>
      </c>
      <c r="I184" s="5">
        <v>2965</v>
      </c>
      <c r="J184" s="4" t="s">
        <v>125</v>
      </c>
    </row>
    <row r="185" spans="1:10" x14ac:dyDescent="0.25">
      <c r="A185" s="4">
        <f t="shared" ca="1" si="5"/>
        <v>182</v>
      </c>
      <c r="B185" s="4" t="s">
        <v>486</v>
      </c>
      <c r="C185" s="4" t="s">
        <v>487</v>
      </c>
      <c r="D185" s="4" t="s">
        <v>119</v>
      </c>
      <c r="E185" s="4" t="s">
        <v>488</v>
      </c>
      <c r="F185" s="4">
        <v>6.84</v>
      </c>
      <c r="G185" s="5"/>
      <c r="H185" s="5"/>
      <c r="I185" s="5"/>
      <c r="J185" s="4" t="s">
        <v>146</v>
      </c>
    </row>
    <row r="186" spans="1:10" x14ac:dyDescent="0.25">
      <c r="A186" s="4">
        <f t="shared" ca="1" si="5"/>
        <v>183</v>
      </c>
      <c r="B186" s="4" t="s">
        <v>489</v>
      </c>
      <c r="C186" s="4" t="s">
        <v>490</v>
      </c>
      <c r="D186" s="4" t="s">
        <v>119</v>
      </c>
      <c r="E186" s="4" t="s">
        <v>488</v>
      </c>
      <c r="F186" s="4">
        <v>867.16</v>
      </c>
      <c r="G186" s="5"/>
      <c r="H186" s="5"/>
      <c r="I186" s="5"/>
      <c r="J186" s="4" t="s">
        <v>121</v>
      </c>
    </row>
    <row r="187" spans="1:10" x14ac:dyDescent="0.25">
      <c r="A187" s="4">
        <f t="shared" ca="1" si="5"/>
        <v>184</v>
      </c>
      <c r="B187" s="4" t="s">
        <v>491</v>
      </c>
      <c r="C187" s="4" t="s">
        <v>492</v>
      </c>
      <c r="D187" s="4" t="s">
        <v>124</v>
      </c>
      <c r="E187" s="4" t="s">
        <v>109</v>
      </c>
      <c r="F187" s="4">
        <v>0.99914599999999998</v>
      </c>
      <c r="G187" s="5">
        <v>101.2016</v>
      </c>
      <c r="H187" s="5">
        <v>6</v>
      </c>
      <c r="I187" s="5">
        <v>100</v>
      </c>
      <c r="J187" s="4" t="s">
        <v>125</v>
      </c>
    </row>
    <row r="188" spans="1:10" x14ac:dyDescent="0.25">
      <c r="A188" s="4">
        <f t="shared" ca="1" si="5"/>
        <v>185</v>
      </c>
      <c r="B188" s="4" t="s">
        <v>493</v>
      </c>
      <c r="C188" s="4" t="s">
        <v>494</v>
      </c>
      <c r="D188" s="4" t="s">
        <v>124</v>
      </c>
      <c r="E188" s="4" t="s">
        <v>109</v>
      </c>
      <c r="F188" s="4">
        <v>1000</v>
      </c>
      <c r="G188" s="5">
        <v>103.9041</v>
      </c>
      <c r="H188" s="5">
        <v>18.940000000000001</v>
      </c>
      <c r="I188" s="5">
        <v>838</v>
      </c>
      <c r="J188" s="4" t="s">
        <v>125</v>
      </c>
    </row>
    <row r="189" spans="1:10" x14ac:dyDescent="0.25">
      <c r="A189" s="4">
        <f t="shared" ca="1" si="5"/>
        <v>186</v>
      </c>
      <c r="B189" s="4" t="s">
        <v>495</v>
      </c>
      <c r="C189" s="4" t="s">
        <v>110</v>
      </c>
      <c r="D189" s="4" t="s">
        <v>124</v>
      </c>
      <c r="E189" s="4" t="s">
        <v>109</v>
      </c>
      <c r="F189" s="4">
        <v>945.68427030873704</v>
      </c>
      <c r="G189" s="5">
        <v>98.461227030000003</v>
      </c>
      <c r="H189" s="5">
        <v>18.07</v>
      </c>
      <c r="I189" s="5">
        <v>632</v>
      </c>
      <c r="J189" s="4" t="s">
        <v>125</v>
      </c>
    </row>
    <row r="190" spans="1:10" x14ac:dyDescent="0.25">
      <c r="A190" s="4">
        <f t="shared" ca="1" si="5"/>
        <v>187</v>
      </c>
      <c r="B190" s="4" t="s">
        <v>496</v>
      </c>
      <c r="C190" s="4" t="s">
        <v>497</v>
      </c>
      <c r="D190" s="4" t="s">
        <v>124</v>
      </c>
      <c r="E190" s="4" t="s">
        <v>109</v>
      </c>
      <c r="F190" s="4">
        <v>1000</v>
      </c>
      <c r="G190" s="5">
        <v>105.62190000000001</v>
      </c>
      <c r="H190" s="5">
        <v>18.940000000000001</v>
      </c>
      <c r="I190" s="5">
        <v>807</v>
      </c>
      <c r="J190" s="4" t="s">
        <v>125</v>
      </c>
    </row>
    <row r="191" spans="1:10" x14ac:dyDescent="0.25">
      <c r="A191" s="4">
        <f t="shared" ca="1" si="5"/>
        <v>188</v>
      </c>
      <c r="B191" s="4" t="s">
        <v>498</v>
      </c>
      <c r="C191" s="4" t="s">
        <v>499</v>
      </c>
      <c r="D191" s="4" t="s">
        <v>124</v>
      </c>
      <c r="E191" s="4" t="s">
        <v>500</v>
      </c>
      <c r="F191" s="4">
        <v>979.83800000000008</v>
      </c>
      <c r="G191" s="5">
        <v>107.983</v>
      </c>
      <c r="H191" s="5">
        <v>17.48</v>
      </c>
      <c r="I191" s="5">
        <v>1610</v>
      </c>
      <c r="J191" s="4" t="s">
        <v>125</v>
      </c>
    </row>
    <row r="192" spans="1:10" x14ac:dyDescent="0.25">
      <c r="A192" s="4">
        <f t="shared" ca="1" si="5"/>
        <v>189</v>
      </c>
      <c r="B192" s="4" t="s">
        <v>501</v>
      </c>
      <c r="C192" s="4" t="s">
        <v>502</v>
      </c>
      <c r="D192" s="4" t="s">
        <v>124</v>
      </c>
      <c r="E192" s="4" t="s">
        <v>500</v>
      </c>
      <c r="F192" s="4">
        <v>997.10400000000004</v>
      </c>
      <c r="G192" s="5">
        <v>108.4118</v>
      </c>
      <c r="H192" s="5">
        <v>17.48</v>
      </c>
      <c r="I192" s="5">
        <v>1645</v>
      </c>
      <c r="J192" s="4" t="s">
        <v>125</v>
      </c>
    </row>
    <row r="193" spans="1:10" x14ac:dyDescent="0.25">
      <c r="A193" s="4">
        <f t="shared" ca="1" si="5"/>
        <v>190</v>
      </c>
      <c r="B193" s="4" t="s">
        <v>503</v>
      </c>
      <c r="C193" s="4" t="s">
        <v>504</v>
      </c>
      <c r="D193" s="4" t="s">
        <v>124</v>
      </c>
      <c r="E193" s="4" t="s">
        <v>500</v>
      </c>
      <c r="F193" s="4">
        <v>997.10400000000004</v>
      </c>
      <c r="G193" s="5">
        <v>108.4118</v>
      </c>
      <c r="H193" s="5">
        <v>17.48</v>
      </c>
      <c r="I193" s="5">
        <v>1645</v>
      </c>
      <c r="J193" s="4" t="s">
        <v>125</v>
      </c>
    </row>
    <row r="194" spans="1:10" x14ac:dyDescent="0.25">
      <c r="A194" s="4">
        <f t="shared" ca="1" si="5"/>
        <v>191</v>
      </c>
      <c r="B194" s="4" t="s">
        <v>505</v>
      </c>
      <c r="C194" s="4" t="s">
        <v>506</v>
      </c>
      <c r="D194" s="4" t="s">
        <v>124</v>
      </c>
      <c r="E194" s="4" t="s">
        <v>500</v>
      </c>
      <c r="F194" s="4">
        <v>1022.42</v>
      </c>
      <c r="G194" s="5">
        <v>106.8678</v>
      </c>
      <c r="H194" s="5">
        <v>17.48</v>
      </c>
      <c r="I194" s="5">
        <v>1735</v>
      </c>
      <c r="J194" s="4" t="s">
        <v>125</v>
      </c>
    </row>
    <row r="195" spans="1:10" x14ac:dyDescent="0.25">
      <c r="A195" s="4">
        <f t="shared" ca="1" si="5"/>
        <v>192</v>
      </c>
      <c r="B195" s="4" t="s">
        <v>507</v>
      </c>
      <c r="C195" s="4" t="s">
        <v>508</v>
      </c>
      <c r="D195" s="4" t="s">
        <v>124</v>
      </c>
      <c r="E195" s="4" t="s">
        <v>500</v>
      </c>
      <c r="F195" s="4">
        <v>1.0108889999999999</v>
      </c>
      <c r="G195" s="5">
        <v>101.9931</v>
      </c>
      <c r="H195" s="5">
        <v>4.4000000000000004</v>
      </c>
      <c r="I195" s="5">
        <v>1756</v>
      </c>
      <c r="J195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2025-12-12T04:43:58Z</dcterms:created>
  <dcterms:modified xsi:type="dcterms:W3CDTF">2025-12-12T06:33:38Z</dcterms:modified>
</cp:coreProperties>
</file>