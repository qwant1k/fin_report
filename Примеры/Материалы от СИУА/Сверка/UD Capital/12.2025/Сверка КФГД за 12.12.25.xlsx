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B67C87A9-CC6F-433C-B23D-57B02CB5C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ДУ!$C$96:$C$105</definedName>
    <definedName name="__mdDATACurrency__">ДУ!$29:$31</definedName>
    <definedName name="__mdDATADDebt__">ДУ!#REF!</definedName>
    <definedName name="__mdDATAHead__">ДУ!$B$2</definedName>
    <definedName name="__mdDATAItogoActive__">ДУ!$B$81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4" i="1"/>
  <c r="O26" i="1"/>
  <c r="D30" i="1"/>
  <c r="B81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B1" i="2"/>
  <c r="C106" i="1"/>
  <c r="G90" i="1"/>
  <c r="F90" i="1"/>
  <c r="E90" i="1"/>
  <c r="G79" i="1"/>
  <c r="F79" i="1"/>
  <c r="E79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M74" i="1" s="1"/>
  <c r="H38" i="1"/>
  <c r="M37" i="1"/>
  <c r="H37" i="1"/>
  <c r="M36" i="1"/>
  <c r="H36" i="1"/>
  <c r="M35" i="1"/>
  <c r="H35" i="1"/>
  <c r="B29" i="1"/>
  <c r="L26" i="1"/>
  <c r="K26" i="1"/>
  <c r="H26" i="1"/>
  <c r="D26" i="1"/>
  <c r="M14" i="1"/>
  <c r="Q1" i="1"/>
  <c r="M21" i="1" s="1"/>
  <c r="M18" i="1" l="1"/>
  <c r="M22" i="1"/>
  <c r="M10" i="1"/>
  <c r="M8" i="1"/>
  <c r="M11" i="1"/>
  <c r="M15" i="1"/>
  <c r="M19" i="1"/>
  <c r="M23" i="1"/>
  <c r="M12" i="1"/>
  <c r="M16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<sst xmlns="http://schemas.openxmlformats.org/spreadsheetml/2006/main" count="1315" uniqueCount="521">
  <si>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</si>
  <si>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</si>
  <si>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</si>
  <si>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</si>
  <si>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</si>
  <si>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</si>
  <si>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</si>
  <si>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</si>
  <si>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</si>
  <si>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</si>
  <si>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</si>
  <si>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</si>
  <si>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</si>
  <si>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</si>
  <si>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</si>
  <si>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</si>
  <si>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</si>
  <si>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</si>
  <si>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</si>
  <si>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</si>
  <si>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</si>
  <si>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</si>
  <si>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</si>
  <si>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</si>
  <si>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</si>
  <si>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</si>
  <si>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</si>
  <si>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</si>
  <si>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</si>
  <si>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</si>
  <si>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</si>
  <si>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</si>
  <si>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</si>
  <si>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</si>
  <si>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</si>
  <si>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</si>
  <si>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</si>
  <si>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</si>
  <si>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</si>
  <si>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</si>
  <si>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</si>
  <si>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</si>
  <si>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</si>
  <si>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</si>
  <si>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</si>
  <si>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</si>
  <si>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</si>
  <si>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</si>
  <si>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</si>
  <si>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</si>
  <si>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</si>
  <si>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</si>
  <si>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</si>
  <si>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</si>
  <si>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</si>
  <si>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</si>
  <si>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</si>
  <si>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</si>
  <si>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</si>
  <si>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</si>
  <si>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</si>
  <si>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</si>
  <si>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</si>
  <si>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</si>
  <si>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</si>
  <si>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</si>
  <si>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</si>
  <si>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</si>
  <si>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</si>
  <si>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11.12.2025</t>
  </si>
  <si>
    <t>12.12.2025</t>
  </si>
  <si>
    <t>АО "Казахстанский фонд устойчивости"</t>
  </si>
  <si>
    <t>KZ2C00011989</t>
  </si>
  <si>
    <t>KZKD00001129</t>
  </si>
  <si>
    <t>15.12.2025</t>
  </si>
  <si>
    <t>KZKD00001160</t>
  </si>
  <si>
    <t>KZKD00001152</t>
  </si>
  <si>
    <t>KZKD00001244</t>
  </si>
  <si>
    <t>KZKD00001111</t>
  </si>
  <si>
    <t>KZKD00001178</t>
  </si>
  <si>
    <t>KZKD00000832</t>
  </si>
  <si>
    <t>KZKD00000949</t>
  </si>
  <si>
    <t>KZKD00000550</t>
  </si>
  <si>
    <t>KZ2C00008944</t>
  </si>
  <si>
    <t>KZ2C00009462</t>
  </si>
  <si>
    <t>KZ2C00008936</t>
  </si>
  <si>
    <t>KZ2C00007318</t>
  </si>
  <si>
    <t>KZ2C00007136</t>
  </si>
  <si>
    <t>KZ2C00006906</t>
  </si>
  <si>
    <t>KZ2C00007128</t>
  </si>
  <si>
    <t>KZ2C00008951</t>
  </si>
  <si>
    <t>KZ2C00008928</t>
  </si>
  <si>
    <t>KZ2C00007326</t>
  </si>
  <si>
    <t>KZ2C00007334</t>
  </si>
  <si>
    <t>Евразийский банк развития</t>
  </si>
  <si>
    <t>KZ2D00009628</t>
  </si>
  <si>
    <t>KZKD00000840</t>
  </si>
  <si>
    <t>KZK200000679</t>
  </si>
  <si>
    <t>KZ96601A861038102391</t>
  </si>
  <si>
    <t>KZKD00000790</t>
  </si>
  <si>
    <t>10.07.2025</t>
  </si>
  <si>
    <t>13.08.2029</t>
  </si>
  <si>
    <t>13.03.2025</t>
  </si>
  <si>
    <t>06.02.2026</t>
  </si>
  <si>
    <t>KZKD00000477</t>
  </si>
  <si>
    <t>24.07.2025</t>
  </si>
  <si>
    <t>19.10.2027</t>
  </si>
  <si>
    <t>KZKD00000444</t>
  </si>
  <si>
    <t>21.08.2025</t>
  </si>
  <si>
    <t>18.08.2026</t>
  </si>
  <si>
    <t>KZK200000760</t>
  </si>
  <si>
    <t>14.08.2025</t>
  </si>
  <si>
    <t>07.08.2029</t>
  </si>
  <si>
    <t>KZK200000687</t>
  </si>
  <si>
    <t>18.07.2024</t>
  </si>
  <si>
    <t>21.01.2026</t>
  </si>
  <si>
    <t>KZKD00000535</t>
  </si>
  <si>
    <t>27.03.2027</t>
  </si>
  <si>
    <t>KZKD00001137</t>
  </si>
  <si>
    <t>12.04.2028</t>
  </si>
  <si>
    <t>KZKD00001087</t>
  </si>
  <si>
    <t>31.03.2029</t>
  </si>
  <si>
    <t>28.07.2029</t>
  </si>
  <si>
    <t>17.03.2031</t>
  </si>
  <si>
    <t>16.04.2032</t>
  </si>
  <si>
    <t>26.07.2032</t>
  </si>
  <si>
    <t>KZKD00000741</t>
  </si>
  <si>
    <t>12.05.2034</t>
  </si>
  <si>
    <t>29.01.2035</t>
  </si>
  <si>
    <t>KZ2D00011863</t>
  </si>
  <si>
    <t>24.09.2024</t>
  </si>
  <si>
    <t>03.09.2027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</si>
  <si>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</si>
  <si>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</si>
  <si>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</si>
  <si>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</si>
  <si>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</si>
  <si>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</si>
  <si>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</si>
  <si>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</si>
  <si>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</si>
  <si>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</si>
  <si>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</si>
  <si>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</si>
  <si>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</si>
  <si>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</si>
  <si>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</si>
  <si>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</si>
  <si>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</si>
  <si>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</si>
  <si>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</si>
  <si>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</si>
  <si>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</si>
  <si>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</si>
  <si>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</si>
  <si>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</si>
  <si>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</si>
  <si>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</si>
  <si>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</si>
  <si>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</si>
  <si>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</si>
  <si>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</si>
  <si>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</si>
  <si>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</si>
  <si>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</si>
  <si>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</si>
  <si>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</si>
  <si>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</si>
  <si>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</si>
  <si>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</si>
  <si>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</si>
  <si>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</si>
  <si>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</si>
  <si>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</si>
  <si>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</si>
  <si>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</si>
  <si>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</si>
  <si>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</si>
  <si>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</si>
  <si>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</si>
  <si>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</si>
  <si>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</si>
  <si>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</si>
  <si>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</si>
  <si>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</si>
  <si>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</si>
  <si>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</si>
  <si>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</si>
  <si>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</si>
  <si>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</si>
  <si>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KASAb1</t>
  </si>
  <si>
    <t>KZ2C00013753</t>
  </si>
  <si>
    <t>MFSCb8</t>
  </si>
  <si>
    <t>KZ2P00015712</t>
  </si>
  <si>
    <t>MFRFb21</t>
  </si>
  <si>
    <t>KZ2P00014723</t>
  </si>
  <si>
    <t>MFRFb24</t>
  </si>
  <si>
    <t>KZ2P00015845</t>
  </si>
  <si>
    <t>JSBNb4</t>
  </si>
  <si>
    <t>KZ2C00011757</t>
  </si>
  <si>
    <t>MFMOb32</t>
  </si>
  <si>
    <t>KZ2P00014590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</si>
  <si>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</si>
  <si>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</si>
  <si>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</si>
  <si>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</si>
  <si>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</si>
  <si>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</si>
  <si>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</si>
  <si>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</si>
  <si>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</si>
  <si>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</si>
  <si>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</si>
  <si>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</si>
  <si>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</si>
  <si>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</si>
  <si>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</si>
  <si>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</si>
  <si>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</si>
  <si>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</si>
  <si>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</si>
  <si>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</si>
  <si>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</si>
  <si>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</si>
  <si>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</si>
  <si>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</si>
  <si>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</si>
  <si>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</si>
  <si>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</si>
  <si>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</si>
  <si>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</si>
  <si>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</si>
  <si>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</si>
  <si>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</si>
  <si>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</si>
  <si>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</si>
  <si>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</si>
  <si>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</si>
  <si>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</si>
  <si>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</si>
  <si>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</si>
  <si>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</si>
  <si>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</si>
  <si>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</si>
  <si>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</si>
  <si>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</si>
  <si>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</si>
  <si>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</si>
  <si>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MFDFb3</t>
  </si>
  <si>
    <t>KZ2P00013840</t>
  </si>
  <si>
    <t>JSBNb5</t>
  </si>
  <si>
    <t>KZ2C00013662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</si>
  <si>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</si>
  <si>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</si>
  <si>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</si>
  <si>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</si>
  <si>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</si>
  <si>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</si>
  <si>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</si>
  <si>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</si>
  <si>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</si>
  <si>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</si>
  <si>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</si>
  <si>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</si>
  <si>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</si>
  <si>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</si>
  <si>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</si>
  <si>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</si>
  <si>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</si>
  <si>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</si>
  <si>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</si>
  <si>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</si>
  <si>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</si>
  <si>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</si>
  <si>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</si>
  <si>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</si>
  <si>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</si>
  <si>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</si>
  <si>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</si>
  <si>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</si>
  <si>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</si>
  <si>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</si>
  <si>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</si>
  <si>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</si>
  <si>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</si>
  <si>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</si>
  <si>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</si>
  <si>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</si>
  <si>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</si>
  <si>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</si>
  <si>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</si>
  <si>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</si>
  <si>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</si>
  <si>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</si>
  <si>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</si>
  <si>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</si>
  <si>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</si>
  <si>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</si>
  <si>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</si>
  <si>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</si>
  <si>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</si>
  <si>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</si>
  <si>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</si>
  <si>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</si>
  <si>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</si>
  <si>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</si>
  <si>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</si>
  <si>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</si>
  <si>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</si>
  <si>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</si>
  <si>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</si>
  <si>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</si>
  <si>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</si>
  <si>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</si>
  <si>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</si>
  <si>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</si>
  <si>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</si>
  <si>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</si>
  <si>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</si>
  <si>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</si>
  <si>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</si>
  <si>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</si>
  <si>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</si>
  <si>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</si>
  <si>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</si>
  <si>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</si>
  <si>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</si>
  <si>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</si>
  <si>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</si>
  <si>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</si>
  <si>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</si>
  <si>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</si>
  <si>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</si>
  <si>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</si>
  <si>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</si>
  <si>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</si>
  <si>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</si>
  <si>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</si>
  <si>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</si>
  <si>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</si>
  <si>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</si>
  <si>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</si>
  <si>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</si>
  <si>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</si>
  <si>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</si>
  <si>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</si>
  <si>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</si>
  <si>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</si>
  <si>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</si>
  <si>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</si>
  <si>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</si>
  <si>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</si>
  <si>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</si>
  <si>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</si>
  <si>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</si>
  <si>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</si>
  <si>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</si>
  <si>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</si>
  <si>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</si>
  <si>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</si>
  <si>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</si>
  <si>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</si>
  <si>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</si>
  <si>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</si>
  <si>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</si>
  <si>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</si>
  <si>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</si>
  <si>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</si>
  <si>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</si>
  <si>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</si>
  <si>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</si>
  <si>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</si>
  <si>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</si>
  <si>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</si>
  <si>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</si>
  <si>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</si>
  <si>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</si>
  <si>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</si>
  <si>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</si>
  <si>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</si>
  <si>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</si>
  <si>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</si>
  <si>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</si>
  <si>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</si>
  <si>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</si>
  <si>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</si>
  <si>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</si>
  <si>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</si>
  <si>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</si>
  <si>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</si>
  <si>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</si>
  <si>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</si>
  <si>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</si>
  <si>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</si>
  <si>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</si>
  <si>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</si>
  <si>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</si>
  <si>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</si>
  <si>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</si>
  <si>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</si>
  <si>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</si>
  <si>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</si>
  <si>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</si>
  <si>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</si>
  <si>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</si>
  <si>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</si>
  <si>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</si>
  <si>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</si>
  <si>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</si>
  <si>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</si>
  <si>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</si>
  <si>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</si>
  <si>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</si>
  <si>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</si>
  <si>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</si>
  <si>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</si>
  <si>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</si>
  <si>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MUM120_0019</t>
  </si>
  <si>
    <t>MUM144_0009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</si>
  <si>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</si>
  <si>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</si>
  <si>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</si>
  <si>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</si>
  <si>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</si>
  <si>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</si>
  <si>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</si>
  <si>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</si>
  <si>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</si>
  <si>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</si>
  <si>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</si>
  <si>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</si>
  <si>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</si>
  <si>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</si>
  <si>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</si>
  <si>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</si>
  <si>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</si>
  <si>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</si>
  <si>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</si>
  <si>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</si>
  <si>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</si>
  <si>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</si>
  <si>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</si>
  <si>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</si>
  <si>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</si>
  <si>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</si>
  <si>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</si>
  <si>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</si>
  <si>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</si>
  <si>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</si>
  <si>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</si>
  <si>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</si>
  <si>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</si>
  <si>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</si>
  <si>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</si>
  <si>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</si>
  <si>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</si>
  <si>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</si>
  <si>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</si>
  <si>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</si>
  <si>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</si>
  <si>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</si>
  <si>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</si>
  <si>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</si>
  <si>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</si>
  <si>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</si>
  <si>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</si>
  <si>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</si>
  <si>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</si>
  <si>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</si>
  <si>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</si>
  <si>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</si>
  <si>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</si>
  <si>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</si>
  <si>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</si>
  <si>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</si>
  <si>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</si>
  <si>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</si>
  <si>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KFUSb49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</si>
  <si>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</si>
  <si>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</si>
  <si>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</si>
  <si>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</si>
  <si>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</si>
  <si>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</si>
  <si>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</si>
  <si>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</si>
  <si>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</si>
  <si>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</si>
  <si>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</si>
  <si>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</si>
  <si>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</si>
  <si>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</si>
  <si>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</si>
  <si>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</si>
  <si>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</si>
  <si>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</si>
  <si>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</si>
  <si>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</si>
  <si>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</si>
  <si>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</si>
  <si>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</si>
  <si>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</si>
  <si>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</si>
  <si>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</si>
  <si>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</si>
  <si>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</si>
  <si>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</si>
  <si>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</si>
  <si>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</si>
  <si>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</si>
  <si>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BTRKb21</t>
  </si>
  <si>
    <t>KZ2C00013878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</si>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</sst>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  <xf numFmtId="170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A59" workbookViewId="0">
      <selection activeCell="C81" sqref="C8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26755808124.113869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99</v>
      </c>
      <c r="C8" s="16">
        <v>2469500</v>
      </c>
      <c r="D8" s="17">
        <v>2469500000</v>
      </c>
      <c r="E8" s="18">
        <v>7.68</v>
      </c>
      <c r="F8" s="19" t="s">
        <v>100</v>
      </c>
      <c r="G8" s="19" t="s">
        <v>101</v>
      </c>
      <c r="H8" s="18">
        <v>1827657194</v>
      </c>
      <c r="I8" s="20">
        <v>76.993900000000011</v>
      </c>
      <c r="J8" s="20">
        <v>79.532600000000002</v>
      </c>
      <c r="K8" s="18">
        <v>62692373.333333328</v>
      </c>
      <c r="L8" s="18">
        <v>1964056733.833333</v>
      </c>
      <c r="M8" s="21">
        <f t="shared" ref="M8:M24" si="0">L8/$Q$1</f>
        <v>7.3406743116206319E-2</v>
      </c>
      <c r="O8" s="10">
        <v>749863.88888888899</v>
      </c>
    </row>
    <row r="9" spans="1:17" x14ac:dyDescent="0.2">
      <c r="A9" s="15" t="s">
        <v>66</v>
      </c>
      <c r="B9" s="15" t="s">
        <v>67</v>
      </c>
      <c r="C9" s="16">
        <v>11424000</v>
      </c>
      <c r="D9" s="17">
        <v>1142400000</v>
      </c>
      <c r="E9" s="18">
        <v>0</v>
      </c>
      <c r="F9" s="19" t="s">
        <v>102</v>
      </c>
      <c r="G9" s="19" t="s">
        <v>103</v>
      </c>
      <c r="H9" s="18">
        <v>1003902278.4</v>
      </c>
      <c r="I9" s="20">
        <v>97.594400000000007</v>
      </c>
      <c r="J9" s="20">
        <v>97.594400000000007</v>
      </c>
      <c r="K9" s="18"/>
      <c r="L9" s="18">
        <v>1114918425.5999999</v>
      </c>
      <c r="M9" s="21">
        <f t="shared" si="0"/>
        <v>4.167014580266673E-2</v>
      </c>
      <c r="O9" s="10">
        <v>749863.88888888899</v>
      </c>
    </row>
    <row r="10" spans="1:17" x14ac:dyDescent="0.2">
      <c r="A10" s="15" t="s">
        <v>66</v>
      </c>
      <c r="B10" s="15" t="s">
        <v>104</v>
      </c>
      <c r="C10" s="16">
        <v>2391500</v>
      </c>
      <c r="D10" s="17">
        <v>2391500000</v>
      </c>
      <c r="E10" s="18">
        <v>5.3</v>
      </c>
      <c r="F10" s="19" t="s">
        <v>105</v>
      </c>
      <c r="G10" s="19" t="s">
        <v>106</v>
      </c>
      <c r="H10" s="18">
        <v>1903079172</v>
      </c>
      <c r="I10" s="20">
        <v>82.38300000000001</v>
      </c>
      <c r="J10" s="20">
        <v>83.163300000000007</v>
      </c>
      <c r="K10" s="18">
        <v>18660343.055555549</v>
      </c>
      <c r="L10" s="18">
        <v>1988849788.0555551</v>
      </c>
      <c r="M10" s="21">
        <f t="shared" si="0"/>
        <v>7.4333385066515323E-2</v>
      </c>
      <c r="O10" s="10">
        <v>749863.88888888899</v>
      </c>
    </row>
    <row r="11" spans="1:17" x14ac:dyDescent="0.2">
      <c r="A11" s="15" t="s">
        <v>66</v>
      </c>
      <c r="B11" s="15" t="s">
        <v>107</v>
      </c>
      <c r="C11" s="16">
        <v>1106600</v>
      </c>
      <c r="D11" s="17">
        <v>1106600000</v>
      </c>
      <c r="E11" s="18">
        <v>5.5</v>
      </c>
      <c r="F11" s="19" t="s">
        <v>108</v>
      </c>
      <c r="G11" s="19" t="s">
        <v>109</v>
      </c>
      <c r="H11" s="18">
        <v>999478906.79999995</v>
      </c>
      <c r="I11" s="20">
        <v>92.802900000000008</v>
      </c>
      <c r="J11" s="20">
        <v>94.544600000000003</v>
      </c>
      <c r="K11" s="18">
        <v>19273283.333333299</v>
      </c>
      <c r="L11" s="18">
        <v>1046230174.73333</v>
      </c>
      <c r="M11" s="21">
        <f t="shared" si="0"/>
        <v>3.9102918135760112E-2</v>
      </c>
      <c r="O11" s="10">
        <v>749863.88888888899</v>
      </c>
    </row>
    <row r="12" spans="1:17" x14ac:dyDescent="0.2">
      <c r="A12" s="15" t="s">
        <v>66</v>
      </c>
      <c r="B12" s="15" t="s">
        <v>110</v>
      </c>
      <c r="C12" s="16">
        <v>897100</v>
      </c>
      <c r="D12" s="17">
        <v>897100000</v>
      </c>
      <c r="E12" s="18">
        <v>17.010000000000002</v>
      </c>
      <c r="F12" s="19" t="s">
        <v>111</v>
      </c>
      <c r="G12" s="19" t="s">
        <v>112</v>
      </c>
      <c r="H12" s="18">
        <v>896985171.20000005</v>
      </c>
      <c r="I12" s="20">
        <v>102.87150000000001</v>
      </c>
      <c r="J12" s="20">
        <v>108.7778</v>
      </c>
      <c r="K12" s="18">
        <v>52984968.75</v>
      </c>
      <c r="L12" s="18">
        <v>975845195.25</v>
      </c>
      <c r="M12" s="21">
        <f t="shared" si="0"/>
        <v>3.6472275130815891E-2</v>
      </c>
      <c r="O12" s="10">
        <v>749863.88888888899</v>
      </c>
    </row>
    <row r="13" spans="1:17" x14ac:dyDescent="0.2">
      <c r="A13" s="15" t="s">
        <v>66</v>
      </c>
      <c r="B13" s="15" t="s">
        <v>113</v>
      </c>
      <c r="C13" s="16">
        <v>2530000</v>
      </c>
      <c r="D13" s="17">
        <v>2530000000</v>
      </c>
      <c r="E13" s="18">
        <v>10.67</v>
      </c>
      <c r="F13" s="19" t="s">
        <v>114</v>
      </c>
      <c r="G13" s="19" t="s">
        <v>115</v>
      </c>
      <c r="H13" s="18">
        <v>2455119589.9966769</v>
      </c>
      <c r="I13" s="20">
        <v>99.343600000000009</v>
      </c>
      <c r="J13" s="20">
        <v>103.5227</v>
      </c>
      <c r="K13" s="18">
        <v>105730808.333333</v>
      </c>
      <c r="L13" s="18">
        <v>2619123888.333333</v>
      </c>
      <c r="M13" s="21">
        <f t="shared" si="0"/>
        <v>9.7889918935875023E-2</v>
      </c>
      <c r="O13" s="10">
        <v>749863.88888888899</v>
      </c>
    </row>
    <row r="14" spans="1:17" x14ac:dyDescent="0.2">
      <c r="A14" s="15" t="s">
        <v>66</v>
      </c>
      <c r="B14" s="15" t="s">
        <v>116</v>
      </c>
      <c r="C14" s="16">
        <v>3162500</v>
      </c>
      <c r="D14" s="17">
        <v>3162500000</v>
      </c>
      <c r="E14" s="18">
        <v>5.49</v>
      </c>
      <c r="F14" s="19" t="s">
        <v>114</v>
      </c>
      <c r="G14" s="19" t="s">
        <v>117</v>
      </c>
      <c r="H14" s="18">
        <v>2627740225</v>
      </c>
      <c r="I14" s="20">
        <v>87.194999999999993</v>
      </c>
      <c r="J14" s="20">
        <v>91.083800000000011</v>
      </c>
      <c r="K14" s="18">
        <v>122981718.75</v>
      </c>
      <c r="L14" s="18">
        <v>2880523593.75</v>
      </c>
      <c r="M14" s="21">
        <f t="shared" si="0"/>
        <v>0.10765974925473872</v>
      </c>
      <c r="O14" s="10">
        <v>749863.88888888899</v>
      </c>
    </row>
    <row r="15" spans="1:17" x14ac:dyDescent="0.2">
      <c r="A15" s="15" t="s">
        <v>66</v>
      </c>
      <c r="B15" s="15" t="s">
        <v>118</v>
      </c>
      <c r="C15" s="16">
        <v>1897500</v>
      </c>
      <c r="D15" s="17">
        <v>1897500000</v>
      </c>
      <c r="E15" s="18">
        <v>10.4</v>
      </c>
      <c r="F15" s="19" t="s">
        <v>114</v>
      </c>
      <c r="G15" s="19" t="s">
        <v>119</v>
      </c>
      <c r="H15" s="18">
        <v>1736743800</v>
      </c>
      <c r="I15" s="20">
        <v>87.950500000000005</v>
      </c>
      <c r="J15" s="20">
        <v>94.883800000000008</v>
      </c>
      <c r="K15" s="18">
        <v>131560000</v>
      </c>
      <c r="L15" s="18">
        <v>1800420737.5</v>
      </c>
      <c r="M15" s="21">
        <f t="shared" si="0"/>
        <v>6.7290837531360434E-2</v>
      </c>
      <c r="O15" s="10">
        <v>749863.88888888899</v>
      </c>
    </row>
    <row r="16" spans="1:17" x14ac:dyDescent="0.2">
      <c r="A16" s="15" t="s">
        <v>66</v>
      </c>
      <c r="B16" s="15" t="s">
        <v>120</v>
      </c>
      <c r="C16" s="16">
        <v>1897500</v>
      </c>
      <c r="D16" s="17">
        <v>1897500000</v>
      </c>
      <c r="E16" s="18">
        <v>11</v>
      </c>
      <c r="F16" s="19" t="s">
        <v>114</v>
      </c>
      <c r="G16" s="19" t="s">
        <v>121</v>
      </c>
      <c r="H16" s="18">
        <v>1743261712.5</v>
      </c>
      <c r="I16" s="20">
        <v>86.375900000000001</v>
      </c>
      <c r="J16" s="20">
        <v>94.075900000000004</v>
      </c>
      <c r="K16" s="18">
        <v>146107500</v>
      </c>
      <c r="L16" s="18">
        <v>1785090202.5</v>
      </c>
      <c r="M16" s="21">
        <f t="shared" si="0"/>
        <v>6.671785782807936E-2</v>
      </c>
      <c r="O16" s="10">
        <v>749863.88888888899</v>
      </c>
    </row>
    <row r="17" spans="1:15" x14ac:dyDescent="0.2">
      <c r="A17" s="15" t="s">
        <v>66</v>
      </c>
      <c r="B17" s="15" t="s">
        <v>75</v>
      </c>
      <c r="C17" s="16">
        <v>1897500</v>
      </c>
      <c r="D17" s="17">
        <v>1897500000</v>
      </c>
      <c r="E17" s="18">
        <v>10.55</v>
      </c>
      <c r="F17" s="19" t="s">
        <v>114</v>
      </c>
      <c r="G17" s="19" t="s">
        <v>122</v>
      </c>
      <c r="H17" s="18">
        <v>1708326839.9966669</v>
      </c>
      <c r="I17" s="20">
        <v>84.482399999999998</v>
      </c>
      <c r="J17" s="20">
        <v>88.409300000000002</v>
      </c>
      <c r="K17" s="18">
        <v>74513770.833333328</v>
      </c>
      <c r="L17" s="18">
        <v>1677567310.833333</v>
      </c>
      <c r="M17" s="21">
        <f t="shared" si="0"/>
        <v>6.2699183035380385E-2</v>
      </c>
      <c r="O17" s="10">
        <v>749863.88888888899</v>
      </c>
    </row>
    <row r="18" spans="1:15" x14ac:dyDescent="0.2">
      <c r="A18" s="15" t="s">
        <v>66</v>
      </c>
      <c r="B18" s="15" t="s">
        <v>73</v>
      </c>
      <c r="C18" s="16">
        <v>1897500</v>
      </c>
      <c r="D18" s="17">
        <v>1897500000</v>
      </c>
      <c r="E18" s="18">
        <v>10.3</v>
      </c>
      <c r="F18" s="19" t="s">
        <v>114</v>
      </c>
      <c r="G18" s="19" t="s">
        <v>123</v>
      </c>
      <c r="H18" s="18">
        <v>1645329839.996666</v>
      </c>
      <c r="I18" s="20">
        <v>80.283000000000001</v>
      </c>
      <c r="J18" s="20">
        <v>87.864900000000006</v>
      </c>
      <c r="K18" s="18">
        <v>143867395.83333299</v>
      </c>
      <c r="L18" s="18">
        <v>1667237320.833333</v>
      </c>
      <c r="M18" s="21">
        <f t="shared" si="0"/>
        <v>6.231309901384452E-2</v>
      </c>
      <c r="O18" s="10">
        <v>749863.88888888899</v>
      </c>
    </row>
    <row r="19" spans="1:15" x14ac:dyDescent="0.2">
      <c r="A19" s="15" t="s">
        <v>66</v>
      </c>
      <c r="B19" s="15" t="s">
        <v>81</v>
      </c>
      <c r="C19" s="16">
        <v>1897500</v>
      </c>
      <c r="D19" s="17">
        <v>1897500000</v>
      </c>
      <c r="E19" s="18">
        <v>8.4499999999999993</v>
      </c>
      <c r="F19" s="19" t="s">
        <v>114</v>
      </c>
      <c r="G19" s="19" t="s">
        <v>124</v>
      </c>
      <c r="H19" s="18">
        <v>1457889097.496666</v>
      </c>
      <c r="I19" s="20">
        <v>71.379000000000005</v>
      </c>
      <c r="J19" s="20">
        <v>76.918400000000005</v>
      </c>
      <c r="K19" s="18">
        <v>105110958.333333</v>
      </c>
      <c r="L19" s="18">
        <v>1459527483.333333</v>
      </c>
      <c r="M19" s="21">
        <f t="shared" si="0"/>
        <v>5.4549930862223636E-2</v>
      </c>
      <c r="O19" s="10">
        <v>749863.88888888899</v>
      </c>
    </row>
    <row r="20" spans="1:15" x14ac:dyDescent="0.2">
      <c r="A20" s="15" t="s">
        <v>66</v>
      </c>
      <c r="B20" s="15" t="s">
        <v>76</v>
      </c>
      <c r="C20" s="16">
        <v>1897500</v>
      </c>
      <c r="D20" s="17">
        <v>1897500000</v>
      </c>
      <c r="E20" s="18">
        <v>10.65</v>
      </c>
      <c r="F20" s="19" t="s">
        <v>114</v>
      </c>
      <c r="G20" s="19" t="s">
        <v>125</v>
      </c>
      <c r="H20" s="18">
        <v>1648500562.5</v>
      </c>
      <c r="I20" s="20">
        <v>79.260400000000004</v>
      </c>
      <c r="J20" s="20">
        <v>83.28370000000001</v>
      </c>
      <c r="K20" s="18">
        <v>76342750</v>
      </c>
      <c r="L20" s="18">
        <v>1580308840</v>
      </c>
      <c r="M20" s="21">
        <f t="shared" si="0"/>
        <v>5.9064141612517211E-2</v>
      </c>
      <c r="O20" s="10">
        <v>749863.88888888899</v>
      </c>
    </row>
    <row r="21" spans="1:15" x14ac:dyDescent="0.2">
      <c r="A21" s="15" t="s">
        <v>66</v>
      </c>
      <c r="B21" s="15" t="s">
        <v>126</v>
      </c>
      <c r="C21" s="16">
        <v>1897500</v>
      </c>
      <c r="D21" s="17">
        <v>1897500000</v>
      </c>
      <c r="E21" s="18">
        <v>8.07</v>
      </c>
      <c r="F21" s="19" t="s">
        <v>114</v>
      </c>
      <c r="G21" s="19" t="s">
        <v>127</v>
      </c>
      <c r="H21" s="18">
        <v>1359122325</v>
      </c>
      <c r="I21" s="20">
        <v>65.58890000000001</v>
      </c>
      <c r="J21" s="20">
        <v>70.296400000000006</v>
      </c>
      <c r="K21" s="18">
        <v>89324812.5</v>
      </c>
      <c r="L21" s="18">
        <v>1333874190</v>
      </c>
      <c r="M21" s="21">
        <f t="shared" si="0"/>
        <v>4.9853631174677025E-2</v>
      </c>
      <c r="O21" s="10">
        <v>749863.88888888899</v>
      </c>
    </row>
    <row r="22" spans="1:15" x14ac:dyDescent="0.2">
      <c r="A22" s="15" t="s">
        <v>66</v>
      </c>
      <c r="B22" s="15" t="s">
        <v>80</v>
      </c>
      <c r="C22" s="16">
        <v>1897500</v>
      </c>
      <c r="D22" s="17">
        <v>1897500000</v>
      </c>
      <c r="E22" s="18">
        <v>8.07</v>
      </c>
      <c r="F22" s="19" t="s">
        <v>114</v>
      </c>
      <c r="G22" s="19" t="s">
        <v>128</v>
      </c>
      <c r="H22" s="18">
        <v>1338524962.5</v>
      </c>
      <c r="I22" s="20">
        <v>64.400599999999997</v>
      </c>
      <c r="J22" s="20">
        <v>71.417000000000002</v>
      </c>
      <c r="K22" s="18">
        <v>133136506.25</v>
      </c>
      <c r="L22" s="18">
        <v>1355137891.25</v>
      </c>
      <c r="M22" s="21">
        <f t="shared" si="0"/>
        <v>5.0648363337180313E-2</v>
      </c>
      <c r="O22" s="10">
        <v>749863.88888888899</v>
      </c>
    </row>
    <row r="23" spans="1:15" x14ac:dyDescent="0.2">
      <c r="A23" s="15" t="s">
        <v>94</v>
      </c>
      <c r="B23" s="15" t="s">
        <v>129</v>
      </c>
      <c r="C23" s="16">
        <v>992234</v>
      </c>
      <c r="D23" s="17">
        <v>992234000</v>
      </c>
      <c r="E23" s="18">
        <v>14.3</v>
      </c>
      <c r="F23" s="19" t="s">
        <v>130</v>
      </c>
      <c r="G23" s="19" t="s">
        <v>131</v>
      </c>
      <c r="H23" s="18">
        <v>991722999.49000001</v>
      </c>
      <c r="I23" s="20">
        <v>94.492204419999993</v>
      </c>
      <c r="J23" s="20">
        <v>98.424704419999998</v>
      </c>
      <c r="K23" s="18">
        <v>39019602.04999999</v>
      </c>
      <c r="L23" s="18">
        <v>976603381.64165497</v>
      </c>
      <c r="M23" s="21">
        <f t="shared" si="0"/>
        <v>3.6500612394565798E-2</v>
      </c>
      <c r="O23" s="10">
        <v>749863.88888888899</v>
      </c>
    </row>
    <row r="24" spans="1:15" x14ac:dyDescent="0.2">
      <c r="A24" s="15" t="s">
        <v>66</v>
      </c>
      <c r="B24" s="15" t="s">
        <v>132</v>
      </c>
      <c r="C24" s="16">
        <v>550000</v>
      </c>
      <c r="D24" s="17">
        <v>550000000</v>
      </c>
      <c r="E24" s="18">
        <v>12</v>
      </c>
      <c r="F24" s="19" t="s">
        <v>102</v>
      </c>
      <c r="G24" s="19" t="s">
        <v>133</v>
      </c>
      <c r="H24" s="18">
        <v>491343050</v>
      </c>
      <c r="I24" s="20">
        <v>87.286600000000007</v>
      </c>
      <c r="J24" s="20">
        <v>96.453299999999999</v>
      </c>
      <c r="K24" s="18">
        <v>50416666.666666657</v>
      </c>
      <c r="L24" s="18">
        <v>530492966.66666698</v>
      </c>
      <c r="M24" s="21">
        <f t="shared" si="0"/>
        <v>1.9827207767593322E-2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1371723458.0222211</v>
      </c>
      <c r="L26" s="23">
        <f>SUM(L8:L25)</f>
        <v>26755808124.113869</v>
      </c>
      <c r="M26" s="26">
        <f>SUM(M8:M25)</f>
        <v>1</v>
      </c>
      <c r="N26" s="9">
        <v>26755808124.113876</v>
      </c>
      <c r="O26" s="61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38175.39</v>
      </c>
    </row>
    <row r="30" spans="1:15" x14ac:dyDescent="0.2">
      <c r="A30" s="29" t="s">
        <v>98</v>
      </c>
      <c r="B30" s="30">
        <v>38175.39</v>
      </c>
      <c r="C30" s="11">
        <v>38175.449999999997</v>
      </c>
      <c r="D30" s="60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23477080</v>
      </c>
      <c r="D35" s="32" t="s">
        <v>68</v>
      </c>
      <c r="E35" s="34" t="s">
        <v>69</v>
      </c>
      <c r="F35" s="34" t="s">
        <v>70</v>
      </c>
      <c r="G35" s="35">
        <v>97.549700000170375</v>
      </c>
      <c r="H35" s="35">
        <f t="shared" ref="H35:H72" si="1">J35/C35</f>
        <v>97.595294462514062</v>
      </c>
      <c r="I35" s="36">
        <v>2290182110.8800001</v>
      </c>
      <c r="J35" s="36">
        <v>2291252535.7199998</v>
      </c>
      <c r="K35" s="37">
        <v>17.059999999999999</v>
      </c>
      <c r="L35" s="37">
        <v>1070424.8400000001</v>
      </c>
      <c r="M35" s="31">
        <f t="shared" ref="M35:M72" si="2">I35+L35</f>
        <v>2291252535.7200003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15952</v>
      </c>
      <c r="D36" s="32" t="s">
        <v>68</v>
      </c>
      <c r="E36" s="34" t="s">
        <v>69</v>
      </c>
      <c r="F36" s="34" t="s">
        <v>70</v>
      </c>
      <c r="G36" s="35">
        <v>1003.7650000000001</v>
      </c>
      <c r="H36" s="35">
        <f t="shared" si="1"/>
        <v>1004.2341599799398</v>
      </c>
      <c r="I36" s="36">
        <v>16012059.279999999</v>
      </c>
      <c r="J36" s="36">
        <v>16019543.32</v>
      </c>
      <c r="K36" s="37">
        <v>17.060100000000002</v>
      </c>
      <c r="L36" s="37">
        <v>7484.04</v>
      </c>
      <c r="M36" s="31">
        <f t="shared" si="2"/>
        <v>16019543.319999998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60367</v>
      </c>
      <c r="D37" s="32" t="s">
        <v>68</v>
      </c>
      <c r="E37" s="34" t="s">
        <v>70</v>
      </c>
      <c r="F37" s="34" t="s">
        <v>74</v>
      </c>
      <c r="G37" s="35">
        <v>878.64899995030407</v>
      </c>
      <c r="H37" s="35">
        <f t="shared" si="1"/>
        <v>879.87814567561747</v>
      </c>
      <c r="I37" s="36">
        <v>53041404.18</v>
      </c>
      <c r="J37" s="36">
        <v>53115604.020000003</v>
      </c>
      <c r="K37" s="37">
        <v>17.02</v>
      </c>
      <c r="L37" s="37"/>
      <c r="M37" s="31">
        <f t="shared" si="2"/>
        <v>53041404.18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75</v>
      </c>
      <c r="C38" s="33">
        <v>48676</v>
      </c>
      <c r="D38" s="32" t="s">
        <v>68</v>
      </c>
      <c r="E38" s="34" t="s">
        <v>70</v>
      </c>
      <c r="F38" s="34" t="s">
        <v>74</v>
      </c>
      <c r="G38" s="35">
        <v>884.09300004108809</v>
      </c>
      <c r="H38" s="35">
        <f t="shared" si="1"/>
        <v>885.32976127865891</v>
      </c>
      <c r="I38" s="36">
        <v>43034110.86999999</v>
      </c>
      <c r="J38" s="36">
        <v>43094311.460000001</v>
      </c>
      <c r="K38" s="37">
        <v>17.02</v>
      </c>
      <c r="L38" s="37"/>
      <c r="M38" s="31">
        <f t="shared" si="2"/>
        <v>43034110.86999999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76</v>
      </c>
      <c r="C39" s="33">
        <v>21618</v>
      </c>
      <c r="D39" s="32" t="s">
        <v>68</v>
      </c>
      <c r="E39" s="34" t="s">
        <v>70</v>
      </c>
      <c r="F39" s="34" t="s">
        <v>74</v>
      </c>
      <c r="G39" s="35">
        <v>832.837000185031</v>
      </c>
      <c r="H39" s="35">
        <f t="shared" si="1"/>
        <v>834.00205939494867</v>
      </c>
      <c r="I39" s="36">
        <v>18004270.27</v>
      </c>
      <c r="J39" s="36">
        <v>18029456.52</v>
      </c>
      <c r="K39" s="37">
        <v>17.02</v>
      </c>
      <c r="L39" s="37"/>
      <c r="M39" s="31">
        <f t="shared" si="2"/>
        <v>18004270.27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77</v>
      </c>
      <c r="C40" s="33">
        <v>8368</v>
      </c>
      <c r="D40" s="32" t="s">
        <v>68</v>
      </c>
      <c r="E40" s="34" t="s">
        <v>70</v>
      </c>
      <c r="F40" s="34" t="s">
        <v>74</v>
      </c>
      <c r="G40" s="35">
        <v>956.51899976099401</v>
      </c>
      <c r="H40" s="35">
        <f t="shared" si="1"/>
        <v>957.85707815487569</v>
      </c>
      <c r="I40" s="36">
        <v>8004150.9900000002</v>
      </c>
      <c r="J40" s="36">
        <v>8015348.0300000003</v>
      </c>
      <c r="K40" s="37">
        <v>17.02</v>
      </c>
      <c r="L40" s="37"/>
      <c r="M40" s="31">
        <f t="shared" si="2"/>
        <v>8004150.9900000002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78</v>
      </c>
      <c r="C41" s="33">
        <v>8533</v>
      </c>
      <c r="D41" s="32" t="s">
        <v>68</v>
      </c>
      <c r="E41" s="34" t="s">
        <v>70</v>
      </c>
      <c r="F41" s="34" t="s">
        <v>74</v>
      </c>
      <c r="G41" s="35">
        <v>820.93399976561602</v>
      </c>
      <c r="H41" s="35">
        <f t="shared" si="1"/>
        <v>822.08240829719921</v>
      </c>
      <c r="I41" s="36">
        <v>7005029.8200000003</v>
      </c>
      <c r="J41" s="36">
        <v>7014829.1900000004</v>
      </c>
      <c r="K41" s="37">
        <v>17.02</v>
      </c>
      <c r="L41" s="37"/>
      <c r="M41" s="31">
        <f t="shared" si="2"/>
        <v>7005029.8200000003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75</v>
      </c>
      <c r="C42" s="33">
        <v>19244</v>
      </c>
      <c r="D42" s="32" t="s">
        <v>68</v>
      </c>
      <c r="E42" s="34" t="s">
        <v>70</v>
      </c>
      <c r="F42" s="34" t="s">
        <v>74</v>
      </c>
      <c r="G42" s="35">
        <v>884.092999896072</v>
      </c>
      <c r="H42" s="35">
        <f t="shared" si="1"/>
        <v>885.32976148409898</v>
      </c>
      <c r="I42" s="36">
        <v>17013485.690000001</v>
      </c>
      <c r="J42" s="36">
        <v>17037285.93</v>
      </c>
      <c r="K42" s="37">
        <v>17.02</v>
      </c>
      <c r="L42" s="37"/>
      <c r="M42" s="31">
        <f t="shared" si="2"/>
        <v>17013485.690000001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79</v>
      </c>
      <c r="C43" s="33">
        <v>18465</v>
      </c>
      <c r="D43" s="32" t="s">
        <v>68</v>
      </c>
      <c r="E43" s="34" t="s">
        <v>70</v>
      </c>
      <c r="F43" s="34" t="s">
        <v>74</v>
      </c>
      <c r="G43" s="35">
        <v>812.58600000000001</v>
      </c>
      <c r="H43" s="35">
        <f t="shared" si="1"/>
        <v>813.72273002978613</v>
      </c>
      <c r="I43" s="36">
        <v>15004400.49</v>
      </c>
      <c r="J43" s="36">
        <v>15025390.210000001</v>
      </c>
      <c r="K43" s="37">
        <v>17.02</v>
      </c>
      <c r="L43" s="37"/>
      <c r="M43" s="31">
        <f t="shared" si="2"/>
        <v>15004400.49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79</v>
      </c>
      <c r="C44" s="33">
        <v>1231</v>
      </c>
      <c r="D44" s="32" t="s">
        <v>68</v>
      </c>
      <c r="E44" s="34" t="s">
        <v>70</v>
      </c>
      <c r="F44" s="34" t="s">
        <v>74</v>
      </c>
      <c r="G44" s="35">
        <v>812.58600324939107</v>
      </c>
      <c r="H44" s="35">
        <f t="shared" si="1"/>
        <v>813.72272948822103</v>
      </c>
      <c r="I44" s="36">
        <v>1000293.37</v>
      </c>
      <c r="J44" s="36">
        <v>1001692.68</v>
      </c>
      <c r="K44" s="37">
        <v>17.02</v>
      </c>
      <c r="L44" s="37"/>
      <c r="M44" s="31">
        <f t="shared" si="2"/>
        <v>1000293.37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80</v>
      </c>
      <c r="C45" s="33">
        <v>60243</v>
      </c>
      <c r="D45" s="32" t="s">
        <v>68</v>
      </c>
      <c r="E45" s="34" t="s">
        <v>70</v>
      </c>
      <c r="F45" s="34" t="s">
        <v>74</v>
      </c>
      <c r="G45" s="35">
        <v>714.17</v>
      </c>
      <c r="H45" s="35">
        <f t="shared" si="1"/>
        <v>715.16905532593</v>
      </c>
      <c r="I45" s="36">
        <v>43023743.310000002</v>
      </c>
      <c r="J45" s="36">
        <v>43083929.399999999</v>
      </c>
      <c r="K45" s="37">
        <v>17.02</v>
      </c>
      <c r="L45" s="37"/>
      <c r="M45" s="31">
        <f t="shared" si="2"/>
        <v>43023743.310000002</v>
      </c>
      <c r="N45" s="10"/>
      <c r="O45" s="9"/>
      <c r="Q45" s="9">
        <v>1</v>
      </c>
    </row>
    <row r="46" spans="1:17" x14ac:dyDescent="0.2">
      <c r="A46" s="32" t="s">
        <v>66</v>
      </c>
      <c r="B46" s="32" t="s">
        <v>77</v>
      </c>
      <c r="C46" s="33">
        <v>15690</v>
      </c>
      <c r="D46" s="32" t="s">
        <v>68</v>
      </c>
      <c r="E46" s="34" t="s">
        <v>70</v>
      </c>
      <c r="F46" s="34" t="s">
        <v>74</v>
      </c>
      <c r="G46" s="35">
        <v>956.51900000000001</v>
      </c>
      <c r="H46" s="35">
        <f t="shared" si="1"/>
        <v>957.85707839388147</v>
      </c>
      <c r="I46" s="36">
        <v>15007783.109999999</v>
      </c>
      <c r="J46" s="36">
        <v>15028777.560000001</v>
      </c>
      <c r="K46" s="37">
        <v>17.02</v>
      </c>
      <c r="L46" s="37"/>
      <c r="M46" s="31">
        <f t="shared" si="2"/>
        <v>15007783.109999999</v>
      </c>
      <c r="N46" s="10"/>
      <c r="O46" s="9"/>
      <c r="Q46" s="9">
        <v>1</v>
      </c>
    </row>
    <row r="47" spans="1:17" x14ac:dyDescent="0.2">
      <c r="A47" s="32" t="s">
        <v>66</v>
      </c>
      <c r="B47" s="32" t="s">
        <v>81</v>
      </c>
      <c r="C47" s="33">
        <v>32525</v>
      </c>
      <c r="D47" s="32" t="s">
        <v>68</v>
      </c>
      <c r="E47" s="34" t="s">
        <v>70</v>
      </c>
      <c r="F47" s="34" t="s">
        <v>74</v>
      </c>
      <c r="G47" s="35">
        <v>769.18400000000008</v>
      </c>
      <c r="H47" s="35">
        <f t="shared" si="1"/>
        <v>770.26001475787859</v>
      </c>
      <c r="I47" s="36">
        <v>25017709.600000001</v>
      </c>
      <c r="J47" s="36">
        <v>25052706.98</v>
      </c>
      <c r="K47" s="37">
        <v>17.02</v>
      </c>
      <c r="L47" s="37"/>
      <c r="M47" s="31">
        <f t="shared" si="2"/>
        <v>25017709.600000001</v>
      </c>
      <c r="N47" s="10"/>
      <c r="O47" s="9"/>
      <c r="Q47" s="9">
        <v>1</v>
      </c>
    </row>
    <row r="48" spans="1:17" x14ac:dyDescent="0.2">
      <c r="A48" s="32" t="s">
        <v>66</v>
      </c>
      <c r="B48" s="32" t="s">
        <v>81</v>
      </c>
      <c r="C48" s="33">
        <v>16913</v>
      </c>
      <c r="D48" s="32" t="s">
        <v>68</v>
      </c>
      <c r="E48" s="34" t="s">
        <v>70</v>
      </c>
      <c r="F48" s="34" t="s">
        <v>74</v>
      </c>
      <c r="G48" s="35">
        <v>769.18399988174804</v>
      </c>
      <c r="H48" s="35">
        <f t="shared" si="1"/>
        <v>770.26001478152909</v>
      </c>
      <c r="I48" s="36">
        <v>13009208.99</v>
      </c>
      <c r="J48" s="36">
        <v>13027407.630000001</v>
      </c>
      <c r="K48" s="37">
        <v>17.02</v>
      </c>
      <c r="L48" s="37"/>
      <c r="M48" s="31">
        <f t="shared" si="2"/>
        <v>13009208.99</v>
      </c>
      <c r="N48" s="10"/>
      <c r="O48" s="9"/>
      <c r="Q48" s="9">
        <v>1</v>
      </c>
    </row>
    <row r="49" spans="1:17" x14ac:dyDescent="0.2">
      <c r="A49" s="32" t="s">
        <v>66</v>
      </c>
      <c r="B49" s="32" t="s">
        <v>82</v>
      </c>
      <c r="C49" s="33">
        <v>36133</v>
      </c>
      <c r="D49" s="32" t="s">
        <v>68</v>
      </c>
      <c r="E49" s="34" t="s">
        <v>70</v>
      </c>
      <c r="F49" s="34" t="s">
        <v>74</v>
      </c>
      <c r="G49" s="35">
        <v>636.89799988929803</v>
      </c>
      <c r="H49" s="35">
        <f t="shared" si="1"/>
        <v>637.78895912323912</v>
      </c>
      <c r="I49" s="36">
        <v>23013035.429999989</v>
      </c>
      <c r="J49" s="36">
        <v>23045228.460000001</v>
      </c>
      <c r="K49" s="37">
        <v>17.02</v>
      </c>
      <c r="L49" s="37"/>
      <c r="M49" s="31">
        <f t="shared" si="2"/>
        <v>23013035.429999989</v>
      </c>
      <c r="N49" s="10"/>
      <c r="O49" s="9"/>
      <c r="Q49" s="9">
        <v>1</v>
      </c>
    </row>
    <row r="50" spans="1:17" x14ac:dyDescent="0.2">
      <c r="A50" s="32" t="s">
        <v>71</v>
      </c>
      <c r="B50" s="32" t="s">
        <v>83</v>
      </c>
      <c r="C50" s="33">
        <v>39018</v>
      </c>
      <c r="D50" s="32" t="s">
        <v>68</v>
      </c>
      <c r="E50" s="34" t="s">
        <v>70</v>
      </c>
      <c r="F50" s="34" t="s">
        <v>74</v>
      </c>
      <c r="G50" s="35">
        <v>1077.5050000000001</v>
      </c>
      <c r="H50" s="35">
        <f t="shared" si="1"/>
        <v>1079.0123261058998</v>
      </c>
      <c r="I50" s="36">
        <v>42042090.090000004</v>
      </c>
      <c r="J50" s="36">
        <v>42100902.939999998</v>
      </c>
      <c r="K50" s="37">
        <v>17.02</v>
      </c>
      <c r="L50" s="37"/>
      <c r="M50" s="31">
        <f t="shared" si="2"/>
        <v>42042090.090000004</v>
      </c>
      <c r="N50" s="10"/>
      <c r="O50" s="9"/>
      <c r="Q50" s="9">
        <v>1</v>
      </c>
    </row>
    <row r="51" spans="1:17" x14ac:dyDescent="0.2">
      <c r="A51" s="32" t="s">
        <v>71</v>
      </c>
      <c r="B51" s="32" t="s">
        <v>84</v>
      </c>
      <c r="C51" s="33">
        <v>55912</v>
      </c>
      <c r="D51" s="32" t="s">
        <v>68</v>
      </c>
      <c r="E51" s="34" t="s">
        <v>70</v>
      </c>
      <c r="F51" s="34" t="s">
        <v>74</v>
      </c>
      <c r="G51" s="35">
        <v>1038.02</v>
      </c>
      <c r="H51" s="35">
        <f t="shared" si="1"/>
        <v>1039.4720904278151</v>
      </c>
      <c r="I51" s="36">
        <v>58037774.240000002</v>
      </c>
      <c r="J51" s="36">
        <v>58118963.520000003</v>
      </c>
      <c r="K51" s="37">
        <v>17.02</v>
      </c>
      <c r="L51" s="37"/>
      <c r="M51" s="31">
        <f t="shared" si="2"/>
        <v>58037774.240000002</v>
      </c>
      <c r="N51" s="10"/>
      <c r="O51" s="9"/>
      <c r="Q51" s="9">
        <v>1</v>
      </c>
    </row>
    <row r="52" spans="1:17" x14ac:dyDescent="0.2">
      <c r="A52" s="32" t="s">
        <v>71</v>
      </c>
      <c r="B52" s="32" t="s">
        <v>85</v>
      </c>
      <c r="C52" s="33">
        <v>24154</v>
      </c>
      <c r="D52" s="32" t="s">
        <v>68</v>
      </c>
      <c r="E52" s="34" t="s">
        <v>70</v>
      </c>
      <c r="F52" s="34" t="s">
        <v>74</v>
      </c>
      <c r="G52" s="35">
        <v>1076.7109998343951</v>
      </c>
      <c r="H52" s="35">
        <f t="shared" si="1"/>
        <v>1078.2172153680551</v>
      </c>
      <c r="I52" s="36">
        <v>26006877.489999998</v>
      </c>
      <c r="J52" s="36">
        <v>26043258.620000001</v>
      </c>
      <c r="K52" s="37">
        <v>17.02</v>
      </c>
      <c r="L52" s="37"/>
      <c r="M52" s="31">
        <f t="shared" si="2"/>
        <v>26006877.489999998</v>
      </c>
      <c r="N52" s="10"/>
      <c r="O52" s="9"/>
      <c r="Q52" s="9">
        <v>1</v>
      </c>
    </row>
    <row r="53" spans="1:17" x14ac:dyDescent="0.2">
      <c r="A53" s="32" t="s">
        <v>71</v>
      </c>
      <c r="B53" s="32" t="s">
        <v>86</v>
      </c>
      <c r="C53" s="33">
        <v>47532</v>
      </c>
      <c r="D53" s="32" t="s">
        <v>68</v>
      </c>
      <c r="E53" s="34" t="s">
        <v>70</v>
      </c>
      <c r="F53" s="34" t="s">
        <v>74</v>
      </c>
      <c r="G53" s="35">
        <v>1073.8519999158461</v>
      </c>
      <c r="H53" s="35">
        <f t="shared" si="1"/>
        <v>1075.3542158966591</v>
      </c>
      <c r="I53" s="36">
        <v>51042333.259999998</v>
      </c>
      <c r="J53" s="36">
        <v>51113736.590000004</v>
      </c>
      <c r="K53" s="37">
        <v>17.02</v>
      </c>
      <c r="L53" s="37"/>
      <c r="M53" s="31">
        <f t="shared" si="2"/>
        <v>51042333.259999998</v>
      </c>
      <c r="N53" s="10"/>
      <c r="O53" s="9"/>
      <c r="Q53" s="9">
        <v>1</v>
      </c>
    </row>
    <row r="54" spans="1:17" x14ac:dyDescent="0.2">
      <c r="A54" s="32" t="s">
        <v>71</v>
      </c>
      <c r="B54" s="32" t="s">
        <v>87</v>
      </c>
      <c r="C54" s="33">
        <v>63994</v>
      </c>
      <c r="D54" s="32" t="s">
        <v>68</v>
      </c>
      <c r="E54" s="34" t="s">
        <v>70</v>
      </c>
      <c r="F54" s="34" t="s">
        <v>74</v>
      </c>
      <c r="G54" s="35">
        <v>766.09</v>
      </c>
      <c r="H54" s="35">
        <f t="shared" si="1"/>
        <v>767.16168640810076</v>
      </c>
      <c r="I54" s="36">
        <v>49025163.460000001</v>
      </c>
      <c r="J54" s="36">
        <v>49093744.960000001</v>
      </c>
      <c r="K54" s="37">
        <v>17.02</v>
      </c>
      <c r="L54" s="37"/>
      <c r="M54" s="31">
        <f t="shared" si="2"/>
        <v>49025163.460000001</v>
      </c>
      <c r="N54" s="10"/>
      <c r="O54" s="9"/>
      <c r="Q54" s="9">
        <v>1</v>
      </c>
    </row>
    <row r="55" spans="1:17" x14ac:dyDescent="0.2">
      <c r="A55" s="32" t="s">
        <v>71</v>
      </c>
      <c r="B55" s="32" t="s">
        <v>88</v>
      </c>
      <c r="C55" s="33">
        <v>21337</v>
      </c>
      <c r="D55" s="32" t="s">
        <v>68</v>
      </c>
      <c r="E55" s="34" t="s">
        <v>70</v>
      </c>
      <c r="F55" s="34" t="s">
        <v>74</v>
      </c>
      <c r="G55" s="35">
        <v>891.00400009373402</v>
      </c>
      <c r="H55" s="35">
        <f t="shared" si="1"/>
        <v>892.2504293012139</v>
      </c>
      <c r="I55" s="36">
        <v>19011352.350000001</v>
      </c>
      <c r="J55" s="36">
        <v>19037947.41</v>
      </c>
      <c r="K55" s="37">
        <v>17.02</v>
      </c>
      <c r="L55" s="37"/>
      <c r="M55" s="31">
        <f t="shared" si="2"/>
        <v>19011352.350000001</v>
      </c>
      <c r="N55" s="10"/>
      <c r="O55" s="9"/>
      <c r="Q55" s="9">
        <v>1</v>
      </c>
    </row>
    <row r="56" spans="1:17" x14ac:dyDescent="0.2">
      <c r="A56" s="32" t="s">
        <v>71</v>
      </c>
      <c r="B56" s="32" t="s">
        <v>88</v>
      </c>
      <c r="C56" s="33">
        <v>49412</v>
      </c>
      <c r="D56" s="32" t="s">
        <v>68</v>
      </c>
      <c r="E56" s="34" t="s">
        <v>70</v>
      </c>
      <c r="F56" s="34" t="s">
        <v>74</v>
      </c>
      <c r="G56" s="35">
        <v>891.00400004047606</v>
      </c>
      <c r="H56" s="35">
        <f t="shared" si="1"/>
        <v>892.25042924795594</v>
      </c>
      <c r="I56" s="36">
        <v>44026289.649999991</v>
      </c>
      <c r="J56" s="36">
        <v>44087878.210000001</v>
      </c>
      <c r="K56" s="37">
        <v>17.02</v>
      </c>
      <c r="L56" s="37"/>
      <c r="M56" s="31">
        <f t="shared" si="2"/>
        <v>44026289.649999991</v>
      </c>
      <c r="N56" s="10"/>
      <c r="O56" s="9"/>
      <c r="Q56" s="9">
        <v>1</v>
      </c>
    </row>
    <row r="57" spans="1:17" x14ac:dyDescent="0.2">
      <c r="A57" s="32" t="s">
        <v>71</v>
      </c>
      <c r="B57" s="32" t="s">
        <v>87</v>
      </c>
      <c r="C57" s="33">
        <v>20896</v>
      </c>
      <c r="D57" s="32" t="s">
        <v>68</v>
      </c>
      <c r="E57" s="34" t="s">
        <v>70</v>
      </c>
      <c r="F57" s="34" t="s">
        <v>74</v>
      </c>
      <c r="G57" s="35">
        <v>766.09</v>
      </c>
      <c r="H57" s="35">
        <f t="shared" si="1"/>
        <v>767.16168644716686</v>
      </c>
      <c r="I57" s="36">
        <v>16008216.640000001</v>
      </c>
      <c r="J57" s="36">
        <v>16030610.6</v>
      </c>
      <c r="K57" s="37">
        <v>17.02</v>
      </c>
      <c r="L57" s="37"/>
      <c r="M57" s="31">
        <f t="shared" si="2"/>
        <v>16008216.640000001</v>
      </c>
      <c r="N57" s="10"/>
      <c r="O57" s="9"/>
      <c r="Q57" s="9">
        <v>1</v>
      </c>
    </row>
    <row r="58" spans="1:17" x14ac:dyDescent="0.2">
      <c r="A58" s="32" t="s">
        <v>71</v>
      </c>
      <c r="B58" s="32" t="s">
        <v>89</v>
      </c>
      <c r="C58" s="33">
        <v>6306</v>
      </c>
      <c r="D58" s="32" t="s">
        <v>68</v>
      </c>
      <c r="E58" s="34" t="s">
        <v>70</v>
      </c>
      <c r="F58" s="34" t="s">
        <v>74</v>
      </c>
      <c r="G58" s="35">
        <v>951.68199968284205</v>
      </c>
      <c r="H58" s="35">
        <f t="shared" si="1"/>
        <v>953.01331113225501</v>
      </c>
      <c r="I58" s="36">
        <v>6001306.6900000004</v>
      </c>
      <c r="J58" s="36">
        <v>6009701.9400000004</v>
      </c>
      <c r="K58" s="37">
        <v>17.02</v>
      </c>
      <c r="L58" s="37"/>
      <c r="M58" s="31">
        <f t="shared" si="2"/>
        <v>6001306.6900000004</v>
      </c>
      <c r="N58" s="10"/>
      <c r="O58" s="9"/>
      <c r="Q58" s="9">
        <v>1</v>
      </c>
    </row>
    <row r="59" spans="1:17" x14ac:dyDescent="0.2">
      <c r="A59" s="32" t="s">
        <v>71</v>
      </c>
      <c r="B59" s="32" t="s">
        <v>84</v>
      </c>
      <c r="C59" s="33">
        <v>964</v>
      </c>
      <c r="D59" s="32" t="s">
        <v>68</v>
      </c>
      <c r="E59" s="34" t="s">
        <v>70</v>
      </c>
      <c r="F59" s="34" t="s">
        <v>74</v>
      </c>
      <c r="G59" s="35">
        <v>1038.02</v>
      </c>
      <c r="H59" s="35">
        <f t="shared" si="1"/>
        <v>1039.4720954356847</v>
      </c>
      <c r="I59" s="36">
        <v>1000651.28</v>
      </c>
      <c r="J59" s="36">
        <v>1002051.1</v>
      </c>
      <c r="K59" s="37">
        <v>17.02</v>
      </c>
      <c r="L59" s="37"/>
      <c r="M59" s="31">
        <f t="shared" si="2"/>
        <v>1000651.28</v>
      </c>
      <c r="N59" s="10"/>
      <c r="O59" s="9"/>
      <c r="Q59" s="9">
        <v>1</v>
      </c>
    </row>
    <row r="60" spans="1:17" x14ac:dyDescent="0.2">
      <c r="A60" s="32" t="s">
        <v>71</v>
      </c>
      <c r="B60" s="32" t="s">
        <v>85</v>
      </c>
      <c r="C60" s="33">
        <v>8361</v>
      </c>
      <c r="D60" s="32" t="s">
        <v>68</v>
      </c>
      <c r="E60" s="34" t="s">
        <v>70</v>
      </c>
      <c r="F60" s="34" t="s">
        <v>74</v>
      </c>
      <c r="G60" s="35">
        <v>1076.7109998803971</v>
      </c>
      <c r="H60" s="35">
        <f t="shared" si="1"/>
        <v>1078.2172156440618</v>
      </c>
      <c r="I60" s="36">
        <v>9002380.6699999999</v>
      </c>
      <c r="J60" s="36">
        <v>9014974.1400000006</v>
      </c>
      <c r="K60" s="37">
        <v>17.02</v>
      </c>
      <c r="L60" s="37"/>
      <c r="M60" s="31">
        <f t="shared" si="2"/>
        <v>9002380.6699999999</v>
      </c>
      <c r="N60" s="10"/>
      <c r="O60" s="9"/>
      <c r="Q60" s="9">
        <v>1</v>
      </c>
    </row>
    <row r="61" spans="1:17" x14ac:dyDescent="0.2">
      <c r="A61" s="32" t="s">
        <v>71</v>
      </c>
      <c r="B61" s="32" t="s">
        <v>90</v>
      </c>
      <c r="C61" s="33">
        <v>58469</v>
      </c>
      <c r="D61" s="32" t="s">
        <v>68</v>
      </c>
      <c r="E61" s="34" t="s">
        <v>70</v>
      </c>
      <c r="F61" s="34" t="s">
        <v>74</v>
      </c>
      <c r="G61" s="35">
        <v>1009.207999965793</v>
      </c>
      <c r="H61" s="35">
        <f t="shared" si="1"/>
        <v>1010.6197851853118</v>
      </c>
      <c r="I61" s="36">
        <v>59007382.549999997</v>
      </c>
      <c r="J61" s="36">
        <v>59089928.219999999</v>
      </c>
      <c r="K61" s="37">
        <v>17.02</v>
      </c>
      <c r="L61" s="37"/>
      <c r="M61" s="31">
        <f t="shared" si="2"/>
        <v>59007382.549999997</v>
      </c>
      <c r="N61" s="10"/>
      <c r="O61" s="9"/>
      <c r="Q61" s="9">
        <v>1</v>
      </c>
    </row>
    <row r="62" spans="1:17" x14ac:dyDescent="0.2">
      <c r="A62" s="32" t="s">
        <v>71</v>
      </c>
      <c r="B62" s="32" t="s">
        <v>87</v>
      </c>
      <c r="C62" s="33">
        <v>75748</v>
      </c>
      <c r="D62" s="32" t="s">
        <v>68</v>
      </c>
      <c r="E62" s="34" t="s">
        <v>70</v>
      </c>
      <c r="F62" s="34" t="s">
        <v>74</v>
      </c>
      <c r="G62" s="35">
        <v>766.09</v>
      </c>
      <c r="H62" s="35">
        <f t="shared" si="1"/>
        <v>767.16168651317525</v>
      </c>
      <c r="I62" s="36">
        <v>58029785.32</v>
      </c>
      <c r="J62" s="36">
        <v>58110963.43</v>
      </c>
      <c r="K62" s="37">
        <v>17.02</v>
      </c>
      <c r="L62" s="37"/>
      <c r="M62" s="31">
        <f t="shared" si="2"/>
        <v>58029785.32</v>
      </c>
      <c r="N62" s="10"/>
      <c r="O62" s="9"/>
      <c r="Q62" s="9">
        <v>1</v>
      </c>
    </row>
    <row r="63" spans="1:17" x14ac:dyDescent="0.2">
      <c r="A63" s="32" t="s">
        <v>71</v>
      </c>
      <c r="B63" s="32" t="s">
        <v>88</v>
      </c>
      <c r="C63" s="33">
        <v>60642</v>
      </c>
      <c r="D63" s="32" t="s">
        <v>68</v>
      </c>
      <c r="E63" s="34" t="s">
        <v>70</v>
      </c>
      <c r="F63" s="34" t="s">
        <v>74</v>
      </c>
      <c r="G63" s="35">
        <v>891.00400003298</v>
      </c>
      <c r="H63" s="35">
        <f t="shared" si="1"/>
        <v>892.25042924046045</v>
      </c>
      <c r="I63" s="36">
        <v>54032264.57</v>
      </c>
      <c r="J63" s="36">
        <v>54107850.530000001</v>
      </c>
      <c r="K63" s="37">
        <v>17.02</v>
      </c>
      <c r="L63" s="37"/>
      <c r="M63" s="31">
        <f t="shared" si="2"/>
        <v>54032264.57</v>
      </c>
      <c r="N63" s="10"/>
      <c r="O63" s="9"/>
      <c r="Q63" s="9">
        <v>1</v>
      </c>
    </row>
    <row r="64" spans="1:17" x14ac:dyDescent="0.2">
      <c r="A64" s="32" t="s">
        <v>71</v>
      </c>
      <c r="B64" s="32" t="s">
        <v>86</v>
      </c>
      <c r="C64" s="33">
        <v>3728</v>
      </c>
      <c r="D64" s="32" t="s">
        <v>68</v>
      </c>
      <c r="E64" s="34" t="s">
        <v>70</v>
      </c>
      <c r="F64" s="34" t="s">
        <v>74</v>
      </c>
      <c r="G64" s="35">
        <v>1073.852001072961</v>
      </c>
      <c r="H64" s="35">
        <f t="shared" si="1"/>
        <v>1075.3542167381975</v>
      </c>
      <c r="I64" s="36">
        <v>4003320.26</v>
      </c>
      <c r="J64" s="36">
        <v>4008920.52</v>
      </c>
      <c r="K64" s="37">
        <v>17.02</v>
      </c>
      <c r="L64" s="37"/>
      <c r="M64" s="31">
        <f t="shared" si="2"/>
        <v>4003320.26</v>
      </c>
      <c r="N64" s="10"/>
      <c r="O64" s="9"/>
      <c r="Q64" s="9">
        <v>1</v>
      </c>
    </row>
    <row r="65" spans="1:17" x14ac:dyDescent="0.2">
      <c r="A65" s="32" t="s">
        <v>71</v>
      </c>
      <c r="B65" s="32" t="s">
        <v>91</v>
      </c>
      <c r="C65" s="33">
        <v>4955</v>
      </c>
      <c r="D65" s="32" t="s">
        <v>68</v>
      </c>
      <c r="E65" s="34" t="s">
        <v>70</v>
      </c>
      <c r="F65" s="34" t="s">
        <v>74</v>
      </c>
      <c r="G65" s="35">
        <v>1009.161001009081</v>
      </c>
      <c r="H65" s="35">
        <f t="shared" si="1"/>
        <v>1010.5727204843593</v>
      </c>
      <c r="I65" s="36">
        <v>5000392.76</v>
      </c>
      <c r="J65" s="36">
        <v>5007387.83</v>
      </c>
      <c r="K65" s="37">
        <v>17.02</v>
      </c>
      <c r="L65" s="37"/>
      <c r="M65" s="31">
        <f t="shared" si="2"/>
        <v>5000392.76</v>
      </c>
      <c r="N65" s="10"/>
      <c r="O65" s="9"/>
      <c r="Q65" s="9">
        <v>1</v>
      </c>
    </row>
    <row r="66" spans="1:17" x14ac:dyDescent="0.2">
      <c r="A66" s="32" t="s">
        <v>71</v>
      </c>
      <c r="B66" s="32" t="s">
        <v>92</v>
      </c>
      <c r="C66" s="33">
        <v>24480</v>
      </c>
      <c r="D66" s="32" t="s">
        <v>68</v>
      </c>
      <c r="E66" s="34" t="s">
        <v>70</v>
      </c>
      <c r="F66" s="34" t="s">
        <v>74</v>
      </c>
      <c r="G66" s="35">
        <v>981.00600000000009</v>
      </c>
      <c r="H66" s="35">
        <f t="shared" si="1"/>
        <v>982.37833333333344</v>
      </c>
      <c r="I66" s="36">
        <v>24015026.879999999</v>
      </c>
      <c r="J66" s="36">
        <v>24048621.600000001</v>
      </c>
      <c r="K66" s="37">
        <v>17.02</v>
      </c>
      <c r="L66" s="37"/>
      <c r="M66" s="31">
        <f t="shared" si="2"/>
        <v>24015026.879999999</v>
      </c>
      <c r="N66" s="10"/>
      <c r="O66" s="9"/>
      <c r="Q66" s="9">
        <v>1</v>
      </c>
    </row>
    <row r="67" spans="1:17" x14ac:dyDescent="0.2">
      <c r="A67" s="32" t="s">
        <v>71</v>
      </c>
      <c r="B67" s="32" t="s">
        <v>90</v>
      </c>
      <c r="C67" s="33">
        <v>14865</v>
      </c>
      <c r="D67" s="32" t="s">
        <v>68</v>
      </c>
      <c r="E67" s="34" t="s">
        <v>70</v>
      </c>
      <c r="F67" s="34" t="s">
        <v>74</v>
      </c>
      <c r="G67" s="35">
        <v>1009.2080000000001</v>
      </c>
      <c r="H67" s="35">
        <f t="shared" si="1"/>
        <v>1010.6197854019508</v>
      </c>
      <c r="I67" s="36">
        <v>15001876.92</v>
      </c>
      <c r="J67" s="36">
        <v>15022863.109999999</v>
      </c>
      <c r="K67" s="37">
        <v>17.02</v>
      </c>
      <c r="L67" s="37"/>
      <c r="M67" s="31">
        <f t="shared" si="2"/>
        <v>15001876.92</v>
      </c>
      <c r="N67" s="10"/>
      <c r="O67" s="9"/>
      <c r="Q67" s="9">
        <v>1</v>
      </c>
    </row>
    <row r="68" spans="1:17" x14ac:dyDescent="0.2">
      <c r="A68" s="32" t="s">
        <v>71</v>
      </c>
      <c r="B68" s="32" t="s">
        <v>93</v>
      </c>
      <c r="C68" s="33">
        <v>1216</v>
      </c>
      <c r="D68" s="32" t="s">
        <v>68</v>
      </c>
      <c r="E68" s="34" t="s">
        <v>70</v>
      </c>
      <c r="F68" s="34" t="s">
        <v>74</v>
      </c>
      <c r="G68" s="35">
        <v>822.79300164473705</v>
      </c>
      <c r="H68" s="35">
        <f t="shared" si="1"/>
        <v>823.9440131578948</v>
      </c>
      <c r="I68" s="36">
        <v>1000516.29</v>
      </c>
      <c r="J68" s="36">
        <v>1001915.92</v>
      </c>
      <c r="K68" s="37">
        <v>17.02</v>
      </c>
      <c r="L68" s="37"/>
      <c r="M68" s="31">
        <f t="shared" si="2"/>
        <v>1000516.29</v>
      </c>
      <c r="N68" s="10"/>
      <c r="O68" s="9"/>
      <c r="Q68" s="9">
        <v>1</v>
      </c>
    </row>
    <row r="69" spans="1:17" x14ac:dyDescent="0.2">
      <c r="A69" s="32" t="s">
        <v>94</v>
      </c>
      <c r="B69" s="32" t="s">
        <v>95</v>
      </c>
      <c r="C69" s="33">
        <v>81571</v>
      </c>
      <c r="D69" s="32" t="s">
        <v>68</v>
      </c>
      <c r="E69" s="34" t="s">
        <v>70</v>
      </c>
      <c r="F69" s="34" t="s">
        <v>74</v>
      </c>
      <c r="G69" s="35">
        <v>527.21989996444813</v>
      </c>
      <c r="H69" s="35">
        <f t="shared" si="1"/>
        <v>527.95743009157673</v>
      </c>
      <c r="I69" s="36">
        <v>43005854.459999993</v>
      </c>
      <c r="J69" s="36">
        <v>43066015.530000001</v>
      </c>
      <c r="K69" s="37">
        <v>17.02</v>
      </c>
      <c r="L69" s="37"/>
      <c r="M69" s="31">
        <f t="shared" si="2"/>
        <v>43005854.459999993</v>
      </c>
      <c r="N69" s="10"/>
      <c r="O69" s="9"/>
      <c r="Q69" s="9">
        <v>1</v>
      </c>
    </row>
    <row r="70" spans="1:17" x14ac:dyDescent="0.2">
      <c r="A70" s="32" t="s">
        <v>94</v>
      </c>
      <c r="B70" s="32" t="s">
        <v>95</v>
      </c>
      <c r="C70" s="33">
        <v>102438</v>
      </c>
      <c r="D70" s="32" t="s">
        <v>68</v>
      </c>
      <c r="E70" s="34" t="s">
        <v>70</v>
      </c>
      <c r="F70" s="34" t="s">
        <v>74</v>
      </c>
      <c r="G70" s="35">
        <v>527.21990003709607</v>
      </c>
      <c r="H70" s="35">
        <f t="shared" si="1"/>
        <v>527.95743015287292</v>
      </c>
      <c r="I70" s="36">
        <v>54007352.119999997</v>
      </c>
      <c r="J70" s="36">
        <v>54082903.229999997</v>
      </c>
      <c r="K70" s="37">
        <v>17.02</v>
      </c>
      <c r="L70" s="37"/>
      <c r="M70" s="31">
        <f t="shared" si="2"/>
        <v>54007352.119999997</v>
      </c>
      <c r="N70" s="10"/>
      <c r="O70" s="9"/>
      <c r="Q70" s="9">
        <v>1</v>
      </c>
    </row>
    <row r="71" spans="1:17" x14ac:dyDescent="0.2">
      <c r="A71" s="32" t="s">
        <v>66</v>
      </c>
      <c r="B71" s="32" t="s">
        <v>96</v>
      </c>
      <c r="C71" s="33">
        <v>35467</v>
      </c>
      <c r="D71" s="32" t="s">
        <v>68</v>
      </c>
      <c r="E71" s="34" t="s">
        <v>70</v>
      </c>
      <c r="F71" s="34" t="s">
        <v>74</v>
      </c>
      <c r="G71" s="35">
        <v>817.76400005639005</v>
      </c>
      <c r="H71" s="35">
        <f t="shared" si="1"/>
        <v>818.90797360927058</v>
      </c>
      <c r="I71" s="36">
        <v>29003635.789999999</v>
      </c>
      <c r="J71" s="36">
        <v>29044209.100000001</v>
      </c>
      <c r="K71" s="37">
        <v>17.02</v>
      </c>
      <c r="L71" s="37"/>
      <c r="M71" s="31">
        <f t="shared" si="2"/>
        <v>29003635.789999999</v>
      </c>
      <c r="N71" s="10"/>
      <c r="O71" s="9"/>
      <c r="Q71" s="9">
        <v>1</v>
      </c>
    </row>
    <row r="72" spans="1:17" x14ac:dyDescent="0.2">
      <c r="A72" s="32" t="s">
        <v>66</v>
      </c>
      <c r="B72" s="32" t="s">
        <v>97</v>
      </c>
      <c r="C72" s="33">
        <v>1359000</v>
      </c>
      <c r="D72" s="32" t="s">
        <v>68</v>
      </c>
      <c r="E72" s="34" t="s">
        <v>70</v>
      </c>
      <c r="F72" s="34" t="s">
        <v>74</v>
      </c>
      <c r="G72" s="35">
        <v>1000.345</v>
      </c>
      <c r="H72" s="35">
        <f t="shared" si="1"/>
        <v>1001.7452089330391</v>
      </c>
      <c r="I72" s="36">
        <v>1359468855</v>
      </c>
      <c r="J72" s="36">
        <v>1361371738.9400001</v>
      </c>
      <c r="K72" s="37">
        <v>17.03</v>
      </c>
      <c r="L72" s="37"/>
      <c r="M72" s="31">
        <f t="shared" si="2"/>
        <v>1359468855</v>
      </c>
      <c r="N72" s="10"/>
      <c r="O72" s="9"/>
      <c r="Q72" s="9">
        <v>1</v>
      </c>
    </row>
    <row r="73" spans="1:17" hidden="1" x14ac:dyDescent="0.2">
      <c r="A73" s="32"/>
      <c r="B73" s="32"/>
      <c r="C73" s="33"/>
      <c r="D73" s="32"/>
      <c r="E73" s="34"/>
      <c r="F73" s="34"/>
      <c r="G73" s="35"/>
      <c r="H73" s="35"/>
      <c r="I73" s="36"/>
      <c r="J73" s="36"/>
      <c r="K73" s="37"/>
      <c r="L73" s="31"/>
      <c r="M73" s="31"/>
      <c r="N73" s="10"/>
      <c r="O73" s="9"/>
    </row>
    <row r="74" spans="1:17" s="13" customFormat="1" x14ac:dyDescent="0.2">
      <c r="A74" s="38"/>
      <c r="B74" s="39" t="s">
        <v>5</v>
      </c>
      <c r="C74" s="38"/>
      <c r="D74" s="38"/>
      <c r="E74" s="38"/>
      <c r="F74" s="38"/>
      <c r="G74" s="38"/>
      <c r="H74" s="38"/>
      <c r="I74" s="38"/>
      <c r="J74" s="38"/>
      <c r="K74" s="38"/>
      <c r="L74" s="38" t="s">
        <v>44</v>
      </c>
      <c r="M74" s="40">
        <f>SUMIF(Q35:Q73,1,M35:M73)</f>
        <v>2307959324.8599997</v>
      </c>
      <c r="N74" s="62">
        <v>2307959324.8599997</v>
      </c>
      <c r="O74" s="63">
        <f>M74-N74</f>
        <v>0</v>
      </c>
    </row>
    <row r="76" spans="1:17" ht="22.5" x14ac:dyDescent="0.2">
      <c r="A76" s="27" t="s">
        <v>37</v>
      </c>
    </row>
    <row r="77" spans="1:17" ht="22.5" x14ac:dyDescent="0.2">
      <c r="A77" s="14" t="s">
        <v>7</v>
      </c>
      <c r="B77" s="14" t="s">
        <v>38</v>
      </c>
      <c r="C77" s="14" t="s">
        <v>26</v>
      </c>
      <c r="D77" s="14" t="s">
        <v>39</v>
      </c>
      <c r="E77" s="14" t="s">
        <v>25</v>
      </c>
      <c r="F77" s="14" t="s">
        <v>40</v>
      </c>
      <c r="G77" s="14" t="s">
        <v>41</v>
      </c>
      <c r="N77" s="10"/>
      <c r="O77" s="9"/>
    </row>
    <row r="78" spans="1:17" hidden="1" x14ac:dyDescent="0.2">
      <c r="A78" s="42"/>
      <c r="B78" s="42"/>
      <c r="C78" s="32"/>
      <c r="D78" s="43"/>
      <c r="E78" s="29"/>
      <c r="F78" s="29"/>
      <c r="G78" s="31"/>
      <c r="N78" s="10"/>
      <c r="O78" s="9"/>
    </row>
    <row r="79" spans="1:17" s="13" customFormat="1" x14ac:dyDescent="0.2">
      <c r="A79" s="44"/>
      <c r="B79" s="45" t="s">
        <v>5</v>
      </c>
      <c r="C79" s="46"/>
      <c r="D79" s="47"/>
      <c r="E79" s="48">
        <f>SUM(E78:E78)</f>
        <v>0</v>
      </c>
      <c r="F79" s="40">
        <f>SUM(F78:F78)</f>
        <v>0</v>
      </c>
      <c r="G79" s="40">
        <f>SUM(G78:G78)</f>
        <v>0</v>
      </c>
      <c r="N79" s="41"/>
    </row>
    <row r="80" spans="1:17" x14ac:dyDescent="0.2">
      <c r="A80" s="49"/>
      <c r="D80" s="50"/>
      <c r="G80" s="51"/>
    </row>
    <row r="81" spans="1:15" x14ac:dyDescent="0.2">
      <c r="A81" s="52" t="s">
        <v>22</v>
      </c>
      <c r="B81" s="53">
        <f>L26+B29+M74</f>
        <v>29063805624.363869</v>
      </c>
      <c r="C81" s="64">
        <v>29063805624.423878</v>
      </c>
      <c r="D81" s="64">
        <f>__mdDATAItogoActive__-C81</f>
        <v>-6.0009002685546875E-2</v>
      </c>
    </row>
    <row r="82" spans="1:15" x14ac:dyDescent="0.2">
      <c r="D82" s="54"/>
      <c r="E82" s="54"/>
    </row>
    <row r="84" spans="1:15" x14ac:dyDescent="0.2">
      <c r="A84" s="52" t="s">
        <v>47</v>
      </c>
      <c r="B84" s="52"/>
      <c r="C84" s="52"/>
      <c r="F84" s="54"/>
      <c r="O84" s="9"/>
    </row>
    <row r="85" spans="1:15" x14ac:dyDescent="0.2">
      <c r="O85" s="9"/>
    </row>
    <row r="86" spans="1:15" x14ac:dyDescent="0.2">
      <c r="A86" s="65" t="s">
        <v>48</v>
      </c>
      <c r="B86" s="65"/>
      <c r="C86" s="65"/>
      <c r="D86" s="65"/>
      <c r="O86" s="9"/>
    </row>
    <row r="87" spans="1:15" x14ac:dyDescent="0.2">
      <c r="O87" s="9"/>
    </row>
    <row r="88" spans="1:15" ht="22.5" x14ac:dyDescent="0.2">
      <c r="A88" s="14" t="s">
        <v>7</v>
      </c>
      <c r="B88" s="14" t="s">
        <v>38</v>
      </c>
      <c r="C88" s="14" t="s">
        <v>26</v>
      </c>
      <c r="D88" s="14" t="s">
        <v>39</v>
      </c>
      <c r="E88" s="14" t="s">
        <v>25</v>
      </c>
      <c r="F88" s="14" t="s">
        <v>40</v>
      </c>
      <c r="G88" s="14" t="s">
        <v>41</v>
      </c>
      <c r="O88" s="9"/>
    </row>
    <row r="89" spans="1:15" hidden="1" x14ac:dyDescent="0.2">
      <c r="A89" s="55"/>
      <c r="B89" s="55"/>
      <c r="C89" s="55"/>
      <c r="D89" s="55"/>
      <c r="E89" s="55"/>
      <c r="F89" s="55"/>
      <c r="G89" s="55"/>
      <c r="O89" s="9"/>
    </row>
    <row r="90" spans="1:15" s="13" customFormat="1" x14ac:dyDescent="0.2">
      <c r="A90" s="38"/>
      <c r="B90" s="39" t="s">
        <v>5</v>
      </c>
      <c r="C90" s="38"/>
      <c r="D90" s="38"/>
      <c r="E90" s="48">
        <f>SUM(E89:E89)</f>
        <v>0</v>
      </c>
      <c r="F90" s="40">
        <f>SUM(F89:F89)</f>
        <v>0</v>
      </c>
      <c r="G90" s="40">
        <f>SUM(G89:G89)</f>
        <v>0</v>
      </c>
    </row>
    <row r="91" spans="1:15" s="13" customFormat="1" x14ac:dyDescent="0.2">
      <c r="B91" s="56"/>
    </row>
    <row r="92" spans="1:15" x14ac:dyDescent="0.2">
      <c r="A92" s="65" t="s">
        <v>49</v>
      </c>
      <c r="B92" s="65"/>
      <c r="O92" s="9"/>
    </row>
    <row r="93" spans="1:15" x14ac:dyDescent="0.2">
      <c r="O93" s="9"/>
    </row>
    <row r="94" spans="1:15" x14ac:dyDescent="0.2">
      <c r="A94" s="14" t="s">
        <v>7</v>
      </c>
      <c r="B94" s="14" t="s">
        <v>38</v>
      </c>
      <c r="C94" s="14" t="s">
        <v>50</v>
      </c>
      <c r="D94" s="14" t="s">
        <v>51</v>
      </c>
      <c r="O94" s="9"/>
    </row>
    <row r="95" spans="1:15" x14ac:dyDescent="0.2">
      <c r="A95" s="24" t="s">
        <v>52</v>
      </c>
      <c r="B95" s="24">
        <v>1</v>
      </c>
      <c r="C95" s="24">
        <v>2</v>
      </c>
      <c r="D95" s="24">
        <v>3</v>
      </c>
      <c r="O95" s="9"/>
    </row>
    <row r="96" spans="1:15" x14ac:dyDescent="0.2">
      <c r="A96" s="24">
        <v>1</v>
      </c>
      <c r="B96" s="55" t="s">
        <v>53</v>
      </c>
      <c r="C96" s="57">
        <v>0</v>
      </c>
      <c r="D96" s="24"/>
      <c r="E96" s="54"/>
      <c r="O96" s="9"/>
    </row>
    <row r="97" spans="1:15" x14ac:dyDescent="0.2">
      <c r="A97" s="24">
        <v>2</v>
      </c>
      <c r="B97" s="55" t="s">
        <v>54</v>
      </c>
      <c r="C97" s="57">
        <v>0</v>
      </c>
      <c r="D97" s="24"/>
      <c r="E97" s="54"/>
      <c r="O97" s="9"/>
    </row>
    <row r="98" spans="1:15" x14ac:dyDescent="0.2">
      <c r="A98" s="24">
        <v>3</v>
      </c>
      <c r="B98" s="55" t="s">
        <v>55</v>
      </c>
      <c r="C98" s="57">
        <v>492022</v>
      </c>
      <c r="D98" s="24"/>
      <c r="O98" s="9"/>
    </row>
    <row r="99" spans="1:15" x14ac:dyDescent="0.2">
      <c r="A99" s="24">
        <v>4</v>
      </c>
      <c r="B99" s="55" t="s">
        <v>56</v>
      </c>
      <c r="C99" s="57">
        <v>0</v>
      </c>
      <c r="D99" s="24"/>
      <c r="O99" s="9"/>
    </row>
    <row r="100" spans="1:15" ht="22.5" x14ac:dyDescent="0.2">
      <c r="A100" s="24">
        <v>5</v>
      </c>
      <c r="B100" s="58" t="s">
        <v>57</v>
      </c>
      <c r="C100" s="57">
        <v>369718.98</v>
      </c>
      <c r="D100" s="24"/>
      <c r="F100" s="54"/>
      <c r="O100" s="9"/>
    </row>
    <row r="101" spans="1:15" x14ac:dyDescent="0.2">
      <c r="A101" s="24">
        <v>6</v>
      </c>
      <c r="B101" s="55" t="s">
        <v>58</v>
      </c>
      <c r="C101" s="57">
        <v>144794.43</v>
      </c>
      <c r="D101" s="57"/>
      <c r="O101" s="9"/>
    </row>
    <row r="102" spans="1:15" x14ac:dyDescent="0.2">
      <c r="A102" s="24">
        <v>7</v>
      </c>
      <c r="B102" s="55" t="s">
        <v>59</v>
      </c>
      <c r="C102" s="57">
        <v>24727.61</v>
      </c>
      <c r="D102" s="57"/>
      <c r="F102" s="54"/>
      <c r="O102" s="9"/>
    </row>
    <row r="103" spans="1:15" x14ac:dyDescent="0.2">
      <c r="A103" s="24">
        <v>8</v>
      </c>
      <c r="B103" s="55" t="s">
        <v>60</v>
      </c>
      <c r="C103" s="57">
        <v>0</v>
      </c>
      <c r="D103" s="24"/>
      <c r="O103" s="9"/>
    </row>
    <row r="104" spans="1:15" ht="22.5" x14ac:dyDescent="0.2">
      <c r="A104" s="24">
        <v>9</v>
      </c>
      <c r="B104" s="58" t="s">
        <v>61</v>
      </c>
      <c r="C104" s="57">
        <v>0</v>
      </c>
      <c r="D104" s="24"/>
      <c r="O104" s="9"/>
    </row>
    <row r="105" spans="1:15" ht="22.5" x14ac:dyDescent="0.2">
      <c r="A105" s="24">
        <v>10</v>
      </c>
      <c r="B105" s="58" t="s">
        <v>62</v>
      </c>
      <c r="C105" s="57">
        <v>0</v>
      </c>
      <c r="D105" s="24"/>
      <c r="E105" s="54"/>
      <c r="O105" s="9"/>
    </row>
    <row r="106" spans="1:15" x14ac:dyDescent="0.2">
      <c r="A106" s="66" t="s">
        <v>63</v>
      </c>
      <c r="B106" s="66"/>
      <c r="C106" s="59">
        <f>SUM(C96:C105)</f>
        <v>1031263.0199999999</v>
      </c>
      <c r="D106" s="55"/>
      <c r="O106" s="9"/>
    </row>
    <row r="108" spans="1:15" x14ac:dyDescent="0.2">
      <c r="C108" s="51"/>
    </row>
    <row r="109" spans="1:15" x14ac:dyDescent="0.2">
      <c r="C109" s="54"/>
    </row>
    <row r="110" spans="1:15" x14ac:dyDescent="0.2">
      <c r="C110" s="54"/>
      <c r="D110" s="54"/>
    </row>
    <row r="111" spans="1:15" x14ac:dyDescent="0.2">
      <c r="C111" s="54"/>
    </row>
  </sheetData>
  <mergeCells count="3">
    <mergeCell ref="A86:D86"/>
    <mergeCell ref="A92:B92"/>
    <mergeCell ref="A106:B10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12.12.2025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134</v>
      </c>
      <c r="C4" s="4" t="s">
        <v>135</v>
      </c>
      <c r="D4" s="4" t="s">
        <v>136</v>
      </c>
      <c r="E4" s="4" t="s">
        <v>137</v>
      </c>
      <c r="F4" s="4">
        <v>9490.25</v>
      </c>
      <c r="G4" s="5"/>
      <c r="H4" s="5"/>
      <c r="I4" s="5"/>
      <c r="J4" s="4" t="s">
        <v>138</v>
      </c>
    </row>
    <row r="5" spans="1:10" x14ac:dyDescent="0.25">
      <c r="A5" s="4">
        <f t="shared" ca="1" si="0"/>
        <v>2</v>
      </c>
      <c r="B5" s="4" t="s">
        <v>139</v>
      </c>
      <c r="C5" s="4" t="s">
        <v>140</v>
      </c>
      <c r="D5" s="4" t="s">
        <v>141</v>
      </c>
      <c r="E5" s="4" t="s">
        <v>137</v>
      </c>
      <c r="F5" s="4">
        <v>1061.681</v>
      </c>
      <c r="G5" s="5">
        <v>111.36250000000001</v>
      </c>
      <c r="H5" s="5">
        <v>18.48</v>
      </c>
      <c r="I5" s="5">
        <v>827</v>
      </c>
      <c r="J5" s="4" t="s">
        <v>142</v>
      </c>
    </row>
    <row r="6" spans="1:10" x14ac:dyDescent="0.25">
      <c r="A6" s="4">
        <f t="shared" ca="1" si="0"/>
        <v>3</v>
      </c>
      <c r="B6" s="4" t="s">
        <v>143</v>
      </c>
      <c r="C6" s="4" t="s">
        <v>144</v>
      </c>
      <c r="D6" s="4" t="s">
        <v>136</v>
      </c>
      <c r="E6" s="4" t="s">
        <v>145</v>
      </c>
      <c r="F6" s="4">
        <v>1435.57</v>
      </c>
      <c r="G6" s="5"/>
      <c r="H6" s="5"/>
      <c r="I6" s="5"/>
      <c r="J6" s="4" t="s">
        <v>138</v>
      </c>
    </row>
    <row r="7" spans="1:10" x14ac:dyDescent="0.25">
      <c r="A7" s="4">
        <f t="shared" ca="1" si="0"/>
        <v>4</v>
      </c>
      <c r="B7" s="4" t="s">
        <v>146</v>
      </c>
      <c r="C7" s="4" t="s">
        <v>147</v>
      </c>
      <c r="D7" s="4" t="s">
        <v>136</v>
      </c>
      <c r="E7" s="4" t="s">
        <v>148</v>
      </c>
      <c r="F7" s="4">
        <v>568121.05000000005</v>
      </c>
      <c r="G7" s="5"/>
      <c r="H7" s="5"/>
      <c r="I7" s="5"/>
      <c r="J7" s="4" t="s">
        <v>138</v>
      </c>
    </row>
    <row r="8" spans="1:10" x14ac:dyDescent="0.25">
      <c r="A8" s="4">
        <f t="shared" ca="1" si="0"/>
        <v>5</v>
      </c>
      <c r="B8" s="4" t="s">
        <v>149</v>
      </c>
      <c r="C8" s="4" t="s">
        <v>150</v>
      </c>
      <c r="D8" s="4" t="s">
        <v>136</v>
      </c>
      <c r="E8" s="4" t="s">
        <v>148</v>
      </c>
      <c r="F8" s="4">
        <v>6301.35</v>
      </c>
      <c r="G8" s="5"/>
      <c r="H8" s="5"/>
      <c r="I8" s="5"/>
      <c r="J8" s="4" t="s">
        <v>138</v>
      </c>
    </row>
    <row r="9" spans="1:10" x14ac:dyDescent="0.25">
      <c r="A9" s="4">
        <f t="shared" ca="1" si="0"/>
        <v>6</v>
      </c>
      <c r="B9" s="4" t="s">
        <v>151</v>
      </c>
      <c r="C9" s="4" t="s">
        <v>152</v>
      </c>
      <c r="D9" s="4" t="s">
        <v>136</v>
      </c>
      <c r="E9" s="4" t="s">
        <v>148</v>
      </c>
      <c r="F9" s="4">
        <v>168.08</v>
      </c>
      <c r="G9" s="5"/>
      <c r="H9" s="5"/>
      <c r="I9" s="5"/>
      <c r="J9" s="4" t="s">
        <v>138</v>
      </c>
    </row>
    <row r="10" spans="1:10" x14ac:dyDescent="0.25">
      <c r="A10" s="4">
        <f t="shared" ca="1" si="0"/>
        <v>7</v>
      </c>
      <c r="B10" s="4" t="s">
        <v>153</v>
      </c>
      <c r="C10" s="4" t="s">
        <v>154</v>
      </c>
      <c r="D10" s="4" t="s">
        <v>136</v>
      </c>
      <c r="E10" s="4" t="s">
        <v>148</v>
      </c>
      <c r="F10" s="4">
        <v>5622.28</v>
      </c>
      <c r="G10" s="5"/>
      <c r="H10" s="5"/>
      <c r="I10" s="5"/>
      <c r="J10" s="4" t="s">
        <v>138</v>
      </c>
    </row>
    <row r="11" spans="1:10" x14ac:dyDescent="0.25">
      <c r="A11" s="4">
        <f t="shared" ca="1" si="0"/>
        <v>8</v>
      </c>
      <c r="B11" s="4" t="s">
        <v>155</v>
      </c>
      <c r="C11" s="4" t="s">
        <v>156</v>
      </c>
      <c r="D11" s="4" t="s">
        <v>136</v>
      </c>
      <c r="E11" s="4" t="s">
        <v>148</v>
      </c>
      <c r="F11" s="4">
        <v>5701328.5700000003</v>
      </c>
      <c r="G11" s="5"/>
      <c r="H11" s="5"/>
      <c r="I11" s="5"/>
      <c r="J11" s="4" t="s">
        <v>138</v>
      </c>
    </row>
    <row r="12" spans="1:10" x14ac:dyDescent="0.25">
      <c r="A12" s="4">
        <f t="shared" ca="1" si="0"/>
        <v>9</v>
      </c>
      <c r="B12" s="4" t="s">
        <v>157</v>
      </c>
      <c r="C12" s="4" t="s">
        <v>158</v>
      </c>
      <c r="D12" s="4" t="s">
        <v>136</v>
      </c>
      <c r="E12" s="4" t="s">
        <v>148</v>
      </c>
      <c r="F12" s="4">
        <v>131.03</v>
      </c>
      <c r="G12" s="5"/>
      <c r="H12" s="5"/>
      <c r="I12" s="5"/>
      <c r="J12" s="4" t="s">
        <v>138</v>
      </c>
    </row>
    <row r="13" spans="1:10" x14ac:dyDescent="0.25">
      <c r="A13" s="4">
        <f t="shared" ca="1" si="0"/>
        <v>10</v>
      </c>
      <c r="B13" s="4" t="s">
        <v>159</v>
      </c>
      <c r="C13" s="4" t="s">
        <v>160</v>
      </c>
      <c r="D13" s="4" t="s">
        <v>141</v>
      </c>
      <c r="E13" s="4" t="s">
        <v>148</v>
      </c>
      <c r="F13" s="4">
        <v>0.90600999999999998</v>
      </c>
      <c r="G13" s="5">
        <v>91.164900000000003</v>
      </c>
      <c r="H13" s="5">
        <v>5.05</v>
      </c>
      <c r="I13" s="5">
        <v>2681</v>
      </c>
      <c r="J13" s="4" t="s">
        <v>142</v>
      </c>
    </row>
    <row r="14" spans="1:10" x14ac:dyDescent="0.25">
      <c r="A14" s="4">
        <f t="shared" ca="1" si="0"/>
        <v>11</v>
      </c>
      <c r="B14" s="4" t="s">
        <v>161</v>
      </c>
      <c r="C14" s="4" t="s">
        <v>162</v>
      </c>
      <c r="D14" s="4" t="s">
        <v>136</v>
      </c>
      <c r="E14" s="4" t="s">
        <v>148</v>
      </c>
      <c r="F14" s="4">
        <v>1092.32</v>
      </c>
      <c r="G14" s="5"/>
      <c r="H14" s="5"/>
      <c r="I14" s="5"/>
      <c r="J14" s="4" t="s">
        <v>163</v>
      </c>
    </row>
    <row r="15" spans="1:10" x14ac:dyDescent="0.25">
      <c r="A15" s="4">
        <f t="shared" ca="1" si="0"/>
        <v>12</v>
      </c>
      <c r="B15" s="4" t="s">
        <v>164</v>
      </c>
      <c r="C15" s="4" t="s">
        <v>165</v>
      </c>
      <c r="D15" s="4" t="s">
        <v>136</v>
      </c>
      <c r="E15" s="4" t="s">
        <v>148</v>
      </c>
      <c r="F15" s="4">
        <v>1858994.98</v>
      </c>
      <c r="G15" s="5"/>
      <c r="H15" s="5"/>
      <c r="I15" s="5"/>
      <c r="J15" s="4" t="s">
        <v>138</v>
      </c>
    </row>
    <row r="16" spans="1:10" x14ac:dyDescent="0.25">
      <c r="A16" s="4">
        <f t="shared" ca="1" si="0"/>
        <v>13</v>
      </c>
      <c r="B16" s="4" t="s">
        <v>166</v>
      </c>
      <c r="C16" s="4" t="s">
        <v>167</v>
      </c>
      <c r="D16" s="4" t="s">
        <v>136</v>
      </c>
      <c r="E16" s="4" t="s">
        <v>148</v>
      </c>
      <c r="F16" s="4">
        <v>72346.650000000009</v>
      </c>
      <c r="G16" s="5"/>
      <c r="H16" s="5"/>
      <c r="I16" s="5"/>
      <c r="J16" s="4" t="s">
        <v>138</v>
      </c>
    </row>
    <row r="17" spans="1:10" x14ac:dyDescent="0.25">
      <c r="A17" s="4">
        <f t="shared" ca="1" si="0"/>
        <v>14</v>
      </c>
      <c r="B17" s="4" t="s">
        <v>168</v>
      </c>
      <c r="C17" s="4" t="s">
        <v>169</v>
      </c>
      <c r="D17" s="4" t="s">
        <v>136</v>
      </c>
      <c r="E17" s="4" t="s">
        <v>148</v>
      </c>
      <c r="F17" s="4">
        <v>72925.77</v>
      </c>
      <c r="G17" s="5"/>
      <c r="H17" s="5"/>
      <c r="I17" s="5"/>
      <c r="J17" s="4" t="s">
        <v>138</v>
      </c>
    </row>
    <row r="18" spans="1:10" x14ac:dyDescent="0.25">
      <c r="A18" s="4">
        <f t="shared" ca="1" si="0"/>
        <v>15</v>
      </c>
      <c r="B18" s="4" t="s">
        <v>170</v>
      </c>
      <c r="C18" s="4" t="s">
        <v>171</v>
      </c>
      <c r="D18" s="4" t="s">
        <v>136</v>
      </c>
      <c r="E18" s="4" t="s">
        <v>148</v>
      </c>
      <c r="F18" s="4">
        <v>51371.9</v>
      </c>
      <c r="G18" s="5"/>
      <c r="H18" s="5"/>
      <c r="I18" s="5"/>
      <c r="J18" s="4" t="s">
        <v>138</v>
      </c>
    </row>
    <row r="19" spans="1:10" x14ac:dyDescent="0.25">
      <c r="A19" s="4">
        <f t="shared" ca="1" si="0"/>
        <v>16</v>
      </c>
      <c r="B19" s="4" t="s">
        <v>172</v>
      </c>
      <c r="C19" s="4" t="s">
        <v>173</v>
      </c>
      <c r="D19" s="4" t="s">
        <v>136</v>
      </c>
      <c r="E19" s="4" t="s">
        <v>148</v>
      </c>
      <c r="F19" s="4">
        <v>7.23</v>
      </c>
      <c r="G19" s="5"/>
      <c r="H19" s="5"/>
      <c r="I19" s="5"/>
      <c r="J19" s="4" t="s">
        <v>138</v>
      </c>
    </row>
    <row r="20" spans="1:10" x14ac:dyDescent="0.25">
      <c r="A20" s="4">
        <f t="shared" ca="1" si="0"/>
        <v>17</v>
      </c>
      <c r="B20" s="4" t="s">
        <v>174</v>
      </c>
      <c r="C20" s="4" t="s">
        <v>175</v>
      </c>
      <c r="D20" s="4" t="s">
        <v>141</v>
      </c>
      <c r="E20" s="4" t="s">
        <v>148</v>
      </c>
      <c r="F20" s="4">
        <v>1000</v>
      </c>
      <c r="G20" s="5">
        <v>101.1992</v>
      </c>
      <c r="H20" s="5">
        <v>17.97</v>
      </c>
      <c r="I20" s="5">
        <v>1073</v>
      </c>
      <c r="J20" s="4" t="s">
        <v>142</v>
      </c>
    </row>
    <row r="21" spans="1:10" x14ac:dyDescent="0.25">
      <c r="A21" s="4">
        <f t="shared" ca="1" si="0"/>
        <v>18</v>
      </c>
      <c r="B21" s="4" t="s">
        <v>176</v>
      </c>
      <c r="C21" s="4" t="s">
        <v>177</v>
      </c>
      <c r="D21" s="4" t="s">
        <v>141</v>
      </c>
      <c r="E21" s="4" t="s">
        <v>148</v>
      </c>
      <c r="F21" s="4">
        <v>1000</v>
      </c>
      <c r="G21" s="5">
        <v>102.86580000000001</v>
      </c>
      <c r="H21" s="5">
        <v>17.73</v>
      </c>
      <c r="I21" s="5">
        <v>672</v>
      </c>
      <c r="J21" s="4" t="s">
        <v>142</v>
      </c>
    </row>
    <row r="22" spans="1:10" x14ac:dyDescent="0.25">
      <c r="A22" s="4">
        <f t="shared" ca="1" si="0"/>
        <v>19</v>
      </c>
      <c r="B22" s="4" t="s">
        <v>178</v>
      </c>
      <c r="C22" s="4" t="s">
        <v>179</v>
      </c>
      <c r="D22" s="4" t="s">
        <v>141</v>
      </c>
      <c r="E22" s="4" t="s">
        <v>148</v>
      </c>
      <c r="F22" s="4">
        <v>1000</v>
      </c>
      <c r="G22" s="5">
        <v>107.5278</v>
      </c>
      <c r="H22" s="5">
        <v>18.170000000000002</v>
      </c>
      <c r="I22" s="5">
        <v>1859</v>
      </c>
      <c r="J22" s="4" t="s">
        <v>142</v>
      </c>
    </row>
    <row r="23" spans="1:10" x14ac:dyDescent="0.25">
      <c r="A23" s="4">
        <f t="shared" ca="1" si="0"/>
        <v>20</v>
      </c>
      <c r="B23" s="4" t="s">
        <v>180</v>
      </c>
      <c r="C23" s="4" t="s">
        <v>181</v>
      </c>
      <c r="D23" s="4" t="s">
        <v>141</v>
      </c>
      <c r="E23" s="4" t="s">
        <v>148</v>
      </c>
      <c r="F23" s="4">
        <v>1000</v>
      </c>
      <c r="G23" s="5">
        <v>104.97420000000001</v>
      </c>
      <c r="H23" s="5">
        <v>18.059999999999999</v>
      </c>
      <c r="I23" s="5">
        <v>1543</v>
      </c>
      <c r="J23" s="4" t="s">
        <v>142</v>
      </c>
    </row>
    <row r="24" spans="1:10" x14ac:dyDescent="0.25">
      <c r="A24" s="4">
        <f t="shared" ca="1" si="0"/>
        <v>21</v>
      </c>
      <c r="B24" s="4" t="s">
        <v>182</v>
      </c>
      <c r="C24" s="4" t="s">
        <v>183</v>
      </c>
      <c r="D24" s="4" t="s">
        <v>136</v>
      </c>
      <c r="E24" s="4" t="s">
        <v>148</v>
      </c>
      <c r="F24" s="4">
        <v>1531.01</v>
      </c>
      <c r="G24" s="5"/>
      <c r="H24" s="5"/>
      <c r="I24" s="5"/>
      <c r="J24" s="4" t="s">
        <v>138</v>
      </c>
    </row>
    <row r="25" spans="1:10" x14ac:dyDescent="0.25">
      <c r="A25" s="4">
        <f t="shared" ca="1" si="0"/>
        <v>22</v>
      </c>
      <c r="B25" s="4" t="s">
        <v>184</v>
      </c>
      <c r="C25" s="4" t="s">
        <v>185</v>
      </c>
      <c r="D25" s="4" t="s">
        <v>141</v>
      </c>
      <c r="E25" s="4" t="s">
        <v>148</v>
      </c>
      <c r="F25" s="4">
        <v>981.25</v>
      </c>
      <c r="G25" s="5">
        <v>100.63330000000001</v>
      </c>
      <c r="H25" s="5">
        <v>23.87</v>
      </c>
      <c r="I25" s="5">
        <v>324</v>
      </c>
      <c r="J25" s="4" t="s">
        <v>142</v>
      </c>
    </row>
    <row r="26" spans="1:10" x14ac:dyDescent="0.25">
      <c r="A26" s="4">
        <f t="shared" ca="1" si="0"/>
        <v>23</v>
      </c>
      <c r="B26" s="4" t="s">
        <v>186</v>
      </c>
      <c r="C26" s="4" t="s">
        <v>187</v>
      </c>
      <c r="D26" s="4" t="s">
        <v>141</v>
      </c>
      <c r="E26" s="4" t="s">
        <v>148</v>
      </c>
      <c r="F26" s="4">
        <v>497326.5</v>
      </c>
      <c r="G26" s="5">
        <v>102.4834</v>
      </c>
      <c r="H26" s="5">
        <v>21.41</v>
      </c>
      <c r="I26" s="5">
        <v>220</v>
      </c>
      <c r="J26" s="4" t="s">
        <v>142</v>
      </c>
    </row>
    <row r="27" spans="1:10" x14ac:dyDescent="0.25">
      <c r="A27" s="4">
        <f t="shared" ca="1" si="0"/>
        <v>24</v>
      </c>
      <c r="B27" s="4" t="s">
        <v>188</v>
      </c>
      <c r="C27" s="4" t="s">
        <v>189</v>
      </c>
      <c r="D27" s="4" t="s">
        <v>141</v>
      </c>
      <c r="E27" s="4" t="s">
        <v>148</v>
      </c>
      <c r="F27" s="4">
        <v>498696.5</v>
      </c>
      <c r="G27" s="5">
        <v>105.11710000000001</v>
      </c>
      <c r="H27" s="5">
        <v>71.100000000000009</v>
      </c>
      <c r="I27" s="5">
        <v>3</v>
      </c>
      <c r="J27" s="4" t="s">
        <v>142</v>
      </c>
    </row>
    <row r="28" spans="1:10" x14ac:dyDescent="0.25">
      <c r="A28" s="4">
        <f t="shared" ca="1" si="0"/>
        <v>25</v>
      </c>
      <c r="B28" s="4" t="s">
        <v>190</v>
      </c>
      <c r="C28" s="4" t="s">
        <v>191</v>
      </c>
      <c r="D28" s="4" t="s">
        <v>141</v>
      </c>
      <c r="E28" s="4" t="s">
        <v>148</v>
      </c>
      <c r="F28" s="4">
        <v>1011.6080000000001</v>
      </c>
      <c r="G28" s="5">
        <v>101.37750000000001</v>
      </c>
      <c r="H28" s="5">
        <v>5.99</v>
      </c>
      <c r="I28" s="5">
        <v>901</v>
      </c>
      <c r="J28" s="4" t="s">
        <v>142</v>
      </c>
    </row>
    <row r="29" spans="1:10" x14ac:dyDescent="0.25">
      <c r="A29" s="4">
        <f t="shared" ca="1" si="0"/>
        <v>26</v>
      </c>
      <c r="B29" s="4" t="s">
        <v>192</v>
      </c>
      <c r="C29" s="4" t="s">
        <v>193</v>
      </c>
      <c r="D29" s="4" t="s">
        <v>141</v>
      </c>
      <c r="E29" s="4" t="s">
        <v>148</v>
      </c>
      <c r="F29" s="4">
        <v>993.8</v>
      </c>
      <c r="G29" s="5">
        <v>100.3356</v>
      </c>
      <c r="H29" s="5">
        <v>22</v>
      </c>
      <c r="I29" s="5">
        <v>531</v>
      </c>
      <c r="J29" s="4" t="s">
        <v>142</v>
      </c>
    </row>
    <row r="30" spans="1:10" x14ac:dyDescent="0.25">
      <c r="A30" s="4">
        <f t="shared" ca="1" si="0"/>
        <v>27</v>
      </c>
      <c r="B30" s="4" t="s">
        <v>194</v>
      </c>
      <c r="C30" s="4" t="s">
        <v>195</v>
      </c>
      <c r="D30" s="4" t="s">
        <v>141</v>
      </c>
      <c r="E30" s="4" t="s">
        <v>148</v>
      </c>
      <c r="F30" s="4">
        <v>1000</v>
      </c>
      <c r="G30" s="5">
        <v>100.2444</v>
      </c>
      <c r="H30" s="5">
        <v>22</v>
      </c>
      <c r="I30" s="5">
        <v>605</v>
      </c>
      <c r="J30" s="4" t="s">
        <v>142</v>
      </c>
    </row>
    <row r="31" spans="1:10" x14ac:dyDescent="0.25">
      <c r="A31" s="4">
        <f t="shared" ca="1" si="0"/>
        <v>28</v>
      </c>
      <c r="B31" s="4" t="s">
        <v>196</v>
      </c>
      <c r="C31" s="4" t="s">
        <v>197</v>
      </c>
      <c r="D31" s="4" t="s">
        <v>141</v>
      </c>
      <c r="E31" s="4" t="s">
        <v>148</v>
      </c>
      <c r="F31" s="4">
        <v>1009.3950000000001</v>
      </c>
      <c r="G31" s="5">
        <v>102.0895</v>
      </c>
      <c r="H31" s="5">
        <v>22.55</v>
      </c>
      <c r="I31" s="5">
        <v>1048</v>
      </c>
      <c r="J31" s="4" t="s">
        <v>142</v>
      </c>
    </row>
    <row r="32" spans="1:10" x14ac:dyDescent="0.25">
      <c r="A32" s="4">
        <f t="shared" ca="1" si="0"/>
        <v>29</v>
      </c>
      <c r="B32" s="4" t="s">
        <v>198</v>
      </c>
      <c r="C32" s="4" t="s">
        <v>199</v>
      </c>
      <c r="D32" s="4" t="s">
        <v>141</v>
      </c>
      <c r="E32" s="4" t="s">
        <v>148</v>
      </c>
      <c r="F32" s="4">
        <v>937.56500000000005</v>
      </c>
      <c r="G32" s="5">
        <v>101.3391</v>
      </c>
      <c r="H32" s="5">
        <v>17.48</v>
      </c>
      <c r="I32" s="5">
        <v>1463</v>
      </c>
      <c r="J32" s="4" t="s">
        <v>142</v>
      </c>
    </row>
    <row r="33" spans="1:10" x14ac:dyDescent="0.25">
      <c r="A33" s="4">
        <f t="shared" ca="1" si="0"/>
        <v>30</v>
      </c>
      <c r="B33" s="4" t="s">
        <v>200</v>
      </c>
      <c r="C33" s="4" t="s">
        <v>201</v>
      </c>
      <c r="D33" s="4" t="s">
        <v>141</v>
      </c>
      <c r="E33" s="4" t="s">
        <v>148</v>
      </c>
      <c r="F33" s="4">
        <v>96.444100000000006</v>
      </c>
      <c r="G33" s="5">
        <v>97.11630000000001</v>
      </c>
      <c r="H33" s="5">
        <v>13.36</v>
      </c>
      <c r="I33" s="5">
        <v>617</v>
      </c>
      <c r="J33" s="4" t="s">
        <v>142</v>
      </c>
    </row>
    <row r="34" spans="1:10" x14ac:dyDescent="0.25">
      <c r="A34" s="4">
        <f t="shared" ca="1" si="0"/>
        <v>31</v>
      </c>
      <c r="B34" s="4" t="s">
        <v>202</v>
      </c>
      <c r="C34" s="4" t="s">
        <v>203</v>
      </c>
      <c r="D34" s="4" t="s">
        <v>141</v>
      </c>
      <c r="E34" s="4" t="s">
        <v>148</v>
      </c>
      <c r="F34" s="4">
        <v>988.125</v>
      </c>
      <c r="G34" s="5">
        <v>102.34310000000001</v>
      </c>
      <c r="H34" s="5">
        <v>21.39</v>
      </c>
      <c r="I34" s="5">
        <v>576</v>
      </c>
      <c r="J34" s="4" t="s">
        <v>142</v>
      </c>
    </row>
    <row r="35" spans="1:10" x14ac:dyDescent="0.25">
      <c r="A35" s="4">
        <f t="shared" ca="1" si="0"/>
        <v>32</v>
      </c>
      <c r="B35" s="4" t="s">
        <v>204</v>
      </c>
      <c r="C35" s="4" t="s">
        <v>205</v>
      </c>
      <c r="D35" s="4" t="s">
        <v>141</v>
      </c>
      <c r="E35" s="4" t="s">
        <v>148</v>
      </c>
      <c r="F35" s="4">
        <v>985.6930000000001</v>
      </c>
      <c r="G35" s="5">
        <v>100.5818</v>
      </c>
      <c r="H35" s="5">
        <v>19</v>
      </c>
      <c r="I35" s="5">
        <v>324</v>
      </c>
      <c r="J35" s="4" t="s">
        <v>142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206</v>
      </c>
      <c r="C36" s="4" t="s">
        <v>207</v>
      </c>
      <c r="D36" s="4" t="s">
        <v>141</v>
      </c>
      <c r="E36" s="4" t="s">
        <v>148</v>
      </c>
      <c r="F36" s="4">
        <v>995.47</v>
      </c>
      <c r="G36" s="5">
        <v>101.13590000000001</v>
      </c>
      <c r="H36" s="5">
        <v>22.37</v>
      </c>
      <c r="I36" s="5">
        <v>521</v>
      </c>
      <c r="J36" s="4" t="s">
        <v>142</v>
      </c>
    </row>
    <row r="37" spans="1:10" x14ac:dyDescent="0.25">
      <c r="A37" s="4">
        <f t="shared" ca="1" si="1"/>
        <v>34</v>
      </c>
      <c r="B37" s="4" t="s">
        <v>208</v>
      </c>
      <c r="C37" s="4" t="s">
        <v>209</v>
      </c>
      <c r="D37" s="4" t="s">
        <v>141</v>
      </c>
      <c r="E37" s="4" t="s">
        <v>148</v>
      </c>
      <c r="F37" s="4">
        <v>970.226</v>
      </c>
      <c r="G37" s="5">
        <v>98.030900000000003</v>
      </c>
      <c r="H37" s="5">
        <v>17.48</v>
      </c>
      <c r="I37" s="5">
        <v>1621</v>
      </c>
      <c r="J37" s="4" t="s">
        <v>142</v>
      </c>
    </row>
    <row r="38" spans="1:10" x14ac:dyDescent="0.25">
      <c r="A38" s="4">
        <f t="shared" ca="1" si="1"/>
        <v>35</v>
      </c>
      <c r="B38" s="4" t="s">
        <v>210</v>
      </c>
      <c r="C38" s="4" t="s">
        <v>211</v>
      </c>
      <c r="D38" s="4" t="s">
        <v>141</v>
      </c>
      <c r="E38" s="4" t="s">
        <v>148</v>
      </c>
      <c r="F38" s="4">
        <v>492995.5</v>
      </c>
      <c r="G38" s="5">
        <v>101.92410000000001</v>
      </c>
      <c r="H38" s="5">
        <v>22.04</v>
      </c>
      <c r="I38" s="5">
        <v>581</v>
      </c>
      <c r="J38" s="4" t="s">
        <v>142</v>
      </c>
    </row>
    <row r="39" spans="1:10" x14ac:dyDescent="0.25">
      <c r="A39" s="4">
        <f t="shared" ca="1" si="1"/>
        <v>36</v>
      </c>
      <c r="B39" s="4" t="s">
        <v>212</v>
      </c>
      <c r="C39" s="4" t="s">
        <v>213</v>
      </c>
      <c r="D39" s="4" t="s">
        <v>141</v>
      </c>
      <c r="E39" s="4" t="s">
        <v>148</v>
      </c>
      <c r="F39" s="4">
        <v>905.05600000000004</v>
      </c>
      <c r="G39" s="5">
        <v>91.205600000000004</v>
      </c>
      <c r="H39" s="5">
        <v>33.56</v>
      </c>
      <c r="I39" s="5">
        <v>323</v>
      </c>
      <c r="J39" s="4" t="s">
        <v>142</v>
      </c>
    </row>
    <row r="40" spans="1:10" x14ac:dyDescent="0.25">
      <c r="A40" s="4">
        <f t="shared" ca="1" si="1"/>
        <v>37</v>
      </c>
      <c r="B40" s="4" t="s">
        <v>214</v>
      </c>
      <c r="C40" s="4" t="s">
        <v>215</v>
      </c>
      <c r="D40" s="4" t="s">
        <v>141</v>
      </c>
      <c r="E40" s="4" t="s">
        <v>148</v>
      </c>
      <c r="F40" s="4">
        <v>1006.878</v>
      </c>
      <c r="G40" s="5">
        <v>101.973</v>
      </c>
      <c r="H40" s="5">
        <v>20.68</v>
      </c>
      <c r="I40" s="5">
        <v>922</v>
      </c>
      <c r="J40" s="4" t="s">
        <v>142</v>
      </c>
    </row>
    <row r="41" spans="1:10" x14ac:dyDescent="0.25">
      <c r="A41" s="4">
        <f t="shared" ca="1" si="1"/>
        <v>38</v>
      </c>
      <c r="B41" s="4" t="s">
        <v>216</v>
      </c>
      <c r="C41" s="4" t="s">
        <v>217</v>
      </c>
      <c r="D41" s="4" t="s">
        <v>141</v>
      </c>
      <c r="E41" s="4" t="s">
        <v>148</v>
      </c>
      <c r="F41" s="4">
        <v>1012.159</v>
      </c>
      <c r="G41" s="5">
        <v>101.64370000000001</v>
      </c>
      <c r="H41" s="5">
        <v>21.08</v>
      </c>
      <c r="I41" s="5">
        <v>571</v>
      </c>
      <c r="J41" s="4" t="s">
        <v>142</v>
      </c>
    </row>
    <row r="42" spans="1:10" x14ac:dyDescent="0.25">
      <c r="A42" s="4">
        <f t="shared" ca="1" si="1"/>
        <v>39</v>
      </c>
      <c r="B42" s="4" t="s">
        <v>218</v>
      </c>
      <c r="C42" s="4" t="s">
        <v>219</v>
      </c>
      <c r="D42" s="4" t="s">
        <v>141</v>
      </c>
      <c r="E42" s="4" t="s">
        <v>148</v>
      </c>
      <c r="F42" s="4">
        <v>981.76300000000003</v>
      </c>
      <c r="G42" s="5">
        <v>102.25960000000001</v>
      </c>
      <c r="H42" s="5">
        <v>23.51</v>
      </c>
      <c r="I42" s="5">
        <v>295</v>
      </c>
      <c r="J42" s="4" t="s">
        <v>142</v>
      </c>
    </row>
    <row r="43" spans="1:10" x14ac:dyDescent="0.25">
      <c r="A43" s="4">
        <f t="shared" ca="1" si="1"/>
        <v>40</v>
      </c>
      <c r="B43" s="4" t="s">
        <v>220</v>
      </c>
      <c r="C43" s="4" t="s">
        <v>221</v>
      </c>
      <c r="D43" s="4" t="s">
        <v>141</v>
      </c>
      <c r="E43" s="4" t="s">
        <v>148</v>
      </c>
      <c r="F43" s="4">
        <v>972.4380000000001</v>
      </c>
      <c r="G43" s="5">
        <v>98.352100000000007</v>
      </c>
      <c r="H43" s="5">
        <v>22.56</v>
      </c>
      <c r="I43" s="5">
        <v>314</v>
      </c>
      <c r="J43" s="4" t="s">
        <v>142</v>
      </c>
    </row>
    <row r="44" spans="1:10" x14ac:dyDescent="0.25">
      <c r="A44" s="4">
        <f t="shared" ca="1" si="1"/>
        <v>41</v>
      </c>
      <c r="B44" s="4" t="s">
        <v>222</v>
      </c>
      <c r="C44" s="4" t="s">
        <v>223</v>
      </c>
      <c r="D44" s="4" t="s">
        <v>141</v>
      </c>
      <c r="E44" s="4" t="s">
        <v>148</v>
      </c>
      <c r="F44" s="4">
        <v>965.25100000000009</v>
      </c>
      <c r="G44" s="5">
        <v>97.26400000000001</v>
      </c>
      <c r="H44" s="5">
        <v>21.04</v>
      </c>
      <c r="I44" s="5">
        <v>778</v>
      </c>
      <c r="J44" s="4" t="s">
        <v>142</v>
      </c>
    </row>
    <row r="45" spans="1:10" x14ac:dyDescent="0.25">
      <c r="A45" s="4">
        <f t="shared" ca="1" si="1"/>
        <v>42</v>
      </c>
      <c r="B45" s="4" t="s">
        <v>224</v>
      </c>
      <c r="C45" s="4" t="s">
        <v>225</v>
      </c>
      <c r="D45" s="4" t="s">
        <v>141</v>
      </c>
      <c r="E45" s="4" t="s">
        <v>148</v>
      </c>
      <c r="F45" s="4">
        <v>997.36700000000008</v>
      </c>
      <c r="G45" s="5">
        <v>99.736699999999999</v>
      </c>
      <c r="H45" s="5">
        <v>21.15</v>
      </c>
      <c r="I45" s="5">
        <v>822</v>
      </c>
      <c r="J45" s="4" t="s">
        <v>142</v>
      </c>
    </row>
    <row r="46" spans="1:10" x14ac:dyDescent="0.25">
      <c r="A46" s="4">
        <f t="shared" ca="1" si="1"/>
        <v>43</v>
      </c>
      <c r="B46" s="4" t="s">
        <v>226</v>
      </c>
      <c r="C46" s="4" t="s">
        <v>227</v>
      </c>
      <c r="D46" s="4" t="s">
        <v>141</v>
      </c>
      <c r="E46" s="4" t="s">
        <v>148</v>
      </c>
      <c r="F46" s="4">
        <v>995.67</v>
      </c>
      <c r="G46" s="5">
        <v>100.27120000000001</v>
      </c>
      <c r="H46" s="5">
        <v>19.830000000000002</v>
      </c>
      <c r="I46" s="5">
        <v>534</v>
      </c>
      <c r="J46" s="4" t="s">
        <v>142</v>
      </c>
    </row>
    <row r="47" spans="1:10" x14ac:dyDescent="0.25">
      <c r="A47" s="4">
        <f t="shared" ca="1" si="1"/>
        <v>44</v>
      </c>
      <c r="B47" s="4" t="s">
        <v>228</v>
      </c>
      <c r="C47" s="4" t="s">
        <v>229</v>
      </c>
      <c r="D47" s="4" t="s">
        <v>141</v>
      </c>
      <c r="E47" s="4" t="s">
        <v>148</v>
      </c>
      <c r="F47" s="4">
        <v>1036.4970000000001</v>
      </c>
      <c r="G47" s="5">
        <v>104.9914</v>
      </c>
      <c r="H47" s="5">
        <v>21.32</v>
      </c>
      <c r="I47" s="5">
        <v>1076</v>
      </c>
      <c r="J47" s="4" t="s">
        <v>142</v>
      </c>
    </row>
    <row r="48" spans="1:10" x14ac:dyDescent="0.25">
      <c r="A48" s="4">
        <f t="shared" ca="1" si="1"/>
        <v>45</v>
      </c>
      <c r="B48" s="4" t="s">
        <v>230</v>
      </c>
      <c r="C48" s="4" t="s">
        <v>231</v>
      </c>
      <c r="D48" s="4" t="s">
        <v>141</v>
      </c>
      <c r="E48" s="4" t="s">
        <v>148</v>
      </c>
      <c r="F48" s="4">
        <v>1033.972</v>
      </c>
      <c r="G48" s="5">
        <v>104.7389</v>
      </c>
      <c r="H48" s="5">
        <v>21.43</v>
      </c>
      <c r="I48" s="5">
        <v>1076</v>
      </c>
      <c r="J48" s="4" t="s">
        <v>142</v>
      </c>
    </row>
    <row r="49" spans="1:10" x14ac:dyDescent="0.25">
      <c r="A49" s="4">
        <f t="shared" ca="1" si="1"/>
        <v>46</v>
      </c>
      <c r="B49" s="4" t="s">
        <v>232</v>
      </c>
      <c r="C49" s="4" t="s">
        <v>233</v>
      </c>
      <c r="D49" s="4" t="s">
        <v>141</v>
      </c>
      <c r="E49" s="4" t="s">
        <v>148</v>
      </c>
      <c r="F49" s="4">
        <v>98.998100000000008</v>
      </c>
      <c r="G49" s="5">
        <v>99.6648</v>
      </c>
      <c r="H49" s="5">
        <v>10.85</v>
      </c>
      <c r="I49" s="5">
        <v>462</v>
      </c>
      <c r="J49" s="4" t="s">
        <v>142</v>
      </c>
    </row>
    <row r="50" spans="1:10" x14ac:dyDescent="0.25">
      <c r="A50" s="4">
        <f t="shared" ca="1" si="1"/>
        <v>47</v>
      </c>
      <c r="B50" s="4" t="s">
        <v>234</v>
      </c>
      <c r="C50" s="4" t="s">
        <v>235</v>
      </c>
      <c r="D50" s="4" t="s">
        <v>141</v>
      </c>
      <c r="E50" s="4" t="s">
        <v>148</v>
      </c>
      <c r="F50" s="4">
        <v>1000</v>
      </c>
      <c r="G50" s="5">
        <v>106.54470000000001</v>
      </c>
      <c r="H50" s="5">
        <v>17.66</v>
      </c>
      <c r="I50" s="5">
        <v>1327</v>
      </c>
      <c r="J50" s="4" t="s">
        <v>142</v>
      </c>
    </row>
    <row r="51" spans="1:10" x14ac:dyDescent="0.25">
      <c r="A51" s="4">
        <f t="shared" ca="1" si="1"/>
        <v>48</v>
      </c>
      <c r="B51" s="4" t="s">
        <v>236</v>
      </c>
      <c r="C51" s="4" t="s">
        <v>237</v>
      </c>
      <c r="D51" s="4" t="s">
        <v>141</v>
      </c>
      <c r="E51" s="4" t="s">
        <v>148</v>
      </c>
      <c r="F51" s="4">
        <v>1002.937</v>
      </c>
      <c r="G51" s="5">
        <v>101.94</v>
      </c>
      <c r="H51" s="5">
        <v>21.74</v>
      </c>
      <c r="I51" s="5">
        <v>612</v>
      </c>
      <c r="J51" s="4" t="s">
        <v>142</v>
      </c>
    </row>
    <row r="52" spans="1:10" x14ac:dyDescent="0.25">
      <c r="A52" s="4">
        <f t="shared" ca="1" si="1"/>
        <v>49</v>
      </c>
      <c r="B52" s="4" t="s">
        <v>238</v>
      </c>
      <c r="C52" s="4" t="s">
        <v>239</v>
      </c>
      <c r="D52" s="4" t="s">
        <v>141</v>
      </c>
      <c r="E52" s="4" t="s">
        <v>148</v>
      </c>
      <c r="F52" s="4">
        <v>99.999200000000002</v>
      </c>
      <c r="G52" s="5">
        <v>100.702</v>
      </c>
      <c r="H52" s="5">
        <v>11</v>
      </c>
      <c r="I52" s="5">
        <v>708</v>
      </c>
      <c r="J52" s="4" t="s">
        <v>142</v>
      </c>
    </row>
    <row r="53" spans="1:10" x14ac:dyDescent="0.25">
      <c r="A53" s="4">
        <f t="shared" ca="1" si="1"/>
        <v>50</v>
      </c>
      <c r="B53" s="4" t="s">
        <v>240</v>
      </c>
      <c r="C53" s="4" t="s">
        <v>241</v>
      </c>
      <c r="D53" s="4" t="s">
        <v>141</v>
      </c>
      <c r="E53" s="4" t="s">
        <v>148</v>
      </c>
      <c r="F53" s="4">
        <v>994.43299999999999</v>
      </c>
      <c r="G53" s="5">
        <v>100.3322</v>
      </c>
      <c r="H53" s="5">
        <v>21.56</v>
      </c>
      <c r="I53" s="5">
        <v>136</v>
      </c>
      <c r="J53" s="4" t="s">
        <v>142</v>
      </c>
    </row>
    <row r="54" spans="1:10" x14ac:dyDescent="0.25">
      <c r="A54" s="4">
        <f t="shared" ca="1" si="1"/>
        <v>51</v>
      </c>
      <c r="B54" s="4" t="s">
        <v>242</v>
      </c>
      <c r="C54" s="4" t="s">
        <v>243</v>
      </c>
      <c r="D54" s="4" t="s">
        <v>141</v>
      </c>
      <c r="E54" s="4" t="s">
        <v>148</v>
      </c>
      <c r="F54" s="4">
        <v>1014.301</v>
      </c>
      <c r="G54" s="5">
        <v>102.15010000000001</v>
      </c>
      <c r="H54" s="5">
        <v>20.82</v>
      </c>
      <c r="I54" s="5">
        <v>841</v>
      </c>
      <c r="J54" s="4" t="s">
        <v>142</v>
      </c>
    </row>
    <row r="55" spans="1:10" x14ac:dyDescent="0.25">
      <c r="A55" s="4">
        <f t="shared" ca="1" si="1"/>
        <v>52</v>
      </c>
      <c r="B55" s="4" t="s">
        <v>244</v>
      </c>
      <c r="C55" s="4" t="s">
        <v>245</v>
      </c>
      <c r="D55" s="4" t="s">
        <v>141</v>
      </c>
      <c r="E55" s="4" t="s">
        <v>148</v>
      </c>
      <c r="F55" s="4">
        <v>98.25</v>
      </c>
      <c r="G55" s="5">
        <v>100.7556</v>
      </c>
      <c r="H55" s="5">
        <v>17.64</v>
      </c>
      <c r="I55" s="5">
        <v>99</v>
      </c>
      <c r="J55" s="4" t="s">
        <v>142</v>
      </c>
    </row>
    <row r="56" spans="1:10" x14ac:dyDescent="0.25">
      <c r="A56" s="4">
        <f t="shared" ca="1" si="1"/>
        <v>53</v>
      </c>
      <c r="B56" s="4" t="s">
        <v>246</v>
      </c>
      <c r="C56" s="4" t="s">
        <v>247</v>
      </c>
      <c r="D56" s="4" t="s">
        <v>141</v>
      </c>
      <c r="E56" s="4" t="s">
        <v>148</v>
      </c>
      <c r="F56" s="4">
        <v>964.02800000000002</v>
      </c>
      <c r="G56" s="5">
        <v>97.219500000000011</v>
      </c>
      <c r="H56" s="5">
        <v>23.03</v>
      </c>
      <c r="I56" s="5">
        <v>838</v>
      </c>
      <c r="J56" s="4" t="s">
        <v>142</v>
      </c>
    </row>
    <row r="57" spans="1:10" x14ac:dyDescent="0.25">
      <c r="A57" s="4">
        <f t="shared" ca="1" si="1"/>
        <v>54</v>
      </c>
      <c r="B57" s="4" t="s">
        <v>248</v>
      </c>
      <c r="C57" s="4" t="s">
        <v>249</v>
      </c>
      <c r="D57" s="4" t="s">
        <v>141</v>
      </c>
      <c r="E57" s="4" t="s">
        <v>148</v>
      </c>
      <c r="F57" s="4">
        <v>978.52500000000009</v>
      </c>
      <c r="G57" s="5">
        <v>98.785800000000009</v>
      </c>
      <c r="H57" s="5">
        <v>22.66</v>
      </c>
      <c r="I57" s="5">
        <v>562</v>
      </c>
      <c r="J57" s="4" t="s">
        <v>142</v>
      </c>
    </row>
    <row r="58" spans="1:10" x14ac:dyDescent="0.25">
      <c r="A58" s="4">
        <f t="shared" ca="1" si="1"/>
        <v>55</v>
      </c>
      <c r="B58" s="4" t="s">
        <v>250</v>
      </c>
      <c r="C58" s="4" t="s">
        <v>251</v>
      </c>
      <c r="D58" s="4" t="s">
        <v>141</v>
      </c>
      <c r="E58" s="4" t="s">
        <v>148</v>
      </c>
      <c r="F58" s="4">
        <v>970.23500000000001</v>
      </c>
      <c r="G58" s="5">
        <v>99.223500000000001</v>
      </c>
      <c r="H58" s="5">
        <v>17.48</v>
      </c>
      <c r="I58" s="5">
        <v>1595</v>
      </c>
      <c r="J58" s="4" t="s">
        <v>142</v>
      </c>
    </row>
    <row r="59" spans="1:10" x14ac:dyDescent="0.25">
      <c r="A59" s="4">
        <f t="shared" ca="1" si="1"/>
        <v>56</v>
      </c>
      <c r="B59" s="4" t="s">
        <v>252</v>
      </c>
      <c r="C59" s="4" t="s">
        <v>253</v>
      </c>
      <c r="D59" s="4" t="s">
        <v>141</v>
      </c>
      <c r="E59" s="4" t="s">
        <v>148</v>
      </c>
      <c r="F59" s="4">
        <v>993.67600000000004</v>
      </c>
      <c r="G59" s="5">
        <v>99.428700000000006</v>
      </c>
      <c r="H59" s="5">
        <v>22.46</v>
      </c>
      <c r="I59" s="5">
        <v>608</v>
      </c>
      <c r="J59" s="4" t="s">
        <v>142</v>
      </c>
    </row>
    <row r="60" spans="1:10" x14ac:dyDescent="0.25">
      <c r="A60" s="4">
        <f t="shared" ca="1" si="1"/>
        <v>57</v>
      </c>
      <c r="B60" s="4" t="s">
        <v>254</v>
      </c>
      <c r="C60" s="4" t="s">
        <v>255</v>
      </c>
      <c r="D60" s="4" t="s">
        <v>141</v>
      </c>
      <c r="E60" s="4" t="s">
        <v>148</v>
      </c>
      <c r="F60" s="4">
        <v>986.95400000000006</v>
      </c>
      <c r="G60" s="5">
        <v>99.3065</v>
      </c>
      <c r="H60" s="5">
        <v>23</v>
      </c>
      <c r="I60" s="5">
        <v>568</v>
      </c>
      <c r="J60" s="4" t="s">
        <v>142</v>
      </c>
    </row>
    <row r="61" spans="1:10" x14ac:dyDescent="0.25">
      <c r="A61" s="4">
        <f t="shared" ca="1" si="1"/>
        <v>58</v>
      </c>
      <c r="B61" s="4" t="s">
        <v>256</v>
      </c>
      <c r="C61" s="4" t="s">
        <v>257</v>
      </c>
      <c r="D61" s="4" t="s">
        <v>141</v>
      </c>
      <c r="E61" s="4" t="s">
        <v>148</v>
      </c>
      <c r="F61" s="4">
        <v>987.30700000000002</v>
      </c>
      <c r="G61" s="5">
        <v>100.09180000000001</v>
      </c>
      <c r="H61" s="5">
        <v>19</v>
      </c>
      <c r="I61" s="5">
        <v>338</v>
      </c>
      <c r="J61" s="4" t="s">
        <v>142</v>
      </c>
    </row>
    <row r="62" spans="1:10" x14ac:dyDescent="0.25">
      <c r="A62" s="4">
        <f t="shared" ca="1" si="1"/>
        <v>59</v>
      </c>
      <c r="B62" s="4" t="s">
        <v>258</v>
      </c>
      <c r="C62" s="4" t="s">
        <v>259</v>
      </c>
      <c r="D62" s="4" t="s">
        <v>141</v>
      </c>
      <c r="E62" s="4" t="s">
        <v>148</v>
      </c>
      <c r="F62" s="4">
        <v>9.9578100000000003</v>
      </c>
      <c r="G62" s="5">
        <v>99.605900000000005</v>
      </c>
      <c r="H62" s="5">
        <v>10.27</v>
      </c>
      <c r="I62" s="5">
        <v>639</v>
      </c>
      <c r="J62" s="4" t="s">
        <v>142</v>
      </c>
    </row>
    <row r="63" spans="1:10" x14ac:dyDescent="0.25">
      <c r="A63" s="4">
        <f t="shared" ca="1" si="1"/>
        <v>60</v>
      </c>
      <c r="B63" s="4" t="s">
        <v>260</v>
      </c>
      <c r="C63" s="4" t="s">
        <v>261</v>
      </c>
      <c r="D63" s="4" t="s">
        <v>141</v>
      </c>
      <c r="E63" s="4" t="s">
        <v>148</v>
      </c>
      <c r="F63" s="4">
        <v>965</v>
      </c>
      <c r="G63" s="5">
        <v>97.433300000000003</v>
      </c>
      <c r="H63" s="5">
        <v>22.83</v>
      </c>
      <c r="I63" s="5">
        <v>928</v>
      </c>
      <c r="J63" s="4" t="s">
        <v>142</v>
      </c>
    </row>
    <row r="64" spans="1:10" x14ac:dyDescent="0.25">
      <c r="A64" s="4">
        <f t="shared" ca="1" si="1"/>
        <v>61</v>
      </c>
      <c r="B64" s="4" t="s">
        <v>262</v>
      </c>
      <c r="C64" s="4" t="s">
        <v>263</v>
      </c>
      <c r="D64" s="4" t="s">
        <v>141</v>
      </c>
      <c r="E64" s="4" t="s">
        <v>148</v>
      </c>
      <c r="F64" s="4">
        <v>1012.1560000000001</v>
      </c>
      <c r="G64" s="5">
        <v>105.99890000000001</v>
      </c>
      <c r="H64" s="5">
        <v>19.57</v>
      </c>
      <c r="I64" s="5">
        <v>646</v>
      </c>
      <c r="J64" s="4" t="s">
        <v>142</v>
      </c>
    </row>
    <row r="65" spans="1:10" x14ac:dyDescent="0.25">
      <c r="A65" s="4">
        <f t="shared" ca="1" si="1"/>
        <v>62</v>
      </c>
      <c r="B65" s="4" t="s">
        <v>264</v>
      </c>
      <c r="C65" s="4" t="s">
        <v>265</v>
      </c>
      <c r="D65" s="4" t="s">
        <v>136</v>
      </c>
      <c r="E65" s="4" t="s">
        <v>266</v>
      </c>
      <c r="F65" s="4">
        <v>40691.61</v>
      </c>
      <c r="G65" s="5"/>
      <c r="H65" s="5"/>
      <c r="I65" s="5"/>
      <c r="J65" s="4" t="s">
        <v>138</v>
      </c>
    </row>
    <row r="66" spans="1:10" x14ac:dyDescent="0.25">
      <c r="A66" s="4">
        <f t="shared" ca="1" si="1"/>
        <v>63</v>
      </c>
      <c r="B66" s="4" t="s">
        <v>267</v>
      </c>
      <c r="C66" s="4" t="s">
        <v>268</v>
      </c>
      <c r="D66" s="4" t="s">
        <v>136</v>
      </c>
      <c r="E66" s="4" t="s">
        <v>266</v>
      </c>
      <c r="F66" s="4">
        <v>27589.43</v>
      </c>
      <c r="G66" s="5"/>
      <c r="H66" s="5"/>
      <c r="I66" s="5"/>
      <c r="J66" s="4" t="s">
        <v>138</v>
      </c>
    </row>
    <row r="67" spans="1:10" x14ac:dyDescent="0.25">
      <c r="A67" s="4">
        <f t="shared" ca="1" si="1"/>
        <v>64</v>
      </c>
      <c r="B67" s="4" t="s">
        <v>269</v>
      </c>
      <c r="C67" s="4" t="s">
        <v>270</v>
      </c>
      <c r="D67" s="4" t="s">
        <v>141</v>
      </c>
      <c r="E67" s="4" t="s">
        <v>271</v>
      </c>
      <c r="F67" s="4">
        <v>16884.900000000001</v>
      </c>
      <c r="G67" s="5">
        <v>1688.491</v>
      </c>
      <c r="H67" s="5"/>
      <c r="I67" s="5">
        <v>105</v>
      </c>
      <c r="J67" s="4" t="s">
        <v>142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272</v>
      </c>
      <c r="C68" s="4" t="s">
        <v>273</v>
      </c>
      <c r="D68" s="4" t="s">
        <v>136</v>
      </c>
      <c r="E68" s="4" t="s">
        <v>274</v>
      </c>
      <c r="F68" s="4">
        <v>21779.8</v>
      </c>
      <c r="G68" s="5"/>
      <c r="H68" s="5"/>
      <c r="I68" s="5"/>
      <c r="J68" s="4" t="s">
        <v>138</v>
      </c>
    </row>
    <row r="69" spans="1:10" x14ac:dyDescent="0.25">
      <c r="A69" s="4">
        <f t="shared" ca="1" si="2"/>
        <v>66</v>
      </c>
      <c r="B69" s="4" t="s">
        <v>275</v>
      </c>
      <c r="C69" s="4" t="s">
        <v>276</v>
      </c>
      <c r="D69" s="4" t="s">
        <v>141</v>
      </c>
      <c r="E69" s="4" t="s">
        <v>274</v>
      </c>
      <c r="F69" s="4">
        <v>1.0089509999999999</v>
      </c>
      <c r="G69" s="5">
        <v>101.6118</v>
      </c>
      <c r="H69" s="5">
        <v>5.14</v>
      </c>
      <c r="I69" s="5">
        <v>1595</v>
      </c>
      <c r="J69" s="4" t="s">
        <v>142</v>
      </c>
    </row>
    <row r="70" spans="1:10" x14ac:dyDescent="0.25">
      <c r="A70" s="4">
        <f t="shared" ca="1" si="2"/>
        <v>67</v>
      </c>
      <c r="B70" s="4" t="s">
        <v>277</v>
      </c>
      <c r="C70" s="4" t="s">
        <v>278</v>
      </c>
      <c r="D70" s="4" t="s">
        <v>136</v>
      </c>
      <c r="E70" s="4" t="s">
        <v>279</v>
      </c>
      <c r="F70" s="4">
        <v>3385.52</v>
      </c>
      <c r="G70" s="5"/>
      <c r="H70" s="5"/>
      <c r="I70" s="5"/>
      <c r="J70" s="4" t="s">
        <v>138</v>
      </c>
    </row>
    <row r="71" spans="1:10" x14ac:dyDescent="0.25">
      <c r="A71" s="4">
        <f t="shared" ca="1" si="2"/>
        <v>68</v>
      </c>
      <c r="B71" s="4" t="s">
        <v>280</v>
      </c>
      <c r="C71" s="4" t="s">
        <v>281</v>
      </c>
      <c r="D71" s="4" t="s">
        <v>141</v>
      </c>
      <c r="E71" s="4" t="s">
        <v>282</v>
      </c>
      <c r="F71" s="4">
        <v>0.97453199999999995</v>
      </c>
      <c r="G71" s="5">
        <v>97.697600000000008</v>
      </c>
      <c r="H71" s="5">
        <v>5</v>
      </c>
      <c r="I71" s="5">
        <v>321</v>
      </c>
      <c r="J71" s="4" t="s">
        <v>142</v>
      </c>
    </row>
    <row r="72" spans="1:10" x14ac:dyDescent="0.25">
      <c r="A72" s="4">
        <f t="shared" ca="1" si="2"/>
        <v>69</v>
      </c>
      <c r="B72" s="4" t="s">
        <v>283</v>
      </c>
      <c r="C72" s="4" t="s">
        <v>284</v>
      </c>
      <c r="D72" s="4" t="s">
        <v>136</v>
      </c>
      <c r="E72" s="4" t="s">
        <v>285</v>
      </c>
      <c r="F72" s="4">
        <v>8952.3000000000011</v>
      </c>
      <c r="G72" s="5"/>
      <c r="H72" s="5"/>
      <c r="I72" s="5"/>
      <c r="J72" s="4" t="s">
        <v>138</v>
      </c>
    </row>
    <row r="73" spans="1:10" x14ac:dyDescent="0.25">
      <c r="A73" s="4">
        <f t="shared" ca="1" si="2"/>
        <v>70</v>
      </c>
      <c r="B73" s="4" t="s">
        <v>286</v>
      </c>
      <c r="C73" s="4" t="s">
        <v>287</v>
      </c>
      <c r="D73" s="4" t="s">
        <v>136</v>
      </c>
      <c r="E73" s="4" t="s">
        <v>285</v>
      </c>
      <c r="F73" s="4">
        <v>4605.71</v>
      </c>
      <c r="G73" s="5"/>
      <c r="H73" s="5"/>
      <c r="I73" s="5"/>
      <c r="J73" s="4" t="s">
        <v>138</v>
      </c>
    </row>
    <row r="74" spans="1:10" x14ac:dyDescent="0.25">
      <c r="A74" s="4">
        <f t="shared" ca="1" si="2"/>
        <v>71</v>
      </c>
      <c r="B74" s="4" t="s">
        <v>288</v>
      </c>
      <c r="C74" s="4" t="s">
        <v>289</v>
      </c>
      <c r="D74" s="4" t="s">
        <v>141</v>
      </c>
      <c r="E74" s="4" t="s">
        <v>290</v>
      </c>
      <c r="F74" s="4">
        <v>968.7940000000001</v>
      </c>
      <c r="G74" s="5">
        <v>102.56270000000001</v>
      </c>
      <c r="H74" s="5">
        <v>17.990000000000002</v>
      </c>
      <c r="I74" s="5">
        <v>971</v>
      </c>
      <c r="J74" s="4" t="s">
        <v>142</v>
      </c>
    </row>
    <row r="75" spans="1:10" x14ac:dyDescent="0.25">
      <c r="A75" s="4">
        <f t="shared" ca="1" si="2"/>
        <v>72</v>
      </c>
      <c r="B75" s="4" t="s">
        <v>291</v>
      </c>
      <c r="C75" s="4" t="s">
        <v>292</v>
      </c>
      <c r="D75" s="4" t="s">
        <v>141</v>
      </c>
      <c r="E75" s="4" t="s">
        <v>290</v>
      </c>
      <c r="F75" s="4">
        <v>966.17900000000009</v>
      </c>
      <c r="G75" s="5">
        <v>101.91170000000001</v>
      </c>
      <c r="H75" s="5">
        <v>20.059999999999999</v>
      </c>
      <c r="I75" s="5">
        <v>808</v>
      </c>
      <c r="J75" s="4" t="s">
        <v>142</v>
      </c>
    </row>
    <row r="76" spans="1:10" x14ac:dyDescent="0.25">
      <c r="A76" s="4">
        <f t="shared" ca="1" si="2"/>
        <v>73</v>
      </c>
      <c r="B76" s="4" t="s">
        <v>293</v>
      </c>
      <c r="C76" s="4" t="s">
        <v>294</v>
      </c>
      <c r="D76" s="4" t="s">
        <v>141</v>
      </c>
      <c r="E76" s="4" t="s">
        <v>290</v>
      </c>
      <c r="F76" s="4">
        <v>98.837600000000009</v>
      </c>
      <c r="G76" s="5">
        <v>98.837600000000009</v>
      </c>
      <c r="H76" s="5">
        <v>15.9</v>
      </c>
      <c r="I76" s="5">
        <v>28</v>
      </c>
      <c r="J76" s="4" t="s">
        <v>142</v>
      </c>
    </row>
    <row r="77" spans="1:10" x14ac:dyDescent="0.25">
      <c r="A77" s="4">
        <f t="shared" ca="1" si="2"/>
        <v>74</v>
      </c>
      <c r="B77" s="4" t="s">
        <v>295</v>
      </c>
      <c r="C77" s="4" t="s">
        <v>296</v>
      </c>
      <c r="D77" s="4" t="s">
        <v>141</v>
      </c>
      <c r="E77" s="4" t="s">
        <v>290</v>
      </c>
      <c r="F77" s="4">
        <v>980.80200000000002</v>
      </c>
      <c r="G77" s="5">
        <v>105.60310000000001</v>
      </c>
      <c r="H77" s="5">
        <v>17.990000000000002</v>
      </c>
      <c r="I77" s="5">
        <v>1302</v>
      </c>
      <c r="J77" s="4" t="s">
        <v>142</v>
      </c>
    </row>
    <row r="78" spans="1:10" x14ac:dyDescent="0.25">
      <c r="A78" s="4">
        <f t="shared" ca="1" si="2"/>
        <v>75</v>
      </c>
      <c r="B78" s="4" t="s">
        <v>297</v>
      </c>
      <c r="C78" s="4" t="s">
        <v>298</v>
      </c>
      <c r="D78" s="4" t="s">
        <v>141</v>
      </c>
      <c r="E78" s="4" t="s">
        <v>290</v>
      </c>
      <c r="F78" s="4">
        <v>100.39070000000001</v>
      </c>
      <c r="G78" s="5">
        <v>102.0796</v>
      </c>
      <c r="H78" s="5">
        <v>7.79</v>
      </c>
      <c r="I78" s="5">
        <v>745</v>
      </c>
      <c r="J78" s="4" t="s">
        <v>142</v>
      </c>
    </row>
    <row r="79" spans="1:10" x14ac:dyDescent="0.25">
      <c r="A79" s="4">
        <f t="shared" ca="1" si="2"/>
        <v>76</v>
      </c>
      <c r="B79" s="4" t="s">
        <v>299</v>
      </c>
      <c r="C79" s="4" t="s">
        <v>300</v>
      </c>
      <c r="D79" s="4" t="s">
        <v>141</v>
      </c>
      <c r="E79" s="4" t="s">
        <v>290</v>
      </c>
      <c r="F79" s="4">
        <v>1009.436</v>
      </c>
      <c r="G79" s="5">
        <v>109.3922</v>
      </c>
      <c r="H79" s="5">
        <v>18.490000000000002</v>
      </c>
      <c r="I79" s="5">
        <v>570</v>
      </c>
      <c r="J79" s="4" t="s">
        <v>142</v>
      </c>
    </row>
    <row r="80" spans="1:10" x14ac:dyDescent="0.25">
      <c r="A80" s="4">
        <f t="shared" ca="1" si="2"/>
        <v>77</v>
      </c>
      <c r="B80" s="4" t="s">
        <v>301</v>
      </c>
      <c r="C80" s="4" t="s">
        <v>302</v>
      </c>
      <c r="D80" s="4" t="s">
        <v>141</v>
      </c>
      <c r="E80" s="4" t="s">
        <v>290</v>
      </c>
      <c r="F80" s="4">
        <v>1019.076</v>
      </c>
      <c r="G80" s="5">
        <v>109.7598</v>
      </c>
      <c r="H80" s="5">
        <v>18.45</v>
      </c>
      <c r="I80" s="5">
        <v>1676</v>
      </c>
      <c r="J80" s="4" t="s">
        <v>142</v>
      </c>
    </row>
    <row r="81" spans="1:10" x14ac:dyDescent="0.25">
      <c r="A81" s="4">
        <f t="shared" ca="1" si="2"/>
        <v>78</v>
      </c>
      <c r="B81" s="4" t="s">
        <v>303</v>
      </c>
      <c r="C81" s="4" t="s">
        <v>304</v>
      </c>
      <c r="D81" s="4" t="s">
        <v>141</v>
      </c>
      <c r="E81" s="4" t="s">
        <v>66</v>
      </c>
      <c r="F81" s="4">
        <v>1000</v>
      </c>
      <c r="G81" s="5">
        <v>111.84180000000001</v>
      </c>
      <c r="H81" s="5">
        <v>12.45</v>
      </c>
      <c r="I81" s="5">
        <v>1115</v>
      </c>
      <c r="J81" s="4" t="s">
        <v>142</v>
      </c>
    </row>
    <row r="82" spans="1:10" x14ac:dyDescent="0.25">
      <c r="A82" s="4">
        <f t="shared" ca="1" si="2"/>
        <v>79</v>
      </c>
      <c r="B82" s="4" t="s">
        <v>305</v>
      </c>
      <c r="C82" s="4" t="s">
        <v>306</v>
      </c>
      <c r="D82" s="4" t="s">
        <v>141</v>
      </c>
      <c r="E82" s="4" t="s">
        <v>66</v>
      </c>
      <c r="F82" s="4">
        <v>1000</v>
      </c>
      <c r="G82" s="5">
        <v>103.63560000000001</v>
      </c>
      <c r="H82" s="5">
        <v>12.41</v>
      </c>
      <c r="I82" s="5">
        <v>1355</v>
      </c>
      <c r="J82" s="4" t="s">
        <v>142</v>
      </c>
    </row>
    <row r="83" spans="1:10" x14ac:dyDescent="0.25">
      <c r="A83" s="4">
        <f t="shared" ca="1" si="2"/>
        <v>80</v>
      </c>
      <c r="B83" s="4" t="s">
        <v>307</v>
      </c>
      <c r="C83" s="4" t="s">
        <v>308</v>
      </c>
      <c r="D83" s="4" t="s">
        <v>141</v>
      </c>
      <c r="E83" s="4" t="s">
        <v>66</v>
      </c>
      <c r="F83" s="4">
        <v>1000</v>
      </c>
      <c r="G83" s="5">
        <v>106.71730000000001</v>
      </c>
      <c r="H83" s="5">
        <v>12.05</v>
      </c>
      <c r="I83" s="5">
        <v>168</v>
      </c>
      <c r="J83" s="4" t="s">
        <v>142</v>
      </c>
    </row>
    <row r="84" spans="1:10" x14ac:dyDescent="0.25">
      <c r="A84" s="4">
        <f t="shared" ca="1" si="2"/>
        <v>81</v>
      </c>
      <c r="B84" s="4" t="s">
        <v>309</v>
      </c>
      <c r="C84" s="4" t="s">
        <v>310</v>
      </c>
      <c r="D84" s="4" t="s">
        <v>141</v>
      </c>
      <c r="E84" s="4" t="s">
        <v>66</v>
      </c>
      <c r="F84" s="4">
        <v>1000</v>
      </c>
      <c r="G84" s="5">
        <v>104.57050000000001</v>
      </c>
      <c r="H84" s="5">
        <v>12.18</v>
      </c>
      <c r="I84" s="5">
        <v>231</v>
      </c>
      <c r="J84" s="4" t="s">
        <v>142</v>
      </c>
    </row>
    <row r="85" spans="1:10" x14ac:dyDescent="0.25">
      <c r="A85" s="4">
        <f t="shared" ca="1" si="2"/>
        <v>82</v>
      </c>
      <c r="B85" s="4" t="s">
        <v>311</v>
      </c>
      <c r="C85" s="4" t="s">
        <v>312</v>
      </c>
      <c r="D85" s="4" t="s">
        <v>141</v>
      </c>
      <c r="E85" s="4" t="s">
        <v>66</v>
      </c>
      <c r="F85" s="4">
        <v>1000</v>
      </c>
      <c r="G85" s="5">
        <v>107.7214</v>
      </c>
      <c r="H85" s="5">
        <v>12.32</v>
      </c>
      <c r="I85" s="5">
        <v>504</v>
      </c>
      <c r="J85" s="4" t="s">
        <v>142</v>
      </c>
    </row>
    <row r="86" spans="1:10" x14ac:dyDescent="0.25">
      <c r="A86" s="4">
        <f t="shared" ca="1" si="2"/>
        <v>83</v>
      </c>
      <c r="B86" s="4" t="s">
        <v>313</v>
      </c>
      <c r="C86" s="4" t="s">
        <v>314</v>
      </c>
      <c r="D86" s="4" t="s">
        <v>141</v>
      </c>
      <c r="E86" s="4" t="s">
        <v>66</v>
      </c>
      <c r="F86" s="4">
        <v>1000</v>
      </c>
      <c r="G86" s="5">
        <v>105.6439</v>
      </c>
      <c r="H86" s="5">
        <v>12.33</v>
      </c>
      <c r="I86" s="5">
        <v>565</v>
      </c>
      <c r="J86" s="4" t="s">
        <v>142</v>
      </c>
    </row>
    <row r="87" spans="1:10" x14ac:dyDescent="0.25">
      <c r="A87" s="4">
        <f t="shared" ca="1" si="2"/>
        <v>84</v>
      </c>
      <c r="B87" s="4" t="s">
        <v>315</v>
      </c>
      <c r="C87" s="4" t="s">
        <v>316</v>
      </c>
      <c r="D87" s="4" t="s">
        <v>141</v>
      </c>
      <c r="E87" s="4" t="s">
        <v>66</v>
      </c>
      <c r="F87" s="4">
        <v>1000</v>
      </c>
      <c r="G87" s="5">
        <v>100.554</v>
      </c>
      <c r="H87" s="5">
        <v>12.45</v>
      </c>
      <c r="I87" s="5">
        <v>715</v>
      </c>
      <c r="J87" s="4" t="s">
        <v>142</v>
      </c>
    </row>
    <row r="88" spans="1:10" x14ac:dyDescent="0.25">
      <c r="A88" s="4">
        <f t="shared" ca="1" si="2"/>
        <v>85</v>
      </c>
      <c r="B88" s="4" t="s">
        <v>317</v>
      </c>
      <c r="C88" s="4" t="s">
        <v>318</v>
      </c>
      <c r="D88" s="4" t="s">
        <v>141</v>
      </c>
      <c r="E88" s="4" t="s">
        <v>66</v>
      </c>
      <c r="F88" s="4">
        <v>1000</v>
      </c>
      <c r="G88" s="5">
        <v>103.63560000000001</v>
      </c>
      <c r="H88" s="5">
        <v>12.4</v>
      </c>
      <c r="I88" s="5">
        <v>990</v>
      </c>
      <c r="J88" s="4" t="s">
        <v>142</v>
      </c>
    </row>
    <row r="89" spans="1:10" x14ac:dyDescent="0.25">
      <c r="A89" s="4">
        <f t="shared" ca="1" si="2"/>
        <v>86</v>
      </c>
      <c r="B89" s="4" t="s">
        <v>319</v>
      </c>
      <c r="C89" s="4" t="s">
        <v>320</v>
      </c>
      <c r="D89" s="4" t="s">
        <v>141</v>
      </c>
      <c r="E89" s="4" t="s">
        <v>66</v>
      </c>
      <c r="F89" s="4">
        <v>1000</v>
      </c>
      <c r="G89" s="5">
        <v>110.87230000000001</v>
      </c>
      <c r="H89" s="5">
        <v>12.44</v>
      </c>
      <c r="I89" s="5">
        <v>1509</v>
      </c>
      <c r="J89" s="4" t="s">
        <v>142</v>
      </c>
    </row>
    <row r="90" spans="1:10" x14ac:dyDescent="0.25">
      <c r="A90" s="4">
        <f t="shared" ca="1" si="2"/>
        <v>87</v>
      </c>
      <c r="B90" s="4" t="s">
        <v>321</v>
      </c>
      <c r="C90" s="4" t="s">
        <v>322</v>
      </c>
      <c r="D90" s="4" t="s">
        <v>141</v>
      </c>
      <c r="E90" s="4" t="s">
        <v>66</v>
      </c>
      <c r="F90" s="4">
        <v>899.00600000000009</v>
      </c>
      <c r="G90" s="5">
        <v>90.164500000000004</v>
      </c>
      <c r="H90" s="5">
        <v>17.45</v>
      </c>
      <c r="I90" s="5">
        <v>347</v>
      </c>
      <c r="J90" s="4" t="s">
        <v>142</v>
      </c>
    </row>
    <row r="91" spans="1:10" x14ac:dyDescent="0.25">
      <c r="A91" s="4">
        <f t="shared" ca="1" si="2"/>
        <v>88</v>
      </c>
      <c r="B91" s="4" t="s">
        <v>323</v>
      </c>
      <c r="C91" s="4" t="s">
        <v>324</v>
      </c>
      <c r="D91" s="4" t="s">
        <v>141</v>
      </c>
      <c r="E91" s="4" t="s">
        <v>66</v>
      </c>
      <c r="F91" s="4">
        <v>1000</v>
      </c>
      <c r="G91" s="5">
        <v>105.6439</v>
      </c>
      <c r="H91" s="5">
        <v>12.4</v>
      </c>
      <c r="I91" s="5">
        <v>1296</v>
      </c>
      <c r="J91" s="4" t="s">
        <v>142</v>
      </c>
    </row>
    <row r="92" spans="1:10" x14ac:dyDescent="0.25">
      <c r="A92" s="4">
        <f t="shared" ca="1" si="2"/>
        <v>89</v>
      </c>
      <c r="B92" s="4" t="s">
        <v>325</v>
      </c>
      <c r="C92" s="4" t="s">
        <v>116</v>
      </c>
      <c r="D92" s="4" t="s">
        <v>141</v>
      </c>
      <c r="E92" s="4" t="s">
        <v>66</v>
      </c>
      <c r="F92" s="4">
        <v>871.95</v>
      </c>
      <c r="G92" s="5">
        <v>91.083800000000011</v>
      </c>
      <c r="H92" s="5">
        <v>17.3</v>
      </c>
      <c r="I92" s="5">
        <v>471</v>
      </c>
      <c r="J92" s="4" t="s">
        <v>142</v>
      </c>
    </row>
    <row r="93" spans="1:10" x14ac:dyDescent="0.25">
      <c r="A93" s="4">
        <f t="shared" ca="1" si="2"/>
        <v>90</v>
      </c>
      <c r="B93" s="4" t="s">
        <v>326</v>
      </c>
      <c r="C93" s="4" t="s">
        <v>327</v>
      </c>
      <c r="D93" s="4" t="s">
        <v>141</v>
      </c>
      <c r="E93" s="4" t="s">
        <v>66</v>
      </c>
      <c r="F93" s="4">
        <v>832.779</v>
      </c>
      <c r="G93" s="5">
        <v>84.558900000000008</v>
      </c>
      <c r="H93" s="5">
        <v>17.2</v>
      </c>
      <c r="I93" s="5">
        <v>646</v>
      </c>
      <c r="J93" s="4" t="s">
        <v>142</v>
      </c>
    </row>
    <row r="94" spans="1:10" x14ac:dyDescent="0.25">
      <c r="A94" s="4">
        <f t="shared" ca="1" si="2"/>
        <v>91</v>
      </c>
      <c r="B94" s="4" t="s">
        <v>328</v>
      </c>
      <c r="C94" s="4" t="s">
        <v>329</v>
      </c>
      <c r="D94" s="4" t="s">
        <v>141</v>
      </c>
      <c r="E94" s="4" t="s">
        <v>66</v>
      </c>
      <c r="F94" s="4">
        <v>840.60800000000006</v>
      </c>
      <c r="G94" s="5">
        <v>84.927499999999995</v>
      </c>
      <c r="H94" s="5">
        <v>17.150000000000002</v>
      </c>
      <c r="I94" s="5">
        <v>682</v>
      </c>
      <c r="J94" s="4" t="s">
        <v>142</v>
      </c>
    </row>
    <row r="95" spans="1:10" x14ac:dyDescent="0.25">
      <c r="A95" s="4">
        <f t="shared" ca="1" si="2"/>
        <v>92</v>
      </c>
      <c r="B95" s="4" t="s">
        <v>330</v>
      </c>
      <c r="C95" s="4" t="s">
        <v>331</v>
      </c>
      <c r="D95" s="4" t="s">
        <v>141</v>
      </c>
      <c r="E95" s="4" t="s">
        <v>66</v>
      </c>
      <c r="F95" s="4">
        <v>1000</v>
      </c>
      <c r="G95" s="5">
        <v>104.60510000000001</v>
      </c>
      <c r="H95" s="5">
        <v>12.35</v>
      </c>
      <c r="I95" s="5">
        <v>595</v>
      </c>
      <c r="J95" s="4" t="s">
        <v>142</v>
      </c>
    </row>
    <row r="96" spans="1:10" x14ac:dyDescent="0.25">
      <c r="A96" s="4">
        <f t="shared" ca="1" si="2"/>
        <v>93</v>
      </c>
      <c r="B96" s="4" t="s">
        <v>332</v>
      </c>
      <c r="C96" s="4" t="s">
        <v>333</v>
      </c>
      <c r="D96" s="4" t="s">
        <v>141</v>
      </c>
      <c r="E96" s="4" t="s">
        <v>66</v>
      </c>
      <c r="F96" s="4">
        <v>1000</v>
      </c>
      <c r="G96" s="5">
        <v>110.04400000000001</v>
      </c>
      <c r="H96" s="5">
        <v>12.52</v>
      </c>
      <c r="I96" s="5">
        <v>1536</v>
      </c>
      <c r="J96" s="4" t="s">
        <v>142</v>
      </c>
    </row>
    <row r="97" spans="1:10" x14ac:dyDescent="0.25">
      <c r="A97" s="4">
        <f t="shared" ca="1" si="2"/>
        <v>94</v>
      </c>
      <c r="B97" s="4" t="s">
        <v>334</v>
      </c>
      <c r="C97" s="4" t="s">
        <v>126</v>
      </c>
      <c r="D97" s="4" t="s">
        <v>141</v>
      </c>
      <c r="E97" s="4" t="s">
        <v>66</v>
      </c>
      <c r="F97" s="4">
        <v>655.88900000000001</v>
      </c>
      <c r="G97" s="5">
        <v>70.296400000000006</v>
      </c>
      <c r="H97" s="5">
        <v>15.67</v>
      </c>
      <c r="I97" s="5">
        <v>3074</v>
      </c>
      <c r="J97" s="4" t="s">
        <v>142</v>
      </c>
    </row>
    <row r="98" spans="1:10" x14ac:dyDescent="0.25">
      <c r="A98" s="4">
        <f t="shared" ca="1" si="2"/>
        <v>95</v>
      </c>
      <c r="B98" s="4" t="s">
        <v>335</v>
      </c>
      <c r="C98" s="4" t="s">
        <v>336</v>
      </c>
      <c r="D98" s="4" t="s">
        <v>141</v>
      </c>
      <c r="E98" s="4" t="s">
        <v>66</v>
      </c>
      <c r="F98" s="4">
        <v>876.37700000000007</v>
      </c>
      <c r="G98" s="5">
        <v>91.206699999999998</v>
      </c>
      <c r="H98" s="5">
        <v>17.27</v>
      </c>
      <c r="I98" s="5">
        <v>556</v>
      </c>
      <c r="J98" s="4" t="s">
        <v>142</v>
      </c>
    </row>
    <row r="99" spans="1:10" x14ac:dyDescent="0.25">
      <c r="A99" s="4">
        <f t="shared" ca="1" si="2"/>
        <v>96</v>
      </c>
      <c r="B99" s="4" t="s">
        <v>337</v>
      </c>
      <c r="C99" s="4" t="s">
        <v>338</v>
      </c>
      <c r="D99" s="4" t="s">
        <v>141</v>
      </c>
      <c r="E99" s="4" t="s">
        <v>66</v>
      </c>
      <c r="F99" s="4">
        <v>589.88700000000006</v>
      </c>
      <c r="G99" s="5">
        <v>60.814800000000005</v>
      </c>
      <c r="H99" s="5">
        <v>15.41</v>
      </c>
      <c r="I99" s="5">
        <v>6864</v>
      </c>
      <c r="J99" s="4" t="s">
        <v>142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339</v>
      </c>
      <c r="C100" s="4" t="s">
        <v>340</v>
      </c>
      <c r="D100" s="4" t="s">
        <v>141</v>
      </c>
      <c r="E100" s="4" t="s">
        <v>66</v>
      </c>
      <c r="F100" s="4">
        <v>1000</v>
      </c>
      <c r="G100" s="5">
        <v>102.49300000000001</v>
      </c>
      <c r="H100" s="5">
        <v>12.31</v>
      </c>
      <c r="I100" s="5">
        <v>293</v>
      </c>
      <c r="J100" s="4" t="s">
        <v>142</v>
      </c>
    </row>
    <row r="101" spans="1:10" x14ac:dyDescent="0.25">
      <c r="A101" s="4">
        <f t="shared" ca="1" si="3"/>
        <v>98</v>
      </c>
      <c r="B101" s="4" t="s">
        <v>341</v>
      </c>
      <c r="C101" s="4" t="s">
        <v>342</v>
      </c>
      <c r="D101" s="4" t="s">
        <v>141</v>
      </c>
      <c r="E101" s="4" t="s">
        <v>66</v>
      </c>
      <c r="F101" s="4">
        <v>1000</v>
      </c>
      <c r="G101" s="5">
        <v>105.6785</v>
      </c>
      <c r="H101" s="5">
        <v>12.4</v>
      </c>
      <c r="I101" s="5">
        <v>1295</v>
      </c>
      <c r="J101" s="4" t="s">
        <v>142</v>
      </c>
    </row>
    <row r="102" spans="1:10" x14ac:dyDescent="0.25">
      <c r="A102" s="4">
        <f t="shared" ca="1" si="3"/>
        <v>99</v>
      </c>
      <c r="B102" s="4" t="s">
        <v>343</v>
      </c>
      <c r="C102" s="4" t="s">
        <v>344</v>
      </c>
      <c r="D102" s="4" t="s">
        <v>141</v>
      </c>
      <c r="E102" s="4" t="s">
        <v>66</v>
      </c>
      <c r="F102" s="4">
        <v>1000</v>
      </c>
      <c r="G102" s="5">
        <v>106.64800000000001</v>
      </c>
      <c r="H102" s="5">
        <v>12.41</v>
      </c>
      <c r="I102" s="5">
        <v>1631</v>
      </c>
      <c r="J102" s="4" t="s">
        <v>142</v>
      </c>
    </row>
    <row r="103" spans="1:10" x14ac:dyDescent="0.25">
      <c r="A103" s="4">
        <f t="shared" ca="1" si="3"/>
        <v>100</v>
      </c>
      <c r="B103" s="4" t="s">
        <v>345</v>
      </c>
      <c r="C103" s="4" t="s">
        <v>346</v>
      </c>
      <c r="D103" s="4" t="s">
        <v>141</v>
      </c>
      <c r="E103" s="4" t="s">
        <v>66</v>
      </c>
      <c r="F103" s="4">
        <v>1000</v>
      </c>
      <c r="G103" s="5">
        <v>103.601</v>
      </c>
      <c r="H103" s="5">
        <v>12.24</v>
      </c>
      <c r="I103" s="5">
        <v>260</v>
      </c>
      <c r="J103" s="4" t="s">
        <v>142</v>
      </c>
    </row>
    <row r="104" spans="1:10" x14ac:dyDescent="0.25">
      <c r="A104" s="4">
        <f t="shared" ca="1" si="3"/>
        <v>101</v>
      </c>
      <c r="B104" s="4" t="s">
        <v>347</v>
      </c>
      <c r="C104" s="4" t="s">
        <v>80</v>
      </c>
      <c r="D104" s="4" t="s">
        <v>141</v>
      </c>
      <c r="E104" s="4" t="s">
        <v>66</v>
      </c>
      <c r="F104" s="4">
        <v>644.00600000000009</v>
      </c>
      <c r="G104" s="5">
        <v>71.417000000000002</v>
      </c>
      <c r="H104" s="5">
        <v>15.63</v>
      </c>
      <c r="I104" s="5">
        <v>3336</v>
      </c>
      <c r="J104" s="4" t="s">
        <v>142</v>
      </c>
    </row>
    <row r="105" spans="1:10" x14ac:dyDescent="0.25">
      <c r="A105" s="4">
        <f t="shared" ca="1" si="3"/>
        <v>102</v>
      </c>
      <c r="B105" s="4" t="s">
        <v>348</v>
      </c>
      <c r="C105" s="4" t="s">
        <v>349</v>
      </c>
      <c r="D105" s="4" t="s">
        <v>141</v>
      </c>
      <c r="E105" s="4" t="s">
        <v>66</v>
      </c>
      <c r="F105" s="4">
        <v>912.78100000000006</v>
      </c>
      <c r="G105" s="5">
        <v>98.178100000000001</v>
      </c>
      <c r="H105" s="5">
        <v>17.32</v>
      </c>
      <c r="I105" s="5">
        <v>450</v>
      </c>
      <c r="J105" s="4" t="s">
        <v>142</v>
      </c>
    </row>
    <row r="106" spans="1:10" x14ac:dyDescent="0.25">
      <c r="A106" s="4">
        <f t="shared" ca="1" si="3"/>
        <v>103</v>
      </c>
      <c r="B106" s="4" t="s">
        <v>350</v>
      </c>
      <c r="C106" s="4" t="s">
        <v>351</v>
      </c>
      <c r="D106" s="4" t="s">
        <v>141</v>
      </c>
      <c r="E106" s="4" t="s">
        <v>66</v>
      </c>
      <c r="F106" s="4">
        <v>893.22700000000009</v>
      </c>
      <c r="G106" s="5">
        <v>93.297700000000006</v>
      </c>
      <c r="H106" s="5">
        <v>17.25</v>
      </c>
      <c r="I106" s="5">
        <v>569</v>
      </c>
      <c r="J106" s="4" t="s">
        <v>142</v>
      </c>
    </row>
    <row r="107" spans="1:10" x14ac:dyDescent="0.25">
      <c r="A107" s="4">
        <f t="shared" ca="1" si="3"/>
        <v>104</v>
      </c>
      <c r="B107" s="4" t="s">
        <v>352</v>
      </c>
      <c r="C107" s="4" t="s">
        <v>353</v>
      </c>
      <c r="D107" s="4" t="s">
        <v>141</v>
      </c>
      <c r="E107" s="4" t="s">
        <v>66</v>
      </c>
      <c r="F107" s="4">
        <v>641.52</v>
      </c>
      <c r="G107" s="5">
        <v>67.261300000000006</v>
      </c>
      <c r="H107" s="5">
        <v>15.55</v>
      </c>
      <c r="I107" s="5">
        <v>3884</v>
      </c>
      <c r="J107" s="4" t="s">
        <v>142</v>
      </c>
    </row>
    <row r="108" spans="1:10" x14ac:dyDescent="0.25">
      <c r="A108" s="4">
        <f t="shared" ca="1" si="3"/>
        <v>105</v>
      </c>
      <c r="B108" s="4" t="s">
        <v>354</v>
      </c>
      <c r="C108" s="4" t="s">
        <v>355</v>
      </c>
      <c r="D108" s="4" t="s">
        <v>141</v>
      </c>
      <c r="E108" s="4" t="s">
        <v>66</v>
      </c>
      <c r="F108" s="4">
        <v>701.78300000000002</v>
      </c>
      <c r="G108" s="5">
        <v>76.144100000000009</v>
      </c>
      <c r="H108" s="5">
        <v>15.79</v>
      </c>
      <c r="I108" s="5">
        <v>2671</v>
      </c>
      <c r="J108" s="4" t="s">
        <v>142</v>
      </c>
    </row>
    <row r="109" spans="1:10" x14ac:dyDescent="0.25">
      <c r="A109" s="4">
        <f t="shared" ca="1" si="3"/>
        <v>106</v>
      </c>
      <c r="B109" s="4" t="s">
        <v>356</v>
      </c>
      <c r="C109" s="4" t="s">
        <v>357</v>
      </c>
      <c r="D109" s="4" t="s">
        <v>141</v>
      </c>
      <c r="E109" s="4" t="s">
        <v>66</v>
      </c>
      <c r="F109" s="4">
        <v>692.50600000000009</v>
      </c>
      <c r="G109" s="5">
        <v>74.632100000000008</v>
      </c>
      <c r="H109" s="5">
        <v>15.78</v>
      </c>
      <c r="I109" s="5">
        <v>2690</v>
      </c>
      <c r="J109" s="4" t="s">
        <v>142</v>
      </c>
    </row>
    <row r="110" spans="1:10" x14ac:dyDescent="0.25">
      <c r="A110" s="4">
        <f t="shared" ca="1" si="3"/>
        <v>107</v>
      </c>
      <c r="B110" s="4" t="s">
        <v>358</v>
      </c>
      <c r="C110" s="4" t="s">
        <v>81</v>
      </c>
      <c r="D110" s="4" t="s">
        <v>141</v>
      </c>
      <c r="E110" s="4" t="s">
        <v>66</v>
      </c>
      <c r="F110" s="4">
        <v>713.79</v>
      </c>
      <c r="G110" s="5">
        <v>76.918400000000005</v>
      </c>
      <c r="H110" s="5">
        <v>15.9</v>
      </c>
      <c r="I110" s="5">
        <v>2318</v>
      </c>
      <c r="J110" s="4" t="s">
        <v>142</v>
      </c>
    </row>
    <row r="111" spans="1:10" x14ac:dyDescent="0.25">
      <c r="A111" s="4">
        <f t="shared" ca="1" si="3"/>
        <v>108</v>
      </c>
      <c r="B111" s="4" t="s">
        <v>359</v>
      </c>
      <c r="C111" s="4" t="s">
        <v>360</v>
      </c>
      <c r="D111" s="4" t="s">
        <v>141</v>
      </c>
      <c r="E111" s="4" t="s">
        <v>66</v>
      </c>
      <c r="F111" s="4">
        <v>736.47500000000002</v>
      </c>
      <c r="G111" s="5">
        <v>78.617699999999999</v>
      </c>
      <c r="H111" s="5">
        <v>16.04</v>
      </c>
      <c r="I111" s="5">
        <v>1976</v>
      </c>
      <c r="J111" s="4" t="s">
        <v>142</v>
      </c>
    </row>
    <row r="112" spans="1:10" x14ac:dyDescent="0.25">
      <c r="A112" s="4">
        <f t="shared" ca="1" si="3"/>
        <v>109</v>
      </c>
      <c r="B112" s="4" t="s">
        <v>361</v>
      </c>
      <c r="C112" s="4" t="s">
        <v>362</v>
      </c>
      <c r="D112" s="4" t="s">
        <v>141</v>
      </c>
      <c r="E112" s="4" t="s">
        <v>66</v>
      </c>
      <c r="F112" s="4">
        <v>646.27200000000005</v>
      </c>
      <c r="G112" s="5">
        <v>71.90140000000001</v>
      </c>
      <c r="H112" s="5">
        <v>15.55</v>
      </c>
      <c r="I112" s="5">
        <v>4080</v>
      </c>
      <c r="J112" s="4" t="s">
        <v>142</v>
      </c>
    </row>
    <row r="113" spans="1:10" x14ac:dyDescent="0.25">
      <c r="A113" s="4">
        <f t="shared" ca="1" si="3"/>
        <v>110</v>
      </c>
      <c r="B113" s="4" t="s">
        <v>363</v>
      </c>
      <c r="C113" s="4" t="s">
        <v>364</v>
      </c>
      <c r="D113" s="4" t="s">
        <v>141</v>
      </c>
      <c r="E113" s="4" t="s">
        <v>66</v>
      </c>
      <c r="F113" s="4">
        <v>1000</v>
      </c>
      <c r="G113" s="5">
        <v>106.71730000000001</v>
      </c>
      <c r="H113" s="5">
        <v>12.05</v>
      </c>
      <c r="I113" s="5">
        <v>168</v>
      </c>
      <c r="J113" s="4" t="s">
        <v>142</v>
      </c>
    </row>
    <row r="114" spans="1:10" x14ac:dyDescent="0.25">
      <c r="A114" s="4">
        <f t="shared" ca="1" si="3"/>
        <v>111</v>
      </c>
      <c r="B114" s="4" t="s">
        <v>365</v>
      </c>
      <c r="C114" s="4" t="s">
        <v>99</v>
      </c>
      <c r="D114" s="4" t="s">
        <v>141</v>
      </c>
      <c r="E114" s="4" t="s">
        <v>66</v>
      </c>
      <c r="F114" s="4">
        <v>769.93900000000008</v>
      </c>
      <c r="G114" s="5">
        <v>79.532600000000002</v>
      </c>
      <c r="H114" s="5">
        <v>16.48</v>
      </c>
      <c r="I114" s="5">
        <v>1341</v>
      </c>
      <c r="J114" s="4" t="s">
        <v>142</v>
      </c>
    </row>
    <row r="115" spans="1:10" x14ac:dyDescent="0.25">
      <c r="A115" s="4">
        <f t="shared" ca="1" si="3"/>
        <v>112</v>
      </c>
      <c r="B115" s="4" t="s">
        <v>366</v>
      </c>
      <c r="C115" s="4" t="s">
        <v>96</v>
      </c>
      <c r="D115" s="4" t="s">
        <v>141</v>
      </c>
      <c r="E115" s="4" t="s">
        <v>66</v>
      </c>
      <c r="F115" s="4">
        <v>752.05700000000002</v>
      </c>
      <c r="G115" s="5">
        <v>81.77640000000001</v>
      </c>
      <c r="H115" s="5">
        <v>16.350000000000001</v>
      </c>
      <c r="I115" s="5">
        <v>1516</v>
      </c>
      <c r="J115" s="4" t="s">
        <v>142</v>
      </c>
    </row>
    <row r="116" spans="1:10" x14ac:dyDescent="0.25">
      <c r="A116" s="4">
        <f t="shared" ca="1" si="3"/>
        <v>113</v>
      </c>
      <c r="B116" s="4" t="s">
        <v>367</v>
      </c>
      <c r="C116" s="4" t="s">
        <v>368</v>
      </c>
      <c r="D116" s="4" t="s">
        <v>141</v>
      </c>
      <c r="E116" s="4" t="s">
        <v>66</v>
      </c>
      <c r="F116" s="4">
        <v>585.75900000000001</v>
      </c>
      <c r="G116" s="5">
        <v>66.300300000000007</v>
      </c>
      <c r="H116" s="5">
        <v>15.47</v>
      </c>
      <c r="I116" s="5">
        <v>4757</v>
      </c>
      <c r="J116" s="4" t="s">
        <v>142</v>
      </c>
    </row>
    <row r="117" spans="1:10" x14ac:dyDescent="0.25">
      <c r="A117" s="4">
        <f t="shared" ca="1" si="3"/>
        <v>114</v>
      </c>
      <c r="B117" s="4" t="s">
        <v>369</v>
      </c>
      <c r="C117" s="4" t="s">
        <v>107</v>
      </c>
      <c r="D117" s="4" t="s">
        <v>141</v>
      </c>
      <c r="E117" s="4" t="s">
        <v>66</v>
      </c>
      <c r="F117" s="4">
        <v>928.029</v>
      </c>
      <c r="G117" s="5">
        <v>94.544600000000003</v>
      </c>
      <c r="H117" s="5">
        <v>17.400000000000002</v>
      </c>
      <c r="I117" s="5">
        <v>250</v>
      </c>
      <c r="J117" s="4" t="s">
        <v>142</v>
      </c>
    </row>
    <row r="118" spans="1:10" x14ac:dyDescent="0.25">
      <c r="A118" s="4">
        <f t="shared" ca="1" si="3"/>
        <v>115</v>
      </c>
      <c r="B118" s="4" t="s">
        <v>370</v>
      </c>
      <c r="C118" s="4" t="s">
        <v>104</v>
      </c>
      <c r="D118" s="4" t="s">
        <v>141</v>
      </c>
      <c r="E118" s="4" t="s">
        <v>66</v>
      </c>
      <c r="F118" s="4">
        <v>823.83</v>
      </c>
      <c r="G118" s="5">
        <v>83.163300000000007</v>
      </c>
      <c r="H118" s="5">
        <v>17.150000000000002</v>
      </c>
      <c r="I118" s="5">
        <v>677</v>
      </c>
      <c r="J118" s="4" t="s">
        <v>142</v>
      </c>
    </row>
    <row r="119" spans="1:10" x14ac:dyDescent="0.25">
      <c r="A119" s="4">
        <f t="shared" ca="1" si="3"/>
        <v>116</v>
      </c>
      <c r="B119" s="4" t="s">
        <v>371</v>
      </c>
      <c r="C119" s="4" t="s">
        <v>372</v>
      </c>
      <c r="D119" s="4" t="s">
        <v>141</v>
      </c>
      <c r="E119" s="4" t="s">
        <v>66</v>
      </c>
      <c r="F119" s="4">
        <v>764.02200000000005</v>
      </c>
      <c r="G119" s="5">
        <v>77.655000000000001</v>
      </c>
      <c r="H119" s="5">
        <v>16.8</v>
      </c>
      <c r="I119" s="5">
        <v>1014</v>
      </c>
      <c r="J119" s="4" t="s">
        <v>142</v>
      </c>
    </row>
    <row r="120" spans="1:10" x14ac:dyDescent="0.25">
      <c r="A120" s="4">
        <f t="shared" ca="1" si="3"/>
        <v>117</v>
      </c>
      <c r="B120" s="4" t="s">
        <v>373</v>
      </c>
      <c r="C120" s="4" t="s">
        <v>374</v>
      </c>
      <c r="D120" s="4" t="s">
        <v>141</v>
      </c>
      <c r="E120" s="4" t="s">
        <v>66</v>
      </c>
      <c r="F120" s="4">
        <v>603.54300000000001</v>
      </c>
      <c r="G120" s="5">
        <v>63.5319</v>
      </c>
      <c r="H120" s="5">
        <v>15.46</v>
      </c>
      <c r="I120" s="5">
        <v>4974</v>
      </c>
      <c r="J120" s="4" t="s">
        <v>142</v>
      </c>
    </row>
    <row r="121" spans="1:10" x14ac:dyDescent="0.25">
      <c r="A121" s="4">
        <f t="shared" ca="1" si="3"/>
        <v>118</v>
      </c>
      <c r="B121" s="4" t="s">
        <v>375</v>
      </c>
      <c r="C121" s="4" t="s">
        <v>376</v>
      </c>
      <c r="D121" s="4" t="s">
        <v>141</v>
      </c>
      <c r="E121" s="4" t="s">
        <v>66</v>
      </c>
      <c r="F121" s="4">
        <v>599.81299999999999</v>
      </c>
      <c r="G121" s="5">
        <v>66.630800000000008</v>
      </c>
      <c r="H121" s="5">
        <v>15.46</v>
      </c>
      <c r="I121" s="5">
        <v>5190</v>
      </c>
      <c r="J121" s="4" t="s">
        <v>142</v>
      </c>
    </row>
    <row r="122" spans="1:10" x14ac:dyDescent="0.25">
      <c r="A122" s="4">
        <f t="shared" ca="1" si="3"/>
        <v>119</v>
      </c>
      <c r="B122" s="4" t="s">
        <v>377</v>
      </c>
      <c r="C122" s="4" t="s">
        <v>120</v>
      </c>
      <c r="D122" s="4" t="s">
        <v>141</v>
      </c>
      <c r="E122" s="4" t="s">
        <v>66</v>
      </c>
      <c r="F122" s="4">
        <v>863.75900000000001</v>
      </c>
      <c r="G122" s="5">
        <v>94.075900000000004</v>
      </c>
      <c r="H122" s="5">
        <v>16.62</v>
      </c>
      <c r="I122" s="5">
        <v>1206</v>
      </c>
      <c r="J122" s="4" t="s">
        <v>142</v>
      </c>
    </row>
    <row r="123" spans="1:10" x14ac:dyDescent="0.25">
      <c r="A123" s="4">
        <f t="shared" ca="1" si="3"/>
        <v>120</v>
      </c>
      <c r="B123" s="4" t="s">
        <v>378</v>
      </c>
      <c r="C123" s="4" t="s">
        <v>379</v>
      </c>
      <c r="D123" s="4" t="s">
        <v>141</v>
      </c>
      <c r="E123" s="4" t="s">
        <v>66</v>
      </c>
      <c r="F123" s="4">
        <v>957.62300000000005</v>
      </c>
      <c r="G123" s="5">
        <v>99.781500000000008</v>
      </c>
      <c r="H123" s="5">
        <v>17.34</v>
      </c>
      <c r="I123" s="5">
        <v>204</v>
      </c>
      <c r="J123" s="4" t="s">
        <v>142</v>
      </c>
    </row>
    <row r="124" spans="1:10" x14ac:dyDescent="0.25">
      <c r="A124" s="4">
        <f t="shared" ca="1" si="3"/>
        <v>121</v>
      </c>
      <c r="B124" s="4" t="s">
        <v>380</v>
      </c>
      <c r="C124" s="4" t="s">
        <v>381</v>
      </c>
      <c r="D124" s="4" t="s">
        <v>141</v>
      </c>
      <c r="E124" s="4" t="s">
        <v>66</v>
      </c>
      <c r="F124" s="4">
        <v>1000</v>
      </c>
      <c r="G124" s="5">
        <v>112.5201</v>
      </c>
      <c r="H124" s="5">
        <v>12.55</v>
      </c>
      <c r="I124" s="5">
        <v>1098</v>
      </c>
      <c r="J124" s="4" t="s">
        <v>142</v>
      </c>
    </row>
    <row r="125" spans="1:10" x14ac:dyDescent="0.25">
      <c r="A125" s="4">
        <f t="shared" ca="1" si="3"/>
        <v>122</v>
      </c>
      <c r="B125" s="4" t="s">
        <v>382</v>
      </c>
      <c r="C125" s="4" t="s">
        <v>383</v>
      </c>
      <c r="D125" s="4" t="s">
        <v>141</v>
      </c>
      <c r="E125" s="4" t="s">
        <v>66</v>
      </c>
      <c r="F125" s="4">
        <v>1000</v>
      </c>
      <c r="G125" s="5">
        <v>108.76010000000001</v>
      </c>
      <c r="H125" s="5">
        <v>11.93</v>
      </c>
      <c r="I125" s="5">
        <v>108</v>
      </c>
      <c r="J125" s="4" t="s">
        <v>142</v>
      </c>
    </row>
    <row r="126" spans="1:10" x14ac:dyDescent="0.25">
      <c r="A126" s="4">
        <f t="shared" ca="1" si="3"/>
        <v>123</v>
      </c>
      <c r="B126" s="4" t="s">
        <v>384</v>
      </c>
      <c r="C126" s="4" t="s">
        <v>385</v>
      </c>
      <c r="D126" s="4" t="s">
        <v>141</v>
      </c>
      <c r="E126" s="4" t="s">
        <v>66</v>
      </c>
      <c r="F126" s="4">
        <v>1000</v>
      </c>
      <c r="G126" s="5">
        <v>109.8335</v>
      </c>
      <c r="H126" s="5">
        <v>12.42</v>
      </c>
      <c r="I126" s="5">
        <v>1175</v>
      </c>
      <c r="J126" s="4" t="s">
        <v>142</v>
      </c>
    </row>
    <row r="127" spans="1:10" x14ac:dyDescent="0.25">
      <c r="A127" s="4">
        <f t="shared" ca="1" si="3"/>
        <v>124</v>
      </c>
      <c r="B127" s="4" t="s">
        <v>386</v>
      </c>
      <c r="C127" s="4" t="s">
        <v>387</v>
      </c>
      <c r="D127" s="4" t="s">
        <v>141</v>
      </c>
      <c r="E127" s="4" t="s">
        <v>66</v>
      </c>
      <c r="F127" s="4">
        <v>864.072</v>
      </c>
      <c r="G127" s="5">
        <v>87.716000000000008</v>
      </c>
      <c r="H127" s="5">
        <v>16.77</v>
      </c>
      <c r="I127" s="5">
        <v>1051</v>
      </c>
      <c r="J127" s="4" t="s">
        <v>142</v>
      </c>
    </row>
    <row r="128" spans="1:10" x14ac:dyDescent="0.25">
      <c r="A128" s="4">
        <f t="shared" ca="1" si="3"/>
        <v>125</v>
      </c>
      <c r="B128" s="4" t="s">
        <v>388</v>
      </c>
      <c r="C128" s="4" t="s">
        <v>389</v>
      </c>
      <c r="D128" s="4" t="s">
        <v>141</v>
      </c>
      <c r="E128" s="4" t="s">
        <v>66</v>
      </c>
      <c r="F128" s="4">
        <v>1000</v>
      </c>
      <c r="G128" s="5">
        <v>109.93740000000001</v>
      </c>
      <c r="H128" s="5">
        <v>12.4</v>
      </c>
      <c r="I128" s="5">
        <v>806</v>
      </c>
      <c r="J128" s="4" t="s">
        <v>142</v>
      </c>
    </row>
    <row r="129" spans="1:10" x14ac:dyDescent="0.25">
      <c r="A129" s="4">
        <f t="shared" ca="1" si="3"/>
        <v>126</v>
      </c>
      <c r="B129" s="4" t="s">
        <v>390</v>
      </c>
      <c r="C129" s="4" t="s">
        <v>82</v>
      </c>
      <c r="D129" s="4" t="s">
        <v>141</v>
      </c>
      <c r="E129" s="4" t="s">
        <v>66</v>
      </c>
      <c r="F129" s="4">
        <v>602.06500000000005</v>
      </c>
      <c r="G129" s="5">
        <v>63.689800000000005</v>
      </c>
      <c r="H129" s="5">
        <v>15.85</v>
      </c>
      <c r="I129" s="5">
        <v>2326</v>
      </c>
      <c r="J129" s="4" t="s">
        <v>142</v>
      </c>
    </row>
    <row r="130" spans="1:10" x14ac:dyDescent="0.25">
      <c r="A130" s="4">
        <f t="shared" ca="1" si="3"/>
        <v>127</v>
      </c>
      <c r="B130" s="4" t="s">
        <v>391</v>
      </c>
      <c r="C130" s="4" t="s">
        <v>392</v>
      </c>
      <c r="D130" s="4" t="s">
        <v>141</v>
      </c>
      <c r="E130" s="4" t="s">
        <v>66</v>
      </c>
      <c r="F130" s="4">
        <v>789.54100000000005</v>
      </c>
      <c r="G130" s="5">
        <v>78.994200000000006</v>
      </c>
      <c r="H130" s="5">
        <v>16.71</v>
      </c>
      <c r="I130" s="5">
        <v>1095</v>
      </c>
      <c r="J130" s="4" t="s">
        <v>142</v>
      </c>
    </row>
    <row r="131" spans="1:10" x14ac:dyDescent="0.25">
      <c r="A131" s="4">
        <f t="shared" ca="1" si="3"/>
        <v>128</v>
      </c>
      <c r="B131" s="4" t="s">
        <v>393</v>
      </c>
      <c r="C131" s="4" t="s">
        <v>394</v>
      </c>
      <c r="D131" s="4" t="s">
        <v>141</v>
      </c>
      <c r="E131" s="4" t="s">
        <v>66</v>
      </c>
      <c r="F131" s="4">
        <v>782.01300000000003</v>
      </c>
      <c r="G131" s="5">
        <v>81.451300000000003</v>
      </c>
      <c r="H131" s="5">
        <v>16.95</v>
      </c>
      <c r="I131" s="5">
        <v>859</v>
      </c>
      <c r="J131" s="4" t="s">
        <v>142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395</v>
      </c>
      <c r="C132" s="4" t="s">
        <v>76</v>
      </c>
      <c r="D132" s="4" t="s">
        <v>141</v>
      </c>
      <c r="E132" s="4" t="s">
        <v>66</v>
      </c>
      <c r="F132" s="4">
        <v>792.60400000000004</v>
      </c>
      <c r="G132" s="5">
        <v>83.28370000000001</v>
      </c>
      <c r="H132" s="5">
        <v>15.89</v>
      </c>
      <c r="I132" s="5">
        <v>2419</v>
      </c>
      <c r="J132" s="4" t="s">
        <v>142</v>
      </c>
    </row>
    <row r="133" spans="1:10" x14ac:dyDescent="0.25">
      <c r="A133" s="4">
        <f t="shared" ca="1" si="4"/>
        <v>130</v>
      </c>
      <c r="B133" s="4" t="s">
        <v>396</v>
      </c>
      <c r="C133" s="4" t="s">
        <v>75</v>
      </c>
      <c r="D133" s="4" t="s">
        <v>141</v>
      </c>
      <c r="E133" s="4" t="s">
        <v>66</v>
      </c>
      <c r="F133" s="4">
        <v>844.82400000000007</v>
      </c>
      <c r="G133" s="5">
        <v>88.409300000000002</v>
      </c>
      <c r="H133" s="5">
        <v>16.5</v>
      </c>
      <c r="I133" s="5">
        <v>1325</v>
      </c>
      <c r="J133" s="4" t="s">
        <v>142</v>
      </c>
    </row>
    <row r="134" spans="1:10" x14ac:dyDescent="0.25">
      <c r="A134" s="4">
        <f t="shared" ca="1" si="4"/>
        <v>131</v>
      </c>
      <c r="B134" s="4" t="s">
        <v>397</v>
      </c>
      <c r="C134" s="4" t="s">
        <v>398</v>
      </c>
      <c r="D134" s="4" t="s">
        <v>141</v>
      </c>
      <c r="E134" s="4" t="s">
        <v>66</v>
      </c>
      <c r="F134" s="4">
        <v>1000</v>
      </c>
      <c r="G134" s="5">
        <v>102.52760000000001</v>
      </c>
      <c r="H134" s="5">
        <v>12.43</v>
      </c>
      <c r="I134" s="5">
        <v>1753</v>
      </c>
      <c r="J134" s="4" t="s">
        <v>142</v>
      </c>
    </row>
    <row r="135" spans="1:10" x14ac:dyDescent="0.25">
      <c r="A135" s="4">
        <f t="shared" ca="1" si="4"/>
        <v>132</v>
      </c>
      <c r="B135" s="4" t="s">
        <v>399</v>
      </c>
      <c r="C135" s="4" t="s">
        <v>400</v>
      </c>
      <c r="D135" s="4" t="s">
        <v>141</v>
      </c>
      <c r="E135" s="4" t="s">
        <v>66</v>
      </c>
      <c r="F135" s="4">
        <v>1000</v>
      </c>
      <c r="G135" s="5">
        <v>111.8764</v>
      </c>
      <c r="H135" s="5">
        <v>12.46</v>
      </c>
      <c r="I135" s="5">
        <v>2209</v>
      </c>
      <c r="J135" s="4" t="s">
        <v>142</v>
      </c>
    </row>
    <row r="136" spans="1:10" x14ac:dyDescent="0.25">
      <c r="A136" s="4">
        <f t="shared" ca="1" si="4"/>
        <v>133</v>
      </c>
      <c r="B136" s="4" t="s">
        <v>401</v>
      </c>
      <c r="C136" s="4" t="s">
        <v>402</v>
      </c>
      <c r="D136" s="4" t="s">
        <v>141</v>
      </c>
      <c r="E136" s="4" t="s">
        <v>66</v>
      </c>
      <c r="F136" s="4">
        <v>1000</v>
      </c>
      <c r="G136" s="5">
        <v>102.59690000000001</v>
      </c>
      <c r="H136" s="5">
        <v>12.44</v>
      </c>
      <c r="I136" s="5">
        <v>2116</v>
      </c>
      <c r="J136" s="4" t="s">
        <v>142</v>
      </c>
    </row>
    <row r="137" spans="1:10" x14ac:dyDescent="0.25">
      <c r="A137" s="4">
        <f t="shared" ca="1" si="4"/>
        <v>134</v>
      </c>
      <c r="B137" s="4" t="s">
        <v>403</v>
      </c>
      <c r="C137" s="4" t="s">
        <v>404</v>
      </c>
      <c r="D137" s="4" t="s">
        <v>141</v>
      </c>
      <c r="E137" s="4" t="s">
        <v>66</v>
      </c>
      <c r="F137" s="4">
        <v>916.596</v>
      </c>
      <c r="G137" s="5">
        <v>97.524000000000001</v>
      </c>
      <c r="H137" s="5">
        <v>17.27</v>
      </c>
      <c r="I137" s="5">
        <v>524</v>
      </c>
      <c r="J137" s="4" t="s">
        <v>142</v>
      </c>
    </row>
    <row r="138" spans="1:10" x14ac:dyDescent="0.25">
      <c r="A138" s="4">
        <f t="shared" ca="1" si="4"/>
        <v>135</v>
      </c>
      <c r="B138" s="4" t="s">
        <v>405</v>
      </c>
      <c r="C138" s="4" t="s">
        <v>406</v>
      </c>
      <c r="D138" s="4" t="s">
        <v>141</v>
      </c>
      <c r="E138" s="4" t="s">
        <v>66</v>
      </c>
      <c r="F138" s="4">
        <v>766.17100000000005</v>
      </c>
      <c r="G138" s="5">
        <v>86.255200000000002</v>
      </c>
      <c r="H138" s="5">
        <v>15.59</v>
      </c>
      <c r="I138" s="5">
        <v>4066</v>
      </c>
      <c r="J138" s="4" t="s">
        <v>142</v>
      </c>
    </row>
    <row r="139" spans="1:10" x14ac:dyDescent="0.25">
      <c r="A139" s="4">
        <f t="shared" ca="1" si="4"/>
        <v>136</v>
      </c>
      <c r="B139" s="4" t="s">
        <v>407</v>
      </c>
      <c r="C139" s="4" t="s">
        <v>113</v>
      </c>
      <c r="D139" s="4" t="s">
        <v>141</v>
      </c>
      <c r="E139" s="4" t="s">
        <v>66</v>
      </c>
      <c r="F139" s="4">
        <v>993.43600000000004</v>
      </c>
      <c r="G139" s="5">
        <v>103.5227</v>
      </c>
      <c r="H139" s="5">
        <v>16.68</v>
      </c>
      <c r="I139" s="5">
        <v>41</v>
      </c>
      <c r="J139" s="4" t="s">
        <v>142</v>
      </c>
    </row>
    <row r="140" spans="1:10" x14ac:dyDescent="0.25">
      <c r="A140" s="4">
        <f t="shared" ca="1" si="4"/>
        <v>137</v>
      </c>
      <c r="B140" s="4" t="s">
        <v>408</v>
      </c>
      <c r="C140" s="4" t="s">
        <v>409</v>
      </c>
      <c r="D140" s="4" t="s">
        <v>141</v>
      </c>
      <c r="E140" s="4" t="s">
        <v>66</v>
      </c>
      <c r="F140" s="4">
        <v>845.63600000000008</v>
      </c>
      <c r="G140" s="5">
        <v>93.974699999999999</v>
      </c>
      <c r="H140" s="5">
        <v>16.38</v>
      </c>
      <c r="I140" s="5">
        <v>1516</v>
      </c>
      <c r="J140" s="4" t="s">
        <v>142</v>
      </c>
    </row>
    <row r="141" spans="1:10" x14ac:dyDescent="0.25">
      <c r="A141" s="4">
        <f t="shared" ca="1" si="4"/>
        <v>138</v>
      </c>
      <c r="B141" s="4" t="s">
        <v>410</v>
      </c>
      <c r="C141" s="4" t="s">
        <v>411</v>
      </c>
      <c r="D141" s="4" t="s">
        <v>141</v>
      </c>
      <c r="E141" s="4" t="s">
        <v>66</v>
      </c>
      <c r="F141" s="4">
        <v>755.12</v>
      </c>
      <c r="G141" s="5">
        <v>78.716099999999997</v>
      </c>
      <c r="H141" s="5">
        <v>15.59</v>
      </c>
      <c r="I141" s="5">
        <v>3910</v>
      </c>
      <c r="J141" s="4" t="s">
        <v>142</v>
      </c>
    </row>
    <row r="142" spans="1:10" x14ac:dyDescent="0.25">
      <c r="A142" s="4">
        <f t="shared" ca="1" si="4"/>
        <v>139</v>
      </c>
      <c r="B142" s="4" t="s">
        <v>412</v>
      </c>
      <c r="C142" s="4" t="s">
        <v>413</v>
      </c>
      <c r="D142" s="4" t="s">
        <v>141</v>
      </c>
      <c r="E142" s="4" t="s">
        <v>66</v>
      </c>
      <c r="F142" s="4">
        <v>749.75300000000004</v>
      </c>
      <c r="G142" s="5">
        <v>83.268100000000004</v>
      </c>
      <c r="H142" s="5">
        <v>15.74</v>
      </c>
      <c r="I142" s="5">
        <v>2990</v>
      </c>
      <c r="J142" s="4" t="s">
        <v>142</v>
      </c>
    </row>
    <row r="143" spans="1:10" x14ac:dyDescent="0.25">
      <c r="A143" s="4">
        <f t="shared" ca="1" si="4"/>
        <v>140</v>
      </c>
      <c r="B143" s="4" t="s">
        <v>414</v>
      </c>
      <c r="C143" s="4" t="s">
        <v>118</v>
      </c>
      <c r="D143" s="4" t="s">
        <v>141</v>
      </c>
      <c r="E143" s="4" t="s">
        <v>66</v>
      </c>
      <c r="F143" s="4">
        <v>879.505</v>
      </c>
      <c r="G143" s="5">
        <v>94.883800000000008</v>
      </c>
      <c r="H143" s="5">
        <v>16.98</v>
      </c>
      <c r="I143" s="5">
        <v>853</v>
      </c>
      <c r="J143" s="4" t="s">
        <v>142</v>
      </c>
    </row>
    <row r="144" spans="1:10" x14ac:dyDescent="0.25">
      <c r="A144" s="4">
        <f t="shared" ca="1" si="4"/>
        <v>141</v>
      </c>
      <c r="B144" s="4" t="s">
        <v>415</v>
      </c>
      <c r="C144" s="4" t="s">
        <v>97</v>
      </c>
      <c r="D144" s="4" t="s">
        <v>141</v>
      </c>
      <c r="E144" s="4" t="s">
        <v>66</v>
      </c>
      <c r="F144" s="4">
        <v>963.01200000000006</v>
      </c>
      <c r="G144" s="5">
        <v>100.03450000000001</v>
      </c>
      <c r="H144" s="5">
        <v>16.72</v>
      </c>
      <c r="I144" s="5">
        <v>236</v>
      </c>
      <c r="J144" s="4" t="s">
        <v>142</v>
      </c>
    </row>
    <row r="145" spans="1:10" x14ac:dyDescent="0.25">
      <c r="A145" s="4">
        <f t="shared" ca="1" si="4"/>
        <v>142</v>
      </c>
      <c r="B145" s="4" t="s">
        <v>416</v>
      </c>
      <c r="C145" s="4" t="s">
        <v>78</v>
      </c>
      <c r="D145" s="4" t="s">
        <v>141</v>
      </c>
      <c r="E145" s="4" t="s">
        <v>66</v>
      </c>
      <c r="F145" s="4">
        <v>743.49</v>
      </c>
      <c r="G145" s="5">
        <v>82.093400000000003</v>
      </c>
      <c r="H145" s="5">
        <v>15.65</v>
      </c>
      <c r="I145" s="5">
        <v>3376</v>
      </c>
      <c r="J145" s="4" t="s">
        <v>142</v>
      </c>
    </row>
    <row r="146" spans="1:10" x14ac:dyDescent="0.25">
      <c r="A146" s="4">
        <f t="shared" ca="1" si="4"/>
        <v>143</v>
      </c>
      <c r="B146" s="4" t="s">
        <v>417</v>
      </c>
      <c r="C146" s="4" t="s">
        <v>73</v>
      </c>
      <c r="D146" s="4" t="s">
        <v>141</v>
      </c>
      <c r="E146" s="4" t="s">
        <v>66</v>
      </c>
      <c r="F146" s="4">
        <v>802.83</v>
      </c>
      <c r="G146" s="5">
        <v>87.864900000000006</v>
      </c>
      <c r="H146" s="5">
        <v>16.09</v>
      </c>
      <c r="I146" s="5">
        <v>1922</v>
      </c>
      <c r="J146" s="4" t="s">
        <v>142</v>
      </c>
    </row>
    <row r="147" spans="1:10" x14ac:dyDescent="0.25">
      <c r="A147" s="4">
        <f t="shared" ca="1" si="4"/>
        <v>144</v>
      </c>
      <c r="B147" s="4" t="s">
        <v>418</v>
      </c>
      <c r="C147" s="4" t="s">
        <v>79</v>
      </c>
      <c r="D147" s="4" t="s">
        <v>141</v>
      </c>
      <c r="E147" s="4" t="s">
        <v>66</v>
      </c>
      <c r="F147" s="4">
        <v>780.21900000000005</v>
      </c>
      <c r="G147" s="5">
        <v>81.258600000000001</v>
      </c>
      <c r="H147" s="5">
        <v>15.78</v>
      </c>
      <c r="I147" s="5">
        <v>2812</v>
      </c>
      <c r="J147" s="4" t="s">
        <v>142</v>
      </c>
    </row>
    <row r="148" spans="1:10" x14ac:dyDescent="0.25">
      <c r="A148" s="4">
        <f t="shared" ca="1" si="4"/>
        <v>145</v>
      </c>
      <c r="B148" s="4" t="s">
        <v>419</v>
      </c>
      <c r="C148" s="4" t="s">
        <v>420</v>
      </c>
      <c r="D148" s="4" t="s">
        <v>141</v>
      </c>
      <c r="E148" s="4" t="s">
        <v>66</v>
      </c>
      <c r="F148" s="4">
        <v>979.74600000000009</v>
      </c>
      <c r="G148" s="5">
        <v>101.29520000000001</v>
      </c>
      <c r="H148" s="5">
        <v>16.740000000000002</v>
      </c>
      <c r="I148" s="5">
        <v>279</v>
      </c>
      <c r="J148" s="4" t="s">
        <v>142</v>
      </c>
    </row>
    <row r="149" spans="1:10" x14ac:dyDescent="0.25">
      <c r="A149" s="4">
        <f t="shared" ca="1" si="4"/>
        <v>146</v>
      </c>
      <c r="B149" s="4" t="s">
        <v>421</v>
      </c>
      <c r="C149" s="4" t="s">
        <v>422</v>
      </c>
      <c r="D149" s="4" t="s">
        <v>141</v>
      </c>
      <c r="E149" s="4" t="s">
        <v>66</v>
      </c>
      <c r="F149" s="4">
        <v>981.74400000000003</v>
      </c>
      <c r="G149" s="5">
        <v>99.197700000000012</v>
      </c>
      <c r="H149" s="5">
        <v>16.47</v>
      </c>
      <c r="I149" s="5">
        <v>707</v>
      </c>
      <c r="J149" s="4" t="s">
        <v>142</v>
      </c>
    </row>
    <row r="150" spans="1:10" x14ac:dyDescent="0.25">
      <c r="A150" s="4">
        <f t="shared" ca="1" si="4"/>
        <v>147</v>
      </c>
      <c r="B150" s="4" t="s">
        <v>423</v>
      </c>
      <c r="C150" s="4" t="s">
        <v>424</v>
      </c>
      <c r="D150" s="4" t="s">
        <v>141</v>
      </c>
      <c r="E150" s="4" t="s">
        <v>66</v>
      </c>
      <c r="F150" s="4">
        <v>922.322</v>
      </c>
      <c r="G150" s="5">
        <v>100.12660000000001</v>
      </c>
      <c r="H150" s="5">
        <v>15.95</v>
      </c>
      <c r="I150" s="5">
        <v>2351</v>
      </c>
      <c r="J150" s="4" t="s">
        <v>142</v>
      </c>
    </row>
    <row r="151" spans="1:10" x14ac:dyDescent="0.25">
      <c r="A151" s="4">
        <f t="shared" ca="1" si="4"/>
        <v>148</v>
      </c>
      <c r="B151" s="4" t="s">
        <v>425</v>
      </c>
      <c r="C151" s="4" t="s">
        <v>426</v>
      </c>
      <c r="D151" s="4" t="s">
        <v>141</v>
      </c>
      <c r="E151" s="4" t="s">
        <v>66</v>
      </c>
      <c r="F151" s="4">
        <v>966.21400000000006</v>
      </c>
      <c r="G151" s="5">
        <v>108.47890000000001</v>
      </c>
      <c r="H151" s="5">
        <v>16.649999999999999</v>
      </c>
      <c r="I151" s="5">
        <v>1178</v>
      </c>
      <c r="J151" s="4" t="s">
        <v>142</v>
      </c>
    </row>
    <row r="152" spans="1:10" x14ac:dyDescent="0.25">
      <c r="A152" s="4">
        <f t="shared" ca="1" si="4"/>
        <v>149</v>
      </c>
      <c r="B152" s="4" t="s">
        <v>427</v>
      </c>
      <c r="C152" s="4" t="s">
        <v>428</v>
      </c>
      <c r="D152" s="4" t="s">
        <v>141</v>
      </c>
      <c r="E152" s="4" t="s">
        <v>66</v>
      </c>
      <c r="F152" s="4">
        <v>1000</v>
      </c>
      <c r="G152" s="5">
        <v>104.5565</v>
      </c>
      <c r="H152" s="5">
        <v>17.5</v>
      </c>
      <c r="I152" s="5">
        <v>272</v>
      </c>
      <c r="J152" s="4" t="s">
        <v>142</v>
      </c>
    </row>
    <row r="153" spans="1:10" x14ac:dyDescent="0.25">
      <c r="A153" s="4">
        <f t="shared" ca="1" si="4"/>
        <v>150</v>
      </c>
      <c r="B153" s="4" t="s">
        <v>429</v>
      </c>
      <c r="C153" s="4" t="s">
        <v>430</v>
      </c>
      <c r="D153" s="4" t="s">
        <v>141</v>
      </c>
      <c r="E153" s="4" t="s">
        <v>66</v>
      </c>
      <c r="F153" s="4">
        <v>925.12800000000004</v>
      </c>
      <c r="G153" s="5">
        <v>100.6795</v>
      </c>
      <c r="H153" s="5">
        <v>16.100000000000001</v>
      </c>
      <c r="I153" s="5">
        <v>1978</v>
      </c>
      <c r="J153" s="4" t="s">
        <v>142</v>
      </c>
    </row>
    <row r="154" spans="1:10" x14ac:dyDescent="0.25">
      <c r="A154" s="4">
        <f t="shared" ca="1" si="4"/>
        <v>151</v>
      </c>
      <c r="B154" s="4" t="s">
        <v>431</v>
      </c>
      <c r="C154" s="4" t="s">
        <v>432</v>
      </c>
      <c r="D154" s="4" t="s">
        <v>141</v>
      </c>
      <c r="E154" s="4" t="s">
        <v>66</v>
      </c>
      <c r="F154" s="4">
        <v>985.59800000000007</v>
      </c>
      <c r="G154" s="5">
        <v>104.9765</v>
      </c>
      <c r="H154" s="5">
        <v>16.649999999999999</v>
      </c>
      <c r="I154" s="5">
        <v>195</v>
      </c>
      <c r="J154" s="4" t="s">
        <v>142</v>
      </c>
    </row>
    <row r="155" spans="1:10" x14ac:dyDescent="0.25">
      <c r="A155" s="4">
        <f t="shared" ca="1" si="4"/>
        <v>152</v>
      </c>
      <c r="B155" s="4" t="s">
        <v>433</v>
      </c>
      <c r="C155" s="4" t="s">
        <v>434</v>
      </c>
      <c r="D155" s="4" t="s">
        <v>141</v>
      </c>
      <c r="E155" s="4" t="s">
        <v>66</v>
      </c>
      <c r="F155" s="4">
        <v>938.46800000000007</v>
      </c>
      <c r="G155" s="5">
        <v>101.3528</v>
      </c>
      <c r="H155" s="5">
        <v>15.85</v>
      </c>
      <c r="I155" s="5">
        <v>2733</v>
      </c>
      <c r="J155" s="4" t="s">
        <v>142</v>
      </c>
    </row>
    <row r="156" spans="1:10" x14ac:dyDescent="0.25">
      <c r="A156" s="4">
        <f t="shared" ca="1" si="4"/>
        <v>153</v>
      </c>
      <c r="B156" s="4" t="s">
        <v>435</v>
      </c>
      <c r="C156" s="4" t="s">
        <v>77</v>
      </c>
      <c r="D156" s="4" t="s">
        <v>141</v>
      </c>
      <c r="E156" s="4" t="s">
        <v>66</v>
      </c>
      <c r="F156" s="4">
        <v>859.85200000000009</v>
      </c>
      <c r="G156" s="5">
        <v>95.651899999999998</v>
      </c>
      <c r="H156" s="5">
        <v>16.14</v>
      </c>
      <c r="I156" s="5">
        <v>1899</v>
      </c>
      <c r="J156" s="4" t="s">
        <v>142</v>
      </c>
    </row>
    <row r="157" spans="1:10" x14ac:dyDescent="0.25">
      <c r="A157" s="4">
        <f t="shared" ca="1" si="4"/>
        <v>154</v>
      </c>
      <c r="B157" s="4" t="s">
        <v>436</v>
      </c>
      <c r="C157" s="4" t="s">
        <v>110</v>
      </c>
      <c r="D157" s="4" t="s">
        <v>141</v>
      </c>
      <c r="E157" s="4" t="s">
        <v>66</v>
      </c>
      <c r="F157" s="4">
        <v>1028.7150000000001</v>
      </c>
      <c r="G157" s="5">
        <v>108.7778</v>
      </c>
      <c r="H157" s="5">
        <v>15.92</v>
      </c>
      <c r="I157" s="5">
        <v>1335</v>
      </c>
      <c r="J157" s="4" t="s">
        <v>142</v>
      </c>
    </row>
    <row r="158" spans="1:10" x14ac:dyDescent="0.25">
      <c r="A158" s="4">
        <f t="shared" ca="1" si="4"/>
        <v>155</v>
      </c>
      <c r="B158" s="4" t="s">
        <v>437</v>
      </c>
      <c r="C158" s="4" t="s">
        <v>438</v>
      </c>
      <c r="D158" s="4" t="s">
        <v>141</v>
      </c>
      <c r="E158" s="4" t="s">
        <v>66</v>
      </c>
      <c r="F158" s="4">
        <v>941.44800000000009</v>
      </c>
      <c r="G158" s="5">
        <v>105.2615</v>
      </c>
      <c r="H158" s="5">
        <v>15.78</v>
      </c>
      <c r="I158" s="5">
        <v>3007</v>
      </c>
      <c r="J158" s="4" t="s">
        <v>142</v>
      </c>
    </row>
    <row r="159" spans="1:10" x14ac:dyDescent="0.25">
      <c r="A159" s="4">
        <f t="shared" ca="1" si="4"/>
        <v>156</v>
      </c>
      <c r="B159" s="4" t="s">
        <v>439</v>
      </c>
      <c r="C159" s="4" t="s">
        <v>440</v>
      </c>
      <c r="D159" s="4" t="s">
        <v>141</v>
      </c>
      <c r="E159" s="4" t="s">
        <v>66</v>
      </c>
      <c r="F159" s="4">
        <v>945.88800000000003</v>
      </c>
      <c r="G159" s="5">
        <v>105.7821</v>
      </c>
      <c r="H159" s="5">
        <v>15.98</v>
      </c>
      <c r="I159" s="5">
        <v>2277</v>
      </c>
      <c r="J159" s="4" t="s">
        <v>142</v>
      </c>
    </row>
    <row r="160" spans="1:10" x14ac:dyDescent="0.25">
      <c r="A160" s="4">
        <f t="shared" ca="1" si="4"/>
        <v>157</v>
      </c>
      <c r="B160" s="4" t="s">
        <v>441</v>
      </c>
      <c r="C160" s="4" t="s">
        <v>442</v>
      </c>
      <c r="D160" s="4" t="s">
        <v>141</v>
      </c>
      <c r="E160" s="4" t="s">
        <v>66</v>
      </c>
      <c r="F160" s="4">
        <v>918.66399999999999</v>
      </c>
      <c r="G160" s="5">
        <v>99.699700000000007</v>
      </c>
      <c r="H160" s="5">
        <v>15.57</v>
      </c>
      <c r="I160" s="5">
        <v>4545</v>
      </c>
      <c r="J160" s="4" t="s">
        <v>142</v>
      </c>
    </row>
    <row r="161" spans="1:10" x14ac:dyDescent="0.25">
      <c r="A161" s="4">
        <f t="shared" ca="1" si="4"/>
        <v>158</v>
      </c>
      <c r="B161" s="4" t="s">
        <v>443</v>
      </c>
      <c r="C161" s="4" t="s">
        <v>444</v>
      </c>
      <c r="D161" s="4" t="s">
        <v>141</v>
      </c>
      <c r="E161" s="4" t="s">
        <v>66</v>
      </c>
      <c r="F161" s="4">
        <v>1000</v>
      </c>
      <c r="G161" s="5">
        <v>110.46850000000001</v>
      </c>
      <c r="H161" s="5">
        <v>14.89</v>
      </c>
      <c r="I161" s="5">
        <v>1936</v>
      </c>
      <c r="J161" s="4" t="s">
        <v>142</v>
      </c>
    </row>
    <row r="162" spans="1:10" x14ac:dyDescent="0.25">
      <c r="A162" s="4">
        <f t="shared" ca="1" si="4"/>
        <v>159</v>
      </c>
      <c r="B162" s="4" t="s">
        <v>445</v>
      </c>
      <c r="C162" s="4" t="s">
        <v>132</v>
      </c>
      <c r="D162" s="4" t="s">
        <v>141</v>
      </c>
      <c r="E162" s="4" t="s">
        <v>66</v>
      </c>
      <c r="F162" s="4">
        <v>872.86599999999999</v>
      </c>
      <c r="G162" s="5">
        <v>96.453299999999999</v>
      </c>
      <c r="H162" s="5">
        <v>16.330000000000002</v>
      </c>
      <c r="I162" s="5">
        <v>1547</v>
      </c>
      <c r="J162" s="4" t="s">
        <v>142</v>
      </c>
    </row>
    <row r="163" spans="1:10" x14ac:dyDescent="0.25">
      <c r="A163" s="4">
        <f t="shared" ca="1" si="4"/>
        <v>160</v>
      </c>
      <c r="B163" s="4" t="s">
        <v>446</v>
      </c>
      <c r="C163" s="4" t="s">
        <v>447</v>
      </c>
      <c r="D163" s="4" t="s">
        <v>141</v>
      </c>
      <c r="E163" s="4" t="s">
        <v>66</v>
      </c>
      <c r="F163" s="4">
        <v>93.465900000000005</v>
      </c>
      <c r="G163" s="5">
        <v>93.465900000000005</v>
      </c>
      <c r="H163" s="5">
        <v>16.57</v>
      </c>
      <c r="I163" s="5">
        <v>155</v>
      </c>
      <c r="J163" s="4" t="s">
        <v>142</v>
      </c>
    </row>
    <row r="164" spans="1:10" x14ac:dyDescent="0.25">
      <c r="A164" s="4">
        <f t="shared" ref="A164:A197" ca="1" si="5">IF(OFFSET(A164,-1,0)="№ п/п",1,OFFSET(A164,-1,0)+1)</f>
        <v>161</v>
      </c>
      <c r="B164" s="4" t="s">
        <v>448</v>
      </c>
      <c r="C164" s="4" t="s">
        <v>67</v>
      </c>
      <c r="D164" s="4" t="s">
        <v>141</v>
      </c>
      <c r="E164" s="4" t="s">
        <v>66</v>
      </c>
      <c r="F164" s="4">
        <v>97.594400000000007</v>
      </c>
      <c r="G164" s="5">
        <v>97.594400000000007</v>
      </c>
      <c r="H164" s="5">
        <v>16.07</v>
      </c>
      <c r="I164" s="5">
        <v>57</v>
      </c>
      <c r="J164" s="4" t="s">
        <v>142</v>
      </c>
    </row>
    <row r="165" spans="1:10" x14ac:dyDescent="0.25">
      <c r="A165" s="4">
        <f t="shared" ca="1" si="5"/>
        <v>162</v>
      </c>
      <c r="B165" s="4" t="s">
        <v>449</v>
      </c>
      <c r="C165" s="4" t="s">
        <v>450</v>
      </c>
      <c r="D165" s="4" t="s">
        <v>141</v>
      </c>
      <c r="E165" s="4" t="s">
        <v>66</v>
      </c>
      <c r="F165" s="4">
        <v>917.61099999999999</v>
      </c>
      <c r="G165" s="5">
        <v>103.38890000000001</v>
      </c>
      <c r="H165" s="5">
        <v>15.72</v>
      </c>
      <c r="I165" s="5">
        <v>3351</v>
      </c>
      <c r="J165" s="4" t="s">
        <v>142</v>
      </c>
    </row>
    <row r="166" spans="1:10" x14ac:dyDescent="0.25">
      <c r="A166" s="4">
        <f t="shared" ca="1" si="5"/>
        <v>163</v>
      </c>
      <c r="B166" s="4" t="s">
        <v>451</v>
      </c>
      <c r="C166" s="4" t="s">
        <v>452</v>
      </c>
      <c r="D166" s="4" t="s">
        <v>141</v>
      </c>
      <c r="E166" s="4" t="s">
        <v>66</v>
      </c>
      <c r="F166" s="4">
        <v>0.98624999999999996</v>
      </c>
      <c r="G166" s="5">
        <v>99.4499</v>
      </c>
      <c r="H166" s="5">
        <v>4.9000000000000004</v>
      </c>
      <c r="I166" s="5">
        <v>3406</v>
      </c>
      <c r="J166" s="4" t="s">
        <v>142</v>
      </c>
    </row>
    <row r="167" spans="1:10" x14ac:dyDescent="0.25">
      <c r="A167" s="4">
        <f t="shared" ca="1" si="5"/>
        <v>164</v>
      </c>
      <c r="B167" s="4" t="s">
        <v>453</v>
      </c>
      <c r="C167" s="4" t="s">
        <v>454</v>
      </c>
      <c r="D167" s="4" t="s">
        <v>141</v>
      </c>
      <c r="E167" s="4" t="s">
        <v>66</v>
      </c>
      <c r="F167" s="4">
        <v>1042.4829999999999</v>
      </c>
      <c r="G167" s="5">
        <v>107.2146</v>
      </c>
      <c r="H167" s="5">
        <v>15.64</v>
      </c>
      <c r="I167" s="5">
        <v>1763</v>
      </c>
      <c r="J167" s="4" t="s">
        <v>142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136</v>
      </c>
      <c r="E168" s="4" t="s">
        <v>457</v>
      </c>
      <c r="F168" s="4">
        <v>344.31</v>
      </c>
      <c r="G168" s="5"/>
      <c r="H168" s="5"/>
      <c r="I168" s="5"/>
      <c r="J168" s="4" t="s">
        <v>138</v>
      </c>
    </row>
    <row r="169" spans="1:10" x14ac:dyDescent="0.25">
      <c r="A169" s="4">
        <f t="shared" ca="1" si="5"/>
        <v>166</v>
      </c>
      <c r="B169" s="4" t="s">
        <v>458</v>
      </c>
      <c r="C169" s="4" t="s">
        <v>459</v>
      </c>
      <c r="D169" s="4" t="s">
        <v>136</v>
      </c>
      <c r="E169" s="4" t="s">
        <v>457</v>
      </c>
      <c r="F169" s="4">
        <v>25.95</v>
      </c>
      <c r="G169" s="5"/>
      <c r="H169" s="5"/>
      <c r="I169" s="5"/>
      <c r="J169" s="4" t="s">
        <v>163</v>
      </c>
    </row>
    <row r="170" spans="1:10" x14ac:dyDescent="0.25">
      <c r="A170" s="4">
        <f t="shared" ca="1" si="5"/>
        <v>167</v>
      </c>
      <c r="B170" s="4" t="s">
        <v>460</v>
      </c>
      <c r="C170" s="4" t="s">
        <v>461</v>
      </c>
      <c r="D170" s="4" t="s">
        <v>141</v>
      </c>
      <c r="E170" s="4" t="s">
        <v>457</v>
      </c>
      <c r="F170" s="4">
        <v>1000.3130000000001</v>
      </c>
      <c r="G170" s="5">
        <v>100.48920000000001</v>
      </c>
      <c r="H170" s="5">
        <v>18.54</v>
      </c>
      <c r="I170" s="5">
        <v>722</v>
      </c>
      <c r="J170" s="4" t="s">
        <v>142</v>
      </c>
    </row>
    <row r="171" spans="1:10" x14ac:dyDescent="0.25">
      <c r="A171" s="4">
        <f t="shared" ca="1" si="5"/>
        <v>168</v>
      </c>
      <c r="B171" s="4" t="s">
        <v>462</v>
      </c>
      <c r="C171" s="4" t="s">
        <v>463</v>
      </c>
      <c r="D171" s="4" t="s">
        <v>136</v>
      </c>
      <c r="E171" s="4" t="s">
        <v>464</v>
      </c>
      <c r="F171" s="4">
        <v>897.27</v>
      </c>
      <c r="G171" s="5"/>
      <c r="H171" s="5"/>
      <c r="I171" s="5"/>
      <c r="J171" s="4" t="s">
        <v>138</v>
      </c>
    </row>
    <row r="172" spans="1:10" x14ac:dyDescent="0.25">
      <c r="A172" s="4">
        <f t="shared" ca="1" si="5"/>
        <v>169</v>
      </c>
      <c r="B172" s="4" t="s">
        <v>465</v>
      </c>
      <c r="C172" s="4" t="s">
        <v>466</v>
      </c>
      <c r="D172" s="4" t="s">
        <v>141</v>
      </c>
      <c r="E172" s="4" t="s">
        <v>467</v>
      </c>
      <c r="F172" s="4">
        <v>803.09800000000007</v>
      </c>
      <c r="G172" s="5">
        <v>85.626500000000007</v>
      </c>
      <c r="H172" s="5">
        <v>17.48</v>
      </c>
      <c r="I172" s="5">
        <v>1650</v>
      </c>
      <c r="J172" s="4" t="s">
        <v>142</v>
      </c>
    </row>
    <row r="173" spans="1:10" x14ac:dyDescent="0.25">
      <c r="A173" s="4">
        <f t="shared" ca="1" si="5"/>
        <v>170</v>
      </c>
      <c r="B173" s="4" t="s">
        <v>468</v>
      </c>
      <c r="C173" s="4" t="s">
        <v>469</v>
      </c>
      <c r="D173" s="4" t="s">
        <v>141</v>
      </c>
      <c r="E173" s="4" t="s">
        <v>467</v>
      </c>
      <c r="F173" s="4">
        <v>0.87270599999999998</v>
      </c>
      <c r="G173" s="5">
        <v>87.565600000000003</v>
      </c>
      <c r="H173" s="5">
        <v>5.72</v>
      </c>
      <c r="I173" s="5">
        <v>1972</v>
      </c>
      <c r="J173" s="4" t="s">
        <v>142</v>
      </c>
    </row>
    <row r="174" spans="1:10" x14ac:dyDescent="0.25">
      <c r="A174" s="4">
        <f t="shared" ca="1" si="5"/>
        <v>171</v>
      </c>
      <c r="B174" s="4" t="s">
        <v>470</v>
      </c>
      <c r="C174" s="4" t="s">
        <v>471</v>
      </c>
      <c r="D174" s="4" t="s">
        <v>141</v>
      </c>
      <c r="E174" s="4" t="s">
        <v>467</v>
      </c>
      <c r="F174" s="4">
        <v>1001.729</v>
      </c>
      <c r="G174" s="5">
        <v>100.8875</v>
      </c>
      <c r="H174" s="5">
        <v>5.2</v>
      </c>
      <c r="I174" s="5">
        <v>1412</v>
      </c>
      <c r="J174" s="4" t="s">
        <v>142</v>
      </c>
    </row>
    <row r="175" spans="1:10" x14ac:dyDescent="0.25">
      <c r="A175" s="4">
        <f t="shared" ca="1" si="5"/>
        <v>172</v>
      </c>
      <c r="B175" s="4" t="s">
        <v>472</v>
      </c>
      <c r="C175" s="4" t="s">
        <v>473</v>
      </c>
      <c r="D175" s="4" t="s">
        <v>141</v>
      </c>
      <c r="E175" s="4" t="s">
        <v>467</v>
      </c>
      <c r="F175" s="4">
        <v>0.98859799999999998</v>
      </c>
      <c r="G175" s="5">
        <v>99.575400000000002</v>
      </c>
      <c r="H175" s="5">
        <v>4.8500000000000005</v>
      </c>
      <c r="I175" s="5">
        <v>1877</v>
      </c>
      <c r="J175" s="4" t="s">
        <v>142</v>
      </c>
    </row>
    <row r="176" spans="1:10" x14ac:dyDescent="0.25">
      <c r="A176" s="4">
        <f t="shared" ca="1" si="5"/>
        <v>173</v>
      </c>
      <c r="B176" s="4" t="s">
        <v>474</v>
      </c>
      <c r="C176" s="4" t="s">
        <v>475</v>
      </c>
      <c r="D176" s="4" t="s">
        <v>141</v>
      </c>
      <c r="E176" s="4" t="s">
        <v>467</v>
      </c>
      <c r="F176" s="4">
        <v>1.006874</v>
      </c>
      <c r="G176" s="5">
        <v>101.62360000000001</v>
      </c>
      <c r="H176" s="5">
        <v>3.08</v>
      </c>
      <c r="I176" s="5">
        <v>995</v>
      </c>
      <c r="J176" s="4" t="s">
        <v>142</v>
      </c>
    </row>
    <row r="177" spans="1:10" x14ac:dyDescent="0.25">
      <c r="A177" s="4">
        <f t="shared" ca="1" si="5"/>
        <v>174</v>
      </c>
      <c r="B177" s="4" t="s">
        <v>476</v>
      </c>
      <c r="C177" s="4" t="s">
        <v>83</v>
      </c>
      <c r="D177" s="4" t="s">
        <v>141</v>
      </c>
      <c r="E177" s="4" t="s">
        <v>71</v>
      </c>
      <c r="F177" s="4">
        <v>1041.51</v>
      </c>
      <c r="G177" s="5">
        <v>111.90950000000001</v>
      </c>
      <c r="H177" s="5">
        <v>18.04</v>
      </c>
      <c r="I177" s="5">
        <v>1501</v>
      </c>
      <c r="J177" s="4" t="s">
        <v>142</v>
      </c>
    </row>
    <row r="178" spans="1:10" x14ac:dyDescent="0.25">
      <c r="A178" s="4">
        <f t="shared" ca="1" si="5"/>
        <v>175</v>
      </c>
      <c r="B178" s="4" t="s">
        <v>477</v>
      </c>
      <c r="C178" s="4" t="s">
        <v>90</v>
      </c>
      <c r="D178" s="4" t="s">
        <v>141</v>
      </c>
      <c r="E178" s="4" t="s">
        <v>71</v>
      </c>
      <c r="F178" s="4">
        <v>1051.309</v>
      </c>
      <c r="G178" s="5">
        <v>106.05170000000001</v>
      </c>
      <c r="H178" s="5">
        <v>17.900000000000002</v>
      </c>
      <c r="I178" s="5">
        <v>1445</v>
      </c>
      <c r="J178" s="4" t="s">
        <v>142</v>
      </c>
    </row>
    <row r="179" spans="1:10" x14ac:dyDescent="0.25">
      <c r="A179" s="4">
        <f t="shared" ca="1" si="5"/>
        <v>176</v>
      </c>
      <c r="B179" s="4" t="s">
        <v>478</v>
      </c>
      <c r="C179" s="4" t="s">
        <v>479</v>
      </c>
      <c r="D179" s="4" t="s">
        <v>136</v>
      </c>
      <c r="E179" s="4" t="s">
        <v>480</v>
      </c>
      <c r="F179" s="4">
        <v>30467.1</v>
      </c>
      <c r="G179" s="5"/>
      <c r="H179" s="5"/>
      <c r="I179" s="5"/>
      <c r="J179" s="4" t="s">
        <v>138</v>
      </c>
    </row>
    <row r="180" spans="1:10" x14ac:dyDescent="0.25">
      <c r="A180" s="4">
        <f t="shared" ca="1" si="5"/>
        <v>177</v>
      </c>
      <c r="B180" s="4" t="s">
        <v>481</v>
      </c>
      <c r="C180" s="4" t="s">
        <v>482</v>
      </c>
      <c r="D180" s="4" t="s">
        <v>136</v>
      </c>
      <c r="E180" s="4" t="s">
        <v>480</v>
      </c>
      <c r="F180" s="4">
        <v>59.91</v>
      </c>
      <c r="G180" s="5"/>
      <c r="H180" s="5"/>
      <c r="I180" s="5"/>
      <c r="J180" s="4" t="s">
        <v>163</v>
      </c>
    </row>
    <row r="181" spans="1:10" x14ac:dyDescent="0.25">
      <c r="A181" s="4">
        <f t="shared" ca="1" si="5"/>
        <v>178</v>
      </c>
      <c r="B181" s="4" t="s">
        <v>483</v>
      </c>
      <c r="C181" s="4" t="s">
        <v>484</v>
      </c>
      <c r="D181" s="4" t="s">
        <v>136</v>
      </c>
      <c r="E181" s="4" t="s">
        <v>485</v>
      </c>
      <c r="F181" s="4">
        <v>39279.800000000003</v>
      </c>
      <c r="G181" s="5"/>
      <c r="H181" s="5"/>
      <c r="I181" s="5"/>
      <c r="J181" s="4" t="s">
        <v>138</v>
      </c>
    </row>
    <row r="182" spans="1:10" x14ac:dyDescent="0.25">
      <c r="A182" s="4">
        <f t="shared" ca="1" si="5"/>
        <v>179</v>
      </c>
      <c r="B182" s="4" t="s">
        <v>486</v>
      </c>
      <c r="C182" s="4" t="s">
        <v>487</v>
      </c>
      <c r="D182" s="4" t="s">
        <v>136</v>
      </c>
      <c r="E182" s="4" t="s">
        <v>485</v>
      </c>
      <c r="F182" s="4">
        <v>76.680000000000007</v>
      </c>
      <c r="G182" s="5"/>
      <c r="H182" s="5"/>
      <c r="I182" s="5"/>
      <c r="J182" s="4" t="s">
        <v>163</v>
      </c>
    </row>
    <row r="183" spans="1:10" x14ac:dyDescent="0.25">
      <c r="A183" s="4">
        <f t="shared" ca="1" si="5"/>
        <v>180</v>
      </c>
      <c r="B183" s="4" t="s">
        <v>488</v>
      </c>
      <c r="C183" s="4" t="s">
        <v>489</v>
      </c>
      <c r="D183" s="4" t="s">
        <v>141</v>
      </c>
      <c r="E183" s="4" t="s">
        <v>490</v>
      </c>
      <c r="F183" s="4">
        <v>1015.216</v>
      </c>
      <c r="G183" s="5">
        <v>104.9522</v>
      </c>
      <c r="H183" s="5">
        <v>18.48</v>
      </c>
      <c r="I183" s="5">
        <v>1761</v>
      </c>
      <c r="J183" s="4" t="s">
        <v>142</v>
      </c>
    </row>
    <row r="184" spans="1:10" x14ac:dyDescent="0.25">
      <c r="A184" s="4">
        <f t="shared" ca="1" si="5"/>
        <v>181</v>
      </c>
      <c r="B184" s="4" t="s">
        <v>491</v>
      </c>
      <c r="C184" s="4" t="s">
        <v>492</v>
      </c>
      <c r="D184" s="4" t="s">
        <v>141</v>
      </c>
      <c r="E184" s="4" t="s">
        <v>490</v>
      </c>
      <c r="F184" s="4">
        <v>1015.216</v>
      </c>
      <c r="G184" s="5">
        <v>104.9522</v>
      </c>
      <c r="H184" s="5">
        <v>18.48</v>
      </c>
      <c r="I184" s="5">
        <v>1761</v>
      </c>
      <c r="J184" s="4" t="s">
        <v>142</v>
      </c>
    </row>
    <row r="185" spans="1:10" x14ac:dyDescent="0.25">
      <c r="A185" s="4">
        <f t="shared" ca="1" si="5"/>
        <v>182</v>
      </c>
      <c r="B185" s="4" t="s">
        <v>493</v>
      </c>
      <c r="C185" s="4" t="s">
        <v>494</v>
      </c>
      <c r="D185" s="4" t="s">
        <v>141</v>
      </c>
      <c r="E185" s="4" t="s">
        <v>495</v>
      </c>
      <c r="F185" s="4">
        <v>295</v>
      </c>
      <c r="G185" s="5">
        <v>29.588900000000002</v>
      </c>
      <c r="H185" s="5">
        <v>16.45</v>
      </c>
      <c r="I185" s="5">
        <v>2964</v>
      </c>
      <c r="J185" s="4" t="s">
        <v>142</v>
      </c>
    </row>
    <row r="186" spans="1:10" x14ac:dyDescent="0.25">
      <c r="A186" s="4">
        <f t="shared" ca="1" si="5"/>
        <v>183</v>
      </c>
      <c r="B186" s="4" t="s">
        <v>496</v>
      </c>
      <c r="C186" s="4" t="s">
        <v>497</v>
      </c>
      <c r="D186" s="4" t="s">
        <v>141</v>
      </c>
      <c r="E186" s="4" t="s">
        <v>498</v>
      </c>
      <c r="F186" s="4">
        <v>99.963300000000004</v>
      </c>
      <c r="G186" s="5">
        <v>102.59110000000001</v>
      </c>
      <c r="H186" s="5">
        <v>11</v>
      </c>
      <c r="I186" s="5">
        <v>279</v>
      </c>
      <c r="J186" s="4" t="s">
        <v>142</v>
      </c>
    </row>
    <row r="187" spans="1:10" x14ac:dyDescent="0.25">
      <c r="A187" s="4">
        <f t="shared" ca="1" si="5"/>
        <v>184</v>
      </c>
      <c r="B187" s="4" t="s">
        <v>499</v>
      </c>
      <c r="C187" s="4" t="s">
        <v>500</v>
      </c>
      <c r="D187" s="4" t="s">
        <v>136</v>
      </c>
      <c r="E187" s="4" t="s">
        <v>501</v>
      </c>
      <c r="F187" s="4">
        <v>6.83</v>
      </c>
      <c r="G187" s="5"/>
      <c r="H187" s="5"/>
      <c r="I187" s="5"/>
      <c r="J187" s="4" t="s">
        <v>163</v>
      </c>
    </row>
    <row r="188" spans="1:10" x14ac:dyDescent="0.25">
      <c r="A188" s="4">
        <f t="shared" ca="1" si="5"/>
        <v>185</v>
      </c>
      <c r="B188" s="4" t="s">
        <v>502</v>
      </c>
      <c r="C188" s="4" t="s">
        <v>503</v>
      </c>
      <c r="D188" s="4" t="s">
        <v>136</v>
      </c>
      <c r="E188" s="4" t="s">
        <v>501</v>
      </c>
      <c r="F188" s="4">
        <v>873.75</v>
      </c>
      <c r="G188" s="5"/>
      <c r="H188" s="5"/>
      <c r="I188" s="5"/>
      <c r="J188" s="4" t="s">
        <v>138</v>
      </c>
    </row>
    <row r="189" spans="1:10" x14ac:dyDescent="0.25">
      <c r="A189" s="4">
        <f t="shared" ca="1" si="5"/>
        <v>186</v>
      </c>
      <c r="B189" s="4" t="s">
        <v>504</v>
      </c>
      <c r="C189" s="4" t="s">
        <v>95</v>
      </c>
      <c r="D189" s="4" t="s">
        <v>141</v>
      </c>
      <c r="E189" s="4" t="s">
        <v>94</v>
      </c>
      <c r="F189" s="4">
        <v>0.99915599999999993</v>
      </c>
      <c r="G189" s="5">
        <v>101.21850000000001</v>
      </c>
      <c r="H189" s="5">
        <v>6</v>
      </c>
      <c r="I189" s="5">
        <v>99</v>
      </c>
      <c r="J189" s="4" t="s">
        <v>142</v>
      </c>
    </row>
    <row r="190" spans="1:10" x14ac:dyDescent="0.25">
      <c r="A190" s="4">
        <f t="shared" ca="1" si="5"/>
        <v>187</v>
      </c>
      <c r="B190" s="4" t="s">
        <v>505</v>
      </c>
      <c r="C190" s="4" t="s">
        <v>506</v>
      </c>
      <c r="D190" s="4" t="s">
        <v>141</v>
      </c>
      <c r="E190" s="4" t="s">
        <v>94</v>
      </c>
      <c r="F190" s="4">
        <v>1000</v>
      </c>
      <c r="G190" s="5">
        <v>103.95620000000001</v>
      </c>
      <c r="H190" s="5">
        <v>18.940000000000001</v>
      </c>
      <c r="I190" s="5">
        <v>837</v>
      </c>
      <c r="J190" s="4" t="s">
        <v>142</v>
      </c>
    </row>
    <row r="191" spans="1:10" x14ac:dyDescent="0.25">
      <c r="A191" s="4">
        <f t="shared" ca="1" si="5"/>
        <v>188</v>
      </c>
      <c r="B191" s="4" t="s">
        <v>507</v>
      </c>
      <c r="C191" s="4" t="s">
        <v>129</v>
      </c>
      <c r="D191" s="4" t="s">
        <v>141</v>
      </c>
      <c r="E191" s="4" t="s">
        <v>94</v>
      </c>
      <c r="F191" s="4">
        <v>944.92204418681001</v>
      </c>
      <c r="G191" s="5">
        <v>98.424704419999998</v>
      </c>
      <c r="H191" s="5">
        <v>18.13</v>
      </c>
      <c r="I191" s="5">
        <v>631</v>
      </c>
      <c r="J191" s="4" t="s">
        <v>142</v>
      </c>
    </row>
    <row r="192" spans="1:10" x14ac:dyDescent="0.25">
      <c r="A192" s="4">
        <f t="shared" ca="1" si="5"/>
        <v>189</v>
      </c>
      <c r="B192" s="4" t="s">
        <v>508</v>
      </c>
      <c r="C192" s="4" t="s">
        <v>509</v>
      </c>
      <c r="D192" s="4" t="s">
        <v>141</v>
      </c>
      <c r="E192" s="4" t="s">
        <v>94</v>
      </c>
      <c r="F192" s="4">
        <v>1000</v>
      </c>
      <c r="G192" s="5">
        <v>105.67400000000001</v>
      </c>
      <c r="H192" s="5">
        <v>18.940000000000001</v>
      </c>
      <c r="I192" s="5">
        <v>806</v>
      </c>
      <c r="J192" s="4" t="s">
        <v>142</v>
      </c>
    </row>
    <row r="193" spans="1:10" x14ac:dyDescent="0.25">
      <c r="A193" s="4">
        <f t="shared" ca="1" si="5"/>
        <v>190</v>
      </c>
      <c r="B193" s="4" t="s">
        <v>510</v>
      </c>
      <c r="C193" s="4" t="s">
        <v>511</v>
      </c>
      <c r="D193" s="4" t="s">
        <v>141</v>
      </c>
      <c r="E193" s="4" t="s">
        <v>512</v>
      </c>
      <c r="F193" s="4">
        <v>979.85700000000008</v>
      </c>
      <c r="G193" s="5">
        <v>108.0318</v>
      </c>
      <c r="H193" s="5">
        <v>17.48</v>
      </c>
      <c r="I193" s="5">
        <v>1609</v>
      </c>
      <c r="J193" s="4" t="s">
        <v>142</v>
      </c>
    </row>
    <row r="194" spans="1:10" x14ac:dyDescent="0.25">
      <c r="A194" s="4">
        <f t="shared" ca="1" si="5"/>
        <v>191</v>
      </c>
      <c r="B194" s="4" t="s">
        <v>513</v>
      </c>
      <c r="C194" s="4" t="s">
        <v>514</v>
      </c>
      <c r="D194" s="4" t="s">
        <v>141</v>
      </c>
      <c r="E194" s="4" t="s">
        <v>512</v>
      </c>
      <c r="F194" s="4">
        <v>997.10200000000009</v>
      </c>
      <c r="G194" s="5">
        <v>108.4602</v>
      </c>
      <c r="H194" s="5">
        <v>17.48</v>
      </c>
      <c r="I194" s="5">
        <v>1644</v>
      </c>
      <c r="J194" s="4" t="s">
        <v>142</v>
      </c>
    </row>
    <row r="195" spans="1:10" x14ac:dyDescent="0.25">
      <c r="A195" s="4">
        <f t="shared" ca="1" si="5"/>
        <v>192</v>
      </c>
      <c r="B195" s="4" t="s">
        <v>515</v>
      </c>
      <c r="C195" s="4" t="s">
        <v>516</v>
      </c>
      <c r="D195" s="4" t="s">
        <v>141</v>
      </c>
      <c r="E195" s="4" t="s">
        <v>512</v>
      </c>
      <c r="F195" s="4">
        <v>997.10200000000009</v>
      </c>
      <c r="G195" s="5">
        <v>108.4602</v>
      </c>
      <c r="H195" s="5">
        <v>17.48</v>
      </c>
      <c r="I195" s="5">
        <v>1644</v>
      </c>
      <c r="J195" s="4" t="s">
        <v>142</v>
      </c>
    </row>
    <row r="196" spans="1:10" x14ac:dyDescent="0.25">
      <c r="A196" s="4">
        <f t="shared" ca="1" si="5"/>
        <v>193</v>
      </c>
      <c r="B196" s="4" t="s">
        <v>517</v>
      </c>
      <c r="C196" s="4" t="s">
        <v>518</v>
      </c>
      <c r="D196" s="4" t="s">
        <v>141</v>
      </c>
      <c r="E196" s="4" t="s">
        <v>512</v>
      </c>
      <c r="F196" s="4">
        <v>1022.3770000000001</v>
      </c>
      <c r="G196" s="5">
        <v>106.9144</v>
      </c>
      <c r="H196" s="5">
        <v>17.48</v>
      </c>
      <c r="I196" s="5">
        <v>1734</v>
      </c>
      <c r="J196" s="4" t="s">
        <v>142</v>
      </c>
    </row>
    <row r="197" spans="1:10" x14ac:dyDescent="0.25">
      <c r="A197" s="4">
        <f t="shared" ca="1" si="5"/>
        <v>194</v>
      </c>
      <c r="B197" s="4" t="s">
        <v>519</v>
      </c>
      <c r="C197" s="4" t="s">
        <v>520</v>
      </c>
      <c r="D197" s="4" t="s">
        <v>141</v>
      </c>
      <c r="E197" s="4" t="s">
        <v>512</v>
      </c>
      <c r="F197" s="4">
        <v>1.01088</v>
      </c>
      <c r="G197" s="5">
        <v>102.0051</v>
      </c>
      <c r="H197" s="5">
        <v>4.4000000000000004</v>
      </c>
      <c r="I197" s="5">
        <v>1755</v>
      </c>
      <c r="J197" s="4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2025-12-15T06:05:27Z</dcterms:created>
  <dcterms:modified xsi:type="dcterms:W3CDTF">2025-12-17T06:50:24Z</dcterms:modified>
</cp:coreProperties>
</file>