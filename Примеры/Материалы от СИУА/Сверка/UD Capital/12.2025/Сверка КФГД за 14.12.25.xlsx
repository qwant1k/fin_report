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A39E513F-B785-43B4-9417-1D3B1DE86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ДУ!$C$94:$C$103</definedName>
    <definedName name="__mdDATACurrency__">ДУ!$29:$31</definedName>
    <definedName name="__mdDATADDebt__">ДУ!#REF!</definedName>
    <definedName name="__mdDATAHead__">ДУ!$B$2</definedName>
    <definedName name="__mdDATAItogoActive__">ДУ!$B$79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9" i="1" l="1"/>
  <c r="O72" i="1"/>
  <c r="O26" i="1"/>
  <c r="D30" i="1"/>
  <c r="B79" i="1"/>
  <c r="B1" i="2"/>
  <c r="C104" i="1"/>
  <c r="G88" i="1"/>
  <c r="F88" i="1"/>
  <c r="E88" i="1"/>
  <c r="G77" i="1"/>
  <c r="F77" i="1"/>
  <c r="E77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M72" i="1" s="1"/>
  <c r="H35" i="1"/>
  <c r="B29" i="1"/>
  <c r="L26" i="1"/>
  <c r="Q1" i="1" s="1"/>
  <c r="K26" i="1"/>
  <c r="H26" i="1"/>
  <c r="D26" i="1"/>
  <c r="M23" i="1" l="1"/>
  <c r="M19" i="1"/>
  <c r="M15" i="1"/>
  <c r="M11" i="1"/>
  <c r="M21" i="1"/>
  <c r="M17" i="1"/>
  <c r="M13" i="1"/>
  <c r="M24" i="1"/>
  <c r="M16" i="1"/>
  <c r="M8" i="1"/>
  <c r="M22" i="1"/>
  <c r="M18" i="1"/>
  <c r="M14" i="1"/>
  <c r="M10" i="1"/>
  <c r="M9" i="1"/>
  <c r="M20" i="1"/>
  <c r="M12" i="1"/>
  <c r="M26" i="1" l="1"/>
</calcChain>
</file>

<file path=xl/sharedStrings.xml><?xml version="1.0" encoding="utf-8"?>
<sst xmlns="http://schemas.openxmlformats.org/spreadsheetml/2006/main" count="335" uniqueCount="133">
  <si>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</si>
  <si>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</si>
  <si>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</si>
  <si>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</si>
  <si>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</si>
  <si>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</si>
  <si>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</si>
  <si>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</si>
  <si>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</si>
  <si>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</si>
  <si>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</si>
  <si>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</si>
  <si>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</si>
  <si>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</si>
  <si>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</si>
  <si>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</si>
  <si>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</si>
  <si>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</si>
  <si>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</si>
  <si>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</si>
  <si>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</si>
  <si>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</si>
  <si>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</si>
  <si>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</si>
  <si>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</si>
  <si>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</si>
  <si>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</si>
  <si>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</si>
  <si>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</si>
  <si>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</si>
  <si>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</si>
  <si>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</si>
  <si>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</si>
  <si>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</si>
  <si>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</si>
  <si>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</si>
  <si>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</si>
  <si>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</si>
  <si>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</si>
  <si>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</si>
  <si>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</si>
  <si>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</si>
  <si>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</si>
  <si>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</si>
  <si>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</si>
  <si>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</si>
  <si>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</si>
  <si>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</si>
  <si>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</si>
  <si>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</si>
  <si>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</si>
  <si>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</si>
  <si>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</si>
  <si>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</si>
  <si>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</si>
  <si>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</si>
  <si>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</si>
  <si>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</si>
  <si>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</si>
  <si>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</si>
  <si>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</si>
  <si>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</si>
  <si>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</si>
  <si>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</si>
  <si>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</si>
  <si>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</si>
  <si>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</si>
  <si>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KZKD00000840</t>
  </si>
  <si>
    <t>KZT</t>
  </si>
  <si>
    <t>12.12.2025</t>
  </si>
  <si>
    <t>15.12.2025</t>
  </si>
  <si>
    <t>Евразийский банк развития</t>
  </si>
  <si>
    <t>KZ2D00009628</t>
  </si>
  <si>
    <t>KZKD00001129</t>
  </si>
  <si>
    <t>KZKD00001160</t>
  </si>
  <si>
    <t>KZKD00001152</t>
  </si>
  <si>
    <t>KZKD00001244</t>
  </si>
  <si>
    <t>KZKD00001111</t>
  </si>
  <si>
    <t>KZKD00001178</t>
  </si>
  <si>
    <t>KZKD00000832</t>
  </si>
  <si>
    <t>KZKD00000949</t>
  </si>
  <si>
    <t>KZKD00000550</t>
  </si>
  <si>
    <t>АО "Казахстанский фонд устойчивости"</t>
  </si>
  <si>
    <t>KZ2C00008944</t>
  </si>
  <si>
    <t>KZ2C00009462</t>
  </si>
  <si>
    <t>KZ2C00008936</t>
  </si>
  <si>
    <t>KZ2C00007318</t>
  </si>
  <si>
    <t>KZ2C00007136</t>
  </si>
  <si>
    <t>KZ2C00006906</t>
  </si>
  <si>
    <t>KZ2C00007128</t>
  </si>
  <si>
    <t>KZ2C00008951</t>
  </si>
  <si>
    <t>KZ2C00008928</t>
  </si>
  <si>
    <t>KZ2C00007326</t>
  </si>
  <si>
    <t>KZ2C00007334</t>
  </si>
  <si>
    <t>KZK200000679</t>
  </si>
  <si>
    <t>KZ96601A861038102391</t>
  </si>
  <si>
    <t>KZKD00001251</t>
  </si>
  <si>
    <t>13.03.2025</t>
  </si>
  <si>
    <t>07.03.2030</t>
  </si>
  <si>
    <t>18.07.2024</t>
  </si>
  <si>
    <t>29.01.2035</t>
  </si>
  <si>
    <t>KZ2D00011863</t>
  </si>
  <si>
    <t>24.09.2024</t>
  </si>
  <si>
    <t>03.09.2027</t>
  </si>
  <si>
    <t>KZK200000760</t>
  </si>
  <si>
    <t>14.08.2025</t>
  </si>
  <si>
    <t>07.08.2029</t>
  </si>
  <si>
    <t>KZKD00000535</t>
  </si>
  <si>
    <t>27.03.2027</t>
  </si>
  <si>
    <t>28.07.2029</t>
  </si>
  <si>
    <t>KZKD00000790</t>
  </si>
  <si>
    <t>10.07.2025</t>
  </si>
  <si>
    <t>13.08.2029</t>
  </si>
  <si>
    <t>KZKD00001087</t>
  </si>
  <si>
    <t>31.03.2029</t>
  </si>
  <si>
    <t>KZK200000687</t>
  </si>
  <si>
    <t>21.01.2026</t>
  </si>
  <si>
    <t>KZK100000373</t>
  </si>
  <si>
    <t>06.02.2026</t>
  </si>
  <si>
    <t>KZKD00001137</t>
  </si>
  <si>
    <t>12.04.2028</t>
  </si>
  <si>
    <t>17.03.2031</t>
  </si>
  <si>
    <t>KZKD00000741</t>
  </si>
  <si>
    <t>12.05.2034</t>
  </si>
  <si>
    <t>KZKD00000444</t>
  </si>
  <si>
    <t>21.08.2025</t>
  </si>
  <si>
    <t>18.08.2026</t>
  </si>
  <si>
    <t>26.07.2032</t>
  </si>
  <si>
    <t>KZKD00000477</t>
  </si>
  <si>
    <t>24.07.2025</t>
  </si>
  <si>
    <t>19.10.2027</t>
  </si>
  <si>
    <t>16.04.2032</t>
  </si>
  <si>
    <t>14.12.2025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</si>
</sst>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  <xf numFmtId="170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tabSelected="1" topLeftCell="A50" workbookViewId="0">
      <selection activeCell="C79" sqref="C79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26770539797.85054</v>
      </c>
    </row>
    <row r="2" spans="1:17" x14ac:dyDescent="0.2">
      <c r="A2" s="6" t="s">
        <v>64</v>
      </c>
      <c r="B2" s="6" t="s">
        <v>132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96</v>
      </c>
      <c r="C8" s="14">
        <v>550000</v>
      </c>
      <c r="D8" s="15">
        <v>550000000</v>
      </c>
      <c r="E8" s="16">
        <v>12</v>
      </c>
      <c r="F8" s="17" t="s">
        <v>97</v>
      </c>
      <c r="G8" s="17" t="s">
        <v>98</v>
      </c>
      <c r="H8" s="16">
        <v>491343050</v>
      </c>
      <c r="I8" s="18"/>
      <c r="J8" s="18"/>
      <c r="K8" s="16">
        <v>50783333.333333328</v>
      </c>
      <c r="L8" s="16">
        <v>530859633.33333302</v>
      </c>
      <c r="M8" s="19">
        <f t="shared" ref="M8:M24" si="0">L8/$Q$1</f>
        <v>1.9829993617684047E-2</v>
      </c>
      <c r="O8" s="8">
        <v>749863.88888888899</v>
      </c>
    </row>
    <row r="9" spans="1:17" x14ac:dyDescent="0.2">
      <c r="A9" s="13" t="s">
        <v>66</v>
      </c>
      <c r="B9" s="13" t="s">
        <v>79</v>
      </c>
      <c r="C9" s="14">
        <v>1897500</v>
      </c>
      <c r="D9" s="15">
        <v>1897500000</v>
      </c>
      <c r="E9" s="16">
        <v>8.07</v>
      </c>
      <c r="F9" s="17" t="s">
        <v>99</v>
      </c>
      <c r="G9" s="17" t="s">
        <v>100</v>
      </c>
      <c r="H9" s="16">
        <v>1338524962.5</v>
      </c>
      <c r="I9" s="18"/>
      <c r="J9" s="18"/>
      <c r="K9" s="16">
        <v>133987218.75</v>
      </c>
      <c r="L9" s="16">
        <v>1355988603.75</v>
      </c>
      <c r="M9" s="19">
        <f t="shared" si="0"/>
        <v>5.0652269770775221E-2</v>
      </c>
      <c r="O9" s="8">
        <v>749863.88888888899</v>
      </c>
    </row>
    <row r="10" spans="1:17" x14ac:dyDescent="0.2">
      <c r="A10" s="13" t="s">
        <v>71</v>
      </c>
      <c r="B10" s="13" t="s">
        <v>101</v>
      </c>
      <c r="C10" s="14">
        <v>992234</v>
      </c>
      <c r="D10" s="15">
        <v>992234000</v>
      </c>
      <c r="E10" s="16">
        <v>14.3</v>
      </c>
      <c r="F10" s="17" t="s">
        <v>102</v>
      </c>
      <c r="G10" s="17" t="s">
        <v>103</v>
      </c>
      <c r="H10" s="16">
        <v>991722999.49000001</v>
      </c>
      <c r="I10" s="18"/>
      <c r="J10" s="18"/>
      <c r="K10" s="16">
        <v>39807876.838888884</v>
      </c>
      <c r="L10" s="16">
        <v>977391656.43054402</v>
      </c>
      <c r="M10" s="19">
        <f t="shared" si="0"/>
        <v>3.6509971924773094E-2</v>
      </c>
      <c r="O10" s="8">
        <v>749863.88888888899</v>
      </c>
    </row>
    <row r="11" spans="1:17" x14ac:dyDescent="0.2">
      <c r="A11" s="13" t="s">
        <v>66</v>
      </c>
      <c r="B11" s="13" t="s">
        <v>104</v>
      </c>
      <c r="C11" s="14">
        <v>897100</v>
      </c>
      <c r="D11" s="15">
        <v>897100000</v>
      </c>
      <c r="E11" s="16">
        <v>17.010000000000002</v>
      </c>
      <c r="F11" s="17" t="s">
        <v>105</v>
      </c>
      <c r="G11" s="17" t="s">
        <v>106</v>
      </c>
      <c r="H11" s="16">
        <v>896985171.20000005</v>
      </c>
      <c r="I11" s="18"/>
      <c r="J11" s="18"/>
      <c r="K11" s="16">
        <v>53832728.25</v>
      </c>
      <c r="L11" s="16">
        <v>976692954.75</v>
      </c>
      <c r="M11" s="19">
        <f t="shared" si="0"/>
        <v>3.6483872276210902E-2</v>
      </c>
      <c r="O11" s="8">
        <v>749863.88888888899</v>
      </c>
    </row>
    <row r="12" spans="1:17" x14ac:dyDescent="0.2">
      <c r="A12" s="13" t="s">
        <v>66</v>
      </c>
      <c r="B12" s="13" t="s">
        <v>107</v>
      </c>
      <c r="C12" s="14">
        <v>3162500</v>
      </c>
      <c r="D12" s="15">
        <v>3162500000</v>
      </c>
      <c r="E12" s="16">
        <v>5.49</v>
      </c>
      <c r="F12" s="17" t="s">
        <v>99</v>
      </c>
      <c r="G12" s="17" t="s">
        <v>108</v>
      </c>
      <c r="H12" s="16">
        <v>2627740225</v>
      </c>
      <c r="I12" s="18"/>
      <c r="J12" s="18"/>
      <c r="K12" s="16">
        <v>123946281.25</v>
      </c>
      <c r="L12" s="16">
        <v>2881488156.25</v>
      </c>
      <c r="M12" s="19">
        <f t="shared" si="0"/>
        <v>0.10763653546057224</v>
      </c>
      <c r="O12" s="8">
        <v>749863.88888888899</v>
      </c>
    </row>
    <row r="13" spans="1:17" x14ac:dyDescent="0.2">
      <c r="A13" s="13" t="s">
        <v>66</v>
      </c>
      <c r="B13" s="13" t="s">
        <v>74</v>
      </c>
      <c r="C13" s="14">
        <v>1897500</v>
      </c>
      <c r="D13" s="15">
        <v>1897500000</v>
      </c>
      <c r="E13" s="16">
        <v>10.55</v>
      </c>
      <c r="F13" s="17" t="s">
        <v>99</v>
      </c>
      <c r="G13" s="17" t="s">
        <v>109</v>
      </c>
      <c r="H13" s="16">
        <v>1708326839.9966669</v>
      </c>
      <c r="I13" s="18"/>
      <c r="J13" s="18"/>
      <c r="K13" s="16">
        <v>75625916.666666657</v>
      </c>
      <c r="L13" s="16">
        <v>1678679456.666666</v>
      </c>
      <c r="M13" s="19">
        <f t="shared" si="0"/>
        <v>6.2706223682551618E-2</v>
      </c>
      <c r="O13" s="8">
        <v>749863.88888888899</v>
      </c>
    </row>
    <row r="14" spans="1:17" x14ac:dyDescent="0.2">
      <c r="A14" s="13" t="s">
        <v>66</v>
      </c>
      <c r="B14" s="13" t="s">
        <v>110</v>
      </c>
      <c r="C14" s="14">
        <v>2469500</v>
      </c>
      <c r="D14" s="15">
        <v>2469500000</v>
      </c>
      <c r="E14" s="16">
        <v>7.68</v>
      </c>
      <c r="F14" s="17" t="s">
        <v>111</v>
      </c>
      <c r="G14" s="17" t="s">
        <v>112</v>
      </c>
      <c r="H14" s="16">
        <v>1827657194</v>
      </c>
      <c r="I14" s="18"/>
      <c r="J14" s="18"/>
      <c r="K14" s="16">
        <v>63746026.666666657</v>
      </c>
      <c r="L14" s="16">
        <v>1965110387.166666</v>
      </c>
      <c r="M14" s="19">
        <f t="shared" si="0"/>
        <v>7.3405706496977266E-2</v>
      </c>
      <c r="O14" s="8">
        <v>749863.88888888899</v>
      </c>
    </row>
    <row r="15" spans="1:17" x14ac:dyDescent="0.2">
      <c r="A15" s="13" t="s">
        <v>66</v>
      </c>
      <c r="B15" s="13" t="s">
        <v>113</v>
      </c>
      <c r="C15" s="14">
        <v>1897500</v>
      </c>
      <c r="D15" s="15">
        <v>1897500000</v>
      </c>
      <c r="E15" s="16">
        <v>11</v>
      </c>
      <c r="F15" s="17" t="s">
        <v>99</v>
      </c>
      <c r="G15" s="17" t="s">
        <v>114</v>
      </c>
      <c r="H15" s="16">
        <v>1743261712.5</v>
      </c>
      <c r="I15" s="18"/>
      <c r="J15" s="18"/>
      <c r="K15" s="16">
        <v>147267083.33333299</v>
      </c>
      <c r="L15" s="16">
        <v>1786249785.833333</v>
      </c>
      <c r="M15" s="19">
        <f t="shared" si="0"/>
        <v>6.6724459025542499E-2</v>
      </c>
      <c r="O15" s="8">
        <v>749863.88888888899</v>
      </c>
    </row>
    <row r="16" spans="1:17" x14ac:dyDescent="0.2">
      <c r="A16" s="13" t="s">
        <v>66</v>
      </c>
      <c r="B16" s="13" t="s">
        <v>115</v>
      </c>
      <c r="C16" s="14">
        <v>2530000</v>
      </c>
      <c r="D16" s="15">
        <v>2530000000</v>
      </c>
      <c r="E16" s="16">
        <v>10.67</v>
      </c>
      <c r="F16" s="17" t="s">
        <v>99</v>
      </c>
      <c r="G16" s="17" t="s">
        <v>116</v>
      </c>
      <c r="H16" s="16">
        <v>2455119589.9966769</v>
      </c>
      <c r="I16" s="18"/>
      <c r="J16" s="18"/>
      <c r="K16" s="16">
        <v>107230536.111111</v>
      </c>
      <c r="L16" s="16">
        <v>2620623616.1111112</v>
      </c>
      <c r="M16" s="19">
        <f t="shared" si="0"/>
        <v>9.7892072251808918E-2</v>
      </c>
      <c r="O16" s="8">
        <v>749863.88888888899</v>
      </c>
    </row>
    <row r="17" spans="1:15" x14ac:dyDescent="0.2">
      <c r="A17" s="13" t="s">
        <v>66</v>
      </c>
      <c r="B17" s="13" t="s">
        <v>117</v>
      </c>
      <c r="C17" s="14">
        <v>11424000</v>
      </c>
      <c r="D17" s="15">
        <v>1142400000</v>
      </c>
      <c r="E17" s="16">
        <v>0</v>
      </c>
      <c r="F17" s="17" t="s">
        <v>97</v>
      </c>
      <c r="G17" s="17" t="s">
        <v>118</v>
      </c>
      <c r="H17" s="16">
        <v>1003902278.4</v>
      </c>
      <c r="I17" s="18"/>
      <c r="J17" s="18"/>
      <c r="K17" s="16"/>
      <c r="L17" s="16">
        <v>1114918425.5999999</v>
      </c>
      <c r="M17" s="19">
        <f t="shared" si="0"/>
        <v>4.1647214961631776E-2</v>
      </c>
      <c r="O17" s="8">
        <v>749863.88888888899</v>
      </c>
    </row>
    <row r="18" spans="1:15" x14ac:dyDescent="0.2">
      <c r="A18" s="13" t="s">
        <v>66</v>
      </c>
      <c r="B18" s="13" t="s">
        <v>119</v>
      </c>
      <c r="C18" s="14">
        <v>1897500</v>
      </c>
      <c r="D18" s="15">
        <v>1897500000</v>
      </c>
      <c r="E18" s="16">
        <v>10.4</v>
      </c>
      <c r="F18" s="17" t="s">
        <v>99</v>
      </c>
      <c r="G18" s="17" t="s">
        <v>120</v>
      </c>
      <c r="H18" s="16">
        <v>1736743800</v>
      </c>
      <c r="I18" s="18"/>
      <c r="J18" s="18"/>
      <c r="K18" s="16">
        <v>132656333.333333</v>
      </c>
      <c r="L18" s="16">
        <v>1801517070.833333</v>
      </c>
      <c r="M18" s="19">
        <f t="shared" si="0"/>
        <v>6.7294760749575189E-2</v>
      </c>
      <c r="O18" s="8">
        <v>749863.88888888899</v>
      </c>
    </row>
    <row r="19" spans="1:15" x14ac:dyDescent="0.2">
      <c r="A19" s="13" t="s">
        <v>66</v>
      </c>
      <c r="B19" s="13" t="s">
        <v>73</v>
      </c>
      <c r="C19" s="14">
        <v>1897500</v>
      </c>
      <c r="D19" s="15">
        <v>1897500000</v>
      </c>
      <c r="E19" s="16">
        <v>10.3</v>
      </c>
      <c r="F19" s="17" t="s">
        <v>99</v>
      </c>
      <c r="G19" s="17" t="s">
        <v>121</v>
      </c>
      <c r="H19" s="16">
        <v>1645329839.996666</v>
      </c>
      <c r="I19" s="18"/>
      <c r="J19" s="18"/>
      <c r="K19" s="16">
        <v>144953187.5</v>
      </c>
      <c r="L19" s="16">
        <v>1668323112.499999</v>
      </c>
      <c r="M19" s="19">
        <f t="shared" si="0"/>
        <v>6.231936767423539E-2</v>
      </c>
      <c r="O19" s="8">
        <v>749863.88888888899</v>
      </c>
    </row>
    <row r="20" spans="1:15" x14ac:dyDescent="0.2">
      <c r="A20" s="13" t="s">
        <v>66</v>
      </c>
      <c r="B20" s="13" t="s">
        <v>122</v>
      </c>
      <c r="C20" s="14">
        <v>1897500</v>
      </c>
      <c r="D20" s="15">
        <v>1897500000</v>
      </c>
      <c r="E20" s="16">
        <v>8.07</v>
      </c>
      <c r="F20" s="17" t="s">
        <v>99</v>
      </c>
      <c r="G20" s="17" t="s">
        <v>123</v>
      </c>
      <c r="H20" s="16">
        <v>1359122325</v>
      </c>
      <c r="I20" s="18"/>
      <c r="J20" s="18"/>
      <c r="K20" s="16">
        <v>90175525</v>
      </c>
      <c r="L20" s="16">
        <v>1334724902.5</v>
      </c>
      <c r="M20" s="19">
        <f t="shared" si="0"/>
        <v>4.985797494479987E-2</v>
      </c>
      <c r="O20" s="8">
        <v>749863.88888888899</v>
      </c>
    </row>
    <row r="21" spans="1:15" x14ac:dyDescent="0.2">
      <c r="A21" s="13" t="s">
        <v>66</v>
      </c>
      <c r="B21" s="13" t="s">
        <v>124</v>
      </c>
      <c r="C21" s="14">
        <v>1106600</v>
      </c>
      <c r="D21" s="15">
        <v>1106600000</v>
      </c>
      <c r="E21" s="16">
        <v>5.5</v>
      </c>
      <c r="F21" s="17" t="s">
        <v>125</v>
      </c>
      <c r="G21" s="17" t="s">
        <v>126</v>
      </c>
      <c r="H21" s="16">
        <v>999478906.79999995</v>
      </c>
      <c r="I21" s="18"/>
      <c r="J21" s="18"/>
      <c r="K21" s="16">
        <v>19611411.114444438</v>
      </c>
      <c r="L21" s="16">
        <v>1046568302.514444</v>
      </c>
      <c r="M21" s="19">
        <f t="shared" si="0"/>
        <v>3.9094030617883732E-2</v>
      </c>
      <c r="O21" s="8">
        <v>749863.88888888899</v>
      </c>
    </row>
    <row r="22" spans="1:15" x14ac:dyDescent="0.2">
      <c r="A22" s="13" t="s">
        <v>66</v>
      </c>
      <c r="B22" s="13" t="s">
        <v>75</v>
      </c>
      <c r="C22" s="14">
        <v>1897500</v>
      </c>
      <c r="D22" s="15">
        <v>1897500000</v>
      </c>
      <c r="E22" s="16">
        <v>10.65</v>
      </c>
      <c r="F22" s="17" t="s">
        <v>99</v>
      </c>
      <c r="G22" s="17" t="s">
        <v>127</v>
      </c>
      <c r="H22" s="16">
        <v>1648500562.5</v>
      </c>
      <c r="I22" s="18"/>
      <c r="J22" s="18"/>
      <c r="K22" s="16">
        <v>77465437.5</v>
      </c>
      <c r="L22" s="16">
        <v>1581431527.5</v>
      </c>
      <c r="M22" s="19">
        <f t="shared" si="0"/>
        <v>5.907357638066664E-2</v>
      </c>
      <c r="O22" s="8">
        <v>749863.88888888899</v>
      </c>
    </row>
    <row r="23" spans="1:15" x14ac:dyDescent="0.2">
      <c r="A23" s="13" t="s">
        <v>66</v>
      </c>
      <c r="B23" s="13" t="s">
        <v>128</v>
      </c>
      <c r="C23" s="14">
        <v>2391500</v>
      </c>
      <c r="D23" s="15">
        <v>2391500000</v>
      </c>
      <c r="E23" s="16">
        <v>5.3</v>
      </c>
      <c r="F23" s="17" t="s">
        <v>129</v>
      </c>
      <c r="G23" s="17" t="s">
        <v>130</v>
      </c>
      <c r="H23" s="16">
        <v>1903079172</v>
      </c>
      <c r="I23" s="18"/>
      <c r="J23" s="18"/>
      <c r="K23" s="16">
        <v>19364506.94444444</v>
      </c>
      <c r="L23" s="16">
        <v>1989553951.9444439</v>
      </c>
      <c r="M23" s="19">
        <f t="shared" si="0"/>
        <v>7.43187835197925E-2</v>
      </c>
      <c r="O23" s="8">
        <v>749863.88888888899</v>
      </c>
    </row>
    <row r="24" spans="1:15" x14ac:dyDescent="0.2">
      <c r="A24" s="13" t="s">
        <v>66</v>
      </c>
      <c r="B24" s="13" t="s">
        <v>80</v>
      </c>
      <c r="C24" s="14">
        <v>1897500</v>
      </c>
      <c r="D24" s="15">
        <v>1897500000</v>
      </c>
      <c r="E24" s="16">
        <v>8.4499999999999993</v>
      </c>
      <c r="F24" s="17" t="s">
        <v>99</v>
      </c>
      <c r="G24" s="17" t="s">
        <v>131</v>
      </c>
      <c r="H24" s="16">
        <v>1457889097.496666</v>
      </c>
      <c r="I24" s="18"/>
      <c r="J24" s="18"/>
      <c r="K24" s="16">
        <v>106001729.166667</v>
      </c>
      <c r="L24" s="16">
        <v>1460418254.166666</v>
      </c>
      <c r="M24" s="19">
        <f t="shared" si="0"/>
        <v>5.455318664451906E-2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1386455131.7588885</v>
      </c>
      <c r="L26" s="21">
        <f>SUM(L8:L25)</f>
        <v>26770539797.85054</v>
      </c>
      <c r="M26" s="24">
        <f>SUM(M8:M25)</f>
        <v>1</v>
      </c>
      <c r="N26" s="7">
        <v>26770539797.84721</v>
      </c>
      <c r="O26" s="59">
        <f>L26-N26</f>
        <v>3.330230712890625E-3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38175.39</v>
      </c>
    </row>
    <row r="30" spans="1:15" x14ac:dyDescent="0.2">
      <c r="A30" s="27" t="s">
        <v>95</v>
      </c>
      <c r="B30" s="28">
        <v>38175.39</v>
      </c>
      <c r="C30" s="9">
        <v>38175.449999999997</v>
      </c>
      <c r="D30" s="58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35467</v>
      </c>
      <c r="D35" s="30" t="s">
        <v>68</v>
      </c>
      <c r="E35" s="32" t="s">
        <v>69</v>
      </c>
      <c r="F35" s="32" t="s">
        <v>70</v>
      </c>
      <c r="G35" s="33">
        <v>817.76400005639005</v>
      </c>
      <c r="H35" s="33">
        <f t="shared" ref="H35:H70" si="1">J35/C35</f>
        <v>818.90797360927058</v>
      </c>
      <c r="I35" s="34">
        <v>29003635.789999999</v>
      </c>
      <c r="J35" s="34">
        <v>29044209.100000001</v>
      </c>
      <c r="K35" s="35">
        <v>17.02</v>
      </c>
      <c r="L35" s="35">
        <v>27048.8733333333</v>
      </c>
      <c r="M35" s="29">
        <f t="shared" ref="M35:M70" si="2">I35+L35</f>
        <v>29030684.663333334</v>
      </c>
      <c r="N35" s="8"/>
      <c r="O35" s="7"/>
      <c r="Q35" s="7">
        <v>1</v>
      </c>
    </row>
    <row r="36" spans="1:17" x14ac:dyDescent="0.2">
      <c r="A36" s="30" t="s">
        <v>71</v>
      </c>
      <c r="B36" s="30" t="s">
        <v>72</v>
      </c>
      <c r="C36" s="31">
        <v>102438</v>
      </c>
      <c r="D36" s="30" t="s">
        <v>68</v>
      </c>
      <c r="E36" s="32" t="s">
        <v>69</v>
      </c>
      <c r="F36" s="32" t="s">
        <v>70</v>
      </c>
      <c r="G36" s="33">
        <v>527.21990003709607</v>
      </c>
      <c r="H36" s="33">
        <f t="shared" si="1"/>
        <v>527.95743015287292</v>
      </c>
      <c r="I36" s="34">
        <v>54007352.119999997</v>
      </c>
      <c r="J36" s="34">
        <v>54082903.229999997</v>
      </c>
      <c r="K36" s="35">
        <v>17.02</v>
      </c>
      <c r="L36" s="35">
        <v>50367.406666666706</v>
      </c>
      <c r="M36" s="29">
        <f t="shared" si="2"/>
        <v>54057719.526666664</v>
      </c>
      <c r="N36" s="8"/>
      <c r="O36" s="7"/>
      <c r="Q36" s="7">
        <v>1</v>
      </c>
    </row>
    <row r="37" spans="1:17" x14ac:dyDescent="0.2">
      <c r="A37" s="30" t="s">
        <v>66</v>
      </c>
      <c r="B37" s="30" t="s">
        <v>73</v>
      </c>
      <c r="C37" s="31">
        <v>60367</v>
      </c>
      <c r="D37" s="30" t="s">
        <v>68</v>
      </c>
      <c r="E37" s="32" t="s">
        <v>69</v>
      </c>
      <c r="F37" s="32" t="s">
        <v>70</v>
      </c>
      <c r="G37" s="33">
        <v>878.64899995030407</v>
      </c>
      <c r="H37" s="33">
        <f t="shared" si="1"/>
        <v>879.87814567561747</v>
      </c>
      <c r="I37" s="34">
        <v>53041404.18</v>
      </c>
      <c r="J37" s="34">
        <v>53115604.020000003</v>
      </c>
      <c r="K37" s="35">
        <v>17.02</v>
      </c>
      <c r="L37" s="35">
        <v>49466.559999999998</v>
      </c>
      <c r="M37" s="29">
        <f t="shared" si="2"/>
        <v>53090870.740000002</v>
      </c>
      <c r="N37" s="8"/>
      <c r="O37" s="7"/>
      <c r="Q37" s="7">
        <v>1</v>
      </c>
    </row>
    <row r="38" spans="1:17" x14ac:dyDescent="0.2">
      <c r="A38" s="30" t="s">
        <v>66</v>
      </c>
      <c r="B38" s="30" t="s">
        <v>74</v>
      </c>
      <c r="C38" s="31">
        <v>48676</v>
      </c>
      <c r="D38" s="30" t="s">
        <v>68</v>
      </c>
      <c r="E38" s="32" t="s">
        <v>69</v>
      </c>
      <c r="F38" s="32" t="s">
        <v>70</v>
      </c>
      <c r="G38" s="33">
        <v>884.09300004108809</v>
      </c>
      <c r="H38" s="33">
        <f t="shared" si="1"/>
        <v>885.32976127865891</v>
      </c>
      <c r="I38" s="34">
        <v>43034110.86999999</v>
      </c>
      <c r="J38" s="34">
        <v>43094311.460000001</v>
      </c>
      <c r="K38" s="35">
        <v>17.02</v>
      </c>
      <c r="L38" s="35">
        <v>40133.726666666706</v>
      </c>
      <c r="M38" s="29">
        <f t="shared" si="2"/>
        <v>43074244.596666656</v>
      </c>
      <c r="N38" s="8"/>
      <c r="O38" s="7"/>
      <c r="Q38" s="7">
        <v>1</v>
      </c>
    </row>
    <row r="39" spans="1:17" x14ac:dyDescent="0.2">
      <c r="A39" s="30" t="s">
        <v>66</v>
      </c>
      <c r="B39" s="30" t="s">
        <v>75</v>
      </c>
      <c r="C39" s="31">
        <v>21618</v>
      </c>
      <c r="D39" s="30" t="s">
        <v>68</v>
      </c>
      <c r="E39" s="32" t="s">
        <v>69</v>
      </c>
      <c r="F39" s="32" t="s">
        <v>70</v>
      </c>
      <c r="G39" s="33">
        <v>832.837000185031</v>
      </c>
      <c r="H39" s="33">
        <f t="shared" si="1"/>
        <v>834.00205939494867</v>
      </c>
      <c r="I39" s="34">
        <v>18004270.27</v>
      </c>
      <c r="J39" s="34">
        <v>18029456.52</v>
      </c>
      <c r="K39" s="35">
        <v>17.02</v>
      </c>
      <c r="L39" s="35">
        <v>16790.833333333303</v>
      </c>
      <c r="M39" s="29">
        <f t="shared" si="2"/>
        <v>18021061.103333332</v>
      </c>
      <c r="N39" s="8"/>
      <c r="O39" s="7"/>
      <c r="Q39" s="7">
        <v>1</v>
      </c>
    </row>
    <row r="40" spans="1:17" x14ac:dyDescent="0.2">
      <c r="A40" s="30" t="s">
        <v>66</v>
      </c>
      <c r="B40" s="30" t="s">
        <v>76</v>
      </c>
      <c r="C40" s="31">
        <v>8368</v>
      </c>
      <c r="D40" s="30" t="s">
        <v>68</v>
      </c>
      <c r="E40" s="32" t="s">
        <v>69</v>
      </c>
      <c r="F40" s="32" t="s">
        <v>70</v>
      </c>
      <c r="G40" s="33">
        <v>956.51899976099401</v>
      </c>
      <c r="H40" s="33">
        <f t="shared" si="1"/>
        <v>957.85707815487569</v>
      </c>
      <c r="I40" s="34">
        <v>8004150.9900000002</v>
      </c>
      <c r="J40" s="34">
        <v>8015348.0300000003</v>
      </c>
      <c r="K40" s="35">
        <v>17.02</v>
      </c>
      <c r="L40" s="35">
        <v>7464.6933333333327</v>
      </c>
      <c r="M40" s="29">
        <f t="shared" si="2"/>
        <v>8011615.6833333336</v>
      </c>
      <c r="N40" s="8"/>
      <c r="O40" s="7"/>
      <c r="Q40" s="7">
        <v>1</v>
      </c>
    </row>
    <row r="41" spans="1:17" x14ac:dyDescent="0.2">
      <c r="A41" s="30" t="s">
        <v>66</v>
      </c>
      <c r="B41" s="30" t="s">
        <v>77</v>
      </c>
      <c r="C41" s="31">
        <v>8533</v>
      </c>
      <c r="D41" s="30" t="s">
        <v>68</v>
      </c>
      <c r="E41" s="32" t="s">
        <v>69</v>
      </c>
      <c r="F41" s="32" t="s">
        <v>70</v>
      </c>
      <c r="G41" s="33">
        <v>820.93399976561602</v>
      </c>
      <c r="H41" s="33">
        <f t="shared" si="1"/>
        <v>822.08240829719921</v>
      </c>
      <c r="I41" s="34">
        <v>7005029.8200000003</v>
      </c>
      <c r="J41" s="34">
        <v>7014829.1900000004</v>
      </c>
      <c r="K41" s="35">
        <v>17.02</v>
      </c>
      <c r="L41" s="35">
        <v>6532.913333333333</v>
      </c>
      <c r="M41" s="29">
        <f t="shared" si="2"/>
        <v>7011562.7333333334</v>
      </c>
      <c r="N41" s="8"/>
      <c r="O41" s="7"/>
      <c r="Q41" s="7">
        <v>1</v>
      </c>
    </row>
    <row r="42" spans="1:17" x14ac:dyDescent="0.2">
      <c r="A42" s="30" t="s">
        <v>66</v>
      </c>
      <c r="B42" s="30" t="s">
        <v>74</v>
      </c>
      <c r="C42" s="31">
        <v>19244</v>
      </c>
      <c r="D42" s="30" t="s">
        <v>68</v>
      </c>
      <c r="E42" s="32" t="s">
        <v>69</v>
      </c>
      <c r="F42" s="32" t="s">
        <v>70</v>
      </c>
      <c r="G42" s="33">
        <v>884.092999896072</v>
      </c>
      <c r="H42" s="33">
        <f t="shared" si="1"/>
        <v>885.32976148409898</v>
      </c>
      <c r="I42" s="34">
        <v>17013485.690000001</v>
      </c>
      <c r="J42" s="34">
        <v>17037285.93</v>
      </c>
      <c r="K42" s="35">
        <v>17.02</v>
      </c>
      <c r="L42" s="35">
        <v>15866.8266666667</v>
      </c>
      <c r="M42" s="29">
        <f t="shared" si="2"/>
        <v>17029352.516666669</v>
      </c>
      <c r="N42" s="8"/>
      <c r="O42" s="7"/>
      <c r="Q42" s="7">
        <v>1</v>
      </c>
    </row>
    <row r="43" spans="1:17" x14ac:dyDescent="0.2">
      <c r="A43" s="30" t="s">
        <v>66</v>
      </c>
      <c r="B43" s="30" t="s">
        <v>78</v>
      </c>
      <c r="C43" s="31">
        <v>18465</v>
      </c>
      <c r="D43" s="30" t="s">
        <v>68</v>
      </c>
      <c r="E43" s="32" t="s">
        <v>69</v>
      </c>
      <c r="F43" s="32" t="s">
        <v>70</v>
      </c>
      <c r="G43" s="33">
        <v>812.58600000000001</v>
      </c>
      <c r="H43" s="33">
        <f t="shared" si="1"/>
        <v>813.72273002978613</v>
      </c>
      <c r="I43" s="34">
        <v>15004400.49</v>
      </c>
      <c r="J43" s="34">
        <v>15025390.210000001</v>
      </c>
      <c r="K43" s="35">
        <v>17.02</v>
      </c>
      <c r="L43" s="35">
        <v>13993.1466666667</v>
      </c>
      <c r="M43" s="29">
        <f t="shared" si="2"/>
        <v>15018393.636666667</v>
      </c>
      <c r="N43" s="8"/>
      <c r="O43" s="7"/>
      <c r="Q43" s="7">
        <v>1</v>
      </c>
    </row>
    <row r="44" spans="1:17" x14ac:dyDescent="0.2">
      <c r="A44" s="30" t="s">
        <v>66</v>
      </c>
      <c r="B44" s="30" t="s">
        <v>78</v>
      </c>
      <c r="C44" s="31">
        <v>1231</v>
      </c>
      <c r="D44" s="30" t="s">
        <v>68</v>
      </c>
      <c r="E44" s="32" t="s">
        <v>69</v>
      </c>
      <c r="F44" s="32" t="s">
        <v>70</v>
      </c>
      <c r="G44" s="33">
        <v>812.58600324939107</v>
      </c>
      <c r="H44" s="33">
        <f t="shared" si="1"/>
        <v>813.72272948822103</v>
      </c>
      <c r="I44" s="34">
        <v>1000293.37</v>
      </c>
      <c r="J44" s="34">
        <v>1001692.68</v>
      </c>
      <c r="K44" s="35">
        <v>17.02</v>
      </c>
      <c r="L44" s="35">
        <v>932.87333333333311</v>
      </c>
      <c r="M44" s="29">
        <f t="shared" si="2"/>
        <v>1001226.2433333333</v>
      </c>
      <c r="N44" s="8"/>
      <c r="O44" s="7"/>
      <c r="Q44" s="7">
        <v>1</v>
      </c>
    </row>
    <row r="45" spans="1:17" x14ac:dyDescent="0.2">
      <c r="A45" s="30" t="s">
        <v>66</v>
      </c>
      <c r="B45" s="30" t="s">
        <v>79</v>
      </c>
      <c r="C45" s="31">
        <v>60243</v>
      </c>
      <c r="D45" s="30" t="s">
        <v>68</v>
      </c>
      <c r="E45" s="32" t="s">
        <v>69</v>
      </c>
      <c r="F45" s="32" t="s">
        <v>70</v>
      </c>
      <c r="G45" s="33">
        <v>714.17</v>
      </c>
      <c r="H45" s="33">
        <f t="shared" si="1"/>
        <v>715.16905532593</v>
      </c>
      <c r="I45" s="34">
        <v>43023743.310000002</v>
      </c>
      <c r="J45" s="34">
        <v>43083929.399999999</v>
      </c>
      <c r="K45" s="35">
        <v>17.02</v>
      </c>
      <c r="L45" s="35">
        <v>40124.06</v>
      </c>
      <c r="M45" s="29">
        <f t="shared" si="2"/>
        <v>43063867.370000005</v>
      </c>
      <c r="N45" s="8"/>
      <c r="O45" s="7"/>
      <c r="Q45" s="7">
        <v>1</v>
      </c>
    </row>
    <row r="46" spans="1:17" x14ac:dyDescent="0.2">
      <c r="A46" s="30" t="s">
        <v>66</v>
      </c>
      <c r="B46" s="30" t="s">
        <v>76</v>
      </c>
      <c r="C46" s="31">
        <v>15690</v>
      </c>
      <c r="D46" s="30" t="s">
        <v>68</v>
      </c>
      <c r="E46" s="32" t="s">
        <v>69</v>
      </c>
      <c r="F46" s="32" t="s">
        <v>70</v>
      </c>
      <c r="G46" s="33">
        <v>956.51900000000001</v>
      </c>
      <c r="H46" s="33">
        <f t="shared" si="1"/>
        <v>957.85707839388147</v>
      </c>
      <c r="I46" s="34">
        <v>15007783.109999999</v>
      </c>
      <c r="J46" s="34">
        <v>15028777.560000001</v>
      </c>
      <c r="K46" s="35">
        <v>17.02</v>
      </c>
      <c r="L46" s="35">
        <v>13996.3</v>
      </c>
      <c r="M46" s="29">
        <f t="shared" si="2"/>
        <v>15021779.41</v>
      </c>
      <c r="N46" s="8"/>
      <c r="O46" s="7"/>
      <c r="Q46" s="7">
        <v>1</v>
      </c>
    </row>
    <row r="47" spans="1:17" x14ac:dyDescent="0.2">
      <c r="A47" s="30" t="s">
        <v>66</v>
      </c>
      <c r="B47" s="30" t="s">
        <v>80</v>
      </c>
      <c r="C47" s="31">
        <v>32525</v>
      </c>
      <c r="D47" s="30" t="s">
        <v>68</v>
      </c>
      <c r="E47" s="32" t="s">
        <v>69</v>
      </c>
      <c r="F47" s="32" t="s">
        <v>70</v>
      </c>
      <c r="G47" s="33">
        <v>769.18400000000008</v>
      </c>
      <c r="H47" s="33">
        <f t="shared" si="1"/>
        <v>770.26001475787859</v>
      </c>
      <c r="I47" s="34">
        <v>25017709.600000001</v>
      </c>
      <c r="J47" s="34">
        <v>25052706.98</v>
      </c>
      <c r="K47" s="35">
        <v>17.02</v>
      </c>
      <c r="L47" s="35">
        <v>23331.586666666699</v>
      </c>
      <c r="M47" s="29">
        <f t="shared" si="2"/>
        <v>25041041.186666667</v>
      </c>
      <c r="N47" s="8"/>
      <c r="O47" s="7"/>
      <c r="Q47" s="7">
        <v>1</v>
      </c>
    </row>
    <row r="48" spans="1:17" x14ac:dyDescent="0.2">
      <c r="A48" s="30" t="s">
        <v>66</v>
      </c>
      <c r="B48" s="30" t="s">
        <v>80</v>
      </c>
      <c r="C48" s="31">
        <v>16913</v>
      </c>
      <c r="D48" s="30" t="s">
        <v>68</v>
      </c>
      <c r="E48" s="32" t="s">
        <v>69</v>
      </c>
      <c r="F48" s="32" t="s">
        <v>70</v>
      </c>
      <c r="G48" s="33">
        <v>769.18399988174804</v>
      </c>
      <c r="H48" s="33">
        <f t="shared" si="1"/>
        <v>770.26001478152909</v>
      </c>
      <c r="I48" s="34">
        <v>13009208.99</v>
      </c>
      <c r="J48" s="34">
        <v>13027407.630000001</v>
      </c>
      <c r="K48" s="35">
        <v>17.02</v>
      </c>
      <c r="L48" s="35">
        <v>12132.426666666701</v>
      </c>
      <c r="M48" s="29">
        <f t="shared" si="2"/>
        <v>13021341.416666666</v>
      </c>
      <c r="N48" s="8"/>
      <c r="O48" s="7"/>
      <c r="Q48" s="7">
        <v>1</v>
      </c>
    </row>
    <row r="49" spans="1:17" x14ac:dyDescent="0.2">
      <c r="A49" s="30" t="s">
        <v>66</v>
      </c>
      <c r="B49" s="30" t="s">
        <v>81</v>
      </c>
      <c r="C49" s="31">
        <v>36133</v>
      </c>
      <c r="D49" s="30" t="s">
        <v>68</v>
      </c>
      <c r="E49" s="32" t="s">
        <v>69</v>
      </c>
      <c r="F49" s="32" t="s">
        <v>70</v>
      </c>
      <c r="G49" s="33">
        <v>636.89799988929803</v>
      </c>
      <c r="H49" s="33">
        <f t="shared" si="1"/>
        <v>637.78895912323912</v>
      </c>
      <c r="I49" s="34">
        <v>23013035.429999989</v>
      </c>
      <c r="J49" s="34">
        <v>23045228.460000001</v>
      </c>
      <c r="K49" s="35">
        <v>17.02</v>
      </c>
      <c r="L49" s="35">
        <v>21462.02</v>
      </c>
      <c r="M49" s="29">
        <f t="shared" si="2"/>
        <v>23034497.449999988</v>
      </c>
      <c r="N49" s="8"/>
      <c r="O49" s="7"/>
      <c r="Q49" s="7">
        <v>1</v>
      </c>
    </row>
    <row r="50" spans="1:17" x14ac:dyDescent="0.2">
      <c r="A50" s="30" t="s">
        <v>82</v>
      </c>
      <c r="B50" s="30" t="s">
        <v>83</v>
      </c>
      <c r="C50" s="31">
        <v>39018</v>
      </c>
      <c r="D50" s="30" t="s">
        <v>68</v>
      </c>
      <c r="E50" s="32" t="s">
        <v>69</v>
      </c>
      <c r="F50" s="32" t="s">
        <v>70</v>
      </c>
      <c r="G50" s="33">
        <v>1077.5050000000001</v>
      </c>
      <c r="H50" s="33">
        <f t="shared" si="1"/>
        <v>1079.0123261058998</v>
      </c>
      <c r="I50" s="34">
        <v>42042090.090000004</v>
      </c>
      <c r="J50" s="34">
        <v>42100902.939999998</v>
      </c>
      <c r="K50" s="35">
        <v>17.02</v>
      </c>
      <c r="L50" s="35">
        <v>39208.566666666702</v>
      </c>
      <c r="M50" s="29">
        <f t="shared" si="2"/>
        <v>42081298.656666674</v>
      </c>
      <c r="N50" s="8"/>
      <c r="O50" s="7"/>
      <c r="Q50" s="7">
        <v>1</v>
      </c>
    </row>
    <row r="51" spans="1:17" x14ac:dyDescent="0.2">
      <c r="A51" s="30" t="s">
        <v>82</v>
      </c>
      <c r="B51" s="30" t="s">
        <v>84</v>
      </c>
      <c r="C51" s="31">
        <v>55912</v>
      </c>
      <c r="D51" s="30" t="s">
        <v>68</v>
      </c>
      <c r="E51" s="32" t="s">
        <v>69</v>
      </c>
      <c r="F51" s="32" t="s">
        <v>70</v>
      </c>
      <c r="G51" s="33">
        <v>1038.02</v>
      </c>
      <c r="H51" s="33">
        <f t="shared" si="1"/>
        <v>1039.4720904278151</v>
      </c>
      <c r="I51" s="34">
        <v>58037774.240000002</v>
      </c>
      <c r="J51" s="34">
        <v>58118963.520000003</v>
      </c>
      <c r="K51" s="35">
        <v>17.02</v>
      </c>
      <c r="L51" s="35">
        <v>54126.186666666705</v>
      </c>
      <c r="M51" s="29">
        <f t="shared" si="2"/>
        <v>58091900.42666667</v>
      </c>
      <c r="N51" s="8"/>
      <c r="O51" s="7"/>
      <c r="Q51" s="7">
        <v>1</v>
      </c>
    </row>
    <row r="52" spans="1:17" x14ac:dyDescent="0.2">
      <c r="A52" s="30" t="s">
        <v>82</v>
      </c>
      <c r="B52" s="30" t="s">
        <v>85</v>
      </c>
      <c r="C52" s="31">
        <v>24154</v>
      </c>
      <c r="D52" s="30" t="s">
        <v>68</v>
      </c>
      <c r="E52" s="32" t="s">
        <v>69</v>
      </c>
      <c r="F52" s="32" t="s">
        <v>70</v>
      </c>
      <c r="G52" s="33">
        <v>1076.7109998343951</v>
      </c>
      <c r="H52" s="33">
        <f t="shared" si="1"/>
        <v>1078.2172153680551</v>
      </c>
      <c r="I52" s="34">
        <v>26006877.489999998</v>
      </c>
      <c r="J52" s="34">
        <v>26043258.620000001</v>
      </c>
      <c r="K52" s="35">
        <v>17.02</v>
      </c>
      <c r="L52" s="35">
        <v>24254.086666666699</v>
      </c>
      <c r="M52" s="29">
        <f t="shared" si="2"/>
        <v>26031131.576666664</v>
      </c>
      <c r="N52" s="8"/>
      <c r="O52" s="7"/>
      <c r="Q52" s="7">
        <v>1</v>
      </c>
    </row>
    <row r="53" spans="1:17" x14ac:dyDescent="0.2">
      <c r="A53" s="30" t="s">
        <v>82</v>
      </c>
      <c r="B53" s="30" t="s">
        <v>86</v>
      </c>
      <c r="C53" s="31">
        <v>47532</v>
      </c>
      <c r="D53" s="30" t="s">
        <v>68</v>
      </c>
      <c r="E53" s="32" t="s">
        <v>69</v>
      </c>
      <c r="F53" s="32" t="s">
        <v>70</v>
      </c>
      <c r="G53" s="33">
        <v>1073.8519999158461</v>
      </c>
      <c r="H53" s="33">
        <f t="shared" si="1"/>
        <v>1075.3542158966591</v>
      </c>
      <c r="I53" s="34">
        <v>51042333.259999998</v>
      </c>
      <c r="J53" s="34">
        <v>51113736.590000004</v>
      </c>
      <c r="K53" s="35">
        <v>17.02</v>
      </c>
      <c r="L53" s="35">
        <v>47602.22</v>
      </c>
      <c r="M53" s="29">
        <f t="shared" si="2"/>
        <v>51089935.479999997</v>
      </c>
      <c r="N53" s="8"/>
      <c r="O53" s="7"/>
      <c r="Q53" s="7">
        <v>1</v>
      </c>
    </row>
    <row r="54" spans="1:17" x14ac:dyDescent="0.2">
      <c r="A54" s="30" t="s">
        <v>82</v>
      </c>
      <c r="B54" s="30" t="s">
        <v>87</v>
      </c>
      <c r="C54" s="31">
        <v>63994</v>
      </c>
      <c r="D54" s="30" t="s">
        <v>68</v>
      </c>
      <c r="E54" s="32" t="s">
        <v>69</v>
      </c>
      <c r="F54" s="32" t="s">
        <v>70</v>
      </c>
      <c r="G54" s="33">
        <v>766.09</v>
      </c>
      <c r="H54" s="33">
        <f t="shared" si="1"/>
        <v>767.16168640810076</v>
      </c>
      <c r="I54" s="34">
        <v>49025163.460000001</v>
      </c>
      <c r="J54" s="34">
        <v>49093744.960000001</v>
      </c>
      <c r="K54" s="35">
        <v>17.02</v>
      </c>
      <c r="L54" s="35">
        <v>45721</v>
      </c>
      <c r="M54" s="29">
        <f t="shared" si="2"/>
        <v>49070884.460000001</v>
      </c>
      <c r="N54" s="8"/>
      <c r="O54" s="7"/>
      <c r="Q54" s="7">
        <v>1</v>
      </c>
    </row>
    <row r="55" spans="1:17" x14ac:dyDescent="0.2">
      <c r="A55" s="30" t="s">
        <v>82</v>
      </c>
      <c r="B55" s="30" t="s">
        <v>88</v>
      </c>
      <c r="C55" s="31">
        <v>21337</v>
      </c>
      <c r="D55" s="30" t="s">
        <v>68</v>
      </c>
      <c r="E55" s="32" t="s">
        <v>69</v>
      </c>
      <c r="F55" s="32" t="s">
        <v>70</v>
      </c>
      <c r="G55" s="33">
        <v>891.00400009373402</v>
      </c>
      <c r="H55" s="33">
        <f t="shared" si="1"/>
        <v>892.2504293012139</v>
      </c>
      <c r="I55" s="34">
        <v>19011352.350000001</v>
      </c>
      <c r="J55" s="34">
        <v>19037947.41</v>
      </c>
      <c r="K55" s="35">
        <v>17.02</v>
      </c>
      <c r="L55" s="35">
        <v>17730.04</v>
      </c>
      <c r="M55" s="29">
        <f t="shared" si="2"/>
        <v>19029082.390000001</v>
      </c>
      <c r="N55" s="8"/>
      <c r="O55" s="7"/>
      <c r="Q55" s="7">
        <v>1</v>
      </c>
    </row>
    <row r="56" spans="1:17" x14ac:dyDescent="0.2">
      <c r="A56" s="30" t="s">
        <v>82</v>
      </c>
      <c r="B56" s="30" t="s">
        <v>88</v>
      </c>
      <c r="C56" s="31">
        <v>49412</v>
      </c>
      <c r="D56" s="30" t="s">
        <v>68</v>
      </c>
      <c r="E56" s="32" t="s">
        <v>69</v>
      </c>
      <c r="F56" s="32" t="s">
        <v>70</v>
      </c>
      <c r="G56" s="33">
        <v>891.00400004047606</v>
      </c>
      <c r="H56" s="33">
        <f t="shared" si="1"/>
        <v>892.25042924795594</v>
      </c>
      <c r="I56" s="34">
        <v>44026289.649999991</v>
      </c>
      <c r="J56" s="34">
        <v>44087878.210000001</v>
      </c>
      <c r="K56" s="35">
        <v>17.02</v>
      </c>
      <c r="L56" s="35">
        <v>41059.040000000001</v>
      </c>
      <c r="M56" s="29">
        <f t="shared" si="2"/>
        <v>44067348.68999999</v>
      </c>
      <c r="N56" s="8"/>
      <c r="O56" s="7"/>
      <c r="Q56" s="7">
        <v>1</v>
      </c>
    </row>
    <row r="57" spans="1:17" x14ac:dyDescent="0.2">
      <c r="A57" s="30" t="s">
        <v>82</v>
      </c>
      <c r="B57" s="30" t="s">
        <v>87</v>
      </c>
      <c r="C57" s="31">
        <v>20896</v>
      </c>
      <c r="D57" s="30" t="s">
        <v>68</v>
      </c>
      <c r="E57" s="32" t="s">
        <v>69</v>
      </c>
      <c r="F57" s="32" t="s">
        <v>70</v>
      </c>
      <c r="G57" s="33">
        <v>766.09</v>
      </c>
      <c r="H57" s="33">
        <f t="shared" si="1"/>
        <v>767.16168644716686</v>
      </c>
      <c r="I57" s="34">
        <v>16008216.640000001</v>
      </c>
      <c r="J57" s="34">
        <v>16030610.6</v>
      </c>
      <c r="K57" s="35">
        <v>17.02</v>
      </c>
      <c r="L57" s="35">
        <v>14929.306666666702</v>
      </c>
      <c r="M57" s="29">
        <f t="shared" si="2"/>
        <v>16023145.946666667</v>
      </c>
      <c r="N57" s="8"/>
      <c r="O57" s="7"/>
      <c r="Q57" s="7">
        <v>1</v>
      </c>
    </row>
    <row r="58" spans="1:17" x14ac:dyDescent="0.2">
      <c r="A58" s="30" t="s">
        <v>82</v>
      </c>
      <c r="B58" s="30" t="s">
        <v>89</v>
      </c>
      <c r="C58" s="31">
        <v>6306</v>
      </c>
      <c r="D58" s="30" t="s">
        <v>68</v>
      </c>
      <c r="E58" s="32" t="s">
        <v>69</v>
      </c>
      <c r="F58" s="32" t="s">
        <v>70</v>
      </c>
      <c r="G58" s="33">
        <v>951.68199968284205</v>
      </c>
      <c r="H58" s="33">
        <f t="shared" si="1"/>
        <v>953.01331113225501</v>
      </c>
      <c r="I58" s="34">
        <v>6001306.6900000004</v>
      </c>
      <c r="J58" s="34">
        <v>6009701.9400000004</v>
      </c>
      <c r="K58" s="35">
        <v>17.02</v>
      </c>
      <c r="L58" s="35">
        <v>5596.833333333333</v>
      </c>
      <c r="M58" s="29">
        <f t="shared" si="2"/>
        <v>6006903.5233333334</v>
      </c>
      <c r="N58" s="8"/>
      <c r="O58" s="7"/>
      <c r="Q58" s="7">
        <v>1</v>
      </c>
    </row>
    <row r="59" spans="1:17" x14ac:dyDescent="0.2">
      <c r="A59" s="30" t="s">
        <v>82</v>
      </c>
      <c r="B59" s="30" t="s">
        <v>84</v>
      </c>
      <c r="C59" s="31">
        <v>964</v>
      </c>
      <c r="D59" s="30" t="s">
        <v>68</v>
      </c>
      <c r="E59" s="32" t="s">
        <v>69</v>
      </c>
      <c r="F59" s="32" t="s">
        <v>70</v>
      </c>
      <c r="G59" s="33">
        <v>1038.02</v>
      </c>
      <c r="H59" s="33">
        <f t="shared" si="1"/>
        <v>1039.4720954356847</v>
      </c>
      <c r="I59" s="34">
        <v>1000651.28</v>
      </c>
      <c r="J59" s="34">
        <v>1002051.1</v>
      </c>
      <c r="K59" s="35">
        <v>17.02</v>
      </c>
      <c r="L59" s="35">
        <v>933.21333333333303</v>
      </c>
      <c r="M59" s="29">
        <f t="shared" si="2"/>
        <v>1001584.4933333334</v>
      </c>
      <c r="N59" s="8"/>
      <c r="O59" s="7"/>
      <c r="Q59" s="7">
        <v>1</v>
      </c>
    </row>
    <row r="60" spans="1:17" x14ac:dyDescent="0.2">
      <c r="A60" s="30" t="s">
        <v>82</v>
      </c>
      <c r="B60" s="30" t="s">
        <v>85</v>
      </c>
      <c r="C60" s="31">
        <v>8361</v>
      </c>
      <c r="D60" s="30" t="s">
        <v>68</v>
      </c>
      <c r="E60" s="32" t="s">
        <v>69</v>
      </c>
      <c r="F60" s="32" t="s">
        <v>70</v>
      </c>
      <c r="G60" s="33">
        <v>1076.7109998803971</v>
      </c>
      <c r="H60" s="33">
        <f t="shared" si="1"/>
        <v>1078.2172156440618</v>
      </c>
      <c r="I60" s="34">
        <v>9002380.6699999999</v>
      </c>
      <c r="J60" s="34">
        <v>9014974.1400000006</v>
      </c>
      <c r="K60" s="35">
        <v>17.02</v>
      </c>
      <c r="L60" s="35">
        <v>8395.6466666666656</v>
      </c>
      <c r="M60" s="29">
        <f t="shared" si="2"/>
        <v>9010776.3166666664</v>
      </c>
      <c r="N60" s="8"/>
      <c r="O60" s="7"/>
      <c r="Q60" s="7">
        <v>1</v>
      </c>
    </row>
    <row r="61" spans="1:17" x14ac:dyDescent="0.2">
      <c r="A61" s="30" t="s">
        <v>82</v>
      </c>
      <c r="B61" s="30" t="s">
        <v>90</v>
      </c>
      <c r="C61" s="31">
        <v>58469</v>
      </c>
      <c r="D61" s="30" t="s">
        <v>68</v>
      </c>
      <c r="E61" s="32" t="s">
        <v>69</v>
      </c>
      <c r="F61" s="32" t="s">
        <v>70</v>
      </c>
      <c r="G61" s="33">
        <v>1009.207999965793</v>
      </c>
      <c r="H61" s="33">
        <f t="shared" si="1"/>
        <v>1010.6197851853118</v>
      </c>
      <c r="I61" s="34">
        <v>59007382.549999997</v>
      </c>
      <c r="J61" s="34">
        <v>59089928.219999999</v>
      </c>
      <c r="K61" s="35">
        <v>17.02</v>
      </c>
      <c r="L61" s="35">
        <v>55030.446666666707</v>
      </c>
      <c r="M61" s="29">
        <f t="shared" si="2"/>
        <v>59062412.996666662</v>
      </c>
      <c r="N61" s="8"/>
      <c r="O61" s="7"/>
      <c r="Q61" s="7">
        <v>1</v>
      </c>
    </row>
    <row r="62" spans="1:17" x14ac:dyDescent="0.2">
      <c r="A62" s="30" t="s">
        <v>82</v>
      </c>
      <c r="B62" s="30" t="s">
        <v>87</v>
      </c>
      <c r="C62" s="31">
        <v>75748</v>
      </c>
      <c r="D62" s="30" t="s">
        <v>68</v>
      </c>
      <c r="E62" s="32" t="s">
        <v>69</v>
      </c>
      <c r="F62" s="32" t="s">
        <v>70</v>
      </c>
      <c r="G62" s="33">
        <v>766.09</v>
      </c>
      <c r="H62" s="33">
        <f t="shared" si="1"/>
        <v>767.16168651317525</v>
      </c>
      <c r="I62" s="34">
        <v>58029785.32</v>
      </c>
      <c r="J62" s="34">
        <v>58110963.43</v>
      </c>
      <c r="K62" s="35">
        <v>17.02</v>
      </c>
      <c r="L62" s="35">
        <v>54118.74</v>
      </c>
      <c r="M62" s="29">
        <f t="shared" si="2"/>
        <v>58083904.060000002</v>
      </c>
      <c r="N62" s="8"/>
      <c r="O62" s="7"/>
      <c r="Q62" s="7">
        <v>1</v>
      </c>
    </row>
    <row r="63" spans="1:17" x14ac:dyDescent="0.2">
      <c r="A63" s="30" t="s">
        <v>82</v>
      </c>
      <c r="B63" s="30" t="s">
        <v>88</v>
      </c>
      <c r="C63" s="31">
        <v>60642</v>
      </c>
      <c r="D63" s="30" t="s">
        <v>68</v>
      </c>
      <c r="E63" s="32" t="s">
        <v>69</v>
      </c>
      <c r="F63" s="32" t="s">
        <v>70</v>
      </c>
      <c r="G63" s="33">
        <v>891.00400003298</v>
      </c>
      <c r="H63" s="33">
        <f t="shared" si="1"/>
        <v>892.25042924046045</v>
      </c>
      <c r="I63" s="34">
        <v>54032264.57</v>
      </c>
      <c r="J63" s="34">
        <v>54107850.530000001</v>
      </c>
      <c r="K63" s="35">
        <v>17.02</v>
      </c>
      <c r="L63" s="35">
        <v>50390.64</v>
      </c>
      <c r="M63" s="29">
        <f t="shared" si="2"/>
        <v>54082655.210000001</v>
      </c>
      <c r="N63" s="8"/>
      <c r="O63" s="7"/>
      <c r="Q63" s="7">
        <v>1</v>
      </c>
    </row>
    <row r="64" spans="1:17" x14ac:dyDescent="0.2">
      <c r="A64" s="30" t="s">
        <v>82</v>
      </c>
      <c r="B64" s="30" t="s">
        <v>86</v>
      </c>
      <c r="C64" s="31">
        <v>3728</v>
      </c>
      <c r="D64" s="30" t="s">
        <v>68</v>
      </c>
      <c r="E64" s="32" t="s">
        <v>69</v>
      </c>
      <c r="F64" s="32" t="s">
        <v>70</v>
      </c>
      <c r="G64" s="33">
        <v>1073.852001072961</v>
      </c>
      <c r="H64" s="33">
        <f t="shared" si="1"/>
        <v>1075.3542167381975</v>
      </c>
      <c r="I64" s="34">
        <v>4003320.26</v>
      </c>
      <c r="J64" s="34">
        <v>4008920.52</v>
      </c>
      <c r="K64" s="35">
        <v>17.02</v>
      </c>
      <c r="L64" s="35">
        <v>3733.5066666666662</v>
      </c>
      <c r="M64" s="29">
        <f t="shared" si="2"/>
        <v>4007053.7666666666</v>
      </c>
      <c r="N64" s="8"/>
      <c r="O64" s="7"/>
      <c r="Q64" s="7">
        <v>1</v>
      </c>
    </row>
    <row r="65" spans="1:17" x14ac:dyDescent="0.2">
      <c r="A65" s="30" t="s">
        <v>82</v>
      </c>
      <c r="B65" s="30" t="s">
        <v>91</v>
      </c>
      <c r="C65" s="31">
        <v>4955</v>
      </c>
      <c r="D65" s="30" t="s">
        <v>68</v>
      </c>
      <c r="E65" s="32" t="s">
        <v>69</v>
      </c>
      <c r="F65" s="32" t="s">
        <v>70</v>
      </c>
      <c r="G65" s="33">
        <v>1009.161001009081</v>
      </c>
      <c r="H65" s="33">
        <f t="shared" si="1"/>
        <v>1010.5727204843593</v>
      </c>
      <c r="I65" s="34">
        <v>5000392.76</v>
      </c>
      <c r="J65" s="34">
        <v>5007387.83</v>
      </c>
      <c r="K65" s="35">
        <v>17.02</v>
      </c>
      <c r="L65" s="35">
        <v>4663.38</v>
      </c>
      <c r="M65" s="29">
        <f t="shared" si="2"/>
        <v>5005056.1399999997</v>
      </c>
      <c r="N65" s="8"/>
      <c r="O65" s="7"/>
      <c r="Q65" s="7">
        <v>1</v>
      </c>
    </row>
    <row r="66" spans="1:17" x14ac:dyDescent="0.2">
      <c r="A66" s="30" t="s">
        <v>82</v>
      </c>
      <c r="B66" s="30" t="s">
        <v>92</v>
      </c>
      <c r="C66" s="31">
        <v>24480</v>
      </c>
      <c r="D66" s="30" t="s">
        <v>68</v>
      </c>
      <c r="E66" s="32" t="s">
        <v>69</v>
      </c>
      <c r="F66" s="32" t="s">
        <v>70</v>
      </c>
      <c r="G66" s="33">
        <v>981.00600000000009</v>
      </c>
      <c r="H66" s="33">
        <f t="shared" si="1"/>
        <v>982.37833333333344</v>
      </c>
      <c r="I66" s="34">
        <v>24015026.879999999</v>
      </c>
      <c r="J66" s="34">
        <v>24048621.600000001</v>
      </c>
      <c r="K66" s="35">
        <v>17.02</v>
      </c>
      <c r="L66" s="35">
        <v>22396.48</v>
      </c>
      <c r="M66" s="29">
        <f t="shared" si="2"/>
        <v>24037423.359999999</v>
      </c>
      <c r="N66" s="8"/>
      <c r="O66" s="7"/>
      <c r="Q66" s="7">
        <v>1</v>
      </c>
    </row>
    <row r="67" spans="1:17" x14ac:dyDescent="0.2">
      <c r="A67" s="30" t="s">
        <v>82</v>
      </c>
      <c r="B67" s="30" t="s">
        <v>90</v>
      </c>
      <c r="C67" s="31">
        <v>14865</v>
      </c>
      <c r="D67" s="30" t="s">
        <v>68</v>
      </c>
      <c r="E67" s="32" t="s">
        <v>69</v>
      </c>
      <c r="F67" s="32" t="s">
        <v>70</v>
      </c>
      <c r="G67" s="33">
        <v>1009.2080000000001</v>
      </c>
      <c r="H67" s="33">
        <f t="shared" si="1"/>
        <v>1010.6197854019508</v>
      </c>
      <c r="I67" s="34">
        <v>15001876.92</v>
      </c>
      <c r="J67" s="34">
        <v>15022863.109999999</v>
      </c>
      <c r="K67" s="35">
        <v>17.02</v>
      </c>
      <c r="L67" s="35">
        <v>13990.7933333333</v>
      </c>
      <c r="M67" s="29">
        <f t="shared" si="2"/>
        <v>15015867.713333333</v>
      </c>
      <c r="N67" s="8"/>
      <c r="O67" s="7"/>
      <c r="Q67" s="7">
        <v>1</v>
      </c>
    </row>
    <row r="68" spans="1:17" x14ac:dyDescent="0.2">
      <c r="A68" s="30" t="s">
        <v>82</v>
      </c>
      <c r="B68" s="30" t="s">
        <v>93</v>
      </c>
      <c r="C68" s="31">
        <v>1216</v>
      </c>
      <c r="D68" s="30" t="s">
        <v>68</v>
      </c>
      <c r="E68" s="32" t="s">
        <v>69</v>
      </c>
      <c r="F68" s="32" t="s">
        <v>70</v>
      </c>
      <c r="G68" s="33">
        <v>822.79300164473705</v>
      </c>
      <c r="H68" s="33">
        <f t="shared" si="1"/>
        <v>823.9440131578948</v>
      </c>
      <c r="I68" s="34">
        <v>1000516.29</v>
      </c>
      <c r="J68" s="34">
        <v>1001915.92</v>
      </c>
      <c r="K68" s="35">
        <v>17.02</v>
      </c>
      <c r="L68" s="35">
        <v>933.08666666666716</v>
      </c>
      <c r="M68" s="29">
        <f t="shared" si="2"/>
        <v>1001449.3766666667</v>
      </c>
      <c r="N68" s="8"/>
      <c r="O68" s="7"/>
      <c r="Q68" s="7">
        <v>1</v>
      </c>
    </row>
    <row r="69" spans="1:17" x14ac:dyDescent="0.2">
      <c r="A69" s="30" t="s">
        <v>71</v>
      </c>
      <c r="B69" s="30" t="s">
        <v>72</v>
      </c>
      <c r="C69" s="31">
        <v>81571</v>
      </c>
      <c r="D69" s="30" t="s">
        <v>68</v>
      </c>
      <c r="E69" s="32" t="s">
        <v>69</v>
      </c>
      <c r="F69" s="32" t="s">
        <v>70</v>
      </c>
      <c r="G69" s="33">
        <v>527.21989996444813</v>
      </c>
      <c r="H69" s="33">
        <f t="shared" si="1"/>
        <v>527.95743009157673</v>
      </c>
      <c r="I69" s="34">
        <v>43005854.459999993</v>
      </c>
      <c r="J69" s="34">
        <v>43066015.530000001</v>
      </c>
      <c r="K69" s="35">
        <v>17.02</v>
      </c>
      <c r="L69" s="35">
        <v>40107.379999999997</v>
      </c>
      <c r="M69" s="29">
        <f t="shared" si="2"/>
        <v>43045961.839999996</v>
      </c>
      <c r="N69" s="8"/>
      <c r="O69" s="7"/>
      <c r="Q69" s="7">
        <v>1</v>
      </c>
    </row>
    <row r="70" spans="1:17" x14ac:dyDescent="0.2">
      <c r="A70" s="30" t="s">
        <v>66</v>
      </c>
      <c r="B70" s="30" t="s">
        <v>94</v>
      </c>
      <c r="C70" s="31">
        <v>1359000</v>
      </c>
      <c r="D70" s="30" t="s">
        <v>68</v>
      </c>
      <c r="E70" s="32" t="s">
        <v>69</v>
      </c>
      <c r="F70" s="32" t="s">
        <v>70</v>
      </c>
      <c r="G70" s="33">
        <v>1000.345</v>
      </c>
      <c r="H70" s="33">
        <f t="shared" si="1"/>
        <v>1001.7452089330391</v>
      </c>
      <c r="I70" s="34">
        <v>1359468855</v>
      </c>
      <c r="J70" s="34">
        <v>1361371738.9400001</v>
      </c>
      <c r="K70" s="35">
        <v>17.03</v>
      </c>
      <c r="L70" s="35">
        <v>1268589.29333333</v>
      </c>
      <c r="M70" s="29">
        <f t="shared" si="2"/>
        <v>1360737444.2933333</v>
      </c>
      <c r="N70" s="8"/>
      <c r="O70" s="7"/>
      <c r="Q70" s="7">
        <v>1</v>
      </c>
    </row>
    <row r="71" spans="1:17" hidden="1" x14ac:dyDescent="0.2">
      <c r="A71" s="30"/>
      <c r="B71" s="30"/>
      <c r="C71" s="31"/>
      <c r="D71" s="30"/>
      <c r="E71" s="32"/>
      <c r="F71" s="32"/>
      <c r="G71" s="33"/>
      <c r="H71" s="33"/>
      <c r="I71" s="34"/>
      <c r="J71" s="34"/>
      <c r="K71" s="35"/>
      <c r="L71" s="29"/>
      <c r="M71" s="29"/>
      <c r="N71" s="8"/>
      <c r="O71" s="7"/>
    </row>
    <row r="72" spans="1:17" s="11" customFormat="1" x14ac:dyDescent="0.2">
      <c r="A72" s="36"/>
      <c r="B72" s="37" t="s">
        <v>5</v>
      </c>
      <c r="C72" s="36"/>
      <c r="D72" s="36"/>
      <c r="E72" s="36"/>
      <c r="F72" s="36"/>
      <c r="G72" s="36"/>
      <c r="H72" s="36"/>
      <c r="I72" s="36"/>
      <c r="J72" s="36"/>
      <c r="K72" s="36"/>
      <c r="L72" s="36" t="s">
        <v>44</v>
      </c>
      <c r="M72" s="38">
        <f>SUMIF(Q35:Q71,1,M35:M71)</f>
        <v>2310112478.9933338</v>
      </c>
      <c r="N72" s="60">
        <v>2310112478.9933338</v>
      </c>
      <c r="O72" s="61">
        <f>M72-N72</f>
        <v>0</v>
      </c>
    </row>
    <row r="74" spans="1:17" ht="22.5" x14ac:dyDescent="0.2">
      <c r="A74" s="25" t="s">
        <v>37</v>
      </c>
    </row>
    <row r="75" spans="1:17" ht="22.5" x14ac:dyDescent="0.2">
      <c r="A75" s="12" t="s">
        <v>7</v>
      </c>
      <c r="B75" s="12" t="s">
        <v>38</v>
      </c>
      <c r="C75" s="12" t="s">
        <v>26</v>
      </c>
      <c r="D75" s="12" t="s">
        <v>39</v>
      </c>
      <c r="E75" s="12" t="s">
        <v>25</v>
      </c>
      <c r="F75" s="12" t="s">
        <v>40</v>
      </c>
      <c r="G75" s="12" t="s">
        <v>41</v>
      </c>
      <c r="N75" s="8"/>
      <c r="O75" s="7"/>
    </row>
    <row r="76" spans="1:17" hidden="1" x14ac:dyDescent="0.2">
      <c r="A76" s="40"/>
      <c r="B76" s="40"/>
      <c r="C76" s="30"/>
      <c r="D76" s="41"/>
      <c r="E76" s="27"/>
      <c r="F76" s="27"/>
      <c r="G76" s="29"/>
      <c r="N76" s="8"/>
      <c r="O76" s="7"/>
    </row>
    <row r="77" spans="1:17" s="11" customFormat="1" x14ac:dyDescent="0.2">
      <c r="A77" s="42"/>
      <c r="B77" s="43" t="s">
        <v>5</v>
      </c>
      <c r="C77" s="44"/>
      <c r="D77" s="45"/>
      <c r="E77" s="46">
        <f>SUM(E76:E76)</f>
        <v>0</v>
      </c>
      <c r="F77" s="38">
        <f>SUM(F76:F76)</f>
        <v>0</v>
      </c>
      <c r="G77" s="38">
        <f>SUM(G76:G76)</f>
        <v>0</v>
      </c>
      <c r="N77" s="39"/>
    </row>
    <row r="78" spans="1:17" x14ac:dyDescent="0.2">
      <c r="A78" s="47"/>
      <c r="D78" s="48"/>
      <c r="G78" s="49"/>
    </row>
    <row r="79" spans="1:17" x14ac:dyDescent="0.2">
      <c r="A79" s="50" t="s">
        <v>22</v>
      </c>
      <c r="B79" s="51">
        <f>L26+B29+M72</f>
        <v>29080690452.233871</v>
      </c>
      <c r="C79" s="62">
        <v>29080690452.290543</v>
      </c>
      <c r="D79" s="62">
        <f>__mdDATAItogoActive__-C79</f>
        <v>-5.6671142578125E-2</v>
      </c>
    </row>
    <row r="80" spans="1:17" x14ac:dyDescent="0.2">
      <c r="D80" s="52"/>
      <c r="E80" s="52"/>
    </row>
    <row r="82" spans="1:15" x14ac:dyDescent="0.2">
      <c r="A82" s="50" t="s">
        <v>47</v>
      </c>
      <c r="B82" s="50"/>
      <c r="C82" s="50"/>
      <c r="F82" s="52"/>
      <c r="O82" s="7"/>
    </row>
    <row r="83" spans="1:15" x14ac:dyDescent="0.2">
      <c r="O83" s="7"/>
    </row>
    <row r="84" spans="1:15" x14ac:dyDescent="0.2">
      <c r="A84" s="63" t="s">
        <v>48</v>
      </c>
      <c r="B84" s="63"/>
      <c r="C84" s="63"/>
      <c r="D84" s="63"/>
      <c r="O84" s="7"/>
    </row>
    <row r="85" spans="1:15" x14ac:dyDescent="0.2">
      <c r="O85" s="7"/>
    </row>
    <row r="86" spans="1:15" ht="22.5" x14ac:dyDescent="0.2">
      <c r="A86" s="12" t="s">
        <v>7</v>
      </c>
      <c r="B86" s="12" t="s">
        <v>38</v>
      </c>
      <c r="C86" s="12" t="s">
        <v>26</v>
      </c>
      <c r="D86" s="12" t="s">
        <v>39</v>
      </c>
      <c r="E86" s="12" t="s">
        <v>25</v>
      </c>
      <c r="F86" s="12" t="s">
        <v>40</v>
      </c>
      <c r="G86" s="12" t="s">
        <v>41</v>
      </c>
      <c r="O86" s="7"/>
    </row>
    <row r="87" spans="1:15" hidden="1" x14ac:dyDescent="0.2">
      <c r="A87" s="53"/>
      <c r="B87" s="53"/>
      <c r="C87" s="53"/>
      <c r="D87" s="53"/>
      <c r="E87" s="53"/>
      <c r="F87" s="53"/>
      <c r="G87" s="53"/>
      <c r="O87" s="7"/>
    </row>
    <row r="88" spans="1:15" s="11" customFormat="1" x14ac:dyDescent="0.2">
      <c r="A88" s="36"/>
      <c r="B88" s="37" t="s">
        <v>5</v>
      </c>
      <c r="C88" s="36"/>
      <c r="D88" s="36"/>
      <c r="E88" s="46">
        <f>SUM(E87:E87)</f>
        <v>0</v>
      </c>
      <c r="F88" s="38">
        <f>SUM(F87:F87)</f>
        <v>0</v>
      </c>
      <c r="G88" s="38">
        <f>SUM(G87:G87)</f>
        <v>0</v>
      </c>
    </row>
    <row r="89" spans="1:15" s="11" customFormat="1" x14ac:dyDescent="0.2">
      <c r="B89" s="54"/>
    </row>
    <row r="90" spans="1:15" x14ac:dyDescent="0.2">
      <c r="A90" s="63" t="s">
        <v>49</v>
      </c>
      <c r="B90" s="63"/>
      <c r="O90" s="7"/>
    </row>
    <row r="91" spans="1:15" x14ac:dyDescent="0.2">
      <c r="O91" s="7"/>
    </row>
    <row r="92" spans="1:15" x14ac:dyDescent="0.2">
      <c r="A92" s="12" t="s">
        <v>7</v>
      </c>
      <c r="B92" s="12" t="s">
        <v>38</v>
      </c>
      <c r="C92" s="12" t="s">
        <v>50</v>
      </c>
      <c r="D92" s="12" t="s">
        <v>51</v>
      </c>
      <c r="O92" s="7"/>
    </row>
    <row r="93" spans="1:15" x14ac:dyDescent="0.2">
      <c r="A93" s="22" t="s">
        <v>52</v>
      </c>
      <c r="B93" s="22">
        <v>1</v>
      </c>
      <c r="C93" s="22">
        <v>2</v>
      </c>
      <c r="D93" s="22">
        <v>3</v>
      </c>
      <c r="O93" s="7"/>
    </row>
    <row r="94" spans="1:15" x14ac:dyDescent="0.2">
      <c r="A94" s="22">
        <v>1</v>
      </c>
      <c r="B94" s="53" t="s">
        <v>53</v>
      </c>
      <c r="C94" s="55">
        <v>0</v>
      </c>
      <c r="D94" s="22"/>
      <c r="E94" s="52"/>
      <c r="O94" s="7"/>
    </row>
    <row r="95" spans="1:15" x14ac:dyDescent="0.2">
      <c r="A95" s="22">
        <v>2</v>
      </c>
      <c r="B95" s="53" t="s">
        <v>54</v>
      </c>
      <c r="C95" s="55">
        <v>0</v>
      </c>
      <c r="D95" s="22"/>
      <c r="E95" s="52"/>
      <c r="O95" s="7"/>
    </row>
    <row r="96" spans="1:15" x14ac:dyDescent="0.2">
      <c r="A96" s="22">
        <v>3</v>
      </c>
      <c r="B96" s="53" t="s">
        <v>55</v>
      </c>
      <c r="C96" s="55">
        <v>492022</v>
      </c>
      <c r="D96" s="22"/>
      <c r="F96" s="52"/>
      <c r="O96" s="7"/>
    </row>
    <row r="97" spans="1:15" x14ac:dyDescent="0.2">
      <c r="A97" s="22">
        <v>4</v>
      </c>
      <c r="B97" s="53" t="s">
        <v>56</v>
      </c>
      <c r="C97" s="55">
        <v>0</v>
      </c>
      <c r="D97" s="22"/>
      <c r="O97" s="7"/>
    </row>
    <row r="98" spans="1:15" ht="22.5" x14ac:dyDescent="0.2">
      <c r="A98" s="22">
        <v>5</v>
      </c>
      <c r="B98" s="56" t="s">
        <v>57</v>
      </c>
      <c r="C98" s="55">
        <v>369718.98</v>
      </c>
      <c r="D98" s="22"/>
      <c r="F98" s="52"/>
      <c r="O98" s="7"/>
    </row>
    <row r="99" spans="1:15" x14ac:dyDescent="0.2">
      <c r="A99" s="22">
        <v>6</v>
      </c>
      <c r="B99" s="53" t="s">
        <v>58</v>
      </c>
      <c r="C99" s="55">
        <v>144794.43</v>
      </c>
      <c r="D99" s="55"/>
      <c r="O99" s="7"/>
    </row>
    <row r="100" spans="1:15" x14ac:dyDescent="0.2">
      <c r="A100" s="22">
        <v>7</v>
      </c>
      <c r="B100" s="53" t="s">
        <v>59</v>
      </c>
      <c r="C100" s="55">
        <v>24727.61</v>
      </c>
      <c r="D100" s="55"/>
      <c r="O100" s="7"/>
    </row>
    <row r="101" spans="1:15" x14ac:dyDescent="0.2">
      <c r="A101" s="22">
        <v>8</v>
      </c>
      <c r="B101" s="53" t="s">
        <v>60</v>
      </c>
      <c r="C101" s="55">
        <v>0</v>
      </c>
      <c r="D101" s="22"/>
      <c r="O101" s="7"/>
    </row>
    <row r="102" spans="1:15" ht="22.5" x14ac:dyDescent="0.2">
      <c r="A102" s="22">
        <v>9</v>
      </c>
      <c r="B102" s="56" t="s">
        <v>61</v>
      </c>
      <c r="C102" s="55">
        <v>0</v>
      </c>
      <c r="D102" s="22"/>
      <c r="O102" s="7"/>
    </row>
    <row r="103" spans="1:15" ht="22.5" x14ac:dyDescent="0.2">
      <c r="A103" s="22">
        <v>10</v>
      </c>
      <c r="B103" s="56" t="s">
        <v>62</v>
      </c>
      <c r="C103" s="55">
        <v>0</v>
      </c>
      <c r="D103" s="22"/>
      <c r="E103" s="52"/>
      <c r="O103" s="7"/>
    </row>
    <row r="104" spans="1:15" x14ac:dyDescent="0.2">
      <c r="A104" s="64" t="s">
        <v>63</v>
      </c>
      <c r="B104" s="64"/>
      <c r="C104" s="57">
        <f>SUM(C94:C103)</f>
        <v>1031263.0199999999</v>
      </c>
      <c r="D104" s="53"/>
      <c r="O104" s="7"/>
    </row>
    <row r="106" spans="1:15" x14ac:dyDescent="0.2">
      <c r="C106" s="49"/>
    </row>
    <row r="107" spans="1:15" x14ac:dyDescent="0.2">
      <c r="C107" s="52"/>
    </row>
    <row r="108" spans="1:15" x14ac:dyDescent="0.2">
      <c r="C108" s="52"/>
      <c r="D108" s="52"/>
    </row>
    <row r="109" spans="1:15" x14ac:dyDescent="0.2">
      <c r="C109" s="52"/>
    </row>
  </sheetData>
  <mergeCells count="3">
    <mergeCell ref="A84:D84"/>
    <mergeCell ref="A90:B90"/>
    <mergeCell ref="A104:B10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14.12.2025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2025-12-15T06:25:20Z</dcterms:created>
  <dcterms:modified xsi:type="dcterms:W3CDTF">2025-12-17T06:38:48Z</dcterms:modified>
</cp:coreProperties>
</file>