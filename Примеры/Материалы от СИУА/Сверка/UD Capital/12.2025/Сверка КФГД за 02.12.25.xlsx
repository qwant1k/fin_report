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80A9B9AD-53AD-445D-9EA3-3201CED74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4" i="1" s="1"/>
  <c r="M9" i="1" l="1"/>
  <c r="M13" i="1"/>
  <c r="M17" i="1"/>
  <c r="M15" i="1"/>
  <c r="M8" i="1"/>
  <c r="M21" i="1"/>
  <c r="M10" i="1"/>
  <c r="M14" i="1"/>
  <c r="M18" i="1"/>
  <c r="M22" i="1"/>
  <c r="M11" i="1"/>
  <c r="M19" i="1"/>
  <c r="M23" i="1"/>
  <c r="M12" i="1"/>
  <c r="M16" i="1"/>
  <c r="M20" i="1"/>
  <c r="M26" i="1" l="1"/>
</calcChain>
</file>

<file path=xl/sharedStrings.xml><?xml version="1.0" encoding="utf-8"?>
<sst xmlns="http://schemas.openxmlformats.org/spreadsheetml/2006/main" count="1100" uniqueCount="495">
  <si>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</si>
  <si>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</si>
  <si>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</si>
  <si>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</si>
  <si>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</si>
  <si>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</si>
  <si>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</si>
  <si>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</si>
  <si>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</si>
  <si>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</si>
  <si>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</si>
  <si>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</si>
  <si>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</si>
  <si>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</si>
  <si>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</si>
  <si>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</si>
  <si>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</si>
  <si>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</si>
  <si>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</si>
  <si>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</si>
  <si>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</si>
  <si>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</si>
  <si>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</si>
  <si>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</si>
  <si>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</si>
  <si>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</si>
  <si>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</si>
  <si>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</si>
  <si>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</si>
  <si>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</si>
  <si>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</si>
  <si>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</si>
  <si>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</si>
  <si>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</si>
  <si>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</si>
  <si>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</si>
  <si>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</si>
  <si>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</si>
  <si>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</si>
  <si>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</si>
  <si>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</si>
  <si>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</si>
  <si>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</si>
  <si>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</si>
  <si>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</si>
  <si>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</si>
  <si>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</si>
  <si>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</si>
  <si>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</si>
  <si>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</si>
  <si>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</si>
  <si>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</si>
  <si>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</si>
  <si>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</si>
  <si>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</si>
  <si>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</si>
  <si>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</si>
  <si>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</si>
  <si>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</si>
  <si>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</si>
  <si>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</si>
  <si>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</si>
  <si>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</si>
  <si>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</si>
  <si>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</si>
  <si>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</si>
  <si>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</si>
  <si>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KZKD00000758</t>
  </si>
  <si>
    <t>KZT</t>
  </si>
  <si>
    <t>01.12.2025</t>
  </si>
  <si>
    <t>02.12.2025</t>
  </si>
  <si>
    <t>АО "Казахстанский фонд устойчивости"</t>
  </si>
  <si>
    <t>KZ2C00012136</t>
  </si>
  <si>
    <t>KZKD00001137</t>
  </si>
  <si>
    <t>03.12.2025</t>
  </si>
  <si>
    <t>KZ96601A861038102391</t>
  </si>
  <si>
    <t>KZK200000760</t>
  </si>
  <si>
    <t>14.08.2025</t>
  </si>
  <si>
    <t>07.08.2029</t>
  </si>
  <si>
    <t>18.07.2024</t>
  </si>
  <si>
    <t>12.04.2028</t>
  </si>
  <si>
    <t>KZKD00001152</t>
  </si>
  <si>
    <t>26.07.2032</t>
  </si>
  <si>
    <t>KZKD00000444</t>
  </si>
  <si>
    <t>21.08.2025</t>
  </si>
  <si>
    <t>18.08.2026</t>
  </si>
  <si>
    <t>KZKD00000790</t>
  </si>
  <si>
    <t>10.07.2025</t>
  </si>
  <si>
    <t>13.08.2029</t>
  </si>
  <si>
    <t>KZK100000373</t>
  </si>
  <si>
    <t>13.03.2025</t>
  </si>
  <si>
    <t>06.02.2026</t>
  </si>
  <si>
    <t>KZKD00000477</t>
  </si>
  <si>
    <t>24.07.2025</t>
  </si>
  <si>
    <t>19.10.2027</t>
  </si>
  <si>
    <t>KZKD00000949</t>
  </si>
  <si>
    <t>16.04.2032</t>
  </si>
  <si>
    <t>KZKD00000832</t>
  </si>
  <si>
    <t>29.01.2035</t>
  </si>
  <si>
    <t>KZK200000687</t>
  </si>
  <si>
    <t>21.01.2026</t>
  </si>
  <si>
    <t>KZKD00000741</t>
  </si>
  <si>
    <t>12.05.2034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</si>
  <si>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</si>
  <si>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</si>
  <si>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</si>
  <si>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</si>
  <si>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</si>
  <si>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</si>
  <si>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KZKD00001160</t>
  </si>
  <si>
    <t>28.07.2029</t>
  </si>
  <si>
    <t>KZKD00001129</t>
  </si>
  <si>
    <t>17.03.2031</t>
  </si>
  <si>
    <t>KZKD00001251</t>
  </si>
  <si>
    <t>07.03.2030</t>
  </si>
  <si>
    <t>KZKD00000535</t>
  </si>
  <si>
    <t>27.03.2027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</si>
  <si>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</si>
  <si>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</si>
  <si>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</si>
  <si>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</si>
  <si>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</si>
  <si>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</si>
  <si>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</si>
  <si>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</si>
  <si>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</si>
  <si>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</si>
  <si>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</si>
  <si>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</si>
  <si>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</si>
  <si>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</si>
  <si>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</si>
  <si>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</si>
  <si>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</si>
  <si>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</si>
  <si>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</si>
  <si>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</si>
  <si>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</si>
  <si>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</si>
  <si>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</si>
  <si>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</si>
  <si>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</si>
  <si>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</si>
  <si>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</si>
  <si>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</si>
  <si>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</si>
  <si>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</si>
  <si>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</si>
  <si>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</si>
  <si>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</si>
  <si>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</si>
  <si>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</si>
  <si>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</si>
  <si>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</si>
  <si>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</si>
  <si>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</si>
  <si>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</si>
  <si>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</si>
  <si>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</si>
  <si>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</si>
  <si>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</si>
  <si>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</si>
  <si>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</si>
  <si>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</si>
  <si>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</si>
  <si>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</si>
  <si>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</si>
  <si>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</si>
  <si>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</si>
  <si>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</si>
  <si>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MFMOb32</t>
  </si>
  <si>
    <t>KZ2P00014590</t>
  </si>
  <si>
    <t>BIGDb1</t>
  </si>
  <si>
    <t>KZ2D00012457</t>
  </si>
  <si>
    <t>MFMOb23</t>
  </si>
  <si>
    <t>KZ2P00013154</t>
  </si>
  <si>
    <t>MFTSb3</t>
  </si>
  <si>
    <t>KZ2P00014400</t>
  </si>
  <si>
    <t>FPSTb5</t>
  </si>
  <si>
    <t>KZ2P00011778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</si>
  <si>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</si>
  <si>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</si>
  <si>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</si>
  <si>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</si>
  <si>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</si>
  <si>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</si>
  <si>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</si>
  <si>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</si>
  <si>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</si>
  <si>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</si>
  <si>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</si>
  <si>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</si>
  <si>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</si>
  <si>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</si>
  <si>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</si>
  <si>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</si>
  <si>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</si>
  <si>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</si>
  <si>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</si>
  <si>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</si>
  <si>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</si>
  <si>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</si>
  <si>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</si>
  <si>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</si>
  <si>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</si>
  <si>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</si>
  <si>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</si>
  <si>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</si>
  <si>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</si>
  <si>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</si>
  <si>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</si>
  <si>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</si>
  <si>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</si>
  <si>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</si>
  <si>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</si>
  <si>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MFMOb15</t>
  </si>
  <si>
    <t>KZ2P00013295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</si>
  <si>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</si>
  <si>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</si>
  <si>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</si>
  <si>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</si>
  <si>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</si>
  <si>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</si>
  <si>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</si>
  <si>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</si>
  <si>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MFLGb18</t>
  </si>
  <si>
    <t>KZ2P00014269</t>
  </si>
  <si>
    <t>MFMCb2</t>
  </si>
  <si>
    <t>KZ2P00011968</t>
  </si>
  <si>
    <t>MFRFb19</t>
  </si>
  <si>
    <t>KZ2P00014004</t>
  </si>
  <si>
    <t>BIGDb6</t>
  </si>
  <si>
    <t>KZ2D00015328</t>
  </si>
  <si>
    <t>MFLGb17</t>
  </si>
  <si>
    <t>KZ2P00014251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</si>
  <si>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</si>
  <si>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</si>
  <si>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</si>
  <si>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</si>
  <si>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</si>
  <si>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</si>
  <si>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</si>
  <si>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</si>
  <si>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</si>
  <si>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</si>
  <si>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</si>
  <si>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</si>
  <si>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</si>
  <si>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</si>
  <si>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</si>
  <si>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</si>
  <si>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</si>
  <si>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</si>
  <si>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</si>
  <si>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KZIKb27</t>
  </si>
  <si>
    <t>KZ2C00003333</t>
  </si>
  <si>
    <t>АО "КАЗАХСТАНСКАЯ ИПОТЕЧНАЯ КОМПАНИЯ"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</si>
  <si>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</si>
  <si>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</si>
  <si>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</si>
  <si>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</si>
  <si>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</si>
  <si>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</si>
  <si>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</si>
  <si>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</si>
  <si>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</si>
  <si>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</si>
  <si>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HCBNb15</t>
  </si>
  <si>
    <t>KZ2C00011401</t>
  </si>
  <si>
    <t>NTK028_2869</t>
  </si>
  <si>
    <t>KZW100014353</t>
  </si>
  <si>
    <t>HCBNb14</t>
  </si>
  <si>
    <t>KZ2C00011351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</si>
  <si>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</si>
  <si>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</si>
  <si>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</si>
  <si>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</si>
  <si>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</si>
  <si>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</si>
  <si>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</si>
  <si>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</si>
  <si>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</si>
  <si>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</si>
  <si>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</si>
  <si>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</si>
  <si>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</si>
  <si>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</si>
  <si>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</si>
  <si>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</si>
  <si>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</si>
  <si>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</si>
  <si>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</si>
  <si>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</si>
  <si>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</si>
  <si>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</si>
  <si>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</si>
  <si>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</si>
  <si>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</si>
  <si>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</si>
  <si>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</si>
  <si>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</si>
  <si>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</si>
  <si>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</si>
  <si>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</si>
  <si>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</si>
  <si>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</si>
  <si>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</si>
  <si>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</si>
  <si>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</si>
  <si>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</si>
  <si>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</si>
  <si>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</si>
  <si>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</si>
  <si>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</si>
  <si>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</si>
  <si>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</si>
  <si>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</si>
  <si>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</si>
  <si>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</si>
  <si>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</si>
  <si>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</si>
  <si>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</si>
  <si>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</si>
  <si>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</si>
  <si>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</si>
  <si>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</si>
  <si>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</si>
  <si>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</si>
  <si>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</si>
  <si>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</si>
  <si>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</si>
  <si>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</si>
  <si>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</si>
  <si>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</si>
  <si>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</si>
  <si>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</si>
  <si>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</si>
  <si>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</si>
  <si>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</si>
  <si>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</si>
  <si>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</si>
  <si>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</si>
  <si>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</si>
  <si>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</si>
  <si>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</si>
  <si>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</si>
  <si>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</si>
  <si>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</si>
  <si>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</si>
  <si>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</si>
  <si>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</si>
  <si>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</si>
  <si>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</si>
  <si>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</si>
  <si>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</si>
  <si>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</si>
  <si>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</si>
  <si>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</si>
  <si>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</si>
  <si>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</si>
  <si>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</si>
  <si>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</si>
  <si>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</si>
  <si>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</si>
  <si>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</si>
  <si>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</si>
  <si>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</si>
  <si>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</si>
  <si>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</si>
  <si>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</si>
  <si>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</si>
  <si>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</si>
  <si>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</si>
  <si>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</si>
  <si>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</si>
  <si>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</si>
  <si>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</si>
  <si>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</si>
  <si>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</si>
  <si>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</si>
  <si>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</si>
  <si>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</si>
  <si>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</si>
  <si>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</si>
  <si>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</si>
  <si>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</si>
  <si>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</si>
  <si>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</si>
  <si>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</si>
  <si>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</si>
  <si>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</si>
  <si>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</si>
  <si>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</si>
  <si>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</si>
  <si>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</si>
  <si>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</si>
  <si>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</si>
  <si>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</si>
  <si>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</si>
  <si>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</si>
  <si>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</si>
  <si>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</si>
  <si>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</si>
  <si>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</si>
  <si>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</si>
  <si>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</si>
  <si>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</si>
  <si>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</si>
  <si>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</si>
  <si>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</si>
  <si>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</si>
  <si>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</si>
  <si>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</si>
  <si>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</si>
  <si>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</si>
  <si>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</si>
  <si>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</si>
  <si>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</si>
  <si>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</si>
  <si>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</si>
  <si>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</si>
  <si>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</si>
  <si>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</si>
  <si>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</si>
  <si>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</si>
  <si>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</si>
  <si>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</si>
  <si>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</si>
  <si>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</si>
  <si>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</si>
  <si>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</si>
  <si>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</si>
  <si>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</si>
  <si>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</si>
  <si>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</si>
  <si>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</si>
  <si>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</si>
  <si>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</si>
  <si>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</si>
  <si>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</si>
  <si>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</si>
  <si>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</si>
  <si>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</si>
  <si>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</si>
  <si>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</si>
  <si>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</si>
  <si>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</si>
  <si>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</si>
  <si>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</si>
  <si>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</si>
  <si>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</si>
  <si>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</si>
  <si>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</si>
  <si>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</si>
  <si>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</si>
  <si>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</si>
  <si>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</si>
  <si>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</si>
  <si>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KFUSb47</t>
  </si>
  <si>
    <t>KZ2C00008936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</si>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</sst>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3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26394642636.11166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897100</v>
      </c>
      <c r="D8" s="17">
        <v>897100000</v>
      </c>
      <c r="E8" s="18">
        <v>17.010000000000002</v>
      </c>
      <c r="F8" s="19" t="s">
        <v>77</v>
      </c>
      <c r="G8" s="19" t="s">
        <v>78</v>
      </c>
      <c r="H8" s="18">
        <v>896985171.20000005</v>
      </c>
      <c r="I8" s="20">
        <v>102.4166</v>
      </c>
      <c r="J8" s="20">
        <v>107.85040000000001</v>
      </c>
      <c r="K8" s="18">
        <v>48746171.25</v>
      </c>
      <c r="L8" s="18">
        <v>967525489.85000002</v>
      </c>
      <c r="M8" s="21">
        <f t="shared" ref="M8:M24" si="0">L8/$Q$1</f>
        <v>3.6656131442608972E-2</v>
      </c>
      <c r="O8" s="10">
        <v>749863.88888888899</v>
      </c>
    </row>
    <row r="9" spans="1:17" x14ac:dyDescent="0.2">
      <c r="A9" s="15" t="s">
        <v>66</v>
      </c>
      <c r="B9" s="15" t="s">
        <v>73</v>
      </c>
      <c r="C9" s="16">
        <v>1897500</v>
      </c>
      <c r="D9" s="17">
        <v>1897500000</v>
      </c>
      <c r="E9" s="18">
        <v>10.4</v>
      </c>
      <c r="F9" s="19" t="s">
        <v>79</v>
      </c>
      <c r="G9" s="19" t="s">
        <v>80</v>
      </c>
      <c r="H9" s="18">
        <v>1736743800</v>
      </c>
      <c r="I9" s="20">
        <v>88.139600000000002</v>
      </c>
      <c r="J9" s="20">
        <v>94.784000000000006</v>
      </c>
      <c r="K9" s="18">
        <v>126078333.333333</v>
      </c>
      <c r="L9" s="18">
        <v>1798527243.333333</v>
      </c>
      <c r="M9" s="21">
        <f t="shared" si="0"/>
        <v>6.8139859596836883E-2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10.65</v>
      </c>
      <c r="F10" s="19" t="s">
        <v>79</v>
      </c>
      <c r="G10" s="19" t="s">
        <v>82</v>
      </c>
      <c r="H10" s="18">
        <v>1648500562.5</v>
      </c>
      <c r="I10" s="20">
        <v>76.713200000000001</v>
      </c>
      <c r="J10" s="20">
        <v>80.440700000000007</v>
      </c>
      <c r="K10" s="18">
        <v>70729312.5</v>
      </c>
      <c r="L10" s="18">
        <v>1526362282.5</v>
      </c>
      <c r="M10" s="21">
        <f t="shared" si="0"/>
        <v>5.7828488286169002E-2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1106600</v>
      </c>
      <c r="D11" s="17">
        <v>1106600000</v>
      </c>
      <c r="E11" s="18">
        <v>5.5</v>
      </c>
      <c r="F11" s="19" t="s">
        <v>84</v>
      </c>
      <c r="G11" s="19" t="s">
        <v>85</v>
      </c>
      <c r="H11" s="18">
        <v>999478906.79999995</v>
      </c>
      <c r="I11" s="20">
        <v>92.637900000000002</v>
      </c>
      <c r="J11" s="20">
        <v>94.226800000000011</v>
      </c>
      <c r="K11" s="18">
        <v>17582644.444444399</v>
      </c>
      <c r="L11" s="18">
        <v>1042713645.84444</v>
      </c>
      <c r="M11" s="21">
        <f t="shared" si="0"/>
        <v>3.9504745725098697E-2</v>
      </c>
      <c r="O11" s="10">
        <v>749863.88888888899</v>
      </c>
    </row>
    <row r="12" spans="1:17" x14ac:dyDescent="0.2">
      <c r="A12" s="15" t="s">
        <v>66</v>
      </c>
      <c r="B12" s="15" t="s">
        <v>86</v>
      </c>
      <c r="C12" s="16">
        <v>2469500</v>
      </c>
      <c r="D12" s="17">
        <v>2469500000</v>
      </c>
      <c r="E12" s="18">
        <v>7.68</v>
      </c>
      <c r="F12" s="19" t="s">
        <v>87</v>
      </c>
      <c r="G12" s="19" t="s">
        <v>88</v>
      </c>
      <c r="H12" s="18">
        <v>1827657194</v>
      </c>
      <c r="I12" s="20">
        <v>76.365000000000009</v>
      </c>
      <c r="J12" s="20">
        <v>78.690300000000008</v>
      </c>
      <c r="K12" s="18">
        <v>57424106.666666657</v>
      </c>
      <c r="L12" s="18">
        <v>1943257781.666666</v>
      </c>
      <c r="M12" s="21">
        <f t="shared" si="0"/>
        <v>7.3623189692593544E-2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11424000</v>
      </c>
      <c r="D13" s="17">
        <v>1142400000</v>
      </c>
      <c r="E13" s="18">
        <v>0</v>
      </c>
      <c r="F13" s="19" t="s">
        <v>90</v>
      </c>
      <c r="G13" s="19" t="s">
        <v>91</v>
      </c>
      <c r="H13" s="18">
        <v>1003902278.4</v>
      </c>
      <c r="I13" s="20">
        <v>97.033799999999999</v>
      </c>
      <c r="J13" s="20">
        <v>97.033799999999999</v>
      </c>
      <c r="K13" s="18"/>
      <c r="L13" s="18">
        <v>1108514131.2</v>
      </c>
      <c r="M13" s="21">
        <f t="shared" si="0"/>
        <v>4.1997694247369488E-2</v>
      </c>
      <c r="O13" s="10">
        <v>749863.88888888899</v>
      </c>
    </row>
    <row r="14" spans="1:17" x14ac:dyDescent="0.2">
      <c r="A14" s="15" t="s">
        <v>66</v>
      </c>
      <c r="B14" s="15" t="s">
        <v>92</v>
      </c>
      <c r="C14" s="16">
        <v>2391500</v>
      </c>
      <c r="D14" s="17">
        <v>2391500000</v>
      </c>
      <c r="E14" s="18">
        <v>5.3</v>
      </c>
      <c r="F14" s="19" t="s">
        <v>93</v>
      </c>
      <c r="G14" s="19" t="s">
        <v>94</v>
      </c>
      <c r="H14" s="18">
        <v>1903079172</v>
      </c>
      <c r="I14" s="20">
        <v>82.604300000000009</v>
      </c>
      <c r="J14" s="20">
        <v>83.237400000000008</v>
      </c>
      <c r="K14" s="18">
        <v>15139523.61111111</v>
      </c>
      <c r="L14" s="18">
        <v>1990621358.1111109</v>
      </c>
      <c r="M14" s="21">
        <f t="shared" si="0"/>
        <v>7.5417628704230119E-2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8.4499999999999993</v>
      </c>
      <c r="F15" s="19" t="s">
        <v>79</v>
      </c>
      <c r="G15" s="19" t="s">
        <v>96</v>
      </c>
      <c r="H15" s="18">
        <v>1457889097.496666</v>
      </c>
      <c r="I15" s="20">
        <v>69.034900000000007</v>
      </c>
      <c r="J15" s="20">
        <v>74.339600000000004</v>
      </c>
      <c r="K15" s="18">
        <v>100657104.166667</v>
      </c>
      <c r="L15" s="18">
        <v>1410594331.666666</v>
      </c>
      <c r="M15" s="21">
        <f t="shared" si="0"/>
        <v>5.3442448572376976E-2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8.07</v>
      </c>
      <c r="F16" s="19" t="s">
        <v>79</v>
      </c>
      <c r="G16" s="19" t="s">
        <v>98</v>
      </c>
      <c r="H16" s="18">
        <v>1338524962.5</v>
      </c>
      <c r="I16" s="20">
        <v>60.986700000000006</v>
      </c>
      <c r="J16" s="20">
        <v>67.778999999999996</v>
      </c>
      <c r="K16" s="18">
        <v>128882943.75</v>
      </c>
      <c r="L16" s="18">
        <v>1286105576.25</v>
      </c>
      <c r="M16" s="21">
        <f t="shared" si="0"/>
        <v>4.8726008303307089E-2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2530000</v>
      </c>
      <c r="D17" s="17">
        <v>2530000000</v>
      </c>
      <c r="E17" s="18">
        <v>10.67</v>
      </c>
      <c r="F17" s="19" t="s">
        <v>79</v>
      </c>
      <c r="G17" s="19" t="s">
        <v>100</v>
      </c>
      <c r="H17" s="18">
        <v>2455119589.9966769</v>
      </c>
      <c r="I17" s="20">
        <v>99.076100000000011</v>
      </c>
      <c r="J17" s="20">
        <v>102.95880000000001</v>
      </c>
      <c r="K17" s="18">
        <v>98232169.444444433</v>
      </c>
      <c r="L17" s="18">
        <v>2604857499.4444442</v>
      </c>
      <c r="M17" s="21">
        <f t="shared" si="0"/>
        <v>9.8688871653091648E-2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8.07</v>
      </c>
      <c r="F18" s="19" t="s">
        <v>79</v>
      </c>
      <c r="G18" s="19" t="s">
        <v>102</v>
      </c>
      <c r="H18" s="18">
        <v>1359122325</v>
      </c>
      <c r="I18" s="20">
        <v>62.398200000000003</v>
      </c>
      <c r="J18" s="20">
        <v>66.881500000000003</v>
      </c>
      <c r="K18" s="18">
        <v>85071250</v>
      </c>
      <c r="L18" s="18">
        <v>1269077095</v>
      </c>
      <c r="M18" s="21">
        <f t="shared" si="0"/>
        <v>4.8080859153732974E-2</v>
      </c>
      <c r="O18" s="10">
        <v>749863.88888888899</v>
      </c>
    </row>
    <row r="19" spans="1:15" x14ac:dyDescent="0.2">
      <c r="A19" s="15" t="s">
        <v>103</v>
      </c>
      <c r="B19" s="15" t="s">
        <v>104</v>
      </c>
      <c r="C19" s="16">
        <v>992234</v>
      </c>
      <c r="D19" s="17">
        <v>992234000</v>
      </c>
      <c r="E19" s="18">
        <v>14.3</v>
      </c>
      <c r="F19" s="19" t="s">
        <v>105</v>
      </c>
      <c r="G19" s="19" t="s">
        <v>106</v>
      </c>
      <c r="H19" s="18">
        <v>991722999.49000001</v>
      </c>
      <c r="I19" s="20">
        <v>95.2095147</v>
      </c>
      <c r="J19" s="20">
        <v>98.744814700000006</v>
      </c>
      <c r="K19" s="18">
        <v>35078228.105555549</v>
      </c>
      <c r="L19" s="18">
        <v>979779404.16166794</v>
      </c>
      <c r="M19" s="21">
        <f t="shared" si="0"/>
        <v>3.7120389075515993E-2</v>
      </c>
      <c r="O19" s="10">
        <v>749863.88888888899</v>
      </c>
    </row>
    <row r="20" spans="1:15" x14ac:dyDescent="0.2">
      <c r="A20" s="15" t="s">
        <v>66</v>
      </c>
      <c r="B20" s="15" t="s">
        <v>107</v>
      </c>
      <c r="C20" s="16">
        <v>1897500</v>
      </c>
      <c r="D20" s="17">
        <v>1897500000</v>
      </c>
      <c r="E20" s="18">
        <v>11</v>
      </c>
      <c r="F20" s="19" t="s">
        <v>79</v>
      </c>
      <c r="G20" s="19" t="s">
        <v>108</v>
      </c>
      <c r="H20" s="18">
        <v>1743261712.5</v>
      </c>
      <c r="I20" s="20">
        <v>86.029700000000005</v>
      </c>
      <c r="J20" s="20">
        <v>93.42410000000001</v>
      </c>
      <c r="K20" s="18">
        <v>140309583.33333299</v>
      </c>
      <c r="L20" s="18">
        <v>1772723140.833333</v>
      </c>
      <c r="M20" s="21">
        <f t="shared" si="0"/>
        <v>6.7162233081647912E-2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1897500</v>
      </c>
      <c r="D21" s="17">
        <v>1897500000</v>
      </c>
      <c r="E21" s="18">
        <v>10.55</v>
      </c>
      <c r="F21" s="19" t="s">
        <v>79</v>
      </c>
      <c r="G21" s="19" t="s">
        <v>110</v>
      </c>
      <c r="H21" s="18">
        <v>1708326839.9966669</v>
      </c>
      <c r="I21" s="20">
        <v>83.927499999999995</v>
      </c>
      <c r="J21" s="20">
        <v>87.561400000000006</v>
      </c>
      <c r="K21" s="18">
        <v>68953041.666666657</v>
      </c>
      <c r="L21" s="18">
        <v>1661477354.166666</v>
      </c>
      <c r="M21" s="21">
        <f t="shared" si="0"/>
        <v>6.2947522232921868E-2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1897500</v>
      </c>
      <c r="D22" s="17">
        <v>1897500000</v>
      </c>
      <c r="E22" s="18">
        <v>10.3</v>
      </c>
      <c r="F22" s="19" t="s">
        <v>79</v>
      </c>
      <c r="G22" s="19" t="s">
        <v>112</v>
      </c>
      <c r="H22" s="18">
        <v>1645329839.996666</v>
      </c>
      <c r="I22" s="20">
        <v>78.542500000000004</v>
      </c>
      <c r="J22" s="20">
        <v>85.838300000000004</v>
      </c>
      <c r="K22" s="18">
        <v>138438437.5</v>
      </c>
      <c r="L22" s="18">
        <v>1628782374.999999</v>
      </c>
      <c r="M22" s="21">
        <f t="shared" si="0"/>
        <v>6.1708824682914665E-2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550000</v>
      </c>
      <c r="D23" s="17">
        <v>550000000</v>
      </c>
      <c r="E23" s="18">
        <v>12</v>
      </c>
      <c r="F23" s="19" t="s">
        <v>90</v>
      </c>
      <c r="G23" s="19" t="s">
        <v>114</v>
      </c>
      <c r="H23" s="18">
        <v>491343050</v>
      </c>
      <c r="I23" s="20">
        <v>86.273300000000006</v>
      </c>
      <c r="J23" s="20">
        <v>95.1066</v>
      </c>
      <c r="K23" s="18">
        <v>48583333.333333328</v>
      </c>
      <c r="L23" s="18">
        <v>523086483.33333302</v>
      </c>
      <c r="M23" s="21">
        <f t="shared" si="0"/>
        <v>1.9817903600546409E-2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3162500</v>
      </c>
      <c r="D24" s="17">
        <v>3162500000</v>
      </c>
      <c r="E24" s="18">
        <v>5.49</v>
      </c>
      <c r="F24" s="19" t="s">
        <v>79</v>
      </c>
      <c r="G24" s="19" t="s">
        <v>116</v>
      </c>
      <c r="H24" s="18">
        <v>2627740225</v>
      </c>
      <c r="I24" s="20">
        <v>87.351100000000002</v>
      </c>
      <c r="J24" s="20">
        <v>91.087400000000002</v>
      </c>
      <c r="K24" s="18">
        <v>118158906.25</v>
      </c>
      <c r="L24" s="18">
        <v>2880637443.75</v>
      </c>
      <c r="M24" s="21">
        <f t="shared" si="0"/>
        <v>0.10913720194903774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1298065089.3555548</v>
      </c>
      <c r="L26" s="23">
        <f>SUM(L8:L25)</f>
        <v>26394642636.11166</v>
      </c>
      <c r="M26" s="26">
        <f>SUM(M8:M25)</f>
        <v>1</v>
      </c>
      <c r="N26" s="9">
        <v>26394642636.111664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126259.96</v>
      </c>
    </row>
    <row r="30" spans="1:15" x14ac:dyDescent="0.2">
      <c r="A30" s="29" t="s">
        <v>75</v>
      </c>
      <c r="B30" s="30">
        <v>126259.96</v>
      </c>
      <c r="C30" s="62">
        <v>126260.02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2495414</v>
      </c>
      <c r="D35" s="32" t="s">
        <v>68</v>
      </c>
      <c r="E35" s="34" t="s">
        <v>69</v>
      </c>
      <c r="F35" s="34" t="s">
        <v>70</v>
      </c>
      <c r="G35" s="35">
        <v>914.45700000080103</v>
      </c>
      <c r="H35" s="35">
        <f>J35/C35</f>
        <v>914.89042756432389</v>
      </c>
      <c r="I35" s="36">
        <v>2281948800.1999998</v>
      </c>
      <c r="J35" s="36">
        <v>2283030381.4099998</v>
      </c>
      <c r="K35" s="37">
        <v>17.3</v>
      </c>
      <c r="L35" s="37">
        <v>1081581.21</v>
      </c>
      <c r="M35" s="31">
        <f>I35+L35</f>
        <v>2283030381.4099998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13748</v>
      </c>
      <c r="D36" s="32" t="s">
        <v>68</v>
      </c>
      <c r="E36" s="34" t="s">
        <v>69</v>
      </c>
      <c r="F36" s="34" t="s">
        <v>70</v>
      </c>
      <c r="G36" s="35">
        <v>1019.252999709048</v>
      </c>
      <c r="H36" s="35">
        <f>J36/C36</f>
        <v>1019.7319086412568</v>
      </c>
      <c r="I36" s="36">
        <v>14012690.24</v>
      </c>
      <c r="J36" s="36">
        <v>14019274.279999999</v>
      </c>
      <c r="K36" s="37">
        <v>17.150000000000002</v>
      </c>
      <c r="L36" s="37">
        <v>6584.04</v>
      </c>
      <c r="M36" s="31">
        <f>I36+L36</f>
        <v>14019274.279999999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13728</v>
      </c>
      <c r="D37" s="32" t="s">
        <v>68</v>
      </c>
      <c r="E37" s="34" t="s">
        <v>70</v>
      </c>
      <c r="F37" s="34" t="s">
        <v>74</v>
      </c>
      <c r="G37" s="35">
        <v>947.84</v>
      </c>
      <c r="H37" s="35">
        <f>J37/C37</f>
        <v>948.2815923659673</v>
      </c>
      <c r="I37" s="36">
        <v>13011947.52</v>
      </c>
      <c r="J37" s="36">
        <v>13018009.699999999</v>
      </c>
      <c r="K37" s="37">
        <v>17.005100000000002</v>
      </c>
      <c r="L37" s="37"/>
      <c r="M37" s="31">
        <f>I37+L37</f>
        <v>13011947.52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2409792</v>
      </c>
      <c r="D38" s="32" t="s">
        <v>68</v>
      </c>
      <c r="E38" s="34" t="s">
        <v>70</v>
      </c>
      <c r="F38" s="34" t="s">
        <v>74</v>
      </c>
      <c r="G38" s="35">
        <v>947.84</v>
      </c>
      <c r="H38" s="35">
        <f>J38/C38</f>
        <v>948.28159216231109</v>
      </c>
      <c r="I38" s="36">
        <v>2284097249.2800002</v>
      </c>
      <c r="J38" s="36">
        <v>2285161394.54</v>
      </c>
      <c r="K38" s="37">
        <v>17.005100000000002</v>
      </c>
      <c r="L38" s="37"/>
      <c r="M38" s="31">
        <f>I38+L38</f>
        <v>2284097249.2800002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2297109196.8000002</v>
      </c>
      <c r="N40" s="65">
        <v>2297109196.8000002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28691878092.871658</v>
      </c>
      <c r="C47" s="62">
        <v>28691878092.931664</v>
      </c>
      <c r="D47" s="62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2358632.48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437022</v>
      </c>
      <c r="D64" s="24"/>
      <c r="G64" s="5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369718.98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103046.74</v>
      </c>
      <c r="D67" s="57"/>
      <c r="O67" s="9"/>
    </row>
    <row r="68" spans="1:15" x14ac:dyDescent="0.2">
      <c r="A68" s="24">
        <v>7</v>
      </c>
      <c r="B68" s="55" t="s">
        <v>59</v>
      </c>
      <c r="C68" s="57">
        <v>51953.35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3320373.5500000003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02.12.2025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9490.25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1062.423</v>
      </c>
      <c r="G5" s="5">
        <v>110.82560000000001</v>
      </c>
      <c r="H5" s="5">
        <v>18.47</v>
      </c>
      <c r="I5" s="5">
        <v>837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1390.7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571488.84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131</v>
      </c>
      <c r="F9" s="4">
        <v>168.9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5598.63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5859025.7999999998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130.94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124</v>
      </c>
      <c r="E13" s="4" t="s">
        <v>131</v>
      </c>
      <c r="F13" s="4">
        <v>0.90615199999999996</v>
      </c>
      <c r="G13" s="5">
        <v>91.081900000000005</v>
      </c>
      <c r="H13" s="5">
        <v>5.04</v>
      </c>
      <c r="I13" s="5">
        <v>2691</v>
      </c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131</v>
      </c>
      <c r="F14" s="4">
        <v>1844929.24</v>
      </c>
      <c r="G14" s="5"/>
      <c r="H14" s="5"/>
      <c r="I14" s="5"/>
      <c r="J14" s="4" t="s">
        <v>121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131</v>
      </c>
      <c r="F15" s="4">
        <v>71876.509999999995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131</v>
      </c>
      <c r="F16" s="4">
        <v>72459.650000000009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131</v>
      </c>
      <c r="F17" s="4">
        <v>51663.88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131</v>
      </c>
      <c r="F18" s="4">
        <v>7.21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124</v>
      </c>
      <c r="E19" s="4" t="s">
        <v>131</v>
      </c>
      <c r="F19" s="4">
        <v>1000</v>
      </c>
      <c r="G19" s="5">
        <v>100.6952</v>
      </c>
      <c r="H19" s="5">
        <v>17.86</v>
      </c>
      <c r="I19" s="5">
        <v>1083</v>
      </c>
      <c r="J19" s="4" t="s">
        <v>125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124</v>
      </c>
      <c r="E20" s="4" t="s">
        <v>131</v>
      </c>
      <c r="F20" s="4">
        <v>1000</v>
      </c>
      <c r="G20" s="5">
        <v>102.35680000000001</v>
      </c>
      <c r="H20" s="5">
        <v>17.63</v>
      </c>
      <c r="I20" s="5">
        <v>682</v>
      </c>
      <c r="J20" s="4" t="s">
        <v>125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124</v>
      </c>
      <c r="E21" s="4" t="s">
        <v>131</v>
      </c>
      <c r="F21" s="4">
        <v>1000</v>
      </c>
      <c r="G21" s="5">
        <v>106.97930000000001</v>
      </c>
      <c r="H21" s="5">
        <v>18.059999999999999</v>
      </c>
      <c r="I21" s="5">
        <v>1869</v>
      </c>
      <c r="J21" s="4" t="s">
        <v>125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124</v>
      </c>
      <c r="E22" s="4" t="s">
        <v>131</v>
      </c>
      <c r="F22" s="4">
        <v>1000</v>
      </c>
      <c r="G22" s="5">
        <v>104.44410000000001</v>
      </c>
      <c r="H22" s="5">
        <v>17.940000000000001</v>
      </c>
      <c r="I22" s="5">
        <v>1553</v>
      </c>
      <c r="J22" s="4" t="s">
        <v>125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119</v>
      </c>
      <c r="E23" s="4" t="s">
        <v>131</v>
      </c>
      <c r="F23" s="4">
        <v>1523.89</v>
      </c>
      <c r="G23" s="5"/>
      <c r="H23" s="5"/>
      <c r="I23" s="5"/>
      <c r="J23" s="4" t="s">
        <v>121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124</v>
      </c>
      <c r="E24" s="4" t="s">
        <v>131</v>
      </c>
      <c r="F24" s="4">
        <v>497210</v>
      </c>
      <c r="G24" s="5">
        <v>101.89060000000001</v>
      </c>
      <c r="H24" s="5">
        <v>21.41</v>
      </c>
      <c r="I24" s="5">
        <v>230</v>
      </c>
      <c r="J24" s="4" t="s">
        <v>125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124</v>
      </c>
      <c r="E25" s="4" t="s">
        <v>131</v>
      </c>
      <c r="F25" s="4">
        <v>499419.5</v>
      </c>
      <c r="G25" s="5">
        <v>104.65060000000001</v>
      </c>
      <c r="H25" s="5">
        <v>25</v>
      </c>
      <c r="I25" s="5">
        <v>13</v>
      </c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124</v>
      </c>
      <c r="E26" s="4" t="s">
        <v>131</v>
      </c>
      <c r="F26" s="4">
        <v>1008.6940000000001</v>
      </c>
      <c r="G26" s="5">
        <v>100.9055</v>
      </c>
      <c r="H26" s="5">
        <v>6.12</v>
      </c>
      <c r="I26" s="5">
        <v>911</v>
      </c>
      <c r="J26" s="4" t="s">
        <v>125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124</v>
      </c>
      <c r="E27" s="4" t="s">
        <v>131</v>
      </c>
      <c r="F27" s="4">
        <v>96.839600000000004</v>
      </c>
      <c r="G27" s="5">
        <v>97.206299999999999</v>
      </c>
      <c r="H27" s="5">
        <v>13.06</v>
      </c>
      <c r="I27" s="5">
        <v>627</v>
      </c>
      <c r="J27" s="4" t="s">
        <v>125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124</v>
      </c>
      <c r="E28" s="4" t="s">
        <v>131</v>
      </c>
      <c r="F28" s="4">
        <v>985.40100000000007</v>
      </c>
      <c r="G28" s="5">
        <v>100.07340000000001</v>
      </c>
      <c r="H28" s="5">
        <v>19</v>
      </c>
      <c r="I28" s="5">
        <v>334</v>
      </c>
      <c r="J28" s="4" t="s">
        <v>125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124</v>
      </c>
      <c r="E29" s="4" t="s">
        <v>131</v>
      </c>
      <c r="F29" s="4">
        <v>994.01200000000006</v>
      </c>
      <c r="G29" s="5">
        <v>100.379</v>
      </c>
      <c r="H29" s="5">
        <v>22.48</v>
      </c>
      <c r="I29" s="5">
        <v>531</v>
      </c>
      <c r="J29" s="4" t="s">
        <v>125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124</v>
      </c>
      <c r="E30" s="4" t="s">
        <v>131</v>
      </c>
      <c r="F30" s="4">
        <v>497191.5</v>
      </c>
      <c r="G30" s="5">
        <v>102.18</v>
      </c>
      <c r="H30" s="5">
        <v>21.39</v>
      </c>
      <c r="I30" s="5">
        <v>591</v>
      </c>
      <c r="J30" s="4" t="s">
        <v>125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124</v>
      </c>
      <c r="E31" s="4" t="s">
        <v>131</v>
      </c>
      <c r="F31" s="4">
        <v>99.963300000000004</v>
      </c>
      <c r="G31" s="5">
        <v>102.65220000000001</v>
      </c>
      <c r="H31" s="5">
        <v>11</v>
      </c>
      <c r="I31" s="5">
        <v>277</v>
      </c>
      <c r="J31" s="4" t="s">
        <v>125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124</v>
      </c>
      <c r="E32" s="4" t="s">
        <v>131</v>
      </c>
      <c r="F32" s="4">
        <v>913.63499999999999</v>
      </c>
      <c r="G32" s="5">
        <v>91.480200000000011</v>
      </c>
      <c r="H32" s="5">
        <v>32.049999999999997</v>
      </c>
      <c r="I32" s="5">
        <v>333</v>
      </c>
      <c r="J32" s="4" t="s">
        <v>125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124</v>
      </c>
      <c r="E33" s="4" t="s">
        <v>131</v>
      </c>
      <c r="F33" s="4">
        <v>1008.83</v>
      </c>
      <c r="G33" s="5">
        <v>101.584</v>
      </c>
      <c r="H33" s="5">
        <v>20.58</v>
      </c>
      <c r="I33" s="5">
        <v>932</v>
      </c>
      <c r="J33" s="4" t="s">
        <v>125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124</v>
      </c>
      <c r="E34" s="4" t="s">
        <v>131</v>
      </c>
      <c r="F34" s="4">
        <v>999.35300000000007</v>
      </c>
      <c r="G34" s="5">
        <v>101.52420000000001</v>
      </c>
      <c r="H34" s="5">
        <v>22.04</v>
      </c>
      <c r="I34" s="5">
        <v>674</v>
      </c>
      <c r="J34" s="4" t="s">
        <v>125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124</v>
      </c>
      <c r="E35" s="4" t="s">
        <v>131</v>
      </c>
      <c r="F35" s="4">
        <v>964.82500000000005</v>
      </c>
      <c r="G35" s="5">
        <v>98.132499999999993</v>
      </c>
      <c r="H35" s="5">
        <v>24.69</v>
      </c>
      <c r="I35" s="5">
        <v>581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124</v>
      </c>
      <c r="E36" s="4" t="s">
        <v>131</v>
      </c>
      <c r="F36" s="4">
        <v>992.12600000000009</v>
      </c>
      <c r="G36" s="5">
        <v>102.71260000000001</v>
      </c>
      <c r="H36" s="5">
        <v>22.02</v>
      </c>
      <c r="I36" s="5">
        <v>305</v>
      </c>
      <c r="J36" s="4" t="s">
        <v>125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124</v>
      </c>
      <c r="E37" s="4" t="s">
        <v>131</v>
      </c>
      <c r="F37" s="4">
        <v>970.51900000000001</v>
      </c>
      <c r="G37" s="5">
        <v>97.632499999999993</v>
      </c>
      <c r="H37" s="5">
        <v>22.7</v>
      </c>
      <c r="I37" s="5">
        <v>324</v>
      </c>
      <c r="J37" s="4" t="s">
        <v>125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124</v>
      </c>
      <c r="E38" s="4" t="s">
        <v>131</v>
      </c>
      <c r="F38" s="4">
        <v>948.37200000000007</v>
      </c>
      <c r="G38" s="5">
        <v>95.048299999999998</v>
      </c>
      <c r="H38" s="5">
        <v>22.03</v>
      </c>
      <c r="I38" s="5">
        <v>788</v>
      </c>
      <c r="J38" s="4" t="s">
        <v>125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124</v>
      </c>
      <c r="E39" s="4" t="s">
        <v>131</v>
      </c>
      <c r="F39" s="4">
        <v>997.05200000000002</v>
      </c>
      <c r="G39" s="5">
        <v>100.87190000000001</v>
      </c>
      <c r="H39" s="5">
        <v>21.16</v>
      </c>
      <c r="I39" s="5">
        <v>832</v>
      </c>
      <c r="J39" s="4" t="s">
        <v>125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124</v>
      </c>
      <c r="E40" s="4" t="s">
        <v>131</v>
      </c>
      <c r="F40" s="4">
        <v>999.99200000000008</v>
      </c>
      <c r="G40" s="5">
        <v>100.16170000000001</v>
      </c>
      <c r="H40" s="5">
        <v>19.490000000000002</v>
      </c>
      <c r="I40" s="5">
        <v>544</v>
      </c>
      <c r="J40" s="4" t="s">
        <v>125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124</v>
      </c>
      <c r="E41" s="4" t="s">
        <v>131</v>
      </c>
      <c r="F41" s="4">
        <v>1027.578</v>
      </c>
      <c r="G41" s="5">
        <v>103.4606</v>
      </c>
      <c r="H41" s="5">
        <v>21.73</v>
      </c>
      <c r="I41" s="5">
        <v>1086</v>
      </c>
      <c r="J41" s="4" t="s">
        <v>125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124</v>
      </c>
      <c r="E42" s="4" t="s">
        <v>131</v>
      </c>
      <c r="F42" s="4">
        <v>1000</v>
      </c>
      <c r="G42" s="5">
        <v>106.00410000000001</v>
      </c>
      <c r="H42" s="5">
        <v>17.5</v>
      </c>
      <c r="I42" s="5">
        <v>1337</v>
      </c>
      <c r="J42" s="4" t="s">
        <v>125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124</v>
      </c>
      <c r="E43" s="4" t="s">
        <v>131</v>
      </c>
      <c r="F43" s="4">
        <v>1006.0930000000001</v>
      </c>
      <c r="G43" s="5">
        <v>101.64580000000001</v>
      </c>
      <c r="H43" s="5">
        <v>21.52</v>
      </c>
      <c r="I43" s="5">
        <v>622</v>
      </c>
      <c r="J43" s="4" t="s">
        <v>125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124</v>
      </c>
      <c r="E44" s="4" t="s">
        <v>131</v>
      </c>
      <c r="F44" s="4">
        <v>100</v>
      </c>
      <c r="G44" s="5">
        <v>100.3972</v>
      </c>
      <c r="H44" s="5">
        <v>11</v>
      </c>
      <c r="I44" s="5">
        <v>718</v>
      </c>
      <c r="J44" s="4" t="s">
        <v>125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124</v>
      </c>
      <c r="E45" s="4" t="s">
        <v>131</v>
      </c>
      <c r="F45" s="4">
        <v>996.39800000000002</v>
      </c>
      <c r="G45" s="5">
        <v>99.973100000000002</v>
      </c>
      <c r="H45" s="5">
        <v>20.94</v>
      </c>
      <c r="I45" s="5">
        <v>146</v>
      </c>
      <c r="J45" s="4" t="s">
        <v>125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124</v>
      </c>
      <c r="E46" s="4" t="s">
        <v>131</v>
      </c>
      <c r="F46" s="4">
        <v>1018.8390000000001</v>
      </c>
      <c r="G46" s="5">
        <v>102.0039</v>
      </c>
      <c r="H46" s="5">
        <v>20.58</v>
      </c>
      <c r="I46" s="5">
        <v>851</v>
      </c>
      <c r="J46" s="4" t="s">
        <v>125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119</v>
      </c>
      <c r="E47" s="4" t="s">
        <v>131</v>
      </c>
      <c r="F47" s="4">
        <v>101.38</v>
      </c>
      <c r="G47" s="5"/>
      <c r="H47" s="5"/>
      <c r="I47" s="5"/>
      <c r="J47" s="4" t="s">
        <v>212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124</v>
      </c>
      <c r="E48" s="4" t="s">
        <v>131</v>
      </c>
      <c r="F48" s="4">
        <v>897.59</v>
      </c>
      <c r="G48" s="5">
        <v>89.9923</v>
      </c>
      <c r="H48" s="5">
        <v>26.98</v>
      </c>
      <c r="I48" s="5">
        <v>848</v>
      </c>
      <c r="J48" s="4" t="s">
        <v>125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124</v>
      </c>
      <c r="E49" s="4" t="s">
        <v>131</v>
      </c>
      <c r="F49" s="4">
        <v>991.35300000000007</v>
      </c>
      <c r="G49" s="5">
        <v>99.990900000000011</v>
      </c>
      <c r="H49" s="5">
        <v>23.01</v>
      </c>
      <c r="I49" s="5">
        <v>352</v>
      </c>
      <c r="J49" s="4" t="s">
        <v>125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124</v>
      </c>
      <c r="E50" s="4" t="s">
        <v>131</v>
      </c>
      <c r="F50" s="4">
        <v>1001.576</v>
      </c>
      <c r="G50" s="5">
        <v>100.76870000000001</v>
      </c>
      <c r="H50" s="5">
        <v>21.88</v>
      </c>
      <c r="I50" s="5">
        <v>598</v>
      </c>
      <c r="J50" s="4" t="s">
        <v>125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1005.105</v>
      </c>
      <c r="G51" s="5">
        <v>102.1716</v>
      </c>
      <c r="H51" s="5">
        <v>20.04</v>
      </c>
      <c r="I51" s="5">
        <v>67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958.40800000000002</v>
      </c>
      <c r="G52" s="5">
        <v>101.0964</v>
      </c>
      <c r="H52" s="5">
        <v>23.75</v>
      </c>
      <c r="I52" s="5">
        <v>916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124</v>
      </c>
      <c r="E53" s="4" t="s">
        <v>131</v>
      </c>
      <c r="F53" s="4">
        <v>988.29100000000005</v>
      </c>
      <c r="G53" s="5">
        <v>98.829100000000011</v>
      </c>
      <c r="H53" s="5">
        <v>22.89</v>
      </c>
      <c r="I53" s="5">
        <v>578</v>
      </c>
      <c r="J53" s="4" t="s">
        <v>125</v>
      </c>
    </row>
    <row r="54" spans="1:10" x14ac:dyDescent="0.25">
      <c r="A54" s="4">
        <f t="shared" ca="1" si="1"/>
        <v>51</v>
      </c>
      <c r="B54" s="4" t="s">
        <v>225</v>
      </c>
      <c r="C54" s="4" t="s">
        <v>226</v>
      </c>
      <c r="D54" s="4" t="s">
        <v>124</v>
      </c>
      <c r="E54" s="4" t="s">
        <v>131</v>
      </c>
      <c r="F54" s="4">
        <v>991.68299999999999</v>
      </c>
      <c r="G54" s="5">
        <v>99.290500000000009</v>
      </c>
      <c r="H54" s="5">
        <v>23.02</v>
      </c>
      <c r="I54" s="5">
        <v>333</v>
      </c>
      <c r="J54" s="4" t="s">
        <v>125</v>
      </c>
    </row>
    <row r="55" spans="1:10" x14ac:dyDescent="0.25">
      <c r="A55" s="4">
        <f t="shared" ca="1" si="1"/>
        <v>52</v>
      </c>
      <c r="B55" s="4" t="s">
        <v>227</v>
      </c>
      <c r="C55" s="4" t="s">
        <v>228</v>
      </c>
      <c r="D55" s="4" t="s">
        <v>124</v>
      </c>
      <c r="E55" s="4" t="s">
        <v>131</v>
      </c>
      <c r="F55" s="4">
        <v>987.12800000000004</v>
      </c>
      <c r="G55" s="5">
        <v>99.587800000000001</v>
      </c>
      <c r="H55" s="5">
        <v>19</v>
      </c>
      <c r="I55" s="5">
        <v>348</v>
      </c>
      <c r="J55" s="4" t="s">
        <v>125</v>
      </c>
    </row>
    <row r="56" spans="1:10" x14ac:dyDescent="0.25">
      <c r="A56" s="4">
        <f t="shared" ca="1" si="1"/>
        <v>53</v>
      </c>
      <c r="B56" s="4" t="s">
        <v>229</v>
      </c>
      <c r="C56" s="4" t="s">
        <v>230</v>
      </c>
      <c r="D56" s="4" t="s">
        <v>124</v>
      </c>
      <c r="E56" s="4" t="s">
        <v>131</v>
      </c>
      <c r="F56" s="4">
        <v>961.47400000000005</v>
      </c>
      <c r="G56" s="5">
        <v>96.497399999999999</v>
      </c>
      <c r="H56" s="5">
        <v>23</v>
      </c>
      <c r="I56" s="5">
        <v>938</v>
      </c>
      <c r="J56" s="4" t="s">
        <v>125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124</v>
      </c>
      <c r="E57" s="4" t="s">
        <v>131</v>
      </c>
      <c r="F57" s="4">
        <v>1010.1160000000001</v>
      </c>
      <c r="G57" s="5">
        <v>105.22550000000001</v>
      </c>
      <c r="H57" s="5">
        <v>19.72</v>
      </c>
      <c r="I57" s="5">
        <v>656</v>
      </c>
      <c r="J57" s="4" t="s">
        <v>125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124</v>
      </c>
      <c r="E58" s="4" t="s">
        <v>131</v>
      </c>
      <c r="F58" s="4">
        <v>992.51900000000001</v>
      </c>
      <c r="G58" s="5">
        <v>99.679700000000011</v>
      </c>
      <c r="H58" s="5">
        <v>23.01</v>
      </c>
      <c r="I58" s="5">
        <v>298</v>
      </c>
      <c r="J58" s="4" t="s">
        <v>125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119</v>
      </c>
      <c r="E59" s="4" t="s">
        <v>237</v>
      </c>
      <c r="F59" s="4">
        <v>40339.46</v>
      </c>
      <c r="G59" s="5"/>
      <c r="H59" s="5"/>
      <c r="I59" s="5"/>
      <c r="J59" s="4" t="s">
        <v>121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119</v>
      </c>
      <c r="E60" s="4" t="s">
        <v>237</v>
      </c>
      <c r="F60" s="4">
        <v>28002.53</v>
      </c>
      <c r="G60" s="5"/>
      <c r="H60" s="5"/>
      <c r="I60" s="5"/>
      <c r="J60" s="4" t="s">
        <v>121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124</v>
      </c>
      <c r="E61" s="4" t="s">
        <v>242</v>
      </c>
      <c r="F61" s="4">
        <v>16795.5</v>
      </c>
      <c r="G61" s="5">
        <v>1679.546</v>
      </c>
      <c r="H61" s="5"/>
      <c r="I61" s="5">
        <v>115</v>
      </c>
      <c r="J61" s="4" t="s">
        <v>125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119</v>
      </c>
      <c r="E62" s="4" t="s">
        <v>245</v>
      </c>
      <c r="F62" s="4">
        <v>22136.28</v>
      </c>
      <c r="G62" s="5"/>
      <c r="H62" s="5"/>
      <c r="I62" s="5"/>
      <c r="J62" s="4" t="s">
        <v>121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124</v>
      </c>
      <c r="E63" s="4" t="s">
        <v>245</v>
      </c>
      <c r="F63" s="4">
        <v>1.0138659999999999</v>
      </c>
      <c r="G63" s="5">
        <v>101.95400000000001</v>
      </c>
      <c r="H63" s="5">
        <v>5.0200000000000005</v>
      </c>
      <c r="I63" s="5">
        <v>1605</v>
      </c>
      <c r="J63" s="4" t="s">
        <v>125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119</v>
      </c>
      <c r="E64" s="4" t="s">
        <v>250</v>
      </c>
      <c r="F64" s="4">
        <v>3338.51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251</v>
      </c>
      <c r="C65" s="4" t="s">
        <v>252</v>
      </c>
      <c r="D65" s="4" t="s">
        <v>124</v>
      </c>
      <c r="E65" s="4" t="s">
        <v>253</v>
      </c>
      <c r="F65" s="4">
        <v>0.97365799999999991</v>
      </c>
      <c r="G65" s="5">
        <v>97.554700000000011</v>
      </c>
      <c r="H65" s="5">
        <v>5.01</v>
      </c>
      <c r="I65" s="5">
        <v>331</v>
      </c>
      <c r="J65" s="4" t="s">
        <v>125</v>
      </c>
    </row>
    <row r="66" spans="1:10" x14ac:dyDescent="0.25">
      <c r="A66" s="4">
        <f t="shared" ca="1" si="1"/>
        <v>63</v>
      </c>
      <c r="B66" s="4" t="s">
        <v>254</v>
      </c>
      <c r="C66" s="4" t="s">
        <v>255</v>
      </c>
      <c r="D66" s="4" t="s">
        <v>124</v>
      </c>
      <c r="E66" s="4" t="s">
        <v>256</v>
      </c>
      <c r="F66" s="4">
        <v>0.87642500000000001</v>
      </c>
      <c r="G66" s="5">
        <v>92.513300000000001</v>
      </c>
      <c r="H66" s="5">
        <v>18.010000000000002</v>
      </c>
      <c r="I66" s="5">
        <v>744</v>
      </c>
      <c r="J66" s="4" t="s">
        <v>125</v>
      </c>
    </row>
    <row r="67" spans="1:10" x14ac:dyDescent="0.25">
      <c r="A67" s="4">
        <f t="shared" ca="1" si="1"/>
        <v>64</v>
      </c>
      <c r="B67" s="4" t="s">
        <v>257</v>
      </c>
      <c r="C67" s="4" t="s">
        <v>258</v>
      </c>
      <c r="D67" s="4" t="s">
        <v>119</v>
      </c>
      <c r="E67" s="4" t="s">
        <v>259</v>
      </c>
      <c r="F67" s="4">
        <v>8952.3000000000011</v>
      </c>
      <c r="G67" s="5"/>
      <c r="H67" s="5"/>
      <c r="I67" s="5"/>
      <c r="J67" s="4" t="s">
        <v>121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119</v>
      </c>
      <c r="E68" s="4" t="s">
        <v>259</v>
      </c>
      <c r="F68" s="4">
        <v>4598.5200000000004</v>
      </c>
      <c r="G68" s="5"/>
      <c r="H68" s="5"/>
      <c r="I68" s="5"/>
      <c r="J68" s="4" t="s">
        <v>121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124</v>
      </c>
      <c r="E69" s="4" t="s">
        <v>264</v>
      </c>
      <c r="F69" s="4">
        <v>968.45699999999999</v>
      </c>
      <c r="G69" s="5">
        <v>102.0707</v>
      </c>
      <c r="H69" s="5">
        <v>17.990000000000002</v>
      </c>
      <c r="I69" s="5">
        <v>981</v>
      </c>
      <c r="J69" s="4" t="s">
        <v>125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124</v>
      </c>
      <c r="E70" s="4" t="s">
        <v>264</v>
      </c>
      <c r="F70" s="4">
        <v>966.86</v>
      </c>
      <c r="G70" s="5">
        <v>101.4756</v>
      </c>
      <c r="H70" s="5">
        <v>20</v>
      </c>
      <c r="I70" s="5">
        <v>818</v>
      </c>
      <c r="J70" s="4" t="s">
        <v>125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124</v>
      </c>
      <c r="E71" s="4" t="s">
        <v>264</v>
      </c>
      <c r="F71" s="4">
        <v>980.53800000000001</v>
      </c>
      <c r="G71" s="5">
        <v>105.0976</v>
      </c>
      <c r="H71" s="5">
        <v>17.990000000000002</v>
      </c>
      <c r="I71" s="5">
        <v>1312</v>
      </c>
      <c r="J71" s="4" t="s">
        <v>125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124</v>
      </c>
      <c r="E72" s="4" t="s">
        <v>264</v>
      </c>
      <c r="F72" s="4">
        <v>99.647000000000006</v>
      </c>
      <c r="G72" s="5">
        <v>99.647000000000006</v>
      </c>
      <c r="H72" s="5">
        <v>16.16</v>
      </c>
      <c r="I72" s="5">
        <v>9</v>
      </c>
      <c r="J72" s="4" t="s">
        <v>125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124</v>
      </c>
      <c r="E73" s="4" t="s">
        <v>264</v>
      </c>
      <c r="F73" s="4">
        <v>989.72</v>
      </c>
      <c r="G73" s="5">
        <v>106.4949</v>
      </c>
      <c r="H73" s="5">
        <v>18</v>
      </c>
      <c r="I73" s="5">
        <v>571</v>
      </c>
      <c r="J73" s="4" t="s">
        <v>125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124</v>
      </c>
      <c r="E74" s="4" t="s">
        <v>264</v>
      </c>
      <c r="F74" s="4">
        <v>100.01700000000001</v>
      </c>
      <c r="G74" s="5">
        <v>101.4837</v>
      </c>
      <c r="H74" s="5">
        <v>7.99</v>
      </c>
      <c r="I74" s="5">
        <v>755</v>
      </c>
      <c r="J74" s="4" t="s">
        <v>125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124</v>
      </c>
      <c r="E75" s="4" t="s">
        <v>66</v>
      </c>
      <c r="F75" s="4">
        <v>1000</v>
      </c>
      <c r="G75" s="5">
        <v>111.59880000000001</v>
      </c>
      <c r="H75" s="5">
        <v>12.56</v>
      </c>
      <c r="I75" s="5">
        <v>1125</v>
      </c>
      <c r="J75" s="4" t="s">
        <v>125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124</v>
      </c>
      <c r="E76" s="4" t="s">
        <v>66</v>
      </c>
      <c r="F76" s="4">
        <v>1000</v>
      </c>
      <c r="G76" s="5">
        <v>103.3189</v>
      </c>
      <c r="H76" s="5">
        <v>12.53</v>
      </c>
      <c r="I76" s="5">
        <v>1365</v>
      </c>
      <c r="J76" s="4" t="s">
        <v>125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124</v>
      </c>
      <c r="E77" s="4" t="s">
        <v>66</v>
      </c>
      <c r="F77" s="4">
        <v>1000</v>
      </c>
      <c r="G77" s="5">
        <v>106.4282</v>
      </c>
      <c r="H77" s="5">
        <v>12.18</v>
      </c>
      <c r="I77" s="5">
        <v>178</v>
      </c>
      <c r="J77" s="4" t="s">
        <v>125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124</v>
      </c>
      <c r="E78" s="4" t="s">
        <v>66</v>
      </c>
      <c r="F78" s="4">
        <v>1000</v>
      </c>
      <c r="G78" s="5">
        <v>104.26220000000001</v>
      </c>
      <c r="H78" s="5">
        <v>12.31</v>
      </c>
      <c r="I78" s="5">
        <v>241</v>
      </c>
      <c r="J78" s="4" t="s">
        <v>125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124</v>
      </c>
      <c r="E79" s="4" t="s">
        <v>66</v>
      </c>
      <c r="F79" s="4">
        <v>1000</v>
      </c>
      <c r="G79" s="5">
        <v>107.4414</v>
      </c>
      <c r="H79" s="5">
        <v>12.43</v>
      </c>
      <c r="I79" s="5">
        <v>514</v>
      </c>
      <c r="J79" s="4" t="s">
        <v>125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124</v>
      </c>
      <c r="E80" s="4" t="s">
        <v>66</v>
      </c>
      <c r="F80" s="4">
        <v>1000</v>
      </c>
      <c r="G80" s="5">
        <v>105.34520000000001</v>
      </c>
      <c r="H80" s="5">
        <v>12.44</v>
      </c>
      <c r="I80" s="5">
        <v>575</v>
      </c>
      <c r="J80" s="4" t="s">
        <v>125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124</v>
      </c>
      <c r="E81" s="4" t="s">
        <v>66</v>
      </c>
      <c r="F81" s="4">
        <v>1000</v>
      </c>
      <c r="G81" s="5">
        <v>100.20960000000001</v>
      </c>
      <c r="H81" s="5">
        <v>12.57</v>
      </c>
      <c r="I81" s="5">
        <v>725</v>
      </c>
      <c r="J81" s="4" t="s">
        <v>125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124</v>
      </c>
      <c r="E82" s="4" t="s">
        <v>66</v>
      </c>
      <c r="F82" s="4">
        <v>1000</v>
      </c>
      <c r="G82" s="5">
        <v>103.3189</v>
      </c>
      <c r="H82" s="5">
        <v>12.51</v>
      </c>
      <c r="I82" s="5">
        <v>1000</v>
      </c>
      <c r="J82" s="4" t="s">
        <v>125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124</v>
      </c>
      <c r="E83" s="4" t="s">
        <v>66</v>
      </c>
      <c r="F83" s="4">
        <v>1000</v>
      </c>
      <c r="G83" s="5">
        <v>110.62060000000001</v>
      </c>
      <c r="H83" s="5">
        <v>12.55</v>
      </c>
      <c r="I83" s="5">
        <v>1519</v>
      </c>
      <c r="J83" s="4" t="s">
        <v>125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124</v>
      </c>
      <c r="E84" s="4" t="s">
        <v>66</v>
      </c>
      <c r="F84" s="4">
        <v>899.13800000000003</v>
      </c>
      <c r="G84" s="5">
        <v>90.038800000000009</v>
      </c>
      <c r="H84" s="5">
        <v>17.080000000000002</v>
      </c>
      <c r="I84" s="5">
        <v>357</v>
      </c>
      <c r="J84" s="4" t="s">
        <v>125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124</v>
      </c>
      <c r="E85" s="4" t="s">
        <v>66</v>
      </c>
      <c r="F85" s="4">
        <v>1000</v>
      </c>
      <c r="G85" s="5">
        <v>105.34520000000001</v>
      </c>
      <c r="H85" s="5">
        <v>12.51</v>
      </c>
      <c r="I85" s="5">
        <v>1306</v>
      </c>
      <c r="J85" s="4" t="s">
        <v>125</v>
      </c>
    </row>
    <row r="86" spans="1:10" x14ac:dyDescent="0.25">
      <c r="A86" s="4">
        <f t="shared" ca="1" si="2"/>
        <v>83</v>
      </c>
      <c r="B86" s="4" t="s">
        <v>297</v>
      </c>
      <c r="C86" s="4" t="s">
        <v>115</v>
      </c>
      <c r="D86" s="4" t="s">
        <v>124</v>
      </c>
      <c r="E86" s="4" t="s">
        <v>66</v>
      </c>
      <c r="F86" s="4">
        <v>873.51100000000008</v>
      </c>
      <c r="G86" s="5">
        <v>91.087400000000002</v>
      </c>
      <c r="H86" s="5">
        <v>16.88</v>
      </c>
      <c r="I86" s="5">
        <v>481</v>
      </c>
      <c r="J86" s="4" t="s">
        <v>125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124</v>
      </c>
      <c r="E87" s="4" t="s">
        <v>66</v>
      </c>
      <c r="F87" s="4">
        <v>835.09400000000005</v>
      </c>
      <c r="G87" s="5">
        <v>84.637900000000002</v>
      </c>
      <c r="H87" s="5">
        <v>16.84</v>
      </c>
      <c r="I87" s="5">
        <v>656</v>
      </c>
      <c r="J87" s="4" t="s">
        <v>125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124</v>
      </c>
      <c r="E88" s="4" t="s">
        <v>66</v>
      </c>
      <c r="F88" s="4">
        <v>843.13100000000009</v>
      </c>
      <c r="G88" s="5">
        <v>84.999200000000002</v>
      </c>
      <c r="H88" s="5">
        <v>16.809999999999999</v>
      </c>
      <c r="I88" s="5">
        <v>692</v>
      </c>
      <c r="J88" s="4" t="s">
        <v>125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124</v>
      </c>
      <c r="E89" s="4" t="s">
        <v>66</v>
      </c>
      <c r="F89" s="4">
        <v>1000</v>
      </c>
      <c r="G89" s="5">
        <v>104.2971</v>
      </c>
      <c r="H89" s="5">
        <v>12.46</v>
      </c>
      <c r="I89" s="5">
        <v>605</v>
      </c>
      <c r="J89" s="4" t="s">
        <v>125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124</v>
      </c>
      <c r="E90" s="4" t="s">
        <v>66</v>
      </c>
      <c r="F90" s="4">
        <v>1000</v>
      </c>
      <c r="G90" s="5">
        <v>109.7817</v>
      </c>
      <c r="H90" s="5">
        <v>12.62</v>
      </c>
      <c r="I90" s="5">
        <v>1546</v>
      </c>
      <c r="J90" s="4" t="s">
        <v>125</v>
      </c>
    </row>
    <row r="91" spans="1:10" x14ac:dyDescent="0.25">
      <c r="A91" s="4">
        <f t="shared" ca="1" si="2"/>
        <v>88</v>
      </c>
      <c r="B91" s="4" t="s">
        <v>306</v>
      </c>
      <c r="C91" s="4" t="s">
        <v>101</v>
      </c>
      <c r="D91" s="4" t="s">
        <v>124</v>
      </c>
      <c r="E91" s="4" t="s">
        <v>66</v>
      </c>
      <c r="F91" s="4">
        <v>623.98200000000008</v>
      </c>
      <c r="G91" s="5">
        <v>66.881500000000003</v>
      </c>
      <c r="H91" s="5">
        <v>16.64</v>
      </c>
      <c r="I91" s="5">
        <v>3084</v>
      </c>
      <c r="J91" s="4" t="s">
        <v>125</v>
      </c>
    </row>
    <row r="92" spans="1:10" x14ac:dyDescent="0.25">
      <c r="A92" s="4">
        <f t="shared" ca="1" si="2"/>
        <v>89</v>
      </c>
      <c r="B92" s="4" t="s">
        <v>307</v>
      </c>
      <c r="C92" s="4" t="s">
        <v>67</v>
      </c>
      <c r="D92" s="4" t="s">
        <v>124</v>
      </c>
      <c r="E92" s="4" t="s">
        <v>66</v>
      </c>
      <c r="F92" s="4">
        <v>879.00900000000001</v>
      </c>
      <c r="G92" s="5">
        <v>91.2624</v>
      </c>
      <c r="H92" s="5">
        <v>16.87</v>
      </c>
      <c r="I92" s="5">
        <v>566</v>
      </c>
      <c r="J92" s="4" t="s">
        <v>125</v>
      </c>
    </row>
    <row r="93" spans="1:10" x14ac:dyDescent="0.25">
      <c r="A93" s="4">
        <f t="shared" ca="1" si="2"/>
        <v>90</v>
      </c>
      <c r="B93" s="4" t="s">
        <v>308</v>
      </c>
      <c r="C93" s="4" t="s">
        <v>309</v>
      </c>
      <c r="D93" s="4" t="s">
        <v>124</v>
      </c>
      <c r="E93" s="4" t="s">
        <v>66</v>
      </c>
      <c r="F93" s="4">
        <v>545.86300000000006</v>
      </c>
      <c r="G93" s="5">
        <v>56.1721</v>
      </c>
      <c r="H93" s="5">
        <v>16.63</v>
      </c>
      <c r="I93" s="5">
        <v>6874</v>
      </c>
      <c r="J93" s="4" t="s">
        <v>125</v>
      </c>
    </row>
    <row r="94" spans="1:10" x14ac:dyDescent="0.25">
      <c r="A94" s="4">
        <f t="shared" ca="1" si="2"/>
        <v>91</v>
      </c>
      <c r="B94" s="4" t="s">
        <v>310</v>
      </c>
      <c r="C94" s="4" t="s">
        <v>311</v>
      </c>
      <c r="D94" s="4" t="s">
        <v>124</v>
      </c>
      <c r="E94" s="4" t="s">
        <v>66</v>
      </c>
      <c r="F94" s="4">
        <v>1000</v>
      </c>
      <c r="G94" s="5">
        <v>102.16600000000001</v>
      </c>
      <c r="H94" s="5">
        <v>12.44</v>
      </c>
      <c r="I94" s="5">
        <v>303</v>
      </c>
      <c r="J94" s="4" t="s">
        <v>125</v>
      </c>
    </row>
    <row r="95" spans="1:10" x14ac:dyDescent="0.25">
      <c r="A95" s="4">
        <f t="shared" ca="1" si="2"/>
        <v>92</v>
      </c>
      <c r="B95" s="4" t="s">
        <v>312</v>
      </c>
      <c r="C95" s="4" t="s">
        <v>313</v>
      </c>
      <c r="D95" s="4" t="s">
        <v>124</v>
      </c>
      <c r="E95" s="4" t="s">
        <v>66</v>
      </c>
      <c r="F95" s="4">
        <v>1000</v>
      </c>
      <c r="G95" s="5">
        <v>105.3802</v>
      </c>
      <c r="H95" s="5">
        <v>12.51</v>
      </c>
      <c r="I95" s="5">
        <v>1305</v>
      </c>
      <c r="J95" s="4" t="s">
        <v>125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124</v>
      </c>
      <c r="E96" s="4" t="s">
        <v>66</v>
      </c>
      <c r="F96" s="4">
        <v>1000</v>
      </c>
      <c r="G96" s="5">
        <v>106.3584</v>
      </c>
      <c r="H96" s="5">
        <v>12.52</v>
      </c>
      <c r="I96" s="5">
        <v>1641</v>
      </c>
      <c r="J96" s="4" t="s">
        <v>125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124</v>
      </c>
      <c r="E97" s="4" t="s">
        <v>66</v>
      </c>
      <c r="F97" s="4">
        <v>1000</v>
      </c>
      <c r="G97" s="5">
        <v>103.28400000000001</v>
      </c>
      <c r="H97" s="5">
        <v>12.37</v>
      </c>
      <c r="I97" s="5">
        <v>270</v>
      </c>
      <c r="J97" s="4" t="s">
        <v>125</v>
      </c>
    </row>
    <row r="98" spans="1:10" x14ac:dyDescent="0.25">
      <c r="A98" s="4">
        <f t="shared" ca="1" si="2"/>
        <v>95</v>
      </c>
      <c r="B98" s="4" t="s">
        <v>318</v>
      </c>
      <c r="C98" s="4" t="s">
        <v>97</v>
      </c>
      <c r="D98" s="4" t="s">
        <v>124</v>
      </c>
      <c r="E98" s="4" t="s">
        <v>66</v>
      </c>
      <c r="F98" s="4">
        <v>609.86700000000008</v>
      </c>
      <c r="G98" s="5">
        <v>67.778999999999996</v>
      </c>
      <c r="H98" s="5">
        <v>16.64</v>
      </c>
      <c r="I98" s="5">
        <v>3346</v>
      </c>
      <c r="J98" s="4" t="s">
        <v>125</v>
      </c>
    </row>
    <row r="99" spans="1:10" x14ac:dyDescent="0.25">
      <c r="A99" s="4">
        <f t="shared" ca="1" si="2"/>
        <v>96</v>
      </c>
      <c r="B99" s="4" t="s">
        <v>319</v>
      </c>
      <c r="C99" s="4" t="s">
        <v>320</v>
      </c>
      <c r="D99" s="4" t="s">
        <v>124</v>
      </c>
      <c r="E99" s="4" t="s">
        <v>66</v>
      </c>
      <c r="F99" s="4">
        <v>914.91300000000001</v>
      </c>
      <c r="G99" s="5">
        <v>98.141300000000001</v>
      </c>
      <c r="H99" s="5">
        <v>16.920000000000002</v>
      </c>
      <c r="I99" s="5">
        <v>460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321</v>
      </c>
      <c r="C100" s="4" t="s">
        <v>322</v>
      </c>
      <c r="D100" s="4" t="s">
        <v>124</v>
      </c>
      <c r="E100" s="4" t="s">
        <v>66</v>
      </c>
      <c r="F100" s="4">
        <v>896.29600000000005</v>
      </c>
      <c r="G100" s="5">
        <v>93.354600000000005</v>
      </c>
      <c r="H100" s="5">
        <v>16.86</v>
      </c>
      <c r="I100" s="5">
        <v>579</v>
      </c>
      <c r="J100" s="4" t="s">
        <v>125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124</v>
      </c>
      <c r="E101" s="4" t="s">
        <v>66</v>
      </c>
      <c r="F101" s="4">
        <v>603.64100000000008</v>
      </c>
      <c r="G101" s="5">
        <v>63.237900000000003</v>
      </c>
      <c r="H101" s="5">
        <v>16.63</v>
      </c>
      <c r="I101" s="5">
        <v>3894</v>
      </c>
      <c r="J101" s="4" t="s">
        <v>125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124</v>
      </c>
      <c r="E102" s="4" t="s">
        <v>66</v>
      </c>
      <c r="F102" s="4">
        <v>673.60300000000007</v>
      </c>
      <c r="G102" s="5">
        <v>73.08550000000001</v>
      </c>
      <c r="H102" s="5">
        <v>16.649999999999999</v>
      </c>
      <c r="I102" s="5">
        <v>2681</v>
      </c>
      <c r="J102" s="4" t="s">
        <v>125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124</v>
      </c>
      <c r="E103" s="4" t="s">
        <v>66</v>
      </c>
      <c r="F103" s="4">
        <v>664.24</v>
      </c>
      <c r="G103" s="5">
        <v>71.57050000000001</v>
      </c>
      <c r="H103" s="5">
        <v>16.649999999999999</v>
      </c>
      <c r="I103" s="5">
        <v>2700</v>
      </c>
      <c r="J103" s="4" t="s">
        <v>125</v>
      </c>
    </row>
    <row r="104" spans="1:10" x14ac:dyDescent="0.25">
      <c r="A104" s="4">
        <f t="shared" ca="1" si="3"/>
        <v>101</v>
      </c>
      <c r="B104" s="4" t="s">
        <v>329</v>
      </c>
      <c r="C104" s="4" t="s">
        <v>95</v>
      </c>
      <c r="D104" s="4" t="s">
        <v>124</v>
      </c>
      <c r="E104" s="4" t="s">
        <v>66</v>
      </c>
      <c r="F104" s="4">
        <v>690.34900000000005</v>
      </c>
      <c r="G104" s="5">
        <v>74.339600000000004</v>
      </c>
      <c r="H104" s="5">
        <v>16.66</v>
      </c>
      <c r="I104" s="5">
        <v>2328</v>
      </c>
      <c r="J104" s="4" t="s">
        <v>125</v>
      </c>
    </row>
    <row r="105" spans="1:10" x14ac:dyDescent="0.25">
      <c r="A105" s="4">
        <f t="shared" ca="1" si="3"/>
        <v>102</v>
      </c>
      <c r="B105" s="4" t="s">
        <v>330</v>
      </c>
      <c r="C105" s="4" t="s">
        <v>331</v>
      </c>
      <c r="D105" s="4" t="s">
        <v>124</v>
      </c>
      <c r="E105" s="4" t="s">
        <v>66</v>
      </c>
      <c r="F105" s="4">
        <v>718.41700000000003</v>
      </c>
      <c r="G105" s="5">
        <v>76.577500000000001</v>
      </c>
      <c r="H105" s="5">
        <v>16.66</v>
      </c>
      <c r="I105" s="5">
        <v>1986</v>
      </c>
      <c r="J105" s="4" t="s">
        <v>125</v>
      </c>
    </row>
    <row r="106" spans="1:10" x14ac:dyDescent="0.25">
      <c r="A106" s="4">
        <f t="shared" ca="1" si="3"/>
        <v>103</v>
      </c>
      <c r="B106" s="4" t="s">
        <v>332</v>
      </c>
      <c r="C106" s="4" t="s">
        <v>333</v>
      </c>
      <c r="D106" s="4" t="s">
        <v>124</v>
      </c>
      <c r="E106" s="4" t="s">
        <v>66</v>
      </c>
      <c r="F106" s="4">
        <v>606.83900000000006</v>
      </c>
      <c r="G106" s="5">
        <v>67.716400000000007</v>
      </c>
      <c r="H106" s="5">
        <v>16.649999999999999</v>
      </c>
      <c r="I106" s="5">
        <v>4090</v>
      </c>
      <c r="J106" s="4" t="s">
        <v>125</v>
      </c>
    </row>
    <row r="107" spans="1:10" x14ac:dyDescent="0.25">
      <c r="A107" s="4">
        <f t="shared" ca="1" si="3"/>
        <v>104</v>
      </c>
      <c r="B107" s="4" t="s">
        <v>334</v>
      </c>
      <c r="C107" s="4" t="s">
        <v>335</v>
      </c>
      <c r="D107" s="4" t="s">
        <v>124</v>
      </c>
      <c r="E107" s="4" t="s">
        <v>66</v>
      </c>
      <c r="F107" s="4">
        <v>1000</v>
      </c>
      <c r="G107" s="5">
        <v>106.4282</v>
      </c>
      <c r="H107" s="5">
        <v>12.18</v>
      </c>
      <c r="I107" s="5">
        <v>178</v>
      </c>
      <c r="J107" s="4" t="s">
        <v>125</v>
      </c>
    </row>
    <row r="108" spans="1:10" x14ac:dyDescent="0.25">
      <c r="A108" s="4">
        <f t="shared" ca="1" si="3"/>
        <v>105</v>
      </c>
      <c r="B108" s="4" t="s">
        <v>336</v>
      </c>
      <c r="C108" s="4" t="s">
        <v>86</v>
      </c>
      <c r="D108" s="4" t="s">
        <v>124</v>
      </c>
      <c r="E108" s="4" t="s">
        <v>66</v>
      </c>
      <c r="F108" s="4">
        <v>763.65</v>
      </c>
      <c r="G108" s="5">
        <v>78.690300000000008</v>
      </c>
      <c r="H108" s="5">
        <v>16.71</v>
      </c>
      <c r="I108" s="5">
        <v>1351</v>
      </c>
      <c r="J108" s="4" t="s">
        <v>125</v>
      </c>
    </row>
    <row r="109" spans="1:10" x14ac:dyDescent="0.25">
      <c r="A109" s="4">
        <f t="shared" ca="1" si="3"/>
        <v>106</v>
      </c>
      <c r="B109" s="4" t="s">
        <v>337</v>
      </c>
      <c r="C109" s="4" t="s">
        <v>338</v>
      </c>
      <c r="D109" s="4" t="s">
        <v>124</v>
      </c>
      <c r="E109" s="4" t="s">
        <v>66</v>
      </c>
      <c r="F109" s="4">
        <v>742.23300000000006</v>
      </c>
      <c r="G109" s="5">
        <v>80.580600000000004</v>
      </c>
      <c r="H109" s="5">
        <v>16.72</v>
      </c>
      <c r="I109" s="5">
        <v>1526</v>
      </c>
      <c r="J109" s="4" t="s">
        <v>125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124</v>
      </c>
      <c r="E110" s="4" t="s">
        <v>66</v>
      </c>
      <c r="F110" s="4">
        <v>545.43500000000006</v>
      </c>
      <c r="G110" s="5">
        <v>62.048500000000004</v>
      </c>
      <c r="H110" s="5">
        <v>16.62</v>
      </c>
      <c r="I110" s="5">
        <v>4767</v>
      </c>
      <c r="J110" s="4" t="s">
        <v>125</v>
      </c>
    </row>
    <row r="111" spans="1:10" x14ac:dyDescent="0.25">
      <c r="A111" s="4">
        <f t="shared" ca="1" si="3"/>
        <v>108</v>
      </c>
      <c r="B111" s="4" t="s">
        <v>341</v>
      </c>
      <c r="C111" s="4" t="s">
        <v>83</v>
      </c>
      <c r="D111" s="4" t="s">
        <v>124</v>
      </c>
      <c r="E111" s="4" t="s">
        <v>66</v>
      </c>
      <c r="F111" s="4">
        <v>926.37900000000002</v>
      </c>
      <c r="G111" s="5">
        <v>94.226800000000011</v>
      </c>
      <c r="H111" s="5">
        <v>17.22</v>
      </c>
      <c r="I111" s="5">
        <v>260</v>
      </c>
      <c r="J111" s="4" t="s">
        <v>125</v>
      </c>
    </row>
    <row r="112" spans="1:10" x14ac:dyDescent="0.25">
      <c r="A112" s="4">
        <f t="shared" ca="1" si="3"/>
        <v>109</v>
      </c>
      <c r="B112" s="4" t="s">
        <v>342</v>
      </c>
      <c r="C112" s="4" t="s">
        <v>92</v>
      </c>
      <c r="D112" s="4" t="s">
        <v>124</v>
      </c>
      <c r="E112" s="4" t="s">
        <v>66</v>
      </c>
      <c r="F112" s="4">
        <v>826.04300000000001</v>
      </c>
      <c r="G112" s="5">
        <v>83.237400000000008</v>
      </c>
      <c r="H112" s="5">
        <v>16.809999999999999</v>
      </c>
      <c r="I112" s="5">
        <v>687</v>
      </c>
      <c r="J112" s="4" t="s">
        <v>125</v>
      </c>
    </row>
    <row r="113" spans="1:10" x14ac:dyDescent="0.25">
      <c r="A113" s="4">
        <f t="shared" ca="1" si="3"/>
        <v>110</v>
      </c>
      <c r="B113" s="4" t="s">
        <v>343</v>
      </c>
      <c r="C113" s="4" t="s">
        <v>344</v>
      </c>
      <c r="D113" s="4" t="s">
        <v>124</v>
      </c>
      <c r="E113" s="4" t="s">
        <v>66</v>
      </c>
      <c r="F113" s="4">
        <v>762.94</v>
      </c>
      <c r="G113" s="5">
        <v>77.394000000000005</v>
      </c>
      <c r="H113" s="5">
        <v>16.75</v>
      </c>
      <c r="I113" s="5">
        <v>1024</v>
      </c>
      <c r="J113" s="4" t="s">
        <v>125</v>
      </c>
    </row>
    <row r="114" spans="1:10" x14ac:dyDescent="0.25">
      <c r="A114" s="4">
        <f t="shared" ca="1" si="3"/>
        <v>111</v>
      </c>
      <c r="B114" s="4" t="s">
        <v>345</v>
      </c>
      <c r="C114" s="4" t="s">
        <v>346</v>
      </c>
      <c r="D114" s="4" t="s">
        <v>124</v>
      </c>
      <c r="E114" s="4" t="s">
        <v>66</v>
      </c>
      <c r="F114" s="4">
        <v>561.97400000000005</v>
      </c>
      <c r="G114" s="5">
        <v>59.143100000000004</v>
      </c>
      <c r="H114" s="5">
        <v>16.62</v>
      </c>
      <c r="I114" s="5">
        <v>4984</v>
      </c>
      <c r="J114" s="4" t="s">
        <v>125</v>
      </c>
    </row>
    <row r="115" spans="1:10" x14ac:dyDescent="0.25">
      <c r="A115" s="4">
        <f t="shared" ca="1" si="3"/>
        <v>112</v>
      </c>
      <c r="B115" s="4" t="s">
        <v>347</v>
      </c>
      <c r="C115" s="4" t="s">
        <v>348</v>
      </c>
      <c r="D115" s="4" t="s">
        <v>124</v>
      </c>
      <c r="E115" s="4" t="s">
        <v>66</v>
      </c>
      <c r="F115" s="4">
        <v>557.55200000000002</v>
      </c>
      <c r="G115" s="5">
        <v>62.172200000000004</v>
      </c>
      <c r="H115" s="5">
        <v>16.64</v>
      </c>
      <c r="I115" s="5">
        <v>5200</v>
      </c>
      <c r="J115" s="4" t="s">
        <v>125</v>
      </c>
    </row>
    <row r="116" spans="1:10" x14ac:dyDescent="0.25">
      <c r="A116" s="4">
        <f t="shared" ca="1" si="3"/>
        <v>113</v>
      </c>
      <c r="B116" s="4" t="s">
        <v>349</v>
      </c>
      <c r="C116" s="4" t="s">
        <v>107</v>
      </c>
      <c r="D116" s="4" t="s">
        <v>124</v>
      </c>
      <c r="E116" s="4" t="s">
        <v>66</v>
      </c>
      <c r="F116" s="4">
        <v>860.29700000000003</v>
      </c>
      <c r="G116" s="5">
        <v>93.42410000000001</v>
      </c>
      <c r="H116" s="5">
        <v>16.73</v>
      </c>
      <c r="I116" s="5">
        <v>1216</v>
      </c>
      <c r="J116" s="4" t="s">
        <v>125</v>
      </c>
    </row>
    <row r="117" spans="1:10" x14ac:dyDescent="0.25">
      <c r="A117" s="4">
        <f t="shared" ca="1" si="3"/>
        <v>114</v>
      </c>
      <c r="B117" s="4" t="s">
        <v>350</v>
      </c>
      <c r="C117" s="4" t="s">
        <v>351</v>
      </c>
      <c r="D117" s="4" t="s">
        <v>124</v>
      </c>
      <c r="E117" s="4" t="s">
        <v>66</v>
      </c>
      <c r="F117" s="4">
        <v>955.80400000000009</v>
      </c>
      <c r="G117" s="5">
        <v>99.346800000000002</v>
      </c>
      <c r="H117" s="5">
        <v>17.330000000000002</v>
      </c>
      <c r="I117" s="5">
        <v>214</v>
      </c>
      <c r="J117" s="4" t="s">
        <v>125</v>
      </c>
    </row>
    <row r="118" spans="1:10" x14ac:dyDescent="0.25">
      <c r="A118" s="4">
        <f t="shared" ca="1" si="3"/>
        <v>115</v>
      </c>
      <c r="B118" s="4" t="s">
        <v>352</v>
      </c>
      <c r="C118" s="4" t="s">
        <v>353</v>
      </c>
      <c r="D118" s="4" t="s">
        <v>124</v>
      </c>
      <c r="E118" s="4" t="s">
        <v>66</v>
      </c>
      <c r="F118" s="4">
        <v>1000</v>
      </c>
      <c r="G118" s="5">
        <v>112.28</v>
      </c>
      <c r="H118" s="5">
        <v>12.66</v>
      </c>
      <c r="I118" s="5">
        <v>1108</v>
      </c>
      <c r="J118" s="4" t="s">
        <v>125</v>
      </c>
    </row>
    <row r="119" spans="1:10" x14ac:dyDescent="0.25">
      <c r="A119" s="4">
        <f t="shared" ca="1" si="3"/>
        <v>116</v>
      </c>
      <c r="B119" s="4" t="s">
        <v>354</v>
      </c>
      <c r="C119" s="4" t="s">
        <v>355</v>
      </c>
      <c r="D119" s="4" t="s">
        <v>124</v>
      </c>
      <c r="E119" s="4" t="s">
        <v>66</v>
      </c>
      <c r="F119" s="4">
        <v>1000</v>
      </c>
      <c r="G119" s="5">
        <v>108.48950000000001</v>
      </c>
      <c r="H119" s="5">
        <v>12.05</v>
      </c>
      <c r="I119" s="5">
        <v>118</v>
      </c>
      <c r="J119" s="4" t="s">
        <v>125</v>
      </c>
    </row>
    <row r="120" spans="1:10" x14ac:dyDescent="0.25">
      <c r="A120" s="4">
        <f t="shared" ca="1" si="3"/>
        <v>117</v>
      </c>
      <c r="B120" s="4" t="s">
        <v>356</v>
      </c>
      <c r="C120" s="4" t="s">
        <v>357</v>
      </c>
      <c r="D120" s="4" t="s">
        <v>124</v>
      </c>
      <c r="E120" s="4" t="s">
        <v>66</v>
      </c>
      <c r="F120" s="4">
        <v>1000</v>
      </c>
      <c r="G120" s="5">
        <v>109.57250000000001</v>
      </c>
      <c r="H120" s="5">
        <v>12.52</v>
      </c>
      <c r="I120" s="5">
        <v>1185</v>
      </c>
      <c r="J120" s="4" t="s">
        <v>125</v>
      </c>
    </row>
    <row r="121" spans="1:10" x14ac:dyDescent="0.25">
      <c r="A121" s="4">
        <f t="shared" ca="1" si="3"/>
        <v>118</v>
      </c>
      <c r="B121" s="4" t="s">
        <v>358</v>
      </c>
      <c r="C121" s="4" t="s">
        <v>359</v>
      </c>
      <c r="D121" s="4" t="s">
        <v>124</v>
      </c>
      <c r="E121" s="4" t="s">
        <v>66</v>
      </c>
      <c r="F121" s="4">
        <v>863.65600000000006</v>
      </c>
      <c r="G121" s="5">
        <v>87.383499999999998</v>
      </c>
      <c r="H121" s="5">
        <v>16.75</v>
      </c>
      <c r="I121" s="5">
        <v>1061</v>
      </c>
      <c r="J121" s="4" t="s">
        <v>125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124</v>
      </c>
      <c r="E122" s="4" t="s">
        <v>66</v>
      </c>
      <c r="F122" s="4">
        <v>1000</v>
      </c>
      <c r="G122" s="5">
        <v>109.6773</v>
      </c>
      <c r="H122" s="5">
        <v>12.51</v>
      </c>
      <c r="I122" s="5">
        <v>816</v>
      </c>
      <c r="J122" s="4" t="s">
        <v>125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124</v>
      </c>
      <c r="E123" s="4" t="s">
        <v>66</v>
      </c>
      <c r="F123" s="4">
        <v>579.48099999999999</v>
      </c>
      <c r="G123" s="5">
        <v>61.278700000000001</v>
      </c>
      <c r="H123" s="5">
        <v>16.649999999999999</v>
      </c>
      <c r="I123" s="5">
        <v>2336</v>
      </c>
      <c r="J123" s="4" t="s">
        <v>125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124</v>
      </c>
      <c r="E124" s="4" t="s">
        <v>66</v>
      </c>
      <c r="F124" s="4">
        <v>787.42700000000002</v>
      </c>
      <c r="G124" s="5">
        <v>85.802300000000002</v>
      </c>
      <c r="H124" s="5">
        <v>16.740000000000002</v>
      </c>
      <c r="I124" s="5">
        <v>1105</v>
      </c>
      <c r="J124" s="4" t="s">
        <v>125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124</v>
      </c>
      <c r="E125" s="4" t="s">
        <v>66</v>
      </c>
      <c r="F125" s="4">
        <v>782.64100000000008</v>
      </c>
      <c r="G125" s="5">
        <v>81.375200000000007</v>
      </c>
      <c r="H125" s="5">
        <v>16.77</v>
      </c>
      <c r="I125" s="5">
        <v>869</v>
      </c>
      <c r="J125" s="4" t="s">
        <v>125</v>
      </c>
    </row>
    <row r="126" spans="1:10" x14ac:dyDescent="0.25">
      <c r="A126" s="4">
        <f t="shared" ca="1" si="3"/>
        <v>123</v>
      </c>
      <c r="B126" s="4" t="s">
        <v>368</v>
      </c>
      <c r="C126" s="4" t="s">
        <v>81</v>
      </c>
      <c r="D126" s="4" t="s">
        <v>124</v>
      </c>
      <c r="E126" s="4" t="s">
        <v>66</v>
      </c>
      <c r="F126" s="4">
        <v>767.13200000000006</v>
      </c>
      <c r="G126" s="5">
        <v>80.440700000000007</v>
      </c>
      <c r="H126" s="5">
        <v>16.649999999999999</v>
      </c>
      <c r="I126" s="5">
        <v>2429</v>
      </c>
      <c r="J126" s="4" t="s">
        <v>125</v>
      </c>
    </row>
    <row r="127" spans="1:10" x14ac:dyDescent="0.25">
      <c r="A127" s="4">
        <f t="shared" ca="1" si="3"/>
        <v>124</v>
      </c>
      <c r="B127" s="4" t="s">
        <v>369</v>
      </c>
      <c r="C127" s="4" t="s">
        <v>109</v>
      </c>
      <c r="D127" s="4" t="s">
        <v>124</v>
      </c>
      <c r="E127" s="4" t="s">
        <v>66</v>
      </c>
      <c r="F127" s="4">
        <v>839.27500000000009</v>
      </c>
      <c r="G127" s="5">
        <v>87.561400000000006</v>
      </c>
      <c r="H127" s="5">
        <v>16.7</v>
      </c>
      <c r="I127" s="5">
        <v>1335</v>
      </c>
      <c r="J127" s="4" t="s">
        <v>125</v>
      </c>
    </row>
    <row r="128" spans="1:10" x14ac:dyDescent="0.25">
      <c r="A128" s="4">
        <f t="shared" ca="1" si="3"/>
        <v>125</v>
      </c>
      <c r="B128" s="4" t="s">
        <v>370</v>
      </c>
      <c r="C128" s="4" t="s">
        <v>371</v>
      </c>
      <c r="D128" s="4" t="s">
        <v>124</v>
      </c>
      <c r="E128" s="4" t="s">
        <v>66</v>
      </c>
      <c r="F128" s="4">
        <v>1000</v>
      </c>
      <c r="G128" s="5">
        <v>102.20100000000001</v>
      </c>
      <c r="H128" s="5">
        <v>12.55</v>
      </c>
      <c r="I128" s="5">
        <v>1763</v>
      </c>
      <c r="J128" s="4" t="s">
        <v>125</v>
      </c>
    </row>
    <row r="129" spans="1:10" x14ac:dyDescent="0.25">
      <c r="A129" s="4">
        <f t="shared" ca="1" si="3"/>
        <v>126</v>
      </c>
      <c r="B129" s="4" t="s">
        <v>372</v>
      </c>
      <c r="C129" s="4" t="s">
        <v>373</v>
      </c>
      <c r="D129" s="4" t="s">
        <v>124</v>
      </c>
      <c r="E129" s="4" t="s">
        <v>66</v>
      </c>
      <c r="F129" s="4">
        <v>1000</v>
      </c>
      <c r="G129" s="5">
        <v>111.6337</v>
      </c>
      <c r="H129" s="5">
        <v>12.56</v>
      </c>
      <c r="I129" s="5">
        <v>2219</v>
      </c>
      <c r="J129" s="4" t="s">
        <v>125</v>
      </c>
    </row>
    <row r="130" spans="1:10" x14ac:dyDescent="0.25">
      <c r="A130" s="4">
        <f t="shared" ca="1" si="3"/>
        <v>127</v>
      </c>
      <c r="B130" s="4" t="s">
        <v>374</v>
      </c>
      <c r="C130" s="4" t="s">
        <v>375</v>
      </c>
      <c r="D130" s="4" t="s">
        <v>124</v>
      </c>
      <c r="E130" s="4" t="s">
        <v>66</v>
      </c>
      <c r="F130" s="4">
        <v>1000</v>
      </c>
      <c r="G130" s="5">
        <v>102.27080000000001</v>
      </c>
      <c r="H130" s="5">
        <v>12.55</v>
      </c>
      <c r="I130" s="5">
        <v>2126</v>
      </c>
      <c r="J130" s="4" t="s">
        <v>125</v>
      </c>
    </row>
    <row r="131" spans="1:10" x14ac:dyDescent="0.25">
      <c r="A131" s="4">
        <f t="shared" ca="1" si="3"/>
        <v>128</v>
      </c>
      <c r="B131" s="4" t="s">
        <v>376</v>
      </c>
      <c r="C131" s="4" t="s">
        <v>377</v>
      </c>
      <c r="D131" s="4" t="s">
        <v>124</v>
      </c>
      <c r="E131" s="4" t="s">
        <v>66</v>
      </c>
      <c r="F131" s="4">
        <v>919.72900000000004</v>
      </c>
      <c r="G131" s="5">
        <v>97.548500000000004</v>
      </c>
      <c r="H131" s="5">
        <v>16.87</v>
      </c>
      <c r="I131" s="5">
        <v>534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378</v>
      </c>
      <c r="C132" s="4" t="s">
        <v>379</v>
      </c>
      <c r="D132" s="4" t="s">
        <v>124</v>
      </c>
      <c r="E132" s="4" t="s">
        <v>66</v>
      </c>
      <c r="F132" s="4">
        <v>723.19299999999998</v>
      </c>
      <c r="G132" s="5">
        <v>81.650400000000005</v>
      </c>
      <c r="H132" s="5">
        <v>16.64</v>
      </c>
      <c r="I132" s="5">
        <v>4076</v>
      </c>
      <c r="J132" s="4" t="s">
        <v>125</v>
      </c>
    </row>
    <row r="133" spans="1:10" x14ac:dyDescent="0.25">
      <c r="A133" s="4">
        <f t="shared" ca="1" si="4"/>
        <v>130</v>
      </c>
      <c r="B133" s="4" t="s">
        <v>380</v>
      </c>
      <c r="C133" s="4" t="s">
        <v>99</v>
      </c>
      <c r="D133" s="4" t="s">
        <v>124</v>
      </c>
      <c r="E133" s="4" t="s">
        <v>66</v>
      </c>
      <c r="F133" s="4">
        <v>990.76100000000008</v>
      </c>
      <c r="G133" s="5">
        <v>102.95880000000001</v>
      </c>
      <c r="H133" s="5">
        <v>17.490000000000002</v>
      </c>
      <c r="I133" s="5">
        <v>51</v>
      </c>
      <c r="J133" s="4" t="s">
        <v>125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124</v>
      </c>
      <c r="E134" s="4" t="s">
        <v>66</v>
      </c>
      <c r="F134" s="4">
        <v>836.05499999999995</v>
      </c>
      <c r="G134" s="5">
        <v>92.711100000000002</v>
      </c>
      <c r="H134" s="5">
        <v>16.72</v>
      </c>
      <c r="I134" s="5">
        <v>1526</v>
      </c>
      <c r="J134" s="4" t="s">
        <v>125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124</v>
      </c>
      <c r="E135" s="4" t="s">
        <v>66</v>
      </c>
      <c r="F135" s="4">
        <v>713.93600000000004</v>
      </c>
      <c r="G135" s="5">
        <v>74.298200000000008</v>
      </c>
      <c r="H135" s="5">
        <v>16.64</v>
      </c>
      <c r="I135" s="5">
        <v>3920</v>
      </c>
      <c r="J135" s="4" t="s">
        <v>125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124</v>
      </c>
      <c r="E136" s="4" t="s">
        <v>66</v>
      </c>
      <c r="F136" s="4">
        <v>716.94299999999998</v>
      </c>
      <c r="G136" s="5">
        <v>79.706000000000003</v>
      </c>
      <c r="H136" s="5">
        <v>16.66</v>
      </c>
      <c r="I136" s="5">
        <v>3000</v>
      </c>
      <c r="J136" s="4" t="s">
        <v>125</v>
      </c>
    </row>
    <row r="137" spans="1:10" x14ac:dyDescent="0.25">
      <c r="A137" s="4">
        <f t="shared" ca="1" si="4"/>
        <v>134</v>
      </c>
      <c r="B137" s="4" t="s">
        <v>387</v>
      </c>
      <c r="C137" s="4" t="s">
        <v>73</v>
      </c>
      <c r="D137" s="4" t="s">
        <v>124</v>
      </c>
      <c r="E137" s="4" t="s">
        <v>66</v>
      </c>
      <c r="F137" s="4">
        <v>881.39600000000007</v>
      </c>
      <c r="G137" s="5">
        <v>94.784000000000006</v>
      </c>
      <c r="H137" s="5">
        <v>16.79</v>
      </c>
      <c r="I137" s="5">
        <v>863</v>
      </c>
      <c r="J137" s="4" t="s">
        <v>125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124</v>
      </c>
      <c r="E138" s="4" t="s">
        <v>66</v>
      </c>
      <c r="F138" s="4">
        <v>962.15600000000006</v>
      </c>
      <c r="G138" s="5">
        <v>99.657300000000006</v>
      </c>
      <c r="H138" s="5">
        <v>16.600000000000001</v>
      </c>
      <c r="I138" s="5">
        <v>246</v>
      </c>
      <c r="J138" s="4" t="s">
        <v>125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124</v>
      </c>
      <c r="E139" s="4" t="s">
        <v>66</v>
      </c>
      <c r="F139" s="4">
        <v>706.77600000000007</v>
      </c>
      <c r="G139" s="5">
        <v>78.13730000000001</v>
      </c>
      <c r="H139" s="5">
        <v>16.63</v>
      </c>
      <c r="I139" s="5">
        <v>3386</v>
      </c>
      <c r="J139" s="4" t="s">
        <v>125</v>
      </c>
    </row>
    <row r="140" spans="1:10" x14ac:dyDescent="0.25">
      <c r="A140" s="4">
        <f t="shared" ca="1" si="4"/>
        <v>137</v>
      </c>
      <c r="B140" s="4" t="s">
        <v>392</v>
      </c>
      <c r="C140" s="4" t="s">
        <v>111</v>
      </c>
      <c r="D140" s="4" t="s">
        <v>124</v>
      </c>
      <c r="E140" s="4" t="s">
        <v>66</v>
      </c>
      <c r="F140" s="4">
        <v>785.42499999999995</v>
      </c>
      <c r="G140" s="5">
        <v>85.838300000000004</v>
      </c>
      <c r="H140" s="5">
        <v>16.66</v>
      </c>
      <c r="I140" s="5">
        <v>1932</v>
      </c>
      <c r="J140" s="4" t="s">
        <v>125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124</v>
      </c>
      <c r="E141" s="4" t="s">
        <v>66</v>
      </c>
      <c r="F141" s="4">
        <v>749.423</v>
      </c>
      <c r="G141" s="5">
        <v>77.882100000000008</v>
      </c>
      <c r="H141" s="5">
        <v>16.649999999999999</v>
      </c>
      <c r="I141" s="5">
        <v>2822</v>
      </c>
      <c r="J141" s="4" t="s">
        <v>125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124</v>
      </c>
      <c r="E142" s="4" t="s">
        <v>66</v>
      </c>
      <c r="F142" s="4">
        <v>980.61700000000008</v>
      </c>
      <c r="G142" s="5">
        <v>100.9961</v>
      </c>
      <c r="H142" s="5">
        <v>16.53</v>
      </c>
      <c r="I142" s="5">
        <v>289</v>
      </c>
      <c r="J142" s="4" t="s">
        <v>125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124</v>
      </c>
      <c r="E143" s="4" t="s">
        <v>66</v>
      </c>
      <c r="F143" s="4">
        <v>986.31200000000001</v>
      </c>
      <c r="G143" s="5">
        <v>99.228099999999998</v>
      </c>
      <c r="H143" s="5">
        <v>16.18</v>
      </c>
      <c r="I143" s="5">
        <v>717</v>
      </c>
      <c r="J143" s="4" t="s">
        <v>125</v>
      </c>
    </row>
    <row r="144" spans="1:10" x14ac:dyDescent="0.25">
      <c r="A144" s="4">
        <f t="shared" ca="1" si="4"/>
        <v>141</v>
      </c>
      <c r="B144" s="4" t="s">
        <v>399</v>
      </c>
      <c r="C144" s="4" t="s">
        <v>400</v>
      </c>
      <c r="D144" s="4" t="s">
        <v>124</v>
      </c>
      <c r="E144" s="4" t="s">
        <v>66</v>
      </c>
      <c r="F144" s="4">
        <v>896.60300000000007</v>
      </c>
      <c r="G144" s="5">
        <v>97.165900000000008</v>
      </c>
      <c r="H144" s="5">
        <v>16.66</v>
      </c>
      <c r="I144" s="5">
        <v>2361</v>
      </c>
      <c r="J144" s="4" t="s">
        <v>125</v>
      </c>
    </row>
    <row r="145" spans="1:10" x14ac:dyDescent="0.25">
      <c r="A145" s="4">
        <f t="shared" ca="1" si="4"/>
        <v>142</v>
      </c>
      <c r="B145" s="4" t="s">
        <v>401</v>
      </c>
      <c r="C145" s="4" t="s">
        <v>402</v>
      </c>
      <c r="D145" s="4" t="s">
        <v>124</v>
      </c>
      <c r="E145" s="4" t="s">
        <v>66</v>
      </c>
      <c r="F145" s="4">
        <v>963.97500000000002</v>
      </c>
      <c r="G145" s="5">
        <v>107.83</v>
      </c>
      <c r="H145" s="5">
        <v>16.73</v>
      </c>
      <c r="I145" s="5">
        <v>1188</v>
      </c>
      <c r="J145" s="4" t="s">
        <v>125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124</v>
      </c>
      <c r="E146" s="4" t="s">
        <v>66</v>
      </c>
      <c r="F146" s="4">
        <v>1000</v>
      </c>
      <c r="G146" s="5">
        <v>104.0407</v>
      </c>
      <c r="H146" s="5">
        <v>17.400000000000002</v>
      </c>
      <c r="I146" s="5">
        <v>282</v>
      </c>
      <c r="J146" s="4" t="s">
        <v>125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124</v>
      </c>
      <c r="E147" s="4" t="s">
        <v>66</v>
      </c>
      <c r="F147" s="4">
        <v>906.35500000000002</v>
      </c>
      <c r="G147" s="5">
        <v>98.413300000000007</v>
      </c>
      <c r="H147" s="5">
        <v>16.670000000000002</v>
      </c>
      <c r="I147" s="5">
        <v>1988</v>
      </c>
      <c r="J147" s="4" t="s">
        <v>125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124</v>
      </c>
      <c r="E148" s="4" t="s">
        <v>66</v>
      </c>
      <c r="F148" s="4">
        <v>984.63499999999999</v>
      </c>
      <c r="G148" s="5">
        <v>104.49820000000001</v>
      </c>
      <c r="H148" s="5">
        <v>16.68</v>
      </c>
      <c r="I148" s="5">
        <v>205</v>
      </c>
      <c r="J148" s="4" t="s">
        <v>125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124</v>
      </c>
      <c r="E149" s="4" t="s">
        <v>66</v>
      </c>
      <c r="F149" s="4">
        <v>906.30700000000002</v>
      </c>
      <c r="G149" s="5">
        <v>97.735300000000009</v>
      </c>
      <c r="H149" s="5">
        <v>16.66</v>
      </c>
      <c r="I149" s="5">
        <v>2743</v>
      </c>
      <c r="J149" s="4" t="s">
        <v>125</v>
      </c>
    </row>
    <row r="150" spans="1:10" x14ac:dyDescent="0.25">
      <c r="A150" s="4">
        <f t="shared" ca="1" si="4"/>
        <v>147</v>
      </c>
      <c r="B150" s="4" t="s">
        <v>411</v>
      </c>
      <c r="C150" s="4" t="s">
        <v>412</v>
      </c>
      <c r="D150" s="4" t="s">
        <v>124</v>
      </c>
      <c r="E150" s="4" t="s">
        <v>66</v>
      </c>
      <c r="F150" s="4">
        <v>842.69400000000007</v>
      </c>
      <c r="G150" s="5">
        <v>93.602699999999999</v>
      </c>
      <c r="H150" s="5">
        <v>16.7</v>
      </c>
      <c r="I150" s="5">
        <v>1909</v>
      </c>
      <c r="J150" s="4" t="s">
        <v>125</v>
      </c>
    </row>
    <row r="151" spans="1:10" x14ac:dyDescent="0.25">
      <c r="A151" s="4">
        <f t="shared" ca="1" si="4"/>
        <v>148</v>
      </c>
      <c r="B151" s="4" t="s">
        <v>413</v>
      </c>
      <c r="C151" s="4" t="s">
        <v>76</v>
      </c>
      <c r="D151" s="4" t="s">
        <v>124</v>
      </c>
      <c r="E151" s="4" t="s">
        <v>66</v>
      </c>
      <c r="F151" s="4">
        <v>1024.1659999999999</v>
      </c>
      <c r="G151" s="5">
        <v>107.85040000000001</v>
      </c>
      <c r="H151" s="5">
        <v>16.09</v>
      </c>
      <c r="I151" s="5">
        <v>1345</v>
      </c>
      <c r="J151" s="4" t="s">
        <v>125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124</v>
      </c>
      <c r="E152" s="4" t="s">
        <v>66</v>
      </c>
      <c r="F152" s="4">
        <v>905.02</v>
      </c>
      <c r="G152" s="5">
        <v>101.2159</v>
      </c>
      <c r="H152" s="5">
        <v>16.649999999999999</v>
      </c>
      <c r="I152" s="5">
        <v>3017</v>
      </c>
      <c r="J152" s="4" t="s">
        <v>125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124</v>
      </c>
      <c r="E153" s="4" t="s">
        <v>66</v>
      </c>
      <c r="F153" s="4">
        <v>921.13600000000008</v>
      </c>
      <c r="G153" s="5">
        <v>102.90140000000001</v>
      </c>
      <c r="H153" s="5">
        <v>16.66</v>
      </c>
      <c r="I153" s="5">
        <v>2287</v>
      </c>
      <c r="J153" s="4" t="s">
        <v>125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124</v>
      </c>
      <c r="E154" s="4" t="s">
        <v>66</v>
      </c>
      <c r="F154" s="4">
        <v>867.42700000000002</v>
      </c>
      <c r="G154" s="5">
        <v>94.184400000000011</v>
      </c>
      <c r="H154" s="5">
        <v>16.63</v>
      </c>
      <c r="I154" s="5">
        <v>4555</v>
      </c>
      <c r="J154" s="4" t="s">
        <v>125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124</v>
      </c>
      <c r="E155" s="4" t="s">
        <v>66</v>
      </c>
      <c r="F155" s="4">
        <v>1000</v>
      </c>
      <c r="G155" s="5">
        <v>110.1284</v>
      </c>
      <c r="H155" s="5">
        <v>15</v>
      </c>
      <c r="I155" s="5">
        <v>1946</v>
      </c>
      <c r="J155" s="4" t="s">
        <v>125</v>
      </c>
    </row>
    <row r="156" spans="1:10" x14ac:dyDescent="0.25">
      <c r="A156" s="4">
        <f t="shared" ca="1" si="4"/>
        <v>153</v>
      </c>
      <c r="B156" s="4" t="s">
        <v>422</v>
      </c>
      <c r="C156" s="4" t="s">
        <v>113</v>
      </c>
      <c r="D156" s="4" t="s">
        <v>124</v>
      </c>
      <c r="E156" s="4" t="s">
        <v>66</v>
      </c>
      <c r="F156" s="4">
        <v>862.73300000000006</v>
      </c>
      <c r="G156" s="5">
        <v>95.1066</v>
      </c>
      <c r="H156" s="5">
        <v>16.690000000000001</v>
      </c>
      <c r="I156" s="5">
        <v>1557</v>
      </c>
      <c r="J156" s="4" t="s">
        <v>125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124</v>
      </c>
      <c r="E157" s="4" t="s">
        <v>66</v>
      </c>
      <c r="F157" s="4">
        <v>92.969000000000008</v>
      </c>
      <c r="G157" s="5">
        <v>92.969000000000008</v>
      </c>
      <c r="H157" s="5">
        <v>16.830000000000002</v>
      </c>
      <c r="I157" s="5">
        <v>165</v>
      </c>
      <c r="J157" s="4" t="s">
        <v>125</v>
      </c>
    </row>
    <row r="158" spans="1:10" x14ac:dyDescent="0.25">
      <c r="A158" s="4">
        <f t="shared" ca="1" si="4"/>
        <v>155</v>
      </c>
      <c r="B158" s="4" t="s">
        <v>425</v>
      </c>
      <c r="C158" s="4" t="s">
        <v>89</v>
      </c>
      <c r="D158" s="4" t="s">
        <v>124</v>
      </c>
      <c r="E158" s="4" t="s">
        <v>66</v>
      </c>
      <c r="F158" s="4">
        <v>97.033799999999999</v>
      </c>
      <c r="G158" s="5">
        <v>97.033799999999999</v>
      </c>
      <c r="H158" s="5">
        <v>16.91</v>
      </c>
      <c r="I158" s="5">
        <v>67</v>
      </c>
      <c r="J158" s="4" t="s">
        <v>125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124</v>
      </c>
      <c r="E159" s="4" t="s">
        <v>66</v>
      </c>
      <c r="F159" s="4">
        <v>877.24700000000007</v>
      </c>
      <c r="G159" s="5">
        <v>98.9636</v>
      </c>
      <c r="H159" s="5">
        <v>16.66</v>
      </c>
      <c r="I159" s="5">
        <v>3361</v>
      </c>
      <c r="J159" s="4" t="s">
        <v>125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124</v>
      </c>
      <c r="E160" s="4" t="s">
        <v>66</v>
      </c>
      <c r="F160" s="4">
        <v>0.98916799999999994</v>
      </c>
      <c r="G160" s="5">
        <v>99.610800000000012</v>
      </c>
      <c r="H160" s="5">
        <v>4.8600000000000003</v>
      </c>
      <c r="I160" s="5">
        <v>3416</v>
      </c>
      <c r="J160" s="4" t="s">
        <v>125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124</v>
      </c>
      <c r="E161" s="4" t="s">
        <v>66</v>
      </c>
      <c r="F161" s="4">
        <v>1028.8890000000001</v>
      </c>
      <c r="G161" s="5">
        <v>105.38430000000001</v>
      </c>
      <c r="H161" s="5">
        <v>16.05</v>
      </c>
      <c r="I161" s="5">
        <v>1773</v>
      </c>
      <c r="J161" s="4" t="s">
        <v>125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119</v>
      </c>
      <c r="E162" s="4" t="s">
        <v>434</v>
      </c>
      <c r="F162" s="4">
        <v>322.35000000000002</v>
      </c>
      <c r="G162" s="5"/>
      <c r="H162" s="5"/>
      <c r="I162" s="5"/>
      <c r="J162" s="4" t="s">
        <v>121</v>
      </c>
    </row>
    <row r="163" spans="1:10" x14ac:dyDescent="0.25">
      <c r="A163" s="4">
        <f t="shared" ca="1" si="4"/>
        <v>160</v>
      </c>
      <c r="B163" s="4" t="s">
        <v>435</v>
      </c>
      <c r="C163" s="4" t="s">
        <v>436</v>
      </c>
      <c r="D163" s="4" t="s">
        <v>119</v>
      </c>
      <c r="E163" s="4" t="s">
        <v>434</v>
      </c>
      <c r="F163" s="4">
        <v>24.67</v>
      </c>
      <c r="G163" s="5"/>
      <c r="H163" s="5"/>
      <c r="I163" s="5"/>
      <c r="J163" s="4" t="s">
        <v>212</v>
      </c>
    </row>
    <row r="164" spans="1:10" x14ac:dyDescent="0.25">
      <c r="A164" s="4">
        <f t="shared" ref="A164:A188" ca="1" si="5">IF(OFFSET(A164,-1,0)="№ п/п",1,OFFSET(A164,-1,0)+1)</f>
        <v>161</v>
      </c>
      <c r="B164" s="4" t="s">
        <v>437</v>
      </c>
      <c r="C164" s="4" t="s">
        <v>438</v>
      </c>
      <c r="D164" s="4" t="s">
        <v>124</v>
      </c>
      <c r="E164" s="4" t="s">
        <v>434</v>
      </c>
      <c r="F164" s="4">
        <v>1000.1840000000001</v>
      </c>
      <c r="G164" s="5">
        <v>108.90900000000001</v>
      </c>
      <c r="H164" s="5">
        <v>17.82</v>
      </c>
      <c r="I164" s="5">
        <v>732</v>
      </c>
      <c r="J164" s="4" t="s">
        <v>125</v>
      </c>
    </row>
    <row r="165" spans="1:10" x14ac:dyDescent="0.25">
      <c r="A165" s="4">
        <f t="shared" ca="1" si="5"/>
        <v>162</v>
      </c>
      <c r="B165" s="4" t="s">
        <v>439</v>
      </c>
      <c r="C165" s="4" t="s">
        <v>440</v>
      </c>
      <c r="D165" s="4" t="s">
        <v>124</v>
      </c>
      <c r="E165" s="4" t="s">
        <v>441</v>
      </c>
      <c r="F165" s="4">
        <v>876.08300000000008</v>
      </c>
      <c r="G165" s="5">
        <v>88.297200000000004</v>
      </c>
      <c r="H165" s="5">
        <v>17.990000000000002</v>
      </c>
      <c r="I165" s="5">
        <v>1077</v>
      </c>
      <c r="J165" s="4" t="s">
        <v>125</v>
      </c>
    </row>
    <row r="166" spans="1:10" x14ac:dyDescent="0.25">
      <c r="A166" s="4">
        <f t="shared" ca="1" si="5"/>
        <v>163</v>
      </c>
      <c r="B166" s="4" t="s">
        <v>442</v>
      </c>
      <c r="C166" s="4" t="s">
        <v>443</v>
      </c>
      <c r="D166" s="4" t="s">
        <v>119</v>
      </c>
      <c r="E166" s="4" t="s">
        <v>444</v>
      </c>
      <c r="F166" s="4">
        <v>837.36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445</v>
      </c>
      <c r="C167" s="4" t="s">
        <v>446</v>
      </c>
      <c r="D167" s="4" t="s">
        <v>124</v>
      </c>
      <c r="E167" s="4" t="s">
        <v>447</v>
      </c>
      <c r="F167" s="4">
        <v>1.0014159999999999</v>
      </c>
      <c r="G167" s="5">
        <v>101.2916</v>
      </c>
      <c r="H167" s="5">
        <v>5.5</v>
      </c>
      <c r="I167" s="5">
        <v>112</v>
      </c>
      <c r="J167" s="4" t="s">
        <v>125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124</v>
      </c>
      <c r="E168" s="4" t="s">
        <v>447</v>
      </c>
      <c r="F168" s="4">
        <v>0.87213799999999997</v>
      </c>
      <c r="G168" s="5">
        <v>87.426900000000003</v>
      </c>
      <c r="H168" s="5">
        <v>5.72</v>
      </c>
      <c r="I168" s="5">
        <v>1982</v>
      </c>
      <c r="J168" s="4" t="s">
        <v>125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124</v>
      </c>
      <c r="E169" s="4" t="s">
        <v>447</v>
      </c>
      <c r="F169" s="4">
        <v>1001.7520000000001</v>
      </c>
      <c r="G169" s="5">
        <v>100.74390000000001</v>
      </c>
      <c r="H169" s="5">
        <v>5.2</v>
      </c>
      <c r="I169" s="5">
        <v>1422</v>
      </c>
      <c r="J169" s="4" t="s">
        <v>125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124</v>
      </c>
      <c r="E170" s="4" t="s">
        <v>447</v>
      </c>
      <c r="F170" s="4">
        <v>0.9904409999999999</v>
      </c>
      <c r="G170" s="5">
        <v>99.631900000000002</v>
      </c>
      <c r="H170" s="5">
        <v>4.8100000000000005</v>
      </c>
      <c r="I170" s="5">
        <v>1887</v>
      </c>
      <c r="J170" s="4" t="s">
        <v>125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124</v>
      </c>
      <c r="E171" s="4" t="s">
        <v>447</v>
      </c>
      <c r="F171" s="4">
        <v>1.0351189999999999</v>
      </c>
      <c r="G171" s="5">
        <v>104.37130000000001</v>
      </c>
      <c r="H171" s="5">
        <v>4.72</v>
      </c>
      <c r="I171" s="5">
        <v>1588</v>
      </c>
      <c r="J171" s="4" t="s">
        <v>125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124</v>
      </c>
      <c r="E172" s="4" t="s">
        <v>447</v>
      </c>
      <c r="F172" s="4">
        <v>1.0074339999999999</v>
      </c>
      <c r="G172" s="5">
        <v>101.5878</v>
      </c>
      <c r="H172" s="5">
        <v>3.06</v>
      </c>
      <c r="I172" s="5">
        <v>1005</v>
      </c>
      <c r="J172" s="4" t="s">
        <v>125</v>
      </c>
    </row>
    <row r="173" spans="1:10" x14ac:dyDescent="0.25">
      <c r="A173" s="4">
        <f t="shared" ca="1" si="5"/>
        <v>170</v>
      </c>
      <c r="B173" s="4" t="s">
        <v>458</v>
      </c>
      <c r="C173" s="4" t="s">
        <v>459</v>
      </c>
      <c r="D173" s="4" t="s">
        <v>124</v>
      </c>
      <c r="E173" s="4" t="s">
        <v>71</v>
      </c>
      <c r="F173" s="4">
        <v>1024.3690000000001</v>
      </c>
      <c r="G173" s="5">
        <v>109.5309</v>
      </c>
      <c r="H173" s="5">
        <v>17.72</v>
      </c>
      <c r="I173" s="5">
        <v>780</v>
      </c>
      <c r="J173" s="4" t="s">
        <v>125</v>
      </c>
    </row>
    <row r="174" spans="1:10" x14ac:dyDescent="0.25">
      <c r="A174" s="4">
        <f t="shared" ca="1" si="5"/>
        <v>171</v>
      </c>
      <c r="B174" s="4" t="s">
        <v>460</v>
      </c>
      <c r="C174" s="4" t="s">
        <v>461</v>
      </c>
      <c r="D174" s="4" t="s">
        <v>124</v>
      </c>
      <c r="E174" s="4" t="s">
        <v>71</v>
      </c>
      <c r="F174" s="4">
        <v>1040.9000000000001</v>
      </c>
      <c r="G174" s="5">
        <v>111.25790000000001</v>
      </c>
      <c r="H174" s="5">
        <v>17.91</v>
      </c>
      <c r="I174" s="5">
        <v>1511</v>
      </c>
      <c r="J174" s="4" t="s">
        <v>125</v>
      </c>
    </row>
    <row r="175" spans="1:10" x14ac:dyDescent="0.25">
      <c r="A175" s="4">
        <f t="shared" ca="1" si="5"/>
        <v>172</v>
      </c>
      <c r="B175" s="4" t="s">
        <v>462</v>
      </c>
      <c r="C175" s="4" t="s">
        <v>463</v>
      </c>
      <c r="D175" s="4" t="s">
        <v>124</v>
      </c>
      <c r="E175" s="4" t="s">
        <v>71</v>
      </c>
      <c r="F175" s="4">
        <v>1048.636</v>
      </c>
      <c r="G175" s="5">
        <v>105.24080000000001</v>
      </c>
      <c r="H175" s="5">
        <v>17.91</v>
      </c>
      <c r="I175" s="5">
        <v>1455</v>
      </c>
      <c r="J175" s="4" t="s">
        <v>125</v>
      </c>
    </row>
    <row r="176" spans="1:10" x14ac:dyDescent="0.25">
      <c r="A176" s="4">
        <f t="shared" ca="1" si="5"/>
        <v>173</v>
      </c>
      <c r="B176" s="4" t="s">
        <v>464</v>
      </c>
      <c r="C176" s="4" t="s">
        <v>465</v>
      </c>
      <c r="D176" s="4" t="s">
        <v>119</v>
      </c>
      <c r="E176" s="4" t="s">
        <v>466</v>
      </c>
      <c r="F176" s="4">
        <v>28264.19</v>
      </c>
      <c r="G176" s="5"/>
      <c r="H176" s="5"/>
      <c r="I176" s="5"/>
      <c r="J176" s="4" t="s">
        <v>121</v>
      </c>
    </row>
    <row r="177" spans="1:10" x14ac:dyDescent="0.25">
      <c r="A177" s="4">
        <f t="shared" ca="1" si="5"/>
        <v>174</v>
      </c>
      <c r="B177" s="4" t="s">
        <v>467</v>
      </c>
      <c r="C177" s="4" t="s">
        <v>468</v>
      </c>
      <c r="D177" s="4" t="s">
        <v>119</v>
      </c>
      <c r="E177" s="4" t="s">
        <v>469</v>
      </c>
      <c r="F177" s="4">
        <v>39971.270000000004</v>
      </c>
      <c r="G177" s="5"/>
      <c r="H177" s="5"/>
      <c r="I177" s="5"/>
      <c r="J177" s="4" t="s">
        <v>121</v>
      </c>
    </row>
    <row r="178" spans="1:10" x14ac:dyDescent="0.25">
      <c r="A178" s="4">
        <f t="shared" ca="1" si="5"/>
        <v>175</v>
      </c>
      <c r="B178" s="4" t="s">
        <v>470</v>
      </c>
      <c r="C178" s="4" t="s">
        <v>471</v>
      </c>
      <c r="D178" s="4" t="s">
        <v>119</v>
      </c>
      <c r="E178" s="4" t="s">
        <v>469</v>
      </c>
      <c r="F178" s="4">
        <v>75.44</v>
      </c>
      <c r="G178" s="5"/>
      <c r="H178" s="5"/>
      <c r="I178" s="5"/>
      <c r="J178" s="4" t="s">
        <v>212</v>
      </c>
    </row>
    <row r="179" spans="1:10" x14ac:dyDescent="0.25">
      <c r="A179" s="4">
        <f t="shared" ca="1" si="5"/>
        <v>176</v>
      </c>
      <c r="B179" s="4" t="s">
        <v>472</v>
      </c>
      <c r="C179" s="4" t="s">
        <v>473</v>
      </c>
      <c r="D179" s="4" t="s">
        <v>124</v>
      </c>
      <c r="E179" s="4" t="s">
        <v>474</v>
      </c>
      <c r="F179" s="4">
        <v>1004.42</v>
      </c>
      <c r="G179" s="5">
        <v>103.34480000000001</v>
      </c>
      <c r="H179" s="5">
        <v>18.830000000000002</v>
      </c>
      <c r="I179" s="5">
        <v>1771</v>
      </c>
      <c r="J179" s="4" t="s">
        <v>125</v>
      </c>
    </row>
    <row r="180" spans="1:10" x14ac:dyDescent="0.25">
      <c r="A180" s="4">
        <f t="shared" ca="1" si="5"/>
        <v>177</v>
      </c>
      <c r="B180" s="4" t="s">
        <v>475</v>
      </c>
      <c r="C180" s="4" t="s">
        <v>476</v>
      </c>
      <c r="D180" s="4" t="s">
        <v>124</v>
      </c>
      <c r="E180" s="4" t="s">
        <v>474</v>
      </c>
      <c r="F180" s="4">
        <v>1004.42</v>
      </c>
      <c r="G180" s="5">
        <v>103.34480000000001</v>
      </c>
      <c r="H180" s="5">
        <v>18.830000000000002</v>
      </c>
      <c r="I180" s="5">
        <v>1771</v>
      </c>
      <c r="J180" s="4" t="s">
        <v>125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124</v>
      </c>
      <c r="E181" s="4" t="s">
        <v>479</v>
      </c>
      <c r="F181" s="4">
        <v>99.964800000000011</v>
      </c>
      <c r="G181" s="5">
        <v>102.28700000000001</v>
      </c>
      <c r="H181" s="5">
        <v>11</v>
      </c>
      <c r="I181" s="5">
        <v>289</v>
      </c>
      <c r="J181" s="4" t="s">
        <v>125</v>
      </c>
    </row>
    <row r="182" spans="1:10" x14ac:dyDescent="0.25">
      <c r="A182" s="4">
        <f t="shared" ca="1" si="5"/>
        <v>179</v>
      </c>
      <c r="B182" s="4" t="s">
        <v>480</v>
      </c>
      <c r="C182" s="4" t="s">
        <v>481</v>
      </c>
      <c r="D182" s="4" t="s">
        <v>119</v>
      </c>
      <c r="E182" s="4" t="s">
        <v>482</v>
      </c>
      <c r="F182" s="4">
        <v>887.25</v>
      </c>
      <c r="G182" s="5"/>
      <c r="H182" s="5"/>
      <c r="I182" s="5"/>
      <c r="J182" s="4" t="s">
        <v>121</v>
      </c>
    </row>
    <row r="183" spans="1:10" x14ac:dyDescent="0.25">
      <c r="A183" s="4">
        <f t="shared" ca="1" si="5"/>
        <v>180</v>
      </c>
      <c r="B183" s="4" t="s">
        <v>483</v>
      </c>
      <c r="C183" s="4" t="s">
        <v>484</v>
      </c>
      <c r="D183" s="4" t="s">
        <v>124</v>
      </c>
      <c r="E183" s="4" t="s">
        <v>103</v>
      </c>
      <c r="F183" s="4">
        <v>0.99926099999999995</v>
      </c>
      <c r="G183" s="5">
        <v>101.07010000000001</v>
      </c>
      <c r="H183" s="5">
        <v>5.94</v>
      </c>
      <c r="I183" s="5">
        <v>109</v>
      </c>
      <c r="J183" s="4" t="s">
        <v>125</v>
      </c>
    </row>
    <row r="184" spans="1:10" x14ac:dyDescent="0.25">
      <c r="A184" s="4">
        <f t="shared" ca="1" si="5"/>
        <v>181</v>
      </c>
      <c r="B184" s="4" t="s">
        <v>485</v>
      </c>
      <c r="C184" s="4" t="s">
        <v>486</v>
      </c>
      <c r="D184" s="4" t="s">
        <v>124</v>
      </c>
      <c r="E184" s="4" t="s">
        <v>103</v>
      </c>
      <c r="F184" s="4">
        <v>1000</v>
      </c>
      <c r="G184" s="5">
        <v>103.43560000000001</v>
      </c>
      <c r="H184" s="5">
        <v>18.940000000000001</v>
      </c>
      <c r="I184" s="5">
        <v>847</v>
      </c>
      <c r="J184" s="4" t="s">
        <v>125</v>
      </c>
    </row>
    <row r="185" spans="1:10" x14ac:dyDescent="0.25">
      <c r="A185" s="4">
        <f t="shared" ca="1" si="5"/>
        <v>182</v>
      </c>
      <c r="B185" s="4" t="s">
        <v>487</v>
      </c>
      <c r="C185" s="4" t="s">
        <v>104</v>
      </c>
      <c r="D185" s="4" t="s">
        <v>124</v>
      </c>
      <c r="E185" s="4" t="s">
        <v>103</v>
      </c>
      <c r="F185" s="4">
        <v>952.09514696746203</v>
      </c>
      <c r="G185" s="5">
        <v>98.744814700000006</v>
      </c>
      <c r="H185" s="5">
        <v>17.559999999999999</v>
      </c>
      <c r="I185" s="5">
        <v>641</v>
      </c>
      <c r="J185" s="4" t="s">
        <v>125</v>
      </c>
    </row>
    <row r="186" spans="1:10" x14ac:dyDescent="0.25">
      <c r="A186" s="4">
        <f t="shared" ca="1" si="5"/>
        <v>183</v>
      </c>
      <c r="B186" s="4" t="s">
        <v>488</v>
      </c>
      <c r="C186" s="4" t="s">
        <v>489</v>
      </c>
      <c r="D186" s="4" t="s">
        <v>124</v>
      </c>
      <c r="E186" s="4" t="s">
        <v>103</v>
      </c>
      <c r="F186" s="4">
        <v>1000</v>
      </c>
      <c r="G186" s="5">
        <v>105.1534</v>
      </c>
      <c r="H186" s="5">
        <v>18.940000000000001</v>
      </c>
      <c r="I186" s="5">
        <v>816</v>
      </c>
      <c r="J186" s="4" t="s">
        <v>125</v>
      </c>
    </row>
    <row r="187" spans="1:10" x14ac:dyDescent="0.25">
      <c r="A187" s="4">
        <f t="shared" ca="1" si="5"/>
        <v>184</v>
      </c>
      <c r="B187" s="4" t="s">
        <v>490</v>
      </c>
      <c r="C187" s="4" t="s">
        <v>491</v>
      </c>
      <c r="D187" s="4" t="s">
        <v>124</v>
      </c>
      <c r="E187" s="4" t="s">
        <v>492</v>
      </c>
      <c r="F187" s="4">
        <v>1.019728</v>
      </c>
      <c r="G187" s="5">
        <v>102.3361</v>
      </c>
      <c r="H187" s="5">
        <v>4.58</v>
      </c>
      <c r="I187" s="5">
        <v>889</v>
      </c>
      <c r="J187" s="4" t="s">
        <v>125</v>
      </c>
    </row>
    <row r="188" spans="1:10" x14ac:dyDescent="0.25">
      <c r="A188" s="4">
        <f t="shared" ca="1" si="5"/>
        <v>185</v>
      </c>
      <c r="B188" s="4" t="s">
        <v>493</v>
      </c>
      <c r="C188" s="4" t="s">
        <v>494</v>
      </c>
      <c r="D188" s="4" t="s">
        <v>124</v>
      </c>
      <c r="E188" s="4" t="s">
        <v>492</v>
      </c>
      <c r="F188" s="4">
        <v>1.010945</v>
      </c>
      <c r="G188" s="5">
        <v>101.8824</v>
      </c>
      <c r="H188" s="5">
        <v>4.4000000000000004</v>
      </c>
      <c r="I188" s="5">
        <v>1765</v>
      </c>
      <c r="J188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2025-12-03T04:48:56Z</dcterms:created>
  <dcterms:modified xsi:type="dcterms:W3CDTF">2025-12-03T10:02:26Z</dcterms:modified>
</cp:coreProperties>
</file>