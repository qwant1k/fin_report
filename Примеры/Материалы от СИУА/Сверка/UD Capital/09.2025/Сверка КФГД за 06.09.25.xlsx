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246D5E4E-FF12-4AF6-99CC-5072F7A6D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ДУ!$42:$42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I45" i="1"/>
  <c r="O38" i="1"/>
  <c r="O26" i="1"/>
  <c r="D30" i="1"/>
  <c r="B47" i="1"/>
  <c r="B1" i="2"/>
  <c r="C72" i="1"/>
  <c r="G56" i="1"/>
  <c r="F56" i="1"/>
  <c r="E56" i="1"/>
  <c r="G45" i="1"/>
  <c r="F45" i="1"/>
  <c r="E45" i="1"/>
  <c r="A42" i="1"/>
  <c r="A43" i="1" s="1"/>
  <c r="M38" i="1"/>
  <c r="M36" i="1"/>
  <c r="H36" i="1"/>
  <c r="M35" i="1"/>
  <c r="H35" i="1"/>
  <c r="B29" i="1"/>
  <c r="L26" i="1"/>
  <c r="K26" i="1"/>
  <c r="H26" i="1"/>
  <c r="D26" i="1"/>
  <c r="Q1" i="1"/>
  <c r="M21" i="1" s="1"/>
  <c r="M10" i="1" l="1"/>
  <c r="M14" i="1"/>
  <c r="M18" i="1"/>
  <c r="M22" i="1"/>
  <c r="M8" i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<sst xmlns="http://schemas.openxmlformats.org/spreadsheetml/2006/main" count="169" uniqueCount="117">
  <si>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</si>
  <si>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</si>
  <si>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</si>
  <si>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</si>
  <si>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</si>
  <si>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</si>
  <si>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</si>
  <si>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</si>
  <si>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</si>
  <si>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</si>
  <si>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</si>
  <si>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</si>
  <si>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</si>
  <si>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</si>
  <si>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</si>
  <si>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</si>
  <si>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</si>
  <si>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</si>
  <si>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</si>
  <si>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</si>
  <si>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</si>
  <si>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</si>
  <si>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</si>
  <si>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</si>
  <si>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</si>
  <si>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</si>
  <si>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</si>
  <si>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</si>
  <si>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</si>
  <si>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</si>
  <si>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</si>
  <si>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</si>
  <si>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</si>
  <si>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</si>
  <si>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</si>
  <si>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</si>
  <si>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</si>
  <si>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</si>
  <si>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</si>
  <si>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</si>
  <si>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</si>
  <si>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</si>
  <si>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</si>
  <si>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</si>
  <si>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</si>
  <si>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</si>
  <si>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</si>
  <si>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</si>
  <si>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</si>
  <si>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</si>
  <si>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</si>
  <si>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</si>
  <si>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</si>
  <si>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</si>
  <si>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</si>
  <si>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</si>
  <si>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</si>
  <si>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</si>
  <si>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</si>
  <si>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</si>
  <si>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</si>
  <si>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</si>
  <si>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</si>
  <si>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</si>
  <si>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</si>
  <si>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</si>
  <si>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</si>
  <si>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</si>
  <si>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МИНИСТЕРСТВО ФИНАНСОВ РК</t>
  </si>
  <si>
    <t>KZKD00001079</t>
  </si>
  <si>
    <t>05.09.2025</t>
  </si>
  <si>
    <t>08.09.2025</t>
  </si>
  <si>
    <t>XS2914770545</t>
  </si>
  <si>
    <t>KZ96601A861038102391</t>
  </si>
  <si>
    <t>KZK200000687</t>
  </si>
  <si>
    <t>18.07.2024</t>
  </si>
  <si>
    <t>21.01.2026</t>
  </si>
  <si>
    <t>KZK100000373</t>
  </si>
  <si>
    <t>13.03.2025</t>
  </si>
  <si>
    <t>06.02.2026</t>
  </si>
  <si>
    <t>KZKD00001152</t>
  </si>
  <si>
    <t>26.07.2032</t>
  </si>
  <si>
    <t>KZKD00000949</t>
  </si>
  <si>
    <t>16.04.2032</t>
  </si>
  <si>
    <t>KZKD00000741</t>
  </si>
  <si>
    <t>12.05.2034</t>
  </si>
  <si>
    <t>KZKD00001251</t>
  </si>
  <si>
    <t>07.03.2030</t>
  </si>
  <si>
    <t>KZKD00000535</t>
  </si>
  <si>
    <t>27.03.2027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</si>
  <si>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</si>
  <si>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</si>
  <si>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</si>
  <si>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</si>
  <si>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</si>
  <si>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</si>
  <si>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</si>
  <si>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</si>
  <si>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</si>
  <si>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KZK200000760</t>
  </si>
  <si>
    <t>14.08.2025</t>
  </si>
  <si>
    <t>07.08.2029</t>
  </si>
  <si>
    <t>KZKD00001160</t>
  </si>
  <si>
    <t>28.07.2029</t>
  </si>
  <si>
    <t>KZKD00000832</t>
  </si>
  <si>
    <t>29.01.2035</t>
  </si>
  <si>
    <t>KZKD00000444</t>
  </si>
  <si>
    <t>21.08.2025</t>
  </si>
  <si>
    <t>18.08.2026</t>
  </si>
  <si>
    <t>KZKD00001137</t>
  </si>
  <si>
    <t>12.04.2028</t>
  </si>
  <si>
    <t>KZKD00001129</t>
  </si>
  <si>
    <t>17.03.2031</t>
  </si>
  <si>
    <t>KZKD00000790</t>
  </si>
  <si>
    <t>10.07.2025</t>
  </si>
  <si>
    <t>13.08.2029</t>
  </si>
  <si>
    <t>06.09.2025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</si>
</sst>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0" fontId="5" fillId="0" borderId="0" xfId="0" applyNumberFormat="1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0" workbookViewId="0">
      <selection activeCell="D48" sqref="D48"/>
    </sheetView>
  </sheetViews>
  <sheetFormatPr defaultColWidth="9.140625" defaultRowHeight="11.25" x14ac:dyDescent="0.2"/>
  <cols>
    <col min="1" max="1" width="32" style="7" bestFit="1" customWidth="1"/>
    <col min="2" max="2" width="27.42578125" style="7" bestFit="1" customWidth="1"/>
    <col min="3" max="3" width="14.7109375" style="7" customWidth="1"/>
    <col min="4" max="4" width="18.5703125" style="7" customWidth="1"/>
    <col min="5" max="5" width="16.5703125" style="7" bestFit="1" customWidth="1"/>
    <col min="6" max="6" width="18.5703125" style="7" bestFit="1" customWidth="1"/>
    <col min="7" max="7" width="17.7109375" style="7" customWidth="1"/>
    <col min="8" max="8" width="17" style="7" customWidth="1"/>
    <col min="9" max="10" width="19.710937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25431782439.757412</v>
      </c>
    </row>
    <row r="2" spans="1:17" x14ac:dyDescent="0.2">
      <c r="A2" s="6" t="s">
        <v>64</v>
      </c>
      <c r="B2" s="6" t="s">
        <v>116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68</v>
      </c>
      <c r="B8" s="13" t="s">
        <v>74</v>
      </c>
      <c r="C8" s="14">
        <v>2530000</v>
      </c>
      <c r="D8" s="15">
        <v>2530000000</v>
      </c>
      <c r="E8" s="16">
        <v>10.67</v>
      </c>
      <c r="F8" s="17" t="s">
        <v>75</v>
      </c>
      <c r="G8" s="17" t="s">
        <v>76</v>
      </c>
      <c r="H8" s="16">
        <v>2455119589.9966769</v>
      </c>
      <c r="I8" s="18"/>
      <c r="J8" s="18"/>
      <c r="K8" s="16">
        <v>33743875</v>
      </c>
      <c r="L8" s="16">
        <v>2511433595</v>
      </c>
      <c r="M8" s="19">
        <f t="shared" ref="M8:M24" si="0">L8/$Q$1</f>
        <v>9.8751772548741415E-2</v>
      </c>
      <c r="O8" s="8">
        <v>749863.88888888899</v>
      </c>
    </row>
    <row r="9" spans="1:17" x14ac:dyDescent="0.2">
      <c r="A9" s="13" t="s">
        <v>68</v>
      </c>
      <c r="B9" s="13" t="s">
        <v>77</v>
      </c>
      <c r="C9" s="14">
        <v>11424000</v>
      </c>
      <c r="D9" s="15">
        <v>1142400000</v>
      </c>
      <c r="E9" s="16">
        <v>0</v>
      </c>
      <c r="F9" s="17" t="s">
        <v>78</v>
      </c>
      <c r="G9" s="17" t="s">
        <v>79</v>
      </c>
      <c r="H9" s="16">
        <v>1003902278.4</v>
      </c>
      <c r="I9" s="18"/>
      <c r="J9" s="18"/>
      <c r="K9" s="16"/>
      <c r="L9" s="16">
        <v>1068620380.8</v>
      </c>
      <c r="M9" s="19">
        <f t="shared" si="0"/>
        <v>4.2019091006748693E-2</v>
      </c>
      <c r="O9" s="8">
        <v>749863.88888888899</v>
      </c>
    </row>
    <row r="10" spans="1:17" x14ac:dyDescent="0.2">
      <c r="A10" s="13" t="s">
        <v>68</v>
      </c>
      <c r="B10" s="13" t="s">
        <v>80</v>
      </c>
      <c r="C10" s="14">
        <v>1897500</v>
      </c>
      <c r="D10" s="15">
        <v>1897500000</v>
      </c>
      <c r="E10" s="16">
        <v>10.65</v>
      </c>
      <c r="F10" s="17" t="s">
        <v>75</v>
      </c>
      <c r="G10" s="17" t="s">
        <v>81</v>
      </c>
      <c r="H10" s="16">
        <v>1648500562.5</v>
      </c>
      <c r="I10" s="18"/>
      <c r="J10" s="18"/>
      <c r="K10" s="16">
        <v>22453750</v>
      </c>
      <c r="L10" s="16">
        <v>1460282477.5</v>
      </c>
      <c r="M10" s="19">
        <f t="shared" si="0"/>
        <v>5.7419588302908164E-2</v>
      </c>
      <c r="O10" s="8">
        <v>749863.88888888899</v>
      </c>
    </row>
    <row r="11" spans="1:17" x14ac:dyDescent="0.2">
      <c r="A11" s="13" t="s">
        <v>68</v>
      </c>
      <c r="B11" s="13" t="s">
        <v>82</v>
      </c>
      <c r="C11" s="14">
        <v>1897500</v>
      </c>
      <c r="D11" s="15">
        <v>1897500000</v>
      </c>
      <c r="E11" s="16">
        <v>8.4499999999999993</v>
      </c>
      <c r="F11" s="17" t="s">
        <v>75</v>
      </c>
      <c r="G11" s="17" t="s">
        <v>83</v>
      </c>
      <c r="H11" s="16">
        <v>1457889097.496666</v>
      </c>
      <c r="I11" s="18"/>
      <c r="J11" s="18"/>
      <c r="K11" s="16">
        <v>62353958.333333328</v>
      </c>
      <c r="L11" s="16">
        <v>1349722320.833333</v>
      </c>
      <c r="M11" s="19">
        <f t="shared" si="0"/>
        <v>5.3072265934585736E-2</v>
      </c>
      <c r="O11" s="8">
        <v>749863.88888888899</v>
      </c>
    </row>
    <row r="12" spans="1:17" x14ac:dyDescent="0.2">
      <c r="A12" s="13" t="s">
        <v>68</v>
      </c>
      <c r="B12" s="13" t="s">
        <v>84</v>
      </c>
      <c r="C12" s="14">
        <v>1897500</v>
      </c>
      <c r="D12" s="15">
        <v>1897500000</v>
      </c>
      <c r="E12" s="16">
        <v>8.07</v>
      </c>
      <c r="F12" s="17" t="s">
        <v>75</v>
      </c>
      <c r="G12" s="17" t="s">
        <v>85</v>
      </c>
      <c r="H12" s="16">
        <v>1359122325</v>
      </c>
      <c r="I12" s="18"/>
      <c r="J12" s="18"/>
      <c r="K12" s="16">
        <v>48490612.5</v>
      </c>
      <c r="L12" s="16">
        <v>1213242525</v>
      </c>
      <c r="M12" s="19">
        <f t="shared" si="0"/>
        <v>4.7705760611703819E-2</v>
      </c>
      <c r="O12" s="8">
        <v>749863.88888888899</v>
      </c>
    </row>
    <row r="13" spans="1:17" x14ac:dyDescent="0.2">
      <c r="A13" s="13" t="s">
        <v>68</v>
      </c>
      <c r="B13" s="13" t="s">
        <v>86</v>
      </c>
      <c r="C13" s="14">
        <v>550000</v>
      </c>
      <c r="D13" s="15">
        <v>550000000</v>
      </c>
      <c r="E13" s="16">
        <v>12</v>
      </c>
      <c r="F13" s="17" t="s">
        <v>78</v>
      </c>
      <c r="G13" s="17" t="s">
        <v>87</v>
      </c>
      <c r="H13" s="16">
        <v>491343050</v>
      </c>
      <c r="I13" s="18"/>
      <c r="J13" s="18"/>
      <c r="K13" s="16">
        <v>32816666.66666666</v>
      </c>
      <c r="L13" s="16">
        <v>501258266.66666698</v>
      </c>
      <c r="M13" s="19">
        <f t="shared" si="0"/>
        <v>1.9709914861612363E-2</v>
      </c>
      <c r="O13" s="8">
        <v>749863.88888888899</v>
      </c>
    </row>
    <row r="14" spans="1:17" x14ac:dyDescent="0.2">
      <c r="A14" s="13" t="s">
        <v>68</v>
      </c>
      <c r="B14" s="13" t="s">
        <v>88</v>
      </c>
      <c r="C14" s="14">
        <v>3162500</v>
      </c>
      <c r="D14" s="15">
        <v>3162500000</v>
      </c>
      <c r="E14" s="16">
        <v>5.49</v>
      </c>
      <c r="F14" s="17" t="s">
        <v>75</v>
      </c>
      <c r="G14" s="17" t="s">
        <v>89</v>
      </c>
      <c r="H14" s="16">
        <v>2627740225</v>
      </c>
      <c r="I14" s="18"/>
      <c r="J14" s="18"/>
      <c r="K14" s="16">
        <v>76682718.75</v>
      </c>
      <c r="L14" s="16">
        <v>2765800743.75</v>
      </c>
      <c r="M14" s="19">
        <f t="shared" si="0"/>
        <v>0.1087537120255572</v>
      </c>
      <c r="O14" s="8">
        <v>749863.88888888899</v>
      </c>
    </row>
    <row r="15" spans="1:17" x14ac:dyDescent="0.2">
      <c r="A15" s="13" t="s">
        <v>68</v>
      </c>
      <c r="B15" s="13" t="s">
        <v>90</v>
      </c>
      <c r="C15" s="14">
        <v>1897500</v>
      </c>
      <c r="D15" s="15">
        <v>1897500000</v>
      </c>
      <c r="E15" s="16">
        <v>11</v>
      </c>
      <c r="F15" s="17" t="s">
        <v>75</v>
      </c>
      <c r="G15" s="17" t="s">
        <v>91</v>
      </c>
      <c r="H15" s="16">
        <v>1743261712.5</v>
      </c>
      <c r="I15" s="18"/>
      <c r="J15" s="18"/>
      <c r="K15" s="16">
        <v>90447500</v>
      </c>
      <c r="L15" s="16">
        <v>1699421240</v>
      </c>
      <c r="M15" s="19">
        <f t="shared" si="0"/>
        <v>6.68227342706149E-2</v>
      </c>
      <c r="O15" s="8">
        <v>749863.88888888899</v>
      </c>
    </row>
    <row r="16" spans="1:17" x14ac:dyDescent="0.2">
      <c r="A16" s="13" t="s">
        <v>92</v>
      </c>
      <c r="B16" s="13" t="s">
        <v>93</v>
      </c>
      <c r="C16" s="14">
        <v>992234</v>
      </c>
      <c r="D16" s="15">
        <v>992234000</v>
      </c>
      <c r="E16" s="16">
        <v>14.3</v>
      </c>
      <c r="F16" s="17" t="s">
        <v>94</v>
      </c>
      <c r="G16" s="17" t="s">
        <v>95</v>
      </c>
      <c r="H16" s="16">
        <v>991722999.49000001</v>
      </c>
      <c r="I16" s="18"/>
      <c r="J16" s="18"/>
      <c r="K16" s="16">
        <v>1182412.1833333301</v>
      </c>
      <c r="L16" s="16">
        <v>929813977.617419</v>
      </c>
      <c r="M16" s="19">
        <f t="shared" si="0"/>
        <v>3.656110144147208E-2</v>
      </c>
      <c r="O16" s="8">
        <v>749863.88888888899</v>
      </c>
    </row>
    <row r="17" spans="1:15" x14ac:dyDescent="0.2">
      <c r="A17" s="13" t="s">
        <v>68</v>
      </c>
      <c r="B17" s="13" t="s">
        <v>96</v>
      </c>
      <c r="C17" s="14">
        <v>2391500</v>
      </c>
      <c r="D17" s="15">
        <v>2391500000</v>
      </c>
      <c r="E17" s="16">
        <v>5.3</v>
      </c>
      <c r="F17" s="17" t="s">
        <v>97</v>
      </c>
      <c r="G17" s="17" t="s">
        <v>98</v>
      </c>
      <c r="H17" s="16">
        <v>1903079172</v>
      </c>
      <c r="I17" s="18"/>
      <c r="J17" s="18"/>
      <c r="K17" s="16">
        <v>111609976.386667</v>
      </c>
      <c r="L17" s="16">
        <v>2033608304.8866661</v>
      </c>
      <c r="M17" s="19">
        <f t="shared" si="0"/>
        <v>7.9963262885873604E-2</v>
      </c>
      <c r="O17" s="8">
        <v>749863.88888888899</v>
      </c>
    </row>
    <row r="18" spans="1:15" x14ac:dyDescent="0.2">
      <c r="A18" s="13" t="s">
        <v>68</v>
      </c>
      <c r="B18" s="13" t="s">
        <v>99</v>
      </c>
      <c r="C18" s="14">
        <v>897100</v>
      </c>
      <c r="D18" s="15">
        <v>897100000</v>
      </c>
      <c r="E18" s="16">
        <v>17.010000000000002</v>
      </c>
      <c r="F18" s="17" t="s">
        <v>100</v>
      </c>
      <c r="G18" s="17" t="s">
        <v>101</v>
      </c>
      <c r="H18" s="16">
        <v>896985171.20000005</v>
      </c>
      <c r="I18" s="18"/>
      <c r="J18" s="18"/>
      <c r="K18" s="16">
        <v>12292512.75</v>
      </c>
      <c r="L18" s="16">
        <v>927629658.64999998</v>
      </c>
      <c r="M18" s="19">
        <f t="shared" si="0"/>
        <v>3.6475212103098203E-2</v>
      </c>
      <c r="O18" s="8">
        <v>749863.88888888899</v>
      </c>
    </row>
    <row r="19" spans="1:15" x14ac:dyDescent="0.2">
      <c r="A19" s="13" t="s">
        <v>68</v>
      </c>
      <c r="B19" s="13" t="s">
        <v>102</v>
      </c>
      <c r="C19" s="14">
        <v>1897500</v>
      </c>
      <c r="D19" s="15">
        <v>1897500000</v>
      </c>
      <c r="E19" s="16">
        <v>10.55</v>
      </c>
      <c r="F19" s="17" t="s">
        <v>75</v>
      </c>
      <c r="G19" s="17" t="s">
        <v>103</v>
      </c>
      <c r="H19" s="16">
        <v>1708326839.9966669</v>
      </c>
      <c r="I19" s="18"/>
      <c r="J19" s="18"/>
      <c r="K19" s="16">
        <v>21130770.833333328</v>
      </c>
      <c r="L19" s="16">
        <v>1591924913.333333</v>
      </c>
      <c r="M19" s="19">
        <f t="shared" si="0"/>
        <v>6.2595884386171946E-2</v>
      </c>
      <c r="O19" s="8">
        <v>749863.88888888899</v>
      </c>
    </row>
    <row r="20" spans="1:15" x14ac:dyDescent="0.2">
      <c r="A20" s="13" t="s">
        <v>68</v>
      </c>
      <c r="B20" s="13" t="s">
        <v>104</v>
      </c>
      <c r="C20" s="14">
        <v>1897500</v>
      </c>
      <c r="D20" s="15">
        <v>1897500000</v>
      </c>
      <c r="E20" s="16">
        <v>8.07</v>
      </c>
      <c r="F20" s="17" t="s">
        <v>75</v>
      </c>
      <c r="G20" s="17" t="s">
        <v>105</v>
      </c>
      <c r="H20" s="16">
        <v>1338524962.5</v>
      </c>
      <c r="I20" s="18"/>
      <c r="J20" s="18"/>
      <c r="K20" s="16">
        <v>92302306.25</v>
      </c>
      <c r="L20" s="16">
        <v>1229616368.75</v>
      </c>
      <c r="M20" s="19">
        <f t="shared" si="0"/>
        <v>4.8349594514765323E-2</v>
      </c>
      <c r="O20" s="8">
        <v>749863.88888888899</v>
      </c>
    </row>
    <row r="21" spans="1:15" x14ac:dyDescent="0.2">
      <c r="A21" s="13" t="s">
        <v>68</v>
      </c>
      <c r="B21" s="13" t="s">
        <v>106</v>
      </c>
      <c r="C21" s="14">
        <v>1106600</v>
      </c>
      <c r="D21" s="15">
        <v>1106600000</v>
      </c>
      <c r="E21" s="16">
        <v>5.5</v>
      </c>
      <c r="F21" s="17" t="s">
        <v>107</v>
      </c>
      <c r="G21" s="17" t="s">
        <v>108</v>
      </c>
      <c r="H21" s="16">
        <v>999478906.79999995</v>
      </c>
      <c r="I21" s="18"/>
      <c r="J21" s="18"/>
      <c r="K21" s="16">
        <v>3043150.0033333302</v>
      </c>
      <c r="L21" s="16">
        <v>1003136219.803333</v>
      </c>
      <c r="M21" s="19">
        <f t="shared" si="0"/>
        <v>3.9444196338953179E-2</v>
      </c>
      <c r="O21" s="8">
        <v>749863.88888888899</v>
      </c>
    </row>
    <row r="22" spans="1:15" x14ac:dyDescent="0.2">
      <c r="A22" s="13" t="s">
        <v>68</v>
      </c>
      <c r="B22" s="13" t="s">
        <v>109</v>
      </c>
      <c r="C22" s="14">
        <v>1897500</v>
      </c>
      <c r="D22" s="15">
        <v>1897500000</v>
      </c>
      <c r="E22" s="16">
        <v>10.4</v>
      </c>
      <c r="F22" s="17" t="s">
        <v>75</v>
      </c>
      <c r="G22" s="17" t="s">
        <v>110</v>
      </c>
      <c r="H22" s="16">
        <v>1736743800</v>
      </c>
      <c r="I22" s="18"/>
      <c r="J22" s="18"/>
      <c r="K22" s="16">
        <v>78936000</v>
      </c>
      <c r="L22" s="16">
        <v>1725188025</v>
      </c>
      <c r="M22" s="19">
        <f t="shared" si="0"/>
        <v>6.7835906865223103E-2</v>
      </c>
      <c r="O22" s="8">
        <v>749863.88888888899</v>
      </c>
    </row>
    <row r="23" spans="1:15" x14ac:dyDescent="0.2">
      <c r="A23" s="13" t="s">
        <v>68</v>
      </c>
      <c r="B23" s="13" t="s">
        <v>111</v>
      </c>
      <c r="C23" s="14">
        <v>1897500</v>
      </c>
      <c r="D23" s="15">
        <v>1897500000</v>
      </c>
      <c r="E23" s="16">
        <v>10.3</v>
      </c>
      <c r="F23" s="17" t="s">
        <v>75</v>
      </c>
      <c r="G23" s="17" t="s">
        <v>112</v>
      </c>
      <c r="H23" s="16">
        <v>1645329839.996666</v>
      </c>
      <c r="I23" s="18"/>
      <c r="J23" s="18"/>
      <c r="K23" s="16">
        <v>91749395.833333328</v>
      </c>
      <c r="L23" s="16">
        <v>1559733193.333333</v>
      </c>
      <c r="M23" s="19">
        <f t="shared" si="0"/>
        <v>6.1330077709968449E-2</v>
      </c>
      <c r="O23" s="8">
        <v>749863.88888888899</v>
      </c>
    </row>
    <row r="24" spans="1:15" x14ac:dyDescent="0.2">
      <c r="A24" s="13" t="s">
        <v>68</v>
      </c>
      <c r="B24" s="13" t="s">
        <v>113</v>
      </c>
      <c r="C24" s="14">
        <v>2469500</v>
      </c>
      <c r="D24" s="15">
        <v>2469500000</v>
      </c>
      <c r="E24" s="16">
        <v>7.68</v>
      </c>
      <c r="F24" s="17" t="s">
        <v>114</v>
      </c>
      <c r="G24" s="17" t="s">
        <v>115</v>
      </c>
      <c r="H24" s="16">
        <v>1827657194</v>
      </c>
      <c r="I24" s="18"/>
      <c r="J24" s="18"/>
      <c r="K24" s="16">
        <v>12117013.33333333</v>
      </c>
      <c r="L24" s="16">
        <v>1861350228.833333</v>
      </c>
      <c r="M24" s="19">
        <f t="shared" si="0"/>
        <v>7.3189924192002015E-2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791352618.82333374</v>
      </c>
      <c r="L26" s="21">
        <f>SUM(L8:L25)</f>
        <v>25431782439.757412</v>
      </c>
      <c r="M26" s="24">
        <f>SUM(M8:M25)</f>
        <v>1.0000000000000002</v>
      </c>
      <c r="N26" s="7">
        <v>25431782439.75631</v>
      </c>
      <c r="O26" s="61">
        <f>L26-N26</f>
        <v>1.102447509765625E-3</v>
      </c>
    </row>
    <row r="28" spans="1:15" x14ac:dyDescent="0.2">
      <c r="A28" s="25" t="s">
        <v>35</v>
      </c>
    </row>
    <row r="29" spans="1:15" x14ac:dyDescent="0.2">
      <c r="A29" s="12" t="s">
        <v>67</v>
      </c>
      <c r="B29" s="26">
        <f>SUM(B30:B31)</f>
        <v>529726.78</v>
      </c>
    </row>
    <row r="30" spans="1:15" x14ac:dyDescent="0.2">
      <c r="A30" s="27" t="s">
        <v>73</v>
      </c>
      <c r="B30" s="28">
        <v>529726.78</v>
      </c>
      <c r="C30" s="9">
        <v>529726.78</v>
      </c>
      <c r="D30" s="60">
        <f>B30-C30</f>
        <v>0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68</v>
      </c>
      <c r="B35" s="30" t="s">
        <v>69</v>
      </c>
      <c r="C35" s="31">
        <v>18552</v>
      </c>
      <c r="D35" s="30" t="s">
        <v>67</v>
      </c>
      <c r="E35" s="32" t="s">
        <v>70</v>
      </c>
      <c r="F35" s="32" t="s">
        <v>71</v>
      </c>
      <c r="G35" s="33">
        <v>646.995</v>
      </c>
      <c r="H35" s="33">
        <f>J35/C35</f>
        <v>647.83521237602406</v>
      </c>
      <c r="I35" s="34">
        <v>12003051.24</v>
      </c>
      <c r="J35" s="34">
        <v>12018638.859999999</v>
      </c>
      <c r="K35" s="35">
        <v>15.8001</v>
      </c>
      <c r="L35" s="35">
        <v>5195.873333333333</v>
      </c>
      <c r="M35" s="29">
        <f>I35+L35</f>
        <v>12008247.113333333</v>
      </c>
      <c r="N35" s="8"/>
      <c r="O35" s="7"/>
      <c r="Q35" s="7">
        <v>1</v>
      </c>
    </row>
    <row r="36" spans="1:17" x14ac:dyDescent="0.2">
      <c r="A36" s="30" t="s">
        <v>68</v>
      </c>
      <c r="B36" s="30" t="s">
        <v>72</v>
      </c>
      <c r="C36" s="31">
        <v>3566721</v>
      </c>
      <c r="D36" s="30" t="s">
        <v>67</v>
      </c>
      <c r="E36" s="32" t="s">
        <v>70</v>
      </c>
      <c r="F36" s="32" t="s">
        <v>71</v>
      </c>
      <c r="G36" s="33">
        <v>540.88230000047702</v>
      </c>
      <c r="H36" s="33">
        <f>J36/C36</f>
        <v>541.58470605634693</v>
      </c>
      <c r="I36" s="34">
        <v>1929176257.9399991</v>
      </c>
      <c r="J36" s="34">
        <v>1931681544.3699999</v>
      </c>
      <c r="K36" s="35">
        <v>15.8</v>
      </c>
      <c r="L36" s="35">
        <v>835095.47666666657</v>
      </c>
      <c r="M36" s="29">
        <f>I36+L36</f>
        <v>1930011353.4166658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1942019600.529999</v>
      </c>
      <c r="N38" s="62">
        <v>1942019600.53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x14ac:dyDescent="0.2">
      <c r="A42" s="40">
        <f ca="1">IF(OFFSET(A42,-1,0)="№ п/п",1,OFFSET(A42,-1,0)+1)</f>
        <v>1</v>
      </c>
      <c r="B42" s="40" t="s">
        <v>66</v>
      </c>
      <c r="C42" s="30" t="s">
        <v>67</v>
      </c>
      <c r="D42" s="41"/>
      <c r="E42" s="27">
        <v>992234</v>
      </c>
      <c r="F42" s="27">
        <v>133612576.72</v>
      </c>
      <c r="G42" s="29">
        <v>133612576.72</v>
      </c>
      <c r="N42" s="8"/>
      <c r="O42" s="7"/>
    </row>
    <row r="43" spans="1:17" x14ac:dyDescent="0.2">
      <c r="A43" s="40">
        <f ca="1">IF(OFFSET(A43,-1,0)="№ п/п",1,OFFSET(A43,-1,0)+1)</f>
        <v>2</v>
      </c>
      <c r="B43" s="40" t="s">
        <v>66</v>
      </c>
      <c r="C43" s="30" t="s">
        <v>67</v>
      </c>
      <c r="D43" s="41"/>
      <c r="E43" s="27">
        <v>992234</v>
      </c>
      <c r="F43" s="27">
        <v>8276885.2800000003</v>
      </c>
      <c r="G43" s="29">
        <v>8276885.2800000003</v>
      </c>
      <c r="N43" s="8"/>
      <c r="O43" s="7"/>
    </row>
    <row r="44" spans="1:17" hidden="1" x14ac:dyDescent="0.2">
      <c r="A44" s="40"/>
      <c r="B44" s="40"/>
      <c r="C44" s="30"/>
      <c r="D44" s="41"/>
      <c r="E44" s="27"/>
      <c r="F44" s="27"/>
      <c r="G44" s="29"/>
      <c r="N44" s="8"/>
      <c r="O44" s="7"/>
    </row>
    <row r="45" spans="1:17" s="11" customFormat="1" x14ac:dyDescent="0.2">
      <c r="A45" s="42"/>
      <c r="B45" s="43" t="s">
        <v>5</v>
      </c>
      <c r="C45" s="44"/>
      <c r="D45" s="45"/>
      <c r="E45" s="46">
        <f>SUM(E42:E44)</f>
        <v>1984468</v>
      </c>
      <c r="F45" s="38">
        <f>SUM(F42:F44)</f>
        <v>141889462</v>
      </c>
      <c r="G45" s="38">
        <f>SUM(G42:G44)</f>
        <v>141889462</v>
      </c>
      <c r="H45" s="62">
        <v>141889462</v>
      </c>
      <c r="I45" s="64">
        <f>G45-H45</f>
        <v>0</v>
      </c>
      <c r="N45" s="39"/>
    </row>
    <row r="46" spans="1:17" x14ac:dyDescent="0.2">
      <c r="A46" s="47"/>
      <c r="D46" s="48"/>
      <c r="G46" s="49"/>
    </row>
    <row r="47" spans="1:17" x14ac:dyDescent="0.2">
      <c r="A47" s="50" t="s">
        <v>22</v>
      </c>
      <c r="B47" s="51">
        <f>L26+B30+M38+G45</f>
        <v>27516221229.06741</v>
      </c>
      <c r="C47" s="65">
        <v>27516221229.066307</v>
      </c>
      <c r="D47" s="65">
        <f>__mdDATAItogoActive__-C47</f>
        <v>1.102447509765625E-3</v>
      </c>
    </row>
    <row r="48" spans="1:17" x14ac:dyDescent="0.2">
      <c r="D48" s="52"/>
      <c r="E48" s="52"/>
    </row>
    <row r="50" spans="1:15" x14ac:dyDescent="0.2">
      <c r="A50" s="50" t="s">
        <v>47</v>
      </c>
      <c r="B50" s="50"/>
      <c r="C50" s="50"/>
      <c r="F50" s="52"/>
      <c r="O50" s="7"/>
    </row>
    <row r="51" spans="1:15" x14ac:dyDescent="0.2">
      <c r="O51" s="7"/>
    </row>
    <row r="52" spans="1:15" x14ac:dyDescent="0.2">
      <c r="A52" s="58" t="s">
        <v>48</v>
      </c>
      <c r="B52" s="58"/>
      <c r="C52" s="58"/>
      <c r="D52" s="58"/>
      <c r="O52" s="7"/>
    </row>
    <row r="53" spans="1:15" x14ac:dyDescent="0.2">
      <c r="O53" s="7"/>
    </row>
    <row r="54" spans="1:15" ht="22.5" x14ac:dyDescent="0.2">
      <c r="A54" s="12" t="s">
        <v>7</v>
      </c>
      <c r="B54" s="12" t="s">
        <v>38</v>
      </c>
      <c r="C54" s="12" t="s">
        <v>26</v>
      </c>
      <c r="D54" s="12" t="s">
        <v>39</v>
      </c>
      <c r="E54" s="12" t="s">
        <v>25</v>
      </c>
      <c r="F54" s="12" t="s">
        <v>40</v>
      </c>
      <c r="G54" s="12" t="s">
        <v>41</v>
      </c>
      <c r="O54" s="7"/>
    </row>
    <row r="55" spans="1:15" hidden="1" x14ac:dyDescent="0.2">
      <c r="A55" s="53"/>
      <c r="B55" s="53"/>
      <c r="C55" s="53"/>
      <c r="D55" s="53"/>
      <c r="E55" s="53"/>
      <c r="F55" s="53"/>
      <c r="G55" s="53"/>
      <c r="O55" s="7"/>
    </row>
    <row r="56" spans="1:15" s="11" customFormat="1" x14ac:dyDescent="0.2">
      <c r="A56" s="36"/>
      <c r="B56" s="37" t="s">
        <v>5</v>
      </c>
      <c r="C56" s="36"/>
      <c r="D56" s="36"/>
      <c r="E56" s="46">
        <f>SUM(E55:E55)</f>
        <v>0</v>
      </c>
      <c r="F56" s="38">
        <f>SUM(F55:F55)</f>
        <v>0</v>
      </c>
      <c r="G56" s="38">
        <f>SUM(G55:G55)</f>
        <v>0</v>
      </c>
    </row>
    <row r="57" spans="1:15" s="11" customFormat="1" x14ac:dyDescent="0.2">
      <c r="B57" s="54"/>
    </row>
    <row r="58" spans="1:15" x14ac:dyDescent="0.2">
      <c r="A58" s="58" t="s">
        <v>49</v>
      </c>
      <c r="B58" s="58"/>
      <c r="O58" s="7"/>
    </row>
    <row r="59" spans="1:15" x14ac:dyDescent="0.2">
      <c r="O59" s="7"/>
    </row>
    <row r="60" spans="1:15" x14ac:dyDescent="0.2">
      <c r="A60" s="12" t="s">
        <v>7</v>
      </c>
      <c r="B60" s="12" t="s">
        <v>38</v>
      </c>
      <c r="C60" s="12" t="s">
        <v>50</v>
      </c>
      <c r="D60" s="12" t="s">
        <v>51</v>
      </c>
      <c r="O60" s="7"/>
    </row>
    <row r="61" spans="1:15" x14ac:dyDescent="0.2">
      <c r="A61" s="22" t="s">
        <v>52</v>
      </c>
      <c r="B61" s="22">
        <v>1</v>
      </c>
      <c r="C61" s="22">
        <v>2</v>
      </c>
      <c r="D61" s="22">
        <v>3</v>
      </c>
      <c r="O61" s="7"/>
    </row>
    <row r="62" spans="1:15" x14ac:dyDescent="0.2">
      <c r="A62" s="22">
        <v>1</v>
      </c>
      <c r="B62" s="53" t="s">
        <v>53</v>
      </c>
      <c r="C62" s="55">
        <v>2278550.13</v>
      </c>
      <c r="D62" s="22"/>
      <c r="E62" s="52"/>
      <c r="O62" s="7"/>
    </row>
    <row r="63" spans="1:15" x14ac:dyDescent="0.2">
      <c r="A63" s="22">
        <v>2</v>
      </c>
      <c r="B63" s="53" t="s">
        <v>54</v>
      </c>
      <c r="C63" s="55">
        <v>0</v>
      </c>
      <c r="D63" s="22"/>
      <c r="E63" s="52"/>
      <c r="O63" s="7"/>
    </row>
    <row r="64" spans="1:15" x14ac:dyDescent="0.2">
      <c r="A64" s="22">
        <v>3</v>
      </c>
      <c r="B64" s="53" t="s">
        <v>55</v>
      </c>
      <c r="C64" s="55">
        <v>443592.8</v>
      </c>
      <c r="D64" s="22"/>
      <c r="O64" s="7"/>
    </row>
    <row r="65" spans="1:15" x14ac:dyDescent="0.2">
      <c r="A65" s="22">
        <v>4</v>
      </c>
      <c r="B65" s="53" t="s">
        <v>56</v>
      </c>
      <c r="C65" s="55">
        <v>0</v>
      </c>
      <c r="D65" s="22"/>
      <c r="G65" s="52"/>
      <c r="O65" s="7"/>
    </row>
    <row r="66" spans="1:15" ht="22.5" x14ac:dyDescent="0.2">
      <c r="A66" s="22">
        <v>5</v>
      </c>
      <c r="B66" s="56" t="s">
        <v>57</v>
      </c>
      <c r="C66" s="55">
        <v>364337.71</v>
      </c>
      <c r="D66" s="22"/>
      <c r="F66" s="52"/>
      <c r="O66" s="7"/>
    </row>
    <row r="67" spans="1:15" x14ac:dyDescent="0.2">
      <c r="A67" s="22">
        <v>6</v>
      </c>
      <c r="B67" s="53" t="s">
        <v>58</v>
      </c>
      <c r="C67" s="55">
        <v>154446.35</v>
      </c>
      <c r="D67" s="55"/>
      <c r="O67" s="7"/>
    </row>
    <row r="68" spans="1:15" x14ac:dyDescent="0.2">
      <c r="A68" s="22">
        <v>7</v>
      </c>
      <c r="B68" s="53" t="s">
        <v>59</v>
      </c>
      <c r="C68" s="55">
        <v>267861.66000000003</v>
      </c>
      <c r="D68" s="55"/>
      <c r="O68" s="7"/>
    </row>
    <row r="69" spans="1:15" x14ac:dyDescent="0.2">
      <c r="A69" s="22">
        <v>8</v>
      </c>
      <c r="B69" s="53" t="s">
        <v>60</v>
      </c>
      <c r="C69" s="55">
        <v>0</v>
      </c>
      <c r="D69" s="22"/>
      <c r="O69" s="7"/>
    </row>
    <row r="70" spans="1:15" ht="22.5" x14ac:dyDescent="0.2">
      <c r="A70" s="22">
        <v>9</v>
      </c>
      <c r="B70" s="56" t="s">
        <v>61</v>
      </c>
      <c r="C70" s="55">
        <v>0</v>
      </c>
      <c r="D70" s="22"/>
      <c r="O70" s="7"/>
    </row>
    <row r="71" spans="1:15" ht="22.5" x14ac:dyDescent="0.2">
      <c r="A71" s="22">
        <v>10</v>
      </c>
      <c r="B71" s="56" t="s">
        <v>62</v>
      </c>
      <c r="C71" s="55">
        <v>0</v>
      </c>
      <c r="D71" s="22"/>
      <c r="E71" s="52"/>
      <c r="O71" s="7"/>
    </row>
    <row r="72" spans="1:15" x14ac:dyDescent="0.2">
      <c r="A72" s="59" t="s">
        <v>63</v>
      </c>
      <c r="B72" s="59"/>
      <c r="C72" s="57">
        <f>SUM(C62:C71)</f>
        <v>3508788.65</v>
      </c>
      <c r="D72" s="53"/>
      <c r="O72" s="7"/>
    </row>
    <row r="74" spans="1:15" x14ac:dyDescent="0.2">
      <c r="C74" s="49"/>
    </row>
    <row r="75" spans="1:15" x14ac:dyDescent="0.2">
      <c r="C75" s="52"/>
    </row>
    <row r="76" spans="1:15" x14ac:dyDescent="0.2">
      <c r="C76" s="52"/>
      <c r="D76" s="52"/>
    </row>
    <row r="77" spans="1:15" x14ac:dyDescent="0.2">
      <c r="C77" s="52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06.09.2025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2025-09-08T04:51:21Z</dcterms:created>
  <dcterms:modified xsi:type="dcterms:W3CDTF">2025-09-08T10:11:29Z</dcterms:modified>
</cp:coreProperties>
</file>