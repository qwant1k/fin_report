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30092025\"/>
    </mc:Choice>
  </mc:AlternateContent>
  <xr:revisionPtr revIDLastSave="0" documentId="13_ncr:1_{B2ED572A-5081-48A8-B01D-9B606270F0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ДУ!$C$70:$C$79</definedName>
    <definedName name="__mdDATACurrency__">ДУ!$29:$31</definedName>
    <definedName name="__mdDATADDebt__">ДУ!#REF!</definedName>
    <definedName name="__mdDATAHead__">ДУ!$B$2</definedName>
    <definedName name="__mdDATAItogoActive__">ДУ!$B$55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B1" i="2"/>
  <c r="C80" i="1"/>
  <c r="G64" i="1"/>
  <c r="F64" i="1"/>
  <c r="E64" i="1"/>
  <c r="G53" i="1"/>
  <c r="F53" i="1"/>
  <c r="E53" i="1"/>
  <c r="M48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55" i="1" s="1"/>
  <c r="K26" i="1"/>
  <c r="H26" i="1"/>
  <c r="D26" i="1"/>
  <c r="Q1" i="1" l="1"/>
  <c r="M22" i="1" s="1"/>
  <c r="M9" i="1"/>
  <c r="M11" i="1"/>
  <c r="M15" i="1"/>
  <c r="M19" i="1"/>
  <c r="M23" i="1"/>
  <c r="M8" i="1"/>
  <c r="M12" i="1"/>
  <c r="M16" i="1"/>
  <c r="M20" i="1"/>
  <c r="M24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<sst xmlns="http://schemas.openxmlformats.org/spreadsheetml/2006/main" count="1050" uniqueCount="457">
  <si>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</si>
  <si>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</si>
  <si>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</si>
  <si>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</si>
  <si>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</si>
  <si>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</si>
  <si>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</si>
  <si>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</si>
  <si>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</si>
  <si>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</si>
  <si>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</si>
  <si>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</si>
  <si>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</si>
  <si>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</si>
  <si>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</si>
  <si>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</si>
  <si>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</si>
  <si>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</si>
  <si>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</si>
  <si>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</si>
  <si>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</si>
  <si>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</si>
  <si>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</si>
  <si>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</si>
  <si>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</si>
  <si>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</si>
  <si>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</si>
  <si>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</si>
  <si>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</si>
  <si>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</si>
  <si>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</si>
  <si>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</si>
  <si>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</si>
  <si>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</si>
  <si>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</si>
  <si>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</si>
  <si>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</si>
  <si>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</si>
  <si>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</si>
  <si>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</si>
  <si>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</si>
  <si>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</si>
  <si>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</si>
  <si>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</si>
  <si>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</si>
  <si>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</si>
  <si>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</si>
  <si>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</si>
  <si>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</si>
  <si>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</si>
  <si>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</si>
  <si>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</si>
  <si>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</si>
  <si>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</si>
  <si>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</si>
  <si>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</si>
  <si>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</si>
  <si>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</si>
  <si>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</si>
  <si>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</si>
  <si>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</si>
  <si>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</si>
  <si>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</si>
  <si>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</si>
  <si>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</si>
  <si>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</si>
  <si>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</si>
  <si>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</si>
  <si>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</si>
  <si>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29.09.2025</t>
  </si>
  <si>
    <t>30.09.2025</t>
  </si>
  <si>
    <t>KZKD00001095</t>
  </si>
  <si>
    <t>KZKD00001186</t>
  </si>
  <si>
    <t>KZKD00000964</t>
  </si>
  <si>
    <t>01.10.2025</t>
  </si>
  <si>
    <t>KZKD00001160</t>
  </si>
  <si>
    <t>KZKD00001137</t>
  </si>
  <si>
    <t>KZK200000737</t>
  </si>
  <si>
    <t>АО "Казахстанский фонд устойчивости"</t>
  </si>
  <si>
    <t>KZ2C00007334</t>
  </si>
  <si>
    <t>KZ2C00007318</t>
  </si>
  <si>
    <t>KZK100000423</t>
  </si>
  <si>
    <t>KZKD00001210</t>
  </si>
  <si>
    <t>KZKD00000758</t>
  </si>
  <si>
    <t>KZ96601A861038102391</t>
  </si>
  <si>
    <t>KZKD00000790</t>
  </si>
  <si>
    <t>10.07.2025</t>
  </si>
  <si>
    <t>13.08.2029</t>
  </si>
  <si>
    <t>KZK200000687</t>
  </si>
  <si>
    <t>18.07.2024</t>
  </si>
  <si>
    <t>21.01.2026</t>
  </si>
  <si>
    <t>KZKD00000832</t>
  </si>
  <si>
    <t>29.01.2035</t>
  </si>
  <si>
    <t>KZKD00001087</t>
  </si>
  <si>
    <t>31.03.2029</t>
  </si>
  <si>
    <t>KZKD00000535</t>
  </si>
  <si>
    <t>27.03.2027</t>
  </si>
  <si>
    <t>12.04.2028</t>
  </si>
  <si>
    <t>KZKD00000949</t>
  </si>
  <si>
    <t>16.04.2032</t>
  </si>
  <si>
    <t>KZKD00000444</t>
  </si>
  <si>
    <t>21.08.2025</t>
  </si>
  <si>
    <t>18.08.2026</t>
  </si>
  <si>
    <t>KZK200000760</t>
  </si>
  <si>
    <t>14.08.2025</t>
  </si>
  <si>
    <t>07.08.2029</t>
  </si>
  <si>
    <t>Евразийский банк развития</t>
  </si>
  <si>
    <t>KZ2D00011863</t>
  </si>
  <si>
    <t>24.09.2024</t>
  </si>
  <si>
    <t>03.09.2027</t>
  </si>
  <si>
    <t>28.07.2029</t>
  </si>
  <si>
    <t>KZKD00000741</t>
  </si>
  <si>
    <t>12.05.2034</t>
  </si>
  <si>
    <t>KZKD00001152</t>
  </si>
  <si>
    <t>26.07.2032</t>
  </si>
  <si>
    <t>KZKD00001251</t>
  </si>
  <si>
    <t>13.03.2025</t>
  </si>
  <si>
    <t>07.03.2030</t>
  </si>
  <si>
    <t>KZK100000373</t>
  </si>
  <si>
    <t>06.02.2026</t>
  </si>
  <si>
    <t>KZKD00000477</t>
  </si>
  <si>
    <t>24.07.2025</t>
  </si>
  <si>
    <t>19.10.2027</t>
  </si>
  <si>
    <t>KZKD00001129</t>
  </si>
  <si>
    <t>17.03.2031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</si>
  <si>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</si>
  <si>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</si>
  <si>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</si>
  <si>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</si>
  <si>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</si>
  <si>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</si>
  <si>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</si>
  <si>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</si>
  <si>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</si>
  <si>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</si>
  <si>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</si>
  <si>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</si>
  <si>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</si>
  <si>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</si>
  <si>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</si>
  <si>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</si>
  <si>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</si>
  <si>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</si>
  <si>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</si>
  <si>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</si>
  <si>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</si>
  <si>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</si>
  <si>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</si>
  <si>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</si>
  <si>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</si>
  <si>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</si>
  <si>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</si>
  <si>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</si>
  <si>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</si>
  <si>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</si>
  <si>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</si>
  <si>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</si>
  <si>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</si>
  <si>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</si>
  <si>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</si>
  <si>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</si>
  <si>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</si>
  <si>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</si>
  <si>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</si>
  <si>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</si>
  <si>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</si>
  <si>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</si>
  <si>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</si>
  <si>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</si>
  <si>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</si>
  <si>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</si>
  <si>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</si>
  <si>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</si>
  <si>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MFDFb1</t>
  </si>
  <si>
    <t>KZ2P00010457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</si>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</sst>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topLeftCell="A48" workbookViewId="0">
      <selection activeCell="C74" sqref="C74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25711568766.174774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85</v>
      </c>
      <c r="C8" s="16">
        <v>2469500</v>
      </c>
      <c r="D8" s="17">
        <v>2469500000</v>
      </c>
      <c r="E8" s="18">
        <v>7.68</v>
      </c>
      <c r="F8" s="19" t="s">
        <v>86</v>
      </c>
      <c r="G8" s="19" t="s">
        <v>87</v>
      </c>
      <c r="H8" s="18">
        <v>1827657194</v>
      </c>
      <c r="I8" s="20">
        <v>75.200800000000001</v>
      </c>
      <c r="J8" s="20">
        <v>76.203500000000005</v>
      </c>
      <c r="K8" s="18">
        <v>24760853.333333328</v>
      </c>
      <c r="L8" s="18">
        <v>1881844609.333333</v>
      </c>
      <c r="M8" s="21">
        <f t="shared" ref="M8:M24" si="0">L8/$Q$1</f>
        <v>7.3190579168744496E-2</v>
      </c>
      <c r="O8" s="10">
        <v>749863.88888888899</v>
      </c>
    </row>
    <row r="9" spans="1:17" x14ac:dyDescent="0.2">
      <c r="A9" s="15" t="s">
        <v>66</v>
      </c>
      <c r="B9" s="15" t="s">
        <v>88</v>
      </c>
      <c r="C9" s="16">
        <v>2530000</v>
      </c>
      <c r="D9" s="17">
        <v>2530000000</v>
      </c>
      <c r="E9" s="18">
        <v>10.67</v>
      </c>
      <c r="F9" s="19" t="s">
        <v>89</v>
      </c>
      <c r="G9" s="19" t="s">
        <v>90</v>
      </c>
      <c r="H9" s="18">
        <v>2455119589.9966769</v>
      </c>
      <c r="I9" s="20">
        <v>98.153400000000005</v>
      </c>
      <c r="J9" s="20">
        <v>100.19850000000001</v>
      </c>
      <c r="K9" s="18">
        <v>51740608.333333328</v>
      </c>
      <c r="L9" s="18">
        <v>2535021628.333333</v>
      </c>
      <c r="M9" s="21">
        <f t="shared" si="0"/>
        <v>9.8594591850354824E-2</v>
      </c>
      <c r="O9" s="10">
        <v>749863.88888888899</v>
      </c>
    </row>
    <row r="10" spans="1:17" x14ac:dyDescent="0.2">
      <c r="A10" s="15" t="s">
        <v>66</v>
      </c>
      <c r="B10" s="15" t="s">
        <v>91</v>
      </c>
      <c r="C10" s="16">
        <v>1897500</v>
      </c>
      <c r="D10" s="17">
        <v>1897500000</v>
      </c>
      <c r="E10" s="18">
        <v>8.07</v>
      </c>
      <c r="F10" s="19" t="s">
        <v>89</v>
      </c>
      <c r="G10" s="19" t="s">
        <v>92</v>
      </c>
      <c r="H10" s="18">
        <v>1338524962.5</v>
      </c>
      <c r="I10" s="20">
        <v>59.933</v>
      </c>
      <c r="J10" s="20">
        <v>65.335400000000007</v>
      </c>
      <c r="K10" s="18">
        <v>102510856.25</v>
      </c>
      <c r="L10" s="18">
        <v>1239739531.25</v>
      </c>
      <c r="M10" s="21">
        <f t="shared" si="0"/>
        <v>4.8217187466248937E-2</v>
      </c>
      <c r="O10" s="10">
        <v>749863.88888888899</v>
      </c>
    </row>
    <row r="11" spans="1:17" x14ac:dyDescent="0.2">
      <c r="A11" s="15" t="s">
        <v>66</v>
      </c>
      <c r="B11" s="15" t="s">
        <v>93</v>
      </c>
      <c r="C11" s="16">
        <v>1897500</v>
      </c>
      <c r="D11" s="17">
        <v>1897500000</v>
      </c>
      <c r="E11" s="18">
        <v>11</v>
      </c>
      <c r="F11" s="19" t="s">
        <v>89</v>
      </c>
      <c r="G11" s="19" t="s">
        <v>94</v>
      </c>
      <c r="H11" s="18">
        <v>1743261712.5</v>
      </c>
      <c r="I11" s="20">
        <v>85.058800000000005</v>
      </c>
      <c r="J11" s="20">
        <v>90.558800000000005</v>
      </c>
      <c r="K11" s="18">
        <v>104362500</v>
      </c>
      <c r="L11" s="18">
        <v>1718353230</v>
      </c>
      <c r="M11" s="21">
        <f t="shared" si="0"/>
        <v>6.6831909232259859E-2</v>
      </c>
      <c r="O11" s="10">
        <v>749863.88888888899</v>
      </c>
    </row>
    <row r="12" spans="1:17" x14ac:dyDescent="0.2">
      <c r="A12" s="15" t="s">
        <v>66</v>
      </c>
      <c r="B12" s="15" t="s">
        <v>95</v>
      </c>
      <c r="C12" s="16">
        <v>3162500</v>
      </c>
      <c r="D12" s="17">
        <v>3162500000</v>
      </c>
      <c r="E12" s="18">
        <v>5.49</v>
      </c>
      <c r="F12" s="19" t="s">
        <v>89</v>
      </c>
      <c r="G12" s="19" t="s">
        <v>96</v>
      </c>
      <c r="H12" s="18">
        <v>2627740225</v>
      </c>
      <c r="I12" s="20">
        <v>85.758700000000005</v>
      </c>
      <c r="J12" s="20">
        <v>88.549500000000009</v>
      </c>
      <c r="K12" s="18">
        <v>88257468.75</v>
      </c>
      <c r="L12" s="18">
        <v>2800376356.25</v>
      </c>
      <c r="M12" s="21">
        <f t="shared" si="0"/>
        <v>0.10891503282888268</v>
      </c>
      <c r="O12" s="10">
        <v>749863.88888888899</v>
      </c>
    </row>
    <row r="13" spans="1:17" x14ac:dyDescent="0.2">
      <c r="A13" s="15" t="s">
        <v>66</v>
      </c>
      <c r="B13" s="15" t="s">
        <v>76</v>
      </c>
      <c r="C13" s="16">
        <v>1897500</v>
      </c>
      <c r="D13" s="17">
        <v>1897500000</v>
      </c>
      <c r="E13" s="18">
        <v>10.4</v>
      </c>
      <c r="F13" s="19" t="s">
        <v>89</v>
      </c>
      <c r="G13" s="19" t="s">
        <v>97</v>
      </c>
      <c r="H13" s="18">
        <v>1736743800</v>
      </c>
      <c r="I13" s="20">
        <v>87.143000000000001</v>
      </c>
      <c r="J13" s="20">
        <v>91.996300000000005</v>
      </c>
      <c r="K13" s="18">
        <v>92092000</v>
      </c>
      <c r="L13" s="18">
        <v>1745630425</v>
      </c>
      <c r="M13" s="21">
        <f t="shared" si="0"/>
        <v>6.7892801130691391E-2</v>
      </c>
      <c r="O13" s="10">
        <v>749863.88888888899</v>
      </c>
    </row>
    <row r="14" spans="1:17" x14ac:dyDescent="0.2">
      <c r="A14" s="15" t="s">
        <v>66</v>
      </c>
      <c r="B14" s="15" t="s">
        <v>98</v>
      </c>
      <c r="C14" s="16">
        <v>1897500</v>
      </c>
      <c r="D14" s="17">
        <v>1897500000</v>
      </c>
      <c r="E14" s="18">
        <v>8.4499999999999993</v>
      </c>
      <c r="F14" s="19" t="s">
        <v>89</v>
      </c>
      <c r="G14" s="19" t="s">
        <v>99</v>
      </c>
      <c r="H14" s="18">
        <v>1457889097.496666</v>
      </c>
      <c r="I14" s="20">
        <v>67.946300000000008</v>
      </c>
      <c r="J14" s="20">
        <v>71.795699999999997</v>
      </c>
      <c r="K14" s="18">
        <v>73043208.333333328</v>
      </c>
      <c r="L14" s="18">
        <v>1362324250.833333</v>
      </c>
      <c r="M14" s="21">
        <f t="shared" si="0"/>
        <v>5.2984874755116394E-2</v>
      </c>
      <c r="O14" s="10">
        <v>749863.88888888899</v>
      </c>
    </row>
    <row r="15" spans="1:17" x14ac:dyDescent="0.2">
      <c r="A15" s="15" t="s">
        <v>66</v>
      </c>
      <c r="B15" s="15" t="s">
        <v>100</v>
      </c>
      <c r="C15" s="16">
        <v>1106600</v>
      </c>
      <c r="D15" s="17">
        <v>1106600000</v>
      </c>
      <c r="E15" s="18">
        <v>5.5</v>
      </c>
      <c r="F15" s="19" t="s">
        <v>101</v>
      </c>
      <c r="G15" s="19" t="s">
        <v>102</v>
      </c>
      <c r="H15" s="18">
        <v>999478906.79999995</v>
      </c>
      <c r="I15" s="20">
        <v>91.061400000000006</v>
      </c>
      <c r="J15" s="20">
        <v>91.703100000000006</v>
      </c>
      <c r="K15" s="18">
        <v>7100683.3333333302</v>
      </c>
      <c r="L15" s="18">
        <v>1014786135.73333</v>
      </c>
      <c r="M15" s="21">
        <f t="shared" si="0"/>
        <v>3.9468075439579815E-2</v>
      </c>
      <c r="O15" s="10">
        <v>749863.88888888899</v>
      </c>
    </row>
    <row r="16" spans="1:17" x14ac:dyDescent="0.2">
      <c r="A16" s="15" t="s">
        <v>66</v>
      </c>
      <c r="B16" s="15" t="s">
        <v>103</v>
      </c>
      <c r="C16" s="16">
        <v>897100</v>
      </c>
      <c r="D16" s="17">
        <v>897100000</v>
      </c>
      <c r="E16" s="18">
        <v>17.010000000000002</v>
      </c>
      <c r="F16" s="19" t="s">
        <v>104</v>
      </c>
      <c r="G16" s="19" t="s">
        <v>105</v>
      </c>
      <c r="H16" s="18">
        <v>896985171.20000005</v>
      </c>
      <c r="I16" s="20">
        <v>102.027</v>
      </c>
      <c r="J16" s="20">
        <v>104.5313</v>
      </c>
      <c r="K16" s="18">
        <v>22465626.75</v>
      </c>
      <c r="L16" s="18">
        <v>937749843.75</v>
      </c>
      <c r="M16" s="21">
        <f t="shared" si="0"/>
        <v>3.6471903067372163E-2</v>
      </c>
      <c r="O16" s="10">
        <v>749863.88888888899</v>
      </c>
    </row>
    <row r="17" spans="1:15" x14ac:dyDescent="0.2">
      <c r="A17" s="15" t="s">
        <v>106</v>
      </c>
      <c r="B17" s="15" t="s">
        <v>107</v>
      </c>
      <c r="C17" s="16">
        <v>992234</v>
      </c>
      <c r="D17" s="17">
        <v>992234000</v>
      </c>
      <c r="E17" s="18">
        <v>14.3</v>
      </c>
      <c r="F17" s="19" t="s">
        <v>108</v>
      </c>
      <c r="G17" s="19" t="s">
        <v>109</v>
      </c>
      <c r="H17" s="18">
        <v>991722999.49000001</v>
      </c>
      <c r="I17" s="20">
        <v>94.594015139999996</v>
      </c>
      <c r="J17" s="20">
        <v>95.666515140000001</v>
      </c>
      <c r="K17" s="18">
        <v>10641709.649999989</v>
      </c>
      <c r="L17" s="18">
        <v>949235689.80255091</v>
      </c>
      <c r="M17" s="21">
        <f t="shared" si="0"/>
        <v>3.6918622058228184E-2</v>
      </c>
      <c r="O17" s="10">
        <v>749863.88888888899</v>
      </c>
    </row>
    <row r="18" spans="1:15" x14ac:dyDescent="0.2">
      <c r="A18" s="15" t="s">
        <v>66</v>
      </c>
      <c r="B18" s="15" t="s">
        <v>75</v>
      </c>
      <c r="C18" s="16">
        <v>1897500</v>
      </c>
      <c r="D18" s="17">
        <v>1897500000</v>
      </c>
      <c r="E18" s="18">
        <v>10.55</v>
      </c>
      <c r="F18" s="19" t="s">
        <v>89</v>
      </c>
      <c r="G18" s="19" t="s">
        <v>110</v>
      </c>
      <c r="H18" s="18">
        <v>1708326839.9966669</v>
      </c>
      <c r="I18" s="20">
        <v>83.004000000000005</v>
      </c>
      <c r="J18" s="20">
        <v>84.820900000000009</v>
      </c>
      <c r="K18" s="18">
        <v>34476520.833333328</v>
      </c>
      <c r="L18" s="18">
        <v>1609477420.833333</v>
      </c>
      <c r="M18" s="21">
        <f t="shared" si="0"/>
        <v>6.2597402572755659E-2</v>
      </c>
      <c r="O18" s="10">
        <v>749863.88888888899</v>
      </c>
    </row>
    <row r="19" spans="1:15" x14ac:dyDescent="0.2">
      <c r="A19" s="15" t="s">
        <v>66</v>
      </c>
      <c r="B19" s="15" t="s">
        <v>111</v>
      </c>
      <c r="C19" s="16">
        <v>1897500</v>
      </c>
      <c r="D19" s="17">
        <v>1897500000</v>
      </c>
      <c r="E19" s="18">
        <v>8.07</v>
      </c>
      <c r="F19" s="19" t="s">
        <v>89</v>
      </c>
      <c r="G19" s="19" t="s">
        <v>112</v>
      </c>
      <c r="H19" s="18">
        <v>1359122325</v>
      </c>
      <c r="I19" s="20">
        <v>61.3855</v>
      </c>
      <c r="J19" s="20">
        <v>64.478999999999999</v>
      </c>
      <c r="K19" s="18">
        <v>58699162.5</v>
      </c>
      <c r="L19" s="18">
        <v>1223489025</v>
      </c>
      <c r="M19" s="21">
        <f t="shared" si="0"/>
        <v>4.7585156554491484E-2</v>
      </c>
      <c r="O19" s="10">
        <v>749863.88888888899</v>
      </c>
    </row>
    <row r="20" spans="1:15" x14ac:dyDescent="0.2">
      <c r="A20" s="15" t="s">
        <v>66</v>
      </c>
      <c r="B20" s="15" t="s">
        <v>113</v>
      </c>
      <c r="C20" s="16">
        <v>1897500</v>
      </c>
      <c r="D20" s="17">
        <v>1897500000</v>
      </c>
      <c r="E20" s="18">
        <v>10.65</v>
      </c>
      <c r="F20" s="19" t="s">
        <v>89</v>
      </c>
      <c r="G20" s="19" t="s">
        <v>114</v>
      </c>
      <c r="H20" s="18">
        <v>1648500562.5</v>
      </c>
      <c r="I20" s="20">
        <v>75.785499999999999</v>
      </c>
      <c r="J20" s="20">
        <v>77.67880000000001</v>
      </c>
      <c r="K20" s="18">
        <v>35926000</v>
      </c>
      <c r="L20" s="18">
        <v>1473955862.5</v>
      </c>
      <c r="M20" s="21">
        <f t="shared" si="0"/>
        <v>5.7326562836534652E-2</v>
      </c>
      <c r="O20" s="10">
        <v>749863.88888888899</v>
      </c>
    </row>
    <row r="21" spans="1:15" x14ac:dyDescent="0.2">
      <c r="A21" s="15" t="s">
        <v>66</v>
      </c>
      <c r="B21" s="15" t="s">
        <v>115</v>
      </c>
      <c r="C21" s="16">
        <v>550000</v>
      </c>
      <c r="D21" s="17">
        <v>550000000</v>
      </c>
      <c r="E21" s="18">
        <v>12</v>
      </c>
      <c r="F21" s="19" t="s">
        <v>116</v>
      </c>
      <c r="G21" s="19" t="s">
        <v>117</v>
      </c>
      <c r="H21" s="18">
        <v>491343050</v>
      </c>
      <c r="I21" s="20">
        <v>85.3309</v>
      </c>
      <c r="J21" s="20">
        <v>92.0976</v>
      </c>
      <c r="K21" s="18">
        <v>37216666.666666657</v>
      </c>
      <c r="L21" s="18">
        <v>506536616.66666698</v>
      </c>
      <c r="M21" s="21">
        <f t="shared" si="0"/>
        <v>1.970072776473478E-2</v>
      </c>
      <c r="O21" s="10">
        <v>749863.88888888899</v>
      </c>
    </row>
    <row r="22" spans="1:15" x14ac:dyDescent="0.2">
      <c r="A22" s="15" t="s">
        <v>66</v>
      </c>
      <c r="B22" s="15" t="s">
        <v>118</v>
      </c>
      <c r="C22" s="16">
        <v>11424000</v>
      </c>
      <c r="D22" s="17">
        <v>1142400000</v>
      </c>
      <c r="E22" s="18">
        <v>0</v>
      </c>
      <c r="F22" s="19" t="s">
        <v>116</v>
      </c>
      <c r="G22" s="19" t="s">
        <v>119</v>
      </c>
      <c r="H22" s="18">
        <v>1003902278.4</v>
      </c>
      <c r="I22" s="20">
        <v>94.452500000000001</v>
      </c>
      <c r="J22" s="20">
        <v>94.452500000000001</v>
      </c>
      <c r="K22" s="18"/>
      <c r="L22" s="18">
        <v>1079025360</v>
      </c>
      <c r="M22" s="21">
        <f t="shared" si="0"/>
        <v>4.196653147899429E-2</v>
      </c>
      <c r="O22" s="10">
        <v>749863.88888888899</v>
      </c>
    </row>
    <row r="23" spans="1:15" x14ac:dyDescent="0.2">
      <c r="A23" s="15" t="s">
        <v>66</v>
      </c>
      <c r="B23" s="15" t="s">
        <v>120</v>
      </c>
      <c r="C23" s="16">
        <v>2391500</v>
      </c>
      <c r="D23" s="17">
        <v>2391500000</v>
      </c>
      <c r="E23" s="18">
        <v>5.3</v>
      </c>
      <c r="F23" s="19" t="s">
        <v>121</v>
      </c>
      <c r="G23" s="19" t="s">
        <v>122</v>
      </c>
      <c r="H23" s="18">
        <v>1903079172</v>
      </c>
      <c r="I23" s="20">
        <v>81.066800000000001</v>
      </c>
      <c r="J23" s="20">
        <v>86.087100000000007</v>
      </c>
      <c r="K23" s="18">
        <v>120059943.055556</v>
      </c>
      <c r="L23" s="18">
        <v>2058772465.0555601</v>
      </c>
      <c r="M23" s="21">
        <f t="shared" si="0"/>
        <v>8.007183395841673E-2</v>
      </c>
      <c r="O23" s="10">
        <v>749863.88888888899</v>
      </c>
    </row>
    <row r="24" spans="1:15" x14ac:dyDescent="0.2">
      <c r="A24" s="15" t="s">
        <v>66</v>
      </c>
      <c r="B24" s="15" t="s">
        <v>123</v>
      </c>
      <c r="C24" s="16">
        <v>1897500</v>
      </c>
      <c r="D24" s="17">
        <v>1897500000</v>
      </c>
      <c r="E24" s="18">
        <v>10.3</v>
      </c>
      <c r="F24" s="19" t="s">
        <v>89</v>
      </c>
      <c r="G24" s="19" t="s">
        <v>124</v>
      </c>
      <c r="H24" s="18">
        <v>1645329839.996666</v>
      </c>
      <c r="I24" s="20">
        <v>77.495199999999997</v>
      </c>
      <c r="J24" s="20">
        <v>83.017099999999999</v>
      </c>
      <c r="K24" s="18">
        <v>104778895.833333</v>
      </c>
      <c r="L24" s="18">
        <v>1575250315.833333</v>
      </c>
      <c r="M24" s="21">
        <f t="shared" si="0"/>
        <v>6.1266207836593631E-2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968132703.62222219</v>
      </c>
      <c r="L26" s="23">
        <f>SUM(L8:L25)</f>
        <v>25711568766.174774</v>
      </c>
      <c r="M26" s="26">
        <f>SUM(M8:M25)</f>
        <v>1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275326.11</v>
      </c>
    </row>
    <row r="30" spans="1:15" x14ac:dyDescent="0.2">
      <c r="A30" s="29" t="s">
        <v>84</v>
      </c>
      <c r="B30" s="30">
        <v>275326.11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1431710</v>
      </c>
      <c r="D35" s="32" t="s">
        <v>68</v>
      </c>
      <c r="E35" s="34" t="s">
        <v>69</v>
      </c>
      <c r="F35" s="34" t="s">
        <v>70</v>
      </c>
      <c r="G35" s="35">
        <v>552.49129999790512</v>
      </c>
      <c r="H35" s="35">
        <f t="shared" ref="H35:H46" si="1">J35/C35</f>
        <v>552.73046818140551</v>
      </c>
      <c r="I35" s="36">
        <v>791007319.12</v>
      </c>
      <c r="J35" s="36">
        <v>791349738.60000002</v>
      </c>
      <c r="K35" s="37">
        <v>15.800500000000001</v>
      </c>
      <c r="L35" s="37">
        <v>342419.48</v>
      </c>
      <c r="M35" s="31">
        <f t="shared" ref="M35:M46" si="2">I35+L35</f>
        <v>791349738.60000002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1372800</v>
      </c>
      <c r="D36" s="32" t="s">
        <v>68</v>
      </c>
      <c r="E36" s="34" t="s">
        <v>69</v>
      </c>
      <c r="F36" s="34" t="s">
        <v>70</v>
      </c>
      <c r="G36" s="35">
        <v>947.21</v>
      </c>
      <c r="H36" s="35">
        <f t="shared" si="1"/>
        <v>947.62004071969704</v>
      </c>
      <c r="I36" s="36">
        <v>1300329888</v>
      </c>
      <c r="J36" s="36">
        <v>1300892791.9000001</v>
      </c>
      <c r="K36" s="37">
        <v>15.800600000000001</v>
      </c>
      <c r="L36" s="37">
        <v>562903.9</v>
      </c>
      <c r="M36" s="31">
        <f t="shared" si="2"/>
        <v>1300892791.9000001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18187</v>
      </c>
      <c r="D37" s="32" t="s">
        <v>68</v>
      </c>
      <c r="E37" s="34" t="s">
        <v>69</v>
      </c>
      <c r="F37" s="34" t="s">
        <v>70</v>
      </c>
      <c r="G37" s="35">
        <v>715.21</v>
      </c>
      <c r="H37" s="35">
        <f t="shared" si="1"/>
        <v>715.51960961126088</v>
      </c>
      <c r="I37" s="36">
        <v>13007524.27</v>
      </c>
      <c r="J37" s="36">
        <v>13013155.140000001</v>
      </c>
      <c r="K37" s="37">
        <v>15.800600000000001</v>
      </c>
      <c r="L37" s="37">
        <v>5630.87</v>
      </c>
      <c r="M37" s="31">
        <f t="shared" si="2"/>
        <v>13013155.139999999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409353</v>
      </c>
      <c r="D38" s="32" t="s">
        <v>68</v>
      </c>
      <c r="E38" s="34" t="s">
        <v>70</v>
      </c>
      <c r="F38" s="34" t="s">
        <v>74</v>
      </c>
      <c r="G38" s="35">
        <v>740.20099999267109</v>
      </c>
      <c r="H38" s="35">
        <f t="shared" si="1"/>
        <v>740.52060458821609</v>
      </c>
      <c r="I38" s="36">
        <v>303003499.94999999</v>
      </c>
      <c r="J38" s="36">
        <v>303134331.05000001</v>
      </c>
      <c r="K38" s="37">
        <v>15.76</v>
      </c>
      <c r="L38" s="37"/>
      <c r="M38" s="31">
        <f t="shared" si="2"/>
        <v>303003499.94999999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468063</v>
      </c>
      <c r="D39" s="32" t="s">
        <v>68</v>
      </c>
      <c r="E39" s="34" t="s">
        <v>70</v>
      </c>
      <c r="F39" s="34" t="s">
        <v>74</v>
      </c>
      <c r="G39" s="35">
        <v>848.20900000640904</v>
      </c>
      <c r="H39" s="35">
        <f t="shared" si="1"/>
        <v>848.57524038430722</v>
      </c>
      <c r="I39" s="36">
        <v>397015249.17000002</v>
      </c>
      <c r="J39" s="36">
        <v>397186672.74000001</v>
      </c>
      <c r="K39" s="37">
        <v>15.76</v>
      </c>
      <c r="L39" s="37"/>
      <c r="M39" s="31">
        <f t="shared" si="2"/>
        <v>397015249.17000002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76</v>
      </c>
      <c r="C40" s="33">
        <v>209984</v>
      </c>
      <c r="D40" s="32" t="s">
        <v>68</v>
      </c>
      <c r="E40" s="34" t="s">
        <v>70</v>
      </c>
      <c r="F40" s="34" t="s">
        <v>74</v>
      </c>
      <c r="G40" s="35">
        <v>919.96299999047494</v>
      </c>
      <c r="H40" s="35">
        <f t="shared" si="1"/>
        <v>920.36022235027428</v>
      </c>
      <c r="I40" s="36">
        <v>193177510.59</v>
      </c>
      <c r="J40" s="36">
        <v>193260920.93000001</v>
      </c>
      <c r="K40" s="37">
        <v>15.76</v>
      </c>
      <c r="L40" s="37"/>
      <c r="M40" s="31">
        <f t="shared" si="2"/>
        <v>193177510.59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77</v>
      </c>
      <c r="C41" s="33">
        <v>398682</v>
      </c>
      <c r="D41" s="32" t="s">
        <v>68</v>
      </c>
      <c r="E41" s="34" t="s">
        <v>70</v>
      </c>
      <c r="F41" s="34" t="s">
        <v>74</v>
      </c>
      <c r="G41" s="35">
        <v>1038.8340000050162</v>
      </c>
      <c r="H41" s="35">
        <f t="shared" si="1"/>
        <v>1039.2825485976293</v>
      </c>
      <c r="I41" s="36">
        <v>414164416.79000002</v>
      </c>
      <c r="J41" s="36">
        <v>414343245.04000002</v>
      </c>
      <c r="K41" s="37">
        <v>15.76</v>
      </c>
      <c r="L41" s="37"/>
      <c r="M41" s="31">
        <f t="shared" si="2"/>
        <v>414164416.79000002</v>
      </c>
      <c r="N41" s="10"/>
      <c r="O41" s="9"/>
      <c r="Q41" s="9">
        <v>1</v>
      </c>
    </row>
    <row r="42" spans="1:17" x14ac:dyDescent="0.2">
      <c r="A42" s="32" t="s">
        <v>78</v>
      </c>
      <c r="B42" s="32" t="s">
        <v>79</v>
      </c>
      <c r="C42" s="33">
        <v>270864</v>
      </c>
      <c r="D42" s="32" t="s">
        <v>68</v>
      </c>
      <c r="E42" s="34" t="s">
        <v>70</v>
      </c>
      <c r="F42" s="34" t="s">
        <v>74</v>
      </c>
      <c r="G42" s="35">
        <v>797.89099998523204</v>
      </c>
      <c r="H42" s="35">
        <f t="shared" si="1"/>
        <v>798.23551402179692</v>
      </c>
      <c r="I42" s="36">
        <v>216119947.81999999</v>
      </c>
      <c r="J42" s="36">
        <v>216213264.27000001</v>
      </c>
      <c r="K42" s="37">
        <v>15.76</v>
      </c>
      <c r="L42" s="37"/>
      <c r="M42" s="31">
        <f t="shared" si="2"/>
        <v>216119947.81999999</v>
      </c>
      <c r="N42" s="10"/>
      <c r="O42" s="9"/>
      <c r="Q42" s="9">
        <v>1</v>
      </c>
    </row>
    <row r="43" spans="1:17" x14ac:dyDescent="0.2">
      <c r="A43" s="32" t="s">
        <v>78</v>
      </c>
      <c r="B43" s="32" t="s">
        <v>80</v>
      </c>
      <c r="C43" s="33">
        <v>12545</v>
      </c>
      <c r="D43" s="32" t="s">
        <v>68</v>
      </c>
      <c r="E43" s="34" t="s">
        <v>70</v>
      </c>
      <c r="F43" s="34" t="s">
        <v>74</v>
      </c>
      <c r="G43" s="35">
        <v>1036.8370003985649</v>
      </c>
      <c r="H43" s="35">
        <f t="shared" si="1"/>
        <v>1037.2846871263453</v>
      </c>
      <c r="I43" s="36">
        <v>13007120.17</v>
      </c>
      <c r="J43" s="36">
        <v>13012736.4</v>
      </c>
      <c r="K43" s="37">
        <v>15.76</v>
      </c>
      <c r="L43" s="37"/>
      <c r="M43" s="31">
        <f t="shared" si="2"/>
        <v>13007120.17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81</v>
      </c>
      <c r="C44" s="33">
        <v>1314712</v>
      </c>
      <c r="D44" s="32" t="s">
        <v>68</v>
      </c>
      <c r="E44" s="34" t="s">
        <v>70</v>
      </c>
      <c r="F44" s="34" t="s">
        <v>74</v>
      </c>
      <c r="G44" s="35">
        <v>90.52019999817449</v>
      </c>
      <c r="H44" s="35">
        <f t="shared" si="1"/>
        <v>90.559260081295363</v>
      </c>
      <c r="I44" s="36">
        <v>119007993.18000001</v>
      </c>
      <c r="J44" s="36">
        <v>119059345.94</v>
      </c>
      <c r="K44" s="37">
        <v>15.75</v>
      </c>
      <c r="L44" s="37"/>
      <c r="M44" s="31">
        <f t="shared" si="2"/>
        <v>119007993.18000001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82</v>
      </c>
      <c r="C45" s="33">
        <v>157905</v>
      </c>
      <c r="D45" s="32" t="s">
        <v>68</v>
      </c>
      <c r="E45" s="34" t="s">
        <v>70</v>
      </c>
      <c r="F45" s="34" t="s">
        <v>74</v>
      </c>
      <c r="G45" s="35">
        <v>1045.6210000316642</v>
      </c>
      <c r="H45" s="35">
        <f t="shared" si="1"/>
        <v>1046.0724791488553</v>
      </c>
      <c r="I45" s="36">
        <v>165108784.00999999</v>
      </c>
      <c r="J45" s="36">
        <v>165180074.81999999</v>
      </c>
      <c r="K45" s="37">
        <v>15.76</v>
      </c>
      <c r="L45" s="37"/>
      <c r="M45" s="31">
        <f t="shared" si="2"/>
        <v>165108784.00999999</v>
      </c>
      <c r="N45" s="10"/>
      <c r="O45" s="9"/>
      <c r="Q45" s="9">
        <v>1</v>
      </c>
    </row>
    <row r="46" spans="1:17" x14ac:dyDescent="0.2">
      <c r="A46" s="32" t="s">
        <v>66</v>
      </c>
      <c r="B46" s="32" t="s">
        <v>83</v>
      </c>
      <c r="C46" s="33">
        <v>321480</v>
      </c>
      <c r="D46" s="32" t="s">
        <v>68</v>
      </c>
      <c r="E46" s="34" t="s">
        <v>70</v>
      </c>
      <c r="F46" s="34" t="s">
        <v>74</v>
      </c>
      <c r="G46" s="35">
        <v>886.83300000000008</v>
      </c>
      <c r="H46" s="35">
        <f t="shared" si="1"/>
        <v>887.21591747542607</v>
      </c>
      <c r="I46" s="36">
        <v>285099072.83999997</v>
      </c>
      <c r="J46" s="36">
        <v>285222173.14999998</v>
      </c>
      <c r="K46" s="37">
        <v>15.76</v>
      </c>
      <c r="L46" s="37"/>
      <c r="M46" s="31">
        <f t="shared" si="2"/>
        <v>285099072.83999997</v>
      </c>
      <c r="N46" s="10"/>
      <c r="O46" s="9"/>
      <c r="Q46" s="9">
        <v>1</v>
      </c>
    </row>
    <row r="47" spans="1:17" hidden="1" x14ac:dyDescent="0.2">
      <c r="A47" s="32"/>
      <c r="B47" s="32"/>
      <c r="C47" s="33"/>
      <c r="D47" s="32"/>
      <c r="E47" s="34"/>
      <c r="F47" s="34"/>
      <c r="G47" s="35"/>
      <c r="H47" s="35"/>
      <c r="I47" s="36"/>
      <c r="J47" s="36"/>
      <c r="K47" s="37"/>
      <c r="L47" s="31"/>
      <c r="M47" s="31"/>
      <c r="N47" s="10"/>
      <c r="O47" s="9"/>
    </row>
    <row r="48" spans="1:17" s="13" customFormat="1" x14ac:dyDescent="0.2">
      <c r="A48" s="38"/>
      <c r="B48" s="39" t="s">
        <v>5</v>
      </c>
      <c r="C48" s="38"/>
      <c r="D48" s="38"/>
      <c r="E48" s="38"/>
      <c r="F48" s="38"/>
      <c r="G48" s="38"/>
      <c r="H48" s="38"/>
      <c r="I48" s="38"/>
      <c r="J48" s="38"/>
      <c r="K48" s="38"/>
      <c r="L48" s="38" t="s">
        <v>44</v>
      </c>
      <c r="M48" s="40">
        <f>SUMIF(Q35:Q47,1,M35:M47)</f>
        <v>2105703594.52</v>
      </c>
      <c r="O48" s="41"/>
    </row>
    <row r="50" spans="1:15" ht="22.5" x14ac:dyDescent="0.2">
      <c r="A50" s="27" t="s">
        <v>37</v>
      </c>
    </row>
    <row r="51" spans="1:15" ht="22.5" x14ac:dyDescent="0.2">
      <c r="A51" s="14" t="s">
        <v>7</v>
      </c>
      <c r="B51" s="14" t="s">
        <v>38</v>
      </c>
      <c r="C51" s="14" t="s">
        <v>26</v>
      </c>
      <c r="D51" s="14" t="s">
        <v>39</v>
      </c>
      <c r="E51" s="14" t="s">
        <v>25</v>
      </c>
      <c r="F51" s="14" t="s">
        <v>40</v>
      </c>
      <c r="G51" s="14" t="s">
        <v>41</v>
      </c>
      <c r="N51" s="10"/>
      <c r="O51" s="9"/>
    </row>
    <row r="52" spans="1:15" hidden="1" x14ac:dyDescent="0.2">
      <c r="A52" s="42"/>
      <c r="B52" s="42"/>
      <c r="C52" s="32"/>
      <c r="D52" s="43"/>
      <c r="E52" s="29"/>
      <c r="F52" s="29"/>
      <c r="G52" s="31"/>
      <c r="N52" s="10"/>
      <c r="O52" s="9"/>
    </row>
    <row r="53" spans="1:15" s="13" customFormat="1" x14ac:dyDescent="0.2">
      <c r="A53" s="44"/>
      <c r="B53" s="45" t="s">
        <v>5</v>
      </c>
      <c r="C53" s="46"/>
      <c r="D53" s="47"/>
      <c r="E53" s="48">
        <f>SUM(E52:E52)</f>
        <v>0</v>
      </c>
      <c r="F53" s="40">
        <f>SUM(F52:F52)</f>
        <v>0</v>
      </c>
      <c r="G53" s="40">
        <f>SUM(G52:G52)</f>
        <v>0</v>
      </c>
      <c r="N53" s="41"/>
    </row>
    <row r="54" spans="1:15" x14ac:dyDescent="0.2">
      <c r="A54" s="49"/>
      <c r="D54" s="50"/>
      <c r="G54" s="51"/>
    </row>
    <row r="55" spans="1:15" x14ac:dyDescent="0.2">
      <c r="A55" s="52" t="s">
        <v>22</v>
      </c>
      <c r="B55" s="53">
        <f>L26+B30+M48</f>
        <v>27817547686.804775</v>
      </c>
    </row>
    <row r="56" spans="1:15" x14ac:dyDescent="0.2">
      <c r="D56" s="54"/>
      <c r="E56" s="54"/>
    </row>
    <row r="58" spans="1:15" x14ac:dyDescent="0.2">
      <c r="A58" s="52" t="s">
        <v>47</v>
      </c>
      <c r="B58" s="52"/>
      <c r="C58" s="52"/>
      <c r="F58" s="54"/>
      <c r="O58" s="9"/>
    </row>
    <row r="59" spans="1:15" x14ac:dyDescent="0.2">
      <c r="O59" s="9"/>
    </row>
    <row r="60" spans="1:15" x14ac:dyDescent="0.2">
      <c r="A60" s="60" t="s">
        <v>48</v>
      </c>
      <c r="B60" s="60"/>
      <c r="C60" s="60"/>
      <c r="D60" s="60"/>
      <c r="O60" s="9"/>
    </row>
    <row r="61" spans="1:15" x14ac:dyDescent="0.2">
      <c r="O61" s="9"/>
    </row>
    <row r="62" spans="1:15" ht="22.5" x14ac:dyDescent="0.2">
      <c r="A62" s="14" t="s">
        <v>7</v>
      </c>
      <c r="B62" s="14" t="s">
        <v>38</v>
      </c>
      <c r="C62" s="14" t="s">
        <v>26</v>
      </c>
      <c r="D62" s="14" t="s">
        <v>39</v>
      </c>
      <c r="E62" s="14" t="s">
        <v>25</v>
      </c>
      <c r="F62" s="14" t="s">
        <v>40</v>
      </c>
      <c r="G62" s="14" t="s">
        <v>41</v>
      </c>
      <c r="O62" s="9"/>
    </row>
    <row r="63" spans="1:15" hidden="1" x14ac:dyDescent="0.2">
      <c r="A63" s="55"/>
      <c r="B63" s="55"/>
      <c r="C63" s="55"/>
      <c r="D63" s="55"/>
      <c r="E63" s="55"/>
      <c r="F63" s="55"/>
      <c r="G63" s="55"/>
      <c r="O63" s="9"/>
    </row>
    <row r="64" spans="1:15" s="13" customFormat="1" x14ac:dyDescent="0.2">
      <c r="A64" s="38"/>
      <c r="B64" s="39" t="s">
        <v>5</v>
      </c>
      <c r="C64" s="38"/>
      <c r="D64" s="38"/>
      <c r="E64" s="48">
        <f>SUM(E63:E63)</f>
        <v>0</v>
      </c>
      <c r="F64" s="40">
        <f>SUM(F63:F63)</f>
        <v>0</v>
      </c>
      <c r="G64" s="40">
        <f>SUM(G63:G63)</f>
        <v>0</v>
      </c>
    </row>
    <row r="65" spans="1:15" s="13" customFormat="1" x14ac:dyDescent="0.2">
      <c r="B65" s="56"/>
    </row>
    <row r="66" spans="1:15" x14ac:dyDescent="0.2">
      <c r="A66" s="60" t="s">
        <v>49</v>
      </c>
      <c r="B66" s="60"/>
      <c r="O66" s="9"/>
    </row>
    <row r="67" spans="1:15" x14ac:dyDescent="0.2">
      <c r="O67" s="9"/>
    </row>
    <row r="68" spans="1:15" x14ac:dyDescent="0.2">
      <c r="A68" s="14" t="s">
        <v>7</v>
      </c>
      <c r="B68" s="14" t="s">
        <v>38</v>
      </c>
      <c r="C68" s="14" t="s">
        <v>50</v>
      </c>
      <c r="D68" s="14" t="s">
        <v>51</v>
      </c>
      <c r="O68" s="9"/>
    </row>
    <row r="69" spans="1:15" x14ac:dyDescent="0.2">
      <c r="A69" s="24" t="s">
        <v>52</v>
      </c>
      <c r="B69" s="24">
        <v>1</v>
      </c>
      <c r="C69" s="24">
        <v>2</v>
      </c>
      <c r="D69" s="24">
        <v>3</v>
      </c>
      <c r="O69" s="9"/>
    </row>
    <row r="70" spans="1:15" x14ac:dyDescent="0.2">
      <c r="A70" s="24">
        <v>1</v>
      </c>
      <c r="B70" s="55" t="s">
        <v>53</v>
      </c>
      <c r="C70" s="57">
        <v>2299715.86</v>
      </c>
      <c r="D70" s="24"/>
      <c r="E70" s="54"/>
      <c r="O70" s="9"/>
    </row>
    <row r="71" spans="1:15" x14ac:dyDescent="0.2">
      <c r="A71" s="24">
        <v>2</v>
      </c>
      <c r="B71" s="55" t="s">
        <v>54</v>
      </c>
      <c r="C71" s="57">
        <v>0</v>
      </c>
      <c r="D71" s="24"/>
      <c r="E71" s="54"/>
      <c r="O71" s="9"/>
    </row>
    <row r="72" spans="1:15" x14ac:dyDescent="0.2">
      <c r="A72" s="24">
        <v>3</v>
      </c>
      <c r="B72" s="55" t="s">
        <v>55</v>
      </c>
      <c r="C72" s="57">
        <v>441719.35</v>
      </c>
      <c r="D72" s="24"/>
      <c r="G72" s="54"/>
      <c r="O72" s="9"/>
    </row>
    <row r="73" spans="1:15" x14ac:dyDescent="0.2">
      <c r="A73" s="24">
        <v>4</v>
      </c>
      <c r="B73" s="55" t="s">
        <v>56</v>
      </c>
      <c r="C73" s="57">
        <v>0</v>
      </c>
      <c r="D73" s="24"/>
      <c r="O73" s="9"/>
    </row>
    <row r="74" spans="1:15" ht="22.5" x14ac:dyDescent="0.2">
      <c r="A74" s="24">
        <v>5</v>
      </c>
      <c r="B74" s="58" t="s">
        <v>57</v>
      </c>
      <c r="C74" s="57">
        <v>365760.98</v>
      </c>
      <c r="D74" s="24"/>
      <c r="F74" s="54"/>
      <c r="O74" s="9"/>
    </row>
    <row r="75" spans="1:15" x14ac:dyDescent="0.2">
      <c r="A75" s="24">
        <v>6</v>
      </c>
      <c r="B75" s="55" t="s">
        <v>58</v>
      </c>
      <c r="C75" s="57">
        <v>89850.240000000005</v>
      </c>
      <c r="D75" s="57"/>
      <c r="O75" s="9"/>
    </row>
    <row r="76" spans="1:15" x14ac:dyDescent="0.2">
      <c r="A76" s="24">
        <v>7</v>
      </c>
      <c r="B76" s="55" t="s">
        <v>59</v>
      </c>
      <c r="C76" s="57">
        <v>45531.23</v>
      </c>
      <c r="D76" s="57"/>
      <c r="O76" s="9"/>
    </row>
    <row r="77" spans="1:15" x14ac:dyDescent="0.2">
      <c r="A77" s="24">
        <v>8</v>
      </c>
      <c r="B77" s="55" t="s">
        <v>60</v>
      </c>
      <c r="C77" s="57">
        <v>0</v>
      </c>
      <c r="D77" s="24"/>
      <c r="O77" s="9"/>
    </row>
    <row r="78" spans="1:15" ht="22.5" x14ac:dyDescent="0.2">
      <c r="A78" s="24">
        <v>9</v>
      </c>
      <c r="B78" s="58" t="s">
        <v>61</v>
      </c>
      <c r="C78" s="57">
        <v>0</v>
      </c>
      <c r="D78" s="24"/>
      <c r="O78" s="9"/>
    </row>
    <row r="79" spans="1:15" ht="22.5" x14ac:dyDescent="0.2">
      <c r="A79" s="24">
        <v>10</v>
      </c>
      <c r="B79" s="58" t="s">
        <v>62</v>
      </c>
      <c r="C79" s="57">
        <v>0</v>
      </c>
      <c r="D79" s="24"/>
      <c r="E79" s="54"/>
      <c r="O79" s="9"/>
    </row>
    <row r="80" spans="1:15" x14ac:dyDescent="0.2">
      <c r="A80" s="61" t="s">
        <v>63</v>
      </c>
      <c r="B80" s="61"/>
      <c r="C80" s="59">
        <f>SUM(C70:C79)</f>
        <v>3242577.66</v>
      </c>
      <c r="D80" s="55"/>
      <c r="O80" s="9"/>
    </row>
    <row r="82" spans="3:4" x14ac:dyDescent="0.2">
      <c r="C82" s="51"/>
    </row>
    <row r="83" spans="3:4" x14ac:dyDescent="0.2">
      <c r="C83" s="54"/>
    </row>
    <row r="84" spans="3:4" x14ac:dyDescent="0.2">
      <c r="C84" s="54"/>
      <c r="D84" s="54"/>
    </row>
    <row r="85" spans="3:4" x14ac:dyDescent="0.2">
      <c r="C85" s="54"/>
    </row>
  </sheetData>
  <mergeCells count="3">
    <mergeCell ref="A60:D60"/>
    <mergeCell ref="A66:B66"/>
    <mergeCell ref="A80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30.09.2025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125</v>
      </c>
      <c r="C4" s="4" t="s">
        <v>126</v>
      </c>
      <c r="D4" s="4" t="s">
        <v>127</v>
      </c>
      <c r="E4" s="4" t="s">
        <v>128</v>
      </c>
      <c r="F4" s="4">
        <v>99.378900000000002</v>
      </c>
      <c r="G4" s="5">
        <v>99.378900000000002</v>
      </c>
      <c r="H4" s="5">
        <v>15.21</v>
      </c>
      <c r="I4" s="5">
        <v>16</v>
      </c>
      <c r="J4" s="4" t="s">
        <v>129</v>
      </c>
    </row>
    <row r="5" spans="1:10" x14ac:dyDescent="0.25">
      <c r="A5" s="4">
        <f t="shared" ca="1" si="0"/>
        <v>2</v>
      </c>
      <c r="B5" s="4" t="s">
        <v>130</v>
      </c>
      <c r="C5" s="4" t="s">
        <v>131</v>
      </c>
      <c r="D5" s="4" t="s">
        <v>132</v>
      </c>
      <c r="E5" s="4" t="s">
        <v>133</v>
      </c>
      <c r="F5" s="4">
        <v>9490.25</v>
      </c>
      <c r="G5" s="5"/>
      <c r="H5" s="5"/>
      <c r="I5" s="5"/>
      <c r="J5" s="4" t="s">
        <v>134</v>
      </c>
    </row>
    <row r="6" spans="1:10" x14ac:dyDescent="0.25">
      <c r="A6" s="4">
        <f t="shared" ca="1" si="0"/>
        <v>3</v>
      </c>
      <c r="B6" s="4" t="s">
        <v>135</v>
      </c>
      <c r="C6" s="4" t="s">
        <v>136</v>
      </c>
      <c r="D6" s="4" t="s">
        <v>127</v>
      </c>
      <c r="E6" s="4" t="s">
        <v>133</v>
      </c>
      <c r="F6" s="4">
        <v>1067.1690000000001</v>
      </c>
      <c r="G6" s="5">
        <v>107.51130000000001</v>
      </c>
      <c r="H6" s="5">
        <v>18.47</v>
      </c>
      <c r="I6" s="5">
        <v>900</v>
      </c>
      <c r="J6" s="4" t="s">
        <v>129</v>
      </c>
    </row>
    <row r="7" spans="1:10" x14ac:dyDescent="0.25">
      <c r="A7" s="4">
        <f t="shared" ca="1" si="0"/>
        <v>4</v>
      </c>
      <c r="B7" s="4" t="s">
        <v>137</v>
      </c>
      <c r="C7" s="4" t="s">
        <v>138</v>
      </c>
      <c r="D7" s="4" t="s">
        <v>132</v>
      </c>
      <c r="E7" s="4" t="s">
        <v>139</v>
      </c>
      <c r="F7" s="4">
        <v>1459.82</v>
      </c>
      <c r="G7" s="5"/>
      <c r="H7" s="5"/>
      <c r="I7" s="5"/>
      <c r="J7" s="4" t="s">
        <v>134</v>
      </c>
    </row>
    <row r="8" spans="1:10" x14ac:dyDescent="0.25">
      <c r="A8" s="4">
        <f t="shared" ca="1" si="0"/>
        <v>5</v>
      </c>
      <c r="B8" s="4" t="s">
        <v>140</v>
      </c>
      <c r="C8" s="4" t="s">
        <v>141</v>
      </c>
      <c r="D8" s="4" t="s">
        <v>132</v>
      </c>
      <c r="E8" s="4" t="s">
        <v>142</v>
      </c>
      <c r="F8" s="4">
        <v>596229.82000000007</v>
      </c>
      <c r="G8" s="5"/>
      <c r="H8" s="5"/>
      <c r="I8" s="5"/>
      <c r="J8" s="4" t="s">
        <v>134</v>
      </c>
    </row>
    <row r="9" spans="1:10" x14ac:dyDescent="0.25">
      <c r="A9" s="4">
        <f t="shared" ca="1" si="0"/>
        <v>6</v>
      </c>
      <c r="B9" s="4" t="s">
        <v>143</v>
      </c>
      <c r="C9" s="4" t="s">
        <v>144</v>
      </c>
      <c r="D9" s="4" t="s">
        <v>132</v>
      </c>
      <c r="E9" s="4" t="s">
        <v>142</v>
      </c>
      <c r="F9" s="4">
        <v>6301.35</v>
      </c>
      <c r="G9" s="5"/>
      <c r="H9" s="5"/>
      <c r="I9" s="5"/>
      <c r="J9" s="4" t="s">
        <v>134</v>
      </c>
    </row>
    <row r="10" spans="1:10" x14ac:dyDescent="0.25">
      <c r="A10" s="4">
        <f t="shared" ca="1" si="0"/>
        <v>7</v>
      </c>
      <c r="B10" s="4" t="s">
        <v>145</v>
      </c>
      <c r="C10" s="4" t="s">
        <v>146</v>
      </c>
      <c r="D10" s="4" t="s">
        <v>127</v>
      </c>
      <c r="E10" s="4" t="s">
        <v>142</v>
      </c>
      <c r="F10" s="4">
        <v>0.93658399999999997</v>
      </c>
      <c r="G10" s="5">
        <v>96.229900000000001</v>
      </c>
      <c r="H10" s="5">
        <v>6.29</v>
      </c>
      <c r="I10" s="5">
        <v>7872</v>
      </c>
      <c r="J10" s="4" t="s">
        <v>129</v>
      </c>
    </row>
    <row r="11" spans="1:10" x14ac:dyDescent="0.25">
      <c r="A11" s="4">
        <f t="shared" ca="1" si="0"/>
        <v>8</v>
      </c>
      <c r="B11" s="4" t="s">
        <v>147</v>
      </c>
      <c r="C11" s="4" t="s">
        <v>148</v>
      </c>
      <c r="D11" s="4" t="s">
        <v>132</v>
      </c>
      <c r="E11" s="4" t="s">
        <v>142</v>
      </c>
      <c r="F11" s="4">
        <v>168.56</v>
      </c>
      <c r="G11" s="5"/>
      <c r="H11" s="5"/>
      <c r="I11" s="5"/>
      <c r="J11" s="4" t="s">
        <v>134</v>
      </c>
    </row>
    <row r="12" spans="1:10" x14ac:dyDescent="0.25">
      <c r="A12" s="4">
        <f t="shared" ca="1" si="0"/>
        <v>9</v>
      </c>
      <c r="B12" s="4" t="s">
        <v>149</v>
      </c>
      <c r="C12" s="4" t="s">
        <v>150</v>
      </c>
      <c r="D12" s="4" t="s">
        <v>132</v>
      </c>
      <c r="E12" s="4" t="s">
        <v>142</v>
      </c>
      <c r="F12" s="4">
        <v>5513.88</v>
      </c>
      <c r="G12" s="5"/>
      <c r="H12" s="5"/>
      <c r="I12" s="5"/>
      <c r="J12" s="4" t="s">
        <v>134</v>
      </c>
    </row>
    <row r="13" spans="1:10" x14ac:dyDescent="0.25">
      <c r="A13" s="4">
        <f t="shared" ca="1" si="0"/>
        <v>10</v>
      </c>
      <c r="B13" s="4" t="s">
        <v>151</v>
      </c>
      <c r="C13" s="4" t="s">
        <v>152</v>
      </c>
      <c r="D13" s="4" t="s">
        <v>132</v>
      </c>
      <c r="E13" s="4" t="s">
        <v>142</v>
      </c>
      <c r="F13" s="4">
        <v>6027187.5499999998</v>
      </c>
      <c r="G13" s="5"/>
      <c r="H13" s="5"/>
      <c r="I13" s="5"/>
      <c r="J13" s="4" t="s">
        <v>134</v>
      </c>
    </row>
    <row r="14" spans="1:10" x14ac:dyDescent="0.25">
      <c r="A14" s="4">
        <f t="shared" ca="1" si="0"/>
        <v>11</v>
      </c>
      <c r="B14" s="4" t="s">
        <v>153</v>
      </c>
      <c r="C14" s="4" t="s">
        <v>154</v>
      </c>
      <c r="D14" s="4" t="s">
        <v>132</v>
      </c>
      <c r="E14" s="4" t="s">
        <v>142</v>
      </c>
      <c r="F14" s="4">
        <v>133.17000000000002</v>
      </c>
      <c r="G14" s="5"/>
      <c r="H14" s="5"/>
      <c r="I14" s="5"/>
      <c r="J14" s="4" t="s">
        <v>134</v>
      </c>
    </row>
    <row r="15" spans="1:10" x14ac:dyDescent="0.25">
      <c r="A15" s="4">
        <f t="shared" ca="1" si="0"/>
        <v>12</v>
      </c>
      <c r="B15" s="4" t="s">
        <v>155</v>
      </c>
      <c r="C15" s="4" t="s">
        <v>156</v>
      </c>
      <c r="D15" s="4" t="s">
        <v>132</v>
      </c>
      <c r="E15" s="4" t="s">
        <v>142</v>
      </c>
      <c r="F15" s="4">
        <v>1774924.56</v>
      </c>
      <c r="G15" s="5"/>
      <c r="H15" s="5"/>
      <c r="I15" s="5"/>
      <c r="J15" s="4" t="s">
        <v>134</v>
      </c>
    </row>
    <row r="16" spans="1:10" x14ac:dyDescent="0.25">
      <c r="A16" s="4">
        <f t="shared" ca="1" si="0"/>
        <v>13</v>
      </c>
      <c r="B16" s="4" t="s">
        <v>157</v>
      </c>
      <c r="C16" s="4" t="s">
        <v>158</v>
      </c>
      <c r="D16" s="4" t="s">
        <v>132</v>
      </c>
      <c r="E16" s="4" t="s">
        <v>142</v>
      </c>
      <c r="F16" s="4">
        <v>74915.37</v>
      </c>
      <c r="G16" s="5"/>
      <c r="H16" s="5"/>
      <c r="I16" s="5"/>
      <c r="J16" s="4" t="s">
        <v>134</v>
      </c>
    </row>
    <row r="17" spans="1:10" x14ac:dyDescent="0.25">
      <c r="A17" s="4">
        <f t="shared" ca="1" si="0"/>
        <v>14</v>
      </c>
      <c r="B17" s="4" t="s">
        <v>159</v>
      </c>
      <c r="C17" s="4" t="s">
        <v>160</v>
      </c>
      <c r="D17" s="4" t="s">
        <v>132</v>
      </c>
      <c r="E17" s="4" t="s">
        <v>142</v>
      </c>
      <c r="F17" s="4">
        <v>75818.540000000008</v>
      </c>
      <c r="G17" s="5"/>
      <c r="H17" s="5"/>
      <c r="I17" s="5"/>
      <c r="J17" s="4" t="s">
        <v>134</v>
      </c>
    </row>
    <row r="18" spans="1:10" x14ac:dyDescent="0.25">
      <c r="A18" s="4">
        <f t="shared" ca="1" si="0"/>
        <v>15</v>
      </c>
      <c r="B18" s="4" t="s">
        <v>161</v>
      </c>
      <c r="C18" s="4" t="s">
        <v>162</v>
      </c>
      <c r="D18" s="4" t="s">
        <v>132</v>
      </c>
      <c r="E18" s="4" t="s">
        <v>142</v>
      </c>
      <c r="F18" s="4">
        <v>54146.83</v>
      </c>
      <c r="G18" s="5"/>
      <c r="H18" s="5"/>
      <c r="I18" s="5"/>
      <c r="J18" s="4" t="s">
        <v>134</v>
      </c>
    </row>
    <row r="19" spans="1:10" x14ac:dyDescent="0.25">
      <c r="A19" s="4">
        <f t="shared" ca="1" si="0"/>
        <v>16</v>
      </c>
      <c r="B19" s="4" t="s">
        <v>163</v>
      </c>
      <c r="C19" s="4" t="s">
        <v>164</v>
      </c>
      <c r="D19" s="4" t="s">
        <v>132</v>
      </c>
      <c r="E19" s="4" t="s">
        <v>142</v>
      </c>
      <c r="F19" s="4">
        <v>7.17</v>
      </c>
      <c r="G19" s="5"/>
      <c r="H19" s="5"/>
      <c r="I19" s="5"/>
      <c r="J19" s="4" t="s">
        <v>134</v>
      </c>
    </row>
    <row r="20" spans="1:10" x14ac:dyDescent="0.25">
      <c r="A20" s="4">
        <f t="shared" ca="1" si="0"/>
        <v>17</v>
      </c>
      <c r="B20" s="4" t="s">
        <v>165</v>
      </c>
      <c r="C20" s="4" t="s">
        <v>166</v>
      </c>
      <c r="D20" s="4" t="s">
        <v>127</v>
      </c>
      <c r="E20" s="4" t="s">
        <v>142</v>
      </c>
      <c r="F20" s="4">
        <v>1000</v>
      </c>
      <c r="G20" s="5">
        <v>106.4192</v>
      </c>
      <c r="H20" s="5">
        <v>17.48</v>
      </c>
      <c r="I20" s="5">
        <v>1146</v>
      </c>
      <c r="J20" s="4" t="s">
        <v>129</v>
      </c>
    </row>
    <row r="21" spans="1:10" x14ac:dyDescent="0.25">
      <c r="A21" s="4">
        <f t="shared" ca="1" si="0"/>
        <v>18</v>
      </c>
      <c r="B21" s="4" t="s">
        <v>167</v>
      </c>
      <c r="C21" s="4" t="s">
        <v>168</v>
      </c>
      <c r="D21" s="4" t="s">
        <v>127</v>
      </c>
      <c r="E21" s="4" t="s">
        <v>142</v>
      </c>
      <c r="F21" s="4">
        <v>1001.215</v>
      </c>
      <c r="G21" s="5">
        <v>101.15350000000001</v>
      </c>
      <c r="H21" s="5">
        <v>22.17</v>
      </c>
      <c r="I21" s="5">
        <v>46</v>
      </c>
      <c r="J21" s="4" t="s">
        <v>129</v>
      </c>
    </row>
    <row r="22" spans="1:10" x14ac:dyDescent="0.25">
      <c r="A22" s="4">
        <f t="shared" ca="1" si="0"/>
        <v>19</v>
      </c>
      <c r="B22" s="4" t="s">
        <v>169</v>
      </c>
      <c r="C22" s="4" t="s">
        <v>170</v>
      </c>
      <c r="D22" s="4" t="s">
        <v>127</v>
      </c>
      <c r="E22" s="4" t="s">
        <v>142</v>
      </c>
      <c r="F22" s="4">
        <v>1000</v>
      </c>
      <c r="G22" s="5">
        <v>107.98050000000001</v>
      </c>
      <c r="H22" s="5">
        <v>17.29</v>
      </c>
      <c r="I22" s="5">
        <v>745</v>
      </c>
      <c r="J22" s="4" t="s">
        <v>129</v>
      </c>
    </row>
    <row r="23" spans="1:10" x14ac:dyDescent="0.25">
      <c r="A23" s="4">
        <f t="shared" ca="1" si="0"/>
        <v>20</v>
      </c>
      <c r="B23" s="4" t="s">
        <v>171</v>
      </c>
      <c r="C23" s="4" t="s">
        <v>172</v>
      </c>
      <c r="D23" s="4" t="s">
        <v>127</v>
      </c>
      <c r="E23" s="4" t="s">
        <v>142</v>
      </c>
      <c r="F23" s="4">
        <v>1000</v>
      </c>
      <c r="G23" s="5">
        <v>103.7873</v>
      </c>
      <c r="H23" s="5">
        <v>17.68</v>
      </c>
      <c r="I23" s="5">
        <v>1932</v>
      </c>
      <c r="J23" s="4" t="s">
        <v>129</v>
      </c>
    </row>
    <row r="24" spans="1:10" x14ac:dyDescent="0.25">
      <c r="A24" s="4">
        <f t="shared" ca="1" si="0"/>
        <v>21</v>
      </c>
      <c r="B24" s="4" t="s">
        <v>173</v>
      </c>
      <c r="C24" s="4" t="s">
        <v>174</v>
      </c>
      <c r="D24" s="4" t="s">
        <v>127</v>
      </c>
      <c r="E24" s="4" t="s">
        <v>142</v>
      </c>
      <c r="F24" s="4">
        <v>999.70600000000002</v>
      </c>
      <c r="G24" s="5">
        <v>103.97200000000001</v>
      </c>
      <c r="H24" s="5">
        <v>21.51</v>
      </c>
      <c r="I24" s="5">
        <v>116</v>
      </c>
      <c r="J24" s="4" t="s">
        <v>129</v>
      </c>
    </row>
    <row r="25" spans="1:10" x14ac:dyDescent="0.25">
      <c r="A25" s="4">
        <f t="shared" ca="1" si="0"/>
        <v>22</v>
      </c>
      <c r="B25" s="4" t="s">
        <v>175</v>
      </c>
      <c r="C25" s="4" t="s">
        <v>176</v>
      </c>
      <c r="D25" s="4" t="s">
        <v>127</v>
      </c>
      <c r="E25" s="4" t="s">
        <v>142</v>
      </c>
      <c r="F25" s="4">
        <v>1000</v>
      </c>
      <c r="G25" s="5">
        <v>101.32050000000001</v>
      </c>
      <c r="H25" s="5">
        <v>17.59</v>
      </c>
      <c r="I25" s="5">
        <v>1616</v>
      </c>
      <c r="J25" s="4" t="s">
        <v>129</v>
      </c>
    </row>
    <row r="26" spans="1:10" x14ac:dyDescent="0.25">
      <c r="A26" s="4">
        <f t="shared" ca="1" si="0"/>
        <v>23</v>
      </c>
      <c r="B26" s="4" t="s">
        <v>177</v>
      </c>
      <c r="C26" s="4" t="s">
        <v>178</v>
      </c>
      <c r="D26" s="4" t="s">
        <v>132</v>
      </c>
      <c r="E26" s="4" t="s">
        <v>142</v>
      </c>
      <c r="F26" s="4">
        <v>1486.31</v>
      </c>
      <c r="G26" s="5"/>
      <c r="H26" s="5"/>
      <c r="I26" s="5"/>
      <c r="J26" s="4" t="s">
        <v>134</v>
      </c>
    </row>
    <row r="27" spans="1:10" x14ac:dyDescent="0.25">
      <c r="A27" s="4">
        <f t="shared" ca="1" si="0"/>
        <v>24</v>
      </c>
      <c r="B27" s="4" t="s">
        <v>179</v>
      </c>
      <c r="C27" s="4" t="s">
        <v>180</v>
      </c>
      <c r="D27" s="4" t="s">
        <v>127</v>
      </c>
      <c r="E27" s="4" t="s">
        <v>142</v>
      </c>
      <c r="F27" s="4">
        <v>991.1</v>
      </c>
      <c r="G27" s="5">
        <v>100.45440000000001</v>
      </c>
      <c r="H27" s="5">
        <v>22.59</v>
      </c>
      <c r="I27" s="5">
        <v>678</v>
      </c>
      <c r="J27" s="4" t="s">
        <v>129</v>
      </c>
    </row>
    <row r="28" spans="1:10" x14ac:dyDescent="0.25">
      <c r="A28" s="4">
        <f t="shared" ca="1" si="0"/>
        <v>25</v>
      </c>
      <c r="B28" s="4" t="s">
        <v>181</v>
      </c>
      <c r="C28" s="4" t="s">
        <v>182</v>
      </c>
      <c r="D28" s="4" t="s">
        <v>127</v>
      </c>
      <c r="E28" s="4" t="s">
        <v>142</v>
      </c>
      <c r="F28" s="4">
        <v>99.999000000000009</v>
      </c>
      <c r="G28" s="5">
        <v>100.30460000000001</v>
      </c>
      <c r="H28" s="5">
        <v>11</v>
      </c>
      <c r="I28" s="5">
        <v>690</v>
      </c>
      <c r="J28" s="4" t="s">
        <v>129</v>
      </c>
    </row>
    <row r="29" spans="1:10" x14ac:dyDescent="0.25">
      <c r="A29" s="4">
        <f t="shared" ca="1" si="0"/>
        <v>26</v>
      </c>
      <c r="B29" s="4" t="s">
        <v>183</v>
      </c>
      <c r="C29" s="4" t="s">
        <v>184</v>
      </c>
      <c r="D29" s="4" t="s">
        <v>127</v>
      </c>
      <c r="E29" s="4" t="s">
        <v>142</v>
      </c>
      <c r="F29" s="4">
        <v>995.18200000000002</v>
      </c>
      <c r="G29" s="5">
        <v>100.3738</v>
      </c>
      <c r="H29" s="5">
        <v>22.35</v>
      </c>
      <c r="I29" s="5">
        <v>594</v>
      </c>
      <c r="J29" s="4" t="s">
        <v>129</v>
      </c>
    </row>
    <row r="30" spans="1:10" x14ac:dyDescent="0.25">
      <c r="A30" s="4">
        <f t="shared" ca="1" si="0"/>
        <v>27</v>
      </c>
      <c r="B30" s="4" t="s">
        <v>185</v>
      </c>
      <c r="C30" s="4" t="s">
        <v>186</v>
      </c>
      <c r="D30" s="4" t="s">
        <v>127</v>
      </c>
      <c r="E30" s="4" t="s">
        <v>142</v>
      </c>
      <c r="F30" s="4">
        <v>91.579000000000008</v>
      </c>
      <c r="G30" s="5">
        <v>92.045700000000011</v>
      </c>
      <c r="H30" s="5">
        <v>18.010000000000002</v>
      </c>
      <c r="I30" s="5">
        <v>594</v>
      </c>
      <c r="J30" s="4" t="s">
        <v>129</v>
      </c>
    </row>
    <row r="31" spans="1:10" x14ac:dyDescent="0.25">
      <c r="A31" s="4">
        <f t="shared" ca="1" si="0"/>
        <v>28</v>
      </c>
      <c r="B31" s="4" t="s">
        <v>187</v>
      </c>
      <c r="C31" s="4" t="s">
        <v>188</v>
      </c>
      <c r="D31" s="4" t="s">
        <v>127</v>
      </c>
      <c r="E31" s="4" t="s">
        <v>142</v>
      </c>
      <c r="F31" s="4">
        <v>808.23</v>
      </c>
      <c r="G31" s="5">
        <v>80.823000000000008</v>
      </c>
      <c r="H31" s="5">
        <v>43.52</v>
      </c>
      <c r="I31" s="5">
        <v>396</v>
      </c>
      <c r="J31" s="4" t="s">
        <v>129</v>
      </c>
    </row>
    <row r="32" spans="1:10" x14ac:dyDescent="0.25">
      <c r="A32" s="4">
        <f t="shared" ca="1" si="0"/>
        <v>29</v>
      </c>
      <c r="B32" s="4" t="s">
        <v>189</v>
      </c>
      <c r="C32" s="4" t="s">
        <v>190</v>
      </c>
      <c r="D32" s="4" t="s">
        <v>127</v>
      </c>
      <c r="E32" s="4" t="s">
        <v>142</v>
      </c>
      <c r="F32" s="4">
        <v>1004.037</v>
      </c>
      <c r="G32" s="5">
        <v>101.00700000000001</v>
      </c>
      <c r="H32" s="5">
        <v>21.52</v>
      </c>
      <c r="I32" s="5">
        <v>995</v>
      </c>
      <c r="J32" s="4" t="s">
        <v>129</v>
      </c>
    </row>
    <row r="33" spans="1:10" x14ac:dyDescent="0.25">
      <c r="A33" s="4">
        <f t="shared" ca="1" si="0"/>
        <v>30</v>
      </c>
      <c r="B33" s="4" t="s">
        <v>191</v>
      </c>
      <c r="C33" s="4" t="s">
        <v>192</v>
      </c>
      <c r="D33" s="4" t="s">
        <v>127</v>
      </c>
      <c r="E33" s="4" t="s">
        <v>142</v>
      </c>
      <c r="F33" s="4">
        <v>785.60900000000004</v>
      </c>
      <c r="G33" s="5">
        <v>80.088700000000003</v>
      </c>
      <c r="H33" s="5">
        <v>39</v>
      </c>
      <c r="I33" s="5">
        <v>644</v>
      </c>
      <c r="J33" s="4" t="s">
        <v>129</v>
      </c>
    </row>
    <row r="34" spans="1:10" x14ac:dyDescent="0.25">
      <c r="A34" s="4">
        <f t="shared" ca="1" si="0"/>
        <v>31</v>
      </c>
      <c r="B34" s="4" t="s">
        <v>193</v>
      </c>
      <c r="C34" s="4" t="s">
        <v>194</v>
      </c>
      <c r="D34" s="4" t="s">
        <v>127</v>
      </c>
      <c r="E34" s="4" t="s">
        <v>142</v>
      </c>
      <c r="F34" s="4">
        <v>963.625</v>
      </c>
      <c r="G34" s="5">
        <v>96.837500000000006</v>
      </c>
      <c r="H34" s="5">
        <v>22.9</v>
      </c>
      <c r="I34" s="5">
        <v>387</v>
      </c>
      <c r="J34" s="4" t="s">
        <v>129</v>
      </c>
    </row>
    <row r="35" spans="1:10" x14ac:dyDescent="0.25">
      <c r="A35" s="4">
        <f t="shared" ca="1" si="0"/>
        <v>32</v>
      </c>
      <c r="B35" s="4" t="s">
        <v>195</v>
      </c>
      <c r="C35" s="4" t="s">
        <v>196</v>
      </c>
      <c r="D35" s="4" t="s">
        <v>127</v>
      </c>
      <c r="E35" s="4" t="s">
        <v>142</v>
      </c>
      <c r="F35" s="4">
        <v>966.17</v>
      </c>
      <c r="G35" s="5">
        <v>96.7226</v>
      </c>
      <c r="H35" s="5">
        <v>20.85</v>
      </c>
      <c r="I35" s="5">
        <v>851</v>
      </c>
      <c r="J35" s="4" t="s">
        <v>129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197</v>
      </c>
      <c r="C36" s="4" t="s">
        <v>198</v>
      </c>
      <c r="D36" s="4" t="s">
        <v>127</v>
      </c>
      <c r="E36" s="4" t="s">
        <v>142</v>
      </c>
      <c r="F36" s="4">
        <v>775.99099999999999</v>
      </c>
      <c r="G36" s="5">
        <v>78.240800000000007</v>
      </c>
      <c r="H36" s="5">
        <v>616.94000000000005</v>
      </c>
      <c r="I36" s="5">
        <v>20</v>
      </c>
      <c r="J36" s="4" t="s">
        <v>129</v>
      </c>
    </row>
    <row r="37" spans="1:10" x14ac:dyDescent="0.25">
      <c r="A37" s="4">
        <f t="shared" ca="1" si="1"/>
        <v>34</v>
      </c>
      <c r="B37" s="4" t="s">
        <v>199</v>
      </c>
      <c r="C37" s="4" t="s">
        <v>200</v>
      </c>
      <c r="D37" s="4" t="s">
        <v>127</v>
      </c>
      <c r="E37" s="4" t="s">
        <v>142</v>
      </c>
      <c r="F37" s="4">
        <v>996.23200000000008</v>
      </c>
      <c r="G37" s="5">
        <v>100.67320000000001</v>
      </c>
      <c r="H37" s="5">
        <v>21.2</v>
      </c>
      <c r="I37" s="5">
        <v>895</v>
      </c>
      <c r="J37" s="4" t="s">
        <v>129</v>
      </c>
    </row>
    <row r="38" spans="1:10" x14ac:dyDescent="0.25">
      <c r="A38" s="4">
        <f t="shared" ca="1" si="1"/>
        <v>35</v>
      </c>
      <c r="B38" s="4" t="s">
        <v>201</v>
      </c>
      <c r="C38" s="4" t="s">
        <v>202</v>
      </c>
      <c r="D38" s="4" t="s">
        <v>127</v>
      </c>
      <c r="E38" s="4" t="s">
        <v>142</v>
      </c>
      <c r="F38" s="4">
        <v>1004.6210000000001</v>
      </c>
      <c r="G38" s="5">
        <v>107.0163</v>
      </c>
      <c r="H38" s="5">
        <v>19.09</v>
      </c>
      <c r="I38" s="5">
        <v>607</v>
      </c>
      <c r="J38" s="4" t="s">
        <v>129</v>
      </c>
    </row>
    <row r="39" spans="1:10" x14ac:dyDescent="0.25">
      <c r="A39" s="4">
        <f t="shared" ca="1" si="1"/>
        <v>36</v>
      </c>
      <c r="B39" s="4" t="s">
        <v>203</v>
      </c>
      <c r="C39" s="4" t="s">
        <v>204</v>
      </c>
      <c r="D39" s="4" t="s">
        <v>127</v>
      </c>
      <c r="E39" s="4" t="s">
        <v>142</v>
      </c>
      <c r="F39" s="4">
        <v>98.655799999999999</v>
      </c>
      <c r="G39" s="5">
        <v>98.989100000000008</v>
      </c>
      <c r="H39" s="5">
        <v>11</v>
      </c>
      <c r="I39" s="5">
        <v>535</v>
      </c>
      <c r="J39" s="4" t="s">
        <v>129</v>
      </c>
    </row>
    <row r="40" spans="1:10" x14ac:dyDescent="0.25">
      <c r="A40" s="4">
        <f t="shared" ca="1" si="1"/>
        <v>37</v>
      </c>
      <c r="B40" s="4" t="s">
        <v>205</v>
      </c>
      <c r="C40" s="4" t="s">
        <v>206</v>
      </c>
      <c r="D40" s="4" t="s">
        <v>127</v>
      </c>
      <c r="E40" s="4" t="s">
        <v>142</v>
      </c>
      <c r="F40" s="4">
        <v>1000</v>
      </c>
      <c r="G40" s="5">
        <v>102.861</v>
      </c>
      <c r="H40" s="5">
        <v>16.809999999999999</v>
      </c>
      <c r="I40" s="5">
        <v>1400</v>
      </c>
      <c r="J40" s="4" t="s">
        <v>129</v>
      </c>
    </row>
    <row r="41" spans="1:10" x14ac:dyDescent="0.25">
      <c r="A41" s="4">
        <f t="shared" ca="1" si="1"/>
        <v>38</v>
      </c>
      <c r="B41" s="4" t="s">
        <v>207</v>
      </c>
      <c r="C41" s="4" t="s">
        <v>208</v>
      </c>
      <c r="D41" s="4" t="s">
        <v>127</v>
      </c>
      <c r="E41" s="4" t="s">
        <v>142</v>
      </c>
      <c r="F41" s="4">
        <v>998.69800000000009</v>
      </c>
      <c r="G41" s="5">
        <v>100.8069</v>
      </c>
      <c r="H41" s="5">
        <v>22.57</v>
      </c>
      <c r="I41" s="5">
        <v>685</v>
      </c>
      <c r="J41" s="4" t="s">
        <v>129</v>
      </c>
    </row>
    <row r="42" spans="1:10" x14ac:dyDescent="0.25">
      <c r="A42" s="4">
        <f t="shared" ca="1" si="1"/>
        <v>39</v>
      </c>
      <c r="B42" s="4" t="s">
        <v>209</v>
      </c>
      <c r="C42" s="4" t="s">
        <v>210</v>
      </c>
      <c r="D42" s="4" t="s">
        <v>127</v>
      </c>
      <c r="E42" s="4" t="s">
        <v>142</v>
      </c>
      <c r="F42" s="4">
        <v>998.93600000000004</v>
      </c>
      <c r="G42" s="5">
        <v>100.11580000000001</v>
      </c>
      <c r="H42" s="5">
        <v>20.2</v>
      </c>
      <c r="I42" s="5">
        <v>209</v>
      </c>
      <c r="J42" s="4" t="s">
        <v>129</v>
      </c>
    </row>
    <row r="43" spans="1:10" x14ac:dyDescent="0.25">
      <c r="A43" s="4">
        <f t="shared" ca="1" si="1"/>
        <v>40</v>
      </c>
      <c r="B43" s="4" t="s">
        <v>211</v>
      </c>
      <c r="C43" s="4" t="s">
        <v>212</v>
      </c>
      <c r="D43" s="4" t="s">
        <v>127</v>
      </c>
      <c r="E43" s="4" t="s">
        <v>142</v>
      </c>
      <c r="F43" s="4">
        <v>100.17970000000001</v>
      </c>
      <c r="G43" s="5">
        <v>100.47970000000001</v>
      </c>
      <c r="H43" s="5">
        <v>11.53</v>
      </c>
      <c r="I43" s="5">
        <v>145</v>
      </c>
      <c r="J43" s="4" t="s">
        <v>129</v>
      </c>
    </row>
    <row r="44" spans="1:10" x14ac:dyDescent="0.25">
      <c r="A44" s="4">
        <f t="shared" ca="1" si="1"/>
        <v>41</v>
      </c>
      <c r="B44" s="4" t="s">
        <v>213</v>
      </c>
      <c r="C44" s="4" t="s">
        <v>214</v>
      </c>
      <c r="D44" s="4" t="s">
        <v>127</v>
      </c>
      <c r="E44" s="4" t="s">
        <v>142</v>
      </c>
      <c r="F44" s="4">
        <v>1010.1560000000001</v>
      </c>
      <c r="G44" s="5">
        <v>101.01560000000001</v>
      </c>
      <c r="H44" s="5">
        <v>21.97</v>
      </c>
      <c r="I44" s="5">
        <v>914</v>
      </c>
      <c r="J44" s="4" t="s">
        <v>129</v>
      </c>
    </row>
    <row r="45" spans="1:10" x14ac:dyDescent="0.25">
      <c r="A45" s="4">
        <f t="shared" ca="1" si="1"/>
        <v>42</v>
      </c>
      <c r="B45" s="4" t="s">
        <v>215</v>
      </c>
      <c r="C45" s="4" t="s">
        <v>216</v>
      </c>
      <c r="D45" s="4" t="s">
        <v>127</v>
      </c>
      <c r="E45" s="4" t="s">
        <v>142</v>
      </c>
      <c r="F45" s="4">
        <v>778.28</v>
      </c>
      <c r="G45" s="5">
        <v>77.944699999999997</v>
      </c>
      <c r="H45" s="5">
        <v>34.35</v>
      </c>
      <c r="I45" s="5">
        <v>911</v>
      </c>
      <c r="J45" s="4" t="s">
        <v>129</v>
      </c>
    </row>
    <row r="46" spans="1:10" x14ac:dyDescent="0.25">
      <c r="A46" s="4">
        <f t="shared" ca="1" si="1"/>
        <v>43</v>
      </c>
      <c r="B46" s="4" t="s">
        <v>217</v>
      </c>
      <c r="C46" s="4" t="s">
        <v>218</v>
      </c>
      <c r="D46" s="4" t="s">
        <v>127</v>
      </c>
      <c r="E46" s="4" t="s">
        <v>142</v>
      </c>
      <c r="F46" s="4">
        <v>1000</v>
      </c>
      <c r="G46" s="5">
        <v>100.4889</v>
      </c>
      <c r="H46" s="5">
        <v>22</v>
      </c>
      <c r="I46" s="5">
        <v>661</v>
      </c>
      <c r="J46" s="4" t="s">
        <v>129</v>
      </c>
    </row>
    <row r="47" spans="1:10" x14ac:dyDescent="0.25">
      <c r="A47" s="4">
        <f t="shared" ca="1" si="1"/>
        <v>44</v>
      </c>
      <c r="B47" s="4" t="s">
        <v>219</v>
      </c>
      <c r="C47" s="4" t="s">
        <v>220</v>
      </c>
      <c r="D47" s="4" t="s">
        <v>127</v>
      </c>
      <c r="E47" s="4" t="s">
        <v>142</v>
      </c>
      <c r="F47" s="4">
        <v>992.16600000000005</v>
      </c>
      <c r="G47" s="5">
        <v>100.86660000000001</v>
      </c>
      <c r="H47" s="5">
        <v>22.5</v>
      </c>
      <c r="I47" s="5">
        <v>704</v>
      </c>
      <c r="J47" s="4" t="s">
        <v>129</v>
      </c>
    </row>
    <row r="48" spans="1:10" x14ac:dyDescent="0.25">
      <c r="A48" s="4">
        <f t="shared" ca="1" si="1"/>
        <v>45</v>
      </c>
      <c r="B48" s="4" t="s">
        <v>221</v>
      </c>
      <c r="C48" s="4" t="s">
        <v>222</v>
      </c>
      <c r="D48" s="4" t="s">
        <v>127</v>
      </c>
      <c r="E48" s="4" t="s">
        <v>142</v>
      </c>
      <c r="F48" s="4">
        <v>999.99</v>
      </c>
      <c r="G48" s="5">
        <v>101.1601</v>
      </c>
      <c r="H48" s="5">
        <v>22</v>
      </c>
      <c r="I48" s="5">
        <v>681</v>
      </c>
      <c r="J48" s="4" t="s">
        <v>129</v>
      </c>
    </row>
    <row r="49" spans="1:10" x14ac:dyDescent="0.25">
      <c r="A49" s="4">
        <f t="shared" ca="1" si="1"/>
        <v>46</v>
      </c>
      <c r="B49" s="4" t="s">
        <v>223</v>
      </c>
      <c r="C49" s="4" t="s">
        <v>224</v>
      </c>
      <c r="D49" s="4" t="s">
        <v>127</v>
      </c>
      <c r="E49" s="4" t="s">
        <v>142</v>
      </c>
      <c r="F49" s="4">
        <v>99.999000000000009</v>
      </c>
      <c r="G49" s="5">
        <v>100.899</v>
      </c>
      <c r="H49" s="5">
        <v>12</v>
      </c>
      <c r="I49" s="5">
        <v>642</v>
      </c>
      <c r="J49" s="4" t="s">
        <v>129</v>
      </c>
    </row>
    <row r="50" spans="1:10" x14ac:dyDescent="0.25">
      <c r="A50" s="4">
        <f t="shared" ca="1" si="1"/>
        <v>47</v>
      </c>
      <c r="B50" s="4" t="s">
        <v>225</v>
      </c>
      <c r="C50" s="4" t="s">
        <v>226</v>
      </c>
      <c r="D50" s="4" t="s">
        <v>127</v>
      </c>
      <c r="E50" s="4" t="s">
        <v>142</v>
      </c>
      <c r="F50" s="4">
        <v>77.00500000000001</v>
      </c>
      <c r="G50" s="5">
        <v>78.605000000000004</v>
      </c>
      <c r="H50" s="5">
        <v>38.21</v>
      </c>
      <c r="I50" s="5">
        <v>409</v>
      </c>
      <c r="J50" s="4" t="s">
        <v>129</v>
      </c>
    </row>
    <row r="51" spans="1:10" x14ac:dyDescent="0.25">
      <c r="A51" s="4">
        <f t="shared" ca="1" si="1"/>
        <v>48</v>
      </c>
      <c r="B51" s="4" t="s">
        <v>227</v>
      </c>
      <c r="C51" s="4" t="s">
        <v>228</v>
      </c>
      <c r="D51" s="4" t="s">
        <v>127</v>
      </c>
      <c r="E51" s="4" t="s">
        <v>142</v>
      </c>
      <c r="F51" s="4">
        <v>979.29</v>
      </c>
      <c r="G51" s="5">
        <v>98.162300000000002</v>
      </c>
      <c r="H51" s="5">
        <v>22.01</v>
      </c>
      <c r="I51" s="5">
        <v>1001</v>
      </c>
      <c r="J51" s="4" t="s">
        <v>129</v>
      </c>
    </row>
    <row r="52" spans="1:10" x14ac:dyDescent="0.25">
      <c r="A52" s="4">
        <f t="shared" ca="1" si="1"/>
        <v>49</v>
      </c>
      <c r="B52" s="4" t="s">
        <v>229</v>
      </c>
      <c r="C52" s="4" t="s">
        <v>230</v>
      </c>
      <c r="D52" s="4" t="s">
        <v>132</v>
      </c>
      <c r="E52" s="4" t="s">
        <v>231</v>
      </c>
      <c r="F52" s="4">
        <v>39602.68</v>
      </c>
      <c r="G52" s="5"/>
      <c r="H52" s="5"/>
      <c r="I52" s="5"/>
      <c r="J52" s="4" t="s">
        <v>134</v>
      </c>
    </row>
    <row r="53" spans="1:10" x14ac:dyDescent="0.25">
      <c r="A53" s="4">
        <f t="shared" ca="1" si="1"/>
        <v>50</v>
      </c>
      <c r="B53" s="4" t="s">
        <v>232</v>
      </c>
      <c r="C53" s="4" t="s">
        <v>233</v>
      </c>
      <c r="D53" s="4" t="s">
        <v>132</v>
      </c>
      <c r="E53" s="4" t="s">
        <v>231</v>
      </c>
      <c r="F53" s="4">
        <v>32542.74</v>
      </c>
      <c r="G53" s="5"/>
      <c r="H53" s="5"/>
      <c r="I53" s="5"/>
      <c r="J53" s="4" t="s">
        <v>134</v>
      </c>
    </row>
    <row r="54" spans="1:10" x14ac:dyDescent="0.25">
      <c r="A54" s="4">
        <f t="shared" ca="1" si="1"/>
        <v>51</v>
      </c>
      <c r="B54" s="4" t="s">
        <v>234</v>
      </c>
      <c r="C54" s="4" t="s">
        <v>235</v>
      </c>
      <c r="D54" s="4" t="s">
        <v>127</v>
      </c>
      <c r="E54" s="4" t="s">
        <v>236</v>
      </c>
      <c r="F54" s="4">
        <v>26668.2</v>
      </c>
      <c r="G54" s="5">
        <v>2666.8209999999999</v>
      </c>
      <c r="H54" s="5"/>
      <c r="I54" s="5">
        <v>178</v>
      </c>
      <c r="J54" s="4" t="s">
        <v>129</v>
      </c>
    </row>
    <row r="55" spans="1:10" x14ac:dyDescent="0.25">
      <c r="A55" s="4">
        <f t="shared" ca="1" si="1"/>
        <v>52</v>
      </c>
      <c r="B55" s="4" t="s">
        <v>237</v>
      </c>
      <c r="C55" s="4" t="s">
        <v>238</v>
      </c>
      <c r="D55" s="4" t="s">
        <v>132</v>
      </c>
      <c r="E55" s="4" t="s">
        <v>239</v>
      </c>
      <c r="F55" s="4">
        <v>21765.89</v>
      </c>
      <c r="G55" s="5"/>
      <c r="H55" s="5"/>
      <c r="I55" s="5"/>
      <c r="J55" s="4" t="s">
        <v>134</v>
      </c>
    </row>
    <row r="56" spans="1:10" x14ac:dyDescent="0.25">
      <c r="A56" s="4">
        <f t="shared" ca="1" si="1"/>
        <v>53</v>
      </c>
      <c r="B56" s="4" t="s">
        <v>240</v>
      </c>
      <c r="C56" s="4" t="s">
        <v>241</v>
      </c>
      <c r="D56" s="4" t="s">
        <v>127</v>
      </c>
      <c r="E56" s="4" t="s">
        <v>239</v>
      </c>
      <c r="F56" s="4">
        <v>976.57400000000007</v>
      </c>
      <c r="G56" s="5">
        <v>100.4199</v>
      </c>
      <c r="H56" s="5">
        <v>6.57</v>
      </c>
      <c r="I56" s="5">
        <v>8426</v>
      </c>
      <c r="J56" s="4" t="s">
        <v>129</v>
      </c>
    </row>
    <row r="57" spans="1:10" x14ac:dyDescent="0.25">
      <c r="A57" s="4">
        <f t="shared" ca="1" si="1"/>
        <v>54</v>
      </c>
      <c r="B57" s="4" t="s">
        <v>242</v>
      </c>
      <c r="C57" s="4" t="s">
        <v>243</v>
      </c>
      <c r="D57" s="4" t="s">
        <v>132</v>
      </c>
      <c r="E57" s="4" t="s">
        <v>244</v>
      </c>
      <c r="F57" s="4">
        <v>3303.45</v>
      </c>
      <c r="G57" s="5"/>
      <c r="H57" s="5"/>
      <c r="I57" s="5"/>
      <c r="J57" s="4" t="s">
        <v>134</v>
      </c>
    </row>
    <row r="58" spans="1:10" x14ac:dyDescent="0.25">
      <c r="A58" s="4">
        <f t="shared" ca="1" si="1"/>
        <v>55</v>
      </c>
      <c r="B58" s="4" t="s">
        <v>245</v>
      </c>
      <c r="C58" s="4" t="s">
        <v>246</v>
      </c>
      <c r="D58" s="4" t="s">
        <v>127</v>
      </c>
      <c r="E58" s="4" t="s">
        <v>247</v>
      </c>
      <c r="F58" s="4">
        <v>0.9688199999999999</v>
      </c>
      <c r="G58" s="5">
        <v>97.726399999999998</v>
      </c>
      <c r="H58" s="5">
        <v>5.01</v>
      </c>
      <c r="I58" s="5">
        <v>394</v>
      </c>
      <c r="J58" s="4" t="s">
        <v>129</v>
      </c>
    </row>
    <row r="59" spans="1:10" x14ac:dyDescent="0.25">
      <c r="A59" s="4">
        <f t="shared" ca="1" si="1"/>
        <v>56</v>
      </c>
      <c r="B59" s="4" t="s">
        <v>248</v>
      </c>
      <c r="C59" s="4" t="s">
        <v>249</v>
      </c>
      <c r="D59" s="4" t="s">
        <v>132</v>
      </c>
      <c r="E59" s="4" t="s">
        <v>250</v>
      </c>
      <c r="F59" s="4">
        <v>9489.5</v>
      </c>
      <c r="G59" s="5"/>
      <c r="H59" s="5"/>
      <c r="I59" s="5"/>
      <c r="J59" s="4" t="s">
        <v>134</v>
      </c>
    </row>
    <row r="60" spans="1:10" x14ac:dyDescent="0.25">
      <c r="A60" s="4">
        <f t="shared" ca="1" si="1"/>
        <v>57</v>
      </c>
      <c r="B60" s="4" t="s">
        <v>251</v>
      </c>
      <c r="C60" s="4" t="s">
        <v>252</v>
      </c>
      <c r="D60" s="4" t="s">
        <v>132</v>
      </c>
      <c r="E60" s="4" t="s">
        <v>250</v>
      </c>
      <c r="F60" s="4">
        <v>5218.59</v>
      </c>
      <c r="G60" s="5"/>
      <c r="H60" s="5"/>
      <c r="I60" s="5"/>
      <c r="J60" s="4" t="s">
        <v>134</v>
      </c>
    </row>
    <row r="61" spans="1:10" x14ac:dyDescent="0.25">
      <c r="A61" s="4">
        <f t="shared" ca="1" si="1"/>
        <v>58</v>
      </c>
      <c r="B61" s="4" t="s">
        <v>253</v>
      </c>
      <c r="C61" s="4" t="s">
        <v>254</v>
      </c>
      <c r="D61" s="4" t="s">
        <v>127</v>
      </c>
      <c r="E61" s="4" t="s">
        <v>255</v>
      </c>
      <c r="F61" s="4">
        <v>100.02370000000001</v>
      </c>
      <c r="G61" s="5">
        <v>100.1126</v>
      </c>
      <c r="H61" s="5">
        <v>7.99</v>
      </c>
      <c r="I61" s="5">
        <v>818</v>
      </c>
      <c r="J61" s="4" t="s">
        <v>129</v>
      </c>
    </row>
    <row r="62" spans="1:10" x14ac:dyDescent="0.25">
      <c r="A62" s="4">
        <f t="shared" ca="1" si="1"/>
        <v>59</v>
      </c>
      <c r="B62" s="4" t="s">
        <v>256</v>
      </c>
      <c r="C62" s="4" t="s">
        <v>257</v>
      </c>
      <c r="D62" s="4" t="s">
        <v>127</v>
      </c>
      <c r="E62" s="4" t="s">
        <v>66</v>
      </c>
      <c r="F62" s="4">
        <v>1000</v>
      </c>
      <c r="G62" s="5">
        <v>109.1815</v>
      </c>
      <c r="H62" s="5">
        <v>12.19</v>
      </c>
      <c r="I62" s="5">
        <v>1188</v>
      </c>
      <c r="J62" s="4" t="s">
        <v>129</v>
      </c>
    </row>
    <row r="63" spans="1:10" x14ac:dyDescent="0.25">
      <c r="A63" s="4">
        <f t="shared" ca="1" si="1"/>
        <v>60</v>
      </c>
      <c r="B63" s="4" t="s">
        <v>258</v>
      </c>
      <c r="C63" s="4" t="s">
        <v>259</v>
      </c>
      <c r="D63" s="4" t="s">
        <v>127</v>
      </c>
      <c r="E63" s="4" t="s">
        <v>66</v>
      </c>
      <c r="F63" s="4">
        <v>1000</v>
      </c>
      <c r="G63" s="5">
        <v>101.12220000000001</v>
      </c>
      <c r="H63" s="5">
        <v>12.22</v>
      </c>
      <c r="I63" s="5">
        <v>1428</v>
      </c>
      <c r="J63" s="4" t="s">
        <v>129</v>
      </c>
    </row>
    <row r="64" spans="1:10" x14ac:dyDescent="0.25">
      <c r="A64" s="4">
        <f t="shared" ca="1" si="1"/>
        <v>61</v>
      </c>
      <c r="B64" s="4" t="s">
        <v>260</v>
      </c>
      <c r="C64" s="4" t="s">
        <v>261</v>
      </c>
      <c r="D64" s="4" t="s">
        <v>127</v>
      </c>
      <c r="E64" s="4" t="s">
        <v>66</v>
      </c>
      <c r="F64" s="4">
        <v>999.15600000000006</v>
      </c>
      <c r="G64" s="5">
        <v>105.0227</v>
      </c>
      <c r="H64" s="5">
        <v>15.65</v>
      </c>
      <c r="I64" s="5">
        <v>4</v>
      </c>
      <c r="J64" s="4" t="s">
        <v>129</v>
      </c>
    </row>
    <row r="65" spans="1:10" x14ac:dyDescent="0.25">
      <c r="A65" s="4">
        <f t="shared" ca="1" si="1"/>
        <v>62</v>
      </c>
      <c r="B65" s="4" t="s">
        <v>262</v>
      </c>
      <c r="C65" s="4" t="s">
        <v>263</v>
      </c>
      <c r="D65" s="4" t="s">
        <v>127</v>
      </c>
      <c r="E65" s="4" t="s">
        <v>66</v>
      </c>
      <c r="F65" s="4">
        <v>1000</v>
      </c>
      <c r="G65" s="5">
        <v>104.14870000000001</v>
      </c>
      <c r="H65" s="5">
        <v>11.99</v>
      </c>
      <c r="I65" s="5">
        <v>241</v>
      </c>
      <c r="J65" s="4" t="s">
        <v>129</v>
      </c>
    </row>
    <row r="66" spans="1:10" x14ac:dyDescent="0.25">
      <c r="A66" s="4">
        <f t="shared" ca="1" si="1"/>
        <v>63</v>
      </c>
      <c r="B66" s="4" t="s">
        <v>264</v>
      </c>
      <c r="C66" s="4" t="s">
        <v>265</v>
      </c>
      <c r="D66" s="4" t="s">
        <v>127</v>
      </c>
      <c r="E66" s="4" t="s">
        <v>66</v>
      </c>
      <c r="F66" s="4">
        <v>1000</v>
      </c>
      <c r="G66" s="5">
        <v>102.0403</v>
      </c>
      <c r="H66" s="5">
        <v>12.11</v>
      </c>
      <c r="I66" s="5">
        <v>304</v>
      </c>
      <c r="J66" s="4" t="s">
        <v>129</v>
      </c>
    </row>
    <row r="67" spans="1:10" x14ac:dyDescent="0.25">
      <c r="A67" s="4">
        <f t="shared" ca="1" si="1"/>
        <v>64</v>
      </c>
      <c r="B67" s="4" t="s">
        <v>266</v>
      </c>
      <c r="C67" s="4" t="s">
        <v>267</v>
      </c>
      <c r="D67" s="4" t="s">
        <v>127</v>
      </c>
      <c r="E67" s="4" t="s">
        <v>66</v>
      </c>
      <c r="F67" s="4">
        <v>1000</v>
      </c>
      <c r="G67" s="5">
        <v>105.1348</v>
      </c>
      <c r="H67" s="5">
        <v>12.12</v>
      </c>
      <c r="I67" s="5">
        <v>577</v>
      </c>
      <c r="J67" s="4" t="s">
        <v>129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268</v>
      </c>
      <c r="C68" s="4" t="s">
        <v>269</v>
      </c>
      <c r="D68" s="4" t="s">
        <v>127</v>
      </c>
      <c r="E68" s="4" t="s">
        <v>66</v>
      </c>
      <c r="F68" s="4">
        <v>1000</v>
      </c>
      <c r="G68" s="5">
        <v>103.09450000000001</v>
      </c>
      <c r="H68" s="5">
        <v>12.15</v>
      </c>
      <c r="I68" s="5">
        <v>638</v>
      </c>
      <c r="J68" s="4" t="s">
        <v>129</v>
      </c>
    </row>
    <row r="69" spans="1:10" x14ac:dyDescent="0.25">
      <c r="A69" s="4">
        <f t="shared" ca="1" si="2"/>
        <v>66</v>
      </c>
      <c r="B69" s="4" t="s">
        <v>270</v>
      </c>
      <c r="C69" s="4" t="s">
        <v>271</v>
      </c>
      <c r="D69" s="4" t="s">
        <v>127</v>
      </c>
      <c r="E69" s="4" t="s">
        <v>66</v>
      </c>
      <c r="F69" s="4">
        <v>1000</v>
      </c>
      <c r="G69" s="5">
        <v>110.33770000000001</v>
      </c>
      <c r="H69" s="5">
        <v>12.19</v>
      </c>
      <c r="I69" s="5">
        <v>788</v>
      </c>
      <c r="J69" s="4" t="s">
        <v>129</v>
      </c>
    </row>
    <row r="70" spans="1:10" x14ac:dyDescent="0.25">
      <c r="A70" s="4">
        <f t="shared" ca="1" si="2"/>
        <v>67</v>
      </c>
      <c r="B70" s="4" t="s">
        <v>272</v>
      </c>
      <c r="C70" s="4" t="s">
        <v>273</v>
      </c>
      <c r="D70" s="4" t="s">
        <v>127</v>
      </c>
      <c r="E70" s="4" t="s">
        <v>66</v>
      </c>
      <c r="F70" s="4">
        <v>1000</v>
      </c>
      <c r="G70" s="5">
        <v>101.12220000000001</v>
      </c>
      <c r="H70" s="5">
        <v>12.22</v>
      </c>
      <c r="I70" s="5">
        <v>1063</v>
      </c>
      <c r="J70" s="4" t="s">
        <v>129</v>
      </c>
    </row>
    <row r="71" spans="1:10" x14ac:dyDescent="0.25">
      <c r="A71" s="4">
        <f t="shared" ca="1" si="2"/>
        <v>68</v>
      </c>
      <c r="B71" s="4" t="s">
        <v>274</v>
      </c>
      <c r="C71" s="4" t="s">
        <v>275</v>
      </c>
      <c r="D71" s="4" t="s">
        <v>127</v>
      </c>
      <c r="E71" s="4" t="s">
        <v>66</v>
      </c>
      <c r="F71" s="4">
        <v>1000</v>
      </c>
      <c r="G71" s="5">
        <v>111.25580000000001</v>
      </c>
      <c r="H71" s="5">
        <v>11.58</v>
      </c>
      <c r="I71" s="5">
        <v>30</v>
      </c>
      <c r="J71" s="4" t="s">
        <v>129</v>
      </c>
    </row>
    <row r="72" spans="1:10" x14ac:dyDescent="0.25">
      <c r="A72" s="4">
        <f t="shared" ca="1" si="2"/>
        <v>69</v>
      </c>
      <c r="B72" s="4" t="s">
        <v>276</v>
      </c>
      <c r="C72" s="4" t="s">
        <v>277</v>
      </c>
      <c r="D72" s="4" t="s">
        <v>127</v>
      </c>
      <c r="E72" s="4" t="s">
        <v>66</v>
      </c>
      <c r="F72" s="4">
        <v>1000</v>
      </c>
      <c r="G72" s="5">
        <v>108.22930000000001</v>
      </c>
      <c r="H72" s="5">
        <v>12.19</v>
      </c>
      <c r="I72" s="5">
        <v>1582</v>
      </c>
      <c r="J72" s="4" t="s">
        <v>129</v>
      </c>
    </row>
    <row r="73" spans="1:10" x14ac:dyDescent="0.25">
      <c r="A73" s="4">
        <f t="shared" ca="1" si="2"/>
        <v>70</v>
      </c>
      <c r="B73" s="4" t="s">
        <v>278</v>
      </c>
      <c r="C73" s="4" t="s">
        <v>279</v>
      </c>
      <c r="D73" s="4" t="s">
        <v>127</v>
      </c>
      <c r="E73" s="4" t="s">
        <v>66</v>
      </c>
      <c r="F73" s="4">
        <v>985.22700000000009</v>
      </c>
      <c r="G73" s="5">
        <v>102.88380000000001</v>
      </c>
      <c r="H73" s="5">
        <v>17.27</v>
      </c>
      <c r="I73" s="5">
        <v>48</v>
      </c>
      <c r="J73" s="4" t="s">
        <v>129</v>
      </c>
    </row>
    <row r="74" spans="1:10" x14ac:dyDescent="0.25">
      <c r="A74" s="4">
        <f t="shared" ca="1" si="2"/>
        <v>71</v>
      </c>
      <c r="B74" s="4" t="s">
        <v>280</v>
      </c>
      <c r="C74" s="4" t="s">
        <v>281</v>
      </c>
      <c r="D74" s="4" t="s">
        <v>127</v>
      </c>
      <c r="E74" s="4" t="s">
        <v>66</v>
      </c>
      <c r="F74" s="4">
        <v>882.005</v>
      </c>
      <c r="G74" s="5">
        <v>92.464399999999998</v>
      </c>
      <c r="H74" s="5">
        <v>17.13</v>
      </c>
      <c r="I74" s="5">
        <v>420</v>
      </c>
      <c r="J74" s="4" t="s">
        <v>129</v>
      </c>
    </row>
    <row r="75" spans="1:10" x14ac:dyDescent="0.25">
      <c r="A75" s="4">
        <f t="shared" ca="1" si="2"/>
        <v>72</v>
      </c>
      <c r="B75" s="4" t="s">
        <v>282</v>
      </c>
      <c r="C75" s="4" t="s">
        <v>283</v>
      </c>
      <c r="D75" s="4" t="s">
        <v>127</v>
      </c>
      <c r="E75" s="4" t="s">
        <v>66</v>
      </c>
      <c r="F75" s="4">
        <v>1000</v>
      </c>
      <c r="G75" s="5">
        <v>103.09450000000001</v>
      </c>
      <c r="H75" s="5">
        <v>12.2</v>
      </c>
      <c r="I75" s="5">
        <v>1369</v>
      </c>
      <c r="J75" s="4" t="s">
        <v>129</v>
      </c>
    </row>
    <row r="76" spans="1:10" x14ac:dyDescent="0.25">
      <c r="A76" s="4">
        <f t="shared" ca="1" si="2"/>
        <v>73</v>
      </c>
      <c r="B76" s="4" t="s">
        <v>284</v>
      </c>
      <c r="C76" s="4" t="s">
        <v>285</v>
      </c>
      <c r="D76" s="4" t="s">
        <v>127</v>
      </c>
      <c r="E76" s="4" t="s">
        <v>66</v>
      </c>
      <c r="F76" s="4">
        <v>1000</v>
      </c>
      <c r="G76" s="5">
        <v>111.2898</v>
      </c>
      <c r="H76" s="5">
        <v>11.58</v>
      </c>
      <c r="I76" s="5">
        <v>29</v>
      </c>
      <c r="J76" s="4" t="s">
        <v>129</v>
      </c>
    </row>
    <row r="77" spans="1:10" x14ac:dyDescent="0.25">
      <c r="A77" s="4">
        <f t="shared" ca="1" si="2"/>
        <v>74</v>
      </c>
      <c r="B77" s="4" t="s">
        <v>286</v>
      </c>
      <c r="C77" s="4" t="s">
        <v>95</v>
      </c>
      <c r="D77" s="4" t="s">
        <v>127</v>
      </c>
      <c r="E77" s="4" t="s">
        <v>66</v>
      </c>
      <c r="F77" s="4">
        <v>857.58699999999999</v>
      </c>
      <c r="G77" s="5">
        <v>88.549500000000009</v>
      </c>
      <c r="H77" s="5">
        <v>17</v>
      </c>
      <c r="I77" s="5">
        <v>544</v>
      </c>
      <c r="J77" s="4" t="s">
        <v>129</v>
      </c>
    </row>
    <row r="78" spans="1:10" x14ac:dyDescent="0.25">
      <c r="A78" s="4">
        <f t="shared" ca="1" si="2"/>
        <v>75</v>
      </c>
      <c r="B78" s="4" t="s">
        <v>287</v>
      </c>
      <c r="C78" s="4" t="s">
        <v>288</v>
      </c>
      <c r="D78" s="4" t="s">
        <v>127</v>
      </c>
      <c r="E78" s="4" t="s">
        <v>66</v>
      </c>
      <c r="F78" s="4">
        <v>820.202</v>
      </c>
      <c r="G78" s="5">
        <v>82.20320000000001</v>
      </c>
      <c r="H78" s="5">
        <v>16.990000000000002</v>
      </c>
      <c r="I78" s="5">
        <v>719</v>
      </c>
      <c r="J78" s="4" t="s">
        <v>129</v>
      </c>
    </row>
    <row r="79" spans="1:10" x14ac:dyDescent="0.25">
      <c r="A79" s="4">
        <f t="shared" ca="1" si="2"/>
        <v>76</v>
      </c>
      <c r="B79" s="4" t="s">
        <v>289</v>
      </c>
      <c r="C79" s="4" t="s">
        <v>290</v>
      </c>
      <c r="D79" s="4" t="s">
        <v>127</v>
      </c>
      <c r="E79" s="4" t="s">
        <v>66</v>
      </c>
      <c r="F79" s="4">
        <v>829.07300000000009</v>
      </c>
      <c r="G79" s="5">
        <v>88.974000000000004</v>
      </c>
      <c r="H79" s="5">
        <v>16.96</v>
      </c>
      <c r="I79" s="5">
        <v>755</v>
      </c>
      <c r="J79" s="4" t="s">
        <v>129</v>
      </c>
    </row>
    <row r="80" spans="1:10" x14ac:dyDescent="0.25">
      <c r="A80" s="4">
        <f t="shared" ca="1" si="2"/>
        <v>77</v>
      </c>
      <c r="B80" s="4" t="s">
        <v>291</v>
      </c>
      <c r="C80" s="4" t="s">
        <v>292</v>
      </c>
      <c r="D80" s="4" t="s">
        <v>127</v>
      </c>
      <c r="E80" s="4" t="s">
        <v>66</v>
      </c>
      <c r="F80" s="4">
        <v>1000</v>
      </c>
      <c r="G80" s="5">
        <v>102.07430000000001</v>
      </c>
      <c r="H80" s="5">
        <v>12.18</v>
      </c>
      <c r="I80" s="5">
        <v>668</v>
      </c>
      <c r="J80" s="4" t="s">
        <v>129</v>
      </c>
    </row>
    <row r="81" spans="1:10" x14ac:dyDescent="0.25">
      <c r="A81" s="4">
        <f t="shared" ca="1" si="2"/>
        <v>78</v>
      </c>
      <c r="B81" s="4" t="s">
        <v>293</v>
      </c>
      <c r="C81" s="4" t="s">
        <v>294</v>
      </c>
      <c r="D81" s="4" t="s">
        <v>127</v>
      </c>
      <c r="E81" s="4" t="s">
        <v>66</v>
      </c>
      <c r="F81" s="4">
        <v>1000</v>
      </c>
      <c r="G81" s="5">
        <v>110.30370000000001</v>
      </c>
      <c r="H81" s="5">
        <v>11.63</v>
      </c>
      <c r="I81" s="5">
        <v>59</v>
      </c>
      <c r="J81" s="4" t="s">
        <v>129</v>
      </c>
    </row>
    <row r="82" spans="1:10" x14ac:dyDescent="0.25">
      <c r="A82" s="4">
        <f t="shared" ca="1" si="2"/>
        <v>79</v>
      </c>
      <c r="B82" s="4" t="s">
        <v>295</v>
      </c>
      <c r="C82" s="4" t="s">
        <v>296</v>
      </c>
      <c r="D82" s="4" t="s">
        <v>127</v>
      </c>
      <c r="E82" s="4" t="s">
        <v>66</v>
      </c>
      <c r="F82" s="4">
        <v>1000</v>
      </c>
      <c r="G82" s="5">
        <v>107.39920000000001</v>
      </c>
      <c r="H82" s="5">
        <v>12.28</v>
      </c>
      <c r="I82" s="5">
        <v>1609</v>
      </c>
      <c r="J82" s="4" t="s">
        <v>129</v>
      </c>
    </row>
    <row r="83" spans="1:10" x14ac:dyDescent="0.25">
      <c r="A83" s="4">
        <f t="shared" ca="1" si="2"/>
        <v>80</v>
      </c>
      <c r="B83" s="4" t="s">
        <v>297</v>
      </c>
      <c r="C83" s="4" t="s">
        <v>111</v>
      </c>
      <c r="D83" s="4" t="s">
        <v>127</v>
      </c>
      <c r="E83" s="4" t="s">
        <v>66</v>
      </c>
      <c r="F83" s="4">
        <v>613.85500000000002</v>
      </c>
      <c r="G83" s="5">
        <v>64.478999999999999</v>
      </c>
      <c r="H83" s="5">
        <v>16.84</v>
      </c>
      <c r="I83" s="5">
        <v>3147</v>
      </c>
      <c r="J83" s="4" t="s">
        <v>129</v>
      </c>
    </row>
    <row r="84" spans="1:10" x14ac:dyDescent="0.25">
      <c r="A84" s="4">
        <f t="shared" ca="1" si="2"/>
        <v>81</v>
      </c>
      <c r="B84" s="4" t="s">
        <v>298</v>
      </c>
      <c r="C84" s="4" t="s">
        <v>83</v>
      </c>
      <c r="D84" s="4" t="s">
        <v>127</v>
      </c>
      <c r="E84" s="4" t="s">
        <v>66</v>
      </c>
      <c r="F84" s="4">
        <v>866.08300000000008</v>
      </c>
      <c r="G84" s="5">
        <v>88.683300000000003</v>
      </c>
      <c r="H84" s="5">
        <v>17</v>
      </c>
      <c r="I84" s="5">
        <v>629</v>
      </c>
      <c r="J84" s="4" t="s">
        <v>129</v>
      </c>
    </row>
    <row r="85" spans="1:10" x14ac:dyDescent="0.25">
      <c r="A85" s="4">
        <f t="shared" ca="1" si="2"/>
        <v>82</v>
      </c>
      <c r="B85" s="4" t="s">
        <v>299</v>
      </c>
      <c r="C85" s="4" t="s">
        <v>300</v>
      </c>
      <c r="D85" s="4" t="s">
        <v>127</v>
      </c>
      <c r="E85" s="4" t="s">
        <v>66</v>
      </c>
      <c r="F85" s="4">
        <v>538.93799999999999</v>
      </c>
      <c r="G85" s="5">
        <v>53.989900000000006</v>
      </c>
      <c r="H85" s="5">
        <v>16.84</v>
      </c>
      <c r="I85" s="5">
        <v>6937</v>
      </c>
      <c r="J85" s="4" t="s">
        <v>129</v>
      </c>
    </row>
    <row r="86" spans="1:10" x14ac:dyDescent="0.25">
      <c r="A86" s="4">
        <f t="shared" ca="1" si="2"/>
        <v>83</v>
      </c>
      <c r="B86" s="4" t="s">
        <v>301</v>
      </c>
      <c r="C86" s="4" t="s">
        <v>302</v>
      </c>
      <c r="D86" s="4" t="s">
        <v>127</v>
      </c>
      <c r="E86" s="4" t="s">
        <v>66</v>
      </c>
      <c r="F86" s="4">
        <v>1000</v>
      </c>
      <c r="G86" s="5">
        <v>100</v>
      </c>
      <c r="H86" s="5">
        <v>12.24</v>
      </c>
      <c r="I86" s="5">
        <v>366</v>
      </c>
      <c r="J86" s="4" t="s">
        <v>129</v>
      </c>
    </row>
    <row r="87" spans="1:10" x14ac:dyDescent="0.25">
      <c r="A87" s="4">
        <f t="shared" ca="1" si="2"/>
        <v>84</v>
      </c>
      <c r="B87" s="4" t="s">
        <v>303</v>
      </c>
      <c r="C87" s="4" t="s">
        <v>304</v>
      </c>
      <c r="D87" s="4" t="s">
        <v>127</v>
      </c>
      <c r="E87" s="4" t="s">
        <v>66</v>
      </c>
      <c r="F87" s="4">
        <v>1000</v>
      </c>
      <c r="G87" s="5">
        <v>103.1285</v>
      </c>
      <c r="H87" s="5">
        <v>12.2</v>
      </c>
      <c r="I87" s="5">
        <v>1368</v>
      </c>
      <c r="J87" s="4" t="s">
        <v>129</v>
      </c>
    </row>
    <row r="88" spans="1:10" x14ac:dyDescent="0.25">
      <c r="A88" s="4">
        <f t="shared" ca="1" si="2"/>
        <v>85</v>
      </c>
      <c r="B88" s="4" t="s">
        <v>305</v>
      </c>
      <c r="C88" s="4" t="s">
        <v>306</v>
      </c>
      <c r="D88" s="4" t="s">
        <v>127</v>
      </c>
      <c r="E88" s="4" t="s">
        <v>66</v>
      </c>
      <c r="F88" s="4">
        <v>1000</v>
      </c>
      <c r="G88" s="5">
        <v>104.08070000000001</v>
      </c>
      <c r="H88" s="5">
        <v>12.2</v>
      </c>
      <c r="I88" s="5">
        <v>1704</v>
      </c>
      <c r="J88" s="4" t="s">
        <v>129</v>
      </c>
    </row>
    <row r="89" spans="1:10" x14ac:dyDescent="0.25">
      <c r="A89" s="4">
        <f t="shared" ca="1" si="2"/>
        <v>86</v>
      </c>
      <c r="B89" s="4" t="s">
        <v>307</v>
      </c>
      <c r="C89" s="4" t="s">
        <v>308</v>
      </c>
      <c r="D89" s="4" t="s">
        <v>127</v>
      </c>
      <c r="E89" s="4" t="s">
        <v>66</v>
      </c>
      <c r="F89" s="4">
        <v>1000</v>
      </c>
      <c r="G89" s="5">
        <v>101.0882</v>
      </c>
      <c r="H89" s="5">
        <v>12.17</v>
      </c>
      <c r="I89" s="5">
        <v>333</v>
      </c>
      <c r="J89" s="4" t="s">
        <v>129</v>
      </c>
    </row>
    <row r="90" spans="1:10" x14ac:dyDescent="0.25">
      <c r="A90" s="4">
        <f t="shared" ca="1" si="2"/>
        <v>87</v>
      </c>
      <c r="B90" s="4" t="s">
        <v>309</v>
      </c>
      <c r="C90" s="4" t="s">
        <v>91</v>
      </c>
      <c r="D90" s="4" t="s">
        <v>127</v>
      </c>
      <c r="E90" s="4" t="s">
        <v>66</v>
      </c>
      <c r="F90" s="4">
        <v>599.33000000000004</v>
      </c>
      <c r="G90" s="5">
        <v>65.335400000000007</v>
      </c>
      <c r="H90" s="5">
        <v>16.850000000000001</v>
      </c>
      <c r="I90" s="5">
        <v>3409</v>
      </c>
      <c r="J90" s="4" t="s">
        <v>129</v>
      </c>
    </row>
    <row r="91" spans="1:10" x14ac:dyDescent="0.25">
      <c r="A91" s="4">
        <f t="shared" ca="1" si="2"/>
        <v>88</v>
      </c>
      <c r="B91" s="4" t="s">
        <v>310</v>
      </c>
      <c r="C91" s="4" t="s">
        <v>311</v>
      </c>
      <c r="D91" s="4" t="s">
        <v>127</v>
      </c>
      <c r="E91" s="4" t="s">
        <v>66</v>
      </c>
      <c r="F91" s="4">
        <v>903.21199999999999</v>
      </c>
      <c r="G91" s="5">
        <v>95.421199999999999</v>
      </c>
      <c r="H91" s="5">
        <v>17.02</v>
      </c>
      <c r="I91" s="5">
        <v>523</v>
      </c>
      <c r="J91" s="4" t="s">
        <v>129</v>
      </c>
    </row>
    <row r="92" spans="1:10" x14ac:dyDescent="0.25">
      <c r="A92" s="4">
        <f t="shared" ca="1" si="2"/>
        <v>89</v>
      </c>
      <c r="B92" s="4" t="s">
        <v>312</v>
      </c>
      <c r="C92" s="4" t="s">
        <v>313</v>
      </c>
      <c r="D92" s="4" t="s">
        <v>127</v>
      </c>
      <c r="E92" s="4" t="s">
        <v>66</v>
      </c>
      <c r="F92" s="4">
        <v>885.37300000000005</v>
      </c>
      <c r="G92" s="5">
        <v>90.712299999999999</v>
      </c>
      <c r="H92" s="5">
        <v>16.990000000000002</v>
      </c>
      <c r="I92" s="5">
        <v>642</v>
      </c>
      <c r="J92" s="4" t="s">
        <v>129</v>
      </c>
    </row>
    <row r="93" spans="1:10" x14ac:dyDescent="0.25">
      <c r="A93" s="4">
        <f t="shared" ca="1" si="2"/>
        <v>90</v>
      </c>
      <c r="B93" s="4" t="s">
        <v>314</v>
      </c>
      <c r="C93" s="4" t="s">
        <v>315</v>
      </c>
      <c r="D93" s="4" t="s">
        <v>127</v>
      </c>
      <c r="E93" s="4" t="s">
        <v>66</v>
      </c>
      <c r="F93" s="4">
        <v>594.70800000000008</v>
      </c>
      <c r="G93" s="5">
        <v>60.884100000000004</v>
      </c>
      <c r="H93" s="5">
        <v>16.84</v>
      </c>
      <c r="I93" s="5">
        <v>3957</v>
      </c>
      <c r="J93" s="4" t="s">
        <v>129</v>
      </c>
    </row>
    <row r="94" spans="1:10" x14ac:dyDescent="0.25">
      <c r="A94" s="4">
        <f t="shared" ca="1" si="2"/>
        <v>91</v>
      </c>
      <c r="B94" s="4" t="s">
        <v>316</v>
      </c>
      <c r="C94" s="4" t="s">
        <v>317</v>
      </c>
      <c r="D94" s="4" t="s">
        <v>127</v>
      </c>
      <c r="E94" s="4" t="s">
        <v>66</v>
      </c>
      <c r="F94" s="4">
        <v>663</v>
      </c>
      <c r="G94" s="5">
        <v>70.533799999999999</v>
      </c>
      <c r="H94" s="5">
        <v>16.86</v>
      </c>
      <c r="I94" s="5">
        <v>2744</v>
      </c>
      <c r="J94" s="4" t="s">
        <v>129</v>
      </c>
    </row>
    <row r="95" spans="1:10" x14ac:dyDescent="0.25">
      <c r="A95" s="4">
        <f t="shared" ca="1" si="2"/>
        <v>92</v>
      </c>
      <c r="B95" s="4" t="s">
        <v>318</v>
      </c>
      <c r="C95" s="4" t="s">
        <v>319</v>
      </c>
      <c r="D95" s="4" t="s">
        <v>127</v>
      </c>
      <c r="E95" s="4" t="s">
        <v>66</v>
      </c>
      <c r="F95" s="4">
        <v>653.72500000000002</v>
      </c>
      <c r="G95" s="5">
        <v>69.061999999999998</v>
      </c>
      <c r="H95" s="5">
        <v>16.850000000000001</v>
      </c>
      <c r="I95" s="5">
        <v>2763</v>
      </c>
      <c r="J95" s="4" t="s">
        <v>129</v>
      </c>
    </row>
    <row r="96" spans="1:10" x14ac:dyDescent="0.25">
      <c r="A96" s="4">
        <f t="shared" ca="1" si="2"/>
        <v>93</v>
      </c>
      <c r="B96" s="4" t="s">
        <v>320</v>
      </c>
      <c r="C96" s="4" t="s">
        <v>98</v>
      </c>
      <c r="D96" s="4" t="s">
        <v>127</v>
      </c>
      <c r="E96" s="4" t="s">
        <v>66</v>
      </c>
      <c r="F96" s="4">
        <v>679.46300000000008</v>
      </c>
      <c r="G96" s="5">
        <v>71.795699999999997</v>
      </c>
      <c r="H96" s="5">
        <v>16.86</v>
      </c>
      <c r="I96" s="5">
        <v>2391</v>
      </c>
      <c r="J96" s="4" t="s">
        <v>129</v>
      </c>
    </row>
    <row r="97" spans="1:10" x14ac:dyDescent="0.25">
      <c r="A97" s="4">
        <f t="shared" ca="1" si="2"/>
        <v>94</v>
      </c>
      <c r="B97" s="4" t="s">
        <v>321</v>
      </c>
      <c r="C97" s="4" t="s">
        <v>73</v>
      </c>
      <c r="D97" s="4" t="s">
        <v>127</v>
      </c>
      <c r="E97" s="4" t="s">
        <v>66</v>
      </c>
      <c r="F97" s="4">
        <v>707.37900000000002</v>
      </c>
      <c r="G97" s="5">
        <v>74.020099999999999</v>
      </c>
      <c r="H97" s="5">
        <v>16.86</v>
      </c>
      <c r="I97" s="5">
        <v>2049</v>
      </c>
      <c r="J97" s="4" t="s">
        <v>129</v>
      </c>
    </row>
    <row r="98" spans="1:10" x14ac:dyDescent="0.25">
      <c r="A98" s="4">
        <f t="shared" ca="1" si="2"/>
        <v>95</v>
      </c>
      <c r="B98" s="4" t="s">
        <v>322</v>
      </c>
      <c r="C98" s="4" t="s">
        <v>323</v>
      </c>
      <c r="D98" s="4" t="s">
        <v>127</v>
      </c>
      <c r="E98" s="4" t="s">
        <v>66</v>
      </c>
      <c r="F98" s="4">
        <v>596.95100000000002</v>
      </c>
      <c r="G98" s="5">
        <v>65.229300000000009</v>
      </c>
      <c r="H98" s="5">
        <v>16.86</v>
      </c>
      <c r="I98" s="5">
        <v>4153</v>
      </c>
      <c r="J98" s="4" t="s">
        <v>129</v>
      </c>
    </row>
    <row r="99" spans="1:10" x14ac:dyDescent="0.25">
      <c r="A99" s="4">
        <f t="shared" ca="1" si="2"/>
        <v>96</v>
      </c>
      <c r="B99" s="4" t="s">
        <v>324</v>
      </c>
      <c r="C99" s="4" t="s">
        <v>325</v>
      </c>
      <c r="D99" s="4" t="s">
        <v>127</v>
      </c>
      <c r="E99" s="4" t="s">
        <v>66</v>
      </c>
      <c r="F99" s="4">
        <v>1000</v>
      </c>
      <c r="G99" s="5">
        <v>104.14870000000001</v>
      </c>
      <c r="H99" s="5">
        <v>11.99</v>
      </c>
      <c r="I99" s="5">
        <v>241</v>
      </c>
      <c r="J99" s="4" t="s">
        <v>129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326</v>
      </c>
      <c r="C100" s="4" t="s">
        <v>85</v>
      </c>
      <c r="D100" s="4" t="s">
        <v>127</v>
      </c>
      <c r="E100" s="4" t="s">
        <v>66</v>
      </c>
      <c r="F100" s="4">
        <v>752.00800000000004</v>
      </c>
      <c r="G100" s="5">
        <v>76.203500000000005</v>
      </c>
      <c r="H100" s="5">
        <v>16.899999999999999</v>
      </c>
      <c r="I100" s="5">
        <v>1414</v>
      </c>
      <c r="J100" s="4" t="s">
        <v>129</v>
      </c>
    </row>
    <row r="101" spans="1:10" x14ac:dyDescent="0.25">
      <c r="A101" s="4">
        <f t="shared" ca="1" si="3"/>
        <v>98</v>
      </c>
      <c r="B101" s="4" t="s">
        <v>327</v>
      </c>
      <c r="C101" s="4" t="s">
        <v>328</v>
      </c>
      <c r="D101" s="4" t="s">
        <v>127</v>
      </c>
      <c r="E101" s="4" t="s">
        <v>66</v>
      </c>
      <c r="F101" s="4">
        <v>729.69500000000005</v>
      </c>
      <c r="G101" s="5">
        <v>78.004199999999997</v>
      </c>
      <c r="H101" s="5">
        <v>16.91</v>
      </c>
      <c r="I101" s="5">
        <v>1589</v>
      </c>
      <c r="J101" s="4" t="s">
        <v>129</v>
      </c>
    </row>
    <row r="102" spans="1:10" x14ac:dyDescent="0.25">
      <c r="A102" s="4">
        <f t="shared" ca="1" si="3"/>
        <v>99</v>
      </c>
      <c r="B102" s="4" t="s">
        <v>329</v>
      </c>
      <c r="C102" s="4" t="s">
        <v>330</v>
      </c>
      <c r="D102" s="4" t="s">
        <v>127</v>
      </c>
      <c r="E102" s="4" t="s">
        <v>66</v>
      </c>
      <c r="F102" s="4">
        <v>535.86200000000008</v>
      </c>
      <c r="G102" s="5">
        <v>59.730600000000003</v>
      </c>
      <c r="H102" s="5">
        <v>16.84</v>
      </c>
      <c r="I102" s="5">
        <v>4830</v>
      </c>
      <c r="J102" s="4" t="s">
        <v>129</v>
      </c>
    </row>
    <row r="103" spans="1:10" x14ac:dyDescent="0.25">
      <c r="A103" s="4">
        <f t="shared" ca="1" si="3"/>
        <v>100</v>
      </c>
      <c r="B103" s="4" t="s">
        <v>331</v>
      </c>
      <c r="C103" s="4" t="s">
        <v>332</v>
      </c>
      <c r="D103" s="4" t="s">
        <v>127</v>
      </c>
      <c r="E103" s="4" t="s">
        <v>66</v>
      </c>
      <c r="F103" s="4">
        <v>983.39600000000007</v>
      </c>
      <c r="G103" s="5">
        <v>103.09960000000001</v>
      </c>
      <c r="H103" s="5">
        <v>17.32</v>
      </c>
      <c r="I103" s="5">
        <v>56</v>
      </c>
      <c r="J103" s="4" t="s">
        <v>129</v>
      </c>
    </row>
    <row r="104" spans="1:10" x14ac:dyDescent="0.25">
      <c r="A104" s="4">
        <f t="shared" ca="1" si="3"/>
        <v>101</v>
      </c>
      <c r="B104" s="4" t="s">
        <v>333</v>
      </c>
      <c r="C104" s="4" t="s">
        <v>100</v>
      </c>
      <c r="D104" s="4" t="s">
        <v>127</v>
      </c>
      <c r="E104" s="4" t="s">
        <v>66</v>
      </c>
      <c r="F104" s="4">
        <v>910.61400000000003</v>
      </c>
      <c r="G104" s="5">
        <v>91.703100000000006</v>
      </c>
      <c r="H104" s="5">
        <v>17.2</v>
      </c>
      <c r="I104" s="5">
        <v>323</v>
      </c>
      <c r="J104" s="4" t="s">
        <v>129</v>
      </c>
    </row>
    <row r="105" spans="1:10" x14ac:dyDescent="0.25">
      <c r="A105" s="4">
        <f t="shared" ca="1" si="3"/>
        <v>102</v>
      </c>
      <c r="B105" s="4" t="s">
        <v>334</v>
      </c>
      <c r="C105" s="4" t="s">
        <v>120</v>
      </c>
      <c r="D105" s="4" t="s">
        <v>127</v>
      </c>
      <c r="E105" s="4" t="s">
        <v>66</v>
      </c>
      <c r="F105" s="4">
        <v>810.66800000000001</v>
      </c>
      <c r="G105" s="5">
        <v>86.087100000000007</v>
      </c>
      <c r="H105" s="5">
        <v>16.96</v>
      </c>
      <c r="I105" s="5">
        <v>750</v>
      </c>
      <c r="J105" s="4" t="s">
        <v>129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127</v>
      </c>
      <c r="E106" s="4" t="s">
        <v>66</v>
      </c>
      <c r="F106" s="4">
        <v>748.83600000000001</v>
      </c>
      <c r="G106" s="5">
        <v>75.0364</v>
      </c>
      <c r="H106" s="5">
        <v>16.93</v>
      </c>
      <c r="I106" s="5">
        <v>1087</v>
      </c>
      <c r="J106" s="4" t="s">
        <v>129</v>
      </c>
    </row>
    <row r="107" spans="1:10" x14ac:dyDescent="0.25">
      <c r="A107" s="4">
        <f t="shared" ca="1" si="3"/>
        <v>104</v>
      </c>
      <c r="B107" s="4" t="s">
        <v>337</v>
      </c>
      <c r="C107" s="4" t="s">
        <v>338</v>
      </c>
      <c r="D107" s="4" t="s">
        <v>127</v>
      </c>
      <c r="E107" s="4" t="s">
        <v>66</v>
      </c>
      <c r="F107" s="4">
        <v>553.81100000000004</v>
      </c>
      <c r="G107" s="5">
        <v>56.8887</v>
      </c>
      <c r="H107" s="5">
        <v>16.830000000000002</v>
      </c>
      <c r="I107" s="5">
        <v>5047</v>
      </c>
      <c r="J107" s="4" t="s">
        <v>129</v>
      </c>
    </row>
    <row r="108" spans="1:10" x14ac:dyDescent="0.25">
      <c r="A108" s="4">
        <f t="shared" ca="1" si="3"/>
        <v>105</v>
      </c>
      <c r="B108" s="4" t="s">
        <v>339</v>
      </c>
      <c r="C108" s="4" t="s">
        <v>340</v>
      </c>
      <c r="D108" s="4" t="s">
        <v>127</v>
      </c>
      <c r="E108" s="4" t="s">
        <v>66</v>
      </c>
      <c r="F108" s="4">
        <v>548.60599999999999</v>
      </c>
      <c r="G108" s="5">
        <v>59.836100000000002</v>
      </c>
      <c r="H108" s="5">
        <v>16.850000000000001</v>
      </c>
      <c r="I108" s="5">
        <v>5263</v>
      </c>
      <c r="J108" s="4" t="s">
        <v>129</v>
      </c>
    </row>
    <row r="109" spans="1:10" x14ac:dyDescent="0.25">
      <c r="A109" s="4">
        <f t="shared" ca="1" si="3"/>
        <v>106</v>
      </c>
      <c r="B109" s="4" t="s">
        <v>341</v>
      </c>
      <c r="C109" s="4" t="s">
        <v>93</v>
      </c>
      <c r="D109" s="4" t="s">
        <v>127</v>
      </c>
      <c r="E109" s="4" t="s">
        <v>66</v>
      </c>
      <c r="F109" s="4">
        <v>850.58800000000008</v>
      </c>
      <c r="G109" s="5">
        <v>90.558800000000005</v>
      </c>
      <c r="H109" s="5">
        <v>16.91</v>
      </c>
      <c r="I109" s="5">
        <v>1279</v>
      </c>
      <c r="J109" s="4" t="s">
        <v>129</v>
      </c>
    </row>
    <row r="110" spans="1:10" x14ac:dyDescent="0.25">
      <c r="A110" s="4">
        <f t="shared" ca="1" si="3"/>
        <v>107</v>
      </c>
      <c r="B110" s="4" t="s">
        <v>342</v>
      </c>
      <c r="C110" s="4" t="s">
        <v>343</v>
      </c>
      <c r="D110" s="4" t="s">
        <v>127</v>
      </c>
      <c r="E110" s="4" t="s">
        <v>66</v>
      </c>
      <c r="F110" s="4">
        <v>945.10300000000007</v>
      </c>
      <c r="G110" s="5">
        <v>96.709500000000006</v>
      </c>
      <c r="H110" s="5">
        <v>17.23</v>
      </c>
      <c r="I110" s="5">
        <v>277</v>
      </c>
      <c r="J110" s="4" t="s">
        <v>129</v>
      </c>
    </row>
    <row r="111" spans="1:10" x14ac:dyDescent="0.25">
      <c r="A111" s="4">
        <f t="shared" ca="1" si="3"/>
        <v>108</v>
      </c>
      <c r="B111" s="4" t="s">
        <v>344</v>
      </c>
      <c r="C111" s="4" t="s">
        <v>345</v>
      </c>
      <c r="D111" s="4" t="s">
        <v>127</v>
      </c>
      <c r="E111" s="4" t="s">
        <v>66</v>
      </c>
      <c r="F111" s="4">
        <v>1000</v>
      </c>
      <c r="G111" s="5">
        <v>109.8313</v>
      </c>
      <c r="H111" s="5">
        <v>12.29</v>
      </c>
      <c r="I111" s="5">
        <v>1171</v>
      </c>
      <c r="J111" s="4" t="s">
        <v>129</v>
      </c>
    </row>
    <row r="112" spans="1:10" x14ac:dyDescent="0.25">
      <c r="A112" s="4">
        <f t="shared" ca="1" si="3"/>
        <v>109</v>
      </c>
      <c r="B112" s="4" t="s">
        <v>346</v>
      </c>
      <c r="C112" s="4" t="s">
        <v>347</v>
      </c>
      <c r="D112" s="4" t="s">
        <v>127</v>
      </c>
      <c r="E112" s="4" t="s">
        <v>66</v>
      </c>
      <c r="F112" s="4">
        <v>1000</v>
      </c>
      <c r="G112" s="5">
        <v>106.155</v>
      </c>
      <c r="H112" s="5">
        <v>11.87</v>
      </c>
      <c r="I112" s="5">
        <v>181</v>
      </c>
      <c r="J112" s="4" t="s">
        <v>129</v>
      </c>
    </row>
    <row r="113" spans="1:10" x14ac:dyDescent="0.25">
      <c r="A113" s="4">
        <f t="shared" ca="1" si="3"/>
        <v>110</v>
      </c>
      <c r="B113" s="4" t="s">
        <v>348</v>
      </c>
      <c r="C113" s="4" t="s">
        <v>349</v>
      </c>
      <c r="D113" s="4" t="s">
        <v>127</v>
      </c>
      <c r="E113" s="4" t="s">
        <v>66</v>
      </c>
      <c r="F113" s="4">
        <v>1000</v>
      </c>
      <c r="G113" s="5">
        <v>107.20920000000001</v>
      </c>
      <c r="H113" s="5">
        <v>12.18</v>
      </c>
      <c r="I113" s="5">
        <v>1248</v>
      </c>
      <c r="J113" s="4" t="s">
        <v>129</v>
      </c>
    </row>
    <row r="114" spans="1:10" x14ac:dyDescent="0.25">
      <c r="A114" s="4">
        <f t="shared" ca="1" si="3"/>
        <v>111</v>
      </c>
      <c r="B114" s="4" t="s">
        <v>350</v>
      </c>
      <c r="C114" s="4" t="s">
        <v>71</v>
      </c>
      <c r="D114" s="4" t="s">
        <v>127</v>
      </c>
      <c r="E114" s="4" t="s">
        <v>66</v>
      </c>
      <c r="F114" s="4">
        <v>853.90600000000006</v>
      </c>
      <c r="G114" s="5">
        <v>95.075299999999999</v>
      </c>
      <c r="H114" s="5">
        <v>16.920000000000002</v>
      </c>
      <c r="I114" s="5">
        <v>1124</v>
      </c>
      <c r="J114" s="4" t="s">
        <v>129</v>
      </c>
    </row>
    <row r="115" spans="1:10" x14ac:dyDescent="0.25">
      <c r="A115" s="4">
        <f t="shared" ca="1" si="3"/>
        <v>112</v>
      </c>
      <c r="B115" s="4" t="s">
        <v>351</v>
      </c>
      <c r="C115" s="4" t="s">
        <v>352</v>
      </c>
      <c r="D115" s="4" t="s">
        <v>127</v>
      </c>
      <c r="E115" s="4" t="s">
        <v>66</v>
      </c>
      <c r="F115" s="4">
        <v>1000</v>
      </c>
      <c r="G115" s="5">
        <v>107.3112</v>
      </c>
      <c r="H115" s="5">
        <v>12.16</v>
      </c>
      <c r="I115" s="5">
        <v>879</v>
      </c>
      <c r="J115" s="4" t="s">
        <v>129</v>
      </c>
    </row>
    <row r="116" spans="1:10" x14ac:dyDescent="0.25">
      <c r="A116" s="4">
        <f t="shared" ca="1" si="3"/>
        <v>113</v>
      </c>
      <c r="B116" s="4" t="s">
        <v>353</v>
      </c>
      <c r="C116" s="4" t="s">
        <v>354</v>
      </c>
      <c r="D116" s="4" t="s">
        <v>127</v>
      </c>
      <c r="E116" s="4" t="s">
        <v>66</v>
      </c>
      <c r="F116" s="4">
        <v>567.51800000000003</v>
      </c>
      <c r="G116" s="5">
        <v>59.135100000000001</v>
      </c>
      <c r="H116" s="5">
        <v>16.850000000000001</v>
      </c>
      <c r="I116" s="5">
        <v>2399</v>
      </c>
      <c r="J116" s="4" t="s">
        <v>129</v>
      </c>
    </row>
    <row r="117" spans="1:10" x14ac:dyDescent="0.25">
      <c r="A117" s="4">
        <f t="shared" ca="1" si="3"/>
        <v>114</v>
      </c>
      <c r="B117" s="4" t="s">
        <v>355</v>
      </c>
      <c r="C117" s="4" t="s">
        <v>356</v>
      </c>
      <c r="D117" s="4" t="s">
        <v>127</v>
      </c>
      <c r="E117" s="4" t="s">
        <v>66</v>
      </c>
      <c r="F117" s="4">
        <v>773.68900000000008</v>
      </c>
      <c r="G117" s="5">
        <v>83.185000000000002</v>
      </c>
      <c r="H117" s="5">
        <v>16.920000000000002</v>
      </c>
      <c r="I117" s="5">
        <v>1168</v>
      </c>
      <c r="J117" s="4" t="s">
        <v>129</v>
      </c>
    </row>
    <row r="118" spans="1:10" x14ac:dyDescent="0.25">
      <c r="A118" s="4">
        <f t="shared" ca="1" si="3"/>
        <v>115</v>
      </c>
      <c r="B118" s="4" t="s">
        <v>357</v>
      </c>
      <c r="C118" s="4" t="s">
        <v>358</v>
      </c>
      <c r="D118" s="4" t="s">
        <v>127</v>
      </c>
      <c r="E118" s="4" t="s">
        <v>66</v>
      </c>
      <c r="F118" s="4">
        <v>767.09699999999998</v>
      </c>
      <c r="G118" s="5">
        <v>78.959699999999998</v>
      </c>
      <c r="H118" s="5">
        <v>16.940000000000001</v>
      </c>
      <c r="I118" s="5">
        <v>932</v>
      </c>
      <c r="J118" s="4" t="s">
        <v>129</v>
      </c>
    </row>
    <row r="119" spans="1:10" x14ac:dyDescent="0.25">
      <c r="A119" s="4">
        <f t="shared" ca="1" si="3"/>
        <v>116</v>
      </c>
      <c r="B119" s="4" t="s">
        <v>359</v>
      </c>
      <c r="C119" s="4" t="s">
        <v>113</v>
      </c>
      <c r="D119" s="4" t="s">
        <v>127</v>
      </c>
      <c r="E119" s="4" t="s">
        <v>66</v>
      </c>
      <c r="F119" s="4">
        <v>757.85500000000002</v>
      </c>
      <c r="G119" s="5">
        <v>77.67880000000001</v>
      </c>
      <c r="H119" s="5">
        <v>16.86</v>
      </c>
      <c r="I119" s="5">
        <v>2492</v>
      </c>
      <c r="J119" s="4" t="s">
        <v>129</v>
      </c>
    </row>
    <row r="120" spans="1:10" x14ac:dyDescent="0.25">
      <c r="A120" s="4">
        <f t="shared" ca="1" si="3"/>
        <v>117</v>
      </c>
      <c r="B120" s="4" t="s">
        <v>360</v>
      </c>
      <c r="C120" s="4" t="s">
        <v>75</v>
      </c>
      <c r="D120" s="4" t="s">
        <v>127</v>
      </c>
      <c r="E120" s="4" t="s">
        <v>66</v>
      </c>
      <c r="F120" s="4">
        <v>830.04</v>
      </c>
      <c r="G120" s="5">
        <v>84.820900000000009</v>
      </c>
      <c r="H120" s="5">
        <v>16.89</v>
      </c>
      <c r="I120" s="5">
        <v>1398</v>
      </c>
      <c r="J120" s="4" t="s">
        <v>129</v>
      </c>
    </row>
    <row r="121" spans="1:10" x14ac:dyDescent="0.25">
      <c r="A121" s="4">
        <f t="shared" ca="1" si="3"/>
        <v>118</v>
      </c>
      <c r="B121" s="4" t="s">
        <v>361</v>
      </c>
      <c r="C121" s="4" t="s">
        <v>362</v>
      </c>
      <c r="D121" s="4" t="s">
        <v>127</v>
      </c>
      <c r="E121" s="4" t="s">
        <v>66</v>
      </c>
      <c r="F121" s="4">
        <v>1000</v>
      </c>
      <c r="G121" s="5">
        <v>100.03400000000001</v>
      </c>
      <c r="H121" s="5">
        <v>12.24</v>
      </c>
      <c r="I121" s="5">
        <v>1826</v>
      </c>
      <c r="J121" s="4" t="s">
        <v>129</v>
      </c>
    </row>
    <row r="122" spans="1:10" x14ac:dyDescent="0.25">
      <c r="A122" s="4">
        <f t="shared" ca="1" si="3"/>
        <v>119</v>
      </c>
      <c r="B122" s="4" t="s">
        <v>363</v>
      </c>
      <c r="C122" s="4" t="s">
        <v>364</v>
      </c>
      <c r="D122" s="4" t="s">
        <v>127</v>
      </c>
      <c r="E122" s="4" t="s">
        <v>66</v>
      </c>
      <c r="F122" s="4">
        <v>1000</v>
      </c>
      <c r="G122" s="5">
        <v>109.21550000000001</v>
      </c>
      <c r="H122" s="5">
        <v>12.21</v>
      </c>
      <c r="I122" s="5">
        <v>2282</v>
      </c>
      <c r="J122" s="4" t="s">
        <v>129</v>
      </c>
    </row>
    <row r="123" spans="1:10" x14ac:dyDescent="0.25">
      <c r="A123" s="4">
        <f t="shared" ca="1" si="3"/>
        <v>120</v>
      </c>
      <c r="B123" s="4" t="s">
        <v>365</v>
      </c>
      <c r="C123" s="4" t="s">
        <v>366</v>
      </c>
      <c r="D123" s="4" t="s">
        <v>127</v>
      </c>
      <c r="E123" s="4" t="s">
        <v>66</v>
      </c>
      <c r="F123" s="4">
        <v>1000</v>
      </c>
      <c r="G123" s="5">
        <v>100.102</v>
      </c>
      <c r="H123" s="5">
        <v>12.24</v>
      </c>
      <c r="I123" s="5">
        <v>2189</v>
      </c>
      <c r="J123" s="4" t="s">
        <v>129</v>
      </c>
    </row>
    <row r="124" spans="1:10" x14ac:dyDescent="0.25">
      <c r="A124" s="4">
        <f t="shared" ca="1" si="3"/>
        <v>121</v>
      </c>
      <c r="B124" s="4" t="s">
        <v>367</v>
      </c>
      <c r="C124" s="4" t="s">
        <v>368</v>
      </c>
      <c r="D124" s="4" t="s">
        <v>127</v>
      </c>
      <c r="E124" s="4" t="s">
        <v>66</v>
      </c>
      <c r="F124" s="4">
        <v>910.279</v>
      </c>
      <c r="G124" s="5">
        <v>94.812300000000008</v>
      </c>
      <c r="H124" s="5">
        <v>16.990000000000002</v>
      </c>
      <c r="I124" s="5">
        <v>597</v>
      </c>
      <c r="J124" s="4" t="s">
        <v>129</v>
      </c>
    </row>
    <row r="125" spans="1:10" x14ac:dyDescent="0.25">
      <c r="A125" s="4">
        <f t="shared" ca="1" si="3"/>
        <v>122</v>
      </c>
      <c r="B125" s="4" t="s">
        <v>369</v>
      </c>
      <c r="C125" s="4" t="s">
        <v>370</v>
      </c>
      <c r="D125" s="4" t="s">
        <v>127</v>
      </c>
      <c r="E125" s="4" t="s">
        <v>66</v>
      </c>
      <c r="F125" s="4">
        <v>712.755</v>
      </c>
      <c r="G125" s="5">
        <v>78.703600000000009</v>
      </c>
      <c r="H125" s="5">
        <v>16.850000000000001</v>
      </c>
      <c r="I125" s="5">
        <v>4139</v>
      </c>
      <c r="J125" s="4" t="s">
        <v>129</v>
      </c>
    </row>
    <row r="126" spans="1:10" x14ac:dyDescent="0.25">
      <c r="A126" s="4">
        <f t="shared" ca="1" si="3"/>
        <v>123</v>
      </c>
      <c r="B126" s="4" t="s">
        <v>371</v>
      </c>
      <c r="C126" s="4" t="s">
        <v>88</v>
      </c>
      <c r="D126" s="4" t="s">
        <v>127</v>
      </c>
      <c r="E126" s="4" t="s">
        <v>66</v>
      </c>
      <c r="F126" s="4">
        <v>981.53399999999999</v>
      </c>
      <c r="G126" s="5">
        <v>100.19850000000001</v>
      </c>
      <c r="H126" s="5">
        <v>16.89</v>
      </c>
      <c r="I126" s="5">
        <v>114</v>
      </c>
      <c r="J126" s="4" t="s">
        <v>129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127</v>
      </c>
      <c r="E127" s="4" t="s">
        <v>66</v>
      </c>
      <c r="F127" s="4">
        <v>825.68799999999999</v>
      </c>
      <c r="G127" s="5">
        <v>89.779899999999998</v>
      </c>
      <c r="H127" s="5">
        <v>16.920000000000002</v>
      </c>
      <c r="I127" s="5">
        <v>1589</v>
      </c>
      <c r="J127" s="4" t="s">
        <v>129</v>
      </c>
    </row>
    <row r="128" spans="1:10" x14ac:dyDescent="0.25">
      <c r="A128" s="4">
        <f t="shared" ca="1" si="3"/>
        <v>125</v>
      </c>
      <c r="B128" s="4" t="s">
        <v>374</v>
      </c>
      <c r="C128" s="4" t="s">
        <v>72</v>
      </c>
      <c r="D128" s="4" t="s">
        <v>127</v>
      </c>
      <c r="E128" s="4" t="s">
        <v>66</v>
      </c>
      <c r="F128" s="4">
        <v>705.18900000000008</v>
      </c>
      <c r="G128" s="5">
        <v>71.567000000000007</v>
      </c>
      <c r="H128" s="5">
        <v>16.850000000000001</v>
      </c>
      <c r="I128" s="5">
        <v>3983</v>
      </c>
      <c r="J128" s="4" t="s">
        <v>129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127</v>
      </c>
      <c r="E129" s="4" t="s">
        <v>66</v>
      </c>
      <c r="F129" s="4">
        <v>706.43700000000001</v>
      </c>
      <c r="G129" s="5">
        <v>76.912500000000009</v>
      </c>
      <c r="H129" s="5">
        <v>16.87</v>
      </c>
      <c r="I129" s="5">
        <v>3063</v>
      </c>
      <c r="J129" s="4" t="s">
        <v>129</v>
      </c>
    </row>
    <row r="130" spans="1:10" x14ac:dyDescent="0.25">
      <c r="A130" s="4">
        <f t="shared" ca="1" si="3"/>
        <v>127</v>
      </c>
      <c r="B130" s="4" t="s">
        <v>377</v>
      </c>
      <c r="C130" s="4" t="s">
        <v>76</v>
      </c>
      <c r="D130" s="4" t="s">
        <v>127</v>
      </c>
      <c r="E130" s="4" t="s">
        <v>66</v>
      </c>
      <c r="F130" s="4">
        <v>871.43</v>
      </c>
      <c r="G130" s="5">
        <v>91.996300000000005</v>
      </c>
      <c r="H130" s="5">
        <v>16.95</v>
      </c>
      <c r="I130" s="5">
        <v>926</v>
      </c>
      <c r="J130" s="4" t="s">
        <v>129</v>
      </c>
    </row>
    <row r="131" spans="1:10" x14ac:dyDescent="0.25">
      <c r="A131" s="4">
        <f t="shared" ca="1" si="3"/>
        <v>128</v>
      </c>
      <c r="B131" s="4" t="s">
        <v>378</v>
      </c>
      <c r="C131" s="4" t="s">
        <v>379</v>
      </c>
      <c r="D131" s="4" t="s">
        <v>127</v>
      </c>
      <c r="E131" s="4" t="s">
        <v>66</v>
      </c>
      <c r="F131" s="4">
        <v>953.62600000000009</v>
      </c>
      <c r="G131" s="5">
        <v>96.995900000000006</v>
      </c>
      <c r="H131" s="5">
        <v>16.55</v>
      </c>
      <c r="I131" s="5">
        <v>309</v>
      </c>
      <c r="J131" s="4" t="s">
        <v>129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380</v>
      </c>
      <c r="C132" s="4" t="s">
        <v>381</v>
      </c>
      <c r="D132" s="4" t="s">
        <v>127</v>
      </c>
      <c r="E132" s="4" t="s">
        <v>66</v>
      </c>
      <c r="F132" s="4">
        <v>696.59300000000007</v>
      </c>
      <c r="G132" s="5">
        <v>75.353700000000003</v>
      </c>
      <c r="H132" s="5">
        <v>16.84</v>
      </c>
      <c r="I132" s="5">
        <v>3449</v>
      </c>
      <c r="J132" s="4" t="s">
        <v>129</v>
      </c>
    </row>
    <row r="133" spans="1:10" x14ac:dyDescent="0.25">
      <c r="A133" s="4">
        <f t="shared" ca="1" si="4"/>
        <v>130</v>
      </c>
      <c r="B133" s="4" t="s">
        <v>382</v>
      </c>
      <c r="C133" s="4" t="s">
        <v>123</v>
      </c>
      <c r="D133" s="4" t="s">
        <v>127</v>
      </c>
      <c r="E133" s="4" t="s">
        <v>66</v>
      </c>
      <c r="F133" s="4">
        <v>774.952</v>
      </c>
      <c r="G133" s="5">
        <v>83.017099999999999</v>
      </c>
      <c r="H133" s="5">
        <v>16.86</v>
      </c>
      <c r="I133" s="5">
        <v>1995</v>
      </c>
      <c r="J133" s="4" t="s">
        <v>129</v>
      </c>
    </row>
    <row r="134" spans="1:10" x14ac:dyDescent="0.25">
      <c r="A134" s="4">
        <f t="shared" ca="1" si="4"/>
        <v>131</v>
      </c>
      <c r="B134" s="4" t="s">
        <v>383</v>
      </c>
      <c r="C134" s="4" t="s">
        <v>384</v>
      </c>
      <c r="D134" s="4" t="s">
        <v>127</v>
      </c>
      <c r="E134" s="4" t="s">
        <v>66</v>
      </c>
      <c r="F134" s="4">
        <v>740.41200000000003</v>
      </c>
      <c r="G134" s="5">
        <v>75.139899999999997</v>
      </c>
      <c r="H134" s="5">
        <v>16.850000000000001</v>
      </c>
      <c r="I134" s="5">
        <v>2885</v>
      </c>
      <c r="J134" s="4" t="s">
        <v>129</v>
      </c>
    </row>
    <row r="135" spans="1:10" x14ac:dyDescent="0.25">
      <c r="A135" s="4">
        <f t="shared" ca="1" si="4"/>
        <v>132</v>
      </c>
      <c r="B135" s="4" t="s">
        <v>385</v>
      </c>
      <c r="C135" s="4" t="s">
        <v>386</v>
      </c>
      <c r="D135" s="4" t="s">
        <v>127</v>
      </c>
      <c r="E135" s="4" t="s">
        <v>66</v>
      </c>
      <c r="F135" s="4">
        <v>977.39</v>
      </c>
      <c r="G135" s="5">
        <v>98.279600000000002</v>
      </c>
      <c r="H135" s="5">
        <v>16.52</v>
      </c>
      <c r="I135" s="5">
        <v>352</v>
      </c>
      <c r="J135" s="4" t="s">
        <v>129</v>
      </c>
    </row>
    <row r="136" spans="1:10" x14ac:dyDescent="0.25">
      <c r="A136" s="4">
        <f t="shared" ca="1" si="4"/>
        <v>133</v>
      </c>
      <c r="B136" s="4" t="s">
        <v>387</v>
      </c>
      <c r="C136" s="4" t="s">
        <v>77</v>
      </c>
      <c r="D136" s="4" t="s">
        <v>127</v>
      </c>
      <c r="E136" s="4" t="s">
        <v>66</v>
      </c>
      <c r="F136" s="4">
        <v>982.55100000000004</v>
      </c>
      <c r="G136" s="5">
        <v>103.88340000000001</v>
      </c>
      <c r="H136" s="5">
        <v>16.32</v>
      </c>
      <c r="I136" s="5">
        <v>780</v>
      </c>
      <c r="J136" s="4" t="s">
        <v>129</v>
      </c>
    </row>
    <row r="137" spans="1:10" x14ac:dyDescent="0.25">
      <c r="A137" s="4">
        <f t="shared" ca="1" si="4"/>
        <v>134</v>
      </c>
      <c r="B137" s="4" t="s">
        <v>388</v>
      </c>
      <c r="C137" s="4" t="s">
        <v>389</v>
      </c>
      <c r="D137" s="4" t="s">
        <v>127</v>
      </c>
      <c r="E137" s="4" t="s">
        <v>66</v>
      </c>
      <c r="F137" s="4">
        <v>888.13499999999999</v>
      </c>
      <c r="G137" s="5">
        <v>93.907899999999998</v>
      </c>
      <c r="H137" s="5">
        <v>16.86</v>
      </c>
      <c r="I137" s="5">
        <v>2424</v>
      </c>
      <c r="J137" s="4" t="s">
        <v>129</v>
      </c>
    </row>
    <row r="138" spans="1:10" x14ac:dyDescent="0.25">
      <c r="A138" s="4">
        <f t="shared" ca="1" si="4"/>
        <v>135</v>
      </c>
      <c r="B138" s="4" t="s">
        <v>390</v>
      </c>
      <c r="C138" s="4" t="s">
        <v>82</v>
      </c>
      <c r="D138" s="4" t="s">
        <v>127</v>
      </c>
      <c r="E138" s="4" t="s">
        <v>66</v>
      </c>
      <c r="F138" s="4">
        <v>957.64600000000007</v>
      </c>
      <c r="G138" s="5">
        <v>104.5621</v>
      </c>
      <c r="H138" s="5">
        <v>16.91</v>
      </c>
      <c r="I138" s="5">
        <v>1251</v>
      </c>
      <c r="J138" s="4" t="s">
        <v>129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127</v>
      </c>
      <c r="E139" s="4" t="s">
        <v>66</v>
      </c>
      <c r="F139" s="4">
        <v>1000</v>
      </c>
      <c r="G139" s="5">
        <v>101.0008</v>
      </c>
      <c r="H139" s="5">
        <v>17.11</v>
      </c>
      <c r="I139" s="5">
        <v>345</v>
      </c>
      <c r="J139" s="4" t="s">
        <v>129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127</v>
      </c>
      <c r="E140" s="4" t="s">
        <v>66</v>
      </c>
      <c r="F140" s="4">
        <v>898.28500000000008</v>
      </c>
      <c r="G140" s="5">
        <v>95.1952</v>
      </c>
      <c r="H140" s="5">
        <v>16.87</v>
      </c>
      <c r="I140" s="5">
        <v>2051</v>
      </c>
      <c r="J140" s="4" t="s">
        <v>129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127</v>
      </c>
      <c r="E141" s="4" t="s">
        <v>66</v>
      </c>
      <c r="F141" s="4">
        <v>980.572</v>
      </c>
      <c r="G141" s="5">
        <v>101.7239</v>
      </c>
      <c r="H141" s="5">
        <v>16.57</v>
      </c>
      <c r="I141" s="5">
        <v>268</v>
      </c>
      <c r="J141" s="4" t="s">
        <v>129</v>
      </c>
    </row>
    <row r="142" spans="1:10" x14ac:dyDescent="0.25">
      <c r="A142" s="4">
        <f t="shared" ca="1" si="4"/>
        <v>139</v>
      </c>
      <c r="B142" s="4" t="s">
        <v>397</v>
      </c>
      <c r="C142" s="4" t="s">
        <v>398</v>
      </c>
      <c r="D142" s="4" t="s">
        <v>127</v>
      </c>
      <c r="E142" s="4" t="s">
        <v>66</v>
      </c>
      <c r="F142" s="4">
        <v>897.73300000000006</v>
      </c>
      <c r="G142" s="5">
        <v>94.389300000000006</v>
      </c>
      <c r="H142" s="5">
        <v>16.86</v>
      </c>
      <c r="I142" s="5">
        <v>2806</v>
      </c>
      <c r="J142" s="4" t="s">
        <v>129</v>
      </c>
    </row>
    <row r="143" spans="1:10" x14ac:dyDescent="0.25">
      <c r="A143" s="4">
        <f t="shared" ca="1" si="4"/>
        <v>140</v>
      </c>
      <c r="B143" s="4" t="s">
        <v>399</v>
      </c>
      <c r="C143" s="4" t="s">
        <v>400</v>
      </c>
      <c r="D143" s="4" t="s">
        <v>127</v>
      </c>
      <c r="E143" s="4" t="s">
        <v>66</v>
      </c>
      <c r="F143" s="4">
        <v>832.87800000000004</v>
      </c>
      <c r="G143" s="5">
        <v>90.554500000000004</v>
      </c>
      <c r="H143" s="5">
        <v>16.89</v>
      </c>
      <c r="I143" s="5">
        <v>1972</v>
      </c>
      <c r="J143" s="4" t="s">
        <v>129</v>
      </c>
    </row>
    <row r="144" spans="1:10" x14ac:dyDescent="0.25">
      <c r="A144" s="4">
        <f t="shared" ca="1" si="4"/>
        <v>141</v>
      </c>
      <c r="B144" s="4" t="s">
        <v>401</v>
      </c>
      <c r="C144" s="4" t="s">
        <v>103</v>
      </c>
      <c r="D144" s="4" t="s">
        <v>127</v>
      </c>
      <c r="E144" s="4" t="s">
        <v>66</v>
      </c>
      <c r="F144" s="4">
        <v>1020.27</v>
      </c>
      <c r="G144" s="5">
        <v>104.5313</v>
      </c>
      <c r="H144" s="5">
        <v>16.260000000000002</v>
      </c>
      <c r="I144" s="5">
        <v>1408</v>
      </c>
      <c r="J144" s="4" t="s">
        <v>129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127</v>
      </c>
      <c r="E145" s="4" t="s">
        <v>66</v>
      </c>
      <c r="F145" s="4">
        <v>895.19200000000001</v>
      </c>
      <c r="G145" s="5">
        <v>97.735900000000001</v>
      </c>
      <c r="H145" s="5">
        <v>16.850000000000001</v>
      </c>
      <c r="I145" s="5">
        <v>3080</v>
      </c>
      <c r="J145" s="4" t="s">
        <v>129</v>
      </c>
    </row>
    <row r="146" spans="1:10" x14ac:dyDescent="0.25">
      <c r="A146" s="4">
        <f t="shared" ca="1" si="4"/>
        <v>143</v>
      </c>
      <c r="B146" s="4" t="s">
        <v>404</v>
      </c>
      <c r="C146" s="4" t="s">
        <v>405</v>
      </c>
      <c r="D146" s="4" t="s">
        <v>127</v>
      </c>
      <c r="E146" s="4" t="s">
        <v>66</v>
      </c>
      <c r="F146" s="4">
        <v>912.19</v>
      </c>
      <c r="G146" s="5">
        <v>99.4923</v>
      </c>
      <c r="H146" s="5">
        <v>16.86</v>
      </c>
      <c r="I146" s="5">
        <v>2350</v>
      </c>
      <c r="J146" s="4" t="s">
        <v>129</v>
      </c>
    </row>
    <row r="147" spans="1:10" x14ac:dyDescent="0.25">
      <c r="A147" s="4">
        <f t="shared" ca="1" si="4"/>
        <v>144</v>
      </c>
      <c r="B147" s="4" t="s">
        <v>406</v>
      </c>
      <c r="C147" s="4" t="s">
        <v>407</v>
      </c>
      <c r="D147" s="4" t="s">
        <v>127</v>
      </c>
      <c r="E147" s="4" t="s">
        <v>66</v>
      </c>
      <c r="F147" s="4">
        <v>857.50300000000004</v>
      </c>
      <c r="G147" s="5">
        <v>90.763600000000011</v>
      </c>
      <c r="H147" s="5">
        <v>16.84</v>
      </c>
      <c r="I147" s="5">
        <v>4618</v>
      </c>
      <c r="J147" s="4" t="s">
        <v>129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127</v>
      </c>
      <c r="E148" s="4" t="s">
        <v>66</v>
      </c>
      <c r="F148" s="4">
        <v>1000</v>
      </c>
      <c r="G148" s="5">
        <v>107.366</v>
      </c>
      <c r="H148" s="5">
        <v>14.66</v>
      </c>
      <c r="I148" s="5">
        <v>2009</v>
      </c>
      <c r="J148" s="4" t="s">
        <v>129</v>
      </c>
    </row>
    <row r="149" spans="1:10" x14ac:dyDescent="0.25">
      <c r="A149" s="4">
        <f t="shared" ca="1" si="4"/>
        <v>146</v>
      </c>
      <c r="B149" s="4" t="s">
        <v>410</v>
      </c>
      <c r="C149" s="4" t="s">
        <v>115</v>
      </c>
      <c r="D149" s="4" t="s">
        <v>127</v>
      </c>
      <c r="E149" s="4" t="s">
        <v>66</v>
      </c>
      <c r="F149" s="4">
        <v>853.30900000000008</v>
      </c>
      <c r="G149" s="5">
        <v>92.0976</v>
      </c>
      <c r="H149" s="5">
        <v>16.88</v>
      </c>
      <c r="I149" s="5">
        <v>1620</v>
      </c>
      <c r="J149" s="4" t="s">
        <v>129</v>
      </c>
    </row>
    <row r="150" spans="1:10" x14ac:dyDescent="0.25">
      <c r="A150" s="4">
        <f t="shared" ca="1" si="4"/>
        <v>147</v>
      </c>
      <c r="B150" s="4" t="s">
        <v>411</v>
      </c>
      <c r="C150" s="4" t="s">
        <v>81</v>
      </c>
      <c r="D150" s="4" t="s">
        <v>127</v>
      </c>
      <c r="E150" s="4" t="s">
        <v>66</v>
      </c>
      <c r="F150" s="4">
        <v>90.520200000000003</v>
      </c>
      <c r="G150" s="5">
        <v>90.520200000000003</v>
      </c>
      <c r="H150" s="5">
        <v>16.84</v>
      </c>
      <c r="I150" s="5">
        <v>228</v>
      </c>
      <c r="J150" s="4" t="s">
        <v>129</v>
      </c>
    </row>
    <row r="151" spans="1:10" x14ac:dyDescent="0.25">
      <c r="A151" s="4">
        <f t="shared" ca="1" si="4"/>
        <v>148</v>
      </c>
      <c r="B151" s="4" t="s">
        <v>412</v>
      </c>
      <c r="C151" s="4" t="s">
        <v>118</v>
      </c>
      <c r="D151" s="4" t="s">
        <v>127</v>
      </c>
      <c r="E151" s="4" t="s">
        <v>66</v>
      </c>
      <c r="F151" s="4">
        <v>94.452500000000001</v>
      </c>
      <c r="G151" s="5">
        <v>94.452500000000001</v>
      </c>
      <c r="H151" s="5">
        <v>16.62</v>
      </c>
      <c r="I151" s="5">
        <v>130</v>
      </c>
      <c r="J151" s="4" t="s">
        <v>129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127</v>
      </c>
      <c r="E152" s="4" t="s">
        <v>66</v>
      </c>
      <c r="F152" s="4">
        <v>866.85700000000008</v>
      </c>
      <c r="G152" s="5">
        <v>95.513500000000008</v>
      </c>
      <c r="H152" s="5">
        <v>16.87</v>
      </c>
      <c r="I152" s="5">
        <v>3424</v>
      </c>
      <c r="J152" s="4" t="s">
        <v>129</v>
      </c>
    </row>
    <row r="153" spans="1:10" x14ac:dyDescent="0.25">
      <c r="A153" s="4">
        <f t="shared" ca="1" si="4"/>
        <v>150</v>
      </c>
      <c r="B153" s="4" t="s">
        <v>415</v>
      </c>
      <c r="C153" s="4" t="s">
        <v>67</v>
      </c>
      <c r="D153" s="4" t="s">
        <v>127</v>
      </c>
      <c r="E153" s="4" t="s">
        <v>66</v>
      </c>
      <c r="F153" s="4">
        <v>0.99874999999999992</v>
      </c>
      <c r="G153" s="5">
        <v>102.11410000000001</v>
      </c>
      <c r="H153" s="5">
        <v>4.7300000000000004</v>
      </c>
      <c r="I153" s="5">
        <v>3479</v>
      </c>
      <c r="J153" s="4" t="s">
        <v>129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127</v>
      </c>
      <c r="E154" s="4" t="s">
        <v>66</v>
      </c>
      <c r="F154" s="4">
        <v>98.992400000000004</v>
      </c>
      <c r="G154" s="5">
        <v>98.992400000000004</v>
      </c>
      <c r="H154" s="5">
        <v>15.48</v>
      </c>
      <c r="I154" s="5">
        <v>25</v>
      </c>
      <c r="J154" s="4" t="s">
        <v>129</v>
      </c>
    </row>
    <row r="155" spans="1:10" x14ac:dyDescent="0.25">
      <c r="A155" s="4">
        <f t="shared" ca="1" si="4"/>
        <v>152</v>
      </c>
      <c r="B155" s="4" t="s">
        <v>418</v>
      </c>
      <c r="C155" s="4" t="s">
        <v>419</v>
      </c>
      <c r="D155" s="4" t="s">
        <v>132</v>
      </c>
      <c r="E155" s="4" t="s">
        <v>420</v>
      </c>
      <c r="F155" s="4">
        <v>357.09</v>
      </c>
      <c r="G155" s="5"/>
      <c r="H155" s="5"/>
      <c r="I155" s="5"/>
      <c r="J155" s="4" t="s">
        <v>134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132</v>
      </c>
      <c r="E156" s="4" t="s">
        <v>420</v>
      </c>
      <c r="F156" s="4">
        <v>25.58</v>
      </c>
      <c r="G156" s="5"/>
      <c r="H156" s="5"/>
      <c r="I156" s="5"/>
      <c r="J156" s="4" t="s">
        <v>423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127</v>
      </c>
      <c r="E157" s="4" t="s">
        <v>420</v>
      </c>
      <c r="F157" s="4">
        <v>986.29600000000005</v>
      </c>
      <c r="G157" s="5">
        <v>104.2471</v>
      </c>
      <c r="H157" s="5">
        <v>17.97</v>
      </c>
      <c r="I157" s="5">
        <v>795</v>
      </c>
      <c r="J157" s="4" t="s">
        <v>129</v>
      </c>
    </row>
    <row r="158" spans="1:10" x14ac:dyDescent="0.25">
      <c r="A158" s="4">
        <f t="shared" ca="1" si="4"/>
        <v>155</v>
      </c>
      <c r="B158" s="4" t="s">
        <v>426</v>
      </c>
      <c r="C158" s="4" t="s">
        <v>427</v>
      </c>
      <c r="D158" s="4" t="s">
        <v>132</v>
      </c>
      <c r="E158" s="4" t="s">
        <v>428</v>
      </c>
      <c r="F158" s="4">
        <v>852.35</v>
      </c>
      <c r="G158" s="5"/>
      <c r="H158" s="5"/>
      <c r="I158" s="5"/>
      <c r="J158" s="4" t="s">
        <v>134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132</v>
      </c>
      <c r="E159" s="4" t="s">
        <v>431</v>
      </c>
      <c r="F159" s="4">
        <v>27713.16</v>
      </c>
      <c r="G159" s="5"/>
      <c r="H159" s="5"/>
      <c r="I159" s="5"/>
      <c r="J159" s="4" t="s">
        <v>134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132</v>
      </c>
      <c r="E160" s="4" t="s">
        <v>434</v>
      </c>
      <c r="F160" s="4">
        <v>47871.63</v>
      </c>
      <c r="G160" s="5"/>
      <c r="H160" s="5"/>
      <c r="I160" s="5"/>
      <c r="J160" s="4" t="s">
        <v>134</v>
      </c>
    </row>
    <row r="161" spans="1:10" x14ac:dyDescent="0.25">
      <c r="A161" s="4">
        <f t="shared" ca="1" si="4"/>
        <v>158</v>
      </c>
      <c r="B161" s="4" t="s">
        <v>435</v>
      </c>
      <c r="C161" s="4" t="s">
        <v>436</v>
      </c>
      <c r="D161" s="4" t="s">
        <v>132</v>
      </c>
      <c r="E161" s="4" t="s">
        <v>434</v>
      </c>
      <c r="F161" s="4">
        <v>86.58</v>
      </c>
      <c r="G161" s="5"/>
      <c r="H161" s="5"/>
      <c r="I161" s="5"/>
      <c r="J161" s="4" t="s">
        <v>423</v>
      </c>
    </row>
    <row r="162" spans="1:10" x14ac:dyDescent="0.25">
      <c r="A162" s="4">
        <f t="shared" ca="1" si="4"/>
        <v>159</v>
      </c>
      <c r="B162" s="4" t="s">
        <v>437</v>
      </c>
      <c r="C162" s="4" t="s">
        <v>438</v>
      </c>
      <c r="D162" s="4" t="s">
        <v>127</v>
      </c>
      <c r="E162" s="4" t="s">
        <v>439</v>
      </c>
      <c r="F162" s="4">
        <v>99.990200000000002</v>
      </c>
      <c r="G162" s="5">
        <v>100.41800000000001</v>
      </c>
      <c r="H162" s="5">
        <v>11</v>
      </c>
      <c r="I162" s="5">
        <v>352</v>
      </c>
      <c r="J162" s="4" t="s">
        <v>129</v>
      </c>
    </row>
    <row r="163" spans="1:10" x14ac:dyDescent="0.25">
      <c r="A163" s="4">
        <f t="shared" ca="1" si="4"/>
        <v>160</v>
      </c>
      <c r="B163" s="4" t="s">
        <v>440</v>
      </c>
      <c r="C163" s="4" t="s">
        <v>441</v>
      </c>
      <c r="D163" s="4" t="s">
        <v>127</v>
      </c>
      <c r="E163" s="4" t="s">
        <v>439</v>
      </c>
      <c r="F163" s="4">
        <v>99.962900000000005</v>
      </c>
      <c r="G163" s="5">
        <v>103.9046</v>
      </c>
      <c r="H163" s="5">
        <v>11.01</v>
      </c>
      <c r="I163" s="5">
        <v>234</v>
      </c>
      <c r="J163" s="4" t="s">
        <v>129</v>
      </c>
    </row>
    <row r="164" spans="1:10" x14ac:dyDescent="0.25">
      <c r="A164" s="4">
        <f t="shared" ref="A164:A170" ca="1" si="5">IF(OFFSET(A164,-1,0)="№ п/п",1,OFFSET(A164,-1,0)+1)</f>
        <v>161</v>
      </c>
      <c r="B164" s="4" t="s">
        <v>442</v>
      </c>
      <c r="C164" s="4" t="s">
        <v>443</v>
      </c>
      <c r="D164" s="4" t="s">
        <v>132</v>
      </c>
      <c r="E164" s="4" t="s">
        <v>444</v>
      </c>
      <c r="F164" s="4">
        <v>6.01</v>
      </c>
      <c r="G164" s="5"/>
      <c r="H164" s="5"/>
      <c r="I164" s="5"/>
      <c r="J164" s="4" t="s">
        <v>423</v>
      </c>
    </row>
    <row r="165" spans="1:10" x14ac:dyDescent="0.25">
      <c r="A165" s="4">
        <f t="shared" ca="1" si="5"/>
        <v>162</v>
      </c>
      <c r="B165" s="4" t="s">
        <v>445</v>
      </c>
      <c r="C165" s="4" t="s">
        <v>446</v>
      </c>
      <c r="D165" s="4" t="s">
        <v>132</v>
      </c>
      <c r="E165" s="4" t="s">
        <v>444</v>
      </c>
      <c r="F165" s="4">
        <v>805.73</v>
      </c>
      <c r="G165" s="5"/>
      <c r="H165" s="5"/>
      <c r="I165" s="5"/>
      <c r="J165" s="4" t="s">
        <v>134</v>
      </c>
    </row>
    <row r="166" spans="1:10" x14ac:dyDescent="0.25">
      <c r="A166" s="4">
        <f t="shared" ca="1" si="5"/>
        <v>163</v>
      </c>
      <c r="B166" s="4" t="s">
        <v>447</v>
      </c>
      <c r="C166" s="4" t="s">
        <v>448</v>
      </c>
      <c r="D166" s="4" t="s">
        <v>127</v>
      </c>
      <c r="E166" s="4" t="s">
        <v>106</v>
      </c>
      <c r="F166" s="4">
        <v>0.99830000000000008</v>
      </c>
      <c r="G166" s="5">
        <v>99.988900000000001</v>
      </c>
      <c r="H166" s="5">
        <v>6.09</v>
      </c>
      <c r="I166" s="5">
        <v>172</v>
      </c>
      <c r="J166" s="4" t="s">
        <v>129</v>
      </c>
    </row>
    <row r="167" spans="1:10" x14ac:dyDescent="0.25">
      <c r="A167" s="4">
        <f t="shared" ca="1" si="5"/>
        <v>164</v>
      </c>
      <c r="B167" s="4" t="s">
        <v>449</v>
      </c>
      <c r="C167" s="4" t="s">
        <v>450</v>
      </c>
      <c r="D167" s="4" t="s">
        <v>127</v>
      </c>
      <c r="E167" s="4" t="s">
        <v>106</v>
      </c>
      <c r="F167" s="4">
        <v>1000</v>
      </c>
      <c r="G167" s="5">
        <v>100.1438</v>
      </c>
      <c r="H167" s="5">
        <v>17.5</v>
      </c>
      <c r="I167" s="5">
        <v>910</v>
      </c>
      <c r="J167" s="4" t="s">
        <v>129</v>
      </c>
    </row>
    <row r="168" spans="1:10" x14ac:dyDescent="0.25">
      <c r="A168" s="4">
        <f t="shared" ca="1" si="5"/>
        <v>165</v>
      </c>
      <c r="B168" s="4" t="s">
        <v>451</v>
      </c>
      <c r="C168" s="4" t="s">
        <v>107</v>
      </c>
      <c r="D168" s="4" t="s">
        <v>127</v>
      </c>
      <c r="E168" s="4" t="s">
        <v>106</v>
      </c>
      <c r="F168" s="4">
        <v>945.94015136807502</v>
      </c>
      <c r="G168" s="5">
        <v>95.666515140000001</v>
      </c>
      <c r="H168" s="5">
        <v>17.809999999999999</v>
      </c>
      <c r="I168" s="5">
        <v>704</v>
      </c>
      <c r="J168" s="4" t="s">
        <v>129</v>
      </c>
    </row>
    <row r="169" spans="1:10" x14ac:dyDescent="0.25">
      <c r="A169" s="4">
        <f t="shared" ca="1" si="5"/>
        <v>166</v>
      </c>
      <c r="B169" s="4" t="s">
        <v>452</v>
      </c>
      <c r="C169" s="4" t="s">
        <v>453</v>
      </c>
      <c r="D169" s="4" t="s">
        <v>127</v>
      </c>
      <c r="E169" s="4" t="s">
        <v>106</v>
      </c>
      <c r="F169" s="4">
        <v>1000</v>
      </c>
      <c r="G169" s="5">
        <v>101.6027</v>
      </c>
      <c r="H169" s="5">
        <v>16.23</v>
      </c>
      <c r="I169" s="5">
        <v>879</v>
      </c>
      <c r="J169" s="4" t="s">
        <v>129</v>
      </c>
    </row>
    <row r="170" spans="1:10" x14ac:dyDescent="0.25">
      <c r="A170" s="4">
        <f t="shared" ca="1" si="5"/>
        <v>167</v>
      </c>
      <c r="B170" s="4" t="s">
        <v>454</v>
      </c>
      <c r="C170" s="4" t="s">
        <v>455</v>
      </c>
      <c r="D170" s="4" t="s">
        <v>127</v>
      </c>
      <c r="E170" s="4" t="s">
        <v>456</v>
      </c>
      <c r="F170" s="4">
        <v>1.018537</v>
      </c>
      <c r="G170" s="5">
        <v>104.0034</v>
      </c>
      <c r="H170" s="5">
        <v>4.68</v>
      </c>
      <c r="I170" s="5">
        <v>952</v>
      </c>
      <c r="J170" s="4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2025-10-01T05:44:37Z</dcterms:created>
  <dcterms:modified xsi:type="dcterms:W3CDTF">2025-10-02T10:01:24Z</dcterms:modified>
</cp:coreProperties>
</file>