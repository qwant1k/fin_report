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FED9C9B8-CFE5-478F-A603-15611A129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22" i="1"/>
  <c r="M21" i="1"/>
  <c r="M18" i="1"/>
  <c r="M17" i="1"/>
  <c r="M14" i="1"/>
  <c r="M13" i="1"/>
  <c r="M10" i="1"/>
  <c r="M9" i="1"/>
  <c r="Q1" i="1"/>
  <c r="M24" i="1" s="1"/>
  <c r="M11" i="1" l="1"/>
  <c r="M15" i="1"/>
  <c r="M19" i="1"/>
  <c r="M23" i="1"/>
  <c r="M8" i="1"/>
  <c r="M26" i="1" s="1"/>
  <c r="M12" i="1"/>
  <c r="M16" i="1"/>
  <c r="M20" i="1"/>
</calcChain>
</file>

<file path=xl/sharedStrings.xml><?xml version="1.0" encoding="utf-8"?>
<sst xmlns="http://schemas.openxmlformats.org/spreadsheetml/2006/main" count="1025" uniqueCount="454">
  <si>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</si>
  <si>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</si>
  <si>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</si>
  <si>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</si>
  <si>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</si>
  <si>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</si>
  <si>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</si>
  <si>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</si>
  <si>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</si>
  <si>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</si>
  <si>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</si>
  <si>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</si>
  <si>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</si>
  <si>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</si>
  <si>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</si>
  <si>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</si>
  <si>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</si>
  <si>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</si>
  <si>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</si>
  <si>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</si>
  <si>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</si>
  <si>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</si>
  <si>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</si>
  <si>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</si>
  <si>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</si>
  <si>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</si>
  <si>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</si>
  <si>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</si>
  <si>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</si>
  <si>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</si>
  <si>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</si>
  <si>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</si>
  <si>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</si>
  <si>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</si>
  <si>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</si>
  <si>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</si>
  <si>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</si>
  <si>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</si>
  <si>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</si>
  <si>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</si>
  <si>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</si>
  <si>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</si>
  <si>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</si>
  <si>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</si>
  <si>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</si>
  <si>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</si>
  <si>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</si>
  <si>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</si>
  <si>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</si>
  <si>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</si>
  <si>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</si>
  <si>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</si>
  <si>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</si>
  <si>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</si>
  <si>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</si>
  <si>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</si>
  <si>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</si>
  <si>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</si>
  <si>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</si>
  <si>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</si>
  <si>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</si>
  <si>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</si>
  <si>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</si>
  <si>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</si>
  <si>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</si>
  <si>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</si>
  <si>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</si>
  <si>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</si>
  <si>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</si>
  <si>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09.09.2025</t>
  </si>
  <si>
    <t>10.09.2025</t>
  </si>
  <si>
    <t>KZKD00001079</t>
  </si>
  <si>
    <t>KZKD00001244</t>
  </si>
  <si>
    <t>Евразийский банк развития</t>
  </si>
  <si>
    <t>KZ2D00010766</t>
  </si>
  <si>
    <t>KZKD00001285</t>
  </si>
  <si>
    <t>XS3093655341</t>
  </si>
  <si>
    <t>11.09.2025</t>
  </si>
  <si>
    <t>XS1901718335</t>
  </si>
  <si>
    <t>KZ96601A861038102391</t>
  </si>
  <si>
    <t>KZKD00000832</t>
  </si>
  <si>
    <t>18.07.2024</t>
  </si>
  <si>
    <t>29.01.2035</t>
  </si>
  <si>
    <t>KZ2D00011863</t>
  </si>
  <si>
    <t>24.09.2024</t>
  </si>
  <si>
    <t>03.09.2027</t>
  </si>
  <si>
    <t>KZKD00000535</t>
  </si>
  <si>
    <t>27.03.2027</t>
  </si>
  <si>
    <t>KZKD00001251</t>
  </si>
  <si>
    <t>13.03.2025</t>
  </si>
  <si>
    <t>07.03.2030</t>
  </si>
  <si>
    <t>KZKD00001137</t>
  </si>
  <si>
    <t>12.04.2028</t>
  </si>
  <si>
    <t>KZK100000373</t>
  </si>
  <si>
    <t>06.02.2026</t>
  </si>
  <si>
    <t>KZKD00000477</t>
  </si>
  <si>
    <t>24.07.2025</t>
  </si>
  <si>
    <t>19.10.2027</t>
  </si>
  <si>
    <t>KZK200000687</t>
  </si>
  <si>
    <t>21.01.2026</t>
  </si>
  <si>
    <t>KZKD00000444</t>
  </si>
  <si>
    <t>21.08.2025</t>
  </si>
  <si>
    <t>18.08.2026</t>
  </si>
  <si>
    <t>KZK200000760</t>
  </si>
  <si>
    <t>14.08.2025</t>
  </si>
  <si>
    <t>07.08.2029</t>
  </si>
  <si>
    <t>KZKD00000741</t>
  </si>
  <si>
    <t>12.05.2034</t>
  </si>
  <si>
    <t>KZKD00001160</t>
  </si>
  <si>
    <t>28.07.2029</t>
  </si>
  <si>
    <t>KZKD00000790</t>
  </si>
  <si>
    <t>10.07.2025</t>
  </si>
  <si>
    <t>13.08.2029</t>
  </si>
  <si>
    <t>KZKD00001087</t>
  </si>
  <si>
    <t>31.03.2029</t>
  </si>
  <si>
    <t>KZKD00001129</t>
  </si>
  <si>
    <t>17.03.2031</t>
  </si>
  <si>
    <t>KZKD00000949</t>
  </si>
  <si>
    <t>16.04.2032</t>
  </si>
  <si>
    <t>KZKD00001152</t>
  </si>
  <si>
    <t>26.07.2032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</si>
  <si>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</si>
  <si>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</si>
  <si>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</si>
  <si>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</si>
  <si>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</si>
  <si>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</si>
  <si>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</si>
  <si>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</si>
  <si>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</si>
  <si>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</si>
  <si>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</si>
  <si>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</si>
  <si>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</si>
  <si>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</si>
  <si>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</si>
  <si>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</si>
  <si>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</si>
  <si>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</si>
  <si>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</si>
  <si>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</si>
  <si>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</si>
  <si>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</si>
  <si>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</si>
  <si>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</si>
  <si>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</si>
  <si>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</si>
  <si>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</si>
  <si>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</si>
  <si>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</si>
  <si>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</si>
  <si>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</si>
  <si>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</si>
  <si>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</si>
  <si>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</si>
  <si>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</si>
  <si>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</si>
  <si>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</si>
  <si>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</si>
  <si>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</si>
  <si>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</si>
  <si>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</si>
  <si>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</si>
  <si>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</si>
  <si>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</si>
  <si>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</si>
  <si>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</si>
  <si>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</si>
  <si>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</si>
  <si>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</si>
  <si>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</si>
  <si>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</si>
  <si>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</si>
  <si>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</si>
  <si>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</si>
  <si>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</si>
  <si>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</si>
  <si>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</si>
  <si>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</si>
  <si>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</si>
  <si>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</si>
  <si>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</si>
  <si>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</si>
  <si>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</si>
  <si>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</si>
  <si>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</si>
  <si>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</si>
  <si>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</si>
  <si>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</si>
  <si>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</si>
  <si>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</si>
  <si>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</si>
  <si>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</si>
  <si>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</si>
  <si>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</si>
  <si>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</si>
  <si>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</si>
  <si>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</si>
  <si>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</si>
  <si>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</si>
  <si>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</si>
  <si>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</si>
  <si>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</si>
  <si>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</si>
  <si>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</si>
  <si>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</si>
  <si>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</si>
  <si>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</si>
  <si>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</si>
  <si>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MFMOb27</t>
  </si>
  <si>
    <t>KZ2P00013345</t>
  </si>
  <si>
    <t>MFMOb10</t>
  </si>
  <si>
    <t>KZ2P00012651</t>
  </si>
  <si>
    <t>MFLGb19</t>
  </si>
  <si>
    <t>KZ2P00014277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</si>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</sst>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6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25426269632.456215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80</v>
      </c>
      <c r="C8" s="16">
        <v>1897500</v>
      </c>
      <c r="D8" s="17">
        <v>1897500000</v>
      </c>
      <c r="E8" s="18">
        <v>8.07</v>
      </c>
      <c r="F8" s="19" t="s">
        <v>81</v>
      </c>
      <c r="G8" s="19" t="s">
        <v>82</v>
      </c>
      <c r="H8" s="18">
        <v>1338524962.5</v>
      </c>
      <c r="I8" s="20">
        <v>60.066900000000004</v>
      </c>
      <c r="J8" s="20">
        <v>65.021000000000001</v>
      </c>
      <c r="K8" s="18">
        <v>94003731.25</v>
      </c>
      <c r="L8" s="18">
        <v>1233773158.75</v>
      </c>
      <c r="M8" s="21">
        <f t="shared" ref="M8:M24" si="0">L8/$Q$1</f>
        <v>4.8523561520605794E-2</v>
      </c>
      <c r="O8" s="10">
        <v>749863.88888888899</v>
      </c>
    </row>
    <row r="9" spans="1:17" x14ac:dyDescent="0.2">
      <c r="A9" s="15" t="s">
        <v>73</v>
      </c>
      <c r="B9" s="15" t="s">
        <v>83</v>
      </c>
      <c r="C9" s="16">
        <v>992234</v>
      </c>
      <c r="D9" s="17">
        <v>992234000</v>
      </c>
      <c r="E9" s="18">
        <v>14.3</v>
      </c>
      <c r="F9" s="19" t="s">
        <v>84</v>
      </c>
      <c r="G9" s="19" t="s">
        <v>85</v>
      </c>
      <c r="H9" s="18">
        <v>991722999.49000001</v>
      </c>
      <c r="I9" s="20">
        <v>94.47460203</v>
      </c>
      <c r="J9" s="20">
        <v>94.752702029999995</v>
      </c>
      <c r="K9" s="18">
        <v>2758961.76111111</v>
      </c>
      <c r="L9" s="18">
        <v>940168084.427333</v>
      </c>
      <c r="M9" s="21">
        <f t="shared" si="0"/>
        <v>3.6976249289326496E-2</v>
      </c>
      <c r="O9" s="10">
        <v>749863.88888888899</v>
      </c>
    </row>
    <row r="10" spans="1:17" x14ac:dyDescent="0.2">
      <c r="A10" s="15" t="s">
        <v>66</v>
      </c>
      <c r="B10" s="15" t="s">
        <v>86</v>
      </c>
      <c r="C10" s="16">
        <v>3162500</v>
      </c>
      <c r="D10" s="17">
        <v>3162500000</v>
      </c>
      <c r="E10" s="18">
        <v>5.49</v>
      </c>
      <c r="F10" s="19" t="s">
        <v>81</v>
      </c>
      <c r="G10" s="19" t="s">
        <v>87</v>
      </c>
      <c r="H10" s="18">
        <v>2627740225</v>
      </c>
      <c r="I10" s="20">
        <v>84.819900000000004</v>
      </c>
      <c r="J10" s="20">
        <v>87.305700000000002</v>
      </c>
      <c r="K10" s="18">
        <v>78611843.75</v>
      </c>
      <c r="L10" s="18">
        <v>2761041181.25</v>
      </c>
      <c r="M10" s="21">
        <f t="shared" si="0"/>
        <v>0.10859010075648598</v>
      </c>
      <c r="O10" s="10">
        <v>749863.88888888899</v>
      </c>
    </row>
    <row r="11" spans="1:17" x14ac:dyDescent="0.2">
      <c r="A11" s="15" t="s">
        <v>66</v>
      </c>
      <c r="B11" s="15" t="s">
        <v>88</v>
      </c>
      <c r="C11" s="16">
        <v>550000</v>
      </c>
      <c r="D11" s="17">
        <v>550000000</v>
      </c>
      <c r="E11" s="18">
        <v>12</v>
      </c>
      <c r="F11" s="19" t="s">
        <v>89</v>
      </c>
      <c r="G11" s="19" t="s">
        <v>90</v>
      </c>
      <c r="H11" s="18">
        <v>491343050</v>
      </c>
      <c r="I11" s="20">
        <v>84.879100000000008</v>
      </c>
      <c r="J11" s="20">
        <v>90.979100000000003</v>
      </c>
      <c r="K11" s="18">
        <v>33549999.999999989</v>
      </c>
      <c r="L11" s="18">
        <v>500385050</v>
      </c>
      <c r="M11" s="21">
        <f t="shared" si="0"/>
        <v>1.9679845185046993E-2</v>
      </c>
      <c r="O11" s="10">
        <v>749863.88888888899</v>
      </c>
    </row>
    <row r="12" spans="1:17" x14ac:dyDescent="0.2">
      <c r="A12" s="15" t="s">
        <v>66</v>
      </c>
      <c r="B12" s="15" t="s">
        <v>91</v>
      </c>
      <c r="C12" s="16">
        <v>1897500</v>
      </c>
      <c r="D12" s="17">
        <v>1897500000</v>
      </c>
      <c r="E12" s="18">
        <v>10.4</v>
      </c>
      <c r="F12" s="19" t="s">
        <v>81</v>
      </c>
      <c r="G12" s="19" t="s">
        <v>92</v>
      </c>
      <c r="H12" s="18">
        <v>1736743800</v>
      </c>
      <c r="I12" s="20">
        <v>86.334699999999998</v>
      </c>
      <c r="J12" s="20">
        <v>90.610300000000009</v>
      </c>
      <c r="K12" s="18">
        <v>81128666.666666657</v>
      </c>
      <c r="L12" s="18">
        <v>1719329599.166666</v>
      </c>
      <c r="M12" s="21">
        <f t="shared" si="0"/>
        <v>6.7620206346430387E-2</v>
      </c>
      <c r="O12" s="10">
        <v>749863.88888888899</v>
      </c>
    </row>
    <row r="13" spans="1:17" x14ac:dyDescent="0.2">
      <c r="A13" s="15" t="s">
        <v>66</v>
      </c>
      <c r="B13" s="15" t="s">
        <v>93</v>
      </c>
      <c r="C13" s="16">
        <v>11424000</v>
      </c>
      <c r="D13" s="17">
        <v>1142400000</v>
      </c>
      <c r="E13" s="18">
        <v>0</v>
      </c>
      <c r="F13" s="19" t="s">
        <v>89</v>
      </c>
      <c r="G13" s="19" t="s">
        <v>94</v>
      </c>
      <c r="H13" s="18">
        <v>1003902278.4</v>
      </c>
      <c r="I13" s="20">
        <v>93.77470000000001</v>
      </c>
      <c r="J13" s="20">
        <v>93.77470000000001</v>
      </c>
      <c r="K13" s="18"/>
      <c r="L13" s="18">
        <v>1071282172.8</v>
      </c>
      <c r="M13" s="21">
        <f t="shared" si="0"/>
        <v>4.2132888083296571E-2</v>
      </c>
      <c r="O13" s="10">
        <v>749863.88888888899</v>
      </c>
    </row>
    <row r="14" spans="1:17" x14ac:dyDescent="0.2">
      <c r="A14" s="15" t="s">
        <v>66</v>
      </c>
      <c r="B14" s="15" t="s">
        <v>95</v>
      </c>
      <c r="C14" s="16">
        <v>2391500</v>
      </c>
      <c r="D14" s="17">
        <v>2391500000</v>
      </c>
      <c r="E14" s="18">
        <v>5.3</v>
      </c>
      <c r="F14" s="19" t="s">
        <v>96</v>
      </c>
      <c r="G14" s="19" t="s">
        <v>97</v>
      </c>
      <c r="H14" s="18">
        <v>1903079172</v>
      </c>
      <c r="I14" s="20">
        <v>80.047700000000006</v>
      </c>
      <c r="J14" s="20">
        <v>84.773499999999999</v>
      </c>
      <c r="K14" s="18">
        <v>113018304.164444</v>
      </c>
      <c r="L14" s="18">
        <v>2027359049.664444</v>
      </c>
      <c r="M14" s="21">
        <f t="shared" si="0"/>
        <v>7.9734820678396073E-2</v>
      </c>
      <c r="O14" s="10">
        <v>749863.88888888899</v>
      </c>
    </row>
    <row r="15" spans="1:17" x14ac:dyDescent="0.2">
      <c r="A15" s="15" t="s">
        <v>66</v>
      </c>
      <c r="B15" s="15" t="s">
        <v>98</v>
      </c>
      <c r="C15" s="16">
        <v>2530000</v>
      </c>
      <c r="D15" s="17">
        <v>2530000000</v>
      </c>
      <c r="E15" s="18">
        <v>10.67</v>
      </c>
      <c r="F15" s="19" t="s">
        <v>81</v>
      </c>
      <c r="G15" s="19" t="s">
        <v>99</v>
      </c>
      <c r="H15" s="18">
        <v>2455119589.9966769</v>
      </c>
      <c r="I15" s="20">
        <v>98.029899999999998</v>
      </c>
      <c r="J15" s="20">
        <v>99.482200000000006</v>
      </c>
      <c r="K15" s="18">
        <v>36743330.555555552</v>
      </c>
      <c r="L15" s="18">
        <v>2516899800.5555549</v>
      </c>
      <c r="M15" s="21">
        <f t="shared" si="0"/>
        <v>9.8988166055738416E-2</v>
      </c>
      <c r="O15" s="10">
        <v>749863.88888888899</v>
      </c>
    </row>
    <row r="16" spans="1:17" x14ac:dyDescent="0.2">
      <c r="A16" s="15" t="s">
        <v>66</v>
      </c>
      <c r="B16" s="15" t="s">
        <v>100</v>
      </c>
      <c r="C16" s="16">
        <v>1106600</v>
      </c>
      <c r="D16" s="17">
        <v>1106600000</v>
      </c>
      <c r="E16" s="18">
        <v>5.5</v>
      </c>
      <c r="F16" s="19" t="s">
        <v>101</v>
      </c>
      <c r="G16" s="19" t="s">
        <v>102</v>
      </c>
      <c r="H16" s="18">
        <v>999478906.79999995</v>
      </c>
      <c r="I16" s="20">
        <v>90.393300000000011</v>
      </c>
      <c r="J16" s="20">
        <v>90.729399999999998</v>
      </c>
      <c r="K16" s="18">
        <v>3719405.5588888898</v>
      </c>
      <c r="L16" s="18">
        <v>1004011663.358888</v>
      </c>
      <c r="M16" s="21">
        <f t="shared" si="0"/>
        <v>3.9487179121127688E-2</v>
      </c>
      <c r="O16" s="10">
        <v>749863.88888888899</v>
      </c>
    </row>
    <row r="17" spans="1:15" x14ac:dyDescent="0.2">
      <c r="A17" s="15" t="s">
        <v>66</v>
      </c>
      <c r="B17" s="15" t="s">
        <v>103</v>
      </c>
      <c r="C17" s="16">
        <v>897100</v>
      </c>
      <c r="D17" s="17">
        <v>897100000</v>
      </c>
      <c r="E17" s="18">
        <v>17.010000000000002</v>
      </c>
      <c r="F17" s="19" t="s">
        <v>104</v>
      </c>
      <c r="G17" s="19" t="s">
        <v>105</v>
      </c>
      <c r="H17" s="18">
        <v>896985171.20000005</v>
      </c>
      <c r="I17" s="20">
        <v>101.5849</v>
      </c>
      <c r="J17" s="20">
        <v>103.1442</v>
      </c>
      <c r="K17" s="18">
        <v>13988031.75</v>
      </c>
      <c r="L17" s="18">
        <v>925306169.64999998</v>
      </c>
      <c r="M17" s="21">
        <f t="shared" si="0"/>
        <v>3.6391739056714077E-2</v>
      </c>
      <c r="O17" s="10">
        <v>749863.88888888899</v>
      </c>
    </row>
    <row r="18" spans="1:15" x14ac:dyDescent="0.2">
      <c r="A18" s="15" t="s">
        <v>66</v>
      </c>
      <c r="B18" s="15" t="s">
        <v>106</v>
      </c>
      <c r="C18" s="16">
        <v>1897500</v>
      </c>
      <c r="D18" s="17">
        <v>1897500000</v>
      </c>
      <c r="E18" s="18">
        <v>8.07</v>
      </c>
      <c r="F18" s="19" t="s">
        <v>81</v>
      </c>
      <c r="G18" s="19" t="s">
        <v>107</v>
      </c>
      <c r="H18" s="18">
        <v>1359122325</v>
      </c>
      <c r="I18" s="20">
        <v>61.478500000000004</v>
      </c>
      <c r="J18" s="20">
        <v>64.123699999999999</v>
      </c>
      <c r="K18" s="18">
        <v>50192037.5</v>
      </c>
      <c r="L18" s="18">
        <v>1216746575</v>
      </c>
      <c r="M18" s="21">
        <f t="shared" si="0"/>
        <v>4.7853916150045188E-2</v>
      </c>
      <c r="O18" s="10">
        <v>749863.88888888899</v>
      </c>
    </row>
    <row r="19" spans="1:15" x14ac:dyDescent="0.2">
      <c r="A19" s="15" t="s">
        <v>66</v>
      </c>
      <c r="B19" s="15" t="s">
        <v>108</v>
      </c>
      <c r="C19" s="16">
        <v>1897500</v>
      </c>
      <c r="D19" s="17">
        <v>1897500000</v>
      </c>
      <c r="E19" s="18">
        <v>10.55</v>
      </c>
      <c r="F19" s="19" t="s">
        <v>81</v>
      </c>
      <c r="G19" s="19" t="s">
        <v>109</v>
      </c>
      <c r="H19" s="18">
        <v>1708326839.9966669</v>
      </c>
      <c r="I19" s="20">
        <v>82.4392</v>
      </c>
      <c r="J19" s="20">
        <v>83.67</v>
      </c>
      <c r="K19" s="18">
        <v>23355062.5</v>
      </c>
      <c r="L19" s="18">
        <v>1587638882.5</v>
      </c>
      <c r="M19" s="21">
        <f t="shared" si="0"/>
        <v>6.2440889106021476E-2</v>
      </c>
      <c r="O19" s="10">
        <v>749863.88888888899</v>
      </c>
    </row>
    <row r="20" spans="1:15" x14ac:dyDescent="0.2">
      <c r="A20" s="15" t="s">
        <v>66</v>
      </c>
      <c r="B20" s="15" t="s">
        <v>110</v>
      </c>
      <c r="C20" s="16">
        <v>2469500</v>
      </c>
      <c r="D20" s="17">
        <v>2469500000</v>
      </c>
      <c r="E20" s="18">
        <v>7.68</v>
      </c>
      <c r="F20" s="19" t="s">
        <v>111</v>
      </c>
      <c r="G20" s="19" t="s">
        <v>112</v>
      </c>
      <c r="H20" s="18">
        <v>1827657194</v>
      </c>
      <c r="I20" s="20">
        <v>74.5976</v>
      </c>
      <c r="J20" s="20">
        <v>75.173600000000008</v>
      </c>
      <c r="K20" s="18">
        <v>14224320</v>
      </c>
      <c r="L20" s="18">
        <v>1856412052</v>
      </c>
      <c r="M20" s="21">
        <f t="shared" si="0"/>
        <v>7.3011577350313342E-2</v>
      </c>
      <c r="O20" s="10">
        <v>749863.88888888899</v>
      </c>
    </row>
    <row r="21" spans="1:15" x14ac:dyDescent="0.2">
      <c r="A21" s="15" t="s">
        <v>66</v>
      </c>
      <c r="B21" s="15" t="s">
        <v>113</v>
      </c>
      <c r="C21" s="16">
        <v>1897500</v>
      </c>
      <c r="D21" s="17">
        <v>1897500000</v>
      </c>
      <c r="E21" s="18">
        <v>11</v>
      </c>
      <c r="F21" s="19" t="s">
        <v>81</v>
      </c>
      <c r="G21" s="19" t="s">
        <v>114</v>
      </c>
      <c r="H21" s="18">
        <v>1743261712.5</v>
      </c>
      <c r="I21" s="20">
        <v>84.41940000000001</v>
      </c>
      <c r="J21" s="20">
        <v>89.308300000000003</v>
      </c>
      <c r="K21" s="18">
        <v>92766666.666666657</v>
      </c>
      <c r="L21" s="18">
        <v>1694624781.666666</v>
      </c>
      <c r="M21" s="21">
        <f t="shared" si="0"/>
        <v>6.6648580627946513E-2</v>
      </c>
      <c r="O21" s="10">
        <v>749863.88888888899</v>
      </c>
    </row>
    <row r="22" spans="1:15" x14ac:dyDescent="0.2">
      <c r="A22" s="15" t="s">
        <v>66</v>
      </c>
      <c r="B22" s="15" t="s">
        <v>115</v>
      </c>
      <c r="C22" s="16">
        <v>1897500</v>
      </c>
      <c r="D22" s="17">
        <v>1897500000</v>
      </c>
      <c r="E22" s="18">
        <v>10.3</v>
      </c>
      <c r="F22" s="19" t="s">
        <v>81</v>
      </c>
      <c r="G22" s="19" t="s">
        <v>116</v>
      </c>
      <c r="H22" s="18">
        <v>1645329839.996666</v>
      </c>
      <c r="I22" s="20">
        <v>77.208300000000008</v>
      </c>
      <c r="J22" s="20">
        <v>82.158000000000001</v>
      </c>
      <c r="K22" s="18">
        <v>93920979.166666657</v>
      </c>
      <c r="L22" s="18">
        <v>1558948471.666666</v>
      </c>
      <c r="M22" s="21">
        <f t="shared" si="0"/>
        <v>6.131251238194587E-2</v>
      </c>
      <c r="O22" s="10">
        <v>749863.88888888899</v>
      </c>
    </row>
    <row r="23" spans="1:15" x14ac:dyDescent="0.2">
      <c r="A23" s="15" t="s">
        <v>66</v>
      </c>
      <c r="B23" s="15" t="s">
        <v>117</v>
      </c>
      <c r="C23" s="16">
        <v>1897500</v>
      </c>
      <c r="D23" s="17">
        <v>1897500000</v>
      </c>
      <c r="E23" s="18">
        <v>8.4499999999999993</v>
      </c>
      <c r="F23" s="19" t="s">
        <v>81</v>
      </c>
      <c r="G23" s="19" t="s">
        <v>118</v>
      </c>
      <c r="H23" s="18">
        <v>1457889097.496666</v>
      </c>
      <c r="I23" s="20">
        <v>67.813200000000009</v>
      </c>
      <c r="J23" s="20">
        <v>71.193200000000004</v>
      </c>
      <c r="K23" s="18">
        <v>64135500</v>
      </c>
      <c r="L23" s="18">
        <v>1350890970</v>
      </c>
      <c r="M23" s="21">
        <f t="shared" si="0"/>
        <v>5.3129735093960066E-2</v>
      </c>
      <c r="O23" s="10">
        <v>749863.88888888899</v>
      </c>
    </row>
    <row r="24" spans="1:15" x14ac:dyDescent="0.2">
      <c r="A24" s="15" t="s">
        <v>66</v>
      </c>
      <c r="B24" s="15" t="s">
        <v>119</v>
      </c>
      <c r="C24" s="16">
        <v>1897500</v>
      </c>
      <c r="D24" s="17">
        <v>1897500000</v>
      </c>
      <c r="E24" s="18">
        <v>10.65</v>
      </c>
      <c r="F24" s="19" t="s">
        <v>81</v>
      </c>
      <c r="G24" s="19" t="s">
        <v>120</v>
      </c>
      <c r="H24" s="18">
        <v>1648500562.5</v>
      </c>
      <c r="I24" s="20">
        <v>75.71820000000001</v>
      </c>
      <c r="J24" s="20">
        <v>77.019900000000007</v>
      </c>
      <c r="K24" s="18">
        <v>24699125</v>
      </c>
      <c r="L24" s="18">
        <v>1461451970</v>
      </c>
      <c r="M24" s="21">
        <f t="shared" si="0"/>
        <v>5.7478033196599179E-2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820815966.28999949</v>
      </c>
      <c r="L26" s="23">
        <f>SUM(L8:L25)</f>
        <v>25426269632.456215</v>
      </c>
      <c r="M26" s="26">
        <f>SUM(M8:M25)</f>
        <v>1.0000000000000002</v>
      </c>
      <c r="N26" s="9">
        <v>25426269632.455116</v>
      </c>
      <c r="O26" s="63">
        <f>L26-N26</f>
        <v>1.0986328125E-3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141987180.09999999</v>
      </c>
    </row>
    <row r="30" spans="1:15" x14ac:dyDescent="0.2">
      <c r="A30" s="29" t="s">
        <v>79</v>
      </c>
      <c r="B30" s="30">
        <v>141987180.09999999</v>
      </c>
      <c r="C30" s="11">
        <v>141987180.09999999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265809</v>
      </c>
      <c r="D35" s="32" t="s">
        <v>68</v>
      </c>
      <c r="E35" s="34" t="s">
        <v>69</v>
      </c>
      <c r="F35" s="34" t="s">
        <v>70</v>
      </c>
      <c r="G35" s="35">
        <v>944.83899999623816</v>
      </c>
      <c r="H35" s="35">
        <f t="shared" ref="H35:H43" si="1">J35/C35</f>
        <v>945.24981080399834</v>
      </c>
      <c r="I35" s="36">
        <v>251146709.75</v>
      </c>
      <c r="J35" s="36">
        <v>251255906.96000001</v>
      </c>
      <c r="K35" s="37">
        <v>15.87</v>
      </c>
      <c r="L35" s="37">
        <v>109197.21</v>
      </c>
      <c r="M35" s="31">
        <f t="shared" ref="M35:M43" si="2">I35+L35</f>
        <v>251255906.96000001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886075</v>
      </c>
      <c r="D36" s="32" t="s">
        <v>68</v>
      </c>
      <c r="E36" s="34" t="s">
        <v>69</v>
      </c>
      <c r="F36" s="34" t="s">
        <v>70</v>
      </c>
      <c r="G36" s="35">
        <v>649.25600000000009</v>
      </c>
      <c r="H36" s="35">
        <f t="shared" si="1"/>
        <v>649.53811863555575</v>
      </c>
      <c r="I36" s="36">
        <v>575289510.20000005</v>
      </c>
      <c r="J36" s="36">
        <v>575539488.47000003</v>
      </c>
      <c r="K36" s="37">
        <v>15.860200000000001</v>
      </c>
      <c r="L36" s="37">
        <v>249978.27</v>
      </c>
      <c r="M36" s="31">
        <f t="shared" si="2"/>
        <v>575539488.47000003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4236</v>
      </c>
      <c r="D37" s="32" t="s">
        <v>68</v>
      </c>
      <c r="E37" s="34" t="s">
        <v>69</v>
      </c>
      <c r="F37" s="34" t="s">
        <v>70</v>
      </c>
      <c r="G37" s="35">
        <v>944.83899905571309</v>
      </c>
      <c r="H37" s="35">
        <f t="shared" si="1"/>
        <v>945.24980878186966</v>
      </c>
      <c r="I37" s="36">
        <v>4002338</v>
      </c>
      <c r="J37" s="36">
        <v>4004078.19</v>
      </c>
      <c r="K37" s="37">
        <v>15.87</v>
      </c>
      <c r="L37" s="37">
        <v>1740.19</v>
      </c>
      <c r="M37" s="31">
        <f t="shared" si="2"/>
        <v>4004078.19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72</v>
      </c>
      <c r="C38" s="33">
        <v>352187</v>
      </c>
      <c r="D38" s="32" t="s">
        <v>68</v>
      </c>
      <c r="E38" s="34" t="s">
        <v>69</v>
      </c>
      <c r="F38" s="34" t="s">
        <v>70</v>
      </c>
      <c r="G38" s="35">
        <v>900.54599999432105</v>
      </c>
      <c r="H38" s="35">
        <f t="shared" si="1"/>
        <v>900.93755246502576</v>
      </c>
      <c r="I38" s="36">
        <v>317160594.10000002</v>
      </c>
      <c r="J38" s="36">
        <v>317298493.79000002</v>
      </c>
      <c r="K38" s="37">
        <v>15.87</v>
      </c>
      <c r="L38" s="37">
        <v>137899.69</v>
      </c>
      <c r="M38" s="31">
        <f t="shared" si="2"/>
        <v>317298493.79000002</v>
      </c>
      <c r="N38" s="10"/>
      <c r="O38" s="9"/>
      <c r="Q38" s="9">
        <v>0</v>
      </c>
    </row>
    <row r="39" spans="1:17" x14ac:dyDescent="0.2">
      <c r="A39" s="32" t="s">
        <v>73</v>
      </c>
      <c r="B39" s="32" t="s">
        <v>74</v>
      </c>
      <c r="C39" s="33">
        <v>11460</v>
      </c>
      <c r="D39" s="32" t="s">
        <v>68</v>
      </c>
      <c r="E39" s="34" t="s">
        <v>69</v>
      </c>
      <c r="F39" s="34" t="s">
        <v>70</v>
      </c>
      <c r="G39" s="35">
        <v>1047.5820000000001</v>
      </c>
      <c r="H39" s="35">
        <f t="shared" si="1"/>
        <v>1048.0374912739965</v>
      </c>
      <c r="I39" s="36">
        <v>12005289.720000001</v>
      </c>
      <c r="J39" s="36">
        <v>12010509.65</v>
      </c>
      <c r="K39" s="37">
        <v>15.8703</v>
      </c>
      <c r="L39" s="37">
        <v>5219.93</v>
      </c>
      <c r="M39" s="31">
        <f t="shared" si="2"/>
        <v>12010509.65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75</v>
      </c>
      <c r="C40" s="33">
        <v>1011</v>
      </c>
      <c r="D40" s="32" t="s">
        <v>68</v>
      </c>
      <c r="E40" s="34" t="s">
        <v>69</v>
      </c>
      <c r="F40" s="34" t="s">
        <v>70</v>
      </c>
      <c r="G40" s="35">
        <v>989.55800197823896</v>
      </c>
      <c r="H40" s="35">
        <f t="shared" si="1"/>
        <v>989.98825914935708</v>
      </c>
      <c r="I40" s="36">
        <v>1000443.14</v>
      </c>
      <c r="J40" s="36">
        <v>1000878.13</v>
      </c>
      <c r="K40" s="37">
        <v>15.87</v>
      </c>
      <c r="L40" s="37">
        <v>434.99</v>
      </c>
      <c r="M40" s="31">
        <f t="shared" si="2"/>
        <v>1000878.13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75</v>
      </c>
      <c r="C41" s="33">
        <v>792624</v>
      </c>
      <c r="D41" s="32" t="s">
        <v>68</v>
      </c>
      <c r="E41" s="34" t="s">
        <v>69</v>
      </c>
      <c r="F41" s="34" t="s">
        <v>70</v>
      </c>
      <c r="G41" s="35">
        <v>989.55799999747705</v>
      </c>
      <c r="H41" s="35">
        <f t="shared" si="1"/>
        <v>989.98825439300344</v>
      </c>
      <c r="I41" s="36">
        <v>784347420.19000006</v>
      </c>
      <c r="J41" s="36">
        <v>784688450.14999998</v>
      </c>
      <c r="K41" s="37">
        <v>15.87</v>
      </c>
      <c r="L41" s="37">
        <v>341029.96</v>
      </c>
      <c r="M41" s="31">
        <f t="shared" si="2"/>
        <v>784688450.1500001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76</v>
      </c>
      <c r="C42" s="33">
        <v>21720</v>
      </c>
      <c r="D42" s="32" t="s">
        <v>68</v>
      </c>
      <c r="E42" s="34" t="s">
        <v>70</v>
      </c>
      <c r="F42" s="34" t="s">
        <v>77</v>
      </c>
      <c r="G42" s="35">
        <v>552.50519981583795</v>
      </c>
      <c r="H42" s="35">
        <f t="shared" si="1"/>
        <v>552.75496408839786</v>
      </c>
      <c r="I42" s="36">
        <v>12000412.939999999</v>
      </c>
      <c r="J42" s="36">
        <v>12005837.82</v>
      </c>
      <c r="K42" s="37">
        <v>16.5001</v>
      </c>
      <c r="L42" s="37"/>
      <c r="M42" s="31">
        <f t="shared" si="2"/>
        <v>12000412.939999999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78</v>
      </c>
      <c r="C43" s="33">
        <v>3040609</v>
      </c>
      <c r="D43" s="32" t="s">
        <v>68</v>
      </c>
      <c r="E43" s="34" t="s">
        <v>70</v>
      </c>
      <c r="F43" s="34" t="s">
        <v>77</v>
      </c>
      <c r="G43" s="35">
        <v>635.99799999934203</v>
      </c>
      <c r="H43" s="35">
        <f t="shared" si="1"/>
        <v>636.28550768612467</v>
      </c>
      <c r="I43" s="36">
        <v>1933821242.78</v>
      </c>
      <c r="J43" s="36">
        <v>1934695441.24</v>
      </c>
      <c r="K43" s="37">
        <v>16.5001</v>
      </c>
      <c r="L43" s="37"/>
      <c r="M43" s="31">
        <f t="shared" si="2"/>
        <v>1933821242.78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1945821655.72</v>
      </c>
      <c r="N45" s="64">
        <v>1945821655.72</v>
      </c>
      <c r="O45" s="65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v>27514078468.276199</v>
      </c>
      <c r="C52" s="66">
        <v>27514078468.275116</v>
      </c>
      <c r="D52" s="66">
        <f>__mdDATAItogoActive__-C52</f>
        <v>1.0833740234375E-3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2278550.13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G68" s="54"/>
      <c r="O68" s="9"/>
    </row>
    <row r="69" spans="1:15" x14ac:dyDescent="0.2">
      <c r="A69" s="24">
        <v>3</v>
      </c>
      <c r="B69" s="55" t="s">
        <v>55</v>
      </c>
      <c r="C69" s="57">
        <v>457592.8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364337.71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163334.26999999999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272403.93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3536218.84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10.09.2025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121</v>
      </c>
      <c r="C4" s="4" t="s">
        <v>122</v>
      </c>
      <c r="D4" s="4" t="s">
        <v>123</v>
      </c>
      <c r="E4" s="4" t="s">
        <v>124</v>
      </c>
      <c r="F4" s="4">
        <v>99.712900000000005</v>
      </c>
      <c r="G4" s="5">
        <v>99.712900000000005</v>
      </c>
      <c r="H4" s="5">
        <v>15.01</v>
      </c>
      <c r="I4" s="5">
        <v>8</v>
      </c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129</v>
      </c>
      <c r="F5" s="4">
        <v>9490.15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123</v>
      </c>
      <c r="E6" s="4" t="s">
        <v>129</v>
      </c>
      <c r="F6" s="4">
        <v>1058.126</v>
      </c>
      <c r="G6" s="5">
        <v>116.3848</v>
      </c>
      <c r="H6" s="5">
        <v>18.98</v>
      </c>
      <c r="I6" s="5">
        <v>920</v>
      </c>
      <c r="J6" s="4" t="s">
        <v>125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128</v>
      </c>
      <c r="E7" s="4" t="s">
        <v>135</v>
      </c>
      <c r="F7" s="4">
        <v>1444.98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128</v>
      </c>
      <c r="E8" s="4" t="s">
        <v>138</v>
      </c>
      <c r="F8" s="4">
        <v>583488.99</v>
      </c>
      <c r="G8" s="5"/>
      <c r="H8" s="5"/>
      <c r="I8" s="5"/>
      <c r="J8" s="4" t="s">
        <v>130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128</v>
      </c>
      <c r="E9" s="4" t="s">
        <v>138</v>
      </c>
      <c r="F9" s="4">
        <v>6301.35</v>
      </c>
      <c r="G9" s="5"/>
      <c r="H9" s="5"/>
      <c r="I9" s="5"/>
      <c r="J9" s="4" t="s">
        <v>130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123</v>
      </c>
      <c r="E10" s="4" t="s">
        <v>138</v>
      </c>
      <c r="F10" s="4">
        <v>0.91531099999999999</v>
      </c>
      <c r="G10" s="5">
        <v>93.783200000000008</v>
      </c>
      <c r="H10" s="5">
        <v>6.48</v>
      </c>
      <c r="I10" s="5">
        <v>7892</v>
      </c>
      <c r="J10" s="4" t="s">
        <v>125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128</v>
      </c>
      <c r="E11" s="4" t="s">
        <v>138</v>
      </c>
      <c r="F11" s="4">
        <v>166.55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128</v>
      </c>
      <c r="E12" s="4" t="s">
        <v>138</v>
      </c>
      <c r="F12" s="4">
        <v>5496.9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128</v>
      </c>
      <c r="E13" s="4" t="s">
        <v>138</v>
      </c>
      <c r="F13" s="4">
        <v>5926666.6900000004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123</v>
      </c>
      <c r="E14" s="4" t="s">
        <v>138</v>
      </c>
      <c r="F14" s="4">
        <v>0.89238699999999993</v>
      </c>
      <c r="G14" s="5">
        <v>90.658100000000005</v>
      </c>
      <c r="H14" s="5">
        <v>5.24</v>
      </c>
      <c r="I14" s="5">
        <v>2774</v>
      </c>
      <c r="J14" s="4" t="s">
        <v>125</v>
      </c>
    </row>
    <row r="15" spans="1:10" x14ac:dyDescent="0.25">
      <c r="A15" s="4">
        <f t="shared" ca="1" si="0"/>
        <v>12</v>
      </c>
      <c r="B15" s="4" t="s">
        <v>151</v>
      </c>
      <c r="C15" s="4" t="s">
        <v>152</v>
      </c>
      <c r="D15" s="4" t="s">
        <v>128</v>
      </c>
      <c r="E15" s="4" t="s">
        <v>138</v>
      </c>
      <c r="F15" s="4">
        <v>1749062.51</v>
      </c>
      <c r="G15" s="5"/>
      <c r="H15" s="5"/>
      <c r="I15" s="5"/>
      <c r="J15" s="4" t="s">
        <v>130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128</v>
      </c>
      <c r="E16" s="4" t="s">
        <v>138</v>
      </c>
      <c r="F16" s="4">
        <v>73293.62</v>
      </c>
      <c r="G16" s="5"/>
      <c r="H16" s="5"/>
      <c r="I16" s="5"/>
      <c r="J16" s="4" t="s">
        <v>130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128</v>
      </c>
      <c r="E17" s="4" t="s">
        <v>138</v>
      </c>
      <c r="F17" s="4">
        <v>74236.73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128</v>
      </c>
      <c r="E18" s="4" t="s">
        <v>138</v>
      </c>
      <c r="F18" s="4">
        <v>53300.42</v>
      </c>
      <c r="G18" s="5"/>
      <c r="H18" s="5"/>
      <c r="I18" s="5"/>
      <c r="J18" s="4" t="s">
        <v>130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128</v>
      </c>
      <c r="E19" s="4" t="s">
        <v>138</v>
      </c>
      <c r="F19" s="4">
        <v>7.24</v>
      </c>
      <c r="G19" s="5"/>
      <c r="H19" s="5"/>
      <c r="I19" s="5"/>
      <c r="J19" s="4" t="s">
        <v>130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123</v>
      </c>
      <c r="E20" s="4" t="s">
        <v>138</v>
      </c>
      <c r="F20" s="4">
        <v>1000</v>
      </c>
      <c r="G20" s="5">
        <v>105.44540000000001</v>
      </c>
      <c r="H20" s="5">
        <v>17.47</v>
      </c>
      <c r="I20" s="5">
        <v>1166</v>
      </c>
      <c r="J20" s="4" t="s">
        <v>125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123</v>
      </c>
      <c r="E21" s="4" t="s">
        <v>138</v>
      </c>
      <c r="F21" s="4">
        <v>1001.365</v>
      </c>
      <c r="G21" s="5">
        <v>101.8186</v>
      </c>
      <c r="H21" s="5">
        <v>22.49</v>
      </c>
      <c r="I21" s="5">
        <v>66</v>
      </c>
      <c r="J21" s="4" t="s">
        <v>125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123</v>
      </c>
      <c r="E22" s="4" t="s">
        <v>138</v>
      </c>
      <c r="F22" s="4">
        <v>1000</v>
      </c>
      <c r="G22" s="5">
        <v>107.01730000000001</v>
      </c>
      <c r="H22" s="5">
        <v>17.27</v>
      </c>
      <c r="I22" s="5">
        <v>765</v>
      </c>
      <c r="J22" s="4" t="s">
        <v>125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123</v>
      </c>
      <c r="E23" s="4" t="s">
        <v>138</v>
      </c>
      <c r="F23" s="4">
        <v>1000</v>
      </c>
      <c r="G23" s="5">
        <v>102.80300000000001</v>
      </c>
      <c r="H23" s="5">
        <v>17.68</v>
      </c>
      <c r="I23" s="5">
        <v>1952</v>
      </c>
      <c r="J23" s="4" t="s">
        <v>125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123</v>
      </c>
      <c r="E24" s="4" t="s">
        <v>138</v>
      </c>
      <c r="F24" s="4">
        <v>1000</v>
      </c>
      <c r="G24" s="5">
        <v>100.34230000000001</v>
      </c>
      <c r="H24" s="5">
        <v>17.600000000000001</v>
      </c>
      <c r="I24" s="5">
        <v>1636</v>
      </c>
      <c r="J24" s="4" t="s">
        <v>125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128</v>
      </c>
      <c r="E25" s="4" t="s">
        <v>138</v>
      </c>
      <c r="F25" s="4">
        <v>1473.45</v>
      </c>
      <c r="G25" s="5"/>
      <c r="H25" s="5"/>
      <c r="I25" s="5"/>
      <c r="J25" s="4" t="s">
        <v>130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123</v>
      </c>
      <c r="E26" s="4" t="s">
        <v>138</v>
      </c>
      <c r="F26" s="4">
        <v>1000.003</v>
      </c>
      <c r="G26" s="5">
        <v>100.1225</v>
      </c>
      <c r="H26" s="5">
        <v>22</v>
      </c>
      <c r="I26" s="5">
        <v>698</v>
      </c>
      <c r="J26" s="4" t="s">
        <v>125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123</v>
      </c>
      <c r="E27" s="4" t="s">
        <v>138</v>
      </c>
      <c r="F27" s="4">
        <v>99.999000000000009</v>
      </c>
      <c r="G27" s="5">
        <v>100.6101</v>
      </c>
      <c r="H27" s="5">
        <v>11</v>
      </c>
      <c r="I27" s="5">
        <v>710</v>
      </c>
      <c r="J27" s="4" t="s">
        <v>125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123</v>
      </c>
      <c r="E28" s="4" t="s">
        <v>138</v>
      </c>
      <c r="F28" s="4">
        <v>94.828000000000003</v>
      </c>
      <c r="G28" s="5">
        <v>95.628</v>
      </c>
      <c r="H28" s="5">
        <v>15.51</v>
      </c>
      <c r="I28" s="5">
        <v>614</v>
      </c>
      <c r="J28" s="4" t="s">
        <v>125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123</v>
      </c>
      <c r="E29" s="4" t="s">
        <v>138</v>
      </c>
      <c r="F29" s="4">
        <v>1015.2900000000001</v>
      </c>
      <c r="G29" s="5">
        <v>102.73180000000001</v>
      </c>
      <c r="H29" s="5">
        <v>20.92</v>
      </c>
      <c r="I29" s="5">
        <v>1015</v>
      </c>
      <c r="J29" s="4" t="s">
        <v>125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123</v>
      </c>
      <c r="E30" s="4" t="s">
        <v>138</v>
      </c>
      <c r="F30" s="4">
        <v>791.60599999999999</v>
      </c>
      <c r="G30" s="5">
        <v>79.466200000000001</v>
      </c>
      <c r="H30" s="5">
        <v>38.04</v>
      </c>
      <c r="I30" s="5">
        <v>664</v>
      </c>
      <c r="J30" s="4" t="s">
        <v>125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123</v>
      </c>
      <c r="E31" s="4" t="s">
        <v>138</v>
      </c>
      <c r="F31" s="4">
        <v>963.60599999999999</v>
      </c>
      <c r="G31" s="5">
        <v>97.363399999999999</v>
      </c>
      <c r="H31" s="5">
        <v>22.73</v>
      </c>
      <c r="I31" s="5">
        <v>407</v>
      </c>
      <c r="J31" s="4" t="s">
        <v>125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123</v>
      </c>
      <c r="E32" s="4" t="s">
        <v>138</v>
      </c>
      <c r="F32" s="4">
        <v>959.35</v>
      </c>
      <c r="G32" s="5">
        <v>96.568300000000008</v>
      </c>
      <c r="H32" s="5">
        <v>21.19</v>
      </c>
      <c r="I32" s="5">
        <v>871</v>
      </c>
      <c r="J32" s="4" t="s">
        <v>125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123</v>
      </c>
      <c r="E33" s="4" t="s">
        <v>138</v>
      </c>
      <c r="F33" s="4">
        <v>831.38300000000004</v>
      </c>
      <c r="G33" s="5">
        <v>84.36330000000001</v>
      </c>
      <c r="H33" s="5">
        <v>207.52</v>
      </c>
      <c r="I33" s="5">
        <v>40</v>
      </c>
      <c r="J33" s="4" t="s">
        <v>125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123</v>
      </c>
      <c r="E34" s="4" t="s">
        <v>138</v>
      </c>
      <c r="F34" s="4">
        <v>1004.047</v>
      </c>
      <c r="G34" s="5">
        <v>102.03800000000001</v>
      </c>
      <c r="H34" s="5">
        <v>20.79</v>
      </c>
      <c r="I34" s="5">
        <v>915</v>
      </c>
      <c r="J34" s="4" t="s">
        <v>125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123</v>
      </c>
      <c r="E35" s="4" t="s">
        <v>138</v>
      </c>
      <c r="F35" s="4">
        <v>998.90700000000004</v>
      </c>
      <c r="G35" s="5">
        <v>105.36150000000001</v>
      </c>
      <c r="H35" s="5">
        <v>19.5</v>
      </c>
      <c r="I35" s="5">
        <v>627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123</v>
      </c>
      <c r="E36" s="4" t="s">
        <v>138</v>
      </c>
      <c r="F36" s="4">
        <v>99.999900000000011</v>
      </c>
      <c r="G36" s="5">
        <v>100.611</v>
      </c>
      <c r="H36" s="5">
        <v>10</v>
      </c>
      <c r="I36" s="5">
        <v>555</v>
      </c>
      <c r="J36" s="4" t="s">
        <v>125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123</v>
      </c>
      <c r="E37" s="4" t="s">
        <v>138</v>
      </c>
      <c r="F37" s="4">
        <v>1000</v>
      </c>
      <c r="G37" s="5">
        <v>101.92100000000001</v>
      </c>
      <c r="H37" s="5">
        <v>16.670000000000002</v>
      </c>
      <c r="I37" s="5">
        <v>1420</v>
      </c>
      <c r="J37" s="4" t="s">
        <v>125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123</v>
      </c>
      <c r="E38" s="4" t="s">
        <v>138</v>
      </c>
      <c r="F38" s="4">
        <v>1001.556</v>
      </c>
      <c r="G38" s="5">
        <v>101.73060000000001</v>
      </c>
      <c r="H38" s="5">
        <v>22.58</v>
      </c>
      <c r="I38" s="5">
        <v>705</v>
      </c>
      <c r="J38" s="4" t="s">
        <v>125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123</v>
      </c>
      <c r="E39" s="4" t="s">
        <v>138</v>
      </c>
      <c r="F39" s="4">
        <v>994.05499999999995</v>
      </c>
      <c r="G39" s="5">
        <v>100.1833</v>
      </c>
      <c r="H39" s="5">
        <v>21.01</v>
      </c>
      <c r="I39" s="5">
        <v>229</v>
      </c>
      <c r="J39" s="4" t="s">
        <v>125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123</v>
      </c>
      <c r="E40" s="4" t="s">
        <v>138</v>
      </c>
      <c r="F40" s="4">
        <v>91.360300000000009</v>
      </c>
      <c r="G40" s="5">
        <v>91.993600000000001</v>
      </c>
      <c r="H40" s="5">
        <v>33.04</v>
      </c>
      <c r="I40" s="5">
        <v>165</v>
      </c>
      <c r="J40" s="4" t="s">
        <v>125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123</v>
      </c>
      <c r="E41" s="4" t="s">
        <v>138</v>
      </c>
      <c r="F41" s="4">
        <v>1010.441</v>
      </c>
      <c r="G41" s="5">
        <v>101.66630000000001</v>
      </c>
      <c r="H41" s="5">
        <v>21.87</v>
      </c>
      <c r="I41" s="5">
        <v>934</v>
      </c>
      <c r="J41" s="4" t="s">
        <v>125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123</v>
      </c>
      <c r="E42" s="4" t="s">
        <v>138</v>
      </c>
      <c r="F42" s="4">
        <v>828.97400000000005</v>
      </c>
      <c r="G42" s="5">
        <v>83.597400000000007</v>
      </c>
      <c r="H42" s="5">
        <v>30.76</v>
      </c>
      <c r="I42" s="5">
        <v>931</v>
      </c>
      <c r="J42" s="4" t="s">
        <v>125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123</v>
      </c>
      <c r="E43" s="4" t="s">
        <v>138</v>
      </c>
      <c r="F43" s="4">
        <v>999.98700000000008</v>
      </c>
      <c r="G43" s="5">
        <v>101.77090000000001</v>
      </c>
      <c r="H43" s="5">
        <v>22</v>
      </c>
      <c r="I43" s="5">
        <v>701</v>
      </c>
      <c r="J43" s="4" t="s">
        <v>125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123</v>
      </c>
      <c r="E44" s="4" t="s">
        <v>138</v>
      </c>
      <c r="F44" s="4">
        <v>99.999000000000009</v>
      </c>
      <c r="G44" s="5">
        <v>100.23230000000001</v>
      </c>
      <c r="H44" s="5">
        <v>12</v>
      </c>
      <c r="I44" s="5">
        <v>662</v>
      </c>
      <c r="J44" s="4" t="s">
        <v>125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123</v>
      </c>
      <c r="E45" s="4" t="s">
        <v>138</v>
      </c>
      <c r="F45" s="4">
        <v>87.672300000000007</v>
      </c>
      <c r="G45" s="5">
        <v>88.60560000000001</v>
      </c>
      <c r="H45" s="5">
        <v>24.39</v>
      </c>
      <c r="I45" s="5">
        <v>429</v>
      </c>
      <c r="J45" s="4" t="s">
        <v>125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123</v>
      </c>
      <c r="E46" s="4" t="s">
        <v>138</v>
      </c>
      <c r="F46" s="4">
        <v>999.96300000000008</v>
      </c>
      <c r="G46" s="5">
        <v>100.91300000000001</v>
      </c>
      <c r="H46" s="5">
        <v>22</v>
      </c>
      <c r="I46" s="5">
        <v>350</v>
      </c>
      <c r="J46" s="4" t="s">
        <v>125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123</v>
      </c>
      <c r="E47" s="4" t="s">
        <v>138</v>
      </c>
      <c r="F47" s="4">
        <v>844.79200000000003</v>
      </c>
      <c r="G47" s="5">
        <v>85.295900000000003</v>
      </c>
      <c r="H47" s="5">
        <v>29.18</v>
      </c>
      <c r="I47" s="5">
        <v>1021</v>
      </c>
      <c r="J47" s="4" t="s">
        <v>125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128</v>
      </c>
      <c r="E48" s="4" t="s">
        <v>219</v>
      </c>
      <c r="F48" s="4">
        <v>40561.730000000003</v>
      </c>
      <c r="G48" s="5"/>
      <c r="H48" s="5"/>
      <c r="I48" s="5"/>
      <c r="J48" s="4" t="s">
        <v>130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128</v>
      </c>
      <c r="E49" s="4" t="s">
        <v>219</v>
      </c>
      <c r="F49" s="4">
        <v>33614.129999999997</v>
      </c>
      <c r="G49" s="5"/>
      <c r="H49" s="5"/>
      <c r="I49" s="5"/>
      <c r="J49" s="4" t="s">
        <v>130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123</v>
      </c>
      <c r="E50" s="4" t="s">
        <v>224</v>
      </c>
      <c r="F50" s="4">
        <v>34132.9</v>
      </c>
      <c r="G50" s="5">
        <v>3413.2910000000002</v>
      </c>
      <c r="H50" s="5"/>
      <c r="I50" s="5">
        <v>198</v>
      </c>
      <c r="J50" s="4" t="s">
        <v>125</v>
      </c>
    </row>
    <row r="51" spans="1:10" x14ac:dyDescent="0.25">
      <c r="A51" s="4">
        <f t="shared" ca="1" si="1"/>
        <v>48</v>
      </c>
      <c r="B51" s="4" t="s">
        <v>225</v>
      </c>
      <c r="C51" s="4" t="s">
        <v>226</v>
      </c>
      <c r="D51" s="4" t="s">
        <v>128</v>
      </c>
      <c r="E51" s="4" t="s">
        <v>227</v>
      </c>
      <c r="F51" s="4">
        <v>19795.350000000002</v>
      </c>
      <c r="G51" s="5"/>
      <c r="H51" s="5"/>
      <c r="I51" s="5"/>
      <c r="J51" s="4" t="s">
        <v>130</v>
      </c>
    </row>
    <row r="52" spans="1:10" x14ac:dyDescent="0.25">
      <c r="A52" s="4">
        <f t="shared" ca="1" si="1"/>
        <v>49</v>
      </c>
      <c r="B52" s="4" t="s">
        <v>228</v>
      </c>
      <c r="C52" s="4" t="s">
        <v>229</v>
      </c>
      <c r="D52" s="4" t="s">
        <v>123</v>
      </c>
      <c r="E52" s="4" t="s">
        <v>227</v>
      </c>
      <c r="F52" s="4">
        <v>1.0203879999999999</v>
      </c>
      <c r="G52" s="5">
        <v>104.0694</v>
      </c>
      <c r="H52" s="5">
        <v>4.88</v>
      </c>
      <c r="I52" s="5">
        <v>1688</v>
      </c>
      <c r="J52" s="4" t="s">
        <v>125</v>
      </c>
    </row>
    <row r="53" spans="1:10" x14ac:dyDescent="0.25">
      <c r="A53" s="4">
        <f t="shared" ca="1" si="1"/>
        <v>50</v>
      </c>
      <c r="B53" s="4" t="s">
        <v>230</v>
      </c>
      <c r="C53" s="4" t="s">
        <v>231</v>
      </c>
      <c r="D53" s="4" t="s">
        <v>123</v>
      </c>
      <c r="E53" s="4" t="s">
        <v>227</v>
      </c>
      <c r="F53" s="4">
        <v>971.00400000000002</v>
      </c>
      <c r="G53" s="5">
        <v>99.508700000000005</v>
      </c>
      <c r="H53" s="5">
        <v>6.62</v>
      </c>
      <c r="I53" s="5">
        <v>8446</v>
      </c>
      <c r="J53" s="4" t="s">
        <v>125</v>
      </c>
    </row>
    <row r="54" spans="1:10" x14ac:dyDescent="0.25">
      <c r="A54" s="4">
        <f t="shared" ca="1" si="1"/>
        <v>51</v>
      </c>
      <c r="B54" s="4" t="s">
        <v>232</v>
      </c>
      <c r="C54" s="4" t="s">
        <v>233</v>
      </c>
      <c r="D54" s="4" t="s">
        <v>128</v>
      </c>
      <c r="E54" s="4" t="s">
        <v>234</v>
      </c>
      <c r="F54" s="4">
        <v>3376</v>
      </c>
      <c r="G54" s="5"/>
      <c r="H54" s="5"/>
      <c r="I54" s="5"/>
      <c r="J54" s="4" t="s">
        <v>130</v>
      </c>
    </row>
    <row r="55" spans="1:10" x14ac:dyDescent="0.25">
      <c r="A55" s="4">
        <f t="shared" ca="1" si="1"/>
        <v>52</v>
      </c>
      <c r="B55" s="4" t="s">
        <v>235</v>
      </c>
      <c r="C55" s="4" t="s">
        <v>236</v>
      </c>
      <c r="D55" s="4" t="s">
        <v>123</v>
      </c>
      <c r="E55" s="4" t="s">
        <v>237</v>
      </c>
      <c r="F55" s="4">
        <v>0.96995799999999999</v>
      </c>
      <c r="G55" s="5">
        <v>97.729100000000003</v>
      </c>
      <c r="H55" s="5">
        <v>4.75</v>
      </c>
      <c r="I55" s="5">
        <v>414</v>
      </c>
      <c r="J55" s="4" t="s">
        <v>125</v>
      </c>
    </row>
    <row r="56" spans="1:10" x14ac:dyDescent="0.25">
      <c r="A56" s="4">
        <f t="shared" ca="1" si="1"/>
        <v>53</v>
      </c>
      <c r="B56" s="4" t="s">
        <v>238</v>
      </c>
      <c r="C56" s="4" t="s">
        <v>239</v>
      </c>
      <c r="D56" s="4" t="s">
        <v>128</v>
      </c>
      <c r="E56" s="4" t="s">
        <v>240</v>
      </c>
      <c r="F56" s="4">
        <v>12379.5</v>
      </c>
      <c r="G56" s="5"/>
      <c r="H56" s="5"/>
      <c r="I56" s="5"/>
      <c r="J56" s="4" t="s">
        <v>130</v>
      </c>
    </row>
    <row r="57" spans="1:10" x14ac:dyDescent="0.25">
      <c r="A57" s="4">
        <f t="shared" ca="1" si="1"/>
        <v>54</v>
      </c>
      <c r="B57" s="4" t="s">
        <v>241</v>
      </c>
      <c r="C57" s="4" t="s">
        <v>242</v>
      </c>
      <c r="D57" s="4" t="s">
        <v>128</v>
      </c>
      <c r="E57" s="4" t="s">
        <v>240</v>
      </c>
      <c r="F57" s="4">
        <v>5517.84</v>
      </c>
      <c r="G57" s="5"/>
      <c r="H57" s="5"/>
      <c r="I57" s="5"/>
      <c r="J57" s="4" t="s">
        <v>130</v>
      </c>
    </row>
    <row r="58" spans="1:10" x14ac:dyDescent="0.25">
      <c r="A58" s="4">
        <f t="shared" ca="1" si="1"/>
        <v>55</v>
      </c>
      <c r="B58" s="4" t="s">
        <v>243</v>
      </c>
      <c r="C58" s="4" t="s">
        <v>244</v>
      </c>
      <c r="D58" s="4" t="s">
        <v>123</v>
      </c>
      <c r="E58" s="4" t="s">
        <v>245</v>
      </c>
      <c r="F58" s="4">
        <v>978.99200000000008</v>
      </c>
      <c r="G58" s="5">
        <v>98.554600000000008</v>
      </c>
      <c r="H58" s="5">
        <v>19.25</v>
      </c>
      <c r="I58" s="5">
        <v>901</v>
      </c>
      <c r="J58" s="4" t="s">
        <v>125</v>
      </c>
    </row>
    <row r="59" spans="1:10" x14ac:dyDescent="0.25">
      <c r="A59" s="4">
        <f t="shared" ca="1" si="1"/>
        <v>56</v>
      </c>
      <c r="B59" s="4" t="s">
        <v>246</v>
      </c>
      <c r="C59" s="4" t="s">
        <v>247</v>
      </c>
      <c r="D59" s="4" t="s">
        <v>123</v>
      </c>
      <c r="E59" s="4" t="s">
        <v>245</v>
      </c>
      <c r="F59" s="4">
        <v>100.02200000000001</v>
      </c>
      <c r="G59" s="5">
        <v>101.66640000000001</v>
      </c>
      <c r="H59" s="5">
        <v>7.99</v>
      </c>
      <c r="I59" s="5">
        <v>838</v>
      </c>
      <c r="J59" s="4" t="s">
        <v>125</v>
      </c>
    </row>
    <row r="60" spans="1:10" x14ac:dyDescent="0.25">
      <c r="A60" s="4">
        <f t="shared" ca="1" si="1"/>
        <v>57</v>
      </c>
      <c r="B60" s="4" t="s">
        <v>248</v>
      </c>
      <c r="C60" s="4" t="s">
        <v>249</v>
      </c>
      <c r="D60" s="4" t="s">
        <v>123</v>
      </c>
      <c r="E60" s="4" t="s">
        <v>66</v>
      </c>
      <c r="F60" s="4">
        <v>1000</v>
      </c>
      <c r="G60" s="5">
        <v>108.5014</v>
      </c>
      <c r="H60" s="5">
        <v>12.19</v>
      </c>
      <c r="I60" s="5">
        <v>1208</v>
      </c>
      <c r="J60" s="4" t="s">
        <v>125</v>
      </c>
    </row>
    <row r="61" spans="1:10" x14ac:dyDescent="0.25">
      <c r="A61" s="4">
        <f t="shared" ca="1" si="1"/>
        <v>58</v>
      </c>
      <c r="B61" s="4" t="s">
        <v>250</v>
      </c>
      <c r="C61" s="4" t="s">
        <v>251</v>
      </c>
      <c r="D61" s="4" t="s">
        <v>123</v>
      </c>
      <c r="E61" s="4" t="s">
        <v>66</v>
      </c>
      <c r="F61" s="4">
        <v>1000</v>
      </c>
      <c r="G61" s="5">
        <v>100.44210000000001</v>
      </c>
      <c r="H61" s="5">
        <v>12.23</v>
      </c>
      <c r="I61" s="5">
        <v>1448</v>
      </c>
      <c r="J61" s="4" t="s">
        <v>125</v>
      </c>
    </row>
    <row r="62" spans="1:10" x14ac:dyDescent="0.25">
      <c r="A62" s="4">
        <f t="shared" ca="1" si="1"/>
        <v>59</v>
      </c>
      <c r="B62" s="4" t="s">
        <v>252</v>
      </c>
      <c r="C62" s="4" t="s">
        <v>253</v>
      </c>
      <c r="D62" s="4" t="s">
        <v>123</v>
      </c>
      <c r="E62" s="4" t="s">
        <v>66</v>
      </c>
      <c r="F62" s="4">
        <v>993.32500000000005</v>
      </c>
      <c r="G62" s="5">
        <v>104.15350000000001</v>
      </c>
      <c r="H62" s="5">
        <v>16.07</v>
      </c>
      <c r="I62" s="5">
        <v>24</v>
      </c>
      <c r="J62" s="4" t="s">
        <v>125</v>
      </c>
    </row>
    <row r="63" spans="1:10" x14ac:dyDescent="0.25">
      <c r="A63" s="4">
        <f t="shared" ca="1" si="1"/>
        <v>60</v>
      </c>
      <c r="B63" s="4" t="s">
        <v>254</v>
      </c>
      <c r="C63" s="4" t="s">
        <v>255</v>
      </c>
      <c r="D63" s="4" t="s">
        <v>123</v>
      </c>
      <c r="E63" s="4" t="s">
        <v>66</v>
      </c>
      <c r="F63" s="4">
        <v>1000</v>
      </c>
      <c r="G63" s="5">
        <v>103.46860000000001</v>
      </c>
      <c r="H63" s="5">
        <v>12.03</v>
      </c>
      <c r="I63" s="5">
        <v>261</v>
      </c>
      <c r="J63" s="4" t="s">
        <v>125</v>
      </c>
    </row>
    <row r="64" spans="1:10" x14ac:dyDescent="0.25">
      <c r="A64" s="4">
        <f t="shared" ca="1" si="1"/>
        <v>61</v>
      </c>
      <c r="B64" s="4" t="s">
        <v>256</v>
      </c>
      <c r="C64" s="4" t="s">
        <v>257</v>
      </c>
      <c r="D64" s="4" t="s">
        <v>123</v>
      </c>
      <c r="E64" s="4" t="s">
        <v>66</v>
      </c>
      <c r="F64" s="4">
        <v>1000</v>
      </c>
      <c r="G64" s="5">
        <v>101.36020000000001</v>
      </c>
      <c r="H64" s="5">
        <v>12.16</v>
      </c>
      <c r="I64" s="5">
        <v>324</v>
      </c>
      <c r="J64" s="4" t="s">
        <v>125</v>
      </c>
    </row>
    <row r="65" spans="1:10" x14ac:dyDescent="0.25">
      <c r="A65" s="4">
        <f t="shared" ca="1" si="1"/>
        <v>62</v>
      </c>
      <c r="B65" s="4" t="s">
        <v>258</v>
      </c>
      <c r="C65" s="4" t="s">
        <v>259</v>
      </c>
      <c r="D65" s="4" t="s">
        <v>123</v>
      </c>
      <c r="E65" s="4" t="s">
        <v>66</v>
      </c>
      <c r="F65" s="4">
        <v>1000</v>
      </c>
      <c r="G65" s="5">
        <v>104.4547</v>
      </c>
      <c r="H65" s="5">
        <v>12.13</v>
      </c>
      <c r="I65" s="5">
        <v>597</v>
      </c>
      <c r="J65" s="4" t="s">
        <v>125</v>
      </c>
    </row>
    <row r="66" spans="1:10" x14ac:dyDescent="0.25">
      <c r="A66" s="4">
        <f t="shared" ca="1" si="1"/>
        <v>63</v>
      </c>
      <c r="B66" s="4" t="s">
        <v>260</v>
      </c>
      <c r="C66" s="4" t="s">
        <v>261</v>
      </c>
      <c r="D66" s="4" t="s">
        <v>123</v>
      </c>
      <c r="E66" s="4" t="s">
        <v>66</v>
      </c>
      <c r="F66" s="4">
        <v>1000</v>
      </c>
      <c r="G66" s="5">
        <v>102.4144</v>
      </c>
      <c r="H66" s="5">
        <v>12.17</v>
      </c>
      <c r="I66" s="5">
        <v>658</v>
      </c>
      <c r="J66" s="4" t="s">
        <v>125</v>
      </c>
    </row>
    <row r="67" spans="1:10" x14ac:dyDescent="0.25">
      <c r="A67" s="4">
        <f t="shared" ca="1" si="1"/>
        <v>64</v>
      </c>
      <c r="B67" s="4" t="s">
        <v>262</v>
      </c>
      <c r="C67" s="4" t="s">
        <v>263</v>
      </c>
      <c r="D67" s="4" t="s">
        <v>123</v>
      </c>
      <c r="E67" s="4" t="s">
        <v>66</v>
      </c>
      <c r="F67" s="4">
        <v>1000</v>
      </c>
      <c r="G67" s="5">
        <v>109.6576</v>
      </c>
      <c r="H67" s="5">
        <v>12.18</v>
      </c>
      <c r="I67" s="5">
        <v>808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264</v>
      </c>
      <c r="C68" s="4" t="s">
        <v>265</v>
      </c>
      <c r="D68" s="4" t="s">
        <v>123</v>
      </c>
      <c r="E68" s="4" t="s">
        <v>66</v>
      </c>
      <c r="F68" s="4">
        <v>1000</v>
      </c>
      <c r="G68" s="5">
        <v>100.44210000000001</v>
      </c>
      <c r="H68" s="5">
        <v>12.23</v>
      </c>
      <c r="I68" s="5">
        <v>1083</v>
      </c>
      <c r="J68" s="4" t="s">
        <v>125</v>
      </c>
    </row>
    <row r="69" spans="1:10" x14ac:dyDescent="0.25">
      <c r="A69" s="4">
        <f t="shared" ca="1" si="2"/>
        <v>66</v>
      </c>
      <c r="B69" s="4" t="s">
        <v>266</v>
      </c>
      <c r="C69" s="4" t="s">
        <v>267</v>
      </c>
      <c r="D69" s="4" t="s">
        <v>123</v>
      </c>
      <c r="E69" s="4" t="s">
        <v>66</v>
      </c>
      <c r="F69" s="4">
        <v>1000</v>
      </c>
      <c r="G69" s="5">
        <v>110.57570000000001</v>
      </c>
      <c r="H69" s="5">
        <v>11.62</v>
      </c>
      <c r="I69" s="5">
        <v>50</v>
      </c>
      <c r="J69" s="4" t="s">
        <v>125</v>
      </c>
    </row>
    <row r="70" spans="1:10" x14ac:dyDescent="0.25">
      <c r="A70" s="4">
        <f t="shared" ca="1" si="2"/>
        <v>67</v>
      </c>
      <c r="B70" s="4" t="s">
        <v>268</v>
      </c>
      <c r="C70" s="4" t="s">
        <v>269</v>
      </c>
      <c r="D70" s="4" t="s">
        <v>123</v>
      </c>
      <c r="E70" s="4" t="s">
        <v>66</v>
      </c>
      <c r="F70" s="4">
        <v>1000</v>
      </c>
      <c r="G70" s="5">
        <v>107.5492</v>
      </c>
      <c r="H70" s="5">
        <v>12.19</v>
      </c>
      <c r="I70" s="5">
        <v>1602</v>
      </c>
      <c r="J70" s="4" t="s">
        <v>125</v>
      </c>
    </row>
    <row r="71" spans="1:10" x14ac:dyDescent="0.25">
      <c r="A71" s="4">
        <f t="shared" ca="1" si="2"/>
        <v>68</v>
      </c>
      <c r="B71" s="4" t="s">
        <v>270</v>
      </c>
      <c r="C71" s="4" t="s">
        <v>271</v>
      </c>
      <c r="D71" s="4" t="s">
        <v>123</v>
      </c>
      <c r="E71" s="4" t="s">
        <v>66</v>
      </c>
      <c r="F71" s="4">
        <v>979.92600000000004</v>
      </c>
      <c r="G71" s="5">
        <v>102.0759</v>
      </c>
      <c r="H71" s="5">
        <v>16.66</v>
      </c>
      <c r="I71" s="5">
        <v>68</v>
      </c>
      <c r="J71" s="4" t="s">
        <v>125</v>
      </c>
    </row>
    <row r="72" spans="1:10" x14ac:dyDescent="0.25">
      <c r="A72" s="4">
        <f t="shared" ca="1" si="2"/>
        <v>69</v>
      </c>
      <c r="B72" s="4" t="s">
        <v>272</v>
      </c>
      <c r="C72" s="4" t="s">
        <v>273</v>
      </c>
      <c r="D72" s="4" t="s">
        <v>123</v>
      </c>
      <c r="E72" s="4" t="s">
        <v>66</v>
      </c>
      <c r="F72" s="4">
        <v>873.39600000000007</v>
      </c>
      <c r="G72" s="5">
        <v>91.325699999999998</v>
      </c>
      <c r="H72" s="5">
        <v>17.5</v>
      </c>
      <c r="I72" s="5">
        <v>440</v>
      </c>
      <c r="J72" s="4" t="s">
        <v>125</v>
      </c>
    </row>
    <row r="73" spans="1:10" x14ac:dyDescent="0.25">
      <c r="A73" s="4">
        <f t="shared" ca="1" si="2"/>
        <v>70</v>
      </c>
      <c r="B73" s="4" t="s">
        <v>274</v>
      </c>
      <c r="C73" s="4" t="s">
        <v>275</v>
      </c>
      <c r="D73" s="4" t="s">
        <v>123</v>
      </c>
      <c r="E73" s="4" t="s">
        <v>66</v>
      </c>
      <c r="F73" s="4">
        <v>1000</v>
      </c>
      <c r="G73" s="5">
        <v>102.4144</v>
      </c>
      <c r="H73" s="5">
        <v>12.2</v>
      </c>
      <c r="I73" s="5">
        <v>1389</v>
      </c>
      <c r="J73" s="4" t="s">
        <v>125</v>
      </c>
    </row>
    <row r="74" spans="1:10" x14ac:dyDescent="0.25">
      <c r="A74" s="4">
        <f t="shared" ca="1" si="2"/>
        <v>71</v>
      </c>
      <c r="B74" s="4" t="s">
        <v>276</v>
      </c>
      <c r="C74" s="4" t="s">
        <v>277</v>
      </c>
      <c r="D74" s="4" t="s">
        <v>123</v>
      </c>
      <c r="E74" s="4" t="s">
        <v>66</v>
      </c>
      <c r="F74" s="4">
        <v>1000</v>
      </c>
      <c r="G74" s="5">
        <v>110.6097</v>
      </c>
      <c r="H74" s="5">
        <v>11.61</v>
      </c>
      <c r="I74" s="5">
        <v>49</v>
      </c>
      <c r="J74" s="4" t="s">
        <v>125</v>
      </c>
    </row>
    <row r="75" spans="1:10" x14ac:dyDescent="0.25">
      <c r="A75" s="4">
        <f t="shared" ca="1" si="2"/>
        <v>72</v>
      </c>
      <c r="B75" s="4" t="s">
        <v>278</v>
      </c>
      <c r="C75" s="4" t="s">
        <v>86</v>
      </c>
      <c r="D75" s="4" t="s">
        <v>123</v>
      </c>
      <c r="E75" s="4" t="s">
        <v>66</v>
      </c>
      <c r="F75" s="4">
        <v>848.19900000000007</v>
      </c>
      <c r="G75" s="5">
        <v>87.305700000000002</v>
      </c>
      <c r="H75" s="5">
        <v>17.420000000000002</v>
      </c>
      <c r="I75" s="5">
        <v>564</v>
      </c>
      <c r="J75" s="4" t="s">
        <v>125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123</v>
      </c>
      <c r="E76" s="4" t="s">
        <v>66</v>
      </c>
      <c r="F76" s="4">
        <v>810.279</v>
      </c>
      <c r="G76" s="5">
        <v>86.395899999999997</v>
      </c>
      <c r="H76" s="5">
        <v>17.400000000000002</v>
      </c>
      <c r="I76" s="5">
        <v>739</v>
      </c>
      <c r="J76" s="4" t="s">
        <v>125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123</v>
      </c>
      <c r="E77" s="4" t="s">
        <v>66</v>
      </c>
      <c r="F77" s="4">
        <v>819.20400000000006</v>
      </c>
      <c r="G77" s="5">
        <v>87.626000000000005</v>
      </c>
      <c r="H77" s="5">
        <v>17.36</v>
      </c>
      <c r="I77" s="5">
        <v>775</v>
      </c>
      <c r="J77" s="4" t="s">
        <v>125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123</v>
      </c>
      <c r="E78" s="4" t="s">
        <v>66</v>
      </c>
      <c r="F78" s="4">
        <v>1000</v>
      </c>
      <c r="G78" s="5">
        <v>101.3942</v>
      </c>
      <c r="H78" s="5">
        <v>12.2</v>
      </c>
      <c r="I78" s="5">
        <v>688</v>
      </c>
      <c r="J78" s="4" t="s">
        <v>125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123</v>
      </c>
      <c r="E79" s="4" t="s">
        <v>66</v>
      </c>
      <c r="F79" s="4">
        <v>1000</v>
      </c>
      <c r="G79" s="5">
        <v>109.62360000000001</v>
      </c>
      <c r="H79" s="5">
        <v>11.67</v>
      </c>
      <c r="I79" s="5">
        <v>79</v>
      </c>
      <c r="J79" s="4" t="s">
        <v>125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123</v>
      </c>
      <c r="E80" s="4" t="s">
        <v>66</v>
      </c>
      <c r="F80" s="4">
        <v>1000</v>
      </c>
      <c r="G80" s="5">
        <v>106.7141</v>
      </c>
      <c r="H80" s="5">
        <v>12.28</v>
      </c>
      <c r="I80" s="5">
        <v>1629</v>
      </c>
      <c r="J80" s="4" t="s">
        <v>125</v>
      </c>
    </row>
    <row r="81" spans="1:10" x14ac:dyDescent="0.25">
      <c r="A81" s="4">
        <f t="shared" ca="1" si="2"/>
        <v>78</v>
      </c>
      <c r="B81" s="4" t="s">
        <v>289</v>
      </c>
      <c r="C81" s="4" t="s">
        <v>106</v>
      </c>
      <c r="D81" s="4" t="s">
        <v>123</v>
      </c>
      <c r="E81" s="4" t="s">
        <v>66</v>
      </c>
      <c r="F81" s="4">
        <v>614.78500000000008</v>
      </c>
      <c r="G81" s="5">
        <v>64.123699999999999</v>
      </c>
      <c r="H81" s="5">
        <v>16.78</v>
      </c>
      <c r="I81" s="5">
        <v>3167</v>
      </c>
      <c r="J81" s="4" t="s">
        <v>125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123</v>
      </c>
      <c r="E82" s="4" t="s">
        <v>66</v>
      </c>
      <c r="F82" s="4">
        <v>857.08300000000008</v>
      </c>
      <c r="G82" s="5">
        <v>87.368300000000005</v>
      </c>
      <c r="H82" s="5">
        <v>17.420000000000002</v>
      </c>
      <c r="I82" s="5">
        <v>649</v>
      </c>
      <c r="J82" s="4" t="s">
        <v>125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123</v>
      </c>
      <c r="E83" s="4" t="s">
        <v>66</v>
      </c>
      <c r="F83" s="4">
        <v>542.71900000000005</v>
      </c>
      <c r="G83" s="5">
        <v>62.537500000000001</v>
      </c>
      <c r="H83" s="5">
        <v>16.71</v>
      </c>
      <c r="I83" s="5">
        <v>6957</v>
      </c>
      <c r="J83" s="4" t="s">
        <v>125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123</v>
      </c>
      <c r="E84" s="4" t="s">
        <v>66</v>
      </c>
      <c r="F84" s="4">
        <v>1000</v>
      </c>
      <c r="G84" s="5">
        <v>111.56190000000001</v>
      </c>
      <c r="H84" s="5">
        <v>12.2</v>
      </c>
      <c r="I84" s="5">
        <v>386</v>
      </c>
      <c r="J84" s="4" t="s">
        <v>125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123</v>
      </c>
      <c r="E85" s="4" t="s">
        <v>66</v>
      </c>
      <c r="F85" s="4">
        <v>1000</v>
      </c>
      <c r="G85" s="5">
        <v>102.44840000000001</v>
      </c>
      <c r="H85" s="5">
        <v>12.2</v>
      </c>
      <c r="I85" s="5">
        <v>1388</v>
      </c>
      <c r="J85" s="4" t="s">
        <v>125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123</v>
      </c>
      <c r="E86" s="4" t="s">
        <v>66</v>
      </c>
      <c r="F86" s="4">
        <v>1000</v>
      </c>
      <c r="G86" s="5">
        <v>103.40060000000001</v>
      </c>
      <c r="H86" s="5">
        <v>12.2</v>
      </c>
      <c r="I86" s="5">
        <v>1724</v>
      </c>
      <c r="J86" s="4" t="s">
        <v>125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123</v>
      </c>
      <c r="E87" s="4" t="s">
        <v>66</v>
      </c>
      <c r="F87" s="4">
        <v>1000</v>
      </c>
      <c r="G87" s="5">
        <v>100.4081</v>
      </c>
      <c r="H87" s="5">
        <v>12.22</v>
      </c>
      <c r="I87" s="5">
        <v>353</v>
      </c>
      <c r="J87" s="4" t="s">
        <v>125</v>
      </c>
    </row>
    <row r="88" spans="1:10" x14ac:dyDescent="0.25">
      <c r="A88" s="4">
        <f t="shared" ca="1" si="2"/>
        <v>85</v>
      </c>
      <c r="B88" s="4" t="s">
        <v>302</v>
      </c>
      <c r="C88" s="4" t="s">
        <v>80</v>
      </c>
      <c r="D88" s="4" t="s">
        <v>123</v>
      </c>
      <c r="E88" s="4" t="s">
        <v>66</v>
      </c>
      <c r="F88" s="4">
        <v>600.66899999999998</v>
      </c>
      <c r="G88" s="5">
        <v>65.021000000000001</v>
      </c>
      <c r="H88" s="5">
        <v>16.77</v>
      </c>
      <c r="I88" s="5">
        <v>3429</v>
      </c>
      <c r="J88" s="4" t="s">
        <v>125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123</v>
      </c>
      <c r="E89" s="4" t="s">
        <v>66</v>
      </c>
      <c r="F89" s="4">
        <v>895.25700000000006</v>
      </c>
      <c r="G89" s="5">
        <v>94.125700000000009</v>
      </c>
      <c r="H89" s="5">
        <v>17.43</v>
      </c>
      <c r="I89" s="5">
        <v>543</v>
      </c>
      <c r="J89" s="4" t="s">
        <v>125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123</v>
      </c>
      <c r="E90" s="4" t="s">
        <v>66</v>
      </c>
      <c r="F90" s="4">
        <v>876.88600000000008</v>
      </c>
      <c r="G90" s="5">
        <v>89.363600000000005</v>
      </c>
      <c r="H90" s="5">
        <v>17.41</v>
      </c>
      <c r="I90" s="5">
        <v>662</v>
      </c>
      <c r="J90" s="4" t="s">
        <v>125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123</v>
      </c>
      <c r="E91" s="4" t="s">
        <v>66</v>
      </c>
      <c r="F91" s="4">
        <v>597.24700000000007</v>
      </c>
      <c r="G91" s="5">
        <v>60.666900000000005</v>
      </c>
      <c r="H91" s="5">
        <v>16.75</v>
      </c>
      <c r="I91" s="5">
        <v>3977</v>
      </c>
      <c r="J91" s="4" t="s">
        <v>125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123</v>
      </c>
      <c r="E92" s="4" t="s">
        <v>66</v>
      </c>
      <c r="F92" s="4">
        <v>662.846</v>
      </c>
      <c r="G92" s="5">
        <v>70.037300000000002</v>
      </c>
      <c r="H92" s="5">
        <v>16.82</v>
      </c>
      <c r="I92" s="5">
        <v>2764</v>
      </c>
      <c r="J92" s="4" t="s">
        <v>125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123</v>
      </c>
      <c r="E93" s="4" t="s">
        <v>66</v>
      </c>
      <c r="F93" s="4">
        <v>653.64100000000008</v>
      </c>
      <c r="G93" s="5">
        <v>68.583600000000004</v>
      </c>
      <c r="H93" s="5">
        <v>16.809999999999999</v>
      </c>
      <c r="I93" s="5">
        <v>2783</v>
      </c>
      <c r="J93" s="4" t="s">
        <v>125</v>
      </c>
    </row>
    <row r="94" spans="1:10" x14ac:dyDescent="0.25">
      <c r="A94" s="4">
        <f t="shared" ca="1" si="2"/>
        <v>91</v>
      </c>
      <c r="B94" s="4" t="s">
        <v>313</v>
      </c>
      <c r="C94" s="4" t="s">
        <v>117</v>
      </c>
      <c r="D94" s="4" t="s">
        <v>123</v>
      </c>
      <c r="E94" s="4" t="s">
        <v>66</v>
      </c>
      <c r="F94" s="4">
        <v>678.13200000000006</v>
      </c>
      <c r="G94" s="5">
        <v>71.193200000000004</v>
      </c>
      <c r="H94" s="5">
        <v>16.86</v>
      </c>
      <c r="I94" s="5">
        <v>2411</v>
      </c>
      <c r="J94" s="4" t="s">
        <v>125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123</v>
      </c>
      <c r="E95" s="4" t="s">
        <v>66</v>
      </c>
      <c r="F95" s="4">
        <v>704.67600000000004</v>
      </c>
      <c r="G95" s="5">
        <v>73.280900000000003</v>
      </c>
      <c r="H95" s="5">
        <v>16.899999999999999</v>
      </c>
      <c r="I95" s="5">
        <v>2069</v>
      </c>
      <c r="J95" s="4" t="s">
        <v>125</v>
      </c>
    </row>
    <row r="96" spans="1:10" x14ac:dyDescent="0.25">
      <c r="A96" s="4">
        <f t="shared" ca="1" si="2"/>
        <v>93</v>
      </c>
      <c r="B96" s="4" t="s">
        <v>316</v>
      </c>
      <c r="C96" s="4" t="s">
        <v>71</v>
      </c>
      <c r="D96" s="4" t="s">
        <v>123</v>
      </c>
      <c r="E96" s="4" t="s">
        <v>66</v>
      </c>
      <c r="F96" s="4">
        <v>599.53500000000008</v>
      </c>
      <c r="G96" s="5">
        <v>65.004300000000001</v>
      </c>
      <c r="H96" s="5">
        <v>16.760000000000002</v>
      </c>
      <c r="I96" s="5">
        <v>4173</v>
      </c>
      <c r="J96" s="4" t="s">
        <v>125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123</v>
      </c>
      <c r="E97" s="4" t="s">
        <v>66</v>
      </c>
      <c r="F97" s="4">
        <v>1000</v>
      </c>
      <c r="G97" s="5">
        <v>103.46860000000001</v>
      </c>
      <c r="H97" s="5">
        <v>12.03</v>
      </c>
      <c r="I97" s="5">
        <v>261</v>
      </c>
      <c r="J97" s="4" t="s">
        <v>125</v>
      </c>
    </row>
    <row r="98" spans="1:10" x14ac:dyDescent="0.25">
      <c r="A98" s="4">
        <f t="shared" ca="1" si="2"/>
        <v>95</v>
      </c>
      <c r="B98" s="4" t="s">
        <v>319</v>
      </c>
      <c r="C98" s="4" t="s">
        <v>110</v>
      </c>
      <c r="D98" s="4" t="s">
        <v>123</v>
      </c>
      <c r="E98" s="4" t="s">
        <v>66</v>
      </c>
      <c r="F98" s="4">
        <v>745.976</v>
      </c>
      <c r="G98" s="5">
        <v>75.173600000000008</v>
      </c>
      <c r="H98" s="5">
        <v>17.059999999999999</v>
      </c>
      <c r="I98" s="5">
        <v>1434</v>
      </c>
      <c r="J98" s="4" t="s">
        <v>125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123</v>
      </c>
      <c r="E99" s="4" t="s">
        <v>66</v>
      </c>
      <c r="F99" s="4">
        <v>724.43700000000001</v>
      </c>
      <c r="G99" s="5">
        <v>77.051699999999997</v>
      </c>
      <c r="H99" s="5">
        <v>17.03</v>
      </c>
      <c r="I99" s="5">
        <v>1609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123</v>
      </c>
      <c r="E100" s="4" t="s">
        <v>66</v>
      </c>
      <c r="F100" s="4">
        <v>538.88400000000001</v>
      </c>
      <c r="G100" s="5">
        <v>59.594000000000001</v>
      </c>
      <c r="H100" s="5">
        <v>16.72</v>
      </c>
      <c r="I100" s="5">
        <v>4850</v>
      </c>
      <c r="J100" s="4" t="s">
        <v>125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123</v>
      </c>
      <c r="E101" s="4" t="s">
        <v>66</v>
      </c>
      <c r="F101" s="4">
        <v>978.55600000000004</v>
      </c>
      <c r="G101" s="5">
        <v>102.3045</v>
      </c>
      <c r="H101" s="5">
        <v>16.68</v>
      </c>
      <c r="I101" s="5">
        <v>76</v>
      </c>
      <c r="J101" s="4" t="s">
        <v>125</v>
      </c>
    </row>
    <row r="102" spans="1:10" x14ac:dyDescent="0.25">
      <c r="A102" s="4">
        <f t="shared" ca="1" si="3"/>
        <v>99</v>
      </c>
      <c r="B102" s="4" t="s">
        <v>326</v>
      </c>
      <c r="C102" s="4" t="s">
        <v>100</v>
      </c>
      <c r="D102" s="4" t="s">
        <v>123</v>
      </c>
      <c r="E102" s="4" t="s">
        <v>66</v>
      </c>
      <c r="F102" s="4">
        <v>903.93299999999999</v>
      </c>
      <c r="G102" s="5">
        <v>90.729399999999998</v>
      </c>
      <c r="H102" s="5">
        <v>17.43</v>
      </c>
      <c r="I102" s="5">
        <v>343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95</v>
      </c>
      <c r="D103" s="4" t="s">
        <v>123</v>
      </c>
      <c r="E103" s="4" t="s">
        <v>66</v>
      </c>
      <c r="F103" s="4">
        <v>800.47700000000009</v>
      </c>
      <c r="G103" s="5">
        <v>84.773499999999999</v>
      </c>
      <c r="H103" s="5">
        <v>17.37</v>
      </c>
      <c r="I103" s="5">
        <v>770</v>
      </c>
      <c r="J103" s="4" t="s">
        <v>125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123</v>
      </c>
      <c r="E104" s="4" t="s">
        <v>66</v>
      </c>
      <c r="F104" s="4">
        <v>740.21400000000006</v>
      </c>
      <c r="G104" s="5">
        <v>79.368600000000001</v>
      </c>
      <c r="H104" s="5">
        <v>17.21</v>
      </c>
      <c r="I104" s="5">
        <v>1107</v>
      </c>
      <c r="J104" s="4" t="s">
        <v>125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123</v>
      </c>
      <c r="E105" s="4" t="s">
        <v>66</v>
      </c>
      <c r="F105" s="4">
        <v>557.38900000000001</v>
      </c>
      <c r="G105" s="5">
        <v>56.782700000000006</v>
      </c>
      <c r="H105" s="5">
        <v>16.72</v>
      </c>
      <c r="I105" s="5">
        <v>5067</v>
      </c>
      <c r="J105" s="4" t="s">
        <v>125</v>
      </c>
    </row>
    <row r="106" spans="1:10" x14ac:dyDescent="0.25">
      <c r="A106" s="4">
        <f t="shared" ca="1" si="3"/>
        <v>103</v>
      </c>
      <c r="B106" s="4" t="s">
        <v>332</v>
      </c>
      <c r="C106" s="4" t="s">
        <v>333</v>
      </c>
      <c r="D106" s="4" t="s">
        <v>123</v>
      </c>
      <c r="E106" s="4" t="s">
        <v>66</v>
      </c>
      <c r="F106" s="4">
        <v>552.12099999999998</v>
      </c>
      <c r="G106" s="5">
        <v>59.7226</v>
      </c>
      <c r="H106" s="5">
        <v>16.73</v>
      </c>
      <c r="I106" s="5">
        <v>5283</v>
      </c>
      <c r="J106" s="4" t="s">
        <v>125</v>
      </c>
    </row>
    <row r="107" spans="1:10" x14ac:dyDescent="0.25">
      <c r="A107" s="4">
        <f t="shared" ca="1" si="3"/>
        <v>104</v>
      </c>
      <c r="B107" s="4" t="s">
        <v>334</v>
      </c>
      <c r="C107" s="4" t="s">
        <v>113</v>
      </c>
      <c r="D107" s="4" t="s">
        <v>123</v>
      </c>
      <c r="E107" s="4" t="s">
        <v>66</v>
      </c>
      <c r="F107" s="4">
        <v>844.19400000000007</v>
      </c>
      <c r="G107" s="5">
        <v>89.308300000000003</v>
      </c>
      <c r="H107" s="5">
        <v>17.12</v>
      </c>
      <c r="I107" s="5">
        <v>1299</v>
      </c>
      <c r="J107" s="4" t="s">
        <v>125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123</v>
      </c>
      <c r="E108" s="4" t="s">
        <v>66</v>
      </c>
      <c r="F108" s="4">
        <v>940.87200000000007</v>
      </c>
      <c r="G108" s="5">
        <v>95.780799999999999</v>
      </c>
      <c r="H108" s="5">
        <v>17.350000000000001</v>
      </c>
      <c r="I108" s="5">
        <v>297</v>
      </c>
      <c r="J108" s="4" t="s">
        <v>125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123</v>
      </c>
      <c r="E109" s="4" t="s">
        <v>66</v>
      </c>
      <c r="F109" s="4">
        <v>1000</v>
      </c>
      <c r="G109" s="5">
        <v>109.14620000000001</v>
      </c>
      <c r="H109" s="5">
        <v>12.28</v>
      </c>
      <c r="I109" s="5">
        <v>1191</v>
      </c>
      <c r="J109" s="4" t="s">
        <v>125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123</v>
      </c>
      <c r="E110" s="4" t="s">
        <v>66</v>
      </c>
      <c r="F110" s="4">
        <v>1000</v>
      </c>
      <c r="G110" s="5">
        <v>105.47490000000001</v>
      </c>
      <c r="H110" s="5">
        <v>11.91</v>
      </c>
      <c r="I110" s="5">
        <v>201</v>
      </c>
      <c r="J110" s="4" t="s">
        <v>125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123</v>
      </c>
      <c r="E111" s="4" t="s">
        <v>66</v>
      </c>
      <c r="F111" s="4">
        <v>1000</v>
      </c>
      <c r="G111" s="5">
        <v>106.5291</v>
      </c>
      <c r="H111" s="5">
        <v>12.18</v>
      </c>
      <c r="I111" s="5">
        <v>1268</v>
      </c>
      <c r="J111" s="4" t="s">
        <v>125</v>
      </c>
    </row>
    <row r="112" spans="1:10" x14ac:dyDescent="0.25">
      <c r="A112" s="4">
        <f t="shared" ca="1" si="3"/>
        <v>109</v>
      </c>
      <c r="B112" s="4" t="s">
        <v>343</v>
      </c>
      <c r="C112" s="4" t="s">
        <v>67</v>
      </c>
      <c r="D112" s="4" t="s">
        <v>123</v>
      </c>
      <c r="E112" s="4" t="s">
        <v>66</v>
      </c>
      <c r="F112" s="4">
        <v>846.12800000000004</v>
      </c>
      <c r="G112" s="5">
        <v>93.715900000000005</v>
      </c>
      <c r="H112" s="5">
        <v>17.190000000000001</v>
      </c>
      <c r="I112" s="5">
        <v>1144</v>
      </c>
      <c r="J112" s="4" t="s">
        <v>125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123</v>
      </c>
      <c r="E113" s="4" t="s">
        <v>66</v>
      </c>
      <c r="F113" s="4">
        <v>1000</v>
      </c>
      <c r="G113" s="5">
        <v>106.6311</v>
      </c>
      <c r="H113" s="5">
        <v>12.16</v>
      </c>
      <c r="I113" s="5">
        <v>899</v>
      </c>
      <c r="J113" s="4" t="s">
        <v>125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123</v>
      </c>
      <c r="E114" s="4" t="s">
        <v>66</v>
      </c>
      <c r="F114" s="4">
        <v>566.029</v>
      </c>
      <c r="G114" s="5">
        <v>58.680700000000002</v>
      </c>
      <c r="H114" s="5">
        <v>16.830000000000002</v>
      </c>
      <c r="I114" s="5">
        <v>2419</v>
      </c>
      <c r="J114" s="4" t="s">
        <v>125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123</v>
      </c>
      <c r="E115" s="4" t="s">
        <v>66</v>
      </c>
      <c r="F115" s="4">
        <v>765.76100000000008</v>
      </c>
      <c r="G115" s="5">
        <v>81.991100000000003</v>
      </c>
      <c r="H115" s="5">
        <v>17.170000000000002</v>
      </c>
      <c r="I115" s="5">
        <v>1188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123</v>
      </c>
      <c r="E116" s="4" t="s">
        <v>66</v>
      </c>
      <c r="F116" s="4">
        <v>757.64100000000008</v>
      </c>
      <c r="G116" s="5">
        <v>77.7363</v>
      </c>
      <c r="H116" s="5">
        <v>17.27</v>
      </c>
      <c r="I116" s="5">
        <v>952</v>
      </c>
      <c r="J116" s="4" t="s">
        <v>125</v>
      </c>
    </row>
    <row r="117" spans="1:10" x14ac:dyDescent="0.25">
      <c r="A117" s="4">
        <f t="shared" ca="1" si="3"/>
        <v>114</v>
      </c>
      <c r="B117" s="4" t="s">
        <v>352</v>
      </c>
      <c r="C117" s="4" t="s">
        <v>119</v>
      </c>
      <c r="D117" s="4" t="s">
        <v>123</v>
      </c>
      <c r="E117" s="4" t="s">
        <v>66</v>
      </c>
      <c r="F117" s="4">
        <v>757.18200000000002</v>
      </c>
      <c r="G117" s="5">
        <v>77.019900000000007</v>
      </c>
      <c r="H117" s="5">
        <v>16.850000000000001</v>
      </c>
      <c r="I117" s="5">
        <v>2512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108</v>
      </c>
      <c r="D118" s="4" t="s">
        <v>123</v>
      </c>
      <c r="E118" s="4" t="s">
        <v>66</v>
      </c>
      <c r="F118" s="4">
        <v>824.39200000000005</v>
      </c>
      <c r="G118" s="5">
        <v>83.67</v>
      </c>
      <c r="H118" s="5">
        <v>17.07</v>
      </c>
      <c r="I118" s="5">
        <v>1418</v>
      </c>
      <c r="J118" s="4" t="s">
        <v>125</v>
      </c>
    </row>
    <row r="119" spans="1:10" x14ac:dyDescent="0.25">
      <c r="A119" s="4">
        <f t="shared" ca="1" si="3"/>
        <v>116</v>
      </c>
      <c r="B119" s="4" t="s">
        <v>354</v>
      </c>
      <c r="C119" s="4" t="s">
        <v>355</v>
      </c>
      <c r="D119" s="4" t="s">
        <v>123</v>
      </c>
      <c r="E119" s="4" t="s">
        <v>66</v>
      </c>
      <c r="F119" s="4">
        <v>1000</v>
      </c>
      <c r="G119" s="5">
        <v>111.5959</v>
      </c>
      <c r="H119" s="5">
        <v>12.23</v>
      </c>
      <c r="I119" s="5">
        <v>1846</v>
      </c>
      <c r="J119" s="4" t="s">
        <v>125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123</v>
      </c>
      <c r="E120" s="4" t="s">
        <v>66</v>
      </c>
      <c r="F120" s="4">
        <v>1000</v>
      </c>
      <c r="G120" s="5">
        <v>108.53540000000001</v>
      </c>
      <c r="H120" s="5">
        <v>12.21</v>
      </c>
      <c r="I120" s="5">
        <v>2302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123</v>
      </c>
      <c r="E121" s="4" t="s">
        <v>66</v>
      </c>
      <c r="F121" s="4">
        <v>1000</v>
      </c>
      <c r="G121" s="5">
        <v>111.66390000000001</v>
      </c>
      <c r="H121" s="5">
        <v>12.24</v>
      </c>
      <c r="I121" s="5">
        <v>2209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123</v>
      </c>
      <c r="E122" s="4" t="s">
        <v>66</v>
      </c>
      <c r="F122" s="4">
        <v>902.43400000000008</v>
      </c>
      <c r="G122" s="5">
        <v>93.450100000000006</v>
      </c>
      <c r="H122" s="5">
        <v>17.420000000000002</v>
      </c>
      <c r="I122" s="5">
        <v>617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123</v>
      </c>
      <c r="E123" s="4" t="s">
        <v>66</v>
      </c>
      <c r="F123" s="4">
        <v>715.495</v>
      </c>
      <c r="G123" s="5">
        <v>78.363700000000009</v>
      </c>
      <c r="H123" s="5">
        <v>16.77</v>
      </c>
      <c r="I123" s="5">
        <v>4159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98</v>
      </c>
      <c r="D124" s="4" t="s">
        <v>123</v>
      </c>
      <c r="E124" s="4" t="s">
        <v>66</v>
      </c>
      <c r="F124" s="4">
        <v>980.29900000000009</v>
      </c>
      <c r="G124" s="5">
        <v>99.482200000000006</v>
      </c>
      <c r="H124" s="5">
        <v>16.34</v>
      </c>
      <c r="I124" s="5">
        <v>134</v>
      </c>
      <c r="J124" s="4" t="s">
        <v>125</v>
      </c>
    </row>
    <row r="125" spans="1:10" x14ac:dyDescent="0.25">
      <c r="A125" s="4">
        <f t="shared" ca="1" si="3"/>
        <v>122</v>
      </c>
      <c r="B125" s="4" t="s">
        <v>365</v>
      </c>
      <c r="C125" s="4" t="s">
        <v>366</v>
      </c>
      <c r="D125" s="4" t="s">
        <v>123</v>
      </c>
      <c r="E125" s="4" t="s">
        <v>66</v>
      </c>
      <c r="F125" s="4">
        <v>820.81500000000005</v>
      </c>
      <c r="G125" s="5">
        <v>88.6815</v>
      </c>
      <c r="H125" s="5">
        <v>17.04</v>
      </c>
      <c r="I125" s="5">
        <v>1609</v>
      </c>
      <c r="J125" s="4" t="s">
        <v>125</v>
      </c>
    </row>
    <row r="126" spans="1:10" x14ac:dyDescent="0.25">
      <c r="A126" s="4">
        <f t="shared" ca="1" si="3"/>
        <v>123</v>
      </c>
      <c r="B126" s="4" t="s">
        <v>367</v>
      </c>
      <c r="C126" s="4" t="s">
        <v>368</v>
      </c>
      <c r="D126" s="4" t="s">
        <v>123</v>
      </c>
      <c r="E126" s="4" t="s">
        <v>66</v>
      </c>
      <c r="F126" s="4">
        <v>708.06200000000001</v>
      </c>
      <c r="G126" s="5">
        <v>71.255400000000009</v>
      </c>
      <c r="H126" s="5">
        <v>16.760000000000002</v>
      </c>
      <c r="I126" s="5">
        <v>4003</v>
      </c>
      <c r="J126" s="4" t="s">
        <v>125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123</v>
      </c>
      <c r="E127" s="4" t="s">
        <v>66</v>
      </c>
      <c r="F127" s="4">
        <v>707.15300000000002</v>
      </c>
      <c r="G127" s="5">
        <v>76.421900000000008</v>
      </c>
      <c r="H127" s="5">
        <v>16.82</v>
      </c>
      <c r="I127" s="5">
        <v>3083</v>
      </c>
      <c r="J127" s="4" t="s">
        <v>125</v>
      </c>
    </row>
    <row r="128" spans="1:10" x14ac:dyDescent="0.25">
      <c r="A128" s="4">
        <f t="shared" ca="1" si="3"/>
        <v>125</v>
      </c>
      <c r="B128" s="4" t="s">
        <v>371</v>
      </c>
      <c r="C128" s="4" t="s">
        <v>91</v>
      </c>
      <c r="D128" s="4" t="s">
        <v>123</v>
      </c>
      <c r="E128" s="4" t="s">
        <v>66</v>
      </c>
      <c r="F128" s="4">
        <v>863.34700000000009</v>
      </c>
      <c r="G128" s="5">
        <v>90.610300000000009</v>
      </c>
      <c r="H128" s="5">
        <v>17.28</v>
      </c>
      <c r="I128" s="5">
        <v>946</v>
      </c>
      <c r="J128" s="4" t="s">
        <v>125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123</v>
      </c>
      <c r="E129" s="4" t="s">
        <v>66</v>
      </c>
      <c r="F129" s="4">
        <v>949.61300000000006</v>
      </c>
      <c r="G129" s="5">
        <v>96.011300000000006</v>
      </c>
      <c r="H129" s="5">
        <v>16.72</v>
      </c>
      <c r="I129" s="5">
        <v>329</v>
      </c>
      <c r="J129" s="4" t="s">
        <v>125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123</v>
      </c>
      <c r="E130" s="4" t="s">
        <v>66</v>
      </c>
      <c r="F130" s="4">
        <v>698.22700000000009</v>
      </c>
      <c r="G130" s="5">
        <v>74.947699999999998</v>
      </c>
      <c r="H130" s="5">
        <v>16.77</v>
      </c>
      <c r="I130" s="5">
        <v>3469</v>
      </c>
      <c r="J130" s="4" t="s">
        <v>125</v>
      </c>
    </row>
    <row r="131" spans="1:10" x14ac:dyDescent="0.25">
      <c r="A131" s="4">
        <f t="shared" ca="1" si="3"/>
        <v>128</v>
      </c>
      <c r="B131" s="4" t="s">
        <v>376</v>
      </c>
      <c r="C131" s="4" t="s">
        <v>115</v>
      </c>
      <c r="D131" s="4" t="s">
        <v>123</v>
      </c>
      <c r="E131" s="4" t="s">
        <v>66</v>
      </c>
      <c r="F131" s="4">
        <v>772.08300000000008</v>
      </c>
      <c r="G131" s="5">
        <v>82.158000000000001</v>
      </c>
      <c r="H131" s="5">
        <v>16.91</v>
      </c>
      <c r="I131" s="5">
        <v>2015</v>
      </c>
      <c r="J131" s="4" t="s">
        <v>125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377</v>
      </c>
      <c r="C132" s="4" t="s">
        <v>378</v>
      </c>
      <c r="D132" s="4" t="s">
        <v>123</v>
      </c>
      <c r="E132" s="4" t="s">
        <v>66</v>
      </c>
      <c r="F132" s="4">
        <v>741.00700000000006</v>
      </c>
      <c r="G132" s="5">
        <v>74.605500000000006</v>
      </c>
      <c r="H132" s="5">
        <v>16.82</v>
      </c>
      <c r="I132" s="5">
        <v>2905</v>
      </c>
      <c r="J132" s="4" t="s">
        <v>125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123</v>
      </c>
      <c r="E133" s="4" t="s">
        <v>66</v>
      </c>
      <c r="F133" s="4">
        <v>974.13800000000003</v>
      </c>
      <c r="G133" s="5">
        <v>104.13210000000001</v>
      </c>
      <c r="H133" s="5">
        <v>16.760000000000002</v>
      </c>
      <c r="I133" s="5">
        <v>372</v>
      </c>
      <c r="J133" s="4" t="s">
        <v>125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123</v>
      </c>
      <c r="E134" s="4" t="s">
        <v>66</v>
      </c>
      <c r="F134" s="4">
        <v>975.85599999999999</v>
      </c>
      <c r="G134" s="5">
        <v>102.36120000000001</v>
      </c>
      <c r="H134" s="5">
        <v>16.670000000000002</v>
      </c>
      <c r="I134" s="5">
        <v>800</v>
      </c>
      <c r="J134" s="4" t="s">
        <v>125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123</v>
      </c>
      <c r="E135" s="4" t="s">
        <v>66</v>
      </c>
      <c r="F135" s="4">
        <v>887.351</v>
      </c>
      <c r="G135" s="5">
        <v>93.0518</v>
      </c>
      <c r="H135" s="5">
        <v>16.88</v>
      </c>
      <c r="I135" s="5">
        <v>2444</v>
      </c>
      <c r="J135" s="4" t="s">
        <v>125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123</v>
      </c>
      <c r="E136" s="4" t="s">
        <v>66</v>
      </c>
      <c r="F136" s="4">
        <v>951.81700000000001</v>
      </c>
      <c r="G136" s="5">
        <v>103.12920000000001</v>
      </c>
      <c r="H136" s="5">
        <v>17.13</v>
      </c>
      <c r="I136" s="5">
        <v>1271</v>
      </c>
      <c r="J136" s="4" t="s">
        <v>125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123</v>
      </c>
      <c r="E137" s="4" t="s">
        <v>66</v>
      </c>
      <c r="F137" s="4">
        <v>1000</v>
      </c>
      <c r="G137" s="5">
        <v>100.0476</v>
      </c>
      <c r="H137" s="5">
        <v>17.150000000000002</v>
      </c>
      <c r="I137" s="5">
        <v>365</v>
      </c>
      <c r="J137" s="4" t="s">
        <v>125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123</v>
      </c>
      <c r="E138" s="4" t="s">
        <v>66</v>
      </c>
      <c r="F138" s="4">
        <v>896.07600000000002</v>
      </c>
      <c r="G138" s="5">
        <v>94.1965</v>
      </c>
      <c r="H138" s="5">
        <v>16.920000000000002</v>
      </c>
      <c r="I138" s="5">
        <v>2071</v>
      </c>
      <c r="J138" s="4" t="s">
        <v>125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123</v>
      </c>
      <c r="E139" s="4" t="s">
        <v>66</v>
      </c>
      <c r="F139" s="4">
        <v>978.78399999999999</v>
      </c>
      <c r="G139" s="5">
        <v>100.7812</v>
      </c>
      <c r="H139" s="5">
        <v>16.64</v>
      </c>
      <c r="I139" s="5">
        <v>288</v>
      </c>
      <c r="J139" s="4" t="s">
        <v>125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123</v>
      </c>
      <c r="E140" s="4" t="s">
        <v>66</v>
      </c>
      <c r="F140" s="4">
        <v>898.22800000000007</v>
      </c>
      <c r="G140" s="5">
        <v>93.63600000000001</v>
      </c>
      <c r="H140" s="5">
        <v>16.850000000000001</v>
      </c>
      <c r="I140" s="5">
        <v>2826</v>
      </c>
      <c r="J140" s="4" t="s">
        <v>125</v>
      </c>
    </row>
    <row r="141" spans="1:10" x14ac:dyDescent="0.25">
      <c r="A141" s="4">
        <f t="shared" ca="1" si="4"/>
        <v>138</v>
      </c>
      <c r="B141" s="4" t="s">
        <v>395</v>
      </c>
      <c r="C141" s="4" t="s">
        <v>72</v>
      </c>
      <c r="D141" s="4" t="s">
        <v>123</v>
      </c>
      <c r="E141" s="4" t="s">
        <v>66</v>
      </c>
      <c r="F141" s="4">
        <v>829.99400000000003</v>
      </c>
      <c r="G141" s="5">
        <v>89.599400000000003</v>
      </c>
      <c r="H141" s="5">
        <v>16.95</v>
      </c>
      <c r="I141" s="5">
        <v>1992</v>
      </c>
      <c r="J141" s="4" t="s">
        <v>125</v>
      </c>
    </row>
    <row r="142" spans="1:10" x14ac:dyDescent="0.25">
      <c r="A142" s="4">
        <f t="shared" ca="1" si="4"/>
        <v>139</v>
      </c>
      <c r="B142" s="4" t="s">
        <v>396</v>
      </c>
      <c r="C142" s="4" t="s">
        <v>103</v>
      </c>
      <c r="D142" s="4" t="s">
        <v>123</v>
      </c>
      <c r="E142" s="4" t="s">
        <v>66</v>
      </c>
      <c r="F142" s="4">
        <v>1015.849</v>
      </c>
      <c r="G142" s="5">
        <v>103.1442</v>
      </c>
      <c r="H142" s="5">
        <v>16.43</v>
      </c>
      <c r="I142" s="5">
        <v>1428</v>
      </c>
      <c r="J142" s="4" t="s">
        <v>125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123</v>
      </c>
      <c r="E143" s="4" t="s">
        <v>66</v>
      </c>
      <c r="F143" s="4">
        <v>896.23099999999999</v>
      </c>
      <c r="G143" s="5">
        <v>97.034199999999998</v>
      </c>
      <c r="H143" s="5">
        <v>16.82</v>
      </c>
      <c r="I143" s="5">
        <v>3100</v>
      </c>
      <c r="J143" s="4" t="s">
        <v>125</v>
      </c>
    </row>
    <row r="144" spans="1:10" x14ac:dyDescent="0.25">
      <c r="A144" s="4">
        <f t="shared" ca="1" si="4"/>
        <v>141</v>
      </c>
      <c r="B144" s="4" t="s">
        <v>399</v>
      </c>
      <c r="C144" s="4" t="s">
        <v>75</v>
      </c>
      <c r="D144" s="4" t="s">
        <v>123</v>
      </c>
      <c r="E144" s="4" t="s">
        <v>66</v>
      </c>
      <c r="F144" s="4">
        <v>911.01700000000005</v>
      </c>
      <c r="G144" s="5">
        <v>98.563900000000004</v>
      </c>
      <c r="H144" s="5">
        <v>16.88</v>
      </c>
      <c r="I144" s="5">
        <v>2370</v>
      </c>
      <c r="J144" s="4" t="s">
        <v>125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123</v>
      </c>
      <c r="E145" s="4" t="s">
        <v>66</v>
      </c>
      <c r="F145" s="4">
        <v>861.45500000000004</v>
      </c>
      <c r="G145" s="5">
        <v>90.375500000000002</v>
      </c>
      <c r="H145" s="5">
        <v>16.75</v>
      </c>
      <c r="I145" s="5">
        <v>4638</v>
      </c>
      <c r="J145" s="4" t="s">
        <v>125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123</v>
      </c>
      <c r="E146" s="4" t="s">
        <v>66</v>
      </c>
      <c r="F146" s="4">
        <v>1000</v>
      </c>
      <c r="G146" s="5">
        <v>106.5476</v>
      </c>
      <c r="H146" s="5">
        <v>14.66</v>
      </c>
      <c r="I146" s="5">
        <v>2029</v>
      </c>
      <c r="J146" s="4" t="s">
        <v>125</v>
      </c>
    </row>
    <row r="147" spans="1:10" x14ac:dyDescent="0.25">
      <c r="A147" s="4">
        <f t="shared" ca="1" si="4"/>
        <v>144</v>
      </c>
      <c r="B147" s="4" t="s">
        <v>404</v>
      </c>
      <c r="C147" s="4" t="s">
        <v>88</v>
      </c>
      <c r="D147" s="4" t="s">
        <v>123</v>
      </c>
      <c r="E147" s="4" t="s">
        <v>66</v>
      </c>
      <c r="F147" s="4">
        <v>848.79100000000005</v>
      </c>
      <c r="G147" s="5">
        <v>90.979100000000003</v>
      </c>
      <c r="H147" s="5">
        <v>17</v>
      </c>
      <c r="I147" s="5">
        <v>1640</v>
      </c>
      <c r="J147" s="4" t="s">
        <v>125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123</v>
      </c>
      <c r="E148" s="4" t="s">
        <v>66</v>
      </c>
      <c r="F148" s="4">
        <v>89.746200000000002</v>
      </c>
      <c r="G148" s="5">
        <v>89.746200000000002</v>
      </c>
      <c r="H148" s="5">
        <v>16.88</v>
      </c>
      <c r="I148" s="5">
        <v>248</v>
      </c>
      <c r="J148" s="4" t="s">
        <v>125</v>
      </c>
    </row>
    <row r="149" spans="1:10" x14ac:dyDescent="0.25">
      <c r="A149" s="4">
        <f t="shared" ca="1" si="4"/>
        <v>146</v>
      </c>
      <c r="B149" s="4" t="s">
        <v>407</v>
      </c>
      <c r="C149" s="4" t="s">
        <v>93</v>
      </c>
      <c r="D149" s="4" t="s">
        <v>123</v>
      </c>
      <c r="E149" s="4" t="s">
        <v>66</v>
      </c>
      <c r="F149" s="4">
        <v>93.77470000000001</v>
      </c>
      <c r="G149" s="5">
        <v>93.77470000000001</v>
      </c>
      <c r="H149" s="5">
        <v>16.260000000000002</v>
      </c>
      <c r="I149" s="5">
        <v>150</v>
      </c>
      <c r="J149" s="4" t="s">
        <v>125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123</v>
      </c>
      <c r="E150" s="4" t="s">
        <v>66</v>
      </c>
      <c r="F150" s="4">
        <v>868.61</v>
      </c>
      <c r="G150" s="5">
        <v>94.911000000000001</v>
      </c>
      <c r="H150" s="5">
        <v>16.82</v>
      </c>
      <c r="I150" s="5">
        <v>3444</v>
      </c>
      <c r="J150" s="4" t="s">
        <v>125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123</v>
      </c>
      <c r="E151" s="4" t="s">
        <v>66</v>
      </c>
      <c r="F151" s="4">
        <v>0.98874999999999991</v>
      </c>
      <c r="G151" s="5">
        <v>100.8523</v>
      </c>
      <c r="H151" s="5">
        <v>4.8600000000000003</v>
      </c>
      <c r="I151" s="5">
        <v>3499</v>
      </c>
      <c r="J151" s="4" t="s">
        <v>125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123</v>
      </c>
      <c r="E152" s="4" t="s">
        <v>66</v>
      </c>
      <c r="F152" s="4">
        <v>98.178300000000007</v>
      </c>
      <c r="G152" s="5">
        <v>98.178300000000007</v>
      </c>
      <c r="H152" s="5">
        <v>15.39</v>
      </c>
      <c r="I152" s="5">
        <v>45</v>
      </c>
      <c r="J152" s="4" t="s">
        <v>125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128</v>
      </c>
      <c r="E153" s="4" t="s">
        <v>416</v>
      </c>
      <c r="F153" s="4">
        <v>375.82</v>
      </c>
      <c r="G153" s="5"/>
      <c r="H153" s="5"/>
      <c r="I153" s="5"/>
      <c r="J153" s="4" t="s">
        <v>130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128</v>
      </c>
      <c r="E154" s="4" t="s">
        <v>416</v>
      </c>
      <c r="F154" s="4">
        <v>26.91</v>
      </c>
      <c r="G154" s="5"/>
      <c r="H154" s="5"/>
      <c r="I154" s="5"/>
      <c r="J154" s="4" t="s">
        <v>419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128</v>
      </c>
      <c r="E155" s="4" t="s">
        <v>422</v>
      </c>
      <c r="F155" s="4">
        <v>814.99</v>
      </c>
      <c r="G155" s="5"/>
      <c r="H155" s="5"/>
      <c r="I155" s="5"/>
      <c r="J155" s="4" t="s">
        <v>130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123</v>
      </c>
      <c r="E156" s="4" t="s">
        <v>425</v>
      </c>
      <c r="F156" s="4">
        <v>1.002739</v>
      </c>
      <c r="G156" s="5">
        <v>103.05720000000001</v>
      </c>
      <c r="H156" s="5">
        <v>5.47</v>
      </c>
      <c r="I156" s="5">
        <v>195</v>
      </c>
      <c r="J156" s="4" t="s">
        <v>125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123</v>
      </c>
      <c r="E157" s="4" t="s">
        <v>425</v>
      </c>
      <c r="F157" s="4">
        <v>1.031234</v>
      </c>
      <c r="G157" s="5">
        <v>105.51400000000001</v>
      </c>
      <c r="H157" s="5">
        <v>4.8500000000000005</v>
      </c>
      <c r="I157" s="5">
        <v>1671</v>
      </c>
      <c r="J157" s="4" t="s">
        <v>125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128</v>
      </c>
      <c r="E158" s="4" t="s">
        <v>430</v>
      </c>
      <c r="F158" s="4">
        <v>25996.61</v>
      </c>
      <c r="G158" s="5"/>
      <c r="H158" s="5"/>
      <c r="I158" s="5"/>
      <c r="J158" s="4" t="s">
        <v>130</v>
      </c>
    </row>
    <row r="159" spans="1:10" x14ac:dyDescent="0.25">
      <c r="A159" s="4">
        <f t="shared" ca="1" si="4"/>
        <v>156</v>
      </c>
      <c r="B159" s="4" t="s">
        <v>431</v>
      </c>
      <c r="C159" s="4" t="s">
        <v>432</v>
      </c>
      <c r="D159" s="4" t="s">
        <v>128</v>
      </c>
      <c r="E159" s="4" t="s">
        <v>433</v>
      </c>
      <c r="F159" s="4">
        <v>49560.38</v>
      </c>
      <c r="G159" s="5"/>
      <c r="H159" s="5"/>
      <c r="I159" s="5"/>
      <c r="J159" s="4" t="s">
        <v>130</v>
      </c>
    </row>
    <row r="160" spans="1:10" x14ac:dyDescent="0.25">
      <c r="A160" s="4">
        <f t="shared" ca="1" si="4"/>
        <v>157</v>
      </c>
      <c r="B160" s="4" t="s">
        <v>434</v>
      </c>
      <c r="C160" s="4" t="s">
        <v>435</v>
      </c>
      <c r="D160" s="4" t="s">
        <v>128</v>
      </c>
      <c r="E160" s="4" t="s">
        <v>433</v>
      </c>
      <c r="F160" s="4">
        <v>91.38</v>
      </c>
      <c r="G160" s="5"/>
      <c r="H160" s="5"/>
      <c r="I160" s="5"/>
      <c r="J160" s="4" t="s">
        <v>419</v>
      </c>
    </row>
    <row r="161" spans="1:10" x14ac:dyDescent="0.25">
      <c r="A161" s="4">
        <f t="shared" ca="1" si="4"/>
        <v>158</v>
      </c>
      <c r="B161" s="4" t="s">
        <v>436</v>
      </c>
      <c r="C161" s="4" t="s">
        <v>437</v>
      </c>
      <c r="D161" s="4" t="s">
        <v>123</v>
      </c>
      <c r="E161" s="4" t="s">
        <v>438</v>
      </c>
      <c r="F161" s="4">
        <v>99.964100000000002</v>
      </c>
      <c r="G161" s="5">
        <v>103.29470000000001</v>
      </c>
      <c r="H161" s="5">
        <v>11</v>
      </c>
      <c r="I161" s="5">
        <v>254</v>
      </c>
      <c r="J161" s="4" t="s">
        <v>125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128</v>
      </c>
      <c r="E162" s="4" t="s">
        <v>441</v>
      </c>
      <c r="F162" s="4">
        <v>5.69</v>
      </c>
      <c r="G162" s="5"/>
      <c r="H162" s="5"/>
      <c r="I162" s="5"/>
      <c r="J162" s="4" t="s">
        <v>419</v>
      </c>
    </row>
    <row r="163" spans="1:10" x14ac:dyDescent="0.25">
      <c r="A163" s="4">
        <f t="shared" ca="1" si="4"/>
        <v>160</v>
      </c>
      <c r="B163" s="4" t="s">
        <v>442</v>
      </c>
      <c r="C163" s="4" t="s">
        <v>443</v>
      </c>
      <c r="D163" s="4" t="s">
        <v>128</v>
      </c>
      <c r="E163" s="4" t="s">
        <v>441</v>
      </c>
      <c r="F163" s="4">
        <v>752.56</v>
      </c>
      <c r="G163" s="5"/>
      <c r="H163" s="5"/>
      <c r="I163" s="5"/>
      <c r="J163" s="4" t="s">
        <v>130</v>
      </c>
    </row>
    <row r="164" spans="1:10" x14ac:dyDescent="0.25">
      <c r="A164" s="4">
        <f t="shared" ca="1" si="4"/>
        <v>161</v>
      </c>
      <c r="B164" s="4" t="s">
        <v>444</v>
      </c>
      <c r="C164" s="4" t="s">
        <v>445</v>
      </c>
      <c r="D164" s="4" t="s">
        <v>123</v>
      </c>
      <c r="E164" s="4" t="s">
        <v>73</v>
      </c>
      <c r="F164" s="4">
        <v>0.99804199999999998</v>
      </c>
      <c r="G164" s="5">
        <v>102.50530000000001</v>
      </c>
      <c r="H164" s="5">
        <v>6.1</v>
      </c>
      <c r="I164" s="5">
        <v>192</v>
      </c>
      <c r="J164" s="4" t="s">
        <v>125</v>
      </c>
    </row>
    <row r="165" spans="1:10" x14ac:dyDescent="0.25">
      <c r="A165" s="4">
        <f t="shared" ca="1" si="4"/>
        <v>162</v>
      </c>
      <c r="B165" s="4" t="s">
        <v>446</v>
      </c>
      <c r="C165" s="4" t="s">
        <v>447</v>
      </c>
      <c r="D165" s="4" t="s">
        <v>123</v>
      </c>
      <c r="E165" s="4" t="s">
        <v>73</v>
      </c>
      <c r="F165" s="4">
        <v>1000</v>
      </c>
      <c r="G165" s="5">
        <v>108.0068</v>
      </c>
      <c r="H165" s="5">
        <v>17.48</v>
      </c>
      <c r="I165" s="5">
        <v>930</v>
      </c>
      <c r="J165" s="4" t="s">
        <v>125</v>
      </c>
    </row>
    <row r="166" spans="1:10" x14ac:dyDescent="0.25">
      <c r="A166" s="4">
        <f t="shared" ca="1" si="4"/>
        <v>163</v>
      </c>
      <c r="B166" s="4" t="s">
        <v>448</v>
      </c>
      <c r="C166" s="4" t="s">
        <v>83</v>
      </c>
      <c r="D166" s="4" t="s">
        <v>123</v>
      </c>
      <c r="E166" s="4" t="s">
        <v>73</v>
      </c>
      <c r="F166" s="4">
        <v>944.74602025955812</v>
      </c>
      <c r="G166" s="5">
        <v>94.752702029999995</v>
      </c>
      <c r="H166" s="5">
        <v>17.84</v>
      </c>
      <c r="I166" s="5">
        <v>724</v>
      </c>
      <c r="J166" s="4" t="s">
        <v>125</v>
      </c>
    </row>
    <row r="167" spans="1:10" x14ac:dyDescent="0.25">
      <c r="A167" s="4">
        <f t="shared" ca="1" si="4"/>
        <v>164</v>
      </c>
      <c r="B167" s="4" t="s">
        <v>449</v>
      </c>
      <c r="C167" s="4" t="s">
        <v>450</v>
      </c>
      <c r="D167" s="4" t="s">
        <v>123</v>
      </c>
      <c r="E167" s="4" t="s">
        <v>73</v>
      </c>
      <c r="F167" s="4">
        <v>1000</v>
      </c>
      <c r="G167" s="5">
        <v>100.7123</v>
      </c>
      <c r="H167" s="5">
        <v>16.240000000000002</v>
      </c>
      <c r="I167" s="5">
        <v>899</v>
      </c>
      <c r="J167" s="4" t="s">
        <v>125</v>
      </c>
    </row>
    <row r="168" spans="1:10" x14ac:dyDescent="0.25">
      <c r="A168" s="4">
        <f t="shared" ca="1" si="4"/>
        <v>165</v>
      </c>
      <c r="B168" s="4" t="s">
        <v>451</v>
      </c>
      <c r="C168" s="4" t="s">
        <v>452</v>
      </c>
      <c r="D168" s="4" t="s">
        <v>123</v>
      </c>
      <c r="E168" s="4" t="s">
        <v>453</v>
      </c>
      <c r="F168" s="4">
        <v>1.0128949999999999</v>
      </c>
      <c r="G168" s="5">
        <v>103.13640000000001</v>
      </c>
      <c r="H168" s="5">
        <v>4.92</v>
      </c>
      <c r="I168" s="5">
        <v>972</v>
      </c>
      <c r="J168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2025-09-11T05:05:22Z</dcterms:created>
  <dcterms:modified xsi:type="dcterms:W3CDTF">2025-09-11T10:58:34Z</dcterms:modified>
</cp:coreProperties>
</file>