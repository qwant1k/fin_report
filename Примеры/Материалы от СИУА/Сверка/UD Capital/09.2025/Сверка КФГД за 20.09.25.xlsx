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D10E7427-8853-40E0-A208-60AEB5220B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B45" i="1"/>
  <c r="B1" i="2" l="1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M22" i="1" s="1"/>
  <c r="K26" i="1"/>
  <c r="H26" i="1"/>
  <c r="D26" i="1"/>
  <c r="M15" i="1" l="1"/>
  <c r="M23" i="1"/>
  <c r="M8" i="1"/>
  <c r="M16" i="1"/>
  <c r="M9" i="1"/>
  <c r="M17" i="1"/>
  <c r="M21" i="1"/>
  <c r="M11" i="1"/>
  <c r="M19" i="1"/>
  <c r="M12" i="1"/>
  <c r="M20" i="1"/>
  <c r="M24" i="1"/>
  <c r="M13" i="1"/>
  <c r="M10" i="1"/>
  <c r="M14" i="1"/>
  <c r="M18" i="1"/>
  <c r="M26" i="1" l="1"/>
</calcChain>
</file>

<file path=xl/sharedStrings.xml><?xml version="1.0" encoding="utf-8"?>
<sst xmlns="http://schemas.openxmlformats.org/spreadsheetml/2006/main" count="165" uniqueCount="116">
  <si>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</si>
  <si>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</si>
  <si>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</si>
  <si>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</si>
  <si>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</si>
  <si>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</si>
  <si>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</si>
  <si>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</si>
  <si>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</si>
  <si>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</si>
  <si>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</si>
  <si>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</si>
  <si>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</si>
  <si>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</si>
  <si>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</si>
  <si>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</si>
  <si>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</si>
  <si>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</si>
  <si>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</si>
  <si>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</si>
  <si>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</si>
  <si>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</si>
  <si>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</si>
  <si>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</si>
  <si>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</si>
  <si>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</si>
  <si>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</si>
  <si>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</si>
  <si>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</si>
  <si>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</si>
  <si>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</si>
  <si>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</si>
  <si>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</si>
  <si>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</si>
  <si>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</si>
  <si>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</si>
  <si>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</si>
  <si>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</si>
  <si>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</si>
  <si>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</si>
  <si>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</si>
  <si>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</si>
  <si>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</si>
  <si>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</si>
  <si>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</si>
  <si>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</si>
  <si>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</si>
  <si>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</si>
  <si>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</si>
  <si>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</si>
  <si>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</si>
  <si>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</si>
  <si>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</si>
  <si>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</si>
  <si>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</si>
  <si>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</si>
  <si>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</si>
  <si>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</si>
  <si>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</si>
  <si>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</si>
  <si>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</si>
  <si>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</si>
  <si>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</si>
  <si>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</si>
  <si>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</si>
  <si>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</si>
  <si>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НАЦИОНАЛЬНЫЙ БАНК РК</t>
  </si>
  <si>
    <t>KZW100014338</t>
  </si>
  <si>
    <t>KZT</t>
  </si>
  <si>
    <t>19.09.2025</t>
  </si>
  <si>
    <t>22.09.2025</t>
  </si>
  <si>
    <t>KZ96601A861038102391</t>
  </si>
  <si>
    <t>МИНИСТЕРСТВО ФИНАНСОВ РК</t>
  </si>
  <si>
    <t>KZKD00000949</t>
  </si>
  <si>
    <t>18.07.2024</t>
  </si>
  <si>
    <t>16.04.2032</t>
  </si>
  <si>
    <t>Евразийский банк развития</t>
  </si>
  <si>
    <t>KZ2D00011863</t>
  </si>
  <si>
    <t>24.09.2024</t>
  </si>
  <si>
    <t>03.09.2027</t>
  </si>
  <si>
    <t>KZKD00000444</t>
  </si>
  <si>
    <t>21.08.2025</t>
  </si>
  <si>
    <t>18.08.2026</t>
  </si>
  <si>
    <t>KZK200000760</t>
  </si>
  <si>
    <t>14.08.2025</t>
  </si>
  <si>
    <t>07.08.2029</t>
  </si>
  <si>
    <t>KZKD00001160</t>
  </si>
  <si>
    <t>28.07.2029</t>
  </si>
  <si>
    <t>KZKD00001152</t>
  </si>
  <si>
    <t>26.07.2032</t>
  </si>
  <si>
    <t>KZK100000373</t>
  </si>
  <si>
    <t>13.03.2025</t>
  </si>
  <si>
    <t>06.02.2026</t>
  </si>
  <si>
    <t>KZKD00001129</t>
  </si>
  <si>
    <t>17.03.2031</t>
  </si>
  <si>
    <t>KZKD00000741</t>
  </si>
  <si>
    <t>12.05.2034</t>
  </si>
  <si>
    <t>KZKD00000832</t>
  </si>
  <si>
    <t>29.01.2035</t>
  </si>
  <si>
    <t>KZKD00000477</t>
  </si>
  <si>
    <t>24.07.2025</t>
  </si>
  <si>
    <t>19.10.2027</t>
  </si>
  <si>
    <t>KZKD00000535</t>
  </si>
  <si>
    <t>27.03.2027</t>
  </si>
  <si>
    <t>KZKD00001251</t>
  </si>
  <si>
    <t>07.03.2030</t>
  </si>
  <si>
    <t>KZK200000687</t>
  </si>
  <si>
    <t>21.01.2026</t>
  </si>
  <si>
    <t>KZKD00001137</t>
  </si>
  <si>
    <t>12.04.2028</t>
  </si>
  <si>
    <t>KZKD00000790</t>
  </si>
  <si>
    <t>10.07.2025</t>
  </si>
  <si>
    <t>13.08.2029</t>
  </si>
  <si>
    <t>KZKD00001087</t>
  </si>
  <si>
    <t>31.03.2029</t>
  </si>
  <si>
    <t>20.09.2025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</si>
</sst>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43" fontId="6" fillId="0" borderId="1" xfId="2" applyNumberFormat="1" applyFont="1" applyBorder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35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25605157122.674374</v>
      </c>
    </row>
    <row r="2" spans="1:17" x14ac:dyDescent="0.2">
      <c r="A2" s="6" t="s">
        <v>64</v>
      </c>
      <c r="B2" s="6" t="s">
        <v>115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72</v>
      </c>
      <c r="B8" s="13" t="s">
        <v>73</v>
      </c>
      <c r="C8" s="14">
        <v>1897500</v>
      </c>
      <c r="D8" s="15">
        <v>1897500000</v>
      </c>
      <c r="E8" s="16">
        <v>8.4499999999999993</v>
      </c>
      <c r="F8" s="17" t="s">
        <v>74</v>
      </c>
      <c r="G8" s="17" t="s">
        <v>75</v>
      </c>
      <c r="H8" s="16">
        <v>1457889097.496666</v>
      </c>
      <c r="I8" s="18">
        <v>67.701999999999998</v>
      </c>
      <c r="J8" s="18">
        <v>71.293300000000002</v>
      </c>
      <c r="K8" s="16">
        <v>68589354.166666657</v>
      </c>
      <c r="L8" s="16">
        <v>1353234804.166666</v>
      </c>
      <c r="M8" s="19">
        <f t="shared" ref="M8:M24" si="0">L8/$Q$1</f>
        <v>5.2850087882035428E-2</v>
      </c>
      <c r="O8" s="8">
        <v>749863.88888888899</v>
      </c>
    </row>
    <row r="9" spans="1:17" x14ac:dyDescent="0.2">
      <c r="A9" s="13" t="s">
        <v>76</v>
      </c>
      <c r="B9" s="13" t="s">
        <v>77</v>
      </c>
      <c r="C9" s="14">
        <v>992234</v>
      </c>
      <c r="D9" s="15">
        <v>992234000</v>
      </c>
      <c r="E9" s="16">
        <v>14.3</v>
      </c>
      <c r="F9" s="17" t="s">
        <v>78</v>
      </c>
      <c r="G9" s="17" t="s">
        <v>79</v>
      </c>
      <c r="H9" s="16">
        <v>991722999.49000001</v>
      </c>
      <c r="I9" s="18">
        <v>94.575254959999995</v>
      </c>
      <c r="J9" s="18">
        <v>95.210854960000006</v>
      </c>
      <c r="K9" s="16">
        <v>6700335.7055555601</v>
      </c>
      <c r="L9" s="16">
        <v>945108171.02438998</v>
      </c>
      <c r="M9" s="19">
        <f t="shared" si="0"/>
        <v>3.691085223560138E-2</v>
      </c>
      <c r="O9" s="8">
        <v>749863.88888888899</v>
      </c>
    </row>
    <row r="10" spans="1:17" x14ac:dyDescent="0.2">
      <c r="A10" s="13" t="s">
        <v>72</v>
      </c>
      <c r="B10" s="13" t="s">
        <v>80</v>
      </c>
      <c r="C10" s="14">
        <v>1106600</v>
      </c>
      <c r="D10" s="15">
        <v>1106600000</v>
      </c>
      <c r="E10" s="16">
        <v>5.5</v>
      </c>
      <c r="F10" s="17" t="s">
        <v>81</v>
      </c>
      <c r="G10" s="17" t="s">
        <v>82</v>
      </c>
      <c r="H10" s="16">
        <v>999478906.79999995</v>
      </c>
      <c r="I10" s="18">
        <v>91.089700000000008</v>
      </c>
      <c r="J10" s="18">
        <v>91.563299999999998</v>
      </c>
      <c r="K10" s="16">
        <v>5410044.4444444403</v>
      </c>
      <c r="L10" s="16">
        <v>1013408664.6444401</v>
      </c>
      <c r="M10" s="19">
        <f t="shared" si="0"/>
        <v>3.9578302909417683E-2</v>
      </c>
      <c r="O10" s="8">
        <v>749863.88888888899</v>
      </c>
    </row>
    <row r="11" spans="1:17" x14ac:dyDescent="0.2">
      <c r="A11" s="13" t="s">
        <v>72</v>
      </c>
      <c r="B11" s="13" t="s">
        <v>83</v>
      </c>
      <c r="C11" s="14">
        <v>897100</v>
      </c>
      <c r="D11" s="15">
        <v>897100000</v>
      </c>
      <c r="E11" s="16">
        <v>17.010000000000002</v>
      </c>
      <c r="F11" s="17" t="s">
        <v>84</v>
      </c>
      <c r="G11" s="17" t="s">
        <v>85</v>
      </c>
      <c r="H11" s="16">
        <v>896985171.20000005</v>
      </c>
      <c r="I11" s="18">
        <v>102.07990000000001</v>
      </c>
      <c r="J11" s="18">
        <v>104.06440000000001</v>
      </c>
      <c r="K11" s="16">
        <v>18226829.25</v>
      </c>
      <c r="L11" s="16">
        <v>933985612.14999998</v>
      </c>
      <c r="M11" s="19">
        <f t="shared" si="0"/>
        <v>3.6476464786967429E-2</v>
      </c>
      <c r="O11" s="8">
        <v>749863.88888888899</v>
      </c>
    </row>
    <row r="12" spans="1:17" x14ac:dyDescent="0.2">
      <c r="A12" s="13" t="s">
        <v>72</v>
      </c>
      <c r="B12" s="13" t="s">
        <v>86</v>
      </c>
      <c r="C12" s="14">
        <v>1897500</v>
      </c>
      <c r="D12" s="15">
        <v>1897500000</v>
      </c>
      <c r="E12" s="16">
        <v>10.55</v>
      </c>
      <c r="F12" s="17" t="s">
        <v>74</v>
      </c>
      <c r="G12" s="17" t="s">
        <v>87</v>
      </c>
      <c r="H12" s="16">
        <v>1708326839.9966669</v>
      </c>
      <c r="I12" s="18">
        <v>82.917700000000011</v>
      </c>
      <c r="J12" s="18">
        <v>84.412300000000002</v>
      </c>
      <c r="K12" s="16">
        <v>28915791.66666666</v>
      </c>
      <c r="L12" s="16">
        <v>1602279149.166666</v>
      </c>
      <c r="M12" s="19">
        <f t="shared" si="0"/>
        <v>6.2576423237324513E-2</v>
      </c>
      <c r="O12" s="8">
        <v>749863.88888888899</v>
      </c>
    </row>
    <row r="13" spans="1:17" x14ac:dyDescent="0.2">
      <c r="A13" s="13" t="s">
        <v>72</v>
      </c>
      <c r="B13" s="13" t="s">
        <v>88</v>
      </c>
      <c r="C13" s="14">
        <v>1897500</v>
      </c>
      <c r="D13" s="15">
        <v>1897500000</v>
      </c>
      <c r="E13" s="16">
        <v>10.65</v>
      </c>
      <c r="F13" s="17" t="s">
        <v>74</v>
      </c>
      <c r="G13" s="17" t="s">
        <v>89</v>
      </c>
      <c r="H13" s="16">
        <v>1648500562.5</v>
      </c>
      <c r="I13" s="18">
        <v>75.562399999999997</v>
      </c>
      <c r="J13" s="18">
        <v>77.130300000000005</v>
      </c>
      <c r="K13" s="16">
        <v>30312562.5</v>
      </c>
      <c r="L13" s="16">
        <v>1464109102.5</v>
      </c>
      <c r="M13" s="19">
        <f t="shared" si="0"/>
        <v>5.7180242850510522E-2</v>
      </c>
      <c r="O13" s="8">
        <v>749863.88888888899</v>
      </c>
    </row>
    <row r="14" spans="1:17" x14ac:dyDescent="0.2">
      <c r="A14" s="13" t="s">
        <v>72</v>
      </c>
      <c r="B14" s="13" t="s">
        <v>90</v>
      </c>
      <c r="C14" s="14">
        <v>11424000</v>
      </c>
      <c r="D14" s="15">
        <v>1142400000</v>
      </c>
      <c r="E14" s="16">
        <v>0</v>
      </c>
      <c r="F14" s="17" t="s">
        <v>91</v>
      </c>
      <c r="G14" s="17" t="s">
        <v>92</v>
      </c>
      <c r="H14" s="16">
        <v>1003902278.4</v>
      </c>
      <c r="I14" s="18">
        <v>94.274200000000008</v>
      </c>
      <c r="J14" s="18">
        <v>94.274200000000008</v>
      </c>
      <c r="K14" s="16"/>
      <c r="L14" s="16">
        <v>1076988460.8</v>
      </c>
      <c r="M14" s="19">
        <f t="shared" si="0"/>
        <v>4.2061388478896865E-2</v>
      </c>
      <c r="O14" s="8">
        <v>749863.88888888899</v>
      </c>
    </row>
    <row r="15" spans="1:17" x14ac:dyDescent="0.2">
      <c r="A15" s="13" t="s">
        <v>72</v>
      </c>
      <c r="B15" s="13" t="s">
        <v>93</v>
      </c>
      <c r="C15" s="14">
        <v>1897500</v>
      </c>
      <c r="D15" s="15">
        <v>1897500000</v>
      </c>
      <c r="E15" s="16">
        <v>10.3</v>
      </c>
      <c r="F15" s="17" t="s">
        <v>74</v>
      </c>
      <c r="G15" s="17" t="s">
        <v>94</v>
      </c>
      <c r="H15" s="16">
        <v>1645329839.996666</v>
      </c>
      <c r="I15" s="18">
        <v>77.310600000000008</v>
      </c>
      <c r="J15" s="18">
        <v>82.517800000000008</v>
      </c>
      <c r="K15" s="16">
        <v>99349937.499999985</v>
      </c>
      <c r="L15" s="16">
        <v>1566318572.499999</v>
      </c>
      <c r="M15" s="19">
        <f t="shared" si="0"/>
        <v>6.1171996133269665E-2</v>
      </c>
      <c r="O15" s="8">
        <v>749863.88888888899</v>
      </c>
    </row>
    <row r="16" spans="1:17" x14ac:dyDescent="0.2">
      <c r="A16" s="13" t="s">
        <v>72</v>
      </c>
      <c r="B16" s="13" t="s">
        <v>95</v>
      </c>
      <c r="C16" s="14">
        <v>1897500</v>
      </c>
      <c r="D16" s="15">
        <v>1897500000</v>
      </c>
      <c r="E16" s="16">
        <v>8.07</v>
      </c>
      <c r="F16" s="17" t="s">
        <v>74</v>
      </c>
      <c r="G16" s="17" t="s">
        <v>96</v>
      </c>
      <c r="H16" s="16">
        <v>1359122325</v>
      </c>
      <c r="I16" s="18">
        <v>61.1004</v>
      </c>
      <c r="J16" s="18">
        <v>63.947300000000006</v>
      </c>
      <c r="K16" s="16">
        <v>54445600</v>
      </c>
      <c r="L16" s="16">
        <v>1213825690</v>
      </c>
      <c r="M16" s="19">
        <f t="shared" si="0"/>
        <v>4.7405516169440318E-2</v>
      </c>
      <c r="O16" s="8">
        <v>749863.88888888899</v>
      </c>
    </row>
    <row r="17" spans="1:15" x14ac:dyDescent="0.2">
      <c r="A17" s="13" t="s">
        <v>72</v>
      </c>
      <c r="B17" s="13" t="s">
        <v>97</v>
      </c>
      <c r="C17" s="14">
        <v>1897500</v>
      </c>
      <c r="D17" s="15">
        <v>1897500000</v>
      </c>
      <c r="E17" s="16">
        <v>8.07</v>
      </c>
      <c r="F17" s="17" t="s">
        <v>74</v>
      </c>
      <c r="G17" s="17" t="s">
        <v>98</v>
      </c>
      <c r="H17" s="16">
        <v>1338524962.5</v>
      </c>
      <c r="I17" s="18">
        <v>59.632000000000005</v>
      </c>
      <c r="J17" s="18">
        <v>64.787800000000004</v>
      </c>
      <c r="K17" s="16">
        <v>98257293.75</v>
      </c>
      <c r="L17" s="16">
        <v>1229774493.75</v>
      </c>
      <c r="M17" s="19">
        <f t="shared" si="0"/>
        <v>4.8028390837757694E-2</v>
      </c>
      <c r="O17" s="8">
        <v>749863.88888888899</v>
      </c>
    </row>
    <row r="18" spans="1:15" x14ac:dyDescent="0.2">
      <c r="A18" s="13" t="s">
        <v>72</v>
      </c>
      <c r="B18" s="13" t="s">
        <v>99</v>
      </c>
      <c r="C18" s="14">
        <v>2391500</v>
      </c>
      <c r="D18" s="15">
        <v>2391500000</v>
      </c>
      <c r="E18" s="16">
        <v>5.3</v>
      </c>
      <c r="F18" s="17" t="s">
        <v>100</v>
      </c>
      <c r="G18" s="17" t="s">
        <v>101</v>
      </c>
      <c r="H18" s="16">
        <v>1903079172</v>
      </c>
      <c r="I18" s="18">
        <v>80.95920000000001</v>
      </c>
      <c r="J18" s="18">
        <v>85.81750000000001</v>
      </c>
      <c r="K18" s="16">
        <v>116539123.611111</v>
      </c>
      <c r="L18" s="16">
        <v>2052678391.61111</v>
      </c>
      <c r="M18" s="19">
        <f t="shared" si="0"/>
        <v>8.0166600102343541E-2</v>
      </c>
      <c r="O18" s="8">
        <v>749863.88888888899</v>
      </c>
    </row>
    <row r="19" spans="1:15" x14ac:dyDescent="0.2">
      <c r="A19" s="13" t="s">
        <v>72</v>
      </c>
      <c r="B19" s="13" t="s">
        <v>102</v>
      </c>
      <c r="C19" s="14">
        <v>3162500</v>
      </c>
      <c r="D19" s="15">
        <v>3162500000</v>
      </c>
      <c r="E19" s="16">
        <v>5.49</v>
      </c>
      <c r="F19" s="17" t="s">
        <v>74</v>
      </c>
      <c r="G19" s="17" t="s">
        <v>103</v>
      </c>
      <c r="H19" s="16">
        <v>2627740225</v>
      </c>
      <c r="I19" s="18">
        <v>85.72420000000001</v>
      </c>
      <c r="J19" s="18">
        <v>88.347200000000001</v>
      </c>
      <c r="K19" s="16">
        <v>83434656.25</v>
      </c>
      <c r="L19" s="16">
        <v>2794462481.25</v>
      </c>
      <c r="M19" s="19">
        <f t="shared" si="0"/>
        <v>0.10913670507318987</v>
      </c>
      <c r="O19" s="8">
        <v>749863.88888888899</v>
      </c>
    </row>
    <row r="20" spans="1:15" x14ac:dyDescent="0.2">
      <c r="A20" s="13" t="s">
        <v>72</v>
      </c>
      <c r="B20" s="13" t="s">
        <v>104</v>
      </c>
      <c r="C20" s="14">
        <v>550000</v>
      </c>
      <c r="D20" s="15">
        <v>550000000</v>
      </c>
      <c r="E20" s="16">
        <v>12</v>
      </c>
      <c r="F20" s="17" t="s">
        <v>91</v>
      </c>
      <c r="G20" s="17" t="s">
        <v>105</v>
      </c>
      <c r="H20" s="16">
        <v>491343050</v>
      </c>
      <c r="I20" s="18">
        <v>85.226700000000008</v>
      </c>
      <c r="J20" s="18">
        <v>91.6267</v>
      </c>
      <c r="K20" s="16">
        <v>35383333.333333328</v>
      </c>
      <c r="L20" s="16">
        <v>504130183.33333302</v>
      </c>
      <c r="M20" s="19">
        <f t="shared" si="0"/>
        <v>1.9688619012101508E-2</v>
      </c>
      <c r="O20" s="8">
        <v>749863.88888888899</v>
      </c>
    </row>
    <row r="21" spans="1:15" x14ac:dyDescent="0.2">
      <c r="A21" s="13" t="s">
        <v>72</v>
      </c>
      <c r="B21" s="13" t="s">
        <v>106</v>
      </c>
      <c r="C21" s="14">
        <v>2530000</v>
      </c>
      <c r="D21" s="15">
        <v>2530000000</v>
      </c>
      <c r="E21" s="16">
        <v>10.67</v>
      </c>
      <c r="F21" s="17" t="s">
        <v>74</v>
      </c>
      <c r="G21" s="17" t="s">
        <v>107</v>
      </c>
      <c r="H21" s="16">
        <v>2455119589.9966769</v>
      </c>
      <c r="I21" s="18">
        <v>98.26700000000001</v>
      </c>
      <c r="J21" s="18">
        <v>99.986100000000008</v>
      </c>
      <c r="K21" s="16">
        <v>44241969.44444444</v>
      </c>
      <c r="L21" s="16">
        <v>2530397069.4444442</v>
      </c>
      <c r="M21" s="19">
        <f t="shared" si="0"/>
        <v>9.8823727474949885E-2</v>
      </c>
      <c r="O21" s="8">
        <v>749863.88888888899</v>
      </c>
    </row>
    <row r="22" spans="1:15" x14ac:dyDescent="0.2">
      <c r="A22" s="13" t="s">
        <v>72</v>
      </c>
      <c r="B22" s="13" t="s">
        <v>108</v>
      </c>
      <c r="C22" s="14">
        <v>1897500</v>
      </c>
      <c r="D22" s="15">
        <v>1897500000</v>
      </c>
      <c r="E22" s="16">
        <v>10.4</v>
      </c>
      <c r="F22" s="17" t="s">
        <v>74</v>
      </c>
      <c r="G22" s="17" t="s">
        <v>109</v>
      </c>
      <c r="H22" s="16">
        <v>1736743800</v>
      </c>
      <c r="I22" s="18">
        <v>87.144000000000005</v>
      </c>
      <c r="J22" s="18">
        <v>91.679600000000008</v>
      </c>
      <c r="K22" s="16">
        <v>86610333.333333328</v>
      </c>
      <c r="L22" s="16">
        <v>1740167733.333333</v>
      </c>
      <c r="M22" s="19">
        <f t="shared" si="0"/>
        <v>6.796161120965534E-2</v>
      </c>
      <c r="O22" s="8">
        <v>749863.88888888899</v>
      </c>
    </row>
    <row r="23" spans="1:15" x14ac:dyDescent="0.2">
      <c r="A23" s="13" t="s">
        <v>72</v>
      </c>
      <c r="B23" s="13" t="s">
        <v>110</v>
      </c>
      <c r="C23" s="14">
        <v>2469500</v>
      </c>
      <c r="D23" s="15">
        <v>2469500000</v>
      </c>
      <c r="E23" s="16">
        <v>7.68</v>
      </c>
      <c r="F23" s="17" t="s">
        <v>111</v>
      </c>
      <c r="G23" s="17" t="s">
        <v>112</v>
      </c>
      <c r="H23" s="16">
        <v>1827657194</v>
      </c>
      <c r="I23" s="18">
        <v>75.051400000000001</v>
      </c>
      <c r="J23" s="18">
        <v>75.819400000000002</v>
      </c>
      <c r="K23" s="16">
        <v>19492586.66666666</v>
      </c>
      <c r="L23" s="16">
        <v>1872886909.666666</v>
      </c>
      <c r="M23" s="19">
        <f t="shared" si="0"/>
        <v>7.314490985912174E-2</v>
      </c>
      <c r="O23" s="8">
        <v>749863.88888888899</v>
      </c>
    </row>
    <row r="24" spans="1:15" x14ac:dyDescent="0.2">
      <c r="A24" s="13" t="s">
        <v>72</v>
      </c>
      <c r="B24" s="13" t="s">
        <v>113</v>
      </c>
      <c r="C24" s="14">
        <v>1897500</v>
      </c>
      <c r="D24" s="15">
        <v>1897500000</v>
      </c>
      <c r="E24" s="16">
        <v>11</v>
      </c>
      <c r="F24" s="17" t="s">
        <v>74</v>
      </c>
      <c r="G24" s="17" t="s">
        <v>114</v>
      </c>
      <c r="H24" s="16">
        <v>1743261712.5</v>
      </c>
      <c r="I24" s="18">
        <v>84.998000000000005</v>
      </c>
      <c r="J24" s="18">
        <v>90.161900000000003</v>
      </c>
      <c r="K24" s="16">
        <v>98564583.333333328</v>
      </c>
      <c r="L24" s="16">
        <v>1711401633.333333</v>
      </c>
      <c r="M24" s="19">
        <f t="shared" si="0"/>
        <v>6.6838161747416872E-2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25834727726.876675</v>
      </c>
      <c r="I26" s="23"/>
      <c r="J26" s="23"/>
      <c r="K26" s="21">
        <f>SUM(K8:K25)</f>
        <v>894474334.95555544</v>
      </c>
      <c r="L26" s="21">
        <f>SUM(L8:L25)</f>
        <v>25605157122.674374</v>
      </c>
      <c r="M26" s="24">
        <f>SUM(M8:M25)</f>
        <v>1.0000000000000002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864744.19</v>
      </c>
    </row>
    <row r="30" spans="1:15" x14ac:dyDescent="0.2">
      <c r="A30" s="27" t="s">
        <v>71</v>
      </c>
      <c r="B30" s="28">
        <v>864744.19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131391</v>
      </c>
      <c r="D35" s="30" t="s">
        <v>68</v>
      </c>
      <c r="E35" s="32" t="s">
        <v>69</v>
      </c>
      <c r="F35" s="32" t="s">
        <v>70</v>
      </c>
      <c r="G35" s="33">
        <v>98.947399974123016</v>
      </c>
      <c r="H35" s="33">
        <f>J35/C35</f>
        <v>99.074677793760614</v>
      </c>
      <c r="I35" s="34">
        <v>13000797.83</v>
      </c>
      <c r="J35" s="34">
        <v>13017520.99</v>
      </c>
      <c r="K35" s="35">
        <v>15.6502</v>
      </c>
      <c r="L35" s="58">
        <v>5574.3866666666654</v>
      </c>
      <c r="M35" s="29">
        <f>I35+L35</f>
        <v>13006372.216666667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21042774</v>
      </c>
      <c r="D36" s="30" t="s">
        <v>68</v>
      </c>
      <c r="E36" s="32" t="s">
        <v>69</v>
      </c>
      <c r="F36" s="32" t="s">
        <v>70</v>
      </c>
      <c r="G36" s="33">
        <v>98.947400000114058</v>
      </c>
      <c r="H36" s="33">
        <f>J36/C36</f>
        <v>99.074677802936066</v>
      </c>
      <c r="I36" s="34">
        <v>2082127776.0899999</v>
      </c>
      <c r="J36" s="34">
        <v>2084806054.1300001</v>
      </c>
      <c r="K36" s="35">
        <v>15.6502</v>
      </c>
      <c r="L36" s="58">
        <v>892759.34666666656</v>
      </c>
      <c r="M36" s="29">
        <f>I36+L36</f>
        <v>2083020535.4366665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2096026907.6533332</v>
      </c>
      <c r="O38" s="39"/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L26+B30+M38</f>
        <v>27702048774.517704</v>
      </c>
      <c r="C45" s="7">
        <v>27702048774.517719</v>
      </c>
      <c r="D45" s="7">
        <f>__mdDATAItogoActive__-C45</f>
        <v>0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9" t="s">
        <v>48</v>
      </c>
      <c r="B50" s="59"/>
      <c r="C50" s="59"/>
      <c r="D50" s="59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9" t="s">
        <v>49</v>
      </c>
      <c r="B56" s="59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-5.72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483592.8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398637.64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197999.89</v>
      </c>
      <c r="D65" s="55"/>
      <c r="F65" s="52"/>
      <c r="O65" s="7"/>
    </row>
    <row r="66" spans="1:15" x14ac:dyDescent="0.2">
      <c r="A66" s="22">
        <v>7</v>
      </c>
      <c r="B66" s="53" t="s">
        <v>59</v>
      </c>
      <c r="C66" s="55">
        <v>31153.58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60" t="s">
        <v>63</v>
      </c>
      <c r="B70" s="60"/>
      <c r="C70" s="57">
        <f>SUM(C60:C69)</f>
        <v>1111378.19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20.09.2025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2025-09-22T05:44:27Z</dcterms:created>
  <dcterms:modified xsi:type="dcterms:W3CDTF">2025-09-22T13:12:50Z</dcterms:modified>
</cp:coreProperties>
</file>