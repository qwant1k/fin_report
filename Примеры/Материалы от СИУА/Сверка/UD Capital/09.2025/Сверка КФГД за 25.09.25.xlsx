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8392DD9C-62BA-4E1A-959B-57B0FD8177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4" i="1" s="1"/>
  <c r="M11" i="1" l="1"/>
  <c r="M9" i="1"/>
  <c r="M13" i="1"/>
  <c r="M17" i="1"/>
  <c r="M21" i="1"/>
  <c r="M15" i="1"/>
  <c r="M19" i="1"/>
  <c r="M23" i="1"/>
  <c r="M10" i="1"/>
  <c r="M14" i="1"/>
  <c r="M18" i="1"/>
  <c r="M22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<sst xmlns="http://schemas.openxmlformats.org/spreadsheetml/2006/main" count="1010" uniqueCount="450">
  <si>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</si>
  <si>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</si>
  <si>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</si>
  <si>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</si>
  <si>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</si>
  <si>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</si>
  <si>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</si>
  <si>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</si>
  <si>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</si>
  <si>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</si>
  <si>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</si>
  <si>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</si>
  <si>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</si>
  <si>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</si>
  <si>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</si>
  <si>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</si>
  <si>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</si>
  <si>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</si>
  <si>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</si>
  <si>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</si>
  <si>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</si>
  <si>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</si>
  <si>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</si>
  <si>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</si>
  <si>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</si>
  <si>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</si>
  <si>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</si>
  <si>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</si>
  <si>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</si>
  <si>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</si>
  <si>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</si>
  <si>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</si>
  <si>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</si>
  <si>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</si>
  <si>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</si>
  <si>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</si>
  <si>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</si>
  <si>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</si>
  <si>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</si>
  <si>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</si>
  <si>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</si>
  <si>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</si>
  <si>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</si>
  <si>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</si>
  <si>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</si>
  <si>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</si>
  <si>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</si>
  <si>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</si>
  <si>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</si>
  <si>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</si>
  <si>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</si>
  <si>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</si>
  <si>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</si>
  <si>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</si>
  <si>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</si>
  <si>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</si>
  <si>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</si>
  <si>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</si>
  <si>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</si>
  <si>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</si>
  <si>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</si>
  <si>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</si>
  <si>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</si>
  <si>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</si>
  <si>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</si>
  <si>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</si>
  <si>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</si>
  <si>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</si>
  <si>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</si>
  <si>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24.09.2025</t>
  </si>
  <si>
    <t>25.09.2025</t>
  </si>
  <si>
    <t>KZK100000365</t>
  </si>
  <si>
    <t>KZKD00001152</t>
  </si>
  <si>
    <t>KZK200000687</t>
  </si>
  <si>
    <t>26.09.2025</t>
  </si>
  <si>
    <t>KZ96601A861038102391</t>
  </si>
  <si>
    <t>KZKD00000444</t>
  </si>
  <si>
    <t>21.08.2025</t>
  </si>
  <si>
    <t>18.08.2026</t>
  </si>
  <si>
    <t>KZKD00001251</t>
  </si>
  <si>
    <t>13.03.2025</t>
  </si>
  <si>
    <t>07.03.2030</t>
  </si>
  <si>
    <t>KZKD00000832</t>
  </si>
  <si>
    <t>18.07.2024</t>
  </si>
  <si>
    <t>29.01.2035</t>
  </si>
  <si>
    <t>KZKD00001129</t>
  </si>
  <si>
    <t>17.03.2031</t>
  </si>
  <si>
    <t>KZKD00001087</t>
  </si>
  <si>
    <t>31.03.2029</t>
  </si>
  <si>
    <t>KZKD00000741</t>
  </si>
  <si>
    <t>12.05.2034</t>
  </si>
  <si>
    <t>KZK100000373</t>
  </si>
  <si>
    <t>06.02.2026</t>
  </si>
  <si>
    <t>KZKD00000535</t>
  </si>
  <si>
    <t>27.03.2027</t>
  </si>
  <si>
    <t>KZK200000760</t>
  </si>
  <si>
    <t>14.08.2025</t>
  </si>
  <si>
    <t>07.08.2029</t>
  </si>
  <si>
    <t>KZKD00000790</t>
  </si>
  <si>
    <t>10.07.2025</t>
  </si>
  <si>
    <t>13.08.2029</t>
  </si>
  <si>
    <t>KZKD00000949</t>
  </si>
  <si>
    <t>16.04.2032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</si>
  <si>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</si>
  <si>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</si>
  <si>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</si>
  <si>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</si>
  <si>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</si>
  <si>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</si>
  <si>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21.01.2026</t>
  </si>
  <si>
    <t>KZKD00000477</t>
  </si>
  <si>
    <t>24.07.2025</t>
  </si>
  <si>
    <t>19.10.2027</t>
  </si>
  <si>
    <t>KZKD00001137</t>
  </si>
  <si>
    <t>12.04.2028</t>
  </si>
  <si>
    <t>26.07.2032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</si>
  <si>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</si>
  <si>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</si>
  <si>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</si>
  <si>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</si>
  <si>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</si>
  <si>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</si>
  <si>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</si>
  <si>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</si>
  <si>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</si>
  <si>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</si>
  <si>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</si>
  <si>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</si>
  <si>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</si>
  <si>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</si>
  <si>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</si>
  <si>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</si>
  <si>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</si>
  <si>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</si>
  <si>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</si>
  <si>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</si>
  <si>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</si>
  <si>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</si>
  <si>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</si>
  <si>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</si>
  <si>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</si>
  <si>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</si>
  <si>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</si>
  <si>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</si>
  <si>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</si>
  <si>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</si>
  <si>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</si>
  <si>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</si>
  <si>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</si>
  <si>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</si>
  <si>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</si>
  <si>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</si>
  <si>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</si>
  <si>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</si>
  <si>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</si>
  <si>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</si>
  <si>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</si>
  <si>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</si>
  <si>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</si>
  <si>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</si>
  <si>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</si>
  <si>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</si>
  <si>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</si>
  <si>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</si>
  <si>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</si>
  <si>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</si>
  <si>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</si>
  <si>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</si>
  <si>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MFMOb20</t>
  </si>
  <si>
    <t>KZ2P00013469</t>
  </si>
  <si>
    <t>MFRFb21</t>
  </si>
  <si>
    <t>KZ2P00014723</t>
  </si>
  <si>
    <t>MFMOb32</t>
  </si>
  <si>
    <t>KZ2P00014590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</si>
  <si>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</si>
  <si>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</si>
  <si>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</si>
  <si>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</si>
  <si>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</si>
  <si>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</si>
  <si>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</si>
  <si>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</si>
  <si>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</si>
  <si>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</si>
  <si>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</si>
  <si>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</si>
  <si>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</si>
  <si>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</si>
  <si>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</si>
  <si>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</si>
  <si>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</si>
  <si>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</si>
  <si>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</si>
  <si>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</si>
  <si>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</si>
  <si>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</si>
  <si>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</si>
  <si>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</si>
  <si>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</si>
  <si>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</si>
  <si>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</si>
  <si>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</si>
  <si>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</si>
  <si>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</si>
  <si>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</si>
  <si>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</si>
  <si>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MFDFb3</t>
  </si>
  <si>
    <t>KZ2P00013840</t>
  </si>
  <si>
    <t>MFRFb11</t>
  </si>
  <si>
    <t>KZ2P00010937</t>
  </si>
  <si>
    <t>MFLGb14</t>
  </si>
  <si>
    <t>KZ2P00013519</t>
  </si>
  <si>
    <t>MFMOb25</t>
  </si>
  <si>
    <t>KZ2P00013220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</si>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</sst>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0.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4" workbookViewId="0">
      <selection activeCell="C30" sqref="C3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25556580415.638206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1106600</v>
      </c>
      <c r="D8" s="17">
        <v>1106600000</v>
      </c>
      <c r="E8" s="18">
        <v>5.5</v>
      </c>
      <c r="F8" s="19" t="s">
        <v>77</v>
      </c>
      <c r="G8" s="19" t="s">
        <v>78</v>
      </c>
      <c r="H8" s="18">
        <v>999478906.79999995</v>
      </c>
      <c r="I8" s="20">
        <v>90.698400000000007</v>
      </c>
      <c r="J8" s="20">
        <v>91.2637</v>
      </c>
      <c r="K8" s="18">
        <v>6255363.8888888899</v>
      </c>
      <c r="L8" s="18">
        <v>1009923858.28889</v>
      </c>
      <c r="M8" s="21">
        <f t="shared" ref="M8:M24" si="0">L8/$Q$1</f>
        <v>3.9517174906190201E-2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550000</v>
      </c>
      <c r="D9" s="17">
        <v>550000000</v>
      </c>
      <c r="E9" s="18">
        <v>12</v>
      </c>
      <c r="F9" s="19" t="s">
        <v>80</v>
      </c>
      <c r="G9" s="19" t="s">
        <v>81</v>
      </c>
      <c r="H9" s="18">
        <v>491343050</v>
      </c>
      <c r="I9" s="20">
        <v>84.78540000000001</v>
      </c>
      <c r="J9" s="20">
        <v>91.385400000000004</v>
      </c>
      <c r="K9" s="18">
        <v>36299999.999999993</v>
      </c>
      <c r="L9" s="18">
        <v>502619700</v>
      </c>
      <c r="M9" s="21">
        <f t="shared" si="0"/>
        <v>1.9666938683723288E-2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1897500</v>
      </c>
      <c r="D10" s="17">
        <v>1897500000</v>
      </c>
      <c r="E10" s="18">
        <v>8.07</v>
      </c>
      <c r="F10" s="19" t="s">
        <v>83</v>
      </c>
      <c r="G10" s="19" t="s">
        <v>84</v>
      </c>
      <c r="H10" s="18">
        <v>1338524962.5</v>
      </c>
      <c r="I10" s="20">
        <v>60.171900000000001</v>
      </c>
      <c r="J10" s="20">
        <v>65.46220000000001</v>
      </c>
      <c r="K10" s="18">
        <v>100384075</v>
      </c>
      <c r="L10" s="18">
        <v>1242145877.5</v>
      </c>
      <c r="M10" s="21">
        <f t="shared" si="0"/>
        <v>4.8603759082726281E-2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10.3</v>
      </c>
      <c r="F11" s="19" t="s">
        <v>83</v>
      </c>
      <c r="G11" s="19" t="s">
        <v>86</v>
      </c>
      <c r="H11" s="18">
        <v>1645329839.996666</v>
      </c>
      <c r="I11" s="20">
        <v>77.18910000000001</v>
      </c>
      <c r="J11" s="20">
        <v>82.567999999999998</v>
      </c>
      <c r="K11" s="18">
        <v>102064416.666667</v>
      </c>
      <c r="L11" s="18">
        <v>1566727589.166666</v>
      </c>
      <c r="M11" s="21">
        <f t="shared" si="0"/>
        <v>6.1304273251204501E-2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11</v>
      </c>
      <c r="F12" s="19" t="s">
        <v>83</v>
      </c>
      <c r="G12" s="19" t="s">
        <v>88</v>
      </c>
      <c r="H12" s="18">
        <v>1743261712.5</v>
      </c>
      <c r="I12" s="20">
        <v>84.318200000000004</v>
      </c>
      <c r="J12" s="20">
        <v>89.665400000000005</v>
      </c>
      <c r="K12" s="18">
        <v>101463541.666667</v>
      </c>
      <c r="L12" s="18">
        <v>1701401386.666666</v>
      </c>
      <c r="M12" s="21">
        <f t="shared" si="0"/>
        <v>6.6573906171952857E-2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8.07</v>
      </c>
      <c r="F13" s="19" t="s">
        <v>83</v>
      </c>
      <c r="G13" s="19" t="s">
        <v>90</v>
      </c>
      <c r="H13" s="18">
        <v>1359122325</v>
      </c>
      <c r="I13" s="20">
        <v>61.560600000000001</v>
      </c>
      <c r="J13" s="20">
        <v>64.542000000000002</v>
      </c>
      <c r="K13" s="18">
        <v>56572381.25</v>
      </c>
      <c r="L13" s="18">
        <v>1224684766.25</v>
      </c>
      <c r="M13" s="21">
        <f t="shared" si="0"/>
        <v>4.7920525607589068E-2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11424000</v>
      </c>
      <c r="D14" s="17">
        <v>1142400000</v>
      </c>
      <c r="E14" s="18">
        <v>0</v>
      </c>
      <c r="F14" s="19" t="s">
        <v>80</v>
      </c>
      <c r="G14" s="19" t="s">
        <v>92</v>
      </c>
      <c r="H14" s="18">
        <v>1003902278.4</v>
      </c>
      <c r="I14" s="20">
        <v>94.414100000000005</v>
      </c>
      <c r="J14" s="20">
        <v>94.414100000000005</v>
      </c>
      <c r="K14" s="18"/>
      <c r="L14" s="18">
        <v>1078586678.4000001</v>
      </c>
      <c r="M14" s="21">
        <f t="shared" si="0"/>
        <v>4.2203873165284948E-2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3162500</v>
      </c>
      <c r="D15" s="17">
        <v>3162500000</v>
      </c>
      <c r="E15" s="18">
        <v>5.49</v>
      </c>
      <c r="F15" s="19" t="s">
        <v>83</v>
      </c>
      <c r="G15" s="19" t="s">
        <v>94</v>
      </c>
      <c r="H15" s="18">
        <v>2627740225</v>
      </c>
      <c r="I15" s="20">
        <v>84.996200000000002</v>
      </c>
      <c r="J15" s="20">
        <v>87.710700000000003</v>
      </c>
      <c r="K15" s="18">
        <v>85846062.5</v>
      </c>
      <c r="L15" s="18">
        <v>2773850887.5</v>
      </c>
      <c r="M15" s="21">
        <f t="shared" si="0"/>
        <v>0.10853763854113542</v>
      </c>
      <c r="O15" s="10">
        <v>749863.88888888899</v>
      </c>
    </row>
    <row r="16" spans="1:17" x14ac:dyDescent="0.2">
      <c r="A16" s="15" t="s">
        <v>66</v>
      </c>
      <c r="B16" s="15" t="s">
        <v>95</v>
      </c>
      <c r="C16" s="16">
        <v>897100</v>
      </c>
      <c r="D16" s="17">
        <v>897100000</v>
      </c>
      <c r="E16" s="18">
        <v>17.010000000000002</v>
      </c>
      <c r="F16" s="19" t="s">
        <v>96</v>
      </c>
      <c r="G16" s="19" t="s">
        <v>97</v>
      </c>
      <c r="H16" s="18">
        <v>896985171.20000005</v>
      </c>
      <c r="I16" s="20">
        <v>101.30930000000001</v>
      </c>
      <c r="J16" s="20">
        <v>103.57730000000001</v>
      </c>
      <c r="K16" s="18">
        <v>20346228</v>
      </c>
      <c r="L16" s="18">
        <v>929191958.29999995</v>
      </c>
      <c r="M16" s="21">
        <f t="shared" si="0"/>
        <v>3.635822724277394E-2</v>
      </c>
      <c r="O16" s="10">
        <v>749863.88888888899</v>
      </c>
    </row>
    <row r="17" spans="1:15" x14ac:dyDescent="0.2">
      <c r="A17" s="15" t="s">
        <v>66</v>
      </c>
      <c r="B17" s="15" t="s">
        <v>98</v>
      </c>
      <c r="C17" s="16">
        <v>2469500</v>
      </c>
      <c r="D17" s="17">
        <v>2469500000</v>
      </c>
      <c r="E17" s="18">
        <v>7.68</v>
      </c>
      <c r="F17" s="19" t="s">
        <v>99</v>
      </c>
      <c r="G17" s="19" t="s">
        <v>100</v>
      </c>
      <c r="H17" s="18">
        <v>1827657194</v>
      </c>
      <c r="I17" s="20">
        <v>74.575900000000004</v>
      </c>
      <c r="J17" s="20">
        <v>75.471900000000005</v>
      </c>
      <c r="K17" s="18">
        <v>22126720</v>
      </c>
      <c r="L17" s="18">
        <v>1863778570.5</v>
      </c>
      <c r="M17" s="21">
        <f t="shared" si="0"/>
        <v>7.2927541172900581E-2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8.4499999999999993</v>
      </c>
      <c r="F18" s="19" t="s">
        <v>83</v>
      </c>
      <c r="G18" s="19" t="s">
        <v>102</v>
      </c>
      <c r="H18" s="18">
        <v>1457889097.496666</v>
      </c>
      <c r="I18" s="20">
        <v>67.85860000000001</v>
      </c>
      <c r="J18" s="20">
        <v>71.590699999999998</v>
      </c>
      <c r="K18" s="18">
        <v>70816281.25</v>
      </c>
      <c r="L18" s="18">
        <v>1358433216.25</v>
      </c>
      <c r="M18" s="21">
        <f t="shared" si="0"/>
        <v>5.3153950730386743E-2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1897500</v>
      </c>
      <c r="D19" s="17">
        <v>1897500000</v>
      </c>
      <c r="E19" s="18">
        <v>10.55</v>
      </c>
      <c r="F19" s="19" t="s">
        <v>83</v>
      </c>
      <c r="G19" s="19" t="s">
        <v>104</v>
      </c>
      <c r="H19" s="18">
        <v>1708326839.9966669</v>
      </c>
      <c r="I19" s="20">
        <v>82.334600000000009</v>
      </c>
      <c r="J19" s="20">
        <v>84.00500000000001</v>
      </c>
      <c r="K19" s="18">
        <v>31696156.25</v>
      </c>
      <c r="L19" s="18">
        <v>1593995191.25</v>
      </c>
      <c r="M19" s="21">
        <f t="shared" si="0"/>
        <v>6.2371223588059764E-2</v>
      </c>
      <c r="O19" s="10">
        <v>749863.88888888899</v>
      </c>
    </row>
    <row r="20" spans="1:15" x14ac:dyDescent="0.2">
      <c r="A20" s="15" t="s">
        <v>105</v>
      </c>
      <c r="B20" s="15" t="s">
        <v>106</v>
      </c>
      <c r="C20" s="16">
        <v>992234</v>
      </c>
      <c r="D20" s="17">
        <v>992234000</v>
      </c>
      <c r="E20" s="18">
        <v>14.3</v>
      </c>
      <c r="F20" s="19" t="s">
        <v>107</v>
      </c>
      <c r="G20" s="19" t="s">
        <v>108</v>
      </c>
      <c r="H20" s="18">
        <v>991722999.49000001</v>
      </c>
      <c r="I20" s="20">
        <v>94.491883090000002</v>
      </c>
      <c r="J20" s="20">
        <v>95.365783089999994</v>
      </c>
      <c r="K20" s="18">
        <v>8671022.6777777802</v>
      </c>
      <c r="L20" s="18">
        <v>946251613.92710292</v>
      </c>
      <c r="M20" s="21">
        <f t="shared" si="0"/>
        <v>3.702575221480283E-2</v>
      </c>
      <c r="O20" s="10">
        <v>749863.88888888899</v>
      </c>
    </row>
    <row r="21" spans="1:15" x14ac:dyDescent="0.2">
      <c r="A21" s="15" t="s">
        <v>66</v>
      </c>
      <c r="B21" s="15" t="s">
        <v>73</v>
      </c>
      <c r="C21" s="16">
        <v>2530000</v>
      </c>
      <c r="D21" s="17">
        <v>2530000000</v>
      </c>
      <c r="E21" s="18">
        <v>10.67</v>
      </c>
      <c r="F21" s="19" t="s">
        <v>83</v>
      </c>
      <c r="G21" s="19" t="s">
        <v>109</v>
      </c>
      <c r="H21" s="18">
        <v>2455119589.9966769</v>
      </c>
      <c r="I21" s="20">
        <v>98.264900000000011</v>
      </c>
      <c r="J21" s="20">
        <v>100.1618</v>
      </c>
      <c r="K21" s="18">
        <v>47991288.888888881</v>
      </c>
      <c r="L21" s="18">
        <v>2534093258.8888879</v>
      </c>
      <c r="M21" s="21">
        <f t="shared" si="0"/>
        <v>9.9156194517254853E-2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2391500</v>
      </c>
      <c r="D22" s="17">
        <v>2391500000</v>
      </c>
      <c r="E22" s="18">
        <v>5.3</v>
      </c>
      <c r="F22" s="19" t="s">
        <v>111</v>
      </c>
      <c r="G22" s="19" t="s">
        <v>112</v>
      </c>
      <c r="H22" s="18">
        <v>1903079172</v>
      </c>
      <c r="I22" s="20">
        <v>80.162599999999998</v>
      </c>
      <c r="J22" s="20">
        <v>85.109300000000005</v>
      </c>
      <c r="K22" s="18">
        <v>118299533.333333</v>
      </c>
      <c r="L22" s="18">
        <v>2035388112.3333299</v>
      </c>
      <c r="M22" s="21">
        <f t="shared" si="0"/>
        <v>7.9642427869100405E-2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10.4</v>
      </c>
      <c r="F23" s="19" t="s">
        <v>83</v>
      </c>
      <c r="G23" s="19" t="s">
        <v>114</v>
      </c>
      <c r="H23" s="18">
        <v>1736743800</v>
      </c>
      <c r="I23" s="20">
        <v>86.248500000000007</v>
      </c>
      <c r="J23" s="20">
        <v>90.957400000000007</v>
      </c>
      <c r="K23" s="18">
        <v>89351166.666666657</v>
      </c>
      <c r="L23" s="18">
        <v>1725916454.166666</v>
      </c>
      <c r="M23" s="21">
        <f t="shared" si="0"/>
        <v>6.7533152953067568E-2</v>
      </c>
      <c r="O23" s="10">
        <v>749863.88888888899</v>
      </c>
    </row>
    <row r="24" spans="1:15" x14ac:dyDescent="0.2">
      <c r="A24" s="15" t="s">
        <v>66</v>
      </c>
      <c r="B24" s="15" t="s">
        <v>72</v>
      </c>
      <c r="C24" s="16">
        <v>1897500</v>
      </c>
      <c r="D24" s="17">
        <v>1897500000</v>
      </c>
      <c r="E24" s="18">
        <v>10.65</v>
      </c>
      <c r="F24" s="19" t="s">
        <v>83</v>
      </c>
      <c r="G24" s="19" t="s">
        <v>115</v>
      </c>
      <c r="H24" s="18">
        <v>1648500562.5</v>
      </c>
      <c r="I24" s="20">
        <v>75.703400000000002</v>
      </c>
      <c r="J24" s="20">
        <v>77.448800000000006</v>
      </c>
      <c r="K24" s="18">
        <v>33119281.25</v>
      </c>
      <c r="L24" s="18">
        <v>1469591296.25</v>
      </c>
      <c r="M24" s="21">
        <f t="shared" si="0"/>
        <v>5.7503440301846849E-2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931303519.28888905</v>
      </c>
      <c r="L26" s="23">
        <f>SUM(L8:L25)</f>
        <v>25556580415.638206</v>
      </c>
      <c r="M26" s="26">
        <f>SUM(M8:M25)</f>
        <v>1.0000000000000002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105516.24</v>
      </c>
    </row>
    <row r="30" spans="1:15" x14ac:dyDescent="0.2">
      <c r="A30" s="29" t="s">
        <v>75</v>
      </c>
      <c r="B30" s="30">
        <v>105516.24</v>
      </c>
      <c r="C30" s="9">
        <v>105516.3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97244</v>
      </c>
      <c r="D35" s="32" t="s">
        <v>68</v>
      </c>
      <c r="E35" s="34" t="s">
        <v>69</v>
      </c>
      <c r="F35" s="34" t="s">
        <v>70</v>
      </c>
      <c r="G35" s="35">
        <v>946.27</v>
      </c>
      <c r="H35" s="35">
        <f t="shared" ref="H35:H40" si="1">J35/C35</f>
        <v>946.67728497388021</v>
      </c>
      <c r="I35" s="36">
        <v>92019079.879999995</v>
      </c>
      <c r="J35" s="36">
        <v>92058685.900000006</v>
      </c>
      <c r="K35" s="37">
        <v>15.71</v>
      </c>
      <c r="L35" s="37">
        <v>39606.020000000004</v>
      </c>
      <c r="M35" s="31">
        <f t="shared" ref="M35:M40" si="2">I35+L35</f>
        <v>92058685.899999991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19579816</v>
      </c>
      <c r="D36" s="32" t="s">
        <v>68</v>
      </c>
      <c r="E36" s="34" t="s">
        <v>69</v>
      </c>
      <c r="F36" s="34" t="s">
        <v>70</v>
      </c>
      <c r="G36" s="35">
        <v>98.780299999754845</v>
      </c>
      <c r="H36" s="35">
        <f t="shared" si="1"/>
        <v>98.822790954726031</v>
      </c>
      <c r="I36" s="36">
        <v>1934100098.4200001</v>
      </c>
      <c r="J36" s="36">
        <v>1934932063.5</v>
      </c>
      <c r="K36" s="37">
        <v>15.700700000000001</v>
      </c>
      <c r="L36" s="37">
        <v>831965.08</v>
      </c>
      <c r="M36" s="31">
        <f t="shared" si="2"/>
        <v>1934932063.5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131612</v>
      </c>
      <c r="D37" s="32" t="s">
        <v>68</v>
      </c>
      <c r="E37" s="34" t="s">
        <v>69</v>
      </c>
      <c r="F37" s="34" t="s">
        <v>70</v>
      </c>
      <c r="G37" s="35">
        <v>98.780299972646873</v>
      </c>
      <c r="H37" s="35">
        <f t="shared" si="1"/>
        <v>98.82279093091816</v>
      </c>
      <c r="I37" s="36">
        <v>13000672.84</v>
      </c>
      <c r="J37" s="36">
        <v>13006265.16</v>
      </c>
      <c r="K37" s="37">
        <v>15.700700000000001</v>
      </c>
      <c r="L37" s="37">
        <v>5592.32</v>
      </c>
      <c r="M37" s="31">
        <f t="shared" si="2"/>
        <v>13006265.16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72</v>
      </c>
      <c r="C38" s="33">
        <v>78812</v>
      </c>
      <c r="D38" s="32" t="s">
        <v>68</v>
      </c>
      <c r="E38" s="34" t="s">
        <v>69</v>
      </c>
      <c r="F38" s="34" t="s">
        <v>70</v>
      </c>
      <c r="G38" s="35">
        <v>774.27199994924604</v>
      </c>
      <c r="H38" s="35">
        <f t="shared" si="1"/>
        <v>774.60525516418818</v>
      </c>
      <c r="I38" s="36">
        <v>61021924.859999992</v>
      </c>
      <c r="J38" s="36">
        <v>61048189.369999997</v>
      </c>
      <c r="K38" s="37">
        <v>15.71</v>
      </c>
      <c r="L38" s="37">
        <v>26264.51</v>
      </c>
      <c r="M38" s="31">
        <f t="shared" si="2"/>
        <v>61048189.36999999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73</v>
      </c>
      <c r="C39" s="33">
        <v>11988</v>
      </c>
      <c r="D39" s="32" t="s">
        <v>68</v>
      </c>
      <c r="E39" s="34" t="s">
        <v>70</v>
      </c>
      <c r="F39" s="34" t="s">
        <v>74</v>
      </c>
      <c r="G39" s="35">
        <v>1001.617999666332</v>
      </c>
      <c r="H39" s="35">
        <f t="shared" si="1"/>
        <v>1002.057070403737</v>
      </c>
      <c r="I39" s="36">
        <v>12007396.58</v>
      </c>
      <c r="J39" s="36">
        <v>12012660.16</v>
      </c>
      <c r="K39" s="37">
        <v>16.0002</v>
      </c>
      <c r="L39" s="37"/>
      <c r="M39" s="31">
        <f t="shared" si="2"/>
        <v>12007396.58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73</v>
      </c>
      <c r="C40" s="33">
        <v>2085912</v>
      </c>
      <c r="D40" s="32" t="s">
        <v>68</v>
      </c>
      <c r="E40" s="34" t="s">
        <v>70</v>
      </c>
      <c r="F40" s="34" t="s">
        <v>74</v>
      </c>
      <c r="G40" s="35">
        <v>1001.618000001917</v>
      </c>
      <c r="H40" s="35">
        <f t="shared" si="1"/>
        <v>1002.0570709167022</v>
      </c>
      <c r="I40" s="36">
        <v>2089287005.6199999</v>
      </c>
      <c r="J40" s="36">
        <v>2090202868.9100001</v>
      </c>
      <c r="K40" s="37">
        <v>16.0002</v>
      </c>
      <c r="L40" s="37"/>
      <c r="M40" s="31">
        <f t="shared" si="2"/>
        <v>2089287005.6199999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2101294402.1999998</v>
      </c>
      <c r="O42" s="41"/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27657980334.078209</v>
      </c>
      <c r="C49" s="62">
        <v>27657980334.138214</v>
      </c>
      <c r="D49" s="9">
        <f>__mdDATAItogoActive__-C49</f>
        <v>-6.000518798828125E-2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-5.72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79000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0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74036.87</v>
      </c>
      <c r="D69" s="57"/>
      <c r="O69" s="9"/>
    </row>
    <row r="70" spans="1:15" x14ac:dyDescent="0.2">
      <c r="A70" s="24">
        <v>7</v>
      </c>
      <c r="B70" s="55" t="s">
        <v>59</v>
      </c>
      <c r="C70" s="57">
        <v>37572.910000000003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F71" s="5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190604.06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25.09.2025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116</v>
      </c>
      <c r="C4" s="4" t="s">
        <v>117</v>
      </c>
      <c r="D4" s="4" t="s">
        <v>118</v>
      </c>
      <c r="E4" s="4" t="s">
        <v>119</v>
      </c>
      <c r="F4" s="4">
        <v>99.186900000000009</v>
      </c>
      <c r="G4" s="5">
        <v>99.186900000000009</v>
      </c>
      <c r="H4" s="5">
        <v>14.96</v>
      </c>
      <c r="I4" s="5">
        <v>21</v>
      </c>
      <c r="J4" s="4" t="s">
        <v>120</v>
      </c>
    </row>
    <row r="5" spans="1:10" x14ac:dyDescent="0.25">
      <c r="A5" s="4">
        <f t="shared" ca="1" si="0"/>
        <v>2</v>
      </c>
      <c r="B5" s="4" t="s">
        <v>121</v>
      </c>
      <c r="C5" s="4" t="s">
        <v>122</v>
      </c>
      <c r="D5" s="4" t="s">
        <v>123</v>
      </c>
      <c r="E5" s="4" t="s">
        <v>124</v>
      </c>
      <c r="F5" s="4">
        <v>9490.25</v>
      </c>
      <c r="G5" s="5"/>
      <c r="H5" s="5"/>
      <c r="I5" s="5"/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118</v>
      </c>
      <c r="E6" s="4" t="s">
        <v>124</v>
      </c>
      <c r="F6" s="4">
        <v>1067.527</v>
      </c>
      <c r="G6" s="5">
        <v>107.24160000000001</v>
      </c>
      <c r="H6" s="5">
        <v>18.47</v>
      </c>
      <c r="I6" s="5">
        <v>905</v>
      </c>
      <c r="J6" s="4" t="s">
        <v>120</v>
      </c>
    </row>
    <row r="7" spans="1:10" x14ac:dyDescent="0.25">
      <c r="A7" s="4">
        <f t="shared" ca="1" si="0"/>
        <v>4</v>
      </c>
      <c r="B7" s="4" t="s">
        <v>128</v>
      </c>
      <c r="C7" s="4" t="s">
        <v>129</v>
      </c>
      <c r="D7" s="4" t="s">
        <v>123</v>
      </c>
      <c r="E7" s="4" t="s">
        <v>130</v>
      </c>
      <c r="F7" s="4">
        <v>1455.95</v>
      </c>
      <c r="G7" s="5"/>
      <c r="H7" s="5"/>
      <c r="I7" s="5"/>
      <c r="J7" s="4" t="s">
        <v>125</v>
      </c>
    </row>
    <row r="8" spans="1:10" x14ac:dyDescent="0.25">
      <c r="A8" s="4">
        <f t="shared" ca="1" si="0"/>
        <v>5</v>
      </c>
      <c r="B8" s="4" t="s">
        <v>131</v>
      </c>
      <c r="C8" s="4" t="s">
        <v>132</v>
      </c>
      <c r="D8" s="4" t="s">
        <v>123</v>
      </c>
      <c r="E8" s="4" t="s">
        <v>133</v>
      </c>
      <c r="F8" s="4">
        <v>593949.22</v>
      </c>
      <c r="G8" s="5"/>
      <c r="H8" s="5"/>
      <c r="I8" s="5"/>
      <c r="J8" s="4" t="s">
        <v>125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123</v>
      </c>
      <c r="E9" s="4" t="s">
        <v>133</v>
      </c>
      <c r="F9" s="4">
        <v>6301.35</v>
      </c>
      <c r="G9" s="5"/>
      <c r="H9" s="5"/>
      <c r="I9" s="5"/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118</v>
      </c>
      <c r="E10" s="4" t="s">
        <v>133</v>
      </c>
      <c r="F10" s="4">
        <v>0.93811099999999992</v>
      </c>
      <c r="G10" s="5">
        <v>96.302800000000005</v>
      </c>
      <c r="H10" s="5">
        <v>6.28</v>
      </c>
      <c r="I10" s="5">
        <v>7877</v>
      </c>
      <c r="J10" s="4" t="s">
        <v>120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123</v>
      </c>
      <c r="E11" s="4" t="s">
        <v>133</v>
      </c>
      <c r="F11" s="4">
        <v>166.79</v>
      </c>
      <c r="G11" s="5"/>
      <c r="H11" s="5"/>
      <c r="I11" s="5"/>
      <c r="J11" s="4" t="s">
        <v>125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123</v>
      </c>
      <c r="E12" s="4" t="s">
        <v>133</v>
      </c>
      <c r="F12" s="4">
        <v>5513.88</v>
      </c>
      <c r="G12" s="5"/>
      <c r="H12" s="5"/>
      <c r="I12" s="5"/>
      <c r="J12" s="4" t="s">
        <v>125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123</v>
      </c>
      <c r="E13" s="4" t="s">
        <v>133</v>
      </c>
      <c r="F13" s="4">
        <v>6021752.7699999996</v>
      </c>
      <c r="G13" s="5"/>
      <c r="H13" s="5"/>
      <c r="I13" s="5"/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123</v>
      </c>
      <c r="E14" s="4" t="s">
        <v>133</v>
      </c>
      <c r="F14" s="4">
        <v>132.91</v>
      </c>
      <c r="G14" s="5"/>
      <c r="H14" s="5"/>
      <c r="I14" s="5"/>
      <c r="J14" s="4" t="s">
        <v>125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123</v>
      </c>
      <c r="E15" s="4" t="s">
        <v>133</v>
      </c>
      <c r="F15" s="4">
        <v>1775506.4</v>
      </c>
      <c r="G15" s="5"/>
      <c r="H15" s="5"/>
      <c r="I15" s="5"/>
      <c r="J15" s="4" t="s">
        <v>125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123</v>
      </c>
      <c r="E16" s="4" t="s">
        <v>133</v>
      </c>
      <c r="F16" s="4">
        <v>74598.44</v>
      </c>
      <c r="G16" s="5"/>
      <c r="H16" s="5"/>
      <c r="I16" s="5"/>
      <c r="J16" s="4" t="s">
        <v>125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123</v>
      </c>
      <c r="E17" s="4" t="s">
        <v>133</v>
      </c>
      <c r="F17" s="4">
        <v>75476.19</v>
      </c>
      <c r="G17" s="5"/>
      <c r="H17" s="5"/>
      <c r="I17" s="5"/>
      <c r="J17" s="4" t="s">
        <v>125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123</v>
      </c>
      <c r="E18" s="4" t="s">
        <v>133</v>
      </c>
      <c r="F18" s="4">
        <v>53920.94</v>
      </c>
      <c r="G18" s="5"/>
      <c r="H18" s="5"/>
      <c r="I18" s="5"/>
      <c r="J18" s="4" t="s">
        <v>125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118</v>
      </c>
      <c r="E19" s="4" t="s">
        <v>133</v>
      </c>
      <c r="F19" s="4">
        <v>1000</v>
      </c>
      <c r="G19" s="5">
        <v>106.17710000000001</v>
      </c>
      <c r="H19" s="5">
        <v>17.48</v>
      </c>
      <c r="I19" s="5">
        <v>1151</v>
      </c>
      <c r="J19" s="4" t="s">
        <v>120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118</v>
      </c>
      <c r="E20" s="4" t="s">
        <v>133</v>
      </c>
      <c r="F20" s="4">
        <v>1000.596</v>
      </c>
      <c r="G20" s="5">
        <v>100.76910000000001</v>
      </c>
      <c r="H20" s="5">
        <v>22.74</v>
      </c>
      <c r="I20" s="5">
        <v>51</v>
      </c>
      <c r="J20" s="4" t="s">
        <v>120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118</v>
      </c>
      <c r="E21" s="4" t="s">
        <v>133</v>
      </c>
      <c r="F21" s="4">
        <v>1000</v>
      </c>
      <c r="G21" s="5">
        <v>107.7414</v>
      </c>
      <c r="H21" s="5">
        <v>17.29</v>
      </c>
      <c r="I21" s="5">
        <v>750</v>
      </c>
      <c r="J21" s="4" t="s">
        <v>120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118</v>
      </c>
      <c r="E22" s="4" t="s">
        <v>133</v>
      </c>
      <c r="F22" s="4">
        <v>1000</v>
      </c>
      <c r="G22" s="5">
        <v>103.542</v>
      </c>
      <c r="H22" s="5">
        <v>17.68</v>
      </c>
      <c r="I22" s="5">
        <v>1937</v>
      </c>
      <c r="J22" s="4" t="s">
        <v>120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118</v>
      </c>
      <c r="E23" s="4" t="s">
        <v>133</v>
      </c>
      <c r="F23" s="4">
        <v>999.68299999999999</v>
      </c>
      <c r="G23" s="5">
        <v>103.67110000000001</v>
      </c>
      <c r="H23" s="5">
        <v>21.51</v>
      </c>
      <c r="I23" s="5">
        <v>121</v>
      </c>
      <c r="J23" s="4" t="s">
        <v>120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118</v>
      </c>
      <c r="E24" s="4" t="s">
        <v>133</v>
      </c>
      <c r="F24" s="4">
        <v>1000</v>
      </c>
      <c r="G24" s="5">
        <v>101.0762</v>
      </c>
      <c r="H24" s="5">
        <v>17.600000000000001</v>
      </c>
      <c r="I24" s="5">
        <v>1621</v>
      </c>
      <c r="J24" s="4" t="s">
        <v>120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123</v>
      </c>
      <c r="E25" s="4" t="s">
        <v>133</v>
      </c>
      <c r="F25" s="4">
        <v>1484.84</v>
      </c>
      <c r="G25" s="5"/>
      <c r="H25" s="5"/>
      <c r="I25" s="5"/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118</v>
      </c>
      <c r="E26" s="4" t="s">
        <v>133</v>
      </c>
      <c r="F26" s="4">
        <v>100.42190000000001</v>
      </c>
      <c r="G26" s="5">
        <v>101.35520000000001</v>
      </c>
      <c r="H26" s="5">
        <v>10.97</v>
      </c>
      <c r="I26" s="5">
        <v>156</v>
      </c>
      <c r="J26" s="4" t="s">
        <v>120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118</v>
      </c>
      <c r="E27" s="4" t="s">
        <v>133</v>
      </c>
      <c r="F27" s="4">
        <v>1000.0890000000001</v>
      </c>
      <c r="G27" s="5">
        <v>101.04780000000001</v>
      </c>
      <c r="H27" s="5">
        <v>21.99</v>
      </c>
      <c r="I27" s="5">
        <v>683</v>
      </c>
      <c r="J27" s="4" t="s">
        <v>120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118</v>
      </c>
      <c r="E28" s="4" t="s">
        <v>133</v>
      </c>
      <c r="F28" s="4">
        <v>99.998699999999999</v>
      </c>
      <c r="G28" s="5">
        <v>100.1515</v>
      </c>
      <c r="H28" s="5">
        <v>11</v>
      </c>
      <c r="I28" s="5">
        <v>695</v>
      </c>
      <c r="J28" s="4" t="s">
        <v>120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118</v>
      </c>
      <c r="E29" s="4" t="s">
        <v>133</v>
      </c>
      <c r="F29" s="4">
        <v>100.15940000000001</v>
      </c>
      <c r="G29" s="5">
        <v>100.4594</v>
      </c>
      <c r="H29" s="5">
        <v>11.89</v>
      </c>
      <c r="I29" s="5">
        <v>599</v>
      </c>
      <c r="J29" s="4" t="s">
        <v>120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118</v>
      </c>
      <c r="E30" s="4" t="s">
        <v>133</v>
      </c>
      <c r="F30" s="4">
        <v>764.23400000000004</v>
      </c>
      <c r="G30" s="5">
        <v>77.881700000000009</v>
      </c>
      <c r="H30" s="5">
        <v>49.23</v>
      </c>
      <c r="I30" s="5">
        <v>401</v>
      </c>
      <c r="J30" s="4" t="s">
        <v>120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118</v>
      </c>
      <c r="E31" s="4" t="s">
        <v>133</v>
      </c>
      <c r="F31" s="4">
        <v>967.33100000000002</v>
      </c>
      <c r="G31" s="5">
        <v>97.034800000000004</v>
      </c>
      <c r="H31" s="5">
        <v>23.35</v>
      </c>
      <c r="I31" s="5">
        <v>1000</v>
      </c>
      <c r="J31" s="4" t="s">
        <v>120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118</v>
      </c>
      <c r="E32" s="4" t="s">
        <v>133</v>
      </c>
      <c r="F32" s="4">
        <v>791.99600000000009</v>
      </c>
      <c r="G32" s="5">
        <v>80.421800000000005</v>
      </c>
      <c r="H32" s="5">
        <v>38.31</v>
      </c>
      <c r="I32" s="5">
        <v>649</v>
      </c>
      <c r="J32" s="4" t="s">
        <v>120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118</v>
      </c>
      <c r="E33" s="4" t="s">
        <v>133</v>
      </c>
      <c r="F33" s="4">
        <v>961.22300000000007</v>
      </c>
      <c r="G33" s="5">
        <v>96.333400000000012</v>
      </c>
      <c r="H33" s="5">
        <v>23.12</v>
      </c>
      <c r="I33" s="5">
        <v>392</v>
      </c>
      <c r="J33" s="4" t="s">
        <v>120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118</v>
      </c>
      <c r="E34" s="4" t="s">
        <v>133</v>
      </c>
      <c r="F34" s="4">
        <v>965.572</v>
      </c>
      <c r="G34" s="5">
        <v>97.982200000000006</v>
      </c>
      <c r="H34" s="5">
        <v>20.87</v>
      </c>
      <c r="I34" s="5">
        <v>856</v>
      </c>
      <c r="J34" s="4" t="s">
        <v>120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118</v>
      </c>
      <c r="E35" s="4" t="s">
        <v>133</v>
      </c>
      <c r="F35" s="4">
        <v>775.99099999999999</v>
      </c>
      <c r="G35" s="5">
        <v>77.949100000000001</v>
      </c>
      <c r="H35" s="5">
        <v>474.31</v>
      </c>
      <c r="I35" s="5">
        <v>25</v>
      </c>
      <c r="J35" s="4" t="s">
        <v>120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118</v>
      </c>
      <c r="E36" s="4" t="s">
        <v>133</v>
      </c>
      <c r="F36" s="4">
        <v>999.30799999999999</v>
      </c>
      <c r="G36" s="5">
        <v>100.68910000000001</v>
      </c>
      <c r="H36" s="5">
        <v>21.03</v>
      </c>
      <c r="I36" s="5">
        <v>900</v>
      </c>
      <c r="J36" s="4" t="s">
        <v>120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118</v>
      </c>
      <c r="E37" s="4" t="s">
        <v>133</v>
      </c>
      <c r="F37" s="4">
        <v>1003.2080000000001</v>
      </c>
      <c r="G37" s="5">
        <v>106.6041</v>
      </c>
      <c r="H37" s="5">
        <v>19.190000000000001</v>
      </c>
      <c r="I37" s="5">
        <v>612</v>
      </c>
      <c r="J37" s="4" t="s">
        <v>120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118</v>
      </c>
      <c r="E38" s="4" t="s">
        <v>133</v>
      </c>
      <c r="F38" s="4">
        <v>98.417900000000003</v>
      </c>
      <c r="G38" s="5">
        <v>98.612300000000005</v>
      </c>
      <c r="H38" s="5">
        <v>11.16</v>
      </c>
      <c r="I38" s="5">
        <v>540</v>
      </c>
      <c r="J38" s="4" t="s">
        <v>120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118</v>
      </c>
      <c r="E39" s="4" t="s">
        <v>133</v>
      </c>
      <c r="F39" s="4">
        <v>1000</v>
      </c>
      <c r="G39" s="5">
        <v>102.62860000000001</v>
      </c>
      <c r="H39" s="5">
        <v>16.8</v>
      </c>
      <c r="I39" s="5">
        <v>1405</v>
      </c>
      <c r="J39" s="4" t="s">
        <v>120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118</v>
      </c>
      <c r="E40" s="4" t="s">
        <v>133</v>
      </c>
      <c r="F40" s="4">
        <v>999.053</v>
      </c>
      <c r="G40" s="5">
        <v>100.53</v>
      </c>
      <c r="H40" s="5">
        <v>22.55</v>
      </c>
      <c r="I40" s="5">
        <v>690</v>
      </c>
      <c r="J40" s="4" t="s">
        <v>120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118</v>
      </c>
      <c r="E41" s="4" t="s">
        <v>133</v>
      </c>
      <c r="F41" s="4">
        <v>982.28</v>
      </c>
      <c r="G41" s="5">
        <v>99.839100000000002</v>
      </c>
      <c r="H41" s="5">
        <v>23.26</v>
      </c>
      <c r="I41" s="5">
        <v>214</v>
      </c>
      <c r="J41" s="4" t="s">
        <v>120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118</v>
      </c>
      <c r="E42" s="4" t="s">
        <v>133</v>
      </c>
      <c r="F42" s="4">
        <v>100.2647</v>
      </c>
      <c r="G42" s="5">
        <v>100.39800000000001</v>
      </c>
      <c r="H42" s="5">
        <v>11.33</v>
      </c>
      <c r="I42" s="5">
        <v>150</v>
      </c>
      <c r="J42" s="4" t="s">
        <v>120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118</v>
      </c>
      <c r="E43" s="4" t="s">
        <v>133</v>
      </c>
      <c r="F43" s="4">
        <v>1008.6690000000001</v>
      </c>
      <c r="G43" s="5">
        <v>102.4225</v>
      </c>
      <c r="H43" s="5">
        <v>21.95</v>
      </c>
      <c r="I43" s="5">
        <v>919</v>
      </c>
      <c r="J43" s="4" t="s">
        <v>120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118</v>
      </c>
      <c r="E44" s="4" t="s">
        <v>133</v>
      </c>
      <c r="F44" s="4">
        <v>777.29</v>
      </c>
      <c r="G44" s="5">
        <v>79.304000000000002</v>
      </c>
      <c r="H44" s="5">
        <v>34.369999999999997</v>
      </c>
      <c r="I44" s="5">
        <v>916</v>
      </c>
      <c r="J44" s="4" t="s">
        <v>120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118</v>
      </c>
      <c r="E45" s="4" t="s">
        <v>133</v>
      </c>
      <c r="F45" s="4">
        <v>985.50600000000009</v>
      </c>
      <c r="G45" s="5">
        <v>100.2423</v>
      </c>
      <c r="H45" s="5">
        <v>22</v>
      </c>
      <c r="I45" s="5">
        <v>640</v>
      </c>
      <c r="J45" s="4" t="s">
        <v>120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118</v>
      </c>
      <c r="E46" s="4" t="s">
        <v>133</v>
      </c>
      <c r="F46" s="4">
        <v>925.36500000000001</v>
      </c>
      <c r="G46" s="5">
        <v>93.750399999999999</v>
      </c>
      <c r="H46" s="5">
        <v>45.62</v>
      </c>
      <c r="I46" s="5">
        <v>135</v>
      </c>
      <c r="J46" s="4" t="s">
        <v>120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118</v>
      </c>
      <c r="E47" s="4" t="s">
        <v>133</v>
      </c>
      <c r="F47" s="4">
        <v>992.12100000000009</v>
      </c>
      <c r="G47" s="5">
        <v>100.5565</v>
      </c>
      <c r="H47" s="5">
        <v>22.5</v>
      </c>
      <c r="I47" s="5">
        <v>709</v>
      </c>
      <c r="J47" s="4" t="s">
        <v>120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118</v>
      </c>
      <c r="E48" s="4" t="s">
        <v>133</v>
      </c>
      <c r="F48" s="4">
        <v>999.99</v>
      </c>
      <c r="G48" s="5">
        <v>100.8546</v>
      </c>
      <c r="H48" s="5">
        <v>22</v>
      </c>
      <c r="I48" s="5">
        <v>686</v>
      </c>
      <c r="J48" s="4" t="s">
        <v>120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118</v>
      </c>
      <c r="E49" s="4" t="s">
        <v>133</v>
      </c>
      <c r="F49" s="4">
        <v>77.00500000000001</v>
      </c>
      <c r="G49" s="5">
        <v>78.438299999999998</v>
      </c>
      <c r="H49" s="5">
        <v>37.910000000000004</v>
      </c>
      <c r="I49" s="5">
        <v>414</v>
      </c>
      <c r="J49" s="4" t="s">
        <v>120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118</v>
      </c>
      <c r="E50" s="4" t="s">
        <v>133</v>
      </c>
      <c r="F50" s="4">
        <v>977.29600000000005</v>
      </c>
      <c r="G50" s="5">
        <v>99.421300000000002</v>
      </c>
      <c r="H50" s="5">
        <v>22.11</v>
      </c>
      <c r="I50" s="5">
        <v>1006</v>
      </c>
      <c r="J50" s="4" t="s">
        <v>120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123</v>
      </c>
      <c r="E51" s="4" t="s">
        <v>220</v>
      </c>
      <c r="F51" s="4">
        <v>39790.78</v>
      </c>
      <c r="G51" s="5"/>
      <c r="H51" s="5"/>
      <c r="I51" s="5"/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123</v>
      </c>
      <c r="E52" s="4" t="s">
        <v>220</v>
      </c>
      <c r="F52" s="4">
        <v>32590.11</v>
      </c>
      <c r="G52" s="5"/>
      <c r="H52" s="5"/>
      <c r="I52" s="5"/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118</v>
      </c>
      <c r="E53" s="4" t="s">
        <v>225</v>
      </c>
      <c r="F53" s="4">
        <v>33735</v>
      </c>
      <c r="G53" s="5">
        <v>3373.4970000000003</v>
      </c>
      <c r="H53" s="5"/>
      <c r="I53" s="5">
        <v>183</v>
      </c>
      <c r="J53" s="4" t="s">
        <v>120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123</v>
      </c>
      <c r="E54" s="4" t="s">
        <v>228</v>
      </c>
      <c r="F54" s="4">
        <v>21803.61</v>
      </c>
      <c r="G54" s="5"/>
      <c r="H54" s="5"/>
      <c r="I54" s="5"/>
      <c r="J54" s="4" t="s">
        <v>125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118</v>
      </c>
      <c r="E55" s="4" t="s">
        <v>228</v>
      </c>
      <c r="F55" s="4">
        <v>986.25600000000009</v>
      </c>
      <c r="G55" s="5">
        <v>101.2996</v>
      </c>
      <c r="H55" s="5">
        <v>6.49</v>
      </c>
      <c r="I55" s="5">
        <v>8431</v>
      </c>
      <c r="J55" s="4" t="s">
        <v>120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123</v>
      </c>
      <c r="E56" s="4" t="s">
        <v>233</v>
      </c>
      <c r="F56" s="4">
        <v>3332.61</v>
      </c>
      <c r="G56" s="5"/>
      <c r="H56" s="5"/>
      <c r="I56" s="5"/>
      <c r="J56" s="4" t="s">
        <v>125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118</v>
      </c>
      <c r="E57" s="4" t="s">
        <v>236</v>
      </c>
      <c r="F57" s="4">
        <v>0.96849199999999991</v>
      </c>
      <c r="G57" s="5">
        <v>97.665900000000008</v>
      </c>
      <c r="H57" s="5">
        <v>5</v>
      </c>
      <c r="I57" s="5">
        <v>399</v>
      </c>
      <c r="J57" s="4" t="s">
        <v>120</v>
      </c>
    </row>
    <row r="58" spans="1:10" x14ac:dyDescent="0.25">
      <c r="A58" s="4">
        <f t="shared" ca="1" si="1"/>
        <v>55</v>
      </c>
      <c r="B58" s="4" t="s">
        <v>237</v>
      </c>
      <c r="C58" s="4" t="s">
        <v>238</v>
      </c>
      <c r="D58" s="4" t="s">
        <v>123</v>
      </c>
      <c r="E58" s="4" t="s">
        <v>239</v>
      </c>
      <c r="F58" s="4">
        <v>10082.9</v>
      </c>
      <c r="G58" s="5"/>
      <c r="H58" s="5"/>
      <c r="I58" s="5"/>
      <c r="J58" s="4" t="s">
        <v>125</v>
      </c>
    </row>
    <row r="59" spans="1:10" x14ac:dyDescent="0.25">
      <c r="A59" s="4">
        <f t="shared" ca="1" si="1"/>
        <v>56</v>
      </c>
      <c r="B59" s="4" t="s">
        <v>240</v>
      </c>
      <c r="C59" s="4" t="s">
        <v>241</v>
      </c>
      <c r="D59" s="4" t="s">
        <v>123</v>
      </c>
      <c r="E59" s="4" t="s">
        <v>239</v>
      </c>
      <c r="F59" s="4">
        <v>5112.8500000000004</v>
      </c>
      <c r="G59" s="5"/>
      <c r="H59" s="5"/>
      <c r="I59" s="5"/>
      <c r="J59" s="4" t="s">
        <v>125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118</v>
      </c>
      <c r="E60" s="4" t="s">
        <v>244</v>
      </c>
      <c r="F60" s="4">
        <v>100.024</v>
      </c>
      <c r="G60" s="5">
        <v>102.0018</v>
      </c>
      <c r="H60" s="5">
        <v>7.99</v>
      </c>
      <c r="I60" s="5">
        <v>823</v>
      </c>
      <c r="J60" s="4" t="s">
        <v>120</v>
      </c>
    </row>
    <row r="61" spans="1:10" x14ac:dyDescent="0.25">
      <c r="A61" s="4">
        <f t="shared" ca="1" si="1"/>
        <v>58</v>
      </c>
      <c r="B61" s="4" t="s">
        <v>245</v>
      </c>
      <c r="C61" s="4" t="s">
        <v>246</v>
      </c>
      <c r="D61" s="4" t="s">
        <v>118</v>
      </c>
      <c r="E61" s="4" t="s">
        <v>66</v>
      </c>
      <c r="F61" s="4">
        <v>1000</v>
      </c>
      <c r="G61" s="5">
        <v>109.01150000000001</v>
      </c>
      <c r="H61" s="5">
        <v>12.19</v>
      </c>
      <c r="I61" s="5">
        <v>1193</v>
      </c>
      <c r="J61" s="4" t="s">
        <v>120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118</v>
      </c>
      <c r="E62" s="4" t="s">
        <v>66</v>
      </c>
      <c r="F62" s="4">
        <v>1000</v>
      </c>
      <c r="G62" s="5">
        <v>100.9522</v>
      </c>
      <c r="H62" s="5">
        <v>12.23</v>
      </c>
      <c r="I62" s="5">
        <v>1433</v>
      </c>
      <c r="J62" s="4" t="s">
        <v>120</v>
      </c>
    </row>
    <row r="63" spans="1:10" x14ac:dyDescent="0.25">
      <c r="A63" s="4">
        <f t="shared" ca="1" si="1"/>
        <v>60</v>
      </c>
      <c r="B63" s="4" t="s">
        <v>249</v>
      </c>
      <c r="C63" s="4" t="s">
        <v>250</v>
      </c>
      <c r="D63" s="4" t="s">
        <v>118</v>
      </c>
      <c r="E63" s="4" t="s">
        <v>66</v>
      </c>
      <c r="F63" s="4">
        <v>997.7410000000001</v>
      </c>
      <c r="G63" s="5">
        <v>104.80970000000001</v>
      </c>
      <c r="H63" s="5">
        <v>15.71</v>
      </c>
      <c r="I63" s="5">
        <v>9</v>
      </c>
      <c r="J63" s="4" t="s">
        <v>120</v>
      </c>
    </row>
    <row r="64" spans="1:10" x14ac:dyDescent="0.25">
      <c r="A64" s="4">
        <f t="shared" ca="1" si="1"/>
        <v>61</v>
      </c>
      <c r="B64" s="4" t="s">
        <v>251</v>
      </c>
      <c r="C64" s="4" t="s">
        <v>252</v>
      </c>
      <c r="D64" s="4" t="s">
        <v>118</v>
      </c>
      <c r="E64" s="4" t="s">
        <v>66</v>
      </c>
      <c r="F64" s="4">
        <v>1000</v>
      </c>
      <c r="G64" s="5">
        <v>103.9787</v>
      </c>
      <c r="H64" s="5">
        <v>12</v>
      </c>
      <c r="I64" s="5">
        <v>246</v>
      </c>
      <c r="J64" s="4" t="s">
        <v>120</v>
      </c>
    </row>
    <row r="65" spans="1:10" x14ac:dyDescent="0.25">
      <c r="A65" s="4">
        <f t="shared" ca="1" si="1"/>
        <v>62</v>
      </c>
      <c r="B65" s="4" t="s">
        <v>253</v>
      </c>
      <c r="C65" s="4" t="s">
        <v>254</v>
      </c>
      <c r="D65" s="4" t="s">
        <v>118</v>
      </c>
      <c r="E65" s="4" t="s">
        <v>66</v>
      </c>
      <c r="F65" s="4">
        <v>1000</v>
      </c>
      <c r="G65" s="5">
        <v>101.8703</v>
      </c>
      <c r="H65" s="5">
        <v>12.13</v>
      </c>
      <c r="I65" s="5">
        <v>309</v>
      </c>
      <c r="J65" s="4" t="s">
        <v>120</v>
      </c>
    </row>
    <row r="66" spans="1:10" x14ac:dyDescent="0.25">
      <c r="A66" s="4">
        <f t="shared" ca="1" si="1"/>
        <v>63</v>
      </c>
      <c r="B66" s="4" t="s">
        <v>255</v>
      </c>
      <c r="C66" s="4" t="s">
        <v>256</v>
      </c>
      <c r="D66" s="4" t="s">
        <v>118</v>
      </c>
      <c r="E66" s="4" t="s">
        <v>66</v>
      </c>
      <c r="F66" s="4">
        <v>1000</v>
      </c>
      <c r="G66" s="5">
        <v>104.96480000000001</v>
      </c>
      <c r="H66" s="5">
        <v>12.12</v>
      </c>
      <c r="I66" s="5">
        <v>582</v>
      </c>
      <c r="J66" s="4" t="s">
        <v>120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118</v>
      </c>
      <c r="E67" s="4" t="s">
        <v>66</v>
      </c>
      <c r="F67" s="4">
        <v>1000</v>
      </c>
      <c r="G67" s="5">
        <v>102.92450000000001</v>
      </c>
      <c r="H67" s="5">
        <v>12.16</v>
      </c>
      <c r="I67" s="5">
        <v>643</v>
      </c>
      <c r="J67" s="4" t="s">
        <v>120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118</v>
      </c>
      <c r="E68" s="4" t="s">
        <v>66</v>
      </c>
      <c r="F68" s="4">
        <v>1000</v>
      </c>
      <c r="G68" s="5">
        <v>110.16770000000001</v>
      </c>
      <c r="H68" s="5">
        <v>12.19</v>
      </c>
      <c r="I68" s="5">
        <v>793</v>
      </c>
      <c r="J68" s="4" t="s">
        <v>120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118</v>
      </c>
      <c r="E69" s="4" t="s">
        <v>66</v>
      </c>
      <c r="F69" s="4">
        <v>1000</v>
      </c>
      <c r="G69" s="5">
        <v>100.9522</v>
      </c>
      <c r="H69" s="5">
        <v>12.22</v>
      </c>
      <c r="I69" s="5">
        <v>1068</v>
      </c>
      <c r="J69" s="4" t="s">
        <v>120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118</v>
      </c>
      <c r="E70" s="4" t="s">
        <v>66</v>
      </c>
      <c r="F70" s="4">
        <v>1000</v>
      </c>
      <c r="G70" s="5">
        <v>111.08580000000001</v>
      </c>
      <c r="H70" s="5">
        <v>11.59</v>
      </c>
      <c r="I70" s="5">
        <v>35</v>
      </c>
      <c r="J70" s="4" t="s">
        <v>120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118</v>
      </c>
      <c r="E71" s="4" t="s">
        <v>66</v>
      </c>
      <c r="F71" s="4">
        <v>1000</v>
      </c>
      <c r="G71" s="5">
        <v>108.05930000000001</v>
      </c>
      <c r="H71" s="5">
        <v>12.19</v>
      </c>
      <c r="I71" s="5">
        <v>1587</v>
      </c>
      <c r="J71" s="4" t="s">
        <v>120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118</v>
      </c>
      <c r="E72" s="4" t="s">
        <v>66</v>
      </c>
      <c r="F72" s="4">
        <v>984.64600000000007</v>
      </c>
      <c r="G72" s="5">
        <v>102.75630000000001</v>
      </c>
      <c r="H72" s="5">
        <v>16.47</v>
      </c>
      <c r="I72" s="5">
        <v>53</v>
      </c>
      <c r="J72" s="4" t="s">
        <v>120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118</v>
      </c>
      <c r="E73" s="4" t="s">
        <v>66</v>
      </c>
      <c r="F73" s="4">
        <v>876.17499999999995</v>
      </c>
      <c r="G73" s="5">
        <v>91.811900000000009</v>
      </c>
      <c r="H73" s="5">
        <v>17.650000000000002</v>
      </c>
      <c r="I73" s="5">
        <v>425</v>
      </c>
      <c r="J73" s="4" t="s">
        <v>120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118</v>
      </c>
      <c r="E74" s="4" t="s">
        <v>66</v>
      </c>
      <c r="F74" s="4">
        <v>1000</v>
      </c>
      <c r="G74" s="5">
        <v>102.92450000000001</v>
      </c>
      <c r="H74" s="5">
        <v>12.2</v>
      </c>
      <c r="I74" s="5">
        <v>1374</v>
      </c>
      <c r="J74" s="4" t="s">
        <v>120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118</v>
      </c>
      <c r="E75" s="4" t="s">
        <v>66</v>
      </c>
      <c r="F75" s="4">
        <v>1000</v>
      </c>
      <c r="G75" s="5">
        <v>111.11980000000001</v>
      </c>
      <c r="H75" s="5">
        <v>11.59</v>
      </c>
      <c r="I75" s="5">
        <v>34</v>
      </c>
      <c r="J75" s="4" t="s">
        <v>120</v>
      </c>
    </row>
    <row r="76" spans="1:10" x14ac:dyDescent="0.25">
      <c r="A76" s="4">
        <f t="shared" ca="1" si="2"/>
        <v>73</v>
      </c>
      <c r="B76" s="4" t="s">
        <v>275</v>
      </c>
      <c r="C76" s="4" t="s">
        <v>93</v>
      </c>
      <c r="D76" s="4" t="s">
        <v>118</v>
      </c>
      <c r="E76" s="4" t="s">
        <v>66</v>
      </c>
      <c r="F76" s="4">
        <v>849.96199999999999</v>
      </c>
      <c r="G76" s="5">
        <v>87.710700000000003</v>
      </c>
      <c r="H76" s="5">
        <v>17.59</v>
      </c>
      <c r="I76" s="5">
        <v>549</v>
      </c>
      <c r="J76" s="4" t="s">
        <v>120</v>
      </c>
    </row>
    <row r="77" spans="1:10" x14ac:dyDescent="0.25">
      <c r="A77" s="4">
        <f t="shared" ca="1" si="2"/>
        <v>74</v>
      </c>
      <c r="B77" s="4" t="s">
        <v>276</v>
      </c>
      <c r="C77" s="4" t="s">
        <v>277</v>
      </c>
      <c r="D77" s="4" t="s">
        <v>118</v>
      </c>
      <c r="E77" s="4" t="s">
        <v>66</v>
      </c>
      <c r="F77" s="4">
        <v>811.32500000000005</v>
      </c>
      <c r="G77" s="5">
        <v>81.2393</v>
      </c>
      <c r="H77" s="5">
        <v>17.57</v>
      </c>
      <c r="I77" s="5">
        <v>724</v>
      </c>
      <c r="J77" s="4" t="s">
        <v>120</v>
      </c>
    </row>
    <row r="78" spans="1:10" x14ac:dyDescent="0.25">
      <c r="A78" s="4">
        <f t="shared" ca="1" si="2"/>
        <v>75</v>
      </c>
      <c r="B78" s="4" t="s">
        <v>278</v>
      </c>
      <c r="C78" s="4" t="s">
        <v>279</v>
      </c>
      <c r="D78" s="4" t="s">
        <v>118</v>
      </c>
      <c r="E78" s="4" t="s">
        <v>66</v>
      </c>
      <c r="F78" s="4">
        <v>820.00100000000009</v>
      </c>
      <c r="G78" s="5">
        <v>87.976500000000001</v>
      </c>
      <c r="H78" s="5">
        <v>17.53</v>
      </c>
      <c r="I78" s="5">
        <v>760</v>
      </c>
      <c r="J78" s="4" t="s">
        <v>120</v>
      </c>
    </row>
    <row r="79" spans="1:10" x14ac:dyDescent="0.25">
      <c r="A79" s="4">
        <f t="shared" ca="1" si="2"/>
        <v>76</v>
      </c>
      <c r="B79" s="4" t="s">
        <v>280</v>
      </c>
      <c r="C79" s="4" t="s">
        <v>281</v>
      </c>
      <c r="D79" s="4" t="s">
        <v>118</v>
      </c>
      <c r="E79" s="4" t="s">
        <v>66</v>
      </c>
      <c r="F79" s="4">
        <v>1000</v>
      </c>
      <c r="G79" s="5">
        <v>101.90430000000001</v>
      </c>
      <c r="H79" s="5">
        <v>12.18</v>
      </c>
      <c r="I79" s="5">
        <v>673</v>
      </c>
      <c r="J79" s="4" t="s">
        <v>120</v>
      </c>
    </row>
    <row r="80" spans="1:10" x14ac:dyDescent="0.25">
      <c r="A80" s="4">
        <f t="shared" ca="1" si="2"/>
        <v>77</v>
      </c>
      <c r="B80" s="4" t="s">
        <v>282</v>
      </c>
      <c r="C80" s="4" t="s">
        <v>283</v>
      </c>
      <c r="D80" s="4" t="s">
        <v>118</v>
      </c>
      <c r="E80" s="4" t="s">
        <v>66</v>
      </c>
      <c r="F80" s="4">
        <v>1000</v>
      </c>
      <c r="G80" s="5">
        <v>110.1337</v>
      </c>
      <c r="H80" s="5">
        <v>11.64</v>
      </c>
      <c r="I80" s="5">
        <v>64</v>
      </c>
      <c r="J80" s="4" t="s">
        <v>120</v>
      </c>
    </row>
    <row r="81" spans="1:10" x14ac:dyDescent="0.25">
      <c r="A81" s="4">
        <f t="shared" ca="1" si="2"/>
        <v>78</v>
      </c>
      <c r="B81" s="4" t="s">
        <v>284</v>
      </c>
      <c r="C81" s="4" t="s">
        <v>285</v>
      </c>
      <c r="D81" s="4" t="s">
        <v>118</v>
      </c>
      <c r="E81" s="4" t="s">
        <v>66</v>
      </c>
      <c r="F81" s="4">
        <v>1000</v>
      </c>
      <c r="G81" s="5">
        <v>107.22790000000001</v>
      </c>
      <c r="H81" s="5">
        <v>12.28</v>
      </c>
      <c r="I81" s="5">
        <v>1614</v>
      </c>
      <c r="J81" s="4" t="s">
        <v>120</v>
      </c>
    </row>
    <row r="82" spans="1:10" x14ac:dyDescent="0.25">
      <c r="A82" s="4">
        <f t="shared" ca="1" si="2"/>
        <v>79</v>
      </c>
      <c r="B82" s="4" t="s">
        <v>286</v>
      </c>
      <c r="C82" s="4" t="s">
        <v>89</v>
      </c>
      <c r="D82" s="4" t="s">
        <v>118</v>
      </c>
      <c r="E82" s="4" t="s">
        <v>66</v>
      </c>
      <c r="F82" s="4">
        <v>615.60599999999999</v>
      </c>
      <c r="G82" s="5">
        <v>64.542000000000002</v>
      </c>
      <c r="H82" s="5">
        <v>16.78</v>
      </c>
      <c r="I82" s="5">
        <v>3152</v>
      </c>
      <c r="J82" s="4" t="s">
        <v>120</v>
      </c>
    </row>
    <row r="83" spans="1:10" x14ac:dyDescent="0.25">
      <c r="A83" s="4">
        <f t="shared" ca="1" si="2"/>
        <v>80</v>
      </c>
      <c r="B83" s="4" t="s">
        <v>287</v>
      </c>
      <c r="C83" s="4" t="s">
        <v>288</v>
      </c>
      <c r="D83" s="4" t="s">
        <v>118</v>
      </c>
      <c r="E83" s="4" t="s">
        <v>66</v>
      </c>
      <c r="F83" s="4">
        <v>857.70500000000004</v>
      </c>
      <c r="G83" s="5">
        <v>87.741799999999998</v>
      </c>
      <c r="H83" s="5">
        <v>17.600000000000001</v>
      </c>
      <c r="I83" s="5">
        <v>634</v>
      </c>
      <c r="J83" s="4" t="s">
        <v>120</v>
      </c>
    </row>
    <row r="84" spans="1:10" x14ac:dyDescent="0.25">
      <c r="A84" s="4">
        <f t="shared" ca="1" si="2"/>
        <v>81</v>
      </c>
      <c r="B84" s="4" t="s">
        <v>289</v>
      </c>
      <c r="C84" s="4" t="s">
        <v>290</v>
      </c>
      <c r="D84" s="4" t="s">
        <v>118</v>
      </c>
      <c r="E84" s="4" t="s">
        <v>66</v>
      </c>
      <c r="F84" s="4">
        <v>544.01700000000005</v>
      </c>
      <c r="G84" s="5">
        <v>63.027700000000003</v>
      </c>
      <c r="H84" s="5">
        <v>16.690000000000001</v>
      </c>
      <c r="I84" s="5">
        <v>6942</v>
      </c>
      <c r="J84" s="4" t="s">
        <v>120</v>
      </c>
    </row>
    <row r="85" spans="1:10" x14ac:dyDescent="0.25">
      <c r="A85" s="4">
        <f t="shared" ca="1" si="2"/>
        <v>82</v>
      </c>
      <c r="B85" s="4" t="s">
        <v>291</v>
      </c>
      <c r="C85" s="4" t="s">
        <v>292</v>
      </c>
      <c r="D85" s="4" t="s">
        <v>118</v>
      </c>
      <c r="E85" s="4" t="s">
        <v>66</v>
      </c>
      <c r="F85" s="4">
        <v>1000</v>
      </c>
      <c r="G85" s="5">
        <v>112.072</v>
      </c>
      <c r="H85" s="5">
        <v>12.23</v>
      </c>
      <c r="I85" s="5">
        <v>371</v>
      </c>
      <c r="J85" s="4" t="s">
        <v>120</v>
      </c>
    </row>
    <row r="86" spans="1:10" x14ac:dyDescent="0.25">
      <c r="A86" s="4">
        <f t="shared" ca="1" si="2"/>
        <v>83</v>
      </c>
      <c r="B86" s="4" t="s">
        <v>293</v>
      </c>
      <c r="C86" s="4" t="s">
        <v>294</v>
      </c>
      <c r="D86" s="4" t="s">
        <v>118</v>
      </c>
      <c r="E86" s="4" t="s">
        <v>66</v>
      </c>
      <c r="F86" s="4">
        <v>1000</v>
      </c>
      <c r="G86" s="5">
        <v>102.9585</v>
      </c>
      <c r="H86" s="5">
        <v>12.2</v>
      </c>
      <c r="I86" s="5">
        <v>1373</v>
      </c>
      <c r="J86" s="4" t="s">
        <v>120</v>
      </c>
    </row>
    <row r="87" spans="1:10" x14ac:dyDescent="0.25">
      <c r="A87" s="4">
        <f t="shared" ca="1" si="2"/>
        <v>84</v>
      </c>
      <c r="B87" s="4" t="s">
        <v>295</v>
      </c>
      <c r="C87" s="4" t="s">
        <v>296</v>
      </c>
      <c r="D87" s="4" t="s">
        <v>118</v>
      </c>
      <c r="E87" s="4" t="s">
        <v>66</v>
      </c>
      <c r="F87" s="4">
        <v>1000</v>
      </c>
      <c r="G87" s="5">
        <v>103.9106</v>
      </c>
      <c r="H87" s="5">
        <v>12.2</v>
      </c>
      <c r="I87" s="5">
        <v>1709</v>
      </c>
      <c r="J87" s="4" t="s">
        <v>120</v>
      </c>
    </row>
    <row r="88" spans="1:10" x14ac:dyDescent="0.25">
      <c r="A88" s="4">
        <f t="shared" ca="1" si="2"/>
        <v>85</v>
      </c>
      <c r="B88" s="4" t="s">
        <v>297</v>
      </c>
      <c r="C88" s="4" t="s">
        <v>298</v>
      </c>
      <c r="D88" s="4" t="s">
        <v>118</v>
      </c>
      <c r="E88" s="4" t="s">
        <v>66</v>
      </c>
      <c r="F88" s="4">
        <v>1000</v>
      </c>
      <c r="G88" s="5">
        <v>100.9182</v>
      </c>
      <c r="H88" s="5">
        <v>12.18</v>
      </c>
      <c r="I88" s="5">
        <v>338</v>
      </c>
      <c r="J88" s="4" t="s">
        <v>120</v>
      </c>
    </row>
    <row r="89" spans="1:10" x14ac:dyDescent="0.25">
      <c r="A89" s="4">
        <f t="shared" ca="1" si="2"/>
        <v>86</v>
      </c>
      <c r="B89" s="4" t="s">
        <v>299</v>
      </c>
      <c r="C89" s="4" t="s">
        <v>82</v>
      </c>
      <c r="D89" s="4" t="s">
        <v>118</v>
      </c>
      <c r="E89" s="4" t="s">
        <v>66</v>
      </c>
      <c r="F89" s="4">
        <v>601.71900000000005</v>
      </c>
      <c r="G89" s="5">
        <v>65.46220000000001</v>
      </c>
      <c r="H89" s="5">
        <v>16.77</v>
      </c>
      <c r="I89" s="5">
        <v>3414</v>
      </c>
      <c r="J89" s="4" t="s">
        <v>120</v>
      </c>
    </row>
    <row r="90" spans="1:10" x14ac:dyDescent="0.25">
      <c r="A90" s="4">
        <f t="shared" ca="1" si="2"/>
        <v>87</v>
      </c>
      <c r="B90" s="4" t="s">
        <v>300</v>
      </c>
      <c r="C90" s="4" t="s">
        <v>301</v>
      </c>
      <c r="D90" s="4" t="s">
        <v>118</v>
      </c>
      <c r="E90" s="4" t="s">
        <v>66</v>
      </c>
      <c r="F90" s="4">
        <v>896.04</v>
      </c>
      <c r="G90" s="5">
        <v>94.579000000000008</v>
      </c>
      <c r="H90" s="5">
        <v>17.600000000000001</v>
      </c>
      <c r="I90" s="5">
        <v>528</v>
      </c>
      <c r="J90" s="4" t="s">
        <v>120</v>
      </c>
    </row>
    <row r="91" spans="1:10" x14ac:dyDescent="0.25">
      <c r="A91" s="4">
        <f t="shared" ca="1" si="2"/>
        <v>88</v>
      </c>
      <c r="B91" s="4" t="s">
        <v>302</v>
      </c>
      <c r="C91" s="4" t="s">
        <v>303</v>
      </c>
      <c r="D91" s="4" t="s">
        <v>118</v>
      </c>
      <c r="E91" s="4" t="s">
        <v>66</v>
      </c>
      <c r="F91" s="4">
        <v>876.93100000000004</v>
      </c>
      <c r="G91" s="5">
        <v>89.743099999999998</v>
      </c>
      <c r="H91" s="5">
        <v>17.580000000000002</v>
      </c>
      <c r="I91" s="5">
        <v>647</v>
      </c>
      <c r="J91" s="4" t="s">
        <v>120</v>
      </c>
    </row>
    <row r="92" spans="1:10" x14ac:dyDescent="0.25">
      <c r="A92" s="4">
        <f t="shared" ca="1" si="2"/>
        <v>89</v>
      </c>
      <c r="B92" s="4" t="s">
        <v>304</v>
      </c>
      <c r="C92" s="4" t="s">
        <v>305</v>
      </c>
      <c r="D92" s="4" t="s">
        <v>118</v>
      </c>
      <c r="E92" s="4" t="s">
        <v>66</v>
      </c>
      <c r="F92" s="4">
        <v>598.05900000000008</v>
      </c>
      <c r="G92" s="5">
        <v>61.101500000000001</v>
      </c>
      <c r="H92" s="5">
        <v>16.73</v>
      </c>
      <c r="I92" s="5">
        <v>3962</v>
      </c>
      <c r="J92" s="4" t="s">
        <v>120</v>
      </c>
    </row>
    <row r="93" spans="1:10" x14ac:dyDescent="0.25">
      <c r="A93" s="4">
        <f t="shared" ca="1" si="2"/>
        <v>90</v>
      </c>
      <c r="B93" s="4" t="s">
        <v>306</v>
      </c>
      <c r="C93" s="4" t="s">
        <v>307</v>
      </c>
      <c r="D93" s="4" t="s">
        <v>118</v>
      </c>
      <c r="E93" s="4" t="s">
        <v>66</v>
      </c>
      <c r="F93" s="4">
        <v>663.46600000000001</v>
      </c>
      <c r="G93" s="5">
        <v>70.460099999999997</v>
      </c>
      <c r="H93" s="5">
        <v>16.830000000000002</v>
      </c>
      <c r="I93" s="5">
        <v>2749</v>
      </c>
      <c r="J93" s="4" t="s">
        <v>120</v>
      </c>
    </row>
    <row r="94" spans="1:10" x14ac:dyDescent="0.25">
      <c r="A94" s="4">
        <f t="shared" ca="1" si="2"/>
        <v>91</v>
      </c>
      <c r="B94" s="4" t="s">
        <v>308</v>
      </c>
      <c r="C94" s="4" t="s">
        <v>309</v>
      </c>
      <c r="D94" s="4" t="s">
        <v>118</v>
      </c>
      <c r="E94" s="4" t="s">
        <v>66</v>
      </c>
      <c r="F94" s="4">
        <v>654.27600000000007</v>
      </c>
      <c r="G94" s="5">
        <v>68.999600000000001</v>
      </c>
      <c r="H94" s="5">
        <v>16.82</v>
      </c>
      <c r="I94" s="5">
        <v>2768</v>
      </c>
      <c r="J94" s="4" t="s">
        <v>120</v>
      </c>
    </row>
    <row r="95" spans="1:10" x14ac:dyDescent="0.25">
      <c r="A95" s="4">
        <f t="shared" ca="1" si="2"/>
        <v>92</v>
      </c>
      <c r="B95" s="4" t="s">
        <v>310</v>
      </c>
      <c r="C95" s="4" t="s">
        <v>101</v>
      </c>
      <c r="D95" s="4" t="s">
        <v>118</v>
      </c>
      <c r="E95" s="4" t="s">
        <v>66</v>
      </c>
      <c r="F95" s="4">
        <v>678.58600000000001</v>
      </c>
      <c r="G95" s="5">
        <v>71.590699999999998</v>
      </c>
      <c r="H95" s="5">
        <v>16.88</v>
      </c>
      <c r="I95" s="5">
        <v>2396</v>
      </c>
      <c r="J95" s="4" t="s">
        <v>120</v>
      </c>
    </row>
    <row r="96" spans="1:10" x14ac:dyDescent="0.25">
      <c r="A96" s="4">
        <f t="shared" ca="1" si="2"/>
        <v>93</v>
      </c>
      <c r="B96" s="4" t="s">
        <v>311</v>
      </c>
      <c r="C96" s="4" t="s">
        <v>312</v>
      </c>
      <c r="D96" s="4" t="s">
        <v>118</v>
      </c>
      <c r="E96" s="4" t="s">
        <v>66</v>
      </c>
      <c r="F96" s="4">
        <v>704.86900000000003</v>
      </c>
      <c r="G96" s="5">
        <v>73.651899999999998</v>
      </c>
      <c r="H96" s="5">
        <v>16.940000000000001</v>
      </c>
      <c r="I96" s="5">
        <v>2054</v>
      </c>
      <c r="J96" s="4" t="s">
        <v>120</v>
      </c>
    </row>
    <row r="97" spans="1:10" x14ac:dyDescent="0.25">
      <c r="A97" s="4">
        <f t="shared" ca="1" si="2"/>
        <v>94</v>
      </c>
      <c r="B97" s="4" t="s">
        <v>313</v>
      </c>
      <c r="C97" s="4" t="s">
        <v>314</v>
      </c>
      <c r="D97" s="4" t="s">
        <v>118</v>
      </c>
      <c r="E97" s="4" t="s">
        <v>66</v>
      </c>
      <c r="F97" s="4">
        <v>600.62400000000002</v>
      </c>
      <c r="G97" s="5">
        <v>65.475700000000003</v>
      </c>
      <c r="H97" s="5">
        <v>16.740000000000002</v>
      </c>
      <c r="I97" s="5">
        <v>4158</v>
      </c>
      <c r="J97" s="4" t="s">
        <v>120</v>
      </c>
    </row>
    <row r="98" spans="1:10" x14ac:dyDescent="0.25">
      <c r="A98" s="4">
        <f t="shared" ca="1" si="2"/>
        <v>95</v>
      </c>
      <c r="B98" s="4" t="s">
        <v>315</v>
      </c>
      <c r="C98" s="4" t="s">
        <v>316</v>
      </c>
      <c r="D98" s="4" t="s">
        <v>118</v>
      </c>
      <c r="E98" s="4" t="s">
        <v>66</v>
      </c>
      <c r="F98" s="4">
        <v>1000</v>
      </c>
      <c r="G98" s="5">
        <v>103.9787</v>
      </c>
      <c r="H98" s="5">
        <v>12</v>
      </c>
      <c r="I98" s="5">
        <v>246</v>
      </c>
      <c r="J98" s="4" t="s">
        <v>120</v>
      </c>
    </row>
    <row r="99" spans="1:10" x14ac:dyDescent="0.25">
      <c r="A99" s="4">
        <f t="shared" ca="1" si="2"/>
        <v>96</v>
      </c>
      <c r="B99" s="4" t="s">
        <v>317</v>
      </c>
      <c r="C99" s="4" t="s">
        <v>98</v>
      </c>
      <c r="D99" s="4" t="s">
        <v>118</v>
      </c>
      <c r="E99" s="4" t="s">
        <v>66</v>
      </c>
      <c r="F99" s="4">
        <v>745.75900000000001</v>
      </c>
      <c r="G99" s="5">
        <v>75.471900000000005</v>
      </c>
      <c r="H99" s="5">
        <v>17.150000000000002</v>
      </c>
      <c r="I99" s="5">
        <v>1419</v>
      </c>
      <c r="J99" s="4" t="s">
        <v>120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318</v>
      </c>
      <c r="C100" s="4" t="s">
        <v>319</v>
      </c>
      <c r="D100" s="4" t="s">
        <v>118</v>
      </c>
      <c r="E100" s="4" t="s">
        <v>66</v>
      </c>
      <c r="F100" s="4">
        <v>724.61500000000001</v>
      </c>
      <c r="G100" s="5">
        <v>77.389499999999998</v>
      </c>
      <c r="H100" s="5">
        <v>17.100000000000001</v>
      </c>
      <c r="I100" s="5">
        <v>1594</v>
      </c>
      <c r="J100" s="4" t="s">
        <v>120</v>
      </c>
    </row>
    <row r="101" spans="1:10" x14ac:dyDescent="0.25">
      <c r="A101" s="4">
        <f t="shared" ca="1" si="3"/>
        <v>98</v>
      </c>
      <c r="B101" s="4" t="s">
        <v>320</v>
      </c>
      <c r="C101" s="4" t="s">
        <v>321</v>
      </c>
      <c r="D101" s="4" t="s">
        <v>118</v>
      </c>
      <c r="E101" s="4" t="s">
        <v>66</v>
      </c>
      <c r="F101" s="4">
        <v>540.15899999999999</v>
      </c>
      <c r="G101" s="5">
        <v>60.050600000000003</v>
      </c>
      <c r="H101" s="5">
        <v>16.7</v>
      </c>
      <c r="I101" s="5">
        <v>4835</v>
      </c>
      <c r="J101" s="4" t="s">
        <v>120</v>
      </c>
    </row>
    <row r="102" spans="1:10" x14ac:dyDescent="0.25">
      <c r="A102" s="4">
        <f t="shared" ca="1" si="3"/>
        <v>99</v>
      </c>
      <c r="B102" s="4" t="s">
        <v>322</v>
      </c>
      <c r="C102" s="4" t="s">
        <v>323</v>
      </c>
      <c r="D102" s="4" t="s">
        <v>118</v>
      </c>
      <c r="E102" s="4" t="s">
        <v>66</v>
      </c>
      <c r="F102" s="4">
        <v>983.08400000000006</v>
      </c>
      <c r="G102" s="5">
        <v>102.9906</v>
      </c>
      <c r="H102" s="5">
        <v>16.490000000000002</v>
      </c>
      <c r="I102" s="5">
        <v>61</v>
      </c>
      <c r="J102" s="4" t="s">
        <v>120</v>
      </c>
    </row>
    <row r="103" spans="1:10" x14ac:dyDescent="0.25">
      <c r="A103" s="4">
        <f t="shared" ca="1" si="3"/>
        <v>100</v>
      </c>
      <c r="B103" s="4" t="s">
        <v>324</v>
      </c>
      <c r="C103" s="4" t="s">
        <v>76</v>
      </c>
      <c r="D103" s="4" t="s">
        <v>118</v>
      </c>
      <c r="E103" s="4" t="s">
        <v>66</v>
      </c>
      <c r="F103" s="4">
        <v>906.98400000000004</v>
      </c>
      <c r="G103" s="5">
        <v>91.2637</v>
      </c>
      <c r="H103" s="5">
        <v>17.54</v>
      </c>
      <c r="I103" s="5">
        <v>328</v>
      </c>
      <c r="J103" s="4" t="s">
        <v>120</v>
      </c>
    </row>
    <row r="104" spans="1:10" x14ac:dyDescent="0.25">
      <c r="A104" s="4">
        <f t="shared" ca="1" si="3"/>
        <v>101</v>
      </c>
      <c r="B104" s="4" t="s">
        <v>325</v>
      </c>
      <c r="C104" s="4" t="s">
        <v>110</v>
      </c>
      <c r="D104" s="4" t="s">
        <v>118</v>
      </c>
      <c r="E104" s="4" t="s">
        <v>66</v>
      </c>
      <c r="F104" s="4">
        <v>801.62600000000009</v>
      </c>
      <c r="G104" s="5">
        <v>85.109300000000005</v>
      </c>
      <c r="H104" s="5">
        <v>17.54</v>
      </c>
      <c r="I104" s="5">
        <v>755</v>
      </c>
      <c r="J104" s="4" t="s">
        <v>120</v>
      </c>
    </row>
    <row r="105" spans="1:10" x14ac:dyDescent="0.25">
      <c r="A105" s="4">
        <f t="shared" ca="1" si="3"/>
        <v>102</v>
      </c>
      <c r="B105" s="4" t="s">
        <v>326</v>
      </c>
      <c r="C105" s="4" t="s">
        <v>327</v>
      </c>
      <c r="D105" s="4" t="s">
        <v>118</v>
      </c>
      <c r="E105" s="4" t="s">
        <v>66</v>
      </c>
      <c r="F105" s="4">
        <v>740.76900000000001</v>
      </c>
      <c r="G105" s="5">
        <v>74.153300000000002</v>
      </c>
      <c r="H105" s="5">
        <v>17.34</v>
      </c>
      <c r="I105" s="5">
        <v>1092</v>
      </c>
      <c r="J105" s="4" t="s">
        <v>120</v>
      </c>
    </row>
    <row r="106" spans="1:10" x14ac:dyDescent="0.25">
      <c r="A106" s="4">
        <f t="shared" ca="1" si="3"/>
        <v>103</v>
      </c>
      <c r="B106" s="4" t="s">
        <v>328</v>
      </c>
      <c r="C106" s="4" t="s">
        <v>329</v>
      </c>
      <c r="D106" s="4" t="s">
        <v>118</v>
      </c>
      <c r="E106" s="4" t="s">
        <v>66</v>
      </c>
      <c r="F106" s="4">
        <v>558.30799999999999</v>
      </c>
      <c r="G106" s="5">
        <v>57.222499999999997</v>
      </c>
      <c r="H106" s="5">
        <v>16.7</v>
      </c>
      <c r="I106" s="5">
        <v>5052</v>
      </c>
      <c r="J106" s="4" t="s">
        <v>120</v>
      </c>
    </row>
    <row r="107" spans="1:10" x14ac:dyDescent="0.25">
      <c r="A107" s="4">
        <f t="shared" ca="1" si="3"/>
        <v>104</v>
      </c>
      <c r="B107" s="4" t="s">
        <v>330</v>
      </c>
      <c r="C107" s="4" t="s">
        <v>331</v>
      </c>
      <c r="D107" s="4" t="s">
        <v>118</v>
      </c>
      <c r="E107" s="4" t="s">
        <v>66</v>
      </c>
      <c r="F107" s="4">
        <v>553.27800000000002</v>
      </c>
      <c r="G107" s="5">
        <v>60.187100000000001</v>
      </c>
      <c r="H107" s="5">
        <v>16.7</v>
      </c>
      <c r="I107" s="5">
        <v>5268</v>
      </c>
      <c r="J107" s="4" t="s">
        <v>120</v>
      </c>
    </row>
    <row r="108" spans="1:10" x14ac:dyDescent="0.25">
      <c r="A108" s="4">
        <f t="shared" ca="1" si="3"/>
        <v>105</v>
      </c>
      <c r="B108" s="4" t="s">
        <v>332</v>
      </c>
      <c r="C108" s="4" t="s">
        <v>87</v>
      </c>
      <c r="D108" s="4" t="s">
        <v>118</v>
      </c>
      <c r="E108" s="4" t="s">
        <v>66</v>
      </c>
      <c r="F108" s="4">
        <v>843.18200000000002</v>
      </c>
      <c r="G108" s="5">
        <v>89.665400000000005</v>
      </c>
      <c r="H108" s="5">
        <v>17.23</v>
      </c>
      <c r="I108" s="5">
        <v>1284</v>
      </c>
      <c r="J108" s="4" t="s">
        <v>120</v>
      </c>
    </row>
    <row r="109" spans="1:10" x14ac:dyDescent="0.25">
      <c r="A109" s="4">
        <f t="shared" ca="1" si="3"/>
        <v>106</v>
      </c>
      <c r="B109" s="4" t="s">
        <v>333</v>
      </c>
      <c r="C109" s="4" t="s">
        <v>334</v>
      </c>
      <c r="D109" s="4" t="s">
        <v>118</v>
      </c>
      <c r="E109" s="4" t="s">
        <v>66</v>
      </c>
      <c r="F109" s="4">
        <v>943.00400000000002</v>
      </c>
      <c r="G109" s="5">
        <v>96.373200000000011</v>
      </c>
      <c r="H109" s="5">
        <v>17.420000000000002</v>
      </c>
      <c r="I109" s="5">
        <v>282</v>
      </c>
      <c r="J109" s="4" t="s">
        <v>120</v>
      </c>
    </row>
    <row r="110" spans="1:10" x14ac:dyDescent="0.25">
      <c r="A110" s="4">
        <f t="shared" ca="1" si="3"/>
        <v>107</v>
      </c>
      <c r="B110" s="4" t="s">
        <v>335</v>
      </c>
      <c r="C110" s="4" t="s">
        <v>336</v>
      </c>
      <c r="D110" s="4" t="s">
        <v>118</v>
      </c>
      <c r="E110" s="4" t="s">
        <v>66</v>
      </c>
      <c r="F110" s="4">
        <v>1000</v>
      </c>
      <c r="G110" s="5">
        <v>109.6601</v>
      </c>
      <c r="H110" s="5">
        <v>12.28</v>
      </c>
      <c r="I110" s="5">
        <v>1176</v>
      </c>
      <c r="J110" s="4" t="s">
        <v>120</v>
      </c>
    </row>
    <row r="111" spans="1:10" x14ac:dyDescent="0.25">
      <c r="A111" s="4">
        <f t="shared" ca="1" si="3"/>
        <v>108</v>
      </c>
      <c r="B111" s="4" t="s">
        <v>337</v>
      </c>
      <c r="C111" s="4" t="s">
        <v>338</v>
      </c>
      <c r="D111" s="4" t="s">
        <v>118</v>
      </c>
      <c r="E111" s="4" t="s">
        <v>66</v>
      </c>
      <c r="F111" s="4">
        <v>1000</v>
      </c>
      <c r="G111" s="5">
        <v>105.985</v>
      </c>
      <c r="H111" s="5">
        <v>11.88</v>
      </c>
      <c r="I111" s="5">
        <v>186</v>
      </c>
      <c r="J111" s="4" t="s">
        <v>120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118</v>
      </c>
      <c r="E112" s="4" t="s">
        <v>66</v>
      </c>
      <c r="F112" s="4">
        <v>1000</v>
      </c>
      <c r="G112" s="5">
        <v>107.03920000000001</v>
      </c>
      <c r="H112" s="5">
        <v>12.18</v>
      </c>
      <c r="I112" s="5">
        <v>1253</v>
      </c>
      <c r="J112" s="4" t="s">
        <v>120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118</v>
      </c>
      <c r="E113" s="4" t="s">
        <v>66</v>
      </c>
      <c r="F113" s="4">
        <v>845.47300000000007</v>
      </c>
      <c r="G113" s="5">
        <v>94.086600000000004</v>
      </c>
      <c r="H113" s="5">
        <v>17.309999999999999</v>
      </c>
      <c r="I113" s="5">
        <v>1129</v>
      </c>
      <c r="J113" s="4" t="s">
        <v>120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118</v>
      </c>
      <c r="E114" s="4" t="s">
        <v>66</v>
      </c>
      <c r="F114" s="4">
        <v>1000</v>
      </c>
      <c r="G114" s="5">
        <v>107.14120000000001</v>
      </c>
      <c r="H114" s="5">
        <v>12.16</v>
      </c>
      <c r="I114" s="5">
        <v>884</v>
      </c>
      <c r="J114" s="4" t="s">
        <v>120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118</v>
      </c>
      <c r="E115" s="4" t="s">
        <v>66</v>
      </c>
      <c r="F115" s="4">
        <v>567.10900000000004</v>
      </c>
      <c r="G115" s="5">
        <v>59.017800000000001</v>
      </c>
      <c r="H115" s="5">
        <v>16.850000000000001</v>
      </c>
      <c r="I115" s="5">
        <v>2404</v>
      </c>
      <c r="J115" s="4" t="s">
        <v>120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118</v>
      </c>
      <c r="E116" s="4" t="s">
        <v>66</v>
      </c>
      <c r="F116" s="4">
        <v>765.91100000000006</v>
      </c>
      <c r="G116" s="5">
        <v>82.306899999999999</v>
      </c>
      <c r="H116" s="5">
        <v>17.28</v>
      </c>
      <c r="I116" s="5">
        <v>1173</v>
      </c>
      <c r="J116" s="4" t="s">
        <v>120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118</v>
      </c>
      <c r="E117" s="4" t="s">
        <v>66</v>
      </c>
      <c r="F117" s="4">
        <v>758.38300000000004</v>
      </c>
      <c r="G117" s="5">
        <v>78.018900000000002</v>
      </c>
      <c r="H117" s="5">
        <v>17.420000000000002</v>
      </c>
      <c r="I117" s="5">
        <v>937</v>
      </c>
      <c r="J117" s="4" t="s">
        <v>120</v>
      </c>
    </row>
    <row r="118" spans="1:10" x14ac:dyDescent="0.25">
      <c r="A118" s="4">
        <f t="shared" ca="1" si="3"/>
        <v>115</v>
      </c>
      <c r="B118" s="4" t="s">
        <v>351</v>
      </c>
      <c r="C118" s="4" t="s">
        <v>72</v>
      </c>
      <c r="D118" s="4" t="s">
        <v>118</v>
      </c>
      <c r="E118" s="4" t="s">
        <v>66</v>
      </c>
      <c r="F118" s="4">
        <v>757.03399999999999</v>
      </c>
      <c r="G118" s="5">
        <v>77.448800000000006</v>
      </c>
      <c r="H118" s="5">
        <v>16.88</v>
      </c>
      <c r="I118" s="5">
        <v>2497</v>
      </c>
      <c r="J118" s="4" t="s">
        <v>120</v>
      </c>
    </row>
    <row r="119" spans="1:10" x14ac:dyDescent="0.25">
      <c r="A119" s="4">
        <f t="shared" ca="1" si="3"/>
        <v>116</v>
      </c>
      <c r="B119" s="4" t="s">
        <v>352</v>
      </c>
      <c r="C119" s="4" t="s">
        <v>103</v>
      </c>
      <c r="D119" s="4" t="s">
        <v>118</v>
      </c>
      <c r="E119" s="4" t="s">
        <v>66</v>
      </c>
      <c r="F119" s="4">
        <v>823.346</v>
      </c>
      <c r="G119" s="5">
        <v>84.00500000000001</v>
      </c>
      <c r="H119" s="5">
        <v>17.16</v>
      </c>
      <c r="I119" s="5">
        <v>1403</v>
      </c>
      <c r="J119" s="4" t="s">
        <v>120</v>
      </c>
    </row>
    <row r="120" spans="1:10" x14ac:dyDescent="0.25">
      <c r="A120" s="4">
        <f t="shared" ca="1" si="3"/>
        <v>117</v>
      </c>
      <c r="B120" s="4" t="s">
        <v>353</v>
      </c>
      <c r="C120" s="4" t="s">
        <v>354</v>
      </c>
      <c r="D120" s="4" t="s">
        <v>118</v>
      </c>
      <c r="E120" s="4" t="s">
        <v>66</v>
      </c>
      <c r="F120" s="4">
        <v>1000</v>
      </c>
      <c r="G120" s="5">
        <v>112.10600000000001</v>
      </c>
      <c r="H120" s="5">
        <v>12.24</v>
      </c>
      <c r="I120" s="5">
        <v>1831</v>
      </c>
      <c r="J120" s="4" t="s">
        <v>120</v>
      </c>
    </row>
    <row r="121" spans="1:10" x14ac:dyDescent="0.25">
      <c r="A121" s="4">
        <f t="shared" ca="1" si="3"/>
        <v>118</v>
      </c>
      <c r="B121" s="4" t="s">
        <v>355</v>
      </c>
      <c r="C121" s="4" t="s">
        <v>356</v>
      </c>
      <c r="D121" s="4" t="s">
        <v>118</v>
      </c>
      <c r="E121" s="4" t="s">
        <v>66</v>
      </c>
      <c r="F121" s="4">
        <v>1000</v>
      </c>
      <c r="G121" s="5">
        <v>109.0455</v>
      </c>
      <c r="H121" s="5">
        <v>12.21</v>
      </c>
      <c r="I121" s="5">
        <v>2287</v>
      </c>
      <c r="J121" s="4" t="s">
        <v>120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118</v>
      </c>
      <c r="E122" s="4" t="s">
        <v>66</v>
      </c>
      <c r="F122" s="4">
        <v>1000</v>
      </c>
      <c r="G122" s="5">
        <v>112.17400000000001</v>
      </c>
      <c r="H122" s="5">
        <v>12.24</v>
      </c>
      <c r="I122" s="5">
        <v>2194</v>
      </c>
      <c r="J122" s="4" t="s">
        <v>120</v>
      </c>
    </row>
    <row r="123" spans="1:10" x14ac:dyDescent="0.25">
      <c r="A123" s="4">
        <f t="shared" ca="1" si="3"/>
        <v>120</v>
      </c>
      <c r="B123" s="4" t="s">
        <v>359</v>
      </c>
      <c r="C123" s="4" t="s">
        <v>360</v>
      </c>
      <c r="D123" s="4" t="s">
        <v>118</v>
      </c>
      <c r="E123" s="4" t="s">
        <v>66</v>
      </c>
      <c r="F123" s="4">
        <v>902.279</v>
      </c>
      <c r="G123" s="5">
        <v>93.867900000000006</v>
      </c>
      <c r="H123" s="5">
        <v>17.59</v>
      </c>
      <c r="I123" s="5">
        <v>602</v>
      </c>
      <c r="J123" s="4" t="s">
        <v>120</v>
      </c>
    </row>
    <row r="124" spans="1:10" x14ac:dyDescent="0.25">
      <c r="A124" s="4">
        <f t="shared" ca="1" si="3"/>
        <v>121</v>
      </c>
      <c r="B124" s="4" t="s">
        <v>361</v>
      </c>
      <c r="C124" s="4" t="s">
        <v>362</v>
      </c>
      <c r="D124" s="4" t="s">
        <v>118</v>
      </c>
      <c r="E124" s="4" t="s">
        <v>66</v>
      </c>
      <c r="F124" s="4">
        <v>716.37600000000009</v>
      </c>
      <c r="G124" s="5">
        <v>78.912199999999999</v>
      </c>
      <c r="H124" s="5">
        <v>16.75</v>
      </c>
      <c r="I124" s="5">
        <v>4144</v>
      </c>
      <c r="J124" s="4" t="s">
        <v>120</v>
      </c>
    </row>
    <row r="125" spans="1:10" x14ac:dyDescent="0.25">
      <c r="A125" s="4">
        <f t="shared" ca="1" si="3"/>
        <v>122</v>
      </c>
      <c r="B125" s="4" t="s">
        <v>363</v>
      </c>
      <c r="C125" s="4" t="s">
        <v>73</v>
      </c>
      <c r="D125" s="4" t="s">
        <v>118</v>
      </c>
      <c r="E125" s="4" t="s">
        <v>66</v>
      </c>
      <c r="F125" s="4">
        <v>982.649</v>
      </c>
      <c r="G125" s="5">
        <v>100.1618</v>
      </c>
      <c r="H125" s="5">
        <v>16.260000000000002</v>
      </c>
      <c r="I125" s="5">
        <v>119</v>
      </c>
      <c r="J125" s="4" t="s">
        <v>120</v>
      </c>
    </row>
    <row r="126" spans="1:10" x14ac:dyDescent="0.25">
      <c r="A126" s="4">
        <f t="shared" ca="1" si="3"/>
        <v>123</v>
      </c>
      <c r="B126" s="4" t="s">
        <v>364</v>
      </c>
      <c r="C126" s="4" t="s">
        <v>365</v>
      </c>
      <c r="D126" s="4" t="s">
        <v>118</v>
      </c>
      <c r="E126" s="4" t="s">
        <v>66</v>
      </c>
      <c r="F126" s="4">
        <v>820.16500000000008</v>
      </c>
      <c r="G126" s="5">
        <v>89.07480000000001</v>
      </c>
      <c r="H126" s="5">
        <v>17.12</v>
      </c>
      <c r="I126" s="5">
        <v>1594</v>
      </c>
      <c r="J126" s="4" t="s">
        <v>120</v>
      </c>
    </row>
    <row r="127" spans="1:10" x14ac:dyDescent="0.25">
      <c r="A127" s="4">
        <f t="shared" ca="1" si="3"/>
        <v>124</v>
      </c>
      <c r="B127" s="4" t="s">
        <v>366</v>
      </c>
      <c r="C127" s="4" t="s">
        <v>367</v>
      </c>
      <c r="D127" s="4" t="s">
        <v>118</v>
      </c>
      <c r="E127" s="4" t="s">
        <v>66</v>
      </c>
      <c r="F127" s="4">
        <v>708.50700000000006</v>
      </c>
      <c r="G127" s="5">
        <v>71.749000000000009</v>
      </c>
      <c r="H127" s="5">
        <v>16.75</v>
      </c>
      <c r="I127" s="5">
        <v>3988</v>
      </c>
      <c r="J127" s="4" t="s">
        <v>120</v>
      </c>
    </row>
    <row r="128" spans="1:10" x14ac:dyDescent="0.25">
      <c r="A128" s="4">
        <f t="shared" ca="1" si="3"/>
        <v>125</v>
      </c>
      <c r="B128" s="4" t="s">
        <v>368</v>
      </c>
      <c r="C128" s="4" t="s">
        <v>369</v>
      </c>
      <c r="D128" s="4" t="s">
        <v>118</v>
      </c>
      <c r="E128" s="4" t="s">
        <v>66</v>
      </c>
      <c r="F128" s="4">
        <v>707.745</v>
      </c>
      <c r="G128" s="5">
        <v>76.90270000000001</v>
      </c>
      <c r="H128" s="5">
        <v>16.82</v>
      </c>
      <c r="I128" s="5">
        <v>3068</v>
      </c>
      <c r="J128" s="4" t="s">
        <v>120</v>
      </c>
    </row>
    <row r="129" spans="1:10" x14ac:dyDescent="0.25">
      <c r="A129" s="4">
        <f t="shared" ca="1" si="3"/>
        <v>126</v>
      </c>
      <c r="B129" s="4" t="s">
        <v>370</v>
      </c>
      <c r="C129" s="4" t="s">
        <v>113</v>
      </c>
      <c r="D129" s="4" t="s">
        <v>118</v>
      </c>
      <c r="E129" s="4" t="s">
        <v>66</v>
      </c>
      <c r="F129" s="4">
        <v>862.48500000000001</v>
      </c>
      <c r="G129" s="5">
        <v>90.957400000000007</v>
      </c>
      <c r="H129" s="5">
        <v>17.43</v>
      </c>
      <c r="I129" s="5">
        <v>931</v>
      </c>
      <c r="J129" s="4" t="s">
        <v>120</v>
      </c>
    </row>
    <row r="130" spans="1:10" x14ac:dyDescent="0.25">
      <c r="A130" s="4">
        <f t="shared" ca="1" si="3"/>
        <v>127</v>
      </c>
      <c r="B130" s="4" t="s">
        <v>371</v>
      </c>
      <c r="C130" s="4" t="s">
        <v>372</v>
      </c>
      <c r="D130" s="4" t="s">
        <v>118</v>
      </c>
      <c r="E130" s="4" t="s">
        <v>66</v>
      </c>
      <c r="F130" s="4">
        <v>951.02200000000005</v>
      </c>
      <c r="G130" s="5">
        <v>96.589700000000008</v>
      </c>
      <c r="H130" s="5">
        <v>16.809999999999999</v>
      </c>
      <c r="I130" s="5">
        <v>314</v>
      </c>
      <c r="J130" s="4" t="s">
        <v>120</v>
      </c>
    </row>
    <row r="131" spans="1:10" x14ac:dyDescent="0.25">
      <c r="A131" s="4">
        <f t="shared" ca="1" si="3"/>
        <v>128</v>
      </c>
      <c r="B131" s="4" t="s">
        <v>373</v>
      </c>
      <c r="C131" s="4" t="s">
        <v>374</v>
      </c>
      <c r="D131" s="4" t="s">
        <v>118</v>
      </c>
      <c r="E131" s="4" t="s">
        <v>66</v>
      </c>
      <c r="F131" s="4">
        <v>698.91500000000008</v>
      </c>
      <c r="G131" s="5">
        <v>75.443600000000004</v>
      </c>
      <c r="H131" s="5">
        <v>16.77</v>
      </c>
      <c r="I131" s="5">
        <v>3454</v>
      </c>
      <c r="J131" s="4" t="s">
        <v>120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375</v>
      </c>
      <c r="C132" s="4" t="s">
        <v>85</v>
      </c>
      <c r="D132" s="4" t="s">
        <v>118</v>
      </c>
      <c r="E132" s="4" t="s">
        <v>66</v>
      </c>
      <c r="F132" s="4">
        <v>771.89100000000008</v>
      </c>
      <c r="G132" s="5">
        <v>82.567999999999998</v>
      </c>
      <c r="H132" s="5">
        <v>16.96</v>
      </c>
      <c r="I132" s="5">
        <v>2000</v>
      </c>
      <c r="J132" s="4" t="s">
        <v>120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118</v>
      </c>
      <c r="E133" s="4" t="s">
        <v>66</v>
      </c>
      <c r="F133" s="4">
        <v>741.03800000000001</v>
      </c>
      <c r="G133" s="5">
        <v>75.054000000000002</v>
      </c>
      <c r="H133" s="5">
        <v>16.830000000000002</v>
      </c>
      <c r="I133" s="5">
        <v>2890</v>
      </c>
      <c r="J133" s="4" t="s">
        <v>120</v>
      </c>
    </row>
    <row r="134" spans="1:10" x14ac:dyDescent="0.25">
      <c r="A134" s="4">
        <f t="shared" ca="1" si="4"/>
        <v>131</v>
      </c>
      <c r="B134" s="4" t="s">
        <v>378</v>
      </c>
      <c r="C134" s="4" t="s">
        <v>379</v>
      </c>
      <c r="D134" s="4" t="s">
        <v>118</v>
      </c>
      <c r="E134" s="4" t="s">
        <v>66</v>
      </c>
      <c r="F134" s="4">
        <v>974.12</v>
      </c>
      <c r="G134" s="5">
        <v>97.759500000000003</v>
      </c>
      <c r="H134" s="5">
        <v>16.87</v>
      </c>
      <c r="I134" s="5">
        <v>357</v>
      </c>
      <c r="J134" s="4" t="s">
        <v>120</v>
      </c>
    </row>
    <row r="135" spans="1:10" x14ac:dyDescent="0.25">
      <c r="A135" s="4">
        <f t="shared" ca="1" si="4"/>
        <v>132</v>
      </c>
      <c r="B135" s="4" t="s">
        <v>380</v>
      </c>
      <c r="C135" s="4" t="s">
        <v>381</v>
      </c>
      <c r="D135" s="4" t="s">
        <v>118</v>
      </c>
      <c r="E135" s="4" t="s">
        <v>66</v>
      </c>
      <c r="F135" s="4">
        <v>973.73500000000001</v>
      </c>
      <c r="G135" s="5">
        <v>102.7886</v>
      </c>
      <c r="H135" s="5">
        <v>16.82</v>
      </c>
      <c r="I135" s="5">
        <v>785</v>
      </c>
      <c r="J135" s="4" t="s">
        <v>120</v>
      </c>
    </row>
    <row r="136" spans="1:10" x14ac:dyDescent="0.25">
      <c r="A136" s="4">
        <f t="shared" ca="1" si="4"/>
        <v>133</v>
      </c>
      <c r="B136" s="4" t="s">
        <v>382</v>
      </c>
      <c r="C136" s="4" t="s">
        <v>383</v>
      </c>
      <c r="D136" s="4" t="s">
        <v>118</v>
      </c>
      <c r="E136" s="4" t="s">
        <v>66</v>
      </c>
      <c r="F136" s="4">
        <v>886.56200000000001</v>
      </c>
      <c r="G136" s="5">
        <v>93.556200000000004</v>
      </c>
      <c r="H136" s="5">
        <v>16.899999999999999</v>
      </c>
      <c r="I136" s="5">
        <v>2429</v>
      </c>
      <c r="J136" s="4" t="s">
        <v>120</v>
      </c>
    </row>
    <row r="137" spans="1:10" x14ac:dyDescent="0.25">
      <c r="A137" s="4">
        <f t="shared" ca="1" si="4"/>
        <v>134</v>
      </c>
      <c r="B137" s="4" t="s">
        <v>384</v>
      </c>
      <c r="C137" s="4" t="s">
        <v>385</v>
      </c>
      <c r="D137" s="4" t="s">
        <v>118</v>
      </c>
      <c r="E137" s="4" t="s">
        <v>66</v>
      </c>
      <c r="F137" s="4">
        <v>949.67</v>
      </c>
      <c r="G137" s="5">
        <v>103.55200000000001</v>
      </c>
      <c r="H137" s="5">
        <v>17.240000000000002</v>
      </c>
      <c r="I137" s="5">
        <v>1256</v>
      </c>
      <c r="J137" s="4" t="s">
        <v>120</v>
      </c>
    </row>
    <row r="138" spans="1:10" x14ac:dyDescent="0.25">
      <c r="A138" s="4">
        <f t="shared" ca="1" si="4"/>
        <v>135</v>
      </c>
      <c r="B138" s="4" t="s">
        <v>386</v>
      </c>
      <c r="C138" s="4" t="s">
        <v>387</v>
      </c>
      <c r="D138" s="4" t="s">
        <v>118</v>
      </c>
      <c r="E138" s="4" t="s">
        <v>66</v>
      </c>
      <c r="F138" s="4">
        <v>1000</v>
      </c>
      <c r="G138" s="5">
        <v>100.76270000000001</v>
      </c>
      <c r="H138" s="5">
        <v>17.13</v>
      </c>
      <c r="I138" s="5">
        <v>350</v>
      </c>
      <c r="J138" s="4" t="s">
        <v>120</v>
      </c>
    </row>
    <row r="139" spans="1:10" x14ac:dyDescent="0.25">
      <c r="A139" s="4">
        <f t="shared" ca="1" si="4"/>
        <v>136</v>
      </c>
      <c r="B139" s="4" t="s">
        <v>388</v>
      </c>
      <c r="C139" s="4" t="s">
        <v>67</v>
      </c>
      <c r="D139" s="4" t="s">
        <v>118</v>
      </c>
      <c r="E139" s="4" t="s">
        <v>66</v>
      </c>
      <c r="F139" s="4">
        <v>894.93499999999995</v>
      </c>
      <c r="G139" s="5">
        <v>94.665700000000001</v>
      </c>
      <c r="H139" s="5">
        <v>16.97</v>
      </c>
      <c r="I139" s="5">
        <v>2056</v>
      </c>
      <c r="J139" s="4" t="s">
        <v>120</v>
      </c>
    </row>
    <row r="140" spans="1:10" x14ac:dyDescent="0.25">
      <c r="A140" s="4">
        <f t="shared" ca="1" si="4"/>
        <v>137</v>
      </c>
      <c r="B140" s="4" t="s">
        <v>389</v>
      </c>
      <c r="C140" s="4" t="s">
        <v>390</v>
      </c>
      <c r="D140" s="4" t="s">
        <v>118</v>
      </c>
      <c r="E140" s="4" t="s">
        <v>66</v>
      </c>
      <c r="F140" s="4">
        <v>979.38100000000009</v>
      </c>
      <c r="G140" s="5">
        <v>101.41380000000001</v>
      </c>
      <c r="H140" s="5">
        <v>16.7</v>
      </c>
      <c r="I140" s="5">
        <v>273</v>
      </c>
      <c r="J140" s="4" t="s">
        <v>120</v>
      </c>
    </row>
    <row r="141" spans="1:10" x14ac:dyDescent="0.25">
      <c r="A141" s="4">
        <f t="shared" ca="1" si="4"/>
        <v>138</v>
      </c>
      <c r="B141" s="4" t="s">
        <v>391</v>
      </c>
      <c r="C141" s="4" t="s">
        <v>392</v>
      </c>
      <c r="D141" s="4" t="s">
        <v>118</v>
      </c>
      <c r="E141" s="4" t="s">
        <v>66</v>
      </c>
      <c r="F141" s="4">
        <v>897.62800000000004</v>
      </c>
      <c r="G141" s="5">
        <v>94.178100000000001</v>
      </c>
      <c r="H141" s="5">
        <v>16.86</v>
      </c>
      <c r="I141" s="5">
        <v>2811</v>
      </c>
      <c r="J141" s="4" t="s">
        <v>120</v>
      </c>
    </row>
    <row r="142" spans="1:10" x14ac:dyDescent="0.25">
      <c r="A142" s="4">
        <f t="shared" ca="1" si="4"/>
        <v>139</v>
      </c>
      <c r="B142" s="4" t="s">
        <v>393</v>
      </c>
      <c r="C142" s="4" t="s">
        <v>394</v>
      </c>
      <c r="D142" s="4" t="s">
        <v>118</v>
      </c>
      <c r="E142" s="4" t="s">
        <v>66</v>
      </c>
      <c r="F142" s="4">
        <v>829.43700000000001</v>
      </c>
      <c r="G142" s="5">
        <v>90.043700000000001</v>
      </c>
      <c r="H142" s="5">
        <v>17</v>
      </c>
      <c r="I142" s="5">
        <v>1977</v>
      </c>
      <c r="J142" s="4" t="s">
        <v>120</v>
      </c>
    </row>
    <row r="143" spans="1:10" x14ac:dyDescent="0.25">
      <c r="A143" s="4">
        <f t="shared" ca="1" si="4"/>
        <v>140</v>
      </c>
      <c r="B143" s="4" t="s">
        <v>395</v>
      </c>
      <c r="C143" s="4" t="s">
        <v>95</v>
      </c>
      <c r="D143" s="4" t="s">
        <v>118</v>
      </c>
      <c r="E143" s="4" t="s">
        <v>66</v>
      </c>
      <c r="F143" s="4">
        <v>1013.0930000000001</v>
      </c>
      <c r="G143" s="5">
        <v>103.57730000000001</v>
      </c>
      <c r="H143" s="5">
        <v>16.52</v>
      </c>
      <c r="I143" s="5">
        <v>1413</v>
      </c>
      <c r="J143" s="4" t="s">
        <v>120</v>
      </c>
    </row>
    <row r="144" spans="1:10" x14ac:dyDescent="0.25">
      <c r="A144" s="4">
        <f t="shared" ca="1" si="4"/>
        <v>141</v>
      </c>
      <c r="B144" s="4" t="s">
        <v>396</v>
      </c>
      <c r="C144" s="4" t="s">
        <v>397</v>
      </c>
      <c r="D144" s="4" t="s">
        <v>118</v>
      </c>
      <c r="E144" s="4" t="s">
        <v>66</v>
      </c>
      <c r="F144" s="4">
        <v>896.08100000000002</v>
      </c>
      <c r="G144" s="5">
        <v>97.623400000000004</v>
      </c>
      <c r="H144" s="5">
        <v>16.830000000000002</v>
      </c>
      <c r="I144" s="5">
        <v>3085</v>
      </c>
      <c r="J144" s="4" t="s">
        <v>120</v>
      </c>
    </row>
    <row r="145" spans="1:10" x14ac:dyDescent="0.25">
      <c r="A145" s="4">
        <f t="shared" ca="1" si="4"/>
        <v>142</v>
      </c>
      <c r="B145" s="4" t="s">
        <v>398</v>
      </c>
      <c r="C145" s="4" t="s">
        <v>399</v>
      </c>
      <c r="D145" s="4" t="s">
        <v>118</v>
      </c>
      <c r="E145" s="4" t="s">
        <v>66</v>
      </c>
      <c r="F145" s="4">
        <v>910.23</v>
      </c>
      <c r="G145" s="5">
        <v>99.093600000000009</v>
      </c>
      <c r="H145" s="5">
        <v>16.920000000000002</v>
      </c>
      <c r="I145" s="5">
        <v>2355</v>
      </c>
      <c r="J145" s="4" t="s">
        <v>120</v>
      </c>
    </row>
    <row r="146" spans="1:10" x14ac:dyDescent="0.25">
      <c r="A146" s="4">
        <f t="shared" ca="1" si="4"/>
        <v>143</v>
      </c>
      <c r="B146" s="4" t="s">
        <v>400</v>
      </c>
      <c r="C146" s="4" t="s">
        <v>401</v>
      </c>
      <c r="D146" s="4" t="s">
        <v>118</v>
      </c>
      <c r="E146" s="4" t="s">
        <v>66</v>
      </c>
      <c r="F146" s="4">
        <v>861.91300000000001</v>
      </c>
      <c r="G146" s="5">
        <v>91.008800000000008</v>
      </c>
      <c r="H146" s="5">
        <v>16.740000000000002</v>
      </c>
      <c r="I146" s="5">
        <v>4623</v>
      </c>
      <c r="J146" s="4" t="s">
        <v>120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118</v>
      </c>
      <c r="E147" s="4" t="s">
        <v>66</v>
      </c>
      <c r="F147" s="4">
        <v>1000</v>
      </c>
      <c r="G147" s="5">
        <v>107.1614</v>
      </c>
      <c r="H147" s="5">
        <v>14.66</v>
      </c>
      <c r="I147" s="5">
        <v>2014</v>
      </c>
      <c r="J147" s="4" t="s">
        <v>120</v>
      </c>
    </row>
    <row r="148" spans="1:10" x14ac:dyDescent="0.25">
      <c r="A148" s="4">
        <f t="shared" ca="1" si="4"/>
        <v>145</v>
      </c>
      <c r="B148" s="4" t="s">
        <v>404</v>
      </c>
      <c r="C148" s="4" t="s">
        <v>79</v>
      </c>
      <c r="D148" s="4" t="s">
        <v>118</v>
      </c>
      <c r="E148" s="4" t="s">
        <v>66</v>
      </c>
      <c r="F148" s="4">
        <v>847.85400000000004</v>
      </c>
      <c r="G148" s="5">
        <v>91.385400000000004</v>
      </c>
      <c r="H148" s="5">
        <v>17.07</v>
      </c>
      <c r="I148" s="5">
        <v>1625</v>
      </c>
      <c r="J148" s="4" t="s">
        <v>120</v>
      </c>
    </row>
    <row r="149" spans="1:10" x14ac:dyDescent="0.25">
      <c r="A149" s="4">
        <f t="shared" ca="1" si="4"/>
        <v>146</v>
      </c>
      <c r="B149" s="4" t="s">
        <v>405</v>
      </c>
      <c r="C149" s="4" t="s">
        <v>406</v>
      </c>
      <c r="D149" s="4" t="s">
        <v>118</v>
      </c>
      <c r="E149" s="4" t="s">
        <v>66</v>
      </c>
      <c r="F149" s="4">
        <v>90.326800000000006</v>
      </c>
      <c r="G149" s="5">
        <v>90.326800000000006</v>
      </c>
      <c r="H149" s="5">
        <v>16.850000000000001</v>
      </c>
      <c r="I149" s="5">
        <v>233</v>
      </c>
      <c r="J149" s="4" t="s">
        <v>120</v>
      </c>
    </row>
    <row r="150" spans="1:10" x14ac:dyDescent="0.25">
      <c r="A150" s="4">
        <f t="shared" ca="1" si="4"/>
        <v>147</v>
      </c>
      <c r="B150" s="4" t="s">
        <v>407</v>
      </c>
      <c r="C150" s="4" t="s">
        <v>91</v>
      </c>
      <c r="D150" s="4" t="s">
        <v>118</v>
      </c>
      <c r="E150" s="4" t="s">
        <v>66</v>
      </c>
      <c r="F150" s="4">
        <v>94.414100000000005</v>
      </c>
      <c r="G150" s="5">
        <v>94.414100000000005</v>
      </c>
      <c r="H150" s="5">
        <v>16.12</v>
      </c>
      <c r="I150" s="5">
        <v>135</v>
      </c>
      <c r="J150" s="4" t="s">
        <v>120</v>
      </c>
    </row>
    <row r="151" spans="1:10" x14ac:dyDescent="0.25">
      <c r="A151" s="4">
        <f t="shared" ca="1" si="4"/>
        <v>148</v>
      </c>
      <c r="B151" s="4" t="s">
        <v>408</v>
      </c>
      <c r="C151" s="4" t="s">
        <v>409</v>
      </c>
      <c r="D151" s="4" t="s">
        <v>118</v>
      </c>
      <c r="E151" s="4" t="s">
        <v>66</v>
      </c>
      <c r="F151" s="4">
        <v>868.81299999999999</v>
      </c>
      <c r="G151" s="5">
        <v>95.514600000000002</v>
      </c>
      <c r="H151" s="5">
        <v>16.82</v>
      </c>
      <c r="I151" s="5">
        <v>3429</v>
      </c>
      <c r="J151" s="4" t="s">
        <v>120</v>
      </c>
    </row>
    <row r="152" spans="1:10" x14ac:dyDescent="0.25">
      <c r="A152" s="4">
        <f t="shared" ca="1" si="4"/>
        <v>149</v>
      </c>
      <c r="B152" s="4" t="s">
        <v>410</v>
      </c>
      <c r="C152" s="4" t="s">
        <v>411</v>
      </c>
      <c r="D152" s="4" t="s">
        <v>118</v>
      </c>
      <c r="E152" s="4" t="s">
        <v>66</v>
      </c>
      <c r="F152" s="4">
        <v>0.99874999999999992</v>
      </c>
      <c r="G152" s="5">
        <v>102.04870000000001</v>
      </c>
      <c r="H152" s="5">
        <v>4.7300000000000004</v>
      </c>
      <c r="I152" s="5">
        <v>3484</v>
      </c>
      <c r="J152" s="4" t="s">
        <v>120</v>
      </c>
    </row>
    <row r="153" spans="1:10" x14ac:dyDescent="0.25">
      <c r="A153" s="4">
        <f t="shared" ca="1" si="4"/>
        <v>150</v>
      </c>
      <c r="B153" s="4" t="s">
        <v>412</v>
      </c>
      <c r="C153" s="4" t="s">
        <v>71</v>
      </c>
      <c r="D153" s="4" t="s">
        <v>118</v>
      </c>
      <c r="E153" s="4" t="s">
        <v>66</v>
      </c>
      <c r="F153" s="4">
        <v>98.817000000000007</v>
      </c>
      <c r="G153" s="5">
        <v>98.817000000000007</v>
      </c>
      <c r="H153" s="5">
        <v>15.07</v>
      </c>
      <c r="I153" s="5">
        <v>30</v>
      </c>
      <c r="J153" s="4" t="s">
        <v>120</v>
      </c>
    </row>
    <row r="154" spans="1:10" x14ac:dyDescent="0.25">
      <c r="A154" s="4">
        <f t="shared" ca="1" si="4"/>
        <v>151</v>
      </c>
      <c r="B154" s="4" t="s">
        <v>413</v>
      </c>
      <c r="C154" s="4" t="s">
        <v>414</v>
      </c>
      <c r="D154" s="4" t="s">
        <v>123</v>
      </c>
      <c r="E154" s="4" t="s">
        <v>415</v>
      </c>
      <c r="F154" s="4">
        <v>355.94</v>
      </c>
      <c r="G154" s="5"/>
      <c r="H154" s="5"/>
      <c r="I154" s="5"/>
      <c r="J154" s="4" t="s">
        <v>125</v>
      </c>
    </row>
    <row r="155" spans="1:10" x14ac:dyDescent="0.25">
      <c r="A155" s="4">
        <f t="shared" ca="1" si="4"/>
        <v>152</v>
      </c>
      <c r="B155" s="4" t="s">
        <v>416</v>
      </c>
      <c r="C155" s="4" t="s">
        <v>417</v>
      </c>
      <c r="D155" s="4" t="s">
        <v>123</v>
      </c>
      <c r="E155" s="4" t="s">
        <v>415</v>
      </c>
      <c r="F155" s="4">
        <v>26.13</v>
      </c>
      <c r="G155" s="5"/>
      <c r="H155" s="5"/>
      <c r="I155" s="5"/>
      <c r="J155" s="4" t="s">
        <v>418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118</v>
      </c>
      <c r="E156" s="4" t="s">
        <v>415</v>
      </c>
      <c r="F156" s="4">
        <v>986.28200000000004</v>
      </c>
      <c r="G156" s="5">
        <v>104.0065</v>
      </c>
      <c r="H156" s="5">
        <v>17.96</v>
      </c>
      <c r="I156" s="5">
        <v>800</v>
      </c>
      <c r="J156" s="4" t="s">
        <v>120</v>
      </c>
    </row>
    <row r="157" spans="1:10" x14ac:dyDescent="0.25">
      <c r="A157" s="4">
        <f t="shared" ca="1" si="4"/>
        <v>154</v>
      </c>
      <c r="B157" s="4" t="s">
        <v>421</v>
      </c>
      <c r="C157" s="4" t="s">
        <v>422</v>
      </c>
      <c r="D157" s="4" t="s">
        <v>123</v>
      </c>
      <c r="E157" s="4" t="s">
        <v>423</v>
      </c>
      <c r="F157" s="4">
        <v>827.97</v>
      </c>
      <c r="G157" s="5"/>
      <c r="H157" s="5"/>
      <c r="I157" s="5"/>
      <c r="J157" s="4" t="s">
        <v>125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118</v>
      </c>
      <c r="E158" s="4" t="s">
        <v>426</v>
      </c>
      <c r="F158" s="4">
        <v>1.0033749999999999</v>
      </c>
      <c r="G158" s="5">
        <v>100.3708</v>
      </c>
      <c r="H158" s="5">
        <v>5.3</v>
      </c>
      <c r="I158" s="5">
        <v>180</v>
      </c>
      <c r="J158" s="4" t="s">
        <v>120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123</v>
      </c>
      <c r="E159" s="4" t="s">
        <v>429</v>
      </c>
      <c r="F159" s="4">
        <v>27700.6</v>
      </c>
      <c r="G159" s="5"/>
      <c r="H159" s="5"/>
      <c r="I159" s="5"/>
      <c r="J159" s="4" t="s">
        <v>125</v>
      </c>
    </row>
    <row r="160" spans="1:10" x14ac:dyDescent="0.25">
      <c r="A160" s="4">
        <f t="shared" ca="1" si="4"/>
        <v>157</v>
      </c>
      <c r="B160" s="4" t="s">
        <v>430</v>
      </c>
      <c r="C160" s="4" t="s">
        <v>431</v>
      </c>
      <c r="D160" s="4" t="s">
        <v>123</v>
      </c>
      <c r="E160" s="4" t="s">
        <v>432</v>
      </c>
      <c r="F160" s="4">
        <v>48945.59</v>
      </c>
      <c r="G160" s="5"/>
      <c r="H160" s="5"/>
      <c r="I160" s="5"/>
      <c r="J160" s="4" t="s">
        <v>125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123</v>
      </c>
      <c r="E161" s="4" t="s">
        <v>432</v>
      </c>
      <c r="F161" s="4">
        <v>88.55</v>
      </c>
      <c r="G161" s="5"/>
      <c r="H161" s="5"/>
      <c r="I161" s="5"/>
      <c r="J161" s="4" t="s">
        <v>418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123</v>
      </c>
      <c r="E162" s="4" t="s">
        <v>437</v>
      </c>
      <c r="F162" s="4">
        <v>5.85</v>
      </c>
      <c r="G162" s="5"/>
      <c r="H162" s="5"/>
      <c r="I162" s="5"/>
      <c r="J162" s="4" t="s">
        <v>418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123</v>
      </c>
      <c r="E163" s="4" t="s">
        <v>437</v>
      </c>
      <c r="F163" s="4">
        <v>800</v>
      </c>
      <c r="G163" s="5"/>
      <c r="H163" s="5"/>
      <c r="I163" s="5"/>
      <c r="J163" s="4" t="s">
        <v>125</v>
      </c>
    </row>
    <row r="164" spans="1:10" x14ac:dyDescent="0.25">
      <c r="A164" s="4">
        <f t="shared" ca="1" si="4"/>
        <v>161</v>
      </c>
      <c r="B164" s="4" t="s">
        <v>440</v>
      </c>
      <c r="C164" s="4" t="s">
        <v>441</v>
      </c>
      <c r="D164" s="4" t="s">
        <v>118</v>
      </c>
      <c r="E164" s="4" t="s">
        <v>105</v>
      </c>
      <c r="F164" s="4">
        <v>0.99866299999999997</v>
      </c>
      <c r="G164" s="5">
        <v>99.945700000000002</v>
      </c>
      <c r="H164" s="5">
        <v>6</v>
      </c>
      <c r="I164" s="5">
        <v>177</v>
      </c>
      <c r="J164" s="4" t="s">
        <v>120</v>
      </c>
    </row>
    <row r="165" spans="1:10" x14ac:dyDescent="0.25">
      <c r="A165" s="4">
        <f t="shared" ca="1" si="4"/>
        <v>162</v>
      </c>
      <c r="B165" s="4" t="s">
        <v>442</v>
      </c>
      <c r="C165" s="4" t="s">
        <v>443</v>
      </c>
      <c r="D165" s="4" t="s">
        <v>118</v>
      </c>
      <c r="E165" s="4" t="s">
        <v>105</v>
      </c>
      <c r="F165" s="4">
        <v>1000</v>
      </c>
      <c r="G165" s="5">
        <v>108.726</v>
      </c>
      <c r="H165" s="5">
        <v>17.5</v>
      </c>
      <c r="I165" s="5">
        <v>915</v>
      </c>
      <c r="J165" s="4" t="s">
        <v>120</v>
      </c>
    </row>
    <row r="166" spans="1:10" x14ac:dyDescent="0.25">
      <c r="A166" s="4">
        <f t="shared" ca="1" si="4"/>
        <v>163</v>
      </c>
      <c r="B166" s="4" t="s">
        <v>444</v>
      </c>
      <c r="C166" s="4" t="s">
        <v>106</v>
      </c>
      <c r="D166" s="4" t="s">
        <v>118</v>
      </c>
      <c r="E166" s="4" t="s">
        <v>105</v>
      </c>
      <c r="F166" s="4">
        <v>944.91883089001703</v>
      </c>
      <c r="G166" s="5">
        <v>95.365783089999994</v>
      </c>
      <c r="H166" s="5">
        <v>17.86</v>
      </c>
      <c r="I166" s="5">
        <v>709</v>
      </c>
      <c r="J166" s="4" t="s">
        <v>120</v>
      </c>
    </row>
    <row r="167" spans="1:10" x14ac:dyDescent="0.25">
      <c r="A167" s="4">
        <f t="shared" ca="1" si="4"/>
        <v>164</v>
      </c>
      <c r="B167" s="4" t="s">
        <v>445</v>
      </c>
      <c r="C167" s="4" t="s">
        <v>446</v>
      </c>
      <c r="D167" s="4" t="s">
        <v>118</v>
      </c>
      <c r="E167" s="4" t="s">
        <v>105</v>
      </c>
      <c r="F167" s="4">
        <v>1000</v>
      </c>
      <c r="G167" s="5">
        <v>101.3801</v>
      </c>
      <c r="H167" s="5">
        <v>16.23</v>
      </c>
      <c r="I167" s="5">
        <v>884</v>
      </c>
      <c r="J167" s="4" t="s">
        <v>120</v>
      </c>
    </row>
    <row r="168" spans="1:10" x14ac:dyDescent="0.25">
      <c r="A168" s="4">
        <f t="shared" ca="1" si="4"/>
        <v>165</v>
      </c>
      <c r="B168" s="4" t="s">
        <v>447</v>
      </c>
      <c r="C168" s="4" t="s">
        <v>448</v>
      </c>
      <c r="D168" s="4" t="s">
        <v>118</v>
      </c>
      <c r="E168" s="4" t="s">
        <v>449</v>
      </c>
      <c r="F168" s="4">
        <v>1.018613</v>
      </c>
      <c r="G168" s="5">
        <v>103.9353</v>
      </c>
      <c r="H168" s="5">
        <v>4.68</v>
      </c>
      <c r="I168" s="5">
        <v>957</v>
      </c>
      <c r="J168" s="4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2025-09-26T04:11:24Z</dcterms:created>
  <dcterms:modified xsi:type="dcterms:W3CDTF">2025-09-26T08:16:43Z</dcterms:modified>
</cp:coreProperties>
</file>