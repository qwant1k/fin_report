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E5B2837B-A0B9-4E13-9AB4-60550EABD08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ДУ" sheetId="1" r:id="rId1"/>
    <sheet name="комм" sheetId="3" r:id="rId2"/>
    <sheet name="Цены KASE" sheetId="2" r:id="rId3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G2" i="3"/>
  <c r="C2" i="3" l="1"/>
  <c r="B2" i="3"/>
  <c r="F2" i="3"/>
  <c r="E45" i="1" l="1"/>
  <c r="F63" i="1"/>
  <c r="F65" i="1"/>
  <c r="F66" i="1"/>
  <c r="F62" i="1"/>
  <c r="B45" i="1"/>
  <c r="B1" i="2"/>
  <c r="C70" i="1"/>
  <c r="G54" i="1"/>
  <c r="F54" i="1"/>
  <c r="E54" i="1"/>
  <c r="G43" i="1"/>
  <c r="F43" i="1"/>
  <c r="E43" i="1"/>
  <c r="M38" i="1"/>
  <c r="M36" i="1"/>
  <c r="H36" i="1"/>
  <c r="M35" i="1"/>
  <c r="H35" i="1"/>
  <c r="B29" i="1"/>
  <c r="L26" i="1"/>
  <c r="K26" i="1"/>
  <c r="H26" i="1"/>
  <c r="D26" i="1"/>
  <c r="Q1" i="1"/>
  <c r="M22" i="1" s="1"/>
  <c r="M11" i="1" l="1"/>
  <c r="M15" i="1"/>
  <c r="M19" i="1"/>
  <c r="M23" i="1"/>
  <c r="M8" i="1"/>
  <c r="M12" i="1"/>
  <c r="M16" i="1"/>
  <c r="M20" i="1"/>
  <c r="M24" i="1"/>
  <c r="M9" i="1"/>
  <c r="M13" i="1"/>
  <c r="M17" i="1"/>
  <c r="M21" i="1"/>
  <c r="M10" i="1"/>
  <c r="M14" i="1"/>
  <c r="M18" i="1"/>
  <c r="M26" i="1" l="1"/>
  <c r="E70" i="1" l="1"/>
  <c r="F64" i="1"/>
</calcChain>
</file>

<file path=xl/sharedStrings.xml><?xml version="1.0" encoding="utf-8"?>
<sst xmlns="http://schemas.openxmlformats.org/spreadsheetml/2006/main" count="174" uniqueCount="124">
  <si>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</si>
  <si>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</si>
  <si>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</si>
  <si>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</si>
  <si>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</si>
  <si>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</si>
  <si>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</si>
  <si>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</si>
  <si>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</si>
  <si>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</si>
  <si>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</si>
  <si>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</si>
  <si>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</si>
  <si>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</si>
  <si>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</si>
  <si>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</si>
  <si>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</si>
  <si>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</si>
  <si>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</si>
  <si>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</si>
  <si>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</si>
  <si>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</si>
  <si>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</si>
  <si>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</si>
  <si>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</si>
  <si>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</si>
  <si>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</si>
  <si>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</si>
  <si>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</si>
  <si>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</si>
  <si>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</si>
  <si>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</si>
  <si>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</si>
  <si>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</si>
  <si>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</si>
  <si>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</si>
  <si>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</si>
  <si>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</si>
  <si>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</si>
  <si>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</si>
  <si>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</si>
  <si>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</si>
  <si>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</si>
  <si>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</si>
  <si>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</si>
  <si>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</si>
  <si>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</si>
  <si>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</si>
  <si>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</si>
  <si>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</si>
  <si>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</si>
  <si>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</si>
  <si>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</si>
  <si>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</si>
  <si>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</si>
  <si>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</si>
  <si>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</si>
  <si>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</si>
  <si>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</si>
  <si>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</si>
  <si>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</si>
  <si>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</si>
  <si>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</si>
  <si>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</si>
  <si>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</si>
  <si>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</si>
  <si>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</si>
  <si>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KZKD00000717</t>
  </si>
  <si>
    <t>KZT</t>
  </si>
  <si>
    <t>29.08.2025</t>
  </si>
  <si>
    <t>02.09.2025</t>
  </si>
  <si>
    <t>KZ96601A861038102391</t>
  </si>
  <si>
    <t>KZKD00000444</t>
  </si>
  <si>
    <t>21.08.2025</t>
  </si>
  <si>
    <t>18.08.2026</t>
  </si>
  <si>
    <t>KZK200000687</t>
  </si>
  <si>
    <t>18.07.2024</t>
  </si>
  <si>
    <t>21.01.2026</t>
  </si>
  <si>
    <t>KZKD00001137</t>
  </si>
  <si>
    <t>12.04.2028</t>
  </si>
  <si>
    <t>KZKD00000949</t>
  </si>
  <si>
    <t>16.04.2032</t>
  </si>
  <si>
    <t>KZKD00000535</t>
  </si>
  <si>
    <t>27.03.2027</t>
  </si>
  <si>
    <t>KZKD00001129</t>
  </si>
  <si>
    <t>17.03.2031</t>
  </si>
  <si>
    <t>KZKD00001251</t>
  </si>
  <si>
    <t>13.03.2025</t>
  </si>
  <si>
    <t>07.03.2030</t>
  </si>
  <si>
    <t>KZKD00001087</t>
  </si>
  <si>
    <t>31.03.2029</t>
  </si>
  <si>
    <t>KZKD00000741</t>
  </si>
  <si>
    <t>12.05.2034</t>
  </si>
  <si>
    <t>KZKD00000790</t>
  </si>
  <si>
    <t>10.07.2025</t>
  </si>
  <si>
    <t>13.08.2029</t>
  </si>
  <si>
    <t>KZKD00000477</t>
  </si>
  <si>
    <t>24.07.2025</t>
  </si>
  <si>
    <t>19.10.2027</t>
  </si>
  <si>
    <t>KZKD00000832</t>
  </si>
  <si>
    <t>29.01.2035</t>
  </si>
  <si>
    <t>KZK100000373</t>
  </si>
  <si>
    <t>06.02.2026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</si>
  <si>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</si>
  <si>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</si>
  <si>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</si>
  <si>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</si>
  <si>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</si>
  <si>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</si>
  <si>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KZK200000760</t>
  </si>
  <si>
    <t>14.08.2025</t>
  </si>
  <si>
    <t>07.08.2029</t>
  </si>
  <si>
    <t>KZKD00001160</t>
  </si>
  <si>
    <t>28.07.2029</t>
  </si>
  <si>
    <t>31.08.2025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</si>
  <si>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</si>
  <si>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</si>
  <si>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</si>
  <si>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</si>
  <si>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КФГД</t>
  </si>
  <si>
    <t>Оплаченная комиссия ДУ за июль</t>
  </si>
  <si>
    <t>Фактическая комиссия  за июль</t>
  </si>
  <si>
    <t>Корректировка комиссии ДУ за август</t>
  </si>
  <si>
    <t>Комиссия ДУ за август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</si>
</sst>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_-* #,##0.0000\ _₸_-;\-* #,##0.0000\ _₸_-;_-* &quot;-&quot;????\ _₸_-;_-@_-"/>
    <numFmt numFmtId="172" formatCode="_-* #,##0.0000\ _₽_-;\-* #,##0.0000\ _₽_-;_-* &quot;-&quot;??\ _₽_-;_-@_-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2" fontId="6" fillId="0" borderId="0" xfId="0" applyNumberFormat="1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4" fontId="0" fillId="0" borderId="0" xfId="0" applyNumberFormat="1"/>
    <xf numFmtId="43" fontId="0" fillId="0" borderId="0" xfId="4" applyFont="1"/>
    <xf numFmtId="167" fontId="0" fillId="0" borderId="0" xfId="0" applyNumberFormat="1"/>
    <xf numFmtId="43" fontId="0" fillId="0" borderId="0" xfId="0" applyNumberFormat="1"/>
    <xf numFmtId="43" fontId="0" fillId="3" borderId="0" xfId="4" applyFont="1" applyFill="1"/>
    <xf numFmtId="168" fontId="3" fillId="4" borderId="0" xfId="0" applyNumberFormat="1" applyFont="1" applyFill="1"/>
    <xf numFmtId="171" fontId="0" fillId="0" borderId="0" xfId="0" applyNumberFormat="1"/>
    <xf numFmtId="172" fontId="0" fillId="0" borderId="0" xfId="0" applyNumberFormat="1"/>
    <xf numFmtId="168" fontId="0" fillId="0" borderId="0" xfId="0" applyNumberFormat="1"/>
  </cellXfs>
  <cellStyles count="5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  <cellStyle name="Финансовый 5" xfId="4" xr:uid="{FFA3D61D-8299-4ADC-9C61-8B6EB368A7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12</xdr:row>
      <xdr:rowOff>114300</xdr:rowOff>
    </xdr:from>
    <xdr:to>
      <xdr:col>4</xdr:col>
      <xdr:colOff>1086778</xdr:colOff>
      <xdr:row>53</xdr:row>
      <xdr:rowOff>58232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A6A0839-F10D-4753-B46A-1A38F64C2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590800"/>
          <a:ext cx="6649378" cy="7754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opLeftCell="A35" workbookViewId="0">
      <selection activeCell="E70" sqref="E70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25469912705.932232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1106600</v>
      </c>
      <c r="D8" s="15">
        <v>1106600000</v>
      </c>
      <c r="E8" s="16">
        <v>5.5</v>
      </c>
      <c r="F8" s="17" t="s">
        <v>73</v>
      </c>
      <c r="G8" s="17" t="s">
        <v>74</v>
      </c>
      <c r="H8" s="16">
        <v>999478906.79999995</v>
      </c>
      <c r="I8" s="18"/>
      <c r="J8" s="18"/>
      <c r="K8" s="16">
        <v>2028766.67</v>
      </c>
      <c r="L8" s="16">
        <v>1000786170.27</v>
      </c>
      <c r="M8" s="19">
        <f t="shared" ref="M8:M24" si="0">L8/$Q$1</f>
        <v>3.9292877907544044E-2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2530000</v>
      </c>
      <c r="D9" s="15">
        <v>2530000000</v>
      </c>
      <c r="E9" s="16">
        <v>10.67</v>
      </c>
      <c r="F9" s="17" t="s">
        <v>76</v>
      </c>
      <c r="G9" s="17" t="s">
        <v>77</v>
      </c>
      <c r="H9" s="16">
        <v>2455119589.9966769</v>
      </c>
      <c r="I9" s="18"/>
      <c r="J9" s="18"/>
      <c r="K9" s="16">
        <v>29244691.66666666</v>
      </c>
      <c r="L9" s="16">
        <v>2506840801.666666</v>
      </c>
      <c r="M9" s="19">
        <f t="shared" si="0"/>
        <v>9.8423611836046629E-2</v>
      </c>
      <c r="O9" s="8">
        <v>749863.88888888899</v>
      </c>
    </row>
    <row r="10" spans="1:17" x14ac:dyDescent="0.2">
      <c r="A10" s="13" t="s">
        <v>66</v>
      </c>
      <c r="B10" s="13" t="s">
        <v>78</v>
      </c>
      <c r="C10" s="14">
        <v>1897500</v>
      </c>
      <c r="D10" s="15">
        <v>1897500000</v>
      </c>
      <c r="E10" s="16">
        <v>10.4</v>
      </c>
      <c r="F10" s="17" t="s">
        <v>76</v>
      </c>
      <c r="G10" s="17" t="s">
        <v>79</v>
      </c>
      <c r="H10" s="16">
        <v>1736743800</v>
      </c>
      <c r="I10" s="18"/>
      <c r="J10" s="18"/>
      <c r="K10" s="16">
        <v>75647000</v>
      </c>
      <c r="L10" s="16">
        <v>1713491202.5</v>
      </c>
      <c r="M10" s="19">
        <f t="shared" si="0"/>
        <v>6.7275110923364426E-2</v>
      </c>
      <c r="O10" s="8">
        <v>749863.88888888899</v>
      </c>
    </row>
    <row r="11" spans="1:17" x14ac:dyDescent="0.2">
      <c r="A11" s="13" t="s">
        <v>66</v>
      </c>
      <c r="B11" s="13" t="s">
        <v>80</v>
      </c>
      <c r="C11" s="14">
        <v>1897500</v>
      </c>
      <c r="D11" s="15">
        <v>1897500000</v>
      </c>
      <c r="E11" s="16">
        <v>8.4499999999999993</v>
      </c>
      <c r="F11" s="17" t="s">
        <v>76</v>
      </c>
      <c r="G11" s="17" t="s">
        <v>81</v>
      </c>
      <c r="H11" s="16">
        <v>1457889097.496666</v>
      </c>
      <c r="I11" s="18"/>
      <c r="J11" s="18"/>
      <c r="K11" s="16">
        <v>59681645.833333328</v>
      </c>
      <c r="L11" s="16">
        <v>1346674303.333333</v>
      </c>
      <c r="M11" s="19">
        <f t="shared" si="0"/>
        <v>5.2873141690025396E-2</v>
      </c>
      <c r="O11" s="8">
        <v>749863.88888888899</v>
      </c>
    </row>
    <row r="12" spans="1:17" x14ac:dyDescent="0.2">
      <c r="A12" s="13" t="s">
        <v>66</v>
      </c>
      <c r="B12" s="13" t="s">
        <v>82</v>
      </c>
      <c r="C12" s="14">
        <v>3162500</v>
      </c>
      <c r="D12" s="15">
        <v>3162500000</v>
      </c>
      <c r="E12" s="16">
        <v>5.49</v>
      </c>
      <c r="F12" s="17" t="s">
        <v>76</v>
      </c>
      <c r="G12" s="17" t="s">
        <v>83</v>
      </c>
      <c r="H12" s="16">
        <v>2627740225</v>
      </c>
      <c r="I12" s="18"/>
      <c r="J12" s="18"/>
      <c r="K12" s="16">
        <v>73789031.25</v>
      </c>
      <c r="L12" s="16">
        <v>2752489781.25</v>
      </c>
      <c r="M12" s="19">
        <f t="shared" si="0"/>
        <v>0.10806828484374482</v>
      </c>
      <c r="O12" s="8">
        <v>749863.88888888899</v>
      </c>
    </row>
    <row r="13" spans="1:17" x14ac:dyDescent="0.2">
      <c r="A13" s="13" t="s">
        <v>66</v>
      </c>
      <c r="B13" s="13" t="s">
        <v>84</v>
      </c>
      <c r="C13" s="14">
        <v>1897500</v>
      </c>
      <c r="D13" s="15">
        <v>1897500000</v>
      </c>
      <c r="E13" s="16">
        <v>10.3</v>
      </c>
      <c r="F13" s="17" t="s">
        <v>76</v>
      </c>
      <c r="G13" s="17" t="s">
        <v>85</v>
      </c>
      <c r="H13" s="16">
        <v>1645329839.996666</v>
      </c>
      <c r="I13" s="18"/>
      <c r="J13" s="18"/>
      <c r="K13" s="16">
        <v>88492020.833333328</v>
      </c>
      <c r="L13" s="16">
        <v>1553722545.833333</v>
      </c>
      <c r="M13" s="19">
        <f t="shared" si="0"/>
        <v>6.1002272122882201E-2</v>
      </c>
      <c r="O13" s="8">
        <v>749863.88888888899</v>
      </c>
    </row>
    <row r="14" spans="1:17" x14ac:dyDescent="0.2">
      <c r="A14" s="13" t="s">
        <v>66</v>
      </c>
      <c r="B14" s="13" t="s">
        <v>86</v>
      </c>
      <c r="C14" s="14">
        <v>550000</v>
      </c>
      <c r="D14" s="15">
        <v>550000000</v>
      </c>
      <c r="E14" s="16">
        <v>12</v>
      </c>
      <c r="F14" s="17" t="s">
        <v>87</v>
      </c>
      <c r="G14" s="17" t="s">
        <v>88</v>
      </c>
      <c r="H14" s="16">
        <v>491343050</v>
      </c>
      <c r="I14" s="18"/>
      <c r="J14" s="18"/>
      <c r="K14" s="16">
        <v>31716666.66666666</v>
      </c>
      <c r="L14" s="16">
        <v>498632016.66666698</v>
      </c>
      <c r="M14" s="19">
        <f t="shared" si="0"/>
        <v>1.9577295863700779E-2</v>
      </c>
      <c r="O14" s="8">
        <v>749863.88888888899</v>
      </c>
    </row>
    <row r="15" spans="1:17" x14ac:dyDescent="0.2">
      <c r="A15" s="13" t="s">
        <v>66</v>
      </c>
      <c r="B15" s="13" t="s">
        <v>89</v>
      </c>
      <c r="C15" s="14">
        <v>1897500</v>
      </c>
      <c r="D15" s="15">
        <v>1897500000</v>
      </c>
      <c r="E15" s="16">
        <v>11</v>
      </c>
      <c r="F15" s="17" t="s">
        <v>76</v>
      </c>
      <c r="G15" s="17" t="s">
        <v>90</v>
      </c>
      <c r="H15" s="16">
        <v>1743261712.5</v>
      </c>
      <c r="I15" s="18"/>
      <c r="J15" s="18"/>
      <c r="K15" s="16">
        <v>86968750</v>
      </c>
      <c r="L15" s="16">
        <v>1688576395</v>
      </c>
      <c r="M15" s="19">
        <f t="shared" si="0"/>
        <v>6.6296905470222184E-2</v>
      </c>
      <c r="O15" s="8">
        <v>749863.88888888899</v>
      </c>
    </row>
    <row r="16" spans="1:17" x14ac:dyDescent="0.2">
      <c r="A16" s="13" t="s">
        <v>66</v>
      </c>
      <c r="B16" s="13" t="s">
        <v>91</v>
      </c>
      <c r="C16" s="14">
        <v>1897500</v>
      </c>
      <c r="D16" s="15">
        <v>1897500000</v>
      </c>
      <c r="E16" s="16">
        <v>8.07</v>
      </c>
      <c r="F16" s="17" t="s">
        <v>76</v>
      </c>
      <c r="G16" s="17" t="s">
        <v>92</v>
      </c>
      <c r="H16" s="16">
        <v>1359122325</v>
      </c>
      <c r="I16" s="18"/>
      <c r="J16" s="18"/>
      <c r="K16" s="16">
        <v>45938475</v>
      </c>
      <c r="L16" s="16">
        <v>1213483507.5</v>
      </c>
      <c r="M16" s="19">
        <f t="shared" si="0"/>
        <v>4.764380316142057E-2</v>
      </c>
      <c r="O16" s="8">
        <v>749863.88888888899</v>
      </c>
    </row>
    <row r="17" spans="1:15" x14ac:dyDescent="0.2">
      <c r="A17" s="13" t="s">
        <v>66</v>
      </c>
      <c r="B17" s="13" t="s">
        <v>93</v>
      </c>
      <c r="C17" s="14">
        <v>2469500</v>
      </c>
      <c r="D17" s="15">
        <v>2469500000</v>
      </c>
      <c r="E17" s="16">
        <v>7.68</v>
      </c>
      <c r="F17" s="17" t="s">
        <v>94</v>
      </c>
      <c r="G17" s="17" t="s">
        <v>95</v>
      </c>
      <c r="H17" s="16">
        <v>1827657194</v>
      </c>
      <c r="I17" s="18"/>
      <c r="J17" s="18"/>
      <c r="K17" s="16">
        <v>8956053.3333333302</v>
      </c>
      <c r="L17" s="16">
        <v>1849671963.333333</v>
      </c>
      <c r="M17" s="19">
        <f t="shared" si="0"/>
        <v>7.2621841491530642E-2</v>
      </c>
      <c r="O17" s="8">
        <v>749863.88888888899</v>
      </c>
    </row>
    <row r="18" spans="1:15" x14ac:dyDescent="0.2">
      <c r="A18" s="13" t="s">
        <v>66</v>
      </c>
      <c r="B18" s="13" t="s">
        <v>96</v>
      </c>
      <c r="C18" s="14">
        <v>2391500</v>
      </c>
      <c r="D18" s="15">
        <v>2391500000</v>
      </c>
      <c r="E18" s="16">
        <v>5.3</v>
      </c>
      <c r="F18" s="17" t="s">
        <v>97</v>
      </c>
      <c r="G18" s="17" t="s">
        <v>98</v>
      </c>
      <c r="H18" s="16">
        <v>1903079172</v>
      </c>
      <c r="I18" s="18"/>
      <c r="J18" s="18"/>
      <c r="K18" s="16">
        <v>109497484.72</v>
      </c>
      <c r="L18" s="16">
        <v>2020497304.7199991</v>
      </c>
      <c r="M18" s="19">
        <f t="shared" si="0"/>
        <v>7.9328787972225839E-2</v>
      </c>
      <c r="O18" s="8">
        <v>749863.88888888899</v>
      </c>
    </row>
    <row r="19" spans="1:15" x14ac:dyDescent="0.2">
      <c r="A19" s="13" t="s">
        <v>66</v>
      </c>
      <c r="B19" s="13" t="s">
        <v>99</v>
      </c>
      <c r="C19" s="14">
        <v>1897500</v>
      </c>
      <c r="D19" s="15">
        <v>1897500000</v>
      </c>
      <c r="E19" s="16">
        <v>8.07</v>
      </c>
      <c r="F19" s="17" t="s">
        <v>76</v>
      </c>
      <c r="G19" s="17" t="s">
        <v>100</v>
      </c>
      <c r="H19" s="16">
        <v>1338524962.5</v>
      </c>
      <c r="I19" s="18"/>
      <c r="J19" s="18"/>
      <c r="K19" s="16">
        <v>89750168.75</v>
      </c>
      <c r="L19" s="16">
        <v>1230506296.25</v>
      </c>
      <c r="M19" s="19">
        <f t="shared" si="0"/>
        <v>4.8312152085366239E-2</v>
      </c>
      <c r="O19" s="8">
        <v>749863.88888888899</v>
      </c>
    </row>
    <row r="20" spans="1:15" x14ac:dyDescent="0.2">
      <c r="A20" s="13" t="s">
        <v>66</v>
      </c>
      <c r="B20" s="13" t="s">
        <v>101</v>
      </c>
      <c r="C20" s="14">
        <v>11424000</v>
      </c>
      <c r="D20" s="15">
        <v>1142400000</v>
      </c>
      <c r="E20" s="16">
        <v>0</v>
      </c>
      <c r="F20" s="17" t="s">
        <v>87</v>
      </c>
      <c r="G20" s="17" t="s">
        <v>102</v>
      </c>
      <c r="H20" s="16">
        <v>1003902278.4</v>
      </c>
      <c r="I20" s="18"/>
      <c r="J20" s="18"/>
      <c r="K20" s="16"/>
      <c r="L20" s="16">
        <v>1066777689.6</v>
      </c>
      <c r="M20" s="19">
        <f t="shared" si="0"/>
        <v>4.188383768396408E-2</v>
      </c>
      <c r="O20" s="8">
        <v>749863.88888888899</v>
      </c>
    </row>
    <row r="21" spans="1:15" x14ac:dyDescent="0.2">
      <c r="A21" s="13" t="s">
        <v>66</v>
      </c>
      <c r="B21" s="13" t="s">
        <v>103</v>
      </c>
      <c r="C21" s="14">
        <v>1897500</v>
      </c>
      <c r="D21" s="15">
        <v>1897500000</v>
      </c>
      <c r="E21" s="16">
        <v>10.65</v>
      </c>
      <c r="F21" s="17" t="s">
        <v>76</v>
      </c>
      <c r="G21" s="17" t="s">
        <v>104</v>
      </c>
      <c r="H21" s="16">
        <v>1648500562.5</v>
      </c>
      <c r="I21" s="18"/>
      <c r="J21" s="18"/>
      <c r="K21" s="16">
        <v>19085687.5</v>
      </c>
      <c r="L21" s="16">
        <v>1457068112.5</v>
      </c>
      <c r="M21" s="19">
        <f t="shared" si="0"/>
        <v>5.7207424670938596E-2</v>
      </c>
      <c r="O21" s="8">
        <v>749863.88888888899</v>
      </c>
    </row>
    <row r="22" spans="1:15" x14ac:dyDescent="0.2">
      <c r="A22" s="13" t="s">
        <v>105</v>
      </c>
      <c r="B22" s="13" t="s">
        <v>106</v>
      </c>
      <c r="C22" s="14">
        <v>992234</v>
      </c>
      <c r="D22" s="15">
        <v>992234000</v>
      </c>
      <c r="E22" s="16">
        <v>14.3</v>
      </c>
      <c r="F22" s="17" t="s">
        <v>107</v>
      </c>
      <c r="G22" s="17" t="s">
        <v>108</v>
      </c>
      <c r="H22" s="16">
        <v>991722999.49000001</v>
      </c>
      <c r="I22" s="18"/>
      <c r="J22" s="18"/>
      <c r="K22" s="16">
        <v>140707049.813333</v>
      </c>
      <c r="L22" s="16">
        <v>1066531495.825572</v>
      </c>
      <c r="M22" s="19">
        <f t="shared" si="0"/>
        <v>4.1874171621215046E-2</v>
      </c>
      <c r="O22" s="8">
        <v>749863.88888888899</v>
      </c>
    </row>
    <row r="23" spans="1:15" x14ac:dyDescent="0.2">
      <c r="A23" s="13" t="s">
        <v>66</v>
      </c>
      <c r="B23" s="13" t="s">
        <v>109</v>
      </c>
      <c r="C23" s="14">
        <v>897100</v>
      </c>
      <c r="D23" s="15">
        <v>897100000</v>
      </c>
      <c r="E23" s="16">
        <v>17.010000000000002</v>
      </c>
      <c r="F23" s="17" t="s">
        <v>110</v>
      </c>
      <c r="G23" s="17" t="s">
        <v>111</v>
      </c>
      <c r="H23" s="16">
        <v>896985171.20000005</v>
      </c>
      <c r="I23" s="18"/>
      <c r="J23" s="18"/>
      <c r="K23" s="16">
        <v>9749234.25</v>
      </c>
      <c r="L23" s="16">
        <v>922145686.35000002</v>
      </c>
      <c r="M23" s="19">
        <f t="shared" si="0"/>
        <v>3.620529434069171E-2</v>
      </c>
      <c r="O23" s="8">
        <v>749863.88888888899</v>
      </c>
    </row>
    <row r="24" spans="1:15" x14ac:dyDescent="0.2">
      <c r="A24" s="13" t="s">
        <v>66</v>
      </c>
      <c r="B24" s="13" t="s">
        <v>112</v>
      </c>
      <c r="C24" s="14">
        <v>1897500</v>
      </c>
      <c r="D24" s="15">
        <v>1897500000</v>
      </c>
      <c r="E24" s="16">
        <v>10.55</v>
      </c>
      <c r="F24" s="17" t="s">
        <v>76</v>
      </c>
      <c r="G24" s="17" t="s">
        <v>113</v>
      </c>
      <c r="H24" s="16">
        <v>1708326839.9966669</v>
      </c>
      <c r="I24" s="18"/>
      <c r="J24" s="18"/>
      <c r="K24" s="16">
        <v>17794333.333333328</v>
      </c>
      <c r="L24" s="16">
        <v>1582017433.333333</v>
      </c>
      <c r="M24" s="19">
        <f t="shared" si="0"/>
        <v>6.211318631511694E-2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889047059.61999977</v>
      </c>
      <c r="L26" s="21">
        <f>SUM(L8:L25)</f>
        <v>25469912705.932232</v>
      </c>
      <c r="M26" s="24">
        <f>SUM(M8:M25)</f>
        <v>1.0000000000000002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1002195.42</v>
      </c>
    </row>
    <row r="30" spans="1:15" x14ac:dyDescent="0.2">
      <c r="A30" s="27" t="s">
        <v>71</v>
      </c>
      <c r="B30" s="28">
        <v>1002195.42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13475</v>
      </c>
      <c r="D35" s="30" t="s">
        <v>68</v>
      </c>
      <c r="E35" s="32" t="s">
        <v>69</v>
      </c>
      <c r="F35" s="32" t="s">
        <v>70</v>
      </c>
      <c r="G35" s="33">
        <v>816.67600000000004</v>
      </c>
      <c r="H35" s="33">
        <f>J35/C35</f>
        <v>818.0954857142857</v>
      </c>
      <c r="I35" s="34">
        <v>11004709.1</v>
      </c>
      <c r="J35" s="34">
        <v>11023836.67</v>
      </c>
      <c r="K35" s="35">
        <v>15.8604</v>
      </c>
      <c r="L35" s="35">
        <v>9563.7849999999999</v>
      </c>
      <c r="M35" s="29">
        <f>I35+L35</f>
        <v>11014272.885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2355675</v>
      </c>
      <c r="D36" s="30" t="s">
        <v>68</v>
      </c>
      <c r="E36" s="32" t="s">
        <v>69</v>
      </c>
      <c r="F36" s="32" t="s">
        <v>70</v>
      </c>
      <c r="G36" s="33">
        <v>816.67600000000004</v>
      </c>
      <c r="H36" s="33">
        <f>J36/C36</f>
        <v>818.09548581192223</v>
      </c>
      <c r="I36" s="34">
        <v>1923823236.3</v>
      </c>
      <c r="J36" s="34">
        <v>1927167083.54</v>
      </c>
      <c r="K36" s="35">
        <v>15.8604</v>
      </c>
      <c r="L36" s="35">
        <v>1671923.62</v>
      </c>
      <c r="M36" s="29">
        <f>I36+L36</f>
        <v>1925495159.9199998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1936509432.8049998</v>
      </c>
      <c r="O38" s="39"/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L26+M38+B30</f>
        <v>27407424334.15723</v>
      </c>
      <c r="D45" s="7">
        <v>27407424334.159458</v>
      </c>
      <c r="E45" s="58">
        <f>__mdDATAItogoActive__-D45</f>
        <v>-2.227783203125E-3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9" t="s">
        <v>48</v>
      </c>
      <c r="B50" s="59"/>
      <c r="C50" s="59"/>
      <c r="D50" s="59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9" t="s">
        <v>49</v>
      </c>
      <c r="B56" s="59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E58" s="7" t="s">
        <v>119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-4.49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414592.8</v>
      </c>
      <c r="D62" s="22"/>
      <c r="E62" s="9">
        <v>414592.8041769932</v>
      </c>
      <c r="F62" s="9">
        <f>C62-E62</f>
        <v>-4.1769932140596211E-3</v>
      </c>
      <c r="G62" s="9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E63" s="9"/>
      <c r="F63" s="9">
        <f t="shared" ref="F63:F66" si="1">C63-E63</f>
        <v>0</v>
      </c>
      <c r="G63" s="9"/>
      <c r="O63" s="7"/>
    </row>
    <row r="64" spans="1:15" ht="22.5" x14ac:dyDescent="0.2">
      <c r="A64" s="22">
        <v>5</v>
      </c>
      <c r="B64" s="56" t="s">
        <v>57</v>
      </c>
      <c r="C64" s="55">
        <v>0</v>
      </c>
      <c r="D64" s="22"/>
      <c r="E64" s="9">
        <v>364337.71</v>
      </c>
      <c r="F64" s="9">
        <f t="shared" si="1"/>
        <v>-364337.71</v>
      </c>
      <c r="G64" s="9"/>
      <c r="O64" s="7"/>
    </row>
    <row r="65" spans="1:15" x14ac:dyDescent="0.2">
      <c r="A65" s="22">
        <v>6</v>
      </c>
      <c r="B65" s="53" t="s">
        <v>58</v>
      </c>
      <c r="C65" s="55">
        <v>136644.38</v>
      </c>
      <c r="D65" s="55"/>
      <c r="E65" s="9">
        <v>136644.38000000009</v>
      </c>
      <c r="F65" s="9">
        <f t="shared" si="1"/>
        <v>0</v>
      </c>
      <c r="G65" s="9"/>
      <c r="O65" s="7"/>
    </row>
    <row r="66" spans="1:15" x14ac:dyDescent="0.2">
      <c r="A66" s="22">
        <v>7</v>
      </c>
      <c r="B66" s="53" t="s">
        <v>59</v>
      </c>
      <c r="C66" s="55">
        <v>258729.08</v>
      </c>
      <c r="D66" s="55"/>
      <c r="E66" s="9">
        <v>258729.0800000001</v>
      </c>
      <c r="F66" s="9">
        <f t="shared" si="1"/>
        <v>0</v>
      </c>
      <c r="G66" s="9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60" t="s">
        <v>63</v>
      </c>
      <c r="B70" s="60"/>
      <c r="C70" s="57">
        <f>SUM(C60:C69)</f>
        <v>809961.7699999999</v>
      </c>
      <c r="D70" s="53"/>
      <c r="E70" s="9">
        <f>SUM(E59:E69)</f>
        <v>1174303.9741769934</v>
      </c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F810-D59B-4859-B63E-1E0267E8CFE5}">
  <dimension ref="A1:H20"/>
  <sheetViews>
    <sheetView tabSelected="1" workbookViewId="0">
      <selection activeCell="G8" sqref="G8"/>
    </sheetView>
  </sheetViews>
  <sheetFormatPr defaultRowHeight="15" x14ac:dyDescent="0.25"/>
  <cols>
    <col min="1" max="7" width="22" customWidth="1"/>
    <col min="8" max="8" width="14.5703125" bestFit="1" customWidth="1"/>
    <col min="9" max="9" width="16" bestFit="1" customWidth="1"/>
  </cols>
  <sheetData>
    <row r="1" spans="1:8" s="61" customFormat="1" ht="30" x14ac:dyDescent="0.25">
      <c r="A1" s="61" t="s">
        <v>115</v>
      </c>
      <c r="B1" s="61" t="s">
        <v>116</v>
      </c>
      <c r="C1" s="61" t="s">
        <v>117</v>
      </c>
      <c r="D1" s="61" t="s">
        <v>120</v>
      </c>
      <c r="E1" s="61" t="s">
        <v>121</v>
      </c>
      <c r="F1" s="61" t="s">
        <v>122</v>
      </c>
      <c r="G1" s="61" t="s">
        <v>123</v>
      </c>
      <c r="H1" s="61" t="s">
        <v>118</v>
      </c>
    </row>
    <row r="2" spans="1:8" x14ac:dyDescent="0.25">
      <c r="A2" s="62">
        <v>27346020367.369999</v>
      </c>
      <c r="B2" s="63">
        <f>ДУ!E70</f>
        <v>1174303.9741769934</v>
      </c>
      <c r="C2" s="63">
        <f>A2*0.1%/12</f>
        <v>2278835.0306141665</v>
      </c>
      <c r="D2" s="64">
        <v>2270239.85278848</v>
      </c>
      <c r="E2" s="65">
        <v>2270242.713599612</v>
      </c>
      <c r="F2" s="66">
        <f>E2-D2</f>
        <v>2.8608111320063472</v>
      </c>
      <c r="G2" s="66">
        <f>(A2-B2-C2)*0.1%/12</f>
        <v>2278547.2690304341</v>
      </c>
      <c r="H2" s="67">
        <f>G2+F2</f>
        <v>2278550.1298415661</v>
      </c>
    </row>
    <row r="3" spans="1:8" x14ac:dyDescent="0.25">
      <c r="A3" s="62"/>
      <c r="D3" s="68"/>
      <c r="E3" s="62"/>
      <c r="F3" s="62"/>
      <c r="G3" s="62"/>
      <c r="H3" s="62"/>
    </row>
    <row r="4" spans="1:8" x14ac:dyDescent="0.25">
      <c r="A4" s="62"/>
      <c r="D4" s="68"/>
      <c r="F4" s="68"/>
      <c r="G4" s="69"/>
      <c r="H4" s="69"/>
    </row>
    <row r="5" spans="1:8" x14ac:dyDescent="0.25">
      <c r="E5" s="68"/>
    </row>
    <row r="8" spans="1:8" x14ac:dyDescent="0.25">
      <c r="F8" s="68"/>
    </row>
    <row r="11" spans="1:8" x14ac:dyDescent="0.25">
      <c r="E11" s="70"/>
    </row>
    <row r="12" spans="1:8" x14ac:dyDescent="0.25">
      <c r="E12" s="62"/>
    </row>
    <row r="13" spans="1:8" x14ac:dyDescent="0.25">
      <c r="E13" s="62"/>
    </row>
    <row r="14" spans="1:8" x14ac:dyDescent="0.25">
      <c r="E14" s="62"/>
    </row>
    <row r="15" spans="1:8" x14ac:dyDescent="0.25">
      <c r="E15" s="62"/>
    </row>
    <row r="16" spans="1:8" x14ac:dyDescent="0.25">
      <c r="E16" s="62"/>
    </row>
    <row r="17" spans="5:5" x14ac:dyDescent="0.25">
      <c r="E17" s="62"/>
    </row>
    <row r="18" spans="5:5" x14ac:dyDescent="0.25">
      <c r="E18" s="62"/>
    </row>
    <row r="19" spans="5:5" x14ac:dyDescent="0.25">
      <c r="E19" s="62"/>
    </row>
    <row r="20" spans="5:5" x14ac:dyDescent="0.25">
      <c r="E20" s="6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31.08.2025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7</vt:i4>
      </vt:variant>
    </vt:vector>
  </HeadingPairs>
  <TitlesOfParts>
    <vt:vector size="10" baseType="lpstr">
      <vt:lpstr>ДУ</vt:lpstr>
      <vt:lpstr>комм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dcterms:created xsi:type="dcterms:W3CDTF">2025-09-02T05:37:26Z</dcterms:created>
  <dcterms:modified xsi:type="dcterms:W3CDTF">2025-09-03T11:17:52Z</dcterms:modified>
</cp:coreProperties>
</file>