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"/>
    </mc:Choice>
  </mc:AlternateContent>
  <xr:revisionPtr revIDLastSave="0" documentId="13_ncr:1_{F3378380-C818-4A99-AFD5-8E56E22044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externalReferences>
    <externalReference r:id="rId3"/>
  </externalReferences>
  <definedNames>
    <definedName name="__mdDATACDebt__">ДУ!#REF!</definedName>
    <definedName name="__mdDATACommission__">ДУ!$C$63:$C$72</definedName>
    <definedName name="__mdDATACurrency__">ДУ!$28:$30</definedName>
    <definedName name="__mdDATADDebt__">ДУ!#REF!</definedName>
    <definedName name="__mdDATAHead__">ДУ!$B$2</definedName>
    <definedName name="__mdDATAItogoActive__">ДУ!$B$48</definedName>
    <definedName name="__mdDATAMarketPrice__">'Цены KASE'!$4:$4</definedName>
    <definedName name="__mdDATAMoney__">ДУ!$29:$29</definedName>
    <definedName name="__mdDATARepo__">ДУ!$34:$34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6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B1" i="2"/>
  <c r="C73" i="1"/>
  <c r="G57" i="1"/>
  <c r="F57" i="1"/>
  <c r="E57" i="1"/>
  <c r="G46" i="1"/>
  <c r="F46" i="1"/>
  <c r="E46" i="1"/>
  <c r="M41" i="1"/>
  <c r="M39" i="1"/>
  <c r="H39" i="1"/>
  <c r="M38" i="1"/>
  <c r="H38" i="1"/>
  <c r="M37" i="1"/>
  <c r="H37" i="1"/>
  <c r="M36" i="1"/>
  <c r="H36" i="1"/>
  <c r="M35" i="1"/>
  <c r="H35" i="1"/>
  <c r="M34" i="1"/>
  <c r="H34" i="1"/>
  <c r="B28" i="1"/>
  <c r="L25" i="1"/>
  <c r="K25" i="1"/>
  <c r="H25" i="1"/>
  <c r="D25" i="1"/>
  <c r="M21" i="1"/>
  <c r="M18" i="1"/>
  <c r="M13" i="1"/>
  <c r="M10" i="1"/>
  <c r="Q1" i="1"/>
  <c r="M20" i="1" s="1"/>
  <c r="M22" i="1" l="1"/>
  <c r="M14" i="1"/>
  <c r="M9" i="1"/>
  <c r="M17" i="1"/>
  <c r="M11" i="1"/>
  <c r="M15" i="1"/>
  <c r="M19" i="1"/>
  <c r="M23" i="1"/>
  <c r="M8" i="1"/>
  <c r="M12" i="1"/>
  <c r="M16" i="1"/>
  <c r="M25" i="1" l="1"/>
</calcChain>
</file>

<file path=xl/sharedStrings.xml><?xml version="1.0" encoding="utf-8"?>
<sst xmlns="http://schemas.openxmlformats.org/spreadsheetml/2006/main" count="1051" uniqueCount="469">
  <si>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</si>
  <si>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</si>
  <si>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</si>
  <si>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</si>
  <si>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</si>
  <si>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</si>
  <si>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</si>
  <si>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</si>
  <si>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</si>
  <si>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</si>
  <si>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</si>
  <si>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</si>
  <si>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</si>
  <si>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</si>
  <si>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</si>
  <si>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</si>
  <si>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</si>
  <si>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</si>
  <si>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</si>
  <si>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</si>
  <si>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</si>
  <si>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</si>
  <si>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</si>
  <si>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</si>
  <si>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</si>
  <si>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</si>
  <si>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</si>
  <si>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</si>
  <si>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</si>
  <si>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</si>
  <si>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</si>
  <si>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</si>
  <si>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</si>
  <si>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</si>
  <si>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</si>
  <si>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</si>
  <si>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</si>
  <si>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</si>
  <si>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</si>
  <si>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</si>
  <si>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</si>
  <si>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</si>
  <si>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</si>
  <si>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</si>
  <si>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</si>
  <si>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</si>
  <si>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</si>
  <si>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</si>
  <si>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</si>
  <si>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</si>
  <si>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</si>
  <si>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</si>
  <si>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</si>
  <si>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</si>
  <si>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</si>
  <si>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</si>
  <si>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</si>
  <si>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</si>
  <si>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</si>
  <si>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</si>
  <si>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</si>
  <si>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</si>
  <si>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</si>
  <si>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</si>
  <si>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</si>
  <si>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</si>
  <si>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</si>
  <si>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KZKD00000899</t>
  </si>
  <si>
    <t>KZT</t>
  </si>
  <si>
    <t>19.08.2025</t>
  </si>
  <si>
    <t>20.08.2025</t>
  </si>
  <si>
    <t>KZKD00001095</t>
  </si>
  <si>
    <t>21.08.2025</t>
  </si>
  <si>
    <t>XS2914770545</t>
  </si>
  <si>
    <t>XS1120709826</t>
  </si>
  <si>
    <t>KZ96601A861038102391</t>
  </si>
  <si>
    <t>KZKD00001137</t>
  </si>
  <si>
    <t>18.07.2024</t>
  </si>
  <si>
    <t>12.04.2028</t>
  </si>
  <si>
    <t>KZKD00000949</t>
  </si>
  <si>
    <t>16.04.2032</t>
  </si>
  <si>
    <t>KZKD00001152</t>
  </si>
  <si>
    <t>26.07.2032</t>
  </si>
  <si>
    <t>KZKD00000832</t>
  </si>
  <si>
    <t>29.01.2035</t>
  </si>
  <si>
    <t>KZK200000687</t>
  </si>
  <si>
    <t>21.01.2026</t>
  </si>
  <si>
    <t>KZKD00001251</t>
  </si>
  <si>
    <t>13.03.2025</t>
  </si>
  <si>
    <t>07.03.2030</t>
  </si>
  <si>
    <t>Евразийский банк развития</t>
  </si>
  <si>
    <t>KZ2D00011863</t>
  </si>
  <si>
    <t>24.09.2024</t>
  </si>
  <si>
    <t>03.09.2027</t>
  </si>
  <si>
    <t>KZKD00001087</t>
  </si>
  <si>
    <t>31.03.2029</t>
  </si>
  <si>
    <t>KZKD00000741</t>
  </si>
  <si>
    <t>12.05.2034</t>
  </si>
  <si>
    <t>KZKD00000790</t>
  </si>
  <si>
    <t>10.07.2025</t>
  </si>
  <si>
    <t>13.08.2029</t>
  </si>
  <si>
    <t>KZK200000760</t>
  </si>
  <si>
    <t>14.08.2025</t>
  </si>
  <si>
    <t>07.08.2029</t>
  </si>
  <si>
    <t>KZKD00000535</t>
  </si>
  <si>
    <t>27.03.2027</t>
  </si>
  <si>
    <t>KZKD00001160</t>
  </si>
  <si>
    <t>28.07.2029</t>
  </si>
  <si>
    <t>KZKD00001129</t>
  </si>
  <si>
    <t>17.03.2031</t>
  </si>
  <si>
    <t>KZK100000373</t>
  </si>
  <si>
    <t>06.02.2026</t>
  </si>
  <si>
    <t>KZKD00000477</t>
  </si>
  <si>
    <t>24.07.2025</t>
  </si>
  <si>
    <t>19.10.2027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</si>
  <si>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</si>
  <si>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</si>
  <si>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</si>
  <si>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</si>
  <si>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</si>
  <si>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</si>
  <si>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</si>
  <si>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</si>
  <si>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</si>
  <si>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</si>
  <si>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</si>
  <si>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</si>
  <si>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</si>
  <si>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</si>
  <si>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</si>
  <si>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</si>
  <si>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</si>
  <si>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</si>
  <si>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</si>
  <si>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</si>
  <si>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</si>
  <si>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</si>
  <si>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</si>
  <si>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</si>
  <si>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</si>
  <si>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KMGZe16</t>
  </si>
  <si>
    <t>XS2242422397</t>
  </si>
  <si>
    <t>FHJIpc</t>
  </si>
  <si>
    <t>KZPF00000140</t>
  </si>
  <si>
    <t>Доллар Сша</t>
  </si>
  <si>
    <t>FHJIag</t>
  </si>
  <si>
    <t>KZPF00000132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</si>
  <si>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</si>
  <si>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</si>
  <si>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</si>
  <si>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</si>
  <si>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</si>
  <si>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</si>
  <si>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</si>
  <si>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</si>
  <si>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</si>
  <si>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</si>
  <si>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</si>
  <si>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</si>
  <si>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</si>
  <si>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</si>
  <si>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</si>
  <si>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</si>
  <si>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</si>
  <si>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</si>
  <si>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MTM084_0001</t>
  </si>
  <si>
    <t>KZKT00000073</t>
  </si>
  <si>
    <t>ASKQb1</t>
  </si>
  <si>
    <t>KZ2C00010155</t>
  </si>
  <si>
    <t>MFKTb4</t>
  </si>
  <si>
    <t>KZ2P00010002</t>
  </si>
  <si>
    <t>BCCIbe</t>
  </si>
  <si>
    <t>KZPF00000553</t>
  </si>
  <si>
    <t>MFRFb21</t>
  </si>
  <si>
    <t>KZ2P00014723</t>
  </si>
  <si>
    <t>MFSCb4</t>
  </si>
  <si>
    <t>KZ2P00011497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</si>
  <si>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</si>
  <si>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</si>
  <si>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</si>
  <si>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</si>
  <si>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</si>
  <si>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</si>
  <si>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</si>
  <si>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</si>
  <si>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MFRFb13</t>
  </si>
  <si>
    <t>KZ2P00011398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</si>
  <si>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</si>
  <si>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</si>
  <si>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</si>
  <si>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</si>
  <si>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</si>
  <si>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</si>
  <si>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</si>
  <si>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</si>
  <si>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</si>
  <si>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</si>
  <si>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</si>
  <si>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</si>
  <si>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</si>
  <si>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</si>
  <si>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</si>
  <si>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</si>
  <si>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</si>
  <si>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</si>
  <si>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MFMOb17</t>
  </si>
  <si>
    <t>KZ2P00013329</t>
  </si>
  <si>
    <t>MFOKb25</t>
  </si>
  <si>
    <t>KZ2C00013266</t>
  </si>
  <si>
    <t>MFRFb18</t>
  </si>
  <si>
    <t>KZ2P00013998</t>
  </si>
  <si>
    <t>MFMOb25</t>
  </si>
  <si>
    <t>KZ2P00013220</t>
  </si>
  <si>
    <t>MFMOb24</t>
  </si>
  <si>
    <t>KZ2P00013212</t>
  </si>
  <si>
    <t>MFMOb28</t>
  </si>
  <si>
    <t>KZ2P00013352</t>
  </si>
  <si>
    <t>MFMCb2</t>
  </si>
  <si>
    <t>KZ2P00011968</t>
  </si>
  <si>
    <t>MFMOb10</t>
  </si>
  <si>
    <t>KZ2P00012651</t>
  </si>
  <si>
    <t>MFRFb19</t>
  </si>
  <si>
    <t>KZ2P00014004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</si>
  <si>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</si>
  <si>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</si>
  <si>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</si>
  <si>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</si>
  <si>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</si>
  <si>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</si>
  <si>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</si>
  <si>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</si>
  <si>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</si>
  <si>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</si>
  <si>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</si>
  <si>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</si>
  <si>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</si>
  <si>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</si>
  <si>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</si>
  <si>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</si>
  <si>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</si>
  <si>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</si>
  <si>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</si>
  <si>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</si>
  <si>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</si>
  <si>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</si>
  <si>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</si>
  <si>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</si>
  <si>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</si>
  <si>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</si>
  <si>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NTK028_2866</t>
  </si>
  <si>
    <t>KZW100014320</t>
  </si>
  <si>
    <t>ОАО "ГАЗПРОМ"</t>
  </si>
  <si>
    <t>HCBNb13</t>
  </si>
  <si>
    <t>KZ2C00011195</t>
  </si>
  <si>
    <t>ALMSb1</t>
  </si>
  <si>
    <t>KZ2C00012953</t>
  </si>
  <si>
    <t>MUJ228_0002</t>
  </si>
  <si>
    <t>KZKA00000264</t>
  </si>
  <si>
    <t>MUJ216_0004</t>
  </si>
  <si>
    <t>KZKA00000447</t>
  </si>
  <si>
    <t>MUM168_0001</t>
  </si>
  <si>
    <t>KZKD00000469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</si>
  <si>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</si>
  <si>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</si>
  <si>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</si>
  <si>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</si>
  <si>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</si>
  <si>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</si>
  <si>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</si>
  <si>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</si>
  <si>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</si>
  <si>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</si>
  <si>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</si>
  <si>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</si>
  <si>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</si>
  <si>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</si>
  <si>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</si>
  <si>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</si>
  <si>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</si>
  <si>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</si>
  <si>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</si>
  <si>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</si>
  <si>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</si>
  <si>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</si>
  <si>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</si>
  <si>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</si>
  <si>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</si>
  <si>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</si>
  <si>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</si>
  <si>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</si>
  <si>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</si>
  <si>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</si>
  <si>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</si>
  <si>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</si>
  <si>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</si>
  <si>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</si>
  <si>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</si>
  <si>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</si>
  <si>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</si>
  <si>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</si>
  <si>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</si>
  <si>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</si>
  <si>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</si>
  <si>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</si>
  <si>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</si>
  <si>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</si>
  <si>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</si>
  <si>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</si>
  <si>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</si>
  <si>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</si>
  <si>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</si>
  <si>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</si>
  <si>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</si>
  <si>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</si>
  <si>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</si>
  <si>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</si>
  <si>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</si>
  <si>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</si>
  <si>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</si>
  <si>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</si>
  <si>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</si>
  <si>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</si>
  <si>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</si>
  <si>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</si>
  <si>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</si>
  <si>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</si>
  <si>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</si>
  <si>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</si>
  <si>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</si>
  <si>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</si>
  <si>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</si>
  <si>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</si>
  <si>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</si>
  <si>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</si>
  <si>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</si>
  <si>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KZKD00000444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</si>
  <si>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</si>
  <si>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</si>
  <si>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</si>
  <si>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</si>
  <si>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</si>
  <si>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</si>
  <si>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</si>
  <si>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</si>
  <si>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</si>
  <si>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</si>
  <si>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</si>
  <si>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</si>
  <si>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</si>
  <si>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</si>
  <si>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</si>
  <si>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</si>
  <si>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</si>
  <si>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</si>
  <si>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</si>
  <si>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</si>
  <si>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</si>
  <si>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</si>
  <si>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</si>
  <si>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</si>
  <si>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</si>
  <si>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</si>
  <si>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</si>
  <si>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</si>
  <si>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</si>
  <si>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</si>
  <si>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</si>
  <si>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</si>
  <si>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</si>
  <si>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</si>
  <si>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</si>
  <si>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</si>
  <si>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</si>
  <si>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</si>
  <si>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</si>
  <si>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</si>
  <si>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</si>
  <si>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</si>
  <si>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</si>
  <si>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</si>
  <si>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</si>
  <si>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</si>
  <si>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</si>
  <si>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</si>
  <si>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</si>
  <si>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</si>
  <si>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</si>
  <si>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</si>
  <si>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</si>
  <si>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</si>
  <si>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</si>
  <si>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</si>
  <si>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</si>
  <si>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</si>
  <si>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</si>
  <si>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</si>
  <si>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</si>
  <si>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</si>
  <si>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</si>
  <si>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</si>
  <si>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</si>
  <si>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</si>
  <si>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</si>
  <si>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</si>
  <si>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</si>
  <si>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</si>
  <si>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</si>
  <si>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</si>
  <si>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</si>
  <si>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</si>
  <si>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</si>
  <si>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</si>
  <si>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</si>
  <si>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</si>
  <si>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</si>
  <si>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</si>
  <si>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</si>
  <si>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</si>
  <si>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</si>
  <si>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</si>
  <si>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</si>
  <si>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</si>
  <si>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</si>
  <si>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</si>
  <si>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</si>
  <si>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</si>
  <si>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</si>
  <si>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</si>
  <si>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</si>
  <si>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</si>
  <si>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</si>
  <si>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</si>
  <si>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</si>
  <si>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</si>
  <si>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</si>
  <si>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BRKZe18</t>
  </si>
  <si>
    <t>XS3032932645</t>
  </si>
  <si>
    <t>ASBN</t>
  </si>
  <si>
    <t>KZ000A0F4546</t>
  </si>
  <si>
    <t>АО "FORTEBANK"</t>
  </si>
  <si>
    <t>KFUSb45</t>
  </si>
  <si>
    <t>KZ2C00008910</t>
  </si>
  <si>
    <t>АО "Казахстанский фонд устойчивости"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</si>
  <si>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</si>
  <si>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</si>
  <si>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</si>
  <si>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</si>
  <si>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</si>
  <si>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</si>
  <si>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</si>
  <si>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</si>
  <si>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NCOMb6</t>
  </si>
  <si>
    <t>KZ2P00013568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</si>
  <si>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</si>
  <si>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</si>
  <si>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</si>
  <si>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</si>
  <si>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</si>
  <si>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</si>
  <si>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</si>
  <si>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</si>
  <si>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</si>
  <si>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</si>
  <si>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</si>
  <si>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</si>
  <si>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</si>
  <si>
    <t>BTRKe1</t>
  </si>
  <si>
    <t>XS3067899610</t>
  </si>
  <si>
    <t>АО "НУХ Байтерек"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</si>
</sst>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1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1">
    <xf numFmtId="0" fontId="0" fillId="0" borderId="0" xfId="0"/>
    <xf numFmtId="0" fontId="4" fillId="0" borderId="1" xfId="0" applyFont="1" applyBorder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168" fontId="0" fillId="0" borderId="0" xfId="0" applyNumberFormat="1"/>
    <xf numFmtId="43" fontId="7" fillId="0" borderId="0" xfId="2" applyFont="1"/>
    <xf numFmtId="4" fontId="0" fillId="0" borderId="0" xfId="0" applyNumberFormat="1"/>
    <xf numFmtId="0" fontId="4" fillId="0" borderId="0" xfId="0" applyFont="1"/>
    <xf numFmtId="0" fontId="3" fillId="0" borderId="0" xfId="0" applyFont="1"/>
    <xf numFmtId="0" fontId="8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right" vertical="center"/>
    </xf>
    <xf numFmtId="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0" fillId="0" borderId="0" xfId="2" applyFont="1"/>
    <xf numFmtId="0" fontId="0" fillId="0" borderId="0" xfId="0" applyAlignment="1">
      <alignment wrapText="1"/>
    </xf>
    <xf numFmtId="14" fontId="0" fillId="0" borderId="0" xfId="0" applyNumberFormat="1"/>
    <xf numFmtId="4" fontId="3" fillId="0" borderId="1" xfId="0" applyNumberFormat="1" applyFont="1" applyBorder="1"/>
    <xf numFmtId="0" fontId="3" fillId="0" borderId="3" xfId="0" applyFont="1" applyBorder="1" applyAlignment="1">
      <alignment wrapText="1"/>
    </xf>
    <xf numFmtId="4" fontId="8" fillId="2" borderId="1" xfId="0" applyNumberFormat="1" applyFont="1" applyFill="1" applyBorder="1" applyAlignment="1">
      <alignment horizontal="right" vertical="center" wrapText="1"/>
    </xf>
    <xf numFmtId="0" fontId="0" fillId="0" borderId="1" xfId="0" applyBorder="1"/>
    <xf numFmtId="169" fontId="0" fillId="0" borderId="1" xfId="2" applyNumberFormat="1" applyFont="1" applyBorder="1" applyAlignment="1">
      <alignment horizontal="right"/>
    </xf>
    <xf numFmtId="43" fontId="0" fillId="0" borderId="1" xfId="2" applyFont="1" applyBorder="1"/>
    <xf numFmtId="43" fontId="3" fillId="0" borderId="1" xfId="0" applyNumberFormat="1" applyFont="1" applyBorder="1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3" fontId="10" fillId="0" borderId="0" xfId="2" applyFont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/>
    <xf numFmtId="0" fontId="3" fillId="0" borderId="0" xfId="0" applyFont="1" applyAlignment="1">
      <alignment horizontal="center"/>
    </xf>
    <xf numFmtId="0" fontId="9" fillId="0" borderId="1" xfId="0" applyFont="1" applyBorder="1" applyAlignment="1">
      <alignment vertical="center"/>
    </xf>
    <xf numFmtId="43" fontId="9" fillId="0" borderId="1" xfId="2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43" fontId="9" fillId="0" borderId="1" xfId="2" applyFont="1" applyBorder="1" applyAlignment="1">
      <alignment vertical="center"/>
    </xf>
    <xf numFmtId="165" fontId="0" fillId="0" borderId="1" xfId="2" applyNumberFormat="1" applyFont="1" applyBorder="1"/>
    <xf numFmtId="14" fontId="0" fillId="0" borderId="1" xfId="0" applyNumberFormat="1" applyBorder="1" applyAlignment="1">
      <alignment horizontal="center" vertical="center"/>
    </xf>
    <xf numFmtId="167" fontId="0" fillId="0" borderId="1" xfId="2" applyNumberFormat="1" applyFont="1" applyBorder="1"/>
    <xf numFmtId="166" fontId="0" fillId="0" borderId="1" xfId="0" applyNumberFormat="1" applyBorder="1"/>
    <xf numFmtId="164" fontId="0" fillId="0" borderId="1" xfId="0" applyNumberFormat="1" applyBorder="1"/>
    <xf numFmtId="43" fontId="8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/>
    <xf numFmtId="10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60;&#1043;&#104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ГД"/>
      <sheetName val="KZKD00000477 "/>
      <sheetName val="дисконт KZKD00000477 "/>
      <sheetName val="KZK200000687"/>
      <sheetName val="дисконт KZK200000687"/>
      <sheetName val="KZKD00000535"/>
      <sheetName val="дисконт KZKD00000535"/>
      <sheetName val="KZKD00001137"/>
      <sheetName val="дисконтKZKD00001137"/>
      <sheetName val="KZKD00001087"/>
      <sheetName val="дисконтKZKD00001087"/>
      <sheetName val="KZKD00001160"/>
      <sheetName val="дисконт KZKD00001160"/>
      <sheetName val="KZKD00001129"/>
      <sheetName val="дисконт KZKD00001129"/>
      <sheetName val="KZKD00000949"/>
      <sheetName val="дисконтKZKD00000949"/>
      <sheetName val="KZKD00001152"/>
      <sheetName val="дисконт MUM132_0007"/>
      <sheetName val="KZKD00000741"/>
      <sheetName val="дисконт MUM240_0002"/>
      <sheetName val="KZKD00000832"/>
      <sheetName val="дисконт MUM240_0004"/>
      <sheetName val="BTRKb13"/>
      <sheetName val="дисконт BTRKb13"/>
      <sheetName val="EABRb52"/>
      <sheetName val="дисконт EABRb52"/>
      <sheetName val="KZKD00001251"/>
      <sheetName val="дисконт MUM072_0015"/>
      <sheetName val="KZK100000373"/>
      <sheetName val="KZKD00000790"/>
      <sheetName val="дисконт MUM180_0011 "/>
      <sheetName val="KZK200000760"/>
      <sheetName val="дисконт MOM048_0056"/>
      <sheetName val="лист "/>
    </sheetNames>
    <sheetDataSet>
      <sheetData sheetId="0">
        <row r="409">
          <cell r="AV409">
            <v>27327242859.382431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"/>
  <sheetViews>
    <sheetView tabSelected="1" topLeftCell="A11" workbookViewId="0">
      <selection activeCell="I44" sqref="I44"/>
    </sheetView>
  </sheetViews>
  <sheetFormatPr defaultColWidth="9.140625" defaultRowHeight="15" x14ac:dyDescent="0.25"/>
  <cols>
    <col min="1" max="1" width="32" bestFit="1" customWidth="1"/>
    <col min="2" max="2" width="27.42578125" bestFit="1" customWidth="1"/>
    <col min="3" max="3" width="14.7109375" customWidth="1"/>
    <col min="4" max="4" width="18.5703125" customWidth="1"/>
    <col min="5" max="5" width="16.5703125" bestFit="1" customWidth="1"/>
    <col min="6" max="6" width="18.5703125" bestFit="1" customWidth="1"/>
    <col min="7" max="7" width="17.7109375" customWidth="1"/>
    <col min="8" max="8" width="17" customWidth="1"/>
    <col min="9" max="10" width="19.7109375" bestFit="1" customWidth="1"/>
    <col min="11" max="11" width="18.7109375" customWidth="1"/>
    <col min="12" max="12" width="21.5703125" customWidth="1"/>
    <col min="13" max="13" width="19.140625" customWidth="1"/>
    <col min="14" max="14" width="26.28515625" customWidth="1"/>
    <col min="15" max="15" width="15" style="11" customWidth="1"/>
    <col min="17" max="17" width="9.140625" hidden="1" customWidth="1"/>
  </cols>
  <sheetData>
    <row r="1" spans="1:17" ht="30" x14ac:dyDescent="0.25">
      <c r="A1" s="2" t="s">
        <v>45</v>
      </c>
      <c r="B1" s="2" t="s">
        <v>46</v>
      </c>
      <c r="Q1" s="12">
        <f>L25</f>
        <v>24400198353.790195</v>
      </c>
    </row>
    <row r="2" spans="1:17" x14ac:dyDescent="0.25">
      <c r="A2" s="2" t="s">
        <v>64</v>
      </c>
      <c r="B2" s="2" t="s">
        <v>70</v>
      </c>
    </row>
    <row r="3" spans="1:17" x14ac:dyDescent="0.25">
      <c r="A3" s="2"/>
      <c r="B3" s="2"/>
    </row>
    <row r="4" spans="1:17" x14ac:dyDescent="0.25">
      <c r="A4" s="13" t="s">
        <v>36</v>
      </c>
    </row>
    <row r="6" spans="1:17" x14ac:dyDescent="0.25">
      <c r="A6" s="14" t="s">
        <v>21</v>
      </c>
    </row>
    <row r="7" spans="1:17" ht="45" x14ac:dyDescent="0.25">
      <c r="A7" s="15" t="s">
        <v>23</v>
      </c>
      <c r="B7" s="15" t="s">
        <v>0</v>
      </c>
      <c r="C7" s="15" t="s">
        <v>42</v>
      </c>
      <c r="D7" s="15" t="s">
        <v>1</v>
      </c>
      <c r="E7" s="15" t="s">
        <v>17</v>
      </c>
      <c r="F7" s="15" t="s">
        <v>16</v>
      </c>
      <c r="G7" s="15" t="s">
        <v>2</v>
      </c>
      <c r="H7" s="15" t="s">
        <v>34</v>
      </c>
      <c r="I7" s="15" t="s">
        <v>11</v>
      </c>
      <c r="J7" s="15" t="s">
        <v>65</v>
      </c>
      <c r="K7" s="15" t="s">
        <v>3</v>
      </c>
      <c r="L7" s="15" t="s">
        <v>43</v>
      </c>
      <c r="M7" s="15" t="s">
        <v>4</v>
      </c>
    </row>
    <row r="8" spans="1:17" x14ac:dyDescent="0.25">
      <c r="A8" s="16" t="s">
        <v>66</v>
      </c>
      <c r="B8" s="16" t="s">
        <v>76</v>
      </c>
      <c r="C8" s="17">
        <v>1897500</v>
      </c>
      <c r="D8" s="18">
        <v>1897500000</v>
      </c>
      <c r="E8" s="19">
        <v>10.4</v>
      </c>
      <c r="F8" s="20" t="s">
        <v>77</v>
      </c>
      <c r="G8" s="20" t="s">
        <v>78</v>
      </c>
      <c r="H8" s="19">
        <v>1736743800</v>
      </c>
      <c r="I8" s="21">
        <v>86.456400000000002</v>
      </c>
      <c r="J8" s="21">
        <v>90.154200000000003</v>
      </c>
      <c r="K8" s="19">
        <v>70165333.333333328</v>
      </c>
      <c r="L8" s="19">
        <v>1710675523.333333</v>
      </c>
      <c r="M8" s="22">
        <f t="shared" ref="M8:M23" si="0">L8/$Q$1</f>
        <v>7.0109082661109018E-2</v>
      </c>
      <c r="O8" s="11">
        <v>749863.88888888899</v>
      </c>
    </row>
    <row r="9" spans="1:17" x14ac:dyDescent="0.25">
      <c r="A9" s="16" t="s">
        <v>66</v>
      </c>
      <c r="B9" s="16" t="s">
        <v>79</v>
      </c>
      <c r="C9" s="17">
        <v>1897500</v>
      </c>
      <c r="D9" s="18">
        <v>1897500000</v>
      </c>
      <c r="E9" s="19">
        <v>8.4499999999999993</v>
      </c>
      <c r="F9" s="20" t="s">
        <v>77</v>
      </c>
      <c r="G9" s="20" t="s">
        <v>80</v>
      </c>
      <c r="H9" s="19">
        <v>1457889097.496666</v>
      </c>
      <c r="I9" s="21">
        <v>67.770600000000002</v>
      </c>
      <c r="J9" s="21">
        <v>70.681200000000004</v>
      </c>
      <c r="K9" s="19">
        <v>55227791.666666657</v>
      </c>
      <c r="L9" s="19">
        <v>1341174926.666666</v>
      </c>
      <c r="M9" s="22">
        <f t="shared" si="0"/>
        <v>5.4965738688691236E-2</v>
      </c>
      <c r="O9" s="11">
        <v>749863.88888888899</v>
      </c>
    </row>
    <row r="10" spans="1:17" x14ac:dyDescent="0.25">
      <c r="A10" s="16" t="s">
        <v>66</v>
      </c>
      <c r="B10" s="16" t="s">
        <v>81</v>
      </c>
      <c r="C10" s="17">
        <v>1897500</v>
      </c>
      <c r="D10" s="18">
        <v>1897500000</v>
      </c>
      <c r="E10" s="19">
        <v>10.65</v>
      </c>
      <c r="F10" s="20" t="s">
        <v>77</v>
      </c>
      <c r="G10" s="20" t="s">
        <v>82</v>
      </c>
      <c r="H10" s="19">
        <v>1648500562.5</v>
      </c>
      <c r="I10" s="21">
        <v>75.760199999999998</v>
      </c>
      <c r="J10" s="21">
        <v>76.470200000000006</v>
      </c>
      <c r="K10" s="19">
        <v>13472250</v>
      </c>
      <c r="L10" s="19">
        <v>1451022045</v>
      </c>
      <c r="M10" s="22">
        <f t="shared" si="0"/>
        <v>5.9467633170883875E-2</v>
      </c>
      <c r="O10" s="11">
        <v>749863.88888888899</v>
      </c>
    </row>
    <row r="11" spans="1:17" x14ac:dyDescent="0.25">
      <c r="A11" s="16" t="s">
        <v>66</v>
      </c>
      <c r="B11" s="16" t="s">
        <v>83</v>
      </c>
      <c r="C11" s="17">
        <v>1897500</v>
      </c>
      <c r="D11" s="18">
        <v>1897500000</v>
      </c>
      <c r="E11" s="19">
        <v>8.07</v>
      </c>
      <c r="F11" s="20" t="s">
        <v>77</v>
      </c>
      <c r="G11" s="20" t="s">
        <v>84</v>
      </c>
      <c r="H11" s="19">
        <v>1338524962.5</v>
      </c>
      <c r="I11" s="21">
        <v>59.9895</v>
      </c>
      <c r="J11" s="21">
        <v>64.4953</v>
      </c>
      <c r="K11" s="19">
        <v>85496606.25</v>
      </c>
      <c r="L11" s="19">
        <v>1223797368.75</v>
      </c>
      <c r="M11" s="22">
        <f t="shared" si="0"/>
        <v>5.0155222142278279E-2</v>
      </c>
      <c r="O11" s="11">
        <v>749863.88888888899</v>
      </c>
    </row>
    <row r="12" spans="1:17" x14ac:dyDescent="0.25">
      <c r="A12" s="16" t="s">
        <v>66</v>
      </c>
      <c r="B12" s="16" t="s">
        <v>85</v>
      </c>
      <c r="C12" s="17">
        <v>2530000</v>
      </c>
      <c r="D12" s="18">
        <v>2530000000</v>
      </c>
      <c r="E12" s="19">
        <v>10.67</v>
      </c>
      <c r="F12" s="20" t="s">
        <v>77</v>
      </c>
      <c r="G12" s="20" t="s">
        <v>86</v>
      </c>
      <c r="H12" s="19">
        <v>2455119589.9966769</v>
      </c>
      <c r="I12" s="21">
        <v>97.914000000000001</v>
      </c>
      <c r="J12" s="21">
        <v>98.773499999999999</v>
      </c>
      <c r="K12" s="19">
        <v>21746052.777777769</v>
      </c>
      <c r="L12" s="19">
        <v>2498970252.7777772</v>
      </c>
      <c r="M12" s="22">
        <f t="shared" si="0"/>
        <v>0.10241598107294077</v>
      </c>
      <c r="O12" s="11">
        <v>749863.88888888899</v>
      </c>
    </row>
    <row r="13" spans="1:17" x14ac:dyDescent="0.25">
      <c r="A13" s="16" t="s">
        <v>66</v>
      </c>
      <c r="B13" s="16" t="s">
        <v>87</v>
      </c>
      <c r="C13" s="17">
        <v>550000</v>
      </c>
      <c r="D13" s="18">
        <v>550000000</v>
      </c>
      <c r="E13" s="19">
        <v>12</v>
      </c>
      <c r="F13" s="20" t="s">
        <v>88</v>
      </c>
      <c r="G13" s="20" t="s">
        <v>89</v>
      </c>
      <c r="H13" s="19">
        <v>491343050</v>
      </c>
      <c r="I13" s="21">
        <v>84.984800000000007</v>
      </c>
      <c r="J13" s="21">
        <v>90.41810000000001</v>
      </c>
      <c r="K13" s="19">
        <v>29883333.333333328</v>
      </c>
      <c r="L13" s="19">
        <v>497299733.33333302</v>
      </c>
      <c r="M13" s="22">
        <f t="shared" si="0"/>
        <v>2.0380970929938572E-2</v>
      </c>
      <c r="O13" s="11">
        <v>749863.88888888899</v>
      </c>
    </row>
    <row r="14" spans="1:17" x14ac:dyDescent="0.25">
      <c r="A14" s="16" t="s">
        <v>90</v>
      </c>
      <c r="B14" s="16" t="s">
        <v>91</v>
      </c>
      <c r="C14" s="17">
        <v>992234</v>
      </c>
      <c r="D14" s="18">
        <v>992234000</v>
      </c>
      <c r="E14" s="19">
        <v>14.3</v>
      </c>
      <c r="F14" s="20" t="s">
        <v>92</v>
      </c>
      <c r="G14" s="20" t="s">
        <v>93</v>
      </c>
      <c r="H14" s="19">
        <v>991722999.49000001</v>
      </c>
      <c r="I14" s="21">
        <v>93.357269770000002</v>
      </c>
      <c r="J14" s="21">
        <v>107.14086976999999</v>
      </c>
      <c r="K14" s="19">
        <v>136765675.868889</v>
      </c>
      <c r="L14" s="19">
        <v>1063088247.9868701</v>
      </c>
      <c r="M14" s="22">
        <f t="shared" si="0"/>
        <v>4.3568836309141545E-2</v>
      </c>
      <c r="O14" s="11">
        <v>749863.88888888899</v>
      </c>
    </row>
    <row r="15" spans="1:17" x14ac:dyDescent="0.25">
      <c r="A15" s="16" t="s">
        <v>66</v>
      </c>
      <c r="B15" s="16" t="s">
        <v>94</v>
      </c>
      <c r="C15" s="17">
        <v>1897500</v>
      </c>
      <c r="D15" s="18">
        <v>1897500000</v>
      </c>
      <c r="E15" s="19">
        <v>11</v>
      </c>
      <c r="F15" s="20" t="s">
        <v>77</v>
      </c>
      <c r="G15" s="20" t="s">
        <v>95</v>
      </c>
      <c r="H15" s="19">
        <v>1743261712.5</v>
      </c>
      <c r="I15" s="21">
        <v>84.5261</v>
      </c>
      <c r="J15" s="21">
        <v>88.803899999999999</v>
      </c>
      <c r="K15" s="19">
        <v>81170833.333333328</v>
      </c>
      <c r="L15" s="19">
        <v>1685053580.833333</v>
      </c>
      <c r="M15" s="22">
        <f t="shared" si="0"/>
        <v>6.9059011586747446E-2</v>
      </c>
      <c r="O15" s="11">
        <v>749863.88888888899</v>
      </c>
    </row>
    <row r="16" spans="1:17" x14ac:dyDescent="0.25">
      <c r="A16" s="16" t="s">
        <v>66</v>
      </c>
      <c r="B16" s="16" t="s">
        <v>96</v>
      </c>
      <c r="C16" s="17">
        <v>1897500</v>
      </c>
      <c r="D16" s="18">
        <v>1897500000</v>
      </c>
      <c r="E16" s="19">
        <v>8.07</v>
      </c>
      <c r="F16" s="20" t="s">
        <v>77</v>
      </c>
      <c r="G16" s="20" t="s">
        <v>97</v>
      </c>
      <c r="H16" s="19">
        <v>1359122325</v>
      </c>
      <c r="I16" s="21">
        <v>61.420900000000003</v>
      </c>
      <c r="J16" s="21">
        <v>63.617700000000006</v>
      </c>
      <c r="K16" s="19">
        <v>41684912.5</v>
      </c>
      <c r="L16" s="19">
        <v>1207146490</v>
      </c>
      <c r="M16" s="22">
        <f t="shared" si="0"/>
        <v>4.9472814626217512E-2</v>
      </c>
      <c r="O16" s="11">
        <v>749863.88888888899</v>
      </c>
    </row>
    <row r="17" spans="1:15" x14ac:dyDescent="0.25">
      <c r="A17" s="16" t="s">
        <v>66</v>
      </c>
      <c r="B17" s="16" t="s">
        <v>98</v>
      </c>
      <c r="C17" s="17">
        <v>2469500</v>
      </c>
      <c r="D17" s="18">
        <v>2469500000</v>
      </c>
      <c r="E17" s="19">
        <v>7.68</v>
      </c>
      <c r="F17" s="20" t="s">
        <v>99</v>
      </c>
      <c r="G17" s="20" t="s">
        <v>100</v>
      </c>
      <c r="H17" s="19">
        <v>1827657194</v>
      </c>
      <c r="I17" s="21">
        <v>74.584400000000002</v>
      </c>
      <c r="J17" s="21">
        <v>74.733699999999999</v>
      </c>
      <c r="K17" s="19">
        <v>3687786.6666666698</v>
      </c>
      <c r="L17" s="19">
        <v>1845549544.666666</v>
      </c>
      <c r="M17" s="22">
        <f t="shared" si="0"/>
        <v>7.5636661551154491E-2</v>
      </c>
      <c r="O17" s="11">
        <v>749863.88888888899</v>
      </c>
    </row>
    <row r="18" spans="1:15" x14ac:dyDescent="0.25">
      <c r="A18" s="16" t="s">
        <v>66</v>
      </c>
      <c r="B18" s="16" t="s">
        <v>101</v>
      </c>
      <c r="C18" s="17">
        <v>897100</v>
      </c>
      <c r="D18" s="18">
        <v>897100000</v>
      </c>
      <c r="E18" s="19">
        <v>17.010000000000002</v>
      </c>
      <c r="F18" s="20" t="s">
        <v>102</v>
      </c>
      <c r="G18" s="20" t="s">
        <v>103</v>
      </c>
      <c r="H18" s="19">
        <v>896985171.20000005</v>
      </c>
      <c r="I18" s="21">
        <v>101.935</v>
      </c>
      <c r="J18" s="21">
        <v>102.5493</v>
      </c>
      <c r="K18" s="19">
        <v>5510436.75</v>
      </c>
      <c r="L18" s="19">
        <v>919969321.75</v>
      </c>
      <c r="M18" s="22">
        <f t="shared" si="0"/>
        <v>3.770335422732729E-2</v>
      </c>
      <c r="O18" s="11">
        <v>749863.88888888899</v>
      </c>
    </row>
    <row r="19" spans="1:15" x14ac:dyDescent="0.25">
      <c r="A19" s="16" t="s">
        <v>66</v>
      </c>
      <c r="B19" s="16" t="s">
        <v>104</v>
      </c>
      <c r="C19" s="17">
        <v>3162500</v>
      </c>
      <c r="D19" s="18">
        <v>3162500000</v>
      </c>
      <c r="E19" s="19">
        <v>5.49</v>
      </c>
      <c r="F19" s="20" t="s">
        <v>77</v>
      </c>
      <c r="G19" s="20" t="s">
        <v>105</v>
      </c>
      <c r="H19" s="19">
        <v>2627740225</v>
      </c>
      <c r="I19" s="21">
        <v>84.715100000000007</v>
      </c>
      <c r="J19" s="21">
        <v>86.895899999999997</v>
      </c>
      <c r="K19" s="19">
        <v>68966218.75</v>
      </c>
      <c r="L19" s="19">
        <v>2748081256.25</v>
      </c>
      <c r="M19" s="22">
        <f t="shared" si="0"/>
        <v>0.11262536543368418</v>
      </c>
      <c r="O19" s="11">
        <v>749863.88888888899</v>
      </c>
    </row>
    <row r="20" spans="1:15" x14ac:dyDescent="0.25">
      <c r="A20" s="16" t="s">
        <v>66</v>
      </c>
      <c r="B20" s="16" t="s">
        <v>106</v>
      </c>
      <c r="C20" s="17">
        <v>1897500</v>
      </c>
      <c r="D20" s="18">
        <v>1897500000</v>
      </c>
      <c r="E20" s="19">
        <v>10.55</v>
      </c>
      <c r="F20" s="20" t="s">
        <v>77</v>
      </c>
      <c r="G20" s="20" t="s">
        <v>107</v>
      </c>
      <c r="H20" s="19">
        <v>1708326839.9966669</v>
      </c>
      <c r="I20" s="21">
        <v>82.542299999999997</v>
      </c>
      <c r="J20" s="21">
        <v>83.186999999999998</v>
      </c>
      <c r="K20" s="19">
        <v>12233604.16666666</v>
      </c>
      <c r="L20" s="19">
        <v>1578473746.666666</v>
      </c>
      <c r="M20" s="22">
        <f t="shared" si="0"/>
        <v>6.4691021104813048E-2</v>
      </c>
      <c r="O20" s="11">
        <v>749863.88888888899</v>
      </c>
    </row>
    <row r="21" spans="1:15" x14ac:dyDescent="0.25">
      <c r="A21" s="16" t="s">
        <v>66</v>
      </c>
      <c r="B21" s="16" t="s">
        <v>108</v>
      </c>
      <c r="C21" s="17">
        <v>1897500</v>
      </c>
      <c r="D21" s="18">
        <v>1897500000</v>
      </c>
      <c r="E21" s="19">
        <v>10.3</v>
      </c>
      <c r="F21" s="20" t="s">
        <v>77</v>
      </c>
      <c r="G21" s="20" t="s">
        <v>109</v>
      </c>
      <c r="H21" s="19">
        <v>1645329839.996666</v>
      </c>
      <c r="I21" s="21">
        <v>77.232200000000006</v>
      </c>
      <c r="J21" s="21">
        <v>81.609700000000004</v>
      </c>
      <c r="K21" s="19">
        <v>83063062.499999985</v>
      </c>
      <c r="L21" s="19">
        <v>1548544057.499999</v>
      </c>
      <c r="M21" s="22">
        <f t="shared" si="0"/>
        <v>6.3464404471099578E-2</v>
      </c>
      <c r="O21" s="11">
        <v>749863.88888888899</v>
      </c>
    </row>
    <row r="22" spans="1:15" x14ac:dyDescent="0.25">
      <c r="A22" s="16" t="s">
        <v>66</v>
      </c>
      <c r="B22" s="16" t="s">
        <v>110</v>
      </c>
      <c r="C22" s="17">
        <v>11424000</v>
      </c>
      <c r="D22" s="18">
        <v>1142400000</v>
      </c>
      <c r="E22" s="19">
        <v>0</v>
      </c>
      <c r="F22" s="20" t="s">
        <v>88</v>
      </c>
      <c r="G22" s="20" t="s">
        <v>111</v>
      </c>
      <c r="H22" s="19">
        <v>1003902278.4</v>
      </c>
      <c r="I22" s="21">
        <v>93.122</v>
      </c>
      <c r="J22" s="21">
        <v>93.122</v>
      </c>
      <c r="K22" s="19"/>
      <c r="L22" s="19">
        <v>1063825728</v>
      </c>
      <c r="M22" s="22">
        <f t="shared" si="0"/>
        <v>4.3599060654142222E-2</v>
      </c>
      <c r="O22" s="11">
        <v>749863.88888888899</v>
      </c>
    </row>
    <row r="23" spans="1:15" x14ac:dyDescent="0.25">
      <c r="A23" s="16" t="s">
        <v>66</v>
      </c>
      <c r="B23" s="16" t="s">
        <v>112</v>
      </c>
      <c r="C23" s="17">
        <v>2391500</v>
      </c>
      <c r="D23" s="18">
        <v>2391500000</v>
      </c>
      <c r="E23" s="19">
        <v>5.3</v>
      </c>
      <c r="F23" s="20" t="s">
        <v>113</v>
      </c>
      <c r="G23" s="20" t="s">
        <v>114</v>
      </c>
      <c r="H23" s="19">
        <v>1903079172</v>
      </c>
      <c r="I23" s="21">
        <v>79.930999999999997</v>
      </c>
      <c r="J23" s="21">
        <v>84.362400000000008</v>
      </c>
      <c r="K23" s="19">
        <v>105976665.275556</v>
      </c>
      <c r="L23" s="19">
        <v>2017526530.2755549</v>
      </c>
      <c r="M23" s="22">
        <f t="shared" si="0"/>
        <v>8.268484136983105E-2</v>
      </c>
      <c r="O23" s="11">
        <v>749863.88888888899</v>
      </c>
    </row>
    <row r="24" spans="1:15" hidden="1" x14ac:dyDescent="0.25">
      <c r="A24" s="16"/>
      <c r="B24" s="16"/>
      <c r="C24" s="16"/>
      <c r="D24" s="19"/>
      <c r="E24" s="19"/>
      <c r="F24" s="20"/>
      <c r="G24" s="20"/>
      <c r="H24" s="19"/>
      <c r="I24" s="21"/>
      <c r="J24" s="21"/>
      <c r="K24" s="19"/>
      <c r="L24" s="19"/>
      <c r="M24" s="22"/>
    </row>
    <row r="25" spans="1:15" x14ac:dyDescent="0.25">
      <c r="A25" s="16"/>
      <c r="B25" s="23" t="s">
        <v>5</v>
      </c>
      <c r="C25" s="16"/>
      <c r="D25" s="56">
        <f>SUM(D8:D24)</f>
        <v>29315234000</v>
      </c>
      <c r="E25" s="25"/>
      <c r="F25" s="24"/>
      <c r="G25" s="24"/>
      <c r="H25" s="56">
        <f>SUM(H8:H24)</f>
        <v>24835248820.076675</v>
      </c>
      <c r="I25" s="24"/>
      <c r="J25" s="24"/>
      <c r="K25" s="56">
        <f>SUM(K8:K24)</f>
        <v>815050563.17222273</v>
      </c>
      <c r="L25" s="56">
        <f>SUM(L8:L24)</f>
        <v>24400198353.790195</v>
      </c>
      <c r="M25" s="58">
        <f>SUM(M8:M24)</f>
        <v>1</v>
      </c>
    </row>
    <row r="27" spans="1:15" x14ac:dyDescent="0.25">
      <c r="A27" s="30" t="s">
        <v>35</v>
      </c>
    </row>
    <row r="28" spans="1:15" x14ac:dyDescent="0.25">
      <c r="A28" s="15" t="s">
        <v>68</v>
      </c>
      <c r="B28" s="31">
        <f>SUM(B29:B30)</f>
        <v>594110.25</v>
      </c>
    </row>
    <row r="29" spans="1:15" x14ac:dyDescent="0.25">
      <c r="A29" s="32" t="s">
        <v>75</v>
      </c>
      <c r="B29" s="33">
        <v>594110.25</v>
      </c>
    </row>
    <row r="30" spans="1:15" hidden="1" x14ac:dyDescent="0.25">
      <c r="A30" s="32"/>
      <c r="B30" s="34"/>
    </row>
    <row r="32" spans="1:15" x14ac:dyDescent="0.25">
      <c r="A32" s="14" t="s">
        <v>18</v>
      </c>
    </row>
    <row r="33" spans="1:17" ht="45" x14ac:dyDescent="0.25">
      <c r="A33" s="15" t="s">
        <v>23</v>
      </c>
      <c r="B33" s="15" t="s">
        <v>24</v>
      </c>
      <c r="C33" s="15" t="s">
        <v>25</v>
      </c>
      <c r="D33" s="15" t="s">
        <v>26</v>
      </c>
      <c r="E33" s="15" t="s">
        <v>19</v>
      </c>
      <c r="F33" s="15" t="s">
        <v>20</v>
      </c>
      <c r="G33" s="15" t="s">
        <v>27</v>
      </c>
      <c r="H33" s="15" t="s">
        <v>28</v>
      </c>
      <c r="I33" s="15" t="s">
        <v>29</v>
      </c>
      <c r="J33" s="15" t="s">
        <v>30</v>
      </c>
      <c r="K33" s="15" t="s">
        <v>31</v>
      </c>
      <c r="L33" s="15" t="s">
        <v>33</v>
      </c>
      <c r="M33" s="15" t="s">
        <v>32</v>
      </c>
      <c r="O33"/>
    </row>
    <row r="34" spans="1:17" x14ac:dyDescent="0.25">
      <c r="A34" s="40" t="s">
        <v>66</v>
      </c>
      <c r="B34" s="40" t="s">
        <v>67</v>
      </c>
      <c r="C34" s="51">
        <v>3114468</v>
      </c>
      <c r="D34" s="40" t="s">
        <v>68</v>
      </c>
      <c r="E34" s="52" t="s">
        <v>69</v>
      </c>
      <c r="F34" s="52" t="s">
        <v>70</v>
      </c>
      <c r="G34" s="53">
        <v>933.88499999999999</v>
      </c>
      <c r="H34" s="53">
        <f t="shared" ref="H34:H39" si="1">J34/C34</f>
        <v>934.28158897763603</v>
      </c>
      <c r="I34" s="54">
        <v>2908554948.1799998</v>
      </c>
      <c r="J34" s="54">
        <v>2909790111.8600001</v>
      </c>
      <c r="K34" s="55">
        <v>15.500300000000001</v>
      </c>
      <c r="L34" s="55">
        <v>1235163.68</v>
      </c>
      <c r="M34" s="34">
        <f t="shared" ref="M34:M39" si="2">I34+L34</f>
        <v>2909790111.8599997</v>
      </c>
      <c r="N34" s="11"/>
      <c r="O34"/>
      <c r="Q34">
        <v>0</v>
      </c>
    </row>
    <row r="35" spans="1:17" x14ac:dyDescent="0.25">
      <c r="A35" s="40" t="s">
        <v>66</v>
      </c>
      <c r="B35" s="40" t="s">
        <v>67</v>
      </c>
      <c r="C35" s="51">
        <v>19278</v>
      </c>
      <c r="D35" s="40" t="s">
        <v>68</v>
      </c>
      <c r="E35" s="52" t="s">
        <v>69</v>
      </c>
      <c r="F35" s="52" t="s">
        <v>70</v>
      </c>
      <c r="G35" s="53">
        <v>933.88499999999999</v>
      </c>
      <c r="H35" s="53">
        <f t="shared" si="1"/>
        <v>934.28158885776531</v>
      </c>
      <c r="I35" s="54">
        <v>18003435.030000001</v>
      </c>
      <c r="J35" s="54">
        <v>18011080.469999999</v>
      </c>
      <c r="K35" s="55">
        <v>15.500300000000001</v>
      </c>
      <c r="L35" s="55">
        <v>7645.44</v>
      </c>
      <c r="M35" s="34">
        <f t="shared" si="2"/>
        <v>18011080.470000003</v>
      </c>
      <c r="N35" s="11"/>
      <c r="O35"/>
      <c r="Q35">
        <v>0</v>
      </c>
    </row>
    <row r="36" spans="1:17" x14ac:dyDescent="0.25">
      <c r="A36" s="40" t="s">
        <v>66</v>
      </c>
      <c r="B36" s="40" t="s">
        <v>71</v>
      </c>
      <c r="C36" s="51">
        <v>2773068</v>
      </c>
      <c r="D36" s="40" t="s">
        <v>68</v>
      </c>
      <c r="E36" s="52" t="s">
        <v>70</v>
      </c>
      <c r="F36" s="52" t="s">
        <v>72</v>
      </c>
      <c r="G36" s="53">
        <v>931.94700000144201</v>
      </c>
      <c r="H36" s="53">
        <f t="shared" si="1"/>
        <v>932.34277618868339</v>
      </c>
      <c r="I36" s="54">
        <v>2584352403.4000001</v>
      </c>
      <c r="J36" s="54">
        <v>2585449917.6799998</v>
      </c>
      <c r="K36" s="55">
        <v>15.5007</v>
      </c>
      <c r="L36" s="55"/>
      <c r="M36" s="34">
        <f t="shared" si="2"/>
        <v>2584352403.4000001</v>
      </c>
      <c r="N36" s="11"/>
      <c r="O36"/>
      <c r="Q36">
        <v>1</v>
      </c>
    </row>
    <row r="37" spans="1:17" x14ac:dyDescent="0.25">
      <c r="A37" s="40" t="s">
        <v>66</v>
      </c>
      <c r="B37" s="40" t="s">
        <v>73</v>
      </c>
      <c r="C37" s="51">
        <v>61644</v>
      </c>
      <c r="D37" s="40" t="s">
        <v>68</v>
      </c>
      <c r="E37" s="52" t="s">
        <v>70</v>
      </c>
      <c r="F37" s="52" t="s">
        <v>72</v>
      </c>
      <c r="G37" s="53">
        <v>535.54560005840005</v>
      </c>
      <c r="H37" s="53">
        <f t="shared" si="1"/>
        <v>535.77303825189802</v>
      </c>
      <c r="I37" s="54">
        <v>33013172.969999999</v>
      </c>
      <c r="J37" s="54">
        <v>33027193.170000002</v>
      </c>
      <c r="K37" s="55">
        <v>15.501000000000001</v>
      </c>
      <c r="L37" s="55"/>
      <c r="M37" s="34">
        <f t="shared" si="2"/>
        <v>33013172.969999999</v>
      </c>
      <c r="N37" s="11"/>
      <c r="O37"/>
      <c r="Q37">
        <v>1</v>
      </c>
    </row>
    <row r="38" spans="1:17" x14ac:dyDescent="0.25">
      <c r="A38" s="40" t="s">
        <v>66</v>
      </c>
      <c r="B38" s="40" t="s">
        <v>71</v>
      </c>
      <c r="C38" s="51">
        <v>17184</v>
      </c>
      <c r="D38" s="40" t="s">
        <v>68</v>
      </c>
      <c r="E38" s="52" t="s">
        <v>70</v>
      </c>
      <c r="F38" s="52" t="s">
        <v>72</v>
      </c>
      <c r="G38" s="53">
        <v>931.94700011638702</v>
      </c>
      <c r="H38" s="53">
        <f t="shared" si="1"/>
        <v>932.34277641992549</v>
      </c>
      <c r="I38" s="54">
        <v>16014577.25</v>
      </c>
      <c r="J38" s="54">
        <v>16021378.27</v>
      </c>
      <c r="K38" s="55">
        <v>15.5007</v>
      </c>
      <c r="L38" s="55"/>
      <c r="M38" s="34">
        <f t="shared" si="2"/>
        <v>16014577.25</v>
      </c>
      <c r="N38" s="11"/>
      <c r="O38"/>
      <c r="Q38">
        <v>1</v>
      </c>
    </row>
    <row r="39" spans="1:17" x14ac:dyDescent="0.25">
      <c r="A39" s="40" t="s">
        <v>66</v>
      </c>
      <c r="B39" s="40" t="s">
        <v>74</v>
      </c>
      <c r="C39" s="51">
        <v>586236</v>
      </c>
      <c r="D39" s="40" t="s">
        <v>68</v>
      </c>
      <c r="E39" s="52" t="s">
        <v>70</v>
      </c>
      <c r="F39" s="52" t="s">
        <v>72</v>
      </c>
      <c r="G39" s="53">
        <v>501.53610000068204</v>
      </c>
      <c r="H39" s="53">
        <f t="shared" si="1"/>
        <v>501.74909481846908</v>
      </c>
      <c r="I39" s="54">
        <v>294018517.12</v>
      </c>
      <c r="J39" s="54">
        <v>294143382.35000002</v>
      </c>
      <c r="K39" s="55">
        <v>15.501000000000001</v>
      </c>
      <c r="L39" s="55"/>
      <c r="M39" s="34">
        <f t="shared" si="2"/>
        <v>294018517.12</v>
      </c>
      <c r="N39" s="11"/>
      <c r="O39"/>
      <c r="Q39">
        <v>1</v>
      </c>
    </row>
    <row r="40" spans="1:17" hidden="1" x14ac:dyDescent="0.25">
      <c r="A40" s="40"/>
      <c r="B40" s="40"/>
      <c r="C40" s="51"/>
      <c r="D40" s="40"/>
      <c r="E40" s="52"/>
      <c r="F40" s="52"/>
      <c r="G40" s="53"/>
      <c r="H40" s="53"/>
      <c r="I40" s="54"/>
      <c r="J40" s="54"/>
      <c r="K40" s="55"/>
      <c r="L40" s="34"/>
      <c r="M40" s="34"/>
      <c r="N40" s="11"/>
      <c r="O40"/>
    </row>
    <row r="41" spans="1:17" s="14" customFormat="1" x14ac:dyDescent="0.25">
      <c r="A41" s="36"/>
      <c r="B41" s="37" t="s">
        <v>5</v>
      </c>
      <c r="C41" s="36"/>
      <c r="D41" s="36"/>
      <c r="E41" s="36"/>
      <c r="F41" s="36"/>
      <c r="G41" s="36"/>
      <c r="H41" s="36"/>
      <c r="I41" s="36"/>
      <c r="J41" s="36"/>
      <c r="K41" s="36"/>
      <c r="L41" s="36" t="s">
        <v>44</v>
      </c>
      <c r="M41" s="35">
        <f>SUMIF(Q34:Q40,1,M34:M40)</f>
        <v>2927398670.7399998</v>
      </c>
      <c r="O41" s="38"/>
    </row>
    <row r="43" spans="1:17" ht="30" x14ac:dyDescent="0.25">
      <c r="A43" s="30" t="s">
        <v>37</v>
      </c>
    </row>
    <row r="44" spans="1:17" ht="30" x14ac:dyDescent="0.25">
      <c r="A44" s="15" t="s">
        <v>7</v>
      </c>
      <c r="B44" s="15" t="s">
        <v>38</v>
      </c>
      <c r="C44" s="15" t="s">
        <v>26</v>
      </c>
      <c r="D44" s="15" t="s">
        <v>39</v>
      </c>
      <c r="E44" s="15" t="s">
        <v>25</v>
      </c>
      <c r="F44" s="15" t="s">
        <v>40</v>
      </c>
      <c r="G44" s="15" t="s">
        <v>41</v>
      </c>
      <c r="N44" s="11"/>
      <c r="O44"/>
    </row>
    <row r="45" spans="1:17" hidden="1" x14ac:dyDescent="0.25">
      <c r="A45" s="39"/>
      <c r="B45" s="39"/>
      <c r="C45" s="40"/>
      <c r="D45" s="41"/>
      <c r="E45" s="32"/>
      <c r="F45" s="32"/>
      <c r="G45" s="34"/>
      <c r="N45" s="11"/>
      <c r="O45"/>
    </row>
    <row r="46" spans="1:17" s="14" customFormat="1" x14ac:dyDescent="0.25">
      <c r="A46" s="42"/>
      <c r="B46" s="43" t="s">
        <v>5</v>
      </c>
      <c r="C46" s="44"/>
      <c r="D46" s="45"/>
      <c r="E46" s="57">
        <f>SUM(E45:E45)</f>
        <v>0</v>
      </c>
      <c r="F46" s="35">
        <f>SUM(F45:F45)</f>
        <v>0</v>
      </c>
      <c r="G46" s="35">
        <f>SUM(G45:G45)</f>
        <v>0</v>
      </c>
      <c r="N46" s="38"/>
    </row>
    <row r="47" spans="1:17" x14ac:dyDescent="0.25">
      <c r="A47" s="27"/>
      <c r="D47" s="28"/>
      <c r="G47" s="26"/>
    </row>
    <row r="48" spans="1:17" x14ac:dyDescent="0.25">
      <c r="A48" s="1" t="s">
        <v>22</v>
      </c>
      <c r="B48" s="29">
        <v>27328191134.779999</v>
      </c>
    </row>
    <row r="49" spans="1:15" x14ac:dyDescent="0.25">
      <c r="D49" s="10"/>
      <c r="E49" s="10"/>
    </row>
    <row r="51" spans="1:15" x14ac:dyDescent="0.25">
      <c r="A51" s="1" t="s">
        <v>47</v>
      </c>
      <c r="B51" s="1"/>
      <c r="C51" s="1"/>
      <c r="F51" s="10"/>
      <c r="O51"/>
    </row>
    <row r="52" spans="1:15" x14ac:dyDescent="0.25">
      <c r="O52"/>
    </row>
    <row r="53" spans="1:15" x14ac:dyDescent="0.25">
      <c r="A53" s="59" t="s">
        <v>48</v>
      </c>
      <c r="B53" s="59"/>
      <c r="C53" s="59"/>
      <c r="D53" s="59"/>
      <c r="O53"/>
    </row>
    <row r="54" spans="1:15" x14ac:dyDescent="0.25">
      <c r="O54"/>
    </row>
    <row r="55" spans="1:15" ht="30" x14ac:dyDescent="0.25">
      <c r="A55" s="15" t="s">
        <v>7</v>
      </c>
      <c r="B55" s="15" t="s">
        <v>38</v>
      </c>
      <c r="C55" s="15" t="s">
        <v>26</v>
      </c>
      <c r="D55" s="15" t="s">
        <v>39</v>
      </c>
      <c r="E55" s="15" t="s">
        <v>25</v>
      </c>
      <c r="F55" s="15" t="s">
        <v>40</v>
      </c>
      <c r="G55" s="15" t="s">
        <v>41</v>
      </c>
      <c r="O55"/>
    </row>
    <row r="56" spans="1:15" hidden="1" x14ac:dyDescent="0.25">
      <c r="A56" s="47"/>
      <c r="B56" s="47"/>
      <c r="C56" s="47"/>
      <c r="D56" s="47"/>
      <c r="E56" s="47"/>
      <c r="F56" s="47"/>
      <c r="G56" s="47"/>
      <c r="O56"/>
    </row>
    <row r="57" spans="1:15" s="14" customFormat="1" x14ac:dyDescent="0.25">
      <c r="A57" s="36"/>
      <c r="B57" s="37" t="s">
        <v>5</v>
      </c>
      <c r="C57" s="36"/>
      <c r="D57" s="36"/>
      <c r="E57" s="57">
        <f>SUM(E56:E56)</f>
        <v>0</v>
      </c>
      <c r="F57" s="35">
        <f>SUM(F56:F56)</f>
        <v>0</v>
      </c>
      <c r="G57" s="35">
        <f>SUM(G56:G56)</f>
        <v>0</v>
      </c>
    </row>
    <row r="58" spans="1:15" s="14" customFormat="1" x14ac:dyDescent="0.25">
      <c r="B58" s="46"/>
    </row>
    <row r="59" spans="1:15" x14ac:dyDescent="0.25">
      <c r="A59" s="59" t="s">
        <v>49</v>
      </c>
      <c r="B59" s="59"/>
      <c r="O59"/>
    </row>
    <row r="60" spans="1:15" x14ac:dyDescent="0.25">
      <c r="O60"/>
    </row>
    <row r="61" spans="1:15" x14ac:dyDescent="0.25">
      <c r="A61" s="15" t="s">
        <v>7</v>
      </c>
      <c r="B61" s="15" t="s">
        <v>38</v>
      </c>
      <c r="C61" s="15" t="s">
        <v>50</v>
      </c>
      <c r="D61" s="15" t="s">
        <v>51</v>
      </c>
      <c r="O61"/>
    </row>
    <row r="62" spans="1:15" x14ac:dyDescent="0.25">
      <c r="A62" s="25" t="s">
        <v>52</v>
      </c>
      <c r="B62" s="25">
        <v>1</v>
      </c>
      <c r="C62" s="25">
        <v>2</v>
      </c>
      <c r="D62" s="25">
        <v>3</v>
      </c>
      <c r="O62"/>
    </row>
    <row r="63" spans="1:15" x14ac:dyDescent="0.25">
      <c r="A63" s="25">
        <v>1</v>
      </c>
      <c r="B63" s="47" t="s">
        <v>53</v>
      </c>
      <c r="C63" s="48">
        <v>0</v>
      </c>
      <c r="D63" s="25"/>
      <c r="E63" s="10"/>
      <c r="O63"/>
    </row>
    <row r="64" spans="1:15" x14ac:dyDescent="0.25">
      <c r="A64" s="25">
        <v>2</v>
      </c>
      <c r="B64" s="47" t="s">
        <v>54</v>
      </c>
      <c r="C64" s="48">
        <v>0</v>
      </c>
      <c r="D64" s="25"/>
      <c r="E64" s="10"/>
      <c r="O64"/>
    </row>
    <row r="65" spans="1:15" x14ac:dyDescent="0.25">
      <c r="A65" s="25">
        <v>3</v>
      </c>
      <c r="B65" s="47" t="s">
        <v>55</v>
      </c>
      <c r="C65" s="48">
        <v>49999.999856905997</v>
      </c>
      <c r="D65" s="25"/>
      <c r="O65"/>
    </row>
    <row r="66" spans="1:15" x14ac:dyDescent="0.25">
      <c r="A66" s="25">
        <v>4</v>
      </c>
      <c r="B66" s="47" t="s">
        <v>56</v>
      </c>
      <c r="C66" s="48">
        <v>0</v>
      </c>
      <c r="D66" s="25"/>
      <c r="F66" s="10">
        <f>__mdDATAItogoActive__-C73-[1]КФГД!$AV$409</f>
        <v>-2.288818359375E-3</v>
      </c>
      <c r="O66"/>
    </row>
    <row r="67" spans="1:15" ht="30" x14ac:dyDescent="0.25">
      <c r="A67" s="25">
        <v>5</v>
      </c>
      <c r="B67" s="49" t="s">
        <v>57</v>
      </c>
      <c r="C67" s="48">
        <v>417652.43</v>
      </c>
      <c r="D67" s="25"/>
      <c r="F67" s="10"/>
      <c r="O67"/>
    </row>
    <row r="68" spans="1:15" x14ac:dyDescent="0.25">
      <c r="A68" s="25">
        <v>6</v>
      </c>
      <c r="B68" s="47" t="s">
        <v>58</v>
      </c>
      <c r="C68" s="48">
        <v>339497</v>
      </c>
      <c r="D68" s="48"/>
      <c r="O68"/>
    </row>
    <row r="69" spans="1:15" x14ac:dyDescent="0.25">
      <c r="A69" s="25">
        <v>7</v>
      </c>
      <c r="B69" s="47" t="s">
        <v>59</v>
      </c>
      <c r="C69" s="48">
        <v>141125.97</v>
      </c>
      <c r="D69" s="48"/>
      <c r="O69"/>
    </row>
    <row r="70" spans="1:15" x14ac:dyDescent="0.25">
      <c r="A70" s="25">
        <v>8</v>
      </c>
      <c r="B70" s="47" t="s">
        <v>60</v>
      </c>
      <c r="C70" s="48">
        <v>0</v>
      </c>
      <c r="D70" s="25"/>
      <c r="O70"/>
    </row>
    <row r="71" spans="1:15" ht="45" x14ac:dyDescent="0.25">
      <c r="A71" s="25">
        <v>9</v>
      </c>
      <c r="B71" s="49" t="s">
        <v>61</v>
      </c>
      <c r="C71" s="48">
        <v>0</v>
      </c>
      <c r="D71" s="25"/>
      <c r="O71"/>
    </row>
    <row r="72" spans="1:15" ht="30" x14ac:dyDescent="0.25">
      <c r="A72" s="25">
        <v>10</v>
      </c>
      <c r="B72" s="49" t="s">
        <v>62</v>
      </c>
      <c r="C72" s="48">
        <v>0</v>
      </c>
      <c r="D72" s="25"/>
      <c r="E72" s="10"/>
      <c r="O72"/>
    </row>
    <row r="73" spans="1:15" x14ac:dyDescent="0.25">
      <c r="A73" s="60" t="s">
        <v>63</v>
      </c>
      <c r="B73" s="60"/>
      <c r="C73" s="50">
        <f>SUM(C63:C72)</f>
        <v>948275.39985690592</v>
      </c>
      <c r="D73" s="47"/>
      <c r="O73"/>
    </row>
    <row r="75" spans="1:15" x14ac:dyDescent="0.25">
      <c r="C75" s="26"/>
    </row>
    <row r="76" spans="1:15" x14ac:dyDescent="0.25">
      <c r="C76" s="10"/>
    </row>
    <row r="77" spans="1:15" x14ac:dyDescent="0.25">
      <c r="C77" s="10"/>
      <c r="D77" s="10"/>
    </row>
    <row r="78" spans="1:15" x14ac:dyDescent="0.25">
      <c r="C78" s="10"/>
    </row>
  </sheetData>
  <mergeCells count="3">
    <mergeCell ref="A53:D53"/>
    <mergeCell ref="A59:B59"/>
    <mergeCell ref="A73:B7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7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3" bestFit="1" customWidth="1"/>
    <col min="2" max="2" width="14.140625" style="3" bestFit="1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3.14062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11" max="16384" width="8.85546875" style="3"/>
  </cols>
  <sheetData>
    <row r="1" spans="1:10" x14ac:dyDescent="0.25">
      <c r="A1" s="8" t="s">
        <v>6</v>
      </c>
      <c r="B1" s="9" t="str">
        <f>__mdDATAHead__</f>
        <v>20.08.2025</v>
      </c>
    </row>
    <row r="3" spans="1:10" s="5" customFormat="1" ht="42" customHeight="1" x14ac:dyDescent="0.25">
      <c r="A3" s="4" t="s">
        <v>7</v>
      </c>
      <c r="B3" s="4" t="s">
        <v>8</v>
      </c>
      <c r="C3" s="4" t="s">
        <v>0</v>
      </c>
      <c r="D3" s="4" t="s">
        <v>9</v>
      </c>
      <c r="E3" s="4" t="s">
        <v>10</v>
      </c>
      <c r="F3" s="4" t="s">
        <v>11</v>
      </c>
      <c r="G3" s="4" t="s">
        <v>12</v>
      </c>
      <c r="H3" s="4" t="s">
        <v>13</v>
      </c>
      <c r="I3" s="4" t="s">
        <v>14</v>
      </c>
      <c r="J3" s="4" t="s">
        <v>15</v>
      </c>
    </row>
    <row r="4" spans="1:10" x14ac:dyDescent="0.25">
      <c r="A4" s="6">
        <f t="shared" ref="A4:A35" ca="1" si="0">IF(OFFSET(A4,-1,0)="№ п/п",1,OFFSET(A4,-1,0)+1)</f>
        <v>1</v>
      </c>
      <c r="B4" s="6" t="s">
        <v>115</v>
      </c>
      <c r="C4" s="6" t="s">
        <v>116</v>
      </c>
      <c r="D4" s="6" t="s">
        <v>117</v>
      </c>
      <c r="E4" s="6" t="s">
        <v>118</v>
      </c>
      <c r="F4" s="6">
        <v>9492.69</v>
      </c>
      <c r="G4" s="7"/>
      <c r="H4" s="7"/>
      <c r="I4" s="7"/>
      <c r="J4" s="6" t="s">
        <v>119</v>
      </c>
    </row>
    <row r="5" spans="1:10" x14ac:dyDescent="0.25">
      <c r="A5" s="6">
        <f t="shared" ca="1" si="0"/>
        <v>2</v>
      </c>
      <c r="B5" s="6" t="s">
        <v>120</v>
      </c>
      <c r="C5" s="6" t="s">
        <v>121</v>
      </c>
      <c r="D5" s="6" t="s">
        <v>122</v>
      </c>
      <c r="E5" s="6" t="s">
        <v>118</v>
      </c>
      <c r="F5" s="6">
        <v>1028.4840000000002</v>
      </c>
      <c r="G5" s="7">
        <v>112.19840000000001</v>
      </c>
      <c r="H5" s="7">
        <v>20.49</v>
      </c>
      <c r="I5" s="7">
        <v>941</v>
      </c>
      <c r="J5" s="6" t="s">
        <v>123</v>
      </c>
    </row>
    <row r="6" spans="1:10" x14ac:dyDescent="0.25">
      <c r="A6" s="6">
        <f t="shared" ca="1" si="0"/>
        <v>3</v>
      </c>
      <c r="B6" s="6" t="s">
        <v>124</v>
      </c>
      <c r="C6" s="6" t="s">
        <v>125</v>
      </c>
      <c r="D6" s="6" t="s">
        <v>117</v>
      </c>
      <c r="E6" s="6" t="s">
        <v>126</v>
      </c>
      <c r="F6" s="6">
        <v>1441.99</v>
      </c>
      <c r="G6" s="7"/>
      <c r="H6" s="7"/>
      <c r="I6" s="7"/>
      <c r="J6" s="6" t="s">
        <v>119</v>
      </c>
    </row>
    <row r="7" spans="1:10" x14ac:dyDescent="0.25">
      <c r="A7" s="6">
        <f t="shared" ca="1" si="0"/>
        <v>4</v>
      </c>
      <c r="B7" s="6" t="s">
        <v>127</v>
      </c>
      <c r="C7" s="6" t="s">
        <v>128</v>
      </c>
      <c r="D7" s="6" t="s">
        <v>117</v>
      </c>
      <c r="E7" s="6" t="s">
        <v>129</v>
      </c>
      <c r="F7" s="6">
        <v>581941.64</v>
      </c>
      <c r="G7" s="7"/>
      <c r="H7" s="7"/>
      <c r="I7" s="7"/>
      <c r="J7" s="6" t="s">
        <v>119</v>
      </c>
    </row>
    <row r="8" spans="1:10" x14ac:dyDescent="0.25">
      <c r="A8" s="6">
        <f t="shared" ca="1" si="0"/>
        <v>5</v>
      </c>
      <c r="B8" s="6" t="s">
        <v>130</v>
      </c>
      <c r="C8" s="6" t="s">
        <v>131</v>
      </c>
      <c r="D8" s="6" t="s">
        <v>117</v>
      </c>
      <c r="E8" s="6" t="s">
        <v>129</v>
      </c>
      <c r="F8" s="6">
        <v>6266.18</v>
      </c>
      <c r="G8" s="7"/>
      <c r="H8" s="7"/>
      <c r="I8" s="7"/>
      <c r="J8" s="6" t="s">
        <v>119</v>
      </c>
    </row>
    <row r="9" spans="1:10" x14ac:dyDescent="0.25">
      <c r="A9" s="6">
        <f t="shared" ca="1" si="0"/>
        <v>6</v>
      </c>
      <c r="B9" s="6" t="s">
        <v>132</v>
      </c>
      <c r="C9" s="6" t="s">
        <v>133</v>
      </c>
      <c r="D9" s="6" t="s">
        <v>122</v>
      </c>
      <c r="E9" s="6" t="s">
        <v>129</v>
      </c>
      <c r="F9" s="6">
        <v>0.90120800000000001</v>
      </c>
      <c r="G9" s="7">
        <v>92.053400000000011</v>
      </c>
      <c r="H9" s="7">
        <v>6.61</v>
      </c>
      <c r="I9" s="7">
        <v>7913</v>
      </c>
      <c r="J9" s="6" t="s">
        <v>123</v>
      </c>
    </row>
    <row r="10" spans="1:10" x14ac:dyDescent="0.25">
      <c r="A10" s="6">
        <f t="shared" ca="1" si="0"/>
        <v>7</v>
      </c>
      <c r="B10" s="6" t="s">
        <v>134</v>
      </c>
      <c r="C10" s="6" t="s">
        <v>135</v>
      </c>
      <c r="D10" s="6" t="s">
        <v>117</v>
      </c>
      <c r="E10" s="6" t="s">
        <v>129</v>
      </c>
      <c r="F10" s="6">
        <v>89424.27</v>
      </c>
      <c r="G10" s="7"/>
      <c r="H10" s="7"/>
      <c r="I10" s="7"/>
      <c r="J10" s="6" t="s">
        <v>119</v>
      </c>
    </row>
    <row r="11" spans="1:10" x14ac:dyDescent="0.25">
      <c r="A11" s="6">
        <f t="shared" ca="1" si="0"/>
        <v>8</v>
      </c>
      <c r="B11" s="6" t="s">
        <v>136</v>
      </c>
      <c r="C11" s="6" t="s">
        <v>137</v>
      </c>
      <c r="D11" s="6" t="s">
        <v>117</v>
      </c>
      <c r="E11" s="6" t="s">
        <v>129</v>
      </c>
      <c r="F11" s="6">
        <v>5450.8</v>
      </c>
      <c r="G11" s="7"/>
      <c r="H11" s="7"/>
      <c r="I11" s="7"/>
      <c r="J11" s="6" t="s">
        <v>119</v>
      </c>
    </row>
    <row r="12" spans="1:10" x14ac:dyDescent="0.25">
      <c r="A12" s="6">
        <f t="shared" ca="1" si="0"/>
        <v>9</v>
      </c>
      <c r="B12" s="6" t="s">
        <v>138</v>
      </c>
      <c r="C12" s="6" t="s">
        <v>139</v>
      </c>
      <c r="D12" s="6" t="s">
        <v>117</v>
      </c>
      <c r="E12" s="6" t="s">
        <v>129</v>
      </c>
      <c r="F12" s="6">
        <v>5910326.9500000002</v>
      </c>
      <c r="G12" s="7"/>
      <c r="H12" s="7"/>
      <c r="I12" s="7"/>
      <c r="J12" s="6" t="s">
        <v>119</v>
      </c>
    </row>
    <row r="13" spans="1:10" x14ac:dyDescent="0.25">
      <c r="A13" s="6">
        <f t="shared" ca="1" si="0"/>
        <v>10</v>
      </c>
      <c r="B13" s="6" t="s">
        <v>140</v>
      </c>
      <c r="C13" s="6" t="s">
        <v>141</v>
      </c>
      <c r="D13" s="6" t="s">
        <v>122</v>
      </c>
      <c r="E13" s="6" t="s">
        <v>129</v>
      </c>
      <c r="F13" s="6">
        <v>0.88349199999999994</v>
      </c>
      <c r="G13" s="7">
        <v>89.574200000000005</v>
      </c>
      <c r="H13" s="7">
        <v>5.38</v>
      </c>
      <c r="I13" s="7">
        <v>2795</v>
      </c>
      <c r="J13" s="6" t="s">
        <v>123</v>
      </c>
    </row>
    <row r="14" spans="1:10" x14ac:dyDescent="0.25">
      <c r="A14" s="6">
        <f t="shared" ca="1" si="0"/>
        <v>11</v>
      </c>
      <c r="B14" s="6" t="s">
        <v>142</v>
      </c>
      <c r="C14" s="6" t="s">
        <v>143</v>
      </c>
      <c r="D14" s="6" t="s">
        <v>117</v>
      </c>
      <c r="E14" s="6" t="s">
        <v>129</v>
      </c>
      <c r="F14" s="6">
        <v>1162.02</v>
      </c>
      <c r="G14" s="7"/>
      <c r="H14" s="7"/>
      <c r="I14" s="7"/>
      <c r="J14" s="6" t="s">
        <v>144</v>
      </c>
    </row>
    <row r="15" spans="1:10" x14ac:dyDescent="0.25">
      <c r="A15" s="6">
        <f t="shared" ca="1" si="0"/>
        <v>12</v>
      </c>
      <c r="B15" s="6" t="s">
        <v>145</v>
      </c>
      <c r="C15" s="6" t="s">
        <v>146</v>
      </c>
      <c r="D15" s="6" t="s">
        <v>117</v>
      </c>
      <c r="E15" s="6" t="s">
        <v>129</v>
      </c>
      <c r="F15" s="6">
        <v>1040.33</v>
      </c>
      <c r="G15" s="7"/>
      <c r="H15" s="7"/>
      <c r="I15" s="7"/>
      <c r="J15" s="6" t="s">
        <v>144</v>
      </c>
    </row>
    <row r="16" spans="1:10" x14ac:dyDescent="0.25">
      <c r="A16" s="6">
        <f t="shared" ca="1" si="0"/>
        <v>13</v>
      </c>
      <c r="B16" s="6" t="s">
        <v>147</v>
      </c>
      <c r="C16" s="6" t="s">
        <v>148</v>
      </c>
      <c r="D16" s="6" t="s">
        <v>117</v>
      </c>
      <c r="E16" s="6" t="s">
        <v>129</v>
      </c>
      <c r="F16" s="6">
        <v>1747647.29</v>
      </c>
      <c r="G16" s="7"/>
      <c r="H16" s="7"/>
      <c r="I16" s="7"/>
      <c r="J16" s="6" t="s">
        <v>119</v>
      </c>
    </row>
    <row r="17" spans="1:10" x14ac:dyDescent="0.25">
      <c r="A17" s="6">
        <f t="shared" ca="1" si="0"/>
        <v>14</v>
      </c>
      <c r="B17" s="6" t="s">
        <v>149</v>
      </c>
      <c r="C17" s="6" t="s">
        <v>150</v>
      </c>
      <c r="D17" s="6" t="s">
        <v>117</v>
      </c>
      <c r="E17" s="6" t="s">
        <v>129</v>
      </c>
      <c r="F17" s="6">
        <v>73167.900000000009</v>
      </c>
      <c r="G17" s="7"/>
      <c r="H17" s="7"/>
      <c r="I17" s="7"/>
      <c r="J17" s="6" t="s">
        <v>119</v>
      </c>
    </row>
    <row r="18" spans="1:10" x14ac:dyDescent="0.25">
      <c r="A18" s="6">
        <f t="shared" ca="1" si="0"/>
        <v>15</v>
      </c>
      <c r="B18" s="6" t="s">
        <v>151</v>
      </c>
      <c r="C18" s="6" t="s">
        <v>152</v>
      </c>
      <c r="D18" s="6" t="s">
        <v>117</v>
      </c>
      <c r="E18" s="6" t="s">
        <v>129</v>
      </c>
      <c r="F18" s="6">
        <v>74112.75</v>
      </c>
      <c r="G18" s="7"/>
      <c r="H18" s="7"/>
      <c r="I18" s="7"/>
      <c r="J18" s="6" t="s">
        <v>119</v>
      </c>
    </row>
    <row r="19" spans="1:10" x14ac:dyDescent="0.25">
      <c r="A19" s="6">
        <f t="shared" ca="1" si="0"/>
        <v>16</v>
      </c>
      <c r="B19" s="6" t="s">
        <v>153</v>
      </c>
      <c r="C19" s="6" t="s">
        <v>154</v>
      </c>
      <c r="D19" s="6" t="s">
        <v>117</v>
      </c>
      <c r="E19" s="6" t="s">
        <v>129</v>
      </c>
      <c r="F19" s="6">
        <v>53331.839999999997</v>
      </c>
      <c r="G19" s="7"/>
      <c r="H19" s="7"/>
      <c r="I19" s="7"/>
      <c r="J19" s="6" t="s">
        <v>119</v>
      </c>
    </row>
    <row r="20" spans="1:10" x14ac:dyDescent="0.25">
      <c r="A20" s="6">
        <f t="shared" ca="1" si="0"/>
        <v>17</v>
      </c>
      <c r="B20" s="6" t="s">
        <v>155</v>
      </c>
      <c r="C20" s="6" t="s">
        <v>156</v>
      </c>
      <c r="D20" s="6" t="s">
        <v>117</v>
      </c>
      <c r="E20" s="6" t="s">
        <v>129</v>
      </c>
      <c r="F20" s="6">
        <v>6.9</v>
      </c>
      <c r="G20" s="7"/>
      <c r="H20" s="7"/>
      <c r="I20" s="7"/>
      <c r="J20" s="6" t="s">
        <v>119</v>
      </c>
    </row>
    <row r="21" spans="1:10" x14ac:dyDescent="0.25">
      <c r="A21" s="6">
        <f t="shared" ca="1" si="0"/>
        <v>18</v>
      </c>
      <c r="B21" s="6" t="s">
        <v>157</v>
      </c>
      <c r="C21" s="6" t="s">
        <v>158</v>
      </c>
      <c r="D21" s="6" t="s">
        <v>122</v>
      </c>
      <c r="E21" s="6" t="s">
        <v>129</v>
      </c>
      <c r="F21" s="6">
        <v>1000</v>
      </c>
      <c r="G21" s="7">
        <v>104.44640000000001</v>
      </c>
      <c r="H21" s="7">
        <v>17.36</v>
      </c>
      <c r="I21" s="7">
        <v>1187</v>
      </c>
      <c r="J21" s="6" t="s">
        <v>123</v>
      </c>
    </row>
    <row r="22" spans="1:10" x14ac:dyDescent="0.25">
      <c r="A22" s="6">
        <f t="shared" ca="1" si="0"/>
        <v>19</v>
      </c>
      <c r="B22" s="6" t="s">
        <v>159</v>
      </c>
      <c r="C22" s="6" t="s">
        <v>160</v>
      </c>
      <c r="D22" s="6" t="s">
        <v>122</v>
      </c>
      <c r="E22" s="6" t="s">
        <v>129</v>
      </c>
      <c r="F22" s="6">
        <v>993.6</v>
      </c>
      <c r="G22" s="7">
        <v>99.748200000000011</v>
      </c>
      <c r="H22" s="7">
        <v>26.13</v>
      </c>
      <c r="I22" s="7">
        <v>87</v>
      </c>
      <c r="J22" s="6" t="s">
        <v>123</v>
      </c>
    </row>
    <row r="23" spans="1:10" x14ac:dyDescent="0.25">
      <c r="A23" s="6">
        <f t="shared" ca="1" si="0"/>
        <v>20</v>
      </c>
      <c r="B23" s="6" t="s">
        <v>161</v>
      </c>
      <c r="C23" s="6" t="s">
        <v>162</v>
      </c>
      <c r="D23" s="6" t="s">
        <v>122</v>
      </c>
      <c r="E23" s="6" t="s">
        <v>129</v>
      </c>
      <c r="F23" s="6">
        <v>1000</v>
      </c>
      <c r="G23" s="7">
        <v>106.0197</v>
      </c>
      <c r="H23" s="7">
        <v>17.16</v>
      </c>
      <c r="I23" s="7">
        <v>786</v>
      </c>
      <c r="J23" s="6" t="s">
        <v>123</v>
      </c>
    </row>
    <row r="24" spans="1:10" x14ac:dyDescent="0.25">
      <c r="A24" s="6">
        <f t="shared" ca="1" si="0"/>
        <v>21</v>
      </c>
      <c r="B24" s="6" t="s">
        <v>163</v>
      </c>
      <c r="C24" s="6" t="s">
        <v>164</v>
      </c>
      <c r="D24" s="6" t="s">
        <v>122</v>
      </c>
      <c r="E24" s="6" t="s">
        <v>129</v>
      </c>
      <c r="F24" s="6">
        <v>1000</v>
      </c>
      <c r="G24" s="7">
        <v>101.80880000000001</v>
      </c>
      <c r="H24" s="7">
        <v>17.580000000000002</v>
      </c>
      <c r="I24" s="7">
        <v>1973</v>
      </c>
      <c r="J24" s="6" t="s">
        <v>123</v>
      </c>
    </row>
    <row r="25" spans="1:10" x14ac:dyDescent="0.25">
      <c r="A25" s="6">
        <f t="shared" ca="1" si="0"/>
        <v>22</v>
      </c>
      <c r="B25" s="6" t="s">
        <v>165</v>
      </c>
      <c r="C25" s="6" t="s">
        <v>166</v>
      </c>
      <c r="D25" s="6" t="s">
        <v>122</v>
      </c>
      <c r="E25" s="6" t="s">
        <v>129</v>
      </c>
      <c r="F25" s="6">
        <v>1000</v>
      </c>
      <c r="G25" s="7">
        <v>108.1088</v>
      </c>
      <c r="H25" s="7">
        <v>17.47</v>
      </c>
      <c r="I25" s="7">
        <v>1657</v>
      </c>
      <c r="J25" s="6" t="s">
        <v>123</v>
      </c>
    </row>
    <row r="26" spans="1:10" x14ac:dyDescent="0.25">
      <c r="A26" s="6">
        <f t="shared" ca="1" si="0"/>
        <v>23</v>
      </c>
      <c r="B26" s="6" t="s">
        <v>167</v>
      </c>
      <c r="C26" s="6" t="s">
        <v>168</v>
      </c>
      <c r="D26" s="6" t="s">
        <v>122</v>
      </c>
      <c r="E26" s="6" t="s">
        <v>129</v>
      </c>
      <c r="F26" s="6">
        <v>93.162700000000001</v>
      </c>
      <c r="G26" s="7">
        <v>95.137700000000009</v>
      </c>
      <c r="H26" s="7">
        <v>15.03</v>
      </c>
      <c r="I26" s="7">
        <v>469</v>
      </c>
      <c r="J26" s="6" t="s">
        <v>123</v>
      </c>
    </row>
    <row r="27" spans="1:10" x14ac:dyDescent="0.25">
      <c r="A27" s="6">
        <f t="shared" ca="1" si="0"/>
        <v>24</v>
      </c>
      <c r="B27" s="6" t="s">
        <v>169</v>
      </c>
      <c r="C27" s="6" t="s">
        <v>170</v>
      </c>
      <c r="D27" s="6" t="s">
        <v>122</v>
      </c>
      <c r="E27" s="6" t="s">
        <v>129</v>
      </c>
      <c r="F27" s="6">
        <v>1000</v>
      </c>
      <c r="G27" s="7">
        <v>103.33330000000001</v>
      </c>
      <c r="H27" s="7">
        <v>19.990000000000002</v>
      </c>
      <c r="I27" s="7">
        <v>1128</v>
      </c>
      <c r="J27" s="6" t="s">
        <v>123</v>
      </c>
    </row>
    <row r="28" spans="1:10" x14ac:dyDescent="0.25">
      <c r="A28" s="6">
        <f t="shared" ca="1" si="0"/>
        <v>25</v>
      </c>
      <c r="B28" s="6" t="s">
        <v>171</v>
      </c>
      <c r="C28" s="6" t="s">
        <v>172</v>
      </c>
      <c r="D28" s="6" t="s">
        <v>117</v>
      </c>
      <c r="E28" s="6" t="s">
        <v>129</v>
      </c>
      <c r="F28" s="6">
        <v>1461.11</v>
      </c>
      <c r="G28" s="7"/>
      <c r="H28" s="7"/>
      <c r="I28" s="7"/>
      <c r="J28" s="6" t="s">
        <v>119</v>
      </c>
    </row>
    <row r="29" spans="1:10" x14ac:dyDescent="0.25">
      <c r="A29" s="6">
        <f t="shared" ca="1" si="0"/>
        <v>26</v>
      </c>
      <c r="B29" s="6" t="s">
        <v>173</v>
      </c>
      <c r="C29" s="6" t="s">
        <v>174</v>
      </c>
      <c r="D29" s="6" t="s">
        <v>122</v>
      </c>
      <c r="E29" s="6" t="s">
        <v>129</v>
      </c>
      <c r="F29" s="6">
        <v>999.9620000000001</v>
      </c>
      <c r="G29" s="7">
        <v>100.7295</v>
      </c>
      <c r="H29" s="7">
        <v>22</v>
      </c>
      <c r="I29" s="7">
        <v>719</v>
      </c>
      <c r="J29" s="6" t="s">
        <v>123</v>
      </c>
    </row>
    <row r="30" spans="1:10" x14ac:dyDescent="0.25">
      <c r="A30" s="6">
        <f t="shared" ca="1" si="0"/>
        <v>27</v>
      </c>
      <c r="B30" s="6" t="s">
        <v>175</v>
      </c>
      <c r="C30" s="6" t="s">
        <v>176</v>
      </c>
      <c r="D30" s="6" t="s">
        <v>122</v>
      </c>
      <c r="E30" s="6" t="s">
        <v>129</v>
      </c>
      <c r="F30" s="6">
        <v>1000</v>
      </c>
      <c r="G30" s="7">
        <v>101.45830000000001</v>
      </c>
      <c r="H30" s="7">
        <v>21</v>
      </c>
      <c r="I30" s="7">
        <v>310</v>
      </c>
      <c r="J30" s="6" t="s">
        <v>123</v>
      </c>
    </row>
    <row r="31" spans="1:10" x14ac:dyDescent="0.25">
      <c r="A31" s="6">
        <f t="shared" ca="1" si="0"/>
        <v>28</v>
      </c>
      <c r="B31" s="6" t="s">
        <v>177</v>
      </c>
      <c r="C31" s="6" t="s">
        <v>178</v>
      </c>
      <c r="D31" s="6" t="s">
        <v>122</v>
      </c>
      <c r="E31" s="6" t="s">
        <v>129</v>
      </c>
      <c r="F31" s="6">
        <v>997.87600000000009</v>
      </c>
      <c r="G31" s="7">
        <v>100.03200000000001</v>
      </c>
      <c r="H31" s="7">
        <v>22.15</v>
      </c>
      <c r="I31" s="7">
        <v>635</v>
      </c>
      <c r="J31" s="6" t="s">
        <v>123</v>
      </c>
    </row>
    <row r="32" spans="1:10" x14ac:dyDescent="0.25">
      <c r="A32" s="6">
        <f t="shared" ca="1" si="0"/>
        <v>29</v>
      </c>
      <c r="B32" s="6" t="s">
        <v>179</v>
      </c>
      <c r="C32" s="6" t="s">
        <v>180</v>
      </c>
      <c r="D32" s="6" t="s">
        <v>122</v>
      </c>
      <c r="E32" s="6" t="s">
        <v>129</v>
      </c>
      <c r="F32" s="6">
        <v>100.37</v>
      </c>
      <c r="G32" s="7">
        <v>100.50330000000001</v>
      </c>
      <c r="H32" s="7">
        <v>11.76</v>
      </c>
      <c r="I32" s="7">
        <v>635</v>
      </c>
      <c r="J32" s="6" t="s">
        <v>123</v>
      </c>
    </row>
    <row r="33" spans="1:10" x14ac:dyDescent="0.25">
      <c r="A33" s="6">
        <f t="shared" ca="1" si="0"/>
        <v>30</v>
      </c>
      <c r="B33" s="6" t="s">
        <v>181</v>
      </c>
      <c r="C33" s="6" t="s">
        <v>182</v>
      </c>
      <c r="D33" s="6" t="s">
        <v>122</v>
      </c>
      <c r="E33" s="6" t="s">
        <v>129</v>
      </c>
      <c r="F33" s="6">
        <v>872.67900000000009</v>
      </c>
      <c r="G33" s="7">
        <v>88.434600000000003</v>
      </c>
      <c r="H33" s="7">
        <v>34.119999999999997</v>
      </c>
      <c r="I33" s="7">
        <v>437</v>
      </c>
      <c r="J33" s="6" t="s">
        <v>123</v>
      </c>
    </row>
    <row r="34" spans="1:10" x14ac:dyDescent="0.25">
      <c r="A34" s="6">
        <f t="shared" ca="1" si="0"/>
        <v>31</v>
      </c>
      <c r="B34" s="6" t="s">
        <v>183</v>
      </c>
      <c r="C34" s="6" t="s">
        <v>184</v>
      </c>
      <c r="D34" s="6" t="s">
        <v>122</v>
      </c>
      <c r="E34" s="6" t="s">
        <v>129</v>
      </c>
      <c r="F34" s="6">
        <v>972.31200000000001</v>
      </c>
      <c r="G34" s="7">
        <v>97.231200000000001</v>
      </c>
      <c r="H34" s="7">
        <v>22.99</v>
      </c>
      <c r="I34" s="7">
        <v>1036</v>
      </c>
      <c r="J34" s="6" t="s">
        <v>123</v>
      </c>
    </row>
    <row r="35" spans="1:10" x14ac:dyDescent="0.25">
      <c r="A35" s="6">
        <f t="shared" ca="1" si="0"/>
        <v>32</v>
      </c>
      <c r="B35" s="6" t="s">
        <v>185</v>
      </c>
      <c r="C35" s="6" t="s">
        <v>186</v>
      </c>
      <c r="D35" s="6" t="s">
        <v>122</v>
      </c>
      <c r="E35" s="6" t="s">
        <v>129</v>
      </c>
      <c r="F35" s="6">
        <v>836.39600000000007</v>
      </c>
      <c r="G35" s="7">
        <v>84.556300000000007</v>
      </c>
      <c r="H35" s="7">
        <v>33.910000000000004</v>
      </c>
      <c r="I35" s="7">
        <v>685</v>
      </c>
      <c r="J35" s="6" t="s">
        <v>123</v>
      </c>
    </row>
    <row r="36" spans="1:10" x14ac:dyDescent="0.25">
      <c r="A36" s="6">
        <f t="shared" ref="A36:A67" ca="1" si="1">IF(OFFSET(A36,-1,0)="№ п/п",1,OFFSET(A36,-1,0)+1)</f>
        <v>33</v>
      </c>
      <c r="B36" s="6" t="s">
        <v>187</v>
      </c>
      <c r="C36" s="6" t="s">
        <v>188</v>
      </c>
      <c r="D36" s="6" t="s">
        <v>122</v>
      </c>
      <c r="E36" s="6" t="s">
        <v>129</v>
      </c>
      <c r="F36" s="6">
        <v>965.63700000000006</v>
      </c>
      <c r="G36" s="7">
        <v>98.094300000000004</v>
      </c>
      <c r="H36" s="7">
        <v>22.37</v>
      </c>
      <c r="I36" s="7">
        <v>428</v>
      </c>
      <c r="J36" s="6" t="s">
        <v>123</v>
      </c>
    </row>
    <row r="37" spans="1:10" x14ac:dyDescent="0.25">
      <c r="A37" s="6">
        <f t="shared" ca="1" si="1"/>
        <v>34</v>
      </c>
      <c r="B37" s="6" t="s">
        <v>189</v>
      </c>
      <c r="C37" s="6" t="s">
        <v>190</v>
      </c>
      <c r="D37" s="6" t="s">
        <v>122</v>
      </c>
      <c r="E37" s="6" t="s">
        <v>129</v>
      </c>
      <c r="F37" s="6">
        <v>979.13800000000003</v>
      </c>
      <c r="G37" s="7">
        <v>99.0749</v>
      </c>
      <c r="H37" s="7">
        <v>20.09</v>
      </c>
      <c r="I37" s="7">
        <v>892</v>
      </c>
      <c r="J37" s="6" t="s">
        <v>123</v>
      </c>
    </row>
    <row r="38" spans="1:10" x14ac:dyDescent="0.25">
      <c r="A38" s="6">
        <f t="shared" ca="1" si="1"/>
        <v>35</v>
      </c>
      <c r="B38" s="6" t="s">
        <v>191</v>
      </c>
      <c r="C38" s="6" t="s">
        <v>192</v>
      </c>
      <c r="D38" s="6" t="s">
        <v>122</v>
      </c>
      <c r="E38" s="6" t="s">
        <v>129</v>
      </c>
      <c r="F38" s="6">
        <v>775.98800000000006</v>
      </c>
      <c r="G38" s="7">
        <v>77.6571</v>
      </c>
      <c r="H38" s="7">
        <v>190.63</v>
      </c>
      <c r="I38" s="7">
        <v>61</v>
      </c>
      <c r="J38" s="6" t="s">
        <v>123</v>
      </c>
    </row>
    <row r="39" spans="1:10" x14ac:dyDescent="0.25">
      <c r="A39" s="6">
        <f t="shared" ca="1" si="1"/>
        <v>36</v>
      </c>
      <c r="B39" s="6" t="s">
        <v>193</v>
      </c>
      <c r="C39" s="6" t="s">
        <v>194</v>
      </c>
      <c r="D39" s="6" t="s">
        <v>122</v>
      </c>
      <c r="E39" s="6" t="s">
        <v>129</v>
      </c>
      <c r="F39" s="6">
        <v>990.94600000000003</v>
      </c>
      <c r="G39" s="7">
        <v>99.561300000000003</v>
      </c>
      <c r="H39" s="7">
        <v>21.46</v>
      </c>
      <c r="I39" s="7">
        <v>936</v>
      </c>
      <c r="J39" s="6" t="s">
        <v>123</v>
      </c>
    </row>
    <row r="40" spans="1:10" x14ac:dyDescent="0.25">
      <c r="A40" s="6">
        <f t="shared" ca="1" si="1"/>
        <v>37</v>
      </c>
      <c r="B40" s="6" t="s">
        <v>195</v>
      </c>
      <c r="C40" s="6" t="s">
        <v>196</v>
      </c>
      <c r="D40" s="6" t="s">
        <v>122</v>
      </c>
      <c r="E40" s="6" t="s">
        <v>129</v>
      </c>
      <c r="F40" s="6">
        <v>998.92200000000003</v>
      </c>
      <c r="G40" s="7">
        <v>104.27970000000001</v>
      </c>
      <c r="H40" s="7">
        <v>19.5</v>
      </c>
      <c r="I40" s="7">
        <v>648</v>
      </c>
      <c r="J40" s="6" t="s">
        <v>123</v>
      </c>
    </row>
    <row r="41" spans="1:10" x14ac:dyDescent="0.25">
      <c r="A41" s="6">
        <f t="shared" ca="1" si="1"/>
        <v>38</v>
      </c>
      <c r="B41" s="6" t="s">
        <v>197</v>
      </c>
      <c r="C41" s="6" t="s">
        <v>198</v>
      </c>
      <c r="D41" s="6" t="s">
        <v>122</v>
      </c>
      <c r="E41" s="6" t="s">
        <v>129</v>
      </c>
      <c r="F41" s="6">
        <v>99.999900000000011</v>
      </c>
      <c r="G41" s="7">
        <v>100.05550000000001</v>
      </c>
      <c r="H41" s="7">
        <v>10</v>
      </c>
      <c r="I41" s="7">
        <v>576</v>
      </c>
      <c r="J41" s="6" t="s">
        <v>123</v>
      </c>
    </row>
    <row r="42" spans="1:10" x14ac:dyDescent="0.25">
      <c r="A42" s="6">
        <f t="shared" ca="1" si="1"/>
        <v>39</v>
      </c>
      <c r="B42" s="6" t="s">
        <v>199</v>
      </c>
      <c r="C42" s="6" t="s">
        <v>200</v>
      </c>
      <c r="D42" s="6" t="s">
        <v>122</v>
      </c>
      <c r="E42" s="6" t="s">
        <v>129</v>
      </c>
      <c r="F42" s="6">
        <v>1000</v>
      </c>
      <c r="G42" s="7">
        <v>100.95820000000001</v>
      </c>
      <c r="H42" s="7">
        <v>16.64</v>
      </c>
      <c r="I42" s="7">
        <v>1441</v>
      </c>
      <c r="J42" s="6" t="s">
        <v>123</v>
      </c>
    </row>
    <row r="43" spans="1:10" x14ac:dyDescent="0.25">
      <c r="A43" s="6">
        <f t="shared" ca="1" si="1"/>
        <v>40</v>
      </c>
      <c r="B43" s="6" t="s">
        <v>201</v>
      </c>
      <c r="C43" s="6" t="s">
        <v>202</v>
      </c>
      <c r="D43" s="6" t="s">
        <v>122</v>
      </c>
      <c r="E43" s="6" t="s">
        <v>129</v>
      </c>
      <c r="F43" s="6">
        <v>1001.4960000000001</v>
      </c>
      <c r="G43" s="7">
        <v>100.4646</v>
      </c>
      <c r="H43" s="7">
        <v>22.58</v>
      </c>
      <c r="I43" s="7">
        <v>726</v>
      </c>
      <c r="J43" s="6" t="s">
        <v>123</v>
      </c>
    </row>
    <row r="44" spans="1:10" x14ac:dyDescent="0.25">
      <c r="A44" s="6">
        <f t="shared" ca="1" si="1"/>
        <v>41</v>
      </c>
      <c r="B44" s="6" t="s">
        <v>203</v>
      </c>
      <c r="C44" s="6" t="s">
        <v>204</v>
      </c>
      <c r="D44" s="6" t="s">
        <v>122</v>
      </c>
      <c r="E44" s="6" t="s">
        <v>129</v>
      </c>
      <c r="F44" s="6">
        <v>990.88400000000001</v>
      </c>
      <c r="G44" s="7">
        <v>100.4217</v>
      </c>
      <c r="H44" s="7">
        <v>21.44</v>
      </c>
      <c r="I44" s="7">
        <v>250</v>
      </c>
      <c r="J44" s="6" t="s">
        <v>123</v>
      </c>
    </row>
    <row r="45" spans="1:10" x14ac:dyDescent="0.25">
      <c r="A45" s="6">
        <f t="shared" ca="1" si="1"/>
        <v>42</v>
      </c>
      <c r="B45" s="6" t="s">
        <v>205</v>
      </c>
      <c r="C45" s="6" t="s">
        <v>206</v>
      </c>
      <c r="D45" s="6" t="s">
        <v>122</v>
      </c>
      <c r="E45" s="6" t="s">
        <v>129</v>
      </c>
      <c r="F45" s="6">
        <v>95.693700000000007</v>
      </c>
      <c r="G45" s="7">
        <v>96.66040000000001</v>
      </c>
      <c r="H45" s="7">
        <v>21.1</v>
      </c>
      <c r="I45" s="7">
        <v>186</v>
      </c>
      <c r="J45" s="6" t="s">
        <v>123</v>
      </c>
    </row>
    <row r="46" spans="1:10" x14ac:dyDescent="0.25">
      <c r="A46" s="6">
        <f t="shared" ca="1" si="1"/>
        <v>43</v>
      </c>
      <c r="B46" s="6" t="s">
        <v>207</v>
      </c>
      <c r="C46" s="6" t="s">
        <v>208</v>
      </c>
      <c r="D46" s="6" t="s">
        <v>122</v>
      </c>
      <c r="E46" s="6" t="s">
        <v>129</v>
      </c>
      <c r="F46" s="6">
        <v>1020</v>
      </c>
      <c r="G46" s="7">
        <v>103.25</v>
      </c>
      <c r="H46" s="7">
        <v>21.5</v>
      </c>
      <c r="I46" s="7">
        <v>955</v>
      </c>
      <c r="J46" s="6" t="s">
        <v>123</v>
      </c>
    </row>
    <row r="47" spans="1:10" x14ac:dyDescent="0.25">
      <c r="A47" s="6">
        <f t="shared" ca="1" si="1"/>
        <v>44</v>
      </c>
      <c r="B47" s="6" t="s">
        <v>209</v>
      </c>
      <c r="C47" s="6" t="s">
        <v>210</v>
      </c>
      <c r="D47" s="6" t="s">
        <v>122</v>
      </c>
      <c r="E47" s="6" t="s">
        <v>129</v>
      </c>
      <c r="F47" s="6">
        <v>965.38200000000006</v>
      </c>
      <c r="G47" s="7">
        <v>98.249300000000005</v>
      </c>
      <c r="H47" s="7">
        <v>24.27</v>
      </c>
      <c r="I47" s="7">
        <v>702</v>
      </c>
      <c r="J47" s="6" t="s">
        <v>123</v>
      </c>
    </row>
    <row r="48" spans="1:10" x14ac:dyDescent="0.25">
      <c r="A48" s="6">
        <f t="shared" ca="1" si="1"/>
        <v>45</v>
      </c>
      <c r="B48" s="6" t="s">
        <v>211</v>
      </c>
      <c r="C48" s="6" t="s">
        <v>212</v>
      </c>
      <c r="D48" s="6" t="s">
        <v>122</v>
      </c>
      <c r="E48" s="6" t="s">
        <v>129</v>
      </c>
      <c r="F48" s="6">
        <v>999.99</v>
      </c>
      <c r="G48" s="7">
        <v>100.54900000000001</v>
      </c>
      <c r="H48" s="7">
        <v>22</v>
      </c>
      <c r="I48" s="7">
        <v>722</v>
      </c>
      <c r="J48" s="6" t="s">
        <v>123</v>
      </c>
    </row>
    <row r="49" spans="1:10" x14ac:dyDescent="0.25">
      <c r="A49" s="6">
        <f t="shared" ca="1" si="1"/>
        <v>46</v>
      </c>
      <c r="B49" s="6" t="s">
        <v>213</v>
      </c>
      <c r="C49" s="6" t="s">
        <v>214</v>
      </c>
      <c r="D49" s="6" t="s">
        <v>122</v>
      </c>
      <c r="E49" s="6" t="s">
        <v>129</v>
      </c>
      <c r="F49" s="6">
        <v>999.99400000000003</v>
      </c>
      <c r="G49" s="7">
        <v>101.0994</v>
      </c>
      <c r="H49" s="7">
        <v>22</v>
      </c>
      <c r="I49" s="7">
        <v>682</v>
      </c>
      <c r="J49" s="6" t="s">
        <v>123</v>
      </c>
    </row>
    <row r="50" spans="1:10" x14ac:dyDescent="0.25">
      <c r="A50" s="6">
        <f t="shared" ca="1" si="1"/>
        <v>47</v>
      </c>
      <c r="B50" s="6" t="s">
        <v>215</v>
      </c>
      <c r="C50" s="6" t="s">
        <v>216</v>
      </c>
      <c r="D50" s="6" t="s">
        <v>122</v>
      </c>
      <c r="E50" s="6" t="s">
        <v>129</v>
      </c>
      <c r="F50" s="6">
        <v>99.989900000000006</v>
      </c>
      <c r="G50" s="7">
        <v>99.989900000000006</v>
      </c>
      <c r="H50" s="7">
        <v>12.01</v>
      </c>
      <c r="I50" s="7">
        <v>670</v>
      </c>
      <c r="J50" s="6" t="s">
        <v>123</v>
      </c>
    </row>
    <row r="51" spans="1:10" x14ac:dyDescent="0.25">
      <c r="A51" s="6">
        <f t="shared" ca="1" si="1"/>
        <v>48</v>
      </c>
      <c r="B51" s="6" t="s">
        <v>217</v>
      </c>
      <c r="C51" s="6" t="s">
        <v>218</v>
      </c>
      <c r="D51" s="6" t="s">
        <v>122</v>
      </c>
      <c r="E51" s="6" t="s">
        <v>129</v>
      </c>
      <c r="F51" s="6">
        <v>988.42900000000009</v>
      </c>
      <c r="G51" s="7">
        <v>103.50960000000001</v>
      </c>
      <c r="H51" s="7">
        <v>18.5</v>
      </c>
      <c r="I51" s="7">
        <v>452</v>
      </c>
      <c r="J51" s="6" t="s">
        <v>123</v>
      </c>
    </row>
    <row r="52" spans="1:10" x14ac:dyDescent="0.25">
      <c r="A52" s="6">
        <f t="shared" ca="1" si="1"/>
        <v>49</v>
      </c>
      <c r="B52" s="6" t="s">
        <v>219</v>
      </c>
      <c r="C52" s="6" t="s">
        <v>220</v>
      </c>
      <c r="D52" s="6" t="s">
        <v>122</v>
      </c>
      <c r="E52" s="6" t="s">
        <v>129</v>
      </c>
      <c r="F52" s="6">
        <v>82.328000000000003</v>
      </c>
      <c r="G52" s="7">
        <v>82.594700000000003</v>
      </c>
      <c r="H52" s="7">
        <v>29.69</v>
      </c>
      <c r="I52" s="7">
        <v>450</v>
      </c>
      <c r="J52" s="6" t="s">
        <v>123</v>
      </c>
    </row>
    <row r="53" spans="1:10" x14ac:dyDescent="0.25">
      <c r="A53" s="6">
        <f t="shared" ca="1" si="1"/>
        <v>50</v>
      </c>
      <c r="B53" s="6" t="s">
        <v>221</v>
      </c>
      <c r="C53" s="6" t="s">
        <v>222</v>
      </c>
      <c r="D53" s="6" t="s">
        <v>122</v>
      </c>
      <c r="E53" s="6" t="s">
        <v>129</v>
      </c>
      <c r="F53" s="6">
        <v>978.30200000000002</v>
      </c>
      <c r="G53" s="7">
        <v>99.230200000000011</v>
      </c>
      <c r="H53" s="7">
        <v>22.03</v>
      </c>
      <c r="I53" s="7">
        <v>1042</v>
      </c>
      <c r="J53" s="6" t="s">
        <v>123</v>
      </c>
    </row>
    <row r="54" spans="1:10" x14ac:dyDescent="0.25">
      <c r="A54" s="6">
        <f t="shared" ca="1" si="1"/>
        <v>51</v>
      </c>
      <c r="B54" s="6" t="s">
        <v>223</v>
      </c>
      <c r="C54" s="6" t="s">
        <v>224</v>
      </c>
      <c r="D54" s="6" t="s">
        <v>117</v>
      </c>
      <c r="E54" s="6" t="s">
        <v>225</v>
      </c>
      <c r="F54" s="6">
        <v>41224.26</v>
      </c>
      <c r="G54" s="7"/>
      <c r="H54" s="7"/>
      <c r="I54" s="7"/>
      <c r="J54" s="6" t="s">
        <v>119</v>
      </c>
    </row>
    <row r="55" spans="1:10" x14ac:dyDescent="0.25">
      <c r="A55" s="6">
        <f t="shared" ca="1" si="1"/>
        <v>52</v>
      </c>
      <c r="B55" s="6" t="s">
        <v>226</v>
      </c>
      <c r="C55" s="6" t="s">
        <v>227</v>
      </c>
      <c r="D55" s="6" t="s">
        <v>117</v>
      </c>
      <c r="E55" s="6" t="s">
        <v>225</v>
      </c>
      <c r="F55" s="6">
        <v>34056.42</v>
      </c>
      <c r="G55" s="7"/>
      <c r="H55" s="7"/>
      <c r="I55" s="7"/>
      <c r="J55" s="6" t="s">
        <v>119</v>
      </c>
    </row>
    <row r="56" spans="1:10" x14ac:dyDescent="0.25">
      <c r="A56" s="6">
        <f t="shared" ca="1" si="1"/>
        <v>53</v>
      </c>
      <c r="B56" s="6" t="s">
        <v>228</v>
      </c>
      <c r="C56" s="6" t="s">
        <v>229</v>
      </c>
      <c r="D56" s="6" t="s">
        <v>122</v>
      </c>
      <c r="E56" s="6" t="s">
        <v>230</v>
      </c>
      <c r="F56" s="6">
        <v>34244.1</v>
      </c>
      <c r="G56" s="7">
        <v>3424.4059999999999</v>
      </c>
      <c r="H56" s="7"/>
      <c r="I56" s="7">
        <v>219</v>
      </c>
      <c r="J56" s="6" t="s">
        <v>123</v>
      </c>
    </row>
    <row r="57" spans="1:10" x14ac:dyDescent="0.25">
      <c r="A57" s="6">
        <f t="shared" ca="1" si="1"/>
        <v>54</v>
      </c>
      <c r="B57" s="6" t="s">
        <v>231</v>
      </c>
      <c r="C57" s="6" t="s">
        <v>232</v>
      </c>
      <c r="D57" s="6" t="s">
        <v>117</v>
      </c>
      <c r="E57" s="6" t="s">
        <v>233</v>
      </c>
      <c r="F57" s="6">
        <v>19947.75</v>
      </c>
      <c r="G57" s="7"/>
      <c r="H57" s="7"/>
      <c r="I57" s="7"/>
      <c r="J57" s="6" t="s">
        <v>119</v>
      </c>
    </row>
    <row r="58" spans="1:10" x14ac:dyDescent="0.25">
      <c r="A58" s="6">
        <f t="shared" ca="1" si="1"/>
        <v>55</v>
      </c>
      <c r="B58" s="6" t="s">
        <v>234</v>
      </c>
      <c r="C58" s="6" t="s">
        <v>235</v>
      </c>
      <c r="D58" s="6" t="s">
        <v>122</v>
      </c>
      <c r="E58" s="6" t="s">
        <v>233</v>
      </c>
      <c r="F58" s="6">
        <v>1.0173829999999999</v>
      </c>
      <c r="G58" s="7">
        <v>103.47020000000001</v>
      </c>
      <c r="H58" s="7">
        <v>4.95</v>
      </c>
      <c r="I58" s="7">
        <v>1709</v>
      </c>
      <c r="J58" s="6" t="s">
        <v>123</v>
      </c>
    </row>
    <row r="59" spans="1:10" x14ac:dyDescent="0.25">
      <c r="A59" s="6">
        <f t="shared" ca="1" si="1"/>
        <v>56</v>
      </c>
      <c r="B59" s="6" t="s">
        <v>236</v>
      </c>
      <c r="C59" s="6" t="s">
        <v>237</v>
      </c>
      <c r="D59" s="6" t="s">
        <v>122</v>
      </c>
      <c r="E59" s="6" t="s">
        <v>233</v>
      </c>
      <c r="F59" s="6">
        <v>961.57500000000005</v>
      </c>
      <c r="G59" s="7">
        <v>98.211700000000008</v>
      </c>
      <c r="H59" s="7">
        <v>6.7</v>
      </c>
      <c r="I59" s="7">
        <v>8467</v>
      </c>
      <c r="J59" s="6" t="s">
        <v>123</v>
      </c>
    </row>
    <row r="60" spans="1:10" x14ac:dyDescent="0.25">
      <c r="A60" s="6">
        <f t="shared" ca="1" si="1"/>
        <v>57</v>
      </c>
      <c r="B60" s="6" t="s">
        <v>238</v>
      </c>
      <c r="C60" s="6" t="s">
        <v>239</v>
      </c>
      <c r="D60" s="6" t="s">
        <v>117</v>
      </c>
      <c r="E60" s="6" t="s">
        <v>240</v>
      </c>
      <c r="F60" s="6">
        <v>3379</v>
      </c>
      <c r="G60" s="7"/>
      <c r="H60" s="7"/>
      <c r="I60" s="7"/>
      <c r="J60" s="6" t="s">
        <v>119</v>
      </c>
    </row>
    <row r="61" spans="1:10" x14ac:dyDescent="0.25">
      <c r="A61" s="6">
        <f t="shared" ca="1" si="1"/>
        <v>58</v>
      </c>
      <c r="B61" s="6" t="s">
        <v>241</v>
      </c>
      <c r="C61" s="6" t="s">
        <v>242</v>
      </c>
      <c r="D61" s="6" t="s">
        <v>122</v>
      </c>
      <c r="E61" s="6" t="s">
        <v>243</v>
      </c>
      <c r="F61" s="6">
        <v>0.96291399999999994</v>
      </c>
      <c r="G61" s="7">
        <v>96.913600000000002</v>
      </c>
      <c r="H61" s="7">
        <v>5.26</v>
      </c>
      <c r="I61" s="7">
        <v>435</v>
      </c>
      <c r="J61" s="6" t="s">
        <v>123</v>
      </c>
    </row>
    <row r="62" spans="1:10" x14ac:dyDescent="0.25">
      <c r="A62" s="6">
        <f t="shared" ca="1" si="1"/>
        <v>59</v>
      </c>
      <c r="B62" s="6" t="s">
        <v>244</v>
      </c>
      <c r="C62" s="6" t="s">
        <v>245</v>
      </c>
      <c r="D62" s="6" t="s">
        <v>117</v>
      </c>
      <c r="E62" s="6" t="s">
        <v>246</v>
      </c>
      <c r="F62" s="6">
        <v>6400.62</v>
      </c>
      <c r="G62" s="7"/>
      <c r="H62" s="7"/>
      <c r="I62" s="7"/>
      <c r="J62" s="6" t="s">
        <v>119</v>
      </c>
    </row>
    <row r="63" spans="1:10" x14ac:dyDescent="0.25">
      <c r="A63" s="6">
        <f t="shared" ca="1" si="1"/>
        <v>60</v>
      </c>
      <c r="B63" s="6" t="s">
        <v>247</v>
      </c>
      <c r="C63" s="6" t="s">
        <v>248</v>
      </c>
      <c r="D63" s="6" t="s">
        <v>117</v>
      </c>
      <c r="E63" s="6" t="s">
        <v>246</v>
      </c>
      <c r="F63" s="6">
        <v>4586.1000000000004</v>
      </c>
      <c r="G63" s="7"/>
      <c r="H63" s="7"/>
      <c r="I63" s="7"/>
      <c r="J63" s="6" t="s">
        <v>119</v>
      </c>
    </row>
    <row r="64" spans="1:10" x14ac:dyDescent="0.25">
      <c r="A64" s="6">
        <f t="shared" ca="1" si="1"/>
        <v>61</v>
      </c>
      <c r="B64" s="6" t="s">
        <v>249</v>
      </c>
      <c r="C64" s="6" t="s">
        <v>250</v>
      </c>
      <c r="D64" s="6" t="s">
        <v>122</v>
      </c>
      <c r="E64" s="6" t="s">
        <v>251</v>
      </c>
      <c r="F64" s="6">
        <v>98.885500000000008</v>
      </c>
      <c r="G64" s="7">
        <v>98.885500000000008</v>
      </c>
      <c r="H64" s="7">
        <v>14.69</v>
      </c>
      <c r="I64" s="7">
        <v>29</v>
      </c>
      <c r="J64" s="6" t="s">
        <v>123</v>
      </c>
    </row>
    <row r="65" spans="1:10" x14ac:dyDescent="0.25">
      <c r="A65" s="6">
        <f t="shared" ca="1" si="1"/>
        <v>62</v>
      </c>
      <c r="B65" s="6" t="s">
        <v>252</v>
      </c>
      <c r="C65" s="6" t="s">
        <v>253</v>
      </c>
      <c r="D65" s="6" t="s">
        <v>122</v>
      </c>
      <c r="E65" s="6" t="s">
        <v>251</v>
      </c>
      <c r="F65" s="6">
        <v>997.86900000000003</v>
      </c>
      <c r="G65" s="7">
        <v>108.509</v>
      </c>
      <c r="H65" s="7">
        <v>18.25</v>
      </c>
      <c r="I65" s="7">
        <v>922</v>
      </c>
      <c r="J65" s="6" t="s">
        <v>123</v>
      </c>
    </row>
    <row r="66" spans="1:10" x14ac:dyDescent="0.25">
      <c r="A66" s="6">
        <f t="shared" ca="1" si="1"/>
        <v>63</v>
      </c>
      <c r="B66" s="6" t="s">
        <v>254</v>
      </c>
      <c r="C66" s="6" t="s">
        <v>255</v>
      </c>
      <c r="D66" s="6" t="s">
        <v>122</v>
      </c>
      <c r="E66" s="6" t="s">
        <v>251</v>
      </c>
      <c r="F66" s="6">
        <v>99.995100000000008</v>
      </c>
      <c r="G66" s="7">
        <v>101.19510000000001</v>
      </c>
      <c r="H66" s="7">
        <v>8</v>
      </c>
      <c r="I66" s="7">
        <v>859</v>
      </c>
      <c r="J66" s="6" t="s">
        <v>123</v>
      </c>
    </row>
    <row r="67" spans="1:10" x14ac:dyDescent="0.25">
      <c r="A67" s="6">
        <f t="shared" ca="1" si="1"/>
        <v>64</v>
      </c>
      <c r="B67" s="6" t="s">
        <v>256</v>
      </c>
      <c r="C67" s="6" t="s">
        <v>257</v>
      </c>
      <c r="D67" s="6" t="s">
        <v>122</v>
      </c>
      <c r="E67" s="6" t="s">
        <v>66</v>
      </c>
      <c r="F67" s="6">
        <v>1000</v>
      </c>
      <c r="G67" s="7">
        <v>107.53760000000001</v>
      </c>
      <c r="H67" s="7">
        <v>11.74</v>
      </c>
      <c r="I67" s="7">
        <v>1229</v>
      </c>
      <c r="J67" s="6" t="s">
        <v>123</v>
      </c>
    </row>
    <row r="68" spans="1:10" x14ac:dyDescent="0.25">
      <c r="A68" s="6">
        <f t="shared" ref="A68:A99" ca="1" si="2">IF(OFFSET(A68,-1,0)="№ п/п",1,OFFSET(A68,-1,0)+1)</f>
        <v>65</v>
      </c>
      <c r="B68" s="6" t="s">
        <v>258</v>
      </c>
      <c r="C68" s="6" t="s">
        <v>259</v>
      </c>
      <c r="D68" s="6" t="s">
        <v>122</v>
      </c>
      <c r="E68" s="6" t="s">
        <v>66</v>
      </c>
      <c r="F68" s="6">
        <v>1000</v>
      </c>
      <c r="G68" s="7">
        <v>111.5686</v>
      </c>
      <c r="H68" s="7">
        <v>11.8</v>
      </c>
      <c r="I68" s="7">
        <v>1469</v>
      </c>
      <c r="J68" s="6" t="s">
        <v>123</v>
      </c>
    </row>
    <row r="69" spans="1:10" x14ac:dyDescent="0.25">
      <c r="A69" s="6">
        <f t="shared" ca="1" si="2"/>
        <v>66</v>
      </c>
      <c r="B69" s="6" t="s">
        <v>260</v>
      </c>
      <c r="C69" s="6" t="s">
        <v>261</v>
      </c>
      <c r="D69" s="6" t="s">
        <v>122</v>
      </c>
      <c r="E69" s="6" t="s">
        <v>66</v>
      </c>
      <c r="F69" s="6">
        <v>987.66600000000005</v>
      </c>
      <c r="G69" s="7">
        <v>103.3015</v>
      </c>
      <c r="H69" s="7">
        <v>16.010000000000002</v>
      </c>
      <c r="I69" s="7">
        <v>45</v>
      </c>
      <c r="J69" s="6" t="s">
        <v>123</v>
      </c>
    </row>
    <row r="70" spans="1:10" x14ac:dyDescent="0.25">
      <c r="A70" s="6">
        <f t="shared" ca="1" si="2"/>
        <v>67</v>
      </c>
      <c r="B70" s="6" t="s">
        <v>262</v>
      </c>
      <c r="C70" s="6" t="s">
        <v>263</v>
      </c>
      <c r="D70" s="6" t="s">
        <v>122</v>
      </c>
      <c r="E70" s="6" t="s">
        <v>66</v>
      </c>
      <c r="F70" s="6">
        <v>1000</v>
      </c>
      <c r="G70" s="7">
        <v>102.68730000000001</v>
      </c>
      <c r="H70" s="7">
        <v>11.64</v>
      </c>
      <c r="I70" s="7">
        <v>282</v>
      </c>
      <c r="J70" s="6" t="s">
        <v>123</v>
      </c>
    </row>
    <row r="71" spans="1:10" x14ac:dyDescent="0.25">
      <c r="A71" s="6">
        <f t="shared" ca="1" si="2"/>
        <v>68</v>
      </c>
      <c r="B71" s="6" t="s">
        <v>264</v>
      </c>
      <c r="C71" s="6" t="s">
        <v>265</v>
      </c>
      <c r="D71" s="6" t="s">
        <v>122</v>
      </c>
      <c r="E71" s="6" t="s">
        <v>66</v>
      </c>
      <c r="F71" s="6">
        <v>1000</v>
      </c>
      <c r="G71" s="7">
        <v>100.6554</v>
      </c>
      <c r="H71" s="7">
        <v>11.76</v>
      </c>
      <c r="I71" s="7">
        <v>345</v>
      </c>
      <c r="J71" s="6" t="s">
        <v>123</v>
      </c>
    </row>
    <row r="72" spans="1:10" x14ac:dyDescent="0.25">
      <c r="A72" s="6">
        <f t="shared" ca="1" si="2"/>
        <v>69</v>
      </c>
      <c r="B72" s="6" t="s">
        <v>266</v>
      </c>
      <c r="C72" s="6" t="s">
        <v>267</v>
      </c>
      <c r="D72" s="6" t="s">
        <v>122</v>
      </c>
      <c r="E72" s="6" t="s">
        <v>66</v>
      </c>
      <c r="F72" s="6">
        <v>1000</v>
      </c>
      <c r="G72" s="7">
        <v>103.63770000000001</v>
      </c>
      <c r="H72" s="7">
        <v>11.7</v>
      </c>
      <c r="I72" s="7">
        <v>618</v>
      </c>
      <c r="J72" s="6" t="s">
        <v>123</v>
      </c>
    </row>
    <row r="73" spans="1:10" x14ac:dyDescent="0.25">
      <c r="A73" s="6">
        <f t="shared" ca="1" si="2"/>
        <v>70</v>
      </c>
      <c r="B73" s="6" t="s">
        <v>268</v>
      </c>
      <c r="C73" s="6" t="s">
        <v>269</v>
      </c>
      <c r="D73" s="6" t="s">
        <v>122</v>
      </c>
      <c r="E73" s="6" t="s">
        <v>66</v>
      </c>
      <c r="F73" s="6">
        <v>1000</v>
      </c>
      <c r="G73" s="7">
        <v>101.67140000000001</v>
      </c>
      <c r="H73" s="7">
        <v>11.75</v>
      </c>
      <c r="I73" s="7">
        <v>679</v>
      </c>
      <c r="J73" s="6" t="s">
        <v>123</v>
      </c>
    </row>
    <row r="74" spans="1:10" x14ac:dyDescent="0.25">
      <c r="A74" s="6">
        <f t="shared" ca="1" si="2"/>
        <v>71</v>
      </c>
      <c r="B74" s="6" t="s">
        <v>270</v>
      </c>
      <c r="C74" s="6" t="s">
        <v>271</v>
      </c>
      <c r="D74" s="6" t="s">
        <v>122</v>
      </c>
      <c r="E74" s="6" t="s">
        <v>66</v>
      </c>
      <c r="F74" s="6">
        <v>1000</v>
      </c>
      <c r="G74" s="7">
        <v>108.65190000000001</v>
      </c>
      <c r="H74" s="7">
        <v>11.73</v>
      </c>
      <c r="I74" s="7">
        <v>829</v>
      </c>
      <c r="J74" s="6" t="s">
        <v>123</v>
      </c>
    </row>
    <row r="75" spans="1:10" x14ac:dyDescent="0.25">
      <c r="A75" s="6">
        <f t="shared" ca="1" si="2"/>
        <v>72</v>
      </c>
      <c r="B75" s="6" t="s">
        <v>272</v>
      </c>
      <c r="C75" s="6" t="s">
        <v>273</v>
      </c>
      <c r="D75" s="6" t="s">
        <v>122</v>
      </c>
      <c r="E75" s="6" t="s">
        <v>66</v>
      </c>
      <c r="F75" s="6">
        <v>1000</v>
      </c>
      <c r="G75" s="7">
        <v>111.5686</v>
      </c>
      <c r="H75" s="7">
        <v>11.79</v>
      </c>
      <c r="I75" s="7">
        <v>1104</v>
      </c>
      <c r="J75" s="6" t="s">
        <v>123</v>
      </c>
    </row>
    <row r="76" spans="1:10" x14ac:dyDescent="0.25">
      <c r="A76" s="6">
        <f t="shared" ca="1" si="2"/>
        <v>73</v>
      </c>
      <c r="B76" s="6" t="s">
        <v>274</v>
      </c>
      <c r="C76" s="6" t="s">
        <v>275</v>
      </c>
      <c r="D76" s="6" t="s">
        <v>122</v>
      </c>
      <c r="E76" s="6" t="s">
        <v>66</v>
      </c>
      <c r="F76" s="6">
        <v>1000</v>
      </c>
      <c r="G76" s="7">
        <v>109.53670000000001</v>
      </c>
      <c r="H76" s="7">
        <v>11.25</v>
      </c>
      <c r="I76" s="7">
        <v>71</v>
      </c>
      <c r="J76" s="6" t="s">
        <v>123</v>
      </c>
    </row>
    <row r="77" spans="1:10" x14ac:dyDescent="0.25">
      <c r="A77" s="6">
        <f t="shared" ca="1" si="2"/>
        <v>74</v>
      </c>
      <c r="B77" s="6" t="s">
        <v>276</v>
      </c>
      <c r="C77" s="6" t="s">
        <v>277</v>
      </c>
      <c r="D77" s="6" t="s">
        <v>122</v>
      </c>
      <c r="E77" s="6" t="s">
        <v>66</v>
      </c>
      <c r="F77" s="6">
        <v>1000</v>
      </c>
      <c r="G77" s="7">
        <v>106.62</v>
      </c>
      <c r="H77" s="7">
        <v>11.75</v>
      </c>
      <c r="I77" s="7">
        <v>1623</v>
      </c>
      <c r="J77" s="6" t="s">
        <v>123</v>
      </c>
    </row>
    <row r="78" spans="1:10" x14ac:dyDescent="0.25">
      <c r="A78" s="6">
        <f t="shared" ca="1" si="2"/>
        <v>75</v>
      </c>
      <c r="B78" s="6" t="s">
        <v>278</v>
      </c>
      <c r="C78" s="6" t="s">
        <v>279</v>
      </c>
      <c r="D78" s="6" t="s">
        <v>122</v>
      </c>
      <c r="E78" s="6" t="s">
        <v>66</v>
      </c>
      <c r="F78" s="6">
        <v>974.74900000000002</v>
      </c>
      <c r="G78" s="7">
        <v>101.2805</v>
      </c>
      <c r="H78" s="7">
        <v>16.3</v>
      </c>
      <c r="I78" s="7">
        <v>89</v>
      </c>
      <c r="J78" s="6" t="s">
        <v>123</v>
      </c>
    </row>
    <row r="79" spans="1:10" x14ac:dyDescent="0.25">
      <c r="A79" s="6">
        <f t="shared" ca="1" si="2"/>
        <v>76</v>
      </c>
      <c r="B79" s="6" t="s">
        <v>280</v>
      </c>
      <c r="C79" s="6" t="s">
        <v>281</v>
      </c>
      <c r="D79" s="6" t="s">
        <v>122</v>
      </c>
      <c r="E79" s="6" t="s">
        <v>66</v>
      </c>
      <c r="F79" s="6">
        <v>871.58300000000008</v>
      </c>
      <c r="G79" s="7">
        <v>90.866600000000005</v>
      </c>
      <c r="H79" s="7">
        <v>17.12</v>
      </c>
      <c r="I79" s="7">
        <v>461</v>
      </c>
      <c r="J79" s="6" t="s">
        <v>123</v>
      </c>
    </row>
    <row r="80" spans="1:10" x14ac:dyDescent="0.25">
      <c r="A80" s="6">
        <f t="shared" ca="1" si="2"/>
        <v>77</v>
      </c>
      <c r="B80" s="6" t="s">
        <v>282</v>
      </c>
      <c r="C80" s="6" t="s">
        <v>283</v>
      </c>
      <c r="D80" s="6" t="s">
        <v>122</v>
      </c>
      <c r="E80" s="6" t="s">
        <v>66</v>
      </c>
      <c r="F80" s="6">
        <v>1000</v>
      </c>
      <c r="G80" s="7">
        <v>101.67140000000001</v>
      </c>
      <c r="H80" s="7">
        <v>11.77</v>
      </c>
      <c r="I80" s="7">
        <v>1410</v>
      </c>
      <c r="J80" s="6" t="s">
        <v>123</v>
      </c>
    </row>
    <row r="81" spans="1:10" x14ac:dyDescent="0.25">
      <c r="A81" s="6">
        <f t="shared" ca="1" si="2"/>
        <v>78</v>
      </c>
      <c r="B81" s="6" t="s">
        <v>284</v>
      </c>
      <c r="C81" s="6" t="s">
        <v>285</v>
      </c>
      <c r="D81" s="6" t="s">
        <v>122</v>
      </c>
      <c r="E81" s="6" t="s">
        <v>66</v>
      </c>
      <c r="F81" s="6">
        <v>1000</v>
      </c>
      <c r="G81" s="7">
        <v>109.56950000000001</v>
      </c>
      <c r="H81" s="7">
        <v>11.25</v>
      </c>
      <c r="I81" s="7">
        <v>70</v>
      </c>
      <c r="J81" s="6" t="s">
        <v>123</v>
      </c>
    </row>
    <row r="82" spans="1:10" x14ac:dyDescent="0.25">
      <c r="A82" s="6">
        <f t="shared" ca="1" si="2"/>
        <v>79</v>
      </c>
      <c r="B82" s="6" t="s">
        <v>286</v>
      </c>
      <c r="C82" s="6" t="s">
        <v>104</v>
      </c>
      <c r="D82" s="6" t="s">
        <v>122</v>
      </c>
      <c r="E82" s="6" t="s">
        <v>66</v>
      </c>
      <c r="F82" s="6">
        <v>847.15100000000007</v>
      </c>
      <c r="G82" s="7">
        <v>86.895899999999997</v>
      </c>
      <c r="H82" s="7">
        <v>17.100000000000001</v>
      </c>
      <c r="I82" s="7">
        <v>585</v>
      </c>
      <c r="J82" s="6" t="s">
        <v>123</v>
      </c>
    </row>
    <row r="83" spans="1:10" x14ac:dyDescent="0.25">
      <c r="A83" s="6">
        <f t="shared" ca="1" si="2"/>
        <v>80</v>
      </c>
      <c r="B83" s="6" t="s">
        <v>287</v>
      </c>
      <c r="C83" s="6" t="s">
        <v>288</v>
      </c>
      <c r="D83" s="6" t="s">
        <v>122</v>
      </c>
      <c r="E83" s="6" t="s">
        <v>66</v>
      </c>
      <c r="F83" s="6">
        <v>809.14</v>
      </c>
      <c r="G83" s="7">
        <v>85.977000000000004</v>
      </c>
      <c r="H83" s="7">
        <v>17.150000000000002</v>
      </c>
      <c r="I83" s="7">
        <v>760</v>
      </c>
      <c r="J83" s="6" t="s">
        <v>123</v>
      </c>
    </row>
    <row r="84" spans="1:10" x14ac:dyDescent="0.25">
      <c r="A84" s="6">
        <f t="shared" ca="1" si="2"/>
        <v>81</v>
      </c>
      <c r="B84" s="6" t="s">
        <v>289</v>
      </c>
      <c r="C84" s="6" t="s">
        <v>290</v>
      </c>
      <c r="D84" s="6" t="s">
        <v>122</v>
      </c>
      <c r="E84" s="6" t="s">
        <v>66</v>
      </c>
      <c r="F84" s="6">
        <v>818.529</v>
      </c>
      <c r="G84" s="7">
        <v>87.197299999999998</v>
      </c>
      <c r="H84" s="7">
        <v>17.13</v>
      </c>
      <c r="I84" s="7">
        <v>796</v>
      </c>
      <c r="J84" s="6" t="s">
        <v>123</v>
      </c>
    </row>
    <row r="85" spans="1:10" x14ac:dyDescent="0.25">
      <c r="A85" s="6">
        <f t="shared" ca="1" si="2"/>
        <v>82</v>
      </c>
      <c r="B85" s="6" t="s">
        <v>291</v>
      </c>
      <c r="C85" s="6" t="s">
        <v>292</v>
      </c>
      <c r="D85" s="6" t="s">
        <v>122</v>
      </c>
      <c r="E85" s="6" t="s">
        <v>66</v>
      </c>
      <c r="F85" s="6">
        <v>1000</v>
      </c>
      <c r="G85" s="7">
        <v>100.68820000000001</v>
      </c>
      <c r="H85" s="7">
        <v>11.78</v>
      </c>
      <c r="I85" s="7">
        <v>709</v>
      </c>
      <c r="J85" s="6" t="s">
        <v>123</v>
      </c>
    </row>
    <row r="86" spans="1:10" x14ac:dyDescent="0.25">
      <c r="A86" s="6">
        <f t="shared" ca="1" si="2"/>
        <v>83</v>
      </c>
      <c r="B86" s="6" t="s">
        <v>293</v>
      </c>
      <c r="C86" s="6" t="s">
        <v>294</v>
      </c>
      <c r="D86" s="6" t="s">
        <v>122</v>
      </c>
      <c r="E86" s="6" t="s">
        <v>66</v>
      </c>
      <c r="F86" s="6">
        <v>1000</v>
      </c>
      <c r="G86" s="7">
        <v>108.6191</v>
      </c>
      <c r="H86" s="7">
        <v>11.3</v>
      </c>
      <c r="I86" s="7">
        <v>100</v>
      </c>
      <c r="J86" s="6" t="s">
        <v>123</v>
      </c>
    </row>
    <row r="87" spans="1:10" x14ac:dyDescent="0.25">
      <c r="A87" s="6">
        <f t="shared" ca="1" si="2"/>
        <v>84</v>
      </c>
      <c r="B87" s="6" t="s">
        <v>295</v>
      </c>
      <c r="C87" s="6" t="s">
        <v>296</v>
      </c>
      <c r="D87" s="6" t="s">
        <v>122</v>
      </c>
      <c r="E87" s="6" t="s">
        <v>66</v>
      </c>
      <c r="F87" s="6">
        <v>1000</v>
      </c>
      <c r="G87" s="7">
        <v>105.81190000000001</v>
      </c>
      <c r="H87" s="7">
        <v>11.84</v>
      </c>
      <c r="I87" s="7">
        <v>1650</v>
      </c>
      <c r="J87" s="6" t="s">
        <v>123</v>
      </c>
    </row>
    <row r="88" spans="1:10" x14ac:dyDescent="0.25">
      <c r="A88" s="6">
        <f t="shared" ca="1" si="2"/>
        <v>85</v>
      </c>
      <c r="B88" s="6" t="s">
        <v>297</v>
      </c>
      <c r="C88" s="6" t="s">
        <v>96</v>
      </c>
      <c r="D88" s="6" t="s">
        <v>122</v>
      </c>
      <c r="E88" s="6" t="s">
        <v>66</v>
      </c>
      <c r="F88" s="6">
        <v>614.20900000000006</v>
      </c>
      <c r="G88" s="7">
        <v>63.617700000000006</v>
      </c>
      <c r="H88" s="7">
        <v>16.77</v>
      </c>
      <c r="I88" s="7">
        <v>3188</v>
      </c>
      <c r="J88" s="6" t="s">
        <v>123</v>
      </c>
    </row>
    <row r="89" spans="1:10" x14ac:dyDescent="0.25">
      <c r="A89" s="6">
        <f t="shared" ca="1" si="2"/>
        <v>86</v>
      </c>
      <c r="B89" s="6" t="s">
        <v>298</v>
      </c>
      <c r="C89" s="6" t="s">
        <v>299</v>
      </c>
      <c r="D89" s="6" t="s">
        <v>122</v>
      </c>
      <c r="E89" s="6" t="s">
        <v>66</v>
      </c>
      <c r="F89" s="6">
        <v>857.19</v>
      </c>
      <c r="G89" s="7">
        <v>86.963999999999999</v>
      </c>
      <c r="H89" s="7">
        <v>17.14</v>
      </c>
      <c r="I89" s="7">
        <v>670</v>
      </c>
      <c r="J89" s="6" t="s">
        <v>123</v>
      </c>
    </row>
    <row r="90" spans="1:10" x14ac:dyDescent="0.25">
      <c r="A90" s="6">
        <f t="shared" ca="1" si="2"/>
        <v>87</v>
      </c>
      <c r="B90" s="6" t="s">
        <v>300</v>
      </c>
      <c r="C90" s="6" t="s">
        <v>301</v>
      </c>
      <c r="D90" s="6" t="s">
        <v>122</v>
      </c>
      <c r="E90" s="6" t="s">
        <v>66</v>
      </c>
      <c r="F90" s="6">
        <v>541.95400000000006</v>
      </c>
      <c r="G90" s="7">
        <v>61.980400000000003</v>
      </c>
      <c r="H90" s="7">
        <v>16.72</v>
      </c>
      <c r="I90" s="7">
        <v>6978</v>
      </c>
      <c r="J90" s="6" t="s">
        <v>123</v>
      </c>
    </row>
    <row r="91" spans="1:10" x14ac:dyDescent="0.25">
      <c r="A91" s="6">
        <f t="shared" ca="1" si="2"/>
        <v>88</v>
      </c>
      <c r="B91" s="6" t="s">
        <v>302</v>
      </c>
      <c r="C91" s="6" t="s">
        <v>303</v>
      </c>
      <c r="D91" s="6" t="s">
        <v>122</v>
      </c>
      <c r="E91" s="6" t="s">
        <v>66</v>
      </c>
      <c r="F91" s="6">
        <v>1000</v>
      </c>
      <c r="G91" s="7">
        <v>110.48710000000001</v>
      </c>
      <c r="H91" s="7">
        <v>11.73</v>
      </c>
      <c r="I91" s="7">
        <v>407</v>
      </c>
      <c r="J91" s="6" t="s">
        <v>123</v>
      </c>
    </row>
    <row r="92" spans="1:10" x14ac:dyDescent="0.25">
      <c r="A92" s="6">
        <f t="shared" ca="1" si="2"/>
        <v>89</v>
      </c>
      <c r="B92" s="6" t="s">
        <v>304</v>
      </c>
      <c r="C92" s="6" t="s">
        <v>305</v>
      </c>
      <c r="D92" s="6" t="s">
        <v>122</v>
      </c>
      <c r="E92" s="6" t="s">
        <v>66</v>
      </c>
      <c r="F92" s="6">
        <v>1000</v>
      </c>
      <c r="G92" s="7">
        <v>101.7042</v>
      </c>
      <c r="H92" s="7">
        <v>11.77</v>
      </c>
      <c r="I92" s="7">
        <v>1409</v>
      </c>
      <c r="J92" s="6" t="s">
        <v>123</v>
      </c>
    </row>
    <row r="93" spans="1:10" x14ac:dyDescent="0.25">
      <c r="A93" s="6">
        <f t="shared" ca="1" si="2"/>
        <v>90</v>
      </c>
      <c r="B93" s="6" t="s">
        <v>306</v>
      </c>
      <c r="C93" s="6" t="s">
        <v>307</v>
      </c>
      <c r="D93" s="6" t="s">
        <v>122</v>
      </c>
      <c r="E93" s="6" t="s">
        <v>66</v>
      </c>
      <c r="F93" s="6">
        <v>1000</v>
      </c>
      <c r="G93" s="7">
        <v>102.62180000000001</v>
      </c>
      <c r="H93" s="7">
        <v>11.77</v>
      </c>
      <c r="I93" s="7">
        <v>1745</v>
      </c>
      <c r="J93" s="6" t="s">
        <v>123</v>
      </c>
    </row>
    <row r="94" spans="1:10" x14ac:dyDescent="0.25">
      <c r="A94" s="6">
        <f t="shared" ca="1" si="2"/>
        <v>91</v>
      </c>
      <c r="B94" s="6" t="s">
        <v>308</v>
      </c>
      <c r="C94" s="6" t="s">
        <v>309</v>
      </c>
      <c r="D94" s="6" t="s">
        <v>122</v>
      </c>
      <c r="E94" s="6" t="s">
        <v>66</v>
      </c>
      <c r="F94" s="6">
        <v>1000</v>
      </c>
      <c r="G94" s="7">
        <v>111.53580000000001</v>
      </c>
      <c r="H94" s="7">
        <v>11.78</v>
      </c>
      <c r="I94" s="7">
        <v>374</v>
      </c>
      <c r="J94" s="6" t="s">
        <v>123</v>
      </c>
    </row>
    <row r="95" spans="1:10" x14ac:dyDescent="0.25">
      <c r="A95" s="6">
        <f t="shared" ca="1" si="2"/>
        <v>92</v>
      </c>
      <c r="B95" s="6" t="s">
        <v>310</v>
      </c>
      <c r="C95" s="6" t="s">
        <v>83</v>
      </c>
      <c r="D95" s="6" t="s">
        <v>122</v>
      </c>
      <c r="E95" s="6" t="s">
        <v>66</v>
      </c>
      <c r="F95" s="6">
        <v>599.89499999999998</v>
      </c>
      <c r="G95" s="7">
        <v>64.4953</v>
      </c>
      <c r="H95" s="7">
        <v>16.760000000000002</v>
      </c>
      <c r="I95" s="7">
        <v>3450</v>
      </c>
      <c r="J95" s="6" t="s">
        <v>123</v>
      </c>
    </row>
    <row r="96" spans="1:10" x14ac:dyDescent="0.25">
      <c r="A96" s="6">
        <f t="shared" ca="1" si="2"/>
        <v>93</v>
      </c>
      <c r="B96" s="6" t="s">
        <v>311</v>
      </c>
      <c r="C96" s="6" t="s">
        <v>67</v>
      </c>
      <c r="D96" s="6" t="s">
        <v>122</v>
      </c>
      <c r="E96" s="6" t="s">
        <v>66</v>
      </c>
      <c r="F96" s="6">
        <v>895.74300000000005</v>
      </c>
      <c r="G96" s="7">
        <v>93.674300000000002</v>
      </c>
      <c r="H96" s="7">
        <v>17.100000000000001</v>
      </c>
      <c r="I96" s="7">
        <v>564</v>
      </c>
      <c r="J96" s="6" t="s">
        <v>123</v>
      </c>
    </row>
    <row r="97" spans="1:10" x14ac:dyDescent="0.25">
      <c r="A97" s="6">
        <f t="shared" ca="1" si="2"/>
        <v>94</v>
      </c>
      <c r="B97" s="6" t="s">
        <v>312</v>
      </c>
      <c r="C97" s="6" t="s">
        <v>313</v>
      </c>
      <c r="D97" s="6" t="s">
        <v>122</v>
      </c>
      <c r="E97" s="6" t="s">
        <v>66</v>
      </c>
      <c r="F97" s="6">
        <v>877.74300000000005</v>
      </c>
      <c r="G97" s="7">
        <v>88.949300000000008</v>
      </c>
      <c r="H97" s="7">
        <v>17.13</v>
      </c>
      <c r="I97" s="7">
        <v>683</v>
      </c>
      <c r="J97" s="6" t="s">
        <v>123</v>
      </c>
    </row>
    <row r="98" spans="1:10" x14ac:dyDescent="0.25">
      <c r="A98" s="6">
        <f t="shared" ca="1" si="2"/>
        <v>95</v>
      </c>
      <c r="B98" s="6" t="s">
        <v>314</v>
      </c>
      <c r="C98" s="6" t="s">
        <v>315</v>
      </c>
      <c r="D98" s="6" t="s">
        <v>122</v>
      </c>
      <c r="E98" s="6" t="s">
        <v>66</v>
      </c>
      <c r="F98" s="6">
        <v>596.88800000000003</v>
      </c>
      <c r="G98" s="7">
        <v>60.1599</v>
      </c>
      <c r="H98" s="7">
        <v>16.740000000000002</v>
      </c>
      <c r="I98" s="7">
        <v>3998</v>
      </c>
      <c r="J98" s="6" t="s">
        <v>123</v>
      </c>
    </row>
    <row r="99" spans="1:10" x14ac:dyDescent="0.25">
      <c r="A99" s="6">
        <f t="shared" ca="1" si="2"/>
        <v>96</v>
      </c>
      <c r="B99" s="6" t="s">
        <v>316</v>
      </c>
      <c r="C99" s="6" t="s">
        <v>317</v>
      </c>
      <c r="D99" s="6" t="s">
        <v>122</v>
      </c>
      <c r="E99" s="6" t="s">
        <v>66</v>
      </c>
      <c r="F99" s="6">
        <v>662.39400000000001</v>
      </c>
      <c r="G99" s="7">
        <v>69.51100000000001</v>
      </c>
      <c r="H99" s="7">
        <v>16.8</v>
      </c>
      <c r="I99" s="7">
        <v>2785</v>
      </c>
      <c r="J99" s="6" t="s">
        <v>123</v>
      </c>
    </row>
    <row r="100" spans="1:10" x14ac:dyDescent="0.25">
      <c r="A100" s="6">
        <f t="shared" ref="A100:A131" ca="1" si="3">IF(OFFSET(A100,-1,0)="№ п/п",1,OFFSET(A100,-1,0)+1)</f>
        <v>97</v>
      </c>
      <c r="B100" s="6" t="s">
        <v>318</v>
      </c>
      <c r="C100" s="6" t="s">
        <v>319</v>
      </c>
      <c r="D100" s="6" t="s">
        <v>122</v>
      </c>
      <c r="E100" s="6" t="s">
        <v>66</v>
      </c>
      <c r="F100" s="6">
        <v>653.16700000000003</v>
      </c>
      <c r="G100" s="7">
        <v>68.066200000000009</v>
      </c>
      <c r="H100" s="7">
        <v>16.79</v>
      </c>
      <c r="I100" s="7">
        <v>2804</v>
      </c>
      <c r="J100" s="6" t="s">
        <v>123</v>
      </c>
    </row>
    <row r="101" spans="1:10" x14ac:dyDescent="0.25">
      <c r="A101" s="6">
        <f t="shared" ca="1" si="3"/>
        <v>98</v>
      </c>
      <c r="B101" s="6" t="s">
        <v>320</v>
      </c>
      <c r="C101" s="6" t="s">
        <v>79</v>
      </c>
      <c r="D101" s="6" t="s">
        <v>122</v>
      </c>
      <c r="E101" s="6" t="s">
        <v>66</v>
      </c>
      <c r="F101" s="6">
        <v>677.70600000000002</v>
      </c>
      <c r="G101" s="7">
        <v>70.681200000000004</v>
      </c>
      <c r="H101" s="7">
        <v>16.82</v>
      </c>
      <c r="I101" s="7">
        <v>2432</v>
      </c>
      <c r="J101" s="6" t="s">
        <v>123</v>
      </c>
    </row>
    <row r="102" spans="1:10" x14ac:dyDescent="0.25">
      <c r="A102" s="6">
        <f t="shared" ca="1" si="3"/>
        <v>99</v>
      </c>
      <c r="B102" s="6" t="s">
        <v>321</v>
      </c>
      <c r="C102" s="6" t="s">
        <v>322</v>
      </c>
      <c r="D102" s="6" t="s">
        <v>122</v>
      </c>
      <c r="E102" s="6" t="s">
        <v>66</v>
      </c>
      <c r="F102" s="6">
        <v>704.38499999999999</v>
      </c>
      <c r="G102" s="7">
        <v>72.782899999999998</v>
      </c>
      <c r="H102" s="7">
        <v>16.850000000000001</v>
      </c>
      <c r="I102" s="7">
        <v>2090</v>
      </c>
      <c r="J102" s="6" t="s">
        <v>123</v>
      </c>
    </row>
    <row r="103" spans="1:10" x14ac:dyDescent="0.25">
      <c r="A103" s="6">
        <f t="shared" ca="1" si="3"/>
        <v>100</v>
      </c>
      <c r="B103" s="6" t="s">
        <v>323</v>
      </c>
      <c r="C103" s="6" t="s">
        <v>324</v>
      </c>
      <c r="D103" s="6" t="s">
        <v>122</v>
      </c>
      <c r="E103" s="6" t="s">
        <v>66</v>
      </c>
      <c r="F103" s="6">
        <v>598.91500000000008</v>
      </c>
      <c r="G103" s="7">
        <v>64.459000000000003</v>
      </c>
      <c r="H103" s="7">
        <v>16.75</v>
      </c>
      <c r="I103" s="7">
        <v>4194</v>
      </c>
      <c r="J103" s="6" t="s">
        <v>123</v>
      </c>
    </row>
    <row r="104" spans="1:10" x14ac:dyDescent="0.25">
      <c r="A104" s="6">
        <f t="shared" ca="1" si="3"/>
        <v>101</v>
      </c>
      <c r="B104" s="6" t="s">
        <v>325</v>
      </c>
      <c r="C104" s="6" t="s">
        <v>326</v>
      </c>
      <c r="D104" s="6" t="s">
        <v>122</v>
      </c>
      <c r="E104" s="6" t="s">
        <v>66</v>
      </c>
      <c r="F104" s="6">
        <v>1000</v>
      </c>
      <c r="G104" s="7">
        <v>102.68730000000001</v>
      </c>
      <c r="H104" s="7">
        <v>11.64</v>
      </c>
      <c r="I104" s="7">
        <v>282</v>
      </c>
      <c r="J104" s="6" t="s">
        <v>123</v>
      </c>
    </row>
    <row r="105" spans="1:10" x14ac:dyDescent="0.25">
      <c r="A105" s="6">
        <f t="shared" ca="1" si="3"/>
        <v>102</v>
      </c>
      <c r="B105" s="6" t="s">
        <v>327</v>
      </c>
      <c r="C105" s="6" t="s">
        <v>98</v>
      </c>
      <c r="D105" s="6" t="s">
        <v>122</v>
      </c>
      <c r="E105" s="6" t="s">
        <v>66</v>
      </c>
      <c r="F105" s="6">
        <v>745.84400000000005</v>
      </c>
      <c r="G105" s="7">
        <v>74.733699999999999</v>
      </c>
      <c r="H105" s="7">
        <v>16.97</v>
      </c>
      <c r="I105" s="7">
        <v>1455</v>
      </c>
      <c r="J105" s="6" t="s">
        <v>123</v>
      </c>
    </row>
    <row r="106" spans="1:10" x14ac:dyDescent="0.25">
      <c r="A106" s="6">
        <f t="shared" ca="1" si="3"/>
        <v>103</v>
      </c>
      <c r="B106" s="6" t="s">
        <v>328</v>
      </c>
      <c r="C106" s="6" t="s">
        <v>329</v>
      </c>
      <c r="D106" s="6" t="s">
        <v>122</v>
      </c>
      <c r="E106" s="6" t="s">
        <v>66</v>
      </c>
      <c r="F106" s="6">
        <v>723.89800000000002</v>
      </c>
      <c r="G106" s="7">
        <v>76.571100000000001</v>
      </c>
      <c r="H106" s="7">
        <v>16.95</v>
      </c>
      <c r="I106" s="7">
        <v>1630</v>
      </c>
      <c r="J106" s="6" t="s">
        <v>123</v>
      </c>
    </row>
    <row r="107" spans="1:10" x14ac:dyDescent="0.25">
      <c r="A107" s="6">
        <f t="shared" ca="1" si="3"/>
        <v>104</v>
      </c>
      <c r="B107" s="6" t="s">
        <v>330</v>
      </c>
      <c r="C107" s="6" t="s">
        <v>331</v>
      </c>
      <c r="D107" s="6" t="s">
        <v>122</v>
      </c>
      <c r="E107" s="6" t="s">
        <v>66</v>
      </c>
      <c r="F107" s="6">
        <v>538.07500000000005</v>
      </c>
      <c r="G107" s="7">
        <v>59.074200000000005</v>
      </c>
      <c r="H107" s="7">
        <v>16.73</v>
      </c>
      <c r="I107" s="7">
        <v>4871</v>
      </c>
      <c r="J107" s="6" t="s">
        <v>123</v>
      </c>
    </row>
    <row r="108" spans="1:10" x14ac:dyDescent="0.25">
      <c r="A108" s="6">
        <f t="shared" ca="1" si="3"/>
        <v>105</v>
      </c>
      <c r="B108" s="6" t="s">
        <v>332</v>
      </c>
      <c r="C108" s="6" t="s">
        <v>333</v>
      </c>
      <c r="D108" s="6" t="s">
        <v>122</v>
      </c>
      <c r="E108" s="6" t="s">
        <v>66</v>
      </c>
      <c r="F108" s="6">
        <v>973.774</v>
      </c>
      <c r="G108" s="7">
        <v>101.51520000000001</v>
      </c>
      <c r="H108" s="7">
        <v>16.309999999999999</v>
      </c>
      <c r="I108" s="7">
        <v>97</v>
      </c>
      <c r="J108" s="6" t="s">
        <v>123</v>
      </c>
    </row>
    <row r="109" spans="1:10" x14ac:dyDescent="0.25">
      <c r="A109" s="6">
        <f t="shared" ca="1" si="3"/>
        <v>106</v>
      </c>
      <c r="B109" s="6" t="s">
        <v>334</v>
      </c>
      <c r="C109" s="6" t="s">
        <v>335</v>
      </c>
      <c r="D109" s="6" t="s">
        <v>122</v>
      </c>
      <c r="E109" s="6" t="s">
        <v>66</v>
      </c>
      <c r="F109" s="6">
        <v>902.14100000000008</v>
      </c>
      <c r="G109" s="7">
        <v>90.244700000000009</v>
      </c>
      <c r="H109" s="7">
        <v>17.010000000000002</v>
      </c>
      <c r="I109" s="7">
        <v>364</v>
      </c>
      <c r="J109" s="6" t="s">
        <v>123</v>
      </c>
    </row>
    <row r="110" spans="1:10" x14ac:dyDescent="0.25">
      <c r="A110" s="6">
        <f t="shared" ca="1" si="3"/>
        <v>107</v>
      </c>
      <c r="B110" s="6" t="s">
        <v>336</v>
      </c>
      <c r="C110" s="6" t="s">
        <v>112</v>
      </c>
      <c r="D110" s="6" t="s">
        <v>122</v>
      </c>
      <c r="E110" s="6" t="s">
        <v>66</v>
      </c>
      <c r="F110" s="6">
        <v>799.31</v>
      </c>
      <c r="G110" s="7">
        <v>84.362400000000008</v>
      </c>
      <c r="H110" s="7">
        <v>17.13</v>
      </c>
      <c r="I110" s="7">
        <v>791</v>
      </c>
      <c r="J110" s="6" t="s">
        <v>123</v>
      </c>
    </row>
    <row r="111" spans="1:10" x14ac:dyDescent="0.25">
      <c r="A111" s="6">
        <f t="shared" ca="1" si="3"/>
        <v>108</v>
      </c>
      <c r="B111" s="6" t="s">
        <v>337</v>
      </c>
      <c r="C111" s="6" t="s">
        <v>338</v>
      </c>
      <c r="D111" s="6" t="s">
        <v>122</v>
      </c>
      <c r="E111" s="6" t="s">
        <v>66</v>
      </c>
      <c r="F111" s="6">
        <v>738.94600000000003</v>
      </c>
      <c r="G111" s="7">
        <v>78.936300000000003</v>
      </c>
      <c r="H111" s="7">
        <v>17.059999999999999</v>
      </c>
      <c r="I111" s="7">
        <v>1128</v>
      </c>
      <c r="J111" s="6" t="s">
        <v>123</v>
      </c>
    </row>
    <row r="112" spans="1:10" x14ac:dyDescent="0.25">
      <c r="A112" s="6">
        <f t="shared" ca="1" si="3"/>
        <v>109</v>
      </c>
      <c r="B112" s="6" t="s">
        <v>339</v>
      </c>
      <c r="C112" s="6" t="s">
        <v>340</v>
      </c>
      <c r="D112" s="6" t="s">
        <v>122</v>
      </c>
      <c r="E112" s="6" t="s">
        <v>66</v>
      </c>
      <c r="F112" s="6">
        <v>557.05500000000006</v>
      </c>
      <c r="G112" s="7">
        <v>56.285400000000003</v>
      </c>
      <c r="H112" s="7">
        <v>16.72</v>
      </c>
      <c r="I112" s="7">
        <v>5088</v>
      </c>
      <c r="J112" s="6" t="s">
        <v>123</v>
      </c>
    </row>
    <row r="113" spans="1:10" x14ac:dyDescent="0.25">
      <c r="A113" s="6">
        <f t="shared" ca="1" si="3"/>
        <v>110</v>
      </c>
      <c r="B113" s="6" t="s">
        <v>341</v>
      </c>
      <c r="C113" s="6" t="s">
        <v>342</v>
      </c>
      <c r="D113" s="6" t="s">
        <v>122</v>
      </c>
      <c r="E113" s="6" t="s">
        <v>66</v>
      </c>
      <c r="F113" s="6">
        <v>551.54500000000007</v>
      </c>
      <c r="G113" s="7">
        <v>59.2</v>
      </c>
      <c r="H113" s="7">
        <v>16.73</v>
      </c>
      <c r="I113" s="7">
        <v>5304</v>
      </c>
      <c r="J113" s="6" t="s">
        <v>123</v>
      </c>
    </row>
    <row r="114" spans="1:10" x14ac:dyDescent="0.25">
      <c r="A114" s="6">
        <f t="shared" ca="1" si="3"/>
        <v>111</v>
      </c>
      <c r="B114" s="6" t="s">
        <v>343</v>
      </c>
      <c r="C114" s="6" t="s">
        <v>94</v>
      </c>
      <c r="D114" s="6" t="s">
        <v>122</v>
      </c>
      <c r="E114" s="6" t="s">
        <v>66</v>
      </c>
      <c r="F114" s="6">
        <v>845.26100000000008</v>
      </c>
      <c r="G114" s="7">
        <v>88.803899999999999</v>
      </c>
      <c r="H114" s="7">
        <v>17</v>
      </c>
      <c r="I114" s="7">
        <v>1320</v>
      </c>
      <c r="J114" s="6" t="s">
        <v>123</v>
      </c>
    </row>
    <row r="115" spans="1:10" x14ac:dyDescent="0.25">
      <c r="A115" s="6">
        <f t="shared" ca="1" si="3"/>
        <v>112</v>
      </c>
      <c r="B115" s="6" t="s">
        <v>344</v>
      </c>
      <c r="C115" s="6" t="s">
        <v>345</v>
      </c>
      <c r="D115" s="6" t="s">
        <v>122</v>
      </c>
      <c r="E115" s="6" t="s">
        <v>66</v>
      </c>
      <c r="F115" s="6">
        <v>940.51700000000005</v>
      </c>
      <c r="G115" s="7">
        <v>95.239800000000002</v>
      </c>
      <c r="H115" s="7">
        <v>16.920000000000002</v>
      </c>
      <c r="I115" s="7">
        <v>318</v>
      </c>
      <c r="J115" s="6" t="s">
        <v>123</v>
      </c>
    </row>
    <row r="116" spans="1:10" x14ac:dyDescent="0.25">
      <c r="A116" s="6">
        <f t="shared" ca="1" si="3"/>
        <v>113</v>
      </c>
      <c r="B116" s="6" t="s">
        <v>346</v>
      </c>
      <c r="C116" s="6" t="s">
        <v>347</v>
      </c>
      <c r="D116" s="6" t="s">
        <v>122</v>
      </c>
      <c r="E116" s="6" t="s">
        <v>66</v>
      </c>
      <c r="F116" s="6">
        <v>1000</v>
      </c>
      <c r="G116" s="7">
        <v>108.15650000000001</v>
      </c>
      <c r="H116" s="7">
        <v>11.83</v>
      </c>
      <c r="I116" s="7">
        <v>1212</v>
      </c>
      <c r="J116" s="6" t="s">
        <v>123</v>
      </c>
    </row>
    <row r="117" spans="1:10" x14ac:dyDescent="0.25">
      <c r="A117" s="6">
        <f t="shared" ca="1" si="3"/>
        <v>114</v>
      </c>
      <c r="B117" s="6" t="s">
        <v>348</v>
      </c>
      <c r="C117" s="6" t="s">
        <v>349</v>
      </c>
      <c r="D117" s="6" t="s">
        <v>122</v>
      </c>
      <c r="E117" s="6" t="s">
        <v>66</v>
      </c>
      <c r="F117" s="6">
        <v>1000</v>
      </c>
      <c r="G117" s="7">
        <v>104.62090000000001</v>
      </c>
      <c r="H117" s="7">
        <v>11.52</v>
      </c>
      <c r="I117" s="7">
        <v>222</v>
      </c>
      <c r="J117" s="6" t="s">
        <v>123</v>
      </c>
    </row>
    <row r="118" spans="1:10" x14ac:dyDescent="0.25">
      <c r="A118" s="6">
        <f t="shared" ca="1" si="3"/>
        <v>115</v>
      </c>
      <c r="B118" s="6" t="s">
        <v>350</v>
      </c>
      <c r="C118" s="6" t="s">
        <v>351</v>
      </c>
      <c r="D118" s="6" t="s">
        <v>122</v>
      </c>
      <c r="E118" s="6" t="s">
        <v>66</v>
      </c>
      <c r="F118" s="6">
        <v>1000</v>
      </c>
      <c r="G118" s="7">
        <v>105.63680000000001</v>
      </c>
      <c r="H118" s="7">
        <v>11.74</v>
      </c>
      <c r="I118" s="7">
        <v>1289</v>
      </c>
      <c r="J118" s="6" t="s">
        <v>123</v>
      </c>
    </row>
    <row r="119" spans="1:10" x14ac:dyDescent="0.25">
      <c r="A119" s="6">
        <f t="shared" ca="1" si="3"/>
        <v>116</v>
      </c>
      <c r="B119" s="6" t="s">
        <v>352</v>
      </c>
      <c r="C119" s="6" t="s">
        <v>71</v>
      </c>
      <c r="D119" s="6" t="s">
        <v>122</v>
      </c>
      <c r="E119" s="6" t="s">
        <v>66</v>
      </c>
      <c r="F119" s="6">
        <v>846.73300000000006</v>
      </c>
      <c r="G119" s="7">
        <v>93.194699999999997</v>
      </c>
      <c r="H119" s="7">
        <v>17.04</v>
      </c>
      <c r="I119" s="7">
        <v>1165</v>
      </c>
      <c r="J119" s="6" t="s">
        <v>123</v>
      </c>
    </row>
    <row r="120" spans="1:10" x14ac:dyDescent="0.25">
      <c r="A120" s="6">
        <f t="shared" ca="1" si="3"/>
        <v>117</v>
      </c>
      <c r="B120" s="6" t="s">
        <v>353</v>
      </c>
      <c r="C120" s="6" t="s">
        <v>354</v>
      </c>
      <c r="D120" s="6" t="s">
        <v>122</v>
      </c>
      <c r="E120" s="6" t="s">
        <v>66</v>
      </c>
      <c r="F120" s="6">
        <v>1000</v>
      </c>
      <c r="G120" s="7">
        <v>105.7351</v>
      </c>
      <c r="H120" s="7">
        <v>11.72</v>
      </c>
      <c r="I120" s="7">
        <v>920</v>
      </c>
      <c r="J120" s="6" t="s">
        <v>123</v>
      </c>
    </row>
    <row r="121" spans="1:10" x14ac:dyDescent="0.25">
      <c r="A121" s="6">
        <f t="shared" ca="1" si="3"/>
        <v>118</v>
      </c>
      <c r="B121" s="6" t="s">
        <v>355</v>
      </c>
      <c r="C121" s="6" t="s">
        <v>356</v>
      </c>
      <c r="D121" s="6" t="s">
        <v>122</v>
      </c>
      <c r="E121" s="6" t="s">
        <v>66</v>
      </c>
      <c r="F121" s="6">
        <v>564.71800000000007</v>
      </c>
      <c r="G121" s="7">
        <v>58.244</v>
      </c>
      <c r="H121" s="7">
        <v>16.809999999999999</v>
      </c>
      <c r="I121" s="7">
        <v>2440</v>
      </c>
      <c r="J121" s="6" t="s">
        <v>123</v>
      </c>
    </row>
    <row r="122" spans="1:10" x14ac:dyDescent="0.25">
      <c r="A122" s="6">
        <f t="shared" ca="1" si="3"/>
        <v>119</v>
      </c>
      <c r="B122" s="6" t="s">
        <v>357</v>
      </c>
      <c r="C122" s="6" t="s">
        <v>358</v>
      </c>
      <c r="D122" s="6" t="s">
        <v>122</v>
      </c>
      <c r="E122" s="6" t="s">
        <v>66</v>
      </c>
      <c r="F122" s="6">
        <v>765.21300000000008</v>
      </c>
      <c r="G122" s="7">
        <v>81.535200000000003</v>
      </c>
      <c r="H122" s="7">
        <v>17.03</v>
      </c>
      <c r="I122" s="7">
        <v>1209</v>
      </c>
      <c r="J122" s="6" t="s">
        <v>123</v>
      </c>
    </row>
    <row r="123" spans="1:10" x14ac:dyDescent="0.25">
      <c r="A123" s="6">
        <f t="shared" ca="1" si="3"/>
        <v>120</v>
      </c>
      <c r="B123" s="6" t="s">
        <v>359</v>
      </c>
      <c r="C123" s="6" t="s">
        <v>360</v>
      </c>
      <c r="D123" s="6" t="s">
        <v>122</v>
      </c>
      <c r="E123" s="6" t="s">
        <v>66</v>
      </c>
      <c r="F123" s="6">
        <v>756.54</v>
      </c>
      <c r="G123" s="7">
        <v>77.348399999999998</v>
      </c>
      <c r="H123" s="7">
        <v>17.09</v>
      </c>
      <c r="I123" s="7">
        <v>973</v>
      </c>
      <c r="J123" s="6" t="s">
        <v>123</v>
      </c>
    </row>
    <row r="124" spans="1:10" x14ac:dyDescent="0.25">
      <c r="A124" s="6">
        <f t="shared" ca="1" si="3"/>
        <v>121</v>
      </c>
      <c r="B124" s="6" t="s">
        <v>361</v>
      </c>
      <c r="C124" s="6" t="s">
        <v>81</v>
      </c>
      <c r="D124" s="6" t="s">
        <v>122</v>
      </c>
      <c r="E124" s="6" t="s">
        <v>66</v>
      </c>
      <c r="F124" s="6">
        <v>757.60200000000009</v>
      </c>
      <c r="G124" s="7">
        <v>76.470200000000006</v>
      </c>
      <c r="H124" s="7">
        <v>16.82</v>
      </c>
      <c r="I124" s="7">
        <v>2533</v>
      </c>
      <c r="J124" s="6" t="s">
        <v>123</v>
      </c>
    </row>
    <row r="125" spans="1:10" x14ac:dyDescent="0.25">
      <c r="A125" s="6">
        <f t="shared" ca="1" si="3"/>
        <v>122</v>
      </c>
      <c r="B125" s="6" t="s">
        <v>362</v>
      </c>
      <c r="C125" s="6" t="s">
        <v>106</v>
      </c>
      <c r="D125" s="6" t="s">
        <v>122</v>
      </c>
      <c r="E125" s="6" t="s">
        <v>66</v>
      </c>
      <c r="F125" s="6">
        <v>825.423</v>
      </c>
      <c r="G125" s="7">
        <v>83.186999999999998</v>
      </c>
      <c r="H125" s="7">
        <v>16.96</v>
      </c>
      <c r="I125" s="7">
        <v>1439</v>
      </c>
      <c r="J125" s="6" t="s">
        <v>123</v>
      </c>
    </row>
    <row r="126" spans="1:10" x14ac:dyDescent="0.25">
      <c r="A126" s="6">
        <f t="shared" ca="1" si="3"/>
        <v>123</v>
      </c>
      <c r="B126" s="6" t="s">
        <v>363</v>
      </c>
      <c r="C126" s="6" t="s">
        <v>364</v>
      </c>
      <c r="D126" s="6" t="s">
        <v>122</v>
      </c>
      <c r="E126" s="6" t="s">
        <v>66</v>
      </c>
      <c r="F126" s="6">
        <v>1000</v>
      </c>
      <c r="G126" s="7">
        <v>110.51990000000001</v>
      </c>
      <c r="H126" s="7">
        <v>11.78</v>
      </c>
      <c r="I126" s="7">
        <v>1867</v>
      </c>
      <c r="J126" s="6" t="s">
        <v>123</v>
      </c>
    </row>
    <row r="127" spans="1:10" x14ac:dyDescent="0.25">
      <c r="A127" s="6">
        <f t="shared" ca="1" si="3"/>
        <v>124</v>
      </c>
      <c r="B127" s="6" t="s">
        <v>365</v>
      </c>
      <c r="C127" s="6" t="s">
        <v>366</v>
      </c>
      <c r="D127" s="6" t="s">
        <v>122</v>
      </c>
      <c r="E127" s="6" t="s">
        <v>66</v>
      </c>
      <c r="F127" s="6">
        <v>1000</v>
      </c>
      <c r="G127" s="7">
        <v>107.57040000000001</v>
      </c>
      <c r="H127" s="7">
        <v>11.76</v>
      </c>
      <c r="I127" s="7">
        <v>2323</v>
      </c>
      <c r="J127" s="6" t="s">
        <v>123</v>
      </c>
    </row>
    <row r="128" spans="1:10" x14ac:dyDescent="0.25">
      <c r="A128" s="6">
        <f t="shared" ca="1" si="3"/>
        <v>125</v>
      </c>
      <c r="B128" s="6" t="s">
        <v>367</v>
      </c>
      <c r="C128" s="6" t="s">
        <v>368</v>
      </c>
      <c r="D128" s="6" t="s">
        <v>122</v>
      </c>
      <c r="E128" s="6" t="s">
        <v>66</v>
      </c>
      <c r="F128" s="6">
        <v>1000</v>
      </c>
      <c r="G128" s="7">
        <v>110.58540000000001</v>
      </c>
      <c r="H128" s="7">
        <v>11.78</v>
      </c>
      <c r="I128" s="7">
        <v>2230</v>
      </c>
      <c r="J128" s="6" t="s">
        <v>123</v>
      </c>
    </row>
    <row r="129" spans="1:10" x14ac:dyDescent="0.25">
      <c r="A129" s="6">
        <f t="shared" ca="1" si="3"/>
        <v>126</v>
      </c>
      <c r="B129" s="6" t="s">
        <v>369</v>
      </c>
      <c r="C129" s="6" t="s">
        <v>370</v>
      </c>
      <c r="D129" s="6" t="s">
        <v>122</v>
      </c>
      <c r="E129" s="6" t="s">
        <v>66</v>
      </c>
      <c r="F129" s="6">
        <v>903.83100000000002</v>
      </c>
      <c r="G129" s="7">
        <v>93.012</v>
      </c>
      <c r="H129" s="7">
        <v>17.11</v>
      </c>
      <c r="I129" s="7">
        <v>638</v>
      </c>
      <c r="J129" s="6" t="s">
        <v>123</v>
      </c>
    </row>
    <row r="130" spans="1:10" x14ac:dyDescent="0.25">
      <c r="A130" s="6">
        <f t="shared" ca="1" si="3"/>
        <v>127</v>
      </c>
      <c r="B130" s="6" t="s">
        <v>371</v>
      </c>
      <c r="C130" s="6" t="s">
        <v>372</v>
      </c>
      <c r="D130" s="6" t="s">
        <v>122</v>
      </c>
      <c r="E130" s="6" t="s">
        <v>66</v>
      </c>
      <c r="F130" s="6">
        <v>715.23900000000003</v>
      </c>
      <c r="G130" s="7">
        <v>77.72420000000001</v>
      </c>
      <c r="H130" s="7">
        <v>16.760000000000002</v>
      </c>
      <c r="I130" s="7">
        <v>4180</v>
      </c>
      <c r="J130" s="6" t="s">
        <v>123</v>
      </c>
    </row>
    <row r="131" spans="1:10" x14ac:dyDescent="0.25">
      <c r="A131" s="6">
        <f t="shared" ca="1" si="3"/>
        <v>128</v>
      </c>
      <c r="B131" s="6" t="s">
        <v>373</v>
      </c>
      <c r="C131" s="6" t="s">
        <v>85</v>
      </c>
      <c r="D131" s="6" t="s">
        <v>122</v>
      </c>
      <c r="E131" s="6" t="s">
        <v>66</v>
      </c>
      <c r="F131" s="6">
        <v>979.14</v>
      </c>
      <c r="G131" s="7">
        <v>98.773499999999999</v>
      </c>
      <c r="H131" s="7">
        <v>15.94</v>
      </c>
      <c r="I131" s="7">
        <v>155</v>
      </c>
      <c r="J131" s="6" t="s">
        <v>123</v>
      </c>
    </row>
    <row r="132" spans="1:10" x14ac:dyDescent="0.25">
      <c r="A132" s="6">
        <f t="shared" ref="A132:A163" ca="1" si="4">IF(OFFSET(A132,-1,0)="№ п/п",1,OFFSET(A132,-1,0)+1)</f>
        <v>129</v>
      </c>
      <c r="B132" s="6" t="s">
        <v>374</v>
      </c>
      <c r="C132" s="6" t="s">
        <v>375</v>
      </c>
      <c r="D132" s="6" t="s">
        <v>122</v>
      </c>
      <c r="E132" s="6" t="s">
        <v>66</v>
      </c>
      <c r="F132" s="6">
        <v>821.45300000000009</v>
      </c>
      <c r="G132" s="7">
        <v>88.134200000000007</v>
      </c>
      <c r="H132" s="7">
        <v>16.95</v>
      </c>
      <c r="I132" s="7">
        <v>1630</v>
      </c>
      <c r="J132" s="6" t="s">
        <v>123</v>
      </c>
    </row>
    <row r="133" spans="1:10" x14ac:dyDescent="0.25">
      <c r="A133" s="6">
        <f t="shared" ca="1" si="4"/>
        <v>130</v>
      </c>
      <c r="B133" s="6" t="s">
        <v>376</v>
      </c>
      <c r="C133" s="6" t="s">
        <v>377</v>
      </c>
      <c r="D133" s="6" t="s">
        <v>122</v>
      </c>
      <c r="E133" s="6" t="s">
        <v>66</v>
      </c>
      <c r="F133" s="6">
        <v>708.03500000000008</v>
      </c>
      <c r="G133" s="7">
        <v>81.433800000000005</v>
      </c>
      <c r="H133" s="7">
        <v>16.75</v>
      </c>
      <c r="I133" s="7">
        <v>4024</v>
      </c>
      <c r="J133" s="6" t="s">
        <v>123</v>
      </c>
    </row>
    <row r="134" spans="1:10" x14ac:dyDescent="0.25">
      <c r="A134" s="6">
        <f t="shared" ca="1" si="4"/>
        <v>131</v>
      </c>
      <c r="B134" s="6" t="s">
        <v>378</v>
      </c>
      <c r="C134" s="6" t="s">
        <v>379</v>
      </c>
      <c r="D134" s="6" t="s">
        <v>122</v>
      </c>
      <c r="E134" s="6" t="s">
        <v>66</v>
      </c>
      <c r="F134" s="6">
        <v>706.92</v>
      </c>
      <c r="G134" s="7">
        <v>75.836300000000008</v>
      </c>
      <c r="H134" s="7">
        <v>16.8</v>
      </c>
      <c r="I134" s="7">
        <v>3104</v>
      </c>
      <c r="J134" s="6" t="s">
        <v>123</v>
      </c>
    </row>
    <row r="135" spans="1:10" x14ac:dyDescent="0.25">
      <c r="A135" s="6">
        <f t="shared" ca="1" si="4"/>
        <v>132</v>
      </c>
      <c r="B135" s="6" t="s">
        <v>380</v>
      </c>
      <c r="C135" s="6" t="s">
        <v>76</v>
      </c>
      <c r="D135" s="6" t="s">
        <v>122</v>
      </c>
      <c r="E135" s="6" t="s">
        <v>66</v>
      </c>
      <c r="F135" s="6">
        <v>864.56400000000008</v>
      </c>
      <c r="G135" s="7">
        <v>90.154200000000003</v>
      </c>
      <c r="H135" s="7">
        <v>17.09</v>
      </c>
      <c r="I135" s="7">
        <v>967</v>
      </c>
      <c r="J135" s="6" t="s">
        <v>123</v>
      </c>
    </row>
    <row r="136" spans="1:10" x14ac:dyDescent="0.25">
      <c r="A136" s="6">
        <f t="shared" ca="1" si="4"/>
        <v>133</v>
      </c>
      <c r="B136" s="6" t="s">
        <v>381</v>
      </c>
      <c r="C136" s="6" t="s">
        <v>382</v>
      </c>
      <c r="D136" s="6" t="s">
        <v>122</v>
      </c>
      <c r="E136" s="6" t="s">
        <v>66</v>
      </c>
      <c r="F136" s="6">
        <v>950.15700000000004</v>
      </c>
      <c r="G136" s="7">
        <v>95.482399999999998</v>
      </c>
      <c r="H136" s="7">
        <v>16.32</v>
      </c>
      <c r="I136" s="7">
        <v>350</v>
      </c>
      <c r="J136" s="6" t="s">
        <v>123</v>
      </c>
    </row>
    <row r="137" spans="1:10" x14ac:dyDescent="0.25">
      <c r="A137" s="6">
        <f t="shared" ca="1" si="4"/>
        <v>134</v>
      </c>
      <c r="B137" s="6" t="s">
        <v>383</v>
      </c>
      <c r="C137" s="6" t="s">
        <v>384</v>
      </c>
      <c r="D137" s="6" t="s">
        <v>122</v>
      </c>
      <c r="E137" s="6" t="s">
        <v>66</v>
      </c>
      <c r="F137" s="6">
        <v>698.00800000000004</v>
      </c>
      <c r="G137" s="7">
        <v>74.356400000000008</v>
      </c>
      <c r="H137" s="7">
        <v>16.760000000000002</v>
      </c>
      <c r="I137" s="7">
        <v>3490</v>
      </c>
      <c r="J137" s="6" t="s">
        <v>123</v>
      </c>
    </row>
    <row r="138" spans="1:10" x14ac:dyDescent="0.25">
      <c r="A138" s="6">
        <f t="shared" ca="1" si="4"/>
        <v>135</v>
      </c>
      <c r="B138" s="6" t="s">
        <v>385</v>
      </c>
      <c r="C138" s="6" t="s">
        <v>108</v>
      </c>
      <c r="D138" s="6" t="s">
        <v>122</v>
      </c>
      <c r="E138" s="6" t="s">
        <v>66</v>
      </c>
      <c r="F138" s="6">
        <v>772.322</v>
      </c>
      <c r="G138" s="7">
        <v>81.609700000000004</v>
      </c>
      <c r="H138" s="7">
        <v>16.86</v>
      </c>
      <c r="I138" s="7">
        <v>2036</v>
      </c>
      <c r="J138" s="6" t="s">
        <v>123</v>
      </c>
    </row>
    <row r="139" spans="1:10" x14ac:dyDescent="0.25">
      <c r="A139" s="6">
        <f t="shared" ca="1" si="4"/>
        <v>136</v>
      </c>
      <c r="B139" s="6" t="s">
        <v>386</v>
      </c>
      <c r="C139" s="6" t="s">
        <v>387</v>
      </c>
      <c r="D139" s="6" t="s">
        <v>122</v>
      </c>
      <c r="E139" s="6" t="s">
        <v>66</v>
      </c>
      <c r="F139" s="6">
        <v>741.23900000000003</v>
      </c>
      <c r="G139" s="7">
        <v>84.724800000000002</v>
      </c>
      <c r="H139" s="7">
        <v>16.8</v>
      </c>
      <c r="I139" s="7">
        <v>2926</v>
      </c>
      <c r="J139" s="6" t="s">
        <v>123</v>
      </c>
    </row>
    <row r="140" spans="1:10" x14ac:dyDescent="0.25">
      <c r="A140" s="6">
        <f t="shared" ca="1" si="4"/>
        <v>137</v>
      </c>
      <c r="B140" s="6" t="s">
        <v>388</v>
      </c>
      <c r="C140" s="6" t="s">
        <v>389</v>
      </c>
      <c r="D140" s="6" t="s">
        <v>122</v>
      </c>
      <c r="E140" s="6" t="s">
        <v>66</v>
      </c>
      <c r="F140" s="6">
        <v>976.16100000000006</v>
      </c>
      <c r="G140" s="7">
        <v>103.5622</v>
      </c>
      <c r="H140" s="7">
        <v>16.38</v>
      </c>
      <c r="I140" s="7">
        <v>393</v>
      </c>
      <c r="J140" s="6" t="s">
        <v>123</v>
      </c>
    </row>
    <row r="141" spans="1:10" x14ac:dyDescent="0.25">
      <c r="A141" s="6">
        <f t="shared" ca="1" si="4"/>
        <v>138</v>
      </c>
      <c r="B141" s="6" t="s">
        <v>390</v>
      </c>
      <c r="C141" s="6" t="s">
        <v>391</v>
      </c>
      <c r="D141" s="6" t="s">
        <v>122</v>
      </c>
      <c r="E141" s="6" t="s">
        <v>66</v>
      </c>
      <c r="F141" s="6">
        <v>979.28399999999999</v>
      </c>
      <c r="G141" s="7">
        <v>101.85120000000001</v>
      </c>
      <c r="H141" s="7">
        <v>16.45</v>
      </c>
      <c r="I141" s="7">
        <v>821</v>
      </c>
      <c r="J141" s="6" t="s">
        <v>123</v>
      </c>
    </row>
    <row r="142" spans="1:10" x14ac:dyDescent="0.25">
      <c r="A142" s="6">
        <f t="shared" ca="1" si="4"/>
        <v>139</v>
      </c>
      <c r="B142" s="6" t="s">
        <v>392</v>
      </c>
      <c r="C142" s="6" t="s">
        <v>393</v>
      </c>
      <c r="D142" s="6" t="s">
        <v>122</v>
      </c>
      <c r="E142" s="6" t="s">
        <v>66</v>
      </c>
      <c r="F142" s="6">
        <v>888.69</v>
      </c>
      <c r="G142" s="7">
        <v>92.407899999999998</v>
      </c>
      <c r="H142" s="7">
        <v>16.830000000000002</v>
      </c>
      <c r="I142" s="7">
        <v>2465</v>
      </c>
      <c r="J142" s="6" t="s">
        <v>123</v>
      </c>
    </row>
    <row r="143" spans="1:10" x14ac:dyDescent="0.25">
      <c r="A143" s="6">
        <f t="shared" ca="1" si="4"/>
        <v>140</v>
      </c>
      <c r="B143" s="6" t="s">
        <v>394</v>
      </c>
      <c r="C143" s="6" t="s">
        <v>395</v>
      </c>
      <c r="D143" s="6" t="s">
        <v>122</v>
      </c>
      <c r="E143" s="6" t="s">
        <v>66</v>
      </c>
      <c r="F143" s="6">
        <v>954.52500000000009</v>
      </c>
      <c r="G143" s="7">
        <v>102.55</v>
      </c>
      <c r="H143" s="7">
        <v>17</v>
      </c>
      <c r="I143" s="7">
        <v>1292</v>
      </c>
      <c r="J143" s="6" t="s">
        <v>123</v>
      </c>
    </row>
    <row r="144" spans="1:10" x14ac:dyDescent="0.25">
      <c r="A144" s="6">
        <f t="shared" ca="1" si="4"/>
        <v>141</v>
      </c>
      <c r="B144" s="6" t="s">
        <v>396</v>
      </c>
      <c r="C144" s="6" t="s">
        <v>397</v>
      </c>
      <c r="D144" s="6" t="s">
        <v>122</v>
      </c>
      <c r="E144" s="6" t="s">
        <v>66</v>
      </c>
      <c r="F144" s="6">
        <v>1000</v>
      </c>
      <c r="G144" s="7">
        <v>107.6247</v>
      </c>
      <c r="H144" s="7">
        <v>17.010000000000002</v>
      </c>
      <c r="I144" s="7">
        <v>386</v>
      </c>
      <c r="J144" s="6" t="s">
        <v>123</v>
      </c>
    </row>
    <row r="145" spans="1:10" x14ac:dyDescent="0.25">
      <c r="A145" s="6">
        <f t="shared" ca="1" si="4"/>
        <v>142</v>
      </c>
      <c r="B145" s="6" t="s">
        <v>398</v>
      </c>
      <c r="C145" s="6" t="s">
        <v>399</v>
      </c>
      <c r="D145" s="6" t="s">
        <v>122</v>
      </c>
      <c r="E145" s="6" t="s">
        <v>66</v>
      </c>
      <c r="F145" s="6">
        <v>897.66300000000001</v>
      </c>
      <c r="G145" s="7">
        <v>93.577400000000011</v>
      </c>
      <c r="H145" s="7">
        <v>16.86</v>
      </c>
      <c r="I145" s="7">
        <v>2092</v>
      </c>
      <c r="J145" s="6" t="s">
        <v>123</v>
      </c>
    </row>
    <row r="146" spans="1:10" x14ac:dyDescent="0.25">
      <c r="A146" s="6">
        <f t="shared" ca="1" si="4"/>
        <v>143</v>
      </c>
      <c r="B146" s="6" t="s">
        <v>400</v>
      </c>
      <c r="C146" s="6" t="s">
        <v>401</v>
      </c>
      <c r="D146" s="6" t="s">
        <v>122</v>
      </c>
      <c r="E146" s="6" t="s">
        <v>66</v>
      </c>
      <c r="F146" s="6">
        <v>980.553</v>
      </c>
      <c r="G146" s="7">
        <v>100.19420000000001</v>
      </c>
      <c r="H146" s="7">
        <v>16.23</v>
      </c>
      <c r="I146" s="7">
        <v>309</v>
      </c>
      <c r="J146" s="6" t="s">
        <v>123</v>
      </c>
    </row>
    <row r="147" spans="1:10" x14ac:dyDescent="0.25">
      <c r="A147" s="6">
        <f t="shared" ca="1" si="4"/>
        <v>144</v>
      </c>
      <c r="B147" s="6" t="s">
        <v>402</v>
      </c>
      <c r="C147" s="6" t="s">
        <v>403</v>
      </c>
      <c r="D147" s="6" t="s">
        <v>122</v>
      </c>
      <c r="E147" s="6" t="s">
        <v>66</v>
      </c>
      <c r="F147" s="6">
        <v>899.51600000000008</v>
      </c>
      <c r="G147" s="7">
        <v>92.962000000000003</v>
      </c>
      <c r="H147" s="7">
        <v>16.809999999999999</v>
      </c>
      <c r="I147" s="7">
        <v>2847</v>
      </c>
      <c r="J147" s="6" t="s">
        <v>123</v>
      </c>
    </row>
    <row r="148" spans="1:10" x14ac:dyDescent="0.25">
      <c r="A148" s="6">
        <f t="shared" ca="1" si="4"/>
        <v>145</v>
      </c>
      <c r="B148" s="6" t="s">
        <v>404</v>
      </c>
      <c r="C148" s="6" t="s">
        <v>405</v>
      </c>
      <c r="D148" s="6" t="s">
        <v>122</v>
      </c>
      <c r="E148" s="6" t="s">
        <v>66</v>
      </c>
      <c r="F148" s="6">
        <v>830.74300000000005</v>
      </c>
      <c r="G148" s="7">
        <v>89.007600000000011</v>
      </c>
      <c r="H148" s="7">
        <v>16.89</v>
      </c>
      <c r="I148" s="7">
        <v>2013</v>
      </c>
      <c r="J148" s="6" t="s">
        <v>123</v>
      </c>
    </row>
    <row r="149" spans="1:10" x14ac:dyDescent="0.25">
      <c r="A149" s="6">
        <f t="shared" ca="1" si="4"/>
        <v>146</v>
      </c>
      <c r="B149" s="6" t="s">
        <v>406</v>
      </c>
      <c r="C149" s="6" t="s">
        <v>101</v>
      </c>
      <c r="D149" s="6" t="s">
        <v>122</v>
      </c>
      <c r="E149" s="6" t="s">
        <v>66</v>
      </c>
      <c r="F149" s="6">
        <v>1019.35</v>
      </c>
      <c r="G149" s="7">
        <v>102.5493</v>
      </c>
      <c r="H149" s="7">
        <v>16.32</v>
      </c>
      <c r="I149" s="7">
        <v>1449</v>
      </c>
      <c r="J149" s="6" t="s">
        <v>123</v>
      </c>
    </row>
    <row r="150" spans="1:10" x14ac:dyDescent="0.25">
      <c r="A150" s="6">
        <f t="shared" ca="1" si="4"/>
        <v>147</v>
      </c>
      <c r="B150" s="6" t="s">
        <v>407</v>
      </c>
      <c r="C150" s="6" t="s">
        <v>408</v>
      </c>
      <c r="D150" s="6" t="s">
        <v>122</v>
      </c>
      <c r="E150" s="6" t="s">
        <v>66</v>
      </c>
      <c r="F150" s="6">
        <v>897.09700000000009</v>
      </c>
      <c r="G150" s="7">
        <v>96.315300000000008</v>
      </c>
      <c r="H150" s="7">
        <v>16.79</v>
      </c>
      <c r="I150" s="7">
        <v>3121</v>
      </c>
      <c r="J150" s="6" t="s">
        <v>123</v>
      </c>
    </row>
    <row r="151" spans="1:10" x14ac:dyDescent="0.25">
      <c r="A151" s="6">
        <f t="shared" ca="1" si="4"/>
        <v>148</v>
      </c>
      <c r="B151" s="6" t="s">
        <v>409</v>
      </c>
      <c r="C151" s="6" t="s">
        <v>410</v>
      </c>
      <c r="D151" s="6" t="s">
        <v>122</v>
      </c>
      <c r="E151" s="6" t="s">
        <v>66</v>
      </c>
      <c r="F151" s="6">
        <v>912.35300000000007</v>
      </c>
      <c r="G151" s="7">
        <v>97.886400000000009</v>
      </c>
      <c r="H151" s="7">
        <v>16.84</v>
      </c>
      <c r="I151" s="7">
        <v>2391</v>
      </c>
      <c r="J151" s="6" t="s">
        <v>123</v>
      </c>
    </row>
    <row r="152" spans="1:10" x14ac:dyDescent="0.25">
      <c r="A152" s="6">
        <f t="shared" ca="1" si="4"/>
        <v>149</v>
      </c>
      <c r="B152" s="6" t="s">
        <v>411</v>
      </c>
      <c r="C152" s="6" t="s">
        <v>412</v>
      </c>
      <c r="D152" s="6" t="s">
        <v>122</v>
      </c>
      <c r="E152" s="6" t="s">
        <v>66</v>
      </c>
      <c r="F152" s="6">
        <v>861.95800000000008</v>
      </c>
      <c r="G152" s="7">
        <v>89.642499999999998</v>
      </c>
      <c r="H152" s="7">
        <v>16.75</v>
      </c>
      <c r="I152" s="7">
        <v>4659</v>
      </c>
      <c r="J152" s="6" t="s">
        <v>123</v>
      </c>
    </row>
    <row r="153" spans="1:10" x14ac:dyDescent="0.25">
      <c r="A153" s="6">
        <f t="shared" ca="1" si="4"/>
        <v>150</v>
      </c>
      <c r="B153" s="6" t="s">
        <v>413</v>
      </c>
      <c r="C153" s="6" t="s">
        <v>414</v>
      </c>
      <c r="D153" s="6" t="s">
        <v>122</v>
      </c>
      <c r="E153" s="6" t="s">
        <v>66</v>
      </c>
      <c r="F153" s="6">
        <v>1000</v>
      </c>
      <c r="G153" s="7">
        <v>105.55640000000001</v>
      </c>
      <c r="H153" s="7">
        <v>14.23</v>
      </c>
      <c r="I153" s="7">
        <v>2050</v>
      </c>
      <c r="J153" s="6" t="s">
        <v>123</v>
      </c>
    </row>
    <row r="154" spans="1:10" x14ac:dyDescent="0.25">
      <c r="A154" s="6">
        <f t="shared" ca="1" si="4"/>
        <v>151</v>
      </c>
      <c r="B154" s="6" t="s">
        <v>415</v>
      </c>
      <c r="C154" s="6" t="s">
        <v>87</v>
      </c>
      <c r="D154" s="6" t="s">
        <v>122</v>
      </c>
      <c r="E154" s="6" t="s">
        <v>66</v>
      </c>
      <c r="F154" s="6">
        <v>849.84800000000007</v>
      </c>
      <c r="G154" s="7">
        <v>90.41810000000001</v>
      </c>
      <c r="H154" s="7">
        <v>16.920000000000002</v>
      </c>
      <c r="I154" s="7">
        <v>1661</v>
      </c>
      <c r="J154" s="6" t="s">
        <v>123</v>
      </c>
    </row>
    <row r="155" spans="1:10" x14ac:dyDescent="0.25">
      <c r="A155" s="6">
        <f t="shared" ca="1" si="4"/>
        <v>152</v>
      </c>
      <c r="B155" s="6" t="s">
        <v>416</v>
      </c>
      <c r="C155" s="6" t="s">
        <v>417</v>
      </c>
      <c r="D155" s="6" t="s">
        <v>122</v>
      </c>
      <c r="E155" s="6" t="s">
        <v>66</v>
      </c>
      <c r="F155" s="6">
        <v>89.204700000000003</v>
      </c>
      <c r="G155" s="7">
        <v>89.204700000000003</v>
      </c>
      <c r="H155" s="7">
        <v>16.48</v>
      </c>
      <c r="I155" s="7">
        <v>269</v>
      </c>
      <c r="J155" s="6" t="s">
        <v>123</v>
      </c>
    </row>
    <row r="156" spans="1:10" x14ac:dyDescent="0.25">
      <c r="A156" s="6">
        <f t="shared" ca="1" si="4"/>
        <v>153</v>
      </c>
      <c r="B156" s="6" t="s">
        <v>418</v>
      </c>
      <c r="C156" s="6" t="s">
        <v>110</v>
      </c>
      <c r="D156" s="6" t="s">
        <v>122</v>
      </c>
      <c r="E156" s="6" t="s">
        <v>66</v>
      </c>
      <c r="F156" s="6">
        <v>93.122</v>
      </c>
      <c r="G156" s="7">
        <v>93.122</v>
      </c>
      <c r="H156" s="7">
        <v>15.860000000000001</v>
      </c>
      <c r="I156" s="7">
        <v>171</v>
      </c>
      <c r="J156" s="6" t="s">
        <v>123</v>
      </c>
    </row>
    <row r="157" spans="1:10" x14ac:dyDescent="0.25">
      <c r="A157" s="6">
        <f t="shared" ca="1" si="4"/>
        <v>154</v>
      </c>
      <c r="B157" s="6" t="s">
        <v>419</v>
      </c>
      <c r="C157" s="6" t="s">
        <v>420</v>
      </c>
      <c r="D157" s="6" t="s">
        <v>122</v>
      </c>
      <c r="E157" s="6" t="s">
        <v>66</v>
      </c>
      <c r="F157" s="6">
        <v>869.13800000000003</v>
      </c>
      <c r="G157" s="7">
        <v>94.186000000000007</v>
      </c>
      <c r="H157" s="7">
        <v>16.79</v>
      </c>
      <c r="I157" s="7">
        <v>3465</v>
      </c>
      <c r="J157" s="6" t="s">
        <v>123</v>
      </c>
    </row>
    <row r="158" spans="1:10" x14ac:dyDescent="0.25">
      <c r="A158" s="6">
        <f t="shared" ca="1" si="4"/>
        <v>155</v>
      </c>
      <c r="B158" s="6" t="s">
        <v>421</v>
      </c>
      <c r="C158" s="6" t="s">
        <v>73</v>
      </c>
      <c r="D158" s="6" t="s">
        <v>122</v>
      </c>
      <c r="E158" s="6" t="s">
        <v>66</v>
      </c>
      <c r="F158" s="6">
        <v>0.97500000000000009</v>
      </c>
      <c r="G158" s="7">
        <v>99.215400000000002</v>
      </c>
      <c r="H158" s="7">
        <v>5.04</v>
      </c>
      <c r="I158" s="7">
        <v>3520</v>
      </c>
      <c r="J158" s="6" t="s">
        <v>123</v>
      </c>
    </row>
    <row r="159" spans="1:10" x14ac:dyDescent="0.25">
      <c r="A159" s="6">
        <f t="shared" ca="1" si="4"/>
        <v>156</v>
      </c>
      <c r="B159" s="6" t="s">
        <v>422</v>
      </c>
      <c r="C159" s="6" t="s">
        <v>423</v>
      </c>
      <c r="D159" s="6" t="s">
        <v>122</v>
      </c>
      <c r="E159" s="6" t="s">
        <v>66</v>
      </c>
      <c r="F159" s="6">
        <v>97.392400000000009</v>
      </c>
      <c r="G159" s="7">
        <v>97.392400000000009</v>
      </c>
      <c r="H159" s="7">
        <v>15.03</v>
      </c>
      <c r="I159" s="7">
        <v>66</v>
      </c>
      <c r="J159" s="6" t="s">
        <v>123</v>
      </c>
    </row>
    <row r="160" spans="1:10" x14ac:dyDescent="0.25">
      <c r="A160" s="6">
        <f t="shared" ca="1" si="4"/>
        <v>157</v>
      </c>
      <c r="B160" s="6" t="s">
        <v>424</v>
      </c>
      <c r="C160" s="6" t="s">
        <v>425</v>
      </c>
      <c r="D160" s="6" t="s">
        <v>117</v>
      </c>
      <c r="E160" s="6" t="s">
        <v>426</v>
      </c>
      <c r="F160" s="6">
        <v>382.27</v>
      </c>
      <c r="G160" s="7"/>
      <c r="H160" s="7"/>
      <c r="I160" s="7"/>
      <c r="J160" s="6" t="s">
        <v>119</v>
      </c>
    </row>
    <row r="161" spans="1:10" x14ac:dyDescent="0.25">
      <c r="A161" s="6">
        <f t="shared" ca="1" si="4"/>
        <v>158</v>
      </c>
      <c r="B161" s="6" t="s">
        <v>427</v>
      </c>
      <c r="C161" s="6" t="s">
        <v>428</v>
      </c>
      <c r="D161" s="6" t="s">
        <v>117</v>
      </c>
      <c r="E161" s="6" t="s">
        <v>426</v>
      </c>
      <c r="F161" s="6">
        <v>26.92</v>
      </c>
      <c r="G161" s="7"/>
      <c r="H161" s="7"/>
      <c r="I161" s="7"/>
      <c r="J161" s="6" t="s">
        <v>144</v>
      </c>
    </row>
    <row r="162" spans="1:10" x14ac:dyDescent="0.25">
      <c r="A162" s="6">
        <f t="shared" ca="1" si="4"/>
        <v>159</v>
      </c>
      <c r="B162" s="6" t="s">
        <v>429</v>
      </c>
      <c r="C162" s="6" t="s">
        <v>430</v>
      </c>
      <c r="D162" s="6" t="s">
        <v>117</v>
      </c>
      <c r="E162" s="6" t="s">
        <v>431</v>
      </c>
      <c r="F162" s="6">
        <v>807.92</v>
      </c>
      <c r="G162" s="7"/>
      <c r="H162" s="7"/>
      <c r="I162" s="7"/>
      <c r="J162" s="6" t="s">
        <v>119</v>
      </c>
    </row>
    <row r="163" spans="1:10" x14ac:dyDescent="0.25">
      <c r="A163" s="6">
        <f t="shared" ca="1" si="4"/>
        <v>160</v>
      </c>
      <c r="B163" s="6" t="s">
        <v>432</v>
      </c>
      <c r="C163" s="6" t="s">
        <v>433</v>
      </c>
      <c r="D163" s="6" t="s">
        <v>122</v>
      </c>
      <c r="E163" s="6" t="s">
        <v>434</v>
      </c>
      <c r="F163" s="6">
        <v>0.99989399999999995</v>
      </c>
      <c r="G163" s="7">
        <v>102.43940000000001</v>
      </c>
      <c r="H163" s="7">
        <v>6.01</v>
      </c>
      <c r="I163" s="7">
        <v>216</v>
      </c>
      <c r="J163" s="6" t="s">
        <v>123</v>
      </c>
    </row>
    <row r="164" spans="1:10" x14ac:dyDescent="0.25">
      <c r="A164" s="6">
        <f t="shared" ref="A164:A177" ca="1" si="5">IF(OFFSET(A164,-1,0)="№ п/п",1,OFFSET(A164,-1,0)+1)</f>
        <v>161</v>
      </c>
      <c r="B164" s="6" t="s">
        <v>435</v>
      </c>
      <c r="C164" s="6" t="s">
        <v>436</v>
      </c>
      <c r="D164" s="6" t="s">
        <v>122</v>
      </c>
      <c r="E164" s="6" t="s">
        <v>434</v>
      </c>
      <c r="F164" s="6">
        <v>1.023549</v>
      </c>
      <c r="G164" s="7">
        <v>104.43300000000001</v>
      </c>
      <c r="H164" s="7">
        <v>5.05</v>
      </c>
      <c r="I164" s="7">
        <v>1692</v>
      </c>
      <c r="J164" s="6" t="s">
        <v>123</v>
      </c>
    </row>
    <row r="165" spans="1:10" x14ac:dyDescent="0.25">
      <c r="A165" s="6">
        <f t="shared" ca="1" si="5"/>
        <v>162</v>
      </c>
      <c r="B165" s="6" t="s">
        <v>437</v>
      </c>
      <c r="C165" s="6" t="s">
        <v>438</v>
      </c>
      <c r="D165" s="6" t="s">
        <v>117</v>
      </c>
      <c r="E165" s="6" t="s">
        <v>439</v>
      </c>
      <c r="F165" s="6">
        <v>24.87</v>
      </c>
      <c r="G165" s="7"/>
      <c r="H165" s="7"/>
      <c r="I165" s="7"/>
      <c r="J165" s="6" t="s">
        <v>119</v>
      </c>
    </row>
    <row r="166" spans="1:10" x14ac:dyDescent="0.25">
      <c r="A166" s="6">
        <f t="shared" ca="1" si="5"/>
        <v>163</v>
      </c>
      <c r="B166" s="6" t="s">
        <v>440</v>
      </c>
      <c r="C166" s="6" t="s">
        <v>441</v>
      </c>
      <c r="D166" s="6" t="s">
        <v>122</v>
      </c>
      <c r="E166" s="6" t="s">
        <v>442</v>
      </c>
      <c r="F166" s="6">
        <v>999.48400000000004</v>
      </c>
      <c r="G166" s="7">
        <v>106.82090000000001</v>
      </c>
      <c r="H166" s="7">
        <v>17.309999999999999</v>
      </c>
      <c r="I166" s="7">
        <v>41</v>
      </c>
      <c r="J166" s="6" t="s">
        <v>123</v>
      </c>
    </row>
    <row r="167" spans="1:10" x14ac:dyDescent="0.25">
      <c r="A167" s="6">
        <f t="shared" ca="1" si="5"/>
        <v>164</v>
      </c>
      <c r="B167" s="6" t="s">
        <v>443</v>
      </c>
      <c r="C167" s="6" t="s">
        <v>444</v>
      </c>
      <c r="D167" s="6" t="s">
        <v>117</v>
      </c>
      <c r="E167" s="6" t="s">
        <v>445</v>
      </c>
      <c r="F167" s="6">
        <v>23961.74</v>
      </c>
      <c r="G167" s="7"/>
      <c r="H167" s="7"/>
      <c r="I167" s="7"/>
      <c r="J167" s="6" t="s">
        <v>119</v>
      </c>
    </row>
    <row r="168" spans="1:10" x14ac:dyDescent="0.25">
      <c r="A168" s="6">
        <f t="shared" ca="1" si="5"/>
        <v>165</v>
      </c>
      <c r="B168" s="6" t="s">
        <v>446</v>
      </c>
      <c r="C168" s="6" t="s">
        <v>447</v>
      </c>
      <c r="D168" s="6" t="s">
        <v>117</v>
      </c>
      <c r="E168" s="6" t="s">
        <v>448</v>
      </c>
      <c r="F168" s="6">
        <v>51554.05</v>
      </c>
      <c r="G168" s="7"/>
      <c r="H168" s="7"/>
      <c r="I168" s="7"/>
      <c r="J168" s="6" t="s">
        <v>119</v>
      </c>
    </row>
    <row r="169" spans="1:10" x14ac:dyDescent="0.25">
      <c r="A169" s="6">
        <f t="shared" ca="1" si="5"/>
        <v>166</v>
      </c>
      <c r="B169" s="6" t="s">
        <v>449</v>
      </c>
      <c r="C169" s="6" t="s">
        <v>450</v>
      </c>
      <c r="D169" s="6" t="s">
        <v>117</v>
      </c>
      <c r="E169" s="6" t="s">
        <v>448</v>
      </c>
      <c r="F169" s="6">
        <v>96.62</v>
      </c>
      <c r="G169" s="7"/>
      <c r="H169" s="7"/>
      <c r="I169" s="7"/>
      <c r="J169" s="6" t="s">
        <v>144</v>
      </c>
    </row>
    <row r="170" spans="1:10" x14ac:dyDescent="0.25">
      <c r="A170" s="6">
        <f t="shared" ca="1" si="5"/>
        <v>167</v>
      </c>
      <c r="B170" s="6" t="s">
        <v>451</v>
      </c>
      <c r="C170" s="6" t="s">
        <v>452</v>
      </c>
      <c r="D170" s="6" t="s">
        <v>122</v>
      </c>
      <c r="E170" s="6" t="s">
        <v>453</v>
      </c>
      <c r="F170" s="6">
        <v>99.963200000000001</v>
      </c>
      <c r="G170" s="7">
        <v>102.68260000000001</v>
      </c>
      <c r="H170" s="7">
        <v>11</v>
      </c>
      <c r="I170" s="7">
        <v>275</v>
      </c>
      <c r="J170" s="6" t="s">
        <v>123</v>
      </c>
    </row>
    <row r="171" spans="1:10" x14ac:dyDescent="0.25">
      <c r="A171" s="6">
        <f t="shared" ca="1" si="5"/>
        <v>168</v>
      </c>
      <c r="B171" s="6" t="s">
        <v>454</v>
      </c>
      <c r="C171" s="6" t="s">
        <v>455</v>
      </c>
      <c r="D171" s="6" t="s">
        <v>117</v>
      </c>
      <c r="E171" s="6" t="s">
        <v>456</v>
      </c>
      <c r="F171" s="6">
        <v>5.74</v>
      </c>
      <c r="G171" s="7"/>
      <c r="H171" s="7"/>
      <c r="I171" s="7"/>
      <c r="J171" s="6" t="s">
        <v>144</v>
      </c>
    </row>
    <row r="172" spans="1:10" x14ac:dyDescent="0.25">
      <c r="A172" s="6">
        <f t="shared" ca="1" si="5"/>
        <v>169</v>
      </c>
      <c r="B172" s="6" t="s">
        <v>457</v>
      </c>
      <c r="C172" s="6" t="s">
        <v>458</v>
      </c>
      <c r="D172" s="6" t="s">
        <v>117</v>
      </c>
      <c r="E172" s="6" t="s">
        <v>456</v>
      </c>
      <c r="F172" s="6">
        <v>757.2</v>
      </c>
      <c r="G172" s="7"/>
      <c r="H172" s="7"/>
      <c r="I172" s="7"/>
      <c r="J172" s="6" t="s">
        <v>119</v>
      </c>
    </row>
    <row r="173" spans="1:10" x14ac:dyDescent="0.25">
      <c r="A173" s="6">
        <f t="shared" ca="1" si="5"/>
        <v>170</v>
      </c>
      <c r="B173" s="6" t="s">
        <v>459</v>
      </c>
      <c r="C173" s="6" t="s">
        <v>460</v>
      </c>
      <c r="D173" s="6" t="s">
        <v>122</v>
      </c>
      <c r="E173" s="6" t="s">
        <v>90</v>
      </c>
      <c r="F173" s="6">
        <v>0.99752399999999997</v>
      </c>
      <c r="G173" s="7">
        <v>102.1357</v>
      </c>
      <c r="H173" s="7">
        <v>6.15</v>
      </c>
      <c r="I173" s="7">
        <v>213</v>
      </c>
      <c r="J173" s="6" t="s">
        <v>123</v>
      </c>
    </row>
    <row r="174" spans="1:10" x14ac:dyDescent="0.25">
      <c r="A174" s="6">
        <f t="shared" ca="1" si="5"/>
        <v>171</v>
      </c>
      <c r="B174" s="6" t="s">
        <v>461</v>
      </c>
      <c r="C174" s="6" t="s">
        <v>462</v>
      </c>
      <c r="D174" s="6" t="s">
        <v>122</v>
      </c>
      <c r="E174" s="6" t="s">
        <v>90</v>
      </c>
      <c r="F174" s="6">
        <v>1000</v>
      </c>
      <c r="G174" s="7">
        <v>107</v>
      </c>
      <c r="H174" s="7">
        <v>17.47</v>
      </c>
      <c r="I174" s="7">
        <v>951</v>
      </c>
      <c r="J174" s="6" t="s">
        <v>123</v>
      </c>
    </row>
    <row r="175" spans="1:10" x14ac:dyDescent="0.25">
      <c r="A175" s="6">
        <f t="shared" ca="1" si="5"/>
        <v>172</v>
      </c>
      <c r="B175" s="6" t="s">
        <v>463</v>
      </c>
      <c r="C175" s="6" t="s">
        <v>91</v>
      </c>
      <c r="D175" s="6" t="s">
        <v>122</v>
      </c>
      <c r="E175" s="6" t="s">
        <v>90</v>
      </c>
      <c r="F175" s="6">
        <v>933.57269768487106</v>
      </c>
      <c r="G175" s="7">
        <v>107.14086976999999</v>
      </c>
      <c r="H175" s="7">
        <v>0</v>
      </c>
      <c r="I175" s="7">
        <v>745</v>
      </c>
      <c r="J175" s="6" t="s">
        <v>123</v>
      </c>
    </row>
    <row r="176" spans="1:10" x14ac:dyDescent="0.25">
      <c r="A176" s="6">
        <f t="shared" ca="1" si="5"/>
        <v>173</v>
      </c>
      <c r="B176" s="6" t="s">
        <v>464</v>
      </c>
      <c r="C176" s="6" t="s">
        <v>465</v>
      </c>
      <c r="D176" s="6" t="s">
        <v>122</v>
      </c>
      <c r="E176" s="6" t="s">
        <v>90</v>
      </c>
      <c r="F176" s="6">
        <v>1000</v>
      </c>
      <c r="G176" s="7">
        <v>107.8356</v>
      </c>
      <c r="H176" s="7">
        <v>16.25</v>
      </c>
      <c r="I176" s="7">
        <v>920</v>
      </c>
      <c r="J176" s="6" t="s">
        <v>123</v>
      </c>
    </row>
    <row r="177" spans="1:10" x14ac:dyDescent="0.25">
      <c r="A177" s="6">
        <f t="shared" ca="1" si="5"/>
        <v>174</v>
      </c>
      <c r="B177" s="6" t="s">
        <v>466</v>
      </c>
      <c r="C177" s="6" t="s">
        <v>467</v>
      </c>
      <c r="D177" s="6" t="s">
        <v>122</v>
      </c>
      <c r="E177" s="6" t="s">
        <v>468</v>
      </c>
      <c r="F177" s="6">
        <v>1.011622</v>
      </c>
      <c r="G177" s="7">
        <v>102.7064</v>
      </c>
      <c r="H177" s="7">
        <v>4.9800000000000004</v>
      </c>
      <c r="I177" s="7">
        <v>993</v>
      </c>
      <c r="J177" s="6" t="s">
        <v>123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Nazira Shayakhmet</cp:lastModifiedBy>
  <dcterms:created xsi:type="dcterms:W3CDTF">2025-08-21T05:57:43Z</dcterms:created>
  <dcterms:modified xsi:type="dcterms:W3CDTF">2025-08-21T06:07:03Z</dcterms:modified>
</cp:coreProperties>
</file>