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0.10.80.5\sharefiles\SECTOR-INVEST\Сверка\UD Capital Halyk\Сверка\2025\08.2025\"/>
    </mc:Choice>
  </mc:AlternateContent>
  <xr:revisionPtr revIDLastSave="0" documentId="13_ncr:1_{CCBBDD39-1C80-47AB-BBE6-415D9D27788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ДУ" sheetId="1" r:id="rId1"/>
    <sheet name="Цены KASE" sheetId="2" r:id="rId2"/>
  </sheets>
  <definedNames>
    <definedName name="__mdDATACDebt__">ДУ!#REF!</definedName>
    <definedName name="__mdDATACommission__">ДУ!$C$60:$C$69</definedName>
    <definedName name="__mdDATACurrency__">ДУ!$29:$31</definedName>
    <definedName name="__mdDATADDebt__">ДУ!#REF!</definedName>
    <definedName name="__mdDATAHead__">ДУ!$B$2</definedName>
    <definedName name="__mdDATAItogoActive__">ДУ!$B$45</definedName>
    <definedName name="__mdDATAMarketPrice__">'Цены KASE'!#REF!</definedName>
    <definedName name="__mdDATAMoney__">ДУ!$30:$30</definedName>
    <definedName name="__mdDATARepo__">ДУ!$35:$35</definedName>
    <definedName name="__mdDATASecurity__">ДУ!$8:$8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5" i="1" l="1"/>
  <c r="O38" i="1"/>
  <c r="O26" i="1"/>
  <c r="D30" i="1"/>
  <c r="B45" i="1"/>
  <c r="B1" i="2"/>
  <c r="C70" i="1"/>
  <c r="G54" i="1"/>
  <c r="F54" i="1"/>
  <c r="E54" i="1"/>
  <c r="G43" i="1"/>
  <c r="F43" i="1"/>
  <c r="E43" i="1"/>
  <c r="M38" i="1"/>
  <c r="M36" i="1"/>
  <c r="H36" i="1"/>
  <c r="M35" i="1"/>
  <c r="H35" i="1"/>
  <c r="B29" i="1"/>
  <c r="L26" i="1"/>
  <c r="K26" i="1"/>
  <c r="H26" i="1"/>
  <c r="D26" i="1"/>
  <c r="M22" i="1"/>
  <c r="M18" i="1"/>
  <c r="M14" i="1"/>
  <c r="M10" i="1"/>
  <c r="Q1" i="1"/>
  <c r="M21" i="1" s="1"/>
  <c r="M8" i="1" l="1"/>
  <c r="M12" i="1"/>
  <c r="M16" i="1"/>
  <c r="M20" i="1"/>
  <c r="M24" i="1"/>
  <c r="M11" i="1"/>
  <c r="M15" i="1"/>
  <c r="M19" i="1"/>
  <c r="M23" i="1"/>
  <c r="M9" i="1"/>
  <c r="M13" i="1"/>
  <c r="M17" i="1"/>
  <c r="M26" i="1" l="1"/>
</calcChain>
</file>

<file path=xl/sharedStrings.xml><?xml version="1.0" encoding="utf-8"?>
<sst xmlns="http://schemas.openxmlformats.org/spreadsheetml/2006/main" count="165" uniqueCount="115">
  <si>
    <t>ISIN</t>
  </si>
  <si>
    <t>Номинальная стоимость, тенге</t>
  </si>
  <si>
    <t>Дата погашения</t>
  </si>
  <si>
    <t>Накопленный купон</t>
  </si>
  <si>
    <t>Вес</t>
  </si>
  <si>
    <t>ИТОГО</t>
  </si>
  <si>
    <t>Дата оценки</t>
  </si>
  <si>
    <t>№ п/п</t>
  </si>
  <si>
    <t>Торговый код</t>
  </si>
  <si>
    <t>Вид ценной бумаги</t>
  </si>
  <si>
    <t>Краткое наименование эмитента</t>
  </si>
  <si>
    <t>Расчетная цена</t>
  </si>
  <si>
    <t>Расчетная грязная</t>
  </si>
  <si>
    <t>Доходность до погашения, % годовых</t>
  </si>
  <si>
    <t>Дней до погашения</t>
  </si>
  <si>
    <t>Единица измерения цены</t>
  </si>
  <si>
    <t xml:space="preserve">Дата зачисления/приобретения </t>
  </si>
  <si>
    <t>Ставка</t>
  </si>
  <si>
    <t>Обратное репо</t>
  </si>
  <si>
    <t>Дата открытия</t>
  </si>
  <si>
    <t>Дата закрытия</t>
  </si>
  <si>
    <t xml:space="preserve">ЦБ </t>
  </si>
  <si>
    <t>Итого активов</t>
  </si>
  <si>
    <t>Наименование эмитента и вид ЦБ</t>
  </si>
  <si>
    <t>НИН (ISIN)</t>
  </si>
  <si>
    <t>Количество</t>
  </si>
  <si>
    <t>Валюта</t>
  </si>
  <si>
    <t>Цена открытия</t>
  </si>
  <si>
    <t>Цена закрытия</t>
  </si>
  <si>
    <t>Сумма открытия операции, в тг</t>
  </si>
  <si>
    <t>Сумма закрытия операции, в тг</t>
  </si>
  <si>
    <t>Ставка доходности, %</t>
  </si>
  <si>
    <t>Суммарная текущая стоимость, в тг</t>
  </si>
  <si>
    <t>Сумма начисленного вознагрждения</t>
  </si>
  <si>
    <t>Чистая покупная стоимость</t>
  </si>
  <si>
    <t>Остатки на инвест. Счетах</t>
  </si>
  <si>
    <t>1) Активы</t>
  </si>
  <si>
    <t>Прочие активы (дебиторская задолженность, деньги в пути</t>
  </si>
  <si>
    <t>Наименование</t>
  </si>
  <si>
    <t>Дата постановки на учет</t>
  </si>
  <si>
    <t>Остаток в валюте</t>
  </si>
  <si>
    <t>Остаток в тенге</t>
  </si>
  <si>
    <t xml:space="preserve">Количество ЦБ </t>
  </si>
  <si>
    <t>Суммарно-текущая рыночная стоимость</t>
  </si>
  <si>
    <t>ИТОГО Обратное РЕПО</t>
  </si>
  <si>
    <t xml:space="preserve">Наименование Доверительного управляющего </t>
  </si>
  <si>
    <t>Акционерное общество "UD Capital"</t>
  </si>
  <si>
    <t>КРЕДИТОРСКАЯ ЗАДОЛЖЕННОСТЬ ФОНДА:</t>
  </si>
  <si>
    <t>Прочие (кредиторская задолженность, деньги в пути)</t>
  </si>
  <si>
    <t>Комиссии</t>
  </si>
  <si>
    <t>Сумма</t>
  </si>
  <si>
    <t>Примечание</t>
  </si>
  <si>
    <t>А</t>
  </si>
  <si>
    <t>Комиссия ДУ (за управление)</t>
  </si>
  <si>
    <t>Комиссия ДУ (сверхдоходность)</t>
  </si>
  <si>
    <t>Комиссия Кастоди</t>
  </si>
  <si>
    <t>Комиссия Глобал кастоди</t>
  </si>
  <si>
    <t>Комиссия центрального Депозитария</t>
  </si>
  <si>
    <t>Клиринговый сбор</t>
  </si>
  <si>
    <t>Комиссия биржи</t>
  </si>
  <si>
    <t>Комиссия брокера</t>
  </si>
  <si>
    <t>Кредиторская задолженность (прочая комиссия)</t>
  </si>
  <si>
    <t>Остаток прочих обязательств на конец дня</t>
  </si>
  <si>
    <t>Итого кредиторская задолженность, в тг</t>
  </si>
  <si>
    <t>Отчетная дата</t>
  </si>
  <si>
    <t>Расчетная грязная цена</t>
  </si>
  <si>
    <t>МИНИСТЕРСТВО ФИНАНСОВ РК</t>
  </si>
  <si>
    <t>KZKD00000717</t>
  </si>
  <si>
    <t>KZT</t>
  </si>
  <si>
    <t>29.08.2025</t>
  </si>
  <si>
    <t>02.09.2025</t>
  </si>
  <si>
    <t>KZ96601A861038102391</t>
  </si>
  <si>
    <t>KZKD00001160</t>
  </si>
  <si>
    <t>18.07.2024</t>
  </si>
  <si>
    <t>28.07.2029</t>
  </si>
  <si>
    <t>KZK200000760</t>
  </si>
  <si>
    <t>14.08.2025</t>
  </si>
  <si>
    <t>07.08.2029</t>
  </si>
  <si>
    <t>KZKD00001137</t>
  </si>
  <si>
    <t>12.04.2028</t>
  </si>
  <si>
    <t>KZKD00000477</t>
  </si>
  <si>
    <t>24.07.2025</t>
  </si>
  <si>
    <t>19.10.2027</t>
  </si>
  <si>
    <t>KZK200000687</t>
  </si>
  <si>
    <t>21.01.2026</t>
  </si>
  <si>
    <t>KZKD00001087</t>
  </si>
  <si>
    <t>31.03.2029</t>
  </si>
  <si>
    <t>KZKD00001129</t>
  </si>
  <si>
    <t>17.03.2031</t>
  </si>
  <si>
    <t>KZKD00000949</t>
  </si>
  <si>
    <t>16.04.2032</t>
  </si>
  <si>
    <t>KZKD00000832</t>
  </si>
  <si>
    <t>29.01.2035</t>
  </si>
  <si>
    <t>Евразийский банк развития</t>
  </si>
  <si>
    <t>KZ2D00011863</t>
  </si>
  <si>
    <t>24.09.2024</t>
  </si>
  <si>
    <t>03.09.2027</t>
  </si>
  <si>
    <t>KZKD00000444</t>
  </si>
  <si>
    <t>21.08.2025</t>
  </si>
  <si>
    <t>18.08.2026</t>
  </si>
  <si>
    <t>KZKD00000790</t>
  </si>
  <si>
    <t>10.07.2025</t>
  </si>
  <si>
    <t>13.08.2029</t>
  </si>
  <si>
    <t>KZKD00000741</t>
  </si>
  <si>
    <t>12.05.2034</t>
  </si>
  <si>
    <t>KZKD00000535</t>
  </si>
  <si>
    <t>27.03.2027</t>
  </si>
  <si>
    <t>KZKD00001152</t>
  </si>
  <si>
    <t>26.07.2032</t>
  </si>
  <si>
    <t>KZKD00001251</t>
  </si>
  <si>
    <t>13.03.2025</t>
  </si>
  <si>
    <t>07.03.2030</t>
  </si>
  <si>
    <t>KZK100000373</t>
  </si>
  <si>
    <t>06.02.2026</t>
  </si>
  <si>
    <t>30.08.2025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</si>
</sst>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0.0000"/>
    <numFmt numFmtId="165" formatCode="_-* #,##0_-;\-* #,##0_-;_-* &quot;-&quot;??_-;_-@_-"/>
    <numFmt numFmtId="166" formatCode="_-* #,##0.00\ _₽_-;\-* #,##0.00\ _₽_-;_-* &quot;-&quot;????\ _₽_-;_-@_-"/>
    <numFmt numFmtId="167" formatCode="_-* #,##0.0000_-;\-* #,##0.0000_-;_-* &quot;-&quot;??_-;_-@_-"/>
    <numFmt numFmtId="168" formatCode="_-* #,##0.00\ _₽_-;\-* #,##0.00\ _₽_-;_-* &quot;-&quot;??\ _₽_-;_-@_-"/>
    <numFmt numFmtId="169" formatCode="#,##0.00_ ;\-#,##0.00\ "/>
    <numFmt numFmtId="171" formatCode="#,##0.0"/>
  </numFmts>
  <fonts count="15" x14ac:knownFonts="1">
    <font>
      <sz val="11"/>
      <color theme="1"/>
      <name val="Calibri"/>
      <family val="2"/>
      <charset val="204"/>
      <scheme val="minor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name val="Arial"/>
      <family val="2"/>
      <charset val="204"/>
    </font>
    <font>
      <b/>
      <sz val="8"/>
      <color theme="1"/>
      <name val="Arial"/>
      <family val="2"/>
      <charset val="204"/>
    </font>
    <font>
      <sz val="8"/>
      <color theme="1"/>
      <name val="Arial"/>
      <family val="2"/>
      <charset val="204"/>
    </font>
    <font>
      <sz val="8"/>
      <color theme="0"/>
      <name val="Arial"/>
      <family val="2"/>
      <charset val="204"/>
    </font>
    <font>
      <b/>
      <u/>
      <sz val="8"/>
      <color theme="1"/>
      <name val="Arial"/>
      <family val="2"/>
      <charset val="204"/>
    </font>
    <font>
      <b/>
      <sz val="8"/>
      <color rgb="FF000000"/>
      <name val="Arial"/>
      <family val="2"/>
      <charset val="204"/>
    </font>
    <font>
      <sz val="8"/>
      <color rgb="FF000000"/>
      <name val="Arial"/>
      <family val="2"/>
      <charset val="204"/>
    </font>
    <font>
      <b/>
      <sz val="8"/>
      <color theme="0"/>
      <name val="Arial"/>
      <family val="2"/>
      <charset val="204"/>
    </font>
    <font>
      <sz val="10"/>
      <name val="Arial Cyr"/>
      <charset val="204"/>
    </font>
    <font>
      <sz val="8"/>
      <color rgb="FFFF0000"/>
      <name val="Arial"/>
      <family val="2"/>
      <charset val="204"/>
    </font>
    <font>
      <b/>
      <sz val="8"/>
      <color rgb="FFFF0000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D9D9D9"/>
        <bgColor auto="1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0" fontId="1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65">
    <xf numFmtId="0" fontId="0" fillId="0" borderId="0" xfId="0"/>
    <xf numFmtId="0" fontId="0" fillId="0" borderId="0" xfId="0" applyAlignment="1">
      <alignment vertical="center"/>
    </xf>
    <xf numFmtId="0" fontId="4" fillId="0" borderId="2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vertical="center"/>
    </xf>
    <xf numFmtId="14" fontId="3" fillId="0" borderId="0" xfId="0" applyNumberFormat="1" applyFont="1" applyAlignment="1">
      <alignment vertical="center"/>
    </xf>
    <xf numFmtId="0" fontId="5" fillId="0" borderId="0" xfId="0" applyFont="1" applyAlignment="1">
      <alignment horizontal="left" vertical="center" wrapText="1"/>
    </xf>
    <xf numFmtId="0" fontId="6" fillId="0" borderId="0" xfId="0" applyFont="1"/>
    <xf numFmtId="43" fontId="7" fillId="0" borderId="0" xfId="2" applyFont="1"/>
    <xf numFmtId="4" fontId="6" fillId="0" borderId="0" xfId="0" applyNumberFormat="1" applyFont="1"/>
    <xf numFmtId="0" fontId="8" fillId="0" borderId="0" xfId="0" applyFont="1"/>
    <xf numFmtId="0" fontId="5" fillId="0" borderId="0" xfId="0" applyFont="1"/>
    <xf numFmtId="0" fontId="9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/>
    </xf>
    <xf numFmtId="3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right" vertical="center"/>
    </xf>
    <xf numFmtId="4" fontId="10" fillId="0" borderId="1" xfId="0" applyNumberFormat="1" applyFont="1" applyBorder="1" applyAlignment="1">
      <alignment horizontal="center" vertical="center"/>
    </xf>
    <xf numFmtId="14" fontId="10" fillId="0" borderId="1" xfId="0" applyNumberFormat="1" applyFont="1" applyBorder="1" applyAlignment="1">
      <alignment horizontal="center" vertical="center"/>
    </xf>
    <xf numFmtId="164" fontId="10" fillId="0" borderId="1" xfId="0" applyNumberFormat="1" applyFont="1" applyBorder="1" applyAlignment="1">
      <alignment horizontal="center" vertical="center"/>
    </xf>
    <xf numFmtId="10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43" fontId="9" fillId="0" borderId="1" xfId="0" applyNumberFormat="1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4" fontId="9" fillId="0" borderId="1" xfId="0" applyNumberFormat="1" applyFont="1" applyBorder="1" applyAlignment="1">
      <alignment horizontal="center" vertical="center"/>
    </xf>
    <xf numFmtId="10" fontId="9" fillId="0" borderId="1" xfId="0" applyNumberFormat="1" applyFont="1" applyBorder="1" applyAlignment="1">
      <alignment horizontal="center" vertical="center"/>
    </xf>
    <xf numFmtId="0" fontId="5" fillId="0" borderId="3" xfId="0" applyFont="1" applyBorder="1" applyAlignment="1">
      <alignment wrapText="1"/>
    </xf>
    <xf numFmtId="4" fontId="9" fillId="2" borderId="1" xfId="0" applyNumberFormat="1" applyFont="1" applyFill="1" applyBorder="1" applyAlignment="1">
      <alignment horizontal="right" vertical="center" wrapText="1"/>
    </xf>
    <xf numFmtId="0" fontId="6" fillId="0" borderId="1" xfId="0" applyFont="1" applyBorder="1"/>
    <xf numFmtId="169" fontId="6" fillId="0" borderId="1" xfId="2" applyNumberFormat="1" applyFont="1" applyBorder="1" applyAlignment="1">
      <alignment horizontal="right"/>
    </xf>
    <xf numFmtId="43" fontId="6" fillId="0" borderId="1" xfId="2" applyFont="1" applyBorder="1"/>
    <xf numFmtId="0" fontId="6" fillId="0" borderId="1" xfId="0" applyFont="1" applyBorder="1" applyAlignment="1">
      <alignment horizontal="center" vertical="center"/>
    </xf>
    <xf numFmtId="165" fontId="6" fillId="0" borderId="1" xfId="2" applyNumberFormat="1" applyFont="1" applyBorder="1"/>
    <xf numFmtId="14" fontId="6" fillId="0" borderId="1" xfId="0" applyNumberFormat="1" applyFont="1" applyBorder="1" applyAlignment="1">
      <alignment horizontal="center" vertical="center"/>
    </xf>
    <xf numFmtId="167" fontId="6" fillId="0" borderId="1" xfId="2" applyNumberFormat="1" applyFont="1" applyBorder="1"/>
    <xf numFmtId="166" fontId="6" fillId="0" borderId="1" xfId="0" applyNumberFormat="1" applyFont="1" applyBorder="1"/>
    <xf numFmtId="164" fontId="6" fillId="0" borderId="1" xfId="0" applyNumberFormat="1" applyFont="1" applyBorder="1"/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43" fontId="5" fillId="0" borderId="1" xfId="0" applyNumberFormat="1" applyFont="1" applyBorder="1"/>
    <xf numFmtId="43" fontId="11" fillId="0" borderId="0" xfId="2" applyFont="1"/>
    <xf numFmtId="0" fontId="6" fillId="0" borderId="1" xfId="0" applyFont="1" applyBorder="1" applyAlignment="1">
      <alignment wrapText="1"/>
    </xf>
    <xf numFmtId="14" fontId="6" fillId="0" borderId="1" xfId="0" applyNumberFormat="1" applyFont="1" applyBorder="1"/>
    <xf numFmtId="0" fontId="5" fillId="0" borderId="1" xfId="0" applyFont="1" applyBorder="1" applyAlignment="1">
      <alignment wrapText="1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 applyAlignment="1">
      <alignment horizontal="center" vertical="center"/>
    </xf>
    <xf numFmtId="14" fontId="5" fillId="0" borderId="1" xfId="0" applyNumberFormat="1" applyFont="1" applyBorder="1"/>
    <xf numFmtId="165" fontId="5" fillId="0" borderId="1" xfId="0" applyNumberFormat="1" applyFont="1" applyBorder="1"/>
    <xf numFmtId="0" fontId="6" fillId="0" borderId="0" xfId="0" applyFont="1" applyAlignment="1">
      <alignment wrapText="1"/>
    </xf>
    <xf numFmtId="14" fontId="6" fillId="0" borderId="0" xfId="0" applyNumberFormat="1" applyFont="1"/>
    <xf numFmtId="43" fontId="6" fillId="0" borderId="0" xfId="2" applyFont="1"/>
    <xf numFmtId="0" fontId="8" fillId="0" borderId="1" xfId="0" applyFont="1" applyBorder="1"/>
    <xf numFmtId="4" fontId="5" fillId="0" borderId="1" xfId="0" applyNumberFormat="1" applyFont="1" applyBorder="1"/>
    <xf numFmtId="168" fontId="6" fillId="0" borderId="0" xfId="0" applyNumberFormat="1" applyFont="1"/>
    <xf numFmtId="0" fontId="10" fillId="0" borderId="1" xfId="0" applyFont="1" applyBorder="1" applyAlignment="1">
      <alignment vertical="center"/>
    </xf>
    <xf numFmtId="0" fontId="5" fillId="0" borderId="0" xfId="0" applyFont="1" applyAlignment="1">
      <alignment horizontal="center"/>
    </xf>
    <xf numFmtId="43" fontId="10" fillId="0" borderId="1" xfId="2" applyFont="1" applyBorder="1" applyAlignment="1">
      <alignment horizontal="center" vertical="center"/>
    </xf>
    <xf numFmtId="0" fontId="10" fillId="0" borderId="1" xfId="0" applyFont="1" applyBorder="1" applyAlignment="1">
      <alignment vertical="center" wrapText="1"/>
    </xf>
    <xf numFmtId="43" fontId="10" fillId="0" borderId="1" xfId="2" applyFont="1" applyBorder="1" applyAlignment="1">
      <alignment vertical="center"/>
    </xf>
    <xf numFmtId="0" fontId="10" fillId="0" borderId="0" xfId="0" applyFont="1" applyAlignment="1">
      <alignment vertical="center"/>
    </xf>
    <xf numFmtId="0" fontId="10" fillId="0" borderId="1" xfId="0" applyFont="1" applyBorder="1" applyAlignment="1">
      <alignment horizontal="center" vertical="center"/>
    </xf>
    <xf numFmtId="169" fontId="6" fillId="0" borderId="0" xfId="0" applyNumberFormat="1" applyFont="1"/>
    <xf numFmtId="43" fontId="13" fillId="0" borderId="0" xfId="2" applyFont="1"/>
    <xf numFmtId="171" fontId="5" fillId="0" borderId="0" xfId="0" applyNumberFormat="1" applyFont="1"/>
    <xf numFmtId="43" fontId="14" fillId="0" borderId="0" xfId="2" applyFont="1"/>
    <xf numFmtId="171" fontId="6" fillId="0" borderId="0" xfId="0" applyNumberFormat="1" applyFont="1"/>
  </cellXfs>
  <cellStyles count="4">
    <cellStyle name="Обычный" xfId="0" builtinId="0"/>
    <cellStyle name="Обычный 2" xfId="1" xr:uid="{00000000-0005-0000-0000-000002000000}"/>
    <cellStyle name="Финансовый" xfId="2" builtinId="3"/>
    <cellStyle name="Финансовый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5"/>
  <sheetViews>
    <sheetView tabSelected="1" topLeftCell="A10" workbookViewId="0">
      <selection activeCell="D45" sqref="D45"/>
    </sheetView>
  </sheetViews>
  <sheetFormatPr defaultColWidth="9.140625" defaultRowHeight="11.25" x14ac:dyDescent="0.2"/>
  <cols>
    <col min="1" max="1" width="32.140625" style="7" bestFit="1" customWidth="1"/>
    <col min="2" max="2" width="27.5703125" style="7" bestFit="1" customWidth="1"/>
    <col min="3" max="3" width="14.7109375" style="7" customWidth="1"/>
    <col min="4" max="4" width="18.5703125" style="7" customWidth="1"/>
    <col min="5" max="5" width="16.7109375" style="7" bestFit="1" customWidth="1"/>
    <col min="6" max="6" width="18.7109375" style="7" bestFit="1" customWidth="1"/>
    <col min="7" max="7" width="17.7109375" style="7" customWidth="1"/>
    <col min="8" max="8" width="17" style="7" customWidth="1"/>
    <col min="9" max="10" width="20.42578125" style="7" bestFit="1" customWidth="1"/>
    <col min="11" max="11" width="18.7109375" style="7" customWidth="1"/>
    <col min="12" max="12" width="21.5703125" style="7" customWidth="1"/>
    <col min="13" max="13" width="19.140625" style="7" customWidth="1"/>
    <col min="14" max="14" width="26.28515625" style="7" customWidth="1"/>
    <col min="15" max="15" width="15" style="8" customWidth="1"/>
    <col min="16" max="16" width="9.140625" style="7"/>
    <col min="17" max="17" width="9.140625" style="7" hidden="1" customWidth="1"/>
    <col min="18" max="16384" width="9.140625" style="7"/>
  </cols>
  <sheetData>
    <row r="1" spans="1:17" ht="22.5" x14ac:dyDescent="0.2">
      <c r="A1" s="6" t="s">
        <v>45</v>
      </c>
      <c r="B1" s="6" t="s">
        <v>46</v>
      </c>
      <c r="Q1" s="9">
        <f>L26</f>
        <v>25469912705.932236</v>
      </c>
    </row>
    <row r="2" spans="1:17" x14ac:dyDescent="0.2">
      <c r="A2" s="6" t="s">
        <v>64</v>
      </c>
      <c r="B2" s="6" t="s">
        <v>114</v>
      </c>
    </row>
    <row r="3" spans="1:17" x14ac:dyDescent="0.2">
      <c r="A3" s="6"/>
      <c r="B3" s="6"/>
    </row>
    <row r="4" spans="1:17" x14ac:dyDescent="0.2">
      <c r="A4" s="10" t="s">
        <v>36</v>
      </c>
    </row>
    <row r="6" spans="1:17" x14ac:dyDescent="0.2">
      <c r="A6" s="11" t="s">
        <v>21</v>
      </c>
    </row>
    <row r="7" spans="1:17" ht="33.75" x14ac:dyDescent="0.2">
      <c r="A7" s="12" t="s">
        <v>23</v>
      </c>
      <c r="B7" s="12" t="s">
        <v>0</v>
      </c>
      <c r="C7" s="12" t="s">
        <v>42</v>
      </c>
      <c r="D7" s="12" t="s">
        <v>1</v>
      </c>
      <c r="E7" s="12" t="s">
        <v>17</v>
      </c>
      <c r="F7" s="12" t="s">
        <v>16</v>
      </c>
      <c r="G7" s="12" t="s">
        <v>2</v>
      </c>
      <c r="H7" s="12" t="s">
        <v>34</v>
      </c>
      <c r="I7" s="12" t="s">
        <v>11</v>
      </c>
      <c r="J7" s="12" t="s">
        <v>65</v>
      </c>
      <c r="K7" s="12" t="s">
        <v>3</v>
      </c>
      <c r="L7" s="12" t="s">
        <v>43</v>
      </c>
      <c r="M7" s="12" t="s">
        <v>4</v>
      </c>
    </row>
    <row r="8" spans="1:17" x14ac:dyDescent="0.2">
      <c r="A8" s="13" t="s">
        <v>66</v>
      </c>
      <c r="B8" s="13" t="s">
        <v>72</v>
      </c>
      <c r="C8" s="14">
        <v>1897500</v>
      </c>
      <c r="D8" s="15">
        <v>1897500000</v>
      </c>
      <c r="E8" s="16">
        <v>10.55</v>
      </c>
      <c r="F8" s="17" t="s">
        <v>73</v>
      </c>
      <c r="G8" s="17" t="s">
        <v>74</v>
      </c>
      <c r="H8" s="16">
        <v>1708326839.9966669</v>
      </c>
      <c r="I8" s="18"/>
      <c r="J8" s="18"/>
      <c r="K8" s="16">
        <v>17794333.333333328</v>
      </c>
      <c r="L8" s="16">
        <v>1582017433.333333</v>
      </c>
      <c r="M8" s="19">
        <f t="shared" ref="M8:M24" si="0">L8/$Q$1</f>
        <v>6.2113186315116933E-2</v>
      </c>
      <c r="O8" s="8">
        <v>749863.88888888899</v>
      </c>
    </row>
    <row r="9" spans="1:17" x14ac:dyDescent="0.2">
      <c r="A9" s="13" t="s">
        <v>66</v>
      </c>
      <c r="B9" s="13" t="s">
        <v>75</v>
      </c>
      <c r="C9" s="14">
        <v>897100</v>
      </c>
      <c r="D9" s="15">
        <v>897100000</v>
      </c>
      <c r="E9" s="16">
        <v>17.010000000000002</v>
      </c>
      <c r="F9" s="17" t="s">
        <v>76</v>
      </c>
      <c r="G9" s="17" t="s">
        <v>77</v>
      </c>
      <c r="H9" s="16">
        <v>896985171.20000005</v>
      </c>
      <c r="I9" s="18"/>
      <c r="J9" s="18"/>
      <c r="K9" s="16">
        <v>9749234.25</v>
      </c>
      <c r="L9" s="16">
        <v>922145686.35000002</v>
      </c>
      <c r="M9" s="19">
        <f t="shared" si="0"/>
        <v>3.6205294340691703E-2</v>
      </c>
      <c r="O9" s="8">
        <v>749863.88888888899</v>
      </c>
    </row>
    <row r="10" spans="1:17" x14ac:dyDescent="0.2">
      <c r="A10" s="13" t="s">
        <v>66</v>
      </c>
      <c r="B10" s="13" t="s">
        <v>78</v>
      </c>
      <c r="C10" s="14">
        <v>1897500</v>
      </c>
      <c r="D10" s="15">
        <v>1897500000</v>
      </c>
      <c r="E10" s="16">
        <v>10.4</v>
      </c>
      <c r="F10" s="17" t="s">
        <v>73</v>
      </c>
      <c r="G10" s="17" t="s">
        <v>79</v>
      </c>
      <c r="H10" s="16">
        <v>1736743800</v>
      </c>
      <c r="I10" s="18"/>
      <c r="J10" s="18"/>
      <c r="K10" s="16">
        <v>75647000</v>
      </c>
      <c r="L10" s="16">
        <v>1713491202.5</v>
      </c>
      <c r="M10" s="19">
        <f t="shared" si="0"/>
        <v>6.7275110923364426E-2</v>
      </c>
      <c r="O10" s="8">
        <v>749863.88888888899</v>
      </c>
    </row>
    <row r="11" spans="1:17" x14ac:dyDescent="0.2">
      <c r="A11" s="13" t="s">
        <v>66</v>
      </c>
      <c r="B11" s="13" t="s">
        <v>80</v>
      </c>
      <c r="C11" s="14">
        <v>2391500</v>
      </c>
      <c r="D11" s="15">
        <v>2391500000</v>
      </c>
      <c r="E11" s="16">
        <v>5.3</v>
      </c>
      <c r="F11" s="17" t="s">
        <v>81</v>
      </c>
      <c r="G11" s="17" t="s">
        <v>82</v>
      </c>
      <c r="H11" s="16">
        <v>1903079172</v>
      </c>
      <c r="I11" s="18"/>
      <c r="J11" s="18"/>
      <c r="K11" s="16">
        <v>109497484.72</v>
      </c>
      <c r="L11" s="16">
        <v>2020497304.7199991</v>
      </c>
      <c r="M11" s="19">
        <f t="shared" si="0"/>
        <v>7.9328787972225839E-2</v>
      </c>
      <c r="O11" s="8">
        <v>749863.88888888899</v>
      </c>
    </row>
    <row r="12" spans="1:17" x14ac:dyDescent="0.2">
      <c r="A12" s="13" t="s">
        <v>66</v>
      </c>
      <c r="B12" s="13" t="s">
        <v>83</v>
      </c>
      <c r="C12" s="14">
        <v>2530000</v>
      </c>
      <c r="D12" s="15">
        <v>2530000000</v>
      </c>
      <c r="E12" s="16">
        <v>10.67</v>
      </c>
      <c r="F12" s="17" t="s">
        <v>73</v>
      </c>
      <c r="G12" s="17" t="s">
        <v>84</v>
      </c>
      <c r="H12" s="16">
        <v>2455119589.9966769</v>
      </c>
      <c r="I12" s="18"/>
      <c r="J12" s="18"/>
      <c r="K12" s="16">
        <v>29244691.66666666</v>
      </c>
      <c r="L12" s="16">
        <v>2506840801.666666</v>
      </c>
      <c r="M12" s="19">
        <f t="shared" si="0"/>
        <v>9.8423611836046615E-2</v>
      </c>
      <c r="O12" s="8">
        <v>749863.88888888899</v>
      </c>
    </row>
    <row r="13" spans="1:17" x14ac:dyDescent="0.2">
      <c r="A13" s="13" t="s">
        <v>66</v>
      </c>
      <c r="B13" s="13" t="s">
        <v>85</v>
      </c>
      <c r="C13" s="14">
        <v>1897500</v>
      </c>
      <c r="D13" s="15">
        <v>1897500000</v>
      </c>
      <c r="E13" s="16">
        <v>11</v>
      </c>
      <c r="F13" s="17" t="s">
        <v>73</v>
      </c>
      <c r="G13" s="17" t="s">
        <v>86</v>
      </c>
      <c r="H13" s="16">
        <v>1743261712.5</v>
      </c>
      <c r="I13" s="18"/>
      <c r="J13" s="18"/>
      <c r="K13" s="16">
        <v>86968750</v>
      </c>
      <c r="L13" s="16">
        <v>1688576395</v>
      </c>
      <c r="M13" s="19">
        <f t="shared" si="0"/>
        <v>6.629690547022217E-2</v>
      </c>
      <c r="O13" s="8">
        <v>749863.88888888899</v>
      </c>
    </row>
    <row r="14" spans="1:17" x14ac:dyDescent="0.2">
      <c r="A14" s="13" t="s">
        <v>66</v>
      </c>
      <c r="B14" s="13" t="s">
        <v>87</v>
      </c>
      <c r="C14" s="14">
        <v>1897500</v>
      </c>
      <c r="D14" s="15">
        <v>1897500000</v>
      </c>
      <c r="E14" s="16">
        <v>10.3</v>
      </c>
      <c r="F14" s="17" t="s">
        <v>73</v>
      </c>
      <c r="G14" s="17" t="s">
        <v>88</v>
      </c>
      <c r="H14" s="16">
        <v>1645329839.996666</v>
      </c>
      <c r="I14" s="18"/>
      <c r="J14" s="18"/>
      <c r="K14" s="16">
        <v>88492020.833333328</v>
      </c>
      <c r="L14" s="16">
        <v>1553722545.833333</v>
      </c>
      <c r="M14" s="19">
        <f t="shared" si="0"/>
        <v>6.1002272122882194E-2</v>
      </c>
      <c r="O14" s="8">
        <v>749863.88888888899</v>
      </c>
    </row>
    <row r="15" spans="1:17" x14ac:dyDescent="0.2">
      <c r="A15" s="13" t="s">
        <v>66</v>
      </c>
      <c r="B15" s="13" t="s">
        <v>89</v>
      </c>
      <c r="C15" s="14">
        <v>1897500</v>
      </c>
      <c r="D15" s="15">
        <v>1897500000</v>
      </c>
      <c r="E15" s="16">
        <v>8.4499999999999993</v>
      </c>
      <c r="F15" s="17" t="s">
        <v>73</v>
      </c>
      <c r="G15" s="17" t="s">
        <v>90</v>
      </c>
      <c r="H15" s="16">
        <v>1457889097.496666</v>
      </c>
      <c r="I15" s="18"/>
      <c r="J15" s="18"/>
      <c r="K15" s="16">
        <v>59681645.833333328</v>
      </c>
      <c r="L15" s="16">
        <v>1346674303.333333</v>
      </c>
      <c r="M15" s="19">
        <f t="shared" si="0"/>
        <v>5.2873141690025389E-2</v>
      </c>
      <c r="O15" s="8">
        <v>749863.88888888899</v>
      </c>
    </row>
    <row r="16" spans="1:17" x14ac:dyDescent="0.2">
      <c r="A16" s="13" t="s">
        <v>66</v>
      </c>
      <c r="B16" s="13" t="s">
        <v>91</v>
      </c>
      <c r="C16" s="14">
        <v>1897500</v>
      </c>
      <c r="D16" s="15">
        <v>1897500000</v>
      </c>
      <c r="E16" s="16">
        <v>8.07</v>
      </c>
      <c r="F16" s="17" t="s">
        <v>73</v>
      </c>
      <c r="G16" s="17" t="s">
        <v>92</v>
      </c>
      <c r="H16" s="16">
        <v>1338524962.5</v>
      </c>
      <c r="I16" s="18"/>
      <c r="J16" s="18"/>
      <c r="K16" s="16">
        <v>89750168.75</v>
      </c>
      <c r="L16" s="16">
        <v>1230506296.25</v>
      </c>
      <c r="M16" s="19">
        <f t="shared" si="0"/>
        <v>4.8312152085366232E-2</v>
      </c>
      <c r="O16" s="8">
        <v>749863.88888888899</v>
      </c>
    </row>
    <row r="17" spans="1:15" x14ac:dyDescent="0.2">
      <c r="A17" s="13" t="s">
        <v>93</v>
      </c>
      <c r="B17" s="13" t="s">
        <v>94</v>
      </c>
      <c r="C17" s="14">
        <v>992234</v>
      </c>
      <c r="D17" s="15">
        <v>992234000</v>
      </c>
      <c r="E17" s="16">
        <v>14.3</v>
      </c>
      <c r="F17" s="17" t="s">
        <v>95</v>
      </c>
      <c r="G17" s="17" t="s">
        <v>96</v>
      </c>
      <c r="H17" s="16">
        <v>991722999.49000001</v>
      </c>
      <c r="I17" s="18"/>
      <c r="J17" s="18"/>
      <c r="K17" s="16">
        <v>140707049.813333</v>
      </c>
      <c r="L17" s="16">
        <v>1066531495.825572</v>
      </c>
      <c r="M17" s="19">
        <f t="shared" si="0"/>
        <v>4.1874171621215039E-2</v>
      </c>
      <c r="O17" s="8">
        <v>749863.88888888899</v>
      </c>
    </row>
    <row r="18" spans="1:15" x14ac:dyDescent="0.2">
      <c r="A18" s="13" t="s">
        <v>66</v>
      </c>
      <c r="B18" s="13" t="s">
        <v>97</v>
      </c>
      <c r="C18" s="14">
        <v>1106600</v>
      </c>
      <c r="D18" s="15">
        <v>1106600000</v>
      </c>
      <c r="E18" s="16">
        <v>5.5</v>
      </c>
      <c r="F18" s="17" t="s">
        <v>98</v>
      </c>
      <c r="G18" s="17" t="s">
        <v>99</v>
      </c>
      <c r="H18" s="16">
        <v>999478906.79999995</v>
      </c>
      <c r="I18" s="18"/>
      <c r="J18" s="18"/>
      <c r="K18" s="16">
        <v>2028766.67</v>
      </c>
      <c r="L18" s="16">
        <v>1000786170.27</v>
      </c>
      <c r="M18" s="19">
        <f t="shared" si="0"/>
        <v>3.9292877907544037E-2</v>
      </c>
      <c r="O18" s="8">
        <v>749863.88888888899</v>
      </c>
    </row>
    <row r="19" spans="1:15" x14ac:dyDescent="0.2">
      <c r="A19" s="13" t="s">
        <v>66</v>
      </c>
      <c r="B19" s="13" t="s">
        <v>100</v>
      </c>
      <c r="C19" s="14">
        <v>2469500</v>
      </c>
      <c r="D19" s="15">
        <v>2469500000</v>
      </c>
      <c r="E19" s="16">
        <v>7.68</v>
      </c>
      <c r="F19" s="17" t="s">
        <v>101</v>
      </c>
      <c r="G19" s="17" t="s">
        <v>102</v>
      </c>
      <c r="H19" s="16">
        <v>1827657194</v>
      </c>
      <c r="I19" s="18"/>
      <c r="J19" s="18"/>
      <c r="K19" s="16">
        <v>8956053.3333333302</v>
      </c>
      <c r="L19" s="16">
        <v>1849671963.333333</v>
      </c>
      <c r="M19" s="19">
        <f t="shared" si="0"/>
        <v>7.2621841491530642E-2</v>
      </c>
      <c r="O19" s="8">
        <v>749863.88888888899</v>
      </c>
    </row>
    <row r="20" spans="1:15" x14ac:dyDescent="0.2">
      <c r="A20" s="13" t="s">
        <v>66</v>
      </c>
      <c r="B20" s="13" t="s">
        <v>103</v>
      </c>
      <c r="C20" s="14">
        <v>1897500</v>
      </c>
      <c r="D20" s="15">
        <v>1897500000</v>
      </c>
      <c r="E20" s="16">
        <v>8.07</v>
      </c>
      <c r="F20" s="17" t="s">
        <v>73</v>
      </c>
      <c r="G20" s="17" t="s">
        <v>104</v>
      </c>
      <c r="H20" s="16">
        <v>1359122325</v>
      </c>
      <c r="I20" s="18"/>
      <c r="J20" s="18"/>
      <c r="K20" s="16">
        <v>45938475</v>
      </c>
      <c r="L20" s="16">
        <v>1213483507.5</v>
      </c>
      <c r="M20" s="19">
        <f t="shared" si="0"/>
        <v>4.7643803161420563E-2</v>
      </c>
      <c r="O20" s="8">
        <v>749863.88888888899</v>
      </c>
    </row>
    <row r="21" spans="1:15" x14ac:dyDescent="0.2">
      <c r="A21" s="13" t="s">
        <v>66</v>
      </c>
      <c r="B21" s="13" t="s">
        <v>105</v>
      </c>
      <c r="C21" s="14">
        <v>3162500</v>
      </c>
      <c r="D21" s="15">
        <v>3162500000</v>
      </c>
      <c r="E21" s="16">
        <v>5.49</v>
      </c>
      <c r="F21" s="17" t="s">
        <v>73</v>
      </c>
      <c r="G21" s="17" t="s">
        <v>106</v>
      </c>
      <c r="H21" s="16">
        <v>2627740225</v>
      </c>
      <c r="I21" s="18"/>
      <c r="J21" s="18"/>
      <c r="K21" s="16">
        <v>73789031.25</v>
      </c>
      <c r="L21" s="16">
        <v>2752489781.25</v>
      </c>
      <c r="M21" s="19">
        <f t="shared" si="0"/>
        <v>0.10806828484374481</v>
      </c>
      <c r="O21" s="8">
        <v>749863.88888888899</v>
      </c>
    </row>
    <row r="22" spans="1:15" x14ac:dyDescent="0.2">
      <c r="A22" s="13" t="s">
        <v>66</v>
      </c>
      <c r="B22" s="13" t="s">
        <v>107</v>
      </c>
      <c r="C22" s="14">
        <v>1897500</v>
      </c>
      <c r="D22" s="15">
        <v>1897500000</v>
      </c>
      <c r="E22" s="16">
        <v>10.65</v>
      </c>
      <c r="F22" s="17" t="s">
        <v>73</v>
      </c>
      <c r="G22" s="17" t="s">
        <v>108</v>
      </c>
      <c r="H22" s="16">
        <v>1648500562.5</v>
      </c>
      <c r="I22" s="18"/>
      <c r="J22" s="18"/>
      <c r="K22" s="16">
        <v>19085687.5</v>
      </c>
      <c r="L22" s="16">
        <v>1457068112.5</v>
      </c>
      <c r="M22" s="19">
        <f t="shared" si="0"/>
        <v>5.7207424670938589E-2</v>
      </c>
      <c r="O22" s="8">
        <v>749863.88888888899</v>
      </c>
    </row>
    <row r="23" spans="1:15" x14ac:dyDescent="0.2">
      <c r="A23" s="13" t="s">
        <v>66</v>
      </c>
      <c r="B23" s="13" t="s">
        <v>109</v>
      </c>
      <c r="C23" s="14">
        <v>550000</v>
      </c>
      <c r="D23" s="15">
        <v>550000000</v>
      </c>
      <c r="E23" s="16">
        <v>12</v>
      </c>
      <c r="F23" s="17" t="s">
        <v>110</v>
      </c>
      <c r="G23" s="17" t="s">
        <v>111</v>
      </c>
      <c r="H23" s="16">
        <v>491343050</v>
      </c>
      <c r="I23" s="18"/>
      <c r="J23" s="18"/>
      <c r="K23" s="16">
        <v>31716666.66666666</v>
      </c>
      <c r="L23" s="16">
        <v>498632016.66666698</v>
      </c>
      <c r="M23" s="19">
        <f t="shared" si="0"/>
        <v>1.9577295863700776E-2</v>
      </c>
      <c r="O23" s="8">
        <v>749863.88888888899</v>
      </c>
    </row>
    <row r="24" spans="1:15" x14ac:dyDescent="0.2">
      <c r="A24" s="13" t="s">
        <v>66</v>
      </c>
      <c r="B24" s="13" t="s">
        <v>112</v>
      </c>
      <c r="C24" s="14">
        <v>11424000</v>
      </c>
      <c r="D24" s="15">
        <v>1142400000</v>
      </c>
      <c r="E24" s="16">
        <v>0</v>
      </c>
      <c r="F24" s="17" t="s">
        <v>110</v>
      </c>
      <c r="G24" s="17" t="s">
        <v>113</v>
      </c>
      <c r="H24" s="16">
        <v>1003902278.4</v>
      </c>
      <c r="I24" s="18"/>
      <c r="J24" s="18"/>
      <c r="K24" s="16"/>
      <c r="L24" s="16">
        <v>1066777689.6</v>
      </c>
      <c r="M24" s="19">
        <f t="shared" si="0"/>
        <v>4.188383768396408E-2</v>
      </c>
      <c r="O24" s="8">
        <v>749863.88888888899</v>
      </c>
    </row>
    <row r="25" spans="1:15" hidden="1" x14ac:dyDescent="0.2">
      <c r="A25" s="13"/>
      <c r="B25" s="13"/>
      <c r="C25" s="13"/>
      <c r="D25" s="16"/>
      <c r="E25" s="16"/>
      <c r="F25" s="17"/>
      <c r="G25" s="17"/>
      <c r="H25" s="16"/>
      <c r="I25" s="18"/>
      <c r="J25" s="18"/>
      <c r="K25" s="16"/>
      <c r="L25" s="16"/>
      <c r="M25" s="19"/>
    </row>
    <row r="26" spans="1:15" x14ac:dyDescent="0.2">
      <c r="A26" s="13"/>
      <c r="B26" s="20" t="s">
        <v>5</v>
      </c>
      <c r="C26" s="13"/>
      <c r="D26" s="21">
        <f>SUM(D8:D25)</f>
        <v>30421834000</v>
      </c>
      <c r="E26" s="22"/>
      <c r="F26" s="23"/>
      <c r="G26" s="23"/>
      <c r="H26" s="21">
        <f>SUM(H8:H25)</f>
        <v>25834727726.876678</v>
      </c>
      <c r="I26" s="23"/>
      <c r="J26" s="23"/>
      <c r="K26" s="21">
        <f>SUM(K8:K25)</f>
        <v>889047059.61999965</v>
      </c>
      <c r="L26" s="21">
        <f>SUM(L8:L25)</f>
        <v>25469912705.932236</v>
      </c>
      <c r="M26" s="24">
        <f>SUM(M8:M25)</f>
        <v>1.0000000000000002</v>
      </c>
      <c r="N26" s="7">
        <v>25469912705.93446</v>
      </c>
      <c r="O26" s="61">
        <f>L26-N26</f>
        <v>-2.223968505859375E-3</v>
      </c>
    </row>
    <row r="28" spans="1:15" x14ac:dyDescent="0.2">
      <c r="A28" s="25" t="s">
        <v>35</v>
      </c>
    </row>
    <row r="29" spans="1:15" x14ac:dyDescent="0.2">
      <c r="A29" s="12" t="s">
        <v>68</v>
      </c>
      <c r="B29" s="26">
        <f>SUM(B30:B31)</f>
        <v>1002195.42</v>
      </c>
    </row>
    <row r="30" spans="1:15" x14ac:dyDescent="0.2">
      <c r="A30" s="27" t="s">
        <v>71</v>
      </c>
      <c r="B30" s="28">
        <v>1002195.42</v>
      </c>
      <c r="C30" s="9">
        <v>1002195.42</v>
      </c>
      <c r="D30" s="60">
        <f>B30-C30</f>
        <v>0</v>
      </c>
    </row>
    <row r="31" spans="1:15" hidden="1" x14ac:dyDescent="0.2">
      <c r="A31" s="27"/>
      <c r="B31" s="29"/>
    </row>
    <row r="33" spans="1:17" x14ac:dyDescent="0.2">
      <c r="A33" s="11" t="s">
        <v>18</v>
      </c>
    </row>
    <row r="34" spans="1:17" ht="22.5" x14ac:dyDescent="0.2">
      <c r="A34" s="12" t="s">
        <v>23</v>
      </c>
      <c r="B34" s="12" t="s">
        <v>24</v>
      </c>
      <c r="C34" s="12" t="s">
        <v>25</v>
      </c>
      <c r="D34" s="12" t="s">
        <v>26</v>
      </c>
      <c r="E34" s="12" t="s">
        <v>19</v>
      </c>
      <c r="F34" s="12" t="s">
        <v>20</v>
      </c>
      <c r="G34" s="12" t="s">
        <v>27</v>
      </c>
      <c r="H34" s="12" t="s">
        <v>28</v>
      </c>
      <c r="I34" s="12" t="s">
        <v>29</v>
      </c>
      <c r="J34" s="12" t="s">
        <v>30</v>
      </c>
      <c r="K34" s="12" t="s">
        <v>31</v>
      </c>
      <c r="L34" s="12" t="s">
        <v>33</v>
      </c>
      <c r="M34" s="12" t="s">
        <v>32</v>
      </c>
      <c r="O34" s="7"/>
    </row>
    <row r="35" spans="1:17" x14ac:dyDescent="0.2">
      <c r="A35" s="30" t="s">
        <v>66</v>
      </c>
      <c r="B35" s="30" t="s">
        <v>67</v>
      </c>
      <c r="C35" s="31">
        <v>13475</v>
      </c>
      <c r="D35" s="30" t="s">
        <v>68</v>
      </c>
      <c r="E35" s="32" t="s">
        <v>69</v>
      </c>
      <c r="F35" s="32" t="s">
        <v>70</v>
      </c>
      <c r="G35" s="33">
        <v>816.67600000000004</v>
      </c>
      <c r="H35" s="33">
        <f>J35/C35</f>
        <v>818.0954857142857</v>
      </c>
      <c r="I35" s="34">
        <v>11004709.1</v>
      </c>
      <c r="J35" s="34">
        <v>11023836.67</v>
      </c>
      <c r="K35" s="35">
        <v>15.8604</v>
      </c>
      <c r="L35" s="29">
        <v>4781.8924999999999</v>
      </c>
      <c r="M35" s="29">
        <f>I35+L35</f>
        <v>11009490.9925</v>
      </c>
      <c r="N35" s="8"/>
      <c r="O35" s="7"/>
      <c r="Q35" s="7">
        <v>1</v>
      </c>
    </row>
    <row r="36" spans="1:17" x14ac:dyDescent="0.2">
      <c r="A36" s="30" t="s">
        <v>66</v>
      </c>
      <c r="B36" s="30" t="s">
        <v>67</v>
      </c>
      <c r="C36" s="31">
        <v>2355675</v>
      </c>
      <c r="D36" s="30" t="s">
        <v>68</v>
      </c>
      <c r="E36" s="32" t="s">
        <v>69</v>
      </c>
      <c r="F36" s="32" t="s">
        <v>70</v>
      </c>
      <c r="G36" s="33">
        <v>816.67600000000004</v>
      </c>
      <c r="H36" s="33">
        <f>J36/C36</f>
        <v>818.09548581192223</v>
      </c>
      <c r="I36" s="34">
        <v>1923823236.3</v>
      </c>
      <c r="J36" s="34">
        <v>1927167083.54</v>
      </c>
      <c r="K36" s="35">
        <v>15.8604</v>
      </c>
      <c r="L36" s="29">
        <v>835961.81</v>
      </c>
      <c r="M36" s="29">
        <f>I36+L36</f>
        <v>1924659198.1099999</v>
      </c>
      <c r="N36" s="8"/>
      <c r="O36" s="7"/>
      <c r="Q36" s="7">
        <v>1</v>
      </c>
    </row>
    <row r="37" spans="1:17" hidden="1" x14ac:dyDescent="0.2">
      <c r="A37" s="30"/>
      <c r="B37" s="30"/>
      <c r="C37" s="31"/>
      <c r="D37" s="30"/>
      <c r="E37" s="32"/>
      <c r="F37" s="32"/>
      <c r="G37" s="33"/>
      <c r="H37" s="33"/>
      <c r="I37" s="34"/>
      <c r="J37" s="34"/>
      <c r="K37" s="35"/>
      <c r="L37" s="29"/>
      <c r="M37" s="29"/>
      <c r="N37" s="8"/>
      <c r="O37" s="7"/>
    </row>
    <row r="38" spans="1:17" s="11" customFormat="1" x14ac:dyDescent="0.2">
      <c r="A38" s="36"/>
      <c r="B38" s="37" t="s">
        <v>5</v>
      </c>
      <c r="C38" s="36"/>
      <c r="D38" s="36"/>
      <c r="E38" s="36"/>
      <c r="F38" s="36"/>
      <c r="G38" s="36"/>
      <c r="H38" s="36"/>
      <c r="I38" s="36"/>
      <c r="J38" s="36"/>
      <c r="K38" s="36"/>
      <c r="L38" s="36" t="s">
        <v>44</v>
      </c>
      <c r="M38" s="38">
        <f>SUMIF(Q35:Q37,1,M35:M37)</f>
        <v>1935668689.1025</v>
      </c>
      <c r="N38" s="62">
        <v>1935668689.1025</v>
      </c>
      <c r="O38" s="63">
        <f>M38-N38</f>
        <v>0</v>
      </c>
    </row>
    <row r="40" spans="1:17" ht="22.5" x14ac:dyDescent="0.2">
      <c r="A40" s="25" t="s">
        <v>37</v>
      </c>
    </row>
    <row r="41" spans="1:17" ht="22.5" x14ac:dyDescent="0.2">
      <c r="A41" s="12" t="s">
        <v>7</v>
      </c>
      <c r="B41" s="12" t="s">
        <v>38</v>
      </c>
      <c r="C41" s="12" t="s">
        <v>26</v>
      </c>
      <c r="D41" s="12" t="s">
        <v>39</v>
      </c>
      <c r="E41" s="12" t="s">
        <v>25</v>
      </c>
      <c r="F41" s="12" t="s">
        <v>40</v>
      </c>
      <c r="G41" s="12" t="s">
        <v>41</v>
      </c>
      <c r="N41" s="8"/>
      <c r="O41" s="7"/>
    </row>
    <row r="42" spans="1:17" hidden="1" x14ac:dyDescent="0.2">
      <c r="A42" s="40"/>
      <c r="B42" s="40"/>
      <c r="C42" s="30"/>
      <c r="D42" s="41"/>
      <c r="E42" s="27"/>
      <c r="F42" s="27"/>
      <c r="G42" s="29"/>
      <c r="N42" s="8"/>
      <c r="O42" s="7"/>
    </row>
    <row r="43" spans="1:17" s="11" customFormat="1" x14ac:dyDescent="0.2">
      <c r="A43" s="42"/>
      <c r="B43" s="43" t="s">
        <v>5</v>
      </c>
      <c r="C43" s="44"/>
      <c r="D43" s="45"/>
      <c r="E43" s="46">
        <f>SUM(E42:E42)</f>
        <v>0</v>
      </c>
      <c r="F43" s="38">
        <f>SUM(F42:F42)</f>
        <v>0</v>
      </c>
      <c r="G43" s="38">
        <f>SUM(G42:G42)</f>
        <v>0</v>
      </c>
      <c r="N43" s="39"/>
    </row>
    <row r="44" spans="1:17" x14ac:dyDescent="0.2">
      <c r="A44" s="47"/>
      <c r="D44" s="48"/>
      <c r="G44" s="49"/>
    </row>
    <row r="45" spans="1:17" x14ac:dyDescent="0.2">
      <c r="A45" s="50" t="s">
        <v>22</v>
      </c>
      <c r="B45" s="51">
        <f>L26+M38+B30</f>
        <v>27406583590.454735</v>
      </c>
      <c r="C45" s="64">
        <v>27406583590.456959</v>
      </c>
      <c r="D45" s="64">
        <f>__mdDATAItogoActive__-C45</f>
        <v>-2.223968505859375E-3</v>
      </c>
    </row>
    <row r="46" spans="1:17" x14ac:dyDescent="0.2">
      <c r="D46" s="52"/>
      <c r="E46" s="52"/>
    </row>
    <row r="48" spans="1:17" x14ac:dyDescent="0.2">
      <c r="A48" s="50" t="s">
        <v>47</v>
      </c>
      <c r="B48" s="50"/>
      <c r="C48" s="50"/>
      <c r="F48" s="52"/>
      <c r="O48" s="7"/>
    </row>
    <row r="49" spans="1:15" x14ac:dyDescent="0.2">
      <c r="O49" s="7"/>
    </row>
    <row r="50" spans="1:15" x14ac:dyDescent="0.2">
      <c r="A50" s="58" t="s">
        <v>48</v>
      </c>
      <c r="B50" s="58"/>
      <c r="C50" s="58"/>
      <c r="D50" s="58"/>
      <c r="O50" s="7"/>
    </row>
    <row r="51" spans="1:15" x14ac:dyDescent="0.2">
      <c r="O51" s="7"/>
    </row>
    <row r="52" spans="1:15" ht="22.5" x14ac:dyDescent="0.2">
      <c r="A52" s="12" t="s">
        <v>7</v>
      </c>
      <c r="B52" s="12" t="s">
        <v>38</v>
      </c>
      <c r="C52" s="12" t="s">
        <v>26</v>
      </c>
      <c r="D52" s="12" t="s">
        <v>39</v>
      </c>
      <c r="E52" s="12" t="s">
        <v>25</v>
      </c>
      <c r="F52" s="12" t="s">
        <v>40</v>
      </c>
      <c r="G52" s="12" t="s">
        <v>41</v>
      </c>
      <c r="O52" s="7"/>
    </row>
    <row r="53" spans="1:15" hidden="1" x14ac:dyDescent="0.2">
      <c r="A53" s="53"/>
      <c r="B53" s="53"/>
      <c r="C53" s="53"/>
      <c r="D53" s="53"/>
      <c r="E53" s="53"/>
      <c r="F53" s="53"/>
      <c r="G53" s="53"/>
      <c r="O53" s="7"/>
    </row>
    <row r="54" spans="1:15" s="11" customFormat="1" x14ac:dyDescent="0.2">
      <c r="A54" s="36"/>
      <c r="B54" s="37" t="s">
        <v>5</v>
      </c>
      <c r="C54" s="36"/>
      <c r="D54" s="36"/>
      <c r="E54" s="46">
        <f>SUM(E53:E53)</f>
        <v>0</v>
      </c>
      <c r="F54" s="38">
        <f>SUM(F53:F53)</f>
        <v>0</v>
      </c>
      <c r="G54" s="38">
        <f>SUM(G53:G53)</f>
        <v>0</v>
      </c>
    </row>
    <row r="55" spans="1:15" s="11" customFormat="1" x14ac:dyDescent="0.2">
      <c r="B55" s="54"/>
    </row>
    <row r="56" spans="1:15" x14ac:dyDescent="0.2">
      <c r="A56" s="58" t="s">
        <v>49</v>
      </c>
      <c r="B56" s="58"/>
      <c r="O56" s="7"/>
    </row>
    <row r="57" spans="1:15" x14ac:dyDescent="0.2">
      <c r="O57" s="7"/>
    </row>
    <row r="58" spans="1:15" x14ac:dyDescent="0.2">
      <c r="A58" s="12" t="s">
        <v>7</v>
      </c>
      <c r="B58" s="12" t="s">
        <v>38</v>
      </c>
      <c r="C58" s="12" t="s">
        <v>50</v>
      </c>
      <c r="D58" s="12" t="s">
        <v>51</v>
      </c>
      <c r="O58" s="7"/>
    </row>
    <row r="59" spans="1:15" x14ac:dyDescent="0.2">
      <c r="A59" s="22" t="s">
        <v>52</v>
      </c>
      <c r="B59" s="22">
        <v>1</v>
      </c>
      <c r="C59" s="22">
        <v>2</v>
      </c>
      <c r="D59" s="22">
        <v>3</v>
      </c>
      <c r="O59" s="7"/>
    </row>
    <row r="60" spans="1:15" x14ac:dyDescent="0.2">
      <c r="A60" s="22">
        <v>1</v>
      </c>
      <c r="B60" s="53" t="s">
        <v>53</v>
      </c>
      <c r="C60" s="55">
        <v>-4.49</v>
      </c>
      <c r="D60" s="22"/>
      <c r="E60" s="52"/>
      <c r="O60" s="7"/>
    </row>
    <row r="61" spans="1:15" x14ac:dyDescent="0.2">
      <c r="A61" s="22">
        <v>2</v>
      </c>
      <c r="B61" s="53" t="s">
        <v>54</v>
      </c>
      <c r="C61" s="55">
        <v>0</v>
      </c>
      <c r="D61" s="22"/>
      <c r="E61" s="52"/>
      <c r="O61" s="7"/>
    </row>
    <row r="62" spans="1:15" x14ac:dyDescent="0.2">
      <c r="A62" s="22">
        <v>3</v>
      </c>
      <c r="B62" s="53" t="s">
        <v>55</v>
      </c>
      <c r="C62" s="55">
        <v>71999.999856906012</v>
      </c>
      <c r="D62" s="22"/>
      <c r="O62" s="7"/>
    </row>
    <row r="63" spans="1:15" x14ac:dyDescent="0.2">
      <c r="A63" s="22">
        <v>4</v>
      </c>
      <c r="B63" s="53" t="s">
        <v>56</v>
      </c>
      <c r="C63" s="55">
        <v>0</v>
      </c>
      <c r="D63" s="22"/>
      <c r="O63" s="7"/>
    </row>
    <row r="64" spans="1:15" ht="22.5" x14ac:dyDescent="0.2">
      <c r="A64" s="22">
        <v>5</v>
      </c>
      <c r="B64" s="56" t="s">
        <v>57</v>
      </c>
      <c r="C64" s="55">
        <v>0</v>
      </c>
      <c r="D64" s="22"/>
      <c r="F64" s="52"/>
      <c r="O64" s="7"/>
    </row>
    <row r="65" spans="1:15" x14ac:dyDescent="0.2">
      <c r="A65" s="22">
        <v>6</v>
      </c>
      <c r="B65" s="53" t="s">
        <v>58</v>
      </c>
      <c r="C65" s="55">
        <v>136644.38</v>
      </c>
      <c r="D65" s="55"/>
      <c r="O65" s="7"/>
    </row>
    <row r="66" spans="1:15" x14ac:dyDescent="0.2">
      <c r="A66" s="22">
        <v>7</v>
      </c>
      <c r="B66" s="53" t="s">
        <v>59</v>
      </c>
      <c r="C66" s="55">
        <v>258729.08</v>
      </c>
      <c r="D66" s="55"/>
      <c r="H66" s="52"/>
      <c r="O66" s="7"/>
    </row>
    <row r="67" spans="1:15" x14ac:dyDescent="0.2">
      <c r="A67" s="22">
        <v>8</v>
      </c>
      <c r="B67" s="53" t="s">
        <v>60</v>
      </c>
      <c r="C67" s="55">
        <v>0</v>
      </c>
      <c r="D67" s="22"/>
      <c r="O67" s="7"/>
    </row>
    <row r="68" spans="1:15" ht="22.5" x14ac:dyDescent="0.2">
      <c r="A68" s="22">
        <v>9</v>
      </c>
      <c r="B68" s="56" t="s">
        <v>61</v>
      </c>
      <c r="C68" s="55">
        <v>0</v>
      </c>
      <c r="D68" s="22"/>
      <c r="O68" s="7"/>
    </row>
    <row r="69" spans="1:15" ht="22.5" x14ac:dyDescent="0.2">
      <c r="A69" s="22">
        <v>10</v>
      </c>
      <c r="B69" s="56" t="s">
        <v>62</v>
      </c>
      <c r="C69" s="55">
        <v>0</v>
      </c>
      <c r="D69" s="22"/>
      <c r="E69" s="52"/>
      <c r="O69" s="7"/>
    </row>
    <row r="70" spans="1:15" x14ac:dyDescent="0.2">
      <c r="A70" s="59" t="s">
        <v>63</v>
      </c>
      <c r="B70" s="59"/>
      <c r="C70" s="57">
        <f>SUM(C60:C69)</f>
        <v>467368.96985690598</v>
      </c>
      <c r="D70" s="53"/>
      <c r="O70" s="7"/>
    </row>
    <row r="72" spans="1:15" x14ac:dyDescent="0.2">
      <c r="C72" s="49"/>
    </row>
    <row r="73" spans="1:15" x14ac:dyDescent="0.2">
      <c r="C73" s="52"/>
    </row>
    <row r="74" spans="1:15" x14ac:dyDescent="0.2">
      <c r="C74" s="52"/>
      <c r="D74" s="52"/>
    </row>
    <row r="75" spans="1:15" x14ac:dyDescent="0.2">
      <c r="C75" s="52"/>
    </row>
  </sheetData>
  <mergeCells count="3">
    <mergeCell ref="A50:D50"/>
    <mergeCell ref="A56:B56"/>
    <mergeCell ref="A70:B7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"/>
  <sheetViews>
    <sheetView workbookViewId="0">
      <selection activeCell="A4" sqref="A4"/>
    </sheetView>
  </sheetViews>
  <sheetFormatPr defaultColWidth="8.85546875" defaultRowHeight="15" x14ac:dyDescent="0.25"/>
  <cols>
    <col min="1" max="1" width="11.42578125" style="1" bestFit="1" customWidth="1"/>
    <col min="2" max="2" width="14.140625" style="1" bestFit="1" customWidth="1"/>
    <col min="3" max="3" width="15.140625" style="1" bestFit="1" customWidth="1"/>
    <col min="4" max="4" width="30.42578125" style="1" customWidth="1"/>
    <col min="5" max="5" width="35.42578125" style="1" customWidth="1"/>
    <col min="6" max="6" width="13.140625" style="1" customWidth="1"/>
    <col min="7" max="7" width="14.5703125" style="1" customWidth="1"/>
    <col min="8" max="8" width="17" style="1" customWidth="1"/>
    <col min="9" max="9" width="14.5703125" style="1" customWidth="1"/>
    <col min="10" max="10" width="15.85546875" style="1" customWidth="1"/>
    <col min="11" max="16384" width="8.85546875" style="1"/>
  </cols>
  <sheetData>
    <row r="1" spans="1:10" x14ac:dyDescent="0.25">
      <c r="A1" s="4" t="s">
        <v>6</v>
      </c>
      <c r="B1" s="5" t="str">
        <f>__mdDATAHead__</f>
        <v>30.08.2025</v>
      </c>
    </row>
    <row r="3" spans="1:10" s="3" customFormat="1" ht="42" customHeight="1" x14ac:dyDescent="0.25">
      <c r="A3" s="2" t="s">
        <v>7</v>
      </c>
      <c r="B3" s="2" t="s">
        <v>8</v>
      </c>
      <c r="C3" s="2" t="s">
        <v>0</v>
      </c>
      <c r="D3" s="2" t="s">
        <v>9</v>
      </c>
      <c r="E3" s="2" t="s">
        <v>10</v>
      </c>
      <c r="F3" s="2" t="s">
        <v>11</v>
      </c>
      <c r="G3" s="2" t="s">
        <v>12</v>
      </c>
      <c r="H3" s="2" t="s">
        <v>13</v>
      </c>
      <c r="I3" s="2" t="s">
        <v>14</v>
      </c>
      <c r="J3" s="2" t="s">
        <v>15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7</vt:i4>
      </vt:variant>
    </vt:vector>
  </HeadingPairs>
  <TitlesOfParts>
    <vt:vector size="9" baseType="lpstr">
      <vt:lpstr>ДУ</vt:lpstr>
      <vt:lpstr>Цены KASE</vt:lpstr>
      <vt:lpstr>__mdDATACommission__</vt:lpstr>
      <vt:lpstr>__mdDATACurrency__</vt:lpstr>
      <vt:lpstr>__mdDATAHead__</vt:lpstr>
      <vt:lpstr>__mdDATAItogoActive__</vt:lpstr>
      <vt:lpstr>__mdDATAMoney__</vt:lpstr>
      <vt:lpstr>__mdDATARepo__</vt:lpstr>
      <vt:lpstr>__mdDATASecurity__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Ербол Рахманкул</dc:creator>
  <cp:lastModifiedBy>Дамир Сәкен</cp:lastModifiedBy>
  <dcterms:created xsi:type="dcterms:W3CDTF">2025-09-02T05:35:02Z</dcterms:created>
  <dcterms:modified xsi:type="dcterms:W3CDTF">2025-09-02T10:16:43Z</dcterms:modified>
</cp:coreProperties>
</file>