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B0798A2F-6826-4A59-9D6E-5DE59C50E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ДУ!$C$70:$C$79</definedName>
    <definedName name="__mdDATACurrency__">ДУ!$27:$29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O48" i="1"/>
  <c r="O24" i="1"/>
  <c r="D2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B1" i="2"/>
  <c r="C80" i="1"/>
  <c r="G64" i="1"/>
  <c r="F64" i="1"/>
  <c r="E64" i="1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B55" i="1" l="1"/>
  <c r="M19" i="1"/>
  <c r="M15" i="1"/>
  <c r="M11" i="1"/>
  <c r="M22" i="1"/>
  <c r="M18" i="1"/>
  <c r="M14" i="1"/>
  <c r="M10" i="1"/>
  <c r="M21" i="1"/>
  <c r="M17" i="1"/>
  <c r="M13" i="1"/>
  <c r="M9" i="1"/>
  <c r="M20" i="1"/>
  <c r="M16" i="1"/>
  <c r="M12" i="1"/>
  <c r="M8" i="1"/>
  <c r="M24" i="1" l="1"/>
</calcChain>
</file>

<file path=xl/sharedStrings.xml><?xml version="1.0" encoding="utf-8"?>
<sst xmlns="http://schemas.openxmlformats.org/spreadsheetml/2006/main" count="1062" uniqueCount="456">
  <si>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</si>
  <si>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</si>
  <si>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</si>
  <si>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</si>
  <si>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</si>
  <si>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</si>
  <si>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</si>
  <si>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</si>
  <si>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</si>
  <si>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</si>
  <si>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</si>
  <si>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</si>
  <si>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</si>
  <si>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</si>
  <si>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</si>
  <si>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</si>
  <si>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</si>
  <si>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</si>
  <si>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</si>
  <si>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</si>
  <si>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</si>
  <si>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</si>
  <si>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</si>
  <si>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</si>
  <si>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</si>
  <si>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</si>
  <si>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</si>
  <si>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</si>
  <si>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</si>
  <si>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</si>
  <si>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</si>
  <si>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</si>
  <si>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</si>
  <si>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</si>
  <si>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</si>
  <si>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</si>
  <si>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</si>
  <si>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</si>
  <si>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</si>
  <si>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</si>
  <si>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</si>
  <si>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</si>
  <si>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</si>
  <si>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</si>
  <si>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</si>
  <si>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</si>
  <si>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</si>
  <si>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</si>
  <si>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</si>
  <si>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</si>
  <si>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</si>
  <si>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</si>
  <si>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</si>
  <si>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</si>
  <si>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</si>
  <si>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</si>
  <si>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</si>
  <si>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</si>
  <si>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</si>
  <si>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</si>
  <si>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</si>
  <si>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</si>
  <si>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</si>
  <si>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</si>
  <si>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</si>
  <si>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</si>
  <si>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</si>
  <si>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</si>
  <si>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</si>
  <si>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05.08.2025</t>
  </si>
  <si>
    <t>06.08.2025</t>
  </si>
  <si>
    <t>KZKD00000717</t>
  </si>
  <si>
    <t>АО "Казахстанский фонд устойчивости"</t>
  </si>
  <si>
    <t>KZ2C00007318</t>
  </si>
  <si>
    <t>07.08.2025</t>
  </si>
  <si>
    <t>KZKD00001111</t>
  </si>
  <si>
    <t>KZKD00000964</t>
  </si>
  <si>
    <t>KZKD00001228</t>
  </si>
  <si>
    <t>KZKD00001160</t>
  </si>
  <si>
    <t>KZKD00000907</t>
  </si>
  <si>
    <t>XS2914770545</t>
  </si>
  <si>
    <t>KZK200000737</t>
  </si>
  <si>
    <t>KZKD00000550</t>
  </si>
  <si>
    <t>KZKD00001095</t>
  </si>
  <si>
    <t>KZ96601A861038102391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</si>
  <si>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</si>
  <si>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</si>
  <si>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</si>
  <si>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</si>
  <si>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</si>
  <si>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</si>
  <si>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</si>
  <si>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KZKD00000790</t>
  </si>
  <si>
    <t>10.07.2025</t>
  </si>
  <si>
    <t>13.08.2029</t>
  </si>
  <si>
    <t>KZKD00001137</t>
  </si>
  <si>
    <t>18.07.2024</t>
  </si>
  <si>
    <t>12.04.2028</t>
  </si>
  <si>
    <t>28.07.2029</t>
  </si>
  <si>
    <t>KZKD00000832</t>
  </si>
  <si>
    <t>29.01.2035</t>
  </si>
  <si>
    <t>KZKD00001251</t>
  </si>
  <si>
    <t>13.03.2025</t>
  </si>
  <si>
    <t>07.03.2030</t>
  </si>
  <si>
    <t>KZKD00001129</t>
  </si>
  <si>
    <t>17.03.2031</t>
  </si>
  <si>
    <t>KZKD00000949</t>
  </si>
  <si>
    <t>16.04.2032</t>
  </si>
  <si>
    <t>KZKD00000535</t>
  </si>
  <si>
    <t>27.03.2027</t>
  </si>
  <si>
    <t>KZKD00000741</t>
  </si>
  <si>
    <t>12.05.2034</t>
  </si>
  <si>
    <t>KZK100000373</t>
  </si>
  <si>
    <t>06.02.2026</t>
  </si>
  <si>
    <t>KZK200000687</t>
  </si>
  <si>
    <t>21.01.2026</t>
  </si>
  <si>
    <t>KZKD00001087</t>
  </si>
  <si>
    <t>31.03.2029</t>
  </si>
  <si>
    <t>KZKD00001152</t>
  </si>
  <si>
    <t>26.07.2032</t>
  </si>
  <si>
    <t>NTK028_2865</t>
  </si>
  <si>
    <t>KZW100014312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</si>
  <si>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</si>
  <si>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</si>
  <si>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</si>
  <si>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</si>
  <si>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</si>
  <si>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</si>
  <si>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</si>
  <si>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</si>
  <si>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</si>
  <si>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</si>
  <si>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</si>
  <si>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</si>
  <si>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</si>
  <si>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</si>
  <si>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</si>
  <si>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</si>
  <si>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</si>
  <si>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</si>
  <si>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</si>
  <si>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</si>
  <si>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</si>
  <si>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</si>
  <si>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</si>
  <si>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</si>
  <si>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</si>
  <si>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</si>
  <si>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</si>
  <si>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</si>
  <si>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</si>
  <si>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</si>
  <si>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</si>
  <si>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</si>
  <si>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</si>
  <si>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</si>
  <si>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</si>
  <si>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</si>
  <si>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</si>
  <si>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</si>
  <si>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</si>
  <si>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</si>
  <si>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</si>
  <si>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</si>
  <si>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</si>
  <si>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</si>
  <si>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</si>
  <si>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</si>
  <si>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</si>
  <si>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</si>
  <si>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</si>
  <si>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</si>
  <si>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</si>
  <si>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</si>
  <si>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</si>
  <si>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</si>
  <si>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</si>
  <si>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</si>
  <si>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</si>
  <si>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MFSCb4</t>
  </si>
  <si>
    <t>KZ2P00011497</t>
  </si>
  <si>
    <t>MFMOb23</t>
  </si>
  <si>
    <t>KZ2P00013154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</si>
  <si>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</si>
  <si>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</si>
  <si>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</si>
  <si>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</si>
  <si>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</si>
  <si>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</si>
  <si>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</si>
  <si>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</si>
  <si>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</si>
  <si>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</si>
  <si>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</si>
  <si>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</si>
  <si>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</si>
  <si>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</si>
  <si>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</si>
  <si>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</si>
  <si>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</si>
  <si>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</si>
  <si>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</si>
  <si>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</si>
  <si>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</si>
  <si>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</si>
  <si>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</si>
  <si>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</si>
  <si>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</si>
  <si>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</si>
  <si>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</si>
  <si>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</si>
  <si>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</si>
  <si>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</si>
  <si>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</si>
  <si>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</si>
  <si>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</si>
  <si>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</si>
  <si>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MFACb3</t>
  </si>
  <si>
    <t>KZ2P00014434</t>
  </si>
  <si>
    <t>MFMOb28</t>
  </si>
  <si>
    <t>KZ2P00013352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</si>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</sst>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topLeftCell="A22" workbookViewId="0">
      <selection activeCell="D56" sqref="D5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23655088200.170967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85</v>
      </c>
      <c r="B8" s="15" t="s">
        <v>86</v>
      </c>
      <c r="C8" s="16">
        <v>992234</v>
      </c>
      <c r="D8" s="17">
        <v>992234000</v>
      </c>
      <c r="E8" s="18">
        <v>14.3</v>
      </c>
      <c r="F8" s="19" t="s">
        <v>87</v>
      </c>
      <c r="G8" s="19" t="s">
        <v>88</v>
      </c>
      <c r="H8" s="18">
        <v>991722999.49000001</v>
      </c>
      <c r="I8" s="20">
        <v>93.498910469999998</v>
      </c>
      <c r="J8" s="20">
        <v>106.72641047</v>
      </c>
      <c r="K8" s="18">
        <v>131247752.34999999</v>
      </c>
      <c r="L8" s="18">
        <v>1058975731.68208</v>
      </c>
      <c r="M8" s="21">
        <f t="shared" ref="M8:M22" si="0">L8/$Q$1</f>
        <v>4.4767355028269402E-2</v>
      </c>
      <c r="O8" s="10">
        <v>749863.88888888899</v>
      </c>
    </row>
    <row r="9" spans="1:17" x14ac:dyDescent="0.2">
      <c r="A9" s="15" t="s">
        <v>66</v>
      </c>
      <c r="B9" s="15" t="s">
        <v>89</v>
      </c>
      <c r="C9" s="16">
        <v>2391500</v>
      </c>
      <c r="D9" s="17">
        <v>2391500000</v>
      </c>
      <c r="E9" s="18">
        <v>5.3</v>
      </c>
      <c r="F9" s="19" t="s">
        <v>90</v>
      </c>
      <c r="G9" s="19" t="s">
        <v>91</v>
      </c>
      <c r="H9" s="18">
        <v>1903079172</v>
      </c>
      <c r="I9" s="20">
        <v>80.104200000000006</v>
      </c>
      <c r="J9" s="20">
        <v>84.32950000000001</v>
      </c>
      <c r="K9" s="18">
        <v>101047518.055556</v>
      </c>
      <c r="L9" s="18">
        <v>2016739461.0555601</v>
      </c>
      <c r="M9" s="21">
        <f t="shared" si="0"/>
        <v>8.5256053327291512E-2</v>
      </c>
      <c r="O9" s="10">
        <v>749863.88888888899</v>
      </c>
    </row>
    <row r="10" spans="1:17" x14ac:dyDescent="0.2">
      <c r="A10" s="15" t="s">
        <v>66</v>
      </c>
      <c r="B10" s="15" t="s">
        <v>92</v>
      </c>
      <c r="C10" s="16">
        <v>2469500</v>
      </c>
      <c r="D10" s="17">
        <v>2469500000</v>
      </c>
      <c r="E10" s="18">
        <v>7.68</v>
      </c>
      <c r="F10" s="19" t="s">
        <v>93</v>
      </c>
      <c r="G10" s="19" t="s">
        <v>94</v>
      </c>
      <c r="H10" s="18">
        <v>1827657194</v>
      </c>
      <c r="I10" s="20">
        <v>75.047300000000007</v>
      </c>
      <c r="J10" s="20">
        <v>82.578000000000003</v>
      </c>
      <c r="K10" s="18">
        <v>185969813.33333299</v>
      </c>
      <c r="L10" s="18">
        <v>2039262886.833333</v>
      </c>
      <c r="M10" s="21">
        <f t="shared" si="0"/>
        <v>8.6208213200346231E-2</v>
      </c>
      <c r="O10" s="10">
        <v>749863.88888888899</v>
      </c>
    </row>
    <row r="11" spans="1:17" x14ac:dyDescent="0.2">
      <c r="A11" s="15" t="s">
        <v>66</v>
      </c>
      <c r="B11" s="15" t="s">
        <v>95</v>
      </c>
      <c r="C11" s="16">
        <v>1897500</v>
      </c>
      <c r="D11" s="17">
        <v>1897500000</v>
      </c>
      <c r="E11" s="18">
        <v>10.4</v>
      </c>
      <c r="F11" s="19" t="s">
        <v>96</v>
      </c>
      <c r="G11" s="19" t="s">
        <v>97</v>
      </c>
      <c r="H11" s="18">
        <v>1736743800</v>
      </c>
      <c r="I11" s="20">
        <v>86.90740000000001</v>
      </c>
      <c r="J11" s="20">
        <v>90.200699999999998</v>
      </c>
      <c r="K11" s="18">
        <v>62491000</v>
      </c>
      <c r="L11" s="18">
        <v>1711558915</v>
      </c>
      <c r="M11" s="21">
        <f t="shared" si="0"/>
        <v>7.2354788978873041E-2</v>
      </c>
      <c r="O11" s="10">
        <v>749863.88888888899</v>
      </c>
    </row>
    <row r="12" spans="1:17" x14ac:dyDescent="0.2">
      <c r="A12" s="15" t="s">
        <v>66</v>
      </c>
      <c r="B12" s="15" t="s">
        <v>78</v>
      </c>
      <c r="C12" s="16">
        <v>1897500</v>
      </c>
      <c r="D12" s="17">
        <v>1897500000</v>
      </c>
      <c r="E12" s="18">
        <v>10.55</v>
      </c>
      <c r="F12" s="19" t="s">
        <v>96</v>
      </c>
      <c r="G12" s="19" t="s">
        <v>98</v>
      </c>
      <c r="H12" s="18">
        <v>1708326839.9966669</v>
      </c>
      <c r="I12" s="20">
        <v>83.127300000000005</v>
      </c>
      <c r="J12" s="20">
        <v>83.361699999999999</v>
      </c>
      <c r="K12" s="18">
        <v>4448583.3333333302</v>
      </c>
      <c r="L12" s="18">
        <v>1581789100.833333</v>
      </c>
      <c r="M12" s="21">
        <f t="shared" si="0"/>
        <v>6.6868873514574365E-2</v>
      </c>
      <c r="O12" s="10">
        <v>749863.88888888899</v>
      </c>
    </row>
    <row r="13" spans="1:17" x14ac:dyDescent="0.2">
      <c r="A13" s="15" t="s">
        <v>66</v>
      </c>
      <c r="B13" s="15" t="s">
        <v>99</v>
      </c>
      <c r="C13" s="16">
        <v>1897500</v>
      </c>
      <c r="D13" s="17">
        <v>1897500000</v>
      </c>
      <c r="E13" s="18">
        <v>8.07</v>
      </c>
      <c r="F13" s="19" t="s">
        <v>96</v>
      </c>
      <c r="G13" s="19" t="s">
        <v>100</v>
      </c>
      <c r="H13" s="18">
        <v>1338524962.5</v>
      </c>
      <c r="I13" s="20">
        <v>60.4206</v>
      </c>
      <c r="J13" s="20">
        <v>64.612499999999997</v>
      </c>
      <c r="K13" s="18">
        <v>79541618.75</v>
      </c>
      <c r="L13" s="18">
        <v>1226022503.75</v>
      </c>
      <c r="M13" s="21">
        <f t="shared" si="0"/>
        <v>5.1829124177230457E-2</v>
      </c>
      <c r="O13" s="10">
        <v>749863.88888888899</v>
      </c>
    </row>
    <row r="14" spans="1:17" x14ac:dyDescent="0.2">
      <c r="A14" s="15" t="s">
        <v>66</v>
      </c>
      <c r="B14" s="15" t="s">
        <v>101</v>
      </c>
      <c r="C14" s="16">
        <v>550000</v>
      </c>
      <c r="D14" s="17">
        <v>550000000</v>
      </c>
      <c r="E14" s="18">
        <v>12</v>
      </c>
      <c r="F14" s="19" t="s">
        <v>102</v>
      </c>
      <c r="G14" s="19" t="s">
        <v>103</v>
      </c>
      <c r="H14" s="18">
        <v>491343050</v>
      </c>
      <c r="I14" s="20">
        <v>85.596500000000006</v>
      </c>
      <c r="J14" s="20">
        <v>90.563200000000009</v>
      </c>
      <c r="K14" s="18">
        <v>27316666.66666666</v>
      </c>
      <c r="L14" s="18">
        <v>498097416.66666698</v>
      </c>
      <c r="M14" s="21">
        <f t="shared" si="0"/>
        <v>2.1056671294215127E-2</v>
      </c>
      <c r="O14" s="10">
        <v>749863.88888888899</v>
      </c>
    </row>
    <row r="15" spans="1:17" x14ac:dyDescent="0.2">
      <c r="A15" s="15" t="s">
        <v>66</v>
      </c>
      <c r="B15" s="15" t="s">
        <v>104</v>
      </c>
      <c r="C15" s="16">
        <v>1897500</v>
      </c>
      <c r="D15" s="17">
        <v>1897500000</v>
      </c>
      <c r="E15" s="18">
        <v>10.3</v>
      </c>
      <c r="F15" s="19" t="s">
        <v>96</v>
      </c>
      <c r="G15" s="19" t="s">
        <v>105</v>
      </c>
      <c r="H15" s="18">
        <v>1645329839.996666</v>
      </c>
      <c r="I15" s="20">
        <v>77.786500000000004</v>
      </c>
      <c r="J15" s="20">
        <v>81.763400000000004</v>
      </c>
      <c r="K15" s="18">
        <v>75462520.833333328</v>
      </c>
      <c r="L15" s="18">
        <v>1551461358.333333</v>
      </c>
      <c r="M15" s="21">
        <f t="shared" si="0"/>
        <v>6.5586792372311672E-2</v>
      </c>
      <c r="O15" s="10">
        <v>749863.88888888899</v>
      </c>
    </row>
    <row r="16" spans="1:17" x14ac:dyDescent="0.2">
      <c r="A16" s="15" t="s">
        <v>66</v>
      </c>
      <c r="B16" s="15" t="s">
        <v>106</v>
      </c>
      <c r="C16" s="16">
        <v>1897500</v>
      </c>
      <c r="D16" s="17">
        <v>1897500000</v>
      </c>
      <c r="E16" s="18">
        <v>8.4499999999999993</v>
      </c>
      <c r="F16" s="19" t="s">
        <v>96</v>
      </c>
      <c r="G16" s="19" t="s">
        <v>107</v>
      </c>
      <c r="H16" s="18">
        <v>1457889097.496666</v>
      </c>
      <c r="I16" s="20">
        <v>68.252400000000009</v>
      </c>
      <c r="J16" s="20">
        <v>70.834299999999999</v>
      </c>
      <c r="K16" s="18">
        <v>48992395.833333328</v>
      </c>
      <c r="L16" s="18">
        <v>1344081685.833333</v>
      </c>
      <c r="M16" s="21">
        <f t="shared" si="0"/>
        <v>5.6819982003855671E-2</v>
      </c>
      <c r="O16" s="10">
        <v>749863.88888888899</v>
      </c>
    </row>
    <row r="17" spans="1:15" x14ac:dyDescent="0.2">
      <c r="A17" s="15" t="s">
        <v>66</v>
      </c>
      <c r="B17" s="15" t="s">
        <v>108</v>
      </c>
      <c r="C17" s="16">
        <v>3162500</v>
      </c>
      <c r="D17" s="17">
        <v>3162500000</v>
      </c>
      <c r="E17" s="18">
        <v>5.49</v>
      </c>
      <c r="F17" s="19" t="s">
        <v>96</v>
      </c>
      <c r="G17" s="19" t="s">
        <v>109</v>
      </c>
      <c r="H17" s="18">
        <v>2627740225</v>
      </c>
      <c r="I17" s="20">
        <v>84.687700000000007</v>
      </c>
      <c r="J17" s="20">
        <v>86.655000000000001</v>
      </c>
      <c r="K17" s="18">
        <v>62214281.25</v>
      </c>
      <c r="L17" s="18">
        <v>2740462793.75</v>
      </c>
      <c r="M17" s="21">
        <f t="shared" si="0"/>
        <v>0.11585088039241356</v>
      </c>
      <c r="O17" s="10">
        <v>749863.88888888899</v>
      </c>
    </row>
    <row r="18" spans="1:15" x14ac:dyDescent="0.2">
      <c r="A18" s="15" t="s">
        <v>66</v>
      </c>
      <c r="B18" s="15" t="s">
        <v>110</v>
      </c>
      <c r="C18" s="16">
        <v>1897500</v>
      </c>
      <c r="D18" s="17">
        <v>1897500000</v>
      </c>
      <c r="E18" s="18">
        <v>8.07</v>
      </c>
      <c r="F18" s="19" t="s">
        <v>96</v>
      </c>
      <c r="G18" s="19" t="s">
        <v>111</v>
      </c>
      <c r="H18" s="18">
        <v>1359122325</v>
      </c>
      <c r="I18" s="20">
        <v>61.873200000000004</v>
      </c>
      <c r="J18" s="20">
        <v>63.7562</v>
      </c>
      <c r="K18" s="18">
        <v>35729925</v>
      </c>
      <c r="L18" s="18">
        <v>1209773895</v>
      </c>
      <c r="M18" s="21">
        <f t="shared" si="0"/>
        <v>5.1142227192847937E-2</v>
      </c>
      <c r="O18" s="10">
        <v>749863.88888888899</v>
      </c>
    </row>
    <row r="19" spans="1:15" x14ac:dyDescent="0.2">
      <c r="A19" s="15" t="s">
        <v>66</v>
      </c>
      <c r="B19" s="15" t="s">
        <v>112</v>
      </c>
      <c r="C19" s="16">
        <v>11424000</v>
      </c>
      <c r="D19" s="17">
        <v>1142400000</v>
      </c>
      <c r="E19" s="18">
        <v>0</v>
      </c>
      <c r="F19" s="19" t="s">
        <v>102</v>
      </c>
      <c r="G19" s="19" t="s">
        <v>113</v>
      </c>
      <c r="H19" s="18">
        <v>1003902278.4</v>
      </c>
      <c r="I19" s="20">
        <v>92.389400000000009</v>
      </c>
      <c r="J19" s="20">
        <v>92.389400000000009</v>
      </c>
      <c r="K19" s="18"/>
      <c r="L19" s="18">
        <v>1055456505.6</v>
      </c>
      <c r="M19" s="21">
        <f t="shared" si="0"/>
        <v>4.4618582550555515E-2</v>
      </c>
      <c r="O19" s="10">
        <v>749863.88888888899</v>
      </c>
    </row>
    <row r="20" spans="1:15" x14ac:dyDescent="0.2">
      <c r="A20" s="15" t="s">
        <v>66</v>
      </c>
      <c r="B20" s="15" t="s">
        <v>114</v>
      </c>
      <c r="C20" s="16">
        <v>2530000</v>
      </c>
      <c r="D20" s="17">
        <v>2530000000</v>
      </c>
      <c r="E20" s="18">
        <v>10.67</v>
      </c>
      <c r="F20" s="19" t="s">
        <v>96</v>
      </c>
      <c r="G20" s="19" t="s">
        <v>115</v>
      </c>
      <c r="H20" s="18">
        <v>2455119589.9966769</v>
      </c>
      <c r="I20" s="20">
        <v>97.558700000000002</v>
      </c>
      <c r="J20" s="20">
        <v>98.00330000000001</v>
      </c>
      <c r="K20" s="18">
        <v>11247958.33333333</v>
      </c>
      <c r="L20" s="18">
        <v>2479483068.333333</v>
      </c>
      <c r="M20" s="21">
        <f t="shared" si="0"/>
        <v>0.10481817050740959</v>
      </c>
      <c r="O20" s="10">
        <v>749863.88888888899</v>
      </c>
    </row>
    <row r="21" spans="1:15" x14ac:dyDescent="0.2">
      <c r="A21" s="15" t="s">
        <v>66</v>
      </c>
      <c r="B21" s="15" t="s">
        <v>116</v>
      </c>
      <c r="C21" s="16">
        <v>1897500</v>
      </c>
      <c r="D21" s="17">
        <v>1897500000</v>
      </c>
      <c r="E21" s="18">
        <v>11</v>
      </c>
      <c r="F21" s="19" t="s">
        <v>96</v>
      </c>
      <c r="G21" s="19" t="s">
        <v>117</v>
      </c>
      <c r="H21" s="18">
        <v>1743261712.5</v>
      </c>
      <c r="I21" s="20">
        <v>85.087100000000007</v>
      </c>
      <c r="J21" s="20">
        <v>88.937100000000001</v>
      </c>
      <c r="K21" s="18">
        <v>73053750</v>
      </c>
      <c r="L21" s="18">
        <v>1687581472.5</v>
      </c>
      <c r="M21" s="21">
        <f t="shared" si="0"/>
        <v>7.134116170777173E-2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1897500</v>
      </c>
      <c r="D22" s="17">
        <v>1897500000</v>
      </c>
      <c r="E22" s="18">
        <v>10.65</v>
      </c>
      <c r="F22" s="19" t="s">
        <v>96</v>
      </c>
      <c r="G22" s="19" t="s">
        <v>119</v>
      </c>
      <c r="H22" s="18">
        <v>1648500562.5</v>
      </c>
      <c r="I22" s="20">
        <v>76.349299999999999</v>
      </c>
      <c r="J22" s="20">
        <v>76.645099999999999</v>
      </c>
      <c r="K22" s="18">
        <v>5613437.5</v>
      </c>
      <c r="L22" s="18">
        <v>1454341405</v>
      </c>
      <c r="M22" s="21">
        <f t="shared" si="0"/>
        <v>6.1481123752034406E-2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904377221.23888898</v>
      </c>
      <c r="L24" s="23">
        <f>SUM(L8:L23)</f>
        <v>23655088200.170967</v>
      </c>
      <c r="M24" s="26">
        <f>SUM(M8:M23)</f>
        <v>1</v>
      </c>
      <c r="N24" s="9">
        <v>23655088200.170971</v>
      </c>
      <c r="O24" s="63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540522.06000000006</v>
      </c>
    </row>
    <row r="28" spans="1:15" x14ac:dyDescent="0.2">
      <c r="A28" s="29" t="s">
        <v>84</v>
      </c>
      <c r="B28" s="30">
        <v>540522.06000000006</v>
      </c>
      <c r="C28" s="11">
        <v>540522.06000000006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3004155</v>
      </c>
      <c r="D33" s="32" t="s">
        <v>68</v>
      </c>
      <c r="E33" s="34" t="s">
        <v>69</v>
      </c>
      <c r="F33" s="34" t="s">
        <v>70</v>
      </c>
      <c r="G33" s="35">
        <v>865.87800000000004</v>
      </c>
      <c r="H33" s="35">
        <f t="shared" ref="H33:H46" si="1">J33/C33</f>
        <v>866.24691147427484</v>
      </c>
      <c r="I33" s="36">
        <v>2601231723.0900002</v>
      </c>
      <c r="J33" s="36">
        <v>2602339990.3400002</v>
      </c>
      <c r="K33" s="37">
        <v>15.551</v>
      </c>
      <c r="L33" s="37">
        <v>1108267.25</v>
      </c>
      <c r="M33" s="31">
        <f t="shared" ref="M33:M46" si="2">I33+L33</f>
        <v>2602339990.3400002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26565</v>
      </c>
      <c r="D34" s="32" t="s">
        <v>68</v>
      </c>
      <c r="E34" s="34" t="s">
        <v>69</v>
      </c>
      <c r="F34" s="34" t="s">
        <v>70</v>
      </c>
      <c r="G34" s="35">
        <v>865.87800000000004</v>
      </c>
      <c r="H34" s="35">
        <f t="shared" si="1"/>
        <v>866.24691134952002</v>
      </c>
      <c r="I34" s="36">
        <v>23002049.07</v>
      </c>
      <c r="J34" s="36">
        <v>23011849.199999999</v>
      </c>
      <c r="K34" s="37">
        <v>15.551</v>
      </c>
      <c r="L34" s="37">
        <v>9800.130000000001</v>
      </c>
      <c r="M34" s="31">
        <f t="shared" si="2"/>
        <v>23011849.199999999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71</v>
      </c>
      <c r="C35" s="33">
        <v>1218176</v>
      </c>
      <c r="D35" s="32" t="s">
        <v>68</v>
      </c>
      <c r="E35" s="34" t="s">
        <v>69</v>
      </c>
      <c r="F35" s="34" t="s">
        <v>70</v>
      </c>
      <c r="G35" s="35">
        <v>814.64199999835807</v>
      </c>
      <c r="H35" s="35">
        <f t="shared" si="1"/>
        <v>814.98908212770573</v>
      </c>
      <c r="I35" s="36">
        <v>992377332.99000001</v>
      </c>
      <c r="J35" s="36">
        <v>992800140.11000001</v>
      </c>
      <c r="K35" s="37">
        <v>15.551</v>
      </c>
      <c r="L35" s="37">
        <v>422807.12</v>
      </c>
      <c r="M35" s="31">
        <f t="shared" si="2"/>
        <v>992800140.11000001</v>
      </c>
      <c r="N35" s="10"/>
      <c r="O35" s="9"/>
      <c r="Q35" s="9">
        <v>0</v>
      </c>
    </row>
    <row r="36" spans="1:17" x14ac:dyDescent="0.2">
      <c r="A36" s="32" t="s">
        <v>72</v>
      </c>
      <c r="B36" s="32" t="s">
        <v>73</v>
      </c>
      <c r="C36" s="33">
        <v>464360</v>
      </c>
      <c r="D36" s="32" t="s">
        <v>68</v>
      </c>
      <c r="E36" s="34" t="s">
        <v>70</v>
      </c>
      <c r="F36" s="34" t="s">
        <v>74</v>
      </c>
      <c r="G36" s="35">
        <v>1012.4670000000001</v>
      </c>
      <c r="H36" s="35">
        <f t="shared" si="1"/>
        <v>1012.898616073736</v>
      </c>
      <c r="I36" s="36">
        <v>470149176.12</v>
      </c>
      <c r="J36" s="36">
        <v>470349601.36000001</v>
      </c>
      <c r="K36" s="37">
        <v>15.56</v>
      </c>
      <c r="L36" s="37"/>
      <c r="M36" s="31">
        <f t="shared" si="2"/>
        <v>470149176.12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75</v>
      </c>
      <c r="C37" s="33">
        <v>594949</v>
      </c>
      <c r="D37" s="32" t="s">
        <v>68</v>
      </c>
      <c r="E37" s="34" t="s">
        <v>70</v>
      </c>
      <c r="F37" s="34" t="s">
        <v>74</v>
      </c>
      <c r="G37" s="35">
        <v>744.83799999663802</v>
      </c>
      <c r="H37" s="35">
        <f t="shared" si="1"/>
        <v>745.15552544839977</v>
      </c>
      <c r="I37" s="36">
        <v>443140623.25999999</v>
      </c>
      <c r="J37" s="36">
        <v>443329534.70999998</v>
      </c>
      <c r="K37" s="37">
        <v>15.56</v>
      </c>
      <c r="L37" s="37"/>
      <c r="M37" s="31">
        <f t="shared" si="2"/>
        <v>443140623.25999999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76</v>
      </c>
      <c r="C38" s="33">
        <v>409929</v>
      </c>
      <c r="D38" s="32" t="s">
        <v>68</v>
      </c>
      <c r="E38" s="34" t="s">
        <v>70</v>
      </c>
      <c r="F38" s="34" t="s">
        <v>74</v>
      </c>
      <c r="G38" s="35">
        <v>729.49100000243902</v>
      </c>
      <c r="H38" s="35">
        <f t="shared" si="1"/>
        <v>729.80198302632903</v>
      </c>
      <c r="I38" s="36">
        <v>299039516.13999999</v>
      </c>
      <c r="J38" s="36">
        <v>299166997.10000002</v>
      </c>
      <c r="K38" s="37">
        <v>15.56</v>
      </c>
      <c r="L38" s="37"/>
      <c r="M38" s="31">
        <f t="shared" si="2"/>
        <v>299039516.13999999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77</v>
      </c>
      <c r="C39" s="33">
        <v>379852</v>
      </c>
      <c r="D39" s="32" t="s">
        <v>68</v>
      </c>
      <c r="E39" s="34" t="s">
        <v>70</v>
      </c>
      <c r="F39" s="34" t="s">
        <v>74</v>
      </c>
      <c r="G39" s="35">
        <v>937.38400000526497</v>
      </c>
      <c r="H39" s="35">
        <f t="shared" si="1"/>
        <v>937.7836080894665</v>
      </c>
      <c r="I39" s="36">
        <v>356067187.17000002</v>
      </c>
      <c r="J39" s="36">
        <v>356218979.10000002</v>
      </c>
      <c r="K39" s="37">
        <v>15.56</v>
      </c>
      <c r="L39" s="37"/>
      <c r="M39" s="31">
        <f t="shared" si="2"/>
        <v>356067187.17000002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78</v>
      </c>
      <c r="C40" s="33">
        <v>468000</v>
      </c>
      <c r="D40" s="32" t="s">
        <v>68</v>
      </c>
      <c r="E40" s="34" t="s">
        <v>70</v>
      </c>
      <c r="F40" s="34" t="s">
        <v>74</v>
      </c>
      <c r="G40" s="35">
        <v>833.61700000000008</v>
      </c>
      <c r="H40" s="35">
        <f t="shared" si="1"/>
        <v>833.97237207264959</v>
      </c>
      <c r="I40" s="36">
        <v>390132756</v>
      </c>
      <c r="J40" s="36">
        <v>390299070.13</v>
      </c>
      <c r="K40" s="37">
        <v>15.56</v>
      </c>
      <c r="L40" s="37"/>
      <c r="M40" s="31">
        <f t="shared" si="2"/>
        <v>390132756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79</v>
      </c>
      <c r="C41" s="33">
        <v>504448</v>
      </c>
      <c r="D41" s="32" t="s">
        <v>68</v>
      </c>
      <c r="E41" s="34" t="s">
        <v>70</v>
      </c>
      <c r="F41" s="34" t="s">
        <v>74</v>
      </c>
      <c r="G41" s="35">
        <v>888.13600000396514</v>
      </c>
      <c r="H41" s="35">
        <f t="shared" si="1"/>
        <v>888.51461359743723</v>
      </c>
      <c r="I41" s="36">
        <v>448018428.93000001</v>
      </c>
      <c r="J41" s="36">
        <v>448209419.80000001</v>
      </c>
      <c r="K41" s="37">
        <v>15.56</v>
      </c>
      <c r="L41" s="37"/>
      <c r="M41" s="31">
        <f t="shared" si="2"/>
        <v>448018428.93000001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80</v>
      </c>
      <c r="C42" s="33">
        <v>41470</v>
      </c>
      <c r="D42" s="32" t="s">
        <v>68</v>
      </c>
      <c r="E42" s="34" t="s">
        <v>70</v>
      </c>
      <c r="F42" s="34" t="s">
        <v>74</v>
      </c>
      <c r="G42" s="35">
        <v>530.518199903545</v>
      </c>
      <c r="H42" s="35">
        <f t="shared" si="1"/>
        <v>530.74421509524961</v>
      </c>
      <c r="I42" s="36">
        <v>22000589.75</v>
      </c>
      <c r="J42" s="36">
        <v>22009962.600000001</v>
      </c>
      <c r="K42" s="37">
        <v>15.55</v>
      </c>
      <c r="L42" s="37"/>
      <c r="M42" s="31">
        <f t="shared" si="2"/>
        <v>22000589.75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81</v>
      </c>
      <c r="C43" s="33">
        <v>399098</v>
      </c>
      <c r="D43" s="32" t="s">
        <v>68</v>
      </c>
      <c r="E43" s="34" t="s">
        <v>70</v>
      </c>
      <c r="F43" s="34" t="s">
        <v>74</v>
      </c>
      <c r="G43" s="35">
        <v>1017.567000010022</v>
      </c>
      <c r="H43" s="35">
        <f t="shared" si="1"/>
        <v>1018.0007902069166</v>
      </c>
      <c r="I43" s="36">
        <v>406108954.56999999</v>
      </c>
      <c r="J43" s="36">
        <v>406282079.37</v>
      </c>
      <c r="K43" s="37">
        <v>15.56</v>
      </c>
      <c r="L43" s="37"/>
      <c r="M43" s="31">
        <f t="shared" si="2"/>
        <v>406108954.56999999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82</v>
      </c>
      <c r="C44" s="33">
        <v>858213</v>
      </c>
      <c r="D44" s="32" t="s">
        <v>68</v>
      </c>
      <c r="E44" s="34" t="s">
        <v>70</v>
      </c>
      <c r="F44" s="34" t="s">
        <v>74</v>
      </c>
      <c r="G44" s="35">
        <v>583.98099999650401</v>
      </c>
      <c r="H44" s="35">
        <f t="shared" si="1"/>
        <v>584.22995190005281</v>
      </c>
      <c r="I44" s="36">
        <v>501180085.94999999</v>
      </c>
      <c r="J44" s="36">
        <v>501393739.70999998</v>
      </c>
      <c r="K44" s="37">
        <v>15.56</v>
      </c>
      <c r="L44" s="37"/>
      <c r="M44" s="31">
        <f t="shared" si="2"/>
        <v>501180085.94999999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67</v>
      </c>
      <c r="C45" s="33">
        <v>321408</v>
      </c>
      <c r="D45" s="32" t="s">
        <v>68</v>
      </c>
      <c r="E45" s="34" t="s">
        <v>70</v>
      </c>
      <c r="F45" s="34" t="s">
        <v>74</v>
      </c>
      <c r="G45" s="35">
        <v>868.22299998755511</v>
      </c>
      <c r="H45" s="35">
        <f t="shared" si="1"/>
        <v>868.59312462664275</v>
      </c>
      <c r="I45" s="36">
        <v>279053817.98000002</v>
      </c>
      <c r="J45" s="36">
        <v>279172779</v>
      </c>
      <c r="K45" s="37">
        <v>15.56</v>
      </c>
      <c r="L45" s="37"/>
      <c r="M45" s="31">
        <f t="shared" si="2"/>
        <v>279053817.98000002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83</v>
      </c>
      <c r="C46" s="33">
        <v>3219</v>
      </c>
      <c r="D46" s="32" t="s">
        <v>68</v>
      </c>
      <c r="E46" s="34" t="s">
        <v>70</v>
      </c>
      <c r="F46" s="34" t="s">
        <v>74</v>
      </c>
      <c r="G46" s="35">
        <v>932.83400124262209</v>
      </c>
      <c r="H46" s="35">
        <f t="shared" si="1"/>
        <v>933.23166821994414</v>
      </c>
      <c r="I46" s="36">
        <v>3002792.65</v>
      </c>
      <c r="J46" s="36">
        <v>3004072.74</v>
      </c>
      <c r="K46" s="37">
        <v>15.56</v>
      </c>
      <c r="L46" s="37"/>
      <c r="M46" s="31">
        <f t="shared" si="2"/>
        <v>3002792.65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SUMIF(Q33:Q47,1,M33:M47)</f>
        <v>3617893928.52</v>
      </c>
      <c r="N48" s="64">
        <v>3617893928.5199995</v>
      </c>
      <c r="O48" s="65">
        <f>M48-N48</f>
        <v>0</v>
      </c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L24+B28+M48</f>
        <v>27273522650.750969</v>
      </c>
      <c r="C55" s="66">
        <v>27273522650.750973</v>
      </c>
      <c r="D55" s="66">
        <f>__mdDATAItogoActive__-C55</f>
        <v>0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0" t="s">
        <v>48</v>
      </c>
      <c r="B60" s="60"/>
      <c r="C60" s="60"/>
      <c r="D60" s="60"/>
      <c r="I60" s="54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60" t="s">
        <v>49</v>
      </c>
      <c r="B66" s="60"/>
      <c r="O66" s="9"/>
    </row>
    <row r="67" spans="1:15" x14ac:dyDescent="0.2"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53</v>
      </c>
      <c r="C70" s="57">
        <v>2270239.85</v>
      </c>
      <c r="D70" s="24"/>
      <c r="E70" s="54"/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54"/>
      <c r="O71" s="9"/>
    </row>
    <row r="72" spans="1:15" x14ac:dyDescent="0.2">
      <c r="A72" s="24">
        <v>3</v>
      </c>
      <c r="B72" s="55" t="s">
        <v>55</v>
      </c>
      <c r="C72" s="57">
        <v>475695.57</v>
      </c>
      <c r="D72" s="2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O73" s="9"/>
    </row>
    <row r="74" spans="1:15" ht="22.5" x14ac:dyDescent="0.2">
      <c r="A74" s="24">
        <v>5</v>
      </c>
      <c r="B74" s="58" t="s">
        <v>57</v>
      </c>
      <c r="C74" s="57">
        <v>363782.16</v>
      </c>
      <c r="D74" s="24"/>
      <c r="F74" s="54"/>
      <c r="O74" s="9"/>
    </row>
    <row r="75" spans="1:15" x14ac:dyDescent="0.2">
      <c r="A75" s="24">
        <v>6</v>
      </c>
      <c r="B75" s="55" t="s">
        <v>58</v>
      </c>
      <c r="C75" s="57">
        <v>270362.59999999998</v>
      </c>
      <c r="D75" s="57"/>
      <c r="O75" s="9"/>
    </row>
    <row r="76" spans="1:15" x14ac:dyDescent="0.2">
      <c r="A76" s="24">
        <v>7</v>
      </c>
      <c r="B76" s="55" t="s">
        <v>59</v>
      </c>
      <c r="C76" s="57">
        <v>536021.94999999995</v>
      </c>
      <c r="D76" s="57"/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54"/>
      <c r="O79" s="9"/>
    </row>
    <row r="80" spans="1:15" x14ac:dyDescent="0.2">
      <c r="A80" s="61" t="s">
        <v>63</v>
      </c>
      <c r="B80" s="61"/>
      <c r="C80" s="59">
        <f>SUM(C70:C79)</f>
        <v>3916102.13</v>
      </c>
      <c r="D80" s="55"/>
      <c r="O80" s="9"/>
    </row>
    <row r="82" spans="3:4" x14ac:dyDescent="0.2">
      <c r="C82" s="51"/>
    </row>
    <row r="83" spans="3:4" x14ac:dyDescent="0.2">
      <c r="C83" s="54"/>
    </row>
    <row r="84" spans="3:4" x14ac:dyDescent="0.2">
      <c r="C84" s="54"/>
      <c r="D84" s="54"/>
    </row>
    <row r="85" spans="3:4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06.08.2025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99.439800000000005</v>
      </c>
      <c r="G4" s="5">
        <v>99.439800000000005</v>
      </c>
      <c r="H4" s="5">
        <v>14.69</v>
      </c>
      <c r="I4" s="5">
        <v>15</v>
      </c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128</v>
      </c>
      <c r="F5" s="4">
        <v>9455.19</v>
      </c>
      <c r="G5" s="5"/>
      <c r="H5" s="5"/>
      <c r="I5" s="5"/>
      <c r="J5" s="4" t="s">
        <v>129</v>
      </c>
    </row>
    <row r="6" spans="1:10" x14ac:dyDescent="0.25">
      <c r="A6" s="4">
        <f t="shared" ca="1" si="0"/>
        <v>3</v>
      </c>
      <c r="B6" s="4" t="s">
        <v>130</v>
      </c>
      <c r="C6" s="4" t="s">
        <v>131</v>
      </c>
      <c r="D6" s="4" t="s">
        <v>122</v>
      </c>
      <c r="E6" s="4" t="s">
        <v>128</v>
      </c>
      <c r="F6" s="4">
        <v>1041.944</v>
      </c>
      <c r="G6" s="5">
        <v>112.6888</v>
      </c>
      <c r="H6" s="5">
        <v>19.82</v>
      </c>
      <c r="I6" s="5">
        <v>955</v>
      </c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127</v>
      </c>
      <c r="E7" s="4" t="s">
        <v>134</v>
      </c>
      <c r="F7" s="4">
        <v>1446.18</v>
      </c>
      <c r="G7" s="5"/>
      <c r="H7" s="5"/>
      <c r="I7" s="5"/>
      <c r="J7" s="4" t="s">
        <v>129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127</v>
      </c>
      <c r="E8" s="4" t="s">
        <v>137</v>
      </c>
      <c r="F8" s="4">
        <v>582662.48</v>
      </c>
      <c r="G8" s="5"/>
      <c r="H8" s="5"/>
      <c r="I8" s="5"/>
      <c r="J8" s="4" t="s">
        <v>129</v>
      </c>
    </row>
    <row r="9" spans="1:10" x14ac:dyDescent="0.25">
      <c r="A9" s="4">
        <f t="shared" ca="1" si="0"/>
        <v>6</v>
      </c>
      <c r="B9" s="4" t="s">
        <v>138</v>
      </c>
      <c r="C9" s="4" t="s">
        <v>139</v>
      </c>
      <c r="D9" s="4" t="s">
        <v>127</v>
      </c>
      <c r="E9" s="4" t="s">
        <v>137</v>
      </c>
      <c r="F9" s="4">
        <v>6266.18</v>
      </c>
      <c r="G9" s="5"/>
      <c r="H9" s="5"/>
      <c r="I9" s="5"/>
      <c r="J9" s="4" t="s">
        <v>129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122</v>
      </c>
      <c r="E10" s="4" t="s">
        <v>137</v>
      </c>
      <c r="F10" s="4">
        <v>0.87821199999999999</v>
      </c>
      <c r="G10" s="5">
        <v>89.530200000000008</v>
      </c>
      <c r="H10" s="5">
        <v>6.83</v>
      </c>
      <c r="I10" s="5">
        <v>7927</v>
      </c>
      <c r="J10" s="4" t="s">
        <v>124</v>
      </c>
    </row>
    <row r="11" spans="1:10" x14ac:dyDescent="0.25">
      <c r="A11" s="4">
        <f t="shared" ca="1" si="0"/>
        <v>8</v>
      </c>
      <c r="B11" s="4" t="s">
        <v>142</v>
      </c>
      <c r="C11" s="4" t="s">
        <v>143</v>
      </c>
      <c r="D11" s="4" t="s">
        <v>127</v>
      </c>
      <c r="E11" s="4" t="s">
        <v>137</v>
      </c>
      <c r="F11" s="4">
        <v>89325.7</v>
      </c>
      <c r="G11" s="5"/>
      <c r="H11" s="5"/>
      <c r="I11" s="5"/>
      <c r="J11" s="4" t="s">
        <v>129</v>
      </c>
    </row>
    <row r="12" spans="1:10" x14ac:dyDescent="0.25">
      <c r="A12" s="4">
        <f t="shared" ca="1" si="0"/>
        <v>9</v>
      </c>
      <c r="B12" s="4" t="s">
        <v>144</v>
      </c>
      <c r="C12" s="4" t="s">
        <v>145</v>
      </c>
      <c r="D12" s="4" t="s">
        <v>127</v>
      </c>
      <c r="E12" s="4" t="s">
        <v>137</v>
      </c>
      <c r="F12" s="4">
        <v>5370.98</v>
      </c>
      <c r="G12" s="5"/>
      <c r="H12" s="5"/>
      <c r="I12" s="5"/>
      <c r="J12" s="4" t="s">
        <v>129</v>
      </c>
    </row>
    <row r="13" spans="1:10" x14ac:dyDescent="0.25">
      <c r="A13" s="4">
        <f t="shared" ca="1" si="0"/>
        <v>10</v>
      </c>
      <c r="B13" s="4" t="s">
        <v>146</v>
      </c>
      <c r="C13" s="4" t="s">
        <v>147</v>
      </c>
      <c r="D13" s="4" t="s">
        <v>127</v>
      </c>
      <c r="E13" s="4" t="s">
        <v>137</v>
      </c>
      <c r="F13" s="4">
        <v>5920481.9699999997</v>
      </c>
      <c r="G13" s="5"/>
      <c r="H13" s="5"/>
      <c r="I13" s="5"/>
      <c r="J13" s="4" t="s">
        <v>129</v>
      </c>
    </row>
    <row r="14" spans="1:10" x14ac:dyDescent="0.25">
      <c r="A14" s="4">
        <f t="shared" ca="1" si="0"/>
        <v>11</v>
      </c>
      <c r="B14" s="4" t="s">
        <v>148</v>
      </c>
      <c r="C14" s="4" t="s">
        <v>149</v>
      </c>
      <c r="D14" s="4" t="s">
        <v>122</v>
      </c>
      <c r="E14" s="4" t="s">
        <v>137</v>
      </c>
      <c r="F14" s="4">
        <v>0.87793099999999991</v>
      </c>
      <c r="G14" s="5">
        <v>88.882000000000005</v>
      </c>
      <c r="H14" s="5">
        <v>5.46</v>
      </c>
      <c r="I14" s="5">
        <v>2809</v>
      </c>
      <c r="J14" s="4" t="s">
        <v>124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127</v>
      </c>
      <c r="E15" s="4" t="s">
        <v>137</v>
      </c>
      <c r="F15" s="4">
        <v>1158.6300000000001</v>
      </c>
      <c r="G15" s="5"/>
      <c r="H15" s="5"/>
      <c r="I15" s="5"/>
      <c r="J15" s="4" t="s">
        <v>152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127</v>
      </c>
      <c r="E16" s="4" t="s">
        <v>137</v>
      </c>
      <c r="F16" s="4">
        <v>1019.83</v>
      </c>
      <c r="G16" s="5"/>
      <c r="H16" s="5"/>
      <c r="I16" s="5"/>
      <c r="J16" s="4" t="s">
        <v>152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127</v>
      </c>
      <c r="E17" s="4" t="s">
        <v>137</v>
      </c>
      <c r="F17" s="4">
        <v>1718966.34</v>
      </c>
      <c r="G17" s="5"/>
      <c r="H17" s="5"/>
      <c r="I17" s="5"/>
      <c r="J17" s="4" t="s">
        <v>129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127</v>
      </c>
      <c r="E18" s="4" t="s">
        <v>137</v>
      </c>
      <c r="F18" s="4">
        <v>73268.540000000008</v>
      </c>
      <c r="G18" s="5"/>
      <c r="H18" s="5"/>
      <c r="I18" s="5"/>
      <c r="J18" s="4" t="s">
        <v>129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127</v>
      </c>
      <c r="E19" s="4" t="s">
        <v>137</v>
      </c>
      <c r="F19" s="4">
        <v>74129.680000000008</v>
      </c>
      <c r="G19" s="5"/>
      <c r="H19" s="5"/>
      <c r="I19" s="5"/>
      <c r="J19" s="4" t="s">
        <v>129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127</v>
      </c>
      <c r="E20" s="4" t="s">
        <v>137</v>
      </c>
      <c r="F20" s="4">
        <v>53554.09</v>
      </c>
      <c r="G20" s="5"/>
      <c r="H20" s="5"/>
      <c r="I20" s="5"/>
      <c r="J20" s="4" t="s">
        <v>129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127</v>
      </c>
      <c r="E21" s="4" t="s">
        <v>137</v>
      </c>
      <c r="F21" s="4">
        <v>6.77</v>
      </c>
      <c r="G21" s="5"/>
      <c r="H21" s="5"/>
      <c r="I21" s="5"/>
      <c r="J21" s="4" t="s">
        <v>129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122</v>
      </c>
      <c r="E22" s="4" t="s">
        <v>137</v>
      </c>
      <c r="F22" s="4">
        <v>1000</v>
      </c>
      <c r="G22" s="5">
        <v>103.7568</v>
      </c>
      <c r="H22" s="5">
        <v>17.3</v>
      </c>
      <c r="I22" s="5">
        <v>1201</v>
      </c>
      <c r="J22" s="4" t="s">
        <v>124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122</v>
      </c>
      <c r="E23" s="4" t="s">
        <v>137</v>
      </c>
      <c r="F23" s="4">
        <v>1003.8910000000001</v>
      </c>
      <c r="G23" s="5">
        <v>101.7568</v>
      </c>
      <c r="H23" s="5">
        <v>20.89</v>
      </c>
      <c r="I23" s="5">
        <v>101</v>
      </c>
      <c r="J23" s="4" t="s">
        <v>124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122</v>
      </c>
      <c r="E24" s="4" t="s">
        <v>137</v>
      </c>
      <c r="F24" s="4">
        <v>1000</v>
      </c>
      <c r="G24" s="5">
        <v>105.33210000000001</v>
      </c>
      <c r="H24" s="5">
        <v>17.09</v>
      </c>
      <c r="I24" s="5">
        <v>800</v>
      </c>
      <c r="J24" s="4" t="s">
        <v>124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122</v>
      </c>
      <c r="E25" s="4" t="s">
        <v>137</v>
      </c>
      <c r="F25" s="4">
        <v>1000</v>
      </c>
      <c r="G25" s="5">
        <v>101.12050000000001</v>
      </c>
      <c r="H25" s="5">
        <v>17.53</v>
      </c>
      <c r="I25" s="5">
        <v>1987</v>
      </c>
      <c r="J25" s="4" t="s">
        <v>124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122</v>
      </c>
      <c r="E26" s="4" t="s">
        <v>137</v>
      </c>
      <c r="F26" s="4">
        <v>1000</v>
      </c>
      <c r="G26" s="5">
        <v>107.41160000000001</v>
      </c>
      <c r="H26" s="5">
        <v>17.420000000000002</v>
      </c>
      <c r="I26" s="5">
        <v>1671</v>
      </c>
      <c r="J26" s="4" t="s">
        <v>124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127</v>
      </c>
      <c r="E27" s="4" t="s">
        <v>137</v>
      </c>
      <c r="F27" s="4">
        <v>1454.37</v>
      </c>
      <c r="G27" s="5"/>
      <c r="H27" s="5"/>
      <c r="I27" s="5"/>
      <c r="J27" s="4" t="s">
        <v>129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122</v>
      </c>
      <c r="E28" s="4" t="s">
        <v>137</v>
      </c>
      <c r="F28" s="4">
        <v>99.99</v>
      </c>
      <c r="G28" s="5">
        <v>100.3108</v>
      </c>
      <c r="H28" s="5">
        <v>10.51</v>
      </c>
      <c r="I28" s="5">
        <v>628</v>
      </c>
      <c r="J28" s="4" t="s">
        <v>124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122</v>
      </c>
      <c r="E29" s="4" t="s">
        <v>137</v>
      </c>
      <c r="F29" s="4">
        <v>999.5440000000001</v>
      </c>
      <c r="G29" s="5">
        <v>100.59610000000001</v>
      </c>
      <c r="H29" s="5">
        <v>21.05</v>
      </c>
      <c r="I29" s="5">
        <v>324</v>
      </c>
      <c r="J29" s="4" t="s">
        <v>124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122</v>
      </c>
      <c r="E30" s="4" t="s">
        <v>137</v>
      </c>
      <c r="F30" s="4">
        <v>999.98900000000003</v>
      </c>
      <c r="G30" s="5">
        <v>101.22110000000001</v>
      </c>
      <c r="H30" s="5">
        <v>22</v>
      </c>
      <c r="I30" s="5">
        <v>649</v>
      </c>
      <c r="J30" s="4" t="s">
        <v>124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122</v>
      </c>
      <c r="E31" s="4" t="s">
        <v>137</v>
      </c>
      <c r="F31" s="4">
        <v>84.996499999999997</v>
      </c>
      <c r="G31" s="5">
        <v>89.640900000000002</v>
      </c>
      <c r="H31" s="5">
        <v>28.02</v>
      </c>
      <c r="I31" s="5">
        <v>395</v>
      </c>
      <c r="J31" s="4" t="s">
        <v>124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122</v>
      </c>
      <c r="E32" s="4" t="s">
        <v>137</v>
      </c>
      <c r="F32" s="4">
        <v>765</v>
      </c>
      <c r="G32" s="5">
        <v>76.850000000000009</v>
      </c>
      <c r="H32" s="5">
        <v>46.37</v>
      </c>
      <c r="I32" s="5">
        <v>451</v>
      </c>
      <c r="J32" s="4" t="s">
        <v>124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122</v>
      </c>
      <c r="E33" s="4" t="s">
        <v>137</v>
      </c>
      <c r="F33" s="4">
        <v>975.59500000000003</v>
      </c>
      <c r="G33" s="5">
        <v>98.501300000000001</v>
      </c>
      <c r="H33" s="5">
        <v>22.35</v>
      </c>
      <c r="I33" s="5">
        <v>1050</v>
      </c>
      <c r="J33" s="4" t="s">
        <v>124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122</v>
      </c>
      <c r="E34" s="4" t="s">
        <v>137</v>
      </c>
      <c r="F34" s="4">
        <v>889.52700000000004</v>
      </c>
      <c r="G34" s="5">
        <v>89.013800000000003</v>
      </c>
      <c r="H34" s="5">
        <v>29.63</v>
      </c>
      <c r="I34" s="5">
        <v>699</v>
      </c>
      <c r="J34" s="4" t="s">
        <v>124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122</v>
      </c>
      <c r="E35" s="4" t="s">
        <v>137</v>
      </c>
      <c r="F35" s="4">
        <v>962.37600000000009</v>
      </c>
      <c r="G35" s="5">
        <v>97.029300000000006</v>
      </c>
      <c r="H35" s="5">
        <v>22.58</v>
      </c>
      <c r="I35" s="5">
        <v>442</v>
      </c>
      <c r="J35" s="4" t="s">
        <v>124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122</v>
      </c>
      <c r="E36" s="4" t="s">
        <v>137</v>
      </c>
      <c r="F36" s="4">
        <v>979.2890000000001</v>
      </c>
      <c r="G36" s="5">
        <v>98.351100000000002</v>
      </c>
      <c r="H36" s="5">
        <v>20.07</v>
      </c>
      <c r="I36" s="5">
        <v>906</v>
      </c>
      <c r="J36" s="4" t="s">
        <v>124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122</v>
      </c>
      <c r="E37" s="4" t="s">
        <v>137</v>
      </c>
      <c r="F37" s="4">
        <v>776.01</v>
      </c>
      <c r="G37" s="5">
        <v>78.592700000000008</v>
      </c>
      <c r="H37" s="5">
        <v>156.80000000000001</v>
      </c>
      <c r="I37" s="5">
        <v>75</v>
      </c>
      <c r="J37" s="4" t="s">
        <v>124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122</v>
      </c>
      <c r="E38" s="4" t="s">
        <v>137</v>
      </c>
      <c r="F38" s="4">
        <v>1013.721</v>
      </c>
      <c r="G38" s="5">
        <v>102.77210000000001</v>
      </c>
      <c r="H38" s="5">
        <v>20.32</v>
      </c>
      <c r="I38" s="5">
        <v>950</v>
      </c>
      <c r="J38" s="4" t="s">
        <v>124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122</v>
      </c>
      <c r="E39" s="4" t="s">
        <v>137</v>
      </c>
      <c r="F39" s="4">
        <v>1009.091</v>
      </c>
      <c r="G39" s="5">
        <v>104.53830000000001</v>
      </c>
      <c r="H39" s="5">
        <v>18.82</v>
      </c>
      <c r="I39" s="5">
        <v>662</v>
      </c>
      <c r="J39" s="4" t="s">
        <v>124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122</v>
      </c>
      <c r="E40" s="4" t="s">
        <v>137</v>
      </c>
      <c r="F40" s="4">
        <v>99.537100000000009</v>
      </c>
      <c r="G40" s="5">
        <v>100.03710000000001</v>
      </c>
      <c r="H40" s="5">
        <v>10.31</v>
      </c>
      <c r="I40" s="5">
        <v>590</v>
      </c>
      <c r="J40" s="4" t="s">
        <v>124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122</v>
      </c>
      <c r="E41" s="4" t="s">
        <v>137</v>
      </c>
      <c r="F41" s="4">
        <v>1000</v>
      </c>
      <c r="G41" s="5">
        <v>100.31960000000001</v>
      </c>
      <c r="H41" s="5">
        <v>16.66</v>
      </c>
      <c r="I41" s="5">
        <v>1455</v>
      </c>
      <c r="J41" s="4" t="s">
        <v>124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122</v>
      </c>
      <c r="E42" s="4" t="s">
        <v>137</v>
      </c>
      <c r="F42" s="4">
        <v>998.48500000000001</v>
      </c>
      <c r="G42" s="5">
        <v>101.11320000000001</v>
      </c>
      <c r="H42" s="5">
        <v>21.77</v>
      </c>
      <c r="I42" s="5">
        <v>740</v>
      </c>
      <c r="J42" s="4" t="s">
        <v>124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122</v>
      </c>
      <c r="E43" s="4" t="s">
        <v>137</v>
      </c>
      <c r="F43" s="4">
        <v>993.94900000000007</v>
      </c>
      <c r="G43" s="5">
        <v>99.950500000000005</v>
      </c>
      <c r="H43" s="5">
        <v>20.91</v>
      </c>
      <c r="I43" s="5">
        <v>264</v>
      </c>
      <c r="J43" s="4" t="s">
        <v>124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122</v>
      </c>
      <c r="E44" s="4" t="s">
        <v>137</v>
      </c>
      <c r="F44" s="4">
        <v>76.05</v>
      </c>
      <c r="G44" s="5">
        <v>76.55</v>
      </c>
      <c r="H44" s="5">
        <v>65.72</v>
      </c>
      <c r="I44" s="5">
        <v>200</v>
      </c>
      <c r="J44" s="4" t="s">
        <v>124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122</v>
      </c>
      <c r="E45" s="4" t="s">
        <v>137</v>
      </c>
      <c r="F45" s="4">
        <v>1029.1100000000001</v>
      </c>
      <c r="G45" s="5">
        <v>103.286</v>
      </c>
      <c r="H45" s="5">
        <v>21.06</v>
      </c>
      <c r="I45" s="5">
        <v>969</v>
      </c>
      <c r="J45" s="4" t="s">
        <v>124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122</v>
      </c>
      <c r="E46" s="4" t="s">
        <v>137</v>
      </c>
      <c r="F46" s="4">
        <v>974.38900000000001</v>
      </c>
      <c r="G46" s="5">
        <v>97.905600000000007</v>
      </c>
      <c r="H46" s="5">
        <v>22.29</v>
      </c>
      <c r="I46" s="5">
        <v>966</v>
      </c>
      <c r="J46" s="4" t="s">
        <v>124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122</v>
      </c>
      <c r="E47" s="4" t="s">
        <v>137</v>
      </c>
      <c r="F47" s="4">
        <v>1021.6610000000001</v>
      </c>
      <c r="G47" s="5">
        <v>103.02170000000001</v>
      </c>
      <c r="H47" s="5">
        <v>20.65</v>
      </c>
      <c r="I47" s="5">
        <v>716</v>
      </c>
      <c r="J47" s="4" t="s">
        <v>124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122</v>
      </c>
      <c r="E48" s="4" t="s">
        <v>137</v>
      </c>
      <c r="F48" s="4">
        <v>983.79499999999996</v>
      </c>
      <c r="G48" s="5">
        <v>98.712800000000001</v>
      </c>
      <c r="H48" s="5">
        <v>21.01</v>
      </c>
      <c r="I48" s="5">
        <v>725</v>
      </c>
      <c r="J48" s="4" t="s">
        <v>124</v>
      </c>
    </row>
    <row r="49" spans="1:10" x14ac:dyDescent="0.25">
      <c r="A49" s="4">
        <f t="shared" ca="1" si="1"/>
        <v>46</v>
      </c>
      <c r="B49" s="4" t="s">
        <v>219</v>
      </c>
      <c r="C49" s="4" t="s">
        <v>220</v>
      </c>
      <c r="D49" s="4" t="s">
        <v>122</v>
      </c>
      <c r="E49" s="4" t="s">
        <v>137</v>
      </c>
      <c r="F49" s="4">
        <v>99.989900000000006</v>
      </c>
      <c r="G49" s="5">
        <v>100.5232</v>
      </c>
      <c r="H49" s="5">
        <v>12.01</v>
      </c>
      <c r="I49" s="5">
        <v>684</v>
      </c>
      <c r="J49" s="4" t="s">
        <v>124</v>
      </c>
    </row>
    <row r="50" spans="1:10" x14ac:dyDescent="0.25">
      <c r="A50" s="4">
        <f t="shared" ca="1" si="1"/>
        <v>47</v>
      </c>
      <c r="B50" s="4" t="s">
        <v>221</v>
      </c>
      <c r="C50" s="4" t="s">
        <v>222</v>
      </c>
      <c r="D50" s="4" t="s">
        <v>122</v>
      </c>
      <c r="E50" s="4" t="s">
        <v>137</v>
      </c>
      <c r="F50" s="4">
        <v>988.15899999999999</v>
      </c>
      <c r="G50" s="5">
        <v>102.80200000000001</v>
      </c>
      <c r="H50" s="5">
        <v>18.5</v>
      </c>
      <c r="I50" s="5">
        <v>466</v>
      </c>
      <c r="J50" s="4" t="s">
        <v>124</v>
      </c>
    </row>
    <row r="51" spans="1:10" x14ac:dyDescent="0.25">
      <c r="A51" s="4">
        <f t="shared" ca="1" si="1"/>
        <v>48</v>
      </c>
      <c r="B51" s="4" t="s">
        <v>223</v>
      </c>
      <c r="C51" s="4" t="s">
        <v>224</v>
      </c>
      <c r="D51" s="4" t="s">
        <v>122</v>
      </c>
      <c r="E51" s="4" t="s">
        <v>137</v>
      </c>
      <c r="F51" s="4">
        <v>78.035000000000011</v>
      </c>
      <c r="G51" s="5">
        <v>80.835000000000008</v>
      </c>
      <c r="H51" s="5">
        <v>34.06</v>
      </c>
      <c r="I51" s="5">
        <v>464</v>
      </c>
      <c r="J51" s="4" t="s">
        <v>124</v>
      </c>
    </row>
    <row r="52" spans="1:10" x14ac:dyDescent="0.25">
      <c r="A52" s="4">
        <f t="shared" ca="1" si="1"/>
        <v>49</v>
      </c>
      <c r="B52" s="4" t="s">
        <v>225</v>
      </c>
      <c r="C52" s="4" t="s">
        <v>226</v>
      </c>
      <c r="D52" s="4" t="s">
        <v>122</v>
      </c>
      <c r="E52" s="4" t="s">
        <v>137</v>
      </c>
      <c r="F52" s="4">
        <v>972.78100000000006</v>
      </c>
      <c r="G52" s="5">
        <v>97.861400000000003</v>
      </c>
      <c r="H52" s="5">
        <v>22.29</v>
      </c>
      <c r="I52" s="5">
        <v>1056</v>
      </c>
      <c r="J52" s="4" t="s">
        <v>124</v>
      </c>
    </row>
    <row r="53" spans="1:10" x14ac:dyDescent="0.25">
      <c r="A53" s="4">
        <f t="shared" ca="1" si="1"/>
        <v>50</v>
      </c>
      <c r="B53" s="4" t="s">
        <v>227</v>
      </c>
      <c r="C53" s="4" t="s">
        <v>228</v>
      </c>
      <c r="D53" s="4" t="s">
        <v>127</v>
      </c>
      <c r="E53" s="4" t="s">
        <v>229</v>
      </c>
      <c r="F53" s="4">
        <v>40887.620000000003</v>
      </c>
      <c r="G53" s="5"/>
      <c r="H53" s="5"/>
      <c r="I53" s="5"/>
      <c r="J53" s="4" t="s">
        <v>129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127</v>
      </c>
      <c r="E54" s="4" t="s">
        <v>229</v>
      </c>
      <c r="F54" s="4">
        <v>33310.590000000004</v>
      </c>
      <c r="G54" s="5"/>
      <c r="H54" s="5"/>
      <c r="I54" s="5"/>
      <c r="J54" s="4" t="s">
        <v>129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122</v>
      </c>
      <c r="E55" s="4" t="s">
        <v>234</v>
      </c>
      <c r="F55" s="4">
        <v>34087.4</v>
      </c>
      <c r="G55" s="5">
        <v>3408.7370000000001</v>
      </c>
      <c r="H55" s="5"/>
      <c r="I55" s="5">
        <v>233</v>
      </c>
      <c r="J55" s="4" t="s">
        <v>124</v>
      </c>
    </row>
    <row r="56" spans="1:10" x14ac:dyDescent="0.25">
      <c r="A56" s="4">
        <f t="shared" ca="1" si="1"/>
        <v>53</v>
      </c>
      <c r="B56" s="4" t="s">
        <v>235</v>
      </c>
      <c r="C56" s="4" t="s">
        <v>236</v>
      </c>
      <c r="D56" s="4" t="s">
        <v>127</v>
      </c>
      <c r="E56" s="4" t="s">
        <v>237</v>
      </c>
      <c r="F56" s="4">
        <v>20034.87</v>
      </c>
      <c r="G56" s="5"/>
      <c r="H56" s="5"/>
      <c r="I56" s="5"/>
      <c r="J56" s="4" t="s">
        <v>129</v>
      </c>
    </row>
    <row r="57" spans="1:10" x14ac:dyDescent="0.25">
      <c r="A57" s="4">
        <f t="shared" ca="1" si="1"/>
        <v>54</v>
      </c>
      <c r="B57" s="4" t="s">
        <v>238</v>
      </c>
      <c r="C57" s="4" t="s">
        <v>239</v>
      </c>
      <c r="D57" s="4" t="s">
        <v>122</v>
      </c>
      <c r="E57" s="4" t="s">
        <v>237</v>
      </c>
      <c r="F57" s="4">
        <v>1.0154559999999999</v>
      </c>
      <c r="G57" s="5">
        <v>103.0685</v>
      </c>
      <c r="H57" s="5">
        <v>5</v>
      </c>
      <c r="I57" s="5">
        <v>1723</v>
      </c>
      <c r="J57" s="4" t="s">
        <v>124</v>
      </c>
    </row>
    <row r="58" spans="1:10" x14ac:dyDescent="0.25">
      <c r="A58" s="4">
        <f t="shared" ca="1" si="1"/>
        <v>55</v>
      </c>
      <c r="B58" s="4" t="s">
        <v>240</v>
      </c>
      <c r="C58" s="4" t="s">
        <v>241</v>
      </c>
      <c r="D58" s="4" t="s">
        <v>122</v>
      </c>
      <c r="E58" s="4" t="s">
        <v>237</v>
      </c>
      <c r="F58" s="4">
        <v>936.37400000000002</v>
      </c>
      <c r="G58" s="5">
        <v>95.443700000000007</v>
      </c>
      <c r="H58" s="5">
        <v>6.93</v>
      </c>
      <c r="I58" s="5">
        <v>8481</v>
      </c>
      <c r="J58" s="4" t="s">
        <v>124</v>
      </c>
    </row>
    <row r="59" spans="1:10" x14ac:dyDescent="0.25">
      <c r="A59" s="4">
        <f t="shared" ca="1" si="1"/>
        <v>56</v>
      </c>
      <c r="B59" s="4" t="s">
        <v>242</v>
      </c>
      <c r="C59" s="4" t="s">
        <v>243</v>
      </c>
      <c r="D59" s="4" t="s">
        <v>127</v>
      </c>
      <c r="E59" s="4" t="s">
        <v>244</v>
      </c>
      <c r="F59" s="4">
        <v>3400.97</v>
      </c>
      <c r="G59" s="5"/>
      <c r="H59" s="5"/>
      <c r="I59" s="5"/>
      <c r="J59" s="4" t="s">
        <v>129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122</v>
      </c>
      <c r="E60" s="4" t="s">
        <v>247</v>
      </c>
      <c r="F60" s="4">
        <v>0.96578699999999995</v>
      </c>
      <c r="G60" s="5">
        <v>97.123100000000008</v>
      </c>
      <c r="H60" s="5">
        <v>4.9000000000000004</v>
      </c>
      <c r="I60" s="5">
        <v>449</v>
      </c>
      <c r="J60" s="4" t="s">
        <v>124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127</v>
      </c>
      <c r="E61" s="4" t="s">
        <v>250</v>
      </c>
      <c r="F61" s="4">
        <v>5430.25</v>
      </c>
      <c r="G61" s="5"/>
      <c r="H61" s="5"/>
      <c r="I61" s="5"/>
      <c r="J61" s="4" t="s">
        <v>129</v>
      </c>
    </row>
    <row r="62" spans="1:10" x14ac:dyDescent="0.25">
      <c r="A62" s="4">
        <f t="shared" ca="1" si="1"/>
        <v>59</v>
      </c>
      <c r="B62" s="4" t="s">
        <v>251</v>
      </c>
      <c r="C62" s="4" t="s">
        <v>252</v>
      </c>
      <c r="D62" s="4" t="s">
        <v>127</v>
      </c>
      <c r="E62" s="4" t="s">
        <v>250</v>
      </c>
      <c r="F62" s="4">
        <v>3700.59</v>
      </c>
      <c r="G62" s="5"/>
      <c r="H62" s="5"/>
      <c r="I62" s="5"/>
      <c r="J62" s="4" t="s">
        <v>129</v>
      </c>
    </row>
    <row r="63" spans="1:10" x14ac:dyDescent="0.25">
      <c r="A63" s="4">
        <f t="shared" ca="1" si="1"/>
        <v>60</v>
      </c>
      <c r="B63" s="4" t="s">
        <v>253</v>
      </c>
      <c r="C63" s="4" t="s">
        <v>254</v>
      </c>
      <c r="D63" s="4" t="s">
        <v>122</v>
      </c>
      <c r="E63" s="4" t="s">
        <v>255</v>
      </c>
      <c r="F63" s="4">
        <v>997.60400000000004</v>
      </c>
      <c r="G63" s="5">
        <v>107.77670000000001</v>
      </c>
      <c r="H63" s="5">
        <v>18.25</v>
      </c>
      <c r="I63" s="5">
        <v>936</v>
      </c>
      <c r="J63" s="4" t="s">
        <v>124</v>
      </c>
    </row>
    <row r="64" spans="1:10" x14ac:dyDescent="0.25">
      <c r="A64" s="4">
        <f t="shared" ca="1" si="1"/>
        <v>61</v>
      </c>
      <c r="B64" s="4" t="s">
        <v>256</v>
      </c>
      <c r="C64" s="4" t="s">
        <v>257</v>
      </c>
      <c r="D64" s="4" t="s">
        <v>122</v>
      </c>
      <c r="E64" s="4" t="s">
        <v>255</v>
      </c>
      <c r="F64" s="4">
        <v>100.02260000000001</v>
      </c>
      <c r="G64" s="5">
        <v>100.9115</v>
      </c>
      <c r="H64" s="5">
        <v>7.99</v>
      </c>
      <c r="I64" s="5">
        <v>873</v>
      </c>
      <c r="J64" s="4" t="s">
        <v>124</v>
      </c>
    </row>
    <row r="65" spans="1:10" x14ac:dyDescent="0.25">
      <c r="A65" s="4">
        <f t="shared" ca="1" si="1"/>
        <v>62</v>
      </c>
      <c r="B65" s="4" t="s">
        <v>258</v>
      </c>
      <c r="C65" s="4" t="s">
        <v>259</v>
      </c>
      <c r="D65" s="4" t="s">
        <v>122</v>
      </c>
      <c r="E65" s="4" t="s">
        <v>66</v>
      </c>
      <c r="F65" s="4">
        <v>1000</v>
      </c>
      <c r="G65" s="5">
        <v>107.0788</v>
      </c>
      <c r="H65" s="5">
        <v>11.74</v>
      </c>
      <c r="I65" s="5">
        <v>1243</v>
      </c>
      <c r="J65" s="4" t="s">
        <v>124</v>
      </c>
    </row>
    <row r="66" spans="1:10" x14ac:dyDescent="0.25">
      <c r="A66" s="4">
        <f t="shared" ca="1" si="1"/>
        <v>63</v>
      </c>
      <c r="B66" s="4" t="s">
        <v>260</v>
      </c>
      <c r="C66" s="4" t="s">
        <v>261</v>
      </c>
      <c r="D66" s="4" t="s">
        <v>122</v>
      </c>
      <c r="E66" s="4" t="s">
        <v>66</v>
      </c>
      <c r="F66" s="4">
        <v>1000</v>
      </c>
      <c r="G66" s="5">
        <v>111.10980000000001</v>
      </c>
      <c r="H66" s="5">
        <v>11.79</v>
      </c>
      <c r="I66" s="5">
        <v>1483</v>
      </c>
      <c r="J66" s="4" t="s">
        <v>124</v>
      </c>
    </row>
    <row r="67" spans="1:10" x14ac:dyDescent="0.25">
      <c r="A67" s="4">
        <f t="shared" ca="1" si="1"/>
        <v>64</v>
      </c>
      <c r="B67" s="4" t="s">
        <v>262</v>
      </c>
      <c r="C67" s="4" t="s">
        <v>263</v>
      </c>
      <c r="D67" s="4" t="s">
        <v>122</v>
      </c>
      <c r="E67" s="4" t="s">
        <v>66</v>
      </c>
      <c r="F67" s="4">
        <v>983.14200000000005</v>
      </c>
      <c r="G67" s="5">
        <v>102.64880000000001</v>
      </c>
      <c r="H67" s="5">
        <v>16.420000000000002</v>
      </c>
      <c r="I67" s="5">
        <v>59</v>
      </c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264</v>
      </c>
      <c r="C68" s="4" t="s">
        <v>265</v>
      </c>
      <c r="D68" s="4" t="s">
        <v>122</v>
      </c>
      <c r="E68" s="4" t="s">
        <v>66</v>
      </c>
      <c r="F68" s="4">
        <v>1000</v>
      </c>
      <c r="G68" s="5">
        <v>102.22850000000001</v>
      </c>
      <c r="H68" s="5">
        <v>11.66</v>
      </c>
      <c r="I68" s="5">
        <v>296</v>
      </c>
      <c r="J68" s="4" t="s">
        <v>124</v>
      </c>
    </row>
    <row r="69" spans="1:10" x14ac:dyDescent="0.25">
      <c r="A69" s="4">
        <f t="shared" ca="1" si="2"/>
        <v>66</v>
      </c>
      <c r="B69" s="4" t="s">
        <v>266</v>
      </c>
      <c r="C69" s="4" t="s">
        <v>267</v>
      </c>
      <c r="D69" s="4" t="s">
        <v>122</v>
      </c>
      <c r="E69" s="4" t="s">
        <v>66</v>
      </c>
      <c r="F69" s="4">
        <v>1000</v>
      </c>
      <c r="G69" s="5">
        <v>100.1966</v>
      </c>
      <c r="H69" s="5">
        <v>11.79</v>
      </c>
      <c r="I69" s="5">
        <v>359</v>
      </c>
      <c r="J69" s="4" t="s">
        <v>124</v>
      </c>
    </row>
    <row r="70" spans="1:10" x14ac:dyDescent="0.25">
      <c r="A70" s="4">
        <f t="shared" ca="1" si="2"/>
        <v>67</v>
      </c>
      <c r="B70" s="4" t="s">
        <v>268</v>
      </c>
      <c r="C70" s="4" t="s">
        <v>269</v>
      </c>
      <c r="D70" s="4" t="s">
        <v>122</v>
      </c>
      <c r="E70" s="4" t="s">
        <v>66</v>
      </c>
      <c r="F70" s="4">
        <v>1000</v>
      </c>
      <c r="G70" s="5">
        <v>103.1789</v>
      </c>
      <c r="H70" s="5">
        <v>11.71</v>
      </c>
      <c r="I70" s="5">
        <v>632</v>
      </c>
      <c r="J70" s="4" t="s">
        <v>124</v>
      </c>
    </row>
    <row r="71" spans="1:10" x14ac:dyDescent="0.25">
      <c r="A71" s="4">
        <f t="shared" ca="1" si="2"/>
        <v>68</v>
      </c>
      <c r="B71" s="4" t="s">
        <v>270</v>
      </c>
      <c r="C71" s="4" t="s">
        <v>271</v>
      </c>
      <c r="D71" s="4" t="s">
        <v>122</v>
      </c>
      <c r="E71" s="4" t="s">
        <v>66</v>
      </c>
      <c r="F71" s="4">
        <v>1000</v>
      </c>
      <c r="G71" s="5">
        <v>101.21260000000001</v>
      </c>
      <c r="H71" s="5">
        <v>11.76</v>
      </c>
      <c r="I71" s="5">
        <v>693</v>
      </c>
      <c r="J71" s="4" t="s">
        <v>124</v>
      </c>
    </row>
    <row r="72" spans="1:10" x14ac:dyDescent="0.25">
      <c r="A72" s="4">
        <f t="shared" ca="1" si="2"/>
        <v>69</v>
      </c>
      <c r="B72" s="4" t="s">
        <v>272</v>
      </c>
      <c r="C72" s="4" t="s">
        <v>273</v>
      </c>
      <c r="D72" s="4" t="s">
        <v>122</v>
      </c>
      <c r="E72" s="4" t="s">
        <v>66</v>
      </c>
      <c r="F72" s="4">
        <v>1000</v>
      </c>
      <c r="G72" s="5">
        <v>108.1931</v>
      </c>
      <c r="H72" s="5">
        <v>11.73</v>
      </c>
      <c r="I72" s="5">
        <v>843</v>
      </c>
      <c r="J72" s="4" t="s">
        <v>124</v>
      </c>
    </row>
    <row r="73" spans="1:10" x14ac:dyDescent="0.25">
      <c r="A73" s="4">
        <f t="shared" ca="1" si="2"/>
        <v>70</v>
      </c>
      <c r="B73" s="4" t="s">
        <v>274</v>
      </c>
      <c r="C73" s="4" t="s">
        <v>275</v>
      </c>
      <c r="D73" s="4" t="s">
        <v>122</v>
      </c>
      <c r="E73" s="4" t="s">
        <v>66</v>
      </c>
      <c r="F73" s="4">
        <v>1000</v>
      </c>
      <c r="G73" s="5">
        <v>111.10980000000001</v>
      </c>
      <c r="H73" s="5">
        <v>11.78</v>
      </c>
      <c r="I73" s="5">
        <v>1118</v>
      </c>
      <c r="J73" s="4" t="s">
        <v>124</v>
      </c>
    </row>
    <row r="74" spans="1:10" x14ac:dyDescent="0.25">
      <c r="A74" s="4">
        <f t="shared" ca="1" si="2"/>
        <v>71</v>
      </c>
      <c r="B74" s="4" t="s">
        <v>276</v>
      </c>
      <c r="C74" s="4" t="s">
        <v>277</v>
      </c>
      <c r="D74" s="4" t="s">
        <v>122</v>
      </c>
      <c r="E74" s="4" t="s">
        <v>66</v>
      </c>
      <c r="F74" s="4">
        <v>1000</v>
      </c>
      <c r="G74" s="5">
        <v>109.0779</v>
      </c>
      <c r="H74" s="5">
        <v>11.28</v>
      </c>
      <c r="I74" s="5">
        <v>85</v>
      </c>
      <c r="J74" s="4" t="s">
        <v>124</v>
      </c>
    </row>
    <row r="75" spans="1:10" x14ac:dyDescent="0.25">
      <c r="A75" s="4">
        <f t="shared" ca="1" si="2"/>
        <v>72</v>
      </c>
      <c r="B75" s="4" t="s">
        <v>278</v>
      </c>
      <c r="C75" s="4" t="s">
        <v>279</v>
      </c>
      <c r="D75" s="4" t="s">
        <v>122</v>
      </c>
      <c r="E75" s="4" t="s">
        <v>66</v>
      </c>
      <c r="F75" s="4">
        <v>1000</v>
      </c>
      <c r="G75" s="5">
        <v>106.16120000000001</v>
      </c>
      <c r="H75" s="5">
        <v>11.75</v>
      </c>
      <c r="I75" s="5">
        <v>1637</v>
      </c>
      <c r="J75" s="4" t="s">
        <v>124</v>
      </c>
    </row>
    <row r="76" spans="1:10" x14ac:dyDescent="0.25">
      <c r="A76" s="4">
        <f t="shared" ca="1" si="2"/>
        <v>73</v>
      </c>
      <c r="B76" s="4" t="s">
        <v>280</v>
      </c>
      <c r="C76" s="4" t="s">
        <v>281</v>
      </c>
      <c r="D76" s="4" t="s">
        <v>122</v>
      </c>
      <c r="E76" s="4" t="s">
        <v>66</v>
      </c>
      <c r="F76" s="4">
        <v>969.51800000000003</v>
      </c>
      <c r="G76" s="5">
        <v>100.5629</v>
      </c>
      <c r="H76" s="5">
        <v>16.82</v>
      </c>
      <c r="I76" s="5">
        <v>103</v>
      </c>
      <c r="J76" s="4" t="s">
        <v>124</v>
      </c>
    </row>
    <row r="77" spans="1:10" x14ac:dyDescent="0.25">
      <c r="A77" s="4">
        <f t="shared" ca="1" si="2"/>
        <v>74</v>
      </c>
      <c r="B77" s="4" t="s">
        <v>282</v>
      </c>
      <c r="C77" s="4" t="s">
        <v>283</v>
      </c>
      <c r="D77" s="4" t="s">
        <v>122</v>
      </c>
      <c r="E77" s="4" t="s">
        <v>66</v>
      </c>
      <c r="F77" s="4">
        <v>869.24300000000005</v>
      </c>
      <c r="G77" s="5">
        <v>90.438200000000009</v>
      </c>
      <c r="H77" s="5">
        <v>16.990000000000002</v>
      </c>
      <c r="I77" s="5">
        <v>475</v>
      </c>
      <c r="J77" s="4" t="s">
        <v>124</v>
      </c>
    </row>
    <row r="78" spans="1:10" x14ac:dyDescent="0.25">
      <c r="A78" s="4">
        <f t="shared" ca="1" si="2"/>
        <v>75</v>
      </c>
      <c r="B78" s="4" t="s">
        <v>284</v>
      </c>
      <c r="C78" s="4" t="s">
        <v>285</v>
      </c>
      <c r="D78" s="4" t="s">
        <v>122</v>
      </c>
      <c r="E78" s="4" t="s">
        <v>66</v>
      </c>
      <c r="F78" s="4">
        <v>1000</v>
      </c>
      <c r="G78" s="5">
        <v>101.21260000000001</v>
      </c>
      <c r="H78" s="5">
        <v>11.78</v>
      </c>
      <c r="I78" s="5">
        <v>1424</v>
      </c>
      <c r="J78" s="4" t="s">
        <v>124</v>
      </c>
    </row>
    <row r="79" spans="1:10" x14ac:dyDescent="0.25">
      <c r="A79" s="4">
        <f t="shared" ca="1" si="2"/>
        <v>76</v>
      </c>
      <c r="B79" s="4" t="s">
        <v>286</v>
      </c>
      <c r="C79" s="4" t="s">
        <v>287</v>
      </c>
      <c r="D79" s="4" t="s">
        <v>122</v>
      </c>
      <c r="E79" s="4" t="s">
        <v>66</v>
      </c>
      <c r="F79" s="4">
        <v>1000</v>
      </c>
      <c r="G79" s="5">
        <v>109.11070000000001</v>
      </c>
      <c r="H79" s="5">
        <v>11.27</v>
      </c>
      <c r="I79" s="5">
        <v>84</v>
      </c>
      <c r="J79" s="4" t="s">
        <v>124</v>
      </c>
    </row>
    <row r="80" spans="1:10" x14ac:dyDescent="0.25">
      <c r="A80" s="4">
        <f t="shared" ca="1" si="2"/>
        <v>77</v>
      </c>
      <c r="B80" s="4" t="s">
        <v>288</v>
      </c>
      <c r="C80" s="4" t="s">
        <v>289</v>
      </c>
      <c r="D80" s="4" t="s">
        <v>122</v>
      </c>
      <c r="E80" s="4" t="s">
        <v>66</v>
      </c>
      <c r="F80" s="4">
        <v>997.78399999999999</v>
      </c>
      <c r="G80" s="5">
        <v>106.0184</v>
      </c>
      <c r="H80" s="5">
        <v>15.46</v>
      </c>
      <c r="I80" s="5">
        <v>10</v>
      </c>
      <c r="J80" s="4" t="s">
        <v>124</v>
      </c>
    </row>
    <row r="81" spans="1:10" x14ac:dyDescent="0.25">
      <c r="A81" s="4">
        <f t="shared" ca="1" si="2"/>
        <v>78</v>
      </c>
      <c r="B81" s="4" t="s">
        <v>290</v>
      </c>
      <c r="C81" s="4" t="s">
        <v>108</v>
      </c>
      <c r="D81" s="4" t="s">
        <v>122</v>
      </c>
      <c r="E81" s="4" t="s">
        <v>66</v>
      </c>
      <c r="F81" s="4">
        <v>846.87700000000007</v>
      </c>
      <c r="G81" s="5">
        <v>86.655000000000001</v>
      </c>
      <c r="H81" s="5">
        <v>16.86</v>
      </c>
      <c r="I81" s="5">
        <v>599</v>
      </c>
      <c r="J81" s="4" t="s">
        <v>124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122</v>
      </c>
      <c r="E82" s="4" t="s">
        <v>66</v>
      </c>
      <c r="F82" s="4">
        <v>810.66</v>
      </c>
      <c r="G82" s="5">
        <v>85.915500000000009</v>
      </c>
      <c r="H82" s="5">
        <v>16.82</v>
      </c>
      <c r="I82" s="5">
        <v>774</v>
      </c>
      <c r="J82" s="4" t="s">
        <v>124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122</v>
      </c>
      <c r="E83" s="4" t="s">
        <v>66</v>
      </c>
      <c r="F83" s="4">
        <v>820.64100000000008</v>
      </c>
      <c r="G83" s="5">
        <v>87.155799999999999</v>
      </c>
      <c r="H83" s="5">
        <v>16.8</v>
      </c>
      <c r="I83" s="5">
        <v>810</v>
      </c>
      <c r="J83" s="4" t="s">
        <v>124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122</v>
      </c>
      <c r="E84" s="4" t="s">
        <v>66</v>
      </c>
      <c r="F84" s="4">
        <v>1000</v>
      </c>
      <c r="G84" s="5">
        <v>100.2294</v>
      </c>
      <c r="H84" s="5">
        <v>11.79</v>
      </c>
      <c r="I84" s="5">
        <v>723</v>
      </c>
      <c r="J84" s="4" t="s">
        <v>124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122</v>
      </c>
      <c r="E85" s="4" t="s">
        <v>66</v>
      </c>
      <c r="F85" s="4">
        <v>1000</v>
      </c>
      <c r="G85" s="5">
        <v>108.16030000000001</v>
      </c>
      <c r="H85" s="5">
        <v>11.33</v>
      </c>
      <c r="I85" s="5">
        <v>114</v>
      </c>
      <c r="J85" s="4" t="s">
        <v>124</v>
      </c>
    </row>
    <row r="86" spans="1:10" x14ac:dyDescent="0.25">
      <c r="A86" s="4">
        <f t="shared" ca="1" si="2"/>
        <v>83</v>
      </c>
      <c r="B86" s="4" t="s">
        <v>299</v>
      </c>
      <c r="C86" s="4" t="s">
        <v>300</v>
      </c>
      <c r="D86" s="4" t="s">
        <v>122</v>
      </c>
      <c r="E86" s="4" t="s">
        <v>66</v>
      </c>
      <c r="F86" s="4">
        <v>1000</v>
      </c>
      <c r="G86" s="5">
        <v>105.34960000000001</v>
      </c>
      <c r="H86" s="5">
        <v>11.84</v>
      </c>
      <c r="I86" s="5">
        <v>1664</v>
      </c>
      <c r="J86" s="4" t="s">
        <v>124</v>
      </c>
    </row>
    <row r="87" spans="1:10" x14ac:dyDescent="0.25">
      <c r="A87" s="4">
        <f t="shared" ca="1" si="2"/>
        <v>84</v>
      </c>
      <c r="B87" s="4" t="s">
        <v>301</v>
      </c>
      <c r="C87" s="4" t="s">
        <v>110</v>
      </c>
      <c r="D87" s="4" t="s">
        <v>122</v>
      </c>
      <c r="E87" s="4" t="s">
        <v>66</v>
      </c>
      <c r="F87" s="4">
        <v>618.73200000000008</v>
      </c>
      <c r="G87" s="5">
        <v>63.7562</v>
      </c>
      <c r="H87" s="5">
        <v>16.600000000000001</v>
      </c>
      <c r="I87" s="5">
        <v>3202</v>
      </c>
      <c r="J87" s="4" t="s">
        <v>124</v>
      </c>
    </row>
    <row r="88" spans="1:10" x14ac:dyDescent="0.25">
      <c r="A88" s="4">
        <f t="shared" ca="1" si="2"/>
        <v>85</v>
      </c>
      <c r="B88" s="4" t="s">
        <v>302</v>
      </c>
      <c r="C88" s="4" t="s">
        <v>67</v>
      </c>
      <c r="D88" s="4" t="s">
        <v>122</v>
      </c>
      <c r="E88" s="4" t="s">
        <v>66</v>
      </c>
      <c r="F88" s="4">
        <v>858.678</v>
      </c>
      <c r="G88" s="5">
        <v>86.822299999999998</v>
      </c>
      <c r="H88" s="5">
        <v>16.84</v>
      </c>
      <c r="I88" s="5">
        <v>684</v>
      </c>
      <c r="J88" s="4" t="s">
        <v>124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122</v>
      </c>
      <c r="E89" s="4" t="s">
        <v>66</v>
      </c>
      <c r="F89" s="4">
        <v>546.053</v>
      </c>
      <c r="G89" s="5">
        <v>62.053900000000006</v>
      </c>
      <c r="H89" s="5">
        <v>16.59</v>
      </c>
      <c r="I89" s="5">
        <v>6992</v>
      </c>
      <c r="J89" s="4" t="s">
        <v>124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122</v>
      </c>
      <c r="E90" s="4" t="s">
        <v>66</v>
      </c>
      <c r="F90" s="4">
        <v>1000</v>
      </c>
      <c r="G90" s="5">
        <v>110.0283</v>
      </c>
      <c r="H90" s="5">
        <v>11.72</v>
      </c>
      <c r="I90" s="5">
        <v>421</v>
      </c>
      <c r="J90" s="4" t="s">
        <v>124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122</v>
      </c>
      <c r="E91" s="4" t="s">
        <v>66</v>
      </c>
      <c r="F91" s="4">
        <v>1000</v>
      </c>
      <c r="G91" s="5">
        <v>101.2453</v>
      </c>
      <c r="H91" s="5">
        <v>11.78</v>
      </c>
      <c r="I91" s="5">
        <v>1423</v>
      </c>
      <c r="J91" s="4" t="s">
        <v>124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122</v>
      </c>
      <c r="E92" s="4" t="s">
        <v>66</v>
      </c>
      <c r="F92" s="4">
        <v>1000</v>
      </c>
      <c r="G92" s="5">
        <v>102.16300000000001</v>
      </c>
      <c r="H92" s="5">
        <v>11.77</v>
      </c>
      <c r="I92" s="5">
        <v>1759</v>
      </c>
      <c r="J92" s="4" t="s">
        <v>124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122</v>
      </c>
      <c r="E93" s="4" t="s">
        <v>66</v>
      </c>
      <c r="F93" s="4">
        <v>1000</v>
      </c>
      <c r="G93" s="5">
        <v>111.07700000000001</v>
      </c>
      <c r="H93" s="5">
        <v>11.76</v>
      </c>
      <c r="I93" s="5">
        <v>388</v>
      </c>
      <c r="J93" s="4" t="s">
        <v>124</v>
      </c>
    </row>
    <row r="94" spans="1:10" x14ac:dyDescent="0.25">
      <c r="A94" s="4">
        <f t="shared" ca="1" si="2"/>
        <v>91</v>
      </c>
      <c r="B94" s="4" t="s">
        <v>313</v>
      </c>
      <c r="C94" s="4" t="s">
        <v>99</v>
      </c>
      <c r="D94" s="4" t="s">
        <v>122</v>
      </c>
      <c r="E94" s="4" t="s">
        <v>66</v>
      </c>
      <c r="F94" s="4">
        <v>604.20600000000002</v>
      </c>
      <c r="G94" s="5">
        <v>64.612499999999997</v>
      </c>
      <c r="H94" s="5">
        <v>16.61</v>
      </c>
      <c r="I94" s="5">
        <v>3464</v>
      </c>
      <c r="J94" s="4" t="s">
        <v>124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122</v>
      </c>
      <c r="E95" s="4" t="s">
        <v>66</v>
      </c>
      <c r="F95" s="4">
        <v>896.19400000000007</v>
      </c>
      <c r="G95" s="5">
        <v>93.369399999999999</v>
      </c>
      <c r="H95" s="5">
        <v>16.88</v>
      </c>
      <c r="I95" s="5">
        <v>578</v>
      </c>
      <c r="J95" s="4" t="s">
        <v>124</v>
      </c>
    </row>
    <row r="96" spans="1:10" x14ac:dyDescent="0.25">
      <c r="A96" s="4">
        <f t="shared" ca="1" si="2"/>
        <v>93</v>
      </c>
      <c r="B96" s="4" t="s">
        <v>316</v>
      </c>
      <c r="C96" s="4" t="s">
        <v>79</v>
      </c>
      <c r="D96" s="4" t="s">
        <v>122</v>
      </c>
      <c r="E96" s="4" t="s">
        <v>66</v>
      </c>
      <c r="F96" s="4">
        <v>879.88600000000008</v>
      </c>
      <c r="G96" s="5">
        <v>88.813600000000008</v>
      </c>
      <c r="H96" s="5">
        <v>16.830000000000002</v>
      </c>
      <c r="I96" s="5">
        <v>697</v>
      </c>
      <c r="J96" s="4" t="s">
        <v>124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122</v>
      </c>
      <c r="E97" s="4" t="s">
        <v>66</v>
      </c>
      <c r="F97" s="4">
        <v>601.58800000000008</v>
      </c>
      <c r="G97" s="5">
        <v>60.3001</v>
      </c>
      <c r="H97" s="5">
        <v>16.59</v>
      </c>
      <c r="I97" s="5">
        <v>4012</v>
      </c>
      <c r="J97" s="4" t="s">
        <v>124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122</v>
      </c>
      <c r="E98" s="4" t="s">
        <v>66</v>
      </c>
      <c r="F98" s="4">
        <v>667.18400000000008</v>
      </c>
      <c r="G98" s="5">
        <v>69.653199999999998</v>
      </c>
      <c r="H98" s="5">
        <v>16.62</v>
      </c>
      <c r="I98" s="5">
        <v>2799</v>
      </c>
      <c r="J98" s="4" t="s">
        <v>124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122</v>
      </c>
      <c r="E99" s="4" t="s">
        <v>66</v>
      </c>
      <c r="F99" s="4">
        <v>657.90600000000006</v>
      </c>
      <c r="G99" s="5">
        <v>68.211100000000002</v>
      </c>
      <c r="H99" s="5">
        <v>16.61</v>
      </c>
      <c r="I99" s="5">
        <v>2818</v>
      </c>
      <c r="J99" s="4" t="s">
        <v>124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106</v>
      </c>
      <c r="D100" s="4" t="s">
        <v>122</v>
      </c>
      <c r="E100" s="4" t="s">
        <v>66</v>
      </c>
      <c r="F100" s="4">
        <v>682.524</v>
      </c>
      <c r="G100" s="5">
        <v>70.834299999999999</v>
      </c>
      <c r="H100" s="5">
        <v>16.63</v>
      </c>
      <c r="I100" s="5">
        <v>2446</v>
      </c>
      <c r="J100" s="4" t="s">
        <v>124</v>
      </c>
    </row>
    <row r="101" spans="1:10" x14ac:dyDescent="0.25">
      <c r="A101" s="4">
        <f t="shared" ca="1" si="3"/>
        <v>98</v>
      </c>
      <c r="B101" s="4" t="s">
        <v>324</v>
      </c>
      <c r="C101" s="4" t="s">
        <v>76</v>
      </c>
      <c r="D101" s="4" t="s">
        <v>122</v>
      </c>
      <c r="E101" s="4" t="s">
        <v>66</v>
      </c>
      <c r="F101" s="4">
        <v>709.32900000000006</v>
      </c>
      <c r="G101" s="5">
        <v>72.949100000000001</v>
      </c>
      <c r="H101" s="5">
        <v>16.63</v>
      </c>
      <c r="I101" s="5">
        <v>2104</v>
      </c>
      <c r="J101" s="4" t="s">
        <v>124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122</v>
      </c>
      <c r="E102" s="4" t="s">
        <v>66</v>
      </c>
      <c r="F102" s="4">
        <v>603.38</v>
      </c>
      <c r="G102" s="5">
        <v>64.5672</v>
      </c>
      <c r="H102" s="5">
        <v>16.61</v>
      </c>
      <c r="I102" s="5">
        <v>4208</v>
      </c>
      <c r="J102" s="4" t="s">
        <v>124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122</v>
      </c>
      <c r="E103" s="4" t="s">
        <v>66</v>
      </c>
      <c r="F103" s="4">
        <v>1000</v>
      </c>
      <c r="G103" s="5">
        <v>102.22850000000001</v>
      </c>
      <c r="H103" s="5">
        <v>11.66</v>
      </c>
      <c r="I103" s="5">
        <v>296</v>
      </c>
      <c r="J103" s="4" t="s">
        <v>124</v>
      </c>
    </row>
    <row r="104" spans="1:10" x14ac:dyDescent="0.25">
      <c r="A104" s="4">
        <f t="shared" ca="1" si="3"/>
        <v>101</v>
      </c>
      <c r="B104" s="4" t="s">
        <v>329</v>
      </c>
      <c r="C104" s="4" t="s">
        <v>92</v>
      </c>
      <c r="D104" s="4" t="s">
        <v>122</v>
      </c>
      <c r="E104" s="4" t="s">
        <v>66</v>
      </c>
      <c r="F104" s="4">
        <v>750.47300000000007</v>
      </c>
      <c r="G104" s="5">
        <v>82.578000000000003</v>
      </c>
      <c r="H104" s="5">
        <v>16.68</v>
      </c>
      <c r="I104" s="5">
        <v>1469</v>
      </c>
      <c r="J104" s="4" t="s">
        <v>124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122</v>
      </c>
      <c r="E105" s="4" t="s">
        <v>66</v>
      </c>
      <c r="F105" s="4">
        <v>728.48400000000004</v>
      </c>
      <c r="G105" s="5">
        <v>76.731099999999998</v>
      </c>
      <c r="H105" s="5">
        <v>16.690000000000001</v>
      </c>
      <c r="I105" s="5">
        <v>1644</v>
      </c>
      <c r="J105" s="4" t="s">
        <v>124</v>
      </c>
    </row>
    <row r="106" spans="1:10" x14ac:dyDescent="0.25">
      <c r="A106" s="4">
        <f t="shared" ca="1" si="3"/>
        <v>103</v>
      </c>
      <c r="B106" s="4" t="s">
        <v>332</v>
      </c>
      <c r="C106" s="4" t="s">
        <v>333</v>
      </c>
      <c r="D106" s="4" t="s">
        <v>122</v>
      </c>
      <c r="E106" s="4" t="s">
        <v>66</v>
      </c>
      <c r="F106" s="4">
        <v>542.05399999999997</v>
      </c>
      <c r="G106" s="5">
        <v>59.1648</v>
      </c>
      <c r="H106" s="5">
        <v>16.59</v>
      </c>
      <c r="I106" s="5">
        <v>4885</v>
      </c>
      <c r="J106" s="4" t="s">
        <v>124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122</v>
      </c>
      <c r="E107" s="4" t="s">
        <v>66</v>
      </c>
      <c r="F107" s="4">
        <v>968.63700000000006</v>
      </c>
      <c r="G107" s="5">
        <v>100.78370000000001</v>
      </c>
      <c r="H107" s="5">
        <v>16.84</v>
      </c>
      <c r="I107" s="5">
        <v>111</v>
      </c>
      <c r="J107" s="4" t="s">
        <v>124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122</v>
      </c>
      <c r="E108" s="4" t="s">
        <v>66</v>
      </c>
      <c r="F108" s="4">
        <v>898.39300000000003</v>
      </c>
      <c r="G108" s="5">
        <v>95.156000000000006</v>
      </c>
      <c r="H108" s="5">
        <v>17.02</v>
      </c>
      <c r="I108" s="5">
        <v>378</v>
      </c>
      <c r="J108" s="4" t="s">
        <v>124</v>
      </c>
    </row>
    <row r="109" spans="1:10" x14ac:dyDescent="0.25">
      <c r="A109" s="4">
        <f t="shared" ca="1" si="3"/>
        <v>106</v>
      </c>
      <c r="B109" s="4" t="s">
        <v>338</v>
      </c>
      <c r="C109" s="4" t="s">
        <v>89</v>
      </c>
      <c r="D109" s="4" t="s">
        <v>122</v>
      </c>
      <c r="E109" s="4" t="s">
        <v>66</v>
      </c>
      <c r="F109" s="4">
        <v>801.04200000000003</v>
      </c>
      <c r="G109" s="5">
        <v>84.32950000000001</v>
      </c>
      <c r="H109" s="5">
        <v>16.8</v>
      </c>
      <c r="I109" s="5">
        <v>805</v>
      </c>
      <c r="J109" s="4" t="s">
        <v>124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122</v>
      </c>
      <c r="E110" s="4" t="s">
        <v>66</v>
      </c>
      <c r="F110" s="4">
        <v>742.31100000000004</v>
      </c>
      <c r="G110" s="5">
        <v>79.058900000000008</v>
      </c>
      <c r="H110" s="5">
        <v>16.740000000000002</v>
      </c>
      <c r="I110" s="5">
        <v>1142</v>
      </c>
      <c r="J110" s="4" t="s">
        <v>124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122</v>
      </c>
      <c r="E111" s="4" t="s">
        <v>66</v>
      </c>
      <c r="F111" s="4">
        <v>561.54899999999998</v>
      </c>
      <c r="G111" s="5">
        <v>56.41</v>
      </c>
      <c r="H111" s="5">
        <v>16.580000000000002</v>
      </c>
      <c r="I111" s="5">
        <v>5102</v>
      </c>
      <c r="J111" s="4" t="s">
        <v>124</v>
      </c>
    </row>
    <row r="112" spans="1:10" x14ac:dyDescent="0.25">
      <c r="A112" s="4">
        <f t="shared" ca="1" si="3"/>
        <v>109</v>
      </c>
      <c r="B112" s="4" t="s">
        <v>343</v>
      </c>
      <c r="C112" s="4" t="s">
        <v>344</v>
      </c>
      <c r="D112" s="4" t="s">
        <v>122</v>
      </c>
      <c r="E112" s="4" t="s">
        <v>66</v>
      </c>
      <c r="F112" s="4">
        <v>555.76200000000006</v>
      </c>
      <c r="G112" s="5">
        <v>59.296200000000006</v>
      </c>
      <c r="H112" s="5">
        <v>16.600000000000001</v>
      </c>
      <c r="I112" s="5">
        <v>5318</v>
      </c>
      <c r="J112" s="4" t="s">
        <v>124</v>
      </c>
    </row>
    <row r="113" spans="1:10" x14ac:dyDescent="0.25">
      <c r="A113" s="4">
        <f t="shared" ca="1" si="3"/>
        <v>110</v>
      </c>
      <c r="B113" s="4" t="s">
        <v>345</v>
      </c>
      <c r="C113" s="4" t="s">
        <v>116</v>
      </c>
      <c r="D113" s="4" t="s">
        <v>122</v>
      </c>
      <c r="E113" s="4" t="s">
        <v>66</v>
      </c>
      <c r="F113" s="4">
        <v>850.87100000000009</v>
      </c>
      <c r="G113" s="5">
        <v>88.937100000000001</v>
      </c>
      <c r="H113" s="5">
        <v>16.71</v>
      </c>
      <c r="I113" s="5">
        <v>1334</v>
      </c>
      <c r="J113" s="4" t="s">
        <v>124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122</v>
      </c>
      <c r="E114" s="4" t="s">
        <v>66</v>
      </c>
      <c r="F114" s="4">
        <v>937.47</v>
      </c>
      <c r="G114" s="5">
        <v>94.58120000000001</v>
      </c>
      <c r="H114" s="5">
        <v>17.03</v>
      </c>
      <c r="I114" s="5">
        <v>332</v>
      </c>
      <c r="J114" s="4" t="s">
        <v>124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122</v>
      </c>
      <c r="E115" s="4" t="s">
        <v>66</v>
      </c>
      <c r="F115" s="4">
        <v>1000</v>
      </c>
      <c r="G115" s="5">
        <v>107.69420000000001</v>
      </c>
      <c r="H115" s="5">
        <v>11.83</v>
      </c>
      <c r="I115" s="5">
        <v>1226</v>
      </c>
      <c r="J115" s="4" t="s">
        <v>124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122</v>
      </c>
      <c r="E116" s="4" t="s">
        <v>66</v>
      </c>
      <c r="F116" s="4">
        <v>1000</v>
      </c>
      <c r="G116" s="5">
        <v>104.16210000000001</v>
      </c>
      <c r="H116" s="5">
        <v>11.55</v>
      </c>
      <c r="I116" s="5">
        <v>236</v>
      </c>
      <c r="J116" s="4" t="s">
        <v>124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122</v>
      </c>
      <c r="E117" s="4" t="s">
        <v>66</v>
      </c>
      <c r="F117" s="4">
        <v>1000</v>
      </c>
      <c r="G117" s="5">
        <v>105.17800000000001</v>
      </c>
      <c r="H117" s="5">
        <v>11.74</v>
      </c>
      <c r="I117" s="5">
        <v>1303</v>
      </c>
      <c r="J117" s="4" t="s">
        <v>124</v>
      </c>
    </row>
    <row r="118" spans="1:10" x14ac:dyDescent="0.25">
      <c r="A118" s="4">
        <f t="shared" ca="1" si="3"/>
        <v>115</v>
      </c>
      <c r="B118" s="4" t="s">
        <v>354</v>
      </c>
      <c r="C118" s="4" t="s">
        <v>83</v>
      </c>
      <c r="D118" s="4" t="s">
        <v>122</v>
      </c>
      <c r="E118" s="4" t="s">
        <v>66</v>
      </c>
      <c r="F118" s="4">
        <v>851.69100000000003</v>
      </c>
      <c r="G118" s="5">
        <v>93.283300000000011</v>
      </c>
      <c r="H118" s="5">
        <v>16.73</v>
      </c>
      <c r="I118" s="5">
        <v>1179</v>
      </c>
      <c r="J118" s="4" t="s">
        <v>124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122</v>
      </c>
      <c r="E119" s="4" t="s">
        <v>66</v>
      </c>
      <c r="F119" s="4">
        <v>1000</v>
      </c>
      <c r="G119" s="5">
        <v>105.27630000000001</v>
      </c>
      <c r="H119" s="5">
        <v>11.72</v>
      </c>
      <c r="I119" s="5">
        <v>934</v>
      </c>
      <c r="J119" s="4" t="s">
        <v>124</v>
      </c>
    </row>
    <row r="120" spans="1:10" x14ac:dyDescent="0.25">
      <c r="A120" s="4">
        <f t="shared" ca="1" si="3"/>
        <v>117</v>
      </c>
      <c r="B120" s="4" t="s">
        <v>357</v>
      </c>
      <c r="C120" s="4" t="s">
        <v>82</v>
      </c>
      <c r="D120" s="4" t="s">
        <v>122</v>
      </c>
      <c r="E120" s="4" t="s">
        <v>66</v>
      </c>
      <c r="F120" s="4">
        <v>568.39800000000002</v>
      </c>
      <c r="G120" s="5">
        <v>58.398099999999999</v>
      </c>
      <c r="H120" s="5">
        <v>16.62</v>
      </c>
      <c r="I120" s="5">
        <v>2454</v>
      </c>
      <c r="J120" s="4" t="s">
        <v>124</v>
      </c>
    </row>
    <row r="121" spans="1:10" x14ac:dyDescent="0.25">
      <c r="A121" s="4">
        <f t="shared" ca="1" si="3"/>
        <v>118</v>
      </c>
      <c r="B121" s="4" t="s">
        <v>358</v>
      </c>
      <c r="C121" s="4" t="s">
        <v>71</v>
      </c>
      <c r="D121" s="4" t="s">
        <v>122</v>
      </c>
      <c r="E121" s="4" t="s">
        <v>66</v>
      </c>
      <c r="F121" s="4">
        <v>769.29900000000009</v>
      </c>
      <c r="G121" s="5">
        <v>81.663000000000011</v>
      </c>
      <c r="H121" s="5">
        <v>16.72</v>
      </c>
      <c r="I121" s="5">
        <v>1223</v>
      </c>
      <c r="J121" s="4" t="s">
        <v>124</v>
      </c>
    </row>
    <row r="122" spans="1:10" x14ac:dyDescent="0.25">
      <c r="A122" s="4">
        <f t="shared" ca="1" si="3"/>
        <v>119</v>
      </c>
      <c r="B122" s="4" t="s">
        <v>359</v>
      </c>
      <c r="C122" s="4" t="s">
        <v>360</v>
      </c>
      <c r="D122" s="4" t="s">
        <v>122</v>
      </c>
      <c r="E122" s="4" t="s">
        <v>66</v>
      </c>
      <c r="F122" s="4">
        <v>759.38499999999999</v>
      </c>
      <c r="G122" s="5">
        <v>77.438500000000005</v>
      </c>
      <c r="H122" s="5">
        <v>16.760000000000002</v>
      </c>
      <c r="I122" s="5">
        <v>987</v>
      </c>
      <c r="J122" s="4" t="s">
        <v>124</v>
      </c>
    </row>
    <row r="123" spans="1:10" x14ac:dyDescent="0.25">
      <c r="A123" s="4">
        <f t="shared" ca="1" si="3"/>
        <v>120</v>
      </c>
      <c r="B123" s="4" t="s">
        <v>361</v>
      </c>
      <c r="C123" s="4" t="s">
        <v>118</v>
      </c>
      <c r="D123" s="4" t="s">
        <v>122</v>
      </c>
      <c r="E123" s="4" t="s">
        <v>66</v>
      </c>
      <c r="F123" s="4">
        <v>763.49300000000005</v>
      </c>
      <c r="G123" s="5">
        <v>76.645099999999999</v>
      </c>
      <c r="H123" s="5">
        <v>16.62</v>
      </c>
      <c r="I123" s="5">
        <v>2547</v>
      </c>
      <c r="J123" s="4" t="s">
        <v>124</v>
      </c>
    </row>
    <row r="124" spans="1:10" x14ac:dyDescent="0.25">
      <c r="A124" s="4">
        <f t="shared" ca="1" si="3"/>
        <v>121</v>
      </c>
      <c r="B124" s="4" t="s">
        <v>362</v>
      </c>
      <c r="C124" s="4" t="s">
        <v>78</v>
      </c>
      <c r="D124" s="4" t="s">
        <v>122</v>
      </c>
      <c r="E124" s="4" t="s">
        <v>66</v>
      </c>
      <c r="F124" s="4">
        <v>831.27300000000002</v>
      </c>
      <c r="G124" s="5">
        <v>83.361699999999999</v>
      </c>
      <c r="H124" s="5">
        <v>16.68</v>
      </c>
      <c r="I124" s="5">
        <v>1453</v>
      </c>
      <c r="J124" s="4" t="s">
        <v>124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122</v>
      </c>
      <c r="E125" s="4" t="s">
        <v>66</v>
      </c>
      <c r="F125" s="4">
        <v>1000</v>
      </c>
      <c r="G125" s="5">
        <v>110.06110000000001</v>
      </c>
      <c r="H125" s="5">
        <v>11.78</v>
      </c>
      <c r="I125" s="5">
        <v>1881</v>
      </c>
      <c r="J125" s="4" t="s">
        <v>124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122</v>
      </c>
      <c r="E126" s="4" t="s">
        <v>66</v>
      </c>
      <c r="F126" s="4">
        <v>1000</v>
      </c>
      <c r="G126" s="5">
        <v>107.11160000000001</v>
      </c>
      <c r="H126" s="5">
        <v>11.76</v>
      </c>
      <c r="I126" s="5">
        <v>2337</v>
      </c>
      <c r="J126" s="4" t="s">
        <v>124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122</v>
      </c>
      <c r="E127" s="4" t="s">
        <v>66</v>
      </c>
      <c r="F127" s="4">
        <v>1000</v>
      </c>
      <c r="G127" s="5">
        <v>110.12660000000001</v>
      </c>
      <c r="H127" s="5">
        <v>11.78</v>
      </c>
      <c r="I127" s="5">
        <v>2244</v>
      </c>
      <c r="J127" s="4" t="s">
        <v>124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122</v>
      </c>
      <c r="E128" s="4" t="s">
        <v>66</v>
      </c>
      <c r="F128" s="4">
        <v>905.80799999999999</v>
      </c>
      <c r="G128" s="5">
        <v>92.805199999999999</v>
      </c>
      <c r="H128" s="5">
        <v>16.84</v>
      </c>
      <c r="I128" s="5">
        <v>652</v>
      </c>
      <c r="J128" s="4" t="s">
        <v>124</v>
      </c>
    </row>
    <row r="129" spans="1:10" x14ac:dyDescent="0.25">
      <c r="A129" s="4">
        <f t="shared" ca="1" si="3"/>
        <v>126</v>
      </c>
      <c r="B129" s="4" t="s">
        <v>371</v>
      </c>
      <c r="C129" s="4" t="s">
        <v>372</v>
      </c>
      <c r="D129" s="4" t="s">
        <v>122</v>
      </c>
      <c r="E129" s="4" t="s">
        <v>66</v>
      </c>
      <c r="F129" s="4">
        <v>720.68100000000004</v>
      </c>
      <c r="G129" s="5">
        <v>77.838700000000003</v>
      </c>
      <c r="H129" s="5">
        <v>16.61</v>
      </c>
      <c r="I129" s="5">
        <v>4194</v>
      </c>
      <c r="J129" s="4" t="s">
        <v>124</v>
      </c>
    </row>
    <row r="130" spans="1:10" x14ac:dyDescent="0.25">
      <c r="A130" s="4">
        <f t="shared" ca="1" si="3"/>
        <v>127</v>
      </c>
      <c r="B130" s="4" t="s">
        <v>373</v>
      </c>
      <c r="C130" s="4" t="s">
        <v>114</v>
      </c>
      <c r="D130" s="4" t="s">
        <v>122</v>
      </c>
      <c r="E130" s="4" t="s">
        <v>66</v>
      </c>
      <c r="F130" s="4">
        <v>975.5870000000001</v>
      </c>
      <c r="G130" s="5">
        <v>98.00330000000001</v>
      </c>
      <c r="H130" s="5">
        <v>16.38</v>
      </c>
      <c r="I130" s="5">
        <v>169</v>
      </c>
      <c r="J130" s="4" t="s">
        <v>124</v>
      </c>
    </row>
    <row r="131" spans="1:10" x14ac:dyDescent="0.25">
      <c r="A131" s="4">
        <f t="shared" ca="1" si="3"/>
        <v>128</v>
      </c>
      <c r="B131" s="4" t="s">
        <v>374</v>
      </c>
      <c r="C131" s="4" t="s">
        <v>375</v>
      </c>
      <c r="D131" s="4" t="s">
        <v>122</v>
      </c>
      <c r="E131" s="4" t="s">
        <v>66</v>
      </c>
      <c r="F131" s="4">
        <v>827.16100000000006</v>
      </c>
      <c r="G131" s="5">
        <v>88.277200000000008</v>
      </c>
      <c r="H131" s="5">
        <v>16.7</v>
      </c>
      <c r="I131" s="5">
        <v>1644</v>
      </c>
      <c r="J131" s="4" t="s">
        <v>124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376</v>
      </c>
      <c r="C132" s="4" t="s">
        <v>377</v>
      </c>
      <c r="D132" s="4" t="s">
        <v>122</v>
      </c>
      <c r="E132" s="4" t="s">
        <v>66</v>
      </c>
      <c r="F132" s="4">
        <v>713.23500000000001</v>
      </c>
      <c r="G132" s="5">
        <v>81.534599999999998</v>
      </c>
      <c r="H132" s="5">
        <v>16.600000000000001</v>
      </c>
      <c r="I132" s="5">
        <v>4038</v>
      </c>
      <c r="J132" s="4" t="s">
        <v>124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122</v>
      </c>
      <c r="E133" s="4" t="s">
        <v>66</v>
      </c>
      <c r="F133" s="4">
        <v>712.14800000000002</v>
      </c>
      <c r="G133" s="5">
        <v>75.965600000000009</v>
      </c>
      <c r="H133" s="5">
        <v>16.63</v>
      </c>
      <c r="I133" s="5">
        <v>3118</v>
      </c>
      <c r="J133" s="4" t="s">
        <v>124</v>
      </c>
    </row>
    <row r="134" spans="1:10" x14ac:dyDescent="0.25">
      <c r="A134" s="4">
        <f t="shared" ca="1" si="4"/>
        <v>131</v>
      </c>
      <c r="B134" s="4" t="s">
        <v>380</v>
      </c>
      <c r="C134" s="4" t="s">
        <v>95</v>
      </c>
      <c r="D134" s="4" t="s">
        <v>122</v>
      </c>
      <c r="E134" s="4" t="s">
        <v>66</v>
      </c>
      <c r="F134" s="4">
        <v>869.07400000000007</v>
      </c>
      <c r="G134" s="5">
        <v>90.200699999999998</v>
      </c>
      <c r="H134" s="5">
        <v>16.77</v>
      </c>
      <c r="I134" s="5">
        <v>981</v>
      </c>
      <c r="J134" s="4" t="s">
        <v>124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122</v>
      </c>
      <c r="E135" s="4" t="s">
        <v>66</v>
      </c>
      <c r="F135" s="4">
        <v>948.01300000000003</v>
      </c>
      <c r="G135" s="5">
        <v>94.8596</v>
      </c>
      <c r="H135" s="5">
        <v>16.37</v>
      </c>
      <c r="I135" s="5">
        <v>364</v>
      </c>
      <c r="J135" s="4" t="s">
        <v>124</v>
      </c>
    </row>
    <row r="136" spans="1:10" x14ac:dyDescent="0.25">
      <c r="A136" s="4">
        <f t="shared" ca="1" si="4"/>
        <v>133</v>
      </c>
      <c r="B136" s="4" t="s">
        <v>383</v>
      </c>
      <c r="C136" s="4" t="s">
        <v>75</v>
      </c>
      <c r="D136" s="4" t="s">
        <v>122</v>
      </c>
      <c r="E136" s="4" t="s">
        <v>66</v>
      </c>
      <c r="F136" s="4">
        <v>703.26900000000001</v>
      </c>
      <c r="G136" s="5">
        <v>74.483800000000002</v>
      </c>
      <c r="H136" s="5">
        <v>16.600000000000001</v>
      </c>
      <c r="I136" s="5">
        <v>3504</v>
      </c>
      <c r="J136" s="4" t="s">
        <v>124</v>
      </c>
    </row>
    <row r="137" spans="1:10" x14ac:dyDescent="0.25">
      <c r="A137" s="4">
        <f t="shared" ca="1" si="4"/>
        <v>134</v>
      </c>
      <c r="B137" s="4" t="s">
        <v>384</v>
      </c>
      <c r="C137" s="4" t="s">
        <v>104</v>
      </c>
      <c r="D137" s="4" t="s">
        <v>122</v>
      </c>
      <c r="E137" s="4" t="s">
        <v>66</v>
      </c>
      <c r="F137" s="4">
        <v>777.86500000000001</v>
      </c>
      <c r="G137" s="5">
        <v>81.763400000000004</v>
      </c>
      <c r="H137" s="5">
        <v>16.63</v>
      </c>
      <c r="I137" s="5">
        <v>2050</v>
      </c>
      <c r="J137" s="4" t="s">
        <v>124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122</v>
      </c>
      <c r="E138" s="4" t="s">
        <v>66</v>
      </c>
      <c r="F138" s="4">
        <v>746.54499999999996</v>
      </c>
      <c r="G138" s="5">
        <v>84.839700000000008</v>
      </c>
      <c r="H138" s="5">
        <v>16.62</v>
      </c>
      <c r="I138" s="5">
        <v>2940</v>
      </c>
      <c r="J138" s="4" t="s">
        <v>124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122</v>
      </c>
      <c r="E139" s="4" t="s">
        <v>66</v>
      </c>
      <c r="F139" s="4">
        <v>975.45300000000009</v>
      </c>
      <c r="G139" s="5">
        <v>102.9509</v>
      </c>
      <c r="H139" s="5">
        <v>16.36</v>
      </c>
      <c r="I139" s="5">
        <v>407</v>
      </c>
      <c r="J139" s="4" t="s">
        <v>124</v>
      </c>
    </row>
    <row r="140" spans="1:10" x14ac:dyDescent="0.25">
      <c r="A140" s="4">
        <f t="shared" ca="1" si="4"/>
        <v>137</v>
      </c>
      <c r="B140" s="4" t="s">
        <v>389</v>
      </c>
      <c r="C140" s="4" t="s">
        <v>81</v>
      </c>
      <c r="D140" s="4" t="s">
        <v>122</v>
      </c>
      <c r="E140" s="4" t="s">
        <v>66</v>
      </c>
      <c r="F140" s="4">
        <v>984.30900000000008</v>
      </c>
      <c r="G140" s="5">
        <v>101.75670000000001</v>
      </c>
      <c r="H140" s="5">
        <v>16.16</v>
      </c>
      <c r="I140" s="5">
        <v>835</v>
      </c>
      <c r="J140" s="4" t="s">
        <v>124</v>
      </c>
    </row>
    <row r="141" spans="1:10" x14ac:dyDescent="0.25">
      <c r="A141" s="4">
        <f t="shared" ca="1" si="4"/>
        <v>138</v>
      </c>
      <c r="B141" s="4" t="s">
        <v>390</v>
      </c>
      <c r="C141" s="4" t="s">
        <v>391</v>
      </c>
      <c r="D141" s="4" t="s">
        <v>122</v>
      </c>
      <c r="E141" s="4" t="s">
        <v>66</v>
      </c>
      <c r="F141" s="4">
        <v>895.75700000000006</v>
      </c>
      <c r="G141" s="5">
        <v>92.570100000000011</v>
      </c>
      <c r="H141" s="5">
        <v>16.63</v>
      </c>
      <c r="I141" s="5">
        <v>2479</v>
      </c>
      <c r="J141" s="4" t="s">
        <v>124</v>
      </c>
    </row>
    <row r="142" spans="1:10" x14ac:dyDescent="0.25">
      <c r="A142" s="4">
        <f t="shared" ca="1" si="4"/>
        <v>139</v>
      </c>
      <c r="B142" s="4" t="s">
        <v>392</v>
      </c>
      <c r="C142" s="4" t="s">
        <v>393</v>
      </c>
      <c r="D142" s="4" t="s">
        <v>122</v>
      </c>
      <c r="E142" s="4" t="s">
        <v>66</v>
      </c>
      <c r="F142" s="4">
        <v>961.43200000000002</v>
      </c>
      <c r="G142" s="5">
        <v>102.64570000000001</v>
      </c>
      <c r="H142" s="5">
        <v>16.71</v>
      </c>
      <c r="I142" s="5">
        <v>1306</v>
      </c>
      <c r="J142" s="4" t="s">
        <v>124</v>
      </c>
    </row>
    <row r="143" spans="1:10" x14ac:dyDescent="0.25">
      <c r="A143" s="4">
        <f t="shared" ca="1" si="4"/>
        <v>140</v>
      </c>
      <c r="B143" s="4" t="s">
        <v>394</v>
      </c>
      <c r="C143" s="4" t="s">
        <v>395</v>
      </c>
      <c r="D143" s="4" t="s">
        <v>122</v>
      </c>
      <c r="E143" s="4" t="s">
        <v>66</v>
      </c>
      <c r="F143" s="4">
        <v>1000</v>
      </c>
      <c r="G143" s="5">
        <v>106.9372</v>
      </c>
      <c r="H143" s="5">
        <v>16.940000000000001</v>
      </c>
      <c r="I143" s="5">
        <v>400</v>
      </c>
      <c r="J143" s="4" t="s">
        <v>124</v>
      </c>
    </row>
    <row r="144" spans="1:10" x14ac:dyDescent="0.25">
      <c r="A144" s="4">
        <f t="shared" ca="1" si="4"/>
        <v>141</v>
      </c>
      <c r="B144" s="4" t="s">
        <v>396</v>
      </c>
      <c r="C144" s="4" t="s">
        <v>77</v>
      </c>
      <c r="D144" s="4" t="s">
        <v>122</v>
      </c>
      <c r="E144" s="4" t="s">
        <v>66</v>
      </c>
      <c r="F144" s="4">
        <v>904.7170000000001</v>
      </c>
      <c r="G144" s="5">
        <v>93.738399999999999</v>
      </c>
      <c r="H144" s="5">
        <v>16.64</v>
      </c>
      <c r="I144" s="5">
        <v>2106</v>
      </c>
      <c r="J144" s="4" t="s">
        <v>124</v>
      </c>
    </row>
    <row r="145" spans="1:10" x14ac:dyDescent="0.25">
      <c r="A145" s="4">
        <f t="shared" ca="1" si="4"/>
        <v>142</v>
      </c>
      <c r="B145" s="4" t="s">
        <v>397</v>
      </c>
      <c r="C145" s="4" t="s">
        <v>398</v>
      </c>
      <c r="D145" s="4" t="s">
        <v>122</v>
      </c>
      <c r="E145" s="4" t="s">
        <v>66</v>
      </c>
      <c r="F145" s="4">
        <v>978.81600000000003</v>
      </c>
      <c r="G145" s="5">
        <v>99.485800000000012</v>
      </c>
      <c r="H145" s="5">
        <v>16.36</v>
      </c>
      <c r="I145" s="5">
        <v>323</v>
      </c>
      <c r="J145" s="4" t="s">
        <v>124</v>
      </c>
    </row>
    <row r="146" spans="1:10" x14ac:dyDescent="0.25">
      <c r="A146" s="4">
        <f t="shared" ca="1" si="4"/>
        <v>143</v>
      </c>
      <c r="B146" s="4" t="s">
        <v>399</v>
      </c>
      <c r="C146" s="4" t="s">
        <v>400</v>
      </c>
      <c r="D146" s="4" t="s">
        <v>122</v>
      </c>
      <c r="E146" s="4" t="s">
        <v>66</v>
      </c>
      <c r="F146" s="4">
        <v>906.80200000000002</v>
      </c>
      <c r="G146" s="5">
        <v>93.128700000000009</v>
      </c>
      <c r="H146" s="5">
        <v>16.63</v>
      </c>
      <c r="I146" s="5">
        <v>2861</v>
      </c>
      <c r="J146" s="4" t="s">
        <v>124</v>
      </c>
    </row>
    <row r="147" spans="1:10" x14ac:dyDescent="0.25">
      <c r="A147" s="4">
        <f t="shared" ca="1" si="4"/>
        <v>144</v>
      </c>
      <c r="B147" s="4" t="s">
        <v>401</v>
      </c>
      <c r="C147" s="4" t="s">
        <v>402</v>
      </c>
      <c r="D147" s="4" t="s">
        <v>122</v>
      </c>
      <c r="E147" s="4" t="s">
        <v>66</v>
      </c>
      <c r="F147" s="4">
        <v>836.85599999999999</v>
      </c>
      <c r="G147" s="5">
        <v>89.152300000000011</v>
      </c>
      <c r="H147" s="5">
        <v>16.670000000000002</v>
      </c>
      <c r="I147" s="5">
        <v>2027</v>
      </c>
      <c r="J147" s="4" t="s">
        <v>124</v>
      </c>
    </row>
    <row r="148" spans="1:10" x14ac:dyDescent="0.25">
      <c r="A148" s="4">
        <f t="shared" ca="1" si="4"/>
        <v>145</v>
      </c>
      <c r="B148" s="4" t="s">
        <v>403</v>
      </c>
      <c r="C148" s="4" t="s">
        <v>404</v>
      </c>
      <c r="D148" s="4" t="s">
        <v>122</v>
      </c>
      <c r="E148" s="4" t="s">
        <v>66</v>
      </c>
      <c r="F148" s="4">
        <v>904.12</v>
      </c>
      <c r="G148" s="5">
        <v>96.453699999999998</v>
      </c>
      <c r="H148" s="5">
        <v>16.61</v>
      </c>
      <c r="I148" s="5">
        <v>3135</v>
      </c>
      <c r="J148" s="4" t="s">
        <v>124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122</v>
      </c>
      <c r="E149" s="4" t="s">
        <v>66</v>
      </c>
      <c r="F149" s="4">
        <v>919.43799999999999</v>
      </c>
      <c r="G149" s="5">
        <v>98.027100000000004</v>
      </c>
      <c r="H149" s="5">
        <v>16.63</v>
      </c>
      <c r="I149" s="5">
        <v>2405</v>
      </c>
      <c r="J149" s="4" t="s">
        <v>124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122</v>
      </c>
      <c r="E150" s="4" t="s">
        <v>66</v>
      </c>
      <c r="F150" s="4">
        <v>868.98500000000001</v>
      </c>
      <c r="G150" s="5">
        <v>89.796800000000005</v>
      </c>
      <c r="H150" s="5">
        <v>16.600000000000001</v>
      </c>
      <c r="I150" s="5">
        <v>4673</v>
      </c>
      <c r="J150" s="4" t="s">
        <v>124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122</v>
      </c>
      <c r="E151" s="4" t="s">
        <v>66</v>
      </c>
      <c r="F151" s="4">
        <v>1000</v>
      </c>
      <c r="G151" s="5">
        <v>105.0008</v>
      </c>
      <c r="H151" s="5">
        <v>14.23</v>
      </c>
      <c r="I151" s="5">
        <v>2064</v>
      </c>
      <c r="J151" s="4" t="s">
        <v>124</v>
      </c>
    </row>
    <row r="152" spans="1:10" x14ac:dyDescent="0.25">
      <c r="A152" s="4">
        <f t="shared" ca="1" si="4"/>
        <v>149</v>
      </c>
      <c r="B152" s="4" t="s">
        <v>411</v>
      </c>
      <c r="C152" s="4" t="s">
        <v>101</v>
      </c>
      <c r="D152" s="4" t="s">
        <v>122</v>
      </c>
      <c r="E152" s="4" t="s">
        <v>66</v>
      </c>
      <c r="F152" s="4">
        <v>855.96500000000003</v>
      </c>
      <c r="G152" s="5">
        <v>90.563200000000009</v>
      </c>
      <c r="H152" s="5">
        <v>16.66</v>
      </c>
      <c r="I152" s="5">
        <v>1675</v>
      </c>
      <c r="J152" s="4" t="s">
        <v>124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122</v>
      </c>
      <c r="E153" s="4" t="s">
        <v>66</v>
      </c>
      <c r="F153" s="4">
        <v>88.5364</v>
      </c>
      <c r="G153" s="5">
        <v>88.5364</v>
      </c>
      <c r="H153" s="5">
        <v>16.760000000000002</v>
      </c>
      <c r="I153" s="5">
        <v>283</v>
      </c>
      <c r="J153" s="4" t="s">
        <v>124</v>
      </c>
    </row>
    <row r="154" spans="1:10" x14ac:dyDescent="0.25">
      <c r="A154" s="4">
        <f t="shared" ca="1" si="4"/>
        <v>151</v>
      </c>
      <c r="B154" s="4" t="s">
        <v>414</v>
      </c>
      <c r="C154" s="4" t="s">
        <v>112</v>
      </c>
      <c r="D154" s="4" t="s">
        <v>122</v>
      </c>
      <c r="E154" s="4" t="s">
        <v>66</v>
      </c>
      <c r="F154" s="4">
        <v>92.389400000000009</v>
      </c>
      <c r="G154" s="5">
        <v>92.389400000000009</v>
      </c>
      <c r="H154" s="5">
        <v>16.34</v>
      </c>
      <c r="I154" s="5">
        <v>185</v>
      </c>
      <c r="J154" s="4" t="s">
        <v>124</v>
      </c>
    </row>
    <row r="155" spans="1:10" x14ac:dyDescent="0.25">
      <c r="A155" s="4">
        <f t="shared" ca="1" si="4"/>
        <v>152</v>
      </c>
      <c r="B155" s="4" t="s">
        <v>415</v>
      </c>
      <c r="C155" s="4" t="s">
        <v>416</v>
      </c>
      <c r="D155" s="4" t="s">
        <v>122</v>
      </c>
      <c r="E155" s="4" t="s">
        <v>66</v>
      </c>
      <c r="F155" s="4">
        <v>875.89</v>
      </c>
      <c r="G155" s="5">
        <v>94.316800000000001</v>
      </c>
      <c r="H155" s="5">
        <v>16.63</v>
      </c>
      <c r="I155" s="5">
        <v>3479</v>
      </c>
      <c r="J155" s="4" t="s">
        <v>124</v>
      </c>
    </row>
    <row r="156" spans="1:10" x14ac:dyDescent="0.25">
      <c r="A156" s="4">
        <f t="shared" ca="1" si="4"/>
        <v>153</v>
      </c>
      <c r="B156" s="4" t="s">
        <v>417</v>
      </c>
      <c r="C156" s="4" t="s">
        <v>80</v>
      </c>
      <c r="D156" s="4" t="s">
        <v>122</v>
      </c>
      <c r="E156" s="4" t="s">
        <v>66</v>
      </c>
      <c r="F156" s="4">
        <v>0.97500000000000009</v>
      </c>
      <c r="G156" s="5">
        <v>99.032000000000011</v>
      </c>
      <c r="H156" s="5">
        <v>5.04</v>
      </c>
      <c r="I156" s="5">
        <v>3534</v>
      </c>
      <c r="J156" s="4" t="s">
        <v>124</v>
      </c>
    </row>
    <row r="157" spans="1:10" x14ac:dyDescent="0.25">
      <c r="A157" s="4">
        <f t="shared" ca="1" si="4"/>
        <v>154</v>
      </c>
      <c r="B157" s="4" t="s">
        <v>418</v>
      </c>
      <c r="C157" s="4" t="s">
        <v>419</v>
      </c>
      <c r="D157" s="4" t="s">
        <v>122</v>
      </c>
      <c r="E157" s="4" t="s">
        <v>66</v>
      </c>
      <c r="F157" s="4">
        <v>96.739800000000002</v>
      </c>
      <c r="G157" s="5">
        <v>96.739800000000002</v>
      </c>
      <c r="H157" s="5">
        <v>15.57</v>
      </c>
      <c r="I157" s="5">
        <v>80</v>
      </c>
      <c r="J157" s="4" t="s">
        <v>124</v>
      </c>
    </row>
    <row r="158" spans="1:10" x14ac:dyDescent="0.25">
      <c r="A158" s="4">
        <f t="shared" ca="1" si="4"/>
        <v>155</v>
      </c>
      <c r="B158" s="4" t="s">
        <v>420</v>
      </c>
      <c r="C158" s="4" t="s">
        <v>421</v>
      </c>
      <c r="D158" s="4" t="s">
        <v>127</v>
      </c>
      <c r="E158" s="4" t="s">
        <v>422</v>
      </c>
      <c r="F158" s="4">
        <v>334.6</v>
      </c>
      <c r="G158" s="5"/>
      <c r="H158" s="5"/>
      <c r="I158" s="5"/>
      <c r="J158" s="4" t="s">
        <v>129</v>
      </c>
    </row>
    <row r="159" spans="1:10" x14ac:dyDescent="0.25">
      <c r="A159" s="4">
        <f t="shared" ca="1" si="4"/>
        <v>156</v>
      </c>
      <c r="B159" s="4" t="s">
        <v>423</v>
      </c>
      <c r="C159" s="4" t="s">
        <v>424</v>
      </c>
      <c r="D159" s="4" t="s">
        <v>127</v>
      </c>
      <c r="E159" s="4" t="s">
        <v>422</v>
      </c>
      <c r="F159" s="4">
        <v>24.83</v>
      </c>
      <c r="G159" s="5"/>
      <c r="H159" s="5"/>
      <c r="I159" s="5"/>
      <c r="J159" s="4" t="s">
        <v>152</v>
      </c>
    </row>
    <row r="160" spans="1:10" x14ac:dyDescent="0.25">
      <c r="A160" s="4">
        <f t="shared" ca="1" si="4"/>
        <v>157</v>
      </c>
      <c r="B160" s="4" t="s">
        <v>425</v>
      </c>
      <c r="C160" s="4" t="s">
        <v>426</v>
      </c>
      <c r="D160" s="4" t="s">
        <v>127</v>
      </c>
      <c r="E160" s="4" t="s">
        <v>427</v>
      </c>
      <c r="F160" s="4">
        <v>807.25</v>
      </c>
      <c r="G160" s="5"/>
      <c r="H160" s="5"/>
      <c r="I160" s="5"/>
      <c r="J160" s="4" t="s">
        <v>129</v>
      </c>
    </row>
    <row r="161" spans="1:10" x14ac:dyDescent="0.25">
      <c r="A161" s="4">
        <f t="shared" ca="1" si="4"/>
        <v>158</v>
      </c>
      <c r="B161" s="4" t="s">
        <v>428</v>
      </c>
      <c r="C161" s="4" t="s">
        <v>429</v>
      </c>
      <c r="D161" s="4" t="s">
        <v>122</v>
      </c>
      <c r="E161" s="4" t="s">
        <v>430</v>
      </c>
      <c r="F161" s="4">
        <v>0.999865</v>
      </c>
      <c r="G161" s="5">
        <v>102.20320000000001</v>
      </c>
      <c r="H161" s="5">
        <v>6.01</v>
      </c>
      <c r="I161" s="5">
        <v>230</v>
      </c>
      <c r="J161" s="4" t="s">
        <v>124</v>
      </c>
    </row>
    <row r="162" spans="1:10" x14ac:dyDescent="0.25">
      <c r="A162" s="4">
        <f t="shared" ca="1" si="4"/>
        <v>159</v>
      </c>
      <c r="B162" s="4" t="s">
        <v>431</v>
      </c>
      <c r="C162" s="4" t="s">
        <v>432</v>
      </c>
      <c r="D162" s="4" t="s">
        <v>122</v>
      </c>
      <c r="E162" s="4" t="s">
        <v>430</v>
      </c>
      <c r="F162" s="4">
        <v>1.015064</v>
      </c>
      <c r="G162" s="5">
        <v>103.36580000000001</v>
      </c>
      <c r="H162" s="5">
        <v>5.26</v>
      </c>
      <c r="I162" s="5">
        <v>1706</v>
      </c>
      <c r="J162" s="4" t="s">
        <v>124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127</v>
      </c>
      <c r="E163" s="4" t="s">
        <v>435</v>
      </c>
      <c r="F163" s="4">
        <v>22815.3</v>
      </c>
      <c r="G163" s="5"/>
      <c r="H163" s="5"/>
      <c r="I163" s="5"/>
      <c r="J163" s="4" t="s">
        <v>129</v>
      </c>
    </row>
    <row r="164" spans="1:10" x14ac:dyDescent="0.25">
      <c r="A164" s="4">
        <f t="shared" ref="A164:A172" ca="1" si="5">IF(OFFSET(A164,-1,0)="№ п/п",1,OFFSET(A164,-1,0)+1)</f>
        <v>161</v>
      </c>
      <c r="B164" s="4" t="s">
        <v>436</v>
      </c>
      <c r="C164" s="4" t="s">
        <v>437</v>
      </c>
      <c r="D164" s="4" t="s">
        <v>127</v>
      </c>
      <c r="E164" s="4" t="s">
        <v>438</v>
      </c>
      <c r="F164" s="4">
        <v>47863.68</v>
      </c>
      <c r="G164" s="5"/>
      <c r="H164" s="5"/>
      <c r="I164" s="5"/>
      <c r="J164" s="4" t="s">
        <v>129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127</v>
      </c>
      <c r="E165" s="4" t="s">
        <v>438</v>
      </c>
      <c r="F165" s="4">
        <v>84.32</v>
      </c>
      <c r="G165" s="5"/>
      <c r="H165" s="5"/>
      <c r="I165" s="5"/>
      <c r="J165" s="4" t="s">
        <v>152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127</v>
      </c>
      <c r="E166" s="4" t="s">
        <v>443</v>
      </c>
      <c r="F166" s="4">
        <v>5.63</v>
      </c>
      <c r="G166" s="5"/>
      <c r="H166" s="5"/>
      <c r="I166" s="5"/>
      <c r="J166" s="4" t="s">
        <v>152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127</v>
      </c>
      <c r="E167" s="4" t="s">
        <v>443</v>
      </c>
      <c r="F167" s="4">
        <v>741.33</v>
      </c>
      <c r="G167" s="5"/>
      <c r="H167" s="5"/>
      <c r="I167" s="5"/>
      <c r="J167" s="4" t="s">
        <v>129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122</v>
      </c>
      <c r="E168" s="4" t="s">
        <v>85</v>
      </c>
      <c r="F168" s="4">
        <v>0.99674499999999999</v>
      </c>
      <c r="G168" s="5">
        <v>101.83540000000001</v>
      </c>
      <c r="H168" s="5">
        <v>6.25</v>
      </c>
      <c r="I168" s="5">
        <v>227</v>
      </c>
      <c r="J168" s="4" t="s">
        <v>124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122</v>
      </c>
      <c r="E169" s="4" t="s">
        <v>85</v>
      </c>
      <c r="F169" s="4">
        <v>1000</v>
      </c>
      <c r="G169" s="5">
        <v>106.3288</v>
      </c>
      <c r="H169" s="5">
        <v>17.46</v>
      </c>
      <c r="I169" s="5">
        <v>965</v>
      </c>
      <c r="J169" s="4" t="s">
        <v>124</v>
      </c>
    </row>
    <row r="170" spans="1:10" x14ac:dyDescent="0.25">
      <c r="A170" s="4">
        <f t="shared" ca="1" si="5"/>
        <v>167</v>
      </c>
      <c r="B170" s="4" t="s">
        <v>450</v>
      </c>
      <c r="C170" s="4" t="s">
        <v>86</v>
      </c>
      <c r="D170" s="4" t="s">
        <v>122</v>
      </c>
      <c r="E170" s="4" t="s">
        <v>85</v>
      </c>
      <c r="F170" s="4">
        <v>934.98910471933505</v>
      </c>
      <c r="G170" s="5">
        <v>106.72641047</v>
      </c>
      <c r="H170" s="5">
        <v>18.29</v>
      </c>
      <c r="I170" s="5">
        <v>759</v>
      </c>
      <c r="J170" s="4" t="s">
        <v>124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122</v>
      </c>
      <c r="E171" s="4" t="s">
        <v>85</v>
      </c>
      <c r="F171" s="4">
        <v>1000</v>
      </c>
      <c r="G171" s="5">
        <v>107.2123</v>
      </c>
      <c r="H171" s="5">
        <v>16.240000000000002</v>
      </c>
      <c r="I171" s="5">
        <v>934</v>
      </c>
      <c r="J171" s="4" t="s">
        <v>124</v>
      </c>
    </row>
    <row r="172" spans="1:10" x14ac:dyDescent="0.25">
      <c r="A172" s="4">
        <f t="shared" ca="1" si="5"/>
        <v>169</v>
      </c>
      <c r="B172" s="4" t="s">
        <v>453</v>
      </c>
      <c r="C172" s="4" t="s">
        <v>454</v>
      </c>
      <c r="D172" s="4" t="s">
        <v>122</v>
      </c>
      <c r="E172" s="4" t="s">
        <v>455</v>
      </c>
      <c r="F172" s="4">
        <v>1.011782</v>
      </c>
      <c r="G172" s="5">
        <v>102.5104</v>
      </c>
      <c r="H172" s="5">
        <v>4.9800000000000004</v>
      </c>
      <c r="I172" s="5">
        <v>1007</v>
      </c>
      <c r="J172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2025-08-07T04:23:18Z</dcterms:created>
  <dcterms:modified xsi:type="dcterms:W3CDTF">2025-08-07T06:35:29Z</dcterms:modified>
</cp:coreProperties>
</file>