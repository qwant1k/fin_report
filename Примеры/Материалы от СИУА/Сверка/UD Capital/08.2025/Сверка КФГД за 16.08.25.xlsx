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70B6D4C5-5E17-4B18-BB31-4260153B7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ДУ!$C$59:$C$68</definedName>
    <definedName name="__mdDATACurrency__">ДУ!$28:$30</definedName>
    <definedName name="__mdDATADDebt__">ДУ!#REF!</definedName>
    <definedName name="__mdDATAHead__">ДУ!$B$2</definedName>
    <definedName name="__mdDATAItogoActive__">ДУ!$B$44</definedName>
    <definedName name="__mdDATAMarketPrice__">'Цены KASE'!#REF!</definedName>
    <definedName name="__mdDATAMoney__">ДУ!$29:$29</definedName>
    <definedName name="__mdDATARepo__">ДУ!$34:$34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O37" i="1"/>
  <c r="O25" i="1"/>
  <c r="D29" i="1"/>
  <c r="F63" i="1"/>
  <c r="B1" i="2"/>
  <c r="C69" i="1"/>
  <c r="G53" i="1"/>
  <c r="F53" i="1"/>
  <c r="E53" i="1"/>
  <c r="G42" i="1"/>
  <c r="F42" i="1"/>
  <c r="E42" i="1"/>
  <c r="M37" i="1"/>
  <c r="M35" i="1"/>
  <c r="H35" i="1"/>
  <c r="M34" i="1"/>
  <c r="H34" i="1"/>
  <c r="B28" i="1"/>
  <c r="L25" i="1"/>
  <c r="K25" i="1"/>
  <c r="H25" i="1"/>
  <c r="D25" i="1"/>
  <c r="Q1" i="1"/>
  <c r="M21" i="1" s="1"/>
  <c r="M18" i="1" l="1"/>
  <c r="M22" i="1"/>
  <c r="M10" i="1"/>
  <c r="M14" i="1"/>
  <c r="M23" i="1"/>
  <c r="M11" i="1"/>
  <c r="M15" i="1"/>
  <c r="M19" i="1"/>
  <c r="M8" i="1"/>
  <c r="M12" i="1"/>
  <c r="M16" i="1"/>
  <c r="M20" i="1"/>
  <c r="M9" i="1"/>
  <c r="M13" i="1"/>
  <c r="M17" i="1"/>
  <c r="M25" i="1" l="1"/>
</calcChain>
</file>

<file path=xl/sharedStrings.xml><?xml version="1.0" encoding="utf-8"?>
<sst xmlns="http://schemas.openxmlformats.org/spreadsheetml/2006/main" count="161" uniqueCount="113">
  <si>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</si>
  <si>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</si>
  <si>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</si>
  <si>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</si>
  <si>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</si>
  <si>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</si>
  <si>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</si>
  <si>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</si>
  <si>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</si>
  <si>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</si>
  <si>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</si>
  <si>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</si>
  <si>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</si>
  <si>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</si>
  <si>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</si>
  <si>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</si>
  <si>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</si>
  <si>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</si>
  <si>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</si>
  <si>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</si>
  <si>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</si>
  <si>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</si>
  <si>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</si>
  <si>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</si>
  <si>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</si>
  <si>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</si>
  <si>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</si>
  <si>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</si>
  <si>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</si>
  <si>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</si>
  <si>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</si>
  <si>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</si>
  <si>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</si>
  <si>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</si>
  <si>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</si>
  <si>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</si>
  <si>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</si>
  <si>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</si>
  <si>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</si>
  <si>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</si>
  <si>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</si>
  <si>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</si>
  <si>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</si>
  <si>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</si>
  <si>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</si>
  <si>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</si>
  <si>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</si>
  <si>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</si>
  <si>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</si>
  <si>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</si>
  <si>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</si>
  <si>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</si>
  <si>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</si>
  <si>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</si>
  <si>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</si>
  <si>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</si>
  <si>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</si>
  <si>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</si>
  <si>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</si>
  <si>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</si>
  <si>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</si>
  <si>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</si>
  <si>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</si>
  <si>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</si>
  <si>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</si>
  <si>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</si>
  <si>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</si>
  <si>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KZW100014312</t>
  </si>
  <si>
    <t>KZT</t>
  </si>
  <si>
    <t>15.08.2025</t>
  </si>
  <si>
    <t>18.08.2025</t>
  </si>
  <si>
    <t>KZ96601A861038102391</t>
  </si>
  <si>
    <t>МИНИСТЕРСТВО ФИНАНСОВ РК</t>
  </si>
  <si>
    <t>KZK200000687</t>
  </si>
  <si>
    <t>18.07.2024</t>
  </si>
  <si>
    <t>21.01.2026</t>
  </si>
  <si>
    <t>KZKD00000790</t>
  </si>
  <si>
    <t>10.07.2025</t>
  </si>
  <si>
    <t>13.08.2029</t>
  </si>
  <si>
    <t>KZKD00001129</t>
  </si>
  <si>
    <t>17.03.2031</t>
  </si>
  <si>
    <t>KZKD00000949</t>
  </si>
  <si>
    <t>16.04.2032</t>
  </si>
  <si>
    <t>KZKD00000741</t>
  </si>
  <si>
    <t>12.05.2034</t>
  </si>
  <si>
    <t>KZKD00000477</t>
  </si>
  <si>
    <t>24.07.2025</t>
  </si>
  <si>
    <t>19.10.2027</t>
  </si>
  <si>
    <t>KZKD00001137</t>
  </si>
  <si>
    <t>12.04.2028</t>
  </si>
  <si>
    <t>KZKD00000832</t>
  </si>
  <si>
    <t>29.01.2035</t>
  </si>
  <si>
    <t>KZK100000373</t>
  </si>
  <si>
    <t>13.03.2025</t>
  </si>
  <si>
    <t>06.02.2026</t>
  </si>
  <si>
    <t>KZKD00001152</t>
  </si>
  <si>
    <t>26.07.2032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</si>
  <si>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</si>
  <si>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</si>
  <si>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</si>
  <si>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</si>
  <si>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</si>
  <si>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</si>
  <si>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KZKD00000535</t>
  </si>
  <si>
    <t>27.03.2027</t>
  </si>
  <si>
    <t>KZKD00001160</t>
  </si>
  <si>
    <t>28.07.2029</t>
  </si>
  <si>
    <t>KZKD00001251</t>
  </si>
  <si>
    <t>07.03.2030</t>
  </si>
  <si>
    <t>KZK200000760</t>
  </si>
  <si>
    <t>14.08.2025</t>
  </si>
  <si>
    <t>07.08.2029</t>
  </si>
  <si>
    <t>16.08.2025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</si>
</sst>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9" fontId="0" fillId="0" borderId="0" xfId="0" applyNumberFormat="1"/>
    <xf numFmtId="43" fontId="10" fillId="0" borderId="0" xfId="2" applyFont="1"/>
    <xf numFmtId="171" fontId="3" fillId="0" borderId="0" xfId="0" applyNumberFormat="1" applyFont="1"/>
    <xf numFmtId="43" fontId="12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1"/>
      <sheetName val="лист "/>
    </sheetNames>
    <sheetDataSet>
      <sheetData sheetId="0">
        <row r="405">
          <cell r="AV405">
            <v>27261139425.39798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topLeftCell="A22" workbookViewId="0">
      <selection activeCell="D44" sqref="D44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L25</f>
        <v>24339430490.332417</v>
      </c>
    </row>
    <row r="2" spans="1:17" x14ac:dyDescent="0.25">
      <c r="A2" s="2" t="s">
        <v>64</v>
      </c>
      <c r="B2" s="2" t="s">
        <v>112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72</v>
      </c>
      <c r="B8" s="14" t="s">
        <v>73</v>
      </c>
      <c r="C8" s="15">
        <v>2530000</v>
      </c>
      <c r="D8" s="16">
        <v>2530000000</v>
      </c>
      <c r="E8" s="17">
        <v>10.67</v>
      </c>
      <c r="F8" s="18" t="s">
        <v>74</v>
      </c>
      <c r="G8" s="18" t="s">
        <v>75</v>
      </c>
      <c r="H8" s="17">
        <v>2455119589.9966769</v>
      </c>
      <c r="I8" s="19"/>
      <c r="J8" s="19"/>
      <c r="K8" s="17">
        <v>18746597.22222222</v>
      </c>
      <c r="L8" s="17">
        <v>2492884197.2222219</v>
      </c>
      <c r="M8" s="20">
        <f t="shared" ref="M8:M23" si="0">L8/$Q$1</f>
        <v>0.10242163218290549</v>
      </c>
      <c r="O8" s="9">
        <v>749863.88888888899</v>
      </c>
    </row>
    <row r="9" spans="1:17" x14ac:dyDescent="0.25">
      <c r="A9" s="14" t="s">
        <v>72</v>
      </c>
      <c r="B9" s="14" t="s">
        <v>76</v>
      </c>
      <c r="C9" s="15">
        <v>2469500</v>
      </c>
      <c r="D9" s="16">
        <v>2469500000</v>
      </c>
      <c r="E9" s="17">
        <v>7.68</v>
      </c>
      <c r="F9" s="18" t="s">
        <v>77</v>
      </c>
      <c r="G9" s="18" t="s">
        <v>78</v>
      </c>
      <c r="H9" s="17">
        <v>1827657194</v>
      </c>
      <c r="I9" s="19"/>
      <c r="J9" s="19"/>
      <c r="K9" s="17">
        <v>1580480</v>
      </c>
      <c r="L9" s="17">
        <v>1839888627.5</v>
      </c>
      <c r="M9" s="20">
        <f t="shared" si="0"/>
        <v>7.5592920230027602E-2</v>
      </c>
      <c r="O9" s="9">
        <v>749863.88888888899</v>
      </c>
    </row>
    <row r="10" spans="1:17" x14ac:dyDescent="0.25">
      <c r="A10" s="14" t="s">
        <v>72</v>
      </c>
      <c r="B10" s="14" t="s">
        <v>79</v>
      </c>
      <c r="C10" s="15">
        <v>1897500</v>
      </c>
      <c r="D10" s="16">
        <v>1897500000</v>
      </c>
      <c r="E10" s="17">
        <v>10.3</v>
      </c>
      <c r="F10" s="18" t="s">
        <v>74</v>
      </c>
      <c r="G10" s="18" t="s">
        <v>80</v>
      </c>
      <c r="H10" s="17">
        <v>1645329839.996666</v>
      </c>
      <c r="I10" s="19"/>
      <c r="J10" s="19"/>
      <c r="K10" s="17">
        <v>80891479.166666657</v>
      </c>
      <c r="L10" s="17">
        <v>1546372474.166666</v>
      </c>
      <c r="M10" s="20">
        <f t="shared" si="0"/>
        <v>6.3533634231124791E-2</v>
      </c>
      <c r="O10" s="9">
        <v>749863.88888888899</v>
      </c>
    </row>
    <row r="11" spans="1:17" x14ac:dyDescent="0.25">
      <c r="A11" s="14" t="s">
        <v>72</v>
      </c>
      <c r="B11" s="14" t="s">
        <v>81</v>
      </c>
      <c r="C11" s="15">
        <v>1897500</v>
      </c>
      <c r="D11" s="16">
        <v>1897500000</v>
      </c>
      <c r="E11" s="17">
        <v>8.4499999999999993</v>
      </c>
      <c r="F11" s="18" t="s">
        <v>74</v>
      </c>
      <c r="G11" s="18" t="s">
        <v>82</v>
      </c>
      <c r="H11" s="17">
        <v>1457889097.496666</v>
      </c>
      <c r="I11" s="19"/>
      <c r="J11" s="19"/>
      <c r="K11" s="17">
        <v>53446250</v>
      </c>
      <c r="L11" s="17">
        <v>1340898102.5</v>
      </c>
      <c r="M11" s="20">
        <f t="shared" si="0"/>
        <v>5.5091597275975811E-2</v>
      </c>
      <c r="O11" s="9">
        <v>749863.88888888899</v>
      </c>
    </row>
    <row r="12" spans="1:17" x14ac:dyDescent="0.25">
      <c r="A12" s="14" t="s">
        <v>72</v>
      </c>
      <c r="B12" s="14" t="s">
        <v>83</v>
      </c>
      <c r="C12" s="15">
        <v>1897500</v>
      </c>
      <c r="D12" s="16">
        <v>1897500000</v>
      </c>
      <c r="E12" s="17">
        <v>8.07</v>
      </c>
      <c r="F12" s="18" t="s">
        <v>74</v>
      </c>
      <c r="G12" s="18" t="s">
        <v>84</v>
      </c>
      <c r="H12" s="17">
        <v>1359122325</v>
      </c>
      <c r="I12" s="19"/>
      <c r="J12" s="19"/>
      <c r="K12" s="17">
        <v>39983487.5</v>
      </c>
      <c r="L12" s="17">
        <v>1208989595</v>
      </c>
      <c r="M12" s="20">
        <f t="shared" si="0"/>
        <v>4.9672057671201829E-2</v>
      </c>
      <c r="O12" s="9">
        <v>749863.88888888899</v>
      </c>
    </row>
    <row r="13" spans="1:17" x14ac:dyDescent="0.25">
      <c r="A13" s="14" t="s">
        <v>72</v>
      </c>
      <c r="B13" s="14" t="s">
        <v>85</v>
      </c>
      <c r="C13" s="15">
        <v>2391500</v>
      </c>
      <c r="D13" s="16">
        <v>2391500000</v>
      </c>
      <c r="E13" s="17">
        <v>5.3</v>
      </c>
      <c r="F13" s="18" t="s">
        <v>86</v>
      </c>
      <c r="G13" s="18" t="s">
        <v>87</v>
      </c>
      <c r="H13" s="17">
        <v>1903079172</v>
      </c>
      <c r="I13" s="19"/>
      <c r="J13" s="19"/>
      <c r="K13" s="17">
        <v>104568337.497778</v>
      </c>
      <c r="L13" s="17">
        <v>2008252558.997777</v>
      </c>
      <c r="M13" s="20">
        <f t="shared" si="0"/>
        <v>8.2510252645206783E-2</v>
      </c>
      <c r="O13" s="9">
        <v>749863.88888888899</v>
      </c>
    </row>
    <row r="14" spans="1:17" x14ac:dyDescent="0.25">
      <c r="A14" s="14" t="s">
        <v>72</v>
      </c>
      <c r="B14" s="14" t="s">
        <v>88</v>
      </c>
      <c r="C14" s="15">
        <v>1897500</v>
      </c>
      <c r="D14" s="16">
        <v>1897500000</v>
      </c>
      <c r="E14" s="17">
        <v>10.4</v>
      </c>
      <c r="F14" s="18" t="s">
        <v>74</v>
      </c>
      <c r="G14" s="18" t="s">
        <v>89</v>
      </c>
      <c r="H14" s="17">
        <v>1736743800</v>
      </c>
      <c r="I14" s="19"/>
      <c r="J14" s="19"/>
      <c r="K14" s="17">
        <v>67972666.666666657</v>
      </c>
      <c r="L14" s="17">
        <v>1703370991.666666</v>
      </c>
      <c r="M14" s="20">
        <f t="shared" si="0"/>
        <v>6.9984011842152277E-2</v>
      </c>
      <c r="O14" s="9">
        <v>749863.88888888899</v>
      </c>
    </row>
    <row r="15" spans="1:17" x14ac:dyDescent="0.25">
      <c r="A15" s="14" t="s">
        <v>72</v>
      </c>
      <c r="B15" s="14" t="s">
        <v>90</v>
      </c>
      <c r="C15" s="15">
        <v>1897500</v>
      </c>
      <c r="D15" s="16">
        <v>1897500000</v>
      </c>
      <c r="E15" s="17">
        <v>8.07</v>
      </c>
      <c r="F15" s="18" t="s">
        <v>74</v>
      </c>
      <c r="G15" s="18" t="s">
        <v>91</v>
      </c>
      <c r="H15" s="17">
        <v>1338524962.5</v>
      </c>
      <c r="I15" s="19"/>
      <c r="J15" s="19"/>
      <c r="K15" s="17">
        <v>83795181.25</v>
      </c>
      <c r="L15" s="17">
        <v>1226057923.75</v>
      </c>
      <c r="M15" s="20">
        <f t="shared" si="0"/>
        <v>5.0373320125012305E-2</v>
      </c>
      <c r="O15" s="9">
        <v>749863.88888888899</v>
      </c>
    </row>
    <row r="16" spans="1:17" x14ac:dyDescent="0.25">
      <c r="A16" s="14" t="s">
        <v>72</v>
      </c>
      <c r="B16" s="14" t="s">
        <v>92</v>
      </c>
      <c r="C16" s="15">
        <v>11424000</v>
      </c>
      <c r="D16" s="16">
        <v>1142400000</v>
      </c>
      <c r="E16" s="17">
        <v>0</v>
      </c>
      <c r="F16" s="18" t="s">
        <v>93</v>
      </c>
      <c r="G16" s="18" t="s">
        <v>94</v>
      </c>
      <c r="H16" s="17">
        <v>1003902278.4</v>
      </c>
      <c r="I16" s="19"/>
      <c r="J16" s="19"/>
      <c r="K16" s="17"/>
      <c r="L16" s="17">
        <v>1060806364.8</v>
      </c>
      <c r="M16" s="20">
        <f t="shared" si="0"/>
        <v>4.3583861389910113E-2</v>
      </c>
      <c r="O16" s="9">
        <v>749863.88888888899</v>
      </c>
    </row>
    <row r="17" spans="1:15" x14ac:dyDescent="0.25">
      <c r="A17" s="14" t="s">
        <v>72</v>
      </c>
      <c r="B17" s="14" t="s">
        <v>95</v>
      </c>
      <c r="C17" s="15">
        <v>1897500</v>
      </c>
      <c r="D17" s="16">
        <v>1897500000</v>
      </c>
      <c r="E17" s="17">
        <v>10.65</v>
      </c>
      <c r="F17" s="18" t="s">
        <v>74</v>
      </c>
      <c r="G17" s="18" t="s">
        <v>96</v>
      </c>
      <c r="H17" s="17">
        <v>1648500562.5</v>
      </c>
      <c r="I17" s="19"/>
      <c r="J17" s="19"/>
      <c r="K17" s="17">
        <v>11226875</v>
      </c>
      <c r="L17" s="17">
        <v>1450825970</v>
      </c>
      <c r="M17" s="20">
        <f t="shared" si="0"/>
        <v>5.9608049193109337E-2</v>
      </c>
      <c r="O17" s="9">
        <v>749863.88888888899</v>
      </c>
    </row>
    <row r="18" spans="1:15" x14ac:dyDescent="0.25">
      <c r="A18" s="14" t="s">
        <v>72</v>
      </c>
      <c r="B18" s="14" t="s">
        <v>97</v>
      </c>
      <c r="C18" s="15">
        <v>1897500</v>
      </c>
      <c r="D18" s="16">
        <v>1897500000</v>
      </c>
      <c r="E18" s="17">
        <v>11</v>
      </c>
      <c r="F18" s="18" t="s">
        <v>74</v>
      </c>
      <c r="G18" s="18" t="s">
        <v>98</v>
      </c>
      <c r="H18" s="17">
        <v>1743261712.5</v>
      </c>
      <c r="I18" s="19"/>
      <c r="J18" s="19"/>
      <c r="K18" s="17">
        <v>78851666.666666657</v>
      </c>
      <c r="L18" s="17">
        <v>1679284759.166666</v>
      </c>
      <c r="M18" s="20">
        <f t="shared" si="0"/>
        <v>6.8994414632407908E-2</v>
      </c>
      <c r="O18" s="9">
        <v>749863.88888888899</v>
      </c>
    </row>
    <row r="19" spans="1:15" x14ac:dyDescent="0.25">
      <c r="A19" s="14" t="s">
        <v>99</v>
      </c>
      <c r="B19" s="14" t="s">
        <v>100</v>
      </c>
      <c r="C19" s="15">
        <v>992234</v>
      </c>
      <c r="D19" s="16">
        <v>992234000</v>
      </c>
      <c r="E19" s="17">
        <v>14.3</v>
      </c>
      <c r="F19" s="18" t="s">
        <v>101</v>
      </c>
      <c r="G19" s="18" t="s">
        <v>102</v>
      </c>
      <c r="H19" s="17">
        <v>991722999.49000001</v>
      </c>
      <c r="I19" s="19"/>
      <c r="J19" s="19"/>
      <c r="K19" s="17">
        <v>135189126.29111099</v>
      </c>
      <c r="L19" s="17">
        <v>1059487394.36242</v>
      </c>
      <c r="M19" s="20">
        <f t="shared" si="0"/>
        <v>4.3529670703809059E-2</v>
      </c>
      <c r="O19" s="9">
        <v>749863.88888888899</v>
      </c>
    </row>
    <row r="20" spans="1:15" x14ac:dyDescent="0.25">
      <c r="A20" s="14" t="s">
        <v>72</v>
      </c>
      <c r="B20" s="14" t="s">
        <v>103</v>
      </c>
      <c r="C20" s="15">
        <v>3162500</v>
      </c>
      <c r="D20" s="16">
        <v>3162500000</v>
      </c>
      <c r="E20" s="17">
        <v>5.49</v>
      </c>
      <c r="F20" s="18" t="s">
        <v>74</v>
      </c>
      <c r="G20" s="18" t="s">
        <v>104</v>
      </c>
      <c r="H20" s="17">
        <v>2627740225</v>
      </c>
      <c r="I20" s="19"/>
      <c r="J20" s="19"/>
      <c r="K20" s="17">
        <v>67037093.75</v>
      </c>
      <c r="L20" s="17">
        <v>2735564081.25</v>
      </c>
      <c r="M20" s="20">
        <f t="shared" si="0"/>
        <v>0.11239227977567354</v>
      </c>
      <c r="O20" s="9">
        <v>749863.88888888899</v>
      </c>
    </row>
    <row r="21" spans="1:15" x14ac:dyDescent="0.25">
      <c r="A21" s="14" t="s">
        <v>72</v>
      </c>
      <c r="B21" s="14" t="s">
        <v>105</v>
      </c>
      <c r="C21" s="15">
        <v>1897500</v>
      </c>
      <c r="D21" s="16">
        <v>1897500000</v>
      </c>
      <c r="E21" s="17">
        <v>10.55</v>
      </c>
      <c r="F21" s="18" t="s">
        <v>74</v>
      </c>
      <c r="G21" s="18" t="s">
        <v>106</v>
      </c>
      <c r="H21" s="17">
        <v>1708326839.9966669</v>
      </c>
      <c r="I21" s="19"/>
      <c r="J21" s="19"/>
      <c r="K21" s="17">
        <v>10009312.5</v>
      </c>
      <c r="L21" s="17">
        <v>1573543620</v>
      </c>
      <c r="M21" s="20">
        <f t="shared" si="0"/>
        <v>6.4649976942764087E-2</v>
      </c>
      <c r="O21" s="9">
        <v>749863.88888888899</v>
      </c>
    </row>
    <row r="22" spans="1:15" x14ac:dyDescent="0.25">
      <c r="A22" s="14" t="s">
        <v>72</v>
      </c>
      <c r="B22" s="14" t="s">
        <v>107</v>
      </c>
      <c r="C22" s="15">
        <v>550000</v>
      </c>
      <c r="D22" s="16">
        <v>550000000</v>
      </c>
      <c r="E22" s="17">
        <v>12</v>
      </c>
      <c r="F22" s="18" t="s">
        <v>93</v>
      </c>
      <c r="G22" s="18" t="s">
        <v>108</v>
      </c>
      <c r="H22" s="17">
        <v>491343050</v>
      </c>
      <c r="I22" s="19"/>
      <c r="J22" s="19"/>
      <c r="K22" s="17">
        <v>29149999.999999989</v>
      </c>
      <c r="L22" s="17">
        <v>496067550</v>
      </c>
      <c r="M22" s="20">
        <f t="shared" si="0"/>
        <v>2.0381230785043933E-2</v>
      </c>
      <c r="O22" s="9">
        <v>749863.88888888899</v>
      </c>
    </row>
    <row r="23" spans="1:15" x14ac:dyDescent="0.25">
      <c r="A23" s="14" t="s">
        <v>72</v>
      </c>
      <c r="B23" s="14" t="s">
        <v>109</v>
      </c>
      <c r="C23" s="15">
        <v>897100</v>
      </c>
      <c r="D23" s="16">
        <v>897100000</v>
      </c>
      <c r="E23" s="17">
        <v>17.010000000000002</v>
      </c>
      <c r="F23" s="18" t="s">
        <v>110</v>
      </c>
      <c r="G23" s="18" t="s">
        <v>111</v>
      </c>
      <c r="H23" s="17">
        <v>896985171.20000005</v>
      </c>
      <c r="I23" s="19"/>
      <c r="J23" s="19"/>
      <c r="K23" s="17">
        <v>3814917.75</v>
      </c>
      <c r="L23" s="17">
        <v>917136279.95000005</v>
      </c>
      <c r="M23" s="20">
        <f t="shared" si="0"/>
        <v>3.768109037367514E-2</v>
      </c>
      <c r="O23" s="9">
        <v>749863.88888888899</v>
      </c>
    </row>
    <row r="24" spans="1:15" hidden="1" x14ac:dyDescent="0.25">
      <c r="A24" s="14"/>
      <c r="B24" s="14"/>
      <c r="C24" s="14"/>
      <c r="D24" s="17"/>
      <c r="E24" s="17"/>
      <c r="F24" s="18"/>
      <c r="G24" s="18"/>
      <c r="H24" s="17"/>
      <c r="I24" s="19"/>
      <c r="J24" s="19"/>
      <c r="K24" s="17"/>
      <c r="L24" s="17"/>
      <c r="M24" s="20"/>
    </row>
    <row r="25" spans="1:15" x14ac:dyDescent="0.25">
      <c r="A25" s="14"/>
      <c r="B25" s="21" t="s">
        <v>5</v>
      </c>
      <c r="C25" s="14"/>
      <c r="D25" s="54">
        <f>SUM(D8:D24)</f>
        <v>29315234000</v>
      </c>
      <c r="E25" s="23"/>
      <c r="F25" s="22"/>
      <c r="G25" s="22"/>
      <c r="H25" s="54">
        <f>SUM(H8:H24)</f>
        <v>24835248820.076675</v>
      </c>
      <c r="I25" s="22"/>
      <c r="J25" s="22"/>
      <c r="K25" s="54">
        <f>SUM(K8:K24)</f>
        <v>786263471.26111114</v>
      </c>
      <c r="L25" s="54">
        <f>SUM(L8:L24)</f>
        <v>24339430490.332417</v>
      </c>
      <c r="M25" s="56">
        <f>SUM(M8:M24)</f>
        <v>1</v>
      </c>
      <c r="N25">
        <v>24339430490.334637</v>
      </c>
      <c r="O25" s="60">
        <f>L25-N25</f>
        <v>-2.22015380859375E-3</v>
      </c>
    </row>
    <row r="27" spans="1:15" x14ac:dyDescent="0.25">
      <c r="A27" s="28" t="s">
        <v>35</v>
      </c>
    </row>
    <row r="28" spans="1:15" x14ac:dyDescent="0.25">
      <c r="A28" s="13" t="s">
        <v>68</v>
      </c>
      <c r="B28" s="29">
        <f>SUM(B29:B30)</f>
        <v>733973.27</v>
      </c>
    </row>
    <row r="29" spans="1:15" x14ac:dyDescent="0.25">
      <c r="A29" s="30" t="s">
        <v>71</v>
      </c>
      <c r="B29" s="31">
        <v>733973.27</v>
      </c>
      <c r="C29" s="10">
        <v>733973.27</v>
      </c>
      <c r="D29" s="59">
        <f>B29-C29</f>
        <v>0</v>
      </c>
    </row>
    <row r="30" spans="1:15" hidden="1" x14ac:dyDescent="0.25">
      <c r="A30" s="30"/>
      <c r="B30" s="32"/>
    </row>
    <row r="32" spans="1:15" x14ac:dyDescent="0.25">
      <c r="A32" s="12" t="s">
        <v>18</v>
      </c>
    </row>
    <row r="33" spans="1:17" ht="45" x14ac:dyDescent="0.25">
      <c r="A33" s="13" t="s">
        <v>23</v>
      </c>
      <c r="B33" s="13" t="s">
        <v>24</v>
      </c>
      <c r="C33" s="13" t="s">
        <v>25</v>
      </c>
      <c r="D33" s="13" t="s">
        <v>26</v>
      </c>
      <c r="E33" s="13" t="s">
        <v>19</v>
      </c>
      <c r="F33" s="13" t="s">
        <v>20</v>
      </c>
      <c r="G33" s="13" t="s">
        <v>27</v>
      </c>
      <c r="H33" s="13" t="s">
        <v>28</v>
      </c>
      <c r="I33" s="13" t="s">
        <v>29</v>
      </c>
      <c r="J33" s="13" t="s">
        <v>30</v>
      </c>
      <c r="K33" s="13" t="s">
        <v>31</v>
      </c>
      <c r="L33" s="13" t="s">
        <v>33</v>
      </c>
      <c r="M33" s="13" t="s">
        <v>32</v>
      </c>
      <c r="O33"/>
    </row>
    <row r="34" spans="1:17" x14ac:dyDescent="0.25">
      <c r="A34" s="38" t="s">
        <v>66</v>
      </c>
      <c r="B34" s="38" t="s">
        <v>67</v>
      </c>
      <c r="C34" s="49">
        <v>180360</v>
      </c>
      <c r="D34" s="38" t="s">
        <v>68</v>
      </c>
      <c r="E34" s="50" t="s">
        <v>69</v>
      </c>
      <c r="F34" s="50" t="s">
        <v>70</v>
      </c>
      <c r="G34" s="51">
        <v>99.802199988911056</v>
      </c>
      <c r="H34" s="51">
        <f>J34/C34</f>
        <v>99.929346085606568</v>
      </c>
      <c r="I34" s="52">
        <v>18000324.789999999</v>
      </c>
      <c r="J34" s="52">
        <v>18023256.859999999</v>
      </c>
      <c r="K34" s="53">
        <v>15.500100000000002</v>
      </c>
      <c r="L34" s="53">
        <v>7644.0233333333335</v>
      </c>
      <c r="M34" s="32">
        <f>I34+L34</f>
        <v>18007968.813333333</v>
      </c>
      <c r="N34" s="9"/>
      <c r="O34"/>
      <c r="Q34">
        <v>1</v>
      </c>
    </row>
    <row r="35" spans="1:17" x14ac:dyDescent="0.25">
      <c r="A35" s="38" t="s">
        <v>66</v>
      </c>
      <c r="B35" s="38" t="s">
        <v>67</v>
      </c>
      <c r="C35" s="49">
        <v>29088060</v>
      </c>
      <c r="D35" s="38" t="s">
        <v>68</v>
      </c>
      <c r="E35" s="50" t="s">
        <v>69</v>
      </c>
      <c r="F35" s="50" t="s">
        <v>70</v>
      </c>
      <c r="G35" s="51">
        <v>99.802199999931247</v>
      </c>
      <c r="H35" s="51">
        <f>J35/C35</f>
        <v>99.929346088738811</v>
      </c>
      <c r="I35" s="52">
        <v>2903052381.73</v>
      </c>
      <c r="J35" s="52">
        <v>2906750814.79</v>
      </c>
      <c r="K35" s="53">
        <v>15.500100000000002</v>
      </c>
      <c r="L35" s="53">
        <v>1232811.02</v>
      </c>
      <c r="M35" s="32">
        <f>I35+L35</f>
        <v>2904285192.75</v>
      </c>
      <c r="N35" s="9"/>
      <c r="O35"/>
      <c r="Q35">
        <v>1</v>
      </c>
    </row>
    <row r="36" spans="1:17" hidden="1" x14ac:dyDescent="0.25">
      <c r="A36" s="38"/>
      <c r="B36" s="38"/>
      <c r="C36" s="49"/>
      <c r="D36" s="38"/>
      <c r="E36" s="50"/>
      <c r="F36" s="50"/>
      <c r="G36" s="51"/>
      <c r="H36" s="51"/>
      <c r="I36" s="52"/>
      <c r="J36" s="52"/>
      <c r="K36" s="53"/>
      <c r="L36" s="32"/>
      <c r="M36" s="32"/>
      <c r="N36" s="9"/>
      <c r="O36"/>
    </row>
    <row r="37" spans="1:17" s="12" customFormat="1" x14ac:dyDescent="0.25">
      <c r="A37" s="34"/>
      <c r="B37" s="35" t="s">
        <v>5</v>
      </c>
      <c r="C37" s="34"/>
      <c r="D37" s="34"/>
      <c r="E37" s="34"/>
      <c r="F37" s="34"/>
      <c r="G37" s="34"/>
      <c r="H37" s="34"/>
      <c r="I37" s="34"/>
      <c r="J37" s="34"/>
      <c r="K37" s="34"/>
      <c r="L37" s="34" t="s">
        <v>44</v>
      </c>
      <c r="M37" s="33">
        <f>SUMIF(Q34:Q36,1,M34:M36)</f>
        <v>2922293161.5633335</v>
      </c>
      <c r="N37" s="61">
        <v>2922293161.5633335</v>
      </c>
      <c r="O37" s="62">
        <f>M37-N37</f>
        <v>0</v>
      </c>
    </row>
    <row r="39" spans="1:17" ht="30" x14ac:dyDescent="0.25">
      <c r="A39" s="28" t="s">
        <v>37</v>
      </c>
    </row>
    <row r="40" spans="1:17" ht="30" x14ac:dyDescent="0.25">
      <c r="A40" s="13" t="s">
        <v>7</v>
      </c>
      <c r="B40" s="13" t="s">
        <v>38</v>
      </c>
      <c r="C40" s="13" t="s">
        <v>26</v>
      </c>
      <c r="D40" s="13" t="s">
        <v>39</v>
      </c>
      <c r="E40" s="13" t="s">
        <v>25</v>
      </c>
      <c r="F40" s="13" t="s">
        <v>40</v>
      </c>
      <c r="G40" s="13" t="s">
        <v>41</v>
      </c>
      <c r="N40" s="9"/>
      <c r="O40"/>
    </row>
    <row r="41" spans="1:17" hidden="1" x14ac:dyDescent="0.25">
      <c r="A41" s="37"/>
      <c r="B41" s="37"/>
      <c r="C41" s="38"/>
      <c r="D41" s="39"/>
      <c r="E41" s="30"/>
      <c r="F41" s="30"/>
      <c r="G41" s="32"/>
      <c r="N41" s="9"/>
      <c r="O41"/>
    </row>
    <row r="42" spans="1:17" s="12" customFormat="1" x14ac:dyDescent="0.25">
      <c r="A42" s="40"/>
      <c r="B42" s="41" t="s">
        <v>5</v>
      </c>
      <c r="C42" s="42"/>
      <c r="D42" s="43"/>
      <c r="E42" s="55">
        <f>SUM(E41:E41)</f>
        <v>0</v>
      </c>
      <c r="F42" s="33">
        <f>SUM(F41:F41)</f>
        <v>0</v>
      </c>
      <c r="G42" s="33">
        <f>SUM(G41:G41)</f>
        <v>0</v>
      </c>
      <c r="N42" s="36"/>
    </row>
    <row r="43" spans="1:17" x14ac:dyDescent="0.25">
      <c r="A43" s="25"/>
      <c r="D43" s="26"/>
      <c r="G43" s="24"/>
    </row>
    <row r="44" spans="1:17" x14ac:dyDescent="0.25">
      <c r="A44" s="1" t="s">
        <v>22</v>
      </c>
      <c r="B44" s="27">
        <v>27262457625.169998</v>
      </c>
      <c r="C44" s="63">
        <v>27262457625.167973</v>
      </c>
      <c r="D44" s="63">
        <f>__mdDATAItogoActive__-C44</f>
        <v>2.025604248046875E-3</v>
      </c>
    </row>
    <row r="45" spans="1:17" x14ac:dyDescent="0.25">
      <c r="D45" s="8"/>
      <c r="E45" s="8"/>
    </row>
    <row r="47" spans="1:17" x14ac:dyDescent="0.25">
      <c r="A47" s="1" t="s">
        <v>47</v>
      </c>
      <c r="B47" s="1"/>
      <c r="C47" s="1"/>
      <c r="F47" s="8"/>
      <c r="O47"/>
    </row>
    <row r="48" spans="1:17" x14ac:dyDescent="0.25">
      <c r="O48"/>
    </row>
    <row r="49" spans="1:15" x14ac:dyDescent="0.25">
      <c r="A49" s="57" t="s">
        <v>48</v>
      </c>
      <c r="B49" s="57"/>
      <c r="C49" s="57"/>
      <c r="D49" s="57"/>
      <c r="O49"/>
    </row>
    <row r="50" spans="1:15" x14ac:dyDescent="0.25">
      <c r="O50"/>
    </row>
    <row r="51" spans="1:15" ht="30" x14ac:dyDescent="0.25">
      <c r="A51" s="13" t="s">
        <v>7</v>
      </c>
      <c r="B51" s="13" t="s">
        <v>38</v>
      </c>
      <c r="C51" s="13" t="s">
        <v>26</v>
      </c>
      <c r="D51" s="13" t="s">
        <v>39</v>
      </c>
      <c r="E51" s="13" t="s">
        <v>25</v>
      </c>
      <c r="F51" s="13" t="s">
        <v>40</v>
      </c>
      <c r="G51" s="13" t="s">
        <v>41</v>
      </c>
      <c r="O51"/>
    </row>
    <row r="52" spans="1:15" hidden="1" x14ac:dyDescent="0.25">
      <c r="A52" s="45"/>
      <c r="B52" s="45"/>
      <c r="C52" s="45"/>
      <c r="D52" s="45"/>
      <c r="E52" s="45"/>
      <c r="F52" s="45"/>
      <c r="G52" s="45"/>
      <c r="O52"/>
    </row>
    <row r="53" spans="1:15" s="12" customFormat="1" x14ac:dyDescent="0.25">
      <c r="A53" s="34"/>
      <c r="B53" s="35" t="s">
        <v>5</v>
      </c>
      <c r="C53" s="34"/>
      <c r="D53" s="34"/>
      <c r="E53" s="55">
        <f>SUM(E52:E52)</f>
        <v>0</v>
      </c>
      <c r="F53" s="33">
        <f>SUM(F52:F52)</f>
        <v>0</v>
      </c>
      <c r="G53" s="33">
        <f>SUM(G52:G52)</f>
        <v>0</v>
      </c>
    </row>
    <row r="54" spans="1:15" s="12" customFormat="1" x14ac:dyDescent="0.25">
      <c r="B54" s="44"/>
    </row>
    <row r="55" spans="1:15" x14ac:dyDescent="0.25">
      <c r="A55" s="57" t="s">
        <v>49</v>
      </c>
      <c r="B55" s="57"/>
      <c r="O55"/>
    </row>
    <row r="56" spans="1:15" x14ac:dyDescent="0.25">
      <c r="O56"/>
    </row>
    <row r="57" spans="1:15" x14ac:dyDescent="0.25">
      <c r="A57" s="13" t="s">
        <v>7</v>
      </c>
      <c r="B57" s="13" t="s">
        <v>38</v>
      </c>
      <c r="C57" s="13" t="s">
        <v>50</v>
      </c>
      <c r="D57" s="13" t="s">
        <v>51</v>
      </c>
      <c r="O57"/>
    </row>
    <row r="58" spans="1:15" x14ac:dyDescent="0.25">
      <c r="A58" s="23" t="s">
        <v>52</v>
      </c>
      <c r="B58" s="23">
        <v>1</v>
      </c>
      <c r="C58" s="23">
        <v>2</v>
      </c>
      <c r="D58" s="23">
        <v>3</v>
      </c>
      <c r="O58"/>
    </row>
    <row r="59" spans="1:15" x14ac:dyDescent="0.25">
      <c r="A59" s="23">
        <v>1</v>
      </c>
      <c r="B59" s="45" t="s">
        <v>53</v>
      </c>
      <c r="C59" s="46">
        <v>-7.35</v>
      </c>
      <c r="D59" s="23"/>
      <c r="E59" s="8"/>
      <c r="O59"/>
    </row>
    <row r="60" spans="1:15" x14ac:dyDescent="0.25">
      <c r="A60" s="23">
        <v>2</v>
      </c>
      <c r="B60" s="45" t="s">
        <v>54</v>
      </c>
      <c r="C60" s="46">
        <v>0</v>
      </c>
      <c r="D60" s="23"/>
      <c r="E60" s="8"/>
      <c r="O60"/>
    </row>
    <row r="61" spans="1:15" x14ac:dyDescent="0.25">
      <c r="A61" s="23">
        <v>3</v>
      </c>
      <c r="B61" s="45" t="s">
        <v>55</v>
      </c>
      <c r="C61" s="46">
        <v>493695.56985690602</v>
      </c>
      <c r="D61" s="23"/>
      <c r="O61"/>
    </row>
    <row r="62" spans="1:15" x14ac:dyDescent="0.25">
      <c r="A62" s="23">
        <v>4</v>
      </c>
      <c r="B62" s="45" t="s">
        <v>56</v>
      </c>
      <c r="C62" s="46">
        <v>0</v>
      </c>
      <c r="D62" s="23"/>
      <c r="O62"/>
    </row>
    <row r="63" spans="1:15" ht="30" x14ac:dyDescent="0.25">
      <c r="A63" s="23">
        <v>5</v>
      </c>
      <c r="B63" s="47" t="s">
        <v>57</v>
      </c>
      <c r="C63" s="46">
        <v>363782.16</v>
      </c>
      <c r="D63" s="23"/>
      <c r="F63" s="8">
        <f>__mdDATAItogoActive__-C69-[1]КФГД!$AV$405</f>
        <v>2.162933349609375E-3</v>
      </c>
      <c r="O63"/>
    </row>
    <row r="64" spans="1:15" x14ac:dyDescent="0.25">
      <c r="A64" s="23">
        <v>6</v>
      </c>
      <c r="B64" s="45" t="s">
        <v>58</v>
      </c>
      <c r="C64" s="46">
        <v>326287.84000000003</v>
      </c>
      <c r="D64" s="46"/>
      <c r="O64"/>
    </row>
    <row r="65" spans="1:15" x14ac:dyDescent="0.25">
      <c r="A65" s="23">
        <v>7</v>
      </c>
      <c r="B65" s="45" t="s">
        <v>59</v>
      </c>
      <c r="C65" s="46">
        <v>134441.54999999999</v>
      </c>
      <c r="D65" s="46"/>
      <c r="O65"/>
    </row>
    <row r="66" spans="1:15" x14ac:dyDescent="0.25">
      <c r="A66" s="23">
        <v>8</v>
      </c>
      <c r="B66" s="45" t="s">
        <v>60</v>
      </c>
      <c r="C66" s="46">
        <v>0</v>
      </c>
      <c r="D66" s="23"/>
      <c r="O66"/>
    </row>
    <row r="67" spans="1:15" ht="45" x14ac:dyDescent="0.25">
      <c r="A67" s="23">
        <v>9</v>
      </c>
      <c r="B67" s="47" t="s">
        <v>61</v>
      </c>
      <c r="C67" s="46">
        <v>0</v>
      </c>
      <c r="D67" s="23"/>
      <c r="O67"/>
    </row>
    <row r="68" spans="1:15" ht="30" x14ac:dyDescent="0.25">
      <c r="A68" s="23">
        <v>10</v>
      </c>
      <c r="B68" s="47" t="s">
        <v>62</v>
      </c>
      <c r="C68" s="46">
        <v>0</v>
      </c>
      <c r="D68" s="23"/>
      <c r="E68" s="8"/>
      <c r="O68"/>
    </row>
    <row r="69" spans="1:15" x14ac:dyDescent="0.25">
      <c r="A69" s="58" t="s">
        <v>63</v>
      </c>
      <c r="B69" s="58"/>
      <c r="C69" s="48">
        <f>SUM(C59:C68)</f>
        <v>1318199.769856906</v>
      </c>
      <c r="D69" s="45"/>
      <c r="O69"/>
    </row>
    <row r="71" spans="1:15" x14ac:dyDescent="0.25">
      <c r="C71" s="24"/>
    </row>
    <row r="72" spans="1:15" x14ac:dyDescent="0.25">
      <c r="C72" s="8"/>
    </row>
    <row r="73" spans="1:15" x14ac:dyDescent="0.25">
      <c r="C73" s="8"/>
      <c r="D73" s="8"/>
    </row>
    <row r="74" spans="1:15" x14ac:dyDescent="0.25">
      <c r="C74" s="8"/>
    </row>
  </sheetData>
  <mergeCells count="3">
    <mergeCell ref="A49:D49"/>
    <mergeCell ref="A55:B55"/>
    <mergeCell ref="A69:B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16.08.2025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2025-08-18T06:58:53Z</dcterms:created>
  <dcterms:modified xsi:type="dcterms:W3CDTF">2025-08-18T07:52:53Z</dcterms:modified>
</cp:coreProperties>
</file>