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01082025\"/>
    </mc:Choice>
  </mc:AlternateContent>
  <xr:revisionPtr revIDLastSave="0" documentId="13_ncr:1_{89AD8BA2-F757-48FF-B02E-C8F6B664BC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ДУ!#REF!</definedName>
    <definedName name="__mdDATACurrency__">ДУ!$27:$29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1" l="1"/>
  <c r="C71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B1" i="2"/>
  <c r="G55" i="1"/>
  <c r="F55" i="1"/>
  <c r="E55" i="1"/>
  <c r="G44" i="1"/>
  <c r="F44" i="1"/>
  <c r="E44" i="1"/>
  <c r="M37" i="1"/>
  <c r="H37" i="1"/>
  <c r="M36" i="1"/>
  <c r="M39" i="1" s="1"/>
  <c r="H36" i="1"/>
  <c r="M35" i="1"/>
  <c r="H35" i="1"/>
  <c r="M34" i="1"/>
  <c r="H34" i="1"/>
  <c r="M33" i="1"/>
  <c r="H33" i="1"/>
  <c r="B27" i="1"/>
  <c r="L24" i="1"/>
  <c r="Q1" i="1" s="1"/>
  <c r="K24" i="1"/>
  <c r="H24" i="1"/>
  <c r="D24" i="1"/>
  <c r="M19" i="1" l="1"/>
  <c r="M20" i="1"/>
  <c r="M12" i="1"/>
  <c r="M17" i="1"/>
  <c r="M9" i="1"/>
  <c r="M13" i="1"/>
  <c r="M16" i="1"/>
  <c r="M8" i="1"/>
  <c r="M21" i="1"/>
  <c r="M10" i="1"/>
  <c r="M14" i="1"/>
  <c r="M18" i="1"/>
  <c r="M22" i="1"/>
  <c r="M11" i="1"/>
  <c r="M15" i="1"/>
  <c r="M24" i="1" l="1"/>
</calcChain>
</file>

<file path=xl/sharedStrings.xml><?xml version="1.0" encoding="utf-8"?>
<sst xmlns="http://schemas.openxmlformats.org/spreadsheetml/2006/main" count="822" uniqueCount="373">
  <si>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</si>
  <si>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</si>
  <si>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</si>
  <si>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</si>
  <si>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</si>
  <si>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</si>
  <si>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</si>
  <si>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</si>
  <si>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</si>
  <si>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</si>
  <si>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</si>
  <si>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</si>
  <si>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</si>
  <si>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</si>
  <si>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</si>
  <si>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</si>
  <si>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</si>
  <si>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</si>
  <si>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</si>
  <si>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</si>
  <si>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</si>
  <si>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</si>
  <si>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</si>
  <si>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</si>
  <si>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</si>
  <si>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</si>
  <si>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</si>
  <si>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</si>
  <si>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</si>
  <si>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</si>
  <si>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</si>
  <si>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</si>
  <si>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</si>
  <si>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</si>
  <si>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</si>
  <si>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</si>
  <si>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</si>
  <si>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</si>
  <si>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</si>
  <si>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</si>
  <si>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</si>
  <si>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</si>
  <si>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</si>
  <si>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</si>
  <si>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</si>
  <si>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</si>
  <si>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</si>
  <si>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</si>
  <si>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</si>
  <si>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</si>
  <si>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</si>
  <si>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</si>
  <si>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</si>
  <si>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</si>
  <si>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</si>
  <si>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</si>
  <si>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</si>
  <si>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KZKD00001236</t>
  </si>
  <si>
    <t>KZT</t>
  </si>
  <si>
    <t>31.07.2025</t>
  </si>
  <si>
    <t>01.08.2025</t>
  </si>
  <si>
    <t>АО "Казахстанский фонд устойчивости"</t>
  </si>
  <si>
    <t>KZ2C00007318</t>
  </si>
  <si>
    <t>KZKD00001244</t>
  </si>
  <si>
    <t>04.08.2025</t>
  </si>
  <si>
    <t>KZ96601A861038102391</t>
  </si>
  <si>
    <t>KZKD00001087</t>
  </si>
  <si>
    <t>18.07.2024</t>
  </si>
  <si>
    <t>31.03.2029</t>
  </si>
  <si>
    <t>KZKD00000477</t>
  </si>
  <si>
    <t>24.07.2025</t>
  </si>
  <si>
    <t>19.10.2027</t>
  </si>
  <si>
    <t>KZK200000687</t>
  </si>
  <si>
    <t>21.01.2026</t>
  </si>
  <si>
    <t>KZKD00001137</t>
  </si>
  <si>
    <t>12.04.2028</t>
  </si>
  <si>
    <t>KZKD00001152</t>
  </si>
  <si>
    <t>26.07.2032</t>
  </si>
  <si>
    <t>KZKD00000741</t>
  </si>
  <si>
    <t>12.05.2034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</si>
  <si>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</si>
  <si>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</si>
  <si>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</si>
  <si>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</si>
  <si>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</si>
  <si>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</si>
  <si>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KZKD00001160</t>
  </si>
  <si>
    <t>28.07.2029</t>
  </si>
  <si>
    <t>KZKD00001129</t>
  </si>
  <si>
    <t>17.03.2031</t>
  </si>
  <si>
    <t>KZK100000373</t>
  </si>
  <si>
    <t>13.03.2025</t>
  </si>
  <si>
    <t>06.02.2026</t>
  </si>
  <si>
    <t>KZKD00000535</t>
  </si>
  <si>
    <t>27.03.2027</t>
  </si>
  <si>
    <t>KZKD00000949</t>
  </si>
  <si>
    <t>16.04.2032</t>
  </si>
  <si>
    <t>KZKD00001251</t>
  </si>
  <si>
    <t>07.03.2030</t>
  </si>
  <si>
    <t>KZKD00000790</t>
  </si>
  <si>
    <t>10.07.2025</t>
  </si>
  <si>
    <t>13.08.2029</t>
  </si>
  <si>
    <t>NTK028_2865</t>
  </si>
  <si>
    <t>KZW100014312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</si>
  <si>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</si>
  <si>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</si>
  <si>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</si>
  <si>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</si>
  <si>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</si>
  <si>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</si>
  <si>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</si>
  <si>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</si>
  <si>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</si>
  <si>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</si>
  <si>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</si>
  <si>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</si>
  <si>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</si>
  <si>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</si>
  <si>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</si>
  <si>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</si>
  <si>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</si>
  <si>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</si>
  <si>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</si>
  <si>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</si>
  <si>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</si>
  <si>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</si>
  <si>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</si>
  <si>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</si>
  <si>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</si>
  <si>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</si>
  <si>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</si>
  <si>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</si>
  <si>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</si>
  <si>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</si>
  <si>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</si>
  <si>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</si>
  <si>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</si>
  <si>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</si>
  <si>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</si>
  <si>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</si>
  <si>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</si>
  <si>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</si>
  <si>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</si>
  <si>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</si>
  <si>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</si>
  <si>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</si>
  <si>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</si>
  <si>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</si>
  <si>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</si>
  <si>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</si>
  <si>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</si>
  <si>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MTC048_0001</t>
  </si>
  <si>
    <t>KZKF00000012</t>
  </si>
  <si>
    <t>KZTK</t>
  </si>
  <si>
    <t>KZ0009093241</t>
  </si>
  <si>
    <t>АО "КАЗАХТЕЛЕКОМ"</t>
  </si>
  <si>
    <t>KZTKp</t>
  </si>
  <si>
    <t>KZ0009094645</t>
  </si>
  <si>
    <t>KMGZ</t>
  </si>
  <si>
    <t>KZ1C00001122</t>
  </si>
  <si>
    <t>АО "НАЦИОНАЛЬНАЯ КОМПАНИЯ "КАЗМУНАЙГАЗ"</t>
  </si>
  <si>
    <t>KCEL</t>
  </si>
  <si>
    <t>KZ1C00000876</t>
  </si>
  <si>
    <t>АО "КСЕЛЛ"</t>
  </si>
  <si>
    <t>CCBNp</t>
  </si>
  <si>
    <t>KZ000A0H0930</t>
  </si>
  <si>
    <t>АО "Банк ЦентрКредит"</t>
  </si>
  <si>
    <t>CCBN</t>
  </si>
  <si>
    <t>KZ0007786572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</si>
  <si>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</si>
  <si>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</si>
  <si>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</si>
  <si>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</si>
  <si>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</si>
  <si>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</si>
  <si>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</si>
  <si>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</si>
  <si>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</si>
  <si>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</si>
  <si>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</si>
  <si>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</si>
  <si>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</si>
  <si>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</si>
  <si>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</si>
  <si>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</si>
  <si>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</si>
  <si>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</si>
  <si>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</si>
  <si>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</si>
  <si>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</si>
  <si>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</si>
  <si>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</si>
  <si>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</si>
  <si>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</si>
  <si>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</si>
  <si>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</si>
  <si>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</si>
  <si>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</si>
  <si>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</si>
  <si>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</si>
  <si>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</si>
  <si>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</si>
  <si>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</si>
  <si>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</si>
  <si>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</si>
  <si>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</si>
  <si>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</si>
  <si>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</si>
  <si>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</si>
  <si>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</si>
  <si>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</si>
  <si>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</si>
  <si>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</si>
  <si>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</si>
  <si>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</si>
  <si>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</si>
  <si>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</si>
  <si>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</si>
  <si>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</si>
  <si>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</si>
  <si>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</si>
  <si>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</si>
  <si>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</si>
  <si>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</si>
  <si>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</si>
  <si>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</si>
  <si>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</si>
  <si>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</si>
  <si>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</si>
  <si>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</si>
  <si>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</si>
  <si>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</si>
  <si>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</si>
  <si>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</si>
  <si>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</si>
  <si>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</si>
  <si>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</si>
  <si>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</si>
  <si>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</si>
  <si>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</si>
  <si>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</si>
  <si>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</si>
  <si>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</si>
  <si>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</si>
  <si>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</si>
  <si>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</si>
  <si>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</si>
  <si>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</si>
  <si>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</si>
  <si>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</si>
  <si>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</si>
  <si>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</si>
  <si>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</si>
  <si>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</si>
  <si>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</si>
  <si>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</si>
  <si>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</si>
  <si>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</si>
  <si>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</si>
  <si>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</si>
  <si>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</si>
  <si>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</si>
  <si>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</si>
  <si>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</si>
  <si>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</si>
  <si>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</si>
  <si>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</si>
  <si>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</si>
  <si>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</si>
  <si>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</si>
  <si>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</si>
  <si>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</si>
  <si>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</si>
  <si>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</si>
  <si>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</si>
  <si>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</si>
  <si>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</si>
  <si>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</si>
  <si>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</si>
  <si>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</si>
  <si>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</si>
  <si>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</si>
  <si>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</si>
  <si>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</si>
  <si>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</si>
  <si>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</si>
  <si>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</si>
  <si>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</si>
  <si>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</si>
  <si>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</si>
  <si>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</si>
  <si>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</si>
  <si>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</si>
  <si>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</si>
  <si>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</si>
  <si>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</si>
  <si>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</si>
  <si>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</si>
  <si>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</si>
  <si>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</si>
  <si>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</si>
  <si>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</si>
  <si>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</si>
  <si>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</si>
  <si>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</si>
  <si>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</si>
  <si>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</si>
  <si>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</si>
  <si>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</si>
  <si>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</si>
  <si>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</si>
  <si>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</si>
  <si>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</si>
  <si>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</si>
  <si>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</si>
  <si>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</si>
  <si>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</si>
  <si>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</si>
  <si>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</si>
  <si>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</si>
  <si>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</si>
  <si>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</si>
  <si>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</si>
  <si>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</si>
  <si>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</si>
  <si>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</si>
  <si>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</si>
  <si>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</si>
  <si>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</si>
  <si>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</si>
  <si>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</si>
  <si>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</si>
  <si>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</si>
  <si>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</si>
  <si>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</si>
  <si>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</si>
  <si>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</si>
  <si>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</si>
  <si>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</si>
  <si>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</si>
  <si>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</si>
  <si>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</si>
  <si>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</si>
  <si>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</si>
  <si>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</si>
  <si>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</si>
  <si>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</si>
  <si>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</si>
  <si>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</si>
  <si>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</si>
  <si>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</si>
  <si>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</si>
  <si>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</si>
  <si>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</si>
  <si>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</si>
  <si>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</si>
  <si>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</si>
  <si>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AIRAd</t>
  </si>
  <si>
    <t>US0090632078</t>
  </si>
  <si>
    <t>АО "ЭЙР АСТАНА"</t>
  </si>
  <si>
    <t>AIRA</t>
  </si>
  <si>
    <t>KZ1C00004050</t>
  </si>
  <si>
    <t>EABRb52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</si>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</sst>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vertic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topLeftCell="A44" workbookViewId="0">
      <selection activeCell="C65" sqref="C65"/>
    </sheetView>
  </sheetViews>
  <sheetFormatPr defaultColWidth="9.140625" defaultRowHeight="11.25" x14ac:dyDescent="0.2"/>
  <cols>
    <col min="1" max="1" width="32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L24</f>
        <v>23680013183.785683</v>
      </c>
    </row>
    <row r="2" spans="1:17" x14ac:dyDescent="0.2">
      <c r="A2" s="8" t="s">
        <v>54</v>
      </c>
      <c r="B2" s="8" t="s">
        <v>60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55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56</v>
      </c>
      <c r="B8" s="15" t="s">
        <v>66</v>
      </c>
      <c r="C8" s="16">
        <v>1897500</v>
      </c>
      <c r="D8" s="17">
        <v>1897500000</v>
      </c>
      <c r="E8" s="18">
        <v>11</v>
      </c>
      <c r="F8" s="19" t="s">
        <v>67</v>
      </c>
      <c r="G8" s="19" t="s">
        <v>68</v>
      </c>
      <c r="H8" s="18">
        <v>1743261712.5</v>
      </c>
      <c r="I8" s="20">
        <v>84.963000000000008</v>
      </c>
      <c r="J8" s="20">
        <v>88.660200000000003</v>
      </c>
      <c r="K8" s="18">
        <v>70154791.666666657</v>
      </c>
      <c r="L8" s="18">
        <v>1682327716.666666</v>
      </c>
      <c r="M8" s="21">
        <f t="shared" ref="M8:M22" si="0">L8/$Q$1</f>
        <v>7.1044205237968339E-2</v>
      </c>
      <c r="O8" s="10">
        <v>749863.88888888899</v>
      </c>
    </row>
    <row r="9" spans="1:17" x14ac:dyDescent="0.2">
      <c r="A9" s="15" t="s">
        <v>56</v>
      </c>
      <c r="B9" s="15" t="s">
        <v>69</v>
      </c>
      <c r="C9" s="16">
        <v>2391500</v>
      </c>
      <c r="D9" s="17">
        <v>2391500000</v>
      </c>
      <c r="E9" s="18">
        <v>5.3</v>
      </c>
      <c r="F9" s="19" t="s">
        <v>70</v>
      </c>
      <c r="G9" s="19" t="s">
        <v>71</v>
      </c>
      <c r="H9" s="18">
        <v>1903079172</v>
      </c>
      <c r="I9" s="20">
        <v>79.778700000000001</v>
      </c>
      <c r="J9" s="20">
        <v>83.930400000000006</v>
      </c>
      <c r="K9" s="18">
        <v>99287108.333333299</v>
      </c>
      <c r="L9" s="18">
        <v>2007194718.8333299</v>
      </c>
      <c r="M9" s="21">
        <f t="shared" si="0"/>
        <v>8.4763243299531096E-2</v>
      </c>
      <c r="O9" s="10">
        <v>749863.88888888899</v>
      </c>
    </row>
    <row r="10" spans="1:17" x14ac:dyDescent="0.2">
      <c r="A10" s="15" t="s">
        <v>56</v>
      </c>
      <c r="B10" s="15" t="s">
        <v>72</v>
      </c>
      <c r="C10" s="16">
        <v>2530000</v>
      </c>
      <c r="D10" s="17">
        <v>2530000000</v>
      </c>
      <c r="E10" s="18">
        <v>10.67</v>
      </c>
      <c r="F10" s="19" t="s">
        <v>67</v>
      </c>
      <c r="G10" s="19" t="s">
        <v>73</v>
      </c>
      <c r="H10" s="18">
        <v>2455119589.9966769</v>
      </c>
      <c r="I10" s="20">
        <v>97.7286</v>
      </c>
      <c r="J10" s="20">
        <v>98.025000000000006</v>
      </c>
      <c r="K10" s="18">
        <v>7498638.8888888899</v>
      </c>
      <c r="L10" s="18">
        <v>2480032218.8888879</v>
      </c>
      <c r="M10" s="21">
        <f t="shared" si="0"/>
        <v>0.10473103201593781</v>
      </c>
      <c r="O10" s="10">
        <v>749863.88888888899</v>
      </c>
    </row>
    <row r="11" spans="1:17" x14ac:dyDescent="0.2">
      <c r="A11" s="15" t="s">
        <v>56</v>
      </c>
      <c r="B11" s="15" t="s">
        <v>74</v>
      </c>
      <c r="C11" s="16">
        <v>1897500</v>
      </c>
      <c r="D11" s="17">
        <v>1897500000</v>
      </c>
      <c r="E11" s="18">
        <v>10.4</v>
      </c>
      <c r="F11" s="19" t="s">
        <v>67</v>
      </c>
      <c r="G11" s="19" t="s">
        <v>75</v>
      </c>
      <c r="H11" s="18">
        <v>1736743800</v>
      </c>
      <c r="I11" s="20">
        <v>86.624099999999999</v>
      </c>
      <c r="J11" s="20">
        <v>89.77300000000001</v>
      </c>
      <c r="K11" s="18">
        <v>59750166.666666657</v>
      </c>
      <c r="L11" s="18">
        <v>1703442464.166666</v>
      </c>
      <c r="M11" s="21">
        <f t="shared" si="0"/>
        <v>7.193587482176983E-2</v>
      </c>
      <c r="O11" s="10">
        <v>749863.88888888899</v>
      </c>
    </row>
    <row r="12" spans="1:17" x14ac:dyDescent="0.2">
      <c r="A12" s="15" t="s">
        <v>56</v>
      </c>
      <c r="B12" s="15" t="s">
        <v>76</v>
      </c>
      <c r="C12" s="16">
        <v>1897500</v>
      </c>
      <c r="D12" s="17">
        <v>1897500000</v>
      </c>
      <c r="E12" s="18">
        <v>10.65</v>
      </c>
      <c r="F12" s="19" t="s">
        <v>67</v>
      </c>
      <c r="G12" s="19" t="s">
        <v>77</v>
      </c>
      <c r="H12" s="18">
        <v>1648500562.5</v>
      </c>
      <c r="I12" s="20">
        <v>77.144000000000005</v>
      </c>
      <c r="J12" s="20">
        <v>77.291899999999998</v>
      </c>
      <c r="K12" s="18">
        <v>2806718.75</v>
      </c>
      <c r="L12" s="18">
        <v>1466614118.75</v>
      </c>
      <c r="M12" s="21">
        <f t="shared" si="0"/>
        <v>6.193468337062534E-2</v>
      </c>
      <c r="O12" s="10">
        <v>749863.88888888899</v>
      </c>
    </row>
    <row r="13" spans="1:17" x14ac:dyDescent="0.2">
      <c r="A13" s="15" t="s">
        <v>56</v>
      </c>
      <c r="B13" s="15" t="s">
        <v>78</v>
      </c>
      <c r="C13" s="16">
        <v>1897500</v>
      </c>
      <c r="D13" s="17">
        <v>1897500000</v>
      </c>
      <c r="E13" s="18">
        <v>8.07</v>
      </c>
      <c r="F13" s="19" t="s">
        <v>67</v>
      </c>
      <c r="G13" s="19" t="s">
        <v>79</v>
      </c>
      <c r="H13" s="18">
        <v>1359122325</v>
      </c>
      <c r="I13" s="20">
        <v>62.951300000000003</v>
      </c>
      <c r="J13" s="20">
        <v>64.722200000000001</v>
      </c>
      <c r="K13" s="18">
        <v>33603143.75</v>
      </c>
      <c r="L13" s="18">
        <v>1228104061.25</v>
      </c>
      <c r="M13" s="21">
        <f t="shared" si="0"/>
        <v>5.1862473712257669E-2</v>
      </c>
      <c r="O13" s="10">
        <v>749863.88888888899</v>
      </c>
    </row>
    <row r="14" spans="1:17" x14ac:dyDescent="0.2">
      <c r="A14" s="15" t="s">
        <v>56</v>
      </c>
      <c r="B14" s="15" t="s">
        <v>80</v>
      </c>
      <c r="C14" s="16">
        <v>1897500</v>
      </c>
      <c r="D14" s="17">
        <v>1897500000</v>
      </c>
      <c r="E14" s="18">
        <v>8.07</v>
      </c>
      <c r="F14" s="19" t="s">
        <v>67</v>
      </c>
      <c r="G14" s="19" t="s">
        <v>81</v>
      </c>
      <c r="H14" s="18">
        <v>1338524962.5</v>
      </c>
      <c r="I14" s="20">
        <v>61.593600000000002</v>
      </c>
      <c r="J14" s="20">
        <v>65.673400000000001</v>
      </c>
      <c r="K14" s="18">
        <v>77414837.5</v>
      </c>
      <c r="L14" s="18">
        <v>1246153397.5</v>
      </c>
      <c r="M14" s="21">
        <f t="shared" si="0"/>
        <v>5.2624691879532969E-2</v>
      </c>
      <c r="O14" s="10">
        <v>749863.88888888899</v>
      </c>
    </row>
    <row r="15" spans="1:17" x14ac:dyDescent="0.2">
      <c r="A15" s="15" t="s">
        <v>82</v>
      </c>
      <c r="B15" s="15" t="s">
        <v>83</v>
      </c>
      <c r="C15" s="16">
        <v>992234</v>
      </c>
      <c r="D15" s="17">
        <v>992234000</v>
      </c>
      <c r="E15" s="18">
        <v>14.3</v>
      </c>
      <c r="F15" s="19" t="s">
        <v>84</v>
      </c>
      <c r="G15" s="19" t="s">
        <v>85</v>
      </c>
      <c r="H15" s="18">
        <v>991722999.49000001</v>
      </c>
      <c r="I15" s="20">
        <v>93.323726050000005</v>
      </c>
      <c r="J15" s="20">
        <v>106.35262605</v>
      </c>
      <c r="K15" s="18">
        <v>129277065.37777799</v>
      </c>
      <c r="L15" s="18">
        <v>1055266805.2634701</v>
      </c>
      <c r="M15" s="21">
        <f t="shared" si="0"/>
        <v>4.4563607168345606E-2</v>
      </c>
      <c r="O15" s="10">
        <v>749863.88888888899</v>
      </c>
    </row>
    <row r="16" spans="1:17" x14ac:dyDescent="0.2">
      <c r="A16" s="15" t="s">
        <v>56</v>
      </c>
      <c r="B16" s="15" t="s">
        <v>86</v>
      </c>
      <c r="C16" s="16">
        <v>1897500</v>
      </c>
      <c r="D16" s="17">
        <v>1897500000</v>
      </c>
      <c r="E16" s="18">
        <v>10.55</v>
      </c>
      <c r="F16" s="19" t="s">
        <v>67</v>
      </c>
      <c r="G16" s="19" t="s">
        <v>87</v>
      </c>
      <c r="H16" s="18">
        <v>1708326839.9966669</v>
      </c>
      <c r="I16" s="20">
        <v>83.083100000000002</v>
      </c>
      <c r="J16" s="20">
        <v>83.171000000000006</v>
      </c>
      <c r="K16" s="18">
        <v>1668218.75</v>
      </c>
      <c r="L16" s="18">
        <v>1578170041.25</v>
      </c>
      <c r="M16" s="21">
        <f t="shared" si="0"/>
        <v>6.6645657204727149E-2</v>
      </c>
      <c r="O16" s="10">
        <v>749863.88888888899</v>
      </c>
    </row>
    <row r="17" spans="1:15" x14ac:dyDescent="0.2">
      <c r="A17" s="15" t="s">
        <v>56</v>
      </c>
      <c r="B17" s="15" t="s">
        <v>88</v>
      </c>
      <c r="C17" s="16">
        <v>1897500</v>
      </c>
      <c r="D17" s="17">
        <v>1897500000</v>
      </c>
      <c r="E17" s="18">
        <v>10.3</v>
      </c>
      <c r="F17" s="19" t="s">
        <v>67</v>
      </c>
      <c r="G17" s="19" t="s">
        <v>89</v>
      </c>
      <c r="H17" s="18">
        <v>1645329839.996666</v>
      </c>
      <c r="I17" s="20">
        <v>78.2196</v>
      </c>
      <c r="J17" s="20">
        <v>82.0535</v>
      </c>
      <c r="K17" s="18">
        <v>72748041.666666657</v>
      </c>
      <c r="L17" s="18">
        <v>1556964951.666666</v>
      </c>
      <c r="M17" s="21">
        <f t="shared" si="0"/>
        <v>6.5750172501287299E-2</v>
      </c>
      <c r="O17" s="10">
        <v>749863.88888888899</v>
      </c>
    </row>
    <row r="18" spans="1:15" x14ac:dyDescent="0.2">
      <c r="A18" s="15" t="s">
        <v>56</v>
      </c>
      <c r="B18" s="15" t="s">
        <v>90</v>
      </c>
      <c r="C18" s="16">
        <v>11424000</v>
      </c>
      <c r="D18" s="17">
        <v>1142400000</v>
      </c>
      <c r="E18" s="18">
        <v>0</v>
      </c>
      <c r="F18" s="19" t="s">
        <v>91</v>
      </c>
      <c r="G18" s="19" t="s">
        <v>92</v>
      </c>
      <c r="H18" s="18">
        <v>1003902278.4</v>
      </c>
      <c r="I18" s="20">
        <v>92.422200000000004</v>
      </c>
      <c r="J18" s="20">
        <v>92.422200000000004</v>
      </c>
      <c r="K18" s="18"/>
      <c r="L18" s="18">
        <v>1055831212.8</v>
      </c>
      <c r="M18" s="21">
        <f t="shared" si="0"/>
        <v>4.4587441932800731E-2</v>
      </c>
      <c r="O18" s="10">
        <v>749863.88888888899</v>
      </c>
    </row>
    <row r="19" spans="1:15" x14ac:dyDescent="0.2">
      <c r="A19" s="15" t="s">
        <v>56</v>
      </c>
      <c r="B19" s="15" t="s">
        <v>93</v>
      </c>
      <c r="C19" s="16">
        <v>3162500</v>
      </c>
      <c r="D19" s="17">
        <v>3162500000</v>
      </c>
      <c r="E19" s="18">
        <v>5.49</v>
      </c>
      <c r="F19" s="19" t="s">
        <v>67</v>
      </c>
      <c r="G19" s="19" t="s">
        <v>94</v>
      </c>
      <c r="H19" s="18">
        <v>2627740225</v>
      </c>
      <c r="I19" s="20">
        <v>84.493499999999997</v>
      </c>
      <c r="J19" s="20">
        <v>86.384500000000003</v>
      </c>
      <c r="K19" s="18">
        <v>59802875</v>
      </c>
      <c r="L19" s="18">
        <v>2731909812.5</v>
      </c>
      <c r="M19" s="21">
        <f t="shared" si="0"/>
        <v>0.11536774879714211</v>
      </c>
      <c r="O19" s="10">
        <v>749863.88888888899</v>
      </c>
    </row>
    <row r="20" spans="1:15" x14ac:dyDescent="0.2">
      <c r="A20" s="15" t="s">
        <v>56</v>
      </c>
      <c r="B20" s="15" t="s">
        <v>95</v>
      </c>
      <c r="C20" s="16">
        <v>1897500</v>
      </c>
      <c r="D20" s="17">
        <v>1897500000</v>
      </c>
      <c r="E20" s="18">
        <v>8.4499999999999993</v>
      </c>
      <c r="F20" s="19" t="s">
        <v>67</v>
      </c>
      <c r="G20" s="19" t="s">
        <v>96</v>
      </c>
      <c r="H20" s="18">
        <v>1457889097.496666</v>
      </c>
      <c r="I20" s="20">
        <v>68.946100000000001</v>
      </c>
      <c r="J20" s="20">
        <v>71.410700000000006</v>
      </c>
      <c r="K20" s="18">
        <v>46765468.75</v>
      </c>
      <c r="L20" s="18">
        <v>1355017716.25</v>
      </c>
      <c r="M20" s="21">
        <f t="shared" si="0"/>
        <v>5.7222000078015818E-2</v>
      </c>
      <c r="O20" s="10">
        <v>749863.88888888899</v>
      </c>
    </row>
    <row r="21" spans="1:15" x14ac:dyDescent="0.2">
      <c r="A21" s="15" t="s">
        <v>56</v>
      </c>
      <c r="B21" s="15" t="s">
        <v>97</v>
      </c>
      <c r="C21" s="16">
        <v>550000</v>
      </c>
      <c r="D21" s="17">
        <v>550000000</v>
      </c>
      <c r="E21" s="18">
        <v>12</v>
      </c>
      <c r="F21" s="19" t="s">
        <v>91</v>
      </c>
      <c r="G21" s="19" t="s">
        <v>98</v>
      </c>
      <c r="H21" s="18">
        <v>491343050</v>
      </c>
      <c r="I21" s="20">
        <v>85.737800000000007</v>
      </c>
      <c r="J21" s="20">
        <v>90.537800000000004</v>
      </c>
      <c r="K21" s="18">
        <v>26399999.999999989</v>
      </c>
      <c r="L21" s="18">
        <v>497957900</v>
      </c>
      <c r="M21" s="21">
        <f t="shared" si="0"/>
        <v>2.1028615826150159E-2</v>
      </c>
      <c r="O21" s="10">
        <v>749863.88888888899</v>
      </c>
    </row>
    <row r="22" spans="1:15" x14ac:dyDescent="0.2">
      <c r="A22" s="15" t="s">
        <v>56</v>
      </c>
      <c r="B22" s="15" t="s">
        <v>99</v>
      </c>
      <c r="C22" s="16">
        <v>2469500</v>
      </c>
      <c r="D22" s="17">
        <v>2469500000</v>
      </c>
      <c r="E22" s="18">
        <v>7.68</v>
      </c>
      <c r="F22" s="19" t="s">
        <v>100</v>
      </c>
      <c r="G22" s="19" t="s">
        <v>101</v>
      </c>
      <c r="H22" s="18">
        <v>1827657194</v>
      </c>
      <c r="I22" s="20">
        <v>74.982399999999998</v>
      </c>
      <c r="J22" s="20">
        <v>82.406400000000005</v>
      </c>
      <c r="K22" s="18">
        <v>183335680</v>
      </c>
      <c r="L22" s="18">
        <v>2035026048</v>
      </c>
      <c r="M22" s="21">
        <f t="shared" si="0"/>
        <v>8.5938552153908221E-2</v>
      </c>
      <c r="O22" s="10">
        <v>749863.88888888899</v>
      </c>
    </row>
    <row r="23" spans="1:15" hidden="1" x14ac:dyDescent="0.2">
      <c r="A23" s="15"/>
      <c r="B23" s="15"/>
      <c r="C23" s="15"/>
      <c r="D23" s="18"/>
      <c r="E23" s="18"/>
      <c r="F23" s="19"/>
      <c r="G23" s="19"/>
      <c r="H23" s="18"/>
      <c r="I23" s="20"/>
      <c r="J23" s="20"/>
      <c r="K23" s="18"/>
      <c r="L23" s="18"/>
      <c r="M23" s="21"/>
    </row>
    <row r="24" spans="1:15" x14ac:dyDescent="0.2">
      <c r="A24" s="15"/>
      <c r="B24" s="22" t="s">
        <v>5</v>
      </c>
      <c r="C24" s="15"/>
      <c r="D24" s="23">
        <f>SUM(D8:D23)</f>
        <v>28418134000</v>
      </c>
      <c r="E24" s="24"/>
      <c r="F24" s="25"/>
      <c r="G24" s="25"/>
      <c r="H24" s="23">
        <f>SUM(H8:H23)</f>
        <v>23938263648.876678</v>
      </c>
      <c r="I24" s="25"/>
      <c r="J24" s="25"/>
      <c r="K24" s="23">
        <f>SUM(K8:K23)</f>
        <v>870512755.10000014</v>
      </c>
      <c r="L24" s="23">
        <f>SUM(L8:L23)</f>
        <v>23680013183.785683</v>
      </c>
      <c r="M24" s="26">
        <f>SUM(M8:M23)</f>
        <v>1</v>
      </c>
    </row>
    <row r="26" spans="1:15" x14ac:dyDescent="0.2">
      <c r="A26" s="27" t="s">
        <v>35</v>
      </c>
    </row>
    <row r="27" spans="1:15" x14ac:dyDescent="0.2">
      <c r="A27" s="14" t="s">
        <v>58</v>
      </c>
      <c r="B27" s="28">
        <f>SUM(B28:B29)</f>
        <v>690952.16</v>
      </c>
    </row>
    <row r="28" spans="1:15" x14ac:dyDescent="0.2">
      <c r="A28" s="29" t="s">
        <v>65</v>
      </c>
      <c r="B28" s="30">
        <v>690952.16</v>
      </c>
    </row>
    <row r="29" spans="1:15" hidden="1" x14ac:dyDescent="0.2">
      <c r="A29" s="29"/>
      <c r="B29" s="31"/>
    </row>
    <row r="31" spans="1:15" x14ac:dyDescent="0.2">
      <c r="A31" s="13" t="s">
        <v>18</v>
      </c>
    </row>
    <row r="32" spans="1:15" ht="22.5" x14ac:dyDescent="0.2">
      <c r="A32" s="14" t="s">
        <v>23</v>
      </c>
      <c r="B32" s="14" t="s">
        <v>24</v>
      </c>
      <c r="C32" s="14" t="s">
        <v>25</v>
      </c>
      <c r="D32" s="14" t="s">
        <v>26</v>
      </c>
      <c r="E32" s="14" t="s">
        <v>19</v>
      </c>
      <c r="F32" s="14" t="s">
        <v>20</v>
      </c>
      <c r="G32" s="14" t="s">
        <v>27</v>
      </c>
      <c r="H32" s="14" t="s">
        <v>28</v>
      </c>
      <c r="I32" s="14" t="s">
        <v>29</v>
      </c>
      <c r="J32" s="14" t="s">
        <v>30</v>
      </c>
      <c r="K32" s="14" t="s">
        <v>31</v>
      </c>
      <c r="L32" s="14" t="s">
        <v>33</v>
      </c>
      <c r="M32" s="14" t="s">
        <v>32</v>
      </c>
      <c r="O32" s="9"/>
    </row>
    <row r="33" spans="1:17" x14ac:dyDescent="0.2">
      <c r="A33" s="32" t="s">
        <v>56</v>
      </c>
      <c r="B33" s="32" t="s">
        <v>57</v>
      </c>
      <c r="C33" s="33">
        <v>2567336</v>
      </c>
      <c r="D33" s="32" t="s">
        <v>58</v>
      </c>
      <c r="E33" s="34" t="s">
        <v>59</v>
      </c>
      <c r="F33" s="34" t="s">
        <v>60</v>
      </c>
      <c r="G33" s="35">
        <v>930.03899999844202</v>
      </c>
      <c r="H33" s="35">
        <f>J33/C33</f>
        <v>930.43777269122552</v>
      </c>
      <c r="I33" s="36">
        <v>2387722606.099999</v>
      </c>
      <c r="J33" s="36">
        <v>2388746389.5900002</v>
      </c>
      <c r="K33" s="37">
        <v>15.6501</v>
      </c>
      <c r="L33" s="37">
        <v>1023783.49</v>
      </c>
      <c r="M33" s="31">
        <f>I33+L33</f>
        <v>2388746389.5899987</v>
      </c>
      <c r="N33" s="10"/>
      <c r="O33" s="9"/>
      <c r="Q33" s="9">
        <v>0</v>
      </c>
    </row>
    <row r="34" spans="1:17" x14ac:dyDescent="0.2">
      <c r="A34" s="32" t="s">
        <v>56</v>
      </c>
      <c r="B34" s="32" t="s">
        <v>57</v>
      </c>
      <c r="C34" s="33">
        <v>21520</v>
      </c>
      <c r="D34" s="32" t="s">
        <v>58</v>
      </c>
      <c r="E34" s="34" t="s">
        <v>59</v>
      </c>
      <c r="F34" s="34" t="s">
        <v>60</v>
      </c>
      <c r="G34" s="35">
        <v>930.0390000000001</v>
      </c>
      <c r="H34" s="35">
        <f>J34/C34</f>
        <v>930.43777276951676</v>
      </c>
      <c r="I34" s="36">
        <v>20014439.280000001</v>
      </c>
      <c r="J34" s="36">
        <v>20023020.870000001</v>
      </c>
      <c r="K34" s="37">
        <v>15.6501</v>
      </c>
      <c r="L34" s="37">
        <v>8581.59</v>
      </c>
      <c r="M34" s="31">
        <f>I34+L34</f>
        <v>20023020.870000001</v>
      </c>
      <c r="N34" s="10"/>
      <c r="O34" s="9"/>
      <c r="Q34" s="9">
        <v>0</v>
      </c>
    </row>
    <row r="35" spans="1:17" x14ac:dyDescent="0.2">
      <c r="A35" s="32" t="s">
        <v>61</v>
      </c>
      <c r="B35" s="32" t="s">
        <v>62</v>
      </c>
      <c r="C35" s="33">
        <v>1171200</v>
      </c>
      <c r="D35" s="32" t="s">
        <v>58</v>
      </c>
      <c r="E35" s="34" t="s">
        <v>59</v>
      </c>
      <c r="F35" s="34" t="s">
        <v>60</v>
      </c>
      <c r="G35" s="35">
        <v>1025.2180000000001</v>
      </c>
      <c r="H35" s="35">
        <f>J35/C35</f>
        <v>1025.6575825819673</v>
      </c>
      <c r="I35" s="36">
        <v>1200735321.5999999</v>
      </c>
      <c r="J35" s="36">
        <v>1201250160.72</v>
      </c>
      <c r="K35" s="37">
        <v>15.6501</v>
      </c>
      <c r="L35" s="37">
        <v>514839.12</v>
      </c>
      <c r="M35" s="31">
        <f>I35+L35</f>
        <v>1201250160.7199998</v>
      </c>
      <c r="N35" s="10"/>
      <c r="O35" s="9"/>
      <c r="Q35" s="9">
        <v>0</v>
      </c>
    </row>
    <row r="36" spans="1:17" x14ac:dyDescent="0.2">
      <c r="A36" s="32" t="s">
        <v>56</v>
      </c>
      <c r="B36" s="32" t="s">
        <v>63</v>
      </c>
      <c r="C36" s="33">
        <v>23499</v>
      </c>
      <c r="D36" s="32" t="s">
        <v>58</v>
      </c>
      <c r="E36" s="34" t="s">
        <v>60</v>
      </c>
      <c r="F36" s="34" t="s">
        <v>64</v>
      </c>
      <c r="G36" s="35">
        <v>894.16300012766499</v>
      </c>
      <c r="H36" s="35">
        <f>J36/C36</f>
        <v>895.30582109877014</v>
      </c>
      <c r="I36" s="36">
        <v>21011936.34</v>
      </c>
      <c r="J36" s="36">
        <v>21038791.489999998</v>
      </c>
      <c r="K36" s="37">
        <v>15.5501</v>
      </c>
      <c r="L36" s="37"/>
      <c r="M36" s="31">
        <f>I36+L36</f>
        <v>21011936.34</v>
      </c>
      <c r="N36" s="10"/>
      <c r="O36" s="9"/>
      <c r="Q36" s="9">
        <v>1</v>
      </c>
    </row>
    <row r="37" spans="1:17" x14ac:dyDescent="0.2">
      <c r="A37" s="32" t="s">
        <v>56</v>
      </c>
      <c r="B37" s="32" t="s">
        <v>63</v>
      </c>
      <c r="C37" s="33">
        <v>4013853</v>
      </c>
      <c r="D37" s="32" t="s">
        <v>58</v>
      </c>
      <c r="E37" s="34" t="s">
        <v>60</v>
      </c>
      <c r="F37" s="34" t="s">
        <v>64</v>
      </c>
      <c r="G37" s="35">
        <v>894.16300000024899</v>
      </c>
      <c r="H37" s="35">
        <f>J37/C37</f>
        <v>895.30582115737673</v>
      </c>
      <c r="I37" s="36">
        <v>3589038840.04</v>
      </c>
      <c r="J37" s="36">
        <v>3593625956.1700001</v>
      </c>
      <c r="K37" s="37">
        <v>15.5501</v>
      </c>
      <c r="L37" s="37"/>
      <c r="M37" s="31">
        <f>I37+L37</f>
        <v>3589038840.04</v>
      </c>
      <c r="N37" s="10"/>
      <c r="O37" s="9"/>
      <c r="Q37" s="9">
        <v>1</v>
      </c>
    </row>
    <row r="38" spans="1:17" hidden="1" x14ac:dyDescent="0.2">
      <c r="A38" s="32"/>
      <c r="B38" s="32"/>
      <c r="C38" s="33"/>
      <c r="D38" s="32"/>
      <c r="E38" s="34"/>
      <c r="F38" s="34"/>
      <c r="G38" s="35"/>
      <c r="H38" s="35"/>
      <c r="I38" s="36"/>
      <c r="J38" s="36"/>
      <c r="K38" s="37"/>
      <c r="L38" s="31"/>
      <c r="M38" s="31"/>
      <c r="N38" s="10"/>
      <c r="O38" s="9"/>
    </row>
    <row r="39" spans="1:17" s="13" customFormat="1" x14ac:dyDescent="0.2">
      <c r="A39" s="38"/>
      <c r="B39" s="39" t="s">
        <v>5</v>
      </c>
      <c r="C39" s="38"/>
      <c r="D39" s="38"/>
      <c r="E39" s="38"/>
      <c r="F39" s="38"/>
      <c r="G39" s="38"/>
      <c r="H39" s="38"/>
      <c r="I39" s="38"/>
      <c r="J39" s="38"/>
      <c r="K39" s="38"/>
      <c r="L39" s="38" t="s">
        <v>44</v>
      </c>
      <c r="M39" s="40">
        <f>SUMIF(Q33:Q38,1,M33:M38)</f>
        <v>3610050776.3800001</v>
      </c>
      <c r="O39" s="41"/>
    </row>
    <row r="41" spans="1:17" ht="22.5" x14ac:dyDescent="0.2">
      <c r="A41" s="27" t="s">
        <v>37</v>
      </c>
    </row>
    <row r="42" spans="1:17" ht="22.5" x14ac:dyDescent="0.2">
      <c r="A42" s="14" t="s">
        <v>7</v>
      </c>
      <c r="B42" s="14" t="s">
        <v>38</v>
      </c>
      <c r="C42" s="14" t="s">
        <v>26</v>
      </c>
      <c r="D42" s="14" t="s">
        <v>39</v>
      </c>
      <c r="E42" s="14" t="s">
        <v>25</v>
      </c>
      <c r="F42" s="14" t="s">
        <v>40</v>
      </c>
      <c r="G42" s="14" t="s">
        <v>41</v>
      </c>
      <c r="N42" s="10"/>
      <c r="O42" s="9"/>
    </row>
    <row r="43" spans="1:17" hidden="1" x14ac:dyDescent="0.2">
      <c r="A43" s="42"/>
      <c r="B43" s="42"/>
      <c r="C43" s="32"/>
      <c r="D43" s="43"/>
      <c r="E43" s="29"/>
      <c r="F43" s="29"/>
      <c r="G43" s="31"/>
      <c r="N43" s="10"/>
      <c r="O43" s="9"/>
    </row>
    <row r="44" spans="1:17" s="13" customFormat="1" x14ac:dyDescent="0.2">
      <c r="A44" s="44"/>
      <c r="B44" s="45" t="s">
        <v>5</v>
      </c>
      <c r="C44" s="46"/>
      <c r="D44" s="47"/>
      <c r="E44" s="48">
        <f>SUM(E43:E43)</f>
        <v>0</v>
      </c>
      <c r="F44" s="40">
        <f>SUM(F43:F43)</f>
        <v>0</v>
      </c>
      <c r="G44" s="40">
        <f>SUM(G43:G43)</f>
        <v>0</v>
      </c>
      <c r="N44" s="41"/>
    </row>
    <row r="45" spans="1:17" x14ac:dyDescent="0.2">
      <c r="A45" s="49"/>
      <c r="D45" s="50"/>
      <c r="G45" s="51"/>
    </row>
    <row r="46" spans="1:17" x14ac:dyDescent="0.2">
      <c r="A46" s="52" t="s">
        <v>22</v>
      </c>
      <c r="B46" s="53">
        <f>L24+B28+M39</f>
        <v>27290754912.325684</v>
      </c>
    </row>
    <row r="47" spans="1:17" x14ac:dyDescent="0.2">
      <c r="D47" s="54"/>
      <c r="E47" s="54"/>
    </row>
    <row r="49" spans="1:15" x14ac:dyDescent="0.2">
      <c r="A49" s="52" t="s">
        <v>47</v>
      </c>
      <c r="B49" s="52"/>
      <c r="C49" s="52"/>
      <c r="F49" s="54"/>
      <c r="O49" s="9"/>
    </row>
    <row r="50" spans="1:15" x14ac:dyDescent="0.2">
      <c r="O50" s="9"/>
    </row>
    <row r="51" spans="1:15" x14ac:dyDescent="0.2">
      <c r="A51" s="60" t="s">
        <v>48</v>
      </c>
      <c r="B51" s="60"/>
      <c r="C51" s="60"/>
      <c r="D51" s="60"/>
      <c r="O51" s="9"/>
    </row>
    <row r="52" spans="1:15" x14ac:dyDescent="0.2">
      <c r="O52" s="9"/>
    </row>
    <row r="53" spans="1:15" ht="22.5" x14ac:dyDescent="0.2">
      <c r="A53" s="14" t="s">
        <v>7</v>
      </c>
      <c r="B53" s="14" t="s">
        <v>38</v>
      </c>
      <c r="C53" s="14" t="s">
        <v>26</v>
      </c>
      <c r="D53" s="14" t="s">
        <v>39</v>
      </c>
      <c r="E53" s="14" t="s">
        <v>25</v>
      </c>
      <c r="F53" s="14" t="s">
        <v>40</v>
      </c>
      <c r="G53" s="14" t="s">
        <v>41</v>
      </c>
      <c r="O53" s="9"/>
    </row>
    <row r="54" spans="1:15" hidden="1" x14ac:dyDescent="0.2">
      <c r="A54" s="55"/>
      <c r="B54" s="55"/>
      <c r="C54" s="55"/>
      <c r="D54" s="55"/>
      <c r="E54" s="55"/>
      <c r="F54" s="55"/>
      <c r="G54" s="55"/>
      <c r="O54" s="9"/>
    </row>
    <row r="55" spans="1:15" s="13" customFormat="1" x14ac:dyDescent="0.2">
      <c r="A55" s="38"/>
      <c r="B55" s="39" t="s">
        <v>5</v>
      </c>
      <c r="C55" s="38"/>
      <c r="D55" s="38"/>
      <c r="E55" s="48">
        <f>SUM(E54:E54)</f>
        <v>0</v>
      </c>
      <c r="F55" s="40">
        <f>SUM(F54:F54)</f>
        <v>0</v>
      </c>
      <c r="G55" s="40">
        <f>SUM(G54:G54)</f>
        <v>0</v>
      </c>
    </row>
    <row r="56" spans="1:15" s="13" customFormat="1" x14ac:dyDescent="0.2">
      <c r="B56" s="56"/>
    </row>
    <row r="57" spans="1:15" x14ac:dyDescent="0.2">
      <c r="A57" s="60" t="s">
        <v>49</v>
      </c>
      <c r="B57" s="60"/>
      <c r="I57" s="54"/>
      <c r="O57" s="9"/>
    </row>
    <row r="58" spans="1:15" x14ac:dyDescent="0.2">
      <c r="O58" s="9"/>
    </row>
    <row r="59" spans="1:15" x14ac:dyDescent="0.2">
      <c r="A59" s="14" t="s">
        <v>7</v>
      </c>
      <c r="B59" s="14" t="s">
        <v>38</v>
      </c>
      <c r="C59" s="14" t="s">
        <v>50</v>
      </c>
      <c r="D59" s="14" t="s">
        <v>51</v>
      </c>
      <c r="O59" s="9"/>
    </row>
    <row r="60" spans="1:15" x14ac:dyDescent="0.2">
      <c r="A60" s="24" t="s">
        <v>52</v>
      </c>
      <c r="B60" s="24">
        <v>1</v>
      </c>
      <c r="C60" s="24">
        <v>2</v>
      </c>
      <c r="D60" s="24">
        <v>3</v>
      </c>
      <c r="O60" s="9"/>
    </row>
    <row r="61" spans="1:15" x14ac:dyDescent="0.2">
      <c r="A61" s="24">
        <v>1</v>
      </c>
      <c r="B61" s="55" t="s">
        <v>363</v>
      </c>
      <c r="C61" s="58">
        <v>2270239.8500000006</v>
      </c>
      <c r="D61" s="24"/>
      <c r="E61" s="54"/>
      <c r="O61" s="9"/>
    </row>
    <row r="62" spans="1:15" x14ac:dyDescent="0.2">
      <c r="A62" s="24">
        <v>2</v>
      </c>
      <c r="B62" s="55" t="s">
        <v>364</v>
      </c>
      <c r="C62" s="58">
        <v>0</v>
      </c>
      <c r="D62" s="24"/>
      <c r="E62" s="54"/>
      <c r="O62" s="9"/>
    </row>
    <row r="63" spans="1:15" x14ac:dyDescent="0.2">
      <c r="A63" s="24">
        <v>3</v>
      </c>
      <c r="B63" s="55" t="s">
        <v>365</v>
      </c>
      <c r="C63" s="58">
        <v>458695.57</v>
      </c>
      <c r="D63" s="24"/>
      <c r="G63" s="54"/>
      <c r="O63" s="9"/>
    </row>
    <row r="64" spans="1:15" x14ac:dyDescent="0.2">
      <c r="A64" s="24">
        <v>4</v>
      </c>
      <c r="B64" s="55" t="s">
        <v>366</v>
      </c>
      <c r="C64" s="58">
        <v>0</v>
      </c>
      <c r="D64" s="24"/>
      <c r="G64" s="54"/>
      <c r="O64" s="9"/>
    </row>
    <row r="65" spans="1:15" ht="22.5" x14ac:dyDescent="0.2">
      <c r="A65" s="24">
        <v>5</v>
      </c>
      <c r="B65" s="59" t="s">
        <v>367</v>
      </c>
      <c r="C65" s="58">
        <v>363782.16</v>
      </c>
      <c r="D65" s="24"/>
      <c r="F65" s="54"/>
      <c r="O65" s="9"/>
    </row>
    <row r="66" spans="1:15" x14ac:dyDescent="0.2">
      <c r="A66" s="24">
        <v>6</v>
      </c>
      <c r="B66" s="55" t="s">
        <v>368</v>
      </c>
      <c r="C66" s="58">
        <v>254033.66</v>
      </c>
      <c r="D66" s="58"/>
      <c r="G66" s="54"/>
      <c r="O66" s="9"/>
    </row>
    <row r="67" spans="1:15" x14ac:dyDescent="0.2">
      <c r="A67" s="24">
        <v>7</v>
      </c>
      <c r="B67" s="55" t="s">
        <v>369</v>
      </c>
      <c r="C67" s="58">
        <v>527778.84</v>
      </c>
      <c r="D67" s="58"/>
      <c r="O67" s="9"/>
    </row>
    <row r="68" spans="1:15" x14ac:dyDescent="0.2">
      <c r="A68" s="24">
        <v>8</v>
      </c>
      <c r="B68" s="55" t="s">
        <v>370</v>
      </c>
      <c r="C68" s="58">
        <v>0</v>
      </c>
      <c r="D68" s="24"/>
      <c r="O68" s="9"/>
    </row>
    <row r="69" spans="1:15" ht="22.5" x14ac:dyDescent="0.2">
      <c r="A69" s="24">
        <v>9</v>
      </c>
      <c r="B69" s="59" t="s">
        <v>371</v>
      </c>
      <c r="C69" s="58">
        <v>0</v>
      </c>
      <c r="D69" s="24"/>
      <c r="O69" s="9"/>
    </row>
    <row r="70" spans="1:15" ht="22.5" x14ac:dyDescent="0.2">
      <c r="A70" s="24">
        <v>10</v>
      </c>
      <c r="B70" s="59" t="s">
        <v>372</v>
      </c>
      <c r="C70" s="58">
        <v>0</v>
      </c>
      <c r="D70" s="24"/>
      <c r="E70" s="54"/>
      <c r="O70" s="9"/>
    </row>
    <row r="71" spans="1:15" x14ac:dyDescent="0.2">
      <c r="A71" s="61" t="s">
        <v>53</v>
      </c>
      <c r="B71" s="61"/>
      <c r="C71" s="57">
        <f>SUM(C61:C70)</f>
        <v>3874530.0800000005</v>
      </c>
      <c r="D71" s="55"/>
      <c r="O71" s="9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01.08.2025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102</v>
      </c>
      <c r="C4" s="4" t="s">
        <v>103</v>
      </c>
      <c r="D4" s="4" t="s">
        <v>104</v>
      </c>
      <c r="E4" s="4" t="s">
        <v>105</v>
      </c>
      <c r="F4" s="4">
        <v>99.24430000000001</v>
      </c>
      <c r="G4" s="5">
        <v>99.24430000000001</v>
      </c>
      <c r="H4" s="5">
        <v>14.63</v>
      </c>
      <c r="I4" s="5">
        <v>20</v>
      </c>
      <c r="J4" s="4" t="s">
        <v>106</v>
      </c>
    </row>
    <row r="5" spans="1:10" x14ac:dyDescent="0.25">
      <c r="A5" s="4">
        <f t="shared" ca="1" si="0"/>
        <v>2</v>
      </c>
      <c r="B5" s="4" t="s">
        <v>107</v>
      </c>
      <c r="C5" s="4" t="s">
        <v>108</v>
      </c>
      <c r="D5" s="4" t="s">
        <v>109</v>
      </c>
      <c r="E5" s="4" t="s">
        <v>110</v>
      </c>
      <c r="F5" s="4">
        <v>9490.25</v>
      </c>
      <c r="G5" s="5"/>
      <c r="H5" s="5"/>
      <c r="I5" s="5"/>
      <c r="J5" s="4" t="s">
        <v>111</v>
      </c>
    </row>
    <row r="6" spans="1:10" x14ac:dyDescent="0.25">
      <c r="A6" s="4">
        <f t="shared" ca="1" si="0"/>
        <v>3</v>
      </c>
      <c r="B6" s="4" t="s">
        <v>112</v>
      </c>
      <c r="C6" s="4" t="s">
        <v>113</v>
      </c>
      <c r="D6" s="4" t="s">
        <v>109</v>
      </c>
      <c r="E6" s="4" t="s">
        <v>114</v>
      </c>
      <c r="F6" s="4">
        <v>1448.12</v>
      </c>
      <c r="G6" s="5"/>
      <c r="H6" s="5"/>
      <c r="I6" s="5"/>
      <c r="J6" s="4" t="s">
        <v>111</v>
      </c>
    </row>
    <row r="7" spans="1:10" x14ac:dyDescent="0.25">
      <c r="A7" s="4">
        <f t="shared" ca="1" si="0"/>
        <v>4</v>
      </c>
      <c r="B7" s="4" t="s">
        <v>115</v>
      </c>
      <c r="C7" s="4" t="s">
        <v>116</v>
      </c>
      <c r="D7" s="4" t="s">
        <v>109</v>
      </c>
      <c r="E7" s="4" t="s">
        <v>117</v>
      </c>
      <c r="F7" s="4">
        <v>581940.79</v>
      </c>
      <c r="G7" s="5"/>
      <c r="H7" s="5"/>
      <c r="I7" s="5"/>
      <c r="J7" s="4" t="s">
        <v>111</v>
      </c>
    </row>
    <row r="8" spans="1:10" x14ac:dyDescent="0.25">
      <c r="A8" s="4">
        <f t="shared" ca="1" si="0"/>
        <v>5</v>
      </c>
      <c r="B8" s="4" t="s">
        <v>118</v>
      </c>
      <c r="C8" s="4" t="s">
        <v>119</v>
      </c>
      <c r="D8" s="4" t="s">
        <v>109</v>
      </c>
      <c r="E8" s="4" t="s">
        <v>117</v>
      </c>
      <c r="F8" s="4">
        <v>6265.17</v>
      </c>
      <c r="G8" s="5"/>
      <c r="H8" s="5"/>
      <c r="I8" s="5"/>
      <c r="J8" s="4" t="s">
        <v>111</v>
      </c>
    </row>
    <row r="9" spans="1:10" x14ac:dyDescent="0.25">
      <c r="A9" s="4">
        <f t="shared" ca="1" si="0"/>
        <v>6</v>
      </c>
      <c r="B9" s="4" t="s">
        <v>120</v>
      </c>
      <c r="C9" s="4" t="s">
        <v>121</v>
      </c>
      <c r="D9" s="4" t="s">
        <v>109</v>
      </c>
      <c r="E9" s="4" t="s">
        <v>117</v>
      </c>
      <c r="F9" s="4">
        <v>89177.88</v>
      </c>
      <c r="G9" s="5"/>
      <c r="H9" s="5"/>
      <c r="I9" s="5"/>
      <c r="J9" s="4" t="s">
        <v>111</v>
      </c>
    </row>
    <row r="10" spans="1:10" x14ac:dyDescent="0.25">
      <c r="A10" s="4">
        <f t="shared" ca="1" si="0"/>
        <v>7</v>
      </c>
      <c r="B10" s="4" t="s">
        <v>122</v>
      </c>
      <c r="C10" s="4" t="s">
        <v>123</v>
      </c>
      <c r="D10" s="4" t="s">
        <v>109</v>
      </c>
      <c r="E10" s="4" t="s">
        <v>117</v>
      </c>
      <c r="F10" s="4">
        <v>5370.98</v>
      </c>
      <c r="G10" s="5"/>
      <c r="H10" s="5"/>
      <c r="I10" s="5"/>
      <c r="J10" s="4" t="s">
        <v>111</v>
      </c>
    </row>
    <row r="11" spans="1:10" x14ac:dyDescent="0.25">
      <c r="A11" s="4">
        <f t="shared" ca="1" si="0"/>
        <v>8</v>
      </c>
      <c r="B11" s="4" t="s">
        <v>124</v>
      </c>
      <c r="C11" s="4" t="s">
        <v>125</v>
      </c>
      <c r="D11" s="4" t="s">
        <v>109</v>
      </c>
      <c r="E11" s="4" t="s">
        <v>117</v>
      </c>
      <c r="F11" s="4">
        <v>5899782.3499999996</v>
      </c>
      <c r="G11" s="5"/>
      <c r="H11" s="5"/>
      <c r="I11" s="5"/>
      <c r="J11" s="4" t="s">
        <v>111</v>
      </c>
    </row>
    <row r="12" spans="1:10" x14ac:dyDescent="0.25">
      <c r="A12" s="4">
        <f t="shared" ca="1" si="0"/>
        <v>9</v>
      </c>
      <c r="B12" s="4" t="s">
        <v>126</v>
      </c>
      <c r="C12" s="4" t="s">
        <v>127</v>
      </c>
      <c r="D12" s="4" t="s">
        <v>109</v>
      </c>
      <c r="E12" s="4" t="s">
        <v>117</v>
      </c>
      <c r="F12" s="4">
        <v>1157.6100000000001</v>
      </c>
      <c r="G12" s="5"/>
      <c r="H12" s="5"/>
      <c r="I12" s="5"/>
      <c r="J12" s="4" t="s">
        <v>128</v>
      </c>
    </row>
    <row r="13" spans="1:10" x14ac:dyDescent="0.25">
      <c r="A13" s="4">
        <f t="shared" ca="1" si="0"/>
        <v>10</v>
      </c>
      <c r="B13" s="4" t="s">
        <v>129</v>
      </c>
      <c r="C13" s="4" t="s">
        <v>130</v>
      </c>
      <c r="D13" s="4" t="s">
        <v>109</v>
      </c>
      <c r="E13" s="4" t="s">
        <v>117</v>
      </c>
      <c r="F13" s="4">
        <v>1027.3700000000001</v>
      </c>
      <c r="G13" s="5"/>
      <c r="H13" s="5"/>
      <c r="I13" s="5"/>
      <c r="J13" s="4" t="s">
        <v>128</v>
      </c>
    </row>
    <row r="14" spans="1:10" x14ac:dyDescent="0.25">
      <c r="A14" s="4">
        <f t="shared" ca="1" si="0"/>
        <v>11</v>
      </c>
      <c r="B14" s="4" t="s">
        <v>131</v>
      </c>
      <c r="C14" s="4" t="s">
        <v>132</v>
      </c>
      <c r="D14" s="4" t="s">
        <v>109</v>
      </c>
      <c r="E14" s="4" t="s">
        <v>117</v>
      </c>
      <c r="F14" s="4">
        <v>1727080.06</v>
      </c>
      <c r="G14" s="5"/>
      <c r="H14" s="5"/>
      <c r="I14" s="5"/>
      <c r="J14" s="4" t="s">
        <v>111</v>
      </c>
    </row>
    <row r="15" spans="1:10" x14ac:dyDescent="0.25">
      <c r="A15" s="4">
        <f t="shared" ca="1" si="0"/>
        <v>12</v>
      </c>
      <c r="B15" s="4" t="s">
        <v>133</v>
      </c>
      <c r="C15" s="4" t="s">
        <v>134</v>
      </c>
      <c r="D15" s="4" t="s">
        <v>109</v>
      </c>
      <c r="E15" s="4" t="s">
        <v>117</v>
      </c>
      <c r="F15" s="4">
        <v>73673.740000000005</v>
      </c>
      <c r="G15" s="5"/>
      <c r="H15" s="5"/>
      <c r="I15" s="5"/>
      <c r="J15" s="4" t="s">
        <v>111</v>
      </c>
    </row>
    <row r="16" spans="1:10" x14ac:dyDescent="0.25">
      <c r="A16" s="4">
        <f t="shared" ca="1" si="0"/>
        <v>13</v>
      </c>
      <c r="B16" s="4" t="s">
        <v>135</v>
      </c>
      <c r="C16" s="4" t="s">
        <v>136</v>
      </c>
      <c r="D16" s="4" t="s">
        <v>109</v>
      </c>
      <c r="E16" s="4" t="s">
        <v>117</v>
      </c>
      <c r="F16" s="4">
        <v>74669.78</v>
      </c>
      <c r="G16" s="5"/>
      <c r="H16" s="5"/>
      <c r="I16" s="5"/>
      <c r="J16" s="4" t="s">
        <v>111</v>
      </c>
    </row>
    <row r="17" spans="1:10" x14ac:dyDescent="0.25">
      <c r="A17" s="4">
        <f t="shared" ca="1" si="0"/>
        <v>14</v>
      </c>
      <c r="B17" s="4" t="s">
        <v>137</v>
      </c>
      <c r="C17" s="4" t="s">
        <v>138</v>
      </c>
      <c r="D17" s="4" t="s">
        <v>109</v>
      </c>
      <c r="E17" s="4" t="s">
        <v>117</v>
      </c>
      <c r="F17" s="4">
        <v>53554.13</v>
      </c>
      <c r="G17" s="5"/>
      <c r="H17" s="5"/>
      <c r="I17" s="5"/>
      <c r="J17" s="4" t="s">
        <v>111</v>
      </c>
    </row>
    <row r="18" spans="1:10" x14ac:dyDescent="0.25">
      <c r="A18" s="4">
        <f t="shared" ca="1" si="0"/>
        <v>15</v>
      </c>
      <c r="B18" s="4" t="s">
        <v>139</v>
      </c>
      <c r="C18" s="4" t="s">
        <v>140</v>
      </c>
      <c r="D18" s="4" t="s">
        <v>109</v>
      </c>
      <c r="E18" s="4" t="s">
        <v>117</v>
      </c>
      <c r="F18" s="4">
        <v>6.75</v>
      </c>
      <c r="G18" s="5"/>
      <c r="H18" s="5"/>
      <c r="I18" s="5"/>
      <c r="J18" s="4" t="s">
        <v>111</v>
      </c>
    </row>
    <row r="19" spans="1:10" x14ac:dyDescent="0.25">
      <c r="A19" s="4">
        <f t="shared" ca="1" si="0"/>
        <v>16</v>
      </c>
      <c r="B19" s="4" t="s">
        <v>141</v>
      </c>
      <c r="C19" s="4" t="s">
        <v>142</v>
      </c>
      <c r="D19" s="4" t="s">
        <v>104</v>
      </c>
      <c r="E19" s="4" t="s">
        <v>117</v>
      </c>
      <c r="F19" s="4">
        <v>1000</v>
      </c>
      <c r="G19" s="5">
        <v>103.5107</v>
      </c>
      <c r="H19" s="5">
        <v>17.28</v>
      </c>
      <c r="I19" s="5">
        <v>1206</v>
      </c>
      <c r="J19" s="4" t="s">
        <v>106</v>
      </c>
    </row>
    <row r="20" spans="1:10" x14ac:dyDescent="0.25">
      <c r="A20" s="4">
        <f t="shared" ca="1" si="0"/>
        <v>17</v>
      </c>
      <c r="B20" s="4" t="s">
        <v>143</v>
      </c>
      <c r="C20" s="4" t="s">
        <v>144</v>
      </c>
      <c r="D20" s="4" t="s">
        <v>104</v>
      </c>
      <c r="E20" s="4" t="s">
        <v>117</v>
      </c>
      <c r="F20" s="4">
        <v>1000</v>
      </c>
      <c r="G20" s="5">
        <v>105.08640000000001</v>
      </c>
      <c r="H20" s="5">
        <v>17.07</v>
      </c>
      <c r="I20" s="5">
        <v>805</v>
      </c>
      <c r="J20" s="4" t="s">
        <v>106</v>
      </c>
    </row>
    <row r="21" spans="1:10" x14ac:dyDescent="0.25">
      <c r="A21" s="4">
        <f t="shared" ca="1" si="0"/>
        <v>18</v>
      </c>
      <c r="B21" s="4" t="s">
        <v>145</v>
      </c>
      <c r="C21" s="4" t="s">
        <v>146</v>
      </c>
      <c r="D21" s="4" t="s">
        <v>104</v>
      </c>
      <c r="E21" s="4" t="s">
        <v>117</v>
      </c>
      <c r="F21" s="4">
        <v>1000</v>
      </c>
      <c r="G21" s="5">
        <v>100.87560000000001</v>
      </c>
      <c r="H21" s="5">
        <v>17.5</v>
      </c>
      <c r="I21" s="5">
        <v>1992</v>
      </c>
      <c r="J21" s="4" t="s">
        <v>106</v>
      </c>
    </row>
    <row r="22" spans="1:10" x14ac:dyDescent="0.25">
      <c r="A22" s="4">
        <f t="shared" ca="1" si="0"/>
        <v>19</v>
      </c>
      <c r="B22" s="4" t="s">
        <v>147</v>
      </c>
      <c r="C22" s="4" t="s">
        <v>148</v>
      </c>
      <c r="D22" s="4" t="s">
        <v>104</v>
      </c>
      <c r="E22" s="4" t="s">
        <v>117</v>
      </c>
      <c r="F22" s="4">
        <v>1000</v>
      </c>
      <c r="G22" s="5">
        <v>107.15870000000001</v>
      </c>
      <c r="H22" s="5">
        <v>17.400000000000002</v>
      </c>
      <c r="I22" s="5">
        <v>1676</v>
      </c>
      <c r="J22" s="4" t="s">
        <v>106</v>
      </c>
    </row>
    <row r="23" spans="1:10" x14ac:dyDescent="0.25">
      <c r="A23" s="4">
        <f t="shared" ca="1" si="0"/>
        <v>20</v>
      </c>
      <c r="B23" s="4" t="s">
        <v>149</v>
      </c>
      <c r="C23" s="4" t="s">
        <v>150</v>
      </c>
      <c r="D23" s="4" t="s">
        <v>109</v>
      </c>
      <c r="E23" s="4" t="s">
        <v>117</v>
      </c>
      <c r="F23" s="4">
        <v>1451.7</v>
      </c>
      <c r="G23" s="5"/>
      <c r="H23" s="5"/>
      <c r="I23" s="5"/>
      <c r="J23" s="4" t="s">
        <v>111</v>
      </c>
    </row>
    <row r="24" spans="1:10" x14ac:dyDescent="0.25">
      <c r="A24" s="4">
        <f t="shared" ca="1" si="0"/>
        <v>21</v>
      </c>
      <c r="B24" s="4" t="s">
        <v>151</v>
      </c>
      <c r="C24" s="4" t="s">
        <v>152</v>
      </c>
      <c r="D24" s="4" t="s">
        <v>104</v>
      </c>
      <c r="E24" s="4" t="s">
        <v>117</v>
      </c>
      <c r="F24" s="4">
        <v>1000</v>
      </c>
      <c r="G24" s="5">
        <v>100.0913</v>
      </c>
      <c r="H24" s="5">
        <v>16.66</v>
      </c>
      <c r="I24" s="5">
        <v>1460</v>
      </c>
      <c r="J24" s="4" t="s">
        <v>106</v>
      </c>
    </row>
    <row r="25" spans="1:10" x14ac:dyDescent="0.25">
      <c r="A25" s="4">
        <f t="shared" ca="1" si="0"/>
        <v>22</v>
      </c>
      <c r="B25" s="4" t="s">
        <v>153</v>
      </c>
      <c r="C25" s="4" t="s">
        <v>154</v>
      </c>
      <c r="D25" s="4" t="s">
        <v>109</v>
      </c>
      <c r="E25" s="4" t="s">
        <v>155</v>
      </c>
      <c r="F25" s="4">
        <v>39932.720000000001</v>
      </c>
      <c r="G25" s="5"/>
      <c r="H25" s="5"/>
      <c r="I25" s="5"/>
      <c r="J25" s="4" t="s">
        <v>111</v>
      </c>
    </row>
    <row r="26" spans="1:10" x14ac:dyDescent="0.25">
      <c r="A26" s="4">
        <f t="shared" ca="1" si="0"/>
        <v>23</v>
      </c>
      <c r="B26" s="4" t="s">
        <v>156</v>
      </c>
      <c r="C26" s="4" t="s">
        <v>157</v>
      </c>
      <c r="D26" s="4" t="s">
        <v>109</v>
      </c>
      <c r="E26" s="4" t="s">
        <v>155</v>
      </c>
      <c r="F26" s="4">
        <v>33188.870000000003</v>
      </c>
      <c r="G26" s="5"/>
      <c r="H26" s="5"/>
      <c r="I26" s="5"/>
      <c r="J26" s="4" t="s">
        <v>111</v>
      </c>
    </row>
    <row r="27" spans="1:10" x14ac:dyDescent="0.25">
      <c r="A27" s="4">
        <f t="shared" ca="1" si="0"/>
        <v>24</v>
      </c>
      <c r="B27" s="4" t="s">
        <v>158</v>
      </c>
      <c r="C27" s="4" t="s">
        <v>159</v>
      </c>
      <c r="D27" s="4" t="s">
        <v>109</v>
      </c>
      <c r="E27" s="4" t="s">
        <v>160</v>
      </c>
      <c r="F27" s="4">
        <v>19962.54</v>
      </c>
      <c r="G27" s="5"/>
      <c r="H27" s="5"/>
      <c r="I27" s="5"/>
      <c r="J27" s="4" t="s">
        <v>111</v>
      </c>
    </row>
    <row r="28" spans="1:10" x14ac:dyDescent="0.25">
      <c r="A28" s="4">
        <f t="shared" ca="1" si="0"/>
        <v>25</v>
      </c>
      <c r="B28" s="4" t="s">
        <v>161</v>
      </c>
      <c r="C28" s="4" t="s">
        <v>162</v>
      </c>
      <c r="D28" s="4" t="s">
        <v>109</v>
      </c>
      <c r="E28" s="4" t="s">
        <v>163</v>
      </c>
      <c r="F28" s="4">
        <v>3423.4</v>
      </c>
      <c r="G28" s="5"/>
      <c r="H28" s="5"/>
      <c r="I28" s="5"/>
      <c r="J28" s="4" t="s">
        <v>111</v>
      </c>
    </row>
    <row r="29" spans="1:10" x14ac:dyDescent="0.25">
      <c r="A29" s="4">
        <f t="shared" ca="1" si="0"/>
        <v>26</v>
      </c>
      <c r="B29" s="4" t="s">
        <v>164</v>
      </c>
      <c r="C29" s="4" t="s">
        <v>165</v>
      </c>
      <c r="D29" s="4" t="s">
        <v>109</v>
      </c>
      <c r="E29" s="4" t="s">
        <v>166</v>
      </c>
      <c r="F29" s="4">
        <v>5409.95</v>
      </c>
      <c r="G29" s="5"/>
      <c r="H29" s="5"/>
      <c r="I29" s="5"/>
      <c r="J29" s="4" t="s">
        <v>111</v>
      </c>
    </row>
    <row r="30" spans="1:10" x14ac:dyDescent="0.25">
      <c r="A30" s="4">
        <f t="shared" ca="1" si="0"/>
        <v>27</v>
      </c>
      <c r="B30" s="4" t="s">
        <v>167</v>
      </c>
      <c r="C30" s="4" t="s">
        <v>168</v>
      </c>
      <c r="D30" s="4" t="s">
        <v>109</v>
      </c>
      <c r="E30" s="4" t="s">
        <v>166</v>
      </c>
      <c r="F30" s="4">
        <v>3706.97</v>
      </c>
      <c r="G30" s="5"/>
      <c r="H30" s="5"/>
      <c r="I30" s="5"/>
      <c r="J30" s="4" t="s">
        <v>111</v>
      </c>
    </row>
    <row r="31" spans="1:10" x14ac:dyDescent="0.25">
      <c r="A31" s="4">
        <f t="shared" ca="1" si="0"/>
        <v>28</v>
      </c>
      <c r="B31" s="4" t="s">
        <v>169</v>
      </c>
      <c r="C31" s="4" t="s">
        <v>170</v>
      </c>
      <c r="D31" s="4" t="s">
        <v>104</v>
      </c>
      <c r="E31" s="4" t="s">
        <v>56</v>
      </c>
      <c r="F31" s="4">
        <v>1000</v>
      </c>
      <c r="G31" s="5">
        <v>106.9149</v>
      </c>
      <c r="H31" s="5">
        <v>11.74</v>
      </c>
      <c r="I31" s="5">
        <v>1248</v>
      </c>
      <c r="J31" s="4" t="s">
        <v>106</v>
      </c>
    </row>
    <row r="32" spans="1:10" x14ac:dyDescent="0.25">
      <c r="A32" s="4">
        <f t="shared" ca="1" si="0"/>
        <v>29</v>
      </c>
      <c r="B32" s="4" t="s">
        <v>171</v>
      </c>
      <c r="C32" s="4" t="s">
        <v>172</v>
      </c>
      <c r="D32" s="4" t="s">
        <v>104</v>
      </c>
      <c r="E32" s="4" t="s">
        <v>56</v>
      </c>
      <c r="F32" s="4">
        <v>1000</v>
      </c>
      <c r="G32" s="5">
        <v>110.94590000000001</v>
      </c>
      <c r="H32" s="5">
        <v>11.78</v>
      </c>
      <c r="I32" s="5">
        <v>1488</v>
      </c>
      <c r="J32" s="4" t="s">
        <v>106</v>
      </c>
    </row>
    <row r="33" spans="1:10" x14ac:dyDescent="0.25">
      <c r="A33" s="4">
        <f t="shared" ca="1" si="0"/>
        <v>30</v>
      </c>
      <c r="B33" s="4" t="s">
        <v>173</v>
      </c>
      <c r="C33" s="4" t="s">
        <v>174</v>
      </c>
      <c r="D33" s="4" t="s">
        <v>104</v>
      </c>
      <c r="E33" s="4" t="s">
        <v>56</v>
      </c>
      <c r="F33" s="4">
        <v>982.38</v>
      </c>
      <c r="G33" s="5">
        <v>102.50110000000001</v>
      </c>
      <c r="H33" s="5">
        <v>15.97</v>
      </c>
      <c r="I33" s="5">
        <v>64</v>
      </c>
      <c r="J33" s="4" t="s">
        <v>106</v>
      </c>
    </row>
    <row r="34" spans="1:10" x14ac:dyDescent="0.25">
      <c r="A34" s="4">
        <f t="shared" ca="1" si="0"/>
        <v>31</v>
      </c>
      <c r="B34" s="4" t="s">
        <v>175</v>
      </c>
      <c r="C34" s="4" t="s">
        <v>176</v>
      </c>
      <c r="D34" s="4" t="s">
        <v>104</v>
      </c>
      <c r="E34" s="4" t="s">
        <v>56</v>
      </c>
      <c r="F34" s="4">
        <v>1000</v>
      </c>
      <c r="G34" s="5">
        <v>102.0647</v>
      </c>
      <c r="H34" s="5">
        <v>11.67</v>
      </c>
      <c r="I34" s="5">
        <v>301</v>
      </c>
      <c r="J34" s="4" t="s">
        <v>106</v>
      </c>
    </row>
    <row r="35" spans="1:10" x14ac:dyDescent="0.25">
      <c r="A35" s="4">
        <f t="shared" ca="1" si="0"/>
        <v>32</v>
      </c>
      <c r="B35" s="4" t="s">
        <v>177</v>
      </c>
      <c r="C35" s="4" t="s">
        <v>178</v>
      </c>
      <c r="D35" s="4" t="s">
        <v>104</v>
      </c>
      <c r="E35" s="4" t="s">
        <v>56</v>
      </c>
      <c r="F35" s="4">
        <v>1000</v>
      </c>
      <c r="G35" s="5">
        <v>100.03280000000001</v>
      </c>
      <c r="H35" s="5">
        <v>11.8</v>
      </c>
      <c r="I35" s="5">
        <v>364</v>
      </c>
      <c r="J35" s="4" t="s">
        <v>106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179</v>
      </c>
      <c r="C36" s="4" t="s">
        <v>180</v>
      </c>
      <c r="D36" s="4" t="s">
        <v>104</v>
      </c>
      <c r="E36" s="4" t="s">
        <v>56</v>
      </c>
      <c r="F36" s="4">
        <v>1000</v>
      </c>
      <c r="G36" s="5">
        <v>103.015</v>
      </c>
      <c r="H36" s="5">
        <v>11.72</v>
      </c>
      <c r="I36" s="5">
        <v>637</v>
      </c>
      <c r="J36" s="4" t="s">
        <v>106</v>
      </c>
    </row>
    <row r="37" spans="1:10" x14ac:dyDescent="0.25">
      <c r="A37" s="4">
        <f t="shared" ca="1" si="1"/>
        <v>34</v>
      </c>
      <c r="B37" s="4" t="s">
        <v>181</v>
      </c>
      <c r="C37" s="4" t="s">
        <v>182</v>
      </c>
      <c r="D37" s="4" t="s">
        <v>104</v>
      </c>
      <c r="E37" s="4" t="s">
        <v>56</v>
      </c>
      <c r="F37" s="4">
        <v>1000</v>
      </c>
      <c r="G37" s="5">
        <v>101.04870000000001</v>
      </c>
      <c r="H37" s="5">
        <v>11.77</v>
      </c>
      <c r="I37" s="5">
        <v>698</v>
      </c>
      <c r="J37" s="4" t="s">
        <v>106</v>
      </c>
    </row>
    <row r="38" spans="1:10" x14ac:dyDescent="0.25">
      <c r="A38" s="4">
        <f t="shared" ca="1" si="1"/>
        <v>35</v>
      </c>
      <c r="B38" s="4" t="s">
        <v>183</v>
      </c>
      <c r="C38" s="4" t="s">
        <v>184</v>
      </c>
      <c r="D38" s="4" t="s">
        <v>104</v>
      </c>
      <c r="E38" s="4" t="s">
        <v>56</v>
      </c>
      <c r="F38" s="4">
        <v>1000</v>
      </c>
      <c r="G38" s="5">
        <v>108.0292</v>
      </c>
      <c r="H38" s="5">
        <v>11.72</v>
      </c>
      <c r="I38" s="5">
        <v>848</v>
      </c>
      <c r="J38" s="4" t="s">
        <v>106</v>
      </c>
    </row>
    <row r="39" spans="1:10" x14ac:dyDescent="0.25">
      <c r="A39" s="4">
        <f t="shared" ca="1" si="1"/>
        <v>36</v>
      </c>
      <c r="B39" s="4" t="s">
        <v>185</v>
      </c>
      <c r="C39" s="4" t="s">
        <v>186</v>
      </c>
      <c r="D39" s="4" t="s">
        <v>104</v>
      </c>
      <c r="E39" s="4" t="s">
        <v>56</v>
      </c>
      <c r="F39" s="4">
        <v>1000</v>
      </c>
      <c r="G39" s="5">
        <v>110.94590000000001</v>
      </c>
      <c r="H39" s="5">
        <v>11.78</v>
      </c>
      <c r="I39" s="5">
        <v>1123</v>
      </c>
      <c r="J39" s="4" t="s">
        <v>106</v>
      </c>
    </row>
    <row r="40" spans="1:10" x14ac:dyDescent="0.25">
      <c r="A40" s="4">
        <f t="shared" ca="1" si="1"/>
        <v>37</v>
      </c>
      <c r="B40" s="4" t="s">
        <v>187</v>
      </c>
      <c r="C40" s="4" t="s">
        <v>188</v>
      </c>
      <c r="D40" s="4" t="s">
        <v>104</v>
      </c>
      <c r="E40" s="4" t="s">
        <v>56</v>
      </c>
      <c r="F40" s="4">
        <v>1000</v>
      </c>
      <c r="G40" s="5">
        <v>108.914</v>
      </c>
      <c r="H40" s="5">
        <v>11.28</v>
      </c>
      <c r="I40" s="5">
        <v>90</v>
      </c>
      <c r="J40" s="4" t="s">
        <v>106</v>
      </c>
    </row>
    <row r="41" spans="1:10" x14ac:dyDescent="0.25">
      <c r="A41" s="4">
        <f t="shared" ca="1" si="1"/>
        <v>38</v>
      </c>
      <c r="B41" s="4" t="s">
        <v>189</v>
      </c>
      <c r="C41" s="4" t="s">
        <v>190</v>
      </c>
      <c r="D41" s="4" t="s">
        <v>104</v>
      </c>
      <c r="E41" s="4" t="s">
        <v>56</v>
      </c>
      <c r="F41" s="4">
        <v>1000</v>
      </c>
      <c r="G41" s="5">
        <v>105.99730000000001</v>
      </c>
      <c r="H41" s="5">
        <v>11.75</v>
      </c>
      <c r="I41" s="5">
        <v>1642</v>
      </c>
      <c r="J41" s="4" t="s">
        <v>106</v>
      </c>
    </row>
    <row r="42" spans="1:10" x14ac:dyDescent="0.25">
      <c r="A42" s="4">
        <f t="shared" ca="1" si="1"/>
        <v>39</v>
      </c>
      <c r="B42" s="4" t="s">
        <v>191</v>
      </c>
      <c r="C42" s="4" t="s">
        <v>192</v>
      </c>
      <c r="D42" s="4" t="s">
        <v>104</v>
      </c>
      <c r="E42" s="4" t="s">
        <v>56</v>
      </c>
      <c r="F42" s="4">
        <v>969.53100000000006</v>
      </c>
      <c r="G42" s="5">
        <v>100.4948</v>
      </c>
      <c r="H42" s="5">
        <v>16.23</v>
      </c>
      <c r="I42" s="5">
        <v>108</v>
      </c>
      <c r="J42" s="4" t="s">
        <v>106</v>
      </c>
    </row>
    <row r="43" spans="1:10" x14ac:dyDescent="0.25">
      <c r="A43" s="4">
        <f t="shared" ca="1" si="1"/>
        <v>40</v>
      </c>
      <c r="B43" s="4" t="s">
        <v>193</v>
      </c>
      <c r="C43" s="4" t="s">
        <v>194</v>
      </c>
      <c r="D43" s="4" t="s">
        <v>104</v>
      </c>
      <c r="E43" s="4" t="s">
        <v>56</v>
      </c>
      <c r="F43" s="4">
        <v>868.46100000000001</v>
      </c>
      <c r="G43" s="5">
        <v>90.290500000000009</v>
      </c>
      <c r="H43" s="5">
        <v>16.940000000000001</v>
      </c>
      <c r="I43" s="5">
        <v>480</v>
      </c>
      <c r="J43" s="4" t="s">
        <v>106</v>
      </c>
    </row>
    <row r="44" spans="1:10" x14ac:dyDescent="0.25">
      <c r="A44" s="4">
        <f t="shared" ca="1" si="1"/>
        <v>41</v>
      </c>
      <c r="B44" s="4" t="s">
        <v>195</v>
      </c>
      <c r="C44" s="4" t="s">
        <v>196</v>
      </c>
      <c r="D44" s="4" t="s">
        <v>104</v>
      </c>
      <c r="E44" s="4" t="s">
        <v>56</v>
      </c>
      <c r="F44" s="4">
        <v>1000</v>
      </c>
      <c r="G44" s="5">
        <v>101.04870000000001</v>
      </c>
      <c r="H44" s="5">
        <v>11.78</v>
      </c>
      <c r="I44" s="5">
        <v>1429</v>
      </c>
      <c r="J44" s="4" t="s">
        <v>106</v>
      </c>
    </row>
    <row r="45" spans="1:10" x14ac:dyDescent="0.25">
      <c r="A45" s="4">
        <f t="shared" ca="1" si="1"/>
        <v>42</v>
      </c>
      <c r="B45" s="4" t="s">
        <v>197</v>
      </c>
      <c r="C45" s="4" t="s">
        <v>198</v>
      </c>
      <c r="D45" s="4" t="s">
        <v>104</v>
      </c>
      <c r="E45" s="4" t="s">
        <v>56</v>
      </c>
      <c r="F45" s="4">
        <v>1000</v>
      </c>
      <c r="G45" s="5">
        <v>108.94680000000001</v>
      </c>
      <c r="H45" s="5">
        <v>11.28</v>
      </c>
      <c r="I45" s="5">
        <v>89</v>
      </c>
      <c r="J45" s="4" t="s">
        <v>106</v>
      </c>
    </row>
    <row r="46" spans="1:10" x14ac:dyDescent="0.25">
      <c r="A46" s="4">
        <f t="shared" ca="1" si="1"/>
        <v>43</v>
      </c>
      <c r="B46" s="4" t="s">
        <v>199</v>
      </c>
      <c r="C46" s="4" t="s">
        <v>200</v>
      </c>
      <c r="D46" s="4" t="s">
        <v>104</v>
      </c>
      <c r="E46" s="4" t="s">
        <v>56</v>
      </c>
      <c r="F46" s="4">
        <v>996.56900000000007</v>
      </c>
      <c r="G46" s="5">
        <v>105.80800000000001</v>
      </c>
      <c r="H46" s="5">
        <v>15.43</v>
      </c>
      <c r="I46" s="5">
        <v>15</v>
      </c>
      <c r="J46" s="4" t="s">
        <v>106</v>
      </c>
    </row>
    <row r="47" spans="1:10" x14ac:dyDescent="0.25">
      <c r="A47" s="4">
        <f t="shared" ca="1" si="1"/>
        <v>44</v>
      </c>
      <c r="B47" s="4" t="s">
        <v>201</v>
      </c>
      <c r="C47" s="4" t="s">
        <v>93</v>
      </c>
      <c r="D47" s="4" t="s">
        <v>104</v>
      </c>
      <c r="E47" s="4" t="s">
        <v>56</v>
      </c>
      <c r="F47" s="4">
        <v>844.93499999999995</v>
      </c>
      <c r="G47" s="5">
        <v>86.384500000000003</v>
      </c>
      <c r="H47" s="5">
        <v>16.93</v>
      </c>
      <c r="I47" s="5">
        <v>604</v>
      </c>
      <c r="J47" s="4" t="s">
        <v>106</v>
      </c>
    </row>
    <row r="48" spans="1:10" x14ac:dyDescent="0.25">
      <c r="A48" s="4">
        <f t="shared" ca="1" si="1"/>
        <v>45</v>
      </c>
      <c r="B48" s="4" t="s">
        <v>202</v>
      </c>
      <c r="C48" s="4" t="s">
        <v>203</v>
      </c>
      <c r="D48" s="4" t="s">
        <v>104</v>
      </c>
      <c r="E48" s="4" t="s">
        <v>56</v>
      </c>
      <c r="F48" s="4">
        <v>807.49800000000005</v>
      </c>
      <c r="G48" s="5">
        <v>85.523099999999999</v>
      </c>
      <c r="H48" s="5">
        <v>16.97</v>
      </c>
      <c r="I48" s="5">
        <v>779</v>
      </c>
      <c r="J48" s="4" t="s">
        <v>106</v>
      </c>
    </row>
    <row r="49" spans="1:10" x14ac:dyDescent="0.25">
      <c r="A49" s="4">
        <f t="shared" ca="1" si="1"/>
        <v>46</v>
      </c>
      <c r="B49" s="4" t="s">
        <v>204</v>
      </c>
      <c r="C49" s="4" t="s">
        <v>205</v>
      </c>
      <c r="D49" s="4" t="s">
        <v>104</v>
      </c>
      <c r="E49" s="4" t="s">
        <v>56</v>
      </c>
      <c r="F49" s="4">
        <v>817.47400000000005</v>
      </c>
      <c r="G49" s="5">
        <v>86.748800000000003</v>
      </c>
      <c r="H49" s="5">
        <v>16.940000000000001</v>
      </c>
      <c r="I49" s="5">
        <v>815</v>
      </c>
      <c r="J49" s="4" t="s">
        <v>106</v>
      </c>
    </row>
    <row r="50" spans="1:10" x14ac:dyDescent="0.25">
      <c r="A50" s="4">
        <f t="shared" ca="1" si="1"/>
        <v>47</v>
      </c>
      <c r="B50" s="4" t="s">
        <v>206</v>
      </c>
      <c r="C50" s="4" t="s">
        <v>207</v>
      </c>
      <c r="D50" s="4" t="s">
        <v>104</v>
      </c>
      <c r="E50" s="4" t="s">
        <v>56</v>
      </c>
      <c r="F50" s="4">
        <v>1000</v>
      </c>
      <c r="G50" s="5">
        <v>100.0655</v>
      </c>
      <c r="H50" s="5">
        <v>11.8</v>
      </c>
      <c r="I50" s="5">
        <v>728</v>
      </c>
      <c r="J50" s="4" t="s">
        <v>106</v>
      </c>
    </row>
    <row r="51" spans="1:10" x14ac:dyDescent="0.25">
      <c r="A51" s="4">
        <f t="shared" ca="1" si="1"/>
        <v>48</v>
      </c>
      <c r="B51" s="4" t="s">
        <v>208</v>
      </c>
      <c r="C51" s="4" t="s">
        <v>209</v>
      </c>
      <c r="D51" s="4" t="s">
        <v>104</v>
      </c>
      <c r="E51" s="4" t="s">
        <v>56</v>
      </c>
      <c r="F51" s="4">
        <v>1000</v>
      </c>
      <c r="G51" s="5">
        <v>107.99640000000001</v>
      </c>
      <c r="H51" s="5">
        <v>11.33</v>
      </c>
      <c r="I51" s="5">
        <v>119</v>
      </c>
      <c r="J51" s="4" t="s">
        <v>106</v>
      </c>
    </row>
    <row r="52" spans="1:10" x14ac:dyDescent="0.25">
      <c r="A52" s="4">
        <f t="shared" ca="1" si="1"/>
        <v>49</v>
      </c>
      <c r="B52" s="4" t="s">
        <v>210</v>
      </c>
      <c r="C52" s="4" t="s">
        <v>211</v>
      </c>
      <c r="D52" s="4" t="s">
        <v>104</v>
      </c>
      <c r="E52" s="4" t="s">
        <v>56</v>
      </c>
      <c r="F52" s="4">
        <v>1000</v>
      </c>
      <c r="G52" s="5">
        <v>105.1845</v>
      </c>
      <c r="H52" s="5">
        <v>11.84</v>
      </c>
      <c r="I52" s="5">
        <v>1669</v>
      </c>
      <c r="J52" s="4" t="s">
        <v>106</v>
      </c>
    </row>
    <row r="53" spans="1:10" x14ac:dyDescent="0.25">
      <c r="A53" s="4">
        <f t="shared" ca="1" si="1"/>
        <v>50</v>
      </c>
      <c r="B53" s="4" t="s">
        <v>212</v>
      </c>
      <c r="C53" s="4" t="s">
        <v>78</v>
      </c>
      <c r="D53" s="4" t="s">
        <v>104</v>
      </c>
      <c r="E53" s="4" t="s">
        <v>56</v>
      </c>
      <c r="F53" s="4">
        <v>629.51300000000003</v>
      </c>
      <c r="G53" s="5">
        <v>64.722200000000001</v>
      </c>
      <c r="H53" s="5">
        <v>16.260000000000002</v>
      </c>
      <c r="I53" s="5">
        <v>3207</v>
      </c>
      <c r="J53" s="4" t="s">
        <v>106</v>
      </c>
    </row>
    <row r="54" spans="1:10" x14ac:dyDescent="0.25">
      <c r="A54" s="4">
        <f t="shared" ca="1" si="1"/>
        <v>51</v>
      </c>
      <c r="B54" s="4" t="s">
        <v>213</v>
      </c>
      <c r="C54" s="4" t="s">
        <v>214</v>
      </c>
      <c r="D54" s="4" t="s">
        <v>104</v>
      </c>
      <c r="E54" s="4" t="s">
        <v>56</v>
      </c>
      <c r="F54" s="4">
        <v>856.29300000000001</v>
      </c>
      <c r="G54" s="5">
        <v>86.480100000000007</v>
      </c>
      <c r="H54" s="5">
        <v>16.96</v>
      </c>
      <c r="I54" s="5">
        <v>689</v>
      </c>
      <c r="J54" s="4" t="s">
        <v>106</v>
      </c>
    </row>
    <row r="55" spans="1:10" x14ac:dyDescent="0.25">
      <c r="A55" s="4">
        <f t="shared" ca="1" si="1"/>
        <v>52</v>
      </c>
      <c r="B55" s="4" t="s">
        <v>215</v>
      </c>
      <c r="C55" s="4" t="s">
        <v>216</v>
      </c>
      <c r="D55" s="4" t="s">
        <v>104</v>
      </c>
      <c r="E55" s="4" t="s">
        <v>56</v>
      </c>
      <c r="F55" s="4">
        <v>562.14200000000005</v>
      </c>
      <c r="G55" s="5">
        <v>63.542700000000004</v>
      </c>
      <c r="H55" s="5">
        <v>16.12</v>
      </c>
      <c r="I55" s="5">
        <v>6997</v>
      </c>
      <c r="J55" s="4" t="s">
        <v>106</v>
      </c>
    </row>
    <row r="56" spans="1:10" x14ac:dyDescent="0.25">
      <c r="A56" s="4">
        <f t="shared" ca="1" si="1"/>
        <v>53</v>
      </c>
      <c r="B56" s="4" t="s">
        <v>217</v>
      </c>
      <c r="C56" s="4" t="s">
        <v>218</v>
      </c>
      <c r="D56" s="4" t="s">
        <v>104</v>
      </c>
      <c r="E56" s="4" t="s">
        <v>56</v>
      </c>
      <c r="F56" s="4">
        <v>1000</v>
      </c>
      <c r="G56" s="5">
        <v>109.8644</v>
      </c>
      <c r="H56" s="5">
        <v>11.71</v>
      </c>
      <c r="I56" s="5">
        <v>426</v>
      </c>
      <c r="J56" s="4" t="s">
        <v>106</v>
      </c>
    </row>
    <row r="57" spans="1:10" x14ac:dyDescent="0.25">
      <c r="A57" s="4">
        <f t="shared" ca="1" si="1"/>
        <v>54</v>
      </c>
      <c r="B57" s="4" t="s">
        <v>219</v>
      </c>
      <c r="C57" s="4" t="s">
        <v>220</v>
      </c>
      <c r="D57" s="4" t="s">
        <v>104</v>
      </c>
      <c r="E57" s="4" t="s">
        <v>56</v>
      </c>
      <c r="F57" s="4">
        <v>1000</v>
      </c>
      <c r="G57" s="5">
        <v>101.08150000000001</v>
      </c>
      <c r="H57" s="5">
        <v>11.78</v>
      </c>
      <c r="I57" s="5">
        <v>1428</v>
      </c>
      <c r="J57" s="4" t="s">
        <v>106</v>
      </c>
    </row>
    <row r="58" spans="1:10" x14ac:dyDescent="0.25">
      <c r="A58" s="4">
        <f t="shared" ca="1" si="1"/>
        <v>55</v>
      </c>
      <c r="B58" s="4" t="s">
        <v>221</v>
      </c>
      <c r="C58" s="4" t="s">
        <v>222</v>
      </c>
      <c r="D58" s="4" t="s">
        <v>104</v>
      </c>
      <c r="E58" s="4" t="s">
        <v>56</v>
      </c>
      <c r="F58" s="4">
        <v>1000</v>
      </c>
      <c r="G58" s="5">
        <v>101.9991</v>
      </c>
      <c r="H58" s="5">
        <v>11.77</v>
      </c>
      <c r="I58" s="5">
        <v>1764</v>
      </c>
      <c r="J58" s="4" t="s">
        <v>106</v>
      </c>
    </row>
    <row r="59" spans="1:10" x14ac:dyDescent="0.25">
      <c r="A59" s="4">
        <f t="shared" ca="1" si="1"/>
        <v>56</v>
      </c>
      <c r="B59" s="4" t="s">
        <v>223</v>
      </c>
      <c r="C59" s="4" t="s">
        <v>224</v>
      </c>
      <c r="D59" s="4" t="s">
        <v>104</v>
      </c>
      <c r="E59" s="4" t="s">
        <v>56</v>
      </c>
      <c r="F59" s="4">
        <v>1000</v>
      </c>
      <c r="G59" s="5">
        <v>110.9131</v>
      </c>
      <c r="H59" s="5">
        <v>11.75</v>
      </c>
      <c r="I59" s="5">
        <v>393</v>
      </c>
      <c r="J59" s="4" t="s">
        <v>106</v>
      </c>
    </row>
    <row r="60" spans="1:10" x14ac:dyDescent="0.25">
      <c r="A60" s="4">
        <f t="shared" ca="1" si="1"/>
        <v>57</v>
      </c>
      <c r="B60" s="4" t="s">
        <v>225</v>
      </c>
      <c r="C60" s="4" t="s">
        <v>80</v>
      </c>
      <c r="D60" s="4" t="s">
        <v>104</v>
      </c>
      <c r="E60" s="4" t="s">
        <v>56</v>
      </c>
      <c r="F60" s="4">
        <v>615.93600000000004</v>
      </c>
      <c r="G60" s="5">
        <v>65.673400000000001</v>
      </c>
      <c r="H60" s="5">
        <v>16.240000000000002</v>
      </c>
      <c r="I60" s="5">
        <v>3469</v>
      </c>
      <c r="J60" s="4" t="s">
        <v>106</v>
      </c>
    </row>
    <row r="61" spans="1:10" x14ac:dyDescent="0.25">
      <c r="A61" s="4">
        <f t="shared" ca="1" si="1"/>
        <v>58</v>
      </c>
      <c r="B61" s="4" t="s">
        <v>226</v>
      </c>
      <c r="C61" s="4" t="s">
        <v>227</v>
      </c>
      <c r="D61" s="4" t="s">
        <v>104</v>
      </c>
      <c r="E61" s="4" t="s">
        <v>56</v>
      </c>
      <c r="F61" s="4">
        <v>894.86099999999999</v>
      </c>
      <c r="G61" s="5">
        <v>93.111100000000008</v>
      </c>
      <c r="H61" s="5">
        <v>16.920000000000002</v>
      </c>
      <c r="I61" s="5">
        <v>583</v>
      </c>
      <c r="J61" s="4" t="s">
        <v>106</v>
      </c>
    </row>
    <row r="62" spans="1:10" x14ac:dyDescent="0.25">
      <c r="A62" s="4">
        <f t="shared" ca="1" si="1"/>
        <v>59</v>
      </c>
      <c r="B62" s="4" t="s">
        <v>228</v>
      </c>
      <c r="C62" s="4" t="s">
        <v>229</v>
      </c>
      <c r="D62" s="4" t="s">
        <v>104</v>
      </c>
      <c r="E62" s="4" t="s">
        <v>56</v>
      </c>
      <c r="F62" s="4">
        <v>877.577</v>
      </c>
      <c r="G62" s="5">
        <v>88.457700000000003</v>
      </c>
      <c r="H62" s="5">
        <v>16.95</v>
      </c>
      <c r="I62" s="5">
        <v>702</v>
      </c>
      <c r="J62" s="4" t="s">
        <v>106</v>
      </c>
    </row>
    <row r="63" spans="1:10" x14ac:dyDescent="0.25">
      <c r="A63" s="4">
        <f t="shared" ca="1" si="1"/>
        <v>60</v>
      </c>
      <c r="B63" s="4" t="s">
        <v>230</v>
      </c>
      <c r="C63" s="4" t="s">
        <v>231</v>
      </c>
      <c r="D63" s="4" t="s">
        <v>104</v>
      </c>
      <c r="E63" s="4" t="s">
        <v>56</v>
      </c>
      <c r="F63" s="4">
        <v>615.07799999999997</v>
      </c>
      <c r="G63" s="5">
        <v>61.531400000000005</v>
      </c>
      <c r="H63" s="5">
        <v>16.190000000000001</v>
      </c>
      <c r="I63" s="5">
        <v>4017</v>
      </c>
      <c r="J63" s="4" t="s">
        <v>106</v>
      </c>
    </row>
    <row r="64" spans="1:10" x14ac:dyDescent="0.25">
      <c r="A64" s="4">
        <f t="shared" ca="1" si="1"/>
        <v>61</v>
      </c>
      <c r="B64" s="4" t="s">
        <v>232</v>
      </c>
      <c r="C64" s="4" t="s">
        <v>233</v>
      </c>
      <c r="D64" s="4" t="s">
        <v>104</v>
      </c>
      <c r="E64" s="4" t="s">
        <v>56</v>
      </c>
      <c r="F64" s="4">
        <v>676.23800000000006</v>
      </c>
      <c r="G64" s="5">
        <v>70.438299999999998</v>
      </c>
      <c r="H64" s="5">
        <v>16.32</v>
      </c>
      <c r="I64" s="5">
        <v>2804</v>
      </c>
      <c r="J64" s="4" t="s">
        <v>106</v>
      </c>
    </row>
    <row r="65" spans="1:10" x14ac:dyDescent="0.25">
      <c r="A65" s="4">
        <f t="shared" ca="1" si="1"/>
        <v>62</v>
      </c>
      <c r="B65" s="4" t="s">
        <v>234</v>
      </c>
      <c r="C65" s="4" t="s">
        <v>235</v>
      </c>
      <c r="D65" s="4" t="s">
        <v>104</v>
      </c>
      <c r="E65" s="4" t="s">
        <v>56</v>
      </c>
      <c r="F65" s="4">
        <v>667.01600000000008</v>
      </c>
      <c r="G65" s="5">
        <v>69.004599999999996</v>
      </c>
      <c r="H65" s="5">
        <v>16.32</v>
      </c>
      <c r="I65" s="5">
        <v>2823</v>
      </c>
      <c r="J65" s="4" t="s">
        <v>106</v>
      </c>
    </row>
    <row r="66" spans="1:10" x14ac:dyDescent="0.25">
      <c r="A66" s="4">
        <f t="shared" ca="1" si="1"/>
        <v>63</v>
      </c>
      <c r="B66" s="4" t="s">
        <v>236</v>
      </c>
      <c r="C66" s="4" t="s">
        <v>95</v>
      </c>
      <c r="D66" s="4" t="s">
        <v>104</v>
      </c>
      <c r="E66" s="4" t="s">
        <v>56</v>
      </c>
      <c r="F66" s="4">
        <v>689.46100000000001</v>
      </c>
      <c r="G66" s="5">
        <v>71.410700000000006</v>
      </c>
      <c r="H66" s="5">
        <v>16.38</v>
      </c>
      <c r="I66" s="5">
        <v>2451</v>
      </c>
      <c r="J66" s="4" t="s">
        <v>106</v>
      </c>
    </row>
    <row r="67" spans="1:10" x14ac:dyDescent="0.25">
      <c r="A67" s="4">
        <f t="shared" ca="1" si="1"/>
        <v>64</v>
      </c>
      <c r="B67" s="4" t="s">
        <v>237</v>
      </c>
      <c r="C67" s="4" t="s">
        <v>238</v>
      </c>
      <c r="D67" s="4" t="s">
        <v>104</v>
      </c>
      <c r="E67" s="4" t="s">
        <v>56</v>
      </c>
      <c r="F67" s="4">
        <v>713.88499999999999</v>
      </c>
      <c r="G67" s="5">
        <v>73.287500000000009</v>
      </c>
      <c r="H67" s="5">
        <v>16.46</v>
      </c>
      <c r="I67" s="5">
        <v>2109</v>
      </c>
      <c r="J67" s="4" t="s">
        <v>106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239</v>
      </c>
      <c r="C68" s="4" t="s">
        <v>240</v>
      </c>
      <c r="D68" s="4" t="s">
        <v>104</v>
      </c>
      <c r="E68" s="4" t="s">
        <v>56</v>
      </c>
      <c r="F68" s="4">
        <v>617.42899999999997</v>
      </c>
      <c r="G68" s="5">
        <v>65.851200000000006</v>
      </c>
      <c r="H68" s="5">
        <v>16.2</v>
      </c>
      <c r="I68" s="5">
        <v>4213</v>
      </c>
      <c r="J68" s="4" t="s">
        <v>106</v>
      </c>
    </row>
    <row r="69" spans="1:10" x14ac:dyDescent="0.25">
      <c r="A69" s="4">
        <f t="shared" ca="1" si="2"/>
        <v>66</v>
      </c>
      <c r="B69" s="4" t="s">
        <v>241</v>
      </c>
      <c r="C69" s="4" t="s">
        <v>242</v>
      </c>
      <c r="D69" s="4" t="s">
        <v>104</v>
      </c>
      <c r="E69" s="4" t="s">
        <v>56</v>
      </c>
      <c r="F69" s="4">
        <v>1000</v>
      </c>
      <c r="G69" s="5">
        <v>102.0647</v>
      </c>
      <c r="H69" s="5">
        <v>11.67</v>
      </c>
      <c r="I69" s="5">
        <v>301</v>
      </c>
      <c r="J69" s="4" t="s">
        <v>106</v>
      </c>
    </row>
    <row r="70" spans="1:10" x14ac:dyDescent="0.25">
      <c r="A70" s="4">
        <f t="shared" ca="1" si="2"/>
        <v>67</v>
      </c>
      <c r="B70" s="4" t="s">
        <v>243</v>
      </c>
      <c r="C70" s="4" t="s">
        <v>99</v>
      </c>
      <c r="D70" s="4" t="s">
        <v>104</v>
      </c>
      <c r="E70" s="4" t="s">
        <v>56</v>
      </c>
      <c r="F70" s="4">
        <v>749.82400000000007</v>
      </c>
      <c r="G70" s="5">
        <v>82.406400000000005</v>
      </c>
      <c r="H70" s="5">
        <v>16.68</v>
      </c>
      <c r="I70" s="5">
        <v>1474</v>
      </c>
      <c r="J70" s="4" t="s">
        <v>106</v>
      </c>
    </row>
    <row r="71" spans="1:10" x14ac:dyDescent="0.25">
      <c r="A71" s="4">
        <f t="shared" ca="1" si="2"/>
        <v>68</v>
      </c>
      <c r="B71" s="4" t="s">
        <v>244</v>
      </c>
      <c r="C71" s="4" t="s">
        <v>245</v>
      </c>
      <c r="D71" s="4" t="s">
        <v>104</v>
      </c>
      <c r="E71" s="4" t="s">
        <v>56</v>
      </c>
      <c r="F71" s="4">
        <v>729.346</v>
      </c>
      <c r="G71" s="5">
        <v>76.710599999999999</v>
      </c>
      <c r="H71" s="5">
        <v>16.63</v>
      </c>
      <c r="I71" s="5">
        <v>1649</v>
      </c>
      <c r="J71" s="4" t="s">
        <v>106</v>
      </c>
    </row>
    <row r="72" spans="1:10" x14ac:dyDescent="0.25">
      <c r="A72" s="4">
        <f t="shared" ca="1" si="2"/>
        <v>69</v>
      </c>
      <c r="B72" s="4" t="s">
        <v>246</v>
      </c>
      <c r="C72" s="4" t="s">
        <v>247</v>
      </c>
      <c r="D72" s="4" t="s">
        <v>104</v>
      </c>
      <c r="E72" s="4" t="s">
        <v>56</v>
      </c>
      <c r="F72" s="4">
        <v>556.60599999999999</v>
      </c>
      <c r="G72" s="5">
        <v>60.510300000000001</v>
      </c>
      <c r="H72" s="5">
        <v>16.149999999999999</v>
      </c>
      <c r="I72" s="5">
        <v>4890</v>
      </c>
      <c r="J72" s="4" t="s">
        <v>106</v>
      </c>
    </row>
    <row r="73" spans="1:10" x14ac:dyDescent="0.25">
      <c r="A73" s="4">
        <f t="shared" ca="1" si="2"/>
        <v>70</v>
      </c>
      <c r="B73" s="4" t="s">
        <v>248</v>
      </c>
      <c r="C73" s="4" t="s">
        <v>249</v>
      </c>
      <c r="D73" s="4" t="s">
        <v>104</v>
      </c>
      <c r="E73" s="4" t="s">
        <v>56</v>
      </c>
      <c r="F73" s="4">
        <v>968.86700000000008</v>
      </c>
      <c r="G73" s="5">
        <v>100.72890000000001</v>
      </c>
      <c r="H73" s="5">
        <v>16.240000000000002</v>
      </c>
      <c r="I73" s="5">
        <v>116</v>
      </c>
      <c r="J73" s="4" t="s">
        <v>106</v>
      </c>
    </row>
    <row r="74" spans="1:10" x14ac:dyDescent="0.25">
      <c r="A74" s="4">
        <f t="shared" ca="1" si="2"/>
        <v>71</v>
      </c>
      <c r="B74" s="4" t="s">
        <v>250</v>
      </c>
      <c r="C74" s="4" t="s">
        <v>251</v>
      </c>
      <c r="D74" s="4" t="s">
        <v>104</v>
      </c>
      <c r="E74" s="4" t="s">
        <v>56</v>
      </c>
      <c r="F74" s="4">
        <v>898.67499999999995</v>
      </c>
      <c r="G74" s="5">
        <v>95.107799999999997</v>
      </c>
      <c r="H74" s="5">
        <v>16.82</v>
      </c>
      <c r="I74" s="5">
        <v>383</v>
      </c>
      <c r="J74" s="4" t="s">
        <v>106</v>
      </c>
    </row>
    <row r="75" spans="1:10" x14ac:dyDescent="0.25">
      <c r="A75" s="4">
        <f t="shared" ca="1" si="2"/>
        <v>72</v>
      </c>
      <c r="B75" s="4" t="s">
        <v>252</v>
      </c>
      <c r="C75" s="4" t="s">
        <v>69</v>
      </c>
      <c r="D75" s="4" t="s">
        <v>104</v>
      </c>
      <c r="E75" s="4" t="s">
        <v>56</v>
      </c>
      <c r="F75" s="4">
        <v>797.78700000000003</v>
      </c>
      <c r="G75" s="5">
        <v>83.930400000000006</v>
      </c>
      <c r="H75" s="5">
        <v>16.95</v>
      </c>
      <c r="I75" s="5">
        <v>810</v>
      </c>
      <c r="J75" s="4" t="s">
        <v>106</v>
      </c>
    </row>
    <row r="76" spans="1:10" x14ac:dyDescent="0.25">
      <c r="A76" s="4">
        <f t="shared" ca="1" si="2"/>
        <v>73</v>
      </c>
      <c r="B76" s="4" t="s">
        <v>253</v>
      </c>
      <c r="C76" s="4" t="s">
        <v>254</v>
      </c>
      <c r="D76" s="4" t="s">
        <v>104</v>
      </c>
      <c r="E76" s="4" t="s">
        <v>56</v>
      </c>
      <c r="F76" s="4">
        <v>739.51200000000006</v>
      </c>
      <c r="G76" s="5">
        <v>78.702600000000004</v>
      </c>
      <c r="H76" s="5">
        <v>16.84</v>
      </c>
      <c r="I76" s="5">
        <v>1147</v>
      </c>
      <c r="J76" s="4" t="s">
        <v>106</v>
      </c>
    </row>
    <row r="77" spans="1:10" x14ac:dyDescent="0.25">
      <c r="A77" s="4">
        <f t="shared" ca="1" si="2"/>
        <v>74</v>
      </c>
      <c r="B77" s="4" t="s">
        <v>255</v>
      </c>
      <c r="C77" s="4" t="s">
        <v>256</v>
      </c>
      <c r="D77" s="4" t="s">
        <v>104</v>
      </c>
      <c r="E77" s="4" t="s">
        <v>56</v>
      </c>
      <c r="F77" s="4">
        <v>576.70500000000004</v>
      </c>
      <c r="G77" s="5">
        <v>57.809699999999999</v>
      </c>
      <c r="H77" s="5">
        <v>16.14</v>
      </c>
      <c r="I77" s="5">
        <v>5107</v>
      </c>
      <c r="J77" s="4" t="s">
        <v>106</v>
      </c>
    </row>
    <row r="78" spans="1:10" x14ac:dyDescent="0.25">
      <c r="A78" s="4">
        <f t="shared" ca="1" si="2"/>
        <v>75</v>
      </c>
      <c r="B78" s="4" t="s">
        <v>257</v>
      </c>
      <c r="C78" s="4" t="s">
        <v>258</v>
      </c>
      <c r="D78" s="4" t="s">
        <v>104</v>
      </c>
      <c r="E78" s="4" t="s">
        <v>56</v>
      </c>
      <c r="F78" s="4">
        <v>571.12700000000007</v>
      </c>
      <c r="G78" s="5">
        <v>60.716500000000003</v>
      </c>
      <c r="H78" s="5">
        <v>16.149999999999999</v>
      </c>
      <c r="I78" s="5">
        <v>5323</v>
      </c>
      <c r="J78" s="4" t="s">
        <v>106</v>
      </c>
    </row>
    <row r="79" spans="1:10" x14ac:dyDescent="0.25">
      <c r="A79" s="4">
        <f t="shared" ca="1" si="2"/>
        <v>76</v>
      </c>
      <c r="B79" s="4" t="s">
        <v>259</v>
      </c>
      <c r="C79" s="4" t="s">
        <v>66</v>
      </c>
      <c r="D79" s="4" t="s">
        <v>104</v>
      </c>
      <c r="E79" s="4" t="s">
        <v>56</v>
      </c>
      <c r="F79" s="4">
        <v>849.63</v>
      </c>
      <c r="G79" s="5">
        <v>88.660200000000003</v>
      </c>
      <c r="H79" s="5">
        <v>16.740000000000002</v>
      </c>
      <c r="I79" s="5">
        <v>1339</v>
      </c>
      <c r="J79" s="4" t="s">
        <v>106</v>
      </c>
    </row>
    <row r="80" spans="1:10" x14ac:dyDescent="0.25">
      <c r="A80" s="4">
        <f t="shared" ca="1" si="2"/>
        <v>77</v>
      </c>
      <c r="B80" s="4" t="s">
        <v>260</v>
      </c>
      <c r="C80" s="4" t="s">
        <v>261</v>
      </c>
      <c r="D80" s="4" t="s">
        <v>104</v>
      </c>
      <c r="E80" s="4" t="s">
        <v>56</v>
      </c>
      <c r="F80" s="4">
        <v>938.80100000000004</v>
      </c>
      <c r="G80" s="5">
        <v>94.587900000000005</v>
      </c>
      <c r="H80" s="5">
        <v>16.740000000000002</v>
      </c>
      <c r="I80" s="5">
        <v>337</v>
      </c>
      <c r="J80" s="4" t="s">
        <v>106</v>
      </c>
    </row>
    <row r="81" spans="1:10" x14ac:dyDescent="0.25">
      <c r="A81" s="4">
        <f t="shared" ca="1" si="2"/>
        <v>78</v>
      </c>
      <c r="B81" s="4" t="s">
        <v>262</v>
      </c>
      <c r="C81" s="4" t="s">
        <v>263</v>
      </c>
      <c r="D81" s="4" t="s">
        <v>104</v>
      </c>
      <c r="E81" s="4" t="s">
        <v>56</v>
      </c>
      <c r="F81" s="4">
        <v>1000</v>
      </c>
      <c r="G81" s="5">
        <v>107.5291</v>
      </c>
      <c r="H81" s="5">
        <v>11.83</v>
      </c>
      <c r="I81" s="5">
        <v>1231</v>
      </c>
      <c r="J81" s="4" t="s">
        <v>106</v>
      </c>
    </row>
    <row r="82" spans="1:10" x14ac:dyDescent="0.25">
      <c r="A82" s="4">
        <f t="shared" ca="1" si="2"/>
        <v>79</v>
      </c>
      <c r="B82" s="4" t="s">
        <v>264</v>
      </c>
      <c r="C82" s="4" t="s">
        <v>265</v>
      </c>
      <c r="D82" s="4" t="s">
        <v>104</v>
      </c>
      <c r="E82" s="4" t="s">
        <v>56</v>
      </c>
      <c r="F82" s="4">
        <v>1000</v>
      </c>
      <c r="G82" s="5">
        <v>103.99820000000001</v>
      </c>
      <c r="H82" s="5">
        <v>11.56</v>
      </c>
      <c r="I82" s="5">
        <v>241</v>
      </c>
      <c r="J82" s="4" t="s">
        <v>106</v>
      </c>
    </row>
    <row r="83" spans="1:10" x14ac:dyDescent="0.25">
      <c r="A83" s="4">
        <f t="shared" ca="1" si="2"/>
        <v>80</v>
      </c>
      <c r="B83" s="4" t="s">
        <v>266</v>
      </c>
      <c r="C83" s="4" t="s">
        <v>267</v>
      </c>
      <c r="D83" s="4" t="s">
        <v>104</v>
      </c>
      <c r="E83" s="4" t="s">
        <v>56</v>
      </c>
      <c r="F83" s="4">
        <v>1000</v>
      </c>
      <c r="G83" s="5">
        <v>105.0142</v>
      </c>
      <c r="H83" s="5">
        <v>11.74</v>
      </c>
      <c r="I83" s="5">
        <v>1308</v>
      </c>
      <c r="J83" s="4" t="s">
        <v>106</v>
      </c>
    </row>
    <row r="84" spans="1:10" x14ac:dyDescent="0.25">
      <c r="A84" s="4">
        <f t="shared" ca="1" si="2"/>
        <v>81</v>
      </c>
      <c r="B84" s="4" t="s">
        <v>268</v>
      </c>
      <c r="C84" s="4" t="s">
        <v>269</v>
      </c>
      <c r="D84" s="4" t="s">
        <v>104</v>
      </c>
      <c r="E84" s="4" t="s">
        <v>56</v>
      </c>
      <c r="F84" s="4">
        <v>849.36200000000008</v>
      </c>
      <c r="G84" s="5">
        <v>92.905000000000001</v>
      </c>
      <c r="H84" s="5">
        <v>16.809999999999999</v>
      </c>
      <c r="I84" s="5">
        <v>1184</v>
      </c>
      <c r="J84" s="4" t="s">
        <v>106</v>
      </c>
    </row>
    <row r="85" spans="1:10" x14ac:dyDescent="0.25">
      <c r="A85" s="4">
        <f t="shared" ca="1" si="2"/>
        <v>82</v>
      </c>
      <c r="B85" s="4" t="s">
        <v>270</v>
      </c>
      <c r="C85" s="4" t="s">
        <v>271</v>
      </c>
      <c r="D85" s="4" t="s">
        <v>104</v>
      </c>
      <c r="E85" s="4" t="s">
        <v>56</v>
      </c>
      <c r="F85" s="4">
        <v>1000</v>
      </c>
      <c r="G85" s="5">
        <v>105.11250000000001</v>
      </c>
      <c r="H85" s="5">
        <v>11.72</v>
      </c>
      <c r="I85" s="5">
        <v>939</v>
      </c>
      <c r="J85" s="4" t="s">
        <v>106</v>
      </c>
    </row>
    <row r="86" spans="1:10" x14ac:dyDescent="0.25">
      <c r="A86" s="4">
        <f t="shared" ca="1" si="2"/>
        <v>83</v>
      </c>
      <c r="B86" s="4" t="s">
        <v>272</v>
      </c>
      <c r="C86" s="4" t="s">
        <v>273</v>
      </c>
      <c r="D86" s="4" t="s">
        <v>104</v>
      </c>
      <c r="E86" s="4" t="s">
        <v>56</v>
      </c>
      <c r="F86" s="4">
        <v>574.90700000000004</v>
      </c>
      <c r="G86" s="5">
        <v>58.9726</v>
      </c>
      <c r="H86" s="5">
        <v>16.36</v>
      </c>
      <c r="I86" s="5">
        <v>2459</v>
      </c>
      <c r="J86" s="4" t="s">
        <v>106</v>
      </c>
    </row>
    <row r="87" spans="1:10" x14ac:dyDescent="0.25">
      <c r="A87" s="4">
        <f t="shared" ca="1" si="2"/>
        <v>84</v>
      </c>
      <c r="B87" s="4" t="s">
        <v>274</v>
      </c>
      <c r="C87" s="4" t="s">
        <v>275</v>
      </c>
      <c r="D87" s="4" t="s">
        <v>104</v>
      </c>
      <c r="E87" s="4" t="s">
        <v>56</v>
      </c>
      <c r="F87" s="4">
        <v>767.08</v>
      </c>
      <c r="G87" s="5">
        <v>81.340800000000002</v>
      </c>
      <c r="H87" s="5">
        <v>16.8</v>
      </c>
      <c r="I87" s="5">
        <v>1228</v>
      </c>
      <c r="J87" s="4" t="s">
        <v>106</v>
      </c>
    </row>
    <row r="88" spans="1:10" x14ac:dyDescent="0.25">
      <c r="A88" s="4">
        <f t="shared" ca="1" si="2"/>
        <v>85</v>
      </c>
      <c r="B88" s="4" t="s">
        <v>276</v>
      </c>
      <c r="C88" s="4" t="s">
        <v>277</v>
      </c>
      <c r="D88" s="4" t="s">
        <v>104</v>
      </c>
      <c r="E88" s="4" t="s">
        <v>56</v>
      </c>
      <c r="F88" s="4">
        <v>756.13300000000004</v>
      </c>
      <c r="G88" s="5">
        <v>77.043900000000008</v>
      </c>
      <c r="H88" s="5">
        <v>16.89</v>
      </c>
      <c r="I88" s="5">
        <v>992</v>
      </c>
      <c r="J88" s="4" t="s">
        <v>106</v>
      </c>
    </row>
    <row r="89" spans="1:10" x14ac:dyDescent="0.25">
      <c r="A89" s="4">
        <f t="shared" ca="1" si="2"/>
        <v>86</v>
      </c>
      <c r="B89" s="4" t="s">
        <v>278</v>
      </c>
      <c r="C89" s="4" t="s">
        <v>76</v>
      </c>
      <c r="D89" s="4" t="s">
        <v>104</v>
      </c>
      <c r="E89" s="4" t="s">
        <v>56</v>
      </c>
      <c r="F89" s="4">
        <v>771.44</v>
      </c>
      <c r="G89" s="5">
        <v>77.291899999999998</v>
      </c>
      <c r="H89" s="5">
        <v>16.38</v>
      </c>
      <c r="I89" s="5">
        <v>2552</v>
      </c>
      <c r="J89" s="4" t="s">
        <v>106</v>
      </c>
    </row>
    <row r="90" spans="1:10" x14ac:dyDescent="0.25">
      <c r="A90" s="4">
        <f t="shared" ca="1" si="2"/>
        <v>87</v>
      </c>
      <c r="B90" s="4" t="s">
        <v>279</v>
      </c>
      <c r="C90" s="4" t="s">
        <v>86</v>
      </c>
      <c r="D90" s="4" t="s">
        <v>104</v>
      </c>
      <c r="E90" s="4" t="s">
        <v>56</v>
      </c>
      <c r="F90" s="4">
        <v>830.83100000000002</v>
      </c>
      <c r="G90" s="5">
        <v>83.171000000000006</v>
      </c>
      <c r="H90" s="5">
        <v>16.690000000000001</v>
      </c>
      <c r="I90" s="5">
        <v>1458</v>
      </c>
      <c r="J90" s="4" t="s">
        <v>106</v>
      </c>
    </row>
    <row r="91" spans="1:10" x14ac:dyDescent="0.25">
      <c r="A91" s="4">
        <f t="shared" ca="1" si="2"/>
        <v>88</v>
      </c>
      <c r="B91" s="4" t="s">
        <v>280</v>
      </c>
      <c r="C91" s="4" t="s">
        <v>281</v>
      </c>
      <c r="D91" s="4" t="s">
        <v>104</v>
      </c>
      <c r="E91" s="4" t="s">
        <v>56</v>
      </c>
      <c r="F91" s="4">
        <v>1000</v>
      </c>
      <c r="G91" s="5">
        <v>109.89720000000001</v>
      </c>
      <c r="H91" s="5">
        <v>11.77</v>
      </c>
      <c r="I91" s="5">
        <v>1886</v>
      </c>
      <c r="J91" s="4" t="s">
        <v>106</v>
      </c>
    </row>
    <row r="92" spans="1:10" x14ac:dyDescent="0.25">
      <c r="A92" s="4">
        <f t="shared" ca="1" si="2"/>
        <v>89</v>
      </c>
      <c r="B92" s="4" t="s">
        <v>282</v>
      </c>
      <c r="C92" s="4" t="s">
        <v>283</v>
      </c>
      <c r="D92" s="4" t="s">
        <v>104</v>
      </c>
      <c r="E92" s="4" t="s">
        <v>56</v>
      </c>
      <c r="F92" s="4">
        <v>1000</v>
      </c>
      <c r="G92" s="5">
        <v>106.94770000000001</v>
      </c>
      <c r="H92" s="5">
        <v>11.76</v>
      </c>
      <c r="I92" s="5">
        <v>2342</v>
      </c>
      <c r="J92" s="4" t="s">
        <v>106</v>
      </c>
    </row>
    <row r="93" spans="1:10" x14ac:dyDescent="0.25">
      <c r="A93" s="4">
        <f t="shared" ca="1" si="2"/>
        <v>90</v>
      </c>
      <c r="B93" s="4" t="s">
        <v>284</v>
      </c>
      <c r="C93" s="4" t="s">
        <v>285</v>
      </c>
      <c r="D93" s="4" t="s">
        <v>104</v>
      </c>
      <c r="E93" s="4" t="s">
        <v>56</v>
      </c>
      <c r="F93" s="4">
        <v>1000</v>
      </c>
      <c r="G93" s="5">
        <v>109.9628</v>
      </c>
      <c r="H93" s="5">
        <v>11.78</v>
      </c>
      <c r="I93" s="5">
        <v>2249</v>
      </c>
      <c r="J93" s="4" t="s">
        <v>106</v>
      </c>
    </row>
    <row r="94" spans="1:10" x14ac:dyDescent="0.25">
      <c r="A94" s="4">
        <f t="shared" ca="1" si="2"/>
        <v>91</v>
      </c>
      <c r="B94" s="4" t="s">
        <v>286</v>
      </c>
      <c r="C94" s="4" t="s">
        <v>287</v>
      </c>
      <c r="D94" s="4" t="s">
        <v>104</v>
      </c>
      <c r="E94" s="4" t="s">
        <v>56</v>
      </c>
      <c r="F94" s="4">
        <v>903.98500000000001</v>
      </c>
      <c r="G94" s="5">
        <v>92.478500000000011</v>
      </c>
      <c r="H94" s="5">
        <v>16.940000000000001</v>
      </c>
      <c r="I94" s="5">
        <v>657</v>
      </c>
      <c r="J94" s="4" t="s">
        <v>106</v>
      </c>
    </row>
    <row r="95" spans="1:10" x14ac:dyDescent="0.25">
      <c r="A95" s="4">
        <f t="shared" ca="1" si="2"/>
        <v>92</v>
      </c>
      <c r="B95" s="4" t="s">
        <v>288</v>
      </c>
      <c r="C95" s="4" t="s">
        <v>289</v>
      </c>
      <c r="D95" s="4" t="s">
        <v>104</v>
      </c>
      <c r="E95" s="4" t="s">
        <v>56</v>
      </c>
      <c r="F95" s="4">
        <v>736.00800000000004</v>
      </c>
      <c r="G95" s="5">
        <v>79.2179</v>
      </c>
      <c r="H95" s="5">
        <v>16.22</v>
      </c>
      <c r="I95" s="5">
        <v>4199</v>
      </c>
      <c r="J95" s="4" t="s">
        <v>106</v>
      </c>
    </row>
    <row r="96" spans="1:10" x14ac:dyDescent="0.25">
      <c r="A96" s="4">
        <f t="shared" ca="1" si="2"/>
        <v>93</v>
      </c>
      <c r="B96" s="4" t="s">
        <v>290</v>
      </c>
      <c r="C96" s="4" t="s">
        <v>72</v>
      </c>
      <c r="D96" s="4" t="s">
        <v>104</v>
      </c>
      <c r="E96" s="4" t="s">
        <v>56</v>
      </c>
      <c r="F96" s="4">
        <v>977.28600000000006</v>
      </c>
      <c r="G96" s="5">
        <v>98.025000000000006</v>
      </c>
      <c r="H96" s="5">
        <v>15.83</v>
      </c>
      <c r="I96" s="5">
        <v>174</v>
      </c>
      <c r="J96" s="4" t="s">
        <v>106</v>
      </c>
    </row>
    <row r="97" spans="1:10" x14ac:dyDescent="0.25">
      <c r="A97" s="4">
        <f t="shared" ca="1" si="2"/>
        <v>94</v>
      </c>
      <c r="B97" s="4" t="s">
        <v>291</v>
      </c>
      <c r="C97" s="4" t="s">
        <v>292</v>
      </c>
      <c r="D97" s="4" t="s">
        <v>104</v>
      </c>
      <c r="E97" s="4" t="s">
        <v>56</v>
      </c>
      <c r="F97" s="4">
        <v>828.23599999999999</v>
      </c>
      <c r="G97" s="5">
        <v>88.23190000000001</v>
      </c>
      <c r="H97" s="5">
        <v>16.64</v>
      </c>
      <c r="I97" s="5">
        <v>1649</v>
      </c>
      <c r="J97" s="4" t="s">
        <v>106</v>
      </c>
    </row>
    <row r="98" spans="1:10" x14ac:dyDescent="0.25">
      <c r="A98" s="4">
        <f t="shared" ca="1" si="2"/>
        <v>95</v>
      </c>
      <c r="B98" s="4" t="s">
        <v>293</v>
      </c>
      <c r="C98" s="4" t="s">
        <v>294</v>
      </c>
      <c r="D98" s="4" t="s">
        <v>104</v>
      </c>
      <c r="E98" s="4" t="s">
        <v>56</v>
      </c>
      <c r="F98" s="4">
        <v>727.77600000000007</v>
      </c>
      <c r="G98" s="5">
        <v>82.83890000000001</v>
      </c>
      <c r="H98" s="5">
        <v>16.22</v>
      </c>
      <c r="I98" s="5">
        <v>4043</v>
      </c>
      <c r="J98" s="4" t="s">
        <v>106</v>
      </c>
    </row>
    <row r="99" spans="1:10" x14ac:dyDescent="0.25">
      <c r="A99" s="4">
        <f t="shared" ca="1" si="2"/>
        <v>96</v>
      </c>
      <c r="B99" s="4" t="s">
        <v>295</v>
      </c>
      <c r="C99" s="4" t="s">
        <v>296</v>
      </c>
      <c r="D99" s="4" t="s">
        <v>104</v>
      </c>
      <c r="E99" s="4" t="s">
        <v>56</v>
      </c>
      <c r="F99" s="4">
        <v>723.17600000000004</v>
      </c>
      <c r="G99" s="5">
        <v>76.927800000000005</v>
      </c>
      <c r="H99" s="5">
        <v>16.3</v>
      </c>
      <c r="I99" s="5">
        <v>3123</v>
      </c>
      <c r="J99" s="4" t="s">
        <v>106</v>
      </c>
    </row>
    <row r="100" spans="1:10" x14ac:dyDescent="0.25">
      <c r="A100" s="4">
        <f t="shared" ref="A100:A133" ca="1" si="3">IF(OFFSET(A100,-1,0)="№ п/п",1,OFFSET(A100,-1,0)+1)</f>
        <v>97</v>
      </c>
      <c r="B100" s="4" t="s">
        <v>297</v>
      </c>
      <c r="C100" s="4" t="s">
        <v>74</v>
      </c>
      <c r="D100" s="4" t="s">
        <v>104</v>
      </c>
      <c r="E100" s="4" t="s">
        <v>56</v>
      </c>
      <c r="F100" s="4">
        <v>866.24099999999999</v>
      </c>
      <c r="G100" s="5">
        <v>89.77300000000001</v>
      </c>
      <c r="H100" s="5">
        <v>16.89</v>
      </c>
      <c r="I100" s="5">
        <v>986</v>
      </c>
      <c r="J100" s="4" t="s">
        <v>106</v>
      </c>
    </row>
    <row r="101" spans="1:10" x14ac:dyDescent="0.25">
      <c r="A101" s="4">
        <f t="shared" ca="1" si="3"/>
        <v>98</v>
      </c>
      <c r="B101" s="4" t="s">
        <v>298</v>
      </c>
      <c r="C101" s="4" t="s">
        <v>299</v>
      </c>
      <c r="D101" s="4" t="s">
        <v>104</v>
      </c>
      <c r="E101" s="4" t="s">
        <v>56</v>
      </c>
      <c r="F101" s="4">
        <v>949.19500000000005</v>
      </c>
      <c r="G101" s="5">
        <v>100.08200000000001</v>
      </c>
      <c r="H101" s="5">
        <v>16.16</v>
      </c>
      <c r="I101" s="5">
        <v>369</v>
      </c>
      <c r="J101" s="4" t="s">
        <v>106</v>
      </c>
    </row>
    <row r="102" spans="1:10" x14ac:dyDescent="0.25">
      <c r="A102" s="4">
        <f t="shared" ca="1" si="3"/>
        <v>99</v>
      </c>
      <c r="B102" s="4" t="s">
        <v>300</v>
      </c>
      <c r="C102" s="4" t="s">
        <v>301</v>
      </c>
      <c r="D102" s="4" t="s">
        <v>104</v>
      </c>
      <c r="E102" s="4" t="s">
        <v>56</v>
      </c>
      <c r="F102" s="4">
        <v>716.00400000000002</v>
      </c>
      <c r="G102" s="5">
        <v>75.615000000000009</v>
      </c>
      <c r="H102" s="5">
        <v>16.25</v>
      </c>
      <c r="I102" s="5">
        <v>3509</v>
      </c>
      <c r="J102" s="4" t="s">
        <v>106</v>
      </c>
    </row>
    <row r="103" spans="1:10" x14ac:dyDescent="0.25">
      <c r="A103" s="4">
        <f t="shared" ca="1" si="3"/>
        <v>100</v>
      </c>
      <c r="B103" s="4" t="s">
        <v>302</v>
      </c>
      <c r="C103" s="4" t="s">
        <v>88</v>
      </c>
      <c r="D103" s="4" t="s">
        <v>104</v>
      </c>
      <c r="E103" s="4" t="s">
        <v>56</v>
      </c>
      <c r="F103" s="4">
        <v>782.19600000000003</v>
      </c>
      <c r="G103" s="5">
        <v>82.0535</v>
      </c>
      <c r="H103" s="5">
        <v>16.48</v>
      </c>
      <c r="I103" s="5">
        <v>2055</v>
      </c>
      <c r="J103" s="4" t="s">
        <v>106</v>
      </c>
    </row>
    <row r="104" spans="1:10" x14ac:dyDescent="0.25">
      <c r="A104" s="4">
        <f t="shared" ca="1" si="3"/>
        <v>101</v>
      </c>
      <c r="B104" s="4" t="s">
        <v>303</v>
      </c>
      <c r="C104" s="4" t="s">
        <v>304</v>
      </c>
      <c r="D104" s="4" t="s">
        <v>104</v>
      </c>
      <c r="E104" s="4" t="s">
        <v>56</v>
      </c>
      <c r="F104" s="4">
        <v>756.61700000000008</v>
      </c>
      <c r="G104" s="5">
        <v>85.698400000000007</v>
      </c>
      <c r="H104" s="5">
        <v>16.32</v>
      </c>
      <c r="I104" s="5">
        <v>2945</v>
      </c>
      <c r="J104" s="4" t="s">
        <v>106</v>
      </c>
    </row>
    <row r="105" spans="1:10" x14ac:dyDescent="0.25">
      <c r="A105" s="4">
        <f t="shared" ca="1" si="3"/>
        <v>102</v>
      </c>
      <c r="B105" s="4" t="s">
        <v>305</v>
      </c>
      <c r="C105" s="4" t="s">
        <v>306</v>
      </c>
      <c r="D105" s="4" t="s">
        <v>104</v>
      </c>
      <c r="E105" s="4" t="s">
        <v>56</v>
      </c>
      <c r="F105" s="4">
        <v>976.60599999999999</v>
      </c>
      <c r="G105" s="5">
        <v>102.87310000000001</v>
      </c>
      <c r="H105" s="5">
        <v>16.21</v>
      </c>
      <c r="I105" s="5">
        <v>412</v>
      </c>
      <c r="J105" s="4" t="s">
        <v>106</v>
      </c>
    </row>
    <row r="106" spans="1:10" x14ac:dyDescent="0.25">
      <c r="A106" s="4">
        <f t="shared" ca="1" si="3"/>
        <v>103</v>
      </c>
      <c r="B106" s="4" t="s">
        <v>307</v>
      </c>
      <c r="C106" s="4" t="s">
        <v>308</v>
      </c>
      <c r="D106" s="4" t="s">
        <v>104</v>
      </c>
      <c r="E106" s="4" t="s">
        <v>56</v>
      </c>
      <c r="F106" s="4">
        <v>982.0680000000001</v>
      </c>
      <c r="G106" s="5">
        <v>101.3194</v>
      </c>
      <c r="H106" s="5">
        <v>16.28</v>
      </c>
      <c r="I106" s="5">
        <v>840</v>
      </c>
      <c r="J106" s="4" t="s">
        <v>106</v>
      </c>
    </row>
    <row r="107" spans="1:10" x14ac:dyDescent="0.25">
      <c r="A107" s="4">
        <f t="shared" ca="1" si="3"/>
        <v>104</v>
      </c>
      <c r="B107" s="4" t="s">
        <v>309</v>
      </c>
      <c r="C107" s="4" t="s">
        <v>310</v>
      </c>
      <c r="D107" s="4" t="s">
        <v>104</v>
      </c>
      <c r="E107" s="4" t="s">
        <v>56</v>
      </c>
      <c r="F107" s="4">
        <v>1000</v>
      </c>
      <c r="G107" s="5">
        <v>108.2119</v>
      </c>
      <c r="H107" s="5">
        <v>16.12</v>
      </c>
      <c r="I107" s="5">
        <v>5</v>
      </c>
      <c r="J107" s="4" t="s">
        <v>106</v>
      </c>
    </row>
    <row r="108" spans="1:10" x14ac:dyDescent="0.25">
      <c r="A108" s="4">
        <f t="shared" ca="1" si="3"/>
        <v>105</v>
      </c>
      <c r="B108" s="4" t="s">
        <v>311</v>
      </c>
      <c r="C108" s="4" t="s">
        <v>57</v>
      </c>
      <c r="D108" s="4" t="s">
        <v>104</v>
      </c>
      <c r="E108" s="4" t="s">
        <v>56</v>
      </c>
      <c r="F108" s="4">
        <v>903.83</v>
      </c>
      <c r="G108" s="5">
        <v>93.183000000000007</v>
      </c>
      <c r="H108" s="5">
        <v>16.41</v>
      </c>
      <c r="I108" s="5">
        <v>2484</v>
      </c>
      <c r="J108" s="4" t="s">
        <v>106</v>
      </c>
    </row>
    <row r="109" spans="1:10" x14ac:dyDescent="0.25">
      <c r="A109" s="4">
        <f t="shared" ca="1" si="3"/>
        <v>106</v>
      </c>
      <c r="B109" s="4" t="s">
        <v>312</v>
      </c>
      <c r="C109" s="4" t="s">
        <v>313</v>
      </c>
      <c r="D109" s="4" t="s">
        <v>104</v>
      </c>
      <c r="E109" s="4" t="s">
        <v>56</v>
      </c>
      <c r="F109" s="4">
        <v>960.26200000000006</v>
      </c>
      <c r="G109" s="5">
        <v>102.31620000000001</v>
      </c>
      <c r="H109" s="5">
        <v>16.75</v>
      </c>
      <c r="I109" s="5">
        <v>1311</v>
      </c>
      <c r="J109" s="4" t="s">
        <v>106</v>
      </c>
    </row>
    <row r="110" spans="1:10" x14ac:dyDescent="0.25">
      <c r="A110" s="4">
        <f t="shared" ca="1" si="3"/>
        <v>107</v>
      </c>
      <c r="B110" s="4" t="s">
        <v>314</v>
      </c>
      <c r="C110" s="4" t="s">
        <v>315</v>
      </c>
      <c r="D110" s="4" t="s">
        <v>104</v>
      </c>
      <c r="E110" s="4" t="s">
        <v>56</v>
      </c>
      <c r="F110" s="4">
        <v>1000</v>
      </c>
      <c r="G110" s="5">
        <v>106.691</v>
      </c>
      <c r="H110" s="5">
        <v>16.899999999999999</v>
      </c>
      <c r="I110" s="5">
        <v>405</v>
      </c>
      <c r="J110" s="4" t="s">
        <v>106</v>
      </c>
    </row>
    <row r="111" spans="1:10" x14ac:dyDescent="0.25">
      <c r="A111" s="4">
        <f t="shared" ca="1" si="3"/>
        <v>108</v>
      </c>
      <c r="B111" s="4" t="s">
        <v>316</v>
      </c>
      <c r="C111" s="4" t="s">
        <v>317</v>
      </c>
      <c r="D111" s="4" t="s">
        <v>104</v>
      </c>
      <c r="E111" s="4" t="s">
        <v>56</v>
      </c>
      <c r="F111" s="4">
        <v>909.89300000000003</v>
      </c>
      <c r="G111" s="5">
        <v>94.061500000000009</v>
      </c>
      <c r="H111" s="5">
        <v>16.48</v>
      </c>
      <c r="I111" s="5">
        <v>2111</v>
      </c>
      <c r="J111" s="4" t="s">
        <v>106</v>
      </c>
    </row>
    <row r="112" spans="1:10" x14ac:dyDescent="0.25">
      <c r="A112" s="4">
        <f t="shared" ca="1" si="3"/>
        <v>109</v>
      </c>
      <c r="B112" s="4" t="s">
        <v>318</v>
      </c>
      <c r="C112" s="4" t="s">
        <v>319</v>
      </c>
      <c r="D112" s="4" t="s">
        <v>104</v>
      </c>
      <c r="E112" s="4" t="s">
        <v>56</v>
      </c>
      <c r="F112" s="4">
        <v>980.85900000000004</v>
      </c>
      <c r="G112" s="5">
        <v>99.499099999999999</v>
      </c>
      <c r="H112" s="5">
        <v>16.07</v>
      </c>
      <c r="I112" s="5">
        <v>328</v>
      </c>
      <c r="J112" s="4" t="s">
        <v>106</v>
      </c>
    </row>
    <row r="113" spans="1:10" x14ac:dyDescent="0.25">
      <c r="A113" s="4">
        <f t="shared" ca="1" si="3"/>
        <v>110</v>
      </c>
      <c r="B113" s="4" t="s">
        <v>320</v>
      </c>
      <c r="C113" s="4" t="s">
        <v>321</v>
      </c>
      <c r="D113" s="4" t="s">
        <v>104</v>
      </c>
      <c r="E113" s="4" t="s">
        <v>56</v>
      </c>
      <c r="F113" s="4">
        <v>917.58300000000008</v>
      </c>
      <c r="G113" s="5">
        <v>94.006100000000004</v>
      </c>
      <c r="H113" s="5">
        <v>16.36</v>
      </c>
      <c r="I113" s="5">
        <v>2866</v>
      </c>
      <c r="J113" s="4" t="s">
        <v>106</v>
      </c>
    </row>
    <row r="114" spans="1:10" x14ac:dyDescent="0.25">
      <c r="A114" s="4">
        <f t="shared" ca="1" si="3"/>
        <v>111</v>
      </c>
      <c r="B114" s="4" t="s">
        <v>322</v>
      </c>
      <c r="C114" s="4" t="s">
        <v>63</v>
      </c>
      <c r="D114" s="4" t="s">
        <v>104</v>
      </c>
      <c r="E114" s="4" t="s">
        <v>56</v>
      </c>
      <c r="F114" s="4">
        <v>841.16300000000001</v>
      </c>
      <c r="G114" s="5">
        <v>89.416300000000007</v>
      </c>
      <c r="H114" s="5">
        <v>16.52</v>
      </c>
      <c r="I114" s="5">
        <v>2032</v>
      </c>
      <c r="J114" s="4" t="s">
        <v>106</v>
      </c>
    </row>
    <row r="115" spans="1:10" x14ac:dyDescent="0.25">
      <c r="A115" s="4">
        <f t="shared" ca="1" si="3"/>
        <v>112</v>
      </c>
      <c r="B115" s="4" t="s">
        <v>323</v>
      </c>
      <c r="C115" s="4" t="s">
        <v>324</v>
      </c>
      <c r="D115" s="4" t="s">
        <v>104</v>
      </c>
      <c r="E115" s="4" t="s">
        <v>56</v>
      </c>
      <c r="F115" s="4">
        <v>916.56500000000005</v>
      </c>
      <c r="G115" s="5">
        <v>97.496800000000007</v>
      </c>
      <c r="H115" s="5">
        <v>16.309999999999999</v>
      </c>
      <c r="I115" s="5">
        <v>3140</v>
      </c>
      <c r="J115" s="4" t="s">
        <v>106</v>
      </c>
    </row>
    <row r="116" spans="1:10" x14ac:dyDescent="0.25">
      <c r="A116" s="4">
        <f t="shared" ca="1" si="3"/>
        <v>113</v>
      </c>
      <c r="B116" s="4" t="s">
        <v>325</v>
      </c>
      <c r="C116" s="4" t="s">
        <v>326</v>
      </c>
      <c r="D116" s="4" t="s">
        <v>104</v>
      </c>
      <c r="E116" s="4" t="s">
        <v>56</v>
      </c>
      <c r="F116" s="4">
        <v>927.04200000000003</v>
      </c>
      <c r="G116" s="5">
        <v>98.584800000000001</v>
      </c>
      <c r="H116" s="5">
        <v>16.420000000000002</v>
      </c>
      <c r="I116" s="5">
        <v>2410</v>
      </c>
      <c r="J116" s="4" t="s">
        <v>106</v>
      </c>
    </row>
    <row r="117" spans="1:10" x14ac:dyDescent="0.25">
      <c r="A117" s="4">
        <f t="shared" ca="1" si="3"/>
        <v>114</v>
      </c>
      <c r="B117" s="4" t="s">
        <v>327</v>
      </c>
      <c r="C117" s="4" t="s">
        <v>328</v>
      </c>
      <c r="D117" s="4" t="s">
        <v>104</v>
      </c>
      <c r="E117" s="4" t="s">
        <v>56</v>
      </c>
      <c r="F117" s="4">
        <v>887.56900000000007</v>
      </c>
      <c r="G117" s="5">
        <v>91.459400000000002</v>
      </c>
      <c r="H117" s="5">
        <v>16.2</v>
      </c>
      <c r="I117" s="5">
        <v>4678</v>
      </c>
      <c r="J117" s="4" t="s">
        <v>106</v>
      </c>
    </row>
    <row r="118" spans="1:10" x14ac:dyDescent="0.25">
      <c r="A118" s="4">
        <f t="shared" ca="1" si="3"/>
        <v>115</v>
      </c>
      <c r="B118" s="4" t="s">
        <v>329</v>
      </c>
      <c r="C118" s="4" t="s">
        <v>330</v>
      </c>
      <c r="D118" s="4" t="s">
        <v>104</v>
      </c>
      <c r="E118" s="4" t="s">
        <v>56</v>
      </c>
      <c r="F118" s="4">
        <v>1000</v>
      </c>
      <c r="G118" s="5">
        <v>104.80240000000001</v>
      </c>
      <c r="H118" s="5">
        <v>14.23</v>
      </c>
      <c r="I118" s="5">
        <v>2069</v>
      </c>
      <c r="J118" s="4" t="s">
        <v>106</v>
      </c>
    </row>
    <row r="119" spans="1:10" x14ac:dyDescent="0.25">
      <c r="A119" s="4">
        <f t="shared" ca="1" si="3"/>
        <v>116</v>
      </c>
      <c r="B119" s="4" t="s">
        <v>331</v>
      </c>
      <c r="C119" s="4" t="s">
        <v>97</v>
      </c>
      <c r="D119" s="4" t="s">
        <v>104</v>
      </c>
      <c r="E119" s="4" t="s">
        <v>56</v>
      </c>
      <c r="F119" s="4">
        <v>857.37800000000004</v>
      </c>
      <c r="G119" s="5">
        <v>90.537800000000004</v>
      </c>
      <c r="H119" s="5">
        <v>16.600000000000001</v>
      </c>
      <c r="I119" s="5">
        <v>1680</v>
      </c>
      <c r="J119" s="4" t="s">
        <v>106</v>
      </c>
    </row>
    <row r="120" spans="1:10" x14ac:dyDescent="0.25">
      <c r="A120" s="4">
        <f t="shared" ca="1" si="3"/>
        <v>117</v>
      </c>
      <c r="B120" s="4" t="s">
        <v>332</v>
      </c>
      <c r="C120" s="4" t="s">
        <v>333</v>
      </c>
      <c r="D120" s="4" t="s">
        <v>104</v>
      </c>
      <c r="E120" s="4" t="s">
        <v>56</v>
      </c>
      <c r="F120" s="4">
        <v>88.574100000000001</v>
      </c>
      <c r="G120" s="5">
        <v>88.574100000000001</v>
      </c>
      <c r="H120" s="5">
        <v>16.41</v>
      </c>
      <c r="I120" s="5">
        <v>288</v>
      </c>
      <c r="J120" s="4" t="s">
        <v>106</v>
      </c>
    </row>
    <row r="121" spans="1:10" x14ac:dyDescent="0.25">
      <c r="A121" s="4">
        <f t="shared" ca="1" si="3"/>
        <v>118</v>
      </c>
      <c r="B121" s="4" t="s">
        <v>334</v>
      </c>
      <c r="C121" s="4" t="s">
        <v>90</v>
      </c>
      <c r="D121" s="4" t="s">
        <v>104</v>
      </c>
      <c r="E121" s="4" t="s">
        <v>56</v>
      </c>
      <c r="F121" s="4">
        <v>92.422200000000004</v>
      </c>
      <c r="G121" s="5">
        <v>92.422200000000004</v>
      </c>
      <c r="H121" s="5">
        <v>15.83</v>
      </c>
      <c r="I121" s="5">
        <v>190</v>
      </c>
      <c r="J121" s="4" t="s">
        <v>106</v>
      </c>
    </row>
    <row r="122" spans="1:10" x14ac:dyDescent="0.25">
      <c r="A122" s="4">
        <f t="shared" ca="1" si="3"/>
        <v>119</v>
      </c>
      <c r="B122" s="4" t="s">
        <v>335</v>
      </c>
      <c r="C122" s="4" t="s">
        <v>336</v>
      </c>
      <c r="D122" s="4" t="s">
        <v>104</v>
      </c>
      <c r="E122" s="4" t="s">
        <v>56</v>
      </c>
      <c r="F122" s="4">
        <v>889.95699999999999</v>
      </c>
      <c r="G122" s="5">
        <v>95.529000000000011</v>
      </c>
      <c r="H122" s="5">
        <v>16.3</v>
      </c>
      <c r="I122" s="5">
        <v>3484</v>
      </c>
      <c r="J122" s="4" t="s">
        <v>106</v>
      </c>
    </row>
    <row r="123" spans="1:10" x14ac:dyDescent="0.25">
      <c r="A123" s="4">
        <f t="shared" ca="1" si="3"/>
        <v>120</v>
      </c>
      <c r="B123" s="4" t="s">
        <v>337</v>
      </c>
      <c r="C123" s="4" t="s">
        <v>338</v>
      </c>
      <c r="D123" s="4" t="s">
        <v>104</v>
      </c>
      <c r="E123" s="4" t="s">
        <v>56</v>
      </c>
      <c r="F123" s="4">
        <v>0.97500000000000009</v>
      </c>
      <c r="G123" s="5">
        <v>98.9666</v>
      </c>
      <c r="H123" s="5">
        <v>5.04</v>
      </c>
      <c r="I123" s="5">
        <v>3539</v>
      </c>
      <c r="J123" s="4" t="s">
        <v>106</v>
      </c>
    </row>
    <row r="124" spans="1:10" x14ac:dyDescent="0.25">
      <c r="A124" s="4">
        <f t="shared" ca="1" si="3"/>
        <v>121</v>
      </c>
      <c r="B124" s="4" t="s">
        <v>339</v>
      </c>
      <c r="C124" s="4" t="s">
        <v>340</v>
      </c>
      <c r="D124" s="4" t="s">
        <v>104</v>
      </c>
      <c r="E124" s="4" t="s">
        <v>56</v>
      </c>
      <c r="F124" s="4">
        <v>96.635600000000011</v>
      </c>
      <c r="G124" s="5">
        <v>96.635600000000011</v>
      </c>
      <c r="H124" s="5">
        <v>15.13</v>
      </c>
      <c r="I124" s="5">
        <v>85</v>
      </c>
      <c r="J124" s="4" t="s">
        <v>106</v>
      </c>
    </row>
    <row r="125" spans="1:10" x14ac:dyDescent="0.25">
      <c r="A125" s="4">
        <f t="shared" ca="1" si="3"/>
        <v>122</v>
      </c>
      <c r="B125" s="4" t="s">
        <v>341</v>
      </c>
      <c r="C125" s="4" t="s">
        <v>342</v>
      </c>
      <c r="D125" s="4" t="s">
        <v>109</v>
      </c>
      <c r="E125" s="4" t="s">
        <v>343</v>
      </c>
      <c r="F125" s="4">
        <v>341.11</v>
      </c>
      <c r="G125" s="5"/>
      <c r="H125" s="5"/>
      <c r="I125" s="5"/>
      <c r="J125" s="4" t="s">
        <v>111</v>
      </c>
    </row>
    <row r="126" spans="1:10" x14ac:dyDescent="0.25">
      <c r="A126" s="4">
        <f t="shared" ca="1" si="3"/>
        <v>123</v>
      </c>
      <c r="B126" s="4" t="s">
        <v>344</v>
      </c>
      <c r="C126" s="4" t="s">
        <v>345</v>
      </c>
      <c r="D126" s="4" t="s">
        <v>109</v>
      </c>
      <c r="E126" s="4" t="s">
        <v>343</v>
      </c>
      <c r="F126" s="4">
        <v>25.1</v>
      </c>
      <c r="G126" s="5"/>
      <c r="H126" s="5"/>
      <c r="I126" s="5"/>
      <c r="J126" s="4" t="s">
        <v>128</v>
      </c>
    </row>
    <row r="127" spans="1:10" x14ac:dyDescent="0.25">
      <c r="A127" s="4">
        <f t="shared" ca="1" si="3"/>
        <v>124</v>
      </c>
      <c r="B127" s="4" t="s">
        <v>346</v>
      </c>
      <c r="C127" s="4" t="s">
        <v>347</v>
      </c>
      <c r="D127" s="4" t="s">
        <v>109</v>
      </c>
      <c r="E127" s="4" t="s">
        <v>348</v>
      </c>
      <c r="F127" s="4">
        <v>806.78</v>
      </c>
      <c r="G127" s="5"/>
      <c r="H127" s="5"/>
      <c r="I127" s="5"/>
      <c r="J127" s="4" t="s">
        <v>111</v>
      </c>
    </row>
    <row r="128" spans="1:10" x14ac:dyDescent="0.25">
      <c r="A128" s="4">
        <f t="shared" ca="1" si="3"/>
        <v>125</v>
      </c>
      <c r="B128" s="4" t="s">
        <v>349</v>
      </c>
      <c r="C128" s="4" t="s">
        <v>350</v>
      </c>
      <c r="D128" s="4" t="s">
        <v>109</v>
      </c>
      <c r="E128" s="4" t="s">
        <v>351</v>
      </c>
      <c r="F128" s="4">
        <v>23205.57</v>
      </c>
      <c r="G128" s="5"/>
      <c r="H128" s="5"/>
      <c r="I128" s="5"/>
      <c r="J128" s="4" t="s">
        <v>111</v>
      </c>
    </row>
    <row r="129" spans="1:10" x14ac:dyDescent="0.25">
      <c r="A129" s="4">
        <f t="shared" ca="1" si="3"/>
        <v>126</v>
      </c>
      <c r="B129" s="4" t="s">
        <v>352</v>
      </c>
      <c r="C129" s="4" t="s">
        <v>353</v>
      </c>
      <c r="D129" s="4" t="s">
        <v>109</v>
      </c>
      <c r="E129" s="4" t="s">
        <v>354</v>
      </c>
      <c r="F129" s="4">
        <v>47153.7</v>
      </c>
      <c r="G129" s="5"/>
      <c r="H129" s="5"/>
      <c r="I129" s="5"/>
      <c r="J129" s="4" t="s">
        <v>111</v>
      </c>
    </row>
    <row r="130" spans="1:10" x14ac:dyDescent="0.25">
      <c r="A130" s="4">
        <f t="shared" ca="1" si="3"/>
        <v>127</v>
      </c>
      <c r="B130" s="4" t="s">
        <v>355</v>
      </c>
      <c r="C130" s="4" t="s">
        <v>356</v>
      </c>
      <c r="D130" s="4" t="s">
        <v>109</v>
      </c>
      <c r="E130" s="4" t="s">
        <v>354</v>
      </c>
      <c r="F130" s="4">
        <v>86.56</v>
      </c>
      <c r="G130" s="5"/>
      <c r="H130" s="5"/>
      <c r="I130" s="5"/>
      <c r="J130" s="4" t="s">
        <v>128</v>
      </c>
    </row>
    <row r="131" spans="1:10" x14ac:dyDescent="0.25">
      <c r="A131" s="4">
        <f t="shared" ca="1" si="3"/>
        <v>128</v>
      </c>
      <c r="B131" s="4" t="s">
        <v>357</v>
      </c>
      <c r="C131" s="4" t="s">
        <v>358</v>
      </c>
      <c r="D131" s="4" t="s">
        <v>109</v>
      </c>
      <c r="E131" s="4" t="s">
        <v>359</v>
      </c>
      <c r="F131" s="4">
        <v>5.69</v>
      </c>
      <c r="G131" s="5"/>
      <c r="H131" s="5"/>
      <c r="I131" s="5"/>
      <c r="J131" s="4" t="s">
        <v>128</v>
      </c>
    </row>
    <row r="132" spans="1:10" x14ac:dyDescent="0.25">
      <c r="A132" s="4">
        <f t="shared" ca="1" si="3"/>
        <v>129</v>
      </c>
      <c r="B132" s="4" t="s">
        <v>360</v>
      </c>
      <c r="C132" s="4" t="s">
        <v>361</v>
      </c>
      <c r="D132" s="4" t="s">
        <v>109</v>
      </c>
      <c r="E132" s="4" t="s">
        <v>359</v>
      </c>
      <c r="F132" s="4">
        <v>749.25</v>
      </c>
      <c r="G132" s="5"/>
      <c r="H132" s="5"/>
      <c r="I132" s="5"/>
      <c r="J132" s="4" t="s">
        <v>111</v>
      </c>
    </row>
    <row r="133" spans="1:10" x14ac:dyDescent="0.25">
      <c r="A133" s="4">
        <f t="shared" ca="1" si="3"/>
        <v>130</v>
      </c>
      <c r="B133" s="4" t="s">
        <v>362</v>
      </c>
      <c r="C133" s="4" t="s">
        <v>83</v>
      </c>
      <c r="D133" s="4" t="s">
        <v>104</v>
      </c>
      <c r="E133" s="4" t="s">
        <v>82</v>
      </c>
      <c r="F133" s="4">
        <v>933.237260450348</v>
      </c>
      <c r="G133" s="5">
        <v>106.35262605</v>
      </c>
      <c r="H133" s="5">
        <v>18.37</v>
      </c>
      <c r="I133" s="5">
        <v>764</v>
      </c>
      <c r="J133" s="4" t="s">
        <v>106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2025-08-04T05:21:07Z</dcterms:created>
  <dcterms:modified xsi:type="dcterms:W3CDTF">2025-08-04T09:45:50Z</dcterms:modified>
</cp:coreProperties>
</file>