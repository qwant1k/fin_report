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B479258F-3844-42FD-81DE-86B8F9558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B5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5" i="1"/>
  <c r="M11" i="1"/>
  <c r="Q1" i="1"/>
  <c r="M21" i="1" s="1"/>
  <c r="M16" i="1" l="1"/>
  <c r="M9" i="1"/>
  <c r="M20" i="1"/>
  <c r="M22" i="1"/>
  <c r="M18" i="1"/>
  <c r="M14" i="1"/>
  <c r="M10" i="1"/>
  <c r="M12" i="1"/>
  <c r="M17" i="1"/>
  <c r="M23" i="1"/>
  <c r="M8" i="1"/>
  <c r="M13" i="1"/>
  <c r="M19" i="1"/>
  <c r="M24" i="1"/>
  <c r="M26" i="1" l="1"/>
</calcChain>
</file>

<file path=xl/sharedStrings.xml><?xml version="1.0" encoding="utf-8"?>
<sst xmlns="http://schemas.openxmlformats.org/spreadsheetml/2006/main" count="1115" uniqueCount="495">
  <si>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</si>
  <si>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</si>
  <si>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</si>
  <si>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</si>
  <si>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</si>
  <si>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</si>
  <si>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</si>
  <si>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</si>
  <si>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</si>
  <si>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</si>
  <si>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</si>
  <si>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</si>
  <si>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</si>
  <si>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</si>
  <si>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</si>
  <si>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</si>
  <si>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</si>
  <si>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</si>
  <si>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</si>
  <si>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</si>
  <si>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</si>
  <si>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</si>
  <si>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</si>
  <si>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</si>
  <si>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</si>
  <si>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</si>
  <si>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</si>
  <si>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</si>
  <si>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</si>
  <si>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</si>
  <si>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</si>
  <si>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</si>
  <si>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</si>
  <si>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</si>
  <si>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</si>
  <si>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</si>
  <si>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</si>
  <si>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</si>
  <si>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</si>
  <si>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</si>
  <si>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</si>
  <si>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</si>
  <si>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</si>
  <si>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</si>
  <si>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</si>
  <si>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</si>
  <si>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</si>
  <si>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</si>
  <si>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</si>
  <si>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</si>
  <si>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</si>
  <si>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</si>
  <si>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</si>
  <si>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</si>
  <si>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</si>
  <si>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</si>
  <si>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</si>
  <si>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</si>
  <si>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</si>
  <si>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</si>
  <si>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</si>
  <si>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</si>
  <si>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</si>
  <si>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</si>
  <si>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</si>
  <si>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</si>
  <si>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</si>
  <si>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</si>
  <si>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</si>
  <si>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04.11.2025</t>
  </si>
  <si>
    <t>05.11.2025</t>
  </si>
  <si>
    <t>АО "Казахстанский фонд устойчивости"</t>
  </si>
  <si>
    <t>KZ2C00007318</t>
  </si>
  <si>
    <t>KZKD00000477</t>
  </si>
  <si>
    <t>KZ2C00008902</t>
  </si>
  <si>
    <t>06.11.2025</t>
  </si>
  <si>
    <t>KZKD00001301</t>
  </si>
  <si>
    <t>KZ96601A861038102391</t>
  </si>
  <si>
    <t>KZKD00000741</t>
  </si>
  <si>
    <t>18.07.2024</t>
  </si>
  <si>
    <t>12.05.2034</t>
  </si>
  <si>
    <t>KZKD00000832</t>
  </si>
  <si>
    <t>29.01.2035</t>
  </si>
  <si>
    <t>KZKD00001251</t>
  </si>
  <si>
    <t>13.03.2025</t>
  </si>
  <si>
    <t>07.03.2030</t>
  </si>
  <si>
    <t>KZKD00001137</t>
  </si>
  <si>
    <t>12.04.2028</t>
  </si>
  <si>
    <t>KZKD00000535</t>
  </si>
  <si>
    <t>27.03.2027</t>
  </si>
  <si>
    <t>KZKD00000444</t>
  </si>
  <si>
    <t>21.08.2025</t>
  </si>
  <si>
    <t>18.08.2026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</si>
  <si>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</si>
  <si>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</si>
  <si>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</si>
  <si>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</si>
  <si>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</si>
  <si>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</si>
  <si>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</si>
  <si>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</si>
  <si>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</si>
  <si>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KZK200000687</t>
  </si>
  <si>
    <t>21.01.2026</t>
  </si>
  <si>
    <t>KZKD00001160</t>
  </si>
  <si>
    <t>28.07.2029</t>
  </si>
  <si>
    <t>KZKD00001129</t>
  </si>
  <si>
    <t>17.03.2031</t>
  </si>
  <si>
    <t>KZKD00000949</t>
  </si>
  <si>
    <t>16.04.2032</t>
  </si>
  <si>
    <t>KZKD00001152</t>
  </si>
  <si>
    <t>26.07.2032</t>
  </si>
  <si>
    <t>24.07.2025</t>
  </si>
  <si>
    <t>19.10.2027</t>
  </si>
  <si>
    <t>KZKD00000790</t>
  </si>
  <si>
    <t>10.07.2025</t>
  </si>
  <si>
    <t>13.08.2029</t>
  </si>
  <si>
    <t>KZK100000373</t>
  </si>
  <si>
    <t>06.02.2026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</si>
  <si>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</si>
  <si>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</si>
  <si>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</si>
  <si>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</si>
  <si>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</si>
  <si>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</si>
  <si>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</si>
  <si>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</si>
  <si>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</si>
  <si>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</si>
  <si>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</si>
  <si>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</si>
  <si>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</si>
  <si>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</si>
  <si>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</si>
  <si>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</si>
  <si>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</si>
  <si>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</si>
  <si>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</si>
  <si>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</si>
  <si>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</si>
  <si>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</si>
  <si>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</si>
  <si>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</si>
  <si>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</si>
  <si>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</si>
  <si>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</si>
  <si>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</si>
  <si>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</si>
  <si>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</si>
  <si>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</si>
  <si>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</si>
  <si>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</si>
  <si>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</si>
  <si>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</si>
  <si>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</si>
  <si>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</si>
  <si>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</si>
  <si>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</si>
  <si>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</si>
  <si>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</si>
  <si>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</si>
  <si>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</si>
  <si>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</si>
  <si>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</si>
  <si>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</si>
  <si>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</si>
  <si>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</si>
  <si>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</si>
  <si>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MFLPb1</t>
  </si>
  <si>
    <t>KZ2P00010283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</si>
  <si>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</si>
  <si>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</si>
  <si>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</si>
  <si>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</si>
  <si>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</si>
  <si>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</si>
  <si>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</si>
  <si>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</si>
  <si>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</si>
  <si>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</si>
  <si>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</si>
  <si>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</si>
  <si>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</si>
  <si>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</si>
  <si>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</si>
  <si>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</si>
  <si>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</si>
  <si>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</si>
  <si>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</si>
  <si>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</si>
  <si>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</si>
  <si>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</si>
  <si>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</si>
  <si>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</si>
  <si>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</si>
  <si>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</si>
  <si>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</si>
  <si>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</si>
  <si>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</si>
  <si>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</si>
  <si>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</si>
  <si>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</si>
  <si>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</si>
  <si>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</si>
  <si>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</si>
  <si>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</si>
  <si>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</si>
  <si>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</si>
  <si>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LZGRb3</t>
  </si>
  <si>
    <t>KZ2C00008639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</si>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</sst>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3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25763801208.753098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1897500</v>
      </c>
      <c r="D8" s="17">
        <v>1897500000</v>
      </c>
      <c r="E8" s="18">
        <v>8.07</v>
      </c>
      <c r="F8" s="19" t="s">
        <v>79</v>
      </c>
      <c r="G8" s="19" t="s">
        <v>80</v>
      </c>
      <c r="H8" s="18">
        <v>1359122325</v>
      </c>
      <c r="I8" s="20">
        <v>60.965000000000003</v>
      </c>
      <c r="J8" s="20">
        <v>64.843100000000007</v>
      </c>
      <c r="K8" s="18">
        <v>73586631.25</v>
      </c>
      <c r="L8" s="18">
        <v>1230397506.25</v>
      </c>
      <c r="M8" s="21">
        <f t="shared" ref="M8:M24" si="0">L8/$Q$1</f>
        <v>4.7756831233117102E-2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8.07</v>
      </c>
      <c r="F9" s="19" t="s">
        <v>79</v>
      </c>
      <c r="G9" s="19" t="s">
        <v>82</v>
      </c>
      <c r="H9" s="18">
        <v>1338524962.5</v>
      </c>
      <c r="I9" s="20">
        <v>59.573300000000003</v>
      </c>
      <c r="J9" s="20">
        <v>65.760300000000001</v>
      </c>
      <c r="K9" s="18">
        <v>117398325</v>
      </c>
      <c r="L9" s="18">
        <v>1247801692.5</v>
      </c>
      <c r="M9" s="21">
        <f t="shared" si="0"/>
        <v>4.8432359898665372E-2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550000</v>
      </c>
      <c r="D10" s="17">
        <v>550000000</v>
      </c>
      <c r="E10" s="18">
        <v>12</v>
      </c>
      <c r="F10" s="19" t="s">
        <v>84</v>
      </c>
      <c r="G10" s="19" t="s">
        <v>85</v>
      </c>
      <c r="H10" s="18">
        <v>491343050</v>
      </c>
      <c r="I10" s="20">
        <v>84.467700000000008</v>
      </c>
      <c r="J10" s="20">
        <v>92.40100000000001</v>
      </c>
      <c r="K10" s="18">
        <v>43633333.333333328</v>
      </c>
      <c r="L10" s="18">
        <v>508205683.33333302</v>
      </c>
      <c r="M10" s="21">
        <f t="shared" si="0"/>
        <v>1.9725570742281352E-2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1897500</v>
      </c>
      <c r="D11" s="17">
        <v>1897500000</v>
      </c>
      <c r="E11" s="18">
        <v>10.4</v>
      </c>
      <c r="F11" s="19" t="s">
        <v>79</v>
      </c>
      <c r="G11" s="19" t="s">
        <v>87</v>
      </c>
      <c r="H11" s="18">
        <v>1736743800</v>
      </c>
      <c r="I11" s="20">
        <v>86.544899999999998</v>
      </c>
      <c r="J11" s="20">
        <v>92.409300000000002</v>
      </c>
      <c r="K11" s="18">
        <v>111277833.333333</v>
      </c>
      <c r="L11" s="18">
        <v>1753467310.833333</v>
      </c>
      <c r="M11" s="21">
        <f t="shared" si="0"/>
        <v>6.8059340181432657E-2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3162500</v>
      </c>
      <c r="D12" s="17">
        <v>3162500000</v>
      </c>
      <c r="E12" s="18">
        <v>5.49</v>
      </c>
      <c r="F12" s="19" t="s">
        <v>79</v>
      </c>
      <c r="G12" s="19" t="s">
        <v>89</v>
      </c>
      <c r="H12" s="18">
        <v>2627740225</v>
      </c>
      <c r="I12" s="20">
        <v>86.018600000000006</v>
      </c>
      <c r="J12" s="20">
        <v>89.343100000000007</v>
      </c>
      <c r="K12" s="18">
        <v>105137312.5</v>
      </c>
      <c r="L12" s="18">
        <v>2825475537.5</v>
      </c>
      <c r="M12" s="21">
        <f t="shared" si="0"/>
        <v>0.10966842643313292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1106600</v>
      </c>
      <c r="D13" s="17">
        <v>1106600000</v>
      </c>
      <c r="E13" s="18">
        <v>5.5</v>
      </c>
      <c r="F13" s="19" t="s">
        <v>91</v>
      </c>
      <c r="G13" s="19" t="s">
        <v>92</v>
      </c>
      <c r="H13" s="18">
        <v>999478906.79999995</v>
      </c>
      <c r="I13" s="20">
        <v>91.769199999999998</v>
      </c>
      <c r="J13" s="20">
        <v>92.945599999999999</v>
      </c>
      <c r="K13" s="18">
        <v>13017919.444444399</v>
      </c>
      <c r="L13" s="18">
        <v>1028535886.6444401</v>
      </c>
      <c r="M13" s="21">
        <f t="shared" si="0"/>
        <v>3.9921744400628317E-2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1897500</v>
      </c>
      <c r="D14" s="17">
        <v>1897500000</v>
      </c>
      <c r="E14" s="18">
        <v>11</v>
      </c>
      <c r="F14" s="19" t="s">
        <v>79</v>
      </c>
      <c r="G14" s="19" t="s">
        <v>94</v>
      </c>
      <c r="H14" s="18">
        <v>1743261712.5</v>
      </c>
      <c r="I14" s="20">
        <v>84.27170000000001</v>
      </c>
      <c r="J14" s="20">
        <v>90.841099999999997</v>
      </c>
      <c r="K14" s="18">
        <v>124655208.333333</v>
      </c>
      <c r="L14" s="18">
        <v>1723710715.833333</v>
      </c>
      <c r="M14" s="21">
        <f t="shared" si="0"/>
        <v>6.6904363291225538E-2</v>
      </c>
      <c r="O14" s="10">
        <v>749863.88888888899</v>
      </c>
    </row>
    <row r="15" spans="1:17" x14ac:dyDescent="0.2">
      <c r="A15" s="15" t="s">
        <v>95</v>
      </c>
      <c r="B15" s="15" t="s">
        <v>96</v>
      </c>
      <c r="C15" s="16">
        <v>992234</v>
      </c>
      <c r="D15" s="17">
        <v>992234000</v>
      </c>
      <c r="E15" s="18">
        <v>14.3</v>
      </c>
      <c r="F15" s="19" t="s">
        <v>97</v>
      </c>
      <c r="G15" s="19" t="s">
        <v>98</v>
      </c>
      <c r="H15" s="18">
        <v>991722999.49000001</v>
      </c>
      <c r="I15" s="20">
        <v>94.380112769999997</v>
      </c>
      <c r="J15" s="20">
        <v>96.842912769999998</v>
      </c>
      <c r="K15" s="18">
        <v>24436518.455555551</v>
      </c>
      <c r="L15" s="18">
        <v>960908086.55310297</v>
      </c>
      <c r="M15" s="21">
        <f t="shared" si="0"/>
        <v>3.7296828941012022E-2</v>
      </c>
      <c r="O15" s="10">
        <v>749863.88888888899</v>
      </c>
    </row>
    <row r="16" spans="1:17" x14ac:dyDescent="0.2">
      <c r="A16" s="15" t="s">
        <v>66</v>
      </c>
      <c r="B16" s="15" t="s">
        <v>99</v>
      </c>
      <c r="C16" s="16">
        <v>897100</v>
      </c>
      <c r="D16" s="17">
        <v>897100000</v>
      </c>
      <c r="E16" s="18">
        <v>17.010000000000002</v>
      </c>
      <c r="F16" s="19" t="s">
        <v>100</v>
      </c>
      <c r="G16" s="19" t="s">
        <v>101</v>
      </c>
      <c r="H16" s="18">
        <v>896985171.20000005</v>
      </c>
      <c r="I16" s="20">
        <v>100.74990000000001</v>
      </c>
      <c r="J16" s="20">
        <v>104.9079</v>
      </c>
      <c r="K16" s="18">
        <v>37301418</v>
      </c>
      <c r="L16" s="18">
        <v>941128770.89999998</v>
      </c>
      <c r="M16" s="21">
        <f t="shared" si="0"/>
        <v>3.6529111650661902E-2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2530000</v>
      </c>
      <c r="D17" s="17">
        <v>2530000000</v>
      </c>
      <c r="E17" s="18">
        <v>10.67</v>
      </c>
      <c r="F17" s="19" t="s">
        <v>79</v>
      </c>
      <c r="G17" s="19" t="s">
        <v>103</v>
      </c>
      <c r="H17" s="18">
        <v>2455119589.9966769</v>
      </c>
      <c r="I17" s="20">
        <v>98.777799999999999</v>
      </c>
      <c r="J17" s="20">
        <v>101.86020000000001</v>
      </c>
      <c r="K17" s="18">
        <v>77985844.444444433</v>
      </c>
      <c r="L17" s="18">
        <v>2577064184.4444442</v>
      </c>
      <c r="M17" s="21">
        <f t="shared" si="0"/>
        <v>0.10002655134479542</v>
      </c>
      <c r="O17" s="10">
        <v>749863.88888888899</v>
      </c>
    </row>
    <row r="18" spans="1:15" x14ac:dyDescent="0.2">
      <c r="A18" s="15" t="s">
        <v>66</v>
      </c>
      <c r="B18" s="15" t="s">
        <v>104</v>
      </c>
      <c r="C18" s="16">
        <v>1897500</v>
      </c>
      <c r="D18" s="17">
        <v>1897500000</v>
      </c>
      <c r="E18" s="18">
        <v>10.55</v>
      </c>
      <c r="F18" s="19" t="s">
        <v>79</v>
      </c>
      <c r="G18" s="19" t="s">
        <v>105</v>
      </c>
      <c r="H18" s="18">
        <v>1708326839.9966669</v>
      </c>
      <c r="I18" s="20">
        <v>82.1751</v>
      </c>
      <c r="J18" s="20">
        <v>85.017700000000005</v>
      </c>
      <c r="K18" s="18">
        <v>53939072.916666657</v>
      </c>
      <c r="L18" s="18">
        <v>1613211595.416666</v>
      </c>
      <c r="M18" s="21">
        <f t="shared" si="0"/>
        <v>6.2615434048163165E-2</v>
      </c>
      <c r="O18" s="10">
        <v>749863.88888888899</v>
      </c>
    </row>
    <row r="19" spans="1:15" x14ac:dyDescent="0.2">
      <c r="A19" s="15" t="s">
        <v>66</v>
      </c>
      <c r="B19" s="15" t="s">
        <v>106</v>
      </c>
      <c r="C19" s="16">
        <v>1897500</v>
      </c>
      <c r="D19" s="17">
        <v>1897500000</v>
      </c>
      <c r="E19" s="18">
        <v>10.3</v>
      </c>
      <c r="F19" s="19" t="s">
        <v>79</v>
      </c>
      <c r="G19" s="19" t="s">
        <v>107</v>
      </c>
      <c r="H19" s="18">
        <v>1645329839.996666</v>
      </c>
      <c r="I19" s="20">
        <v>76.789299999999997</v>
      </c>
      <c r="J19" s="20">
        <v>83.312600000000003</v>
      </c>
      <c r="K19" s="18">
        <v>123780250</v>
      </c>
      <c r="L19" s="18">
        <v>1580857217.499999</v>
      </c>
      <c r="M19" s="21">
        <f t="shared" si="0"/>
        <v>6.1359626426666897E-2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1897500</v>
      </c>
      <c r="D20" s="17">
        <v>1897500000</v>
      </c>
      <c r="E20" s="18">
        <v>8.4499999999999993</v>
      </c>
      <c r="F20" s="19" t="s">
        <v>79</v>
      </c>
      <c r="G20" s="19" t="s">
        <v>109</v>
      </c>
      <c r="H20" s="18">
        <v>1457889097.496666</v>
      </c>
      <c r="I20" s="20">
        <v>67.41810000000001</v>
      </c>
      <c r="J20" s="20">
        <v>72.089100000000002</v>
      </c>
      <c r="K20" s="18">
        <v>88631697.916666657</v>
      </c>
      <c r="L20" s="18">
        <v>1367890145.416666</v>
      </c>
      <c r="M20" s="21">
        <f t="shared" si="0"/>
        <v>5.3093490915150109E-2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1897500</v>
      </c>
      <c r="D21" s="17">
        <v>1897500000</v>
      </c>
      <c r="E21" s="18">
        <v>10.65</v>
      </c>
      <c r="F21" s="19" t="s">
        <v>79</v>
      </c>
      <c r="G21" s="19" t="s">
        <v>111</v>
      </c>
      <c r="H21" s="18">
        <v>1648500562.5</v>
      </c>
      <c r="I21" s="20">
        <v>75.060100000000006</v>
      </c>
      <c r="J21" s="20">
        <v>77.988900000000001</v>
      </c>
      <c r="K21" s="18">
        <v>55573031.25</v>
      </c>
      <c r="L21" s="18">
        <v>1479838428.75</v>
      </c>
      <c r="M21" s="21">
        <f t="shared" si="0"/>
        <v>5.7438668182520899E-2</v>
      </c>
      <c r="O21" s="10">
        <v>749863.88888888899</v>
      </c>
    </row>
    <row r="22" spans="1:15" x14ac:dyDescent="0.2">
      <c r="A22" s="15" t="s">
        <v>66</v>
      </c>
      <c r="B22" s="15" t="s">
        <v>73</v>
      </c>
      <c r="C22" s="16">
        <v>2391500</v>
      </c>
      <c r="D22" s="17">
        <v>2391500000</v>
      </c>
      <c r="E22" s="18">
        <v>5.3</v>
      </c>
      <c r="F22" s="19" t="s">
        <v>112</v>
      </c>
      <c r="G22" s="19" t="s">
        <v>113</v>
      </c>
      <c r="H22" s="18">
        <v>1903079172</v>
      </c>
      <c r="I22" s="20">
        <v>81.014400000000009</v>
      </c>
      <c r="J22" s="20">
        <v>81.25</v>
      </c>
      <c r="K22" s="18">
        <v>5633311.1111111101</v>
      </c>
      <c r="L22" s="18">
        <v>1943092687.1111109</v>
      </c>
      <c r="M22" s="21">
        <f t="shared" si="0"/>
        <v>7.5419487651183892E-2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2469500</v>
      </c>
      <c r="D23" s="17">
        <v>2469500000</v>
      </c>
      <c r="E23" s="18">
        <v>7.68</v>
      </c>
      <c r="F23" s="19" t="s">
        <v>115</v>
      </c>
      <c r="G23" s="19" t="s">
        <v>116</v>
      </c>
      <c r="H23" s="18">
        <v>1827657194</v>
      </c>
      <c r="I23" s="20">
        <v>74.592500000000001</v>
      </c>
      <c r="J23" s="20">
        <v>76.341800000000006</v>
      </c>
      <c r="K23" s="18">
        <v>43199786.666666657</v>
      </c>
      <c r="L23" s="18">
        <v>1885261574.166666</v>
      </c>
      <c r="M23" s="21">
        <f t="shared" si="0"/>
        <v>7.3174822258998018E-2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11424000</v>
      </c>
      <c r="D24" s="17">
        <v>1142400000</v>
      </c>
      <c r="E24" s="18">
        <v>0</v>
      </c>
      <c r="F24" s="19" t="s">
        <v>84</v>
      </c>
      <c r="G24" s="19" t="s">
        <v>118</v>
      </c>
      <c r="H24" s="18">
        <v>1003902278.4</v>
      </c>
      <c r="I24" s="20">
        <v>96.021900000000002</v>
      </c>
      <c r="J24" s="20">
        <v>96.021900000000002</v>
      </c>
      <c r="K24" s="18"/>
      <c r="L24" s="18">
        <v>1096954185.5999999</v>
      </c>
      <c r="M24" s="21">
        <f t="shared" si="0"/>
        <v>4.2577342400364288E-2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1099187493.9555547</v>
      </c>
      <c r="L26" s="23">
        <f>SUM(L8:L25)</f>
        <v>25763801208.753098</v>
      </c>
      <c r="M26" s="26">
        <f>SUM(M8:M25)</f>
        <v>0.99999999999999989</v>
      </c>
      <c r="N26" s="9">
        <v>25763801208.753101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757879.44</v>
      </c>
    </row>
    <row r="30" spans="1:15" x14ac:dyDescent="0.2">
      <c r="A30" s="29" t="s">
        <v>77</v>
      </c>
      <c r="B30" s="30">
        <v>757879.44</v>
      </c>
      <c r="C30" s="62">
        <v>757879.5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50016</v>
      </c>
      <c r="D35" s="32" t="s">
        <v>68</v>
      </c>
      <c r="E35" s="34" t="s">
        <v>69</v>
      </c>
      <c r="F35" s="34" t="s">
        <v>70</v>
      </c>
      <c r="G35" s="35">
        <v>960.40500000000009</v>
      </c>
      <c r="H35" s="35">
        <f t="shared" ref="H35:H41" si="1">J35/C35</f>
        <v>960.85231445937302</v>
      </c>
      <c r="I35" s="36">
        <v>48035616.479999997</v>
      </c>
      <c r="J35" s="36">
        <v>48057989.359999999</v>
      </c>
      <c r="K35" s="37">
        <v>17.0001</v>
      </c>
      <c r="L35" s="37">
        <v>22372.880000000001</v>
      </c>
      <c r="M35" s="31">
        <f t="shared" ref="M35:M41" si="2">I35+L35</f>
        <v>48057989.359999999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423756</v>
      </c>
      <c r="D36" s="32" t="s">
        <v>68</v>
      </c>
      <c r="E36" s="34" t="s">
        <v>69</v>
      </c>
      <c r="F36" s="34" t="s">
        <v>70</v>
      </c>
      <c r="G36" s="35">
        <v>1054.875</v>
      </c>
      <c r="H36" s="35">
        <f t="shared" si="1"/>
        <v>1055.3663145300598</v>
      </c>
      <c r="I36" s="36">
        <v>447009610.5</v>
      </c>
      <c r="J36" s="36">
        <v>447217807.98000002</v>
      </c>
      <c r="K36" s="37">
        <v>17.0001</v>
      </c>
      <c r="L36" s="37">
        <v>208197.48</v>
      </c>
      <c r="M36" s="31">
        <f t="shared" si="2"/>
        <v>447217807.98000002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14220</v>
      </c>
      <c r="D37" s="32" t="s">
        <v>68</v>
      </c>
      <c r="E37" s="34" t="s">
        <v>69</v>
      </c>
      <c r="F37" s="34" t="s">
        <v>70</v>
      </c>
      <c r="G37" s="35">
        <v>1054.875</v>
      </c>
      <c r="H37" s="35">
        <f t="shared" si="1"/>
        <v>1055.3663143459917</v>
      </c>
      <c r="I37" s="36">
        <v>15000322.5</v>
      </c>
      <c r="J37" s="36">
        <v>15007308.99</v>
      </c>
      <c r="K37" s="37">
        <v>17.0001</v>
      </c>
      <c r="L37" s="37">
        <v>6986.49</v>
      </c>
      <c r="M37" s="31">
        <f t="shared" si="2"/>
        <v>15007308.99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2150568</v>
      </c>
      <c r="D38" s="32" t="s">
        <v>68</v>
      </c>
      <c r="E38" s="34" t="s">
        <v>69</v>
      </c>
      <c r="F38" s="34" t="s">
        <v>70</v>
      </c>
      <c r="G38" s="35">
        <v>817.04100000093013</v>
      </c>
      <c r="H38" s="35">
        <f t="shared" si="1"/>
        <v>817.42176349224951</v>
      </c>
      <c r="I38" s="36">
        <v>1757102229.29</v>
      </c>
      <c r="J38" s="36">
        <v>1757921087.0699999</v>
      </c>
      <c r="K38" s="37">
        <v>17.010000000000002</v>
      </c>
      <c r="L38" s="37">
        <v>818857.78</v>
      </c>
      <c r="M38" s="31">
        <f t="shared" si="2"/>
        <v>1757921087.0699999</v>
      </c>
      <c r="N38" s="10"/>
      <c r="O38" s="9"/>
      <c r="Q38" s="9">
        <v>0</v>
      </c>
    </row>
    <row r="39" spans="1:17" x14ac:dyDescent="0.2">
      <c r="A39" s="32" t="s">
        <v>71</v>
      </c>
      <c r="B39" s="32" t="s">
        <v>74</v>
      </c>
      <c r="C39" s="33">
        <v>1434996</v>
      </c>
      <c r="D39" s="32" t="s">
        <v>68</v>
      </c>
      <c r="E39" s="34" t="s">
        <v>70</v>
      </c>
      <c r="F39" s="34" t="s">
        <v>75</v>
      </c>
      <c r="G39" s="35">
        <v>1079.496000002787</v>
      </c>
      <c r="H39" s="35">
        <f t="shared" si="1"/>
        <v>1079.9990747151908</v>
      </c>
      <c r="I39" s="36">
        <v>1549072442.02</v>
      </c>
      <c r="J39" s="36">
        <v>1549794352.22</v>
      </c>
      <c r="K39" s="37">
        <v>17.010000000000002</v>
      </c>
      <c r="L39" s="37"/>
      <c r="M39" s="31">
        <f t="shared" si="2"/>
        <v>1549072442.02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76</v>
      </c>
      <c r="C40" s="33">
        <v>13715</v>
      </c>
      <c r="D40" s="32" t="s">
        <v>68</v>
      </c>
      <c r="E40" s="34" t="s">
        <v>70</v>
      </c>
      <c r="F40" s="34" t="s">
        <v>75</v>
      </c>
      <c r="G40" s="35">
        <v>948.56700036456402</v>
      </c>
      <c r="H40" s="35">
        <f t="shared" si="1"/>
        <v>949.00880641633239</v>
      </c>
      <c r="I40" s="36">
        <v>13009596.41</v>
      </c>
      <c r="J40" s="36">
        <v>13015655.779999999</v>
      </c>
      <c r="K40" s="37">
        <v>17.000299999999999</v>
      </c>
      <c r="L40" s="37"/>
      <c r="M40" s="31">
        <f t="shared" si="2"/>
        <v>13009596.41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76</v>
      </c>
      <c r="C41" s="33">
        <v>743775</v>
      </c>
      <c r="D41" s="32" t="s">
        <v>68</v>
      </c>
      <c r="E41" s="34" t="s">
        <v>70</v>
      </c>
      <c r="F41" s="34" t="s">
        <v>75</v>
      </c>
      <c r="G41" s="35">
        <v>948.56700000672197</v>
      </c>
      <c r="H41" s="35">
        <f t="shared" si="1"/>
        <v>949.00880613088634</v>
      </c>
      <c r="I41" s="36">
        <v>705520420.42999995</v>
      </c>
      <c r="J41" s="36">
        <v>705849024.77999997</v>
      </c>
      <c r="K41" s="37">
        <v>17.000299999999999</v>
      </c>
      <c r="L41" s="37"/>
      <c r="M41" s="31">
        <f t="shared" si="2"/>
        <v>705520420.42999995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2267602458.8600001</v>
      </c>
      <c r="N43" s="65">
        <v>2267602458.8599997</v>
      </c>
      <c r="O43" s="66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L26+B29+M43</f>
        <v>28032161547.053097</v>
      </c>
      <c r="C50" s="62">
        <v>28032161547.113102</v>
      </c>
      <c r="D50" s="62">
        <f>__mdDATAItogoActive__-C50</f>
        <v>-6.000518798828125E-2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0" t="s">
        <v>48</v>
      </c>
      <c r="B55" s="60"/>
      <c r="C55" s="60"/>
      <c r="D55" s="60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0" t="s">
        <v>49</v>
      </c>
      <c r="B61" s="60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2328494.0300000003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F66" s="54"/>
      <c r="O66" s="9"/>
    </row>
    <row r="67" spans="1:15" x14ac:dyDescent="0.2">
      <c r="A67" s="24">
        <v>3</v>
      </c>
      <c r="B67" s="55" t="s">
        <v>55</v>
      </c>
      <c r="C67" s="57">
        <v>426172.14</v>
      </c>
      <c r="D67" s="2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367692.93</v>
      </c>
      <c r="D69" s="24"/>
      <c r="F69" s="54"/>
      <c r="O69" s="9"/>
    </row>
    <row r="70" spans="1:15" x14ac:dyDescent="0.2">
      <c r="A70" s="24">
        <v>6</v>
      </c>
      <c r="B70" s="55" t="s">
        <v>58</v>
      </c>
      <c r="C70" s="57">
        <v>118399.44</v>
      </c>
      <c r="D70" s="57"/>
      <c r="O70" s="9"/>
    </row>
    <row r="71" spans="1:15" x14ac:dyDescent="0.2">
      <c r="A71" s="24">
        <v>7</v>
      </c>
      <c r="B71" s="55" t="s">
        <v>59</v>
      </c>
      <c r="C71" s="57">
        <v>59782.35</v>
      </c>
      <c r="D71" s="57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1" t="s">
        <v>63</v>
      </c>
      <c r="B75" s="61"/>
      <c r="C75" s="59">
        <f>SUM(C65:C74)</f>
        <v>3300540.8900000006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05.11.2025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99.698700000000002</v>
      </c>
      <c r="G4" s="5">
        <v>99.698700000000002</v>
      </c>
      <c r="H4" s="5">
        <v>15.76</v>
      </c>
      <c r="I4" s="5">
        <v>8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9490.25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126</v>
      </c>
      <c r="E6" s="4" t="s">
        <v>131</v>
      </c>
      <c r="F6" s="4">
        <v>1421.54</v>
      </c>
      <c r="G6" s="5"/>
      <c r="H6" s="5"/>
      <c r="I6" s="5"/>
      <c r="J6" s="4" t="s">
        <v>128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126</v>
      </c>
      <c r="E7" s="4" t="s">
        <v>134</v>
      </c>
      <c r="F7" s="4">
        <v>582842.05000000005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126</v>
      </c>
      <c r="E8" s="4" t="s">
        <v>134</v>
      </c>
      <c r="F8" s="4">
        <v>6301.35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121</v>
      </c>
      <c r="E9" s="4" t="s">
        <v>134</v>
      </c>
      <c r="F9" s="4">
        <v>0.95237699999999992</v>
      </c>
      <c r="G9" s="5">
        <v>95.493300000000005</v>
      </c>
      <c r="H9" s="5">
        <v>6.15</v>
      </c>
      <c r="I9" s="5">
        <v>7836</v>
      </c>
      <c r="J9" s="4" t="s">
        <v>123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126</v>
      </c>
      <c r="E10" s="4" t="s">
        <v>134</v>
      </c>
      <c r="F10" s="4">
        <v>167.86</v>
      </c>
      <c r="G10" s="5"/>
      <c r="H10" s="5"/>
      <c r="I10" s="5"/>
      <c r="J10" s="4" t="s">
        <v>128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134</v>
      </c>
      <c r="F11" s="4">
        <v>5539.5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134</v>
      </c>
      <c r="F12" s="4">
        <v>6016294.9299999997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134</v>
      </c>
      <c r="F13" s="4">
        <v>130.06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126</v>
      </c>
      <c r="E14" s="4" t="s">
        <v>134</v>
      </c>
      <c r="F14" s="4">
        <v>1177.02</v>
      </c>
      <c r="G14" s="5"/>
      <c r="H14" s="5"/>
      <c r="I14" s="5"/>
      <c r="J14" s="4" t="s">
        <v>149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126</v>
      </c>
      <c r="E15" s="4" t="s">
        <v>134</v>
      </c>
      <c r="F15" s="4">
        <v>1090.5</v>
      </c>
      <c r="G15" s="5"/>
      <c r="H15" s="5"/>
      <c r="I15" s="5"/>
      <c r="J15" s="4" t="s">
        <v>149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126</v>
      </c>
      <c r="E16" s="4" t="s">
        <v>134</v>
      </c>
      <c r="F16" s="4">
        <v>1818382.48</v>
      </c>
      <c r="G16" s="5"/>
      <c r="H16" s="5"/>
      <c r="I16" s="5"/>
      <c r="J16" s="4" t="s">
        <v>128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126</v>
      </c>
      <c r="E17" s="4" t="s">
        <v>134</v>
      </c>
      <c r="F17" s="4">
        <v>73176.2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126</v>
      </c>
      <c r="E18" s="4" t="s">
        <v>134</v>
      </c>
      <c r="F18" s="4">
        <v>73831.759999999995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126</v>
      </c>
      <c r="E19" s="4" t="s">
        <v>134</v>
      </c>
      <c r="F19" s="4">
        <v>52745.81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126</v>
      </c>
      <c r="E20" s="4" t="s">
        <v>134</v>
      </c>
      <c r="F20" s="4">
        <v>7.14</v>
      </c>
      <c r="G20" s="5"/>
      <c r="H20" s="5"/>
      <c r="I20" s="5"/>
      <c r="J20" s="4" t="s">
        <v>128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121</v>
      </c>
      <c r="E21" s="4" t="s">
        <v>134</v>
      </c>
      <c r="F21" s="4">
        <v>1000</v>
      </c>
      <c r="G21" s="5">
        <v>108.1872</v>
      </c>
      <c r="H21" s="5">
        <v>17.64</v>
      </c>
      <c r="I21" s="5">
        <v>1110</v>
      </c>
      <c r="J21" s="4" t="s">
        <v>123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121</v>
      </c>
      <c r="E22" s="4" t="s">
        <v>134</v>
      </c>
      <c r="F22" s="4">
        <v>1000.4290000000001</v>
      </c>
      <c r="G22" s="5">
        <v>101.4021</v>
      </c>
      <c r="H22" s="5">
        <v>21.42</v>
      </c>
      <c r="I22" s="5">
        <v>10</v>
      </c>
      <c r="J22" s="4" t="s">
        <v>123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121</v>
      </c>
      <c r="E23" s="4" t="s">
        <v>134</v>
      </c>
      <c r="F23" s="4">
        <v>1000</v>
      </c>
      <c r="G23" s="5">
        <v>101.01830000000001</v>
      </c>
      <c r="H23" s="5">
        <v>17.43</v>
      </c>
      <c r="I23" s="5">
        <v>709</v>
      </c>
      <c r="J23" s="4" t="s">
        <v>123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121</v>
      </c>
      <c r="E24" s="4" t="s">
        <v>134</v>
      </c>
      <c r="F24" s="4">
        <v>999.56500000000005</v>
      </c>
      <c r="G24" s="5">
        <v>102.8232</v>
      </c>
      <c r="H24" s="5">
        <v>24</v>
      </c>
      <c r="I24" s="5">
        <v>48</v>
      </c>
      <c r="J24" s="4" t="s">
        <v>123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121</v>
      </c>
      <c r="E25" s="4" t="s">
        <v>134</v>
      </c>
      <c r="F25" s="4">
        <v>1000</v>
      </c>
      <c r="G25" s="5">
        <v>105.55550000000001</v>
      </c>
      <c r="H25" s="5">
        <v>17.830000000000002</v>
      </c>
      <c r="I25" s="5">
        <v>1896</v>
      </c>
      <c r="J25" s="4" t="s">
        <v>123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121</v>
      </c>
      <c r="E26" s="4" t="s">
        <v>134</v>
      </c>
      <c r="F26" s="4">
        <v>1000</v>
      </c>
      <c r="G26" s="5">
        <v>103.0582</v>
      </c>
      <c r="H26" s="5">
        <v>17.73</v>
      </c>
      <c r="I26" s="5">
        <v>1580</v>
      </c>
      <c r="J26" s="4" t="s">
        <v>123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126</v>
      </c>
      <c r="E27" s="4" t="s">
        <v>134</v>
      </c>
      <c r="F27" s="4">
        <v>1510.1</v>
      </c>
      <c r="G27" s="5"/>
      <c r="H27" s="5"/>
      <c r="I27" s="5"/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121</v>
      </c>
      <c r="E28" s="4" t="s">
        <v>134</v>
      </c>
      <c r="F28" s="4">
        <v>496698</v>
      </c>
      <c r="G28" s="5">
        <v>100.25070000000001</v>
      </c>
      <c r="H28" s="5">
        <v>21.5</v>
      </c>
      <c r="I28" s="5">
        <v>257</v>
      </c>
      <c r="J28" s="4" t="s">
        <v>123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121</v>
      </c>
      <c r="E29" s="4" t="s">
        <v>134</v>
      </c>
      <c r="F29" s="4">
        <v>500068.5</v>
      </c>
      <c r="G29" s="5">
        <v>103.13040000000001</v>
      </c>
      <c r="H29" s="5">
        <v>21.53</v>
      </c>
      <c r="I29" s="5">
        <v>40</v>
      </c>
      <c r="J29" s="4" t="s">
        <v>123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121</v>
      </c>
      <c r="E30" s="4" t="s">
        <v>134</v>
      </c>
      <c r="F30" s="4">
        <v>1012.046</v>
      </c>
      <c r="G30" s="5">
        <v>104.00320000000001</v>
      </c>
      <c r="H30" s="5">
        <v>5.99</v>
      </c>
      <c r="I30" s="5">
        <v>938</v>
      </c>
      <c r="J30" s="4" t="s">
        <v>123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121</v>
      </c>
      <c r="E31" s="4" t="s">
        <v>134</v>
      </c>
      <c r="F31" s="4">
        <v>764.75200000000007</v>
      </c>
      <c r="G31" s="5">
        <v>78.125200000000007</v>
      </c>
      <c r="H31" s="5">
        <v>40.99</v>
      </c>
      <c r="I31" s="5">
        <v>642</v>
      </c>
      <c r="J31" s="4" t="s">
        <v>123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121</v>
      </c>
      <c r="E32" s="4" t="s">
        <v>134</v>
      </c>
      <c r="F32" s="4">
        <v>999.96</v>
      </c>
      <c r="G32" s="5">
        <v>100.69880000000001</v>
      </c>
      <c r="H32" s="5">
        <v>23</v>
      </c>
      <c r="I32" s="5">
        <v>1085</v>
      </c>
      <c r="J32" s="4" t="s">
        <v>123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121</v>
      </c>
      <c r="E33" s="4" t="s">
        <v>134</v>
      </c>
      <c r="F33" s="4">
        <v>99.998900000000006</v>
      </c>
      <c r="G33" s="5">
        <v>100.4572</v>
      </c>
      <c r="H33" s="5">
        <v>11</v>
      </c>
      <c r="I33" s="5">
        <v>654</v>
      </c>
      <c r="J33" s="4" t="s">
        <v>123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121</v>
      </c>
      <c r="E34" s="4" t="s">
        <v>134</v>
      </c>
      <c r="F34" s="4">
        <v>101.90770000000001</v>
      </c>
      <c r="G34" s="5">
        <v>102.01190000000001</v>
      </c>
      <c r="H34" s="5">
        <v>5.49</v>
      </c>
      <c r="I34" s="5">
        <v>361</v>
      </c>
      <c r="J34" s="4" t="s">
        <v>123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121</v>
      </c>
      <c r="E35" s="4" t="s">
        <v>134</v>
      </c>
      <c r="F35" s="4">
        <v>984.83300000000008</v>
      </c>
      <c r="G35" s="5">
        <v>98.72290000000001</v>
      </c>
      <c r="H35" s="5">
        <v>19</v>
      </c>
      <c r="I35" s="5">
        <v>361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121</v>
      </c>
      <c r="E36" s="4" t="s">
        <v>134</v>
      </c>
      <c r="F36" s="4">
        <v>994.6</v>
      </c>
      <c r="G36" s="5">
        <v>100.8044</v>
      </c>
      <c r="H36" s="5">
        <v>24.94</v>
      </c>
      <c r="I36" s="5">
        <v>70</v>
      </c>
      <c r="J36" s="4" t="s">
        <v>123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121</v>
      </c>
      <c r="E37" s="4" t="s">
        <v>134</v>
      </c>
      <c r="F37" s="4">
        <v>855.39400000000001</v>
      </c>
      <c r="G37" s="5">
        <v>86.700500000000005</v>
      </c>
      <c r="H37" s="5">
        <v>34.270000000000003</v>
      </c>
      <c r="I37" s="5">
        <v>558</v>
      </c>
      <c r="J37" s="4" t="s">
        <v>123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121</v>
      </c>
      <c r="E38" s="4" t="s">
        <v>134</v>
      </c>
      <c r="F38" s="4">
        <v>98.81880000000001</v>
      </c>
      <c r="G38" s="5">
        <v>99.452100000000002</v>
      </c>
      <c r="H38" s="5">
        <v>12.85</v>
      </c>
      <c r="I38" s="5">
        <v>558</v>
      </c>
      <c r="J38" s="4" t="s">
        <v>123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121</v>
      </c>
      <c r="E39" s="4" t="s">
        <v>134</v>
      </c>
      <c r="F39" s="4">
        <v>496129</v>
      </c>
      <c r="G39" s="5">
        <v>100.3925</v>
      </c>
      <c r="H39" s="5">
        <v>21.54</v>
      </c>
      <c r="I39" s="5">
        <v>618</v>
      </c>
      <c r="J39" s="4" t="s">
        <v>123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121</v>
      </c>
      <c r="E40" s="4" t="s">
        <v>134</v>
      </c>
      <c r="F40" s="4">
        <v>99.967500000000001</v>
      </c>
      <c r="G40" s="5">
        <v>101.8314</v>
      </c>
      <c r="H40" s="5">
        <v>11</v>
      </c>
      <c r="I40" s="5">
        <v>304</v>
      </c>
      <c r="J40" s="4" t="s">
        <v>123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121</v>
      </c>
      <c r="E41" s="4" t="s">
        <v>134</v>
      </c>
      <c r="F41" s="4">
        <v>852.74400000000003</v>
      </c>
      <c r="G41" s="5">
        <v>85.566100000000006</v>
      </c>
      <c r="H41" s="5">
        <v>39.24</v>
      </c>
      <c r="I41" s="5">
        <v>360</v>
      </c>
      <c r="J41" s="4" t="s">
        <v>123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121</v>
      </c>
      <c r="E42" s="4" t="s">
        <v>134</v>
      </c>
      <c r="F42" s="4">
        <v>829.81900000000007</v>
      </c>
      <c r="G42" s="5">
        <v>83.885199999999998</v>
      </c>
      <c r="H42" s="5">
        <v>31.26</v>
      </c>
      <c r="I42" s="5">
        <v>959</v>
      </c>
      <c r="J42" s="4" t="s">
        <v>123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121</v>
      </c>
      <c r="E43" s="4" t="s">
        <v>134</v>
      </c>
      <c r="F43" s="4">
        <v>999.85700000000008</v>
      </c>
      <c r="G43" s="5">
        <v>101.75790000000001</v>
      </c>
      <c r="H43" s="5">
        <v>22.01</v>
      </c>
      <c r="I43" s="5">
        <v>701</v>
      </c>
      <c r="J43" s="4" t="s">
        <v>123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121</v>
      </c>
      <c r="E44" s="4" t="s">
        <v>134</v>
      </c>
      <c r="F44" s="4">
        <v>999.81500000000005</v>
      </c>
      <c r="G44" s="5">
        <v>101.1426</v>
      </c>
      <c r="H44" s="5">
        <v>21.97</v>
      </c>
      <c r="I44" s="5">
        <v>73</v>
      </c>
      <c r="J44" s="4" t="s">
        <v>123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121</v>
      </c>
      <c r="E45" s="4" t="s">
        <v>134</v>
      </c>
      <c r="F45" s="4">
        <v>817.23900000000003</v>
      </c>
      <c r="G45" s="5">
        <v>81.7239</v>
      </c>
      <c r="H45" s="5">
        <v>36.840000000000003</v>
      </c>
      <c r="I45" s="5">
        <v>608</v>
      </c>
      <c r="J45" s="4" t="s">
        <v>123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121</v>
      </c>
      <c r="E46" s="4" t="s">
        <v>134</v>
      </c>
      <c r="F46" s="4">
        <v>991.59500000000003</v>
      </c>
      <c r="G46" s="5">
        <v>101.08450000000001</v>
      </c>
      <c r="H46" s="5">
        <v>22.01</v>
      </c>
      <c r="I46" s="5">
        <v>332</v>
      </c>
      <c r="J46" s="4" t="s">
        <v>123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121</v>
      </c>
      <c r="E47" s="4" t="s">
        <v>134</v>
      </c>
      <c r="F47" s="4">
        <v>959.2940000000001</v>
      </c>
      <c r="G47" s="5">
        <v>96.668300000000002</v>
      </c>
      <c r="H47" s="5">
        <v>23.78</v>
      </c>
      <c r="I47" s="5">
        <v>351</v>
      </c>
      <c r="J47" s="4" t="s">
        <v>123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121</v>
      </c>
      <c r="E48" s="4" t="s">
        <v>134</v>
      </c>
      <c r="F48" s="4">
        <v>943.053</v>
      </c>
      <c r="G48" s="5">
        <v>94.674700000000001</v>
      </c>
      <c r="H48" s="5">
        <v>22.26</v>
      </c>
      <c r="I48" s="5">
        <v>815</v>
      </c>
      <c r="J48" s="4" t="s">
        <v>123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121</v>
      </c>
      <c r="E49" s="4" t="s">
        <v>134</v>
      </c>
      <c r="F49" s="4">
        <v>987.18600000000004</v>
      </c>
      <c r="G49" s="5">
        <v>100.0603</v>
      </c>
      <c r="H49" s="5">
        <v>21.7</v>
      </c>
      <c r="I49" s="5">
        <v>859</v>
      </c>
      <c r="J49" s="4" t="s">
        <v>123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121</v>
      </c>
      <c r="E50" s="4" t="s">
        <v>134</v>
      </c>
      <c r="F50" s="4">
        <v>1002.8340000000001</v>
      </c>
      <c r="G50" s="5">
        <v>108.7334</v>
      </c>
      <c r="H50" s="5">
        <v>19.240000000000002</v>
      </c>
      <c r="I50" s="5">
        <v>571</v>
      </c>
      <c r="J50" s="4" t="s">
        <v>123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121</v>
      </c>
      <c r="E51" s="4" t="s">
        <v>134</v>
      </c>
      <c r="F51" s="4">
        <v>98.028900000000007</v>
      </c>
      <c r="G51" s="5">
        <v>98.501100000000008</v>
      </c>
      <c r="H51" s="5">
        <v>11.56</v>
      </c>
      <c r="I51" s="5">
        <v>499</v>
      </c>
      <c r="J51" s="4" t="s">
        <v>123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121</v>
      </c>
      <c r="E52" s="4" t="s">
        <v>134</v>
      </c>
      <c r="F52" s="4">
        <v>1000</v>
      </c>
      <c r="G52" s="5">
        <v>104.61080000000001</v>
      </c>
      <c r="H52" s="5">
        <v>17.14</v>
      </c>
      <c r="I52" s="5">
        <v>1364</v>
      </c>
      <c r="J52" s="4" t="s">
        <v>123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121</v>
      </c>
      <c r="E53" s="4" t="s">
        <v>134</v>
      </c>
      <c r="F53" s="4">
        <v>999.9</v>
      </c>
      <c r="G53" s="5">
        <v>100.51780000000001</v>
      </c>
      <c r="H53" s="5">
        <v>10</v>
      </c>
      <c r="I53" s="5">
        <v>346</v>
      </c>
      <c r="J53" s="4" t="s">
        <v>123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121</v>
      </c>
      <c r="E54" s="4" t="s">
        <v>134</v>
      </c>
      <c r="F54" s="4">
        <v>999.77300000000002</v>
      </c>
      <c r="G54" s="5">
        <v>101.23450000000001</v>
      </c>
      <c r="H54" s="5">
        <v>22.64</v>
      </c>
      <c r="I54" s="5">
        <v>649</v>
      </c>
      <c r="J54" s="4" t="s">
        <v>123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121</v>
      </c>
      <c r="E55" s="4" t="s">
        <v>134</v>
      </c>
      <c r="F55" s="4">
        <v>989.15899999999999</v>
      </c>
      <c r="G55" s="5">
        <v>99.415900000000008</v>
      </c>
      <c r="H55" s="5">
        <v>22.42</v>
      </c>
      <c r="I55" s="5">
        <v>173</v>
      </c>
      <c r="J55" s="4" t="s">
        <v>123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121</v>
      </c>
      <c r="E56" s="4" t="s">
        <v>134</v>
      </c>
      <c r="F56" s="4">
        <v>1009.9160000000001</v>
      </c>
      <c r="G56" s="5">
        <v>101.30290000000001</v>
      </c>
      <c r="H56" s="5">
        <v>21.88</v>
      </c>
      <c r="I56" s="5">
        <v>878</v>
      </c>
      <c r="J56" s="4" t="s">
        <v>123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121</v>
      </c>
      <c r="E57" s="4" t="s">
        <v>134</v>
      </c>
      <c r="F57" s="4">
        <v>79.50500000000001</v>
      </c>
      <c r="G57" s="5">
        <v>80.88</v>
      </c>
      <c r="H57" s="5">
        <v>85.04</v>
      </c>
      <c r="I57" s="5">
        <v>136</v>
      </c>
      <c r="J57" s="4" t="s">
        <v>123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126</v>
      </c>
      <c r="E58" s="4" t="s">
        <v>134</v>
      </c>
      <c r="F58" s="4">
        <v>101.27</v>
      </c>
      <c r="G58" s="5"/>
      <c r="H58" s="5"/>
      <c r="I58" s="5"/>
      <c r="J58" s="4" t="s">
        <v>149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121</v>
      </c>
      <c r="E59" s="4" t="s">
        <v>134</v>
      </c>
      <c r="F59" s="4">
        <v>972.68</v>
      </c>
      <c r="G59" s="5">
        <v>97.676299999999998</v>
      </c>
      <c r="H59" s="5">
        <v>22.49</v>
      </c>
      <c r="I59" s="5">
        <v>875</v>
      </c>
      <c r="J59" s="4" t="s">
        <v>123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121</v>
      </c>
      <c r="E60" s="4" t="s">
        <v>134</v>
      </c>
      <c r="F60" s="4">
        <v>824.90300000000002</v>
      </c>
      <c r="G60" s="5">
        <v>84.343100000000007</v>
      </c>
      <c r="H60" s="5">
        <v>104.8</v>
      </c>
      <c r="I60" s="5">
        <v>94</v>
      </c>
      <c r="J60" s="4" t="s">
        <v>123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121</v>
      </c>
      <c r="E61" s="4" t="s">
        <v>134</v>
      </c>
      <c r="F61" s="4">
        <v>950.48500000000001</v>
      </c>
      <c r="G61" s="5">
        <v>98.691600000000008</v>
      </c>
      <c r="H61" s="5">
        <v>24.11</v>
      </c>
      <c r="I61" s="5">
        <v>943</v>
      </c>
      <c r="J61" s="4" t="s">
        <v>123</v>
      </c>
    </row>
    <row r="62" spans="1:10" x14ac:dyDescent="0.25">
      <c r="A62" s="4">
        <f t="shared" ca="1" si="1"/>
        <v>59</v>
      </c>
      <c r="B62" s="4" t="s">
        <v>244</v>
      </c>
      <c r="C62" s="4" t="s">
        <v>245</v>
      </c>
      <c r="D62" s="4" t="s">
        <v>121</v>
      </c>
      <c r="E62" s="4" t="s">
        <v>134</v>
      </c>
      <c r="F62" s="4">
        <v>985.07900000000006</v>
      </c>
      <c r="G62" s="5">
        <v>99.974600000000009</v>
      </c>
      <c r="H62" s="5">
        <v>23.03</v>
      </c>
      <c r="I62" s="5">
        <v>645</v>
      </c>
      <c r="J62" s="4" t="s">
        <v>123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121</v>
      </c>
      <c r="E63" s="4" t="s">
        <v>134</v>
      </c>
      <c r="F63" s="4">
        <v>978.774</v>
      </c>
      <c r="G63" s="5">
        <v>98.060700000000011</v>
      </c>
      <c r="H63" s="5">
        <v>23.56</v>
      </c>
      <c r="I63" s="5">
        <v>605</v>
      </c>
      <c r="J63" s="4" t="s">
        <v>123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121</v>
      </c>
      <c r="E64" s="4" t="s">
        <v>134</v>
      </c>
      <c r="F64" s="4">
        <v>986.26800000000003</v>
      </c>
      <c r="G64" s="5">
        <v>106.9393</v>
      </c>
      <c r="H64" s="5">
        <v>19.02</v>
      </c>
      <c r="I64" s="5">
        <v>375</v>
      </c>
      <c r="J64" s="4" t="s">
        <v>123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121</v>
      </c>
      <c r="E65" s="4" t="s">
        <v>134</v>
      </c>
      <c r="F65" s="4">
        <v>9.9371099999999988</v>
      </c>
      <c r="G65" s="5">
        <v>100.0378</v>
      </c>
      <c r="H65" s="5">
        <v>10.38</v>
      </c>
      <c r="I65" s="5">
        <v>676</v>
      </c>
      <c r="J65" s="4" t="s">
        <v>123</v>
      </c>
    </row>
    <row r="66" spans="1:10" x14ac:dyDescent="0.25">
      <c r="A66" s="4">
        <f t="shared" ca="1" si="1"/>
        <v>63</v>
      </c>
      <c r="B66" s="4" t="s">
        <v>252</v>
      </c>
      <c r="C66" s="4" t="s">
        <v>253</v>
      </c>
      <c r="D66" s="4" t="s">
        <v>121</v>
      </c>
      <c r="E66" s="4" t="s">
        <v>134</v>
      </c>
      <c r="F66" s="4">
        <v>947.1450000000001</v>
      </c>
      <c r="G66" s="5">
        <v>95.239500000000007</v>
      </c>
      <c r="H66" s="5">
        <v>23.71</v>
      </c>
      <c r="I66" s="5">
        <v>965</v>
      </c>
      <c r="J66" s="4" t="s">
        <v>123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121</v>
      </c>
      <c r="E67" s="4" t="s">
        <v>134</v>
      </c>
      <c r="F67" s="4">
        <v>1003.018</v>
      </c>
      <c r="G67" s="5">
        <v>102.9782</v>
      </c>
      <c r="H67" s="5">
        <v>20.23</v>
      </c>
      <c r="I67" s="5">
        <v>683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126</v>
      </c>
      <c r="E68" s="4" t="s">
        <v>258</v>
      </c>
      <c r="F68" s="4">
        <v>38592.36</v>
      </c>
      <c r="G68" s="5"/>
      <c r="H68" s="5"/>
      <c r="I68" s="5"/>
      <c r="J68" s="4" t="s">
        <v>128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126</v>
      </c>
      <c r="E69" s="4" t="s">
        <v>258</v>
      </c>
      <c r="F69" s="4">
        <v>29490.43</v>
      </c>
      <c r="G69" s="5"/>
      <c r="H69" s="5"/>
      <c r="I69" s="5"/>
      <c r="J69" s="4" t="s">
        <v>128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121</v>
      </c>
      <c r="E70" s="4" t="s">
        <v>263</v>
      </c>
      <c r="F70" s="4">
        <v>16595.900000000001</v>
      </c>
      <c r="G70" s="5">
        <v>1659.59</v>
      </c>
      <c r="H70" s="5"/>
      <c r="I70" s="5">
        <v>142</v>
      </c>
      <c r="J70" s="4" t="s">
        <v>123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121</v>
      </c>
      <c r="E71" s="4" t="s">
        <v>263</v>
      </c>
      <c r="F71" s="4">
        <v>995.71900000000005</v>
      </c>
      <c r="G71" s="5">
        <v>101.68300000000001</v>
      </c>
      <c r="H71" s="5">
        <v>19.5</v>
      </c>
      <c r="I71" s="5">
        <v>325</v>
      </c>
      <c r="J71" s="4" t="s">
        <v>123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126</v>
      </c>
      <c r="E72" s="4" t="s">
        <v>268</v>
      </c>
      <c r="F72" s="4">
        <v>22288.69</v>
      </c>
      <c r="G72" s="5"/>
      <c r="H72" s="5"/>
      <c r="I72" s="5"/>
      <c r="J72" s="4" t="s">
        <v>128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121</v>
      </c>
      <c r="E73" s="4" t="s">
        <v>268</v>
      </c>
      <c r="F73" s="4">
        <v>1.012124</v>
      </c>
      <c r="G73" s="5">
        <v>101.37660000000001</v>
      </c>
      <c r="H73" s="5">
        <v>5.07</v>
      </c>
      <c r="I73" s="5">
        <v>1632</v>
      </c>
      <c r="J73" s="4" t="s">
        <v>123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121</v>
      </c>
      <c r="E74" s="4" t="s">
        <v>268</v>
      </c>
      <c r="F74" s="4">
        <v>1012.177</v>
      </c>
      <c r="G74" s="5">
        <v>101.41249999999999</v>
      </c>
      <c r="H74" s="5">
        <v>6.27</v>
      </c>
      <c r="I74" s="5">
        <v>8390</v>
      </c>
      <c r="J74" s="4" t="s">
        <v>123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126</v>
      </c>
      <c r="E75" s="4" t="s">
        <v>275</v>
      </c>
      <c r="F75" s="4">
        <v>3364.22</v>
      </c>
      <c r="G75" s="5"/>
      <c r="H75" s="5"/>
      <c r="I75" s="5"/>
      <c r="J75" s="4" t="s">
        <v>128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121</v>
      </c>
      <c r="E76" s="4" t="s">
        <v>278</v>
      </c>
      <c r="F76" s="4">
        <v>0.97159099999999998</v>
      </c>
      <c r="G76" s="5">
        <v>97.198000000000008</v>
      </c>
      <c r="H76" s="5">
        <v>5.01</v>
      </c>
      <c r="I76" s="5">
        <v>358</v>
      </c>
      <c r="J76" s="4" t="s">
        <v>123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126</v>
      </c>
      <c r="E77" s="4" t="s">
        <v>281</v>
      </c>
      <c r="F77" s="4">
        <v>8554.31</v>
      </c>
      <c r="G77" s="5"/>
      <c r="H77" s="5"/>
      <c r="I77" s="5"/>
      <c r="J77" s="4" t="s">
        <v>128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126</v>
      </c>
      <c r="E78" s="4" t="s">
        <v>281</v>
      </c>
      <c r="F78" s="4">
        <v>5208.5200000000004</v>
      </c>
      <c r="G78" s="5"/>
      <c r="H78" s="5"/>
      <c r="I78" s="5"/>
      <c r="J78" s="4" t="s">
        <v>128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121</v>
      </c>
      <c r="E79" s="4" t="s">
        <v>286</v>
      </c>
      <c r="F79" s="4">
        <v>966.14700000000005</v>
      </c>
      <c r="G79" s="5">
        <v>100.04300000000001</v>
      </c>
      <c r="H79" s="5">
        <v>19.990000000000002</v>
      </c>
      <c r="I79" s="5">
        <v>845</v>
      </c>
      <c r="J79" s="4" t="s">
        <v>123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121</v>
      </c>
      <c r="E80" s="4" t="s">
        <v>286</v>
      </c>
      <c r="F80" s="4">
        <v>100.0176</v>
      </c>
      <c r="G80" s="5">
        <v>100.88430000000001</v>
      </c>
      <c r="H80" s="5">
        <v>7.99</v>
      </c>
      <c r="I80" s="5">
        <v>782</v>
      </c>
      <c r="J80" s="4" t="s">
        <v>123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121</v>
      </c>
      <c r="E81" s="4" t="s">
        <v>66</v>
      </c>
      <c r="F81" s="4">
        <v>1000</v>
      </c>
      <c r="G81" s="5">
        <v>110.6555</v>
      </c>
      <c r="H81" s="5">
        <v>12.54</v>
      </c>
      <c r="I81" s="5">
        <v>1152</v>
      </c>
      <c r="J81" s="4" t="s">
        <v>123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121</v>
      </c>
      <c r="E82" s="4" t="s">
        <v>66</v>
      </c>
      <c r="F82" s="4">
        <v>1000</v>
      </c>
      <c r="G82" s="5">
        <v>102.37570000000001</v>
      </c>
      <c r="H82" s="5">
        <v>12.54</v>
      </c>
      <c r="I82" s="5">
        <v>1392</v>
      </c>
      <c r="J82" s="4" t="s">
        <v>123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121</v>
      </c>
      <c r="E83" s="4" t="s">
        <v>66</v>
      </c>
      <c r="F83" s="4">
        <v>1000</v>
      </c>
      <c r="G83" s="5">
        <v>105.485</v>
      </c>
      <c r="H83" s="5">
        <v>12.23</v>
      </c>
      <c r="I83" s="5">
        <v>205</v>
      </c>
      <c r="J83" s="4" t="s">
        <v>123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121</v>
      </c>
      <c r="E84" s="4" t="s">
        <v>66</v>
      </c>
      <c r="F84" s="4">
        <v>1000</v>
      </c>
      <c r="G84" s="5">
        <v>103.3189</v>
      </c>
      <c r="H84" s="5">
        <v>12.37</v>
      </c>
      <c r="I84" s="5">
        <v>268</v>
      </c>
      <c r="J84" s="4" t="s">
        <v>123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121</v>
      </c>
      <c r="E85" s="4" t="s">
        <v>66</v>
      </c>
      <c r="F85" s="4">
        <v>1000</v>
      </c>
      <c r="G85" s="5">
        <v>106.49810000000001</v>
      </c>
      <c r="H85" s="5">
        <v>12.43</v>
      </c>
      <c r="I85" s="5">
        <v>541</v>
      </c>
      <c r="J85" s="4" t="s">
        <v>123</v>
      </c>
    </row>
    <row r="86" spans="1:10" x14ac:dyDescent="0.25">
      <c r="A86" s="4">
        <f t="shared" ca="1" si="2"/>
        <v>83</v>
      </c>
      <c r="B86" s="4" t="s">
        <v>299</v>
      </c>
      <c r="C86" s="4" t="s">
        <v>300</v>
      </c>
      <c r="D86" s="4" t="s">
        <v>121</v>
      </c>
      <c r="E86" s="4" t="s">
        <v>66</v>
      </c>
      <c r="F86" s="4">
        <v>1000</v>
      </c>
      <c r="G86" s="5">
        <v>104.402</v>
      </c>
      <c r="H86" s="5">
        <v>12.46</v>
      </c>
      <c r="I86" s="5">
        <v>602</v>
      </c>
      <c r="J86" s="4" t="s">
        <v>123</v>
      </c>
    </row>
    <row r="87" spans="1:10" x14ac:dyDescent="0.25">
      <c r="A87" s="4">
        <f t="shared" ca="1" si="2"/>
        <v>84</v>
      </c>
      <c r="B87" s="4" t="s">
        <v>301</v>
      </c>
      <c r="C87" s="4" t="s">
        <v>302</v>
      </c>
      <c r="D87" s="4" t="s">
        <v>121</v>
      </c>
      <c r="E87" s="4" t="s">
        <v>66</v>
      </c>
      <c r="F87" s="4">
        <v>1000</v>
      </c>
      <c r="G87" s="5">
        <v>111.8433</v>
      </c>
      <c r="H87" s="5">
        <v>12.55</v>
      </c>
      <c r="I87" s="5">
        <v>752</v>
      </c>
      <c r="J87" s="4" t="s">
        <v>123</v>
      </c>
    </row>
    <row r="88" spans="1:10" x14ac:dyDescent="0.25">
      <c r="A88" s="4">
        <f t="shared" ca="1" si="2"/>
        <v>85</v>
      </c>
      <c r="B88" s="4" t="s">
        <v>303</v>
      </c>
      <c r="C88" s="4" t="s">
        <v>304</v>
      </c>
      <c r="D88" s="4" t="s">
        <v>121</v>
      </c>
      <c r="E88" s="4" t="s">
        <v>66</v>
      </c>
      <c r="F88" s="4">
        <v>1000</v>
      </c>
      <c r="G88" s="5">
        <v>102.37570000000001</v>
      </c>
      <c r="H88" s="5">
        <v>12.53</v>
      </c>
      <c r="I88" s="5">
        <v>1027</v>
      </c>
      <c r="J88" s="4" t="s">
        <v>123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121</v>
      </c>
      <c r="E89" s="4" t="s">
        <v>66</v>
      </c>
      <c r="F89" s="4">
        <v>1000</v>
      </c>
      <c r="G89" s="5">
        <v>109.6773</v>
      </c>
      <c r="H89" s="5">
        <v>12.54</v>
      </c>
      <c r="I89" s="5">
        <v>1546</v>
      </c>
      <c r="J89" s="4" t="s">
        <v>123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121</v>
      </c>
      <c r="E90" s="4" t="s">
        <v>66</v>
      </c>
      <c r="F90" s="4">
        <v>996.55700000000002</v>
      </c>
      <c r="G90" s="5">
        <v>104.50290000000001</v>
      </c>
      <c r="H90" s="5">
        <v>16.8</v>
      </c>
      <c r="I90" s="5">
        <v>12</v>
      </c>
      <c r="J90" s="4" t="s">
        <v>123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121</v>
      </c>
      <c r="E91" s="4" t="s">
        <v>66</v>
      </c>
      <c r="F91" s="4">
        <v>887.79200000000003</v>
      </c>
      <c r="G91" s="5">
        <v>93.529200000000003</v>
      </c>
      <c r="H91" s="5">
        <v>17.59</v>
      </c>
      <c r="I91" s="5">
        <v>384</v>
      </c>
      <c r="J91" s="4" t="s">
        <v>123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121</v>
      </c>
      <c r="E92" s="4" t="s">
        <v>66</v>
      </c>
      <c r="F92" s="4">
        <v>1000</v>
      </c>
      <c r="G92" s="5">
        <v>104.402</v>
      </c>
      <c r="H92" s="5">
        <v>12.52</v>
      </c>
      <c r="I92" s="5">
        <v>1333</v>
      </c>
      <c r="J92" s="4" t="s">
        <v>123</v>
      </c>
    </row>
    <row r="93" spans="1:10" x14ac:dyDescent="0.25">
      <c r="A93" s="4">
        <f t="shared" ca="1" si="2"/>
        <v>90</v>
      </c>
      <c r="B93" s="4" t="s">
        <v>313</v>
      </c>
      <c r="C93" s="4" t="s">
        <v>88</v>
      </c>
      <c r="D93" s="4" t="s">
        <v>121</v>
      </c>
      <c r="E93" s="4" t="s">
        <v>66</v>
      </c>
      <c r="F93" s="4">
        <v>860.18600000000004</v>
      </c>
      <c r="G93" s="5">
        <v>89.343100000000007</v>
      </c>
      <c r="H93" s="5">
        <v>17.55</v>
      </c>
      <c r="I93" s="5">
        <v>508</v>
      </c>
      <c r="J93" s="4" t="s">
        <v>123</v>
      </c>
    </row>
    <row r="94" spans="1:10" x14ac:dyDescent="0.25">
      <c r="A94" s="4">
        <f t="shared" ca="1" si="2"/>
        <v>91</v>
      </c>
      <c r="B94" s="4" t="s">
        <v>314</v>
      </c>
      <c r="C94" s="4" t="s">
        <v>315</v>
      </c>
      <c r="D94" s="4" t="s">
        <v>121</v>
      </c>
      <c r="E94" s="4" t="s">
        <v>66</v>
      </c>
      <c r="F94" s="4">
        <v>819.56100000000004</v>
      </c>
      <c r="G94" s="5">
        <v>82.672899999999998</v>
      </c>
      <c r="H94" s="5">
        <v>17.600000000000001</v>
      </c>
      <c r="I94" s="5">
        <v>683</v>
      </c>
      <c r="J94" s="4" t="s">
        <v>123</v>
      </c>
    </row>
    <row r="95" spans="1:10" x14ac:dyDescent="0.25">
      <c r="A95" s="4">
        <f t="shared" ca="1" si="2"/>
        <v>92</v>
      </c>
      <c r="B95" s="4" t="s">
        <v>316</v>
      </c>
      <c r="C95" s="4" t="s">
        <v>317</v>
      </c>
      <c r="D95" s="4" t="s">
        <v>121</v>
      </c>
      <c r="E95" s="4" t="s">
        <v>66</v>
      </c>
      <c r="F95" s="4">
        <v>827.70900000000006</v>
      </c>
      <c r="G95" s="5">
        <v>82.969500000000011</v>
      </c>
      <c r="H95" s="5">
        <v>17.580000000000002</v>
      </c>
      <c r="I95" s="5">
        <v>719</v>
      </c>
      <c r="J95" s="4" t="s">
        <v>123</v>
      </c>
    </row>
    <row r="96" spans="1:10" x14ac:dyDescent="0.25">
      <c r="A96" s="4">
        <f t="shared" ca="1" si="2"/>
        <v>93</v>
      </c>
      <c r="B96" s="4" t="s">
        <v>318</v>
      </c>
      <c r="C96" s="4" t="s">
        <v>319</v>
      </c>
      <c r="D96" s="4" t="s">
        <v>121</v>
      </c>
      <c r="E96" s="4" t="s">
        <v>66</v>
      </c>
      <c r="F96" s="4">
        <v>1000</v>
      </c>
      <c r="G96" s="5">
        <v>103.35390000000001</v>
      </c>
      <c r="H96" s="5">
        <v>12.48</v>
      </c>
      <c r="I96" s="5">
        <v>632</v>
      </c>
      <c r="J96" s="4" t="s">
        <v>123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121</v>
      </c>
      <c r="E97" s="4" t="s">
        <v>66</v>
      </c>
      <c r="F97" s="4">
        <v>1000</v>
      </c>
      <c r="G97" s="5">
        <v>111.80840000000001</v>
      </c>
      <c r="H97" s="5">
        <v>11.86</v>
      </c>
      <c r="I97" s="5">
        <v>23</v>
      </c>
      <c r="J97" s="4" t="s">
        <v>123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121</v>
      </c>
      <c r="E98" s="4" t="s">
        <v>66</v>
      </c>
      <c r="F98" s="4">
        <v>1000</v>
      </c>
      <c r="G98" s="5">
        <v>108.83170000000001</v>
      </c>
      <c r="H98" s="5">
        <v>12.62</v>
      </c>
      <c r="I98" s="5">
        <v>1573</v>
      </c>
      <c r="J98" s="4" t="s">
        <v>123</v>
      </c>
    </row>
    <row r="99" spans="1:10" x14ac:dyDescent="0.25">
      <c r="A99" s="4">
        <f t="shared" ca="1" si="2"/>
        <v>96</v>
      </c>
      <c r="B99" s="4" t="s">
        <v>324</v>
      </c>
      <c r="C99" s="4" t="s">
        <v>78</v>
      </c>
      <c r="D99" s="4" t="s">
        <v>121</v>
      </c>
      <c r="E99" s="4" t="s">
        <v>66</v>
      </c>
      <c r="F99" s="4">
        <v>609.65</v>
      </c>
      <c r="G99" s="5">
        <v>64.843100000000007</v>
      </c>
      <c r="H99" s="5">
        <v>17.04</v>
      </c>
      <c r="I99" s="5">
        <v>3111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325</v>
      </c>
      <c r="C100" s="4" t="s">
        <v>326</v>
      </c>
      <c r="D100" s="4" t="s">
        <v>121</v>
      </c>
      <c r="E100" s="4" t="s">
        <v>66</v>
      </c>
      <c r="F100" s="4">
        <v>865.41800000000001</v>
      </c>
      <c r="G100" s="5">
        <v>89.343100000000007</v>
      </c>
      <c r="H100" s="5">
        <v>17.59</v>
      </c>
      <c r="I100" s="5">
        <v>593</v>
      </c>
      <c r="J100" s="4" t="s">
        <v>123</v>
      </c>
    </row>
    <row r="101" spans="1:10" x14ac:dyDescent="0.25">
      <c r="A101" s="4">
        <f t="shared" ca="1" si="3"/>
        <v>98</v>
      </c>
      <c r="B101" s="4" t="s">
        <v>327</v>
      </c>
      <c r="C101" s="4" t="s">
        <v>328</v>
      </c>
      <c r="D101" s="4" t="s">
        <v>121</v>
      </c>
      <c r="E101" s="4" t="s">
        <v>66</v>
      </c>
      <c r="F101" s="4">
        <v>535.00099999999998</v>
      </c>
      <c r="G101" s="5">
        <v>54.437200000000004</v>
      </c>
      <c r="H101" s="5">
        <v>16.95</v>
      </c>
      <c r="I101" s="5">
        <v>6901</v>
      </c>
      <c r="J101" s="4" t="s">
        <v>123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121</v>
      </c>
      <c r="E102" s="4" t="s">
        <v>66</v>
      </c>
      <c r="F102" s="4">
        <v>1000</v>
      </c>
      <c r="G102" s="5">
        <v>101.22280000000001</v>
      </c>
      <c r="H102" s="5">
        <v>12.5</v>
      </c>
      <c r="I102" s="5">
        <v>330</v>
      </c>
      <c r="J102" s="4" t="s">
        <v>123</v>
      </c>
    </row>
    <row r="103" spans="1:10" x14ac:dyDescent="0.25">
      <c r="A103" s="4">
        <f t="shared" ca="1" si="3"/>
        <v>100</v>
      </c>
      <c r="B103" s="4" t="s">
        <v>331</v>
      </c>
      <c r="C103" s="4" t="s">
        <v>332</v>
      </c>
      <c r="D103" s="4" t="s">
        <v>121</v>
      </c>
      <c r="E103" s="4" t="s">
        <v>66</v>
      </c>
      <c r="F103" s="4">
        <v>1000</v>
      </c>
      <c r="G103" s="5">
        <v>104.43690000000001</v>
      </c>
      <c r="H103" s="5">
        <v>12.52</v>
      </c>
      <c r="I103" s="5">
        <v>1332</v>
      </c>
      <c r="J103" s="4" t="s">
        <v>123</v>
      </c>
    </row>
    <row r="104" spans="1:10" x14ac:dyDescent="0.25">
      <c r="A104" s="4">
        <f t="shared" ca="1" si="3"/>
        <v>101</v>
      </c>
      <c r="B104" s="4" t="s">
        <v>333</v>
      </c>
      <c r="C104" s="4" t="s">
        <v>334</v>
      </c>
      <c r="D104" s="4" t="s">
        <v>121</v>
      </c>
      <c r="E104" s="4" t="s">
        <v>66</v>
      </c>
      <c r="F104" s="4">
        <v>1000</v>
      </c>
      <c r="G104" s="5">
        <v>105.41510000000001</v>
      </c>
      <c r="H104" s="5">
        <v>12.52</v>
      </c>
      <c r="I104" s="5">
        <v>1668</v>
      </c>
      <c r="J104" s="4" t="s">
        <v>123</v>
      </c>
    </row>
    <row r="105" spans="1:10" x14ac:dyDescent="0.25">
      <c r="A105" s="4">
        <f t="shared" ca="1" si="3"/>
        <v>102</v>
      </c>
      <c r="B105" s="4" t="s">
        <v>335</v>
      </c>
      <c r="C105" s="4" t="s">
        <v>336</v>
      </c>
      <c r="D105" s="4" t="s">
        <v>121</v>
      </c>
      <c r="E105" s="4" t="s">
        <v>66</v>
      </c>
      <c r="F105" s="4">
        <v>1000</v>
      </c>
      <c r="G105" s="5">
        <v>102.3407</v>
      </c>
      <c r="H105" s="5">
        <v>12.43</v>
      </c>
      <c r="I105" s="5">
        <v>297</v>
      </c>
      <c r="J105" s="4" t="s">
        <v>123</v>
      </c>
    </row>
    <row r="106" spans="1:10" x14ac:dyDescent="0.25">
      <c r="A106" s="4">
        <f t="shared" ca="1" si="3"/>
        <v>103</v>
      </c>
      <c r="B106" s="4" t="s">
        <v>337</v>
      </c>
      <c r="C106" s="4" t="s">
        <v>81</v>
      </c>
      <c r="D106" s="4" t="s">
        <v>121</v>
      </c>
      <c r="E106" s="4" t="s">
        <v>66</v>
      </c>
      <c r="F106" s="4">
        <v>595.73300000000006</v>
      </c>
      <c r="G106" s="5">
        <v>65.760300000000001</v>
      </c>
      <c r="H106" s="5">
        <v>17.04</v>
      </c>
      <c r="I106" s="5">
        <v>3373</v>
      </c>
      <c r="J106" s="4" t="s">
        <v>123</v>
      </c>
    </row>
    <row r="107" spans="1:10" x14ac:dyDescent="0.25">
      <c r="A107" s="4">
        <f t="shared" ca="1" si="3"/>
        <v>104</v>
      </c>
      <c r="B107" s="4" t="s">
        <v>338</v>
      </c>
      <c r="C107" s="4" t="s">
        <v>339</v>
      </c>
      <c r="D107" s="4" t="s">
        <v>121</v>
      </c>
      <c r="E107" s="4" t="s">
        <v>66</v>
      </c>
      <c r="F107" s="4">
        <v>903.6450000000001</v>
      </c>
      <c r="G107" s="5">
        <v>96.339500000000001</v>
      </c>
      <c r="H107" s="5">
        <v>17.559999999999999</v>
      </c>
      <c r="I107" s="5">
        <v>487</v>
      </c>
      <c r="J107" s="4" t="s">
        <v>123</v>
      </c>
    </row>
    <row r="108" spans="1:10" x14ac:dyDescent="0.25">
      <c r="A108" s="4">
        <f t="shared" ca="1" si="3"/>
        <v>105</v>
      </c>
      <c r="B108" s="4" t="s">
        <v>340</v>
      </c>
      <c r="C108" s="4" t="s">
        <v>341</v>
      </c>
      <c r="D108" s="4" t="s">
        <v>121</v>
      </c>
      <c r="E108" s="4" t="s">
        <v>66</v>
      </c>
      <c r="F108" s="4">
        <v>883.245</v>
      </c>
      <c r="G108" s="5">
        <v>91.374499999999998</v>
      </c>
      <c r="H108" s="5">
        <v>17.580000000000002</v>
      </c>
      <c r="I108" s="5">
        <v>606</v>
      </c>
      <c r="J108" s="4" t="s">
        <v>123</v>
      </c>
    </row>
    <row r="109" spans="1:10" x14ac:dyDescent="0.25">
      <c r="A109" s="4">
        <f t="shared" ca="1" si="3"/>
        <v>106</v>
      </c>
      <c r="B109" s="4" t="s">
        <v>342</v>
      </c>
      <c r="C109" s="4" t="s">
        <v>343</v>
      </c>
      <c r="D109" s="4" t="s">
        <v>121</v>
      </c>
      <c r="E109" s="4" t="s">
        <v>66</v>
      </c>
      <c r="F109" s="4">
        <v>590.50900000000001</v>
      </c>
      <c r="G109" s="5">
        <v>61.288700000000006</v>
      </c>
      <c r="H109" s="5">
        <v>17</v>
      </c>
      <c r="I109" s="5">
        <v>3921</v>
      </c>
      <c r="J109" s="4" t="s">
        <v>123</v>
      </c>
    </row>
    <row r="110" spans="1:10" x14ac:dyDescent="0.25">
      <c r="A110" s="4">
        <f t="shared" ca="1" si="3"/>
        <v>107</v>
      </c>
      <c r="B110" s="4" t="s">
        <v>344</v>
      </c>
      <c r="C110" s="4" t="s">
        <v>345</v>
      </c>
      <c r="D110" s="4" t="s">
        <v>121</v>
      </c>
      <c r="E110" s="4" t="s">
        <v>66</v>
      </c>
      <c r="F110" s="4">
        <v>658.08300000000008</v>
      </c>
      <c r="G110" s="5">
        <v>70.884</v>
      </c>
      <c r="H110" s="5">
        <v>17.09</v>
      </c>
      <c r="I110" s="5">
        <v>2708</v>
      </c>
      <c r="J110" s="4" t="s">
        <v>123</v>
      </c>
    </row>
    <row r="111" spans="1:10" x14ac:dyDescent="0.25">
      <c r="A111" s="4">
        <f t="shared" ca="1" si="3"/>
        <v>108</v>
      </c>
      <c r="B111" s="4" t="s">
        <v>346</v>
      </c>
      <c r="C111" s="4" t="s">
        <v>347</v>
      </c>
      <c r="D111" s="4" t="s">
        <v>121</v>
      </c>
      <c r="E111" s="4" t="s">
        <v>66</v>
      </c>
      <c r="F111" s="4">
        <v>648.89700000000005</v>
      </c>
      <c r="G111" s="5">
        <v>69.401700000000005</v>
      </c>
      <c r="H111" s="5">
        <v>17.09</v>
      </c>
      <c r="I111" s="5">
        <v>2727</v>
      </c>
      <c r="J111" s="4" t="s">
        <v>123</v>
      </c>
    </row>
    <row r="112" spans="1:10" x14ac:dyDescent="0.25">
      <c r="A112" s="4">
        <f t="shared" ca="1" si="3"/>
        <v>109</v>
      </c>
      <c r="B112" s="4" t="s">
        <v>348</v>
      </c>
      <c r="C112" s="4" t="s">
        <v>108</v>
      </c>
      <c r="D112" s="4" t="s">
        <v>121</v>
      </c>
      <c r="E112" s="4" t="s">
        <v>66</v>
      </c>
      <c r="F112" s="4">
        <v>674.18100000000004</v>
      </c>
      <c r="G112" s="5">
        <v>72.089100000000002</v>
      </c>
      <c r="H112" s="5">
        <v>17.14</v>
      </c>
      <c r="I112" s="5">
        <v>2355</v>
      </c>
      <c r="J112" s="4" t="s">
        <v>123</v>
      </c>
    </row>
    <row r="113" spans="1:10" x14ac:dyDescent="0.25">
      <c r="A113" s="4">
        <f t="shared" ca="1" si="3"/>
        <v>110</v>
      </c>
      <c r="B113" s="4" t="s">
        <v>349</v>
      </c>
      <c r="C113" s="4" t="s">
        <v>350</v>
      </c>
      <c r="D113" s="4" t="s">
        <v>121</v>
      </c>
      <c r="E113" s="4" t="s">
        <v>66</v>
      </c>
      <c r="F113" s="4">
        <v>701.52499999999998</v>
      </c>
      <c r="G113" s="5">
        <v>74.255300000000005</v>
      </c>
      <c r="H113" s="5">
        <v>17.190000000000001</v>
      </c>
      <c r="I113" s="5">
        <v>2013</v>
      </c>
      <c r="J113" s="4" t="s">
        <v>123</v>
      </c>
    </row>
    <row r="114" spans="1:10" x14ac:dyDescent="0.25">
      <c r="A114" s="4">
        <f t="shared" ca="1" si="3"/>
        <v>111</v>
      </c>
      <c r="B114" s="4" t="s">
        <v>351</v>
      </c>
      <c r="C114" s="4" t="s">
        <v>352</v>
      </c>
      <c r="D114" s="4" t="s">
        <v>121</v>
      </c>
      <c r="E114" s="4" t="s">
        <v>66</v>
      </c>
      <c r="F114" s="4">
        <v>593.38800000000003</v>
      </c>
      <c r="G114" s="5">
        <v>65.718800000000002</v>
      </c>
      <c r="H114" s="5">
        <v>17.010000000000002</v>
      </c>
      <c r="I114" s="5">
        <v>4117</v>
      </c>
      <c r="J114" s="4" t="s">
        <v>123</v>
      </c>
    </row>
    <row r="115" spans="1:10" x14ac:dyDescent="0.25">
      <c r="A115" s="4">
        <f t="shared" ca="1" si="3"/>
        <v>112</v>
      </c>
      <c r="B115" s="4" t="s">
        <v>353</v>
      </c>
      <c r="C115" s="4" t="s">
        <v>354</v>
      </c>
      <c r="D115" s="4" t="s">
        <v>121</v>
      </c>
      <c r="E115" s="4" t="s">
        <v>66</v>
      </c>
      <c r="F115" s="4">
        <v>1000</v>
      </c>
      <c r="G115" s="5">
        <v>105.485</v>
      </c>
      <c r="H115" s="5">
        <v>12.23</v>
      </c>
      <c r="I115" s="5">
        <v>205</v>
      </c>
      <c r="J115" s="4" t="s">
        <v>123</v>
      </c>
    </row>
    <row r="116" spans="1:10" x14ac:dyDescent="0.25">
      <c r="A116" s="4">
        <f t="shared" ca="1" si="3"/>
        <v>113</v>
      </c>
      <c r="B116" s="4" t="s">
        <v>355</v>
      </c>
      <c r="C116" s="4" t="s">
        <v>114</v>
      </c>
      <c r="D116" s="4" t="s">
        <v>121</v>
      </c>
      <c r="E116" s="4" t="s">
        <v>66</v>
      </c>
      <c r="F116" s="4">
        <v>745.92499999999995</v>
      </c>
      <c r="G116" s="5">
        <v>76.341800000000006</v>
      </c>
      <c r="H116" s="5">
        <v>17.37</v>
      </c>
      <c r="I116" s="5">
        <v>1378</v>
      </c>
      <c r="J116" s="4" t="s">
        <v>123</v>
      </c>
    </row>
    <row r="117" spans="1:10" x14ac:dyDescent="0.25">
      <c r="A117" s="4">
        <f t="shared" ca="1" si="3"/>
        <v>114</v>
      </c>
      <c r="B117" s="4" t="s">
        <v>356</v>
      </c>
      <c r="C117" s="4" t="s">
        <v>357</v>
      </c>
      <c r="D117" s="4" t="s">
        <v>121</v>
      </c>
      <c r="E117" s="4" t="s">
        <v>66</v>
      </c>
      <c r="F117" s="4">
        <v>724.27600000000007</v>
      </c>
      <c r="G117" s="5">
        <v>78.2089</v>
      </c>
      <c r="H117" s="5">
        <v>17.34</v>
      </c>
      <c r="I117" s="5">
        <v>1553</v>
      </c>
      <c r="J117" s="4" t="s">
        <v>123</v>
      </c>
    </row>
    <row r="118" spans="1:10" x14ac:dyDescent="0.25">
      <c r="A118" s="4">
        <f t="shared" ca="1" si="3"/>
        <v>115</v>
      </c>
      <c r="B118" s="4" t="s">
        <v>358</v>
      </c>
      <c r="C118" s="4" t="s">
        <v>359</v>
      </c>
      <c r="D118" s="4" t="s">
        <v>121</v>
      </c>
      <c r="E118" s="4" t="s">
        <v>66</v>
      </c>
      <c r="F118" s="4">
        <v>533.18200000000002</v>
      </c>
      <c r="G118" s="5">
        <v>60.230700000000006</v>
      </c>
      <c r="H118" s="5">
        <v>16.97</v>
      </c>
      <c r="I118" s="5">
        <v>4794</v>
      </c>
      <c r="J118" s="4" t="s">
        <v>123</v>
      </c>
    </row>
    <row r="119" spans="1:10" x14ac:dyDescent="0.25">
      <c r="A119" s="4">
        <f t="shared" ca="1" si="3"/>
        <v>116</v>
      </c>
      <c r="B119" s="4" t="s">
        <v>360</v>
      </c>
      <c r="C119" s="4" t="s">
        <v>361</v>
      </c>
      <c r="D119" s="4" t="s">
        <v>121</v>
      </c>
      <c r="E119" s="4" t="s">
        <v>66</v>
      </c>
      <c r="F119" s="4">
        <v>994.32400000000007</v>
      </c>
      <c r="G119" s="5">
        <v>104.7368</v>
      </c>
      <c r="H119" s="5">
        <v>16.830000000000002</v>
      </c>
      <c r="I119" s="5">
        <v>20</v>
      </c>
      <c r="J119" s="4" t="s">
        <v>123</v>
      </c>
    </row>
    <row r="120" spans="1:10" x14ac:dyDescent="0.25">
      <c r="A120" s="4">
        <f t="shared" ca="1" si="3"/>
        <v>117</v>
      </c>
      <c r="B120" s="4" t="s">
        <v>362</v>
      </c>
      <c r="C120" s="4" t="s">
        <v>90</v>
      </c>
      <c r="D120" s="4" t="s">
        <v>121</v>
      </c>
      <c r="E120" s="4" t="s">
        <v>66</v>
      </c>
      <c r="F120" s="4">
        <v>917.69200000000001</v>
      </c>
      <c r="G120" s="5">
        <v>92.945599999999999</v>
      </c>
      <c r="H120" s="5">
        <v>17.490000000000002</v>
      </c>
      <c r="I120" s="5">
        <v>287</v>
      </c>
      <c r="J120" s="4" t="s">
        <v>123</v>
      </c>
    </row>
    <row r="121" spans="1:10" x14ac:dyDescent="0.25">
      <c r="A121" s="4">
        <f t="shared" ca="1" si="3"/>
        <v>118</v>
      </c>
      <c r="B121" s="4" t="s">
        <v>363</v>
      </c>
      <c r="C121" s="4" t="s">
        <v>73</v>
      </c>
      <c r="D121" s="4" t="s">
        <v>121</v>
      </c>
      <c r="E121" s="4" t="s">
        <v>66</v>
      </c>
      <c r="F121" s="4">
        <v>810.14400000000001</v>
      </c>
      <c r="G121" s="5">
        <v>81.25</v>
      </c>
      <c r="H121" s="5">
        <v>17.59</v>
      </c>
      <c r="I121" s="5">
        <v>714</v>
      </c>
      <c r="J121" s="4" t="s">
        <v>123</v>
      </c>
    </row>
    <row r="122" spans="1:10" x14ac:dyDescent="0.25">
      <c r="A122" s="4">
        <f t="shared" ca="1" si="3"/>
        <v>119</v>
      </c>
      <c r="B122" s="4" t="s">
        <v>364</v>
      </c>
      <c r="C122" s="4" t="s">
        <v>365</v>
      </c>
      <c r="D122" s="4" t="s">
        <v>121</v>
      </c>
      <c r="E122" s="4" t="s">
        <v>66</v>
      </c>
      <c r="F122" s="4">
        <v>745.13700000000006</v>
      </c>
      <c r="G122" s="5">
        <v>75.2012</v>
      </c>
      <c r="H122" s="5">
        <v>17.5</v>
      </c>
      <c r="I122" s="5">
        <v>1051</v>
      </c>
      <c r="J122" s="4" t="s">
        <v>123</v>
      </c>
    </row>
    <row r="123" spans="1:10" x14ac:dyDescent="0.25">
      <c r="A123" s="4">
        <f t="shared" ca="1" si="3"/>
        <v>120</v>
      </c>
      <c r="B123" s="4" t="s">
        <v>366</v>
      </c>
      <c r="C123" s="4" t="s">
        <v>367</v>
      </c>
      <c r="D123" s="4" t="s">
        <v>121</v>
      </c>
      <c r="E123" s="4" t="s">
        <v>66</v>
      </c>
      <c r="F123" s="4">
        <v>550.13099999999997</v>
      </c>
      <c r="G123" s="5">
        <v>57.332500000000003</v>
      </c>
      <c r="H123" s="5">
        <v>16.96</v>
      </c>
      <c r="I123" s="5">
        <v>5011</v>
      </c>
      <c r="J123" s="4" t="s">
        <v>123</v>
      </c>
    </row>
    <row r="124" spans="1:10" x14ac:dyDescent="0.25">
      <c r="A124" s="4">
        <f t="shared" ca="1" si="3"/>
        <v>121</v>
      </c>
      <c r="B124" s="4" t="s">
        <v>368</v>
      </c>
      <c r="C124" s="4" t="s">
        <v>369</v>
      </c>
      <c r="D124" s="4" t="s">
        <v>121</v>
      </c>
      <c r="E124" s="4" t="s">
        <v>66</v>
      </c>
      <c r="F124" s="4">
        <v>545.54500000000007</v>
      </c>
      <c r="G124" s="5">
        <v>60.343800000000002</v>
      </c>
      <c r="H124" s="5">
        <v>16.97</v>
      </c>
      <c r="I124" s="5">
        <v>5227</v>
      </c>
      <c r="J124" s="4" t="s">
        <v>123</v>
      </c>
    </row>
    <row r="125" spans="1:10" x14ac:dyDescent="0.25">
      <c r="A125" s="4">
        <f t="shared" ca="1" si="3"/>
        <v>122</v>
      </c>
      <c r="B125" s="4" t="s">
        <v>370</v>
      </c>
      <c r="C125" s="4" t="s">
        <v>93</v>
      </c>
      <c r="D125" s="4" t="s">
        <v>121</v>
      </c>
      <c r="E125" s="4" t="s">
        <v>66</v>
      </c>
      <c r="F125" s="4">
        <v>842.71699999999998</v>
      </c>
      <c r="G125" s="5">
        <v>90.841099999999997</v>
      </c>
      <c r="H125" s="5">
        <v>17.420000000000002</v>
      </c>
      <c r="I125" s="5">
        <v>1243</v>
      </c>
      <c r="J125" s="4" t="s">
        <v>123</v>
      </c>
    </row>
    <row r="126" spans="1:10" x14ac:dyDescent="0.25">
      <c r="A126" s="4">
        <f t="shared" ca="1" si="3"/>
        <v>123</v>
      </c>
      <c r="B126" s="4" t="s">
        <v>371</v>
      </c>
      <c r="C126" s="4" t="s">
        <v>372</v>
      </c>
      <c r="D126" s="4" t="s">
        <v>121</v>
      </c>
      <c r="E126" s="4" t="s">
        <v>66</v>
      </c>
      <c r="F126" s="4">
        <v>950.36</v>
      </c>
      <c r="G126" s="5">
        <v>98.119900000000001</v>
      </c>
      <c r="H126" s="5">
        <v>17.400000000000002</v>
      </c>
      <c r="I126" s="5">
        <v>241</v>
      </c>
      <c r="J126" s="4" t="s">
        <v>123</v>
      </c>
    </row>
    <row r="127" spans="1:10" x14ac:dyDescent="0.25">
      <c r="A127" s="4">
        <f t="shared" ca="1" si="3"/>
        <v>124</v>
      </c>
      <c r="B127" s="4" t="s">
        <v>373</v>
      </c>
      <c r="C127" s="4" t="s">
        <v>374</v>
      </c>
      <c r="D127" s="4" t="s">
        <v>121</v>
      </c>
      <c r="E127" s="4" t="s">
        <v>66</v>
      </c>
      <c r="F127" s="4">
        <v>1000</v>
      </c>
      <c r="G127" s="5">
        <v>111.32990000000001</v>
      </c>
      <c r="H127" s="5">
        <v>12.64</v>
      </c>
      <c r="I127" s="5">
        <v>1135</v>
      </c>
      <c r="J127" s="4" t="s">
        <v>123</v>
      </c>
    </row>
    <row r="128" spans="1:10" x14ac:dyDescent="0.25">
      <c r="A128" s="4">
        <f t="shared" ca="1" si="3"/>
        <v>125</v>
      </c>
      <c r="B128" s="4" t="s">
        <v>375</v>
      </c>
      <c r="C128" s="4" t="s">
        <v>376</v>
      </c>
      <c r="D128" s="4" t="s">
        <v>121</v>
      </c>
      <c r="E128" s="4" t="s">
        <v>66</v>
      </c>
      <c r="F128" s="4">
        <v>1000</v>
      </c>
      <c r="G128" s="5">
        <v>107.5462</v>
      </c>
      <c r="H128" s="5">
        <v>12.11</v>
      </c>
      <c r="I128" s="5">
        <v>145</v>
      </c>
      <c r="J128" s="4" t="s">
        <v>123</v>
      </c>
    </row>
    <row r="129" spans="1:10" x14ac:dyDescent="0.25">
      <c r="A129" s="4">
        <f t="shared" ca="1" si="3"/>
        <v>126</v>
      </c>
      <c r="B129" s="4" t="s">
        <v>377</v>
      </c>
      <c r="C129" s="4" t="s">
        <v>378</v>
      </c>
      <c r="D129" s="4" t="s">
        <v>121</v>
      </c>
      <c r="E129" s="4" t="s">
        <v>66</v>
      </c>
      <c r="F129" s="4">
        <v>1000</v>
      </c>
      <c r="G129" s="5">
        <v>108.62920000000001</v>
      </c>
      <c r="H129" s="5">
        <v>12.52</v>
      </c>
      <c r="I129" s="5">
        <v>1212</v>
      </c>
      <c r="J129" s="4" t="s">
        <v>123</v>
      </c>
    </row>
    <row r="130" spans="1:10" x14ac:dyDescent="0.25">
      <c r="A130" s="4">
        <f t="shared" ca="1" si="3"/>
        <v>127</v>
      </c>
      <c r="B130" s="4" t="s">
        <v>379</v>
      </c>
      <c r="C130" s="4" t="s">
        <v>380</v>
      </c>
      <c r="D130" s="4" t="s">
        <v>121</v>
      </c>
      <c r="E130" s="4" t="s">
        <v>66</v>
      </c>
      <c r="F130" s="4">
        <v>847.03</v>
      </c>
      <c r="G130" s="5">
        <v>84.935699999999997</v>
      </c>
      <c r="H130" s="5">
        <v>17.48</v>
      </c>
      <c r="I130" s="5">
        <v>1088</v>
      </c>
      <c r="J130" s="4" t="s">
        <v>123</v>
      </c>
    </row>
    <row r="131" spans="1:10" x14ac:dyDescent="0.25">
      <c r="A131" s="4">
        <f t="shared" ca="1" si="3"/>
        <v>128</v>
      </c>
      <c r="B131" s="4" t="s">
        <v>381</v>
      </c>
      <c r="C131" s="4" t="s">
        <v>382</v>
      </c>
      <c r="D131" s="4" t="s">
        <v>121</v>
      </c>
      <c r="E131" s="4" t="s">
        <v>66</v>
      </c>
      <c r="F131" s="4">
        <v>1000</v>
      </c>
      <c r="G131" s="5">
        <v>108.73400000000001</v>
      </c>
      <c r="H131" s="5">
        <v>12.49</v>
      </c>
      <c r="I131" s="5">
        <v>843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383</v>
      </c>
      <c r="C132" s="4" t="s">
        <v>384</v>
      </c>
      <c r="D132" s="4" t="s">
        <v>121</v>
      </c>
      <c r="E132" s="4" t="s">
        <v>66</v>
      </c>
      <c r="F132" s="4">
        <v>564.375</v>
      </c>
      <c r="G132" s="5">
        <v>59.355600000000003</v>
      </c>
      <c r="H132" s="5">
        <v>17.12</v>
      </c>
      <c r="I132" s="5">
        <v>2363</v>
      </c>
      <c r="J132" s="4" t="s">
        <v>123</v>
      </c>
    </row>
    <row r="133" spans="1:10" x14ac:dyDescent="0.25">
      <c r="A133" s="4">
        <f t="shared" ca="1" si="4"/>
        <v>130</v>
      </c>
      <c r="B133" s="4" t="s">
        <v>385</v>
      </c>
      <c r="C133" s="4" t="s">
        <v>386</v>
      </c>
      <c r="D133" s="4" t="s">
        <v>121</v>
      </c>
      <c r="E133" s="4" t="s">
        <v>66</v>
      </c>
      <c r="F133" s="4">
        <v>769.178</v>
      </c>
      <c r="G133" s="5">
        <v>83.435900000000004</v>
      </c>
      <c r="H133" s="5">
        <v>17.47</v>
      </c>
      <c r="I133" s="5">
        <v>1132</v>
      </c>
      <c r="J133" s="4" t="s">
        <v>123</v>
      </c>
    </row>
    <row r="134" spans="1:10" x14ac:dyDescent="0.25">
      <c r="A134" s="4">
        <f t="shared" ca="1" si="4"/>
        <v>131</v>
      </c>
      <c r="B134" s="4" t="s">
        <v>387</v>
      </c>
      <c r="C134" s="4" t="s">
        <v>388</v>
      </c>
      <c r="D134" s="4" t="s">
        <v>121</v>
      </c>
      <c r="E134" s="4" t="s">
        <v>66</v>
      </c>
      <c r="F134" s="4">
        <v>765.06600000000003</v>
      </c>
      <c r="G134" s="5">
        <v>79.242699999999999</v>
      </c>
      <c r="H134" s="5">
        <v>17.54</v>
      </c>
      <c r="I134" s="5">
        <v>896</v>
      </c>
      <c r="J134" s="4" t="s">
        <v>123</v>
      </c>
    </row>
    <row r="135" spans="1:10" x14ac:dyDescent="0.25">
      <c r="A135" s="4">
        <f t="shared" ca="1" si="4"/>
        <v>132</v>
      </c>
      <c r="B135" s="4" t="s">
        <v>389</v>
      </c>
      <c r="C135" s="4" t="s">
        <v>110</v>
      </c>
      <c r="D135" s="4" t="s">
        <v>121</v>
      </c>
      <c r="E135" s="4" t="s">
        <v>66</v>
      </c>
      <c r="F135" s="4">
        <v>750.601</v>
      </c>
      <c r="G135" s="5">
        <v>77.988900000000001</v>
      </c>
      <c r="H135" s="5">
        <v>17.13</v>
      </c>
      <c r="I135" s="5">
        <v>2456</v>
      </c>
      <c r="J135" s="4" t="s">
        <v>123</v>
      </c>
    </row>
    <row r="136" spans="1:10" x14ac:dyDescent="0.25">
      <c r="A136" s="4">
        <f t="shared" ca="1" si="4"/>
        <v>133</v>
      </c>
      <c r="B136" s="4" t="s">
        <v>390</v>
      </c>
      <c r="C136" s="4" t="s">
        <v>104</v>
      </c>
      <c r="D136" s="4" t="s">
        <v>121</v>
      </c>
      <c r="E136" s="4" t="s">
        <v>66</v>
      </c>
      <c r="F136" s="4">
        <v>821.75100000000009</v>
      </c>
      <c r="G136" s="5">
        <v>85.017700000000005</v>
      </c>
      <c r="H136" s="5">
        <v>17.37</v>
      </c>
      <c r="I136" s="5">
        <v>1362</v>
      </c>
      <c r="J136" s="4" t="s">
        <v>123</v>
      </c>
    </row>
    <row r="137" spans="1:10" x14ac:dyDescent="0.25">
      <c r="A137" s="4">
        <f t="shared" ca="1" si="4"/>
        <v>134</v>
      </c>
      <c r="B137" s="4" t="s">
        <v>391</v>
      </c>
      <c r="C137" s="4" t="s">
        <v>392</v>
      </c>
      <c r="D137" s="4" t="s">
        <v>121</v>
      </c>
      <c r="E137" s="4" t="s">
        <v>66</v>
      </c>
      <c r="F137" s="4">
        <v>1000</v>
      </c>
      <c r="G137" s="5">
        <v>101.2577</v>
      </c>
      <c r="H137" s="5">
        <v>12.56</v>
      </c>
      <c r="I137" s="5">
        <v>1790</v>
      </c>
      <c r="J137" s="4" t="s">
        <v>123</v>
      </c>
    </row>
    <row r="138" spans="1:10" x14ac:dyDescent="0.25">
      <c r="A138" s="4">
        <f t="shared" ca="1" si="4"/>
        <v>135</v>
      </c>
      <c r="B138" s="4" t="s">
        <v>393</v>
      </c>
      <c r="C138" s="4" t="s">
        <v>394</v>
      </c>
      <c r="D138" s="4" t="s">
        <v>121</v>
      </c>
      <c r="E138" s="4" t="s">
        <v>66</v>
      </c>
      <c r="F138" s="4">
        <v>1000</v>
      </c>
      <c r="G138" s="5">
        <v>110.6905</v>
      </c>
      <c r="H138" s="5">
        <v>12.55</v>
      </c>
      <c r="I138" s="5">
        <v>2246</v>
      </c>
      <c r="J138" s="4" t="s">
        <v>123</v>
      </c>
    </row>
    <row r="139" spans="1:10" x14ac:dyDescent="0.25">
      <c r="A139" s="4">
        <f t="shared" ca="1" si="4"/>
        <v>136</v>
      </c>
      <c r="B139" s="4" t="s">
        <v>395</v>
      </c>
      <c r="C139" s="4" t="s">
        <v>396</v>
      </c>
      <c r="D139" s="4" t="s">
        <v>121</v>
      </c>
      <c r="E139" s="4" t="s">
        <v>66</v>
      </c>
      <c r="F139" s="4">
        <v>1000</v>
      </c>
      <c r="G139" s="5">
        <v>101.3276</v>
      </c>
      <c r="H139" s="5">
        <v>12.56</v>
      </c>
      <c r="I139" s="5">
        <v>2153</v>
      </c>
      <c r="J139" s="4" t="s">
        <v>123</v>
      </c>
    </row>
    <row r="140" spans="1:10" x14ac:dyDescent="0.25">
      <c r="A140" s="4">
        <f t="shared" ca="1" si="4"/>
        <v>137</v>
      </c>
      <c r="B140" s="4" t="s">
        <v>397</v>
      </c>
      <c r="C140" s="4" t="s">
        <v>398</v>
      </c>
      <c r="D140" s="4" t="s">
        <v>121</v>
      </c>
      <c r="E140" s="4" t="s">
        <v>66</v>
      </c>
      <c r="F140" s="4">
        <v>907.98300000000006</v>
      </c>
      <c r="G140" s="5">
        <v>95.593900000000005</v>
      </c>
      <c r="H140" s="5">
        <v>17.57</v>
      </c>
      <c r="I140" s="5">
        <v>561</v>
      </c>
      <c r="J140" s="4" t="s">
        <v>123</v>
      </c>
    </row>
    <row r="141" spans="1:10" x14ac:dyDescent="0.25">
      <c r="A141" s="4">
        <f t="shared" ca="1" si="4"/>
        <v>138</v>
      </c>
      <c r="B141" s="4" t="s">
        <v>399</v>
      </c>
      <c r="C141" s="4" t="s">
        <v>400</v>
      </c>
      <c r="D141" s="4" t="s">
        <v>121</v>
      </c>
      <c r="E141" s="4" t="s">
        <v>66</v>
      </c>
      <c r="F141" s="4">
        <v>707.78399999999999</v>
      </c>
      <c r="G141" s="5">
        <v>79.280799999999999</v>
      </c>
      <c r="H141" s="5">
        <v>17.02</v>
      </c>
      <c r="I141" s="5">
        <v>4103</v>
      </c>
      <c r="J141" s="4" t="s">
        <v>123</v>
      </c>
    </row>
    <row r="142" spans="1:10" x14ac:dyDescent="0.25">
      <c r="A142" s="4">
        <f t="shared" ca="1" si="4"/>
        <v>139</v>
      </c>
      <c r="B142" s="4" t="s">
        <v>401</v>
      </c>
      <c r="C142" s="4" t="s">
        <v>102</v>
      </c>
      <c r="D142" s="4" t="s">
        <v>121</v>
      </c>
      <c r="E142" s="4" t="s">
        <v>66</v>
      </c>
      <c r="F142" s="4">
        <v>987.77800000000002</v>
      </c>
      <c r="G142" s="5">
        <v>101.86020000000001</v>
      </c>
      <c r="H142" s="5">
        <v>16.54</v>
      </c>
      <c r="I142" s="5">
        <v>78</v>
      </c>
      <c r="J142" s="4" t="s">
        <v>123</v>
      </c>
    </row>
    <row r="143" spans="1:10" x14ac:dyDescent="0.25">
      <c r="A143" s="4">
        <f t="shared" ca="1" si="4"/>
        <v>140</v>
      </c>
      <c r="B143" s="4" t="s">
        <v>402</v>
      </c>
      <c r="C143" s="4" t="s">
        <v>403</v>
      </c>
      <c r="D143" s="4" t="s">
        <v>121</v>
      </c>
      <c r="E143" s="4" t="s">
        <v>66</v>
      </c>
      <c r="F143" s="4">
        <v>817.90800000000002</v>
      </c>
      <c r="G143" s="5">
        <v>90.071400000000011</v>
      </c>
      <c r="H143" s="5">
        <v>17.350000000000001</v>
      </c>
      <c r="I143" s="5">
        <v>1553</v>
      </c>
      <c r="J143" s="4" t="s">
        <v>123</v>
      </c>
    </row>
    <row r="144" spans="1:10" x14ac:dyDescent="0.25">
      <c r="A144" s="4">
        <f t="shared" ca="1" si="4"/>
        <v>141</v>
      </c>
      <c r="B144" s="4" t="s">
        <v>404</v>
      </c>
      <c r="C144" s="4" t="s">
        <v>405</v>
      </c>
      <c r="D144" s="4" t="s">
        <v>121</v>
      </c>
      <c r="E144" s="4" t="s">
        <v>66</v>
      </c>
      <c r="F144" s="4">
        <v>699.24599999999998</v>
      </c>
      <c r="G144" s="5">
        <v>72.020700000000005</v>
      </c>
      <c r="H144" s="5">
        <v>17.02</v>
      </c>
      <c r="I144" s="5">
        <v>3947</v>
      </c>
      <c r="J144" s="4" t="s">
        <v>123</v>
      </c>
    </row>
    <row r="145" spans="1:10" x14ac:dyDescent="0.25">
      <c r="A145" s="4">
        <f t="shared" ca="1" si="4"/>
        <v>142</v>
      </c>
      <c r="B145" s="4" t="s">
        <v>406</v>
      </c>
      <c r="C145" s="4" t="s">
        <v>407</v>
      </c>
      <c r="D145" s="4" t="s">
        <v>121</v>
      </c>
      <c r="E145" s="4" t="s">
        <v>66</v>
      </c>
      <c r="F145" s="4">
        <v>701.07299999999998</v>
      </c>
      <c r="G145" s="5">
        <v>77.36</v>
      </c>
      <c r="H145" s="5">
        <v>17.09</v>
      </c>
      <c r="I145" s="5">
        <v>3027</v>
      </c>
      <c r="J145" s="4" t="s">
        <v>123</v>
      </c>
    </row>
    <row r="146" spans="1:10" x14ac:dyDescent="0.25">
      <c r="A146" s="4">
        <f t="shared" ca="1" si="4"/>
        <v>143</v>
      </c>
      <c r="B146" s="4" t="s">
        <v>408</v>
      </c>
      <c r="C146" s="4" t="s">
        <v>86</v>
      </c>
      <c r="D146" s="4" t="s">
        <v>121</v>
      </c>
      <c r="E146" s="4" t="s">
        <v>66</v>
      </c>
      <c r="F146" s="4">
        <v>865.44900000000007</v>
      </c>
      <c r="G146" s="5">
        <v>92.409300000000002</v>
      </c>
      <c r="H146" s="5">
        <v>17.54</v>
      </c>
      <c r="I146" s="5">
        <v>890</v>
      </c>
      <c r="J146" s="4" t="s">
        <v>123</v>
      </c>
    </row>
    <row r="147" spans="1:10" x14ac:dyDescent="0.25">
      <c r="A147" s="4">
        <f t="shared" ca="1" si="4"/>
        <v>144</v>
      </c>
      <c r="B147" s="4" t="s">
        <v>409</v>
      </c>
      <c r="C147" s="4" t="s">
        <v>410</v>
      </c>
      <c r="D147" s="4" t="s">
        <v>121</v>
      </c>
      <c r="E147" s="4" t="s">
        <v>66</v>
      </c>
      <c r="F147" s="4">
        <v>957.00800000000004</v>
      </c>
      <c r="G147" s="5">
        <v>98.355000000000004</v>
      </c>
      <c r="H147" s="5">
        <v>16.78</v>
      </c>
      <c r="I147" s="5">
        <v>273</v>
      </c>
      <c r="J147" s="4" t="s">
        <v>123</v>
      </c>
    </row>
    <row r="148" spans="1:10" x14ac:dyDescent="0.25">
      <c r="A148" s="4">
        <f t="shared" ca="1" si="4"/>
        <v>145</v>
      </c>
      <c r="B148" s="4" t="s">
        <v>411</v>
      </c>
      <c r="C148" s="4" t="s">
        <v>412</v>
      </c>
      <c r="D148" s="4" t="s">
        <v>121</v>
      </c>
      <c r="E148" s="4" t="s">
        <v>66</v>
      </c>
      <c r="F148" s="4">
        <v>691.43400000000008</v>
      </c>
      <c r="G148" s="5">
        <v>75.834400000000002</v>
      </c>
      <c r="H148" s="5">
        <v>17.03</v>
      </c>
      <c r="I148" s="5">
        <v>3413</v>
      </c>
      <c r="J148" s="4" t="s">
        <v>123</v>
      </c>
    </row>
    <row r="149" spans="1:10" x14ac:dyDescent="0.25">
      <c r="A149" s="4">
        <f t="shared" ca="1" si="4"/>
        <v>146</v>
      </c>
      <c r="B149" s="4" t="s">
        <v>413</v>
      </c>
      <c r="C149" s="4" t="s">
        <v>106</v>
      </c>
      <c r="D149" s="4" t="s">
        <v>121</v>
      </c>
      <c r="E149" s="4" t="s">
        <v>66</v>
      </c>
      <c r="F149" s="4">
        <v>767.89300000000003</v>
      </c>
      <c r="G149" s="5">
        <v>83.312600000000003</v>
      </c>
      <c r="H149" s="5">
        <v>17.21</v>
      </c>
      <c r="I149" s="5">
        <v>1959</v>
      </c>
      <c r="J149" s="4" t="s">
        <v>123</v>
      </c>
    </row>
    <row r="150" spans="1:10" x14ac:dyDescent="0.25">
      <c r="A150" s="4">
        <f t="shared" ca="1" si="4"/>
        <v>147</v>
      </c>
      <c r="B150" s="4" t="s">
        <v>414</v>
      </c>
      <c r="C150" s="4" t="s">
        <v>415</v>
      </c>
      <c r="D150" s="4" t="s">
        <v>121</v>
      </c>
      <c r="E150" s="4" t="s">
        <v>66</v>
      </c>
      <c r="F150" s="4">
        <v>733.51800000000003</v>
      </c>
      <c r="G150" s="5">
        <v>75.489800000000002</v>
      </c>
      <c r="H150" s="5">
        <v>17.09</v>
      </c>
      <c r="I150" s="5">
        <v>2849</v>
      </c>
      <c r="J150" s="4" t="s">
        <v>123</v>
      </c>
    </row>
    <row r="151" spans="1:10" x14ac:dyDescent="0.25">
      <c r="A151" s="4">
        <f t="shared" ca="1" si="4"/>
        <v>148</v>
      </c>
      <c r="B151" s="4" t="s">
        <v>416</v>
      </c>
      <c r="C151" s="4" t="s">
        <v>417</v>
      </c>
      <c r="D151" s="4" t="s">
        <v>121</v>
      </c>
      <c r="E151" s="4" t="s">
        <v>66</v>
      </c>
      <c r="F151" s="4">
        <v>976.75700000000006</v>
      </c>
      <c r="G151" s="5">
        <v>99.567599999999999</v>
      </c>
      <c r="H151" s="5">
        <v>16.830000000000002</v>
      </c>
      <c r="I151" s="5">
        <v>316</v>
      </c>
      <c r="J151" s="4" t="s">
        <v>123</v>
      </c>
    </row>
    <row r="152" spans="1:10" x14ac:dyDescent="0.25">
      <c r="A152" s="4">
        <f t="shared" ca="1" si="4"/>
        <v>149</v>
      </c>
      <c r="B152" s="4" t="s">
        <v>418</v>
      </c>
      <c r="C152" s="4" t="s">
        <v>419</v>
      </c>
      <c r="D152" s="4" t="s">
        <v>121</v>
      </c>
      <c r="E152" s="4" t="s">
        <v>66</v>
      </c>
      <c r="F152" s="4">
        <v>974.42600000000004</v>
      </c>
      <c r="G152" s="5">
        <v>104.5633</v>
      </c>
      <c r="H152" s="5">
        <v>16.87</v>
      </c>
      <c r="I152" s="5">
        <v>744</v>
      </c>
      <c r="J152" s="4" t="s">
        <v>123</v>
      </c>
    </row>
    <row r="153" spans="1:10" x14ac:dyDescent="0.25">
      <c r="A153" s="4">
        <f t="shared" ca="1" si="4"/>
        <v>150</v>
      </c>
      <c r="B153" s="4" t="s">
        <v>420</v>
      </c>
      <c r="C153" s="4" t="s">
        <v>421</v>
      </c>
      <c r="D153" s="4" t="s">
        <v>121</v>
      </c>
      <c r="E153" s="4" t="s">
        <v>66</v>
      </c>
      <c r="F153" s="4">
        <v>878.63600000000008</v>
      </c>
      <c r="G153" s="5">
        <v>94.319200000000009</v>
      </c>
      <c r="H153" s="5">
        <v>17.16</v>
      </c>
      <c r="I153" s="5">
        <v>2388</v>
      </c>
      <c r="J153" s="4" t="s">
        <v>123</v>
      </c>
    </row>
    <row r="154" spans="1:10" x14ac:dyDescent="0.25">
      <c r="A154" s="4">
        <f t="shared" ca="1" si="4"/>
        <v>151</v>
      </c>
      <c r="B154" s="4" t="s">
        <v>422</v>
      </c>
      <c r="C154" s="4" t="s">
        <v>423</v>
      </c>
      <c r="D154" s="4" t="s">
        <v>121</v>
      </c>
      <c r="E154" s="4" t="s">
        <v>66</v>
      </c>
      <c r="F154" s="4">
        <v>946.86300000000006</v>
      </c>
      <c r="G154" s="5">
        <v>104.9713</v>
      </c>
      <c r="H154" s="5">
        <v>17.420000000000002</v>
      </c>
      <c r="I154" s="5">
        <v>1215</v>
      </c>
      <c r="J154" s="4" t="s">
        <v>123</v>
      </c>
    </row>
    <row r="155" spans="1:10" x14ac:dyDescent="0.25">
      <c r="A155" s="4">
        <f t="shared" ca="1" si="4"/>
        <v>152</v>
      </c>
      <c r="B155" s="4" t="s">
        <v>424</v>
      </c>
      <c r="C155" s="4" t="s">
        <v>425</v>
      </c>
      <c r="D155" s="4" t="s">
        <v>121</v>
      </c>
      <c r="E155" s="4" t="s">
        <v>66</v>
      </c>
      <c r="F155" s="4">
        <v>1000</v>
      </c>
      <c r="G155" s="5">
        <v>102.6922</v>
      </c>
      <c r="H155" s="5">
        <v>17.21</v>
      </c>
      <c r="I155" s="5">
        <v>309</v>
      </c>
      <c r="J155" s="4" t="s">
        <v>123</v>
      </c>
    </row>
    <row r="156" spans="1:10" x14ac:dyDescent="0.25">
      <c r="A156" s="4">
        <f t="shared" ca="1" si="4"/>
        <v>153</v>
      </c>
      <c r="B156" s="4" t="s">
        <v>426</v>
      </c>
      <c r="C156" s="4" t="s">
        <v>67</v>
      </c>
      <c r="D156" s="4" t="s">
        <v>121</v>
      </c>
      <c r="E156" s="4" t="s">
        <v>66</v>
      </c>
      <c r="F156" s="4">
        <v>888.25900000000001</v>
      </c>
      <c r="G156" s="5">
        <v>95.553700000000006</v>
      </c>
      <c r="H156" s="5">
        <v>17.21</v>
      </c>
      <c r="I156" s="5">
        <v>2015</v>
      </c>
      <c r="J156" s="4" t="s">
        <v>123</v>
      </c>
    </row>
    <row r="157" spans="1:10" x14ac:dyDescent="0.25">
      <c r="A157" s="4">
        <f t="shared" ca="1" si="4"/>
        <v>154</v>
      </c>
      <c r="B157" s="4" t="s">
        <v>427</v>
      </c>
      <c r="C157" s="4" t="s">
        <v>428</v>
      </c>
      <c r="D157" s="4" t="s">
        <v>121</v>
      </c>
      <c r="E157" s="4" t="s">
        <v>66</v>
      </c>
      <c r="F157" s="4">
        <v>982.34</v>
      </c>
      <c r="G157" s="5">
        <v>103.23750000000001</v>
      </c>
      <c r="H157" s="5">
        <v>16.7</v>
      </c>
      <c r="I157" s="5">
        <v>232</v>
      </c>
      <c r="J157" s="4" t="s">
        <v>123</v>
      </c>
    </row>
    <row r="158" spans="1:10" x14ac:dyDescent="0.25">
      <c r="A158" s="4">
        <f t="shared" ca="1" si="4"/>
        <v>155</v>
      </c>
      <c r="B158" s="4" t="s">
        <v>429</v>
      </c>
      <c r="C158" s="4" t="s">
        <v>76</v>
      </c>
      <c r="D158" s="4" t="s">
        <v>121</v>
      </c>
      <c r="E158" s="4" t="s">
        <v>66</v>
      </c>
      <c r="F158" s="4">
        <v>888.35900000000004</v>
      </c>
      <c r="G158" s="5">
        <v>94.856700000000004</v>
      </c>
      <c r="H158" s="5">
        <v>17.12</v>
      </c>
      <c r="I158" s="5">
        <v>2770</v>
      </c>
      <c r="J158" s="4" t="s">
        <v>123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121</v>
      </c>
      <c r="E159" s="4" t="s">
        <v>66</v>
      </c>
      <c r="F159" s="4">
        <v>824.68</v>
      </c>
      <c r="G159" s="5">
        <v>90.901300000000006</v>
      </c>
      <c r="H159" s="5">
        <v>17.25</v>
      </c>
      <c r="I159" s="5">
        <v>1936</v>
      </c>
      <c r="J159" s="4" t="s">
        <v>123</v>
      </c>
    </row>
    <row r="160" spans="1:10" x14ac:dyDescent="0.25">
      <c r="A160" s="4">
        <f t="shared" ca="1" si="4"/>
        <v>157</v>
      </c>
      <c r="B160" s="4" t="s">
        <v>432</v>
      </c>
      <c r="C160" s="4" t="s">
        <v>99</v>
      </c>
      <c r="D160" s="4" t="s">
        <v>121</v>
      </c>
      <c r="E160" s="4" t="s">
        <v>66</v>
      </c>
      <c r="F160" s="4">
        <v>1007.499</v>
      </c>
      <c r="G160" s="5">
        <v>104.9079</v>
      </c>
      <c r="H160" s="5">
        <v>16.7</v>
      </c>
      <c r="I160" s="5">
        <v>1372</v>
      </c>
      <c r="J160" s="4" t="s">
        <v>123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121</v>
      </c>
      <c r="E161" s="4" t="s">
        <v>66</v>
      </c>
      <c r="F161" s="4">
        <v>886.77700000000004</v>
      </c>
      <c r="G161" s="5">
        <v>98.304100000000005</v>
      </c>
      <c r="H161" s="5">
        <v>17.080000000000002</v>
      </c>
      <c r="I161" s="5">
        <v>3044</v>
      </c>
      <c r="J161" s="4" t="s">
        <v>123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121</v>
      </c>
      <c r="E162" s="4" t="s">
        <v>66</v>
      </c>
      <c r="F162" s="4">
        <v>902.63700000000006</v>
      </c>
      <c r="G162" s="5">
        <v>99.956500000000005</v>
      </c>
      <c r="H162" s="5">
        <v>17.170000000000002</v>
      </c>
      <c r="I162" s="5">
        <v>2314</v>
      </c>
      <c r="J162" s="4" t="s">
        <v>123</v>
      </c>
    </row>
    <row r="163" spans="1:10" x14ac:dyDescent="0.25">
      <c r="A163" s="4">
        <f t="shared" ca="1" si="4"/>
        <v>160</v>
      </c>
      <c r="B163" s="4" t="s">
        <v>437</v>
      </c>
      <c r="C163" s="4" t="s">
        <v>438</v>
      </c>
      <c r="D163" s="4" t="s">
        <v>121</v>
      </c>
      <c r="E163" s="4" t="s">
        <v>66</v>
      </c>
      <c r="F163" s="4">
        <v>850.25400000000002</v>
      </c>
      <c r="G163" s="5">
        <v>91.409599999999998</v>
      </c>
      <c r="H163" s="5">
        <v>17</v>
      </c>
      <c r="I163" s="5">
        <v>4582</v>
      </c>
      <c r="J163" s="4" t="s">
        <v>123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439</v>
      </c>
      <c r="C164" s="4" t="s">
        <v>440</v>
      </c>
      <c r="D164" s="4" t="s">
        <v>121</v>
      </c>
      <c r="E164" s="4" t="s">
        <v>66</v>
      </c>
      <c r="F164" s="4">
        <v>1000</v>
      </c>
      <c r="G164" s="5">
        <v>108.9983</v>
      </c>
      <c r="H164" s="5">
        <v>15</v>
      </c>
      <c r="I164" s="5">
        <v>1973</v>
      </c>
      <c r="J164" s="4" t="s">
        <v>123</v>
      </c>
    </row>
    <row r="165" spans="1:10" x14ac:dyDescent="0.25">
      <c r="A165" s="4">
        <f t="shared" ca="1" si="5"/>
        <v>162</v>
      </c>
      <c r="B165" s="4" t="s">
        <v>441</v>
      </c>
      <c r="C165" s="4" t="s">
        <v>83</v>
      </c>
      <c r="D165" s="4" t="s">
        <v>121</v>
      </c>
      <c r="E165" s="4" t="s">
        <v>66</v>
      </c>
      <c r="F165" s="4">
        <v>844.67700000000002</v>
      </c>
      <c r="G165" s="5">
        <v>92.40100000000001</v>
      </c>
      <c r="H165" s="5">
        <v>17.3</v>
      </c>
      <c r="I165" s="5">
        <v>1584</v>
      </c>
      <c r="J165" s="4" t="s">
        <v>123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121</v>
      </c>
      <c r="E166" s="4" t="s">
        <v>66</v>
      </c>
      <c r="F166" s="4">
        <v>91.929500000000004</v>
      </c>
      <c r="G166" s="5">
        <v>91.929500000000004</v>
      </c>
      <c r="H166" s="5">
        <v>16.78</v>
      </c>
      <c r="I166" s="5">
        <v>192</v>
      </c>
      <c r="J166" s="4" t="s">
        <v>123</v>
      </c>
    </row>
    <row r="167" spans="1:10" x14ac:dyDescent="0.25">
      <c r="A167" s="4">
        <f t="shared" ca="1" si="5"/>
        <v>164</v>
      </c>
      <c r="B167" s="4" t="s">
        <v>444</v>
      </c>
      <c r="C167" s="4" t="s">
        <v>117</v>
      </c>
      <c r="D167" s="4" t="s">
        <v>121</v>
      </c>
      <c r="E167" s="4" t="s">
        <v>66</v>
      </c>
      <c r="F167" s="4">
        <v>96.021900000000002</v>
      </c>
      <c r="G167" s="5">
        <v>96.021900000000002</v>
      </c>
      <c r="H167" s="5">
        <v>16.260000000000002</v>
      </c>
      <c r="I167" s="5">
        <v>94</v>
      </c>
      <c r="J167" s="4" t="s">
        <v>123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121</v>
      </c>
      <c r="E168" s="4" t="s">
        <v>66</v>
      </c>
      <c r="F168" s="4">
        <v>859.31600000000003</v>
      </c>
      <c r="G168" s="5">
        <v>96.120500000000007</v>
      </c>
      <c r="H168" s="5">
        <v>17.080000000000002</v>
      </c>
      <c r="I168" s="5">
        <v>3388</v>
      </c>
      <c r="J168" s="4" t="s">
        <v>123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121</v>
      </c>
      <c r="E169" s="4" t="s">
        <v>66</v>
      </c>
      <c r="F169" s="4">
        <v>0.9896879999999999</v>
      </c>
      <c r="G169" s="5">
        <v>99.309300000000007</v>
      </c>
      <c r="H169" s="5">
        <v>4.8500000000000005</v>
      </c>
      <c r="I169" s="5">
        <v>3443</v>
      </c>
      <c r="J169" s="4" t="s">
        <v>123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121</v>
      </c>
      <c r="E170" s="4" t="s">
        <v>66</v>
      </c>
      <c r="F170" s="4">
        <v>1011.3190000000001</v>
      </c>
      <c r="G170" s="5">
        <v>102.3561</v>
      </c>
      <c r="H170" s="5">
        <v>16.59</v>
      </c>
      <c r="I170" s="5">
        <v>1800</v>
      </c>
      <c r="J170" s="4" t="s">
        <v>123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126</v>
      </c>
      <c r="E171" s="4" t="s">
        <v>453</v>
      </c>
      <c r="F171" s="4">
        <v>343.87</v>
      </c>
      <c r="G171" s="5"/>
      <c r="H171" s="5"/>
      <c r="I171" s="5"/>
      <c r="J171" s="4" t="s">
        <v>128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126</v>
      </c>
      <c r="E172" s="4" t="s">
        <v>453</v>
      </c>
      <c r="F172" s="4">
        <v>26.66</v>
      </c>
      <c r="G172" s="5"/>
      <c r="H172" s="5"/>
      <c r="I172" s="5"/>
      <c r="J172" s="4" t="s">
        <v>149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126</v>
      </c>
      <c r="E173" s="4" t="s">
        <v>458</v>
      </c>
      <c r="F173" s="4">
        <v>842.92</v>
      </c>
      <c r="G173" s="5"/>
      <c r="H173" s="5"/>
      <c r="I173" s="5"/>
      <c r="J173" s="4" t="s">
        <v>128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121</v>
      </c>
      <c r="E174" s="4" t="s">
        <v>461</v>
      </c>
      <c r="F174" s="4">
        <v>0.87064699999999995</v>
      </c>
      <c r="G174" s="5">
        <v>88.531500000000008</v>
      </c>
      <c r="H174" s="5">
        <v>5.72</v>
      </c>
      <c r="I174" s="5">
        <v>2009</v>
      </c>
      <c r="J174" s="4" t="s">
        <v>123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121</v>
      </c>
      <c r="E175" s="4" t="s">
        <v>461</v>
      </c>
      <c r="F175" s="4">
        <v>1001.822</v>
      </c>
      <c r="G175" s="5">
        <v>100.35720000000001</v>
      </c>
      <c r="H175" s="5">
        <v>5.2</v>
      </c>
      <c r="I175" s="5">
        <v>1449</v>
      </c>
      <c r="J175" s="4" t="s">
        <v>123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126</v>
      </c>
      <c r="E176" s="4" t="s">
        <v>466</v>
      </c>
      <c r="F176" s="4">
        <v>29885.9</v>
      </c>
      <c r="G176" s="5"/>
      <c r="H176" s="5"/>
      <c r="I176" s="5"/>
      <c r="J176" s="4" t="s">
        <v>128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126</v>
      </c>
      <c r="E177" s="4" t="s">
        <v>469</v>
      </c>
      <c r="F177" s="4">
        <v>41565.770000000004</v>
      </c>
      <c r="G177" s="5"/>
      <c r="H177" s="5"/>
      <c r="I177" s="5"/>
      <c r="J177" s="4" t="s">
        <v>128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126</v>
      </c>
      <c r="E178" s="4" t="s">
        <v>469</v>
      </c>
      <c r="F178" s="4">
        <v>76.489999999999995</v>
      </c>
      <c r="G178" s="5"/>
      <c r="H178" s="5"/>
      <c r="I178" s="5"/>
      <c r="J178" s="4" t="s">
        <v>149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121</v>
      </c>
      <c r="E179" s="4" t="s">
        <v>474</v>
      </c>
      <c r="F179" s="4">
        <v>1000.133</v>
      </c>
      <c r="G179" s="5">
        <v>101.4911</v>
      </c>
      <c r="H179" s="5">
        <v>18.98</v>
      </c>
      <c r="I179" s="5">
        <v>1798</v>
      </c>
      <c r="J179" s="4" t="s">
        <v>123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121</v>
      </c>
      <c r="E180" s="4" t="s">
        <v>474</v>
      </c>
      <c r="F180" s="4">
        <v>1000.133</v>
      </c>
      <c r="G180" s="5">
        <v>101.4911</v>
      </c>
      <c r="H180" s="5">
        <v>18.98</v>
      </c>
      <c r="I180" s="5">
        <v>1798</v>
      </c>
      <c r="J180" s="4" t="s">
        <v>123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121</v>
      </c>
      <c r="E181" s="4" t="s">
        <v>479</v>
      </c>
      <c r="F181" s="4">
        <v>99.9726</v>
      </c>
      <c r="G181" s="5">
        <v>101.46980000000001</v>
      </c>
      <c r="H181" s="5">
        <v>11</v>
      </c>
      <c r="I181" s="5">
        <v>316</v>
      </c>
      <c r="J181" s="4" t="s">
        <v>123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126</v>
      </c>
      <c r="E182" s="4" t="s">
        <v>482</v>
      </c>
      <c r="F182" s="4">
        <v>6.63</v>
      </c>
      <c r="G182" s="5"/>
      <c r="H182" s="5"/>
      <c r="I182" s="5"/>
      <c r="J182" s="4" t="s">
        <v>149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126</v>
      </c>
      <c r="E183" s="4" t="s">
        <v>482</v>
      </c>
      <c r="F183" s="4">
        <v>861.84</v>
      </c>
      <c r="G183" s="5"/>
      <c r="H183" s="5"/>
      <c r="I183" s="5"/>
      <c r="J183" s="4" t="s">
        <v>128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121</v>
      </c>
      <c r="E184" s="4" t="s">
        <v>95</v>
      </c>
      <c r="F184" s="4">
        <v>0.99803399999999998</v>
      </c>
      <c r="G184" s="5">
        <v>100.5184</v>
      </c>
      <c r="H184" s="5">
        <v>6.24</v>
      </c>
      <c r="I184" s="5">
        <v>136</v>
      </c>
      <c r="J184" s="4" t="s">
        <v>123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121</v>
      </c>
      <c r="E185" s="4" t="s">
        <v>95</v>
      </c>
      <c r="F185" s="4">
        <v>1000</v>
      </c>
      <c r="G185" s="5">
        <v>102.0301</v>
      </c>
      <c r="H185" s="5">
        <v>18.96</v>
      </c>
      <c r="I185" s="5">
        <v>874</v>
      </c>
      <c r="J185" s="4" t="s">
        <v>123</v>
      </c>
    </row>
    <row r="186" spans="1:10" x14ac:dyDescent="0.25">
      <c r="A186" s="4">
        <f t="shared" ca="1" si="5"/>
        <v>183</v>
      </c>
      <c r="B186" s="4" t="s">
        <v>489</v>
      </c>
      <c r="C186" s="4" t="s">
        <v>96</v>
      </c>
      <c r="D186" s="4" t="s">
        <v>121</v>
      </c>
      <c r="E186" s="4" t="s">
        <v>95</v>
      </c>
      <c r="F186" s="4">
        <v>943.80112765491606</v>
      </c>
      <c r="G186" s="5">
        <v>96.842912769999998</v>
      </c>
      <c r="H186" s="5">
        <v>18.059999999999999</v>
      </c>
      <c r="I186" s="5">
        <v>668</v>
      </c>
      <c r="J186" s="4" t="s">
        <v>123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121</v>
      </c>
      <c r="E187" s="4" t="s">
        <v>95</v>
      </c>
      <c r="F187" s="4">
        <v>1000</v>
      </c>
      <c r="G187" s="5">
        <v>103.7479</v>
      </c>
      <c r="H187" s="5">
        <v>18.95</v>
      </c>
      <c r="I187" s="5">
        <v>843</v>
      </c>
      <c r="J187" s="4" t="s">
        <v>123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121</v>
      </c>
      <c r="E188" s="4" t="s">
        <v>494</v>
      </c>
      <c r="F188" s="4">
        <v>1.0111219999999999</v>
      </c>
      <c r="G188" s="5">
        <v>101.5514</v>
      </c>
      <c r="H188" s="5">
        <v>4.4000000000000004</v>
      </c>
      <c r="I188" s="5">
        <v>1792</v>
      </c>
      <c r="J188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2025-11-06T04:58:58Z</dcterms:created>
  <dcterms:modified xsi:type="dcterms:W3CDTF">2025-11-06T07:21:46Z</dcterms:modified>
</cp:coreProperties>
</file>