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669D3C98-9B95-4570-AD39-2DB5E85A3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M10" i="1"/>
  <c r="Q1" i="1"/>
  <c r="M22" i="1" s="1"/>
  <c r="M11" i="1" l="1"/>
  <c r="M19" i="1"/>
  <c r="M14" i="1"/>
  <c r="M21" i="1"/>
  <c r="M9" i="1"/>
  <c r="M15" i="1"/>
  <c r="M24" i="1"/>
  <c r="M20" i="1"/>
  <c r="M16" i="1"/>
  <c r="M12" i="1"/>
  <c r="M8" i="1"/>
  <c r="M13" i="1"/>
  <c r="M18" i="1"/>
  <c r="M23" i="1"/>
  <c r="M26" i="1" l="1"/>
</calcChain>
</file>

<file path=xl/sharedStrings.xml><?xml version="1.0" encoding="utf-8"?>
<sst xmlns="http://schemas.openxmlformats.org/spreadsheetml/2006/main" count="1105" uniqueCount="495">
  <si>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</si>
  <si>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</si>
  <si>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</si>
  <si>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</si>
  <si>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</si>
  <si>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</si>
  <si>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</si>
  <si>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</si>
  <si>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</si>
  <si>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</si>
  <si>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</si>
  <si>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</si>
  <si>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</si>
  <si>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</si>
  <si>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</si>
  <si>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</si>
  <si>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</si>
  <si>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</si>
  <si>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</si>
  <si>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</si>
  <si>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</si>
  <si>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</si>
  <si>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</si>
  <si>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</si>
  <si>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</si>
  <si>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</si>
  <si>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</si>
  <si>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</si>
  <si>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</si>
  <si>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</si>
  <si>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</si>
  <si>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</si>
  <si>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</si>
  <si>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</si>
  <si>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</si>
  <si>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</si>
  <si>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</si>
  <si>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</si>
  <si>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</si>
  <si>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</si>
  <si>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</si>
  <si>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</si>
  <si>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</si>
  <si>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</si>
  <si>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</si>
  <si>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</si>
  <si>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</si>
  <si>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</si>
  <si>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</si>
  <si>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</si>
  <si>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</si>
  <si>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</si>
  <si>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</si>
  <si>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</si>
  <si>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</si>
  <si>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</si>
  <si>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</si>
  <si>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</si>
  <si>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</si>
  <si>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</si>
  <si>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</si>
  <si>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</si>
  <si>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</si>
  <si>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</si>
  <si>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</si>
  <si>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</si>
  <si>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</si>
  <si>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</si>
  <si>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</si>
  <si>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27.11.2025</t>
  </si>
  <si>
    <t>28.11.2025</t>
  </si>
  <si>
    <t>XS1120709826</t>
  </si>
  <si>
    <t>KZKD00000758</t>
  </si>
  <si>
    <t>Евразийский банк развития</t>
  </si>
  <si>
    <t>KZ2D00010766</t>
  </si>
  <si>
    <t>01.12.2025</t>
  </si>
  <si>
    <t>KZ96601A861038102391</t>
  </si>
  <si>
    <t>KZKD00000832</t>
  </si>
  <si>
    <t>18.07.2024</t>
  </si>
  <si>
    <t>29.01.2035</t>
  </si>
  <si>
    <t>KZKD00001251</t>
  </si>
  <si>
    <t>13.03.2025</t>
  </si>
  <si>
    <t>07.03.2030</t>
  </si>
  <si>
    <t>KZKD00001087</t>
  </si>
  <si>
    <t>31.03.2029</t>
  </si>
  <si>
    <t>KZKD00001152</t>
  </si>
  <si>
    <t>26.07.2032</t>
  </si>
  <si>
    <t>KZKD00000949</t>
  </si>
  <si>
    <t>16.04.2032</t>
  </si>
  <si>
    <t>KZKD00000790</t>
  </si>
  <si>
    <t>10.07.2025</t>
  </si>
  <si>
    <t>13.08.2029</t>
  </si>
  <si>
    <t>KZKD00000477</t>
  </si>
  <si>
    <t>24.07.2025</t>
  </si>
  <si>
    <t>19.10.2027</t>
  </si>
  <si>
    <t>KZKD00001129</t>
  </si>
  <si>
    <t>17.03.2031</t>
  </si>
  <si>
    <t>KZKD00000444</t>
  </si>
  <si>
    <t>21.08.2025</t>
  </si>
  <si>
    <t>18.08.2026</t>
  </si>
  <si>
    <t>KZKD00000535</t>
  </si>
  <si>
    <t>27.03.2027</t>
  </si>
  <si>
    <t>KZK100000373</t>
  </si>
  <si>
    <t>06.02.2026</t>
  </si>
  <si>
    <t>KZKD00001160</t>
  </si>
  <si>
    <t>28.07.2029</t>
  </si>
  <si>
    <t>KZK200000760</t>
  </si>
  <si>
    <t>14.08.2025</t>
  </si>
  <si>
    <t>07.08.2029</t>
  </si>
  <si>
    <t>KZKD00001137</t>
  </si>
  <si>
    <t>12.04.2028</t>
  </si>
  <si>
    <t>KZ2D00011863</t>
  </si>
  <si>
    <t>24.09.2024</t>
  </si>
  <si>
    <t>03.09.2027</t>
  </si>
  <si>
    <t>KZK200000687</t>
  </si>
  <si>
    <t>21.01.2026</t>
  </si>
  <si>
    <t>KZKD00000741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</si>
  <si>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</si>
  <si>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</si>
  <si>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</si>
  <si>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</si>
  <si>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</si>
  <si>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</si>
  <si>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</si>
  <si>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</si>
  <si>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</si>
  <si>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</si>
  <si>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</si>
  <si>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</si>
  <si>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</si>
  <si>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</si>
  <si>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</si>
  <si>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</si>
  <si>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</si>
  <si>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</si>
  <si>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</si>
  <si>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</si>
  <si>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</si>
  <si>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</si>
  <si>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</si>
  <si>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</si>
  <si>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</si>
  <si>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</si>
  <si>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</si>
  <si>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</si>
  <si>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</si>
  <si>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</si>
  <si>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</si>
  <si>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</si>
  <si>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</si>
  <si>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</si>
  <si>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</si>
  <si>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</si>
  <si>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</si>
  <si>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</si>
  <si>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</si>
  <si>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</si>
  <si>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</si>
  <si>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</si>
  <si>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</si>
  <si>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</si>
  <si>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</si>
  <si>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</si>
  <si>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</si>
  <si>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</si>
  <si>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</si>
  <si>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</si>
  <si>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</si>
  <si>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</si>
  <si>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MFDGb1</t>
  </si>
  <si>
    <t>KZ2P00012677</t>
  </si>
  <si>
    <t>MFMOb20</t>
  </si>
  <si>
    <t>KZ2P00013469</t>
  </si>
  <si>
    <t>KASAb1</t>
  </si>
  <si>
    <t>KZ2C00013753</t>
  </si>
  <si>
    <t>MFSCb8</t>
  </si>
  <si>
    <t>KZ2P00015712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</si>
  <si>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</si>
  <si>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</si>
  <si>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</si>
  <si>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</si>
  <si>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</si>
  <si>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</si>
  <si>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</si>
  <si>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</si>
  <si>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</si>
  <si>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</si>
  <si>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</si>
  <si>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</si>
  <si>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MFSFb4</t>
  </si>
  <si>
    <t>KZ2P00015316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</si>
  <si>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</si>
  <si>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</si>
  <si>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</si>
  <si>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</si>
  <si>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</si>
  <si>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</si>
  <si>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</si>
  <si>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</si>
  <si>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</si>
  <si>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</si>
  <si>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</si>
  <si>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</si>
  <si>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</si>
  <si>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</si>
  <si>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</si>
  <si>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</si>
  <si>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</si>
  <si>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</si>
  <si>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</si>
  <si>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</si>
  <si>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</si>
  <si>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</si>
  <si>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</si>
  <si>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</si>
  <si>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</si>
  <si>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</si>
  <si>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</si>
  <si>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</si>
  <si>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</si>
  <si>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</si>
  <si>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</si>
  <si>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</si>
  <si>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</si>
  <si>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</si>
  <si>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</si>
  <si>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MFMOb15</t>
  </si>
  <si>
    <t>KZ2P00013295</t>
  </si>
  <si>
    <t>MFDFb3</t>
  </si>
  <si>
    <t>KZ2P00013840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</si>
  <si>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</si>
  <si>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</si>
  <si>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</si>
  <si>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</si>
  <si>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</si>
  <si>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</si>
  <si>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</si>
  <si>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</si>
  <si>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MFLGb18</t>
  </si>
  <si>
    <t>KZ2P00014269</t>
  </si>
  <si>
    <t>MFMCb2</t>
  </si>
  <si>
    <t>KZ2P00011968</t>
  </si>
  <si>
    <t>MFRFb19</t>
  </si>
  <si>
    <t>KZ2P00014004</t>
  </si>
  <si>
    <t>BIGDb6</t>
  </si>
  <si>
    <t>KZ2D00015328</t>
  </si>
  <si>
    <t>CLSGb8</t>
  </si>
  <si>
    <t>KZ2P00015506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</si>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</sst>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3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26411979853.413258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8.07</v>
      </c>
      <c r="F8" s="19" t="s">
        <v>78</v>
      </c>
      <c r="G8" s="19" t="s">
        <v>79</v>
      </c>
      <c r="H8" s="18">
        <v>1338524962.5</v>
      </c>
      <c r="I8" s="20">
        <v>61.061</v>
      </c>
      <c r="J8" s="20">
        <v>67.763599999999997</v>
      </c>
      <c r="K8" s="18">
        <v>127181518.75</v>
      </c>
      <c r="L8" s="18">
        <v>1285813993.75</v>
      </c>
      <c r="M8" s="21">
        <f t="shared" ref="M8:M24" si="0">L8/$Q$1</f>
        <v>4.8682984043084992E-2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550000</v>
      </c>
      <c r="D9" s="17">
        <v>550000000</v>
      </c>
      <c r="E9" s="18">
        <v>12</v>
      </c>
      <c r="F9" s="19" t="s">
        <v>81</v>
      </c>
      <c r="G9" s="19" t="s">
        <v>82</v>
      </c>
      <c r="H9" s="18">
        <v>491343050</v>
      </c>
      <c r="I9" s="20">
        <v>86.552800000000005</v>
      </c>
      <c r="J9" s="20">
        <v>95.252800000000008</v>
      </c>
      <c r="K9" s="18">
        <v>47849999.999999993</v>
      </c>
      <c r="L9" s="18">
        <v>523890400</v>
      </c>
      <c r="M9" s="21">
        <f t="shared" si="0"/>
        <v>1.9835332410050165E-2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11</v>
      </c>
      <c r="F10" s="19" t="s">
        <v>78</v>
      </c>
      <c r="G10" s="19" t="s">
        <v>84</v>
      </c>
      <c r="H10" s="18">
        <v>1743261712.5</v>
      </c>
      <c r="I10" s="20">
        <v>86.309100000000001</v>
      </c>
      <c r="J10" s="20">
        <v>93.581299999999999</v>
      </c>
      <c r="K10" s="18">
        <v>137990416.66666701</v>
      </c>
      <c r="L10" s="18">
        <v>1775705589.166666</v>
      </c>
      <c r="M10" s="21">
        <f t="shared" si="0"/>
        <v>6.7231067077206982E-2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10.65</v>
      </c>
      <c r="F11" s="19" t="s">
        <v>78</v>
      </c>
      <c r="G11" s="19" t="s">
        <v>86</v>
      </c>
      <c r="H11" s="18">
        <v>1648500562.5</v>
      </c>
      <c r="I11" s="20">
        <v>76.89800000000001</v>
      </c>
      <c r="J11" s="20">
        <v>80.507199999999997</v>
      </c>
      <c r="K11" s="18">
        <v>68483937.5</v>
      </c>
      <c r="L11" s="18">
        <v>1527623487.5</v>
      </c>
      <c r="M11" s="21">
        <f t="shared" si="0"/>
        <v>5.7838280052397627E-2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8.4499999999999993</v>
      </c>
      <c r="F12" s="19" t="s">
        <v>78</v>
      </c>
      <c r="G12" s="19" t="s">
        <v>88</v>
      </c>
      <c r="H12" s="18">
        <v>1457889097.496666</v>
      </c>
      <c r="I12" s="20">
        <v>69.194100000000006</v>
      </c>
      <c r="J12" s="20">
        <v>74.404899999999998</v>
      </c>
      <c r="K12" s="18">
        <v>98875562.5</v>
      </c>
      <c r="L12" s="18">
        <v>1411833610</v>
      </c>
      <c r="M12" s="21">
        <f t="shared" si="0"/>
        <v>5.3454289221621785E-2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2469500</v>
      </c>
      <c r="D13" s="17">
        <v>2469500000</v>
      </c>
      <c r="E13" s="18">
        <v>7.68</v>
      </c>
      <c r="F13" s="19" t="s">
        <v>90</v>
      </c>
      <c r="G13" s="19" t="s">
        <v>91</v>
      </c>
      <c r="H13" s="18">
        <v>1827657194</v>
      </c>
      <c r="I13" s="20">
        <v>76.593900000000005</v>
      </c>
      <c r="J13" s="20">
        <v>78.8339</v>
      </c>
      <c r="K13" s="18">
        <v>55316800</v>
      </c>
      <c r="L13" s="18">
        <v>1946803160.5</v>
      </c>
      <c r="M13" s="21">
        <f t="shared" si="0"/>
        <v>7.3709096073250713E-2</v>
      </c>
      <c r="O13" s="10">
        <v>749863.88888888899</v>
      </c>
    </row>
    <row r="14" spans="1:17" x14ac:dyDescent="0.2">
      <c r="A14" s="15" t="s">
        <v>66</v>
      </c>
      <c r="B14" s="15" t="s">
        <v>92</v>
      </c>
      <c r="C14" s="16">
        <v>2391500</v>
      </c>
      <c r="D14" s="17">
        <v>2391500000</v>
      </c>
      <c r="E14" s="18">
        <v>5.3</v>
      </c>
      <c r="F14" s="19" t="s">
        <v>93</v>
      </c>
      <c r="G14" s="19" t="s">
        <v>94</v>
      </c>
      <c r="H14" s="18">
        <v>1903079172</v>
      </c>
      <c r="I14" s="20">
        <v>82.755600000000001</v>
      </c>
      <c r="J14" s="20">
        <v>83.329800000000006</v>
      </c>
      <c r="K14" s="18">
        <v>13731195.83333333</v>
      </c>
      <c r="L14" s="18">
        <v>1992831369.833333</v>
      </c>
      <c r="M14" s="21">
        <f t="shared" si="0"/>
        <v>7.5451798043674356E-2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10.3</v>
      </c>
      <c r="F15" s="19" t="s">
        <v>78</v>
      </c>
      <c r="G15" s="19" t="s">
        <v>96</v>
      </c>
      <c r="H15" s="18">
        <v>1645329839.996666</v>
      </c>
      <c r="I15" s="20">
        <v>78.766199999999998</v>
      </c>
      <c r="J15" s="20">
        <v>85.947600000000008</v>
      </c>
      <c r="K15" s="18">
        <v>136266854.16666701</v>
      </c>
      <c r="L15" s="18">
        <v>1630855499.166666</v>
      </c>
      <c r="M15" s="21">
        <f t="shared" si="0"/>
        <v>6.1746809902852029E-2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1106600</v>
      </c>
      <c r="D16" s="17">
        <v>1106600000</v>
      </c>
      <c r="E16" s="18">
        <v>5.5</v>
      </c>
      <c r="F16" s="19" t="s">
        <v>98</v>
      </c>
      <c r="G16" s="19" t="s">
        <v>99</v>
      </c>
      <c r="H16" s="18">
        <v>999478906.79999995</v>
      </c>
      <c r="I16" s="20">
        <v>92.720700000000008</v>
      </c>
      <c r="J16" s="20">
        <v>94.248500000000007</v>
      </c>
      <c r="K16" s="18">
        <v>16906388.888888899</v>
      </c>
      <c r="L16" s="18">
        <v>1042953655.08889</v>
      </c>
      <c r="M16" s="21">
        <f t="shared" si="0"/>
        <v>3.9487901356781763E-2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3162500</v>
      </c>
      <c r="D17" s="17">
        <v>3162500000</v>
      </c>
      <c r="E17" s="18">
        <v>5.49</v>
      </c>
      <c r="F17" s="19" t="s">
        <v>78</v>
      </c>
      <c r="G17" s="19" t="s">
        <v>101</v>
      </c>
      <c r="H17" s="18">
        <v>2627740225</v>
      </c>
      <c r="I17" s="20">
        <v>87.458399999999997</v>
      </c>
      <c r="J17" s="20">
        <v>91.133700000000005</v>
      </c>
      <c r="K17" s="18">
        <v>116229781.25</v>
      </c>
      <c r="L17" s="18">
        <v>2882101681.25</v>
      </c>
      <c r="M17" s="21">
        <f t="shared" si="0"/>
        <v>0.10912100104746755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11424000</v>
      </c>
      <c r="D18" s="17">
        <v>1142400000</v>
      </c>
      <c r="E18" s="18">
        <v>0</v>
      </c>
      <c r="F18" s="19" t="s">
        <v>81</v>
      </c>
      <c r="G18" s="19" t="s">
        <v>103</v>
      </c>
      <c r="H18" s="18">
        <v>1003902278.4</v>
      </c>
      <c r="I18" s="20">
        <v>96.9893</v>
      </c>
      <c r="J18" s="20">
        <v>96.9893</v>
      </c>
      <c r="K18" s="18"/>
      <c r="L18" s="18">
        <v>1108005763.2</v>
      </c>
      <c r="M18" s="21">
        <f t="shared" si="0"/>
        <v>4.1950878705399694E-2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10.55</v>
      </c>
      <c r="F19" s="19" t="s">
        <v>78</v>
      </c>
      <c r="G19" s="19" t="s">
        <v>105</v>
      </c>
      <c r="H19" s="18">
        <v>1708326839.9966669</v>
      </c>
      <c r="I19" s="20">
        <v>84.198700000000002</v>
      </c>
      <c r="J19" s="20">
        <v>87.715400000000002</v>
      </c>
      <c r="K19" s="18">
        <v>66728750</v>
      </c>
      <c r="L19" s="18">
        <v>1664399082.5</v>
      </c>
      <c r="M19" s="21">
        <f t="shared" si="0"/>
        <v>6.3016823870737107E-2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897100</v>
      </c>
      <c r="D20" s="17">
        <v>897100000</v>
      </c>
      <c r="E20" s="18">
        <v>17.010000000000002</v>
      </c>
      <c r="F20" s="19" t="s">
        <v>107</v>
      </c>
      <c r="G20" s="19" t="s">
        <v>108</v>
      </c>
      <c r="H20" s="18">
        <v>896985171.20000005</v>
      </c>
      <c r="I20" s="20">
        <v>102.77120000000001</v>
      </c>
      <c r="J20" s="20">
        <v>108.01600000000001</v>
      </c>
      <c r="K20" s="18">
        <v>47050652.25</v>
      </c>
      <c r="L20" s="18">
        <v>969011087.45000005</v>
      </c>
      <c r="M20" s="21">
        <f t="shared" si="0"/>
        <v>3.6688316923911835E-2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1897500</v>
      </c>
      <c r="D21" s="17">
        <v>1897500000</v>
      </c>
      <c r="E21" s="18">
        <v>10.4</v>
      </c>
      <c r="F21" s="19" t="s">
        <v>78</v>
      </c>
      <c r="G21" s="19" t="s">
        <v>110</v>
      </c>
      <c r="H21" s="18">
        <v>1736743800</v>
      </c>
      <c r="I21" s="20">
        <v>88.38730000000001</v>
      </c>
      <c r="J21" s="20">
        <v>94.916200000000003</v>
      </c>
      <c r="K21" s="18">
        <v>123885666.666667</v>
      </c>
      <c r="L21" s="18">
        <v>1801034684.166666</v>
      </c>
      <c r="M21" s="21">
        <f t="shared" si="0"/>
        <v>6.8190067316514169E-2</v>
      </c>
      <c r="O21" s="10">
        <v>749863.88888888899</v>
      </c>
    </row>
    <row r="22" spans="1:15" x14ac:dyDescent="0.2">
      <c r="A22" s="15" t="s">
        <v>73</v>
      </c>
      <c r="B22" s="15" t="s">
        <v>111</v>
      </c>
      <c r="C22" s="16">
        <v>992234</v>
      </c>
      <c r="D22" s="17">
        <v>992234000</v>
      </c>
      <c r="E22" s="18">
        <v>14.3</v>
      </c>
      <c r="F22" s="19" t="s">
        <v>112</v>
      </c>
      <c r="G22" s="19" t="s">
        <v>113</v>
      </c>
      <c r="H22" s="18">
        <v>991722999.49000001</v>
      </c>
      <c r="I22" s="20">
        <v>95.106278099999997</v>
      </c>
      <c r="J22" s="20">
        <v>98.482678100000001</v>
      </c>
      <c r="K22" s="18">
        <v>33501678.527777769</v>
      </c>
      <c r="L22" s="18">
        <v>977178505.9521389</v>
      </c>
      <c r="M22" s="21">
        <f t="shared" si="0"/>
        <v>3.6997548513041774E-2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2530000</v>
      </c>
      <c r="D23" s="17">
        <v>2530000000</v>
      </c>
      <c r="E23" s="18">
        <v>10.67</v>
      </c>
      <c r="F23" s="19" t="s">
        <v>78</v>
      </c>
      <c r="G23" s="19" t="s">
        <v>115</v>
      </c>
      <c r="H23" s="18">
        <v>2455119589.9966769</v>
      </c>
      <c r="I23" s="20">
        <v>99.111000000000004</v>
      </c>
      <c r="J23" s="20">
        <v>102.8751</v>
      </c>
      <c r="K23" s="18">
        <v>95232713.888888881</v>
      </c>
      <c r="L23" s="18">
        <v>2602741013.8888879</v>
      </c>
      <c r="M23" s="21">
        <f t="shared" si="0"/>
        <v>9.8543957262353127E-2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1897500</v>
      </c>
      <c r="D24" s="17">
        <v>1897500000</v>
      </c>
      <c r="E24" s="18">
        <v>8.07</v>
      </c>
      <c r="F24" s="19" t="s">
        <v>78</v>
      </c>
      <c r="G24" s="19" t="s">
        <v>117</v>
      </c>
      <c r="H24" s="18">
        <v>1359122325</v>
      </c>
      <c r="I24" s="20">
        <v>62.494200000000006</v>
      </c>
      <c r="J24" s="20">
        <v>66.887900000000002</v>
      </c>
      <c r="K24" s="18">
        <v>83369825</v>
      </c>
      <c r="L24" s="18">
        <v>1269197270</v>
      </c>
      <c r="M24" s="21">
        <f t="shared" si="0"/>
        <v>4.8053848179653968E-2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1268601741.8888898</v>
      </c>
      <c r="L26" s="23">
        <f>SUM(L8:L25)</f>
        <v>26411979853.413258</v>
      </c>
      <c r="M26" s="26">
        <f>SUM(M8:M25)</f>
        <v>0.99999999999999967</v>
      </c>
      <c r="N26" s="9">
        <v>26411979853.41325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499460.88</v>
      </c>
    </row>
    <row r="30" spans="1:15" x14ac:dyDescent="0.2">
      <c r="A30" s="29" t="s">
        <v>76</v>
      </c>
      <c r="B30" s="30">
        <v>499460.88</v>
      </c>
      <c r="C30" s="62">
        <v>499460.94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536544</v>
      </c>
      <c r="D35" s="32" t="s">
        <v>68</v>
      </c>
      <c r="E35" s="34" t="s">
        <v>69</v>
      </c>
      <c r="F35" s="34" t="s">
        <v>70</v>
      </c>
      <c r="G35" s="35">
        <v>514.42409999925394</v>
      </c>
      <c r="H35" s="35">
        <f>J35/C35</f>
        <v>514.67074310774137</v>
      </c>
      <c r="I35" s="36">
        <v>276011164.31</v>
      </c>
      <c r="J35" s="36">
        <v>276143499.19</v>
      </c>
      <c r="K35" s="37">
        <v>17.5001</v>
      </c>
      <c r="L35" s="37">
        <v>132334.88</v>
      </c>
      <c r="M35" s="31">
        <f>I35+L35</f>
        <v>276143499.19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28826</v>
      </c>
      <c r="D36" s="32" t="s">
        <v>68</v>
      </c>
      <c r="E36" s="34" t="s">
        <v>69</v>
      </c>
      <c r="F36" s="34" t="s">
        <v>70</v>
      </c>
      <c r="G36" s="35">
        <v>485.81570006244408</v>
      </c>
      <c r="H36" s="35">
        <f>J36/C36</f>
        <v>486.04862797474505</v>
      </c>
      <c r="I36" s="36">
        <v>14004123.369999999</v>
      </c>
      <c r="J36" s="36">
        <v>14010837.75</v>
      </c>
      <c r="K36" s="37">
        <v>17.5002</v>
      </c>
      <c r="L36" s="37">
        <v>6714.38</v>
      </c>
      <c r="M36" s="31">
        <f>I36+L36</f>
        <v>14010837.75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2190000</v>
      </c>
      <c r="D37" s="32" t="s">
        <v>68</v>
      </c>
      <c r="E37" s="34" t="s">
        <v>69</v>
      </c>
      <c r="F37" s="34" t="s">
        <v>70</v>
      </c>
      <c r="G37" s="35">
        <v>913.59</v>
      </c>
      <c r="H37" s="35">
        <f>J37/C37</f>
        <v>914.02827289954337</v>
      </c>
      <c r="I37" s="36">
        <v>2000762100</v>
      </c>
      <c r="J37" s="36">
        <v>2001721917.6500001</v>
      </c>
      <c r="K37" s="37">
        <v>17.510000000000002</v>
      </c>
      <c r="L37" s="37">
        <v>959817.65</v>
      </c>
      <c r="M37" s="31">
        <f>I37+L37</f>
        <v>2001721917.6500001</v>
      </c>
      <c r="N37" s="10"/>
      <c r="O37" s="9"/>
      <c r="Q37" s="9">
        <v>0</v>
      </c>
    </row>
    <row r="38" spans="1:17" x14ac:dyDescent="0.2">
      <c r="A38" s="32" t="s">
        <v>73</v>
      </c>
      <c r="B38" s="32" t="s">
        <v>74</v>
      </c>
      <c r="C38" s="33">
        <v>13845</v>
      </c>
      <c r="D38" s="32" t="s">
        <v>68</v>
      </c>
      <c r="E38" s="34" t="s">
        <v>70</v>
      </c>
      <c r="F38" s="34" t="s">
        <v>75</v>
      </c>
      <c r="G38" s="35">
        <v>1083.472</v>
      </c>
      <c r="H38" s="35">
        <f>J38/C38</f>
        <v>1085.0348804622608</v>
      </c>
      <c r="I38" s="36">
        <v>15000669.84</v>
      </c>
      <c r="J38" s="36">
        <v>15022307.92</v>
      </c>
      <c r="K38" s="37">
        <v>17.5501</v>
      </c>
      <c r="L38" s="37"/>
      <c r="M38" s="31">
        <f>I38+L38</f>
        <v>15000669.84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67</v>
      </c>
      <c r="C39" s="33">
        <v>4433319</v>
      </c>
      <c r="D39" s="32" t="s">
        <v>68</v>
      </c>
      <c r="E39" s="34" t="s">
        <v>70</v>
      </c>
      <c r="F39" s="34" t="s">
        <v>75</v>
      </c>
      <c r="G39" s="35">
        <v>513.68959999945912</v>
      </c>
      <c r="H39" s="35">
        <f>J39/C39</f>
        <v>514.42847282363391</v>
      </c>
      <c r="I39" s="36">
        <v>2277349863.7800002</v>
      </c>
      <c r="J39" s="36">
        <v>2280625522.71</v>
      </c>
      <c r="K39" s="37">
        <v>17.5001</v>
      </c>
      <c r="L39" s="37"/>
      <c r="M39" s="31">
        <f>I39+L39</f>
        <v>2277349863.7800002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2292350533.6200004</v>
      </c>
      <c r="N41" s="65">
        <v>2292350533.6200004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L26+B29+M41</f>
        <v>28704829847.913258</v>
      </c>
      <c r="C48" s="62">
        <v>28704829847.973248</v>
      </c>
      <c r="D48" s="62">
        <f>__mdDATAItogoActive__-C48</f>
        <v>-5.998992919921875E-2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5.37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74000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96119.03</v>
      </c>
      <c r="D68" s="57"/>
      <c r="O68" s="9"/>
    </row>
    <row r="69" spans="1:15" x14ac:dyDescent="0.2">
      <c r="A69" s="24">
        <v>7</v>
      </c>
      <c r="B69" s="55" t="s">
        <v>59</v>
      </c>
      <c r="C69" s="57">
        <v>48450.18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F70" s="5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218574.58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28.11.2025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1062.616</v>
      </c>
      <c r="G5" s="5">
        <v>110.60050000000001</v>
      </c>
      <c r="H5" s="5">
        <v>18.48</v>
      </c>
      <c r="I5" s="5">
        <v>841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1380.83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573109.78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120</v>
      </c>
      <c r="E9" s="4" t="s">
        <v>132</v>
      </c>
      <c r="F9" s="4">
        <v>168.92</v>
      </c>
      <c r="G9" s="5"/>
      <c r="H9" s="5"/>
      <c r="I9" s="5"/>
      <c r="J9" s="4" t="s">
        <v>122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5585.81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5854731.3600000003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130.92000000000002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125</v>
      </c>
      <c r="E13" s="4" t="s">
        <v>132</v>
      </c>
      <c r="F13" s="4">
        <v>0.90607499999999996</v>
      </c>
      <c r="G13" s="5">
        <v>91.035300000000007</v>
      </c>
      <c r="H13" s="5">
        <v>5.04</v>
      </c>
      <c r="I13" s="5">
        <v>2695</v>
      </c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1840001.9</v>
      </c>
      <c r="G14" s="5"/>
      <c r="H14" s="5"/>
      <c r="I14" s="5"/>
      <c r="J14" s="4" t="s">
        <v>122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120</v>
      </c>
      <c r="E15" s="4" t="s">
        <v>132</v>
      </c>
      <c r="F15" s="4">
        <v>71781.36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120</v>
      </c>
      <c r="E16" s="4" t="s">
        <v>132</v>
      </c>
      <c r="F16" s="4">
        <v>72375.64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120</v>
      </c>
      <c r="E17" s="4" t="s">
        <v>132</v>
      </c>
      <c r="F17" s="4">
        <v>51850.400000000001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120</v>
      </c>
      <c r="E18" s="4" t="s">
        <v>132</v>
      </c>
      <c r="F18" s="4">
        <v>7.22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125</v>
      </c>
      <c r="E19" s="4" t="s">
        <v>132</v>
      </c>
      <c r="F19" s="4">
        <v>1000</v>
      </c>
      <c r="G19" s="5">
        <v>100.4953</v>
      </c>
      <c r="H19" s="5">
        <v>17.82</v>
      </c>
      <c r="I19" s="5">
        <v>1087</v>
      </c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125</v>
      </c>
      <c r="E20" s="4" t="s">
        <v>132</v>
      </c>
      <c r="F20" s="4">
        <v>1000</v>
      </c>
      <c r="G20" s="5">
        <v>102.15470000000001</v>
      </c>
      <c r="H20" s="5">
        <v>17.59</v>
      </c>
      <c r="I20" s="5">
        <v>686</v>
      </c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125</v>
      </c>
      <c r="E21" s="4" t="s">
        <v>132</v>
      </c>
      <c r="F21" s="4">
        <v>1000</v>
      </c>
      <c r="G21" s="5">
        <v>106.76090000000001</v>
      </c>
      <c r="H21" s="5">
        <v>18.010000000000002</v>
      </c>
      <c r="I21" s="5">
        <v>1873</v>
      </c>
      <c r="J21" s="4" t="s">
        <v>126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125</v>
      </c>
      <c r="E22" s="4" t="s">
        <v>132</v>
      </c>
      <c r="F22" s="4">
        <v>1000</v>
      </c>
      <c r="G22" s="5">
        <v>104.23320000000001</v>
      </c>
      <c r="H22" s="5">
        <v>17.900000000000002</v>
      </c>
      <c r="I22" s="5">
        <v>1557</v>
      </c>
      <c r="J22" s="4" t="s">
        <v>126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120</v>
      </c>
      <c r="E23" s="4" t="s">
        <v>132</v>
      </c>
      <c r="F23" s="4">
        <v>1521.56</v>
      </c>
      <c r="G23" s="5"/>
      <c r="H23" s="5"/>
      <c r="I23" s="5"/>
      <c r="J23" s="4" t="s">
        <v>122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125</v>
      </c>
      <c r="E24" s="4" t="s">
        <v>132</v>
      </c>
      <c r="F24" s="4">
        <v>497184.5</v>
      </c>
      <c r="G24" s="5">
        <v>101.65770000000001</v>
      </c>
      <c r="H24" s="5">
        <v>21.41</v>
      </c>
      <c r="I24" s="5">
        <v>234</v>
      </c>
      <c r="J24" s="4" t="s">
        <v>126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125</v>
      </c>
      <c r="E25" s="4" t="s">
        <v>132</v>
      </c>
      <c r="F25" s="4">
        <v>499687</v>
      </c>
      <c r="G25" s="5">
        <v>104.45960000000001</v>
      </c>
      <c r="H25" s="5">
        <v>22.93</v>
      </c>
      <c r="I25" s="5">
        <v>17</v>
      </c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125</v>
      </c>
      <c r="E26" s="4" t="s">
        <v>132</v>
      </c>
      <c r="F26" s="4">
        <v>983.54100000000005</v>
      </c>
      <c r="G26" s="5">
        <v>98.9041</v>
      </c>
      <c r="H26" s="5">
        <v>23.93</v>
      </c>
      <c r="I26" s="5">
        <v>357</v>
      </c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125</v>
      </c>
      <c r="E27" s="4" t="s">
        <v>132</v>
      </c>
      <c r="F27" s="4">
        <v>100.17840000000001</v>
      </c>
      <c r="G27" s="5">
        <v>100.21170000000001</v>
      </c>
      <c r="H27" s="5">
        <v>11.26</v>
      </c>
      <c r="I27" s="5">
        <v>92</v>
      </c>
      <c r="J27" s="4" t="s">
        <v>126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125</v>
      </c>
      <c r="E28" s="4" t="s">
        <v>132</v>
      </c>
      <c r="F28" s="4">
        <v>1011.7940000000001</v>
      </c>
      <c r="G28" s="5">
        <v>104.39330000000001</v>
      </c>
      <c r="H28" s="5">
        <v>5.99</v>
      </c>
      <c r="I28" s="5">
        <v>915</v>
      </c>
      <c r="J28" s="4" t="s">
        <v>126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120</v>
      </c>
      <c r="E29" s="4" t="s">
        <v>132</v>
      </c>
      <c r="F29" s="4">
        <v>993.67</v>
      </c>
      <c r="G29" s="5">
        <v>993.66540000000009</v>
      </c>
      <c r="H29" s="5"/>
      <c r="I29" s="5"/>
      <c r="J29" s="4" t="s">
        <v>122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125</v>
      </c>
      <c r="E30" s="4" t="s">
        <v>132</v>
      </c>
      <c r="F30" s="4">
        <v>1000.231</v>
      </c>
      <c r="G30" s="5">
        <v>100.2787</v>
      </c>
      <c r="H30" s="5">
        <v>22.99</v>
      </c>
      <c r="I30" s="5">
        <v>1062</v>
      </c>
      <c r="J30" s="4" t="s">
        <v>126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125</v>
      </c>
      <c r="E31" s="4" t="s">
        <v>132</v>
      </c>
      <c r="F31" s="4">
        <v>96.73790000000001</v>
      </c>
      <c r="G31" s="5">
        <v>96.982300000000009</v>
      </c>
      <c r="H31" s="5">
        <v>13.12</v>
      </c>
      <c r="I31" s="5">
        <v>631</v>
      </c>
      <c r="J31" s="4" t="s">
        <v>126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125</v>
      </c>
      <c r="E32" s="4" t="s">
        <v>132</v>
      </c>
      <c r="F32" s="4">
        <v>101.77330000000001</v>
      </c>
      <c r="G32" s="5">
        <v>102.3566</v>
      </c>
      <c r="H32" s="5">
        <v>5.49</v>
      </c>
      <c r="I32" s="5">
        <v>338</v>
      </c>
      <c r="J32" s="4" t="s">
        <v>126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125</v>
      </c>
      <c r="E33" s="4" t="s">
        <v>132</v>
      </c>
      <c r="F33" s="4">
        <v>985.33300000000008</v>
      </c>
      <c r="G33" s="5">
        <v>99.875</v>
      </c>
      <c r="H33" s="5">
        <v>19</v>
      </c>
      <c r="I33" s="5">
        <v>338</v>
      </c>
      <c r="J33" s="4" t="s">
        <v>126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125</v>
      </c>
      <c r="E34" s="4" t="s">
        <v>132</v>
      </c>
      <c r="F34" s="4">
        <v>991.69500000000005</v>
      </c>
      <c r="G34" s="5">
        <v>99.902799999999999</v>
      </c>
      <c r="H34" s="5">
        <v>22.67</v>
      </c>
      <c r="I34" s="5">
        <v>535</v>
      </c>
      <c r="J34" s="4" t="s">
        <v>126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125</v>
      </c>
      <c r="E35" s="4" t="s">
        <v>132</v>
      </c>
      <c r="F35" s="4">
        <v>497183.5</v>
      </c>
      <c r="G35" s="5">
        <v>101.94499999999999</v>
      </c>
      <c r="H35" s="5">
        <v>21.39</v>
      </c>
      <c r="I35" s="5">
        <v>595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125</v>
      </c>
      <c r="E36" s="4" t="s">
        <v>132</v>
      </c>
      <c r="F36" s="4">
        <v>98.92</v>
      </c>
      <c r="G36" s="5">
        <v>98.924599999999998</v>
      </c>
      <c r="H36" s="5"/>
      <c r="I36" s="5">
        <v>1094</v>
      </c>
      <c r="J36" s="4" t="s">
        <v>126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125</v>
      </c>
      <c r="E37" s="4" t="s">
        <v>132</v>
      </c>
      <c r="F37" s="4">
        <v>99.96350000000001</v>
      </c>
      <c r="G37" s="5">
        <v>102.53020000000001</v>
      </c>
      <c r="H37" s="5">
        <v>11</v>
      </c>
      <c r="I37" s="5">
        <v>281</v>
      </c>
      <c r="J37" s="4" t="s">
        <v>126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125</v>
      </c>
      <c r="E38" s="4" t="s">
        <v>132</v>
      </c>
      <c r="F38" s="4">
        <v>864.85</v>
      </c>
      <c r="G38" s="5">
        <v>88.118300000000005</v>
      </c>
      <c r="H38" s="5">
        <v>38.65</v>
      </c>
      <c r="I38" s="5">
        <v>337</v>
      </c>
      <c r="J38" s="4" t="s">
        <v>126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125</v>
      </c>
      <c r="E39" s="4" t="s">
        <v>132</v>
      </c>
      <c r="F39" s="4">
        <v>1008.1940000000001</v>
      </c>
      <c r="G39" s="5">
        <v>101.28670000000001</v>
      </c>
      <c r="H39" s="5">
        <v>20.61</v>
      </c>
      <c r="I39" s="5">
        <v>936</v>
      </c>
      <c r="J39" s="4" t="s">
        <v>126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125</v>
      </c>
      <c r="E40" s="4" t="s">
        <v>132</v>
      </c>
      <c r="F40" s="4">
        <v>999.79900000000009</v>
      </c>
      <c r="G40" s="5">
        <v>101.32430000000001</v>
      </c>
      <c r="H40" s="5">
        <v>22.01</v>
      </c>
      <c r="I40" s="5">
        <v>678</v>
      </c>
      <c r="J40" s="4" t="s">
        <v>126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125</v>
      </c>
      <c r="E41" s="4" t="s">
        <v>132</v>
      </c>
      <c r="F41" s="4">
        <v>872.5</v>
      </c>
      <c r="G41" s="5">
        <v>88.655600000000007</v>
      </c>
      <c r="H41" s="5">
        <v>32.29</v>
      </c>
      <c r="I41" s="5">
        <v>585</v>
      </c>
      <c r="J41" s="4" t="s">
        <v>126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125</v>
      </c>
      <c r="E42" s="4" t="s">
        <v>132</v>
      </c>
      <c r="F42" s="4">
        <v>992.05900000000008</v>
      </c>
      <c r="G42" s="5">
        <v>102.4726</v>
      </c>
      <c r="H42" s="5">
        <v>22.01</v>
      </c>
      <c r="I42" s="5">
        <v>309</v>
      </c>
      <c r="J42" s="4" t="s">
        <v>126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125</v>
      </c>
      <c r="E43" s="4" t="s">
        <v>132</v>
      </c>
      <c r="F43" s="4">
        <v>970.95800000000008</v>
      </c>
      <c r="G43" s="5">
        <v>97.46520000000001</v>
      </c>
      <c r="H43" s="5">
        <v>22.6</v>
      </c>
      <c r="I43" s="5">
        <v>328</v>
      </c>
      <c r="J43" s="4" t="s">
        <v>126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125</v>
      </c>
      <c r="E44" s="4" t="s">
        <v>132</v>
      </c>
      <c r="F44" s="4">
        <v>939.33199999999999</v>
      </c>
      <c r="G44" s="5">
        <v>93.933199999999999</v>
      </c>
      <c r="H44" s="5">
        <v>22.57</v>
      </c>
      <c r="I44" s="5">
        <v>792</v>
      </c>
      <c r="J44" s="4" t="s">
        <v>126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125</v>
      </c>
      <c r="E45" s="4" t="s">
        <v>132</v>
      </c>
      <c r="F45" s="4">
        <v>1002.966</v>
      </c>
      <c r="G45" s="5">
        <v>101.2299</v>
      </c>
      <c r="H45" s="5">
        <v>20.83</v>
      </c>
      <c r="I45" s="5">
        <v>836</v>
      </c>
      <c r="J45" s="4" t="s">
        <v>126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125</v>
      </c>
      <c r="E46" s="4" t="s">
        <v>132</v>
      </c>
      <c r="F46" s="4">
        <v>999.93299999999999</v>
      </c>
      <c r="G46" s="5">
        <v>109.68910000000001</v>
      </c>
      <c r="H46" s="5">
        <v>19.5</v>
      </c>
      <c r="I46" s="5">
        <v>548</v>
      </c>
      <c r="J46" s="4" t="s">
        <v>126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125</v>
      </c>
      <c r="E47" s="4" t="s">
        <v>132</v>
      </c>
      <c r="F47" s="4">
        <v>1000</v>
      </c>
      <c r="G47" s="5">
        <v>105.8044</v>
      </c>
      <c r="H47" s="5">
        <v>17.47</v>
      </c>
      <c r="I47" s="5">
        <v>1341</v>
      </c>
      <c r="J47" s="4" t="s">
        <v>126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125</v>
      </c>
      <c r="E48" s="4" t="s">
        <v>132</v>
      </c>
      <c r="F48" s="4">
        <v>1003.0940000000001</v>
      </c>
      <c r="G48" s="5">
        <v>101.102</v>
      </c>
      <c r="H48" s="5">
        <v>21.73</v>
      </c>
      <c r="I48" s="5">
        <v>626</v>
      </c>
      <c r="J48" s="4" t="s">
        <v>126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125</v>
      </c>
      <c r="E49" s="4" t="s">
        <v>132</v>
      </c>
      <c r="F49" s="4">
        <v>99.999900000000011</v>
      </c>
      <c r="G49" s="5">
        <v>100.2749</v>
      </c>
      <c r="H49" s="5">
        <v>11</v>
      </c>
      <c r="I49" s="5">
        <v>722</v>
      </c>
      <c r="J49" s="4" t="s">
        <v>126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125</v>
      </c>
      <c r="E50" s="4" t="s">
        <v>132</v>
      </c>
      <c r="F50" s="4">
        <v>996.97800000000007</v>
      </c>
      <c r="G50" s="5">
        <v>99.808900000000008</v>
      </c>
      <c r="H50" s="5">
        <v>20.77</v>
      </c>
      <c r="I50" s="5">
        <v>150</v>
      </c>
      <c r="J50" s="4" t="s">
        <v>126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125</v>
      </c>
      <c r="E51" s="4" t="s">
        <v>132</v>
      </c>
      <c r="F51" s="4">
        <v>1017.673</v>
      </c>
      <c r="G51" s="5">
        <v>103.4473</v>
      </c>
      <c r="H51" s="5">
        <v>20.65</v>
      </c>
      <c r="I51" s="5">
        <v>855</v>
      </c>
      <c r="J51" s="4" t="s">
        <v>126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120</v>
      </c>
      <c r="E52" s="4" t="s">
        <v>132</v>
      </c>
      <c r="F52" s="4">
        <v>101.34</v>
      </c>
      <c r="G52" s="5"/>
      <c r="H52" s="5"/>
      <c r="I52" s="5"/>
      <c r="J52" s="4" t="s">
        <v>223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932.67400000000009</v>
      </c>
      <c r="G53" s="5">
        <v>93.267400000000009</v>
      </c>
      <c r="H53" s="5">
        <v>24.83</v>
      </c>
      <c r="I53" s="5">
        <v>852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990.65300000000002</v>
      </c>
      <c r="G54" s="5">
        <v>99.676400000000001</v>
      </c>
      <c r="H54" s="5">
        <v>23.08</v>
      </c>
      <c r="I54" s="5">
        <v>356</v>
      </c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986.59900000000005</v>
      </c>
      <c r="G55" s="5">
        <v>98.776600000000002</v>
      </c>
      <c r="H55" s="5">
        <v>22.01</v>
      </c>
      <c r="I55" s="5">
        <v>576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997.18600000000004</v>
      </c>
      <c r="G56" s="5">
        <v>100.0853</v>
      </c>
      <c r="H56" s="5">
        <v>22.2</v>
      </c>
      <c r="I56" s="5">
        <v>602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125</v>
      </c>
      <c r="E57" s="4" t="s">
        <v>132</v>
      </c>
      <c r="F57" s="4">
        <v>1005.854</v>
      </c>
      <c r="G57" s="5">
        <v>101.991</v>
      </c>
      <c r="H57" s="5">
        <v>19.8</v>
      </c>
      <c r="I57" s="5">
        <v>71</v>
      </c>
      <c r="J57" s="4" t="s">
        <v>126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964.61900000000003</v>
      </c>
      <c r="G58" s="5">
        <v>101.4786</v>
      </c>
      <c r="H58" s="5">
        <v>23.4</v>
      </c>
      <c r="I58" s="5">
        <v>920</v>
      </c>
      <c r="J58" s="4" t="s">
        <v>126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988.94500000000005</v>
      </c>
      <c r="G59" s="5">
        <v>100.4834</v>
      </c>
      <c r="H59" s="5">
        <v>22.83</v>
      </c>
      <c r="I59" s="5">
        <v>582</v>
      </c>
      <c r="J59" s="4" t="s">
        <v>126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125</v>
      </c>
      <c r="E60" s="4" t="s">
        <v>132</v>
      </c>
      <c r="F60" s="4">
        <v>991.68299999999999</v>
      </c>
      <c r="G60" s="5">
        <v>100.8794</v>
      </c>
      <c r="H60" s="5">
        <v>23.01</v>
      </c>
      <c r="I60" s="5">
        <v>337</v>
      </c>
      <c r="J60" s="4" t="s">
        <v>126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125</v>
      </c>
      <c r="E61" s="4" t="s">
        <v>132</v>
      </c>
      <c r="F61" s="4">
        <v>987.08800000000008</v>
      </c>
      <c r="G61" s="5">
        <v>99.389400000000009</v>
      </c>
      <c r="H61" s="5">
        <v>19</v>
      </c>
      <c r="I61" s="5">
        <v>352</v>
      </c>
      <c r="J61" s="4" t="s">
        <v>126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125</v>
      </c>
      <c r="E62" s="4" t="s">
        <v>132</v>
      </c>
      <c r="F62" s="4">
        <v>959.6690000000001</v>
      </c>
      <c r="G62" s="5">
        <v>96.083600000000004</v>
      </c>
      <c r="H62" s="5">
        <v>23.09</v>
      </c>
      <c r="I62" s="5">
        <v>942</v>
      </c>
      <c r="J62" s="4" t="s">
        <v>126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125</v>
      </c>
      <c r="E63" s="4" t="s">
        <v>132</v>
      </c>
      <c r="F63" s="4">
        <v>1007.9140000000001</v>
      </c>
      <c r="G63" s="5">
        <v>104.7775</v>
      </c>
      <c r="H63" s="5">
        <v>19.88</v>
      </c>
      <c r="I63" s="5">
        <v>660</v>
      </c>
      <c r="J63" s="4" t="s">
        <v>126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125</v>
      </c>
      <c r="E64" s="4" t="s">
        <v>132</v>
      </c>
      <c r="F64" s="4">
        <v>980</v>
      </c>
      <c r="G64" s="5">
        <v>101.61670000000001</v>
      </c>
      <c r="H64" s="5">
        <v>21.95</v>
      </c>
      <c r="I64" s="5">
        <v>1034</v>
      </c>
      <c r="J64" s="4" t="s">
        <v>126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125</v>
      </c>
      <c r="E65" s="4" t="s">
        <v>132</v>
      </c>
      <c r="F65" s="4">
        <v>992.44800000000009</v>
      </c>
      <c r="G65" s="5">
        <v>99.428100000000001</v>
      </c>
      <c r="H65" s="5">
        <v>23.01</v>
      </c>
      <c r="I65" s="5">
        <v>302</v>
      </c>
      <c r="J65" s="4" t="s">
        <v>126</v>
      </c>
    </row>
    <row r="66" spans="1:10" x14ac:dyDescent="0.25">
      <c r="A66" s="4">
        <f t="shared" ca="1" si="1"/>
        <v>63</v>
      </c>
      <c r="B66" s="4" t="s">
        <v>250</v>
      </c>
      <c r="C66" s="4" t="s">
        <v>251</v>
      </c>
      <c r="D66" s="4" t="s">
        <v>120</v>
      </c>
      <c r="E66" s="4" t="s">
        <v>252</v>
      </c>
      <c r="F66" s="4">
        <v>40307.99</v>
      </c>
      <c r="G66" s="5"/>
      <c r="H66" s="5"/>
      <c r="I66" s="5"/>
      <c r="J66" s="4" t="s">
        <v>122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120</v>
      </c>
      <c r="E67" s="4" t="s">
        <v>252</v>
      </c>
      <c r="F67" s="4">
        <v>28149.41</v>
      </c>
      <c r="G67" s="5"/>
      <c r="H67" s="5"/>
      <c r="I67" s="5"/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255</v>
      </c>
      <c r="C68" s="4" t="s">
        <v>256</v>
      </c>
      <c r="D68" s="4" t="s">
        <v>125</v>
      </c>
      <c r="E68" s="4" t="s">
        <v>257</v>
      </c>
      <c r="F68" s="4">
        <v>16692.8</v>
      </c>
      <c r="G68" s="5">
        <v>1669.2760000000001</v>
      </c>
      <c r="H68" s="5"/>
      <c r="I68" s="5">
        <v>119</v>
      </c>
      <c r="J68" s="4" t="s">
        <v>126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120</v>
      </c>
      <c r="E69" s="4" t="s">
        <v>260</v>
      </c>
      <c r="F69" s="4">
        <v>22297.69</v>
      </c>
      <c r="G69" s="5"/>
      <c r="H69" s="5"/>
      <c r="I69" s="5"/>
      <c r="J69" s="4" t="s">
        <v>122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125</v>
      </c>
      <c r="E70" s="4" t="s">
        <v>260</v>
      </c>
      <c r="F70" s="4">
        <v>1.0140359999999999</v>
      </c>
      <c r="G70" s="5">
        <v>101.91120000000001</v>
      </c>
      <c r="H70" s="5">
        <v>5.01</v>
      </c>
      <c r="I70" s="5">
        <v>1609</v>
      </c>
      <c r="J70" s="4" t="s">
        <v>126</v>
      </c>
    </row>
    <row r="71" spans="1:10" x14ac:dyDescent="0.25">
      <c r="A71" s="4">
        <f t="shared" ca="1" si="2"/>
        <v>68</v>
      </c>
      <c r="B71" s="4" t="s">
        <v>263</v>
      </c>
      <c r="C71" s="4" t="s">
        <v>264</v>
      </c>
      <c r="D71" s="4" t="s">
        <v>120</v>
      </c>
      <c r="E71" s="4" t="s">
        <v>265</v>
      </c>
      <c r="F71" s="4">
        <v>3341.63</v>
      </c>
      <c r="G71" s="5"/>
      <c r="H71" s="5"/>
      <c r="I71" s="5"/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125</v>
      </c>
      <c r="E72" s="4" t="s">
        <v>268</v>
      </c>
      <c r="F72" s="4">
        <v>0.97343999999999997</v>
      </c>
      <c r="G72" s="5">
        <v>97.5107</v>
      </c>
      <c r="H72" s="5">
        <v>5</v>
      </c>
      <c r="I72" s="5">
        <v>335</v>
      </c>
      <c r="J72" s="4" t="s">
        <v>126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120</v>
      </c>
      <c r="E73" s="4" t="s">
        <v>271</v>
      </c>
      <c r="F73" s="4">
        <v>8952.3000000000011</v>
      </c>
      <c r="G73" s="5"/>
      <c r="H73" s="5"/>
      <c r="I73" s="5"/>
      <c r="J73" s="4" t="s">
        <v>122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120</v>
      </c>
      <c r="E74" s="4" t="s">
        <v>271</v>
      </c>
      <c r="F74" s="4">
        <v>4601.53</v>
      </c>
      <c r="G74" s="5"/>
      <c r="H74" s="5"/>
      <c r="I74" s="5"/>
      <c r="J74" s="4" t="s">
        <v>122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125</v>
      </c>
      <c r="E75" s="4" t="s">
        <v>276</v>
      </c>
      <c r="F75" s="4">
        <v>968.37800000000004</v>
      </c>
      <c r="G75" s="5">
        <v>101.87950000000001</v>
      </c>
      <c r="H75" s="5">
        <v>17.990000000000002</v>
      </c>
      <c r="I75" s="5">
        <v>985</v>
      </c>
      <c r="J75" s="4" t="s">
        <v>126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276</v>
      </c>
      <c r="F76" s="4">
        <v>970.78700000000003</v>
      </c>
      <c r="G76" s="5">
        <v>101.6666</v>
      </c>
      <c r="H76" s="5">
        <v>19.760000000000002</v>
      </c>
      <c r="I76" s="5">
        <v>822</v>
      </c>
      <c r="J76" s="4" t="s">
        <v>126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125</v>
      </c>
      <c r="E77" s="4" t="s">
        <v>276</v>
      </c>
      <c r="F77" s="4">
        <v>980.41600000000005</v>
      </c>
      <c r="G77" s="5">
        <v>104.89370000000001</v>
      </c>
      <c r="H77" s="5">
        <v>17.990000000000002</v>
      </c>
      <c r="I77" s="5">
        <v>1316</v>
      </c>
      <c r="J77" s="4" t="s">
        <v>126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125</v>
      </c>
      <c r="E78" s="4" t="s">
        <v>276</v>
      </c>
      <c r="F78" s="4">
        <v>99.473300000000009</v>
      </c>
      <c r="G78" s="5">
        <v>99.473300000000009</v>
      </c>
      <c r="H78" s="5">
        <v>16.11</v>
      </c>
      <c r="I78" s="5">
        <v>13</v>
      </c>
      <c r="J78" s="4" t="s">
        <v>126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125</v>
      </c>
      <c r="E79" s="4" t="s">
        <v>276</v>
      </c>
      <c r="F79" s="4">
        <v>100.01690000000001</v>
      </c>
      <c r="G79" s="5">
        <v>101.3947</v>
      </c>
      <c r="H79" s="5">
        <v>7.99</v>
      </c>
      <c r="I79" s="5">
        <v>759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66</v>
      </c>
      <c r="F80" s="4">
        <v>1000</v>
      </c>
      <c r="G80" s="5">
        <v>111.459</v>
      </c>
      <c r="H80" s="5">
        <v>12.55</v>
      </c>
      <c r="I80" s="5">
        <v>1129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66</v>
      </c>
      <c r="F81" s="4">
        <v>1000</v>
      </c>
      <c r="G81" s="5">
        <v>103.17920000000001</v>
      </c>
      <c r="H81" s="5">
        <v>12.53</v>
      </c>
      <c r="I81" s="5">
        <v>1369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66</v>
      </c>
      <c r="F82" s="4">
        <v>1000</v>
      </c>
      <c r="G82" s="5">
        <v>106.2885</v>
      </c>
      <c r="H82" s="5">
        <v>12.18</v>
      </c>
      <c r="I82" s="5">
        <v>182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66</v>
      </c>
      <c r="F83" s="4">
        <v>1000</v>
      </c>
      <c r="G83" s="5">
        <v>104.1225</v>
      </c>
      <c r="H83" s="5">
        <v>12.32</v>
      </c>
      <c r="I83" s="5">
        <v>245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125</v>
      </c>
      <c r="E84" s="4" t="s">
        <v>66</v>
      </c>
      <c r="F84" s="4">
        <v>1000</v>
      </c>
      <c r="G84" s="5">
        <v>107.30160000000001</v>
      </c>
      <c r="H84" s="5">
        <v>12.43</v>
      </c>
      <c r="I84" s="5">
        <v>518</v>
      </c>
      <c r="J84" s="4" t="s">
        <v>126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125</v>
      </c>
      <c r="E85" s="4" t="s">
        <v>66</v>
      </c>
      <c r="F85" s="4">
        <v>1000</v>
      </c>
      <c r="G85" s="5">
        <v>105.2055</v>
      </c>
      <c r="H85" s="5">
        <v>12.45</v>
      </c>
      <c r="I85" s="5">
        <v>579</v>
      </c>
      <c r="J85" s="4" t="s">
        <v>126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125</v>
      </c>
      <c r="E86" s="4" t="s">
        <v>66</v>
      </c>
      <c r="F86" s="4">
        <v>1000</v>
      </c>
      <c r="G86" s="5">
        <v>100.0699</v>
      </c>
      <c r="H86" s="5">
        <v>12.58</v>
      </c>
      <c r="I86" s="5">
        <v>729</v>
      </c>
      <c r="J86" s="4" t="s">
        <v>126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125</v>
      </c>
      <c r="E87" s="4" t="s">
        <v>66</v>
      </c>
      <c r="F87" s="4">
        <v>1000</v>
      </c>
      <c r="G87" s="5">
        <v>103.17920000000001</v>
      </c>
      <c r="H87" s="5">
        <v>12.52</v>
      </c>
      <c r="I87" s="5">
        <v>1004</v>
      </c>
      <c r="J87" s="4" t="s">
        <v>126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125</v>
      </c>
      <c r="E88" s="4" t="s">
        <v>66</v>
      </c>
      <c r="F88" s="4">
        <v>1000</v>
      </c>
      <c r="G88" s="5">
        <v>110.4808</v>
      </c>
      <c r="H88" s="5">
        <v>12.54</v>
      </c>
      <c r="I88" s="5">
        <v>1523</v>
      </c>
      <c r="J88" s="4" t="s">
        <v>126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125</v>
      </c>
      <c r="E89" s="4" t="s">
        <v>66</v>
      </c>
      <c r="F89" s="4">
        <v>899.93</v>
      </c>
      <c r="G89" s="5">
        <v>90.062400000000011</v>
      </c>
      <c r="H89" s="5">
        <v>16.84</v>
      </c>
      <c r="I89" s="5">
        <v>361</v>
      </c>
      <c r="J89" s="4" t="s">
        <v>126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125</v>
      </c>
      <c r="E90" s="4" t="s">
        <v>66</v>
      </c>
      <c r="F90" s="4">
        <v>1000</v>
      </c>
      <c r="G90" s="5">
        <v>105.2055</v>
      </c>
      <c r="H90" s="5">
        <v>12.51</v>
      </c>
      <c r="I90" s="5">
        <v>1310</v>
      </c>
      <c r="J90" s="4" t="s">
        <v>126</v>
      </c>
    </row>
    <row r="91" spans="1:10" x14ac:dyDescent="0.25">
      <c r="A91" s="4">
        <f t="shared" ca="1" si="2"/>
        <v>88</v>
      </c>
      <c r="B91" s="4" t="s">
        <v>307</v>
      </c>
      <c r="C91" s="4" t="s">
        <v>100</v>
      </c>
      <c r="D91" s="4" t="s">
        <v>125</v>
      </c>
      <c r="E91" s="4" t="s">
        <v>66</v>
      </c>
      <c r="F91" s="4">
        <v>874.58400000000006</v>
      </c>
      <c r="G91" s="5">
        <v>91.133700000000005</v>
      </c>
      <c r="H91" s="5">
        <v>16.68</v>
      </c>
      <c r="I91" s="5">
        <v>485</v>
      </c>
      <c r="J91" s="4" t="s">
        <v>126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125</v>
      </c>
      <c r="E92" s="4" t="s">
        <v>66</v>
      </c>
      <c r="F92" s="4">
        <v>836.56600000000003</v>
      </c>
      <c r="G92" s="5">
        <v>84.724100000000007</v>
      </c>
      <c r="H92" s="5">
        <v>16.66</v>
      </c>
      <c r="I92" s="5">
        <v>660</v>
      </c>
      <c r="J92" s="4" t="s">
        <v>126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125</v>
      </c>
      <c r="E93" s="4" t="s">
        <v>66</v>
      </c>
      <c r="F93" s="4">
        <v>844.8</v>
      </c>
      <c r="G93" s="5">
        <v>85.093900000000005</v>
      </c>
      <c r="H93" s="5">
        <v>16.63</v>
      </c>
      <c r="I93" s="5">
        <v>696</v>
      </c>
      <c r="J93" s="4" t="s">
        <v>126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125</v>
      </c>
      <c r="E94" s="4" t="s">
        <v>66</v>
      </c>
      <c r="F94" s="4">
        <v>1000</v>
      </c>
      <c r="G94" s="5">
        <v>104.15740000000001</v>
      </c>
      <c r="H94" s="5">
        <v>12.46</v>
      </c>
      <c r="I94" s="5">
        <v>609</v>
      </c>
      <c r="J94" s="4" t="s">
        <v>126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125</v>
      </c>
      <c r="E95" s="4" t="s">
        <v>66</v>
      </c>
      <c r="F95" s="4">
        <v>1000</v>
      </c>
      <c r="G95" s="5">
        <v>109.64100000000001</v>
      </c>
      <c r="H95" s="5">
        <v>12.62</v>
      </c>
      <c r="I95" s="5">
        <v>1550</v>
      </c>
      <c r="J95" s="4" t="s">
        <v>126</v>
      </c>
    </row>
    <row r="96" spans="1:10" x14ac:dyDescent="0.25">
      <c r="A96" s="4">
        <f t="shared" ca="1" si="2"/>
        <v>93</v>
      </c>
      <c r="B96" s="4" t="s">
        <v>316</v>
      </c>
      <c r="C96" s="4" t="s">
        <v>116</v>
      </c>
      <c r="D96" s="4" t="s">
        <v>125</v>
      </c>
      <c r="E96" s="4" t="s">
        <v>66</v>
      </c>
      <c r="F96" s="4">
        <v>624.94200000000001</v>
      </c>
      <c r="G96" s="5">
        <v>66.887900000000002</v>
      </c>
      <c r="H96" s="5">
        <v>16.600000000000001</v>
      </c>
      <c r="I96" s="5">
        <v>3088</v>
      </c>
      <c r="J96" s="4" t="s">
        <v>126</v>
      </c>
    </row>
    <row r="97" spans="1:10" x14ac:dyDescent="0.25">
      <c r="A97" s="4">
        <f t="shared" ca="1" si="2"/>
        <v>94</v>
      </c>
      <c r="B97" s="4" t="s">
        <v>317</v>
      </c>
      <c r="C97" s="4" t="s">
        <v>72</v>
      </c>
      <c r="D97" s="4" t="s">
        <v>125</v>
      </c>
      <c r="E97" s="4" t="s">
        <v>66</v>
      </c>
      <c r="F97" s="4">
        <v>880.52100000000007</v>
      </c>
      <c r="G97" s="5">
        <v>91.330600000000004</v>
      </c>
      <c r="H97" s="5">
        <v>16.670000000000002</v>
      </c>
      <c r="I97" s="5">
        <v>570</v>
      </c>
      <c r="J97" s="4" t="s">
        <v>126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125</v>
      </c>
      <c r="E98" s="4" t="s">
        <v>66</v>
      </c>
      <c r="F98" s="4">
        <v>546.06100000000004</v>
      </c>
      <c r="G98" s="5">
        <v>56.095800000000004</v>
      </c>
      <c r="H98" s="5">
        <v>16.62</v>
      </c>
      <c r="I98" s="5">
        <v>6878</v>
      </c>
      <c r="J98" s="4" t="s">
        <v>126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125</v>
      </c>
      <c r="E99" s="4" t="s">
        <v>66</v>
      </c>
      <c r="F99" s="4">
        <v>1000</v>
      </c>
      <c r="G99" s="5">
        <v>102.02630000000001</v>
      </c>
      <c r="H99" s="5">
        <v>12.45</v>
      </c>
      <c r="I99" s="5">
        <v>307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125</v>
      </c>
      <c r="E100" s="4" t="s">
        <v>66</v>
      </c>
      <c r="F100" s="4">
        <v>1000</v>
      </c>
      <c r="G100" s="5">
        <v>105.24040000000001</v>
      </c>
      <c r="H100" s="5">
        <v>12.51</v>
      </c>
      <c r="I100" s="5">
        <v>1309</v>
      </c>
      <c r="J100" s="4" t="s">
        <v>126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125</v>
      </c>
      <c r="E101" s="4" t="s">
        <v>66</v>
      </c>
      <c r="F101" s="4">
        <v>1000</v>
      </c>
      <c r="G101" s="5">
        <v>106.21860000000001</v>
      </c>
      <c r="H101" s="5">
        <v>12.52</v>
      </c>
      <c r="I101" s="5">
        <v>1645</v>
      </c>
      <c r="J101" s="4" t="s">
        <v>126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125</v>
      </c>
      <c r="E102" s="4" t="s">
        <v>66</v>
      </c>
      <c r="F102" s="4">
        <v>1000</v>
      </c>
      <c r="G102" s="5">
        <v>103.1443</v>
      </c>
      <c r="H102" s="5">
        <v>12.38</v>
      </c>
      <c r="I102" s="5">
        <v>274</v>
      </c>
      <c r="J102" s="4" t="s">
        <v>126</v>
      </c>
    </row>
    <row r="103" spans="1:10" x14ac:dyDescent="0.25">
      <c r="A103" s="4">
        <f t="shared" ca="1" si="3"/>
        <v>100</v>
      </c>
      <c r="B103" s="4" t="s">
        <v>328</v>
      </c>
      <c r="C103" s="4" t="s">
        <v>77</v>
      </c>
      <c r="D103" s="4" t="s">
        <v>125</v>
      </c>
      <c r="E103" s="4" t="s">
        <v>66</v>
      </c>
      <c r="F103" s="4">
        <v>610.61</v>
      </c>
      <c r="G103" s="5">
        <v>67.763599999999997</v>
      </c>
      <c r="H103" s="5">
        <v>16.61</v>
      </c>
      <c r="I103" s="5">
        <v>3350</v>
      </c>
      <c r="J103" s="4" t="s">
        <v>126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125</v>
      </c>
      <c r="E104" s="4" t="s">
        <v>66</v>
      </c>
      <c r="F104" s="4">
        <v>916.33400000000006</v>
      </c>
      <c r="G104" s="5">
        <v>98.183400000000006</v>
      </c>
      <c r="H104" s="5">
        <v>16.7</v>
      </c>
      <c r="I104" s="5">
        <v>464</v>
      </c>
      <c r="J104" s="4" t="s">
        <v>126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125</v>
      </c>
      <c r="E105" s="4" t="s">
        <v>66</v>
      </c>
      <c r="F105" s="4">
        <v>898.02</v>
      </c>
      <c r="G105" s="5">
        <v>93.427000000000007</v>
      </c>
      <c r="H105" s="5">
        <v>16.66</v>
      </c>
      <c r="I105" s="5">
        <v>583</v>
      </c>
      <c r="J105" s="4" t="s">
        <v>126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125</v>
      </c>
      <c r="E106" s="4" t="s">
        <v>66</v>
      </c>
      <c r="F106" s="4">
        <v>604.26400000000001</v>
      </c>
      <c r="G106" s="5">
        <v>63.206000000000003</v>
      </c>
      <c r="H106" s="5">
        <v>16.61</v>
      </c>
      <c r="I106" s="5">
        <v>3898</v>
      </c>
      <c r="J106" s="4" t="s">
        <v>126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125</v>
      </c>
      <c r="E107" s="4" t="s">
        <v>66</v>
      </c>
      <c r="F107" s="4">
        <v>674.93</v>
      </c>
      <c r="G107" s="5">
        <v>73.122</v>
      </c>
      <c r="H107" s="5">
        <v>16.600000000000001</v>
      </c>
      <c r="I107" s="5">
        <v>2685</v>
      </c>
      <c r="J107" s="4" t="s">
        <v>126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125</v>
      </c>
      <c r="E108" s="4" t="s">
        <v>66</v>
      </c>
      <c r="F108" s="4">
        <v>665.52600000000007</v>
      </c>
      <c r="G108" s="5">
        <v>71.605100000000007</v>
      </c>
      <c r="H108" s="5">
        <v>16.600000000000001</v>
      </c>
      <c r="I108" s="5">
        <v>2704</v>
      </c>
      <c r="J108" s="4" t="s">
        <v>126</v>
      </c>
    </row>
    <row r="109" spans="1:10" x14ac:dyDescent="0.25">
      <c r="A109" s="4">
        <f t="shared" ca="1" si="3"/>
        <v>106</v>
      </c>
      <c r="B109" s="4" t="s">
        <v>339</v>
      </c>
      <c r="C109" s="4" t="s">
        <v>87</v>
      </c>
      <c r="D109" s="4" t="s">
        <v>125</v>
      </c>
      <c r="E109" s="4" t="s">
        <v>66</v>
      </c>
      <c r="F109" s="4">
        <v>691.94100000000003</v>
      </c>
      <c r="G109" s="5">
        <v>74.404899999999998</v>
      </c>
      <c r="H109" s="5">
        <v>16.59</v>
      </c>
      <c r="I109" s="5">
        <v>2332</v>
      </c>
      <c r="J109" s="4" t="s">
        <v>126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125</v>
      </c>
      <c r="E110" s="4" t="s">
        <v>66</v>
      </c>
      <c r="F110" s="4">
        <v>720.32800000000009</v>
      </c>
      <c r="G110" s="5">
        <v>76.674800000000005</v>
      </c>
      <c r="H110" s="5">
        <v>16.580000000000002</v>
      </c>
      <c r="I110" s="5">
        <v>1990</v>
      </c>
      <c r="J110" s="4" t="s">
        <v>126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125</v>
      </c>
      <c r="E111" s="4" t="s">
        <v>66</v>
      </c>
      <c r="F111" s="4">
        <v>607.38200000000006</v>
      </c>
      <c r="G111" s="5">
        <v>67.674000000000007</v>
      </c>
      <c r="H111" s="5">
        <v>16.62</v>
      </c>
      <c r="I111" s="5">
        <v>4094</v>
      </c>
      <c r="J111" s="4" t="s">
        <v>126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125</v>
      </c>
      <c r="E112" s="4" t="s">
        <v>66</v>
      </c>
      <c r="F112" s="4">
        <v>1000</v>
      </c>
      <c r="G112" s="5">
        <v>106.2885</v>
      </c>
      <c r="H112" s="5">
        <v>12.18</v>
      </c>
      <c r="I112" s="5">
        <v>182</v>
      </c>
      <c r="J112" s="4" t="s">
        <v>126</v>
      </c>
    </row>
    <row r="113" spans="1:10" x14ac:dyDescent="0.25">
      <c r="A113" s="4">
        <f t="shared" ca="1" si="3"/>
        <v>110</v>
      </c>
      <c r="B113" s="4" t="s">
        <v>346</v>
      </c>
      <c r="C113" s="4" t="s">
        <v>89</v>
      </c>
      <c r="D113" s="4" t="s">
        <v>125</v>
      </c>
      <c r="E113" s="4" t="s">
        <v>66</v>
      </c>
      <c r="F113" s="4">
        <v>765.93900000000008</v>
      </c>
      <c r="G113" s="5">
        <v>78.8339</v>
      </c>
      <c r="H113" s="5">
        <v>16.580000000000002</v>
      </c>
      <c r="I113" s="5">
        <v>1355</v>
      </c>
      <c r="J113" s="4" t="s">
        <v>126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125</v>
      </c>
      <c r="E114" s="4" t="s">
        <v>66</v>
      </c>
      <c r="F114" s="4">
        <v>744.37400000000002</v>
      </c>
      <c r="G114" s="5">
        <v>80.709400000000002</v>
      </c>
      <c r="H114" s="5">
        <v>16.600000000000001</v>
      </c>
      <c r="I114" s="5">
        <v>1530</v>
      </c>
      <c r="J114" s="4" t="s">
        <v>126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125</v>
      </c>
      <c r="E115" s="4" t="s">
        <v>66</v>
      </c>
      <c r="F115" s="4">
        <v>545.60599999999999</v>
      </c>
      <c r="G115" s="5">
        <v>61.977800000000002</v>
      </c>
      <c r="H115" s="5">
        <v>16.61</v>
      </c>
      <c r="I115" s="5">
        <v>4771</v>
      </c>
      <c r="J115" s="4" t="s">
        <v>126</v>
      </c>
    </row>
    <row r="116" spans="1:10" x14ac:dyDescent="0.25">
      <c r="A116" s="4">
        <f t="shared" ca="1" si="3"/>
        <v>113</v>
      </c>
      <c r="B116" s="4" t="s">
        <v>351</v>
      </c>
      <c r="C116" s="4" t="s">
        <v>97</v>
      </c>
      <c r="D116" s="4" t="s">
        <v>125</v>
      </c>
      <c r="E116" s="4" t="s">
        <v>66</v>
      </c>
      <c r="F116" s="4">
        <v>927.20699999999999</v>
      </c>
      <c r="G116" s="5">
        <v>94.248500000000007</v>
      </c>
      <c r="H116" s="5">
        <v>16.899999999999999</v>
      </c>
      <c r="I116" s="5">
        <v>264</v>
      </c>
      <c r="J116" s="4" t="s">
        <v>126</v>
      </c>
    </row>
    <row r="117" spans="1:10" x14ac:dyDescent="0.25">
      <c r="A117" s="4">
        <f t="shared" ca="1" si="3"/>
        <v>114</v>
      </c>
      <c r="B117" s="4" t="s">
        <v>352</v>
      </c>
      <c r="C117" s="4" t="s">
        <v>92</v>
      </c>
      <c r="D117" s="4" t="s">
        <v>125</v>
      </c>
      <c r="E117" s="4" t="s">
        <v>66</v>
      </c>
      <c r="F117" s="4">
        <v>827.55600000000004</v>
      </c>
      <c r="G117" s="5">
        <v>83.329800000000006</v>
      </c>
      <c r="H117" s="5">
        <v>16.63</v>
      </c>
      <c r="I117" s="5">
        <v>691</v>
      </c>
      <c r="J117" s="4" t="s">
        <v>126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125</v>
      </c>
      <c r="E118" s="4" t="s">
        <v>66</v>
      </c>
      <c r="F118" s="4">
        <v>764.92</v>
      </c>
      <c r="G118" s="5">
        <v>77.530900000000003</v>
      </c>
      <c r="H118" s="5">
        <v>16.600000000000001</v>
      </c>
      <c r="I118" s="5">
        <v>1028</v>
      </c>
      <c r="J118" s="4" t="s">
        <v>126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125</v>
      </c>
      <c r="E119" s="4" t="s">
        <v>66</v>
      </c>
      <c r="F119" s="4">
        <v>562.30100000000004</v>
      </c>
      <c r="G119" s="5">
        <v>59.083000000000006</v>
      </c>
      <c r="H119" s="5">
        <v>16.61</v>
      </c>
      <c r="I119" s="5">
        <v>4988</v>
      </c>
      <c r="J119" s="4" t="s">
        <v>126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125</v>
      </c>
      <c r="E120" s="4" t="s">
        <v>66</v>
      </c>
      <c r="F120" s="4">
        <v>557.82500000000005</v>
      </c>
      <c r="G120" s="5">
        <v>62.106500000000004</v>
      </c>
      <c r="H120" s="5">
        <v>16.62</v>
      </c>
      <c r="I120" s="5">
        <v>5204</v>
      </c>
      <c r="J120" s="4" t="s">
        <v>126</v>
      </c>
    </row>
    <row r="121" spans="1:10" x14ac:dyDescent="0.25">
      <c r="A121" s="4">
        <f t="shared" ca="1" si="3"/>
        <v>118</v>
      </c>
      <c r="B121" s="4" t="s">
        <v>359</v>
      </c>
      <c r="C121" s="4" t="s">
        <v>83</v>
      </c>
      <c r="D121" s="4" t="s">
        <v>125</v>
      </c>
      <c r="E121" s="4" t="s">
        <v>66</v>
      </c>
      <c r="F121" s="4">
        <v>863.09100000000001</v>
      </c>
      <c r="G121" s="5">
        <v>93.581299999999999</v>
      </c>
      <c r="H121" s="5">
        <v>16.59</v>
      </c>
      <c r="I121" s="5">
        <v>1220</v>
      </c>
      <c r="J121" s="4" t="s">
        <v>126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125</v>
      </c>
      <c r="E122" s="4" t="s">
        <v>66</v>
      </c>
      <c r="F122" s="4">
        <v>957.08699999999999</v>
      </c>
      <c r="G122" s="5">
        <v>99.374000000000009</v>
      </c>
      <c r="H122" s="5">
        <v>16.920000000000002</v>
      </c>
      <c r="I122" s="5">
        <v>218</v>
      </c>
      <c r="J122" s="4" t="s">
        <v>126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125</v>
      </c>
      <c r="E123" s="4" t="s">
        <v>66</v>
      </c>
      <c r="F123" s="4">
        <v>1000</v>
      </c>
      <c r="G123" s="5">
        <v>112.1392</v>
      </c>
      <c r="H123" s="5">
        <v>12.65</v>
      </c>
      <c r="I123" s="5">
        <v>1112</v>
      </c>
      <c r="J123" s="4" t="s">
        <v>126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125</v>
      </c>
      <c r="E124" s="4" t="s">
        <v>66</v>
      </c>
      <c r="F124" s="4">
        <v>1000</v>
      </c>
      <c r="G124" s="5">
        <v>108.3497</v>
      </c>
      <c r="H124" s="5">
        <v>12.06</v>
      </c>
      <c r="I124" s="5">
        <v>122</v>
      </c>
      <c r="J124" s="4" t="s">
        <v>126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125</v>
      </c>
      <c r="E125" s="4" t="s">
        <v>66</v>
      </c>
      <c r="F125" s="4">
        <v>1000</v>
      </c>
      <c r="G125" s="5">
        <v>109.4328</v>
      </c>
      <c r="H125" s="5">
        <v>12.52</v>
      </c>
      <c r="I125" s="5">
        <v>1189</v>
      </c>
      <c r="J125" s="4" t="s">
        <v>126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125</v>
      </c>
      <c r="E126" s="4" t="s">
        <v>66</v>
      </c>
      <c r="F126" s="4">
        <v>866.32</v>
      </c>
      <c r="G126" s="5">
        <v>87.533600000000007</v>
      </c>
      <c r="H126" s="5">
        <v>16.59</v>
      </c>
      <c r="I126" s="5">
        <v>1065</v>
      </c>
      <c r="J126" s="4" t="s">
        <v>126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125</v>
      </c>
      <c r="E127" s="4" t="s">
        <v>66</v>
      </c>
      <c r="F127" s="4">
        <v>1000</v>
      </c>
      <c r="G127" s="5">
        <v>109.53760000000001</v>
      </c>
      <c r="H127" s="5">
        <v>12.5</v>
      </c>
      <c r="I127" s="5">
        <v>820</v>
      </c>
      <c r="J127" s="4" t="s">
        <v>126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125</v>
      </c>
      <c r="E128" s="4" t="s">
        <v>66</v>
      </c>
      <c r="F128" s="4">
        <v>580.59500000000003</v>
      </c>
      <c r="G128" s="5">
        <v>61.328900000000004</v>
      </c>
      <c r="H128" s="5">
        <v>16.59</v>
      </c>
      <c r="I128" s="5">
        <v>2340</v>
      </c>
      <c r="J128" s="4" t="s">
        <v>126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125</v>
      </c>
      <c r="E129" s="4" t="s">
        <v>66</v>
      </c>
      <c r="F129" s="4">
        <v>789.54399999999998</v>
      </c>
      <c r="G129" s="5">
        <v>85.933700000000002</v>
      </c>
      <c r="H129" s="5">
        <v>16.59</v>
      </c>
      <c r="I129" s="5">
        <v>1109</v>
      </c>
      <c r="J129" s="4" t="s">
        <v>126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125</v>
      </c>
      <c r="E130" s="4" t="s">
        <v>66</v>
      </c>
      <c r="F130" s="4">
        <v>784.42700000000002</v>
      </c>
      <c r="G130" s="5">
        <v>81.4983</v>
      </c>
      <c r="H130" s="5">
        <v>16.600000000000001</v>
      </c>
      <c r="I130" s="5">
        <v>873</v>
      </c>
      <c r="J130" s="4" t="s">
        <v>126</v>
      </c>
    </row>
    <row r="131" spans="1:10" x14ac:dyDescent="0.25">
      <c r="A131" s="4">
        <f t="shared" ca="1" si="3"/>
        <v>128</v>
      </c>
      <c r="B131" s="4" t="s">
        <v>378</v>
      </c>
      <c r="C131" s="4" t="s">
        <v>85</v>
      </c>
      <c r="D131" s="4" t="s">
        <v>125</v>
      </c>
      <c r="E131" s="4" t="s">
        <v>66</v>
      </c>
      <c r="F131" s="4">
        <v>768.98</v>
      </c>
      <c r="G131" s="5">
        <v>80.507199999999997</v>
      </c>
      <c r="H131" s="5">
        <v>16.59</v>
      </c>
      <c r="I131" s="5">
        <v>2433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104</v>
      </c>
      <c r="D132" s="4" t="s">
        <v>125</v>
      </c>
      <c r="E132" s="4" t="s">
        <v>66</v>
      </c>
      <c r="F132" s="4">
        <v>841.98700000000008</v>
      </c>
      <c r="G132" s="5">
        <v>87.715400000000002</v>
      </c>
      <c r="H132" s="5">
        <v>16.57</v>
      </c>
      <c r="I132" s="5">
        <v>1339</v>
      </c>
      <c r="J132" s="4" t="s">
        <v>126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125</v>
      </c>
      <c r="E133" s="4" t="s">
        <v>66</v>
      </c>
      <c r="F133" s="4">
        <v>1000</v>
      </c>
      <c r="G133" s="5">
        <v>102.0612</v>
      </c>
      <c r="H133" s="5">
        <v>12.55</v>
      </c>
      <c r="I133" s="5">
        <v>1767</v>
      </c>
      <c r="J133" s="4" t="s">
        <v>126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125</v>
      </c>
      <c r="E134" s="4" t="s">
        <v>66</v>
      </c>
      <c r="F134" s="4">
        <v>1000</v>
      </c>
      <c r="G134" s="5">
        <v>111.494</v>
      </c>
      <c r="H134" s="5">
        <v>12.56</v>
      </c>
      <c r="I134" s="5">
        <v>2223</v>
      </c>
      <c r="J134" s="4" t="s">
        <v>126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125</v>
      </c>
      <c r="E135" s="4" t="s">
        <v>66</v>
      </c>
      <c r="F135" s="4">
        <v>1000</v>
      </c>
      <c r="G135" s="5">
        <v>102.1311</v>
      </c>
      <c r="H135" s="5">
        <v>12.55</v>
      </c>
      <c r="I135" s="5">
        <v>2130</v>
      </c>
      <c r="J135" s="4" t="s">
        <v>126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125</v>
      </c>
      <c r="E136" s="4" t="s">
        <v>66</v>
      </c>
      <c r="F136" s="4">
        <v>921.51700000000005</v>
      </c>
      <c r="G136" s="5">
        <v>97.611699999999999</v>
      </c>
      <c r="H136" s="5">
        <v>16.670000000000002</v>
      </c>
      <c r="I136" s="5">
        <v>538</v>
      </c>
      <c r="J136" s="4" t="s">
        <v>126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125</v>
      </c>
      <c r="E137" s="4" t="s">
        <v>66</v>
      </c>
      <c r="F137" s="4">
        <v>724.02800000000002</v>
      </c>
      <c r="G137" s="5">
        <v>81.611100000000008</v>
      </c>
      <c r="H137" s="5">
        <v>16.62</v>
      </c>
      <c r="I137" s="5">
        <v>4080</v>
      </c>
      <c r="J137" s="4" t="s">
        <v>126</v>
      </c>
    </row>
    <row r="138" spans="1:10" x14ac:dyDescent="0.25">
      <c r="A138" s="4">
        <f t="shared" ca="1" si="4"/>
        <v>135</v>
      </c>
      <c r="B138" s="4" t="s">
        <v>390</v>
      </c>
      <c r="C138" s="4" t="s">
        <v>114</v>
      </c>
      <c r="D138" s="4" t="s">
        <v>125</v>
      </c>
      <c r="E138" s="4" t="s">
        <v>66</v>
      </c>
      <c r="F138" s="4">
        <v>991.11</v>
      </c>
      <c r="G138" s="5">
        <v>102.8751</v>
      </c>
      <c r="H138" s="5">
        <v>16.71</v>
      </c>
      <c r="I138" s="5">
        <v>55</v>
      </c>
      <c r="J138" s="4" t="s">
        <v>126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125</v>
      </c>
      <c r="E139" s="4" t="s">
        <v>66</v>
      </c>
      <c r="F139" s="4">
        <v>838.67100000000005</v>
      </c>
      <c r="G139" s="5">
        <v>92.850400000000008</v>
      </c>
      <c r="H139" s="5">
        <v>16.61</v>
      </c>
      <c r="I139" s="5">
        <v>1530</v>
      </c>
      <c r="J139" s="4" t="s">
        <v>126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125</v>
      </c>
      <c r="E140" s="4" t="s">
        <v>66</v>
      </c>
      <c r="F140" s="4">
        <v>714.875</v>
      </c>
      <c r="G140" s="5">
        <v>74.272300000000001</v>
      </c>
      <c r="H140" s="5">
        <v>16.61</v>
      </c>
      <c r="I140" s="5">
        <v>3924</v>
      </c>
      <c r="J140" s="4" t="s">
        <v>126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125</v>
      </c>
      <c r="E141" s="4" t="s">
        <v>66</v>
      </c>
      <c r="F141" s="4">
        <v>718.22900000000004</v>
      </c>
      <c r="G141" s="5">
        <v>79.722099999999998</v>
      </c>
      <c r="H141" s="5">
        <v>16.62</v>
      </c>
      <c r="I141" s="5">
        <v>3004</v>
      </c>
      <c r="J141" s="4" t="s">
        <v>126</v>
      </c>
    </row>
    <row r="142" spans="1:10" x14ac:dyDescent="0.25">
      <c r="A142" s="4">
        <f t="shared" ca="1" si="4"/>
        <v>139</v>
      </c>
      <c r="B142" s="4" t="s">
        <v>397</v>
      </c>
      <c r="C142" s="4" t="s">
        <v>109</v>
      </c>
      <c r="D142" s="4" t="s">
        <v>125</v>
      </c>
      <c r="E142" s="4" t="s">
        <v>66</v>
      </c>
      <c r="F142" s="4">
        <v>883.87300000000005</v>
      </c>
      <c r="G142" s="5">
        <v>94.916200000000003</v>
      </c>
      <c r="H142" s="5">
        <v>16.61</v>
      </c>
      <c r="I142" s="5">
        <v>867</v>
      </c>
      <c r="J142" s="4" t="s">
        <v>126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125</v>
      </c>
      <c r="E143" s="4" t="s">
        <v>66</v>
      </c>
      <c r="F143" s="4">
        <v>963.52500000000009</v>
      </c>
      <c r="G143" s="5">
        <v>99.677499999999995</v>
      </c>
      <c r="H143" s="5">
        <v>16.28</v>
      </c>
      <c r="I143" s="5">
        <v>250</v>
      </c>
      <c r="J143" s="4" t="s">
        <v>126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125</v>
      </c>
      <c r="E144" s="4" t="s">
        <v>66</v>
      </c>
      <c r="F144" s="4">
        <v>707.87600000000009</v>
      </c>
      <c r="G144" s="5">
        <v>78.133400000000009</v>
      </c>
      <c r="H144" s="5">
        <v>16.600000000000001</v>
      </c>
      <c r="I144" s="5">
        <v>3390</v>
      </c>
      <c r="J144" s="4" t="s">
        <v>126</v>
      </c>
    </row>
    <row r="145" spans="1:10" x14ac:dyDescent="0.25">
      <c r="A145" s="4">
        <f t="shared" ca="1" si="4"/>
        <v>142</v>
      </c>
      <c r="B145" s="4" t="s">
        <v>402</v>
      </c>
      <c r="C145" s="4" t="s">
        <v>95</v>
      </c>
      <c r="D145" s="4" t="s">
        <v>125</v>
      </c>
      <c r="E145" s="4" t="s">
        <v>66</v>
      </c>
      <c r="F145" s="4">
        <v>787.66200000000003</v>
      </c>
      <c r="G145" s="5">
        <v>85.947600000000008</v>
      </c>
      <c r="H145" s="5">
        <v>16.57</v>
      </c>
      <c r="I145" s="5">
        <v>1936</v>
      </c>
      <c r="J145" s="4" t="s">
        <v>126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125</v>
      </c>
      <c r="E146" s="4" t="s">
        <v>66</v>
      </c>
      <c r="F146" s="4">
        <v>750.95800000000008</v>
      </c>
      <c r="G146" s="5">
        <v>77.916800000000009</v>
      </c>
      <c r="H146" s="5">
        <v>16.600000000000001</v>
      </c>
      <c r="I146" s="5">
        <v>2826</v>
      </c>
      <c r="J146" s="4" t="s">
        <v>126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125</v>
      </c>
      <c r="E147" s="4" t="s">
        <v>66</v>
      </c>
      <c r="F147" s="4">
        <v>982.37400000000002</v>
      </c>
      <c r="G147" s="5">
        <v>101.01740000000001</v>
      </c>
      <c r="H147" s="5">
        <v>16.25</v>
      </c>
      <c r="I147" s="5">
        <v>293</v>
      </c>
      <c r="J147" s="4" t="s">
        <v>126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125</v>
      </c>
      <c r="E148" s="4" t="s">
        <v>66</v>
      </c>
      <c r="F148" s="4">
        <v>989.09100000000001</v>
      </c>
      <c r="G148" s="5">
        <v>99.33550000000001</v>
      </c>
      <c r="H148" s="5">
        <v>16.010000000000002</v>
      </c>
      <c r="I148" s="5">
        <v>721</v>
      </c>
      <c r="J148" s="4" t="s">
        <v>126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125</v>
      </c>
      <c r="E149" s="4" t="s">
        <v>66</v>
      </c>
      <c r="F149" s="4">
        <v>899.05900000000008</v>
      </c>
      <c r="G149" s="5">
        <v>97.255900000000011</v>
      </c>
      <c r="H149" s="5">
        <v>16.59</v>
      </c>
      <c r="I149" s="5">
        <v>2365</v>
      </c>
      <c r="J149" s="4" t="s">
        <v>126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125</v>
      </c>
      <c r="E150" s="4" t="s">
        <v>66</v>
      </c>
      <c r="F150" s="4">
        <v>967.33500000000004</v>
      </c>
      <c r="G150" s="5">
        <v>107.99600000000001</v>
      </c>
      <c r="H150" s="5">
        <v>16.580000000000002</v>
      </c>
      <c r="I150" s="5">
        <v>1192</v>
      </c>
      <c r="J150" s="4" t="s">
        <v>126</v>
      </c>
    </row>
    <row r="151" spans="1:10" x14ac:dyDescent="0.25">
      <c r="A151" s="4">
        <f t="shared" ca="1" si="4"/>
        <v>148</v>
      </c>
      <c r="B151" s="4" t="s">
        <v>413</v>
      </c>
      <c r="C151" s="4" t="s">
        <v>414</v>
      </c>
      <c r="D151" s="4" t="s">
        <v>125</v>
      </c>
      <c r="E151" s="4" t="s">
        <v>66</v>
      </c>
      <c r="F151" s="4">
        <v>1000</v>
      </c>
      <c r="G151" s="5">
        <v>103.8357</v>
      </c>
      <c r="H151" s="5">
        <v>17.350000000000001</v>
      </c>
      <c r="I151" s="5">
        <v>286</v>
      </c>
      <c r="J151" s="4" t="s">
        <v>126</v>
      </c>
    </row>
    <row r="152" spans="1:10" x14ac:dyDescent="0.25">
      <c r="A152" s="4">
        <f t="shared" ca="1" si="4"/>
        <v>149</v>
      </c>
      <c r="B152" s="4" t="s">
        <v>415</v>
      </c>
      <c r="C152" s="4" t="s">
        <v>416</v>
      </c>
      <c r="D152" s="4" t="s">
        <v>125</v>
      </c>
      <c r="E152" s="4" t="s">
        <v>66</v>
      </c>
      <c r="F152" s="4">
        <v>909.14600000000007</v>
      </c>
      <c r="G152" s="5">
        <v>98.536799999999999</v>
      </c>
      <c r="H152" s="5">
        <v>16.580000000000002</v>
      </c>
      <c r="I152" s="5">
        <v>1992</v>
      </c>
      <c r="J152" s="4" t="s">
        <v>126</v>
      </c>
    </row>
    <row r="153" spans="1:10" x14ac:dyDescent="0.25">
      <c r="A153" s="4">
        <f t="shared" ca="1" si="4"/>
        <v>150</v>
      </c>
      <c r="B153" s="4" t="s">
        <v>417</v>
      </c>
      <c r="C153" s="4" t="s">
        <v>418</v>
      </c>
      <c r="D153" s="4" t="s">
        <v>125</v>
      </c>
      <c r="E153" s="4" t="s">
        <v>66</v>
      </c>
      <c r="F153" s="4">
        <v>986.33600000000001</v>
      </c>
      <c r="G153" s="5">
        <v>104.5155</v>
      </c>
      <c r="H153" s="5">
        <v>16.28</v>
      </c>
      <c r="I153" s="5">
        <v>209</v>
      </c>
      <c r="J153" s="4" t="s">
        <v>126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125</v>
      </c>
      <c r="E154" s="4" t="s">
        <v>66</v>
      </c>
      <c r="F154" s="4">
        <v>908.51600000000008</v>
      </c>
      <c r="G154" s="5">
        <v>97.795600000000007</v>
      </c>
      <c r="H154" s="5">
        <v>16.600000000000001</v>
      </c>
      <c r="I154" s="5">
        <v>2747</v>
      </c>
      <c r="J154" s="4" t="s">
        <v>126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125</v>
      </c>
      <c r="E155" s="4" t="s">
        <v>66</v>
      </c>
      <c r="F155" s="4">
        <v>845.18600000000004</v>
      </c>
      <c r="G155" s="5">
        <v>93.718600000000009</v>
      </c>
      <c r="H155" s="5">
        <v>16.600000000000001</v>
      </c>
      <c r="I155" s="5">
        <v>1913</v>
      </c>
      <c r="J155" s="4" t="s">
        <v>126</v>
      </c>
    </row>
    <row r="156" spans="1:10" x14ac:dyDescent="0.25">
      <c r="A156" s="4">
        <f t="shared" ca="1" si="4"/>
        <v>153</v>
      </c>
      <c r="B156" s="4" t="s">
        <v>423</v>
      </c>
      <c r="C156" s="4" t="s">
        <v>106</v>
      </c>
      <c r="D156" s="4" t="s">
        <v>125</v>
      </c>
      <c r="E156" s="4" t="s">
        <v>66</v>
      </c>
      <c r="F156" s="4">
        <v>1027.712</v>
      </c>
      <c r="G156" s="5">
        <v>108.01600000000001</v>
      </c>
      <c r="H156" s="5">
        <v>15.96</v>
      </c>
      <c r="I156" s="5">
        <v>1349</v>
      </c>
      <c r="J156" s="4" t="s">
        <v>126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125</v>
      </c>
      <c r="E157" s="4" t="s">
        <v>66</v>
      </c>
      <c r="F157" s="4">
        <v>906.99400000000003</v>
      </c>
      <c r="G157" s="5">
        <v>101.2522</v>
      </c>
      <c r="H157" s="5">
        <v>16.59</v>
      </c>
      <c r="I157" s="5">
        <v>3021</v>
      </c>
      <c r="J157" s="4" t="s">
        <v>126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125</v>
      </c>
      <c r="E158" s="4" t="s">
        <v>66</v>
      </c>
      <c r="F158" s="4">
        <v>923.71199999999999</v>
      </c>
      <c r="G158" s="5">
        <v>102.99680000000001</v>
      </c>
      <c r="H158" s="5">
        <v>16.59</v>
      </c>
      <c r="I158" s="5">
        <v>2291</v>
      </c>
      <c r="J158" s="4" t="s">
        <v>126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125</v>
      </c>
      <c r="E159" s="4" t="s">
        <v>66</v>
      </c>
      <c r="F159" s="4">
        <v>868.60900000000004</v>
      </c>
      <c r="G159" s="5">
        <v>94.145899999999997</v>
      </c>
      <c r="H159" s="5">
        <v>16.61</v>
      </c>
      <c r="I159" s="5">
        <v>4559</v>
      </c>
      <c r="J159" s="4" t="s">
        <v>126</v>
      </c>
    </row>
    <row r="160" spans="1:10" x14ac:dyDescent="0.25">
      <c r="A160" s="4">
        <f t="shared" ca="1" si="4"/>
        <v>157</v>
      </c>
      <c r="B160" s="4" t="s">
        <v>430</v>
      </c>
      <c r="C160" s="4" t="s">
        <v>431</v>
      </c>
      <c r="D160" s="4" t="s">
        <v>125</v>
      </c>
      <c r="E160" s="4" t="s">
        <v>66</v>
      </c>
      <c r="F160" s="4">
        <v>1000</v>
      </c>
      <c r="G160" s="5">
        <v>109.961</v>
      </c>
      <c r="H160" s="5">
        <v>15</v>
      </c>
      <c r="I160" s="5">
        <v>1950</v>
      </c>
      <c r="J160" s="4" t="s">
        <v>126</v>
      </c>
    </row>
    <row r="161" spans="1:10" x14ac:dyDescent="0.25">
      <c r="A161" s="4">
        <f t="shared" ca="1" si="4"/>
        <v>158</v>
      </c>
      <c r="B161" s="4" t="s">
        <v>432</v>
      </c>
      <c r="C161" s="4" t="s">
        <v>80</v>
      </c>
      <c r="D161" s="4" t="s">
        <v>125</v>
      </c>
      <c r="E161" s="4" t="s">
        <v>66</v>
      </c>
      <c r="F161" s="4">
        <v>865.52800000000002</v>
      </c>
      <c r="G161" s="5">
        <v>95.252800000000008</v>
      </c>
      <c r="H161" s="5">
        <v>16.57</v>
      </c>
      <c r="I161" s="5">
        <v>1561</v>
      </c>
      <c r="J161" s="4" t="s">
        <v>126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125</v>
      </c>
      <c r="E162" s="4" t="s">
        <v>66</v>
      </c>
      <c r="F162" s="4">
        <v>92.997399999999999</v>
      </c>
      <c r="G162" s="5">
        <v>92.997399999999999</v>
      </c>
      <c r="H162" s="5">
        <v>16.36</v>
      </c>
      <c r="I162" s="5">
        <v>169</v>
      </c>
      <c r="J162" s="4" t="s">
        <v>126</v>
      </c>
    </row>
    <row r="163" spans="1:10" x14ac:dyDescent="0.25">
      <c r="A163" s="4">
        <f t="shared" ca="1" si="4"/>
        <v>160</v>
      </c>
      <c r="B163" s="4" t="s">
        <v>435</v>
      </c>
      <c r="C163" s="4" t="s">
        <v>102</v>
      </c>
      <c r="D163" s="4" t="s">
        <v>125</v>
      </c>
      <c r="E163" s="4" t="s">
        <v>66</v>
      </c>
      <c r="F163" s="4">
        <v>96.9893</v>
      </c>
      <c r="G163" s="5">
        <v>96.9893</v>
      </c>
      <c r="H163" s="5">
        <v>16.190000000000001</v>
      </c>
      <c r="I163" s="5">
        <v>71</v>
      </c>
      <c r="J163" s="4" t="s">
        <v>126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436</v>
      </c>
      <c r="C164" s="4" t="s">
        <v>437</v>
      </c>
      <c r="D164" s="4" t="s">
        <v>125</v>
      </c>
      <c r="E164" s="4" t="s">
        <v>66</v>
      </c>
      <c r="F164" s="4">
        <v>878.88</v>
      </c>
      <c r="G164" s="5">
        <v>98.971299999999999</v>
      </c>
      <c r="H164" s="5">
        <v>16.62</v>
      </c>
      <c r="I164" s="5">
        <v>3365</v>
      </c>
      <c r="J164" s="4" t="s">
        <v>126</v>
      </c>
    </row>
    <row r="165" spans="1:10" x14ac:dyDescent="0.25">
      <c r="A165" s="4">
        <f t="shared" ca="1" si="5"/>
        <v>162</v>
      </c>
      <c r="B165" s="4" t="s">
        <v>438</v>
      </c>
      <c r="C165" s="4" t="s">
        <v>67</v>
      </c>
      <c r="D165" s="4" t="s">
        <v>125</v>
      </c>
      <c r="E165" s="4" t="s">
        <v>66</v>
      </c>
      <c r="F165" s="4">
        <v>0.98941799999999991</v>
      </c>
      <c r="G165" s="5">
        <v>99.583400000000012</v>
      </c>
      <c r="H165" s="5">
        <v>4.8600000000000003</v>
      </c>
      <c r="I165" s="5">
        <v>3420</v>
      </c>
      <c r="J165" s="4" t="s">
        <v>126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125</v>
      </c>
      <c r="E166" s="4" t="s">
        <v>66</v>
      </c>
      <c r="F166" s="4">
        <v>1032.27</v>
      </c>
      <c r="G166" s="5">
        <v>105.53410000000001</v>
      </c>
      <c r="H166" s="5">
        <v>15.95</v>
      </c>
      <c r="I166" s="5">
        <v>1777</v>
      </c>
      <c r="J166" s="4" t="s">
        <v>126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120</v>
      </c>
      <c r="E167" s="4" t="s">
        <v>443</v>
      </c>
      <c r="F167" s="4">
        <v>318.95</v>
      </c>
      <c r="G167" s="5"/>
      <c r="H167" s="5"/>
      <c r="I167" s="5"/>
      <c r="J167" s="4" t="s">
        <v>122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120</v>
      </c>
      <c r="E168" s="4" t="s">
        <v>443</v>
      </c>
      <c r="F168" s="4">
        <v>24.05</v>
      </c>
      <c r="G168" s="5"/>
      <c r="H168" s="5"/>
      <c r="I168" s="5"/>
      <c r="J168" s="4" t="s">
        <v>223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125</v>
      </c>
      <c r="E169" s="4" t="s">
        <v>448</v>
      </c>
      <c r="F169" s="4">
        <v>875.86700000000008</v>
      </c>
      <c r="G169" s="5">
        <v>88.137799999999999</v>
      </c>
      <c r="H169" s="5">
        <v>17.990000000000002</v>
      </c>
      <c r="I169" s="5">
        <v>1081</v>
      </c>
      <c r="J169" s="4" t="s">
        <v>126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120</v>
      </c>
      <c r="E170" s="4" t="s">
        <v>451</v>
      </c>
      <c r="F170" s="4">
        <v>833.47</v>
      </c>
      <c r="G170" s="5"/>
      <c r="H170" s="5"/>
      <c r="I170" s="5"/>
      <c r="J170" s="4" t="s">
        <v>122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125</v>
      </c>
      <c r="E171" s="4" t="s">
        <v>454</v>
      </c>
      <c r="F171" s="4">
        <v>0.87198599999999993</v>
      </c>
      <c r="G171" s="5">
        <v>87.378900000000002</v>
      </c>
      <c r="H171" s="5">
        <v>5.72</v>
      </c>
      <c r="I171" s="5">
        <v>1986</v>
      </c>
      <c r="J171" s="4" t="s">
        <v>126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125</v>
      </c>
      <c r="E172" s="4" t="s">
        <v>454</v>
      </c>
      <c r="F172" s="4">
        <v>1001.758</v>
      </c>
      <c r="G172" s="5">
        <v>100.6862</v>
      </c>
      <c r="H172" s="5">
        <v>5.2</v>
      </c>
      <c r="I172" s="5">
        <v>1426</v>
      </c>
      <c r="J172" s="4" t="s">
        <v>126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125</v>
      </c>
      <c r="E173" s="4" t="s">
        <v>454</v>
      </c>
      <c r="F173" s="4">
        <v>0.98961999999999994</v>
      </c>
      <c r="G173" s="5">
        <v>99.498699999999999</v>
      </c>
      <c r="H173" s="5">
        <v>4.83</v>
      </c>
      <c r="I173" s="5">
        <v>1891</v>
      </c>
      <c r="J173" s="4" t="s">
        <v>126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125</v>
      </c>
      <c r="E174" s="4" t="s">
        <v>454</v>
      </c>
      <c r="F174" s="4">
        <v>1.0352589999999999</v>
      </c>
      <c r="G174" s="5">
        <v>104.3228</v>
      </c>
      <c r="H174" s="5">
        <v>4.72</v>
      </c>
      <c r="I174" s="5">
        <v>1592</v>
      </c>
      <c r="J174" s="4" t="s">
        <v>126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125</v>
      </c>
      <c r="E175" s="4" t="s">
        <v>454</v>
      </c>
      <c r="F175" s="4">
        <v>1.0075619999999998</v>
      </c>
      <c r="G175" s="5">
        <v>101.5639</v>
      </c>
      <c r="H175" s="5">
        <v>3.06</v>
      </c>
      <c r="I175" s="5">
        <v>1009</v>
      </c>
      <c r="J175" s="4" t="s">
        <v>126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125</v>
      </c>
      <c r="E176" s="4" t="s">
        <v>465</v>
      </c>
      <c r="F176" s="4">
        <v>1040.123</v>
      </c>
      <c r="G176" s="5">
        <v>110.95710000000001</v>
      </c>
      <c r="H176" s="5">
        <v>17.91</v>
      </c>
      <c r="I176" s="5">
        <v>1515</v>
      </c>
      <c r="J176" s="4" t="s">
        <v>126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120</v>
      </c>
      <c r="E177" s="4" t="s">
        <v>468</v>
      </c>
      <c r="F177" s="4">
        <v>27987.88</v>
      </c>
      <c r="G177" s="5"/>
      <c r="H177" s="5"/>
      <c r="I177" s="5"/>
      <c r="J177" s="4" t="s">
        <v>122</v>
      </c>
    </row>
    <row r="178" spans="1:10" x14ac:dyDescent="0.25">
      <c r="A178" s="4">
        <f t="shared" ca="1" si="5"/>
        <v>175</v>
      </c>
      <c r="B178" s="4" t="s">
        <v>469</v>
      </c>
      <c r="C178" s="4" t="s">
        <v>470</v>
      </c>
      <c r="D178" s="4" t="s">
        <v>120</v>
      </c>
      <c r="E178" s="4" t="s">
        <v>471</v>
      </c>
      <c r="F178" s="4">
        <v>38927.69</v>
      </c>
      <c r="G178" s="5"/>
      <c r="H178" s="5"/>
      <c r="I178" s="5"/>
      <c r="J178" s="4" t="s">
        <v>122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125</v>
      </c>
      <c r="E179" s="4" t="s">
        <v>474</v>
      </c>
      <c r="F179" s="4">
        <v>1001.3470000000001</v>
      </c>
      <c r="G179" s="5">
        <v>102.82640000000001</v>
      </c>
      <c r="H179" s="5">
        <v>18.93</v>
      </c>
      <c r="I179" s="5">
        <v>1775</v>
      </c>
      <c r="J179" s="4" t="s">
        <v>126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125</v>
      </c>
      <c r="E180" s="4" t="s">
        <v>474</v>
      </c>
      <c r="F180" s="4">
        <v>1001.3470000000001</v>
      </c>
      <c r="G180" s="5">
        <v>102.82640000000001</v>
      </c>
      <c r="H180" s="5">
        <v>18.93</v>
      </c>
      <c r="I180" s="5">
        <v>1775</v>
      </c>
      <c r="J180" s="4" t="s">
        <v>126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125</v>
      </c>
      <c r="E181" s="4" t="s">
        <v>479</v>
      </c>
      <c r="F181" s="4">
        <v>99.965100000000007</v>
      </c>
      <c r="G181" s="5">
        <v>102.16510000000001</v>
      </c>
      <c r="H181" s="5">
        <v>11</v>
      </c>
      <c r="I181" s="5">
        <v>293</v>
      </c>
      <c r="J181" s="4" t="s">
        <v>126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120</v>
      </c>
      <c r="E182" s="4" t="s">
        <v>482</v>
      </c>
      <c r="F182" s="4">
        <v>877.68</v>
      </c>
      <c r="G182" s="5"/>
      <c r="H182" s="5"/>
      <c r="I182" s="5"/>
      <c r="J182" s="4" t="s">
        <v>122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125</v>
      </c>
      <c r="E183" s="4" t="s">
        <v>73</v>
      </c>
      <c r="F183" s="4">
        <v>1.0002869999999999</v>
      </c>
      <c r="G183" s="5">
        <v>101.1091</v>
      </c>
      <c r="H183" s="5">
        <v>5.6</v>
      </c>
      <c r="I183" s="5">
        <v>113</v>
      </c>
      <c r="J183" s="4" t="s">
        <v>126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125</v>
      </c>
      <c r="E184" s="4" t="s">
        <v>73</v>
      </c>
      <c r="F184" s="4">
        <v>1000</v>
      </c>
      <c r="G184" s="5">
        <v>103.2274</v>
      </c>
      <c r="H184" s="5">
        <v>18.95</v>
      </c>
      <c r="I184" s="5">
        <v>851</v>
      </c>
      <c r="J184" s="4" t="s">
        <v>126</v>
      </c>
    </row>
    <row r="185" spans="1:10" x14ac:dyDescent="0.25">
      <c r="A185" s="4">
        <f t="shared" ca="1" si="5"/>
        <v>182</v>
      </c>
      <c r="B185" s="4" t="s">
        <v>487</v>
      </c>
      <c r="C185" s="4" t="s">
        <v>111</v>
      </c>
      <c r="D185" s="4" t="s">
        <v>125</v>
      </c>
      <c r="E185" s="4" t="s">
        <v>73</v>
      </c>
      <c r="F185" s="4">
        <v>951.06278098146311</v>
      </c>
      <c r="G185" s="5">
        <v>98.482678100000001</v>
      </c>
      <c r="H185" s="5">
        <v>17.62</v>
      </c>
      <c r="I185" s="5">
        <v>645</v>
      </c>
      <c r="J185" s="4" t="s">
        <v>126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125</v>
      </c>
      <c r="E186" s="4" t="s">
        <v>73</v>
      </c>
      <c r="F186" s="4">
        <v>1000</v>
      </c>
      <c r="G186" s="5">
        <v>104.9452</v>
      </c>
      <c r="H186" s="5">
        <v>18.940000000000001</v>
      </c>
      <c r="I186" s="5">
        <v>820</v>
      </c>
      <c r="J186" s="4" t="s">
        <v>126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125</v>
      </c>
      <c r="E187" s="4" t="s">
        <v>492</v>
      </c>
      <c r="F187" s="4">
        <v>1.017808</v>
      </c>
      <c r="G187" s="5">
        <v>102.0836</v>
      </c>
      <c r="H187" s="5">
        <v>4.67</v>
      </c>
      <c r="I187" s="5">
        <v>893</v>
      </c>
      <c r="J187" s="4" t="s">
        <v>126</v>
      </c>
    </row>
    <row r="188" spans="1:10" x14ac:dyDescent="0.25">
      <c r="A188" s="4">
        <f t="shared" ca="1" si="5"/>
        <v>185</v>
      </c>
      <c r="B188" s="4" t="s">
        <v>493</v>
      </c>
      <c r="C188" s="4" t="s">
        <v>494</v>
      </c>
      <c r="D188" s="4" t="s">
        <v>125</v>
      </c>
      <c r="E188" s="4" t="s">
        <v>492</v>
      </c>
      <c r="F188" s="4">
        <v>1.0109619999999999</v>
      </c>
      <c r="G188" s="5">
        <v>101.83250000000001</v>
      </c>
      <c r="H188" s="5">
        <v>4.4000000000000004</v>
      </c>
      <c r="I188" s="5">
        <v>1769</v>
      </c>
      <c r="J188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2025-12-01T04:17:42Z</dcterms:created>
  <dcterms:modified xsi:type="dcterms:W3CDTF">2025-12-01T10:38:34Z</dcterms:modified>
</cp:coreProperties>
</file>