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1198D082-E84F-4221-831B-FD043C906F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1" i="1" s="1"/>
  <c r="M11" i="1" l="1"/>
  <c r="M15" i="1"/>
  <c r="M19" i="1"/>
  <c r="M23" i="1"/>
  <c r="M8" i="1"/>
  <c r="M16" i="1"/>
  <c r="M20" i="1"/>
  <c r="M24" i="1"/>
  <c r="M10" i="1"/>
  <c r="M14" i="1"/>
  <c r="M18" i="1"/>
  <c r="M22" i="1"/>
  <c r="M12" i="1"/>
  <c r="M9" i="1"/>
  <c r="M13" i="1"/>
  <c r="M17" i="1"/>
  <c r="M26" i="1" l="1"/>
</calcChain>
</file>

<file path=xl/sharedStrings.xml><?xml version="1.0" encoding="utf-8"?>
<sst xmlns="http://schemas.openxmlformats.org/spreadsheetml/2006/main" count="1046" uniqueCount="470">
  <si>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</si>
  <si>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</si>
  <si>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</si>
  <si>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</si>
  <si>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</si>
  <si>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</si>
  <si>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</si>
  <si>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</si>
  <si>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</si>
  <si>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</si>
  <si>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</si>
  <si>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</si>
  <si>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</si>
  <si>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</si>
  <si>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</si>
  <si>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</si>
  <si>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</si>
  <si>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</si>
  <si>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</si>
  <si>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</si>
  <si>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</si>
  <si>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</si>
  <si>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</si>
  <si>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</si>
  <si>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</si>
  <si>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</si>
  <si>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</si>
  <si>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</si>
  <si>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</si>
  <si>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</si>
  <si>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</si>
  <si>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</si>
  <si>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</si>
  <si>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</si>
  <si>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</si>
  <si>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</si>
  <si>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</si>
  <si>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</si>
  <si>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</si>
  <si>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</si>
  <si>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</si>
  <si>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</si>
  <si>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</si>
  <si>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</si>
  <si>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</si>
  <si>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</si>
  <si>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</si>
  <si>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</si>
  <si>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</si>
  <si>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</si>
  <si>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</si>
  <si>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</si>
  <si>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</si>
  <si>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</si>
  <si>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</si>
  <si>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</si>
  <si>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</si>
  <si>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</si>
  <si>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</si>
  <si>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</si>
  <si>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</si>
  <si>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</si>
  <si>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</si>
  <si>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</si>
  <si>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</si>
  <si>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</si>
  <si>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</si>
  <si>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KZKD00000741</t>
  </si>
  <si>
    <t>KZT</t>
  </si>
  <si>
    <t>13.11.2025</t>
  </si>
  <si>
    <t>14.11.2025</t>
  </si>
  <si>
    <t>KZK100000423</t>
  </si>
  <si>
    <t>KZK200000737</t>
  </si>
  <si>
    <t>17.11.2025</t>
  </si>
  <si>
    <t>KZ96601A861038102391</t>
  </si>
  <si>
    <t>KZKD00000477</t>
  </si>
  <si>
    <t>24.07.2025</t>
  </si>
  <si>
    <t>19.10.2027</t>
  </si>
  <si>
    <t>KZKD00001129</t>
  </si>
  <si>
    <t>18.07.2024</t>
  </si>
  <si>
    <t>17.03.2031</t>
  </si>
  <si>
    <t>KZKD00001087</t>
  </si>
  <si>
    <t>31.03.2029</t>
  </si>
  <si>
    <t>KZKD00001160</t>
  </si>
  <si>
    <t>28.07.2029</t>
  </si>
  <si>
    <t>KZKD00000949</t>
  </si>
  <si>
    <t>16.04.2032</t>
  </si>
  <si>
    <t>KZKD00001152</t>
  </si>
  <si>
    <t>26.07.2032</t>
  </si>
  <si>
    <t>KZKD00000790</t>
  </si>
  <si>
    <t>10.07.2025</t>
  </si>
  <si>
    <t>13.08.2029</t>
  </si>
  <si>
    <t>KZKD00001137</t>
  </si>
  <si>
    <t>12.04.2028</t>
  </si>
  <si>
    <t>Евразийский банк развития</t>
  </si>
  <si>
    <t>KZ2D00011863</t>
  </si>
  <si>
    <t>24.09.2024</t>
  </si>
  <si>
    <t>03.09.2027</t>
  </si>
  <si>
    <t>KZKD00000832</t>
  </si>
  <si>
    <t>29.01.2035</t>
  </si>
  <si>
    <t>KZKD00001251</t>
  </si>
  <si>
    <t>13.03.2025</t>
  </si>
  <si>
    <t>07.03.2030</t>
  </si>
  <si>
    <t>KZK100000373</t>
  </si>
  <si>
    <t>06.02.2026</t>
  </si>
  <si>
    <t>KZK200000760</t>
  </si>
  <si>
    <t>14.08.2025</t>
  </si>
  <si>
    <t>07.08.2029</t>
  </si>
  <si>
    <t>KZK200000687</t>
  </si>
  <si>
    <t>21.01.2026</t>
  </si>
  <si>
    <t>KZKD00000535</t>
  </si>
  <si>
    <t>27.03.2027</t>
  </si>
  <si>
    <t>KZKD00000444</t>
  </si>
  <si>
    <t>21.08.2025</t>
  </si>
  <si>
    <t>18.08.2026</t>
  </si>
  <si>
    <t>12.05.2034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</si>
  <si>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</si>
  <si>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</si>
  <si>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</si>
  <si>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</si>
  <si>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</si>
  <si>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</si>
  <si>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</si>
  <si>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</si>
  <si>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</si>
  <si>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</si>
  <si>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</si>
  <si>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</si>
  <si>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</si>
  <si>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</si>
  <si>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</si>
  <si>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</si>
  <si>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</si>
  <si>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</si>
  <si>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</si>
  <si>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</si>
  <si>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</si>
  <si>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</si>
  <si>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</si>
  <si>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</si>
  <si>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</si>
  <si>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</si>
  <si>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</si>
  <si>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</si>
  <si>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</si>
  <si>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</si>
  <si>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</si>
  <si>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</si>
  <si>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</si>
  <si>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</si>
  <si>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</si>
  <si>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</si>
  <si>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</si>
  <si>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</si>
  <si>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</si>
  <si>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</si>
  <si>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</si>
  <si>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</si>
  <si>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</si>
  <si>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</si>
  <si>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</si>
  <si>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</si>
  <si>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</si>
  <si>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</si>
  <si>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</si>
  <si>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</si>
  <si>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</si>
  <si>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</si>
  <si>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</si>
  <si>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</si>
  <si>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</si>
  <si>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</si>
  <si>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</si>
  <si>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</si>
  <si>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</si>
  <si>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</si>
  <si>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</si>
  <si>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</si>
  <si>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</si>
  <si>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</si>
  <si>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</si>
  <si>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MFTSb3</t>
  </si>
  <si>
    <t>KZ2P00014400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</si>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</sst>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3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25980556612.409031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75</v>
      </c>
      <c r="C8" s="16">
        <v>2391500</v>
      </c>
      <c r="D8" s="17">
        <v>2391500000</v>
      </c>
      <c r="E8" s="18">
        <v>5.3</v>
      </c>
      <c r="F8" s="19" t="s">
        <v>76</v>
      </c>
      <c r="G8" s="19" t="s">
        <v>77</v>
      </c>
      <c r="H8" s="18">
        <v>1903079172</v>
      </c>
      <c r="I8" s="20">
        <v>81.702100000000002</v>
      </c>
      <c r="J8" s="20">
        <v>82.0702</v>
      </c>
      <c r="K8" s="18">
        <v>8802048.6111111101</v>
      </c>
      <c r="L8" s="18">
        <v>1962707770.1111109</v>
      </c>
      <c r="M8" s="21">
        <f t="shared" ref="M8:M24" si="0">L8/$Q$1</f>
        <v>7.5545254837753067E-2</v>
      </c>
      <c r="O8" s="10">
        <v>749863.88888888899</v>
      </c>
    </row>
    <row r="9" spans="1:17" x14ac:dyDescent="0.2">
      <c r="A9" s="15" t="s">
        <v>66</v>
      </c>
      <c r="B9" s="15" t="s">
        <v>78</v>
      </c>
      <c r="C9" s="16">
        <v>1897500</v>
      </c>
      <c r="D9" s="17">
        <v>1897500000</v>
      </c>
      <c r="E9" s="18">
        <v>10.3</v>
      </c>
      <c r="F9" s="19" t="s">
        <v>79</v>
      </c>
      <c r="G9" s="19" t="s">
        <v>80</v>
      </c>
      <c r="H9" s="18">
        <v>1645329839.996666</v>
      </c>
      <c r="I9" s="20">
        <v>77.416200000000003</v>
      </c>
      <c r="J9" s="20">
        <v>84.197000000000003</v>
      </c>
      <c r="K9" s="18">
        <v>128666312.5</v>
      </c>
      <c r="L9" s="18">
        <v>1597638707.499999</v>
      </c>
      <c r="M9" s="21">
        <f t="shared" si="0"/>
        <v>6.149362892159603E-2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1897500</v>
      </c>
      <c r="D10" s="17">
        <v>1897500000</v>
      </c>
      <c r="E10" s="18">
        <v>11</v>
      </c>
      <c r="F10" s="19" t="s">
        <v>79</v>
      </c>
      <c r="G10" s="19" t="s">
        <v>82</v>
      </c>
      <c r="H10" s="18">
        <v>1743261712.5</v>
      </c>
      <c r="I10" s="20">
        <v>85.069699999999997</v>
      </c>
      <c r="J10" s="20">
        <v>91.914100000000005</v>
      </c>
      <c r="K10" s="18">
        <v>129873333.333333</v>
      </c>
      <c r="L10" s="18">
        <v>1744070890.833333</v>
      </c>
      <c r="M10" s="21">
        <f t="shared" si="0"/>
        <v>6.7129850867025553E-2</v>
      </c>
      <c r="O10" s="10">
        <v>749863.88888888899</v>
      </c>
    </row>
    <row r="11" spans="1:17" x14ac:dyDescent="0.2">
      <c r="A11" s="15" t="s">
        <v>66</v>
      </c>
      <c r="B11" s="15" t="s">
        <v>83</v>
      </c>
      <c r="C11" s="16">
        <v>1897500</v>
      </c>
      <c r="D11" s="17">
        <v>1897500000</v>
      </c>
      <c r="E11" s="18">
        <v>10.55</v>
      </c>
      <c r="F11" s="19" t="s">
        <v>79</v>
      </c>
      <c r="G11" s="19" t="s">
        <v>84</v>
      </c>
      <c r="H11" s="18">
        <v>1708326839.9966669</v>
      </c>
      <c r="I11" s="20">
        <v>82.95</v>
      </c>
      <c r="J11" s="20">
        <v>86.056400000000011</v>
      </c>
      <c r="K11" s="18">
        <v>58943729.166666657</v>
      </c>
      <c r="L11" s="18">
        <v>1632919979.166666</v>
      </c>
      <c r="M11" s="21">
        <f t="shared" si="0"/>
        <v>6.2851616442533731E-2</v>
      </c>
      <c r="O11" s="10">
        <v>749863.88888888899</v>
      </c>
    </row>
    <row r="12" spans="1:17" x14ac:dyDescent="0.2">
      <c r="A12" s="15" t="s">
        <v>66</v>
      </c>
      <c r="B12" s="15" t="s">
        <v>85</v>
      </c>
      <c r="C12" s="16">
        <v>1897500</v>
      </c>
      <c r="D12" s="17">
        <v>1897500000</v>
      </c>
      <c r="E12" s="18">
        <v>8.4499999999999993</v>
      </c>
      <c r="F12" s="19" t="s">
        <v>79</v>
      </c>
      <c r="G12" s="19" t="s">
        <v>86</v>
      </c>
      <c r="H12" s="18">
        <v>1457889097.496666</v>
      </c>
      <c r="I12" s="20">
        <v>67.8934</v>
      </c>
      <c r="J12" s="20">
        <v>72.775599999999997</v>
      </c>
      <c r="K12" s="18">
        <v>92640166.666666657</v>
      </c>
      <c r="L12" s="18">
        <v>1380917431.666666</v>
      </c>
      <c r="M12" s="21">
        <f t="shared" si="0"/>
        <v>5.3151957145025207E-2</v>
      </c>
      <c r="O12" s="10">
        <v>749863.88888888899</v>
      </c>
    </row>
    <row r="13" spans="1:17" x14ac:dyDescent="0.2">
      <c r="A13" s="15" t="s">
        <v>66</v>
      </c>
      <c r="B13" s="15" t="s">
        <v>87</v>
      </c>
      <c r="C13" s="16">
        <v>1897500</v>
      </c>
      <c r="D13" s="17">
        <v>1897500000</v>
      </c>
      <c r="E13" s="18">
        <v>10.65</v>
      </c>
      <c r="F13" s="19" t="s">
        <v>79</v>
      </c>
      <c r="G13" s="19" t="s">
        <v>88</v>
      </c>
      <c r="H13" s="18">
        <v>1648500562.5</v>
      </c>
      <c r="I13" s="20">
        <v>75.531199999999998</v>
      </c>
      <c r="J13" s="20">
        <v>78.726200000000006</v>
      </c>
      <c r="K13" s="18">
        <v>60625125</v>
      </c>
      <c r="L13" s="18">
        <v>1493829645</v>
      </c>
      <c r="M13" s="21">
        <f t="shared" si="0"/>
        <v>5.7497984638500997E-2</v>
      </c>
      <c r="O13" s="10">
        <v>749863.88888888899</v>
      </c>
    </row>
    <row r="14" spans="1:17" x14ac:dyDescent="0.2">
      <c r="A14" s="15" t="s">
        <v>66</v>
      </c>
      <c r="B14" s="15" t="s">
        <v>89</v>
      </c>
      <c r="C14" s="16">
        <v>2469500</v>
      </c>
      <c r="D14" s="17">
        <v>2469500000</v>
      </c>
      <c r="E14" s="18">
        <v>7.68</v>
      </c>
      <c r="F14" s="19" t="s">
        <v>90</v>
      </c>
      <c r="G14" s="19" t="s">
        <v>91</v>
      </c>
      <c r="H14" s="18">
        <v>1827657194</v>
      </c>
      <c r="I14" s="20">
        <v>75.361699999999999</v>
      </c>
      <c r="J14" s="20">
        <v>77.302999999999997</v>
      </c>
      <c r="K14" s="18">
        <v>47941226.666666657</v>
      </c>
      <c r="L14" s="18">
        <v>1908998408.166666</v>
      </c>
      <c r="M14" s="21">
        <f t="shared" si="0"/>
        <v>7.3477964180908878E-2</v>
      </c>
      <c r="O14" s="10">
        <v>749863.88888888899</v>
      </c>
    </row>
    <row r="15" spans="1:17" x14ac:dyDescent="0.2">
      <c r="A15" s="15" t="s">
        <v>66</v>
      </c>
      <c r="B15" s="15" t="s">
        <v>92</v>
      </c>
      <c r="C15" s="16">
        <v>1897500</v>
      </c>
      <c r="D15" s="17">
        <v>1897500000</v>
      </c>
      <c r="E15" s="18">
        <v>10.4</v>
      </c>
      <c r="F15" s="19" t="s">
        <v>79</v>
      </c>
      <c r="G15" s="19" t="s">
        <v>93</v>
      </c>
      <c r="H15" s="18">
        <v>1736743800</v>
      </c>
      <c r="I15" s="20">
        <v>87.28670000000001</v>
      </c>
      <c r="J15" s="20">
        <v>93.411100000000005</v>
      </c>
      <c r="K15" s="18">
        <v>116211333.333333</v>
      </c>
      <c r="L15" s="18">
        <v>1772476465.833333</v>
      </c>
      <c r="M15" s="21">
        <f t="shared" si="0"/>
        <v>6.8223190606576514E-2</v>
      </c>
      <c r="O15" s="10">
        <v>749863.88888888899</v>
      </c>
    </row>
    <row r="16" spans="1:17" x14ac:dyDescent="0.2">
      <c r="A16" s="15" t="s">
        <v>94</v>
      </c>
      <c r="B16" s="15" t="s">
        <v>95</v>
      </c>
      <c r="C16" s="16">
        <v>992234</v>
      </c>
      <c r="D16" s="17">
        <v>992234000</v>
      </c>
      <c r="E16" s="18">
        <v>14.3</v>
      </c>
      <c r="F16" s="19" t="s">
        <v>96</v>
      </c>
      <c r="G16" s="19" t="s">
        <v>97</v>
      </c>
      <c r="H16" s="18">
        <v>991722999.49000001</v>
      </c>
      <c r="I16" s="20">
        <v>94.341900910000007</v>
      </c>
      <c r="J16" s="20">
        <v>97.162200909999996</v>
      </c>
      <c r="K16" s="18">
        <v>27983755.005555551</v>
      </c>
      <c r="L16" s="18">
        <v>964076172.059039</v>
      </c>
      <c r="M16" s="21">
        <f t="shared" si="0"/>
        <v>3.71076026754011E-2</v>
      </c>
      <c r="O16" s="10">
        <v>749863.88888888899</v>
      </c>
    </row>
    <row r="17" spans="1:15" x14ac:dyDescent="0.2">
      <c r="A17" s="15" t="s">
        <v>66</v>
      </c>
      <c r="B17" s="15" t="s">
        <v>98</v>
      </c>
      <c r="C17" s="16">
        <v>1897500</v>
      </c>
      <c r="D17" s="17">
        <v>1897500000</v>
      </c>
      <c r="E17" s="18">
        <v>8.07</v>
      </c>
      <c r="F17" s="19" t="s">
        <v>79</v>
      </c>
      <c r="G17" s="19" t="s">
        <v>99</v>
      </c>
      <c r="H17" s="18">
        <v>1338524962.5</v>
      </c>
      <c r="I17" s="20">
        <v>59.808</v>
      </c>
      <c r="J17" s="20">
        <v>66.196799999999996</v>
      </c>
      <c r="K17" s="18">
        <v>121226531.25</v>
      </c>
      <c r="L17" s="18">
        <v>1256083331.25</v>
      </c>
      <c r="M17" s="21">
        <f t="shared" si="0"/>
        <v>4.8347052374161217E-2</v>
      </c>
      <c r="O17" s="10">
        <v>749863.88888888899</v>
      </c>
    </row>
    <row r="18" spans="1:15" x14ac:dyDescent="0.2">
      <c r="A18" s="15" t="s">
        <v>66</v>
      </c>
      <c r="B18" s="15" t="s">
        <v>100</v>
      </c>
      <c r="C18" s="16">
        <v>550000</v>
      </c>
      <c r="D18" s="17">
        <v>550000000</v>
      </c>
      <c r="E18" s="18">
        <v>12</v>
      </c>
      <c r="F18" s="19" t="s">
        <v>101</v>
      </c>
      <c r="G18" s="19" t="s">
        <v>102</v>
      </c>
      <c r="H18" s="18">
        <v>491343050</v>
      </c>
      <c r="I18" s="20">
        <v>85.217700000000008</v>
      </c>
      <c r="J18" s="20">
        <v>93.451000000000008</v>
      </c>
      <c r="K18" s="18">
        <v>45283333.333333328</v>
      </c>
      <c r="L18" s="18">
        <v>513980683.33333302</v>
      </c>
      <c r="M18" s="21">
        <f t="shared" si="0"/>
        <v>1.9783282206041794E-2</v>
      </c>
      <c r="O18" s="10">
        <v>749863.88888888899</v>
      </c>
    </row>
    <row r="19" spans="1:15" x14ac:dyDescent="0.2">
      <c r="A19" s="15" t="s">
        <v>66</v>
      </c>
      <c r="B19" s="15" t="s">
        <v>103</v>
      </c>
      <c r="C19" s="16">
        <v>11424000</v>
      </c>
      <c r="D19" s="17">
        <v>1142400000</v>
      </c>
      <c r="E19" s="18">
        <v>0</v>
      </c>
      <c r="F19" s="19" t="s">
        <v>101</v>
      </c>
      <c r="G19" s="19" t="s">
        <v>104</v>
      </c>
      <c r="H19" s="18">
        <v>1003902278.4</v>
      </c>
      <c r="I19" s="20">
        <v>96.2911</v>
      </c>
      <c r="J19" s="20">
        <v>96.2911</v>
      </c>
      <c r="K19" s="18"/>
      <c r="L19" s="18">
        <v>1100029526.4000001</v>
      </c>
      <c r="M19" s="21">
        <f t="shared" si="0"/>
        <v>4.234049111459743E-2</v>
      </c>
      <c r="O19" s="10">
        <v>749863.88888888899</v>
      </c>
    </row>
    <row r="20" spans="1:15" x14ac:dyDescent="0.2">
      <c r="A20" s="15" t="s">
        <v>66</v>
      </c>
      <c r="B20" s="15" t="s">
        <v>105</v>
      </c>
      <c r="C20" s="16">
        <v>897100</v>
      </c>
      <c r="D20" s="17">
        <v>897100000</v>
      </c>
      <c r="E20" s="18">
        <v>17.010000000000002</v>
      </c>
      <c r="F20" s="19" t="s">
        <v>106</v>
      </c>
      <c r="G20" s="19" t="s">
        <v>107</v>
      </c>
      <c r="H20" s="18">
        <v>896985171.20000005</v>
      </c>
      <c r="I20" s="20">
        <v>101.5137</v>
      </c>
      <c r="J20" s="20">
        <v>106.09700000000001</v>
      </c>
      <c r="K20" s="18">
        <v>41116335.75</v>
      </c>
      <c r="L20" s="18">
        <v>951795738.45000005</v>
      </c>
      <c r="M20" s="21">
        <f t="shared" si="0"/>
        <v>3.6634924826645023E-2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2530000</v>
      </c>
      <c r="D21" s="17">
        <v>2530000000</v>
      </c>
      <c r="E21" s="18">
        <v>10.67</v>
      </c>
      <c r="F21" s="19" t="s">
        <v>79</v>
      </c>
      <c r="G21" s="19" t="s">
        <v>109</v>
      </c>
      <c r="H21" s="18">
        <v>2455119589.9966769</v>
      </c>
      <c r="I21" s="20">
        <v>98.822100000000006</v>
      </c>
      <c r="J21" s="20">
        <v>102.1713</v>
      </c>
      <c r="K21" s="18">
        <v>84734619.444444433</v>
      </c>
      <c r="L21" s="18">
        <v>2584933749.4444442</v>
      </c>
      <c r="M21" s="21">
        <f t="shared" si="0"/>
        <v>9.9494933384522199E-2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3162500</v>
      </c>
      <c r="D22" s="17">
        <v>3162500000</v>
      </c>
      <c r="E22" s="18">
        <v>5.49</v>
      </c>
      <c r="F22" s="19" t="s">
        <v>79</v>
      </c>
      <c r="G22" s="19" t="s">
        <v>111</v>
      </c>
      <c r="H22" s="18">
        <v>2627740225</v>
      </c>
      <c r="I22" s="20">
        <v>86.496200000000002</v>
      </c>
      <c r="J22" s="20">
        <v>89.957999999999998</v>
      </c>
      <c r="K22" s="18">
        <v>109477843.75</v>
      </c>
      <c r="L22" s="18">
        <v>2844920168.75</v>
      </c>
      <c r="M22" s="21">
        <f t="shared" si="0"/>
        <v>0.10950189448178288</v>
      </c>
      <c r="O22" s="10">
        <v>749863.88888888899</v>
      </c>
    </row>
    <row r="23" spans="1:15" x14ac:dyDescent="0.2">
      <c r="A23" s="15" t="s">
        <v>66</v>
      </c>
      <c r="B23" s="15" t="s">
        <v>112</v>
      </c>
      <c r="C23" s="16">
        <v>1106600</v>
      </c>
      <c r="D23" s="17">
        <v>1106600000</v>
      </c>
      <c r="E23" s="18">
        <v>5.5</v>
      </c>
      <c r="F23" s="19" t="s">
        <v>113</v>
      </c>
      <c r="G23" s="19" t="s">
        <v>114</v>
      </c>
      <c r="H23" s="18">
        <v>999478906.79999995</v>
      </c>
      <c r="I23" s="20">
        <v>91.925000000000011</v>
      </c>
      <c r="J23" s="20">
        <v>93.238900000000001</v>
      </c>
      <c r="K23" s="18">
        <v>14539494.444444399</v>
      </c>
      <c r="L23" s="18">
        <v>1031781544.44444</v>
      </c>
      <c r="M23" s="21">
        <f t="shared" si="0"/>
        <v>3.9713604286354384E-2</v>
      </c>
      <c r="O23" s="10">
        <v>749863.88888888899</v>
      </c>
    </row>
    <row r="24" spans="1:15" x14ac:dyDescent="0.2">
      <c r="A24" s="15" t="s">
        <v>66</v>
      </c>
      <c r="B24" s="15" t="s">
        <v>67</v>
      </c>
      <c r="C24" s="16">
        <v>1897500</v>
      </c>
      <c r="D24" s="17">
        <v>1897500000</v>
      </c>
      <c r="E24" s="18">
        <v>8.07</v>
      </c>
      <c r="F24" s="19" t="s">
        <v>79</v>
      </c>
      <c r="G24" s="19" t="s">
        <v>115</v>
      </c>
      <c r="H24" s="18">
        <v>1359122325</v>
      </c>
      <c r="I24" s="20">
        <v>61.237499999999997</v>
      </c>
      <c r="J24" s="20">
        <v>65.317300000000003</v>
      </c>
      <c r="K24" s="18">
        <v>77414837.5</v>
      </c>
      <c r="L24" s="18">
        <v>1239396400</v>
      </c>
      <c r="M24" s="21">
        <f t="shared" si="0"/>
        <v>4.7704767010573981E-2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1165480025.7555547</v>
      </c>
      <c r="L26" s="23">
        <f>SUM(L8:L25)</f>
        <v>25980556612.409031</v>
      </c>
      <c r="M26" s="26">
        <f>SUM(M8:M25)</f>
        <v>1</v>
      </c>
      <c r="N26" s="9">
        <v>25980556612.409039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1003199.12</v>
      </c>
    </row>
    <row r="30" spans="1:15" x14ac:dyDescent="0.2">
      <c r="A30" s="29" t="s">
        <v>74</v>
      </c>
      <c r="B30" s="30">
        <v>1003199.12</v>
      </c>
      <c r="C30" s="62">
        <v>1003199.18</v>
      </c>
      <c r="D30" s="63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3465384</v>
      </c>
      <c r="D35" s="32" t="s">
        <v>68</v>
      </c>
      <c r="E35" s="34" t="s">
        <v>69</v>
      </c>
      <c r="F35" s="34" t="s">
        <v>70</v>
      </c>
      <c r="G35" s="35">
        <v>652.94200000057697</v>
      </c>
      <c r="H35" s="35">
        <f>J35/C35</f>
        <v>653.24610997222817</v>
      </c>
      <c r="I35" s="36">
        <v>2262694759.73</v>
      </c>
      <c r="J35" s="36">
        <v>2263748617.5599999</v>
      </c>
      <c r="K35" s="37">
        <v>17</v>
      </c>
      <c r="L35" s="37">
        <v>1053857.83</v>
      </c>
      <c r="M35" s="31">
        <f>I35+L35</f>
        <v>2263748617.5599999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152026</v>
      </c>
      <c r="D36" s="32" t="s">
        <v>68</v>
      </c>
      <c r="E36" s="34" t="s">
        <v>69</v>
      </c>
      <c r="F36" s="34" t="s">
        <v>70</v>
      </c>
      <c r="G36" s="35">
        <v>92.094999999999999</v>
      </c>
      <c r="H36" s="35">
        <f>J36/C36</f>
        <v>92.137894833778432</v>
      </c>
      <c r="I36" s="36">
        <v>14000834.470000001</v>
      </c>
      <c r="J36" s="36">
        <v>14007355.6</v>
      </c>
      <c r="K36" s="37">
        <v>17.000500000000002</v>
      </c>
      <c r="L36" s="37">
        <v>6521.13</v>
      </c>
      <c r="M36" s="31">
        <f>I36+L36</f>
        <v>14007355.600000001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2145324</v>
      </c>
      <c r="D37" s="32" t="s">
        <v>68</v>
      </c>
      <c r="E37" s="34" t="s">
        <v>70</v>
      </c>
      <c r="F37" s="34" t="s">
        <v>73</v>
      </c>
      <c r="G37" s="35">
        <v>1055.260999998135</v>
      </c>
      <c r="H37" s="35">
        <f>J37/C37</f>
        <v>1056.7355610061695</v>
      </c>
      <c r="I37" s="36">
        <v>2263876749.5599999</v>
      </c>
      <c r="J37" s="36">
        <v>2267040160.6799998</v>
      </c>
      <c r="K37" s="37">
        <v>17.001000000000001</v>
      </c>
      <c r="L37" s="37"/>
      <c r="M37" s="31">
        <f>I37+L37</f>
        <v>2263876749.5599999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72</v>
      </c>
      <c r="C38" s="33">
        <v>12324</v>
      </c>
      <c r="D38" s="32" t="s">
        <v>68</v>
      </c>
      <c r="E38" s="34" t="s">
        <v>70</v>
      </c>
      <c r="F38" s="34" t="s">
        <v>73</v>
      </c>
      <c r="G38" s="35">
        <v>1055.26099967543</v>
      </c>
      <c r="H38" s="35">
        <f>J38/C38</f>
        <v>1056.7355606945798</v>
      </c>
      <c r="I38" s="36">
        <v>13005036.560000001</v>
      </c>
      <c r="J38" s="36">
        <v>13023209.050000001</v>
      </c>
      <c r="K38" s="37">
        <v>17.001000000000001</v>
      </c>
      <c r="L38" s="37"/>
      <c r="M38" s="31">
        <f>I38+L38</f>
        <v>13005036.560000001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2276881786.1199999</v>
      </c>
      <c r="N40" s="65">
        <v>2276881786.1199999</v>
      </c>
      <c r="O40" s="66">
        <f>M40-N40</f>
        <v>0</v>
      </c>
    </row>
    <row r="41" spans="1:17" x14ac:dyDescent="0.2">
      <c r="O41" s="10" t="s">
        <v>469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L26+B29+M40</f>
        <v>28258441597.649029</v>
      </c>
      <c r="C47" s="62">
        <v>28258441597.709038</v>
      </c>
      <c r="D47" s="62">
        <f>__mdDATAItogoActive__-C47</f>
        <v>-6.0009002685546875E-2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2328499.4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G63" s="54"/>
      <c r="O63" s="9"/>
    </row>
    <row r="64" spans="1:15" x14ac:dyDescent="0.2">
      <c r="A64" s="24">
        <v>3</v>
      </c>
      <c r="B64" s="55" t="s">
        <v>55</v>
      </c>
      <c r="C64" s="57">
        <v>458172.14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394172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156046.84</v>
      </c>
      <c r="D67" s="57"/>
      <c r="O67" s="9"/>
    </row>
    <row r="68" spans="1:15" x14ac:dyDescent="0.2">
      <c r="A68" s="24">
        <v>7</v>
      </c>
      <c r="B68" s="55" t="s">
        <v>59</v>
      </c>
      <c r="C68" s="57">
        <v>78744.11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3415634.4899999998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14.11.2025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116</v>
      </c>
      <c r="C4" s="4" t="s">
        <v>117</v>
      </c>
      <c r="D4" s="4" t="s">
        <v>118</v>
      </c>
      <c r="E4" s="4" t="s">
        <v>119</v>
      </c>
      <c r="F4" s="4">
        <v>9490.25</v>
      </c>
      <c r="G4" s="5"/>
      <c r="H4" s="5"/>
      <c r="I4" s="5"/>
      <c r="J4" s="4" t="s">
        <v>120</v>
      </c>
    </row>
    <row r="5" spans="1:10" x14ac:dyDescent="0.25">
      <c r="A5" s="4">
        <f t="shared" ca="1" si="0"/>
        <v>2</v>
      </c>
      <c r="B5" s="4" t="s">
        <v>121</v>
      </c>
      <c r="C5" s="4" t="s">
        <v>122</v>
      </c>
      <c r="D5" s="4" t="s">
        <v>123</v>
      </c>
      <c r="E5" s="4" t="s">
        <v>119</v>
      </c>
      <c r="F5" s="4">
        <v>1063.6090000000002</v>
      </c>
      <c r="G5" s="5">
        <v>109.8442</v>
      </c>
      <c r="H5" s="5">
        <v>18.48</v>
      </c>
      <c r="I5" s="5">
        <v>855</v>
      </c>
      <c r="J5" s="4" t="s">
        <v>124</v>
      </c>
    </row>
    <row r="6" spans="1:10" x14ac:dyDescent="0.25">
      <c r="A6" s="4">
        <f t="shared" ca="1" si="0"/>
        <v>3</v>
      </c>
      <c r="B6" s="4" t="s">
        <v>125</v>
      </c>
      <c r="C6" s="4" t="s">
        <v>126</v>
      </c>
      <c r="D6" s="4" t="s">
        <v>118</v>
      </c>
      <c r="E6" s="4" t="s">
        <v>127</v>
      </c>
      <c r="F6" s="4">
        <v>1405.76</v>
      </c>
      <c r="G6" s="5"/>
      <c r="H6" s="5"/>
      <c r="I6" s="5"/>
      <c r="J6" s="4" t="s">
        <v>120</v>
      </c>
    </row>
    <row r="7" spans="1:10" x14ac:dyDescent="0.25">
      <c r="A7" s="4">
        <f t="shared" ca="1" si="0"/>
        <v>4</v>
      </c>
      <c r="B7" s="4" t="s">
        <v>128</v>
      </c>
      <c r="C7" s="4" t="s">
        <v>129</v>
      </c>
      <c r="D7" s="4" t="s">
        <v>118</v>
      </c>
      <c r="E7" s="4" t="s">
        <v>130</v>
      </c>
      <c r="F7" s="4">
        <v>578906.65</v>
      </c>
      <c r="G7" s="5"/>
      <c r="H7" s="5"/>
      <c r="I7" s="5"/>
      <c r="J7" s="4" t="s">
        <v>120</v>
      </c>
    </row>
    <row r="8" spans="1:10" x14ac:dyDescent="0.25">
      <c r="A8" s="4">
        <f t="shared" ca="1" si="0"/>
        <v>5</v>
      </c>
      <c r="B8" s="4" t="s">
        <v>131</v>
      </c>
      <c r="C8" s="4" t="s">
        <v>132</v>
      </c>
      <c r="D8" s="4" t="s">
        <v>118</v>
      </c>
      <c r="E8" s="4" t="s">
        <v>130</v>
      </c>
      <c r="F8" s="4">
        <v>6301.35</v>
      </c>
      <c r="G8" s="5"/>
      <c r="H8" s="5"/>
      <c r="I8" s="5"/>
      <c r="J8" s="4" t="s">
        <v>120</v>
      </c>
    </row>
    <row r="9" spans="1:10" x14ac:dyDescent="0.25">
      <c r="A9" s="4">
        <f t="shared" ca="1" si="0"/>
        <v>6</v>
      </c>
      <c r="B9" s="4" t="s">
        <v>133</v>
      </c>
      <c r="C9" s="4" t="s">
        <v>134</v>
      </c>
      <c r="D9" s="4" t="s">
        <v>123</v>
      </c>
      <c r="E9" s="4" t="s">
        <v>130</v>
      </c>
      <c r="F9" s="4">
        <v>0.93884699999999999</v>
      </c>
      <c r="G9" s="5">
        <v>94.284000000000006</v>
      </c>
      <c r="H9" s="5">
        <v>6.27</v>
      </c>
      <c r="I9" s="5">
        <v>7827</v>
      </c>
      <c r="J9" s="4" t="s">
        <v>124</v>
      </c>
    </row>
    <row r="10" spans="1:10" x14ac:dyDescent="0.25">
      <c r="A10" s="4">
        <f t="shared" ca="1" si="0"/>
        <v>7</v>
      </c>
      <c r="B10" s="4" t="s">
        <v>135</v>
      </c>
      <c r="C10" s="4" t="s">
        <v>136</v>
      </c>
      <c r="D10" s="4" t="s">
        <v>118</v>
      </c>
      <c r="E10" s="4" t="s">
        <v>130</v>
      </c>
      <c r="F10" s="4">
        <v>167.97</v>
      </c>
      <c r="G10" s="5"/>
      <c r="H10" s="5"/>
      <c r="I10" s="5"/>
      <c r="J10" s="4" t="s">
        <v>120</v>
      </c>
    </row>
    <row r="11" spans="1:10" x14ac:dyDescent="0.25">
      <c r="A11" s="4">
        <f t="shared" ca="1" si="0"/>
        <v>8</v>
      </c>
      <c r="B11" s="4" t="s">
        <v>137</v>
      </c>
      <c r="C11" s="4" t="s">
        <v>138</v>
      </c>
      <c r="D11" s="4" t="s">
        <v>118</v>
      </c>
      <c r="E11" s="4" t="s">
        <v>130</v>
      </c>
      <c r="F11" s="4">
        <v>5547.38</v>
      </c>
      <c r="G11" s="5"/>
      <c r="H11" s="5"/>
      <c r="I11" s="5"/>
      <c r="J11" s="4" t="s">
        <v>120</v>
      </c>
    </row>
    <row r="12" spans="1:10" x14ac:dyDescent="0.25">
      <c r="A12" s="4">
        <f t="shared" ca="1" si="0"/>
        <v>9</v>
      </c>
      <c r="B12" s="4" t="s">
        <v>139</v>
      </c>
      <c r="C12" s="4" t="s">
        <v>140</v>
      </c>
      <c r="D12" s="4" t="s">
        <v>118</v>
      </c>
      <c r="E12" s="4" t="s">
        <v>130</v>
      </c>
      <c r="F12" s="4">
        <v>5935537.0199999996</v>
      </c>
      <c r="G12" s="5"/>
      <c r="H12" s="5"/>
      <c r="I12" s="5"/>
      <c r="J12" s="4" t="s">
        <v>120</v>
      </c>
    </row>
    <row r="13" spans="1:10" x14ac:dyDescent="0.25">
      <c r="A13" s="4">
        <f t="shared" ca="1" si="0"/>
        <v>10</v>
      </c>
      <c r="B13" s="4" t="s">
        <v>141</v>
      </c>
      <c r="C13" s="4" t="s">
        <v>142</v>
      </c>
      <c r="D13" s="4" t="s">
        <v>118</v>
      </c>
      <c r="E13" s="4" t="s">
        <v>130</v>
      </c>
      <c r="F13" s="4">
        <v>132.76</v>
      </c>
      <c r="G13" s="5"/>
      <c r="H13" s="5"/>
      <c r="I13" s="5"/>
      <c r="J13" s="4" t="s">
        <v>120</v>
      </c>
    </row>
    <row r="14" spans="1:10" x14ac:dyDescent="0.25">
      <c r="A14" s="4">
        <f t="shared" ca="1" si="0"/>
        <v>11</v>
      </c>
      <c r="B14" s="4" t="s">
        <v>143</v>
      </c>
      <c r="C14" s="4" t="s">
        <v>144</v>
      </c>
      <c r="D14" s="4" t="s">
        <v>123</v>
      </c>
      <c r="E14" s="4" t="s">
        <v>130</v>
      </c>
      <c r="F14" s="4">
        <v>0.90140799999999999</v>
      </c>
      <c r="G14" s="5">
        <v>90.432500000000005</v>
      </c>
      <c r="H14" s="5">
        <v>5.1100000000000003</v>
      </c>
      <c r="I14" s="5">
        <v>2709</v>
      </c>
      <c r="J14" s="4" t="s">
        <v>124</v>
      </c>
    </row>
    <row r="15" spans="1:10" x14ac:dyDescent="0.25">
      <c r="A15" s="4">
        <f t="shared" ca="1" si="0"/>
        <v>12</v>
      </c>
      <c r="B15" s="4" t="s">
        <v>145</v>
      </c>
      <c r="C15" s="4" t="s">
        <v>146</v>
      </c>
      <c r="D15" s="4" t="s">
        <v>118</v>
      </c>
      <c r="E15" s="4" t="s">
        <v>130</v>
      </c>
      <c r="F15" s="4">
        <v>1827606.7000000002</v>
      </c>
      <c r="G15" s="5"/>
      <c r="H15" s="5"/>
      <c r="I15" s="5"/>
      <c r="J15" s="4" t="s">
        <v>120</v>
      </c>
    </row>
    <row r="16" spans="1:10" x14ac:dyDescent="0.25">
      <c r="A16" s="4">
        <f t="shared" ca="1" si="0"/>
        <v>13</v>
      </c>
      <c r="B16" s="4" t="s">
        <v>147</v>
      </c>
      <c r="C16" s="4" t="s">
        <v>148</v>
      </c>
      <c r="D16" s="4" t="s">
        <v>118</v>
      </c>
      <c r="E16" s="4" t="s">
        <v>130</v>
      </c>
      <c r="F16" s="4">
        <v>72722.45</v>
      </c>
      <c r="G16" s="5"/>
      <c r="H16" s="5"/>
      <c r="I16" s="5"/>
      <c r="J16" s="4" t="s">
        <v>120</v>
      </c>
    </row>
    <row r="17" spans="1:10" x14ac:dyDescent="0.25">
      <c r="A17" s="4">
        <f t="shared" ca="1" si="0"/>
        <v>14</v>
      </c>
      <c r="B17" s="4" t="s">
        <v>149</v>
      </c>
      <c r="C17" s="4" t="s">
        <v>150</v>
      </c>
      <c r="D17" s="4" t="s">
        <v>118</v>
      </c>
      <c r="E17" s="4" t="s">
        <v>130</v>
      </c>
      <c r="F17" s="4">
        <v>73312.5</v>
      </c>
      <c r="G17" s="5"/>
      <c r="H17" s="5"/>
      <c r="I17" s="5"/>
      <c r="J17" s="4" t="s">
        <v>120</v>
      </c>
    </row>
    <row r="18" spans="1:10" x14ac:dyDescent="0.25">
      <c r="A18" s="4">
        <f t="shared" ca="1" si="0"/>
        <v>15</v>
      </c>
      <c r="B18" s="4" t="s">
        <v>151</v>
      </c>
      <c r="C18" s="4" t="s">
        <v>152</v>
      </c>
      <c r="D18" s="4" t="s">
        <v>118</v>
      </c>
      <c r="E18" s="4" t="s">
        <v>130</v>
      </c>
      <c r="F18" s="4">
        <v>52419.64</v>
      </c>
      <c r="G18" s="5"/>
      <c r="H18" s="5"/>
      <c r="I18" s="5"/>
      <c r="J18" s="4" t="s">
        <v>120</v>
      </c>
    </row>
    <row r="19" spans="1:10" x14ac:dyDescent="0.25">
      <c r="A19" s="4">
        <f t="shared" ca="1" si="0"/>
        <v>16</v>
      </c>
      <c r="B19" s="4" t="s">
        <v>153</v>
      </c>
      <c r="C19" s="4" t="s">
        <v>154</v>
      </c>
      <c r="D19" s="4" t="s">
        <v>118</v>
      </c>
      <c r="E19" s="4" t="s">
        <v>130</v>
      </c>
      <c r="F19" s="4">
        <v>7.32</v>
      </c>
      <c r="G19" s="5"/>
      <c r="H19" s="5"/>
      <c r="I19" s="5"/>
      <c r="J19" s="4" t="s">
        <v>120</v>
      </c>
    </row>
    <row r="20" spans="1:10" x14ac:dyDescent="0.25">
      <c r="A20" s="4">
        <f t="shared" ca="1" si="0"/>
        <v>17</v>
      </c>
      <c r="B20" s="4" t="s">
        <v>155</v>
      </c>
      <c r="C20" s="4" t="s">
        <v>156</v>
      </c>
      <c r="D20" s="4" t="s">
        <v>123</v>
      </c>
      <c r="E20" s="4" t="s">
        <v>130</v>
      </c>
      <c r="F20" s="4">
        <v>1000</v>
      </c>
      <c r="G20" s="5">
        <v>108.6284</v>
      </c>
      <c r="H20" s="5">
        <v>17.650000000000002</v>
      </c>
      <c r="I20" s="5">
        <v>1101</v>
      </c>
      <c r="J20" s="4" t="s">
        <v>124</v>
      </c>
    </row>
    <row r="21" spans="1:10" x14ac:dyDescent="0.25">
      <c r="A21" s="4">
        <f t="shared" ca="1" si="0"/>
        <v>18</v>
      </c>
      <c r="B21" s="4" t="s">
        <v>157</v>
      </c>
      <c r="C21" s="4" t="s">
        <v>158</v>
      </c>
      <c r="D21" s="4" t="s">
        <v>123</v>
      </c>
      <c r="E21" s="4" t="s">
        <v>130</v>
      </c>
      <c r="F21" s="4">
        <v>1000</v>
      </c>
      <c r="G21" s="5">
        <v>101.4603</v>
      </c>
      <c r="H21" s="5">
        <v>17.490000000000002</v>
      </c>
      <c r="I21" s="5">
        <v>700</v>
      </c>
      <c r="J21" s="4" t="s">
        <v>124</v>
      </c>
    </row>
    <row r="22" spans="1:10" x14ac:dyDescent="0.25">
      <c r="A22" s="4">
        <f t="shared" ca="1" si="0"/>
        <v>19</v>
      </c>
      <c r="B22" s="4" t="s">
        <v>159</v>
      </c>
      <c r="C22" s="4" t="s">
        <v>160</v>
      </c>
      <c r="D22" s="4" t="s">
        <v>123</v>
      </c>
      <c r="E22" s="4" t="s">
        <v>130</v>
      </c>
      <c r="F22" s="4">
        <v>1000</v>
      </c>
      <c r="G22" s="5">
        <v>106.0245</v>
      </c>
      <c r="H22" s="5">
        <v>17.900000000000002</v>
      </c>
      <c r="I22" s="5">
        <v>1887</v>
      </c>
      <c r="J22" s="4" t="s">
        <v>124</v>
      </c>
    </row>
    <row r="23" spans="1:10" x14ac:dyDescent="0.25">
      <c r="A23" s="4">
        <f t="shared" ca="1" si="0"/>
        <v>20</v>
      </c>
      <c r="B23" s="4" t="s">
        <v>161</v>
      </c>
      <c r="C23" s="4" t="s">
        <v>162</v>
      </c>
      <c r="D23" s="4" t="s">
        <v>123</v>
      </c>
      <c r="E23" s="4" t="s">
        <v>130</v>
      </c>
      <c r="F23" s="4">
        <v>1000</v>
      </c>
      <c r="G23" s="5">
        <v>103.51530000000001</v>
      </c>
      <c r="H23" s="5">
        <v>17.79</v>
      </c>
      <c r="I23" s="5">
        <v>1571</v>
      </c>
      <c r="J23" s="4" t="s">
        <v>124</v>
      </c>
    </row>
    <row r="24" spans="1:10" x14ac:dyDescent="0.25">
      <c r="A24" s="4">
        <f t="shared" ca="1" si="0"/>
        <v>21</v>
      </c>
      <c r="B24" s="4" t="s">
        <v>163</v>
      </c>
      <c r="C24" s="4" t="s">
        <v>164</v>
      </c>
      <c r="D24" s="4" t="s">
        <v>118</v>
      </c>
      <c r="E24" s="4" t="s">
        <v>130</v>
      </c>
      <c r="F24" s="4">
        <v>1516.28</v>
      </c>
      <c r="G24" s="5"/>
      <c r="H24" s="5"/>
      <c r="I24" s="5"/>
      <c r="J24" s="4" t="s">
        <v>120</v>
      </c>
    </row>
    <row r="25" spans="1:10" x14ac:dyDescent="0.25">
      <c r="A25" s="4">
        <f t="shared" ca="1" si="0"/>
        <v>22</v>
      </c>
      <c r="B25" s="4" t="s">
        <v>165</v>
      </c>
      <c r="C25" s="4" t="s">
        <v>166</v>
      </c>
      <c r="D25" s="4" t="s">
        <v>123</v>
      </c>
      <c r="E25" s="4" t="s">
        <v>130</v>
      </c>
      <c r="F25" s="4">
        <v>497047.5</v>
      </c>
      <c r="G25" s="5">
        <v>100.8331</v>
      </c>
      <c r="H25" s="5">
        <v>21.41</v>
      </c>
      <c r="I25" s="5">
        <v>248</v>
      </c>
      <c r="J25" s="4" t="s">
        <v>124</v>
      </c>
    </row>
    <row r="26" spans="1:10" x14ac:dyDescent="0.25">
      <c r="A26" s="4">
        <f t="shared" ca="1" si="0"/>
        <v>23</v>
      </c>
      <c r="B26" s="4" t="s">
        <v>167</v>
      </c>
      <c r="C26" s="4" t="s">
        <v>168</v>
      </c>
      <c r="D26" s="4" t="s">
        <v>123</v>
      </c>
      <c r="E26" s="4" t="s">
        <v>130</v>
      </c>
      <c r="F26" s="4">
        <v>499970.5</v>
      </c>
      <c r="G26" s="5">
        <v>103.66080000000001</v>
      </c>
      <c r="H26" s="5">
        <v>21.67</v>
      </c>
      <c r="I26" s="5">
        <v>31</v>
      </c>
      <c r="J26" s="4" t="s">
        <v>124</v>
      </c>
    </row>
    <row r="27" spans="1:10" x14ac:dyDescent="0.25">
      <c r="A27" s="4">
        <f t="shared" ca="1" si="0"/>
        <v>24</v>
      </c>
      <c r="B27" s="4" t="s">
        <v>169</v>
      </c>
      <c r="C27" s="4" t="s">
        <v>170</v>
      </c>
      <c r="D27" s="4" t="s">
        <v>123</v>
      </c>
      <c r="E27" s="4" t="s">
        <v>130</v>
      </c>
      <c r="F27" s="4">
        <v>1011.94</v>
      </c>
      <c r="G27" s="5">
        <v>104.1551</v>
      </c>
      <c r="H27" s="5">
        <v>5.99</v>
      </c>
      <c r="I27" s="5">
        <v>929</v>
      </c>
      <c r="J27" s="4" t="s">
        <v>124</v>
      </c>
    </row>
    <row r="28" spans="1:10" x14ac:dyDescent="0.25">
      <c r="A28" s="4">
        <f t="shared" ca="1" si="0"/>
        <v>25</v>
      </c>
      <c r="B28" s="4" t="s">
        <v>171</v>
      </c>
      <c r="C28" s="4" t="s">
        <v>172</v>
      </c>
      <c r="D28" s="4" t="s">
        <v>123</v>
      </c>
      <c r="E28" s="4" t="s">
        <v>130</v>
      </c>
      <c r="F28" s="4">
        <v>764.81700000000001</v>
      </c>
      <c r="G28" s="5">
        <v>76.848399999999998</v>
      </c>
      <c r="H28" s="5">
        <v>41.2</v>
      </c>
      <c r="I28" s="5">
        <v>633</v>
      </c>
      <c r="J28" s="4" t="s">
        <v>124</v>
      </c>
    </row>
    <row r="29" spans="1:10" x14ac:dyDescent="0.25">
      <c r="A29" s="4">
        <f t="shared" ca="1" si="0"/>
        <v>26</v>
      </c>
      <c r="B29" s="4" t="s">
        <v>173</v>
      </c>
      <c r="C29" s="4" t="s">
        <v>174</v>
      </c>
      <c r="D29" s="4" t="s">
        <v>123</v>
      </c>
      <c r="E29" s="4" t="s">
        <v>130</v>
      </c>
      <c r="F29" s="4">
        <v>999.95600000000002</v>
      </c>
      <c r="G29" s="5">
        <v>101.27340000000001</v>
      </c>
      <c r="H29" s="5">
        <v>23</v>
      </c>
      <c r="I29" s="5">
        <v>1076</v>
      </c>
      <c r="J29" s="4" t="s">
        <v>124</v>
      </c>
    </row>
    <row r="30" spans="1:10" x14ac:dyDescent="0.25">
      <c r="A30" s="4">
        <f t="shared" ca="1" si="0"/>
        <v>27</v>
      </c>
      <c r="B30" s="4" t="s">
        <v>175</v>
      </c>
      <c r="C30" s="4" t="s">
        <v>176</v>
      </c>
      <c r="D30" s="4" t="s">
        <v>123</v>
      </c>
      <c r="E30" s="4" t="s">
        <v>130</v>
      </c>
      <c r="F30" s="4">
        <v>99.998900000000006</v>
      </c>
      <c r="G30" s="5">
        <v>100.73220000000001</v>
      </c>
      <c r="H30" s="5">
        <v>11</v>
      </c>
      <c r="I30" s="5">
        <v>645</v>
      </c>
      <c r="J30" s="4" t="s">
        <v>124</v>
      </c>
    </row>
    <row r="31" spans="1:10" x14ac:dyDescent="0.25">
      <c r="A31" s="4">
        <f t="shared" ca="1" si="0"/>
        <v>28</v>
      </c>
      <c r="B31" s="4" t="s">
        <v>177</v>
      </c>
      <c r="C31" s="4" t="s">
        <v>178</v>
      </c>
      <c r="D31" s="4" t="s">
        <v>123</v>
      </c>
      <c r="E31" s="4" t="s">
        <v>130</v>
      </c>
      <c r="F31" s="4">
        <v>101.85180000000001</v>
      </c>
      <c r="G31" s="5">
        <v>102.1435</v>
      </c>
      <c r="H31" s="5">
        <v>5.49</v>
      </c>
      <c r="I31" s="5">
        <v>352</v>
      </c>
      <c r="J31" s="4" t="s">
        <v>124</v>
      </c>
    </row>
    <row r="32" spans="1:10" x14ac:dyDescent="0.25">
      <c r="A32" s="4">
        <f t="shared" ca="1" si="0"/>
        <v>29</v>
      </c>
      <c r="B32" s="4" t="s">
        <v>179</v>
      </c>
      <c r="C32" s="4" t="s">
        <v>180</v>
      </c>
      <c r="D32" s="4" t="s">
        <v>123</v>
      </c>
      <c r="E32" s="4" t="s">
        <v>130</v>
      </c>
      <c r="F32" s="4">
        <v>985.02200000000005</v>
      </c>
      <c r="G32" s="5">
        <v>99.173000000000002</v>
      </c>
      <c r="H32" s="5">
        <v>19</v>
      </c>
      <c r="I32" s="5">
        <v>352</v>
      </c>
      <c r="J32" s="4" t="s">
        <v>124</v>
      </c>
    </row>
    <row r="33" spans="1:10" x14ac:dyDescent="0.25">
      <c r="A33" s="4">
        <f t="shared" ca="1" si="0"/>
        <v>30</v>
      </c>
      <c r="B33" s="4" t="s">
        <v>181</v>
      </c>
      <c r="C33" s="4" t="s">
        <v>182</v>
      </c>
      <c r="D33" s="4" t="s">
        <v>123</v>
      </c>
      <c r="E33" s="4" t="s">
        <v>130</v>
      </c>
      <c r="F33" s="4">
        <v>497864.5</v>
      </c>
      <c r="G33" s="5">
        <v>101.2646</v>
      </c>
      <c r="H33" s="5">
        <v>21.29</v>
      </c>
      <c r="I33" s="5">
        <v>609</v>
      </c>
      <c r="J33" s="4" t="s">
        <v>124</v>
      </c>
    </row>
    <row r="34" spans="1:10" x14ac:dyDescent="0.25">
      <c r="A34" s="4">
        <f t="shared" ca="1" si="0"/>
        <v>31</v>
      </c>
      <c r="B34" s="4" t="s">
        <v>183</v>
      </c>
      <c r="C34" s="4" t="s">
        <v>184</v>
      </c>
      <c r="D34" s="4" t="s">
        <v>123</v>
      </c>
      <c r="E34" s="4" t="s">
        <v>130</v>
      </c>
      <c r="F34" s="4">
        <v>816.38700000000006</v>
      </c>
      <c r="G34" s="5">
        <v>82.455399999999997</v>
      </c>
      <c r="H34" s="5">
        <v>44.86</v>
      </c>
      <c r="I34" s="5">
        <v>351</v>
      </c>
      <c r="J34" s="4" t="s">
        <v>124</v>
      </c>
    </row>
    <row r="35" spans="1:10" x14ac:dyDescent="0.25">
      <c r="A35" s="4">
        <f t="shared" ca="1" si="0"/>
        <v>32</v>
      </c>
      <c r="B35" s="4" t="s">
        <v>185</v>
      </c>
      <c r="C35" s="4" t="s">
        <v>186</v>
      </c>
      <c r="D35" s="4" t="s">
        <v>123</v>
      </c>
      <c r="E35" s="4" t="s">
        <v>130</v>
      </c>
      <c r="F35" s="4">
        <v>845.40600000000006</v>
      </c>
      <c r="G35" s="5">
        <v>85.985900000000001</v>
      </c>
      <c r="H35" s="5">
        <v>30.35</v>
      </c>
      <c r="I35" s="5">
        <v>950</v>
      </c>
      <c r="J35" s="4" t="s">
        <v>124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187</v>
      </c>
      <c r="C36" s="4" t="s">
        <v>188</v>
      </c>
      <c r="D36" s="4" t="s">
        <v>123</v>
      </c>
      <c r="E36" s="4" t="s">
        <v>130</v>
      </c>
      <c r="F36" s="4">
        <v>982.5</v>
      </c>
      <c r="G36" s="5">
        <v>98.8</v>
      </c>
      <c r="H36" s="5">
        <v>23.29</v>
      </c>
      <c r="I36" s="5">
        <v>599</v>
      </c>
      <c r="J36" s="4" t="s">
        <v>124</v>
      </c>
    </row>
    <row r="37" spans="1:10" x14ac:dyDescent="0.25">
      <c r="A37" s="4">
        <f t="shared" ca="1" si="1"/>
        <v>34</v>
      </c>
      <c r="B37" s="4" t="s">
        <v>189</v>
      </c>
      <c r="C37" s="4" t="s">
        <v>190</v>
      </c>
      <c r="D37" s="4" t="s">
        <v>123</v>
      </c>
      <c r="E37" s="4" t="s">
        <v>130</v>
      </c>
      <c r="F37" s="4">
        <v>991.75200000000007</v>
      </c>
      <c r="G37" s="5">
        <v>101.62520000000001</v>
      </c>
      <c r="H37" s="5">
        <v>22.01</v>
      </c>
      <c r="I37" s="5">
        <v>323</v>
      </c>
      <c r="J37" s="4" t="s">
        <v>124</v>
      </c>
    </row>
    <row r="38" spans="1:10" x14ac:dyDescent="0.25">
      <c r="A38" s="4">
        <f t="shared" ca="1" si="1"/>
        <v>35</v>
      </c>
      <c r="B38" s="4" t="s">
        <v>191</v>
      </c>
      <c r="C38" s="4" t="s">
        <v>192</v>
      </c>
      <c r="D38" s="4" t="s">
        <v>123</v>
      </c>
      <c r="E38" s="4" t="s">
        <v>130</v>
      </c>
      <c r="F38" s="4">
        <v>961.89800000000002</v>
      </c>
      <c r="G38" s="5">
        <v>97.403700000000001</v>
      </c>
      <c r="H38" s="5">
        <v>23.57</v>
      </c>
      <c r="I38" s="5">
        <v>342</v>
      </c>
      <c r="J38" s="4" t="s">
        <v>124</v>
      </c>
    </row>
    <row r="39" spans="1:10" x14ac:dyDescent="0.25">
      <c r="A39" s="4">
        <f t="shared" ca="1" si="1"/>
        <v>36</v>
      </c>
      <c r="B39" s="4" t="s">
        <v>193</v>
      </c>
      <c r="C39" s="4" t="s">
        <v>194</v>
      </c>
      <c r="D39" s="4" t="s">
        <v>123</v>
      </c>
      <c r="E39" s="4" t="s">
        <v>130</v>
      </c>
      <c r="F39" s="4">
        <v>932.702</v>
      </c>
      <c r="G39" s="5">
        <v>94.11460000000001</v>
      </c>
      <c r="H39" s="5">
        <v>22.91</v>
      </c>
      <c r="I39" s="5">
        <v>806</v>
      </c>
      <c r="J39" s="4" t="s">
        <v>124</v>
      </c>
    </row>
    <row r="40" spans="1:10" x14ac:dyDescent="0.25">
      <c r="A40" s="4">
        <f t="shared" ca="1" si="1"/>
        <v>37</v>
      </c>
      <c r="B40" s="4" t="s">
        <v>195</v>
      </c>
      <c r="C40" s="4" t="s">
        <v>196</v>
      </c>
      <c r="D40" s="4" t="s">
        <v>123</v>
      </c>
      <c r="E40" s="4" t="s">
        <v>130</v>
      </c>
      <c r="F40" s="4">
        <v>975.78700000000003</v>
      </c>
      <c r="G40" s="5">
        <v>97.695400000000006</v>
      </c>
      <c r="H40" s="5">
        <v>22.34</v>
      </c>
      <c r="I40" s="5">
        <v>850</v>
      </c>
      <c r="J40" s="4" t="s">
        <v>124</v>
      </c>
    </row>
    <row r="41" spans="1:10" x14ac:dyDescent="0.25">
      <c r="A41" s="4">
        <f t="shared" ca="1" si="1"/>
        <v>38</v>
      </c>
      <c r="B41" s="4" t="s">
        <v>197</v>
      </c>
      <c r="C41" s="4" t="s">
        <v>198</v>
      </c>
      <c r="D41" s="4" t="s">
        <v>123</v>
      </c>
      <c r="E41" s="4" t="s">
        <v>130</v>
      </c>
      <c r="F41" s="4">
        <v>999.75200000000007</v>
      </c>
      <c r="G41" s="5">
        <v>108.9127</v>
      </c>
      <c r="H41" s="5">
        <v>19.490000000000002</v>
      </c>
      <c r="I41" s="5">
        <v>562</v>
      </c>
      <c r="J41" s="4" t="s">
        <v>124</v>
      </c>
    </row>
    <row r="42" spans="1:10" x14ac:dyDescent="0.25">
      <c r="A42" s="4">
        <f t="shared" ca="1" si="1"/>
        <v>39</v>
      </c>
      <c r="B42" s="4" t="s">
        <v>199</v>
      </c>
      <c r="C42" s="4" t="s">
        <v>200</v>
      </c>
      <c r="D42" s="4" t="s">
        <v>123</v>
      </c>
      <c r="E42" s="4" t="s">
        <v>130</v>
      </c>
      <c r="F42" s="4">
        <v>1000</v>
      </c>
      <c r="G42" s="5">
        <v>105.08210000000001</v>
      </c>
      <c r="H42" s="5">
        <v>17.3</v>
      </c>
      <c r="I42" s="5">
        <v>1355</v>
      </c>
      <c r="J42" s="4" t="s">
        <v>124</v>
      </c>
    </row>
    <row r="43" spans="1:10" x14ac:dyDescent="0.25">
      <c r="A43" s="4">
        <f t="shared" ca="1" si="1"/>
        <v>40</v>
      </c>
      <c r="B43" s="4" t="s">
        <v>201</v>
      </c>
      <c r="C43" s="4" t="s">
        <v>202</v>
      </c>
      <c r="D43" s="4" t="s">
        <v>123</v>
      </c>
      <c r="E43" s="4" t="s">
        <v>130</v>
      </c>
      <c r="F43" s="4">
        <v>999.85400000000004</v>
      </c>
      <c r="G43" s="5">
        <v>100.76320000000001</v>
      </c>
      <c r="H43" s="5">
        <v>10</v>
      </c>
      <c r="I43" s="5">
        <v>337</v>
      </c>
      <c r="J43" s="4" t="s">
        <v>124</v>
      </c>
    </row>
    <row r="44" spans="1:10" x14ac:dyDescent="0.25">
      <c r="A44" s="4">
        <f t="shared" ca="1" si="1"/>
        <v>41</v>
      </c>
      <c r="B44" s="4" t="s">
        <v>203</v>
      </c>
      <c r="C44" s="4" t="s">
        <v>204</v>
      </c>
      <c r="D44" s="4" t="s">
        <v>123</v>
      </c>
      <c r="E44" s="4" t="s">
        <v>130</v>
      </c>
      <c r="F44" s="4">
        <v>997.53300000000002</v>
      </c>
      <c r="G44" s="5">
        <v>101.5215</v>
      </c>
      <c r="H44" s="5">
        <v>22.12</v>
      </c>
      <c r="I44" s="5">
        <v>640</v>
      </c>
      <c r="J44" s="4" t="s">
        <v>124</v>
      </c>
    </row>
    <row r="45" spans="1:10" x14ac:dyDescent="0.25">
      <c r="A45" s="4">
        <f t="shared" ca="1" si="1"/>
        <v>42</v>
      </c>
      <c r="B45" s="4" t="s">
        <v>205</v>
      </c>
      <c r="C45" s="4" t="s">
        <v>206</v>
      </c>
      <c r="D45" s="4" t="s">
        <v>123</v>
      </c>
      <c r="E45" s="4" t="s">
        <v>130</v>
      </c>
      <c r="F45" s="4">
        <v>992.25100000000009</v>
      </c>
      <c r="G45" s="5">
        <v>100.22510000000001</v>
      </c>
      <c r="H45" s="5">
        <v>21.82</v>
      </c>
      <c r="I45" s="5">
        <v>164</v>
      </c>
      <c r="J45" s="4" t="s">
        <v>124</v>
      </c>
    </row>
    <row r="46" spans="1:10" x14ac:dyDescent="0.25">
      <c r="A46" s="4">
        <f t="shared" ca="1" si="1"/>
        <v>43</v>
      </c>
      <c r="B46" s="4" t="s">
        <v>207</v>
      </c>
      <c r="C46" s="4" t="s">
        <v>208</v>
      </c>
      <c r="D46" s="4" t="s">
        <v>123</v>
      </c>
      <c r="E46" s="4" t="s">
        <v>130</v>
      </c>
      <c r="F46" s="4">
        <v>997.24800000000005</v>
      </c>
      <c r="G46" s="5">
        <v>100.5963</v>
      </c>
      <c r="H46" s="5">
        <v>22.56</v>
      </c>
      <c r="I46" s="5">
        <v>869</v>
      </c>
      <c r="J46" s="4" t="s">
        <v>124</v>
      </c>
    </row>
    <row r="47" spans="1:10" x14ac:dyDescent="0.25">
      <c r="A47" s="4">
        <f t="shared" ca="1" si="1"/>
        <v>44</v>
      </c>
      <c r="B47" s="4" t="s">
        <v>209</v>
      </c>
      <c r="C47" s="4" t="s">
        <v>210</v>
      </c>
      <c r="D47" s="4" t="s">
        <v>118</v>
      </c>
      <c r="E47" s="4" t="s">
        <v>130</v>
      </c>
      <c r="F47" s="4">
        <v>101.23</v>
      </c>
      <c r="G47" s="5"/>
      <c r="H47" s="5"/>
      <c r="I47" s="5"/>
      <c r="J47" s="4" t="s">
        <v>211</v>
      </c>
    </row>
    <row r="48" spans="1:10" x14ac:dyDescent="0.25">
      <c r="A48" s="4">
        <f t="shared" ca="1" si="1"/>
        <v>45</v>
      </c>
      <c r="B48" s="4" t="s">
        <v>212</v>
      </c>
      <c r="C48" s="4" t="s">
        <v>213</v>
      </c>
      <c r="D48" s="4" t="s">
        <v>123</v>
      </c>
      <c r="E48" s="4" t="s">
        <v>130</v>
      </c>
      <c r="F48" s="4">
        <v>965.48</v>
      </c>
      <c r="G48" s="5">
        <v>97.481300000000005</v>
      </c>
      <c r="H48" s="5">
        <v>22.9</v>
      </c>
      <c r="I48" s="5">
        <v>866</v>
      </c>
      <c r="J48" s="4" t="s">
        <v>124</v>
      </c>
    </row>
    <row r="49" spans="1:10" x14ac:dyDescent="0.25">
      <c r="A49" s="4">
        <f t="shared" ca="1" si="1"/>
        <v>46</v>
      </c>
      <c r="B49" s="4" t="s">
        <v>214</v>
      </c>
      <c r="C49" s="4" t="s">
        <v>215</v>
      </c>
      <c r="D49" s="4" t="s">
        <v>123</v>
      </c>
      <c r="E49" s="4" t="s">
        <v>130</v>
      </c>
      <c r="F49" s="4">
        <v>937.57800000000009</v>
      </c>
      <c r="G49" s="5">
        <v>95.102200000000011</v>
      </c>
      <c r="H49" s="5">
        <v>26.63</v>
      </c>
      <c r="I49" s="5">
        <v>616</v>
      </c>
      <c r="J49" s="4" t="s">
        <v>124</v>
      </c>
    </row>
    <row r="50" spans="1:10" x14ac:dyDescent="0.25">
      <c r="A50" s="4">
        <f t="shared" ca="1" si="1"/>
        <v>47</v>
      </c>
      <c r="B50" s="4" t="s">
        <v>216</v>
      </c>
      <c r="C50" s="4" t="s">
        <v>217</v>
      </c>
      <c r="D50" s="4" t="s">
        <v>123</v>
      </c>
      <c r="E50" s="4" t="s">
        <v>130</v>
      </c>
      <c r="F50" s="4">
        <v>958.03800000000001</v>
      </c>
      <c r="G50" s="5">
        <v>96.314900000000009</v>
      </c>
      <c r="H50" s="5">
        <v>42.63</v>
      </c>
      <c r="I50" s="5">
        <v>85</v>
      </c>
      <c r="J50" s="4" t="s">
        <v>124</v>
      </c>
    </row>
    <row r="51" spans="1:10" x14ac:dyDescent="0.25">
      <c r="A51" s="4">
        <f t="shared" ca="1" si="1"/>
        <v>48</v>
      </c>
      <c r="B51" s="4" t="s">
        <v>218</v>
      </c>
      <c r="C51" s="4" t="s">
        <v>219</v>
      </c>
      <c r="D51" s="4" t="s">
        <v>123</v>
      </c>
      <c r="E51" s="4" t="s">
        <v>130</v>
      </c>
      <c r="F51" s="4">
        <v>964.30799999999999</v>
      </c>
      <c r="G51" s="5">
        <v>100.6114</v>
      </c>
      <c r="H51" s="5">
        <v>23.38</v>
      </c>
      <c r="I51" s="5">
        <v>934</v>
      </c>
      <c r="J51" s="4" t="s">
        <v>124</v>
      </c>
    </row>
    <row r="52" spans="1:10" x14ac:dyDescent="0.25">
      <c r="A52" s="4">
        <f t="shared" ca="1" si="1"/>
        <v>49</v>
      </c>
      <c r="B52" s="4" t="s">
        <v>220</v>
      </c>
      <c r="C52" s="4" t="s">
        <v>221</v>
      </c>
      <c r="D52" s="4" t="s">
        <v>123</v>
      </c>
      <c r="E52" s="4" t="s">
        <v>130</v>
      </c>
      <c r="F52" s="4">
        <v>984.12400000000002</v>
      </c>
      <c r="G52" s="5">
        <v>99.145700000000005</v>
      </c>
      <c r="H52" s="5">
        <v>23.17</v>
      </c>
      <c r="I52" s="5">
        <v>596</v>
      </c>
      <c r="J52" s="4" t="s">
        <v>124</v>
      </c>
    </row>
    <row r="53" spans="1:10" x14ac:dyDescent="0.25">
      <c r="A53" s="4">
        <f t="shared" ca="1" si="1"/>
        <v>50</v>
      </c>
      <c r="B53" s="4" t="s">
        <v>222</v>
      </c>
      <c r="C53" s="4" t="s">
        <v>223</v>
      </c>
      <c r="D53" s="4" t="s">
        <v>123</v>
      </c>
      <c r="E53" s="4" t="s">
        <v>130</v>
      </c>
      <c r="F53" s="4">
        <v>986.76800000000003</v>
      </c>
      <c r="G53" s="5">
        <v>98.6768</v>
      </c>
      <c r="H53" s="5">
        <v>19.02</v>
      </c>
      <c r="I53" s="5">
        <v>366</v>
      </c>
      <c r="J53" s="4" t="s">
        <v>124</v>
      </c>
    </row>
    <row r="54" spans="1:10" x14ac:dyDescent="0.25">
      <c r="A54" s="4">
        <f t="shared" ca="1" si="1"/>
        <v>51</v>
      </c>
      <c r="B54" s="4" t="s">
        <v>224</v>
      </c>
      <c r="C54" s="4" t="s">
        <v>225</v>
      </c>
      <c r="D54" s="4" t="s">
        <v>123</v>
      </c>
      <c r="E54" s="4" t="s">
        <v>130</v>
      </c>
      <c r="F54" s="4">
        <v>951.60599999999999</v>
      </c>
      <c r="G54" s="5">
        <v>96.210599999999999</v>
      </c>
      <c r="H54" s="5">
        <v>23.49</v>
      </c>
      <c r="I54" s="5">
        <v>956</v>
      </c>
      <c r="J54" s="4" t="s">
        <v>124</v>
      </c>
    </row>
    <row r="55" spans="1:10" x14ac:dyDescent="0.25">
      <c r="A55" s="4">
        <f t="shared" ca="1" si="1"/>
        <v>52</v>
      </c>
      <c r="B55" s="4" t="s">
        <v>226</v>
      </c>
      <c r="C55" s="4" t="s">
        <v>227</v>
      </c>
      <c r="D55" s="4" t="s">
        <v>123</v>
      </c>
      <c r="E55" s="4" t="s">
        <v>130</v>
      </c>
      <c r="F55" s="4">
        <v>1002.849</v>
      </c>
      <c r="G55" s="5">
        <v>103.47380000000001</v>
      </c>
      <c r="H55" s="5">
        <v>20.240000000000002</v>
      </c>
      <c r="I55" s="5">
        <v>674</v>
      </c>
      <c r="J55" s="4" t="s">
        <v>124</v>
      </c>
    </row>
    <row r="56" spans="1:10" x14ac:dyDescent="0.25">
      <c r="A56" s="4">
        <f t="shared" ca="1" si="1"/>
        <v>53</v>
      </c>
      <c r="B56" s="4" t="s">
        <v>228</v>
      </c>
      <c r="C56" s="4" t="s">
        <v>229</v>
      </c>
      <c r="D56" s="4" t="s">
        <v>118</v>
      </c>
      <c r="E56" s="4" t="s">
        <v>230</v>
      </c>
      <c r="F56" s="4">
        <v>37946.559999999998</v>
      </c>
      <c r="G56" s="5"/>
      <c r="H56" s="5"/>
      <c r="I56" s="5"/>
      <c r="J56" s="4" t="s">
        <v>120</v>
      </c>
    </row>
    <row r="57" spans="1:10" x14ac:dyDescent="0.25">
      <c r="A57" s="4">
        <f t="shared" ca="1" si="1"/>
        <v>54</v>
      </c>
      <c r="B57" s="4" t="s">
        <v>231</v>
      </c>
      <c r="C57" s="4" t="s">
        <v>232</v>
      </c>
      <c r="D57" s="4" t="s">
        <v>118</v>
      </c>
      <c r="E57" s="4" t="s">
        <v>230</v>
      </c>
      <c r="F57" s="4">
        <v>28757.919999999998</v>
      </c>
      <c r="G57" s="5"/>
      <c r="H57" s="5"/>
      <c r="I57" s="5"/>
      <c r="J57" s="4" t="s">
        <v>120</v>
      </c>
    </row>
    <row r="58" spans="1:10" x14ac:dyDescent="0.25">
      <c r="A58" s="4">
        <f t="shared" ca="1" si="1"/>
        <v>55</v>
      </c>
      <c r="B58" s="4" t="s">
        <v>233</v>
      </c>
      <c r="C58" s="4" t="s">
        <v>234</v>
      </c>
      <c r="D58" s="4" t="s">
        <v>123</v>
      </c>
      <c r="E58" s="4" t="s">
        <v>235</v>
      </c>
      <c r="F58" s="4">
        <v>16357.5</v>
      </c>
      <c r="G58" s="5">
        <v>1635.749</v>
      </c>
      <c r="H58" s="5"/>
      <c r="I58" s="5">
        <v>133</v>
      </c>
      <c r="J58" s="4" t="s">
        <v>124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118</v>
      </c>
      <c r="E59" s="4" t="s">
        <v>238</v>
      </c>
      <c r="F59" s="4">
        <v>22227.15</v>
      </c>
      <c r="G59" s="5"/>
      <c r="H59" s="5"/>
      <c r="I59" s="5"/>
      <c r="J59" s="4" t="s">
        <v>120</v>
      </c>
    </row>
    <row r="60" spans="1:10" x14ac:dyDescent="0.25">
      <c r="A60" s="4">
        <f t="shared" ca="1" si="1"/>
        <v>57</v>
      </c>
      <c r="B60" s="4" t="s">
        <v>239</v>
      </c>
      <c r="C60" s="4" t="s">
        <v>240</v>
      </c>
      <c r="D60" s="4" t="s">
        <v>123</v>
      </c>
      <c r="E60" s="4" t="s">
        <v>238</v>
      </c>
      <c r="F60" s="4">
        <v>1.010256</v>
      </c>
      <c r="G60" s="5">
        <v>101.3242</v>
      </c>
      <c r="H60" s="5">
        <v>5.1100000000000003</v>
      </c>
      <c r="I60" s="5">
        <v>1623</v>
      </c>
      <c r="J60" s="4" t="s">
        <v>124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123</v>
      </c>
      <c r="E61" s="4" t="s">
        <v>238</v>
      </c>
      <c r="F61" s="4">
        <v>1003.1070000000001</v>
      </c>
      <c r="G61" s="5">
        <v>100.6649</v>
      </c>
      <c r="H61" s="5">
        <v>6.35</v>
      </c>
      <c r="I61" s="5">
        <v>8381</v>
      </c>
      <c r="J61" s="4" t="s">
        <v>124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118</v>
      </c>
      <c r="E62" s="4" t="s">
        <v>245</v>
      </c>
      <c r="F62" s="4">
        <v>3348.66</v>
      </c>
      <c r="G62" s="5"/>
      <c r="H62" s="5"/>
      <c r="I62" s="5"/>
      <c r="J62" s="4" t="s">
        <v>120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123</v>
      </c>
      <c r="E63" s="4" t="s">
        <v>248</v>
      </c>
      <c r="F63" s="4">
        <v>0.97235099999999997</v>
      </c>
      <c r="G63" s="5">
        <v>97.323999999999998</v>
      </c>
      <c r="H63" s="5">
        <v>5</v>
      </c>
      <c r="I63" s="5">
        <v>349</v>
      </c>
      <c r="J63" s="4" t="s">
        <v>124</v>
      </c>
    </row>
    <row r="64" spans="1:10" x14ac:dyDescent="0.25">
      <c r="A64" s="4">
        <f t="shared" ca="1" si="1"/>
        <v>61</v>
      </c>
      <c r="B64" s="4" t="s">
        <v>249</v>
      </c>
      <c r="C64" s="4" t="s">
        <v>250</v>
      </c>
      <c r="D64" s="4" t="s">
        <v>118</v>
      </c>
      <c r="E64" s="4" t="s">
        <v>251</v>
      </c>
      <c r="F64" s="4">
        <v>8955.3000000000011</v>
      </c>
      <c r="G64" s="5"/>
      <c r="H64" s="5"/>
      <c r="I64" s="5"/>
      <c r="J64" s="4" t="s">
        <v>120</v>
      </c>
    </row>
    <row r="65" spans="1:10" x14ac:dyDescent="0.25">
      <c r="A65" s="4">
        <f t="shared" ca="1" si="1"/>
        <v>62</v>
      </c>
      <c r="B65" s="4" t="s">
        <v>252</v>
      </c>
      <c r="C65" s="4" t="s">
        <v>253</v>
      </c>
      <c r="D65" s="4" t="s">
        <v>118</v>
      </c>
      <c r="E65" s="4" t="s">
        <v>251</v>
      </c>
      <c r="F65" s="4">
        <v>5020.59</v>
      </c>
      <c r="G65" s="5"/>
      <c r="H65" s="5"/>
      <c r="I65" s="5"/>
      <c r="J65" s="4" t="s">
        <v>120</v>
      </c>
    </row>
    <row r="66" spans="1:10" x14ac:dyDescent="0.25">
      <c r="A66" s="4">
        <f t="shared" ca="1" si="1"/>
        <v>63</v>
      </c>
      <c r="B66" s="4" t="s">
        <v>254</v>
      </c>
      <c r="C66" s="4" t="s">
        <v>255</v>
      </c>
      <c r="D66" s="4" t="s">
        <v>123</v>
      </c>
      <c r="E66" s="4" t="s">
        <v>256</v>
      </c>
      <c r="F66" s="4">
        <v>969.45900000000006</v>
      </c>
      <c r="G66" s="5">
        <v>100.828</v>
      </c>
      <c r="H66" s="5">
        <v>19.82</v>
      </c>
      <c r="I66" s="5">
        <v>836</v>
      </c>
      <c r="J66" s="4" t="s">
        <v>124</v>
      </c>
    </row>
    <row r="67" spans="1:10" x14ac:dyDescent="0.25">
      <c r="A67" s="4">
        <f t="shared" ca="1" si="1"/>
        <v>64</v>
      </c>
      <c r="B67" s="4" t="s">
        <v>257</v>
      </c>
      <c r="C67" s="4" t="s">
        <v>258</v>
      </c>
      <c r="D67" s="4" t="s">
        <v>123</v>
      </c>
      <c r="E67" s="4" t="s">
        <v>256</v>
      </c>
      <c r="F67" s="4">
        <v>98.862000000000009</v>
      </c>
      <c r="G67" s="5">
        <v>98.862000000000009</v>
      </c>
      <c r="H67" s="5">
        <v>16.16</v>
      </c>
      <c r="I67" s="5">
        <v>27</v>
      </c>
      <c r="J67" s="4" t="s">
        <v>124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259</v>
      </c>
      <c r="C68" s="4" t="s">
        <v>260</v>
      </c>
      <c r="D68" s="4" t="s">
        <v>123</v>
      </c>
      <c r="E68" s="4" t="s">
        <v>256</v>
      </c>
      <c r="F68" s="4">
        <v>100.01690000000001</v>
      </c>
      <c r="G68" s="5">
        <v>101.0836</v>
      </c>
      <c r="H68" s="5">
        <v>7.99</v>
      </c>
      <c r="I68" s="5">
        <v>773</v>
      </c>
      <c r="J68" s="4" t="s">
        <v>124</v>
      </c>
    </row>
    <row r="69" spans="1:10" x14ac:dyDescent="0.25">
      <c r="A69" s="4">
        <f t="shared" ca="1" si="2"/>
        <v>66</v>
      </c>
      <c r="B69" s="4" t="s">
        <v>261</v>
      </c>
      <c r="C69" s="4" t="s">
        <v>262</v>
      </c>
      <c r="D69" s="4" t="s">
        <v>123</v>
      </c>
      <c r="E69" s="4" t="s">
        <v>66</v>
      </c>
      <c r="F69" s="4">
        <v>1000</v>
      </c>
      <c r="G69" s="5">
        <v>110.96990000000001</v>
      </c>
      <c r="H69" s="5">
        <v>12.54</v>
      </c>
      <c r="I69" s="5">
        <v>1143</v>
      </c>
      <c r="J69" s="4" t="s">
        <v>124</v>
      </c>
    </row>
    <row r="70" spans="1:10" x14ac:dyDescent="0.25">
      <c r="A70" s="4">
        <f t="shared" ca="1" si="2"/>
        <v>67</v>
      </c>
      <c r="B70" s="4" t="s">
        <v>263</v>
      </c>
      <c r="C70" s="4" t="s">
        <v>264</v>
      </c>
      <c r="D70" s="4" t="s">
        <v>123</v>
      </c>
      <c r="E70" s="4" t="s">
        <v>66</v>
      </c>
      <c r="F70" s="4">
        <v>1000</v>
      </c>
      <c r="G70" s="5">
        <v>102.6901</v>
      </c>
      <c r="H70" s="5">
        <v>12.53</v>
      </c>
      <c r="I70" s="5">
        <v>1383</v>
      </c>
      <c r="J70" s="4" t="s">
        <v>124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123</v>
      </c>
      <c r="E71" s="4" t="s">
        <v>66</v>
      </c>
      <c r="F71" s="4">
        <v>1000</v>
      </c>
      <c r="G71" s="5">
        <v>105.79940000000001</v>
      </c>
      <c r="H71" s="5">
        <v>12.21</v>
      </c>
      <c r="I71" s="5">
        <v>196</v>
      </c>
      <c r="J71" s="4" t="s">
        <v>124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123</v>
      </c>
      <c r="E72" s="4" t="s">
        <v>66</v>
      </c>
      <c r="F72" s="4">
        <v>1000</v>
      </c>
      <c r="G72" s="5">
        <v>103.63340000000001</v>
      </c>
      <c r="H72" s="5">
        <v>12.35</v>
      </c>
      <c r="I72" s="5">
        <v>259</v>
      </c>
      <c r="J72" s="4" t="s">
        <v>124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123</v>
      </c>
      <c r="E73" s="4" t="s">
        <v>66</v>
      </c>
      <c r="F73" s="4">
        <v>1000</v>
      </c>
      <c r="G73" s="5">
        <v>106.8125</v>
      </c>
      <c r="H73" s="5">
        <v>12.43</v>
      </c>
      <c r="I73" s="5">
        <v>532</v>
      </c>
      <c r="J73" s="4" t="s">
        <v>124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123</v>
      </c>
      <c r="E74" s="4" t="s">
        <v>66</v>
      </c>
      <c r="F74" s="4">
        <v>1000</v>
      </c>
      <c r="G74" s="5">
        <v>104.71640000000001</v>
      </c>
      <c r="H74" s="5">
        <v>12.45</v>
      </c>
      <c r="I74" s="5">
        <v>593</v>
      </c>
      <c r="J74" s="4" t="s">
        <v>124</v>
      </c>
    </row>
    <row r="75" spans="1:10" x14ac:dyDescent="0.25">
      <c r="A75" s="4">
        <f t="shared" ca="1" si="2"/>
        <v>72</v>
      </c>
      <c r="B75" s="4" t="s">
        <v>273</v>
      </c>
      <c r="C75" s="4" t="s">
        <v>274</v>
      </c>
      <c r="D75" s="4" t="s">
        <v>123</v>
      </c>
      <c r="E75" s="4" t="s">
        <v>66</v>
      </c>
      <c r="F75" s="4">
        <v>1000</v>
      </c>
      <c r="G75" s="5">
        <v>112.15780000000001</v>
      </c>
      <c r="H75" s="5">
        <v>12.56</v>
      </c>
      <c r="I75" s="5">
        <v>743</v>
      </c>
      <c r="J75" s="4" t="s">
        <v>124</v>
      </c>
    </row>
    <row r="76" spans="1:10" x14ac:dyDescent="0.25">
      <c r="A76" s="4">
        <f t="shared" ca="1" si="2"/>
        <v>73</v>
      </c>
      <c r="B76" s="4" t="s">
        <v>275</v>
      </c>
      <c r="C76" s="4" t="s">
        <v>276</v>
      </c>
      <c r="D76" s="4" t="s">
        <v>123</v>
      </c>
      <c r="E76" s="4" t="s">
        <v>66</v>
      </c>
      <c r="F76" s="4">
        <v>1000</v>
      </c>
      <c r="G76" s="5">
        <v>102.6901</v>
      </c>
      <c r="H76" s="5">
        <v>12.52</v>
      </c>
      <c r="I76" s="5">
        <v>1018</v>
      </c>
      <c r="J76" s="4" t="s">
        <v>124</v>
      </c>
    </row>
    <row r="77" spans="1:10" x14ac:dyDescent="0.25">
      <c r="A77" s="4">
        <f t="shared" ca="1" si="2"/>
        <v>74</v>
      </c>
      <c r="B77" s="4" t="s">
        <v>277</v>
      </c>
      <c r="C77" s="4" t="s">
        <v>278</v>
      </c>
      <c r="D77" s="4" t="s">
        <v>123</v>
      </c>
      <c r="E77" s="4" t="s">
        <v>66</v>
      </c>
      <c r="F77" s="4">
        <v>1000</v>
      </c>
      <c r="G77" s="5">
        <v>109.99170000000001</v>
      </c>
      <c r="H77" s="5">
        <v>12.54</v>
      </c>
      <c r="I77" s="5">
        <v>1537</v>
      </c>
      <c r="J77" s="4" t="s">
        <v>124</v>
      </c>
    </row>
    <row r="78" spans="1:10" x14ac:dyDescent="0.25">
      <c r="A78" s="4">
        <f t="shared" ca="1" si="2"/>
        <v>75</v>
      </c>
      <c r="B78" s="4" t="s">
        <v>279</v>
      </c>
      <c r="C78" s="4" t="s">
        <v>280</v>
      </c>
      <c r="D78" s="4" t="s">
        <v>123</v>
      </c>
      <c r="E78" s="4" t="s">
        <v>66</v>
      </c>
      <c r="F78" s="4">
        <v>999.37300000000005</v>
      </c>
      <c r="G78" s="5">
        <v>104.90950000000001</v>
      </c>
      <c r="H78" s="5">
        <v>16.79</v>
      </c>
      <c r="I78" s="5">
        <v>3</v>
      </c>
      <c r="J78" s="4" t="s">
        <v>124</v>
      </c>
    </row>
    <row r="79" spans="1:10" x14ac:dyDescent="0.25">
      <c r="A79" s="4">
        <f t="shared" ca="1" si="2"/>
        <v>76</v>
      </c>
      <c r="B79" s="4" t="s">
        <v>281</v>
      </c>
      <c r="C79" s="4" t="s">
        <v>282</v>
      </c>
      <c r="D79" s="4" t="s">
        <v>123</v>
      </c>
      <c r="E79" s="4" t="s">
        <v>66</v>
      </c>
      <c r="F79" s="4">
        <v>891.00700000000006</v>
      </c>
      <c r="G79" s="5">
        <v>93.975700000000003</v>
      </c>
      <c r="H79" s="5">
        <v>17.510000000000002</v>
      </c>
      <c r="I79" s="5">
        <v>375</v>
      </c>
      <c r="J79" s="4" t="s">
        <v>124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123</v>
      </c>
      <c r="E80" s="4" t="s">
        <v>66</v>
      </c>
      <c r="F80" s="4">
        <v>1000</v>
      </c>
      <c r="G80" s="5">
        <v>104.71640000000001</v>
      </c>
      <c r="H80" s="5">
        <v>12.52</v>
      </c>
      <c r="I80" s="5">
        <v>1324</v>
      </c>
      <c r="J80" s="4" t="s">
        <v>124</v>
      </c>
    </row>
    <row r="81" spans="1:10" x14ac:dyDescent="0.25">
      <c r="A81" s="4">
        <f t="shared" ca="1" si="2"/>
        <v>78</v>
      </c>
      <c r="B81" s="4" t="s">
        <v>285</v>
      </c>
      <c r="C81" s="4" t="s">
        <v>110</v>
      </c>
      <c r="D81" s="4" t="s">
        <v>123</v>
      </c>
      <c r="E81" s="4" t="s">
        <v>66</v>
      </c>
      <c r="F81" s="4">
        <v>864.96199999999999</v>
      </c>
      <c r="G81" s="5">
        <v>89.957999999999998</v>
      </c>
      <c r="H81" s="5">
        <v>17.3</v>
      </c>
      <c r="I81" s="5">
        <v>499</v>
      </c>
      <c r="J81" s="4" t="s">
        <v>124</v>
      </c>
    </row>
    <row r="82" spans="1:10" x14ac:dyDescent="0.25">
      <c r="A82" s="4">
        <f t="shared" ca="1" si="2"/>
        <v>79</v>
      </c>
      <c r="B82" s="4" t="s">
        <v>286</v>
      </c>
      <c r="C82" s="4" t="s">
        <v>287</v>
      </c>
      <c r="D82" s="4" t="s">
        <v>123</v>
      </c>
      <c r="E82" s="4" t="s">
        <v>66</v>
      </c>
      <c r="F82" s="4">
        <v>826.17100000000005</v>
      </c>
      <c r="G82" s="5">
        <v>83.471100000000007</v>
      </c>
      <c r="H82" s="5">
        <v>17.240000000000002</v>
      </c>
      <c r="I82" s="5">
        <v>674</v>
      </c>
      <c r="J82" s="4" t="s">
        <v>124</v>
      </c>
    </row>
    <row r="83" spans="1:10" x14ac:dyDescent="0.25">
      <c r="A83" s="4">
        <f t="shared" ca="1" si="2"/>
        <v>80</v>
      </c>
      <c r="B83" s="4" t="s">
        <v>288</v>
      </c>
      <c r="C83" s="4" t="s">
        <v>289</v>
      </c>
      <c r="D83" s="4" t="s">
        <v>123</v>
      </c>
      <c r="E83" s="4" t="s">
        <v>66</v>
      </c>
      <c r="F83" s="4">
        <v>834.45800000000008</v>
      </c>
      <c r="G83" s="5">
        <v>83.806899999999999</v>
      </c>
      <c r="H83" s="5">
        <v>17.21</v>
      </c>
      <c r="I83" s="5">
        <v>710</v>
      </c>
      <c r="J83" s="4" t="s">
        <v>124</v>
      </c>
    </row>
    <row r="84" spans="1:10" x14ac:dyDescent="0.25">
      <c r="A84" s="4">
        <f t="shared" ca="1" si="2"/>
        <v>81</v>
      </c>
      <c r="B84" s="4" t="s">
        <v>290</v>
      </c>
      <c r="C84" s="4" t="s">
        <v>291</v>
      </c>
      <c r="D84" s="4" t="s">
        <v>123</v>
      </c>
      <c r="E84" s="4" t="s">
        <v>66</v>
      </c>
      <c r="F84" s="4">
        <v>1000</v>
      </c>
      <c r="G84" s="5">
        <v>103.6683</v>
      </c>
      <c r="H84" s="5">
        <v>12.47</v>
      </c>
      <c r="I84" s="5">
        <v>623</v>
      </c>
      <c r="J84" s="4" t="s">
        <v>124</v>
      </c>
    </row>
    <row r="85" spans="1:10" x14ac:dyDescent="0.25">
      <c r="A85" s="4">
        <f t="shared" ca="1" si="2"/>
        <v>82</v>
      </c>
      <c r="B85" s="4" t="s">
        <v>292</v>
      </c>
      <c r="C85" s="4" t="s">
        <v>293</v>
      </c>
      <c r="D85" s="4" t="s">
        <v>123</v>
      </c>
      <c r="E85" s="4" t="s">
        <v>66</v>
      </c>
      <c r="F85" s="4">
        <v>1000</v>
      </c>
      <c r="G85" s="5">
        <v>112.12280000000001</v>
      </c>
      <c r="H85" s="5">
        <v>11.85</v>
      </c>
      <c r="I85" s="5">
        <v>14</v>
      </c>
      <c r="J85" s="4" t="s">
        <v>124</v>
      </c>
    </row>
    <row r="86" spans="1:10" x14ac:dyDescent="0.25">
      <c r="A86" s="4">
        <f t="shared" ca="1" si="2"/>
        <v>83</v>
      </c>
      <c r="B86" s="4" t="s">
        <v>294</v>
      </c>
      <c r="C86" s="4" t="s">
        <v>295</v>
      </c>
      <c r="D86" s="4" t="s">
        <v>123</v>
      </c>
      <c r="E86" s="4" t="s">
        <v>66</v>
      </c>
      <c r="F86" s="4">
        <v>1000</v>
      </c>
      <c r="G86" s="5">
        <v>109.14840000000001</v>
      </c>
      <c r="H86" s="5">
        <v>12.62</v>
      </c>
      <c r="I86" s="5">
        <v>1564</v>
      </c>
      <c r="J86" s="4" t="s">
        <v>124</v>
      </c>
    </row>
    <row r="87" spans="1:10" x14ac:dyDescent="0.25">
      <c r="A87" s="4">
        <f t="shared" ca="1" si="2"/>
        <v>84</v>
      </c>
      <c r="B87" s="4" t="s">
        <v>296</v>
      </c>
      <c r="C87" s="4" t="s">
        <v>67</v>
      </c>
      <c r="D87" s="4" t="s">
        <v>123</v>
      </c>
      <c r="E87" s="4" t="s">
        <v>66</v>
      </c>
      <c r="F87" s="4">
        <v>612.375</v>
      </c>
      <c r="G87" s="5">
        <v>65.317300000000003</v>
      </c>
      <c r="H87" s="5">
        <v>16.97</v>
      </c>
      <c r="I87" s="5">
        <v>3102</v>
      </c>
      <c r="J87" s="4" t="s">
        <v>124</v>
      </c>
    </row>
    <row r="88" spans="1:10" x14ac:dyDescent="0.25">
      <c r="A88" s="4">
        <f t="shared" ca="1" si="2"/>
        <v>85</v>
      </c>
      <c r="B88" s="4" t="s">
        <v>297</v>
      </c>
      <c r="C88" s="4" t="s">
        <v>298</v>
      </c>
      <c r="D88" s="4" t="s">
        <v>123</v>
      </c>
      <c r="E88" s="4" t="s">
        <v>66</v>
      </c>
      <c r="F88" s="4">
        <v>870.85800000000006</v>
      </c>
      <c r="G88" s="5">
        <v>90.073800000000006</v>
      </c>
      <c r="H88" s="5">
        <v>17.27</v>
      </c>
      <c r="I88" s="5">
        <v>584</v>
      </c>
      <c r="J88" s="4" t="s">
        <v>124</v>
      </c>
    </row>
    <row r="89" spans="1:10" x14ac:dyDescent="0.25">
      <c r="A89" s="4">
        <f t="shared" ca="1" si="2"/>
        <v>86</v>
      </c>
      <c r="B89" s="4" t="s">
        <v>299</v>
      </c>
      <c r="C89" s="4" t="s">
        <v>300</v>
      </c>
      <c r="D89" s="4" t="s">
        <v>123</v>
      </c>
      <c r="E89" s="4" t="s">
        <v>66</v>
      </c>
      <c r="F89" s="4">
        <v>534.75599999999997</v>
      </c>
      <c r="G89" s="5">
        <v>54.628900000000002</v>
      </c>
      <c r="H89" s="5">
        <v>16.96</v>
      </c>
      <c r="I89" s="5">
        <v>6892</v>
      </c>
      <c r="J89" s="4" t="s">
        <v>124</v>
      </c>
    </row>
    <row r="90" spans="1:10" x14ac:dyDescent="0.25">
      <c r="A90" s="4">
        <f t="shared" ca="1" si="2"/>
        <v>87</v>
      </c>
      <c r="B90" s="4" t="s">
        <v>301</v>
      </c>
      <c r="C90" s="4" t="s">
        <v>302</v>
      </c>
      <c r="D90" s="4" t="s">
        <v>123</v>
      </c>
      <c r="E90" s="4" t="s">
        <v>66</v>
      </c>
      <c r="F90" s="4">
        <v>1000</v>
      </c>
      <c r="G90" s="5">
        <v>101.5372</v>
      </c>
      <c r="H90" s="5">
        <v>12.48</v>
      </c>
      <c r="I90" s="5">
        <v>321</v>
      </c>
      <c r="J90" s="4" t="s">
        <v>124</v>
      </c>
    </row>
    <row r="91" spans="1:10" x14ac:dyDescent="0.25">
      <c r="A91" s="4">
        <f t="shared" ca="1" si="2"/>
        <v>88</v>
      </c>
      <c r="B91" s="4" t="s">
        <v>303</v>
      </c>
      <c r="C91" s="4" t="s">
        <v>304</v>
      </c>
      <c r="D91" s="4" t="s">
        <v>123</v>
      </c>
      <c r="E91" s="4" t="s">
        <v>66</v>
      </c>
      <c r="F91" s="4">
        <v>1000</v>
      </c>
      <c r="G91" s="5">
        <v>104.7513</v>
      </c>
      <c r="H91" s="5">
        <v>12.52</v>
      </c>
      <c r="I91" s="5">
        <v>1323</v>
      </c>
      <c r="J91" s="4" t="s">
        <v>124</v>
      </c>
    </row>
    <row r="92" spans="1:10" x14ac:dyDescent="0.25">
      <c r="A92" s="4">
        <f t="shared" ca="1" si="2"/>
        <v>89</v>
      </c>
      <c r="B92" s="4" t="s">
        <v>305</v>
      </c>
      <c r="C92" s="4" t="s">
        <v>306</v>
      </c>
      <c r="D92" s="4" t="s">
        <v>123</v>
      </c>
      <c r="E92" s="4" t="s">
        <v>66</v>
      </c>
      <c r="F92" s="4">
        <v>1000</v>
      </c>
      <c r="G92" s="5">
        <v>105.7295</v>
      </c>
      <c r="H92" s="5">
        <v>12.52</v>
      </c>
      <c r="I92" s="5">
        <v>1659</v>
      </c>
      <c r="J92" s="4" t="s">
        <v>124</v>
      </c>
    </row>
    <row r="93" spans="1:10" x14ac:dyDescent="0.25">
      <c r="A93" s="4">
        <f t="shared" ca="1" si="2"/>
        <v>90</v>
      </c>
      <c r="B93" s="4" t="s">
        <v>307</v>
      </c>
      <c r="C93" s="4" t="s">
        <v>308</v>
      </c>
      <c r="D93" s="4" t="s">
        <v>123</v>
      </c>
      <c r="E93" s="4" t="s">
        <v>66</v>
      </c>
      <c r="F93" s="4">
        <v>1000</v>
      </c>
      <c r="G93" s="5">
        <v>102.6551</v>
      </c>
      <c r="H93" s="5">
        <v>12.41</v>
      </c>
      <c r="I93" s="5">
        <v>288</v>
      </c>
      <c r="J93" s="4" t="s">
        <v>124</v>
      </c>
    </row>
    <row r="94" spans="1:10" x14ac:dyDescent="0.25">
      <c r="A94" s="4">
        <f t="shared" ca="1" si="2"/>
        <v>91</v>
      </c>
      <c r="B94" s="4" t="s">
        <v>309</v>
      </c>
      <c r="C94" s="4" t="s">
        <v>98</v>
      </c>
      <c r="D94" s="4" t="s">
        <v>123</v>
      </c>
      <c r="E94" s="4" t="s">
        <v>66</v>
      </c>
      <c r="F94" s="4">
        <v>598.08000000000004</v>
      </c>
      <c r="G94" s="5">
        <v>66.196799999999996</v>
      </c>
      <c r="H94" s="5">
        <v>16.98</v>
      </c>
      <c r="I94" s="5">
        <v>3364</v>
      </c>
      <c r="J94" s="4" t="s">
        <v>124</v>
      </c>
    </row>
    <row r="95" spans="1:10" x14ac:dyDescent="0.25">
      <c r="A95" s="4">
        <f t="shared" ca="1" si="2"/>
        <v>92</v>
      </c>
      <c r="B95" s="4" t="s">
        <v>310</v>
      </c>
      <c r="C95" s="4" t="s">
        <v>311</v>
      </c>
      <c r="D95" s="4" t="s">
        <v>123</v>
      </c>
      <c r="E95" s="4" t="s">
        <v>66</v>
      </c>
      <c r="F95" s="4">
        <v>907.55499999999995</v>
      </c>
      <c r="G95" s="5">
        <v>96.955500000000001</v>
      </c>
      <c r="H95" s="5">
        <v>17.330000000000002</v>
      </c>
      <c r="I95" s="5">
        <v>478</v>
      </c>
      <c r="J95" s="4" t="s">
        <v>124</v>
      </c>
    </row>
    <row r="96" spans="1:10" x14ac:dyDescent="0.25">
      <c r="A96" s="4">
        <f t="shared" ca="1" si="2"/>
        <v>93</v>
      </c>
      <c r="B96" s="4" t="s">
        <v>312</v>
      </c>
      <c r="C96" s="4" t="s">
        <v>313</v>
      </c>
      <c r="D96" s="4" t="s">
        <v>123</v>
      </c>
      <c r="E96" s="4" t="s">
        <v>66</v>
      </c>
      <c r="F96" s="4">
        <v>888.58199999999999</v>
      </c>
      <c r="G96" s="5">
        <v>92.133200000000002</v>
      </c>
      <c r="H96" s="5">
        <v>17.260000000000002</v>
      </c>
      <c r="I96" s="5">
        <v>597</v>
      </c>
      <c r="J96" s="4" t="s">
        <v>124</v>
      </c>
    </row>
    <row r="97" spans="1:10" x14ac:dyDescent="0.25">
      <c r="A97" s="4">
        <f t="shared" ca="1" si="2"/>
        <v>94</v>
      </c>
      <c r="B97" s="4" t="s">
        <v>314</v>
      </c>
      <c r="C97" s="4" t="s">
        <v>315</v>
      </c>
      <c r="D97" s="4" t="s">
        <v>123</v>
      </c>
      <c r="E97" s="4" t="s">
        <v>66</v>
      </c>
      <c r="F97" s="4">
        <v>591.91999999999996</v>
      </c>
      <c r="G97" s="5">
        <v>61.641800000000003</v>
      </c>
      <c r="H97" s="5">
        <v>16.96</v>
      </c>
      <c r="I97" s="5">
        <v>3912</v>
      </c>
      <c r="J97" s="4" t="s">
        <v>124</v>
      </c>
    </row>
    <row r="98" spans="1:10" x14ac:dyDescent="0.25">
      <c r="A98" s="4">
        <f t="shared" ca="1" si="2"/>
        <v>95</v>
      </c>
      <c r="B98" s="4" t="s">
        <v>316</v>
      </c>
      <c r="C98" s="4" t="s">
        <v>317</v>
      </c>
      <c r="D98" s="4" t="s">
        <v>123</v>
      </c>
      <c r="E98" s="4" t="s">
        <v>66</v>
      </c>
      <c r="F98" s="4">
        <v>661.89100000000008</v>
      </c>
      <c r="G98" s="5">
        <v>71.481300000000005</v>
      </c>
      <c r="H98" s="5">
        <v>16.990000000000002</v>
      </c>
      <c r="I98" s="5">
        <v>2699</v>
      </c>
      <c r="J98" s="4" t="s">
        <v>124</v>
      </c>
    </row>
    <row r="99" spans="1:10" x14ac:dyDescent="0.25">
      <c r="A99" s="4">
        <f t="shared" ca="1" si="2"/>
        <v>96</v>
      </c>
      <c r="B99" s="4" t="s">
        <v>318</v>
      </c>
      <c r="C99" s="4" t="s">
        <v>319</v>
      </c>
      <c r="D99" s="4" t="s">
        <v>123</v>
      </c>
      <c r="E99" s="4" t="s">
        <v>66</v>
      </c>
      <c r="F99" s="4">
        <v>652.601</v>
      </c>
      <c r="G99" s="5">
        <v>69.98360000000001</v>
      </c>
      <c r="H99" s="5">
        <v>16.990000000000002</v>
      </c>
      <c r="I99" s="5">
        <v>2718</v>
      </c>
      <c r="J99" s="4" t="s">
        <v>124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85</v>
      </c>
      <c r="D100" s="4" t="s">
        <v>123</v>
      </c>
      <c r="E100" s="4" t="s">
        <v>66</v>
      </c>
      <c r="F100" s="4">
        <v>678.93400000000008</v>
      </c>
      <c r="G100" s="5">
        <v>72.775599999999997</v>
      </c>
      <c r="H100" s="5">
        <v>17</v>
      </c>
      <c r="I100" s="5">
        <v>2346</v>
      </c>
      <c r="J100" s="4" t="s">
        <v>124</v>
      </c>
    </row>
    <row r="101" spans="1:10" x14ac:dyDescent="0.25">
      <c r="A101" s="4">
        <f t="shared" ca="1" si="3"/>
        <v>98</v>
      </c>
      <c r="B101" s="4" t="s">
        <v>321</v>
      </c>
      <c r="C101" s="4" t="s">
        <v>322</v>
      </c>
      <c r="D101" s="4" t="s">
        <v>123</v>
      </c>
      <c r="E101" s="4" t="s">
        <v>66</v>
      </c>
      <c r="F101" s="4">
        <v>707.34900000000005</v>
      </c>
      <c r="G101" s="5">
        <v>75.048699999999997</v>
      </c>
      <c r="H101" s="5">
        <v>17.010000000000002</v>
      </c>
      <c r="I101" s="5">
        <v>2004</v>
      </c>
      <c r="J101" s="4" t="s">
        <v>124</v>
      </c>
    </row>
    <row r="102" spans="1:10" x14ac:dyDescent="0.25">
      <c r="A102" s="4">
        <f t="shared" ca="1" si="3"/>
        <v>99</v>
      </c>
      <c r="B102" s="4" t="s">
        <v>323</v>
      </c>
      <c r="C102" s="4" t="s">
        <v>324</v>
      </c>
      <c r="D102" s="4" t="s">
        <v>123</v>
      </c>
      <c r="E102" s="4" t="s">
        <v>66</v>
      </c>
      <c r="F102" s="4">
        <v>594.76</v>
      </c>
      <c r="G102" s="5">
        <v>66.07350000000001</v>
      </c>
      <c r="H102" s="5">
        <v>16.98</v>
      </c>
      <c r="I102" s="5">
        <v>4108</v>
      </c>
      <c r="J102" s="4" t="s">
        <v>124</v>
      </c>
    </row>
    <row r="103" spans="1:10" x14ac:dyDescent="0.25">
      <c r="A103" s="4">
        <f t="shared" ca="1" si="3"/>
        <v>100</v>
      </c>
      <c r="B103" s="4" t="s">
        <v>325</v>
      </c>
      <c r="C103" s="4" t="s">
        <v>326</v>
      </c>
      <c r="D103" s="4" t="s">
        <v>123</v>
      </c>
      <c r="E103" s="4" t="s">
        <v>66</v>
      </c>
      <c r="F103" s="4">
        <v>1000</v>
      </c>
      <c r="G103" s="5">
        <v>105.79940000000001</v>
      </c>
      <c r="H103" s="5">
        <v>12.21</v>
      </c>
      <c r="I103" s="5">
        <v>196</v>
      </c>
      <c r="J103" s="4" t="s">
        <v>124</v>
      </c>
    </row>
    <row r="104" spans="1:10" x14ac:dyDescent="0.25">
      <c r="A104" s="4">
        <f t="shared" ca="1" si="3"/>
        <v>101</v>
      </c>
      <c r="B104" s="4" t="s">
        <v>327</v>
      </c>
      <c r="C104" s="4" t="s">
        <v>89</v>
      </c>
      <c r="D104" s="4" t="s">
        <v>123</v>
      </c>
      <c r="E104" s="4" t="s">
        <v>66</v>
      </c>
      <c r="F104" s="4">
        <v>753.61700000000008</v>
      </c>
      <c r="G104" s="5">
        <v>77.302999999999997</v>
      </c>
      <c r="H104" s="5">
        <v>17.07</v>
      </c>
      <c r="I104" s="5">
        <v>1369</v>
      </c>
      <c r="J104" s="4" t="s">
        <v>124</v>
      </c>
    </row>
    <row r="105" spans="1:10" x14ac:dyDescent="0.25">
      <c r="A105" s="4">
        <f t="shared" ca="1" si="3"/>
        <v>102</v>
      </c>
      <c r="B105" s="4" t="s">
        <v>328</v>
      </c>
      <c r="C105" s="4" t="s">
        <v>329</v>
      </c>
      <c r="D105" s="4" t="s">
        <v>123</v>
      </c>
      <c r="E105" s="4" t="s">
        <v>66</v>
      </c>
      <c r="F105" s="4">
        <v>731.66100000000006</v>
      </c>
      <c r="G105" s="5">
        <v>79.139400000000009</v>
      </c>
      <c r="H105" s="5">
        <v>17.07</v>
      </c>
      <c r="I105" s="5">
        <v>1544</v>
      </c>
      <c r="J105" s="4" t="s">
        <v>124</v>
      </c>
    </row>
    <row r="106" spans="1:10" x14ac:dyDescent="0.25">
      <c r="A106" s="4">
        <f t="shared" ca="1" si="3"/>
        <v>103</v>
      </c>
      <c r="B106" s="4" t="s">
        <v>330</v>
      </c>
      <c r="C106" s="4" t="s">
        <v>331</v>
      </c>
      <c r="D106" s="4" t="s">
        <v>123</v>
      </c>
      <c r="E106" s="4" t="s">
        <v>66</v>
      </c>
      <c r="F106" s="4">
        <v>533.87300000000005</v>
      </c>
      <c r="G106" s="5">
        <v>60.497300000000003</v>
      </c>
      <c r="H106" s="5">
        <v>16.96</v>
      </c>
      <c r="I106" s="5">
        <v>4785</v>
      </c>
      <c r="J106" s="4" t="s">
        <v>124</v>
      </c>
    </row>
    <row r="107" spans="1:10" x14ac:dyDescent="0.25">
      <c r="A107" s="4">
        <f t="shared" ca="1" si="3"/>
        <v>104</v>
      </c>
      <c r="B107" s="4" t="s">
        <v>332</v>
      </c>
      <c r="C107" s="4" t="s">
        <v>333</v>
      </c>
      <c r="D107" s="4" t="s">
        <v>123</v>
      </c>
      <c r="E107" s="4" t="s">
        <v>66</v>
      </c>
      <c r="F107" s="4">
        <v>996.976</v>
      </c>
      <c r="G107" s="5">
        <v>105.14200000000001</v>
      </c>
      <c r="H107" s="5">
        <v>16.940000000000001</v>
      </c>
      <c r="I107" s="5">
        <v>11</v>
      </c>
      <c r="J107" s="4" t="s">
        <v>124</v>
      </c>
    </row>
    <row r="108" spans="1:10" x14ac:dyDescent="0.25">
      <c r="A108" s="4">
        <f t="shared" ca="1" si="3"/>
        <v>105</v>
      </c>
      <c r="B108" s="4" t="s">
        <v>334</v>
      </c>
      <c r="C108" s="4" t="s">
        <v>112</v>
      </c>
      <c r="D108" s="4" t="s">
        <v>123</v>
      </c>
      <c r="E108" s="4" t="s">
        <v>66</v>
      </c>
      <c r="F108" s="4">
        <v>919.25</v>
      </c>
      <c r="G108" s="5">
        <v>93.238900000000001</v>
      </c>
      <c r="H108" s="5">
        <v>17.62</v>
      </c>
      <c r="I108" s="5">
        <v>278</v>
      </c>
      <c r="J108" s="4" t="s">
        <v>124</v>
      </c>
    </row>
    <row r="109" spans="1:10" x14ac:dyDescent="0.25">
      <c r="A109" s="4">
        <f t="shared" ca="1" si="3"/>
        <v>106</v>
      </c>
      <c r="B109" s="4" t="s">
        <v>335</v>
      </c>
      <c r="C109" s="4" t="s">
        <v>75</v>
      </c>
      <c r="D109" s="4" t="s">
        <v>123</v>
      </c>
      <c r="E109" s="4" t="s">
        <v>66</v>
      </c>
      <c r="F109" s="4">
        <v>817.02100000000007</v>
      </c>
      <c r="G109" s="5">
        <v>82.0702</v>
      </c>
      <c r="H109" s="5">
        <v>17.21</v>
      </c>
      <c r="I109" s="5">
        <v>705</v>
      </c>
      <c r="J109" s="4" t="s">
        <v>124</v>
      </c>
    </row>
    <row r="110" spans="1:10" x14ac:dyDescent="0.25">
      <c r="A110" s="4">
        <f t="shared" ca="1" si="3"/>
        <v>107</v>
      </c>
      <c r="B110" s="4" t="s">
        <v>336</v>
      </c>
      <c r="C110" s="4" t="s">
        <v>337</v>
      </c>
      <c r="D110" s="4" t="s">
        <v>123</v>
      </c>
      <c r="E110" s="4" t="s">
        <v>66</v>
      </c>
      <c r="F110" s="4">
        <v>753.226</v>
      </c>
      <c r="G110" s="5">
        <v>76.147599999999997</v>
      </c>
      <c r="H110" s="5">
        <v>17.13</v>
      </c>
      <c r="I110" s="5">
        <v>1042</v>
      </c>
      <c r="J110" s="4" t="s">
        <v>124</v>
      </c>
    </row>
    <row r="111" spans="1:10" x14ac:dyDescent="0.25">
      <c r="A111" s="4">
        <f t="shared" ca="1" si="3"/>
        <v>108</v>
      </c>
      <c r="B111" s="4" t="s">
        <v>338</v>
      </c>
      <c r="C111" s="4" t="s">
        <v>339</v>
      </c>
      <c r="D111" s="4" t="s">
        <v>123</v>
      </c>
      <c r="E111" s="4" t="s">
        <v>66</v>
      </c>
      <c r="F111" s="4">
        <v>550.51</v>
      </c>
      <c r="G111" s="5">
        <v>57.5792</v>
      </c>
      <c r="H111" s="5">
        <v>16.96</v>
      </c>
      <c r="I111" s="5">
        <v>5002</v>
      </c>
      <c r="J111" s="4" t="s">
        <v>124</v>
      </c>
    </row>
    <row r="112" spans="1:10" x14ac:dyDescent="0.25">
      <c r="A112" s="4">
        <f t="shared" ca="1" si="3"/>
        <v>109</v>
      </c>
      <c r="B112" s="4" t="s">
        <v>340</v>
      </c>
      <c r="C112" s="4" t="s">
        <v>341</v>
      </c>
      <c r="D112" s="4" t="s">
        <v>123</v>
      </c>
      <c r="E112" s="4" t="s">
        <v>66</v>
      </c>
      <c r="F112" s="4">
        <v>545.92700000000002</v>
      </c>
      <c r="G112" s="5">
        <v>60.591200000000001</v>
      </c>
      <c r="H112" s="5">
        <v>16.97</v>
      </c>
      <c r="I112" s="5">
        <v>5218</v>
      </c>
      <c r="J112" s="4" t="s">
        <v>124</v>
      </c>
    </row>
    <row r="113" spans="1:10" x14ac:dyDescent="0.25">
      <c r="A113" s="4">
        <f t="shared" ca="1" si="3"/>
        <v>110</v>
      </c>
      <c r="B113" s="4" t="s">
        <v>342</v>
      </c>
      <c r="C113" s="4" t="s">
        <v>81</v>
      </c>
      <c r="D113" s="4" t="s">
        <v>123</v>
      </c>
      <c r="E113" s="4" t="s">
        <v>66</v>
      </c>
      <c r="F113" s="4">
        <v>850.697</v>
      </c>
      <c r="G113" s="5">
        <v>91.914100000000005</v>
      </c>
      <c r="H113" s="5">
        <v>17.09</v>
      </c>
      <c r="I113" s="5">
        <v>1234</v>
      </c>
      <c r="J113" s="4" t="s">
        <v>124</v>
      </c>
    </row>
    <row r="114" spans="1:10" x14ac:dyDescent="0.25">
      <c r="A114" s="4">
        <f t="shared" ca="1" si="3"/>
        <v>111</v>
      </c>
      <c r="B114" s="4" t="s">
        <v>343</v>
      </c>
      <c r="C114" s="4" t="s">
        <v>344</v>
      </c>
      <c r="D114" s="4" t="s">
        <v>123</v>
      </c>
      <c r="E114" s="4" t="s">
        <v>66</v>
      </c>
      <c r="F114" s="4">
        <v>950.61</v>
      </c>
      <c r="G114" s="5">
        <v>98.372399999999999</v>
      </c>
      <c r="H114" s="5">
        <v>17.670000000000002</v>
      </c>
      <c r="I114" s="5">
        <v>232</v>
      </c>
      <c r="J114" s="4" t="s">
        <v>124</v>
      </c>
    </row>
    <row r="115" spans="1:10" x14ac:dyDescent="0.25">
      <c r="A115" s="4">
        <f t="shared" ca="1" si="3"/>
        <v>112</v>
      </c>
      <c r="B115" s="4" t="s">
        <v>345</v>
      </c>
      <c r="C115" s="4" t="s">
        <v>346</v>
      </c>
      <c r="D115" s="4" t="s">
        <v>123</v>
      </c>
      <c r="E115" s="4" t="s">
        <v>66</v>
      </c>
      <c r="F115" s="4">
        <v>1000</v>
      </c>
      <c r="G115" s="5">
        <v>111.64660000000001</v>
      </c>
      <c r="H115" s="5">
        <v>12.65</v>
      </c>
      <c r="I115" s="5">
        <v>1126</v>
      </c>
      <c r="J115" s="4" t="s">
        <v>124</v>
      </c>
    </row>
    <row r="116" spans="1:10" x14ac:dyDescent="0.25">
      <c r="A116" s="4">
        <f t="shared" ca="1" si="3"/>
        <v>113</v>
      </c>
      <c r="B116" s="4" t="s">
        <v>347</v>
      </c>
      <c r="C116" s="4" t="s">
        <v>348</v>
      </c>
      <c r="D116" s="4" t="s">
        <v>123</v>
      </c>
      <c r="E116" s="4" t="s">
        <v>66</v>
      </c>
      <c r="F116" s="4">
        <v>1000</v>
      </c>
      <c r="G116" s="5">
        <v>107.86060000000001</v>
      </c>
      <c r="H116" s="5">
        <v>12.09</v>
      </c>
      <c r="I116" s="5">
        <v>136</v>
      </c>
      <c r="J116" s="4" t="s">
        <v>124</v>
      </c>
    </row>
    <row r="117" spans="1:10" x14ac:dyDescent="0.25">
      <c r="A117" s="4">
        <f t="shared" ca="1" si="3"/>
        <v>114</v>
      </c>
      <c r="B117" s="4" t="s">
        <v>349</v>
      </c>
      <c r="C117" s="4" t="s">
        <v>350</v>
      </c>
      <c r="D117" s="4" t="s">
        <v>123</v>
      </c>
      <c r="E117" s="4" t="s">
        <v>66</v>
      </c>
      <c r="F117" s="4">
        <v>1000</v>
      </c>
      <c r="G117" s="5">
        <v>108.9436</v>
      </c>
      <c r="H117" s="5">
        <v>12.52</v>
      </c>
      <c r="I117" s="5">
        <v>1203</v>
      </c>
      <c r="J117" s="4" t="s">
        <v>124</v>
      </c>
    </row>
    <row r="118" spans="1:10" x14ac:dyDescent="0.25">
      <c r="A118" s="4">
        <f t="shared" ca="1" si="3"/>
        <v>115</v>
      </c>
      <c r="B118" s="4" t="s">
        <v>351</v>
      </c>
      <c r="C118" s="4" t="s">
        <v>352</v>
      </c>
      <c r="D118" s="4" t="s">
        <v>123</v>
      </c>
      <c r="E118" s="4" t="s">
        <v>66</v>
      </c>
      <c r="F118" s="4">
        <v>854.86099999999999</v>
      </c>
      <c r="G118" s="5">
        <v>85.980500000000006</v>
      </c>
      <c r="H118" s="5">
        <v>17.12</v>
      </c>
      <c r="I118" s="5">
        <v>1079</v>
      </c>
      <c r="J118" s="4" t="s">
        <v>124</v>
      </c>
    </row>
    <row r="119" spans="1:10" x14ac:dyDescent="0.25">
      <c r="A119" s="4">
        <f t="shared" ca="1" si="3"/>
        <v>116</v>
      </c>
      <c r="B119" s="4" t="s">
        <v>353</v>
      </c>
      <c r="C119" s="4" t="s">
        <v>354</v>
      </c>
      <c r="D119" s="4" t="s">
        <v>123</v>
      </c>
      <c r="E119" s="4" t="s">
        <v>66</v>
      </c>
      <c r="F119" s="4">
        <v>1000</v>
      </c>
      <c r="G119" s="5">
        <v>109.0485</v>
      </c>
      <c r="H119" s="5">
        <v>12.5</v>
      </c>
      <c r="I119" s="5">
        <v>834</v>
      </c>
      <c r="J119" s="4" t="s">
        <v>124</v>
      </c>
    </row>
    <row r="120" spans="1:10" x14ac:dyDescent="0.25">
      <c r="A120" s="4">
        <f t="shared" ca="1" si="3"/>
        <v>117</v>
      </c>
      <c r="B120" s="4" t="s">
        <v>355</v>
      </c>
      <c r="C120" s="4" t="s">
        <v>356</v>
      </c>
      <c r="D120" s="4" t="s">
        <v>123</v>
      </c>
      <c r="E120" s="4" t="s">
        <v>66</v>
      </c>
      <c r="F120" s="4">
        <v>568.66800000000001</v>
      </c>
      <c r="G120" s="5">
        <v>59.922400000000003</v>
      </c>
      <c r="H120" s="5">
        <v>16.990000000000002</v>
      </c>
      <c r="I120" s="5">
        <v>2354</v>
      </c>
      <c r="J120" s="4" t="s">
        <v>124</v>
      </c>
    </row>
    <row r="121" spans="1:10" x14ac:dyDescent="0.25">
      <c r="A121" s="4">
        <f t="shared" ca="1" si="3"/>
        <v>118</v>
      </c>
      <c r="B121" s="4" t="s">
        <v>357</v>
      </c>
      <c r="C121" s="4" t="s">
        <v>358</v>
      </c>
      <c r="D121" s="4" t="s">
        <v>123</v>
      </c>
      <c r="E121" s="4" t="s">
        <v>66</v>
      </c>
      <c r="F121" s="4">
        <v>777.43700000000001</v>
      </c>
      <c r="G121" s="5">
        <v>84.442300000000003</v>
      </c>
      <c r="H121" s="5">
        <v>17.11</v>
      </c>
      <c r="I121" s="5">
        <v>1123</v>
      </c>
      <c r="J121" s="4" t="s">
        <v>124</v>
      </c>
    </row>
    <row r="122" spans="1:10" x14ac:dyDescent="0.25">
      <c r="A122" s="4">
        <f t="shared" ca="1" si="3"/>
        <v>119</v>
      </c>
      <c r="B122" s="4" t="s">
        <v>359</v>
      </c>
      <c r="C122" s="4" t="s">
        <v>360</v>
      </c>
      <c r="D122" s="4" t="s">
        <v>123</v>
      </c>
      <c r="E122" s="4" t="s">
        <v>66</v>
      </c>
      <c r="F122" s="4">
        <v>772.97</v>
      </c>
      <c r="G122" s="5">
        <v>80.158100000000005</v>
      </c>
      <c r="H122" s="5">
        <v>17.150000000000002</v>
      </c>
      <c r="I122" s="5">
        <v>887</v>
      </c>
      <c r="J122" s="4" t="s">
        <v>124</v>
      </c>
    </row>
    <row r="123" spans="1:10" x14ac:dyDescent="0.25">
      <c r="A123" s="4">
        <f t="shared" ca="1" si="3"/>
        <v>120</v>
      </c>
      <c r="B123" s="4" t="s">
        <v>361</v>
      </c>
      <c r="C123" s="4" t="s">
        <v>87</v>
      </c>
      <c r="D123" s="4" t="s">
        <v>123</v>
      </c>
      <c r="E123" s="4" t="s">
        <v>66</v>
      </c>
      <c r="F123" s="4">
        <v>755.31200000000001</v>
      </c>
      <c r="G123" s="5">
        <v>78.726200000000006</v>
      </c>
      <c r="H123" s="5">
        <v>17</v>
      </c>
      <c r="I123" s="5">
        <v>2447</v>
      </c>
      <c r="J123" s="4" t="s">
        <v>124</v>
      </c>
    </row>
    <row r="124" spans="1:10" x14ac:dyDescent="0.25">
      <c r="A124" s="4">
        <f t="shared" ca="1" si="3"/>
        <v>121</v>
      </c>
      <c r="B124" s="4" t="s">
        <v>362</v>
      </c>
      <c r="C124" s="4" t="s">
        <v>83</v>
      </c>
      <c r="D124" s="4" t="s">
        <v>123</v>
      </c>
      <c r="E124" s="4" t="s">
        <v>66</v>
      </c>
      <c r="F124" s="4">
        <v>829.5</v>
      </c>
      <c r="G124" s="5">
        <v>86.056400000000011</v>
      </c>
      <c r="H124" s="5">
        <v>17.059999999999999</v>
      </c>
      <c r="I124" s="5">
        <v>1353</v>
      </c>
      <c r="J124" s="4" t="s">
        <v>124</v>
      </c>
    </row>
    <row r="125" spans="1:10" x14ac:dyDescent="0.25">
      <c r="A125" s="4">
        <f t="shared" ca="1" si="3"/>
        <v>122</v>
      </c>
      <c r="B125" s="4" t="s">
        <v>363</v>
      </c>
      <c r="C125" s="4" t="s">
        <v>364</v>
      </c>
      <c r="D125" s="4" t="s">
        <v>123</v>
      </c>
      <c r="E125" s="4" t="s">
        <v>66</v>
      </c>
      <c r="F125" s="4">
        <v>1000</v>
      </c>
      <c r="G125" s="5">
        <v>101.57210000000001</v>
      </c>
      <c r="H125" s="5">
        <v>12.55</v>
      </c>
      <c r="I125" s="5">
        <v>1781</v>
      </c>
      <c r="J125" s="4" t="s">
        <v>124</v>
      </c>
    </row>
    <row r="126" spans="1:10" x14ac:dyDescent="0.25">
      <c r="A126" s="4">
        <f t="shared" ca="1" si="3"/>
        <v>123</v>
      </c>
      <c r="B126" s="4" t="s">
        <v>365</v>
      </c>
      <c r="C126" s="4" t="s">
        <v>366</v>
      </c>
      <c r="D126" s="4" t="s">
        <v>123</v>
      </c>
      <c r="E126" s="4" t="s">
        <v>66</v>
      </c>
      <c r="F126" s="4">
        <v>1000</v>
      </c>
      <c r="G126" s="5">
        <v>111.00490000000001</v>
      </c>
      <c r="H126" s="5">
        <v>12.56</v>
      </c>
      <c r="I126" s="5">
        <v>2237</v>
      </c>
      <c r="J126" s="4" t="s">
        <v>124</v>
      </c>
    </row>
    <row r="127" spans="1:10" x14ac:dyDescent="0.25">
      <c r="A127" s="4">
        <f t="shared" ca="1" si="3"/>
        <v>124</v>
      </c>
      <c r="B127" s="4" t="s">
        <v>367</v>
      </c>
      <c r="C127" s="4" t="s">
        <v>368</v>
      </c>
      <c r="D127" s="4" t="s">
        <v>123</v>
      </c>
      <c r="E127" s="4" t="s">
        <v>66</v>
      </c>
      <c r="F127" s="4">
        <v>1000</v>
      </c>
      <c r="G127" s="5">
        <v>101.64200000000001</v>
      </c>
      <c r="H127" s="5">
        <v>12.56</v>
      </c>
      <c r="I127" s="5">
        <v>2144</v>
      </c>
      <c r="J127" s="4" t="s">
        <v>124</v>
      </c>
    </row>
    <row r="128" spans="1:10" x14ac:dyDescent="0.25">
      <c r="A128" s="4">
        <f t="shared" ca="1" si="3"/>
        <v>125</v>
      </c>
      <c r="B128" s="4" t="s">
        <v>369</v>
      </c>
      <c r="C128" s="4" t="s">
        <v>370</v>
      </c>
      <c r="D128" s="4" t="s">
        <v>123</v>
      </c>
      <c r="E128" s="4" t="s">
        <v>66</v>
      </c>
      <c r="F128" s="4">
        <v>912.57400000000007</v>
      </c>
      <c r="G128" s="5">
        <v>96.313000000000002</v>
      </c>
      <c r="H128" s="5">
        <v>17.28</v>
      </c>
      <c r="I128" s="5">
        <v>552</v>
      </c>
      <c r="J128" s="4" t="s">
        <v>124</v>
      </c>
    </row>
    <row r="129" spans="1:10" x14ac:dyDescent="0.25">
      <c r="A129" s="4">
        <f t="shared" ca="1" si="3"/>
        <v>126</v>
      </c>
      <c r="B129" s="4" t="s">
        <v>371</v>
      </c>
      <c r="C129" s="4" t="s">
        <v>372</v>
      </c>
      <c r="D129" s="4" t="s">
        <v>123</v>
      </c>
      <c r="E129" s="4" t="s">
        <v>66</v>
      </c>
      <c r="F129" s="4">
        <v>709.66600000000005</v>
      </c>
      <c r="G129" s="5">
        <v>79.745199999999997</v>
      </c>
      <c r="H129" s="5">
        <v>16.98</v>
      </c>
      <c r="I129" s="5">
        <v>4094</v>
      </c>
      <c r="J129" s="4" t="s">
        <v>124</v>
      </c>
    </row>
    <row r="130" spans="1:10" x14ac:dyDescent="0.25">
      <c r="A130" s="4">
        <f t="shared" ca="1" si="3"/>
        <v>127</v>
      </c>
      <c r="B130" s="4" t="s">
        <v>373</v>
      </c>
      <c r="C130" s="4" t="s">
        <v>108</v>
      </c>
      <c r="D130" s="4" t="s">
        <v>123</v>
      </c>
      <c r="E130" s="4" t="s">
        <v>66</v>
      </c>
      <c r="F130" s="4">
        <v>988.221</v>
      </c>
      <c r="G130" s="5">
        <v>102.1713</v>
      </c>
      <c r="H130" s="5">
        <v>17.080000000000002</v>
      </c>
      <c r="I130" s="5">
        <v>69</v>
      </c>
      <c r="J130" s="4" t="s">
        <v>124</v>
      </c>
    </row>
    <row r="131" spans="1:10" x14ac:dyDescent="0.25">
      <c r="A131" s="4">
        <f t="shared" ca="1" si="3"/>
        <v>128</v>
      </c>
      <c r="B131" s="4" t="s">
        <v>374</v>
      </c>
      <c r="C131" s="4" t="s">
        <v>375</v>
      </c>
      <c r="D131" s="4" t="s">
        <v>123</v>
      </c>
      <c r="E131" s="4" t="s">
        <v>66</v>
      </c>
      <c r="F131" s="4">
        <v>825.495</v>
      </c>
      <c r="G131" s="5">
        <v>91.105100000000007</v>
      </c>
      <c r="H131" s="5">
        <v>17.080000000000002</v>
      </c>
      <c r="I131" s="5">
        <v>1544</v>
      </c>
      <c r="J131" s="4" t="s">
        <v>124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376</v>
      </c>
      <c r="C132" s="4" t="s">
        <v>377</v>
      </c>
      <c r="D132" s="4" t="s">
        <v>123</v>
      </c>
      <c r="E132" s="4" t="s">
        <v>66</v>
      </c>
      <c r="F132" s="4">
        <v>701.02800000000002</v>
      </c>
      <c r="G132" s="5">
        <v>72.468400000000003</v>
      </c>
      <c r="H132" s="5">
        <v>16.97</v>
      </c>
      <c r="I132" s="5">
        <v>3938</v>
      </c>
      <c r="J132" s="4" t="s">
        <v>124</v>
      </c>
    </row>
    <row r="133" spans="1:10" x14ac:dyDescent="0.25">
      <c r="A133" s="4">
        <f t="shared" ca="1" si="4"/>
        <v>130</v>
      </c>
      <c r="B133" s="4" t="s">
        <v>378</v>
      </c>
      <c r="C133" s="4" t="s">
        <v>379</v>
      </c>
      <c r="D133" s="4" t="s">
        <v>123</v>
      </c>
      <c r="E133" s="4" t="s">
        <v>66</v>
      </c>
      <c r="F133" s="4">
        <v>704.46699999999998</v>
      </c>
      <c r="G133" s="5">
        <v>77.952399999999997</v>
      </c>
      <c r="H133" s="5">
        <v>17</v>
      </c>
      <c r="I133" s="5">
        <v>3018</v>
      </c>
      <c r="J133" s="4" t="s">
        <v>124</v>
      </c>
    </row>
    <row r="134" spans="1:10" x14ac:dyDescent="0.25">
      <c r="A134" s="4">
        <f t="shared" ca="1" si="4"/>
        <v>131</v>
      </c>
      <c r="B134" s="4" t="s">
        <v>380</v>
      </c>
      <c r="C134" s="4" t="s">
        <v>92</v>
      </c>
      <c r="D134" s="4" t="s">
        <v>123</v>
      </c>
      <c r="E134" s="4" t="s">
        <v>66</v>
      </c>
      <c r="F134" s="4">
        <v>872.86700000000008</v>
      </c>
      <c r="G134" s="5">
        <v>93.411100000000005</v>
      </c>
      <c r="H134" s="5">
        <v>17.170000000000002</v>
      </c>
      <c r="I134" s="5">
        <v>881</v>
      </c>
      <c r="J134" s="4" t="s">
        <v>124</v>
      </c>
    </row>
    <row r="135" spans="1:10" x14ac:dyDescent="0.25">
      <c r="A135" s="4">
        <f t="shared" ca="1" si="4"/>
        <v>132</v>
      </c>
      <c r="B135" s="4" t="s">
        <v>381</v>
      </c>
      <c r="C135" s="4" t="s">
        <v>382</v>
      </c>
      <c r="D135" s="4" t="s">
        <v>123</v>
      </c>
      <c r="E135" s="4" t="s">
        <v>66</v>
      </c>
      <c r="F135" s="4">
        <v>957.28500000000008</v>
      </c>
      <c r="G135" s="5">
        <v>98.645200000000003</v>
      </c>
      <c r="H135" s="5">
        <v>16.95</v>
      </c>
      <c r="I135" s="5">
        <v>264</v>
      </c>
      <c r="J135" s="4" t="s">
        <v>124</v>
      </c>
    </row>
    <row r="136" spans="1:10" x14ac:dyDescent="0.25">
      <c r="A136" s="4">
        <f t="shared" ca="1" si="4"/>
        <v>133</v>
      </c>
      <c r="B136" s="4" t="s">
        <v>383</v>
      </c>
      <c r="C136" s="4" t="s">
        <v>384</v>
      </c>
      <c r="D136" s="4" t="s">
        <v>123</v>
      </c>
      <c r="E136" s="4" t="s">
        <v>66</v>
      </c>
      <c r="F136" s="4">
        <v>694.06500000000005</v>
      </c>
      <c r="G136" s="5">
        <v>76.353700000000003</v>
      </c>
      <c r="H136" s="5">
        <v>16.97</v>
      </c>
      <c r="I136" s="5">
        <v>3404</v>
      </c>
      <c r="J136" s="4" t="s">
        <v>124</v>
      </c>
    </row>
    <row r="137" spans="1:10" x14ac:dyDescent="0.25">
      <c r="A137" s="4">
        <f t="shared" ca="1" si="4"/>
        <v>134</v>
      </c>
      <c r="B137" s="4" t="s">
        <v>385</v>
      </c>
      <c r="C137" s="4" t="s">
        <v>78</v>
      </c>
      <c r="D137" s="4" t="s">
        <v>123</v>
      </c>
      <c r="E137" s="4" t="s">
        <v>66</v>
      </c>
      <c r="F137" s="4">
        <v>774.16200000000003</v>
      </c>
      <c r="G137" s="5">
        <v>84.197000000000003</v>
      </c>
      <c r="H137" s="5">
        <v>17.010000000000002</v>
      </c>
      <c r="I137" s="5">
        <v>1950</v>
      </c>
      <c r="J137" s="4" t="s">
        <v>124</v>
      </c>
    </row>
    <row r="138" spans="1:10" x14ac:dyDescent="0.25">
      <c r="A138" s="4">
        <f t="shared" ca="1" si="4"/>
        <v>135</v>
      </c>
      <c r="B138" s="4" t="s">
        <v>386</v>
      </c>
      <c r="C138" s="4" t="s">
        <v>387</v>
      </c>
      <c r="D138" s="4" t="s">
        <v>123</v>
      </c>
      <c r="E138" s="4" t="s">
        <v>66</v>
      </c>
      <c r="F138" s="4">
        <v>737.22500000000002</v>
      </c>
      <c r="G138" s="5">
        <v>76.127800000000008</v>
      </c>
      <c r="H138" s="5">
        <v>16.990000000000002</v>
      </c>
      <c r="I138" s="5">
        <v>2840</v>
      </c>
      <c r="J138" s="4" t="s">
        <v>124</v>
      </c>
    </row>
    <row r="139" spans="1:10" x14ac:dyDescent="0.25">
      <c r="A139" s="4">
        <f t="shared" ca="1" si="4"/>
        <v>136</v>
      </c>
      <c r="B139" s="4" t="s">
        <v>388</v>
      </c>
      <c r="C139" s="4" t="s">
        <v>389</v>
      </c>
      <c r="D139" s="4" t="s">
        <v>123</v>
      </c>
      <c r="E139" s="4" t="s">
        <v>66</v>
      </c>
      <c r="F139" s="4">
        <v>976.7940000000001</v>
      </c>
      <c r="G139" s="5">
        <v>99.918800000000005</v>
      </c>
      <c r="H139" s="5">
        <v>16.899999999999999</v>
      </c>
      <c r="I139" s="5">
        <v>307</v>
      </c>
      <c r="J139" s="4" t="s">
        <v>124</v>
      </c>
    </row>
    <row r="140" spans="1:10" x14ac:dyDescent="0.25">
      <c r="A140" s="4">
        <f t="shared" ca="1" si="4"/>
        <v>137</v>
      </c>
      <c r="B140" s="4" t="s">
        <v>390</v>
      </c>
      <c r="C140" s="4" t="s">
        <v>72</v>
      </c>
      <c r="D140" s="4" t="s">
        <v>123</v>
      </c>
      <c r="E140" s="4" t="s">
        <v>66</v>
      </c>
      <c r="F140" s="4">
        <v>980.2170000000001</v>
      </c>
      <c r="G140" s="5">
        <v>105.5261</v>
      </c>
      <c r="H140" s="5">
        <v>16.54</v>
      </c>
      <c r="I140" s="5">
        <v>735</v>
      </c>
      <c r="J140" s="4" t="s">
        <v>124</v>
      </c>
    </row>
    <row r="141" spans="1:10" x14ac:dyDescent="0.25">
      <c r="A141" s="4">
        <f t="shared" ca="1" si="4"/>
        <v>138</v>
      </c>
      <c r="B141" s="4" t="s">
        <v>391</v>
      </c>
      <c r="C141" s="4" t="s">
        <v>392</v>
      </c>
      <c r="D141" s="4" t="s">
        <v>123</v>
      </c>
      <c r="E141" s="4" t="s">
        <v>66</v>
      </c>
      <c r="F141" s="4">
        <v>884.06100000000004</v>
      </c>
      <c r="G141" s="5">
        <v>95.211700000000008</v>
      </c>
      <c r="H141" s="5">
        <v>17.010000000000002</v>
      </c>
      <c r="I141" s="5">
        <v>2379</v>
      </c>
      <c r="J141" s="4" t="s">
        <v>124</v>
      </c>
    </row>
    <row r="142" spans="1:10" x14ac:dyDescent="0.25">
      <c r="A142" s="4">
        <f t="shared" ca="1" si="4"/>
        <v>139</v>
      </c>
      <c r="B142" s="4" t="s">
        <v>393</v>
      </c>
      <c r="C142" s="4" t="s">
        <v>394</v>
      </c>
      <c r="D142" s="4" t="s">
        <v>123</v>
      </c>
      <c r="E142" s="4" t="s">
        <v>66</v>
      </c>
      <c r="F142" s="4">
        <v>954.87</v>
      </c>
      <c r="G142" s="5">
        <v>106.1545</v>
      </c>
      <c r="H142" s="5">
        <v>17.09</v>
      </c>
      <c r="I142" s="5">
        <v>1206</v>
      </c>
      <c r="J142" s="4" t="s">
        <v>124</v>
      </c>
    </row>
    <row r="143" spans="1:10" x14ac:dyDescent="0.25">
      <c r="A143" s="4">
        <f t="shared" ca="1" si="4"/>
        <v>140</v>
      </c>
      <c r="B143" s="4" t="s">
        <v>395</v>
      </c>
      <c r="C143" s="4" t="s">
        <v>396</v>
      </c>
      <c r="D143" s="4" t="s">
        <v>123</v>
      </c>
      <c r="E143" s="4" t="s">
        <v>66</v>
      </c>
      <c r="F143" s="4">
        <v>1000</v>
      </c>
      <c r="G143" s="5">
        <v>103.137</v>
      </c>
      <c r="H143" s="5">
        <v>17.260000000000002</v>
      </c>
      <c r="I143" s="5">
        <v>300</v>
      </c>
      <c r="J143" s="4" t="s">
        <v>124</v>
      </c>
    </row>
    <row r="144" spans="1:10" x14ac:dyDescent="0.25">
      <c r="A144" s="4">
        <f t="shared" ca="1" si="4"/>
        <v>141</v>
      </c>
      <c r="B144" s="4" t="s">
        <v>397</v>
      </c>
      <c r="C144" s="4" t="s">
        <v>398</v>
      </c>
      <c r="D144" s="4" t="s">
        <v>123</v>
      </c>
      <c r="E144" s="4" t="s">
        <v>66</v>
      </c>
      <c r="F144" s="4">
        <v>894.68600000000004</v>
      </c>
      <c r="G144" s="5">
        <v>96.546400000000006</v>
      </c>
      <c r="H144" s="5">
        <v>17.02</v>
      </c>
      <c r="I144" s="5">
        <v>2006</v>
      </c>
      <c r="J144" s="4" t="s">
        <v>124</v>
      </c>
    </row>
    <row r="145" spans="1:10" x14ac:dyDescent="0.25">
      <c r="A145" s="4">
        <f t="shared" ca="1" si="4"/>
        <v>142</v>
      </c>
      <c r="B145" s="4" t="s">
        <v>399</v>
      </c>
      <c r="C145" s="4" t="s">
        <v>400</v>
      </c>
      <c r="D145" s="4" t="s">
        <v>123</v>
      </c>
      <c r="E145" s="4" t="s">
        <v>66</v>
      </c>
      <c r="F145" s="4">
        <v>981.5390000000001</v>
      </c>
      <c r="G145" s="5">
        <v>103.50110000000001</v>
      </c>
      <c r="H145" s="5">
        <v>16.97</v>
      </c>
      <c r="I145" s="5">
        <v>223</v>
      </c>
      <c r="J145" s="4" t="s">
        <v>124</v>
      </c>
    </row>
    <row r="146" spans="1:10" x14ac:dyDescent="0.25">
      <c r="A146" s="4">
        <f t="shared" ca="1" si="4"/>
        <v>143</v>
      </c>
      <c r="B146" s="4" t="s">
        <v>401</v>
      </c>
      <c r="C146" s="4" t="s">
        <v>402</v>
      </c>
      <c r="D146" s="4" t="s">
        <v>123</v>
      </c>
      <c r="E146" s="4" t="s">
        <v>66</v>
      </c>
      <c r="F146" s="4">
        <v>892.91300000000001</v>
      </c>
      <c r="G146" s="5">
        <v>95.673400000000001</v>
      </c>
      <c r="H146" s="5">
        <v>17</v>
      </c>
      <c r="I146" s="5">
        <v>2761</v>
      </c>
      <c r="J146" s="4" t="s">
        <v>124</v>
      </c>
    </row>
    <row r="147" spans="1:10" x14ac:dyDescent="0.25">
      <c r="A147" s="4">
        <f t="shared" ca="1" si="4"/>
        <v>144</v>
      </c>
      <c r="B147" s="4" t="s">
        <v>403</v>
      </c>
      <c r="C147" s="4" t="s">
        <v>404</v>
      </c>
      <c r="D147" s="4" t="s">
        <v>123</v>
      </c>
      <c r="E147" s="4" t="s">
        <v>66</v>
      </c>
      <c r="F147" s="4">
        <v>831.25400000000002</v>
      </c>
      <c r="G147" s="5">
        <v>91.858699999999999</v>
      </c>
      <c r="H147" s="5">
        <v>17.04</v>
      </c>
      <c r="I147" s="5">
        <v>1927</v>
      </c>
      <c r="J147" s="4" t="s">
        <v>124</v>
      </c>
    </row>
    <row r="148" spans="1:10" x14ac:dyDescent="0.25">
      <c r="A148" s="4">
        <f t="shared" ca="1" si="4"/>
        <v>145</v>
      </c>
      <c r="B148" s="4" t="s">
        <v>405</v>
      </c>
      <c r="C148" s="4" t="s">
        <v>105</v>
      </c>
      <c r="D148" s="4" t="s">
        <v>123</v>
      </c>
      <c r="E148" s="4" t="s">
        <v>66</v>
      </c>
      <c r="F148" s="4">
        <v>1015.1370000000001</v>
      </c>
      <c r="G148" s="5">
        <v>106.09700000000001</v>
      </c>
      <c r="H148" s="5">
        <v>16.420000000000002</v>
      </c>
      <c r="I148" s="5">
        <v>1363</v>
      </c>
      <c r="J148" s="4" t="s">
        <v>124</v>
      </c>
    </row>
    <row r="149" spans="1:10" x14ac:dyDescent="0.25">
      <c r="A149" s="4">
        <f t="shared" ca="1" si="4"/>
        <v>146</v>
      </c>
      <c r="B149" s="4" t="s">
        <v>406</v>
      </c>
      <c r="C149" s="4" t="s">
        <v>407</v>
      </c>
      <c r="D149" s="4" t="s">
        <v>123</v>
      </c>
      <c r="E149" s="4" t="s">
        <v>66</v>
      </c>
      <c r="F149" s="4">
        <v>890.9190000000001</v>
      </c>
      <c r="G149" s="5">
        <v>99.080800000000011</v>
      </c>
      <c r="H149" s="5">
        <v>16.990000000000002</v>
      </c>
      <c r="I149" s="5">
        <v>3035</v>
      </c>
      <c r="J149" s="4" t="s">
        <v>124</v>
      </c>
    </row>
    <row r="150" spans="1:10" x14ac:dyDescent="0.25">
      <c r="A150" s="4">
        <f t="shared" ca="1" si="4"/>
        <v>147</v>
      </c>
      <c r="B150" s="4" t="s">
        <v>408</v>
      </c>
      <c r="C150" s="4" t="s">
        <v>409</v>
      </c>
      <c r="D150" s="4" t="s">
        <v>123</v>
      </c>
      <c r="E150" s="4" t="s">
        <v>66</v>
      </c>
      <c r="F150" s="4">
        <v>908.47800000000007</v>
      </c>
      <c r="G150" s="5">
        <v>100.90560000000001</v>
      </c>
      <c r="H150" s="5">
        <v>17.010000000000002</v>
      </c>
      <c r="I150" s="5">
        <v>2305</v>
      </c>
      <c r="J150" s="4" t="s">
        <v>124</v>
      </c>
    </row>
    <row r="151" spans="1:10" x14ac:dyDescent="0.25">
      <c r="A151" s="4">
        <f t="shared" ca="1" si="4"/>
        <v>148</v>
      </c>
      <c r="B151" s="4" t="s">
        <v>410</v>
      </c>
      <c r="C151" s="4" t="s">
        <v>411</v>
      </c>
      <c r="D151" s="4" t="s">
        <v>123</v>
      </c>
      <c r="E151" s="4" t="s">
        <v>66</v>
      </c>
      <c r="F151" s="4">
        <v>851.96800000000007</v>
      </c>
      <c r="G151" s="5">
        <v>91.933500000000009</v>
      </c>
      <c r="H151" s="5">
        <v>16.97</v>
      </c>
      <c r="I151" s="5">
        <v>4573</v>
      </c>
      <c r="J151" s="4" t="s">
        <v>124</v>
      </c>
    </row>
    <row r="152" spans="1:10" x14ac:dyDescent="0.25">
      <c r="A152" s="4">
        <f t="shared" ca="1" si="4"/>
        <v>149</v>
      </c>
      <c r="B152" s="4" t="s">
        <v>412</v>
      </c>
      <c r="C152" s="4" t="s">
        <v>413</v>
      </c>
      <c r="D152" s="4" t="s">
        <v>123</v>
      </c>
      <c r="E152" s="4" t="s">
        <v>66</v>
      </c>
      <c r="F152" s="4">
        <v>1000</v>
      </c>
      <c r="G152" s="5">
        <v>109.375</v>
      </c>
      <c r="H152" s="5">
        <v>15</v>
      </c>
      <c r="I152" s="5">
        <v>1964</v>
      </c>
      <c r="J152" s="4" t="s">
        <v>124</v>
      </c>
    </row>
    <row r="153" spans="1:10" x14ac:dyDescent="0.25">
      <c r="A153" s="4">
        <f t="shared" ca="1" si="4"/>
        <v>150</v>
      </c>
      <c r="B153" s="4" t="s">
        <v>414</v>
      </c>
      <c r="C153" s="4" t="s">
        <v>100</v>
      </c>
      <c r="D153" s="4" t="s">
        <v>123</v>
      </c>
      <c r="E153" s="4" t="s">
        <v>66</v>
      </c>
      <c r="F153" s="4">
        <v>852.17700000000002</v>
      </c>
      <c r="G153" s="5">
        <v>93.451000000000008</v>
      </c>
      <c r="H153" s="5">
        <v>17.04</v>
      </c>
      <c r="I153" s="5">
        <v>1575</v>
      </c>
      <c r="J153" s="4" t="s">
        <v>124</v>
      </c>
    </row>
    <row r="154" spans="1:10" x14ac:dyDescent="0.25">
      <c r="A154" s="4">
        <f t="shared" ca="1" si="4"/>
        <v>151</v>
      </c>
      <c r="B154" s="4" t="s">
        <v>415</v>
      </c>
      <c r="C154" s="4" t="s">
        <v>71</v>
      </c>
      <c r="D154" s="4" t="s">
        <v>123</v>
      </c>
      <c r="E154" s="4" t="s">
        <v>66</v>
      </c>
      <c r="F154" s="4">
        <v>92.134600000000006</v>
      </c>
      <c r="G154" s="5">
        <v>92.134600000000006</v>
      </c>
      <c r="H154" s="5">
        <v>17.12</v>
      </c>
      <c r="I154" s="5">
        <v>183</v>
      </c>
      <c r="J154" s="4" t="s">
        <v>124</v>
      </c>
    </row>
    <row r="155" spans="1:10" x14ac:dyDescent="0.25">
      <c r="A155" s="4">
        <f t="shared" ca="1" si="4"/>
        <v>152</v>
      </c>
      <c r="B155" s="4" t="s">
        <v>416</v>
      </c>
      <c r="C155" s="4" t="s">
        <v>103</v>
      </c>
      <c r="D155" s="4" t="s">
        <v>123</v>
      </c>
      <c r="E155" s="4" t="s">
        <v>66</v>
      </c>
      <c r="F155" s="4">
        <v>96.2911</v>
      </c>
      <c r="G155" s="5">
        <v>96.2911</v>
      </c>
      <c r="H155" s="5">
        <v>16.740000000000002</v>
      </c>
      <c r="I155" s="5">
        <v>85</v>
      </c>
      <c r="J155" s="4" t="s">
        <v>124</v>
      </c>
    </row>
    <row r="156" spans="1:10" x14ac:dyDescent="0.25">
      <c r="A156" s="4">
        <f t="shared" ca="1" si="4"/>
        <v>153</v>
      </c>
      <c r="B156" s="4" t="s">
        <v>417</v>
      </c>
      <c r="C156" s="4" t="s">
        <v>418</v>
      </c>
      <c r="D156" s="4" t="s">
        <v>123</v>
      </c>
      <c r="E156" s="4" t="s">
        <v>66</v>
      </c>
      <c r="F156" s="4">
        <v>862.78</v>
      </c>
      <c r="G156" s="5">
        <v>96.816900000000004</v>
      </c>
      <c r="H156" s="5">
        <v>17</v>
      </c>
      <c r="I156" s="5">
        <v>3379</v>
      </c>
      <c r="J156" s="4" t="s">
        <v>124</v>
      </c>
    </row>
    <row r="157" spans="1:10" x14ac:dyDescent="0.25">
      <c r="A157" s="4">
        <f t="shared" ca="1" si="4"/>
        <v>154</v>
      </c>
      <c r="B157" s="4" t="s">
        <v>419</v>
      </c>
      <c r="C157" s="4" t="s">
        <v>420</v>
      </c>
      <c r="D157" s="4" t="s">
        <v>123</v>
      </c>
      <c r="E157" s="4" t="s">
        <v>66</v>
      </c>
      <c r="F157" s="4">
        <v>0.9864409999999999</v>
      </c>
      <c r="G157" s="5">
        <v>99.102400000000003</v>
      </c>
      <c r="H157" s="5">
        <v>4.9000000000000004</v>
      </c>
      <c r="I157" s="5">
        <v>3434</v>
      </c>
      <c r="J157" s="4" t="s">
        <v>124</v>
      </c>
    </row>
    <row r="158" spans="1:10" x14ac:dyDescent="0.25">
      <c r="A158" s="4">
        <f t="shared" ca="1" si="4"/>
        <v>155</v>
      </c>
      <c r="B158" s="4" t="s">
        <v>421</v>
      </c>
      <c r="C158" s="4" t="s">
        <v>422</v>
      </c>
      <c r="D158" s="4" t="s">
        <v>123</v>
      </c>
      <c r="E158" s="4" t="s">
        <v>66</v>
      </c>
      <c r="F158" s="4">
        <v>1018.302</v>
      </c>
      <c r="G158" s="5">
        <v>103.47810000000001</v>
      </c>
      <c r="H158" s="5">
        <v>16.38</v>
      </c>
      <c r="I158" s="5">
        <v>1791</v>
      </c>
      <c r="J158" s="4" t="s">
        <v>124</v>
      </c>
    </row>
    <row r="159" spans="1:10" x14ac:dyDescent="0.25">
      <c r="A159" s="4">
        <f t="shared" ca="1" si="4"/>
        <v>156</v>
      </c>
      <c r="B159" s="4" t="s">
        <v>423</v>
      </c>
      <c r="C159" s="4" t="s">
        <v>424</v>
      </c>
      <c r="D159" s="4" t="s">
        <v>118</v>
      </c>
      <c r="E159" s="4" t="s">
        <v>425</v>
      </c>
      <c r="F159" s="4">
        <v>342.07</v>
      </c>
      <c r="G159" s="5"/>
      <c r="H159" s="5"/>
      <c r="I159" s="5"/>
      <c r="J159" s="4" t="s">
        <v>120</v>
      </c>
    </row>
    <row r="160" spans="1:10" x14ac:dyDescent="0.25">
      <c r="A160" s="4">
        <f t="shared" ca="1" si="4"/>
        <v>157</v>
      </c>
      <c r="B160" s="4" t="s">
        <v>426</v>
      </c>
      <c r="C160" s="4" t="s">
        <v>427</v>
      </c>
      <c r="D160" s="4" t="s">
        <v>118</v>
      </c>
      <c r="E160" s="4" t="s">
        <v>425</v>
      </c>
      <c r="F160" s="4">
        <v>25.74</v>
      </c>
      <c r="G160" s="5"/>
      <c r="H160" s="5"/>
      <c r="I160" s="5"/>
      <c r="J160" s="4" t="s">
        <v>211</v>
      </c>
    </row>
    <row r="161" spans="1:10" x14ac:dyDescent="0.25">
      <c r="A161" s="4">
        <f t="shared" ca="1" si="4"/>
        <v>158</v>
      </c>
      <c r="B161" s="4" t="s">
        <v>428</v>
      </c>
      <c r="C161" s="4" t="s">
        <v>429</v>
      </c>
      <c r="D161" s="4" t="s">
        <v>118</v>
      </c>
      <c r="E161" s="4" t="s">
        <v>430</v>
      </c>
      <c r="F161" s="4">
        <v>831.68</v>
      </c>
      <c r="G161" s="5"/>
      <c r="H161" s="5"/>
      <c r="I161" s="5"/>
      <c r="J161" s="4" t="s">
        <v>120</v>
      </c>
    </row>
    <row r="162" spans="1:10" x14ac:dyDescent="0.25">
      <c r="A162" s="4">
        <f t="shared" ca="1" si="4"/>
        <v>159</v>
      </c>
      <c r="B162" s="4" t="s">
        <v>431</v>
      </c>
      <c r="C162" s="4" t="s">
        <v>432</v>
      </c>
      <c r="D162" s="4" t="s">
        <v>123</v>
      </c>
      <c r="E162" s="4" t="s">
        <v>433</v>
      </c>
      <c r="F162" s="4">
        <v>0.87120399999999998</v>
      </c>
      <c r="G162" s="5">
        <v>87.186000000000007</v>
      </c>
      <c r="H162" s="5">
        <v>5.72</v>
      </c>
      <c r="I162" s="5">
        <v>2000</v>
      </c>
      <c r="J162" s="4" t="s">
        <v>124</v>
      </c>
    </row>
    <row r="163" spans="1:10" x14ac:dyDescent="0.25">
      <c r="A163" s="4">
        <f t="shared" ca="1" si="4"/>
        <v>160</v>
      </c>
      <c r="B163" s="4" t="s">
        <v>434</v>
      </c>
      <c r="C163" s="4" t="s">
        <v>435</v>
      </c>
      <c r="D163" s="4" t="s">
        <v>123</v>
      </c>
      <c r="E163" s="4" t="s">
        <v>433</v>
      </c>
      <c r="F163" s="4">
        <v>1001.7940000000001</v>
      </c>
      <c r="G163" s="5">
        <v>100.48560000000001</v>
      </c>
      <c r="H163" s="5">
        <v>5.2</v>
      </c>
      <c r="I163" s="5">
        <v>1440</v>
      </c>
      <c r="J163" s="4" t="s">
        <v>124</v>
      </c>
    </row>
    <row r="164" spans="1:10" x14ac:dyDescent="0.25">
      <c r="A164" s="4">
        <f t="shared" ref="A164:A177" ca="1" si="5">IF(OFFSET(A164,-1,0)="№ п/п",1,OFFSET(A164,-1,0)+1)</f>
        <v>161</v>
      </c>
      <c r="B164" s="4" t="s">
        <v>436</v>
      </c>
      <c r="C164" s="4" t="s">
        <v>437</v>
      </c>
      <c r="D164" s="4" t="s">
        <v>123</v>
      </c>
      <c r="E164" s="4" t="s">
        <v>433</v>
      </c>
      <c r="F164" s="4">
        <v>1.035965</v>
      </c>
      <c r="G164" s="5">
        <v>104.1746</v>
      </c>
      <c r="H164" s="5">
        <v>4.71</v>
      </c>
      <c r="I164" s="5">
        <v>1606</v>
      </c>
      <c r="J164" s="4" t="s">
        <v>124</v>
      </c>
    </row>
    <row r="165" spans="1:10" x14ac:dyDescent="0.25">
      <c r="A165" s="4">
        <f t="shared" ca="1" si="5"/>
        <v>162</v>
      </c>
      <c r="B165" s="4" t="s">
        <v>438</v>
      </c>
      <c r="C165" s="4" t="s">
        <v>439</v>
      </c>
      <c r="D165" s="4" t="s">
        <v>123</v>
      </c>
      <c r="E165" s="4" t="s">
        <v>433</v>
      </c>
      <c r="F165" s="4">
        <v>1.0077849999999999</v>
      </c>
      <c r="G165" s="5">
        <v>101.4577</v>
      </c>
      <c r="H165" s="5">
        <v>3.05</v>
      </c>
      <c r="I165" s="5">
        <v>1023</v>
      </c>
      <c r="J165" s="4" t="s">
        <v>124</v>
      </c>
    </row>
    <row r="166" spans="1:10" x14ac:dyDescent="0.25">
      <c r="A166" s="4">
        <f t="shared" ca="1" si="5"/>
        <v>163</v>
      </c>
      <c r="B166" s="4" t="s">
        <v>440</v>
      </c>
      <c r="C166" s="4" t="s">
        <v>441</v>
      </c>
      <c r="D166" s="4" t="s">
        <v>118</v>
      </c>
      <c r="E166" s="4" t="s">
        <v>442</v>
      </c>
      <c r="F166" s="4">
        <v>29555.35</v>
      </c>
      <c r="G166" s="5"/>
      <c r="H166" s="5"/>
      <c r="I166" s="5"/>
      <c r="J166" s="4" t="s">
        <v>120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118</v>
      </c>
      <c r="E167" s="4" t="s">
        <v>445</v>
      </c>
      <c r="F167" s="4">
        <v>40270.6</v>
      </c>
      <c r="G167" s="5"/>
      <c r="H167" s="5"/>
      <c r="I167" s="5"/>
      <c r="J167" s="4" t="s">
        <v>120</v>
      </c>
    </row>
    <row r="168" spans="1:10" x14ac:dyDescent="0.25">
      <c r="A168" s="4">
        <f t="shared" ca="1" si="5"/>
        <v>165</v>
      </c>
      <c r="B168" s="4" t="s">
        <v>446</v>
      </c>
      <c r="C168" s="4" t="s">
        <v>447</v>
      </c>
      <c r="D168" s="4" t="s">
        <v>118</v>
      </c>
      <c r="E168" s="4" t="s">
        <v>445</v>
      </c>
      <c r="F168" s="4">
        <v>75.19</v>
      </c>
      <c r="G168" s="5"/>
      <c r="H168" s="5"/>
      <c r="I168" s="5"/>
      <c r="J168" s="4" t="s">
        <v>211</v>
      </c>
    </row>
    <row r="169" spans="1:10" x14ac:dyDescent="0.25">
      <c r="A169" s="4">
        <f t="shared" ca="1" si="5"/>
        <v>166</v>
      </c>
      <c r="B169" s="4" t="s">
        <v>448</v>
      </c>
      <c r="C169" s="4" t="s">
        <v>449</v>
      </c>
      <c r="D169" s="4" t="s">
        <v>123</v>
      </c>
      <c r="E169" s="4" t="s">
        <v>450</v>
      </c>
      <c r="F169" s="4">
        <v>999.976</v>
      </c>
      <c r="G169" s="5">
        <v>101.9504</v>
      </c>
      <c r="H169" s="5">
        <v>18.98</v>
      </c>
      <c r="I169" s="5">
        <v>1789</v>
      </c>
      <c r="J169" s="4" t="s">
        <v>124</v>
      </c>
    </row>
    <row r="170" spans="1:10" x14ac:dyDescent="0.25">
      <c r="A170" s="4">
        <f t="shared" ca="1" si="5"/>
        <v>167</v>
      </c>
      <c r="B170" s="4" t="s">
        <v>451</v>
      </c>
      <c r="C170" s="4" t="s">
        <v>452</v>
      </c>
      <c r="D170" s="4" t="s">
        <v>123</v>
      </c>
      <c r="E170" s="4" t="s">
        <v>450</v>
      </c>
      <c r="F170" s="4">
        <v>999.976</v>
      </c>
      <c r="G170" s="5">
        <v>101.9504</v>
      </c>
      <c r="H170" s="5">
        <v>18.98</v>
      </c>
      <c r="I170" s="5">
        <v>1789</v>
      </c>
      <c r="J170" s="4" t="s">
        <v>124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123</v>
      </c>
      <c r="E171" s="4" t="s">
        <v>455</v>
      </c>
      <c r="F171" s="4">
        <v>99.968800000000002</v>
      </c>
      <c r="G171" s="5">
        <v>101.741</v>
      </c>
      <c r="H171" s="5">
        <v>11</v>
      </c>
      <c r="I171" s="5">
        <v>307</v>
      </c>
      <c r="J171" s="4" t="s">
        <v>124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118</v>
      </c>
      <c r="E172" s="4" t="s">
        <v>458</v>
      </c>
      <c r="F172" s="4">
        <v>853.91</v>
      </c>
      <c r="G172" s="5"/>
      <c r="H172" s="5"/>
      <c r="I172" s="5"/>
      <c r="J172" s="4" t="s">
        <v>120</v>
      </c>
    </row>
    <row r="173" spans="1:10" x14ac:dyDescent="0.25">
      <c r="A173" s="4">
        <f t="shared" ca="1" si="5"/>
        <v>170</v>
      </c>
      <c r="B173" s="4" t="s">
        <v>459</v>
      </c>
      <c r="C173" s="4" t="s">
        <v>460</v>
      </c>
      <c r="D173" s="4" t="s">
        <v>123</v>
      </c>
      <c r="E173" s="4" t="s">
        <v>94</v>
      </c>
      <c r="F173" s="4">
        <v>0.99814899999999995</v>
      </c>
      <c r="G173" s="5">
        <v>100.6729</v>
      </c>
      <c r="H173" s="5">
        <v>6.24</v>
      </c>
      <c r="I173" s="5">
        <v>127</v>
      </c>
      <c r="J173" s="4" t="s">
        <v>124</v>
      </c>
    </row>
    <row r="174" spans="1:10" x14ac:dyDescent="0.25">
      <c r="A174" s="4">
        <f t="shared" ca="1" si="5"/>
        <v>171</v>
      </c>
      <c r="B174" s="4" t="s">
        <v>461</v>
      </c>
      <c r="C174" s="4" t="s">
        <v>462</v>
      </c>
      <c r="D174" s="4" t="s">
        <v>123</v>
      </c>
      <c r="E174" s="4" t="s">
        <v>94</v>
      </c>
      <c r="F174" s="4">
        <v>1000</v>
      </c>
      <c r="G174" s="5">
        <v>102.49860000000001</v>
      </c>
      <c r="H174" s="5">
        <v>18.95</v>
      </c>
      <c r="I174" s="5">
        <v>865</v>
      </c>
      <c r="J174" s="4" t="s">
        <v>124</v>
      </c>
    </row>
    <row r="175" spans="1:10" x14ac:dyDescent="0.25">
      <c r="A175" s="4">
        <f t="shared" ca="1" si="5"/>
        <v>172</v>
      </c>
      <c r="B175" s="4" t="s">
        <v>463</v>
      </c>
      <c r="C175" s="4" t="s">
        <v>95</v>
      </c>
      <c r="D175" s="4" t="s">
        <v>123</v>
      </c>
      <c r="E175" s="4" t="s">
        <v>94</v>
      </c>
      <c r="F175" s="4">
        <v>943.41900907798311</v>
      </c>
      <c r="G175" s="5">
        <v>97.162200909999996</v>
      </c>
      <c r="H175" s="5">
        <v>18.12</v>
      </c>
      <c r="I175" s="5">
        <v>659</v>
      </c>
      <c r="J175" s="4" t="s">
        <v>124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123</v>
      </c>
      <c r="E176" s="4" t="s">
        <v>94</v>
      </c>
      <c r="F176" s="4">
        <v>1000</v>
      </c>
      <c r="G176" s="5">
        <v>104.21640000000001</v>
      </c>
      <c r="H176" s="5">
        <v>18.940000000000001</v>
      </c>
      <c r="I176" s="5">
        <v>834</v>
      </c>
      <c r="J176" s="4" t="s">
        <v>124</v>
      </c>
    </row>
    <row r="177" spans="1:10" x14ac:dyDescent="0.25">
      <c r="A177" s="4">
        <f t="shared" ca="1" si="5"/>
        <v>174</v>
      </c>
      <c r="B177" s="4" t="s">
        <v>466</v>
      </c>
      <c r="C177" s="4" t="s">
        <v>467</v>
      </c>
      <c r="D177" s="4" t="s">
        <v>123</v>
      </c>
      <c r="E177" s="4" t="s">
        <v>468</v>
      </c>
      <c r="F177" s="4">
        <v>1.0110539999999999</v>
      </c>
      <c r="G177" s="5">
        <v>101.66080000000001</v>
      </c>
      <c r="H177" s="5">
        <v>4.4000000000000004</v>
      </c>
      <c r="I177" s="5">
        <v>1783</v>
      </c>
      <c r="J177" s="4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2025-11-17T05:06:49Z</dcterms:created>
  <dcterms:modified xsi:type="dcterms:W3CDTF">2025-11-17T13:33:30Z</dcterms:modified>
</cp:coreProperties>
</file>