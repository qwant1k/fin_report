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30F91C68-3F77-4052-A3A0-EBDD61AEC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B1" i="2"/>
  <c r="C74" i="1"/>
  <c r="G58" i="1"/>
  <c r="F58" i="1"/>
  <c r="E58" i="1"/>
  <c r="G47" i="1"/>
  <c r="F47" i="1"/>
  <c r="E47" i="1"/>
  <c r="M40" i="1"/>
  <c r="M42" i="1" s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8" i="1"/>
  <c r="M10" i="1"/>
  <c r="Q1" i="1"/>
  <c r="M24" i="1" s="1"/>
  <c r="M13" i="1" l="1"/>
  <c r="M21" i="1"/>
  <c r="M14" i="1"/>
  <c r="M22" i="1"/>
  <c r="M9" i="1"/>
  <c r="M17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<sst xmlns="http://schemas.openxmlformats.org/spreadsheetml/2006/main" count="1105" uniqueCount="493">
  <si>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</si>
  <si>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</si>
  <si>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</si>
  <si>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</si>
  <si>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</si>
  <si>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</si>
  <si>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</si>
  <si>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</si>
  <si>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</si>
  <si>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</si>
  <si>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</si>
  <si>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</si>
  <si>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</si>
  <si>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</si>
  <si>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</si>
  <si>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</si>
  <si>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</si>
  <si>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</si>
  <si>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</si>
  <si>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</si>
  <si>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</si>
  <si>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</si>
  <si>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</si>
  <si>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</si>
  <si>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</si>
  <si>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</si>
  <si>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</si>
  <si>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</si>
  <si>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</si>
  <si>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</si>
  <si>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</si>
  <si>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</si>
  <si>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</si>
  <si>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</si>
  <si>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</si>
  <si>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</si>
  <si>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</si>
  <si>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</si>
  <si>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</si>
  <si>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</si>
  <si>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</si>
  <si>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</si>
  <si>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</si>
  <si>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</si>
  <si>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</si>
  <si>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</si>
  <si>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</si>
  <si>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</si>
  <si>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</si>
  <si>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</si>
  <si>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</si>
  <si>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</si>
  <si>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</si>
  <si>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</si>
  <si>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</si>
  <si>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</si>
  <si>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</si>
  <si>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</si>
  <si>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</si>
  <si>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</si>
  <si>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</si>
  <si>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</si>
  <si>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</si>
  <si>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</si>
  <si>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</si>
  <si>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</si>
  <si>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</si>
  <si>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KZKD00001129</t>
  </si>
  <si>
    <t>KZT</t>
  </si>
  <si>
    <t>07.11.2025</t>
  </si>
  <si>
    <t>10.11.2025</t>
  </si>
  <si>
    <t>KZKD00000444</t>
  </si>
  <si>
    <t>KZKD00001137</t>
  </si>
  <si>
    <t>KZKD00001202</t>
  </si>
  <si>
    <t>Европейский банк реконструкции и развития</t>
  </si>
  <si>
    <t>XS2774403690</t>
  </si>
  <si>
    <t>11.11.2025</t>
  </si>
  <si>
    <t>XS1901718335</t>
  </si>
  <si>
    <t>KZ96601A861038102391</t>
  </si>
  <si>
    <t>KZKD00001087</t>
  </si>
  <si>
    <t>18.07.2024</t>
  </si>
  <si>
    <t>31.03.2029</t>
  </si>
  <si>
    <t>12.04.2028</t>
  </si>
  <si>
    <t>KZKD00000949</t>
  </si>
  <si>
    <t>16.04.2032</t>
  </si>
  <si>
    <t>KZKD00000535</t>
  </si>
  <si>
    <t>27.03.2027</t>
  </si>
  <si>
    <t>KZK200000687</t>
  </si>
  <si>
    <t>21.01.2026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</si>
  <si>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</si>
  <si>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</si>
  <si>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</si>
  <si>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</si>
  <si>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</si>
  <si>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</si>
  <si>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</si>
  <si>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</si>
  <si>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</si>
  <si>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17.03.2031</t>
  </si>
  <si>
    <t>KZKD00001251</t>
  </si>
  <si>
    <t>13.03.2025</t>
  </si>
  <si>
    <t>07.03.2030</t>
  </si>
  <si>
    <t>KZKD00000790</t>
  </si>
  <si>
    <t>10.07.2025</t>
  </si>
  <si>
    <t>13.08.2029</t>
  </si>
  <si>
    <t>KZK200000760</t>
  </si>
  <si>
    <t>14.08.2025</t>
  </si>
  <si>
    <t>07.08.2029</t>
  </si>
  <si>
    <t>21.08.2025</t>
  </si>
  <si>
    <t>18.08.2026</t>
  </si>
  <si>
    <t>KZKD00001160</t>
  </si>
  <si>
    <t>28.07.2029</t>
  </si>
  <si>
    <t>KZKD00000741</t>
  </si>
  <si>
    <t>12.05.2034</t>
  </si>
  <si>
    <t>KZKD00000832</t>
  </si>
  <si>
    <t>29.01.2035</t>
  </si>
  <si>
    <t>KZK100000373</t>
  </si>
  <si>
    <t>06.02.2026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</si>
  <si>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</si>
  <si>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</si>
  <si>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</si>
  <si>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</si>
  <si>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</si>
  <si>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</si>
  <si>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</si>
  <si>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</si>
  <si>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</si>
  <si>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</si>
  <si>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</si>
  <si>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</si>
  <si>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</si>
  <si>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</si>
  <si>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</si>
  <si>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</si>
  <si>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</si>
  <si>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</si>
  <si>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</si>
  <si>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</si>
  <si>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</si>
  <si>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</si>
  <si>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</si>
  <si>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</si>
  <si>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</si>
  <si>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</si>
  <si>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</si>
  <si>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</si>
  <si>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</si>
  <si>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</si>
  <si>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</si>
  <si>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</si>
  <si>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</si>
  <si>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</si>
  <si>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</si>
  <si>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</si>
  <si>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</si>
  <si>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</si>
  <si>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</si>
  <si>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</si>
  <si>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</si>
  <si>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</si>
  <si>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</si>
  <si>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</si>
  <si>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</si>
  <si>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</si>
  <si>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</si>
  <si>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</si>
  <si>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</si>
  <si>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MFLPb1</t>
  </si>
  <si>
    <t>KZ2P00010283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</si>
  <si>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</si>
  <si>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</si>
  <si>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</si>
  <si>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</si>
  <si>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</si>
  <si>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</si>
  <si>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</si>
  <si>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</si>
  <si>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</si>
  <si>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</si>
  <si>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</si>
  <si>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</si>
  <si>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</si>
  <si>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</si>
  <si>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</si>
  <si>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</si>
  <si>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MFSCb4</t>
  </si>
  <si>
    <t>KZ2P00011497</t>
  </si>
  <si>
    <t>MFMOb32</t>
  </si>
  <si>
    <t>KZ2P00014590</t>
  </si>
  <si>
    <t>BIGDb2</t>
  </si>
  <si>
    <t>KZ2D00012531</t>
  </si>
  <si>
    <t>BIGDb1</t>
  </si>
  <si>
    <t>KZ2D00012457</t>
  </si>
  <si>
    <t>MFMOb11</t>
  </si>
  <si>
    <t>KZ2P00012925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</si>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</sst>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6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25902993181.410278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11</v>
      </c>
      <c r="F8" s="19" t="s">
        <v>80</v>
      </c>
      <c r="G8" s="19" t="s">
        <v>81</v>
      </c>
      <c r="H8" s="18">
        <v>1743261712.5</v>
      </c>
      <c r="I8" s="20">
        <v>84.716400000000007</v>
      </c>
      <c r="J8" s="20">
        <v>91.438600000000008</v>
      </c>
      <c r="K8" s="18">
        <v>127554166.666667</v>
      </c>
      <c r="L8" s="18">
        <v>1735047856.666666</v>
      </c>
      <c r="M8" s="21">
        <f t="shared" ref="M8:M24" si="0">L8/$Q$1</f>
        <v>6.6982523776898978E-2</v>
      </c>
      <c r="O8" s="10">
        <v>749863.88888888899</v>
      </c>
    </row>
    <row r="9" spans="1:17" x14ac:dyDescent="0.2">
      <c r="A9" s="15" t="s">
        <v>66</v>
      </c>
      <c r="B9" s="15" t="s">
        <v>72</v>
      </c>
      <c r="C9" s="16">
        <v>1897500</v>
      </c>
      <c r="D9" s="17">
        <v>1897500000</v>
      </c>
      <c r="E9" s="18">
        <v>10.4</v>
      </c>
      <c r="F9" s="19" t="s">
        <v>80</v>
      </c>
      <c r="G9" s="19" t="s">
        <v>82</v>
      </c>
      <c r="H9" s="18">
        <v>1736743800</v>
      </c>
      <c r="I9" s="20">
        <v>86.964300000000009</v>
      </c>
      <c r="J9" s="20">
        <v>92.973200000000006</v>
      </c>
      <c r="K9" s="18">
        <v>114018666.666667</v>
      </c>
      <c r="L9" s="18">
        <v>1764166259.166666</v>
      </c>
      <c r="M9" s="21">
        <f t="shared" si="0"/>
        <v>6.8106656509207969E-2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8.4499999999999993</v>
      </c>
      <c r="F10" s="19" t="s">
        <v>80</v>
      </c>
      <c r="G10" s="19" t="s">
        <v>84</v>
      </c>
      <c r="H10" s="18">
        <v>1457889097.496666</v>
      </c>
      <c r="I10" s="20">
        <v>67.778900000000007</v>
      </c>
      <c r="J10" s="20">
        <v>72.5672</v>
      </c>
      <c r="K10" s="18">
        <v>90858625</v>
      </c>
      <c r="L10" s="18">
        <v>1376963252.5</v>
      </c>
      <c r="M10" s="21">
        <f t="shared" si="0"/>
        <v>5.3158460987751829E-2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3162500</v>
      </c>
      <c r="D11" s="17">
        <v>3162500000</v>
      </c>
      <c r="E11" s="18">
        <v>5.49</v>
      </c>
      <c r="F11" s="19" t="s">
        <v>80</v>
      </c>
      <c r="G11" s="19" t="s">
        <v>86</v>
      </c>
      <c r="H11" s="18">
        <v>2627740225</v>
      </c>
      <c r="I11" s="20">
        <v>86.369900000000001</v>
      </c>
      <c r="J11" s="20">
        <v>89.770700000000005</v>
      </c>
      <c r="K11" s="18">
        <v>107548718.75</v>
      </c>
      <c r="L11" s="18">
        <v>2838996806.25</v>
      </c>
      <c r="M11" s="21">
        <f t="shared" si="0"/>
        <v>0.10960111004806403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2530000</v>
      </c>
      <c r="D12" s="17">
        <v>2530000000</v>
      </c>
      <c r="E12" s="18">
        <v>10.67</v>
      </c>
      <c r="F12" s="19" t="s">
        <v>80</v>
      </c>
      <c r="G12" s="19" t="s">
        <v>88</v>
      </c>
      <c r="H12" s="18">
        <v>2455119589.9966769</v>
      </c>
      <c r="I12" s="20">
        <v>98.868300000000005</v>
      </c>
      <c r="J12" s="20">
        <v>102.0989</v>
      </c>
      <c r="K12" s="18">
        <v>81735163.888888881</v>
      </c>
      <c r="L12" s="18">
        <v>2583103153.8888879</v>
      </c>
      <c r="M12" s="21">
        <f t="shared" si="0"/>
        <v>9.9722187926246902E-2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10.65</v>
      </c>
      <c r="F13" s="19" t="s">
        <v>80</v>
      </c>
      <c r="G13" s="19" t="s">
        <v>90</v>
      </c>
      <c r="H13" s="18">
        <v>1648500562.5</v>
      </c>
      <c r="I13" s="20">
        <v>75.4328</v>
      </c>
      <c r="J13" s="20">
        <v>78.509500000000003</v>
      </c>
      <c r="K13" s="18">
        <v>58379750</v>
      </c>
      <c r="L13" s="18">
        <v>1489717130</v>
      </c>
      <c r="M13" s="21">
        <f t="shared" si="0"/>
        <v>5.7511389497223071E-2</v>
      </c>
      <c r="O13" s="10">
        <v>749863.88888888899</v>
      </c>
    </row>
    <row r="14" spans="1:17" x14ac:dyDescent="0.2">
      <c r="A14" s="15" t="s">
        <v>91</v>
      </c>
      <c r="B14" s="15" t="s">
        <v>92</v>
      </c>
      <c r="C14" s="16">
        <v>992234</v>
      </c>
      <c r="D14" s="17">
        <v>992234000</v>
      </c>
      <c r="E14" s="18">
        <v>14.3</v>
      </c>
      <c r="F14" s="19" t="s">
        <v>93</v>
      </c>
      <c r="G14" s="19" t="s">
        <v>94</v>
      </c>
      <c r="H14" s="18">
        <v>991722999.49000001</v>
      </c>
      <c r="I14" s="20">
        <v>94.311760359999994</v>
      </c>
      <c r="J14" s="20">
        <v>96.973160359999994</v>
      </c>
      <c r="K14" s="18">
        <v>26407205.427777771</v>
      </c>
      <c r="L14" s="18">
        <v>962200557.7491709</v>
      </c>
      <c r="M14" s="21">
        <f t="shared" si="0"/>
        <v>3.7146307803520962E-2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2391500</v>
      </c>
      <c r="D15" s="17">
        <v>2391500000</v>
      </c>
      <c r="E15" s="18">
        <v>5.3</v>
      </c>
      <c r="F15" s="19" t="s">
        <v>96</v>
      </c>
      <c r="G15" s="19" t="s">
        <v>97</v>
      </c>
      <c r="H15" s="18">
        <v>1903079172</v>
      </c>
      <c r="I15" s="20">
        <v>81.41810000000001</v>
      </c>
      <c r="J15" s="20">
        <v>81.7273</v>
      </c>
      <c r="K15" s="18">
        <v>7393720.8333333302</v>
      </c>
      <c r="L15" s="18">
        <v>1954507582.333333</v>
      </c>
      <c r="M15" s="21">
        <f t="shared" si="0"/>
        <v>7.5454893133200474E-2</v>
      </c>
      <c r="O15" s="10">
        <v>749863.88888888899</v>
      </c>
    </row>
    <row r="16" spans="1:17" x14ac:dyDescent="0.2">
      <c r="A16" s="15" t="s">
        <v>66</v>
      </c>
      <c r="B16" s="15" t="s">
        <v>67</v>
      </c>
      <c r="C16" s="16">
        <v>1897500</v>
      </c>
      <c r="D16" s="17">
        <v>1897500000</v>
      </c>
      <c r="E16" s="18">
        <v>10.3</v>
      </c>
      <c r="F16" s="19" t="s">
        <v>80</v>
      </c>
      <c r="G16" s="19" t="s">
        <v>98</v>
      </c>
      <c r="H16" s="18">
        <v>1645329839.996666</v>
      </c>
      <c r="I16" s="20">
        <v>77.200100000000006</v>
      </c>
      <c r="J16" s="20">
        <v>83.866500000000002</v>
      </c>
      <c r="K16" s="18">
        <v>126494729.166667</v>
      </c>
      <c r="L16" s="18">
        <v>1591366626.666666</v>
      </c>
      <c r="M16" s="21">
        <f t="shared" si="0"/>
        <v>6.1435626976450629E-2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550000</v>
      </c>
      <c r="D17" s="17">
        <v>550000000</v>
      </c>
      <c r="E17" s="18">
        <v>12</v>
      </c>
      <c r="F17" s="19" t="s">
        <v>100</v>
      </c>
      <c r="G17" s="19" t="s">
        <v>101</v>
      </c>
      <c r="H17" s="18">
        <v>491343050</v>
      </c>
      <c r="I17" s="20">
        <v>84.911500000000004</v>
      </c>
      <c r="J17" s="20">
        <v>93.011499999999998</v>
      </c>
      <c r="K17" s="18">
        <v>44549999.999999993</v>
      </c>
      <c r="L17" s="18">
        <v>511563250</v>
      </c>
      <c r="M17" s="21">
        <f t="shared" si="0"/>
        <v>1.9749194481784138E-2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2469500</v>
      </c>
      <c r="D18" s="17">
        <v>2469500000</v>
      </c>
      <c r="E18" s="18">
        <v>7.68</v>
      </c>
      <c r="F18" s="19" t="s">
        <v>103</v>
      </c>
      <c r="G18" s="19" t="s">
        <v>104</v>
      </c>
      <c r="H18" s="18">
        <v>1827657194</v>
      </c>
      <c r="I18" s="20">
        <v>75.02170000000001</v>
      </c>
      <c r="J18" s="20">
        <v>76.877700000000004</v>
      </c>
      <c r="K18" s="18">
        <v>45833920</v>
      </c>
      <c r="L18" s="18">
        <v>1898494801.5</v>
      </c>
      <c r="M18" s="21">
        <f t="shared" si="0"/>
        <v>7.3292487404987894E-2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897100</v>
      </c>
      <c r="D19" s="17">
        <v>897100000</v>
      </c>
      <c r="E19" s="18">
        <v>17.010000000000002</v>
      </c>
      <c r="F19" s="19" t="s">
        <v>106</v>
      </c>
      <c r="G19" s="19" t="s">
        <v>107</v>
      </c>
      <c r="H19" s="18">
        <v>896985171.20000005</v>
      </c>
      <c r="I19" s="20">
        <v>101.19</v>
      </c>
      <c r="J19" s="20">
        <v>105.5843</v>
      </c>
      <c r="K19" s="18">
        <v>39420816.75</v>
      </c>
      <c r="L19" s="18">
        <v>947196306.75</v>
      </c>
      <c r="M19" s="21">
        <f t="shared" si="0"/>
        <v>3.6567060034968138E-2</v>
      </c>
      <c r="O19" s="10">
        <v>749863.88888888899</v>
      </c>
    </row>
    <row r="20" spans="1:15" x14ac:dyDescent="0.2">
      <c r="A20" s="15" t="s">
        <v>66</v>
      </c>
      <c r="B20" s="15" t="s">
        <v>71</v>
      </c>
      <c r="C20" s="16">
        <v>1106600</v>
      </c>
      <c r="D20" s="17">
        <v>1106600000</v>
      </c>
      <c r="E20" s="18">
        <v>5.5</v>
      </c>
      <c r="F20" s="19" t="s">
        <v>108</v>
      </c>
      <c r="G20" s="19" t="s">
        <v>109</v>
      </c>
      <c r="H20" s="18">
        <v>999478906.79999995</v>
      </c>
      <c r="I20" s="20">
        <v>92.018799999999999</v>
      </c>
      <c r="J20" s="20">
        <v>93.271600000000007</v>
      </c>
      <c r="K20" s="18">
        <v>13863238.888888899</v>
      </c>
      <c r="L20" s="18">
        <v>1032143279.68889</v>
      </c>
      <c r="M20" s="21">
        <f t="shared" si="0"/>
        <v>3.9846486946907164E-2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1897500</v>
      </c>
      <c r="D21" s="17">
        <v>1897500000</v>
      </c>
      <c r="E21" s="18">
        <v>10.55</v>
      </c>
      <c r="F21" s="19" t="s">
        <v>80</v>
      </c>
      <c r="G21" s="19" t="s">
        <v>111</v>
      </c>
      <c r="H21" s="18">
        <v>1708326839.9966669</v>
      </c>
      <c r="I21" s="20">
        <v>82.61160000000001</v>
      </c>
      <c r="J21" s="20">
        <v>85.600800000000007</v>
      </c>
      <c r="K21" s="18">
        <v>56719437.5</v>
      </c>
      <c r="L21" s="18">
        <v>1624274547.5</v>
      </c>
      <c r="M21" s="21">
        <f t="shared" si="0"/>
        <v>6.2706056250892581E-2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8.07</v>
      </c>
      <c r="F22" s="19" t="s">
        <v>80</v>
      </c>
      <c r="G22" s="19" t="s">
        <v>113</v>
      </c>
      <c r="H22" s="18">
        <v>1359122325</v>
      </c>
      <c r="I22" s="20">
        <v>61.265600000000006</v>
      </c>
      <c r="J22" s="20">
        <v>65.255800000000008</v>
      </c>
      <c r="K22" s="18">
        <v>75713412.5</v>
      </c>
      <c r="L22" s="18">
        <v>1238228172.5</v>
      </c>
      <c r="M22" s="21">
        <f t="shared" si="0"/>
        <v>4.7802513162402999E-2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1897500</v>
      </c>
      <c r="D23" s="17">
        <v>1897500000</v>
      </c>
      <c r="E23" s="18">
        <v>8.07</v>
      </c>
      <c r="F23" s="19" t="s">
        <v>80</v>
      </c>
      <c r="G23" s="19" t="s">
        <v>115</v>
      </c>
      <c r="H23" s="18">
        <v>1338524962.5</v>
      </c>
      <c r="I23" s="20">
        <v>59.863200000000006</v>
      </c>
      <c r="J23" s="20">
        <v>66.162300000000002</v>
      </c>
      <c r="K23" s="18">
        <v>119525106.25</v>
      </c>
      <c r="L23" s="18">
        <v>1255429326.25</v>
      </c>
      <c r="M23" s="21">
        <f t="shared" si="0"/>
        <v>4.8466573629451448E-2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11424000</v>
      </c>
      <c r="D24" s="17">
        <v>1142400000</v>
      </c>
      <c r="E24" s="18">
        <v>0</v>
      </c>
      <c r="F24" s="19" t="s">
        <v>100</v>
      </c>
      <c r="G24" s="19" t="s">
        <v>117</v>
      </c>
      <c r="H24" s="18">
        <v>1003902278.4</v>
      </c>
      <c r="I24" s="20">
        <v>96.253</v>
      </c>
      <c r="J24" s="20">
        <v>96.253</v>
      </c>
      <c r="K24" s="18"/>
      <c r="L24" s="18">
        <v>1099594272</v>
      </c>
      <c r="M24" s="21">
        <f t="shared" si="0"/>
        <v>4.2450471430040854E-2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1136016678.2888899</v>
      </c>
      <c r="L26" s="23">
        <f>SUM(L8:L25)</f>
        <v>25902993181.410278</v>
      </c>
      <c r="M26" s="26">
        <f>SUM(M8:M25)</f>
        <v>1</v>
      </c>
      <c r="N26" s="9">
        <v>25902993181.410282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413751.79</v>
      </c>
    </row>
    <row r="30" spans="1:15" x14ac:dyDescent="0.2">
      <c r="A30" s="29" t="s">
        <v>78</v>
      </c>
      <c r="B30" s="30">
        <v>413751.79</v>
      </c>
      <c r="C30" s="62">
        <v>413751.85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982800</v>
      </c>
      <c r="D35" s="32" t="s">
        <v>68</v>
      </c>
      <c r="E35" s="34" t="s">
        <v>69</v>
      </c>
      <c r="F35" s="34" t="s">
        <v>70</v>
      </c>
      <c r="G35" s="35">
        <v>833.923</v>
      </c>
      <c r="H35" s="35">
        <f t="shared" ref="H35:H40" si="1">J35/C35</f>
        <v>835.08889974562476</v>
      </c>
      <c r="I35" s="36">
        <v>819579524.39999998</v>
      </c>
      <c r="J35" s="36">
        <v>820725370.66999996</v>
      </c>
      <c r="K35" s="37">
        <v>17.010100000000001</v>
      </c>
      <c r="L35" s="37">
        <v>1145846.27</v>
      </c>
      <c r="M35" s="31">
        <f t="shared" ref="M35:M40" si="2">I35+L35</f>
        <v>820725370.66999996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13975</v>
      </c>
      <c r="D36" s="32" t="s">
        <v>68</v>
      </c>
      <c r="E36" s="34" t="s">
        <v>69</v>
      </c>
      <c r="F36" s="34" t="s">
        <v>70</v>
      </c>
      <c r="G36" s="35">
        <v>930.30100035778207</v>
      </c>
      <c r="H36" s="35">
        <f t="shared" si="1"/>
        <v>931.60163792486583</v>
      </c>
      <c r="I36" s="36">
        <v>13000956.48</v>
      </c>
      <c r="J36" s="36">
        <v>13019132.890000001</v>
      </c>
      <c r="K36" s="37">
        <v>17.010000000000002</v>
      </c>
      <c r="L36" s="37">
        <v>18176.41</v>
      </c>
      <c r="M36" s="31">
        <f t="shared" si="2"/>
        <v>13019132.890000001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1077672</v>
      </c>
      <c r="D37" s="32" t="s">
        <v>68</v>
      </c>
      <c r="E37" s="34" t="s">
        <v>69</v>
      </c>
      <c r="F37" s="34" t="s">
        <v>70</v>
      </c>
      <c r="G37" s="35">
        <v>925.043000003712</v>
      </c>
      <c r="H37" s="35">
        <f t="shared" si="1"/>
        <v>926.33553344616917</v>
      </c>
      <c r="I37" s="36">
        <v>996892939.89999998</v>
      </c>
      <c r="J37" s="36">
        <v>998285867</v>
      </c>
      <c r="K37" s="37">
        <v>17.0001</v>
      </c>
      <c r="L37" s="37">
        <v>1392927.1</v>
      </c>
      <c r="M37" s="31">
        <f t="shared" si="2"/>
        <v>998285867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488400</v>
      </c>
      <c r="D38" s="32" t="s">
        <v>68</v>
      </c>
      <c r="E38" s="34" t="s">
        <v>69</v>
      </c>
      <c r="F38" s="34" t="s">
        <v>70</v>
      </c>
      <c r="G38" s="35">
        <v>901.61300000000006</v>
      </c>
      <c r="H38" s="35">
        <f t="shared" si="1"/>
        <v>902.87278802211301</v>
      </c>
      <c r="I38" s="36">
        <v>440347789.19999999</v>
      </c>
      <c r="J38" s="36">
        <v>440963069.67000002</v>
      </c>
      <c r="K38" s="37">
        <v>17</v>
      </c>
      <c r="L38" s="37">
        <v>615280.47</v>
      </c>
      <c r="M38" s="31">
        <f t="shared" si="2"/>
        <v>440963069.67000002</v>
      </c>
      <c r="N38" s="10"/>
      <c r="O38" s="9"/>
      <c r="Q38" s="9">
        <v>0</v>
      </c>
    </row>
    <row r="39" spans="1:17" x14ac:dyDescent="0.2">
      <c r="A39" s="32" t="s">
        <v>74</v>
      </c>
      <c r="B39" s="32" t="s">
        <v>75</v>
      </c>
      <c r="C39" s="33">
        <v>12753858</v>
      </c>
      <c r="D39" s="32" t="s">
        <v>68</v>
      </c>
      <c r="E39" s="34" t="s">
        <v>70</v>
      </c>
      <c r="F39" s="34" t="s">
        <v>76</v>
      </c>
      <c r="G39" s="35">
        <v>1.0193000000470398</v>
      </c>
      <c r="H39" s="35">
        <f t="shared" si="1"/>
        <v>1.0197747536470925</v>
      </c>
      <c r="I39" s="36">
        <v>13000007.45999999</v>
      </c>
      <c r="J39" s="36">
        <v>13006062.4</v>
      </c>
      <c r="K39" s="37">
        <v>17.000399999999999</v>
      </c>
      <c r="L39" s="37"/>
      <c r="M39" s="31">
        <f t="shared" si="2"/>
        <v>13000007.45999999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77</v>
      </c>
      <c r="C40" s="33">
        <v>3770271</v>
      </c>
      <c r="D40" s="32" t="s">
        <v>68</v>
      </c>
      <c r="E40" s="34" t="s">
        <v>70</v>
      </c>
      <c r="F40" s="34" t="s">
        <v>76</v>
      </c>
      <c r="G40" s="35">
        <v>599.488199999416</v>
      </c>
      <c r="H40" s="35">
        <f t="shared" si="1"/>
        <v>599.76741696551778</v>
      </c>
      <c r="I40" s="36">
        <v>2260232975.3000002</v>
      </c>
      <c r="J40" s="36">
        <v>2261285698.9299998</v>
      </c>
      <c r="K40" s="37">
        <v>17.0002</v>
      </c>
      <c r="L40" s="37"/>
      <c r="M40" s="31">
        <f t="shared" si="2"/>
        <v>2260232975.3000002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2273232982.7600002</v>
      </c>
      <c r="N42" s="65">
        <v>2273232982.7600002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L26+B29+M42</f>
        <v>28176639915.960281</v>
      </c>
      <c r="C49" s="62">
        <v>28176639916.020283</v>
      </c>
      <c r="D49" s="62">
        <f>__mdDATAItogoActive__-C49</f>
        <v>-6.0001373291015625E-2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2328494.0300000003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441172.14</v>
      </c>
      <c r="D66" s="24"/>
      <c r="F66" s="5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367692.93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135504.95999999999</v>
      </c>
      <c r="D69" s="57"/>
      <c r="O69" s="9"/>
    </row>
    <row r="70" spans="1:15" x14ac:dyDescent="0.2">
      <c r="A70" s="24">
        <v>7</v>
      </c>
      <c r="B70" s="55" t="s">
        <v>59</v>
      </c>
      <c r="C70" s="57">
        <v>68404.14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3341268.2000000007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10.11.2025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99.914000000000001</v>
      </c>
      <c r="G4" s="5">
        <v>99.914000000000001</v>
      </c>
      <c r="H4" s="5">
        <v>15.71</v>
      </c>
      <c r="I4" s="5">
        <v>3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125</v>
      </c>
      <c r="E6" s="4" t="s">
        <v>130</v>
      </c>
      <c r="F6" s="4">
        <v>1410.89</v>
      </c>
      <c r="G6" s="5"/>
      <c r="H6" s="5"/>
      <c r="I6" s="5"/>
      <c r="J6" s="4" t="s">
        <v>127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125</v>
      </c>
      <c r="E7" s="4" t="s">
        <v>133</v>
      </c>
      <c r="F7" s="4">
        <v>579592.35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125</v>
      </c>
      <c r="E8" s="4" t="s">
        <v>133</v>
      </c>
      <c r="F8" s="4">
        <v>6301.35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120</v>
      </c>
      <c r="E9" s="4" t="s">
        <v>133</v>
      </c>
      <c r="F9" s="4">
        <v>0.9503649999999999</v>
      </c>
      <c r="G9" s="5">
        <v>95.371900000000011</v>
      </c>
      <c r="H9" s="5">
        <v>6.17</v>
      </c>
      <c r="I9" s="5">
        <v>7831</v>
      </c>
      <c r="J9" s="4" t="s">
        <v>122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125</v>
      </c>
      <c r="E10" s="4" t="s">
        <v>133</v>
      </c>
      <c r="F10" s="4">
        <v>167.54</v>
      </c>
      <c r="G10" s="5"/>
      <c r="H10" s="5"/>
      <c r="I10" s="5"/>
      <c r="J10" s="4" t="s">
        <v>127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133</v>
      </c>
      <c r="F11" s="4">
        <v>5543.44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133</v>
      </c>
      <c r="F12" s="4">
        <v>5952419.29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133</v>
      </c>
      <c r="F13" s="4">
        <v>132.80000000000001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133</v>
      </c>
      <c r="F14" s="4">
        <v>1176.44</v>
      </c>
      <c r="G14" s="5"/>
      <c r="H14" s="5"/>
      <c r="I14" s="5"/>
      <c r="J14" s="4" t="s">
        <v>148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125</v>
      </c>
      <c r="E15" s="4" t="s">
        <v>133</v>
      </c>
      <c r="F15" s="4">
        <v>1080.71</v>
      </c>
      <c r="G15" s="5"/>
      <c r="H15" s="5"/>
      <c r="I15" s="5"/>
      <c r="J15" s="4" t="s">
        <v>148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125</v>
      </c>
      <c r="E16" s="4" t="s">
        <v>133</v>
      </c>
      <c r="F16" s="4">
        <v>1821724.97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125</v>
      </c>
      <c r="E17" s="4" t="s">
        <v>133</v>
      </c>
      <c r="F17" s="4">
        <v>72757.430000000008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125</v>
      </c>
      <c r="E18" s="4" t="s">
        <v>133</v>
      </c>
      <c r="F18" s="4">
        <v>73353.64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125</v>
      </c>
      <c r="E19" s="4" t="s">
        <v>133</v>
      </c>
      <c r="F19" s="4">
        <v>52451.7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125</v>
      </c>
      <c r="E20" s="4" t="s">
        <v>133</v>
      </c>
      <c r="F20" s="4">
        <v>7.24</v>
      </c>
      <c r="G20" s="5"/>
      <c r="H20" s="5"/>
      <c r="I20" s="5"/>
      <c r="J20" s="4" t="s">
        <v>127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120</v>
      </c>
      <c r="E21" s="4" t="s">
        <v>133</v>
      </c>
      <c r="F21" s="4">
        <v>1000</v>
      </c>
      <c r="G21" s="5">
        <v>108.43230000000001</v>
      </c>
      <c r="H21" s="5">
        <v>17.64</v>
      </c>
      <c r="I21" s="5">
        <v>1105</v>
      </c>
      <c r="J21" s="4" t="s">
        <v>122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120</v>
      </c>
      <c r="E22" s="4" t="s">
        <v>133</v>
      </c>
      <c r="F22" s="4">
        <v>1000.1950000000001</v>
      </c>
      <c r="G22" s="5">
        <v>101.70230000000001</v>
      </c>
      <c r="H22" s="5">
        <v>21.35</v>
      </c>
      <c r="I22" s="5">
        <v>5</v>
      </c>
      <c r="J22" s="4" t="s">
        <v>122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120</v>
      </c>
      <c r="E23" s="4" t="s">
        <v>133</v>
      </c>
      <c r="F23" s="4">
        <v>1000</v>
      </c>
      <c r="G23" s="5">
        <v>101.2634</v>
      </c>
      <c r="H23" s="5">
        <v>17.47</v>
      </c>
      <c r="I23" s="5">
        <v>704</v>
      </c>
      <c r="J23" s="4" t="s">
        <v>122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120</v>
      </c>
      <c r="E24" s="4" t="s">
        <v>133</v>
      </c>
      <c r="F24" s="4">
        <v>999.56500000000005</v>
      </c>
      <c r="G24" s="5">
        <v>103.15650000000001</v>
      </c>
      <c r="H24" s="5">
        <v>24</v>
      </c>
      <c r="I24" s="5">
        <v>43</v>
      </c>
      <c r="J24" s="4" t="s">
        <v>122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120</v>
      </c>
      <c r="E25" s="4" t="s">
        <v>133</v>
      </c>
      <c r="F25" s="4">
        <v>1000</v>
      </c>
      <c r="G25" s="5">
        <v>105.8152</v>
      </c>
      <c r="H25" s="5">
        <v>17.87</v>
      </c>
      <c r="I25" s="5">
        <v>1891</v>
      </c>
      <c r="J25" s="4" t="s">
        <v>122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120</v>
      </c>
      <c r="E26" s="4" t="s">
        <v>133</v>
      </c>
      <c r="F26" s="4">
        <v>1000</v>
      </c>
      <c r="G26" s="5">
        <v>103.31150000000001</v>
      </c>
      <c r="H26" s="5">
        <v>17.760000000000002</v>
      </c>
      <c r="I26" s="5">
        <v>1575</v>
      </c>
      <c r="J26" s="4" t="s">
        <v>122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125</v>
      </c>
      <c r="E27" s="4" t="s">
        <v>133</v>
      </c>
      <c r="F27" s="4">
        <v>1512.71</v>
      </c>
      <c r="G27" s="5"/>
      <c r="H27" s="5"/>
      <c r="I27" s="5"/>
      <c r="J27" s="4" t="s">
        <v>127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120</v>
      </c>
      <c r="E28" s="4" t="s">
        <v>133</v>
      </c>
      <c r="F28" s="4">
        <v>497572.5</v>
      </c>
      <c r="G28" s="5">
        <v>100.7103</v>
      </c>
      <c r="H28" s="5">
        <v>21.24</v>
      </c>
      <c r="I28" s="5">
        <v>252</v>
      </c>
      <c r="J28" s="4" t="s">
        <v>122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120</v>
      </c>
      <c r="E29" s="4" t="s">
        <v>133</v>
      </c>
      <c r="F29" s="4">
        <v>500100</v>
      </c>
      <c r="G29" s="5">
        <v>103.4422</v>
      </c>
      <c r="H29" s="5">
        <v>21.41</v>
      </c>
      <c r="I29" s="5">
        <v>35</v>
      </c>
      <c r="J29" s="4" t="s">
        <v>122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120</v>
      </c>
      <c r="E30" s="4" t="s">
        <v>133</v>
      </c>
      <c r="F30" s="4">
        <v>1012</v>
      </c>
      <c r="G30" s="5">
        <v>104.08890000000001</v>
      </c>
      <c r="H30" s="5">
        <v>5.99</v>
      </c>
      <c r="I30" s="5">
        <v>933</v>
      </c>
      <c r="J30" s="4" t="s">
        <v>122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120</v>
      </c>
      <c r="E31" s="4" t="s">
        <v>133</v>
      </c>
      <c r="F31" s="4">
        <v>764.88300000000004</v>
      </c>
      <c r="G31" s="5">
        <v>76.610500000000002</v>
      </c>
      <c r="H31" s="5">
        <v>41.1</v>
      </c>
      <c r="I31" s="5">
        <v>637</v>
      </c>
      <c r="J31" s="4" t="s">
        <v>122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120</v>
      </c>
      <c r="E32" s="4" t="s">
        <v>133</v>
      </c>
      <c r="F32" s="4">
        <v>999.95500000000004</v>
      </c>
      <c r="G32" s="5">
        <v>101.0177</v>
      </c>
      <c r="H32" s="5">
        <v>23</v>
      </c>
      <c r="I32" s="5">
        <v>1080</v>
      </c>
      <c r="J32" s="4" t="s">
        <v>122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120</v>
      </c>
      <c r="E33" s="4" t="s">
        <v>133</v>
      </c>
      <c r="F33" s="4">
        <v>987.5</v>
      </c>
      <c r="G33" s="5">
        <v>99.625</v>
      </c>
      <c r="H33" s="5">
        <v>23.16</v>
      </c>
      <c r="I33" s="5">
        <v>228</v>
      </c>
      <c r="J33" s="4" t="s">
        <v>122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120</v>
      </c>
      <c r="E34" s="4" t="s">
        <v>133</v>
      </c>
      <c r="F34" s="4">
        <v>99.880700000000004</v>
      </c>
      <c r="G34" s="5">
        <v>100.4918</v>
      </c>
      <c r="H34" s="5">
        <v>11.07</v>
      </c>
      <c r="I34" s="5">
        <v>649</v>
      </c>
      <c r="J34" s="4" t="s">
        <v>122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120</v>
      </c>
      <c r="E35" s="4" t="s">
        <v>133</v>
      </c>
      <c r="F35" s="4">
        <v>101.8836</v>
      </c>
      <c r="G35" s="5">
        <v>102.09190000000001</v>
      </c>
      <c r="H35" s="5">
        <v>5.48</v>
      </c>
      <c r="I35" s="5">
        <v>356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120</v>
      </c>
      <c r="E36" s="4" t="s">
        <v>133</v>
      </c>
      <c r="F36" s="4">
        <v>984.91100000000006</v>
      </c>
      <c r="G36" s="5">
        <v>98.970300000000009</v>
      </c>
      <c r="H36" s="5">
        <v>19</v>
      </c>
      <c r="I36" s="5">
        <v>356</v>
      </c>
      <c r="J36" s="4" t="s">
        <v>122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120</v>
      </c>
      <c r="E37" s="4" t="s">
        <v>133</v>
      </c>
      <c r="F37" s="4">
        <v>994.5</v>
      </c>
      <c r="G37" s="5">
        <v>101.1</v>
      </c>
      <c r="H37" s="5">
        <v>25.24</v>
      </c>
      <c r="I37" s="5">
        <v>65</v>
      </c>
      <c r="J37" s="4" t="s">
        <v>122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120</v>
      </c>
      <c r="E38" s="4" t="s">
        <v>133</v>
      </c>
      <c r="F38" s="4">
        <v>986.66700000000003</v>
      </c>
      <c r="G38" s="5">
        <v>100.13340000000001</v>
      </c>
      <c r="H38" s="5">
        <v>23.05</v>
      </c>
      <c r="I38" s="5">
        <v>553</v>
      </c>
      <c r="J38" s="4" t="s">
        <v>122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120</v>
      </c>
      <c r="E39" s="4" t="s">
        <v>133</v>
      </c>
      <c r="F39" s="4">
        <v>98.906900000000007</v>
      </c>
      <c r="G39" s="5">
        <v>99.706900000000005</v>
      </c>
      <c r="H39" s="5">
        <v>12.8</v>
      </c>
      <c r="I39" s="5">
        <v>553</v>
      </c>
      <c r="J39" s="4" t="s">
        <v>122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120</v>
      </c>
      <c r="E40" s="4" t="s">
        <v>133</v>
      </c>
      <c r="F40" s="4">
        <v>495727.5</v>
      </c>
      <c r="G40" s="5">
        <v>100.60380000000001</v>
      </c>
      <c r="H40" s="5">
        <v>21.6</v>
      </c>
      <c r="I40" s="5">
        <v>613</v>
      </c>
      <c r="J40" s="4" t="s">
        <v>122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120</v>
      </c>
      <c r="E41" s="4" t="s">
        <v>133</v>
      </c>
      <c r="F41" s="4">
        <v>99.971000000000004</v>
      </c>
      <c r="G41" s="5">
        <v>101.9877</v>
      </c>
      <c r="H41" s="5">
        <v>10.99</v>
      </c>
      <c r="I41" s="5">
        <v>299</v>
      </c>
      <c r="J41" s="4" t="s">
        <v>122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120</v>
      </c>
      <c r="E42" s="4" t="s">
        <v>133</v>
      </c>
      <c r="F42" s="4">
        <v>759.37</v>
      </c>
      <c r="G42" s="5">
        <v>76.520300000000006</v>
      </c>
      <c r="H42" s="5">
        <v>53.23</v>
      </c>
      <c r="I42" s="5">
        <v>355</v>
      </c>
      <c r="J42" s="4" t="s">
        <v>122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120</v>
      </c>
      <c r="E43" s="4" t="s">
        <v>133</v>
      </c>
      <c r="F43" s="4">
        <v>831.80600000000004</v>
      </c>
      <c r="G43" s="5">
        <v>84.385000000000005</v>
      </c>
      <c r="H43" s="5">
        <v>31.17</v>
      </c>
      <c r="I43" s="5">
        <v>954</v>
      </c>
      <c r="J43" s="4" t="s">
        <v>122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120</v>
      </c>
      <c r="E44" s="4" t="s">
        <v>133</v>
      </c>
      <c r="F44" s="4">
        <v>999.91</v>
      </c>
      <c r="G44" s="5">
        <v>100.2354</v>
      </c>
      <c r="H44" s="5">
        <v>22.01</v>
      </c>
      <c r="I44" s="5">
        <v>696</v>
      </c>
      <c r="J44" s="4" t="s">
        <v>122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120</v>
      </c>
      <c r="E45" s="4" t="s">
        <v>133</v>
      </c>
      <c r="F45" s="4">
        <v>941.75</v>
      </c>
      <c r="G45" s="5">
        <v>94.48060000000001</v>
      </c>
      <c r="H45" s="5">
        <v>26.38</v>
      </c>
      <c r="I45" s="5">
        <v>603</v>
      </c>
      <c r="J45" s="4" t="s">
        <v>122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120</v>
      </c>
      <c r="E46" s="4" t="s">
        <v>133</v>
      </c>
      <c r="F46" s="4">
        <v>991.6450000000001</v>
      </c>
      <c r="G46" s="5">
        <v>101.38120000000001</v>
      </c>
      <c r="H46" s="5">
        <v>22.01</v>
      </c>
      <c r="I46" s="5">
        <v>327</v>
      </c>
      <c r="J46" s="4" t="s">
        <v>122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120</v>
      </c>
      <c r="E47" s="4" t="s">
        <v>133</v>
      </c>
      <c r="F47" s="4">
        <v>962.19400000000007</v>
      </c>
      <c r="G47" s="5">
        <v>97.222200000000001</v>
      </c>
      <c r="H47" s="5">
        <v>23.49</v>
      </c>
      <c r="I47" s="5">
        <v>346</v>
      </c>
      <c r="J47" s="4" t="s">
        <v>122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120</v>
      </c>
      <c r="E48" s="4" t="s">
        <v>133</v>
      </c>
      <c r="F48" s="4">
        <v>942.85</v>
      </c>
      <c r="G48" s="5">
        <v>94.918300000000002</v>
      </c>
      <c r="H48" s="5">
        <v>22.29</v>
      </c>
      <c r="I48" s="5">
        <v>810</v>
      </c>
      <c r="J48" s="4" t="s">
        <v>122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120</v>
      </c>
      <c r="E49" s="4" t="s">
        <v>133</v>
      </c>
      <c r="F49" s="4">
        <v>982.97500000000002</v>
      </c>
      <c r="G49" s="5">
        <v>99.930800000000005</v>
      </c>
      <c r="H49" s="5">
        <v>21.94</v>
      </c>
      <c r="I49" s="5">
        <v>854</v>
      </c>
      <c r="J49" s="4" t="s">
        <v>122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120</v>
      </c>
      <c r="E50" s="4" t="s">
        <v>133</v>
      </c>
      <c r="F50" s="4">
        <v>996.19500000000005</v>
      </c>
      <c r="G50" s="5">
        <v>108.3403</v>
      </c>
      <c r="H50" s="5">
        <v>19.760000000000002</v>
      </c>
      <c r="I50" s="5">
        <v>566</v>
      </c>
      <c r="J50" s="4" t="s">
        <v>122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120</v>
      </c>
      <c r="E51" s="4" t="s">
        <v>133</v>
      </c>
      <c r="F51" s="4">
        <v>97.997100000000003</v>
      </c>
      <c r="G51" s="5">
        <v>98.608200000000011</v>
      </c>
      <c r="H51" s="5">
        <v>11.6</v>
      </c>
      <c r="I51" s="5">
        <v>494</v>
      </c>
      <c r="J51" s="4" t="s">
        <v>122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120</v>
      </c>
      <c r="E52" s="4" t="s">
        <v>133</v>
      </c>
      <c r="F52" s="4">
        <v>1000</v>
      </c>
      <c r="G52" s="5">
        <v>104.86360000000001</v>
      </c>
      <c r="H52" s="5">
        <v>17.2</v>
      </c>
      <c r="I52" s="5">
        <v>1359</v>
      </c>
      <c r="J52" s="4" t="s">
        <v>122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120</v>
      </c>
      <c r="E53" s="4" t="s">
        <v>133</v>
      </c>
      <c r="F53" s="4">
        <v>999.87600000000009</v>
      </c>
      <c r="G53" s="5">
        <v>100.65430000000001</v>
      </c>
      <c r="H53" s="5">
        <v>10</v>
      </c>
      <c r="I53" s="5">
        <v>341</v>
      </c>
      <c r="J53" s="4" t="s">
        <v>122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120</v>
      </c>
      <c r="E54" s="4" t="s">
        <v>133</v>
      </c>
      <c r="F54" s="4">
        <v>998.5630000000001</v>
      </c>
      <c r="G54" s="5">
        <v>101.4278</v>
      </c>
      <c r="H54" s="5">
        <v>22.73</v>
      </c>
      <c r="I54" s="5">
        <v>644</v>
      </c>
      <c r="J54" s="4" t="s">
        <v>122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120</v>
      </c>
      <c r="E55" s="4" t="s">
        <v>133</v>
      </c>
      <c r="F55" s="4">
        <v>989.98400000000004</v>
      </c>
      <c r="G55" s="5">
        <v>99.776200000000003</v>
      </c>
      <c r="H55" s="5">
        <v>22.3</v>
      </c>
      <c r="I55" s="5">
        <v>168</v>
      </c>
      <c r="J55" s="4" t="s">
        <v>122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120</v>
      </c>
      <c r="E56" s="4" t="s">
        <v>133</v>
      </c>
      <c r="F56" s="4">
        <v>1000</v>
      </c>
      <c r="G56" s="5">
        <v>100.6225</v>
      </c>
      <c r="H56" s="5">
        <v>22.41</v>
      </c>
      <c r="I56" s="5">
        <v>873</v>
      </c>
      <c r="J56" s="4" t="s">
        <v>122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125</v>
      </c>
      <c r="E57" s="4" t="s">
        <v>133</v>
      </c>
      <c r="F57" s="4">
        <v>101.22</v>
      </c>
      <c r="G57" s="5"/>
      <c r="H57" s="5"/>
      <c r="I57" s="5"/>
      <c r="J57" s="4" t="s">
        <v>148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120</v>
      </c>
      <c r="E58" s="4" t="s">
        <v>133</v>
      </c>
      <c r="F58" s="4">
        <v>972.68</v>
      </c>
      <c r="G58" s="5">
        <v>97.968000000000004</v>
      </c>
      <c r="H58" s="5">
        <v>22.49</v>
      </c>
      <c r="I58" s="5">
        <v>870</v>
      </c>
      <c r="J58" s="4" t="s">
        <v>122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120</v>
      </c>
      <c r="E59" s="4" t="s">
        <v>133</v>
      </c>
      <c r="F59" s="4">
        <v>931.99</v>
      </c>
      <c r="G59" s="5">
        <v>94.299000000000007</v>
      </c>
      <c r="H59" s="5">
        <v>27.03</v>
      </c>
      <c r="I59" s="5">
        <v>620</v>
      </c>
      <c r="J59" s="4" t="s">
        <v>122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120</v>
      </c>
      <c r="E60" s="4" t="s">
        <v>133</v>
      </c>
      <c r="F60" s="4">
        <v>765.59500000000003</v>
      </c>
      <c r="G60" s="5">
        <v>76.815100000000001</v>
      </c>
      <c r="H60" s="5">
        <v>144.75</v>
      </c>
      <c r="I60" s="5">
        <v>89</v>
      </c>
      <c r="J60" s="4" t="s">
        <v>122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120</v>
      </c>
      <c r="E61" s="4" t="s">
        <v>133</v>
      </c>
      <c r="F61" s="4">
        <v>957.92700000000002</v>
      </c>
      <c r="G61" s="5">
        <v>99.734400000000008</v>
      </c>
      <c r="H61" s="5">
        <v>23.72</v>
      </c>
      <c r="I61" s="5">
        <v>938</v>
      </c>
      <c r="J61" s="4" t="s">
        <v>122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120</v>
      </c>
      <c r="E62" s="4" t="s">
        <v>133</v>
      </c>
      <c r="F62" s="4">
        <v>978.22</v>
      </c>
      <c r="G62" s="5">
        <v>98.310900000000004</v>
      </c>
      <c r="H62" s="5">
        <v>23.61</v>
      </c>
      <c r="I62" s="5">
        <v>600</v>
      </c>
      <c r="J62" s="4" t="s">
        <v>122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120</v>
      </c>
      <c r="E63" s="4" t="s">
        <v>133</v>
      </c>
      <c r="F63" s="4">
        <v>986.4670000000001</v>
      </c>
      <c r="G63" s="5">
        <v>107.20230000000001</v>
      </c>
      <c r="H63" s="5">
        <v>19.02</v>
      </c>
      <c r="I63" s="5">
        <v>370</v>
      </c>
      <c r="J63" s="4" t="s">
        <v>122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120</v>
      </c>
      <c r="E64" s="4" t="s">
        <v>133</v>
      </c>
      <c r="F64" s="4">
        <v>9.9695900000000002</v>
      </c>
      <c r="G64" s="5">
        <v>100.50150000000001</v>
      </c>
      <c r="H64" s="5">
        <v>10.18</v>
      </c>
      <c r="I64" s="5">
        <v>671</v>
      </c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120</v>
      </c>
      <c r="E65" s="4" t="s">
        <v>133</v>
      </c>
      <c r="F65" s="4">
        <v>948.01300000000003</v>
      </c>
      <c r="G65" s="5">
        <v>95.618000000000009</v>
      </c>
      <c r="H65" s="5">
        <v>23.67</v>
      </c>
      <c r="I65" s="5">
        <v>960</v>
      </c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120</v>
      </c>
      <c r="E66" s="4" t="s">
        <v>133</v>
      </c>
      <c r="F66" s="4">
        <v>1002.946</v>
      </c>
      <c r="G66" s="5">
        <v>103.2557</v>
      </c>
      <c r="H66" s="5">
        <v>20.23</v>
      </c>
      <c r="I66" s="5">
        <v>678</v>
      </c>
      <c r="J66" s="4" t="s">
        <v>122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125</v>
      </c>
      <c r="E67" s="4" t="s">
        <v>255</v>
      </c>
      <c r="F67" s="4">
        <v>38373.22</v>
      </c>
      <c r="G67" s="5"/>
      <c r="H67" s="5"/>
      <c r="I67" s="5"/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125</v>
      </c>
      <c r="E68" s="4" t="s">
        <v>255</v>
      </c>
      <c r="F68" s="4">
        <v>29188.62</v>
      </c>
      <c r="G68" s="5"/>
      <c r="H68" s="5"/>
      <c r="I68" s="5"/>
      <c r="J68" s="4" t="s">
        <v>127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120</v>
      </c>
      <c r="E69" s="4" t="s">
        <v>260</v>
      </c>
      <c r="F69" s="4">
        <v>16399.3</v>
      </c>
      <c r="G69" s="5">
        <v>1639.9270000000001</v>
      </c>
      <c r="H69" s="5"/>
      <c r="I69" s="5">
        <v>137</v>
      </c>
      <c r="J69" s="4" t="s">
        <v>122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125</v>
      </c>
      <c r="E70" s="4" t="s">
        <v>263</v>
      </c>
      <c r="F70" s="4">
        <v>22279.53</v>
      </c>
      <c r="G70" s="5"/>
      <c r="H70" s="5"/>
      <c r="I70" s="5"/>
      <c r="J70" s="4" t="s">
        <v>127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120</v>
      </c>
      <c r="E71" s="4" t="s">
        <v>263</v>
      </c>
      <c r="F71" s="4">
        <v>1.011164</v>
      </c>
      <c r="G71" s="5">
        <v>101.3553</v>
      </c>
      <c r="H71" s="5">
        <v>5.09</v>
      </c>
      <c r="I71" s="5">
        <v>1627</v>
      </c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120</v>
      </c>
      <c r="E72" s="4" t="s">
        <v>263</v>
      </c>
      <c r="F72" s="4">
        <v>1012.003</v>
      </c>
      <c r="G72" s="5">
        <v>101.48360000000001</v>
      </c>
      <c r="H72" s="5">
        <v>6.28</v>
      </c>
      <c r="I72" s="5">
        <v>8385</v>
      </c>
      <c r="J72" s="4" t="s">
        <v>122</v>
      </c>
    </row>
    <row r="73" spans="1:10" x14ac:dyDescent="0.25">
      <c r="A73" s="4">
        <f t="shared" ca="1" si="2"/>
        <v>70</v>
      </c>
      <c r="B73" s="4" t="s">
        <v>268</v>
      </c>
      <c r="C73" s="4" t="s">
        <v>269</v>
      </c>
      <c r="D73" s="4" t="s">
        <v>125</v>
      </c>
      <c r="E73" s="4" t="s">
        <v>270</v>
      </c>
      <c r="F73" s="4">
        <v>3361.32</v>
      </c>
      <c r="G73" s="5"/>
      <c r="H73" s="5"/>
      <c r="I73" s="5"/>
      <c r="J73" s="4" t="s">
        <v>127</v>
      </c>
    </row>
    <row r="74" spans="1:10" x14ac:dyDescent="0.25">
      <c r="A74" s="4">
        <f t="shared" ca="1" si="2"/>
        <v>71</v>
      </c>
      <c r="B74" s="4" t="s">
        <v>271</v>
      </c>
      <c r="C74" s="4" t="s">
        <v>272</v>
      </c>
      <c r="D74" s="4" t="s">
        <v>120</v>
      </c>
      <c r="E74" s="4" t="s">
        <v>273</v>
      </c>
      <c r="F74" s="4">
        <v>0.97191699999999992</v>
      </c>
      <c r="G74" s="5">
        <v>97.258400000000009</v>
      </c>
      <c r="H74" s="5">
        <v>5.01</v>
      </c>
      <c r="I74" s="5">
        <v>353</v>
      </c>
      <c r="J74" s="4" t="s">
        <v>122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125</v>
      </c>
      <c r="E75" s="4" t="s">
        <v>276</v>
      </c>
      <c r="F75" s="4">
        <v>9039.51</v>
      </c>
      <c r="G75" s="5"/>
      <c r="H75" s="5"/>
      <c r="I75" s="5"/>
      <c r="J75" s="4" t="s">
        <v>127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276</v>
      </c>
      <c r="F76" s="4">
        <v>5143.6900000000005</v>
      </c>
      <c r="G76" s="5"/>
      <c r="H76" s="5"/>
      <c r="I76" s="5"/>
      <c r="J76" s="4" t="s">
        <v>127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120</v>
      </c>
      <c r="E77" s="4" t="s">
        <v>281</v>
      </c>
      <c r="F77" s="4">
        <v>969.48900000000003</v>
      </c>
      <c r="G77" s="5">
        <v>100.6293</v>
      </c>
      <c r="H77" s="5">
        <v>19.809999999999999</v>
      </c>
      <c r="I77" s="5">
        <v>840</v>
      </c>
      <c r="J77" s="4" t="s">
        <v>122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120</v>
      </c>
      <c r="E78" s="4" t="s">
        <v>281</v>
      </c>
      <c r="F78" s="4">
        <v>100.01730000000001</v>
      </c>
      <c r="G78" s="5">
        <v>100.99510000000001</v>
      </c>
      <c r="H78" s="5">
        <v>7.99</v>
      </c>
      <c r="I78" s="5">
        <v>777</v>
      </c>
      <c r="J78" s="4" t="s">
        <v>122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120</v>
      </c>
      <c r="E79" s="4" t="s">
        <v>66</v>
      </c>
      <c r="F79" s="4">
        <v>1000</v>
      </c>
      <c r="G79" s="5">
        <v>110.8302</v>
      </c>
      <c r="H79" s="5">
        <v>12.54</v>
      </c>
      <c r="I79" s="5">
        <v>1147</v>
      </c>
      <c r="J79" s="4" t="s">
        <v>122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120</v>
      </c>
      <c r="E80" s="4" t="s">
        <v>66</v>
      </c>
      <c r="F80" s="4">
        <v>1000</v>
      </c>
      <c r="G80" s="5">
        <v>102.55030000000001</v>
      </c>
      <c r="H80" s="5">
        <v>12.54</v>
      </c>
      <c r="I80" s="5">
        <v>1387</v>
      </c>
      <c r="J80" s="4" t="s">
        <v>122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120</v>
      </c>
      <c r="E81" s="4" t="s">
        <v>66</v>
      </c>
      <c r="F81" s="4">
        <v>1000</v>
      </c>
      <c r="G81" s="5">
        <v>105.6597</v>
      </c>
      <c r="H81" s="5">
        <v>12.22</v>
      </c>
      <c r="I81" s="5">
        <v>200</v>
      </c>
      <c r="J81" s="4" t="s">
        <v>122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120</v>
      </c>
      <c r="E82" s="4" t="s">
        <v>66</v>
      </c>
      <c r="F82" s="4">
        <v>1000</v>
      </c>
      <c r="G82" s="5">
        <v>103.4936</v>
      </c>
      <c r="H82" s="5">
        <v>12.35</v>
      </c>
      <c r="I82" s="5">
        <v>263</v>
      </c>
      <c r="J82" s="4" t="s">
        <v>122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120</v>
      </c>
      <c r="E83" s="4" t="s">
        <v>66</v>
      </c>
      <c r="F83" s="4">
        <v>1000</v>
      </c>
      <c r="G83" s="5">
        <v>106.67280000000001</v>
      </c>
      <c r="H83" s="5">
        <v>12.43</v>
      </c>
      <c r="I83" s="5">
        <v>536</v>
      </c>
      <c r="J83" s="4" t="s">
        <v>122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120</v>
      </c>
      <c r="E84" s="4" t="s">
        <v>66</v>
      </c>
      <c r="F84" s="4">
        <v>1000</v>
      </c>
      <c r="G84" s="5">
        <v>104.5766</v>
      </c>
      <c r="H84" s="5">
        <v>12.46</v>
      </c>
      <c r="I84" s="5">
        <v>597</v>
      </c>
      <c r="J84" s="4" t="s">
        <v>122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120</v>
      </c>
      <c r="E85" s="4" t="s">
        <v>66</v>
      </c>
      <c r="F85" s="4">
        <v>1000</v>
      </c>
      <c r="G85" s="5">
        <v>112.018</v>
      </c>
      <c r="H85" s="5">
        <v>12.56</v>
      </c>
      <c r="I85" s="5">
        <v>747</v>
      </c>
      <c r="J85" s="4" t="s">
        <v>122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120</v>
      </c>
      <c r="E86" s="4" t="s">
        <v>66</v>
      </c>
      <c r="F86" s="4">
        <v>1000</v>
      </c>
      <c r="G86" s="5">
        <v>102.55030000000001</v>
      </c>
      <c r="H86" s="5">
        <v>12.53</v>
      </c>
      <c r="I86" s="5">
        <v>1022</v>
      </c>
      <c r="J86" s="4" t="s">
        <v>122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120</v>
      </c>
      <c r="E87" s="4" t="s">
        <v>66</v>
      </c>
      <c r="F87" s="4">
        <v>1000</v>
      </c>
      <c r="G87" s="5">
        <v>109.852</v>
      </c>
      <c r="H87" s="5">
        <v>12.54</v>
      </c>
      <c r="I87" s="5">
        <v>1541</v>
      </c>
      <c r="J87" s="4" t="s">
        <v>122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120</v>
      </c>
      <c r="E88" s="4" t="s">
        <v>66</v>
      </c>
      <c r="F88" s="4">
        <v>998.125</v>
      </c>
      <c r="G88" s="5">
        <v>104.72920000000001</v>
      </c>
      <c r="H88" s="5">
        <v>16.760000000000002</v>
      </c>
      <c r="I88" s="5">
        <v>7</v>
      </c>
      <c r="J88" s="4" t="s">
        <v>122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120</v>
      </c>
      <c r="E89" s="4" t="s">
        <v>66</v>
      </c>
      <c r="F89" s="4">
        <v>890.875</v>
      </c>
      <c r="G89" s="5">
        <v>93.906900000000007</v>
      </c>
      <c r="H89" s="5">
        <v>17.38</v>
      </c>
      <c r="I89" s="5">
        <v>379</v>
      </c>
      <c r="J89" s="4" t="s">
        <v>122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120</v>
      </c>
      <c r="E90" s="4" t="s">
        <v>66</v>
      </c>
      <c r="F90" s="4">
        <v>1000</v>
      </c>
      <c r="G90" s="5">
        <v>104.5766</v>
      </c>
      <c r="H90" s="5">
        <v>12.52</v>
      </c>
      <c r="I90" s="5">
        <v>1328</v>
      </c>
      <c r="J90" s="4" t="s">
        <v>122</v>
      </c>
    </row>
    <row r="91" spans="1:10" x14ac:dyDescent="0.25">
      <c r="A91" s="4">
        <f t="shared" ca="1" si="2"/>
        <v>88</v>
      </c>
      <c r="B91" s="4" t="s">
        <v>308</v>
      </c>
      <c r="C91" s="4" t="s">
        <v>85</v>
      </c>
      <c r="D91" s="4" t="s">
        <v>120</v>
      </c>
      <c r="E91" s="4" t="s">
        <v>66</v>
      </c>
      <c r="F91" s="4">
        <v>863.69900000000007</v>
      </c>
      <c r="G91" s="5">
        <v>89.770700000000005</v>
      </c>
      <c r="H91" s="5">
        <v>17.330000000000002</v>
      </c>
      <c r="I91" s="5">
        <v>503</v>
      </c>
      <c r="J91" s="4" t="s">
        <v>122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120</v>
      </c>
      <c r="E92" s="4" t="s">
        <v>66</v>
      </c>
      <c r="F92" s="4">
        <v>823.53300000000002</v>
      </c>
      <c r="G92" s="5">
        <v>83.146300000000011</v>
      </c>
      <c r="H92" s="5">
        <v>17.38</v>
      </c>
      <c r="I92" s="5">
        <v>678</v>
      </c>
      <c r="J92" s="4" t="s">
        <v>122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120</v>
      </c>
      <c r="E93" s="4" t="s">
        <v>66</v>
      </c>
      <c r="F93" s="4">
        <v>831.68</v>
      </c>
      <c r="G93" s="5">
        <v>83.456900000000005</v>
      </c>
      <c r="H93" s="5">
        <v>17.36</v>
      </c>
      <c r="I93" s="5">
        <v>714</v>
      </c>
      <c r="J93" s="4" t="s">
        <v>122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120</v>
      </c>
      <c r="E94" s="4" t="s">
        <v>66</v>
      </c>
      <c r="F94" s="4">
        <v>1000</v>
      </c>
      <c r="G94" s="5">
        <v>103.52850000000001</v>
      </c>
      <c r="H94" s="5">
        <v>12.48</v>
      </c>
      <c r="I94" s="5">
        <v>627</v>
      </c>
      <c r="J94" s="4" t="s">
        <v>122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120</v>
      </c>
      <c r="E95" s="4" t="s">
        <v>66</v>
      </c>
      <c r="F95" s="4">
        <v>1000</v>
      </c>
      <c r="G95" s="5">
        <v>111.98310000000001</v>
      </c>
      <c r="H95" s="5">
        <v>11.85</v>
      </c>
      <c r="I95" s="5">
        <v>18</v>
      </c>
      <c r="J95" s="4" t="s">
        <v>122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120</v>
      </c>
      <c r="E96" s="4" t="s">
        <v>66</v>
      </c>
      <c r="F96" s="4">
        <v>1000</v>
      </c>
      <c r="G96" s="5">
        <v>109.00760000000001</v>
      </c>
      <c r="H96" s="5">
        <v>12.62</v>
      </c>
      <c r="I96" s="5">
        <v>1568</v>
      </c>
      <c r="J96" s="4" t="s">
        <v>122</v>
      </c>
    </row>
    <row r="97" spans="1:10" x14ac:dyDescent="0.25">
      <c r="A97" s="4">
        <f t="shared" ca="1" si="2"/>
        <v>94</v>
      </c>
      <c r="B97" s="4" t="s">
        <v>319</v>
      </c>
      <c r="C97" s="4" t="s">
        <v>112</v>
      </c>
      <c r="D97" s="4" t="s">
        <v>120</v>
      </c>
      <c r="E97" s="4" t="s">
        <v>66</v>
      </c>
      <c r="F97" s="4">
        <v>612.65600000000006</v>
      </c>
      <c r="G97" s="5">
        <v>65.255800000000008</v>
      </c>
      <c r="H97" s="5">
        <v>16.96</v>
      </c>
      <c r="I97" s="5">
        <v>3106</v>
      </c>
      <c r="J97" s="4" t="s">
        <v>122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120</v>
      </c>
      <c r="E98" s="4" t="s">
        <v>66</v>
      </c>
      <c r="F98" s="4">
        <v>869.04900000000009</v>
      </c>
      <c r="G98" s="5">
        <v>89.809899999999999</v>
      </c>
      <c r="H98" s="5">
        <v>17.36</v>
      </c>
      <c r="I98" s="5">
        <v>588</v>
      </c>
      <c r="J98" s="4" t="s">
        <v>122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120</v>
      </c>
      <c r="E99" s="4" t="s">
        <v>66</v>
      </c>
      <c r="F99" s="4">
        <v>537.01800000000003</v>
      </c>
      <c r="G99" s="5">
        <v>54.759</v>
      </c>
      <c r="H99" s="5">
        <v>16.89</v>
      </c>
      <c r="I99" s="5">
        <v>6896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120</v>
      </c>
      <c r="E100" s="4" t="s">
        <v>66</v>
      </c>
      <c r="F100" s="4">
        <v>1000</v>
      </c>
      <c r="G100" s="5">
        <v>101.3974</v>
      </c>
      <c r="H100" s="5">
        <v>12.49</v>
      </c>
      <c r="I100" s="5">
        <v>325</v>
      </c>
      <c r="J100" s="4" t="s">
        <v>122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120</v>
      </c>
      <c r="E101" s="4" t="s">
        <v>66</v>
      </c>
      <c r="F101" s="4">
        <v>1000</v>
      </c>
      <c r="G101" s="5">
        <v>104.61160000000001</v>
      </c>
      <c r="H101" s="5">
        <v>12.52</v>
      </c>
      <c r="I101" s="5">
        <v>1327</v>
      </c>
      <c r="J101" s="4" t="s">
        <v>122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120</v>
      </c>
      <c r="E102" s="4" t="s">
        <v>66</v>
      </c>
      <c r="F102" s="4">
        <v>1000</v>
      </c>
      <c r="G102" s="5">
        <v>105.58980000000001</v>
      </c>
      <c r="H102" s="5">
        <v>12.52</v>
      </c>
      <c r="I102" s="5">
        <v>1663</v>
      </c>
      <c r="J102" s="4" t="s">
        <v>122</v>
      </c>
    </row>
    <row r="103" spans="1:10" x14ac:dyDescent="0.25">
      <c r="A103" s="4">
        <f t="shared" ca="1" si="3"/>
        <v>100</v>
      </c>
      <c r="B103" s="4" t="s">
        <v>330</v>
      </c>
      <c r="C103" s="4" t="s">
        <v>331</v>
      </c>
      <c r="D103" s="4" t="s">
        <v>120</v>
      </c>
      <c r="E103" s="4" t="s">
        <v>66</v>
      </c>
      <c r="F103" s="4">
        <v>1000</v>
      </c>
      <c r="G103" s="5">
        <v>102.5154</v>
      </c>
      <c r="H103" s="5">
        <v>12.42</v>
      </c>
      <c r="I103" s="5">
        <v>292</v>
      </c>
      <c r="J103" s="4" t="s">
        <v>122</v>
      </c>
    </row>
    <row r="104" spans="1:10" x14ac:dyDescent="0.25">
      <c r="A104" s="4">
        <f t="shared" ca="1" si="3"/>
        <v>101</v>
      </c>
      <c r="B104" s="4" t="s">
        <v>332</v>
      </c>
      <c r="C104" s="4" t="s">
        <v>114</v>
      </c>
      <c r="D104" s="4" t="s">
        <v>120</v>
      </c>
      <c r="E104" s="4" t="s">
        <v>66</v>
      </c>
      <c r="F104" s="4">
        <v>598.63200000000006</v>
      </c>
      <c r="G104" s="5">
        <v>66.162300000000002</v>
      </c>
      <c r="H104" s="5">
        <v>16.95</v>
      </c>
      <c r="I104" s="5">
        <v>3368</v>
      </c>
      <c r="J104" s="4" t="s">
        <v>122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120</v>
      </c>
      <c r="E105" s="4" t="s">
        <v>66</v>
      </c>
      <c r="F105" s="4">
        <v>906.8180000000001</v>
      </c>
      <c r="G105" s="5">
        <v>96.781800000000004</v>
      </c>
      <c r="H105" s="5">
        <v>17.330000000000002</v>
      </c>
      <c r="I105" s="5">
        <v>482</v>
      </c>
      <c r="J105" s="4" t="s">
        <v>122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120</v>
      </c>
      <c r="E106" s="4" t="s">
        <v>66</v>
      </c>
      <c r="F106" s="4">
        <v>886.80700000000002</v>
      </c>
      <c r="G106" s="5">
        <v>91.855699999999999</v>
      </c>
      <c r="H106" s="5">
        <v>17.36</v>
      </c>
      <c r="I106" s="5">
        <v>601</v>
      </c>
      <c r="J106" s="4" t="s">
        <v>122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120</v>
      </c>
      <c r="E107" s="4" t="s">
        <v>66</v>
      </c>
      <c r="F107" s="4">
        <v>593.13800000000003</v>
      </c>
      <c r="G107" s="5">
        <v>61.669400000000003</v>
      </c>
      <c r="H107" s="5">
        <v>16.920000000000002</v>
      </c>
      <c r="I107" s="5">
        <v>3916</v>
      </c>
      <c r="J107" s="4" t="s">
        <v>122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120</v>
      </c>
      <c r="E108" s="4" t="s">
        <v>66</v>
      </c>
      <c r="F108" s="4">
        <v>661.45600000000002</v>
      </c>
      <c r="G108" s="5">
        <v>71.3416</v>
      </c>
      <c r="H108" s="5">
        <v>17</v>
      </c>
      <c r="I108" s="5">
        <v>2703</v>
      </c>
      <c r="J108" s="4" t="s">
        <v>122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120</v>
      </c>
      <c r="E109" s="4" t="s">
        <v>66</v>
      </c>
      <c r="F109" s="4">
        <v>652.221</v>
      </c>
      <c r="G109" s="5">
        <v>69.851600000000005</v>
      </c>
      <c r="H109" s="5">
        <v>16.990000000000002</v>
      </c>
      <c r="I109" s="5">
        <v>2722</v>
      </c>
      <c r="J109" s="4" t="s">
        <v>122</v>
      </c>
    </row>
    <row r="110" spans="1:10" x14ac:dyDescent="0.25">
      <c r="A110" s="4">
        <f t="shared" ca="1" si="3"/>
        <v>107</v>
      </c>
      <c r="B110" s="4" t="s">
        <v>343</v>
      </c>
      <c r="C110" s="4" t="s">
        <v>83</v>
      </c>
      <c r="D110" s="4" t="s">
        <v>120</v>
      </c>
      <c r="E110" s="4" t="s">
        <v>66</v>
      </c>
      <c r="F110" s="4">
        <v>677.78899999999999</v>
      </c>
      <c r="G110" s="5">
        <v>72.5672</v>
      </c>
      <c r="H110" s="5">
        <v>17.03</v>
      </c>
      <c r="I110" s="5">
        <v>2350</v>
      </c>
      <c r="J110" s="4" t="s">
        <v>122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120</v>
      </c>
      <c r="E111" s="4" t="s">
        <v>66</v>
      </c>
      <c r="F111" s="4">
        <v>705.40899999999999</v>
      </c>
      <c r="G111" s="5">
        <v>74.760900000000007</v>
      </c>
      <c r="H111" s="5">
        <v>17.059999999999999</v>
      </c>
      <c r="I111" s="5">
        <v>2008</v>
      </c>
      <c r="J111" s="4" t="s">
        <v>122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120</v>
      </c>
      <c r="E112" s="4" t="s">
        <v>66</v>
      </c>
      <c r="F112" s="4">
        <v>596.06299999999999</v>
      </c>
      <c r="G112" s="5">
        <v>66.107100000000003</v>
      </c>
      <c r="H112" s="5">
        <v>16.940000000000001</v>
      </c>
      <c r="I112" s="5">
        <v>4112</v>
      </c>
      <c r="J112" s="4" t="s">
        <v>122</v>
      </c>
    </row>
    <row r="113" spans="1:10" x14ac:dyDescent="0.25">
      <c r="A113" s="4">
        <f t="shared" ca="1" si="3"/>
        <v>110</v>
      </c>
      <c r="B113" s="4" t="s">
        <v>348</v>
      </c>
      <c r="C113" s="4" t="s">
        <v>349</v>
      </c>
      <c r="D113" s="4" t="s">
        <v>120</v>
      </c>
      <c r="E113" s="4" t="s">
        <v>66</v>
      </c>
      <c r="F113" s="4">
        <v>1000</v>
      </c>
      <c r="G113" s="5">
        <v>105.6597</v>
      </c>
      <c r="H113" s="5">
        <v>12.22</v>
      </c>
      <c r="I113" s="5">
        <v>200</v>
      </c>
      <c r="J113" s="4" t="s">
        <v>122</v>
      </c>
    </row>
    <row r="114" spans="1:10" x14ac:dyDescent="0.25">
      <c r="A114" s="4">
        <f t="shared" ca="1" si="3"/>
        <v>111</v>
      </c>
      <c r="B114" s="4" t="s">
        <v>350</v>
      </c>
      <c r="C114" s="4" t="s">
        <v>102</v>
      </c>
      <c r="D114" s="4" t="s">
        <v>120</v>
      </c>
      <c r="E114" s="4" t="s">
        <v>66</v>
      </c>
      <c r="F114" s="4">
        <v>750.21699999999998</v>
      </c>
      <c r="G114" s="5">
        <v>76.877700000000004</v>
      </c>
      <c r="H114" s="5">
        <v>17.2</v>
      </c>
      <c r="I114" s="5">
        <v>1373</v>
      </c>
      <c r="J114" s="4" t="s">
        <v>122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120</v>
      </c>
      <c r="E115" s="4" t="s">
        <v>66</v>
      </c>
      <c r="F115" s="4">
        <v>728.53399999999999</v>
      </c>
      <c r="G115" s="5">
        <v>78.741399999999999</v>
      </c>
      <c r="H115" s="5">
        <v>17.18</v>
      </c>
      <c r="I115" s="5">
        <v>1548</v>
      </c>
      <c r="J115" s="4" t="s">
        <v>122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120</v>
      </c>
      <c r="E116" s="4" t="s">
        <v>66</v>
      </c>
      <c r="F116" s="4">
        <v>535.51100000000008</v>
      </c>
      <c r="G116" s="5">
        <v>60.573300000000003</v>
      </c>
      <c r="H116" s="5">
        <v>16.899999999999999</v>
      </c>
      <c r="I116" s="5">
        <v>4789</v>
      </c>
      <c r="J116" s="4" t="s">
        <v>122</v>
      </c>
    </row>
    <row r="117" spans="1:10" x14ac:dyDescent="0.25">
      <c r="A117" s="4">
        <f t="shared" ca="1" si="3"/>
        <v>114</v>
      </c>
      <c r="B117" s="4" t="s">
        <v>355</v>
      </c>
      <c r="C117" s="4" t="s">
        <v>356</v>
      </c>
      <c r="D117" s="4" t="s">
        <v>120</v>
      </c>
      <c r="E117" s="4" t="s">
        <v>66</v>
      </c>
      <c r="F117" s="4">
        <v>995.827</v>
      </c>
      <c r="G117" s="5">
        <v>104.9649</v>
      </c>
      <c r="H117" s="5">
        <v>16.78</v>
      </c>
      <c r="I117" s="5">
        <v>15</v>
      </c>
      <c r="J117" s="4" t="s">
        <v>122</v>
      </c>
    </row>
    <row r="118" spans="1:10" x14ac:dyDescent="0.25">
      <c r="A118" s="4">
        <f t="shared" ca="1" si="3"/>
        <v>115</v>
      </c>
      <c r="B118" s="4" t="s">
        <v>357</v>
      </c>
      <c r="C118" s="4" t="s">
        <v>71</v>
      </c>
      <c r="D118" s="4" t="s">
        <v>120</v>
      </c>
      <c r="E118" s="4" t="s">
        <v>66</v>
      </c>
      <c r="F118" s="4">
        <v>920.18799999999999</v>
      </c>
      <c r="G118" s="5">
        <v>93.271600000000007</v>
      </c>
      <c r="H118" s="5">
        <v>17.3</v>
      </c>
      <c r="I118" s="5">
        <v>282</v>
      </c>
      <c r="J118" s="4" t="s">
        <v>122</v>
      </c>
    </row>
    <row r="119" spans="1:10" x14ac:dyDescent="0.25">
      <c r="A119" s="4">
        <f t="shared" ca="1" si="3"/>
        <v>116</v>
      </c>
      <c r="B119" s="4" t="s">
        <v>358</v>
      </c>
      <c r="C119" s="4" t="s">
        <v>95</v>
      </c>
      <c r="D119" s="4" t="s">
        <v>120</v>
      </c>
      <c r="E119" s="4" t="s">
        <v>66</v>
      </c>
      <c r="F119" s="4">
        <v>814.18100000000004</v>
      </c>
      <c r="G119" s="5">
        <v>81.7273</v>
      </c>
      <c r="H119" s="5">
        <v>17.36</v>
      </c>
      <c r="I119" s="5">
        <v>709</v>
      </c>
      <c r="J119" s="4" t="s">
        <v>122</v>
      </c>
    </row>
    <row r="120" spans="1:10" x14ac:dyDescent="0.25">
      <c r="A120" s="4">
        <f t="shared" ca="1" si="3"/>
        <v>117</v>
      </c>
      <c r="B120" s="4" t="s">
        <v>359</v>
      </c>
      <c r="C120" s="4" t="s">
        <v>360</v>
      </c>
      <c r="D120" s="4" t="s">
        <v>120</v>
      </c>
      <c r="E120" s="4" t="s">
        <v>66</v>
      </c>
      <c r="F120" s="4">
        <v>749.49800000000005</v>
      </c>
      <c r="G120" s="5">
        <v>75.713700000000003</v>
      </c>
      <c r="H120" s="5">
        <v>17.3</v>
      </c>
      <c r="I120" s="5">
        <v>1046</v>
      </c>
      <c r="J120" s="4" t="s">
        <v>122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120</v>
      </c>
      <c r="E121" s="4" t="s">
        <v>66</v>
      </c>
      <c r="F121" s="4">
        <v>552.399</v>
      </c>
      <c r="G121" s="5">
        <v>57.6753</v>
      </c>
      <c r="H121" s="5">
        <v>16.899999999999999</v>
      </c>
      <c r="I121" s="5">
        <v>5006</v>
      </c>
      <c r="J121" s="4" t="s">
        <v>122</v>
      </c>
    </row>
    <row r="122" spans="1:10" x14ac:dyDescent="0.25">
      <c r="A122" s="4">
        <f t="shared" ca="1" si="3"/>
        <v>119</v>
      </c>
      <c r="B122" s="4" t="s">
        <v>363</v>
      </c>
      <c r="C122" s="4" t="s">
        <v>364</v>
      </c>
      <c r="D122" s="4" t="s">
        <v>120</v>
      </c>
      <c r="E122" s="4" t="s">
        <v>66</v>
      </c>
      <c r="F122" s="4">
        <v>547.83699999999999</v>
      </c>
      <c r="G122" s="5">
        <v>60.6892</v>
      </c>
      <c r="H122" s="5">
        <v>16.91</v>
      </c>
      <c r="I122" s="5">
        <v>5222</v>
      </c>
      <c r="J122" s="4" t="s">
        <v>122</v>
      </c>
    </row>
    <row r="123" spans="1:10" x14ac:dyDescent="0.25">
      <c r="A123" s="4">
        <f t="shared" ca="1" si="3"/>
        <v>120</v>
      </c>
      <c r="B123" s="4" t="s">
        <v>365</v>
      </c>
      <c r="C123" s="4" t="s">
        <v>79</v>
      </c>
      <c r="D123" s="4" t="s">
        <v>120</v>
      </c>
      <c r="E123" s="4" t="s">
        <v>66</v>
      </c>
      <c r="F123" s="4">
        <v>847.16399999999999</v>
      </c>
      <c r="G123" s="5">
        <v>91.438600000000008</v>
      </c>
      <c r="H123" s="5">
        <v>17.240000000000002</v>
      </c>
      <c r="I123" s="5">
        <v>1238</v>
      </c>
      <c r="J123" s="4" t="s">
        <v>122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120</v>
      </c>
      <c r="E124" s="4" t="s">
        <v>66</v>
      </c>
      <c r="F124" s="4">
        <v>952.24700000000007</v>
      </c>
      <c r="G124" s="5">
        <v>98.435000000000002</v>
      </c>
      <c r="H124" s="5">
        <v>17.23</v>
      </c>
      <c r="I124" s="5">
        <v>236</v>
      </c>
      <c r="J124" s="4" t="s">
        <v>122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120</v>
      </c>
      <c r="E125" s="4" t="s">
        <v>66</v>
      </c>
      <c r="F125" s="4">
        <v>1000</v>
      </c>
      <c r="G125" s="5">
        <v>111.50590000000001</v>
      </c>
      <c r="H125" s="5">
        <v>12.64</v>
      </c>
      <c r="I125" s="5">
        <v>1130</v>
      </c>
      <c r="J125" s="4" t="s">
        <v>122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120</v>
      </c>
      <c r="E126" s="4" t="s">
        <v>66</v>
      </c>
      <c r="F126" s="4">
        <v>1000</v>
      </c>
      <c r="G126" s="5">
        <v>107.7209</v>
      </c>
      <c r="H126" s="5">
        <v>12.1</v>
      </c>
      <c r="I126" s="5">
        <v>140</v>
      </c>
      <c r="J126" s="4" t="s">
        <v>122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120</v>
      </c>
      <c r="E127" s="4" t="s">
        <v>66</v>
      </c>
      <c r="F127" s="4">
        <v>1000</v>
      </c>
      <c r="G127" s="5">
        <v>108.8039</v>
      </c>
      <c r="H127" s="5">
        <v>12.52</v>
      </c>
      <c r="I127" s="5">
        <v>1207</v>
      </c>
      <c r="J127" s="4" t="s">
        <v>122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120</v>
      </c>
      <c r="E128" s="4" t="s">
        <v>66</v>
      </c>
      <c r="F128" s="4">
        <v>851.29499999999996</v>
      </c>
      <c r="G128" s="5">
        <v>85.507600000000011</v>
      </c>
      <c r="H128" s="5">
        <v>17.28</v>
      </c>
      <c r="I128" s="5">
        <v>1083</v>
      </c>
      <c r="J128" s="4" t="s">
        <v>122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120</v>
      </c>
      <c r="E129" s="4" t="s">
        <v>66</v>
      </c>
      <c r="F129" s="4">
        <v>1000</v>
      </c>
      <c r="G129" s="5">
        <v>108.90870000000001</v>
      </c>
      <c r="H129" s="5">
        <v>12.5</v>
      </c>
      <c r="I129" s="5">
        <v>838</v>
      </c>
      <c r="J129" s="4" t="s">
        <v>122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120</v>
      </c>
      <c r="E130" s="4" t="s">
        <v>66</v>
      </c>
      <c r="F130" s="4">
        <v>567.64700000000005</v>
      </c>
      <c r="G130" s="5">
        <v>59.759100000000004</v>
      </c>
      <c r="H130" s="5">
        <v>17.010000000000002</v>
      </c>
      <c r="I130" s="5">
        <v>2358</v>
      </c>
      <c r="J130" s="4" t="s">
        <v>122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120</v>
      </c>
      <c r="E131" s="4" t="s">
        <v>66</v>
      </c>
      <c r="F131" s="4">
        <v>773.63700000000006</v>
      </c>
      <c r="G131" s="5">
        <v>83.981999999999999</v>
      </c>
      <c r="H131" s="5">
        <v>17.27</v>
      </c>
      <c r="I131" s="5">
        <v>1127</v>
      </c>
      <c r="J131" s="4" t="s">
        <v>122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383</v>
      </c>
      <c r="D132" s="4" t="s">
        <v>120</v>
      </c>
      <c r="E132" s="4" t="s">
        <v>66</v>
      </c>
      <c r="F132" s="4">
        <v>769.41899999999998</v>
      </c>
      <c r="G132" s="5">
        <v>79.747500000000002</v>
      </c>
      <c r="H132" s="5">
        <v>17.330000000000002</v>
      </c>
      <c r="I132" s="5">
        <v>891</v>
      </c>
      <c r="J132" s="4" t="s">
        <v>122</v>
      </c>
    </row>
    <row r="133" spans="1:10" x14ac:dyDescent="0.25">
      <c r="A133" s="4">
        <f t="shared" ca="1" si="4"/>
        <v>130</v>
      </c>
      <c r="B133" s="4" t="s">
        <v>384</v>
      </c>
      <c r="C133" s="4" t="s">
        <v>89</v>
      </c>
      <c r="D133" s="4" t="s">
        <v>120</v>
      </c>
      <c r="E133" s="4" t="s">
        <v>66</v>
      </c>
      <c r="F133" s="4">
        <v>754.32800000000009</v>
      </c>
      <c r="G133" s="5">
        <v>78.509500000000003</v>
      </c>
      <c r="H133" s="5">
        <v>17.02</v>
      </c>
      <c r="I133" s="5">
        <v>2451</v>
      </c>
      <c r="J133" s="4" t="s">
        <v>122</v>
      </c>
    </row>
    <row r="134" spans="1:10" x14ac:dyDescent="0.25">
      <c r="A134" s="4">
        <f t="shared" ca="1" si="4"/>
        <v>131</v>
      </c>
      <c r="B134" s="4" t="s">
        <v>385</v>
      </c>
      <c r="C134" s="4" t="s">
        <v>110</v>
      </c>
      <c r="D134" s="4" t="s">
        <v>120</v>
      </c>
      <c r="E134" s="4" t="s">
        <v>66</v>
      </c>
      <c r="F134" s="4">
        <v>826.11599999999999</v>
      </c>
      <c r="G134" s="5">
        <v>85.600800000000007</v>
      </c>
      <c r="H134" s="5">
        <v>17.2</v>
      </c>
      <c r="I134" s="5">
        <v>1357</v>
      </c>
      <c r="J134" s="4" t="s">
        <v>122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120</v>
      </c>
      <c r="E135" s="4" t="s">
        <v>66</v>
      </c>
      <c r="F135" s="4">
        <v>1000</v>
      </c>
      <c r="G135" s="5">
        <v>101.4324</v>
      </c>
      <c r="H135" s="5">
        <v>12.56</v>
      </c>
      <c r="I135" s="5">
        <v>1785</v>
      </c>
      <c r="J135" s="4" t="s">
        <v>122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120</v>
      </c>
      <c r="E136" s="4" t="s">
        <v>66</v>
      </c>
      <c r="F136" s="4">
        <v>1000</v>
      </c>
      <c r="G136" s="5">
        <v>110.86510000000001</v>
      </c>
      <c r="H136" s="5">
        <v>12.56</v>
      </c>
      <c r="I136" s="5">
        <v>2241</v>
      </c>
      <c r="J136" s="4" t="s">
        <v>122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120</v>
      </c>
      <c r="E137" s="4" t="s">
        <v>66</v>
      </c>
      <c r="F137" s="4">
        <v>1000</v>
      </c>
      <c r="G137" s="5">
        <v>101.50230000000001</v>
      </c>
      <c r="H137" s="5">
        <v>12.56</v>
      </c>
      <c r="I137" s="5">
        <v>2148</v>
      </c>
      <c r="J137" s="4" t="s">
        <v>122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120</v>
      </c>
      <c r="E138" s="4" t="s">
        <v>66</v>
      </c>
      <c r="F138" s="4">
        <v>911.31200000000001</v>
      </c>
      <c r="G138" s="5">
        <v>96.071200000000005</v>
      </c>
      <c r="H138" s="5">
        <v>17.34</v>
      </c>
      <c r="I138" s="5">
        <v>556</v>
      </c>
      <c r="J138" s="4" t="s">
        <v>122</v>
      </c>
    </row>
    <row r="139" spans="1:10" x14ac:dyDescent="0.25">
      <c r="A139" s="4">
        <f t="shared" ca="1" si="4"/>
        <v>136</v>
      </c>
      <c r="B139" s="4" t="s">
        <v>394</v>
      </c>
      <c r="C139" s="4" t="s">
        <v>395</v>
      </c>
      <c r="D139" s="4" t="s">
        <v>120</v>
      </c>
      <c r="E139" s="4" t="s">
        <v>66</v>
      </c>
      <c r="F139" s="4">
        <v>710.91700000000003</v>
      </c>
      <c r="G139" s="5">
        <v>79.747500000000002</v>
      </c>
      <c r="H139" s="5">
        <v>16.940000000000001</v>
      </c>
      <c r="I139" s="5">
        <v>4098</v>
      </c>
      <c r="J139" s="4" t="s">
        <v>122</v>
      </c>
    </row>
    <row r="140" spans="1:10" x14ac:dyDescent="0.25">
      <c r="A140" s="4">
        <f t="shared" ca="1" si="4"/>
        <v>137</v>
      </c>
      <c r="B140" s="4" t="s">
        <v>396</v>
      </c>
      <c r="C140" s="4" t="s">
        <v>87</v>
      </c>
      <c r="D140" s="4" t="s">
        <v>120</v>
      </c>
      <c r="E140" s="4" t="s">
        <v>66</v>
      </c>
      <c r="F140" s="4">
        <v>988.68299999999999</v>
      </c>
      <c r="G140" s="5">
        <v>102.0989</v>
      </c>
      <c r="H140" s="5">
        <v>16.46</v>
      </c>
      <c r="I140" s="5">
        <v>73</v>
      </c>
      <c r="J140" s="4" t="s">
        <v>122</v>
      </c>
    </row>
    <row r="141" spans="1:10" x14ac:dyDescent="0.25">
      <c r="A141" s="4">
        <f t="shared" ca="1" si="4"/>
        <v>138</v>
      </c>
      <c r="B141" s="4" t="s">
        <v>397</v>
      </c>
      <c r="C141" s="4" t="s">
        <v>73</v>
      </c>
      <c r="D141" s="4" t="s">
        <v>120</v>
      </c>
      <c r="E141" s="4" t="s">
        <v>66</v>
      </c>
      <c r="F141" s="4">
        <v>822.33</v>
      </c>
      <c r="G141" s="5">
        <v>90.666300000000007</v>
      </c>
      <c r="H141" s="5">
        <v>17.190000000000001</v>
      </c>
      <c r="I141" s="5">
        <v>1548</v>
      </c>
      <c r="J141" s="4" t="s">
        <v>122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120</v>
      </c>
      <c r="E142" s="4" t="s">
        <v>66</v>
      </c>
      <c r="F142" s="4">
        <v>702.25400000000002</v>
      </c>
      <c r="G142" s="5">
        <v>72.47120000000001</v>
      </c>
      <c r="H142" s="5">
        <v>16.940000000000001</v>
      </c>
      <c r="I142" s="5">
        <v>3942</v>
      </c>
      <c r="J142" s="4" t="s">
        <v>122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120</v>
      </c>
      <c r="E143" s="4" t="s">
        <v>66</v>
      </c>
      <c r="F143" s="4">
        <v>704.47900000000004</v>
      </c>
      <c r="G143" s="5">
        <v>77.841099999999997</v>
      </c>
      <c r="H143" s="5">
        <v>16.990000000000002</v>
      </c>
      <c r="I143" s="5">
        <v>3022</v>
      </c>
      <c r="J143" s="4" t="s">
        <v>122</v>
      </c>
    </row>
    <row r="144" spans="1:10" x14ac:dyDescent="0.25">
      <c r="A144" s="4">
        <f t="shared" ca="1" si="4"/>
        <v>141</v>
      </c>
      <c r="B144" s="4" t="s">
        <v>402</v>
      </c>
      <c r="C144" s="4" t="s">
        <v>72</v>
      </c>
      <c r="D144" s="4" t="s">
        <v>120</v>
      </c>
      <c r="E144" s="4" t="s">
        <v>66</v>
      </c>
      <c r="F144" s="4">
        <v>869.64300000000003</v>
      </c>
      <c r="G144" s="5">
        <v>92.973200000000006</v>
      </c>
      <c r="H144" s="5">
        <v>17.330000000000002</v>
      </c>
      <c r="I144" s="5">
        <v>885</v>
      </c>
      <c r="J144" s="4" t="s">
        <v>122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120</v>
      </c>
      <c r="E145" s="4" t="s">
        <v>66</v>
      </c>
      <c r="F145" s="4">
        <v>958.85800000000006</v>
      </c>
      <c r="G145" s="5">
        <v>98.6858</v>
      </c>
      <c r="H145" s="5">
        <v>16.61</v>
      </c>
      <c r="I145" s="5">
        <v>268</v>
      </c>
      <c r="J145" s="4" t="s">
        <v>122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120</v>
      </c>
      <c r="E146" s="4" t="s">
        <v>66</v>
      </c>
      <c r="F146" s="4">
        <v>694.65800000000002</v>
      </c>
      <c r="G146" s="5">
        <v>76.29910000000001</v>
      </c>
      <c r="H146" s="5">
        <v>16.95</v>
      </c>
      <c r="I146" s="5">
        <v>3408</v>
      </c>
      <c r="J146" s="4" t="s">
        <v>122</v>
      </c>
    </row>
    <row r="147" spans="1:10" x14ac:dyDescent="0.25">
      <c r="A147" s="4">
        <f t="shared" ca="1" si="4"/>
        <v>144</v>
      </c>
      <c r="B147" s="4" t="s">
        <v>407</v>
      </c>
      <c r="C147" s="4" t="s">
        <v>67</v>
      </c>
      <c r="D147" s="4" t="s">
        <v>120</v>
      </c>
      <c r="E147" s="4" t="s">
        <v>66</v>
      </c>
      <c r="F147" s="4">
        <v>772.00100000000009</v>
      </c>
      <c r="G147" s="5">
        <v>83.866500000000002</v>
      </c>
      <c r="H147" s="5">
        <v>17.080000000000002</v>
      </c>
      <c r="I147" s="5">
        <v>1954</v>
      </c>
      <c r="J147" s="4" t="s">
        <v>122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120</v>
      </c>
      <c r="E148" s="4" t="s">
        <v>66</v>
      </c>
      <c r="F148" s="4">
        <v>736.99400000000003</v>
      </c>
      <c r="G148" s="5">
        <v>75.985900000000001</v>
      </c>
      <c r="H148" s="5">
        <v>16.990000000000002</v>
      </c>
      <c r="I148" s="5">
        <v>2844</v>
      </c>
      <c r="J148" s="4" t="s">
        <v>122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120</v>
      </c>
      <c r="E149" s="4" t="s">
        <v>66</v>
      </c>
      <c r="F149" s="4">
        <v>978.43299999999999</v>
      </c>
      <c r="G149" s="5">
        <v>99.928300000000007</v>
      </c>
      <c r="H149" s="5">
        <v>16.649999999999999</v>
      </c>
      <c r="I149" s="5">
        <v>311</v>
      </c>
      <c r="J149" s="4" t="s">
        <v>122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120</v>
      </c>
      <c r="E150" s="4" t="s">
        <v>66</v>
      </c>
      <c r="F150" s="4">
        <v>977.98300000000006</v>
      </c>
      <c r="G150" s="5">
        <v>105.13220000000001</v>
      </c>
      <c r="H150" s="5">
        <v>16.670000000000002</v>
      </c>
      <c r="I150" s="5">
        <v>739</v>
      </c>
      <c r="J150" s="4" t="s">
        <v>122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120</v>
      </c>
      <c r="E151" s="4" t="s">
        <v>66</v>
      </c>
      <c r="F151" s="4">
        <v>882.82100000000003</v>
      </c>
      <c r="G151" s="5">
        <v>94.932100000000005</v>
      </c>
      <c r="H151" s="5">
        <v>17.04</v>
      </c>
      <c r="I151" s="5">
        <v>2383</v>
      </c>
      <c r="J151" s="4" t="s">
        <v>122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120</v>
      </c>
      <c r="E152" s="4" t="s">
        <v>66</v>
      </c>
      <c r="F152" s="4">
        <v>951.37300000000005</v>
      </c>
      <c r="G152" s="5">
        <v>105.6348</v>
      </c>
      <c r="H152" s="5">
        <v>17.240000000000002</v>
      </c>
      <c r="I152" s="5">
        <v>1210</v>
      </c>
      <c r="J152" s="4" t="s">
        <v>122</v>
      </c>
    </row>
    <row r="153" spans="1:10" x14ac:dyDescent="0.25">
      <c r="A153" s="4">
        <f t="shared" ca="1" si="4"/>
        <v>150</v>
      </c>
      <c r="B153" s="4" t="s">
        <v>418</v>
      </c>
      <c r="C153" s="4" t="s">
        <v>419</v>
      </c>
      <c r="D153" s="4" t="s">
        <v>120</v>
      </c>
      <c r="E153" s="4" t="s">
        <v>66</v>
      </c>
      <c r="F153" s="4">
        <v>1000</v>
      </c>
      <c r="G153" s="5">
        <v>102.93870000000001</v>
      </c>
      <c r="H153" s="5">
        <v>17.240000000000002</v>
      </c>
      <c r="I153" s="5">
        <v>304</v>
      </c>
      <c r="J153" s="4" t="s">
        <v>122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120</v>
      </c>
      <c r="E154" s="4" t="s">
        <v>66</v>
      </c>
      <c r="F154" s="4">
        <v>892.61200000000008</v>
      </c>
      <c r="G154" s="5">
        <v>96.183400000000006</v>
      </c>
      <c r="H154" s="5">
        <v>17.080000000000002</v>
      </c>
      <c r="I154" s="5">
        <v>2010</v>
      </c>
      <c r="J154" s="4" t="s">
        <v>122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120</v>
      </c>
      <c r="E155" s="4" t="s">
        <v>66</v>
      </c>
      <c r="F155" s="4">
        <v>983.62700000000007</v>
      </c>
      <c r="G155" s="5">
        <v>103.55710000000001</v>
      </c>
      <c r="H155" s="5">
        <v>16.54</v>
      </c>
      <c r="I155" s="5">
        <v>227</v>
      </c>
      <c r="J155" s="4" t="s">
        <v>122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120</v>
      </c>
      <c r="E156" s="4" t="s">
        <v>66</v>
      </c>
      <c r="F156" s="4">
        <v>892.42900000000009</v>
      </c>
      <c r="G156" s="5">
        <v>95.464399999999998</v>
      </c>
      <c r="H156" s="5">
        <v>17.010000000000002</v>
      </c>
      <c r="I156" s="5">
        <v>2765</v>
      </c>
      <c r="J156" s="4" t="s">
        <v>122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120</v>
      </c>
      <c r="E157" s="4" t="s">
        <v>66</v>
      </c>
      <c r="F157" s="4">
        <v>828.95699999999999</v>
      </c>
      <c r="G157" s="5">
        <v>91.495699999999999</v>
      </c>
      <c r="H157" s="5">
        <v>17.11</v>
      </c>
      <c r="I157" s="5">
        <v>1931</v>
      </c>
      <c r="J157" s="4" t="s">
        <v>122</v>
      </c>
    </row>
    <row r="158" spans="1:10" x14ac:dyDescent="0.25">
      <c r="A158" s="4">
        <f t="shared" ca="1" si="4"/>
        <v>155</v>
      </c>
      <c r="B158" s="4" t="s">
        <v>428</v>
      </c>
      <c r="C158" s="4" t="s">
        <v>105</v>
      </c>
      <c r="D158" s="4" t="s">
        <v>120</v>
      </c>
      <c r="E158" s="4" t="s">
        <v>66</v>
      </c>
      <c r="F158" s="4">
        <v>1011.9</v>
      </c>
      <c r="G158" s="5">
        <v>105.5843</v>
      </c>
      <c r="H158" s="5">
        <v>16.54</v>
      </c>
      <c r="I158" s="5">
        <v>1367</v>
      </c>
      <c r="J158" s="4" t="s">
        <v>122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120</v>
      </c>
      <c r="E159" s="4" t="s">
        <v>66</v>
      </c>
      <c r="F159" s="4">
        <v>890.827</v>
      </c>
      <c r="G159" s="5">
        <v>98.910499999999999</v>
      </c>
      <c r="H159" s="5">
        <v>16.990000000000002</v>
      </c>
      <c r="I159" s="5">
        <v>3039</v>
      </c>
      <c r="J159" s="4" t="s">
        <v>122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120</v>
      </c>
      <c r="E160" s="4" t="s">
        <v>66</v>
      </c>
      <c r="F160" s="4">
        <v>906.97400000000005</v>
      </c>
      <c r="G160" s="5">
        <v>100.593</v>
      </c>
      <c r="H160" s="5">
        <v>17.05</v>
      </c>
      <c r="I160" s="5">
        <v>2309</v>
      </c>
      <c r="J160" s="4" t="s">
        <v>122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120</v>
      </c>
      <c r="E161" s="4" t="s">
        <v>66</v>
      </c>
      <c r="F161" s="4">
        <v>853.78500000000008</v>
      </c>
      <c r="G161" s="5">
        <v>91.958500000000001</v>
      </c>
      <c r="H161" s="5">
        <v>16.93</v>
      </c>
      <c r="I161" s="5">
        <v>4577</v>
      </c>
      <c r="J161" s="4" t="s">
        <v>122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120</v>
      </c>
      <c r="E162" s="4" t="s">
        <v>66</v>
      </c>
      <c r="F162" s="4">
        <v>1000</v>
      </c>
      <c r="G162" s="5">
        <v>109.2076</v>
      </c>
      <c r="H162" s="5">
        <v>15</v>
      </c>
      <c r="I162" s="5">
        <v>1968</v>
      </c>
      <c r="J162" s="4" t="s">
        <v>122</v>
      </c>
    </row>
    <row r="163" spans="1:10" x14ac:dyDescent="0.25">
      <c r="A163" s="4">
        <f t="shared" ca="1" si="4"/>
        <v>160</v>
      </c>
      <c r="B163" s="4" t="s">
        <v>437</v>
      </c>
      <c r="C163" s="4" t="s">
        <v>99</v>
      </c>
      <c r="D163" s="4" t="s">
        <v>120</v>
      </c>
      <c r="E163" s="4" t="s">
        <v>66</v>
      </c>
      <c r="F163" s="4">
        <v>849.11500000000001</v>
      </c>
      <c r="G163" s="5">
        <v>93.011499999999998</v>
      </c>
      <c r="H163" s="5">
        <v>17.150000000000002</v>
      </c>
      <c r="I163" s="5">
        <v>1579</v>
      </c>
      <c r="J163" s="4" t="s">
        <v>122</v>
      </c>
    </row>
    <row r="164" spans="1:10" x14ac:dyDescent="0.25">
      <c r="A164" s="4">
        <f t="shared" ref="A164:A187" ca="1" si="5">IF(OFFSET(A164,-1,0)="№ п/п",1,OFFSET(A164,-1,0)+1)</f>
        <v>161</v>
      </c>
      <c r="B164" s="4" t="s">
        <v>438</v>
      </c>
      <c r="C164" s="4" t="s">
        <v>439</v>
      </c>
      <c r="D164" s="4" t="s">
        <v>120</v>
      </c>
      <c r="E164" s="4" t="s">
        <v>66</v>
      </c>
      <c r="F164" s="4">
        <v>92.197100000000006</v>
      </c>
      <c r="G164" s="5">
        <v>92.197100000000006</v>
      </c>
      <c r="H164" s="5">
        <v>16.61</v>
      </c>
      <c r="I164" s="5">
        <v>187</v>
      </c>
      <c r="J164" s="4" t="s">
        <v>122</v>
      </c>
    </row>
    <row r="165" spans="1:10" x14ac:dyDescent="0.25">
      <c r="A165" s="4">
        <f t="shared" ca="1" si="5"/>
        <v>162</v>
      </c>
      <c r="B165" s="4" t="s">
        <v>440</v>
      </c>
      <c r="C165" s="4" t="s">
        <v>116</v>
      </c>
      <c r="D165" s="4" t="s">
        <v>120</v>
      </c>
      <c r="E165" s="4" t="s">
        <v>66</v>
      </c>
      <c r="F165" s="4">
        <v>96.253</v>
      </c>
      <c r="G165" s="5">
        <v>96.253</v>
      </c>
      <c r="H165" s="5">
        <v>16.149999999999999</v>
      </c>
      <c r="I165" s="5">
        <v>89</v>
      </c>
      <c r="J165" s="4" t="s">
        <v>122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120</v>
      </c>
      <c r="E166" s="4" t="s">
        <v>66</v>
      </c>
      <c r="F166" s="4">
        <v>863.19</v>
      </c>
      <c r="G166" s="5">
        <v>96.702300000000008</v>
      </c>
      <c r="H166" s="5">
        <v>16.990000000000002</v>
      </c>
      <c r="I166" s="5">
        <v>3383</v>
      </c>
      <c r="J166" s="4" t="s">
        <v>122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120</v>
      </c>
      <c r="E167" s="4" t="s">
        <v>66</v>
      </c>
      <c r="F167" s="4">
        <v>0.98624999999999996</v>
      </c>
      <c r="G167" s="5">
        <v>99.030900000000003</v>
      </c>
      <c r="H167" s="5">
        <v>4.9000000000000004</v>
      </c>
      <c r="I167" s="5">
        <v>3438</v>
      </c>
      <c r="J167" s="4" t="s">
        <v>122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120</v>
      </c>
      <c r="E168" s="4" t="s">
        <v>66</v>
      </c>
      <c r="F168" s="4">
        <v>1015.7470000000001</v>
      </c>
      <c r="G168" s="5">
        <v>103.0343</v>
      </c>
      <c r="H168" s="5">
        <v>16.46</v>
      </c>
      <c r="I168" s="5">
        <v>1795</v>
      </c>
      <c r="J168" s="4" t="s">
        <v>122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125</v>
      </c>
      <c r="E169" s="4" t="s">
        <v>449</v>
      </c>
      <c r="F169" s="4">
        <v>342.24</v>
      </c>
      <c r="G169" s="5"/>
      <c r="H169" s="5"/>
      <c r="I169" s="5"/>
      <c r="J169" s="4" t="s">
        <v>127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125</v>
      </c>
      <c r="E170" s="4" t="s">
        <v>449</v>
      </c>
      <c r="F170" s="4">
        <v>25.98</v>
      </c>
      <c r="G170" s="5"/>
      <c r="H170" s="5"/>
      <c r="I170" s="5"/>
      <c r="J170" s="4" t="s">
        <v>148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125</v>
      </c>
      <c r="E171" s="4" t="s">
        <v>454</v>
      </c>
      <c r="F171" s="4">
        <v>832.3</v>
      </c>
      <c r="G171" s="5"/>
      <c r="H171" s="5"/>
      <c r="I171" s="5"/>
      <c r="J171" s="4" t="s">
        <v>127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120</v>
      </c>
      <c r="E172" s="4" t="s">
        <v>457</v>
      </c>
      <c r="F172" s="4">
        <v>0.87088999999999994</v>
      </c>
      <c r="G172" s="5">
        <v>87.121800000000007</v>
      </c>
      <c r="H172" s="5">
        <v>5.72</v>
      </c>
      <c r="I172" s="5">
        <v>2004</v>
      </c>
      <c r="J172" s="4" t="s">
        <v>122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120</v>
      </c>
      <c r="E173" s="4" t="s">
        <v>457</v>
      </c>
      <c r="F173" s="4">
        <v>1001.81</v>
      </c>
      <c r="G173" s="5">
        <v>100.4289</v>
      </c>
      <c r="H173" s="5">
        <v>5.2</v>
      </c>
      <c r="I173" s="5">
        <v>1444</v>
      </c>
      <c r="J173" s="4" t="s">
        <v>122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120</v>
      </c>
      <c r="E174" s="4" t="s">
        <v>457</v>
      </c>
      <c r="F174" s="4">
        <v>1.007083</v>
      </c>
      <c r="G174" s="5">
        <v>101.35080000000001</v>
      </c>
      <c r="H174" s="5">
        <v>3.08</v>
      </c>
      <c r="I174" s="5">
        <v>1027</v>
      </c>
      <c r="J174" s="4" t="s">
        <v>122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125</v>
      </c>
      <c r="E175" s="4" t="s">
        <v>464</v>
      </c>
      <c r="F175" s="4">
        <v>28816.5</v>
      </c>
      <c r="G175" s="5"/>
      <c r="H175" s="5"/>
      <c r="I175" s="5"/>
      <c r="J175" s="4" t="s">
        <v>127</v>
      </c>
    </row>
    <row r="176" spans="1:10" x14ac:dyDescent="0.25">
      <c r="A176" s="4">
        <f t="shared" ca="1" si="5"/>
        <v>173</v>
      </c>
      <c r="B176" s="4" t="s">
        <v>465</v>
      </c>
      <c r="C176" s="4" t="s">
        <v>466</v>
      </c>
      <c r="D176" s="4" t="s">
        <v>125</v>
      </c>
      <c r="E176" s="4" t="s">
        <v>467</v>
      </c>
      <c r="F176" s="4">
        <v>40845.32</v>
      </c>
      <c r="G176" s="5"/>
      <c r="H176" s="5"/>
      <c r="I176" s="5"/>
      <c r="J176" s="4" t="s">
        <v>127</v>
      </c>
    </row>
    <row r="177" spans="1:10" x14ac:dyDescent="0.25">
      <c r="A177" s="4">
        <f t="shared" ca="1" si="5"/>
        <v>174</v>
      </c>
      <c r="B177" s="4" t="s">
        <v>468</v>
      </c>
      <c r="C177" s="4" t="s">
        <v>469</v>
      </c>
      <c r="D177" s="4" t="s">
        <v>125</v>
      </c>
      <c r="E177" s="4" t="s">
        <v>467</v>
      </c>
      <c r="F177" s="4">
        <v>75.320000000000007</v>
      </c>
      <c r="G177" s="5"/>
      <c r="H177" s="5"/>
      <c r="I177" s="5"/>
      <c r="J177" s="4" t="s">
        <v>148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120</v>
      </c>
      <c r="E178" s="4" t="s">
        <v>472</v>
      </c>
      <c r="F178" s="4">
        <v>1000.062</v>
      </c>
      <c r="G178" s="5">
        <v>101.7479</v>
      </c>
      <c r="H178" s="5">
        <v>18.98</v>
      </c>
      <c r="I178" s="5">
        <v>1793</v>
      </c>
      <c r="J178" s="4" t="s">
        <v>122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120</v>
      </c>
      <c r="E179" s="4" t="s">
        <v>472</v>
      </c>
      <c r="F179" s="4">
        <v>999.89400000000001</v>
      </c>
      <c r="G179" s="5">
        <v>101.7311</v>
      </c>
      <c r="H179" s="5">
        <v>18.98</v>
      </c>
      <c r="I179" s="5">
        <v>1793</v>
      </c>
      <c r="J179" s="4" t="s">
        <v>122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120</v>
      </c>
      <c r="E180" s="4" t="s">
        <v>477</v>
      </c>
      <c r="F180" s="4">
        <v>99.970200000000006</v>
      </c>
      <c r="G180" s="5">
        <v>101.62020000000001</v>
      </c>
      <c r="H180" s="5">
        <v>11</v>
      </c>
      <c r="I180" s="5">
        <v>311</v>
      </c>
      <c r="J180" s="4" t="s">
        <v>122</v>
      </c>
    </row>
    <row r="181" spans="1:10" x14ac:dyDescent="0.25">
      <c r="A181" s="4">
        <f t="shared" ca="1" si="5"/>
        <v>178</v>
      </c>
      <c r="B181" s="4" t="s">
        <v>478</v>
      </c>
      <c r="C181" s="4" t="s">
        <v>479</v>
      </c>
      <c r="D181" s="4" t="s">
        <v>125</v>
      </c>
      <c r="E181" s="4" t="s">
        <v>480</v>
      </c>
      <c r="F181" s="4">
        <v>6.71</v>
      </c>
      <c r="G181" s="5"/>
      <c r="H181" s="5"/>
      <c r="I181" s="5"/>
      <c r="J181" s="4" t="s">
        <v>148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125</v>
      </c>
      <c r="E182" s="4" t="s">
        <v>480</v>
      </c>
      <c r="F182" s="4">
        <v>863.93</v>
      </c>
      <c r="G182" s="5"/>
      <c r="H182" s="5"/>
      <c r="I182" s="5"/>
      <c r="J182" s="4" t="s">
        <v>127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120</v>
      </c>
      <c r="E183" s="4" t="s">
        <v>91</v>
      </c>
      <c r="F183" s="4">
        <v>0.99940799999999996</v>
      </c>
      <c r="G183" s="5">
        <v>100.73520000000001</v>
      </c>
      <c r="H183" s="5">
        <v>5.87</v>
      </c>
      <c r="I183" s="5">
        <v>131</v>
      </c>
      <c r="J183" s="4" t="s">
        <v>122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120</v>
      </c>
      <c r="E184" s="4" t="s">
        <v>91</v>
      </c>
      <c r="F184" s="4">
        <v>1000</v>
      </c>
      <c r="G184" s="5">
        <v>102.29040000000001</v>
      </c>
      <c r="H184" s="5">
        <v>18.96</v>
      </c>
      <c r="I184" s="5">
        <v>869</v>
      </c>
      <c r="J184" s="4" t="s">
        <v>122</v>
      </c>
    </row>
    <row r="185" spans="1:10" x14ac:dyDescent="0.25">
      <c r="A185" s="4">
        <f t="shared" ca="1" si="5"/>
        <v>182</v>
      </c>
      <c r="B185" s="4" t="s">
        <v>487</v>
      </c>
      <c r="C185" s="4" t="s">
        <v>92</v>
      </c>
      <c r="D185" s="4" t="s">
        <v>120</v>
      </c>
      <c r="E185" s="4" t="s">
        <v>91</v>
      </c>
      <c r="F185" s="4">
        <v>943.11760363119299</v>
      </c>
      <c r="G185" s="5">
        <v>96.973160359999994</v>
      </c>
      <c r="H185" s="5">
        <v>18.13</v>
      </c>
      <c r="I185" s="5">
        <v>663</v>
      </c>
      <c r="J185" s="4" t="s">
        <v>122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120</v>
      </c>
      <c r="E186" s="4" t="s">
        <v>91</v>
      </c>
      <c r="F186" s="4">
        <v>1000</v>
      </c>
      <c r="G186" s="5">
        <v>104.0082</v>
      </c>
      <c r="H186" s="5">
        <v>18.95</v>
      </c>
      <c r="I186" s="5">
        <v>838</v>
      </c>
      <c r="J186" s="4" t="s">
        <v>122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120</v>
      </c>
      <c r="E187" s="4" t="s">
        <v>492</v>
      </c>
      <c r="F187" s="4">
        <v>1.011093</v>
      </c>
      <c r="G187" s="5">
        <v>101.6131</v>
      </c>
      <c r="H187" s="5">
        <v>4.4000000000000004</v>
      </c>
      <c r="I187" s="5">
        <v>1787</v>
      </c>
      <c r="J187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2025-11-11T04:27:16Z</dcterms:created>
  <dcterms:modified xsi:type="dcterms:W3CDTF">2025-11-11T13:41:58Z</dcterms:modified>
</cp:coreProperties>
</file>